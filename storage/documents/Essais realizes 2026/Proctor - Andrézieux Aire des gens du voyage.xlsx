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42\RA ALHL  Andrézieux Bouthéon - Aire des gens du voyage\Essais de Laboratoire\Sondages\"/>
    </mc:Choice>
  </mc:AlternateContent>
  <xr:revisionPtr revIDLastSave="0" documentId="13_ncr:1_{178C58E3-8607-484F-A20A-D32606CBE8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4" sheetId="6" r:id="rId1"/>
  </sheets>
  <definedNames>
    <definedName name="_xlnm.Print_Area" localSheetId="0">'A4'!$A$1:$Z$70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6" l="1"/>
  <c r="L27" i="6"/>
  <c r="L28" i="6"/>
  <c r="L29" i="6"/>
  <c r="K26" i="6"/>
  <c r="K27" i="6"/>
  <c r="K28" i="6"/>
  <c r="K29" i="6"/>
  <c r="L25" i="6"/>
  <c r="K25" i="6"/>
  <c r="T31" i="6"/>
  <c r="T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Girard David</author>
  </authors>
  <commentList>
    <comment ref="X2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corrections pour les matériaux comportant moins de 30% d'éléments de dimension supérieure à 20 mm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<sst xmlns="http://schemas.openxmlformats.org/spreadsheetml/2006/main" count="62" uniqueCount="62">
  <si>
    <t>RENSEIGNEMENTS GENERAUX</t>
  </si>
  <si>
    <t>Nature du matériau :</t>
  </si>
  <si>
    <t>Provenance :</t>
  </si>
  <si>
    <t>Destination :</t>
  </si>
  <si>
    <t>Date de(s) prélèvement(s) :</t>
  </si>
  <si>
    <t>1/</t>
  </si>
  <si>
    <t>2/</t>
  </si>
  <si>
    <t>3/</t>
  </si>
  <si>
    <t>COMMENTAIRES</t>
  </si>
  <si>
    <t>Date de(s) essai(s) :</t>
  </si>
  <si>
    <t>Opérateur :</t>
  </si>
  <si>
    <t>Laboratoire :</t>
  </si>
  <si>
    <t>Région Rhône Alpes - 29-31 rue des Tâches - ZI Mi-Plaine - 69800 SAINT PRIEST</t>
  </si>
  <si>
    <t>COMPTE RENDU D'ESSAIS</t>
  </si>
  <si>
    <t>N° d'affaire</t>
  </si>
  <si>
    <t>Si traitement, nature et dosage du liant :</t>
  </si>
  <si>
    <t>Proctor</t>
  </si>
  <si>
    <t>Refus à 5 mm (%) :</t>
  </si>
  <si>
    <t>CBR</t>
  </si>
  <si>
    <t>Refus à 20 mm (%) :</t>
  </si>
  <si>
    <t>IPI</t>
  </si>
  <si>
    <t>IPI - PR</t>
  </si>
  <si>
    <t>CRITERES DE CONFORMITE</t>
  </si>
  <si>
    <t>Source des critères :</t>
  </si>
  <si>
    <t>Définition des critères / objectifs :</t>
  </si>
  <si>
    <t>ρd (t/m3)</t>
  </si>
  <si>
    <t>Nom</t>
  </si>
  <si>
    <t>Visa</t>
  </si>
  <si>
    <t>CONCLUSIONS</t>
  </si>
  <si>
    <t>RESULTATS D'ESSAIS</t>
  </si>
  <si>
    <t>MOULE</t>
  </si>
  <si>
    <t>Normal</t>
  </si>
  <si>
    <t>Modifié</t>
  </si>
  <si>
    <t xml:space="preserve">ENERGIE </t>
  </si>
  <si>
    <t>ρd OPN (t/m3)</t>
  </si>
  <si>
    <t>Poids spécifique:</t>
  </si>
  <si>
    <t>estimé</t>
  </si>
  <si>
    <t>mesuré</t>
  </si>
  <si>
    <t xml:space="preserve">ρs = </t>
  </si>
  <si>
    <t>t / m3</t>
  </si>
  <si>
    <t>ρd OPN corr (t/m3)</t>
  </si>
  <si>
    <t>W OPN corr (%)</t>
  </si>
  <si>
    <t>W naturelle (%) :</t>
  </si>
  <si>
    <t>Sr80</t>
  </si>
  <si>
    <t>Sr100</t>
  </si>
  <si>
    <t>W à l'essai</t>
  </si>
  <si>
    <t>W OPN (%)</t>
  </si>
  <si>
    <t>Chrono</t>
  </si>
  <si>
    <t>Date de rédaction</t>
  </si>
  <si>
    <t>ESSAI PROCTOR / IPI
(NF P 94-093 / NF P 94-078)</t>
  </si>
  <si>
    <t>4/</t>
  </si>
  <si>
    <t>5/</t>
  </si>
  <si>
    <t>Contrôle :</t>
  </si>
  <si>
    <t>RA ALHL</t>
  </si>
  <si>
    <t>Andrézieux Bouthéon
Aire des gens du voyage</t>
  </si>
  <si>
    <t>25/03/2025</t>
  </si>
  <si>
    <t>Marion POLGA</t>
  </si>
  <si>
    <t>Sondages</t>
  </si>
  <si>
    <t xml:space="preserve">Argile sableuse A4 </t>
  </si>
  <si>
    <t>Pour information</t>
  </si>
  <si>
    <t>F. MONTET</t>
  </si>
  <si>
    <t>Technicien de laboratoire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</si>
</sst>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"/>
  </numFmts>
  <fonts count="21" x14ac:knownFonts="1">
    <font>
      <sz val="10"/>
      <name val="Arial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u/>
      <sz val="10"/>
      <name val="Century Gothic"/>
      <family val="2"/>
    </font>
    <font>
      <b/>
      <sz val="9"/>
      <name val="Century Gothic"/>
      <family val="2"/>
    </font>
    <font>
      <sz val="10"/>
      <name val="Arial"/>
      <family val="2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7" fillId="0" borderId="0"/>
    <xf numFmtId="9" fontId="17" fillId="0" borderId="0" applyFont="0" applyFill="0" applyBorder="0" applyAlignment="0" applyProtection="0"/>
  </cellStyleXfs>
  <cellXfs count="204">
    <xf numFmtId="0" fontId="0" fillId="0" borderId="0" xfId="0"/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5" xfId="0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horizontal="left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/>
      <protection hidden="1"/>
    </xf>
    <xf numFmtId="0" fontId="4" fillId="0" borderId="8" xfId="0" applyFont="1" applyBorder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0" fontId="10" fillId="0" borderId="0" xfId="0" applyFont="1" applyAlignment="1" applyProtection="1">
      <alignment horizontal="right"/>
      <protection hidden="1"/>
    </xf>
    <xf numFmtId="14" fontId="13" fillId="0" borderId="0" xfId="0" applyNumberFormat="1" applyFont="1" applyAlignment="1" applyProtection="1">
      <alignment horizontal="center"/>
      <protection hidden="1"/>
    </xf>
    <xf numFmtId="0" fontId="10" fillId="0" borderId="2" xfId="0" applyFont="1" applyBorder="1" applyProtection="1">
      <protection hidden="1"/>
    </xf>
    <xf numFmtId="0" fontId="4" fillId="0" borderId="2" xfId="0" applyFont="1" applyBorder="1" applyProtection="1">
      <protection hidden="1"/>
    </xf>
    <xf numFmtId="0" fontId="4" fillId="0" borderId="7" xfId="0" applyFont="1" applyBorder="1" applyProtection="1">
      <protection hidden="1"/>
    </xf>
    <xf numFmtId="0" fontId="4" fillId="0" borderId="3" xfId="0" applyFont="1" applyBorder="1" applyProtection="1">
      <protection hidden="1"/>
    </xf>
    <xf numFmtId="0" fontId="7" fillId="0" borderId="0" xfId="0" applyFont="1" applyProtection="1">
      <protection hidden="1"/>
    </xf>
    <xf numFmtId="0" fontId="4" fillId="0" borderId="4" xfId="0" applyFont="1" applyBorder="1" applyProtection="1">
      <protection hidden="1"/>
    </xf>
    <xf numFmtId="0" fontId="9" fillId="0" borderId="4" xfId="0" applyFont="1" applyBorder="1" applyAlignment="1" applyProtection="1">
      <alignment horizontal="left"/>
      <protection hidden="1"/>
    </xf>
    <xf numFmtId="0" fontId="4" fillId="0" borderId="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4" fillId="0" borderId="8" xfId="0" applyFont="1" applyBorder="1" applyProtection="1">
      <protection hidden="1"/>
    </xf>
    <xf numFmtId="0" fontId="4" fillId="0" borderId="2" xfId="0" applyFont="1" applyBorder="1" applyAlignment="1">
      <alignment vertical="center"/>
    </xf>
    <xf numFmtId="2" fontId="14" fillId="0" borderId="2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5" fillId="0" borderId="2" xfId="0" applyFont="1" applyBorder="1" applyAlignment="1" applyProtection="1">
      <alignment vertical="center"/>
      <protection hidden="1"/>
    </xf>
    <xf numFmtId="0" fontId="15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4" fontId="11" fillId="0" borderId="16" xfId="0" applyNumberFormat="1" applyFont="1" applyBorder="1" applyAlignment="1">
      <alignment horizontal="center" vertical="center"/>
    </xf>
    <xf numFmtId="4" fontId="11" fillId="0" borderId="1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" fontId="11" fillId="0" borderId="15" xfId="0" applyNumberFormat="1" applyFont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" fontId="11" fillId="0" borderId="5" xfId="0" applyNumberFormat="1" applyFont="1" applyBorder="1" applyAlignment="1" applyProtection="1">
      <alignment horizontal="center" vertical="center"/>
      <protection locked="0"/>
    </xf>
    <xf numFmtId="4" fontId="11" fillId="0" borderId="17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4" fillId="0" borderId="0" xfId="0" applyFont="1"/>
    <xf numFmtId="4" fontId="4" fillId="0" borderId="0" xfId="0" applyNumberFormat="1" applyFont="1" applyAlignment="1">
      <alignment vertical="center"/>
    </xf>
    <xf numFmtId="4" fontId="4" fillId="0" borderId="0" xfId="0" applyNumberFormat="1" applyFont="1"/>
    <xf numFmtId="16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8" xfId="0" applyFont="1" applyBorder="1" applyAlignment="1" applyProtection="1">
      <alignment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10" fillId="0" borderId="10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4" fillId="0" borderId="10" xfId="0" applyFont="1" applyBorder="1" applyAlignment="1" applyProtection="1">
      <alignment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0" fontId="4" fillId="0" borderId="7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 applyProtection="1">
      <alignment vertical="center" wrapText="1"/>
      <protection locked="0"/>
    </xf>
    <xf numFmtId="0" fontId="4" fillId="0" borderId="5" xfId="0" applyFont="1" applyBorder="1" applyAlignment="1" applyProtection="1">
      <alignment vertical="center" wrapText="1"/>
      <protection locked="0"/>
    </xf>
    <xf numFmtId="0" fontId="4" fillId="0" borderId="6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7" fillId="0" borderId="26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14" fontId="11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horizontal="left" vertical="center"/>
      <protection hidden="1"/>
    </xf>
    <xf numFmtId="166" fontId="11" fillId="0" borderId="21" xfId="0" applyNumberFormat="1" applyFont="1" applyBorder="1" applyAlignment="1" applyProtection="1">
      <alignment horizontal="center" vertical="center"/>
      <protection hidden="1"/>
    </xf>
    <xf numFmtId="166" fontId="11" fillId="0" borderId="16" xfId="0" applyNumberFormat="1" applyFont="1" applyBorder="1" applyAlignment="1" applyProtection="1">
      <alignment horizontal="center" vertical="center"/>
      <protection hidden="1"/>
    </xf>
    <xf numFmtId="166" fontId="11" fillId="0" borderId="5" xfId="0" applyNumberFormat="1" applyFont="1" applyBorder="1" applyAlignment="1" applyProtection="1">
      <alignment horizontal="center" vertical="center"/>
      <protection hidden="1"/>
    </xf>
    <xf numFmtId="166" fontId="11" fillId="0" borderId="8" xfId="0" applyNumberFormat="1" applyFont="1" applyBorder="1" applyAlignment="1" applyProtection="1">
      <alignment horizontal="center" vertical="center"/>
      <protection hidden="1"/>
    </xf>
    <xf numFmtId="0" fontId="16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6" fontId="11" fillId="0" borderId="22" xfId="0" applyNumberFormat="1" applyFont="1" applyBorder="1" applyAlignment="1" applyProtection="1">
      <alignment horizontal="center" vertical="center"/>
      <protection hidden="1"/>
    </xf>
    <xf numFmtId="166" fontId="11" fillId="0" borderId="24" xfId="0" applyNumberFormat="1" applyFont="1" applyBorder="1" applyAlignment="1" applyProtection="1">
      <alignment horizontal="center" vertical="center"/>
      <protection hidden="1"/>
    </xf>
    <xf numFmtId="0" fontId="11" fillId="0" borderId="2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164" fontId="11" fillId="0" borderId="5" xfId="0" applyNumberFormat="1" applyFont="1" applyBorder="1" applyAlignment="1" applyProtection="1">
      <alignment horizontal="center" vertical="center"/>
      <protection locked="0"/>
    </xf>
    <xf numFmtId="164" fontId="11" fillId="0" borderId="8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11" fillId="0" borderId="6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 applyProtection="1">
      <alignment horizontal="center" vertical="center" wrapText="1"/>
      <protection hidden="1"/>
    </xf>
    <xf numFmtId="0" fontId="4" fillId="0" borderId="19" xfId="0" applyFont="1" applyBorder="1" applyAlignment="1" applyProtection="1">
      <alignment horizontal="center" vertical="center" wrapText="1"/>
      <protection hidden="1"/>
    </xf>
    <xf numFmtId="0" fontId="4" fillId="0" borderId="20" xfId="0" applyFont="1" applyBorder="1" applyAlignment="1" applyProtection="1">
      <alignment horizontal="center" vertical="center" wrapText="1"/>
      <protection hidden="1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4" fontId="11" fillId="0" borderId="18" xfId="0" applyNumberFormat="1" applyFont="1" applyBorder="1" applyAlignment="1">
      <alignment horizontal="center" vertical="center"/>
    </xf>
    <xf numFmtId="4" fontId="11" fillId="0" borderId="19" xfId="0" applyNumberFormat="1" applyFont="1" applyBorder="1"/>
    <xf numFmtId="4" fontId="11" fillId="0" borderId="20" xfId="0" applyNumberFormat="1" applyFont="1" applyBorder="1"/>
    <xf numFmtId="164" fontId="11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14" fontId="18" fillId="0" borderId="31" xfId="0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4" fontId="18" fillId="0" borderId="30" xfId="0" applyNumberFormat="1" applyFont="1" applyBorder="1" applyAlignment="1" applyProtection="1">
      <alignment horizontal="center" vertical="center"/>
      <protection locked="0"/>
    </xf>
    <xf numFmtId="0" fontId="19" fillId="0" borderId="32" xfId="0" applyFont="1" applyBorder="1" applyAlignment="1" applyProtection="1">
      <alignment horizontal="center" vertical="center" wrapText="1"/>
      <protection locked="0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9" fillId="0" borderId="34" xfId="0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30" xfId="0" applyFont="1" applyBorder="1" applyAlignment="1" applyProtection="1">
      <alignment horizontal="center" vertical="center" wrapText="1"/>
      <protection locked="0"/>
    </xf>
    <xf numFmtId="0" fontId="19" fillId="0" borderId="35" xfId="0" applyFont="1" applyBorder="1" applyAlignment="1" applyProtection="1">
      <alignment horizontal="center" vertical="center" wrapText="1"/>
      <protection locked="0"/>
    </xf>
    <xf numFmtId="0" fontId="19" fillId="0" borderId="36" xfId="0" applyFont="1" applyBorder="1" applyAlignment="1" applyProtection="1">
      <alignment horizontal="center" vertical="center" wrapText="1"/>
      <protection locked="0"/>
    </xf>
    <xf numFmtId="0" fontId="19" fillId="0" borderId="37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left"/>
      <protection locked="0"/>
    </xf>
    <xf numFmtId="14" fontId="20" fillId="0" borderId="0" xfId="0" applyNumberFormat="1" applyFont="1" applyAlignment="1" applyProtection="1">
      <alignment horizontal="left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39" xfId="0" applyFont="1" applyBorder="1" applyAlignment="1" applyProtection="1">
      <alignment horizontal="center" vertical="center" wrapText="1"/>
      <protection locked="0"/>
    </xf>
    <xf numFmtId="0" fontId="20" fillId="0" borderId="4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76018807891632E-2"/>
          <c:y val="3.1198736399862096E-2"/>
          <c:w val="0.85648244954703956"/>
          <c:h val="0.86699646416458875"/>
        </c:manualLayout>
      </c:layout>
      <c:scatterChart>
        <c:scatterStyle val="lineMarker"/>
        <c:varyColors val="0"/>
        <c:ser>
          <c:idx val="1"/>
          <c:order val="0"/>
          <c:tx>
            <c:v>Courbe de saturation 80%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'A4'!$B$25:$B$29</c:f>
              <c:numCache>
                <c:formatCode>General</c:formatCode>
                <c:ptCount val="5"/>
                <c:pt idx="0">
                  <c:v>12.7</c:v>
                </c:pt>
                <c:pt idx="1">
                  <c:v>14.3</c:v>
                </c:pt>
                <c:pt idx="2">
                  <c:v>17.100000000000001</c:v>
                </c:pt>
                <c:pt idx="3">
                  <c:v>21.1</c:v>
                </c:pt>
                <c:pt idx="4">
                  <c:v>24.5</c:v>
                </c:pt>
              </c:numCache>
            </c:numRef>
          </c:xVal>
          <c:yVal>
            <c:numRef>
              <c:f>'A4'!$K$25:$K$29</c:f>
              <c:numCache>
                <c:formatCode>#,##0.00</c:formatCode>
                <c:ptCount val="5"/>
                <c:pt idx="0">
                  <c:v>1.86529409176895</c:v>
                </c:pt>
                <c:pt idx="1">
                  <c:v>1.7982102718520718</c:v>
                </c:pt>
                <c:pt idx="2">
                  <c:v>1.6917368232055219</c:v>
                </c:pt>
                <c:pt idx="3">
                  <c:v>1.5597984034138983</c:v>
                </c:pt>
                <c:pt idx="4">
                  <c:v>1.4628255994479902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E8-4FF6-BCCE-6586C82CF83F}"/>
            </c:ext>
          </c:extLst>
        </c:ser>
        <c:ser>
          <c:idx val="2"/>
          <c:order val="1"/>
          <c:tx>
            <c:v>Courbe de saturation 100%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'A4'!$B$25:$B$29</c:f>
              <c:numCache>
                <c:formatCode>General</c:formatCode>
                <c:ptCount val="5"/>
                <c:pt idx="0">
                  <c:v>12.7</c:v>
                </c:pt>
                <c:pt idx="1">
                  <c:v>14.3</c:v>
                </c:pt>
                <c:pt idx="2">
                  <c:v>17.100000000000001</c:v>
                </c:pt>
                <c:pt idx="3">
                  <c:v>21.1</c:v>
                </c:pt>
                <c:pt idx="4">
                  <c:v>24.5</c:v>
                </c:pt>
              </c:numCache>
            </c:numRef>
          </c:xVal>
          <c:yVal>
            <c:numRef>
              <c:f>'A4'!$L$25:$L$29</c:f>
              <c:numCache>
                <c:formatCode>#,##0.00</c:formatCode>
                <c:ptCount val="5"/>
                <c:pt idx="0">
                  <c:v>1.9827166959709701</c:v>
                </c:pt>
                <c:pt idx="1">
                  <c:v>1.9217520577250804</c:v>
                </c:pt>
                <c:pt idx="2">
                  <c:v>1.8236245397928639</c:v>
                </c:pt>
                <c:pt idx="3">
                  <c:v>1.699644036814931</c:v>
                </c:pt>
                <c:pt idx="4">
                  <c:v>1.60679096559042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E8-4FF6-BCCE-6586C82CF83F}"/>
            </c:ext>
          </c:extLst>
        </c:ser>
        <c:ser>
          <c:idx val="3"/>
          <c:order val="2"/>
          <c:tx>
            <c:v>Courbe Proctor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'A4'!$B$25:$B$29</c:f>
              <c:numCache>
                <c:formatCode>General</c:formatCode>
                <c:ptCount val="5"/>
                <c:pt idx="0">
                  <c:v>12.7</c:v>
                </c:pt>
                <c:pt idx="1">
                  <c:v>14.3</c:v>
                </c:pt>
                <c:pt idx="2">
                  <c:v>17.100000000000001</c:v>
                </c:pt>
                <c:pt idx="3">
                  <c:v>21.1</c:v>
                </c:pt>
                <c:pt idx="4">
                  <c:v>24.5</c:v>
                </c:pt>
              </c:numCache>
            </c:numRef>
          </c:xVal>
          <c:yVal>
            <c:numRef>
              <c:f>'A4'!$H$25:$H$29</c:f>
              <c:numCache>
                <c:formatCode>0.000</c:formatCode>
                <c:ptCount val="5"/>
                <c:pt idx="0">
                  <c:v>1.5569999999999999</c:v>
                </c:pt>
                <c:pt idx="1">
                  <c:v>1.7350000000000001</c:v>
                </c:pt>
                <c:pt idx="2">
                  <c:v>1.766</c:v>
                </c:pt>
                <c:pt idx="3">
                  <c:v>1.661</c:v>
                </c:pt>
                <c:pt idx="4">
                  <c:v>1.5469999999999999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E8-4FF6-BCCE-6586C82CF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55536"/>
        <c:axId val="180655928"/>
      </c:scatterChart>
      <c:scatterChart>
        <c:scatterStyle val="lineMarker"/>
        <c:varyColors val="0"/>
        <c:ser>
          <c:idx val="0"/>
          <c:order val="3"/>
          <c:tx>
            <c:v>Courbe IPI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'A4'!$B$25:$B$29</c:f>
              <c:numCache>
                <c:formatCode>General</c:formatCode>
                <c:ptCount val="5"/>
                <c:pt idx="0">
                  <c:v>12.7</c:v>
                </c:pt>
                <c:pt idx="1">
                  <c:v>14.3</c:v>
                </c:pt>
                <c:pt idx="2">
                  <c:v>17.100000000000001</c:v>
                </c:pt>
                <c:pt idx="3">
                  <c:v>21.1</c:v>
                </c:pt>
                <c:pt idx="4">
                  <c:v>24.5</c:v>
                </c:pt>
              </c:numCache>
            </c:numRef>
          </c:xVal>
          <c:yVal>
            <c:numRef>
              <c:f>'A4'!$J$25:$J$29</c:f>
              <c:numCache>
                <c:formatCode>0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E8-4FF6-BCCE-6586C82CF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56320"/>
        <c:axId val="180656712"/>
      </c:scatterChart>
      <c:valAx>
        <c:axId val="180655536"/>
        <c:scaling>
          <c:orientation val="minMax"/>
          <c:max val="25"/>
          <c:min val="1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TENEURS EN EAU   (%)</a:t>
                </a:r>
              </a:p>
            </c:rich>
          </c:tx>
          <c:layout>
            <c:manualLayout>
              <c:xMode val="edge"/>
              <c:yMode val="edge"/>
              <c:x val="0.4062504860503548"/>
              <c:y val="0.945814248368059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0655928"/>
        <c:crossesAt val="1.5"/>
        <c:crossBetween val="midCat"/>
        <c:majorUnit val="1"/>
        <c:minorUnit val="0.5"/>
      </c:valAx>
      <c:valAx>
        <c:axId val="180655928"/>
        <c:scaling>
          <c:orientation val="minMax"/>
          <c:max val="1.8"/>
          <c:min val="1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MASSE VOLUMIQUE SECHE (t/m3)</a:t>
                </a:r>
              </a:p>
            </c:rich>
          </c:tx>
          <c:layout>
            <c:manualLayout>
              <c:xMode val="edge"/>
              <c:yMode val="edge"/>
              <c:x val="5.7870370370370367E-3"/>
              <c:y val="0.2298853597574657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0655536"/>
        <c:crossesAt val="12"/>
        <c:crossBetween val="midCat"/>
        <c:majorUnit val="0.05"/>
        <c:minorUnit val="0.01"/>
      </c:valAx>
      <c:valAx>
        <c:axId val="180656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656712"/>
        <c:crosses val="autoZero"/>
        <c:crossBetween val="midCat"/>
      </c:valAx>
      <c:valAx>
        <c:axId val="180656712"/>
        <c:scaling>
          <c:orientation val="minMax"/>
          <c:max val="20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IPI</a:t>
                </a:r>
              </a:p>
            </c:rich>
          </c:tx>
          <c:layout>
            <c:manualLayout>
              <c:xMode val="edge"/>
              <c:yMode val="edge"/>
              <c:x val="0.96180664916885394"/>
              <c:y val="0.44991865082471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0656320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263973947700978"/>
          <c:y val="5.9113455748448944E-2"/>
          <c:w val="0.17939839117332557"/>
          <c:h val="0.282430769712434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fr-FR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25</xdr:col>
      <xdr:colOff>0</xdr:colOff>
      <xdr:row>59</xdr:row>
      <xdr:rowOff>190500</xdr:rowOff>
    </xdr:to>
    <xdr:graphicFrame macro="">
      <xdr:nvGraphicFramePr>
        <xdr:cNvPr id="6220" name="Chart 20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68580</xdr:colOff>
          <xdr:row>24</xdr:row>
          <xdr:rowOff>182880</xdr:rowOff>
        </xdr:from>
        <xdr:to>
          <xdr:col>16</xdr:col>
          <xdr:colOff>20955</xdr:colOff>
          <xdr:row>26</xdr:row>
          <xdr:rowOff>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0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68580</xdr:colOff>
          <xdr:row>26</xdr:row>
          <xdr:rowOff>182880</xdr:rowOff>
        </xdr:from>
        <xdr:to>
          <xdr:col>16</xdr:col>
          <xdr:colOff>20955</xdr:colOff>
          <xdr:row>28</xdr:row>
          <xdr:rowOff>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68580</xdr:colOff>
          <xdr:row>24</xdr:row>
          <xdr:rowOff>182880</xdr:rowOff>
        </xdr:from>
        <xdr:to>
          <xdr:col>19</xdr:col>
          <xdr:colOff>20955</xdr:colOff>
          <xdr:row>26</xdr:row>
          <xdr:rowOff>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0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68580</xdr:colOff>
          <xdr:row>26</xdr:row>
          <xdr:rowOff>182880</xdr:rowOff>
        </xdr:from>
        <xdr:to>
          <xdr:col>19</xdr:col>
          <xdr:colOff>20955</xdr:colOff>
          <xdr:row>28</xdr:row>
          <xdr:rowOff>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0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68580</xdr:colOff>
          <xdr:row>26</xdr:row>
          <xdr:rowOff>182880</xdr:rowOff>
        </xdr:from>
        <xdr:to>
          <xdr:col>23</xdr:col>
          <xdr:colOff>20955</xdr:colOff>
          <xdr:row>28</xdr:row>
          <xdr:rowOff>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0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68580</xdr:colOff>
          <xdr:row>26</xdr:row>
          <xdr:rowOff>182880</xdr:rowOff>
        </xdr:from>
        <xdr:to>
          <xdr:col>20</xdr:col>
          <xdr:colOff>20955</xdr:colOff>
          <xdr:row>28</xdr:row>
          <xdr:rowOff>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0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518160</xdr:colOff>
          <xdr:row>66</xdr:row>
          <xdr:rowOff>175260</xdr:rowOff>
        </xdr:from>
        <xdr:to>
          <xdr:col>28</xdr:col>
          <xdr:colOff>495300</xdr:colOff>
          <xdr:row>69</xdr:row>
          <xdr:rowOff>15240</xdr:rowOff>
        </xdr:to>
        <xdr:sp macro="" textlink="">
          <xdr:nvSpPr>
            <xdr:cNvPr id="6171" name="CommandButton1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0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38100</xdr:colOff>
      <xdr:row>2</xdr:row>
      <xdr:rowOff>0</xdr:rowOff>
    </xdr:from>
    <xdr:to>
      <xdr:col>4</xdr:col>
      <xdr:colOff>304800</xdr:colOff>
      <xdr:row>4</xdr:row>
      <xdr:rowOff>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23850"/>
          <a:ext cx="1295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5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Z70"/>
  <sheetViews>
    <sheetView tabSelected="1" topLeftCell="A39" workbookViewId="0">
      <selection activeCell="AC62" sqref="AC62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102"/>
      <c r="B1" s="103"/>
      <c r="C1" s="103"/>
      <c r="D1" s="103"/>
      <c r="E1" s="103"/>
      <c r="F1" s="104"/>
      <c r="G1" s="111" t="s">
        <v>13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190" t="s">
        <v>54</v>
      </c>
      <c r="V1" s="191"/>
      <c r="W1" s="191"/>
      <c r="X1" s="191"/>
      <c r="Y1" s="191"/>
      <c r="Z1" s="192"/>
    </row>
    <row r="2" spans="1:26" ht="12.75" customHeight="1" x14ac:dyDescent="0.25">
      <c r="A2" s="105"/>
      <c r="B2" s="106"/>
      <c r="C2" s="106"/>
      <c r="D2" s="106"/>
      <c r="E2" s="106"/>
      <c r="F2" s="107"/>
      <c r="G2" s="114" t="s">
        <v>49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6"/>
      <c r="U2" s="193"/>
      <c r="V2" s="194"/>
      <c r="W2" s="194"/>
      <c r="X2" s="194"/>
      <c r="Y2" s="194"/>
      <c r="Z2" s="195"/>
    </row>
    <row r="3" spans="1:26" ht="12.75" customHeight="1" x14ac:dyDescent="0.25">
      <c r="A3" s="105"/>
      <c r="B3" s="106"/>
      <c r="C3" s="106"/>
      <c r="D3" s="106"/>
      <c r="E3" s="106"/>
      <c r="F3" s="107"/>
      <c r="G3" s="114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6"/>
      <c r="U3" s="193"/>
      <c r="V3" s="194"/>
      <c r="W3" s="194"/>
      <c r="X3" s="194"/>
      <c r="Y3" s="194"/>
      <c r="Z3" s="195"/>
    </row>
    <row r="4" spans="1:26" ht="12.75" customHeight="1" x14ac:dyDescent="0.25">
      <c r="A4" s="105"/>
      <c r="B4" s="106"/>
      <c r="C4" s="106"/>
      <c r="D4" s="106"/>
      <c r="E4" s="106"/>
      <c r="F4" s="107"/>
      <c r="G4" s="114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93"/>
      <c r="V4" s="194"/>
      <c r="W4" s="194"/>
      <c r="X4" s="194"/>
      <c r="Y4" s="194"/>
      <c r="Z4" s="195"/>
    </row>
    <row r="5" spans="1:26" ht="12.75" customHeight="1" x14ac:dyDescent="0.25">
      <c r="A5" s="105"/>
      <c r="B5" s="106"/>
      <c r="C5" s="106"/>
      <c r="D5" s="106"/>
      <c r="E5" s="106"/>
      <c r="F5" s="107"/>
      <c r="G5" s="117" t="s">
        <v>21</v>
      </c>
      <c r="H5" s="118"/>
      <c r="I5" s="2"/>
      <c r="J5" s="184">
        <v>1</v>
      </c>
      <c r="K5" s="185"/>
      <c r="L5" s="186" t="s">
        <v>53</v>
      </c>
      <c r="M5" s="184"/>
      <c r="N5" s="184"/>
      <c r="O5" s="185"/>
      <c r="P5" s="187">
        <v>45747</v>
      </c>
      <c r="Q5" s="188"/>
      <c r="R5" s="188"/>
      <c r="S5" s="188"/>
      <c r="T5" s="189"/>
      <c r="U5" s="193"/>
      <c r="V5" s="194"/>
      <c r="W5" s="194"/>
      <c r="X5" s="194"/>
      <c r="Y5" s="194"/>
      <c r="Z5" s="195"/>
    </row>
    <row r="6" spans="1:26" ht="12.75" customHeight="1" x14ac:dyDescent="0.25">
      <c r="A6" s="108"/>
      <c r="B6" s="109"/>
      <c r="C6" s="109"/>
      <c r="D6" s="109"/>
      <c r="E6" s="109"/>
      <c r="F6" s="110"/>
      <c r="G6" s="3"/>
      <c r="H6" s="4"/>
      <c r="I6" s="4"/>
      <c r="J6" s="98" t="s">
        <v>47</v>
      </c>
      <c r="K6" s="98"/>
      <c r="L6" s="98" t="s">
        <v>14</v>
      </c>
      <c r="M6" s="98"/>
      <c r="N6" s="98"/>
      <c r="O6" s="98"/>
      <c r="P6" s="98" t="s">
        <v>48</v>
      </c>
      <c r="Q6" s="98"/>
      <c r="R6" s="98"/>
      <c r="S6" s="98"/>
      <c r="T6" s="99"/>
      <c r="U6" s="196"/>
      <c r="V6" s="197"/>
      <c r="W6" s="197"/>
      <c r="X6" s="197"/>
      <c r="Y6" s="197"/>
      <c r="Z6" s="198"/>
    </row>
    <row r="7" spans="1:26" ht="35.4" customHeight="1" x14ac:dyDescent="0.25">
      <c r="A7" s="100" t="s">
        <v>11</v>
      </c>
      <c r="B7" s="100"/>
      <c r="C7" s="100"/>
      <c r="D7" s="100"/>
      <c r="E7" s="100"/>
      <c r="F7" s="100"/>
      <c r="G7" s="101" t="s">
        <v>12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15.6" customHeight="1" x14ac:dyDescent="0.25">
      <c r="A8" s="5" t="s">
        <v>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23" t="s">
        <v>10</v>
      </c>
      <c r="C10" s="123"/>
      <c r="D10" s="123"/>
      <c r="E10" s="123"/>
      <c r="F10" s="123"/>
      <c r="G10" s="123"/>
      <c r="H10" s="199" t="s">
        <v>56</v>
      </c>
      <c r="I10" s="199"/>
      <c r="J10" s="199"/>
      <c r="K10" s="199"/>
      <c r="L10" s="199"/>
      <c r="M10" s="199"/>
      <c r="N10" s="123" t="s">
        <v>15</v>
      </c>
      <c r="O10" s="123"/>
      <c r="P10" s="123"/>
      <c r="Q10" s="123"/>
      <c r="R10" s="123"/>
      <c r="S10" s="123"/>
      <c r="T10" s="123"/>
      <c r="U10" s="123"/>
      <c r="V10" s="121"/>
      <c r="W10" s="121"/>
      <c r="X10" s="121"/>
      <c r="Y10" s="121"/>
      <c r="Z10" s="13"/>
    </row>
    <row r="11" spans="1:26" ht="15.9" customHeight="1" x14ac:dyDescent="0.25">
      <c r="A11" s="10"/>
      <c r="B11" s="123" t="s">
        <v>4</v>
      </c>
      <c r="C11" s="123"/>
      <c r="D11" s="123"/>
      <c r="E11" s="123"/>
      <c r="F11" s="123"/>
      <c r="G11" s="123"/>
      <c r="H11" s="200" t="s">
        <v>55</v>
      </c>
      <c r="I11" s="200"/>
      <c r="J11" s="200"/>
      <c r="K11" s="200"/>
      <c r="L11" s="200"/>
      <c r="M11" s="200"/>
      <c r="N11" s="123" t="s">
        <v>2</v>
      </c>
      <c r="O11" s="123"/>
      <c r="P11" s="123"/>
      <c r="Q11" s="123"/>
      <c r="R11" s="123"/>
      <c r="S11" s="120" t="s">
        <v>57</v>
      </c>
      <c r="T11" s="120"/>
      <c r="U11" s="120"/>
      <c r="V11" s="120"/>
      <c r="W11" s="120"/>
      <c r="X11" s="120"/>
      <c r="Y11" s="120"/>
      <c r="Z11" s="13"/>
    </row>
    <row r="12" spans="1:26" ht="15.75" customHeight="1" x14ac:dyDescent="0.25">
      <c r="A12" s="10"/>
      <c r="B12" s="123" t="s">
        <v>9</v>
      </c>
      <c r="C12" s="123"/>
      <c r="D12" s="123"/>
      <c r="E12" s="123"/>
      <c r="F12" s="123"/>
      <c r="G12" s="123"/>
      <c r="H12" s="200">
        <v>45743</v>
      </c>
      <c r="I12" s="200"/>
      <c r="J12" s="200"/>
      <c r="K12" s="200"/>
      <c r="L12" s="200"/>
      <c r="M12" s="200"/>
      <c r="N12" s="123" t="s">
        <v>3</v>
      </c>
      <c r="O12" s="123"/>
      <c r="P12" s="123"/>
      <c r="Q12" s="123"/>
      <c r="R12" s="123"/>
      <c r="S12" s="120"/>
      <c r="T12" s="120"/>
      <c r="U12" s="120"/>
      <c r="V12" s="120"/>
      <c r="W12" s="120"/>
      <c r="X12" s="120"/>
      <c r="Y12" s="120"/>
      <c r="Z12" s="13"/>
    </row>
    <row r="13" spans="1:26" ht="15.9" customHeight="1" x14ac:dyDescent="0.25">
      <c r="A13" s="10"/>
      <c r="B13" s="123" t="s">
        <v>1</v>
      </c>
      <c r="C13" s="123"/>
      <c r="D13" s="123"/>
      <c r="E13" s="123"/>
      <c r="F13" s="123"/>
      <c r="G13" s="123"/>
      <c r="H13" s="119" t="s">
        <v>58</v>
      </c>
      <c r="I13" s="119"/>
      <c r="J13" s="119"/>
      <c r="K13" s="119"/>
      <c r="L13" s="119"/>
      <c r="M13" s="119"/>
      <c r="N13" s="123"/>
      <c r="O13" s="123"/>
      <c r="P13" s="123"/>
      <c r="Q13" s="123"/>
      <c r="R13" s="123"/>
      <c r="S13" s="120"/>
      <c r="T13" s="120"/>
      <c r="U13" s="120"/>
      <c r="V13" s="120"/>
      <c r="W13" s="120"/>
      <c r="X13" s="120"/>
      <c r="Y13" s="120"/>
      <c r="Z13" s="13"/>
    </row>
    <row r="14" spans="1:26" ht="8.25" customHeight="1" x14ac:dyDescent="0.25">
      <c r="A14" s="14"/>
      <c r="B14" s="4"/>
      <c r="C14" s="4"/>
      <c r="D14" s="15"/>
      <c r="E14" s="15"/>
      <c r="F14" s="15"/>
      <c r="G14" s="15"/>
      <c r="H14" s="4"/>
      <c r="I14" s="4"/>
      <c r="J14" s="4"/>
      <c r="K14" s="4"/>
      <c r="L14" s="4"/>
      <c r="M14" s="4"/>
      <c r="N14" s="1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7"/>
    </row>
    <row r="15" spans="1:26" s="18" customFormat="1" ht="15" x14ac:dyDescent="0.25">
      <c r="B15" s="19"/>
      <c r="C15" s="19"/>
      <c r="K15" s="20"/>
      <c r="L15" s="19"/>
      <c r="M15" s="21"/>
    </row>
    <row r="16" spans="1:26" s="18" customFormat="1" ht="15.6" customHeight="1" x14ac:dyDescent="0.25">
      <c r="A16" s="5" t="s">
        <v>6</v>
      </c>
      <c r="B16" s="22" t="s">
        <v>22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4"/>
    </row>
    <row r="17" spans="1:26" s="18" customFormat="1" ht="8.25" customHeight="1" x14ac:dyDescent="0.25">
      <c r="A17" s="25"/>
      <c r="B17" s="26"/>
      <c r="Z17" s="27"/>
    </row>
    <row r="18" spans="1:26" s="18" customFormat="1" ht="15.75" customHeight="1" x14ac:dyDescent="0.25">
      <c r="A18" s="25"/>
      <c r="B18" s="122" t="s">
        <v>23</v>
      </c>
      <c r="C18" s="122"/>
      <c r="D18" s="122"/>
      <c r="E18" s="122"/>
      <c r="F18" s="122"/>
      <c r="G18" s="122"/>
      <c r="H18" s="122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28"/>
    </row>
    <row r="19" spans="1:26" s="18" customFormat="1" ht="15.75" customHeight="1" x14ac:dyDescent="0.25">
      <c r="A19" s="25"/>
      <c r="B19" s="122" t="s">
        <v>24</v>
      </c>
      <c r="C19" s="122"/>
      <c r="D19" s="122"/>
      <c r="E19" s="122"/>
      <c r="F19" s="122"/>
      <c r="G19" s="122"/>
      <c r="H19" s="122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28"/>
    </row>
    <row r="20" spans="1:26" s="18" customFormat="1" ht="8.25" customHeight="1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1"/>
    </row>
    <row r="21" spans="1:26" ht="15.75" customHeight="1" x14ac:dyDescent="0.25">
      <c r="B21" s="32"/>
      <c r="C21" s="32"/>
      <c r="D21" s="32"/>
      <c r="E21" s="32"/>
      <c r="F21" s="32"/>
      <c r="G21" s="33"/>
      <c r="H21" s="33"/>
      <c r="I21" s="33"/>
      <c r="J21" s="33"/>
      <c r="K21" s="34"/>
      <c r="L21" s="34"/>
      <c r="M21" s="35"/>
      <c r="N21" s="35"/>
      <c r="O21" s="35"/>
      <c r="P21" s="35"/>
      <c r="Q21" s="32"/>
      <c r="R21" s="32"/>
      <c r="S21" s="32"/>
      <c r="T21" s="32"/>
      <c r="U21" s="32"/>
      <c r="V21" s="35"/>
      <c r="W21" s="35"/>
      <c r="X21" s="35"/>
      <c r="Y21" s="36"/>
    </row>
    <row r="22" spans="1:26" ht="15.6" customHeight="1" x14ac:dyDescent="0.25">
      <c r="A22" s="5" t="s">
        <v>7</v>
      </c>
      <c r="B22" s="6" t="s">
        <v>29</v>
      </c>
      <c r="C22" s="37"/>
      <c r="D22" s="38"/>
      <c r="E22" s="38"/>
      <c r="F22" s="38"/>
      <c r="G22" s="38"/>
      <c r="H22" s="37"/>
      <c r="I22" s="37"/>
      <c r="J22" s="37"/>
      <c r="K22" s="37"/>
      <c r="L22" s="3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9"/>
    </row>
    <row r="23" spans="1:26" ht="15.75" customHeight="1" x14ac:dyDescent="0.25">
      <c r="A23" s="10"/>
      <c r="Z23" s="12"/>
    </row>
    <row r="24" spans="1:26" ht="15.75" customHeight="1" x14ac:dyDescent="0.25">
      <c r="A24" s="39"/>
      <c r="B24" s="95" t="s">
        <v>45</v>
      </c>
      <c r="C24" s="96"/>
      <c r="D24" s="96"/>
      <c r="E24" s="96"/>
      <c r="F24" s="96"/>
      <c r="G24" s="97"/>
      <c r="H24" s="95" t="s">
        <v>25</v>
      </c>
      <c r="I24" s="97"/>
      <c r="J24" s="40" t="s">
        <v>20</v>
      </c>
      <c r="K24" s="41" t="s">
        <v>43</v>
      </c>
      <c r="L24" s="41" t="s">
        <v>44</v>
      </c>
      <c r="N24" s="95" t="s">
        <v>33</v>
      </c>
      <c r="O24" s="96"/>
      <c r="P24" s="97"/>
      <c r="Q24" s="95" t="s">
        <v>30</v>
      </c>
      <c r="R24" s="96"/>
      <c r="S24" s="97"/>
      <c r="T24" s="175" t="s">
        <v>42</v>
      </c>
      <c r="U24" s="176"/>
      <c r="V24" s="176"/>
      <c r="W24" s="176"/>
      <c r="X24" s="129">
        <v>17.100000000000001</v>
      </c>
      <c r="Y24" s="130"/>
      <c r="Z24" s="12"/>
    </row>
    <row r="25" spans="1:26" ht="15.75" customHeight="1" x14ac:dyDescent="0.25">
      <c r="A25" s="39"/>
      <c r="B25" s="172">
        <v>12.7</v>
      </c>
      <c r="C25" s="173"/>
      <c r="D25" s="173"/>
      <c r="E25" s="173"/>
      <c r="F25" s="173"/>
      <c r="G25" s="174"/>
      <c r="H25" s="134">
        <v>1.5569999999999999</v>
      </c>
      <c r="I25" s="135"/>
      <c r="J25" s="42">
        <v>13</v>
      </c>
      <c r="K25" s="43">
        <f>IF(B25="","",(0.8*$V$29)/((0.8+(B25*$V$29)/100)))</f>
        <v>1.86529409176895</v>
      </c>
      <c r="L25" s="44">
        <f>IF(B25="","",$V$29/(1+($V$29*B25/100)))</f>
        <v>1.9827166959709701</v>
      </c>
      <c r="N25" s="45"/>
      <c r="O25" s="32"/>
      <c r="P25" s="46"/>
      <c r="Q25" s="45"/>
      <c r="R25" s="32"/>
      <c r="S25" s="46"/>
      <c r="T25" s="143" t="s">
        <v>17</v>
      </c>
      <c r="U25" s="144"/>
      <c r="V25" s="144"/>
      <c r="W25" s="145"/>
      <c r="X25" s="139"/>
      <c r="Y25" s="140"/>
      <c r="Z25" s="12"/>
    </row>
    <row r="26" spans="1:26" ht="15.75" customHeight="1" x14ac:dyDescent="0.25">
      <c r="A26" s="39"/>
      <c r="B26" s="136">
        <v>14.3</v>
      </c>
      <c r="C26" s="137"/>
      <c r="D26" s="137"/>
      <c r="E26" s="137"/>
      <c r="F26" s="137"/>
      <c r="G26" s="138"/>
      <c r="H26" s="124">
        <v>1.7350000000000001</v>
      </c>
      <c r="I26" s="125"/>
      <c r="J26" s="47">
        <v>13</v>
      </c>
      <c r="K26" s="43">
        <f>IF(B26="","",(0.8*$V$29)/((0.8+(B26*$V$29)/100)))</f>
        <v>1.7982102718520718</v>
      </c>
      <c r="L26" s="48">
        <f>IF(B26="","",$V$29/(1+($V$29*B26/100)))</f>
        <v>1.9217520577250804</v>
      </c>
      <c r="N26" s="49" t="s">
        <v>31</v>
      </c>
      <c r="O26" s="35"/>
      <c r="P26" s="50"/>
      <c r="Q26" s="49" t="s">
        <v>16</v>
      </c>
      <c r="R26" s="35"/>
      <c r="S26" s="50"/>
      <c r="T26" s="146" t="s">
        <v>19</v>
      </c>
      <c r="U26" s="147"/>
      <c r="V26" s="147"/>
      <c r="W26" s="148"/>
      <c r="X26" s="141"/>
      <c r="Y26" s="142"/>
      <c r="Z26" s="12"/>
    </row>
    <row r="27" spans="1:26" ht="15.75" customHeight="1" x14ac:dyDescent="0.25">
      <c r="A27" s="39"/>
      <c r="B27" s="136">
        <v>17.100000000000001</v>
      </c>
      <c r="C27" s="137"/>
      <c r="D27" s="137"/>
      <c r="E27" s="137"/>
      <c r="F27" s="137"/>
      <c r="G27" s="138"/>
      <c r="H27" s="124">
        <v>1.766</v>
      </c>
      <c r="I27" s="125"/>
      <c r="J27" s="47">
        <v>7</v>
      </c>
      <c r="K27" s="43">
        <f>IF(B27="","",(0.8*$V$29)/((0.8+(B27*$V$29)/100)))</f>
        <v>1.6917368232055219</v>
      </c>
      <c r="L27" s="48">
        <f>IF(B27="","",$V$29/(1+($V$29*B27/100)))</f>
        <v>1.8236245397928639</v>
      </c>
      <c r="N27" s="49"/>
      <c r="O27" s="35"/>
      <c r="P27" s="50"/>
      <c r="Q27" s="49"/>
      <c r="R27" s="35"/>
      <c r="S27" s="35"/>
      <c r="T27" s="45" t="s">
        <v>35</v>
      </c>
      <c r="U27" s="32"/>
      <c r="V27" s="32"/>
      <c r="W27" s="32"/>
      <c r="X27" s="32"/>
      <c r="Y27" s="46"/>
      <c r="Z27" s="12"/>
    </row>
    <row r="28" spans="1:26" ht="15.75" customHeight="1" x14ac:dyDescent="0.25">
      <c r="A28" s="39"/>
      <c r="B28" s="136">
        <v>21.1</v>
      </c>
      <c r="C28" s="137"/>
      <c r="D28" s="137"/>
      <c r="E28" s="137"/>
      <c r="F28" s="137"/>
      <c r="G28" s="138"/>
      <c r="H28" s="124">
        <v>1.661</v>
      </c>
      <c r="I28" s="125"/>
      <c r="J28" s="47">
        <v>3</v>
      </c>
      <c r="K28" s="43">
        <f>IF(B28="","",(0.8*$V$29)/((0.8+(B28*$V$29)/100)))</f>
        <v>1.5597984034138983</v>
      </c>
      <c r="L28" s="48">
        <f>IF(B28="","",$V$29/(1+($V$29*B28/100)))</f>
        <v>1.699644036814931</v>
      </c>
      <c r="N28" s="49" t="s">
        <v>32</v>
      </c>
      <c r="O28" s="35"/>
      <c r="P28" s="50"/>
      <c r="Q28" s="49" t="s">
        <v>18</v>
      </c>
      <c r="R28" s="35"/>
      <c r="S28" s="50"/>
      <c r="T28" s="35"/>
      <c r="U28" s="35" t="s">
        <v>36</v>
      </c>
      <c r="V28" s="35"/>
      <c r="W28" s="35"/>
      <c r="X28" s="35" t="s">
        <v>37</v>
      </c>
      <c r="Y28" s="50"/>
      <c r="Z28" s="12"/>
    </row>
    <row r="29" spans="1:26" ht="15.75" customHeight="1" x14ac:dyDescent="0.25">
      <c r="A29" s="39"/>
      <c r="B29" s="131">
        <v>24.5</v>
      </c>
      <c r="C29" s="132"/>
      <c r="D29" s="132"/>
      <c r="E29" s="132"/>
      <c r="F29" s="132"/>
      <c r="G29" s="133"/>
      <c r="H29" s="126">
        <v>1.5469999999999999</v>
      </c>
      <c r="I29" s="127"/>
      <c r="J29" s="51">
        <v>1</v>
      </c>
      <c r="K29" s="52">
        <f>IF(B29="","",(0.8*$V$29)/((0.8+(B29*$V$29)/100)))</f>
        <v>1.4628255994479902</v>
      </c>
      <c r="L29" s="52">
        <f>IF(B29="","",$V$29/(1+($V$29*B29/100)))</f>
        <v>1.60679096559042</v>
      </c>
      <c r="N29" s="53"/>
      <c r="O29" s="54"/>
      <c r="P29" s="55"/>
      <c r="Q29" s="53"/>
      <c r="R29" s="54"/>
      <c r="S29" s="54"/>
      <c r="T29" s="53"/>
      <c r="U29" s="54" t="s">
        <v>38</v>
      </c>
      <c r="V29" s="149">
        <v>2.65</v>
      </c>
      <c r="W29" s="149"/>
      <c r="X29" s="54" t="s">
        <v>39</v>
      </c>
      <c r="Y29" s="56"/>
      <c r="Z29" s="12"/>
    </row>
    <row r="30" spans="1:26" ht="15.75" customHeight="1" x14ac:dyDescent="0.25">
      <c r="A30" s="39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Z30" s="12"/>
    </row>
    <row r="31" spans="1:26" ht="15.75" customHeight="1" x14ac:dyDescent="0.25">
      <c r="A31" s="39"/>
      <c r="E31" s="128" t="s">
        <v>34</v>
      </c>
      <c r="F31" s="128"/>
      <c r="G31" s="128"/>
      <c r="H31" s="183">
        <v>1.7709999999999999</v>
      </c>
      <c r="I31" s="183"/>
      <c r="J31" s="183"/>
      <c r="P31" s="95" t="s">
        <v>40</v>
      </c>
      <c r="Q31" s="177"/>
      <c r="R31" s="177"/>
      <c r="S31" s="178"/>
      <c r="T31" s="179" t="str">
        <f>IF(X26="","",H31/(1+X26/100*(H31/V29-1)))</f>
        <v/>
      </c>
      <c r="U31" s="180"/>
      <c r="V31" s="180"/>
      <c r="W31" s="181"/>
      <c r="Z31" s="12"/>
    </row>
    <row r="32" spans="1:26" ht="15.75" customHeight="1" x14ac:dyDescent="0.25">
      <c r="A32" s="39"/>
      <c r="E32" s="128" t="s">
        <v>46</v>
      </c>
      <c r="F32" s="128"/>
      <c r="G32" s="128"/>
      <c r="H32" s="182">
        <v>16.2</v>
      </c>
      <c r="I32" s="182"/>
      <c r="J32" s="182"/>
      <c r="P32" s="95" t="s">
        <v>41</v>
      </c>
      <c r="Q32" s="177"/>
      <c r="R32" s="177"/>
      <c r="S32" s="178"/>
      <c r="T32" s="179">
        <f>IF(H32&lt;&gt;"",H32-(X26/100*H32),"")</f>
        <v>16.2</v>
      </c>
      <c r="U32" s="180"/>
      <c r="V32" s="180"/>
      <c r="W32" s="181"/>
      <c r="Z32" s="12"/>
    </row>
    <row r="33" spans="1:26" ht="15.75" customHeight="1" x14ac:dyDescent="0.25">
      <c r="A33" s="39"/>
      <c r="E33" s="35"/>
      <c r="F33" s="35"/>
      <c r="G33" s="35"/>
      <c r="H33" s="35"/>
      <c r="I33" s="35"/>
      <c r="J33" s="35"/>
      <c r="P33" s="35"/>
      <c r="Q33" s="35"/>
      <c r="R33" s="35"/>
      <c r="S33" s="35"/>
      <c r="T33" s="35"/>
      <c r="U33" s="35"/>
      <c r="V33" s="35"/>
      <c r="W33" s="35"/>
      <c r="Z33" s="12"/>
    </row>
    <row r="34" spans="1:26" ht="15.75" customHeight="1" x14ac:dyDescent="0.25">
      <c r="A34" s="39"/>
      <c r="E34" s="57"/>
      <c r="F34" s="57"/>
      <c r="G34" s="57"/>
      <c r="H34" s="58"/>
      <c r="I34" s="58"/>
      <c r="J34" s="58"/>
      <c r="P34" s="59"/>
      <c r="Q34" s="60"/>
      <c r="R34" s="60"/>
      <c r="S34" s="60"/>
      <c r="T34" s="61"/>
      <c r="U34" s="62"/>
      <c r="V34" s="62"/>
      <c r="W34" s="62"/>
      <c r="Z34" s="12"/>
    </row>
    <row r="35" spans="1:26" ht="15.75" customHeight="1" x14ac:dyDescent="0.25">
      <c r="A35" s="39"/>
      <c r="E35" s="57"/>
      <c r="F35" s="57"/>
      <c r="G35" s="57"/>
      <c r="H35" s="63"/>
      <c r="I35" s="63"/>
      <c r="J35" s="63"/>
      <c r="P35" s="59"/>
      <c r="Q35" s="60"/>
      <c r="R35" s="60"/>
      <c r="S35" s="60"/>
      <c r="T35" s="61"/>
      <c r="U35" s="62"/>
      <c r="V35" s="62"/>
      <c r="W35" s="62"/>
      <c r="Z35" s="12"/>
    </row>
    <row r="36" spans="1:26" ht="15.75" customHeight="1" x14ac:dyDescent="0.25">
      <c r="A36" s="39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Z36" s="12"/>
    </row>
    <row r="37" spans="1:26" ht="15.75" customHeight="1" x14ac:dyDescent="0.25">
      <c r="A37" s="39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Z37" s="12"/>
    </row>
    <row r="38" spans="1:26" ht="15.75" customHeight="1" x14ac:dyDescent="0.25">
      <c r="A38" s="39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Z38" s="12"/>
    </row>
    <row r="39" spans="1:26" ht="15.75" customHeight="1" x14ac:dyDescent="0.25">
      <c r="A39" s="39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Z39" s="12"/>
    </row>
    <row r="40" spans="1:26" ht="15.75" customHeight="1" x14ac:dyDescent="0.25">
      <c r="A40" s="39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Z40" s="12"/>
    </row>
    <row r="41" spans="1:26" ht="15.75" customHeight="1" x14ac:dyDescent="0.25">
      <c r="A41" s="39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Z41" s="12"/>
    </row>
    <row r="42" spans="1:26" ht="15.75" customHeight="1" x14ac:dyDescent="0.25">
      <c r="A42" s="39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Z42" s="12"/>
    </row>
    <row r="43" spans="1:26" ht="15.75" customHeight="1" x14ac:dyDescent="0.25">
      <c r="A43" s="39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Z43" s="12"/>
    </row>
    <row r="44" spans="1:26" ht="15.75" customHeight="1" x14ac:dyDescent="0.25">
      <c r="A44" s="39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Z44" s="12"/>
    </row>
    <row r="45" spans="1:26" ht="15.75" customHeight="1" x14ac:dyDescent="0.25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Z45" s="12"/>
    </row>
    <row r="46" spans="1:26" ht="15.75" customHeight="1" x14ac:dyDescent="0.25">
      <c r="A46" s="39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Z46" s="12"/>
    </row>
    <row r="47" spans="1:26" ht="15.75" customHeight="1" x14ac:dyDescent="0.25">
      <c r="A47" s="39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64"/>
      <c r="Y47" s="64"/>
      <c r="Z47" s="65"/>
    </row>
    <row r="48" spans="1:26" ht="15.75" customHeight="1" x14ac:dyDescent="0.25">
      <c r="A48" s="39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6"/>
      <c r="S48" s="36"/>
      <c r="T48" s="36"/>
      <c r="U48" s="36"/>
      <c r="V48" s="36"/>
      <c r="W48" s="35"/>
      <c r="X48" s="18"/>
      <c r="Y48" s="18"/>
      <c r="Z48" s="27"/>
    </row>
    <row r="49" spans="1:26" ht="15.75" customHeight="1" x14ac:dyDescent="0.25">
      <c r="A49" s="39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18"/>
      <c r="Y49" s="18"/>
      <c r="Z49" s="27"/>
    </row>
    <row r="50" spans="1:26" ht="15.75" customHeight="1" x14ac:dyDescent="0.25">
      <c r="A50" s="39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18"/>
      <c r="Y50" s="18"/>
      <c r="Z50" s="27"/>
    </row>
    <row r="51" spans="1:26" ht="15.75" customHeight="1" x14ac:dyDescent="0.25">
      <c r="A51" s="39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18"/>
      <c r="Y51" s="18"/>
      <c r="Z51" s="27"/>
    </row>
    <row r="52" spans="1:26" ht="15.75" customHeight="1" x14ac:dyDescent="0.25">
      <c r="A52" s="39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18"/>
      <c r="Y52" s="18"/>
      <c r="Z52" s="27"/>
    </row>
    <row r="53" spans="1:26" ht="15.75" customHeight="1" x14ac:dyDescent="0.25">
      <c r="A53" s="39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18"/>
      <c r="Y53" s="18"/>
      <c r="Z53" s="27"/>
    </row>
    <row r="54" spans="1:26" ht="15.75" customHeight="1" x14ac:dyDescent="0.25">
      <c r="A54" s="39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18"/>
      <c r="Y54" s="18"/>
      <c r="Z54" s="27"/>
    </row>
    <row r="55" spans="1:26" ht="15.75" customHeight="1" x14ac:dyDescent="0.25">
      <c r="A55" s="39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66"/>
      <c r="U55" s="67"/>
      <c r="V55" s="66"/>
      <c r="W55" s="35"/>
      <c r="X55" s="18"/>
      <c r="Y55" s="18"/>
      <c r="Z55" s="27"/>
    </row>
    <row r="56" spans="1:26" ht="15.75" customHeight="1" x14ac:dyDescent="0.25">
      <c r="A56" s="39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66"/>
      <c r="U56" s="67"/>
      <c r="V56" s="35"/>
      <c r="W56" s="35"/>
      <c r="X56" s="18"/>
      <c r="Y56" s="18"/>
      <c r="Z56" s="27"/>
    </row>
    <row r="57" spans="1:26" ht="15.75" customHeight="1" x14ac:dyDescent="0.25">
      <c r="A57" s="39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8"/>
      <c r="V57" s="35"/>
      <c r="W57" s="35"/>
      <c r="X57" s="18"/>
      <c r="Y57" s="18"/>
      <c r="Z57" s="27"/>
    </row>
    <row r="58" spans="1:26" ht="15.75" customHeight="1" x14ac:dyDescent="0.25">
      <c r="A58" s="39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8"/>
      <c r="V58" s="35"/>
      <c r="W58" s="35"/>
      <c r="X58" s="18"/>
      <c r="Y58" s="18"/>
      <c r="Z58" s="27"/>
    </row>
    <row r="59" spans="1:26" ht="15.75" customHeight="1" x14ac:dyDescent="0.25">
      <c r="A59" s="39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8"/>
      <c r="V59" s="35"/>
      <c r="W59" s="35"/>
      <c r="X59" s="18"/>
      <c r="Y59" s="18"/>
      <c r="Z59" s="27"/>
    </row>
    <row r="60" spans="1:26" ht="15.75" customHeight="1" x14ac:dyDescent="0.25">
      <c r="A60" s="39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4"/>
      <c r="V60" s="35"/>
      <c r="W60" s="35"/>
      <c r="X60" s="18"/>
      <c r="Y60" s="18"/>
      <c r="Z60" s="27"/>
    </row>
    <row r="61" spans="1:26" ht="15.75" customHeight="1" x14ac:dyDescent="0.25">
      <c r="A61" s="69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70"/>
      <c r="Y61" s="70"/>
      <c r="Z61" s="71"/>
    </row>
    <row r="62" spans="1:26" ht="15.75" customHeight="1" x14ac:dyDescent="0.25">
      <c r="A62" s="39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67"/>
      <c r="T62" s="35"/>
      <c r="U62" s="35"/>
      <c r="V62" s="35"/>
      <c r="W62" s="35"/>
    </row>
    <row r="63" spans="1:26" ht="15.6" customHeight="1" x14ac:dyDescent="0.25">
      <c r="A63" s="72" t="s">
        <v>50</v>
      </c>
      <c r="B63" s="73" t="s">
        <v>28</v>
      </c>
      <c r="C63" s="74"/>
      <c r="D63" s="74"/>
      <c r="E63" s="74"/>
      <c r="F63" s="75"/>
      <c r="G63" s="75"/>
      <c r="H63" s="75"/>
      <c r="I63" s="7"/>
      <c r="J63" s="7"/>
      <c r="K63" s="7"/>
      <c r="L63" s="7"/>
      <c r="M63" s="7"/>
      <c r="N63" s="7"/>
      <c r="O63" s="7"/>
      <c r="P63" s="7"/>
      <c r="Q63" s="75"/>
      <c r="R63" s="7"/>
      <c r="S63" s="7"/>
      <c r="T63" s="7"/>
      <c r="U63" s="169"/>
      <c r="V63" s="169"/>
      <c r="W63" s="169"/>
      <c r="X63" s="170"/>
      <c r="Y63" s="170"/>
      <c r="Z63" s="171"/>
    </row>
    <row r="64" spans="1:26" ht="26.4" customHeight="1" x14ac:dyDescent="0.25">
      <c r="A64" s="88" t="s">
        <v>52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90"/>
      <c r="R64" s="156" t="s">
        <v>26</v>
      </c>
      <c r="S64" s="157"/>
      <c r="T64" s="158"/>
      <c r="U64" s="201" t="s">
        <v>60</v>
      </c>
      <c r="V64" s="202"/>
      <c r="W64" s="202"/>
      <c r="X64" s="202"/>
      <c r="Y64" s="202"/>
      <c r="Z64" s="203"/>
    </row>
    <row r="65" spans="1:26" ht="26.4" customHeight="1" x14ac:dyDescent="0.25">
      <c r="A65" s="91" t="s">
        <v>59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3"/>
      <c r="R65" s="156"/>
      <c r="S65" s="157"/>
      <c r="T65" s="158"/>
      <c r="U65" s="162" t="s">
        <v>61</v>
      </c>
      <c r="V65" s="163"/>
      <c r="W65" s="163"/>
      <c r="X65" s="94"/>
      <c r="Y65" s="94"/>
      <c r="Z65" s="164"/>
    </row>
    <row r="66" spans="1:26" ht="15.6" customHeight="1" x14ac:dyDescent="0.25">
      <c r="A66" s="76" t="s">
        <v>51</v>
      </c>
      <c r="B66" s="77" t="s">
        <v>8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9"/>
      <c r="R66" s="156"/>
      <c r="S66" s="157"/>
      <c r="T66" s="158"/>
      <c r="U66" s="165"/>
      <c r="V66" s="166"/>
      <c r="W66" s="166"/>
      <c r="X66" s="167"/>
      <c r="Y66" s="167"/>
      <c r="Z66" s="168"/>
    </row>
    <row r="67" spans="1:26" ht="15.6" customHeight="1" x14ac:dyDescent="0.25">
      <c r="A67" s="150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2"/>
      <c r="R67" s="156" t="s">
        <v>27</v>
      </c>
      <c r="S67" s="157"/>
      <c r="T67" s="158"/>
      <c r="U67" s="80"/>
      <c r="V67" s="81"/>
      <c r="W67" s="81"/>
      <c r="X67" s="81"/>
      <c r="Y67" s="81"/>
      <c r="Z67" s="82"/>
    </row>
    <row r="68" spans="1:26" ht="15.6" customHeight="1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2"/>
      <c r="R68" s="156"/>
      <c r="S68" s="157"/>
      <c r="T68" s="158"/>
      <c r="U68" s="83"/>
      <c r="V68" s="94"/>
      <c r="W68" s="94"/>
      <c r="X68" s="94"/>
      <c r="Y68" s="94"/>
      <c r="Z68" s="84"/>
    </row>
    <row r="69" spans="1:26" ht="15.6" customHeight="1" x14ac:dyDescent="0.25">
      <c r="A69" s="150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2"/>
      <c r="R69" s="156"/>
      <c r="S69" s="157"/>
      <c r="T69" s="158"/>
      <c r="U69" s="83"/>
      <c r="V69" s="94"/>
      <c r="W69" s="94"/>
      <c r="X69" s="94"/>
      <c r="Y69" s="94"/>
      <c r="Z69" s="84"/>
    </row>
    <row r="70" spans="1:26" ht="15.6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85"/>
      <c r="V70" s="86"/>
      <c r="W70" s="86"/>
      <c r="X70" s="86"/>
      <c r="Y70" s="86"/>
      <c r="Z70" s="87"/>
    </row>
  </sheetData>
  <sheetProtection selectLockedCells="1"/>
  <mergeCells count="73">
    <mergeCell ref="U63:Z63"/>
    <mergeCell ref="B24:G24"/>
    <mergeCell ref="B25:G25"/>
    <mergeCell ref="B26:G26"/>
    <mergeCell ref="Q24:S24"/>
    <mergeCell ref="T24:W24"/>
    <mergeCell ref="P32:S32"/>
    <mergeCell ref="T32:W32"/>
    <mergeCell ref="P31:S31"/>
    <mergeCell ref="T31:W31"/>
    <mergeCell ref="E32:G32"/>
    <mergeCell ref="H32:J32"/>
    <mergeCell ref="H31:J31"/>
    <mergeCell ref="A67:Q70"/>
    <mergeCell ref="R67:T70"/>
    <mergeCell ref="R65:T66"/>
    <mergeCell ref="U65:Z66"/>
    <mergeCell ref="R64:T64"/>
    <mergeCell ref="U64:Z64"/>
    <mergeCell ref="H27:I27"/>
    <mergeCell ref="H28:I28"/>
    <mergeCell ref="H29:I29"/>
    <mergeCell ref="E31:G31"/>
    <mergeCell ref="X24:Y24"/>
    <mergeCell ref="B29:G29"/>
    <mergeCell ref="H25:I25"/>
    <mergeCell ref="H26:I26"/>
    <mergeCell ref="H24:I24"/>
    <mergeCell ref="B27:G27"/>
    <mergeCell ref="B28:G28"/>
    <mergeCell ref="X25:Y25"/>
    <mergeCell ref="X26:Y26"/>
    <mergeCell ref="T25:W25"/>
    <mergeCell ref="T26:W26"/>
    <mergeCell ref="V29:W29"/>
    <mergeCell ref="J5:K5"/>
    <mergeCell ref="B12:G12"/>
    <mergeCell ref="L5:O5"/>
    <mergeCell ref="P5:T5"/>
    <mergeCell ref="J6:K6"/>
    <mergeCell ref="L6:O6"/>
    <mergeCell ref="S12:Y12"/>
    <mergeCell ref="H10:M10"/>
    <mergeCell ref="N10:U10"/>
    <mergeCell ref="N12:R12"/>
    <mergeCell ref="N11:R11"/>
    <mergeCell ref="H11:M11"/>
    <mergeCell ref="S11:Y11"/>
    <mergeCell ref="I19:Y19"/>
    <mergeCell ref="B19:H19"/>
    <mergeCell ref="B10:G10"/>
    <mergeCell ref="B18:H18"/>
    <mergeCell ref="B13:G13"/>
    <mergeCell ref="B11:G11"/>
    <mergeCell ref="S13:Y13"/>
    <mergeCell ref="N13:R13"/>
    <mergeCell ref="H13:M13"/>
    <mergeCell ref="A64:Q64"/>
    <mergeCell ref="A65:Q65"/>
    <mergeCell ref="V68:Y69"/>
    <mergeCell ref="N24:P24"/>
    <mergeCell ref="P6:T6"/>
    <mergeCell ref="A7:F7"/>
    <mergeCell ref="G7:Z7"/>
    <mergeCell ref="A1:F6"/>
    <mergeCell ref="G1:T1"/>
    <mergeCell ref="U1:Z6"/>
    <mergeCell ref="G2:T4"/>
    <mergeCell ref="G5:H5"/>
    <mergeCell ref="H12:M12"/>
    <mergeCell ref="I18:Y18"/>
    <mergeCell ref="V10:W10"/>
    <mergeCell ref="X10:Y10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71" orientation="portrait" r:id="rId1"/>
  <headerFooter alignWithMargins="0">
    <oddFooter>&amp;RDG-Q / CRE PR du 06/04/2011</oddFooter>
  </headerFooter>
  <drawing r:id="rId2"/>
  <legacyDrawing r:id="rId3"/>
  <controls>
    <mc:AlternateContent xmlns:mc="http://schemas.openxmlformats.org/markup-compatibility/2006">
      <mc:Choice Requires="x14">
        <control shapeId="6171" r:id="rId4" name="CommandButton1">
          <controlPr defaultSize="0" autoLine="0" r:id="rId5">
            <anchor moveWithCells="1">
              <from>
                <xdr:col>26</xdr:col>
                <xdr:colOff>518160</xdr:colOff>
                <xdr:row>66</xdr:row>
                <xdr:rowOff>175260</xdr:rowOff>
              </from>
              <to>
                <xdr:col>28</xdr:col>
                <xdr:colOff>495300</xdr:colOff>
                <xdr:row>69</xdr:row>
                <xdr:rowOff>22860</xdr:rowOff>
              </to>
            </anchor>
          </controlPr>
        </control>
      </mc:Choice>
      <mc:Fallback>
        <control shapeId="6171" r:id="rId4" name="CommandButton1"/>
      </mc:Fallback>
    </mc:AlternateContent>
    <mc:AlternateContent xmlns:mc="http://schemas.openxmlformats.org/markup-compatibility/2006">
      <mc:Choice Requires="x14">
        <control shapeId="6163" r:id="rId6" name="Check Box 19">
          <controlPr locked="0" defaultSize="0" autoFill="0" autoLine="0" autoPict="0">
            <anchor moveWithCells="1">
              <from>
                <xdr:col>15</xdr:col>
                <xdr:colOff>68580</xdr:colOff>
                <xdr:row>24</xdr:row>
                <xdr:rowOff>182880</xdr:rowOff>
              </from>
              <to>
                <xdr:col>16</xdr:col>
                <xdr:colOff>30480</xdr:colOff>
                <xdr:row>26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6166" r:id="rId7" name="Check Box 22">
          <controlPr locked="0" defaultSize="0" autoFill="0" autoLine="0" autoPict="0">
            <anchor moveWithCells="1">
              <from>
                <xdr:col>15</xdr:col>
                <xdr:colOff>68580</xdr:colOff>
                <xdr:row>26</xdr:row>
                <xdr:rowOff>182880</xdr:rowOff>
              </from>
              <to>
                <xdr:col>16</xdr:col>
                <xdr:colOff>30480</xdr:colOff>
                <xdr:row>28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6167" r:id="rId8" name="Check Box 23">
          <controlPr locked="0" defaultSize="0" autoFill="0" autoLine="0" autoPict="0">
            <anchor moveWithCells="1">
              <from>
                <xdr:col>18</xdr:col>
                <xdr:colOff>68580</xdr:colOff>
                <xdr:row>24</xdr:row>
                <xdr:rowOff>182880</xdr:rowOff>
              </from>
              <to>
                <xdr:col>19</xdr:col>
                <xdr:colOff>30480</xdr:colOff>
                <xdr:row>26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6168" r:id="rId9" name="Check Box 24">
          <controlPr locked="0" defaultSize="0" autoFill="0" autoLine="0" autoPict="0">
            <anchor moveWithCells="1">
              <from>
                <xdr:col>18</xdr:col>
                <xdr:colOff>68580</xdr:colOff>
                <xdr:row>26</xdr:row>
                <xdr:rowOff>182880</xdr:rowOff>
              </from>
              <to>
                <xdr:col>19</xdr:col>
                <xdr:colOff>30480</xdr:colOff>
                <xdr:row>28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6169" r:id="rId10" name="Check Box 25">
          <controlPr locked="0" defaultSize="0" autoFill="0" autoLine="0" autoPict="0">
            <anchor moveWithCells="1">
              <from>
                <xdr:col>22</xdr:col>
                <xdr:colOff>68580</xdr:colOff>
                <xdr:row>26</xdr:row>
                <xdr:rowOff>182880</xdr:rowOff>
              </from>
              <to>
                <xdr:col>23</xdr:col>
                <xdr:colOff>30480</xdr:colOff>
                <xdr:row>28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6170" r:id="rId11" name="Check Box 26">
          <controlPr locked="0" defaultSize="0" autoFill="0" autoLine="0" autoPict="0">
            <anchor moveWithCells="1">
              <from>
                <xdr:col>19</xdr:col>
                <xdr:colOff>68580</xdr:colOff>
                <xdr:row>26</xdr:row>
                <xdr:rowOff>182880</xdr:rowOff>
              </from>
              <to>
                <xdr:col>20</xdr:col>
                <xdr:colOff>30480</xdr:colOff>
                <xdr:row>28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A4</vt:lpstr>
      <vt:lpstr>'A4'!Zone_d_impression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2016-11-24T14:22:48Z</cp:lastPrinted>
  <dcterms:created xsi:type="dcterms:W3CDTF">2004-11-13T18:13:05Z</dcterms:created>
  <dcterms:modified xsi:type="dcterms:W3CDTF">2025-03-31T09:44:28Z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