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6\69\RA O92C  Lyon 8 - Réaménagement Av. Frères Lumière\"/>
    </mc:Choice>
  </mc:AlternateContent>
  <xr:revisionPtr revIDLastSave="0" documentId="13_ncr:1_{5EFF5A25-53DD-4AEB-8AAE-DD4D615DA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1" l="1"/>
  <c r="M60" i="1"/>
  <c r="R59" i="1"/>
  <c r="S59" i="1" s="1"/>
  <c r="M59" i="1"/>
  <c r="R57" i="1"/>
  <c r="M57" i="1"/>
  <c r="R56" i="1"/>
  <c r="M56" i="1"/>
  <c r="R54" i="1"/>
  <c r="M54" i="1"/>
  <c r="R53" i="1"/>
  <c r="M53" i="1"/>
  <c r="N53" i="1" s="1"/>
  <c r="R51" i="1"/>
  <c r="M51" i="1"/>
  <c r="R50" i="1"/>
  <c r="M50" i="1"/>
  <c r="R48" i="1"/>
  <c r="M48" i="1"/>
  <c r="R47" i="1"/>
  <c r="M47" i="1"/>
  <c r="R45" i="1"/>
  <c r="M45" i="1"/>
  <c r="R44" i="1"/>
  <c r="M44" i="1"/>
  <c r="R40" i="1"/>
  <c r="S40" i="1" s="1"/>
  <c r="T40" i="1" s="1"/>
  <c r="M40" i="1"/>
  <c r="N40" i="1" s="1"/>
  <c r="R38" i="1"/>
  <c r="M38" i="1"/>
  <c r="V37" i="1"/>
  <c r="R37" i="1"/>
  <c r="M37" i="1"/>
  <c r="R36" i="1"/>
  <c r="M36" i="1"/>
  <c r="R34" i="1"/>
  <c r="M34" i="1"/>
  <c r="R33" i="1"/>
  <c r="M33" i="1"/>
  <c r="R32" i="1"/>
  <c r="R31" i="1"/>
  <c r="M31" i="1"/>
  <c r="R29" i="1"/>
  <c r="M29" i="1"/>
  <c r="V28" i="1"/>
  <c r="R28" i="1"/>
  <c r="M28" i="1"/>
  <c r="R26" i="1"/>
  <c r="M26" i="1"/>
  <c r="R25" i="1"/>
  <c r="M25" i="1"/>
  <c r="R23" i="1"/>
  <c r="M23" i="1"/>
  <c r="R22" i="1"/>
  <c r="M22" i="1"/>
  <c r="R20" i="1"/>
  <c r="M20" i="1"/>
  <c r="V19" i="1"/>
  <c r="R19" i="1"/>
  <c r="M19" i="1"/>
  <c r="F19" i="1"/>
  <c r="R18" i="1"/>
  <c r="M18" i="1"/>
  <c r="F18" i="1"/>
  <c r="R16" i="1"/>
  <c r="M16" i="1"/>
  <c r="R15" i="1"/>
  <c r="M15" i="1"/>
  <c r="R14" i="1"/>
  <c r="M14" i="1"/>
  <c r="F14" i="1"/>
  <c r="R12" i="1"/>
  <c r="M12" i="1"/>
  <c r="V11" i="1"/>
  <c r="R11" i="1"/>
  <c r="M11" i="1"/>
  <c r="F11" i="1"/>
  <c r="R10" i="1"/>
  <c r="M10" i="1"/>
  <c r="F10" i="1"/>
  <c r="R8" i="1"/>
  <c r="M8" i="1"/>
  <c r="V7" i="1"/>
  <c r="R7" i="1"/>
  <c r="M7" i="1"/>
  <c r="F7" i="1"/>
  <c r="R6" i="1"/>
  <c r="M6" i="1"/>
  <c r="F6" i="1"/>
  <c r="N59" i="1" l="1"/>
  <c r="N56" i="1"/>
  <c r="S56" i="1"/>
  <c r="S53" i="1"/>
  <c r="N47" i="1"/>
  <c r="N50" i="1"/>
  <c r="S47" i="1"/>
  <c r="S50" i="1"/>
  <c r="S44" i="1"/>
  <c r="N44" i="1"/>
  <c r="T12" i="1"/>
  <c r="N31" i="1"/>
  <c r="S31" i="1"/>
  <c r="T31" i="1" s="1"/>
  <c r="T19" i="1"/>
  <c r="N22" i="1"/>
  <c r="T7" i="1"/>
  <c r="N14" i="1"/>
  <c r="S6" i="1"/>
  <c r="T6" i="1" s="1"/>
  <c r="N6" i="1"/>
  <c r="T38" i="1"/>
  <c r="S22" i="1"/>
  <c r="T22" i="1" s="1"/>
  <c r="T34" i="1"/>
  <c r="N36" i="1"/>
  <c r="T37" i="1"/>
  <c r="N28" i="1"/>
  <c r="T8" i="1"/>
  <c r="N25" i="1"/>
  <c r="S36" i="1"/>
  <c r="T36" i="1" s="1"/>
  <c r="T15" i="1"/>
  <c r="S25" i="1"/>
  <c r="T25" i="1" s="1"/>
  <c r="T16" i="1"/>
  <c r="S10" i="1"/>
  <c r="T10" i="1" s="1"/>
  <c r="T23" i="1"/>
  <c r="T20" i="1"/>
  <c r="T29" i="1"/>
  <c r="S14" i="1"/>
  <c r="T14" i="1" s="1"/>
  <c r="N10" i="1"/>
  <c r="N18" i="1"/>
  <c r="T26" i="1"/>
  <c r="S28" i="1"/>
  <c r="T28" i="1" s="1"/>
  <c r="S18" i="1"/>
  <c r="T18" i="1" s="1"/>
  <c r="T11" i="1"/>
</calcChain>
</file>

<file path=xl/sharedStrings.xml><?xml version="1.0" encoding="utf-8"?>
<sst xmlns="http://schemas.openxmlformats.org/spreadsheetml/2006/main" count="126" uniqueCount="45">
  <si>
    <t>FRL - Tableau synthèse hydraulique - 19/05/2025</t>
  </si>
  <si>
    <t>Ouvrage dimensionnement LOT 1</t>
  </si>
  <si>
    <t xml:space="preserve">Données du sol </t>
  </si>
  <si>
    <t>DCE</t>
  </si>
  <si>
    <t>Réel</t>
  </si>
  <si>
    <t>Ouvrage dimensionnement LOT 3</t>
  </si>
  <si>
    <t xml:space="preserve">Séquence </t>
  </si>
  <si>
    <t xml:space="preserve">Bassin versant </t>
  </si>
  <si>
    <t>Permabilité de dimensionnement DCE</t>
  </si>
  <si>
    <t xml:space="preserve">Perméabilité mesurée </t>
  </si>
  <si>
    <t>Redimensionné ou dimensions DCE</t>
  </si>
  <si>
    <t>Ouvrage</t>
  </si>
  <si>
    <t xml:space="preserve">Indice de vide </t>
  </si>
  <si>
    <t>Volume d'eau à retenir (en m3)</t>
  </si>
  <si>
    <t>Longueur (m)</t>
  </si>
  <si>
    <t>Largeur (m)</t>
  </si>
  <si>
    <t>Hauteur (m)</t>
  </si>
  <si>
    <t>Volume utile (m3)</t>
  </si>
  <si>
    <t>Volume d'eau retenu (m3)</t>
  </si>
  <si>
    <t>S1A</t>
  </si>
  <si>
    <t>BV 33</t>
  </si>
  <si>
    <t xml:space="preserve">TI </t>
  </si>
  <si>
    <t>TS</t>
  </si>
  <si>
    <t>Noue</t>
  </si>
  <si>
    <t>BV 31</t>
  </si>
  <si>
    <t>BV 29</t>
  </si>
  <si>
    <t>BV 27</t>
  </si>
  <si>
    <t>BV 43 - amont</t>
  </si>
  <si>
    <t>S1B</t>
  </si>
  <si>
    <t>BV 34</t>
  </si>
  <si>
    <t>BV 32 - amont</t>
  </si>
  <si>
    <t xml:space="preserve">TS </t>
  </si>
  <si>
    <t>BV 32 - aval</t>
  </si>
  <si>
    <t>BV 30</t>
  </si>
  <si>
    <t xml:space="preserve">BV 28-amont </t>
  </si>
  <si>
    <t>TI</t>
  </si>
  <si>
    <t>BV 25</t>
  </si>
  <si>
    <t>BV 43-01</t>
  </si>
  <si>
    <t>BV 43</t>
  </si>
  <si>
    <t>BV 23-02</t>
  </si>
  <si>
    <t>BV 23-01</t>
  </si>
  <si>
    <t>BV 21</t>
  </si>
  <si>
    <t>BV 19</t>
  </si>
  <si>
    <t>BV 17</t>
  </si>
  <si>
    <t>BV 13+15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</si>
</sst>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indexed="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5" fillId="0" borderId="0" xfId="0" applyFont="1"/>
    <xf numFmtId="0" fontId="0" fillId="2" borderId="0" xfId="0" applyFill="1"/>
    <xf numFmtId="0" fontId="0" fillId="3" borderId="0" xfId="0" applyFill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5" borderId="0" xfId="0" applyFill="1"/>
    <xf numFmtId="164" fontId="0" fillId="0" borderId="0" xfId="0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4" fontId="0" fillId="0" borderId="0" xfId="0" applyNumberFormat="1"/>
    <xf numFmtId="0" fontId="0" fillId="7" borderId="0" xfId="0" applyFill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/>
    <xf numFmtId="164" fontId="0" fillId="7" borderId="0" xfId="0" applyNumberFormat="1" applyFill="1"/>
    <xf numFmtId="0" fontId="0" fillId="6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1" fontId="0" fillId="0" borderId="3" xfId="0" applyNumberFormat="1" applyBorder="1" applyAlignment="1">
      <alignment horizontal="center"/>
    </xf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11" fontId="0" fillId="0" borderId="21" xfId="0" applyNumberFormat="1" applyBorder="1" applyAlignment="1">
      <alignment horizontal="center" vertical="center"/>
    </xf>
    <xf numFmtId="11" fontId="0" fillId="0" borderId="21" xfId="0" applyNumberFormat="1" applyBorder="1" applyAlignment="1">
      <alignment horizontal="center"/>
    </xf>
    <xf numFmtId="0" fontId="0" fillId="0" borderId="21" xfId="0" applyBorder="1"/>
    <xf numFmtId="9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/>
    </xf>
    <xf numFmtId="0" fontId="0" fillId="2" borderId="21" xfId="0" applyFill="1" applyBorder="1" applyAlignment="1">
      <alignment horizontal="center"/>
    </xf>
    <xf numFmtId="2" fontId="0" fillId="2" borderId="21" xfId="0" applyNumberFormat="1" applyFill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11" fontId="0" fillId="6" borderId="15" xfId="0" applyNumberForma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1" fontId="0" fillId="8" borderId="3" xfId="0" applyNumberForma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11" fontId="0" fillId="8" borderId="24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0" fillId="4" borderId="18" xfId="0" applyNumberFormat="1" applyFill="1" applyBorder="1" applyAlignment="1">
      <alignment horizontal="center" vertical="center"/>
    </xf>
    <xf numFmtId="2" fontId="0" fillId="4" borderId="19" xfId="0" applyNumberFormat="1" applyFill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tabSelected="1" zoomScale="69" workbookViewId="0">
      <pane ySplit="5" topLeftCell="A44" activePane="bottomLeft" state="frozen"/>
      <selection pane="bottomLeft" activeCell="M66" sqref="M66"/>
    </sheetView>
  </sheetViews>
  <sheetFormatPr baseColWidth="10" defaultRowHeight="14.4" x14ac:dyDescent="0.3"/>
  <cols>
    <col min="3" max="3" width="15.88671875" customWidth="1"/>
    <col min="4" max="6" width="21.77734375" customWidth="1"/>
    <col min="7" max="7" width="17.77734375" customWidth="1"/>
    <col min="9" max="9" width="15.5546875" customWidth="1"/>
  </cols>
  <sheetData>
    <row r="1" spans="1:24" ht="15.6" x14ac:dyDescent="0.3">
      <c r="A1" s="1" t="s">
        <v>0</v>
      </c>
    </row>
    <row r="3" spans="1:24" x14ac:dyDescent="0.3">
      <c r="W3" s="2"/>
      <c r="X3" t="s">
        <v>1</v>
      </c>
    </row>
    <row r="4" spans="1:24" x14ac:dyDescent="0.3">
      <c r="D4" s="98" t="s">
        <v>2</v>
      </c>
      <c r="E4" s="98"/>
      <c r="F4" s="98"/>
      <c r="J4" s="99" t="s">
        <v>3</v>
      </c>
      <c r="K4" s="100"/>
      <c r="L4" s="100"/>
      <c r="M4" s="100"/>
      <c r="N4" s="101"/>
      <c r="O4" s="99" t="s">
        <v>4</v>
      </c>
      <c r="P4" s="100"/>
      <c r="Q4" s="100"/>
      <c r="R4" s="100"/>
      <c r="S4" s="101"/>
      <c r="W4" s="3"/>
      <c r="X4" t="s">
        <v>5</v>
      </c>
    </row>
    <row r="5" spans="1:24" ht="43.2" x14ac:dyDescent="0.3"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5" t="s">
        <v>13</v>
      </c>
      <c r="J5" s="6" t="s">
        <v>14</v>
      </c>
      <c r="K5" s="4" t="s">
        <v>15</v>
      </c>
      <c r="L5" s="4" t="s">
        <v>16</v>
      </c>
      <c r="M5" s="4" t="s">
        <v>17</v>
      </c>
      <c r="N5" s="7" t="s">
        <v>18</v>
      </c>
      <c r="O5" s="6" t="s">
        <v>14</v>
      </c>
      <c r="P5" s="4" t="s">
        <v>15</v>
      </c>
      <c r="Q5" s="4" t="s">
        <v>16</v>
      </c>
      <c r="R5" s="4" t="s">
        <v>17</v>
      </c>
      <c r="S5" s="7" t="s">
        <v>18</v>
      </c>
    </row>
    <row r="6" spans="1:24" x14ac:dyDescent="0.3">
      <c r="B6" s="8" t="s">
        <v>19</v>
      </c>
      <c r="C6" s="9" t="s">
        <v>20</v>
      </c>
      <c r="D6" s="10">
        <v>1.1E-5</v>
      </c>
      <c r="E6" s="10">
        <v>4.7800000000000003E-5</v>
      </c>
      <c r="F6" s="10" t="str">
        <f t="shared" ref="F6:F19" si="0">IF(E6&gt;=D6,"non","oui")</f>
        <v>non</v>
      </c>
      <c r="G6" s="9" t="s">
        <v>21</v>
      </c>
      <c r="H6" s="11">
        <v>0.35</v>
      </c>
      <c r="I6" s="89">
        <v>11.5</v>
      </c>
      <c r="J6" s="8">
        <v>5.5</v>
      </c>
      <c r="K6" s="9">
        <v>2</v>
      </c>
      <c r="L6" s="9">
        <v>1</v>
      </c>
      <c r="M6" s="12">
        <f t="shared" ref="M6:M7" si="1">J6*K6*L6*H6</f>
        <v>3.8499999999999996</v>
      </c>
      <c r="N6" s="78">
        <f>M6+M7+M8</f>
        <v>12.275</v>
      </c>
      <c r="O6" s="13">
        <v>5.5</v>
      </c>
      <c r="P6" s="14">
        <v>2</v>
      </c>
      <c r="Q6" s="14">
        <v>1</v>
      </c>
      <c r="R6" s="15">
        <f t="shared" ref="R6:R40" si="2">O6*P6*Q6*H6</f>
        <v>3.8499999999999996</v>
      </c>
      <c r="S6" s="78">
        <f>R6+R7+R8</f>
        <v>12.275</v>
      </c>
      <c r="T6" s="94" t="str">
        <f>IF(S6&gt;=I6,"OK","NON")</f>
        <v>OK</v>
      </c>
    </row>
    <row r="7" spans="1:24" x14ac:dyDescent="0.3">
      <c r="B7" s="16" t="s">
        <v>19</v>
      </c>
      <c r="C7" s="17" t="s">
        <v>20</v>
      </c>
      <c r="D7" s="18">
        <v>1.1E-5</v>
      </c>
      <c r="E7" s="18">
        <v>1.7E-5</v>
      </c>
      <c r="F7" s="18" t="str">
        <f t="shared" si="0"/>
        <v>non</v>
      </c>
      <c r="G7" s="17" t="s">
        <v>22</v>
      </c>
      <c r="H7" s="19">
        <v>0.15</v>
      </c>
      <c r="I7" s="97"/>
      <c r="J7" s="16">
        <v>6</v>
      </c>
      <c r="K7" s="17">
        <v>2.5</v>
      </c>
      <c r="L7" s="17">
        <v>0.9</v>
      </c>
      <c r="M7" s="20">
        <f t="shared" si="1"/>
        <v>2.0249999999999999</v>
      </c>
      <c r="N7" s="83"/>
      <c r="O7" s="21">
        <v>6</v>
      </c>
      <c r="P7" s="22">
        <v>2.5</v>
      </c>
      <c r="Q7" s="22">
        <v>0.9</v>
      </c>
      <c r="R7" s="23">
        <f t="shared" si="2"/>
        <v>2.0249999999999999</v>
      </c>
      <c r="S7" s="83"/>
      <c r="T7" s="95" t="str">
        <f t="shared" ref="T7:T38" si="3">IF(R7&gt;=M7,"OK","NON")</f>
        <v>OK</v>
      </c>
      <c r="U7" s="24"/>
      <c r="V7" s="25">
        <f>O7*P7</f>
        <v>15</v>
      </c>
    </row>
    <row r="8" spans="1:24" x14ac:dyDescent="0.3">
      <c r="B8" s="26" t="s">
        <v>19</v>
      </c>
      <c r="C8" s="27" t="s">
        <v>20</v>
      </c>
      <c r="D8" s="28"/>
      <c r="E8" s="28"/>
      <c r="F8" s="28"/>
      <c r="G8" s="27" t="s">
        <v>23</v>
      </c>
      <c r="H8" s="29">
        <v>0</v>
      </c>
      <c r="I8" s="90"/>
      <c r="J8" s="26">
        <v>25.6</v>
      </c>
      <c r="K8" s="27">
        <v>2.5</v>
      </c>
      <c r="L8" s="27">
        <v>0.2</v>
      </c>
      <c r="M8" s="30">
        <f>J8*K8*0.1</f>
        <v>6.4</v>
      </c>
      <c r="N8" s="79"/>
      <c r="O8" s="26">
        <v>25.6</v>
      </c>
      <c r="P8" s="27">
        <v>2.5</v>
      </c>
      <c r="Q8" s="27">
        <v>0.2</v>
      </c>
      <c r="R8" s="30">
        <f>O8*P8*0.1</f>
        <v>6.4</v>
      </c>
      <c r="S8" s="79"/>
      <c r="T8" s="96" t="str">
        <f t="shared" si="3"/>
        <v>OK</v>
      </c>
      <c r="V8" s="31"/>
    </row>
    <row r="9" spans="1:24" x14ac:dyDescent="0.3">
      <c r="B9" s="32"/>
      <c r="C9" s="32"/>
      <c r="D9" s="32"/>
      <c r="E9" s="32"/>
      <c r="F9" s="32"/>
      <c r="G9" s="32"/>
      <c r="H9" s="33"/>
      <c r="I9" s="34"/>
      <c r="J9" s="32"/>
      <c r="K9" s="32"/>
      <c r="L9" s="32"/>
      <c r="M9" s="34"/>
      <c r="N9" s="34"/>
      <c r="O9" s="32"/>
      <c r="P9" s="32"/>
      <c r="Q9" s="32"/>
      <c r="R9" s="34"/>
      <c r="S9" s="34"/>
      <c r="T9" s="34"/>
      <c r="V9" s="31"/>
    </row>
    <row r="10" spans="1:24" x14ac:dyDescent="0.3">
      <c r="B10" s="8" t="s">
        <v>19</v>
      </c>
      <c r="C10" s="9" t="s">
        <v>24</v>
      </c>
      <c r="D10" s="10">
        <v>1.5E-5</v>
      </c>
      <c r="E10" s="10">
        <v>6.8100000000000002E-5</v>
      </c>
      <c r="F10" s="9" t="str">
        <f t="shared" si="0"/>
        <v>non</v>
      </c>
      <c r="G10" s="9" t="s">
        <v>21</v>
      </c>
      <c r="H10" s="11">
        <v>0.35</v>
      </c>
      <c r="I10" s="89">
        <v>11.9</v>
      </c>
      <c r="J10" s="8">
        <v>6</v>
      </c>
      <c r="K10" s="9">
        <v>2.5</v>
      </c>
      <c r="L10" s="9">
        <v>1</v>
      </c>
      <c r="M10" s="12">
        <f t="shared" ref="M10:M40" si="4">J10*K10*L10*H10</f>
        <v>5.25</v>
      </c>
      <c r="N10" s="78">
        <f>M10+M11+M12</f>
        <v>12.8</v>
      </c>
      <c r="O10" s="13">
        <v>6.1</v>
      </c>
      <c r="P10" s="14">
        <v>2</v>
      </c>
      <c r="Q10" s="14">
        <v>0.9</v>
      </c>
      <c r="R10" s="15">
        <f t="shared" si="2"/>
        <v>3.843</v>
      </c>
      <c r="S10" s="78">
        <f>R10+R11+R12</f>
        <v>11.393000000000001</v>
      </c>
      <c r="T10" s="78" t="str">
        <f>IF(S10&gt;=I10,"OK","NON")</f>
        <v>NON</v>
      </c>
      <c r="V10" s="31"/>
    </row>
    <row r="11" spans="1:24" x14ac:dyDescent="0.3">
      <c r="B11" s="16" t="s">
        <v>19</v>
      </c>
      <c r="C11" s="17" t="s">
        <v>24</v>
      </c>
      <c r="D11" s="18">
        <v>1.5E-5</v>
      </c>
      <c r="E11" s="18">
        <v>5.5899999999999997E-5</v>
      </c>
      <c r="F11" s="17" t="str">
        <f t="shared" si="0"/>
        <v>non</v>
      </c>
      <c r="G11" s="17" t="s">
        <v>22</v>
      </c>
      <c r="H11" s="19">
        <v>0.15</v>
      </c>
      <c r="I11" s="97"/>
      <c r="J11" s="16">
        <v>14</v>
      </c>
      <c r="K11" s="17">
        <v>2.5</v>
      </c>
      <c r="L11" s="17">
        <v>0.9</v>
      </c>
      <c r="M11" s="20">
        <f t="shared" si="4"/>
        <v>4.7249999999999996</v>
      </c>
      <c r="N11" s="83"/>
      <c r="O11" s="21">
        <v>14</v>
      </c>
      <c r="P11" s="22">
        <v>2.5</v>
      </c>
      <c r="Q11" s="22">
        <v>0.9</v>
      </c>
      <c r="R11" s="23">
        <f t="shared" si="2"/>
        <v>4.7249999999999996</v>
      </c>
      <c r="S11" s="83"/>
      <c r="T11" s="83" t="str">
        <f t="shared" si="3"/>
        <v>OK</v>
      </c>
      <c r="U11" s="24"/>
      <c r="V11" s="25">
        <f>O11*P11</f>
        <v>35</v>
      </c>
    </row>
    <row r="12" spans="1:24" x14ac:dyDescent="0.3">
      <c r="B12" s="26" t="s">
        <v>19</v>
      </c>
      <c r="C12" s="27" t="s">
        <v>24</v>
      </c>
      <c r="D12" s="28"/>
      <c r="E12" s="28"/>
      <c r="F12" s="28"/>
      <c r="G12" s="27" t="s">
        <v>23</v>
      </c>
      <c r="H12" s="29">
        <v>0</v>
      </c>
      <c r="I12" s="90"/>
      <c r="J12" s="26">
        <v>11.3</v>
      </c>
      <c r="K12" s="27">
        <v>2.5</v>
      </c>
      <c r="L12" s="27">
        <v>0.2</v>
      </c>
      <c r="M12" s="30">
        <f>J12*K12*0.1</f>
        <v>2.8250000000000002</v>
      </c>
      <c r="N12" s="79"/>
      <c r="O12" s="26">
        <v>11.3</v>
      </c>
      <c r="P12" s="27">
        <v>2.5</v>
      </c>
      <c r="Q12" s="27">
        <v>0.2</v>
      </c>
      <c r="R12" s="30">
        <f>O12*P12*0.1</f>
        <v>2.8250000000000002</v>
      </c>
      <c r="S12" s="79"/>
      <c r="T12" s="79" t="str">
        <f t="shared" si="3"/>
        <v>OK</v>
      </c>
      <c r="V12" s="31"/>
    </row>
    <row r="13" spans="1:24" s="35" customFormat="1" x14ac:dyDescent="0.3">
      <c r="B13" s="32"/>
      <c r="C13" s="32"/>
      <c r="D13" s="32"/>
      <c r="E13" s="32"/>
      <c r="F13" s="32"/>
      <c r="G13" s="32"/>
      <c r="H13" s="33"/>
      <c r="I13" s="34"/>
      <c r="J13" s="32"/>
      <c r="K13" s="32"/>
      <c r="L13" s="32"/>
      <c r="M13" s="34"/>
      <c r="N13" s="34"/>
      <c r="O13" s="32"/>
      <c r="P13" s="32"/>
      <c r="Q13" s="32"/>
      <c r="R13" s="34"/>
      <c r="S13" s="34"/>
      <c r="T13" s="34"/>
      <c r="V13" s="36"/>
    </row>
    <row r="14" spans="1:24" x14ac:dyDescent="0.3">
      <c r="B14" s="8" t="s">
        <v>19</v>
      </c>
      <c r="C14" s="9" t="s">
        <v>25</v>
      </c>
      <c r="D14" s="10">
        <v>1.5E-5</v>
      </c>
      <c r="E14" s="9">
        <v>1</v>
      </c>
      <c r="F14" s="9" t="str">
        <f t="shared" si="0"/>
        <v>non</v>
      </c>
      <c r="G14" s="9" t="s">
        <v>21</v>
      </c>
      <c r="H14" s="11">
        <v>0.35</v>
      </c>
      <c r="I14" s="76">
        <v>17</v>
      </c>
      <c r="J14" s="9">
        <v>13</v>
      </c>
      <c r="K14" s="9">
        <v>2</v>
      </c>
      <c r="L14" s="9">
        <v>1.5</v>
      </c>
      <c r="M14" s="12">
        <f t="shared" si="4"/>
        <v>13.649999999999999</v>
      </c>
      <c r="N14" s="76">
        <f>M14+M15+M16</f>
        <v>17.524999999999999</v>
      </c>
      <c r="O14" s="14">
        <v>13</v>
      </c>
      <c r="P14" s="14">
        <v>2</v>
      </c>
      <c r="Q14" s="14">
        <v>1.5</v>
      </c>
      <c r="R14" s="15">
        <f t="shared" si="2"/>
        <v>13.649999999999999</v>
      </c>
      <c r="S14" s="76">
        <f>R14+R15+R16</f>
        <v>17.524999999999999</v>
      </c>
      <c r="T14" s="91" t="str">
        <f>IF(S14&gt;=I14,"OK","NON")</f>
        <v>OK</v>
      </c>
      <c r="V14" s="31"/>
    </row>
    <row r="15" spans="1:24" x14ac:dyDescent="0.3">
      <c r="B15" s="16" t="s">
        <v>19</v>
      </c>
      <c r="C15" s="17" t="s">
        <v>25</v>
      </c>
      <c r="D15" s="37"/>
      <c r="E15" s="37"/>
      <c r="F15" s="37"/>
      <c r="G15" s="17" t="s">
        <v>23</v>
      </c>
      <c r="H15" s="19">
        <v>0</v>
      </c>
      <c r="I15" s="82"/>
      <c r="J15" s="17">
        <v>7.6</v>
      </c>
      <c r="K15" s="17">
        <v>2.5</v>
      </c>
      <c r="L15" s="17">
        <v>0.2</v>
      </c>
      <c r="M15" s="20">
        <f t="shared" ref="M15:M16" si="5">J15*K15*0.1</f>
        <v>1.9000000000000001</v>
      </c>
      <c r="N15" s="82"/>
      <c r="O15" s="17">
        <v>7.6</v>
      </c>
      <c r="P15" s="17">
        <v>2.5</v>
      </c>
      <c r="Q15" s="17">
        <v>0.2</v>
      </c>
      <c r="R15" s="20">
        <f t="shared" ref="R15:R16" si="6">O15*P15*0.1</f>
        <v>1.9000000000000001</v>
      </c>
      <c r="S15" s="82"/>
      <c r="T15" s="92" t="str">
        <f t="shared" si="3"/>
        <v>OK</v>
      </c>
      <c r="V15" s="31"/>
    </row>
    <row r="16" spans="1:24" x14ac:dyDescent="0.3">
      <c r="B16" s="26" t="s">
        <v>19</v>
      </c>
      <c r="C16" s="27" t="s">
        <v>25</v>
      </c>
      <c r="D16" s="28"/>
      <c r="E16" s="28"/>
      <c r="F16" s="28"/>
      <c r="G16" s="27" t="s">
        <v>23</v>
      </c>
      <c r="H16" s="29">
        <v>0</v>
      </c>
      <c r="I16" s="77"/>
      <c r="J16" s="27">
        <v>7.9</v>
      </c>
      <c r="K16" s="27">
        <v>2.5</v>
      </c>
      <c r="L16" s="27">
        <v>0.2</v>
      </c>
      <c r="M16" s="30">
        <f t="shared" si="5"/>
        <v>1.9750000000000001</v>
      </c>
      <c r="N16" s="77"/>
      <c r="O16" s="27">
        <v>7.9</v>
      </c>
      <c r="P16" s="27">
        <v>2.5</v>
      </c>
      <c r="Q16" s="27">
        <v>0.2</v>
      </c>
      <c r="R16" s="30">
        <f t="shared" si="6"/>
        <v>1.9750000000000001</v>
      </c>
      <c r="S16" s="77"/>
      <c r="T16" s="93" t="str">
        <f t="shared" si="3"/>
        <v>OK</v>
      </c>
      <c r="V16" s="31"/>
    </row>
    <row r="17" spans="2:22" s="35" customFormat="1" x14ac:dyDescent="0.3">
      <c r="B17" s="32"/>
      <c r="C17" s="32"/>
      <c r="D17" s="32"/>
      <c r="E17" s="32"/>
      <c r="F17" s="32"/>
      <c r="G17" s="32"/>
      <c r="H17" s="33"/>
      <c r="I17" s="34"/>
      <c r="J17" s="32"/>
      <c r="K17" s="32"/>
      <c r="L17" s="32"/>
      <c r="M17" s="34"/>
      <c r="N17" s="34"/>
      <c r="O17" s="32"/>
      <c r="P17" s="32"/>
      <c r="Q17" s="32"/>
      <c r="R17" s="34"/>
      <c r="S17" s="34"/>
      <c r="T17" s="34"/>
      <c r="V17" s="36"/>
    </row>
    <row r="18" spans="2:22" x14ac:dyDescent="0.3">
      <c r="B18" s="8" t="s">
        <v>19</v>
      </c>
      <c r="C18" s="9" t="s">
        <v>26</v>
      </c>
      <c r="D18" s="10">
        <v>1.5E-5</v>
      </c>
      <c r="E18" s="10">
        <v>3.4499999999999999E-3</v>
      </c>
      <c r="F18" s="9" t="str">
        <f t="shared" si="0"/>
        <v>non</v>
      </c>
      <c r="G18" s="9" t="s">
        <v>21</v>
      </c>
      <c r="H18" s="11">
        <v>0.35</v>
      </c>
      <c r="I18" s="76">
        <v>7.42</v>
      </c>
      <c r="J18" s="9">
        <v>3</v>
      </c>
      <c r="K18" s="9">
        <v>2</v>
      </c>
      <c r="L18" s="9">
        <v>1</v>
      </c>
      <c r="M18" s="12">
        <f t="shared" si="4"/>
        <v>2.0999999999999996</v>
      </c>
      <c r="N18" s="76">
        <f>M18+M19+M20</f>
        <v>7.4249999999999998</v>
      </c>
      <c r="O18" s="14">
        <v>3</v>
      </c>
      <c r="P18" s="14">
        <v>2</v>
      </c>
      <c r="Q18" s="14">
        <v>1</v>
      </c>
      <c r="R18" s="15">
        <f t="shared" si="2"/>
        <v>2.0999999999999996</v>
      </c>
      <c r="S18" s="76">
        <f>R18+R19+R20</f>
        <v>7.4249999999999998</v>
      </c>
      <c r="T18" s="91" t="str">
        <f>IF(S18&gt;=I18,"OK","NON")</f>
        <v>OK</v>
      </c>
      <c r="V18" s="31"/>
    </row>
    <row r="19" spans="2:22" x14ac:dyDescent="0.3">
      <c r="B19" s="16" t="s">
        <v>19</v>
      </c>
      <c r="C19" s="17" t="s">
        <v>26</v>
      </c>
      <c r="D19" s="18">
        <v>1.5E-5</v>
      </c>
      <c r="E19" s="18">
        <v>5.4400000000000001E-5</v>
      </c>
      <c r="F19" s="17" t="str">
        <f t="shared" si="0"/>
        <v>non</v>
      </c>
      <c r="G19" s="17" t="s">
        <v>22</v>
      </c>
      <c r="H19" s="19">
        <v>0.15</v>
      </c>
      <c r="I19" s="82"/>
      <c r="J19" s="17">
        <v>10</v>
      </c>
      <c r="K19" s="17">
        <v>2.5</v>
      </c>
      <c r="L19" s="17">
        <v>0.9</v>
      </c>
      <c r="M19" s="20">
        <f t="shared" si="4"/>
        <v>3.375</v>
      </c>
      <c r="N19" s="82"/>
      <c r="O19" s="22">
        <v>10</v>
      </c>
      <c r="P19" s="22">
        <v>2.5</v>
      </c>
      <c r="Q19" s="22">
        <v>0.9</v>
      </c>
      <c r="R19" s="23">
        <f t="shared" si="2"/>
        <v>3.375</v>
      </c>
      <c r="S19" s="82"/>
      <c r="T19" s="92" t="str">
        <f t="shared" si="3"/>
        <v>OK</v>
      </c>
      <c r="U19" s="24"/>
      <c r="V19" s="25">
        <f>O19*P19</f>
        <v>25</v>
      </c>
    </row>
    <row r="20" spans="2:22" x14ac:dyDescent="0.3">
      <c r="B20" s="26" t="s">
        <v>19</v>
      </c>
      <c r="C20" s="27" t="s">
        <v>26</v>
      </c>
      <c r="D20" s="28"/>
      <c r="E20" s="28"/>
      <c r="F20" s="28"/>
      <c r="G20" s="27" t="s">
        <v>23</v>
      </c>
      <c r="H20" s="29">
        <v>0</v>
      </c>
      <c r="I20" s="77"/>
      <c r="J20" s="27">
        <v>7.8</v>
      </c>
      <c r="K20" s="27">
        <v>2.5</v>
      </c>
      <c r="L20" s="27">
        <v>0.2</v>
      </c>
      <c r="M20" s="30">
        <f>J20*K20*0.1</f>
        <v>1.9500000000000002</v>
      </c>
      <c r="N20" s="77"/>
      <c r="O20" s="27">
        <v>7.8</v>
      </c>
      <c r="P20" s="27">
        <v>2.5</v>
      </c>
      <c r="Q20" s="27">
        <v>0.2</v>
      </c>
      <c r="R20" s="30">
        <f>O20*P20*0.1</f>
        <v>1.9500000000000002</v>
      </c>
      <c r="S20" s="77"/>
      <c r="T20" s="93" t="str">
        <f t="shared" si="3"/>
        <v>OK</v>
      </c>
      <c r="V20" s="31"/>
    </row>
    <row r="21" spans="2:22" s="35" customFormat="1" x14ac:dyDescent="0.3">
      <c r="B21" s="32"/>
      <c r="C21" s="32"/>
      <c r="D21" s="32"/>
      <c r="E21" s="32"/>
      <c r="F21" s="32"/>
      <c r="G21" s="32"/>
      <c r="H21" s="33"/>
      <c r="I21" s="34"/>
      <c r="J21" s="32"/>
      <c r="K21" s="32"/>
      <c r="L21" s="32"/>
      <c r="M21" s="34"/>
      <c r="N21" s="34"/>
      <c r="O21" s="32"/>
      <c r="P21" s="32"/>
      <c r="Q21" s="32"/>
      <c r="R21" s="34"/>
      <c r="S21" s="34"/>
      <c r="T21" s="34"/>
      <c r="V21" s="36"/>
    </row>
    <row r="22" spans="2:22" x14ac:dyDescent="0.3">
      <c r="B22" s="8" t="s">
        <v>19</v>
      </c>
      <c r="C22" s="9" t="s">
        <v>27</v>
      </c>
      <c r="D22" s="10">
        <v>1.5E-5</v>
      </c>
      <c r="E22" s="10">
        <v>0</v>
      </c>
      <c r="F22" s="9"/>
      <c r="G22" s="9" t="s">
        <v>21</v>
      </c>
      <c r="H22" s="11">
        <v>0.35</v>
      </c>
      <c r="I22" s="89">
        <v>4.2</v>
      </c>
      <c r="J22" s="8">
        <v>4</v>
      </c>
      <c r="K22" s="9">
        <v>2</v>
      </c>
      <c r="L22" s="9">
        <v>1.5</v>
      </c>
      <c r="M22" s="12">
        <f t="shared" si="4"/>
        <v>4.1999999999999993</v>
      </c>
      <c r="N22" s="78">
        <f>M22+M23</f>
        <v>6.2249999999999996</v>
      </c>
      <c r="O22" s="13">
        <v>4</v>
      </c>
      <c r="P22" s="14">
        <v>2</v>
      </c>
      <c r="Q22" s="14">
        <v>1.5</v>
      </c>
      <c r="R22" s="15">
        <f t="shared" si="2"/>
        <v>4.1999999999999993</v>
      </c>
      <c r="S22" s="78">
        <f>R22+R23</f>
        <v>6.2249999999999996</v>
      </c>
      <c r="T22" s="84" t="str">
        <f t="shared" ref="T22:T31" si="7">IF(S22&gt;=I22,"OK","NON")</f>
        <v>OK</v>
      </c>
      <c r="V22" s="31"/>
    </row>
    <row r="23" spans="2:22" ht="16.5" customHeight="1" thickBot="1" x14ac:dyDescent="0.35">
      <c r="B23" s="26" t="s">
        <v>19</v>
      </c>
      <c r="C23" s="27" t="s">
        <v>27</v>
      </c>
      <c r="D23" s="64"/>
      <c r="E23" s="64"/>
      <c r="F23" s="28"/>
      <c r="G23" s="27" t="s">
        <v>23</v>
      </c>
      <c r="H23" s="29">
        <v>0</v>
      </c>
      <c r="I23" s="90"/>
      <c r="J23" s="26">
        <v>8.1</v>
      </c>
      <c r="K23" s="27">
        <v>2.5</v>
      </c>
      <c r="L23" s="27">
        <v>0.2</v>
      </c>
      <c r="M23" s="30">
        <f>J23*K23*0.1</f>
        <v>2.0249999999999999</v>
      </c>
      <c r="N23" s="79"/>
      <c r="O23" s="26">
        <v>8.1</v>
      </c>
      <c r="P23" s="27">
        <v>2.5</v>
      </c>
      <c r="Q23" s="27">
        <v>0.2</v>
      </c>
      <c r="R23" s="30">
        <f>O23*P23*0.1</f>
        <v>2.0249999999999999</v>
      </c>
      <c r="S23" s="79"/>
      <c r="T23" s="85" t="str">
        <f t="shared" si="3"/>
        <v>OK</v>
      </c>
      <c r="V23" s="31"/>
    </row>
    <row r="24" spans="2:22" s="35" customFormat="1" x14ac:dyDescent="0.3">
      <c r="B24" s="32"/>
      <c r="C24" s="32"/>
      <c r="D24" s="32"/>
      <c r="E24" s="32"/>
      <c r="F24" s="32"/>
      <c r="G24" s="32"/>
      <c r="H24" s="33"/>
      <c r="I24" s="34"/>
      <c r="J24" s="32"/>
      <c r="K24" s="32"/>
      <c r="L24" s="32"/>
      <c r="M24" s="34"/>
      <c r="N24" s="34"/>
      <c r="O24" s="32"/>
      <c r="P24" s="32"/>
      <c r="Q24" s="32"/>
      <c r="R24" s="34"/>
      <c r="S24" s="34"/>
      <c r="T24" s="34"/>
      <c r="V24" s="36"/>
    </row>
    <row r="25" spans="2:22" x14ac:dyDescent="0.3">
      <c r="B25" s="8" t="s">
        <v>28</v>
      </c>
      <c r="C25" s="9" t="s">
        <v>29</v>
      </c>
      <c r="D25" s="10">
        <v>1.1E-5</v>
      </c>
      <c r="E25" s="10">
        <v>3.1100000000000002E-4</v>
      </c>
      <c r="F25" s="9"/>
      <c r="G25" s="9" t="s">
        <v>21</v>
      </c>
      <c r="H25" s="11">
        <v>0.35</v>
      </c>
      <c r="I25" s="76">
        <v>11.5</v>
      </c>
      <c r="J25" s="9">
        <v>10</v>
      </c>
      <c r="K25" s="9">
        <v>2</v>
      </c>
      <c r="L25" s="9">
        <v>1.5</v>
      </c>
      <c r="M25" s="12">
        <f t="shared" si="4"/>
        <v>10.5</v>
      </c>
      <c r="N25" s="78">
        <f>M25+M26</f>
        <v>12.975</v>
      </c>
      <c r="O25" s="14">
        <v>10</v>
      </c>
      <c r="P25" s="14">
        <v>2</v>
      </c>
      <c r="Q25" s="14">
        <v>1.5</v>
      </c>
      <c r="R25" s="15">
        <f t="shared" si="2"/>
        <v>10.5</v>
      </c>
      <c r="S25" s="78">
        <f>R25+R26</f>
        <v>12.975</v>
      </c>
      <c r="T25" s="84" t="str">
        <f t="shared" si="7"/>
        <v>OK</v>
      </c>
      <c r="V25" s="31"/>
    </row>
    <row r="26" spans="2:22" x14ac:dyDescent="0.3">
      <c r="B26" s="26" t="s">
        <v>28</v>
      </c>
      <c r="C26" s="27" t="s">
        <v>29</v>
      </c>
      <c r="D26" s="28"/>
      <c r="E26" s="28"/>
      <c r="F26" s="28"/>
      <c r="G26" s="27" t="s">
        <v>23</v>
      </c>
      <c r="H26" s="29">
        <v>0</v>
      </c>
      <c r="I26" s="77"/>
      <c r="J26" s="27">
        <v>9.9</v>
      </c>
      <c r="K26" s="27">
        <v>2.5</v>
      </c>
      <c r="L26" s="27">
        <v>0.2</v>
      </c>
      <c r="M26" s="30">
        <f>J26*K26*0.1</f>
        <v>2.4750000000000001</v>
      </c>
      <c r="N26" s="79"/>
      <c r="O26" s="27">
        <v>9.9</v>
      </c>
      <c r="P26" s="27">
        <v>2.5</v>
      </c>
      <c r="Q26" s="27">
        <v>0.2</v>
      </c>
      <c r="R26" s="30">
        <f>O26*P26*0.1</f>
        <v>2.4750000000000001</v>
      </c>
      <c r="S26" s="79"/>
      <c r="T26" s="85" t="str">
        <f t="shared" si="3"/>
        <v>OK</v>
      </c>
      <c r="V26" s="31"/>
    </row>
    <row r="27" spans="2:22" s="35" customFormat="1" x14ac:dyDescent="0.3">
      <c r="B27" s="32"/>
      <c r="C27" s="32"/>
      <c r="D27" s="32"/>
      <c r="E27" s="32"/>
      <c r="F27" s="32"/>
      <c r="G27" s="32"/>
      <c r="H27" s="33"/>
      <c r="I27" s="34"/>
      <c r="J27" s="32"/>
      <c r="K27" s="32"/>
      <c r="L27" s="32"/>
      <c r="M27" s="34"/>
      <c r="N27" s="34"/>
      <c r="O27" s="32"/>
      <c r="P27" s="32"/>
      <c r="Q27" s="32"/>
      <c r="R27" s="34"/>
      <c r="S27" s="34"/>
      <c r="T27" s="34"/>
      <c r="V27" s="36"/>
    </row>
    <row r="28" spans="2:22" x14ac:dyDescent="0.3">
      <c r="B28" s="8" t="s">
        <v>28</v>
      </c>
      <c r="C28" s="9" t="s">
        <v>30</v>
      </c>
      <c r="D28" s="10">
        <v>1.5E-5</v>
      </c>
      <c r="E28" s="10">
        <v>1.6100000000000001E-4</v>
      </c>
      <c r="F28" s="9"/>
      <c r="G28" s="9" t="s">
        <v>31</v>
      </c>
      <c r="H28" s="11">
        <v>0.15</v>
      </c>
      <c r="I28" s="76">
        <v>6.8</v>
      </c>
      <c r="J28" s="9">
        <v>13</v>
      </c>
      <c r="K28" s="9">
        <v>3</v>
      </c>
      <c r="L28" s="9">
        <v>0.9</v>
      </c>
      <c r="M28" s="12">
        <f t="shared" si="4"/>
        <v>5.2649999999999997</v>
      </c>
      <c r="N28" s="78">
        <f>M28+M29</f>
        <v>7.09</v>
      </c>
      <c r="O28" s="38">
        <v>13</v>
      </c>
      <c r="P28" s="38">
        <v>3</v>
      </c>
      <c r="Q28" s="38">
        <v>0.9</v>
      </c>
      <c r="R28" s="39">
        <f t="shared" si="2"/>
        <v>5.2649999999999997</v>
      </c>
      <c r="S28" s="78">
        <f>R28+R29</f>
        <v>7.09</v>
      </c>
      <c r="T28" s="84" t="str">
        <f t="shared" si="7"/>
        <v>OK</v>
      </c>
      <c r="U28" s="24"/>
      <c r="V28" s="25">
        <f>O28*P28</f>
        <v>39</v>
      </c>
    </row>
    <row r="29" spans="2:22" x14ac:dyDescent="0.3">
      <c r="B29" s="26" t="s">
        <v>28</v>
      </c>
      <c r="C29" s="27" t="s">
        <v>30</v>
      </c>
      <c r="D29" s="28"/>
      <c r="E29" s="28"/>
      <c r="F29" s="28"/>
      <c r="G29" s="27" t="s">
        <v>23</v>
      </c>
      <c r="H29" s="29">
        <v>0</v>
      </c>
      <c r="I29" s="77"/>
      <c r="J29" s="27">
        <v>7.3</v>
      </c>
      <c r="K29" s="27">
        <v>2.5</v>
      </c>
      <c r="L29" s="27">
        <v>0.2</v>
      </c>
      <c r="M29" s="30">
        <f>J29*K29*0.1</f>
        <v>1.8250000000000002</v>
      </c>
      <c r="N29" s="79"/>
      <c r="O29" s="27">
        <v>7.3</v>
      </c>
      <c r="P29" s="27">
        <v>2.5</v>
      </c>
      <c r="Q29" s="27">
        <v>0.2</v>
      </c>
      <c r="R29" s="30">
        <f>O29*P29*0.1</f>
        <v>1.8250000000000002</v>
      </c>
      <c r="S29" s="79"/>
      <c r="T29" s="85" t="str">
        <f t="shared" si="3"/>
        <v>OK</v>
      </c>
      <c r="V29" s="31"/>
    </row>
    <row r="30" spans="2:22" s="35" customFormat="1" x14ac:dyDescent="0.3">
      <c r="B30" s="32"/>
      <c r="C30" s="32"/>
      <c r="D30" s="32"/>
      <c r="E30" s="32"/>
      <c r="F30" s="32"/>
      <c r="G30" s="32"/>
      <c r="H30" s="33"/>
      <c r="I30" s="34"/>
      <c r="J30" s="32"/>
      <c r="K30" s="32"/>
      <c r="L30" s="32"/>
      <c r="M30" s="34"/>
      <c r="N30" s="34"/>
      <c r="O30" s="32"/>
      <c r="P30" s="32"/>
      <c r="Q30" s="32"/>
      <c r="R30" s="34"/>
      <c r="S30" s="34"/>
      <c r="T30" s="34"/>
      <c r="V30" s="36"/>
    </row>
    <row r="31" spans="2:22" x14ac:dyDescent="0.3">
      <c r="B31" s="8" t="s">
        <v>28</v>
      </c>
      <c r="C31" s="40" t="s">
        <v>32</v>
      </c>
      <c r="D31" s="10">
        <v>1.5E-5</v>
      </c>
      <c r="E31" s="41">
        <v>0</v>
      </c>
      <c r="F31" s="42"/>
      <c r="G31" s="40" t="s">
        <v>21</v>
      </c>
      <c r="H31" s="11">
        <v>0.35</v>
      </c>
      <c r="I31" s="76">
        <v>12.4</v>
      </c>
      <c r="J31" s="9">
        <v>10</v>
      </c>
      <c r="K31" s="9">
        <v>1</v>
      </c>
      <c r="L31" s="9">
        <v>1</v>
      </c>
      <c r="M31" s="12">
        <f t="shared" si="4"/>
        <v>3.5</v>
      </c>
      <c r="N31" s="76">
        <f>M31+M34+M33+M32</f>
        <v>12.824999999999999</v>
      </c>
      <c r="O31" s="43">
        <v>3</v>
      </c>
      <c r="P31" s="43">
        <v>1.5</v>
      </c>
      <c r="Q31" s="43">
        <v>1</v>
      </c>
      <c r="R31" s="15">
        <f t="shared" si="2"/>
        <v>1.575</v>
      </c>
      <c r="S31" s="76">
        <f>R31+R34+R33+R32</f>
        <v>13</v>
      </c>
      <c r="T31" s="86" t="str">
        <f t="shared" si="7"/>
        <v>OK</v>
      </c>
      <c r="V31" s="31"/>
    </row>
    <row r="32" spans="2:22" x14ac:dyDescent="0.3">
      <c r="B32" s="16" t="s">
        <v>28</v>
      </c>
      <c r="C32" s="44" t="s">
        <v>32</v>
      </c>
      <c r="D32" s="18">
        <v>1.5E-5</v>
      </c>
      <c r="E32" s="45"/>
      <c r="F32" s="45"/>
      <c r="G32" s="44" t="s">
        <v>21</v>
      </c>
      <c r="H32" s="19">
        <v>0.35</v>
      </c>
      <c r="I32" s="82"/>
      <c r="J32" s="17"/>
      <c r="K32" s="17"/>
      <c r="L32" s="17"/>
      <c r="M32" s="20"/>
      <c r="N32" s="82"/>
      <c r="O32" s="46">
        <v>6</v>
      </c>
      <c r="P32" s="46">
        <v>1</v>
      </c>
      <c r="Q32" s="46">
        <v>1</v>
      </c>
      <c r="R32" s="47">
        <f t="shared" si="2"/>
        <v>2.0999999999999996</v>
      </c>
      <c r="S32" s="82"/>
      <c r="T32" s="87"/>
      <c r="V32" s="31"/>
    </row>
    <row r="33" spans="2:22" x14ac:dyDescent="0.3">
      <c r="B33" s="16" t="s">
        <v>28</v>
      </c>
      <c r="C33" s="44" t="s">
        <v>32</v>
      </c>
      <c r="D33" s="37"/>
      <c r="E33" s="37"/>
      <c r="F33" s="37"/>
      <c r="G33" s="44" t="s">
        <v>23</v>
      </c>
      <c r="H33" s="19">
        <v>0</v>
      </c>
      <c r="I33" s="82"/>
      <c r="J33" s="17">
        <v>14.5</v>
      </c>
      <c r="K33" s="17">
        <v>2.5</v>
      </c>
      <c r="L33" s="17">
        <v>0.2</v>
      </c>
      <c r="M33" s="20">
        <f t="shared" ref="M33:M34" si="8">J33*K33*0.1</f>
        <v>3.625</v>
      </c>
      <c r="N33" s="82"/>
      <c r="O33" s="17">
        <v>14.5</v>
      </c>
      <c r="P33" s="17">
        <v>2.5</v>
      </c>
      <c r="Q33" s="17">
        <v>0.2</v>
      </c>
      <c r="R33" s="20">
        <f t="shared" ref="R33:R34" si="9">O33*P33*0.1</f>
        <v>3.625</v>
      </c>
      <c r="S33" s="82"/>
      <c r="T33" s="87"/>
      <c r="V33" s="31"/>
    </row>
    <row r="34" spans="2:22" x14ac:dyDescent="0.3">
      <c r="B34" s="26" t="s">
        <v>28</v>
      </c>
      <c r="C34" s="48" t="s">
        <v>32</v>
      </c>
      <c r="D34" s="28"/>
      <c r="E34" s="28"/>
      <c r="F34" s="28"/>
      <c r="G34" s="48" t="s">
        <v>23</v>
      </c>
      <c r="H34" s="29">
        <v>0</v>
      </c>
      <c r="I34" s="77"/>
      <c r="J34" s="27">
        <v>22.8</v>
      </c>
      <c r="K34" s="27">
        <v>2.5</v>
      </c>
      <c r="L34" s="27">
        <v>0.2</v>
      </c>
      <c r="M34" s="30">
        <f t="shared" si="8"/>
        <v>5.7</v>
      </c>
      <c r="N34" s="77"/>
      <c r="O34" s="27">
        <v>22.8</v>
      </c>
      <c r="P34" s="27">
        <v>2.5</v>
      </c>
      <c r="Q34" s="27">
        <v>0.2</v>
      </c>
      <c r="R34" s="30">
        <f t="shared" si="9"/>
        <v>5.7</v>
      </c>
      <c r="S34" s="77"/>
      <c r="T34" s="88" t="str">
        <f t="shared" si="3"/>
        <v>OK</v>
      </c>
      <c r="V34" s="31"/>
    </row>
    <row r="35" spans="2:22" s="35" customFormat="1" x14ac:dyDescent="0.3">
      <c r="B35" s="32"/>
      <c r="C35" s="32"/>
      <c r="D35" s="32"/>
      <c r="E35" s="32"/>
      <c r="F35" s="32"/>
      <c r="G35" s="32"/>
      <c r="H35" s="33"/>
      <c r="I35" s="34"/>
      <c r="J35" s="32"/>
      <c r="K35" s="32"/>
      <c r="L35" s="32"/>
      <c r="M35" s="34"/>
      <c r="N35" s="34"/>
      <c r="O35" s="32"/>
      <c r="P35" s="32"/>
      <c r="Q35" s="32"/>
      <c r="R35" s="34"/>
      <c r="S35" s="34"/>
      <c r="T35" s="34"/>
      <c r="V35" s="36"/>
    </row>
    <row r="36" spans="2:22" x14ac:dyDescent="0.3">
      <c r="B36" s="8" t="s">
        <v>28</v>
      </c>
      <c r="C36" s="40" t="s">
        <v>33</v>
      </c>
      <c r="D36" s="10">
        <v>1.5E-5</v>
      </c>
      <c r="E36" s="41">
        <v>1.44E-4</v>
      </c>
      <c r="F36" s="42"/>
      <c r="G36" s="40" t="s">
        <v>21</v>
      </c>
      <c r="H36" s="11">
        <v>0.35</v>
      </c>
      <c r="I36" s="76">
        <v>11.5</v>
      </c>
      <c r="J36" s="9">
        <v>5</v>
      </c>
      <c r="K36" s="9">
        <v>2</v>
      </c>
      <c r="L36" s="9">
        <v>2</v>
      </c>
      <c r="M36" s="12">
        <f t="shared" si="4"/>
        <v>7</v>
      </c>
      <c r="N36" s="76">
        <f>M36+M37+M38</f>
        <v>11.195</v>
      </c>
      <c r="O36" s="43">
        <v>5</v>
      </c>
      <c r="P36" s="43">
        <v>2</v>
      </c>
      <c r="Q36" s="43">
        <v>2</v>
      </c>
      <c r="R36" s="15">
        <f t="shared" si="2"/>
        <v>7</v>
      </c>
      <c r="S36" s="76">
        <f>R36+R37+R38</f>
        <v>11.195</v>
      </c>
      <c r="T36" s="78" t="str">
        <f>IF(S36&gt;=I36,"OK","NON")</f>
        <v>NON</v>
      </c>
      <c r="V36" s="31"/>
    </row>
    <row r="37" spans="2:22" x14ac:dyDescent="0.3">
      <c r="B37" s="16" t="s">
        <v>28</v>
      </c>
      <c r="C37" s="44" t="s">
        <v>33</v>
      </c>
      <c r="D37" s="18">
        <v>1.5E-5</v>
      </c>
      <c r="E37" s="49">
        <v>8.4699999999999999E-5</v>
      </c>
      <c r="F37" s="45"/>
      <c r="G37" s="44" t="s">
        <v>22</v>
      </c>
      <c r="H37" s="19">
        <v>0.15</v>
      </c>
      <c r="I37" s="82"/>
      <c r="J37" s="17">
        <v>6</v>
      </c>
      <c r="K37" s="17">
        <v>2</v>
      </c>
      <c r="L37" s="17">
        <v>0.9</v>
      </c>
      <c r="M37" s="20">
        <f t="shared" si="4"/>
        <v>1.62</v>
      </c>
      <c r="N37" s="82"/>
      <c r="O37" s="50">
        <v>6</v>
      </c>
      <c r="P37" s="50">
        <v>2</v>
      </c>
      <c r="Q37" s="50">
        <v>0.9</v>
      </c>
      <c r="R37" s="23">
        <f t="shared" si="2"/>
        <v>1.62</v>
      </c>
      <c r="S37" s="82"/>
      <c r="T37" s="83" t="str">
        <f t="shared" si="3"/>
        <v>OK</v>
      </c>
      <c r="U37" s="24"/>
      <c r="V37" s="25">
        <f>O37*P37</f>
        <v>12</v>
      </c>
    </row>
    <row r="38" spans="2:22" x14ac:dyDescent="0.3">
      <c r="B38" s="26" t="s">
        <v>28</v>
      </c>
      <c r="C38" s="48" t="s">
        <v>33</v>
      </c>
      <c r="D38" s="28"/>
      <c r="E38" s="28"/>
      <c r="F38" s="28"/>
      <c r="G38" s="48" t="s">
        <v>23</v>
      </c>
      <c r="H38" s="29">
        <v>0</v>
      </c>
      <c r="I38" s="77"/>
      <c r="J38" s="27">
        <v>10.3</v>
      </c>
      <c r="K38" s="27">
        <v>2.5</v>
      </c>
      <c r="L38" s="27">
        <v>0.2</v>
      </c>
      <c r="M38" s="30">
        <f>J38*K38*0.1</f>
        <v>2.5750000000000002</v>
      </c>
      <c r="N38" s="77"/>
      <c r="O38" s="27">
        <v>10.3</v>
      </c>
      <c r="P38" s="27">
        <v>2.5</v>
      </c>
      <c r="Q38" s="27">
        <v>0.2</v>
      </c>
      <c r="R38" s="30">
        <f>O38*P38*0.1</f>
        <v>2.5750000000000002</v>
      </c>
      <c r="S38" s="77"/>
      <c r="T38" s="79" t="str">
        <f t="shared" si="3"/>
        <v>OK</v>
      </c>
    </row>
    <row r="39" spans="2:22" s="35" customFormat="1" x14ac:dyDescent="0.3">
      <c r="B39" s="32"/>
      <c r="C39" s="32"/>
      <c r="D39" s="32"/>
      <c r="E39" s="32"/>
      <c r="F39" s="32"/>
      <c r="G39" s="32"/>
      <c r="H39" s="33"/>
      <c r="I39" s="34"/>
      <c r="J39" s="32"/>
      <c r="K39" s="32"/>
      <c r="L39" s="32"/>
      <c r="M39" s="34"/>
      <c r="N39" s="34"/>
      <c r="O39" s="32"/>
      <c r="P39" s="32"/>
      <c r="Q39" s="32"/>
      <c r="R39" s="34"/>
      <c r="S39" s="34"/>
      <c r="T39" s="34"/>
    </row>
    <row r="40" spans="2:22" x14ac:dyDescent="0.3">
      <c r="B40" s="51" t="s">
        <v>28</v>
      </c>
      <c r="C40" s="52" t="s">
        <v>34</v>
      </c>
      <c r="D40" s="53">
        <v>1.5E-5</v>
      </c>
      <c r="E40" s="54">
        <v>1.55E-4</v>
      </c>
      <c r="F40" s="55"/>
      <c r="G40" s="52" t="s">
        <v>21</v>
      </c>
      <c r="H40" s="56">
        <v>0.35</v>
      </c>
      <c r="I40" s="57">
        <v>8.4</v>
      </c>
      <c r="J40" s="58">
        <v>5.5</v>
      </c>
      <c r="K40" s="58">
        <v>2.5</v>
      </c>
      <c r="L40" s="58">
        <v>1.8</v>
      </c>
      <c r="M40" s="59">
        <f t="shared" si="4"/>
        <v>8.6624999999999996</v>
      </c>
      <c r="N40" s="60">
        <f>M40</f>
        <v>8.6624999999999996</v>
      </c>
      <c r="O40" s="61">
        <v>5.5</v>
      </c>
      <c r="P40" s="61">
        <v>2.5</v>
      </c>
      <c r="Q40" s="61">
        <v>1.8</v>
      </c>
      <c r="R40" s="62">
        <f t="shared" si="2"/>
        <v>8.6624999999999996</v>
      </c>
      <c r="S40" s="60">
        <f>R40</f>
        <v>8.6624999999999996</v>
      </c>
      <c r="T40" s="63" t="str">
        <f>IF(S40&gt;=I40,"OK","NON")</f>
        <v>OK</v>
      </c>
    </row>
    <row r="43" spans="2:22" ht="15" thickBot="1" x14ac:dyDescent="0.35"/>
    <row r="44" spans="2:22" x14ac:dyDescent="0.3">
      <c r="B44" s="8"/>
      <c r="C44" s="65" t="s">
        <v>37</v>
      </c>
      <c r="D44" s="66">
        <v>1.5E-5</v>
      </c>
      <c r="E44" s="66">
        <v>1.73E-4</v>
      </c>
      <c r="F44" s="9"/>
      <c r="G44" s="69" t="s">
        <v>35</v>
      </c>
      <c r="H44" s="11"/>
      <c r="I44" s="76"/>
      <c r="J44" s="9"/>
      <c r="K44" s="9"/>
      <c r="L44" s="9"/>
      <c r="M44" s="12">
        <f t="shared" ref="M44" si="10">J44*K44*L44*H44</f>
        <v>0</v>
      </c>
      <c r="N44" s="78">
        <f>M44+M45</f>
        <v>0</v>
      </c>
      <c r="O44" s="38"/>
      <c r="P44" s="38"/>
      <c r="Q44" s="38"/>
      <c r="R44" s="39">
        <f t="shared" ref="R44" si="11">O44*P44*Q44*H44</f>
        <v>0</v>
      </c>
      <c r="S44" s="78">
        <f>R44+R45</f>
        <v>0</v>
      </c>
      <c r="T44" s="80"/>
    </row>
    <row r="45" spans="2:22" ht="15" thickBot="1" x14ac:dyDescent="0.35">
      <c r="B45" s="26"/>
      <c r="C45" s="67" t="s">
        <v>38</v>
      </c>
      <c r="D45" s="68">
        <v>1.5E-5</v>
      </c>
      <c r="E45" s="68">
        <v>5.1900000000000001E-5</v>
      </c>
      <c r="F45" s="28"/>
      <c r="G45" s="70" t="s">
        <v>22</v>
      </c>
      <c r="H45" s="29"/>
      <c r="I45" s="77"/>
      <c r="J45" s="27"/>
      <c r="K45" s="27"/>
      <c r="L45" s="27"/>
      <c r="M45" s="30">
        <f>J45*K45*0.1</f>
        <v>0</v>
      </c>
      <c r="N45" s="79"/>
      <c r="O45" s="27"/>
      <c r="P45" s="27"/>
      <c r="Q45" s="27"/>
      <c r="R45" s="30">
        <f>O45*P45*0.1</f>
        <v>0</v>
      </c>
      <c r="S45" s="79"/>
      <c r="T45" s="81"/>
    </row>
    <row r="46" spans="2:22" ht="15" thickBot="1" x14ac:dyDescent="0.35"/>
    <row r="47" spans="2:22" x14ac:dyDescent="0.3">
      <c r="B47" s="8"/>
      <c r="C47" s="65" t="s">
        <v>36</v>
      </c>
      <c r="D47" s="66">
        <v>1.5E-5</v>
      </c>
      <c r="E47" s="66">
        <v>9.87E-5</v>
      </c>
      <c r="F47" s="9"/>
      <c r="G47" s="69" t="s">
        <v>35</v>
      </c>
      <c r="H47" s="11"/>
      <c r="I47" s="76"/>
      <c r="J47" s="9"/>
      <c r="K47" s="9"/>
      <c r="L47" s="9"/>
      <c r="M47" s="12">
        <f t="shared" ref="M47" si="12">J47*K47*L47*H47</f>
        <v>0</v>
      </c>
      <c r="N47" s="78">
        <f>M47+M48</f>
        <v>0</v>
      </c>
      <c r="O47" s="38"/>
      <c r="P47" s="38"/>
      <c r="Q47" s="38"/>
      <c r="R47" s="39">
        <f t="shared" ref="R47" si="13">O47*P47*Q47*H47</f>
        <v>0</v>
      </c>
      <c r="S47" s="78">
        <f>R47+R48</f>
        <v>0</v>
      </c>
      <c r="T47" s="80"/>
    </row>
    <row r="48" spans="2:22" ht="15" thickBot="1" x14ac:dyDescent="0.35">
      <c r="B48" s="26"/>
      <c r="C48" s="67" t="s">
        <v>36</v>
      </c>
      <c r="D48" s="68">
        <v>1.5E-5</v>
      </c>
      <c r="E48" s="68">
        <v>1.1900000000000001E-4</v>
      </c>
      <c r="F48" s="28"/>
      <c r="G48" s="70" t="s">
        <v>22</v>
      </c>
      <c r="H48" s="29"/>
      <c r="I48" s="77"/>
      <c r="J48" s="27"/>
      <c r="K48" s="27"/>
      <c r="L48" s="27"/>
      <c r="M48" s="30">
        <f>J48*K48*0.1</f>
        <v>0</v>
      </c>
      <c r="N48" s="79"/>
      <c r="O48" s="27"/>
      <c r="P48" s="27"/>
      <c r="Q48" s="27"/>
      <c r="R48" s="30">
        <f>O48*P48*0.1</f>
        <v>0</v>
      </c>
      <c r="S48" s="79"/>
      <c r="T48" s="81"/>
    </row>
    <row r="49" spans="2:20" ht="15" thickBot="1" x14ac:dyDescent="0.35"/>
    <row r="50" spans="2:20" x14ac:dyDescent="0.3">
      <c r="B50" s="8"/>
      <c r="C50" s="65" t="s">
        <v>39</v>
      </c>
      <c r="D50" s="66">
        <v>2.0000000000000002E-5</v>
      </c>
      <c r="E50" s="66">
        <v>5.4100000000000003E-4</v>
      </c>
      <c r="F50" s="9"/>
      <c r="G50" s="69" t="s">
        <v>35</v>
      </c>
      <c r="H50" s="11"/>
      <c r="I50" s="76"/>
      <c r="J50" s="9"/>
      <c r="K50" s="9"/>
      <c r="L50" s="9"/>
      <c r="M50" s="12">
        <f t="shared" ref="M50" si="14">J50*K50*L50*H50</f>
        <v>0</v>
      </c>
      <c r="N50" s="78">
        <f>M50+M51</f>
        <v>0</v>
      </c>
      <c r="O50" s="38"/>
      <c r="P50" s="38"/>
      <c r="Q50" s="38"/>
      <c r="R50" s="39">
        <f t="shared" ref="R50" si="15">O50*P50*Q50*H50</f>
        <v>0</v>
      </c>
      <c r="S50" s="78">
        <f>R50+R51</f>
        <v>0</v>
      </c>
      <c r="T50" s="80"/>
    </row>
    <row r="51" spans="2:20" ht="15" thickBot="1" x14ac:dyDescent="0.35">
      <c r="B51" s="26"/>
      <c r="C51" s="67" t="s">
        <v>40</v>
      </c>
      <c r="D51" s="68">
        <v>2.0000000000000002E-5</v>
      </c>
      <c r="E51" s="68">
        <v>1.13E-4</v>
      </c>
      <c r="F51" s="28"/>
      <c r="G51" s="71" t="s">
        <v>35</v>
      </c>
      <c r="H51" s="29"/>
      <c r="I51" s="77"/>
      <c r="J51" s="27"/>
      <c r="K51" s="27"/>
      <c r="L51" s="27"/>
      <c r="M51" s="30">
        <f>J51*K51*0.1</f>
        <v>0</v>
      </c>
      <c r="N51" s="79"/>
      <c r="O51" s="27"/>
      <c r="P51" s="27"/>
      <c r="Q51" s="27"/>
      <c r="R51" s="30">
        <f>O51*P51*0.1</f>
        <v>0</v>
      </c>
      <c r="S51" s="79"/>
      <c r="T51" s="81"/>
    </row>
    <row r="52" spans="2:20" ht="15" thickBot="1" x14ac:dyDescent="0.35"/>
    <row r="53" spans="2:20" x14ac:dyDescent="0.3">
      <c r="B53" s="8"/>
      <c r="C53" s="65" t="s">
        <v>41</v>
      </c>
      <c r="D53" s="66">
        <v>2.0000000000000002E-5</v>
      </c>
      <c r="E53" s="66">
        <v>9.5799999999999998E-5</v>
      </c>
      <c r="F53" s="9"/>
      <c r="G53" s="69" t="s">
        <v>35</v>
      </c>
      <c r="H53" s="11"/>
      <c r="I53" s="76"/>
      <c r="J53" s="9"/>
      <c r="K53" s="9"/>
      <c r="L53" s="9"/>
      <c r="M53" s="12">
        <f t="shared" ref="M53" si="16">J53*K53*L53*H53</f>
        <v>0</v>
      </c>
      <c r="N53" s="78">
        <f>M53+M54</f>
        <v>0</v>
      </c>
      <c r="O53" s="38"/>
      <c r="P53" s="38"/>
      <c r="Q53" s="38"/>
      <c r="R53" s="39">
        <f t="shared" ref="R53" si="17">O53*P53*Q53*H53</f>
        <v>0</v>
      </c>
      <c r="S53" s="78">
        <f>R53+R54</f>
        <v>0</v>
      </c>
      <c r="T53" s="80"/>
    </row>
    <row r="54" spans="2:20" ht="15" thickBot="1" x14ac:dyDescent="0.35">
      <c r="B54" s="26"/>
      <c r="C54" s="67" t="s">
        <v>41</v>
      </c>
      <c r="D54" s="68">
        <v>2.0000000000000002E-5</v>
      </c>
      <c r="E54" s="68">
        <v>3.5500000000000001E-4</v>
      </c>
      <c r="F54" s="28"/>
      <c r="G54" s="70" t="s">
        <v>22</v>
      </c>
      <c r="H54" s="29"/>
      <c r="I54" s="77"/>
      <c r="J54" s="27"/>
      <c r="K54" s="27"/>
      <c r="L54" s="27"/>
      <c r="M54" s="30">
        <f>J54*K54*0.1</f>
        <v>0</v>
      </c>
      <c r="N54" s="79"/>
      <c r="O54" s="27"/>
      <c r="P54" s="27"/>
      <c r="Q54" s="27"/>
      <c r="R54" s="30">
        <f>O54*P54*0.1</f>
        <v>0</v>
      </c>
      <c r="S54" s="79"/>
      <c r="T54" s="81"/>
    </row>
    <row r="55" spans="2:20" ht="15" thickBot="1" x14ac:dyDescent="0.35"/>
    <row r="56" spans="2:20" x14ac:dyDescent="0.3">
      <c r="B56" s="8"/>
      <c r="C56" s="65" t="s">
        <v>42</v>
      </c>
      <c r="D56" s="66">
        <v>2.0000000000000002E-5</v>
      </c>
      <c r="E56" s="66">
        <v>3.3199999999999999E-4</v>
      </c>
      <c r="F56" s="9"/>
      <c r="G56" s="73" t="s">
        <v>35</v>
      </c>
      <c r="H56" s="11"/>
      <c r="I56" s="76"/>
      <c r="J56" s="9"/>
      <c r="K56" s="9"/>
      <c r="L56" s="9"/>
      <c r="M56" s="12">
        <f t="shared" ref="M56" si="18">J56*K56*L56*H56</f>
        <v>0</v>
      </c>
      <c r="N56" s="78">
        <f>M56+M57</f>
        <v>0</v>
      </c>
      <c r="O56" s="38"/>
      <c r="P56" s="38"/>
      <c r="Q56" s="38"/>
      <c r="R56" s="39">
        <f t="shared" ref="R56" si="19">O56*P56*Q56*H56</f>
        <v>0</v>
      </c>
      <c r="S56" s="78">
        <f>R56+R57</f>
        <v>0</v>
      </c>
      <c r="T56" s="80"/>
    </row>
    <row r="57" spans="2:20" ht="15" thickBot="1" x14ac:dyDescent="0.35">
      <c r="B57" s="26"/>
      <c r="C57" s="72" t="s">
        <v>43</v>
      </c>
      <c r="D57" s="68">
        <v>2.0000000000000002E-5</v>
      </c>
      <c r="E57" s="68">
        <v>4.5300000000000003E-5</v>
      </c>
      <c r="F57" s="28"/>
      <c r="G57" s="74" t="s">
        <v>35</v>
      </c>
      <c r="H57" s="29"/>
      <c r="I57" s="77"/>
      <c r="J57" s="27"/>
      <c r="K57" s="27"/>
      <c r="L57" s="27"/>
      <c r="M57" s="30">
        <f>J57*K57*0.1</f>
        <v>0</v>
      </c>
      <c r="N57" s="79"/>
      <c r="O57" s="27"/>
      <c r="P57" s="27"/>
      <c r="Q57" s="27"/>
      <c r="R57" s="30">
        <f>O57*P57*0.1</f>
        <v>0</v>
      </c>
      <c r="S57" s="79"/>
      <c r="T57" s="81"/>
    </row>
    <row r="58" spans="2:20" ht="15" thickBot="1" x14ac:dyDescent="0.35"/>
    <row r="59" spans="2:20" ht="15" thickBot="1" x14ac:dyDescent="0.35">
      <c r="B59" s="8"/>
      <c r="C59" s="75" t="s">
        <v>44</v>
      </c>
      <c r="D59" s="66">
        <v>2.0000000000000002E-5</v>
      </c>
      <c r="E59" s="66">
        <v>3.8499999999999998E-4</v>
      </c>
      <c r="F59" s="9"/>
      <c r="G59" s="73" t="s">
        <v>35</v>
      </c>
      <c r="H59" s="11"/>
      <c r="I59" s="76"/>
      <c r="J59" s="9"/>
      <c r="K59" s="9"/>
      <c r="L59" s="9"/>
      <c r="M59" s="12">
        <f t="shared" ref="M59" si="20">J59*K59*L59*H59</f>
        <v>0</v>
      </c>
      <c r="N59" s="78">
        <f>M59+M60</f>
        <v>3.5999999999999997E-2</v>
      </c>
      <c r="O59" s="38"/>
      <c r="P59" s="38"/>
      <c r="Q59" s="38"/>
      <c r="R59" s="39">
        <f t="shared" ref="R59" si="21">O59*P59*Q59*H59</f>
        <v>0</v>
      </c>
      <c r="S59" s="78">
        <f>R59+R60</f>
        <v>0</v>
      </c>
      <c r="T59" s="80"/>
    </row>
    <row r="60" spans="2:20" ht="15" thickBot="1" x14ac:dyDescent="0.35">
      <c r="B60" s="26"/>
      <c r="C60" s="75" t="s">
        <v>44</v>
      </c>
      <c r="D60" s="66">
        <v>2.0000000000000002E-5</v>
      </c>
      <c r="E60" s="66">
        <v>1.95E-4</v>
      </c>
      <c r="F60" s="28"/>
      <c r="G60" s="102" t="s">
        <v>22</v>
      </c>
      <c r="H60" s="29"/>
      <c r="I60" s="77"/>
      <c r="J60" s="27">
        <v>0.6</v>
      </c>
      <c r="K60" s="27">
        <v>0.6</v>
      </c>
      <c r="L60" s="27">
        <v>1.1000000000000001</v>
      </c>
      <c r="M60" s="30">
        <f>J60*K60*0.1</f>
        <v>3.5999999999999997E-2</v>
      </c>
      <c r="N60" s="79"/>
      <c r="O60" s="27"/>
      <c r="P60" s="27"/>
      <c r="Q60" s="27"/>
      <c r="R60" s="30">
        <f>O60*P60*0.1</f>
        <v>0</v>
      </c>
      <c r="S60" s="79"/>
      <c r="T60" s="81"/>
    </row>
  </sheetData>
  <mergeCells count="63">
    <mergeCell ref="D4:F4"/>
    <mergeCell ref="J4:N4"/>
    <mergeCell ref="O4:S4"/>
    <mergeCell ref="I6:I8"/>
    <mergeCell ref="N6:N8"/>
    <mergeCell ref="S6:S8"/>
    <mergeCell ref="T6:T8"/>
    <mergeCell ref="I10:I12"/>
    <mergeCell ref="N10:N12"/>
    <mergeCell ref="S10:S12"/>
    <mergeCell ref="T10:T12"/>
    <mergeCell ref="I14:I16"/>
    <mergeCell ref="N14:N16"/>
    <mergeCell ref="S14:S16"/>
    <mergeCell ref="T14:T16"/>
    <mergeCell ref="I18:I20"/>
    <mergeCell ref="N18:N20"/>
    <mergeCell ref="S18:S20"/>
    <mergeCell ref="T18:T20"/>
    <mergeCell ref="I22:I23"/>
    <mergeCell ref="N22:N23"/>
    <mergeCell ref="S22:S23"/>
    <mergeCell ref="T22:T23"/>
    <mergeCell ref="I25:I26"/>
    <mergeCell ref="N25:N26"/>
    <mergeCell ref="S25:S26"/>
    <mergeCell ref="T25:T26"/>
    <mergeCell ref="I28:I29"/>
    <mergeCell ref="N28:N29"/>
    <mergeCell ref="S28:S29"/>
    <mergeCell ref="T28:T29"/>
    <mergeCell ref="I31:I34"/>
    <mergeCell ref="N31:N34"/>
    <mergeCell ref="S31:S34"/>
    <mergeCell ref="T31:T34"/>
    <mergeCell ref="I36:I38"/>
    <mergeCell ref="N36:N38"/>
    <mergeCell ref="S36:S38"/>
    <mergeCell ref="T36:T38"/>
    <mergeCell ref="I44:I45"/>
    <mergeCell ref="N44:N45"/>
    <mergeCell ref="S44:S45"/>
    <mergeCell ref="T44:T45"/>
    <mergeCell ref="I47:I48"/>
    <mergeCell ref="N47:N48"/>
    <mergeCell ref="S47:S48"/>
    <mergeCell ref="T47:T48"/>
    <mergeCell ref="I50:I51"/>
    <mergeCell ref="N50:N51"/>
    <mergeCell ref="S50:S51"/>
    <mergeCell ref="T50:T51"/>
    <mergeCell ref="I59:I60"/>
    <mergeCell ref="N59:N60"/>
    <mergeCell ref="S59:S60"/>
    <mergeCell ref="T59:T60"/>
    <mergeCell ref="I53:I54"/>
    <mergeCell ref="N53:N54"/>
    <mergeCell ref="S53:S54"/>
    <mergeCell ref="T53:T54"/>
    <mergeCell ref="I56:I57"/>
    <mergeCell ref="N56:N57"/>
    <mergeCell ref="S56:S57"/>
    <mergeCell ref="T56:T5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Mallaury Jinjaud</dc:creator>
  <cp:lastModifiedBy>Frédéric MONTET</cp:lastModifiedBy>
  <cp:revision>1</cp:revision>
  <cp:lastPrinted>2026-01-06T13:21:30Z</cp:lastPrinted>
  <dcterms:created xsi:type="dcterms:W3CDTF">2025-05-16T13:16:36Z</dcterms:created>
  <dcterms:modified xsi:type="dcterms:W3CDTF">2026-01-06T13:24:31Z</dcterms:modified>
</cp:coreProperties>
</file>