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N67C Villeurbanne - Place Grandclément\Essais de laboratoire\Portances\"/>
    </mc:Choice>
  </mc:AlternateContent>
  <xr:revisionPtr revIDLastSave="0" documentId="13_ncr:1_{A5520AF5-EFFA-47B8-8D3F-772E35D4C2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31025 CDF contre allée" sheetId="6" r:id="rId1"/>
    <sheet name="040225" sheetId="5" r:id="rId2"/>
    <sheet name="280125" sheetId="4" r:id="rId3"/>
    <sheet name="190924 CdF voirie exist." sheetId="3" r:id="rId4"/>
    <sheet name="190724" sheetId="2" r:id="rId5"/>
    <sheet name="050424" sheetId="1" r:id="rId6"/>
  </sheets>
  <definedNames>
    <definedName name="_xlnm.Print_Area" localSheetId="1">'040225'!$A$1:$Z$60</definedName>
    <definedName name="_xlnm.Print_Area" localSheetId="5">'050424'!$A$1:$Z$60</definedName>
    <definedName name="_xlnm.Print_Area" localSheetId="0">'131025 CDF contre allée'!$A$1:$Z$60</definedName>
    <definedName name="_xlnm.Print_Area" localSheetId="4">'190724'!$A$1:$Z$60</definedName>
    <definedName name="_xlnm.Print_Area" localSheetId="3">'190924 CdF voirie exist.'!$A$1:$Z$69</definedName>
    <definedName name="_xlnm.Print_Area" localSheetId="2">'280125'!$A$1:$Z$60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6" l="1"/>
  <c r="H47" i="6"/>
  <c r="H48" i="6"/>
  <c r="H46" i="5"/>
  <c r="H47" i="5"/>
  <c r="H48" i="5"/>
  <c r="H46" i="4"/>
  <c r="H47" i="4"/>
  <c r="H48" i="4"/>
  <c r="H57" i="3"/>
  <c r="H56" i="3"/>
  <c r="H55" i="3"/>
  <c r="H46" i="2"/>
  <c r="H47" i="2"/>
  <c r="H48" i="2"/>
  <c r="H48" i="1"/>
  <c r="H47" i="1"/>
  <c r="H46" i="1"/>
</calcChain>
</file>

<file path=xl/sharedStrings.xml><?xml version="1.0" encoding="utf-8"?>
<sst xmlns="http://schemas.openxmlformats.org/spreadsheetml/2006/main" count="337" uniqueCount="84">
  <si>
    <t>COMPTE RENDU D'ESSAIS</t>
  </si>
  <si>
    <t>Villeurbanne - Place Grandclement</t>
  </si>
  <si>
    <t>PORTANCES DES PLATES-FORMES DYNAPLAQUE 
(NF P 94-117-2 d'octobre 2004)</t>
  </si>
  <si>
    <t>PLD N°</t>
  </si>
  <si>
    <t>RA N67C</t>
  </si>
  <si>
    <t>05/04/2024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</si>
  <si>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</si>
  <si>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</si>
  <si>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</si>
  <si>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</si>
  <si>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</si>
  <si>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</si>
  <si>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</si>
  <si>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</si>
  <si>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</si>
  <si>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Nature du matériau :</t>
  </si>
  <si>
    <t>Matériau en place</t>
  </si>
  <si>
    <t>Date de(s) essai(s) :</t>
  </si>
  <si>
    <t>Météo :</t>
  </si>
  <si>
    <t>Couvert</t>
  </si>
  <si>
    <t>Partie de l'ouvrage :</t>
  </si>
  <si>
    <t>CDF</t>
  </si>
  <si>
    <t>Plan de situation :</t>
  </si>
  <si>
    <t>Oui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</si>
  <si>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</si>
  <si>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</si>
  <si>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</si>
  <si>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</si>
  <si>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</si>
  <si>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</si>
  <si>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</si>
  <si>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</si>
  <si>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</si>
  <si>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</si>
  <si>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</si>
  <si>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</si>
  <si>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</si>
  <si>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</si>
  <si>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long leon blum côté poste</t>
  </si>
  <si>
    <t>autre ligne</t>
  </si>
  <si>
    <t>Moyenne</t>
  </si>
  <si>
    <t xml:space="preserve"> 100.00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</si>
  <si>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</si>
  <si>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</si>
  <si>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</si>
  <si>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</si>
  <si>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</si>
  <si>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</si>
  <si>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</si>
  <si>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F. MONTET</t>
  </si>
  <si>
    <t>Conforme</t>
  </si>
  <si>
    <t>Fonction</t>
  </si>
  <si>
    <t>Technicien de laboratoire</t>
  </si>
  <si>
    <t>6/</t>
  </si>
  <si>
    <t>COMMENTAIRES</t>
  </si>
  <si>
    <t>Visa</t>
  </si>
  <si>
    <t>Sous escaliers</t>
  </si>
  <si>
    <t>Beau</t>
  </si>
  <si>
    <t>19/07/2024</t>
  </si>
  <si>
    <t>Matériaux du site</t>
  </si>
  <si>
    <t>RA N63C</t>
  </si>
  <si>
    <t>19/09/2024</t>
  </si>
  <si>
    <t>Sylvain LHOPITAL</t>
  </si>
  <si>
    <t>CdF existante grave alluvionnaire</t>
  </si>
  <si>
    <t>Contre-allée Pl. Grandclément</t>
  </si>
  <si>
    <t>Non</t>
  </si>
  <si>
    <t>N°37</t>
  </si>
  <si>
    <t>N°39</t>
  </si>
  <si>
    <t>N°43</t>
  </si>
  <si>
    <t>Pour information</t>
  </si>
  <si>
    <t>Chef de section laboratoire</t>
  </si>
  <si>
    <t>CDR</t>
  </si>
  <si>
    <t>Pluie</t>
  </si>
  <si>
    <t>28/01/2025</t>
  </si>
  <si>
    <t>GR 0/31.5</t>
  </si>
  <si>
    <t>04/02/2025</t>
  </si>
  <si>
    <t>31 place Grandclément</t>
  </si>
  <si>
    <t>CDF contre allée</t>
  </si>
  <si>
    <t>Nuit</t>
  </si>
  <si>
    <t>13/10/2025</t>
  </si>
  <si>
    <t>GR 0/80</t>
  </si>
  <si>
    <t>27 place Grandclément</t>
  </si>
  <si>
    <t>45 place Grandclément</t>
  </si>
  <si>
    <t>47 place Grandclément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</si>
</sst>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sz val="10"/>
      <color rgb="FF000000"/>
      <name val="Arial"/>
      <family val="2"/>
    </font>
    <font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2">
    <xf numFmtId="0" fontId="0" fillId="0" borderId="0"/>
    <xf numFmtId="0" fontId="12" fillId="0" borderId="0"/>
  </cellStyleXfs>
  <cellXfs count="217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5" xfId="0" applyFont="1" applyBorder="1" applyAlignment="1">
      <alignment horizontal="center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36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7" fillId="0" borderId="23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4" xfId="0" applyNumberFormat="1" applyFont="1" applyBorder="1" applyAlignment="1">
      <alignment horizontal="center" vertical="center"/>
    </xf>
    <xf numFmtId="0" fontId="7" fillId="0" borderId="23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4" xfId="0" applyFont="1" applyBorder="1" applyAlignment="1" applyProtection="1">
      <alignment horizontal="center"/>
      <protection locked="0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6" fillId="0" borderId="3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164" fontId="6" fillId="0" borderId="25" xfId="0" applyNumberFormat="1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164" fontId="6" fillId="0" borderId="28" xfId="0" applyNumberFormat="1" applyFont="1" applyBorder="1" applyAlignment="1">
      <alignment horizontal="center" vertical="top"/>
    </xf>
    <xf numFmtId="0" fontId="7" fillId="0" borderId="29" xfId="0" applyFont="1" applyBorder="1" applyAlignment="1">
      <alignment vertical="top"/>
    </xf>
    <xf numFmtId="0" fontId="7" fillId="0" borderId="30" xfId="0" applyFont="1" applyBorder="1" applyAlignment="1">
      <alignment vertical="top"/>
    </xf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164" fontId="7" fillId="0" borderId="9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0" fontId="13" fillId="0" borderId="14" xfId="0" applyFont="1" applyBorder="1" applyAlignment="1" applyProtection="1">
      <alignment horizontal="center" vertical="center" wrapText="1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/>
      <protection locked="0"/>
    </xf>
    <xf numFmtId="0" fontId="7" fillId="0" borderId="27" xfId="0" applyFont="1" applyBorder="1" applyAlignment="1" applyProtection="1">
      <alignment horizontal="center"/>
      <protection locked="0"/>
    </xf>
    <xf numFmtId="164" fontId="7" fillId="0" borderId="25" xfId="0" applyNumberFormat="1" applyFont="1" applyBorder="1" applyAlignment="1">
      <alignment horizontal="center" vertical="center"/>
    </xf>
    <xf numFmtId="164" fontId="7" fillId="0" borderId="26" xfId="0" applyNumberFormat="1" applyFont="1" applyBorder="1" applyAlignment="1">
      <alignment horizontal="center" vertical="center"/>
    </xf>
    <xf numFmtId="164" fontId="7" fillId="0" borderId="27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6474DF9A-461B-40F0-B413-2E2BF449D86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08B38C5-2850-4DA6-B1B1-D78DCC42C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C169E2A-A1EA-4E7C-B50C-E4A9D1FCF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9EBD701-3BEC-4699-B5C5-C295B7804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1536AAF-8A70-4DFA-8BBC-372C16C68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" y="30289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114300</xdr:colOff>
      <xdr:row>64</xdr:row>
      <xdr:rowOff>45720</xdr:rowOff>
    </xdr:from>
    <xdr:to>
      <xdr:col>25</xdr:col>
      <xdr:colOff>219075</xdr:colOff>
      <xdr:row>67</xdr:row>
      <xdr:rowOff>183381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C37D3E7-575C-49F9-841D-9DD3325B9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4700" y="13921740"/>
          <a:ext cx="1859280" cy="7339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7736286-37AB-45BD-A304-9FC7DFA45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21</xdr:col>
      <xdr:colOff>0</xdr:colOff>
      <xdr:row>56</xdr:row>
      <xdr:rowOff>0</xdr:rowOff>
    </xdr:from>
    <xdr:to>
      <xdr:col>25</xdr:col>
      <xdr:colOff>38099</xdr:colOff>
      <xdr:row>58</xdr:row>
      <xdr:rowOff>24765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DAEE682-B53D-9406-7028-E71CFA891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5" y="12011025"/>
          <a:ext cx="1447799" cy="426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21655-9ED5-4EFD-B9CB-9440FAF90D84}">
  <sheetPr>
    <pageSetUpPr fitToPage="1"/>
  </sheetPr>
  <dimension ref="A1:AA67"/>
  <sheetViews>
    <sheetView tabSelected="1" topLeftCell="A38" workbookViewId="0">
      <selection activeCell="S16" sqref="S1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59"/>
      <c r="B1" s="160"/>
      <c r="C1" s="160"/>
      <c r="D1" s="160"/>
      <c r="E1" s="160"/>
      <c r="F1" s="161"/>
      <c r="G1" s="168" t="s">
        <v>0</v>
      </c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70"/>
      <c r="U1" s="106" t="s">
        <v>1</v>
      </c>
      <c r="V1" s="107"/>
      <c r="W1" s="107"/>
      <c r="X1" s="107"/>
      <c r="Y1" s="107"/>
      <c r="Z1" s="108"/>
    </row>
    <row r="2" spans="1:26" ht="12.75" customHeight="1" x14ac:dyDescent="0.25">
      <c r="A2" s="162"/>
      <c r="B2" s="163"/>
      <c r="C2" s="163"/>
      <c r="D2" s="163"/>
      <c r="E2" s="163"/>
      <c r="F2" s="164"/>
      <c r="G2" s="171" t="s">
        <v>2</v>
      </c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3"/>
      <c r="U2" s="109"/>
      <c r="V2" s="110"/>
      <c r="W2" s="110"/>
      <c r="X2" s="110"/>
      <c r="Y2" s="110"/>
      <c r="Z2" s="111"/>
    </row>
    <row r="3" spans="1:26" ht="12.75" customHeight="1" x14ac:dyDescent="0.25">
      <c r="A3" s="162"/>
      <c r="B3" s="163"/>
      <c r="C3" s="163"/>
      <c r="D3" s="163"/>
      <c r="E3" s="163"/>
      <c r="F3" s="164"/>
      <c r="G3" s="171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3"/>
      <c r="U3" s="109"/>
      <c r="V3" s="110"/>
      <c r="W3" s="110"/>
      <c r="X3" s="110"/>
      <c r="Y3" s="110"/>
      <c r="Z3" s="111"/>
    </row>
    <row r="4" spans="1:26" ht="12.75" customHeight="1" x14ac:dyDescent="0.25">
      <c r="A4" s="162"/>
      <c r="B4" s="163"/>
      <c r="C4" s="163"/>
      <c r="D4" s="163"/>
      <c r="E4" s="163"/>
      <c r="F4" s="164"/>
      <c r="G4" s="171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3"/>
      <c r="U4" s="109"/>
      <c r="V4" s="110"/>
      <c r="W4" s="110"/>
      <c r="X4" s="110"/>
      <c r="Y4" s="110"/>
      <c r="Z4" s="111"/>
    </row>
    <row r="5" spans="1:26" ht="12.75" customHeight="1" x14ac:dyDescent="0.25">
      <c r="A5" s="162"/>
      <c r="B5" s="163"/>
      <c r="C5" s="163"/>
      <c r="D5" s="163"/>
      <c r="E5" s="163"/>
      <c r="F5" s="164"/>
      <c r="G5" s="141" t="s">
        <v>3</v>
      </c>
      <c r="H5" s="142"/>
      <c r="I5" s="146">
        <v>6</v>
      </c>
      <c r="J5" s="146"/>
      <c r="K5" s="147"/>
      <c r="L5" s="149" t="s">
        <v>4</v>
      </c>
      <c r="M5" s="150"/>
      <c r="N5" s="150"/>
      <c r="O5" s="151"/>
      <c r="P5" s="152">
        <v>45944</v>
      </c>
      <c r="Q5" s="153"/>
      <c r="R5" s="153"/>
      <c r="S5" s="153"/>
      <c r="T5" s="154"/>
      <c r="U5" s="109"/>
      <c r="V5" s="110"/>
      <c r="W5" s="110"/>
      <c r="X5" s="110"/>
      <c r="Y5" s="110"/>
      <c r="Z5" s="111"/>
    </row>
    <row r="6" spans="1:26" ht="12.75" customHeight="1" x14ac:dyDescent="0.25">
      <c r="A6" s="165"/>
      <c r="B6" s="166"/>
      <c r="C6" s="166"/>
      <c r="D6" s="166"/>
      <c r="E6" s="166"/>
      <c r="F6" s="167"/>
      <c r="G6" s="2"/>
      <c r="H6" s="3"/>
      <c r="I6" s="148" t="s">
        <v>6</v>
      </c>
      <c r="J6" s="148"/>
      <c r="K6" s="148"/>
      <c r="L6" s="148" t="s">
        <v>7</v>
      </c>
      <c r="M6" s="148"/>
      <c r="N6" s="148"/>
      <c r="O6" s="148"/>
      <c r="P6" s="148" t="s">
        <v>8</v>
      </c>
      <c r="Q6" s="148"/>
      <c r="R6" s="148"/>
      <c r="S6" s="148"/>
      <c r="T6" s="155"/>
      <c r="U6" s="112"/>
      <c r="V6" s="113"/>
      <c r="W6" s="113"/>
      <c r="X6" s="113"/>
      <c r="Y6" s="113"/>
      <c r="Z6" s="114"/>
    </row>
    <row r="7" spans="1:26" ht="36.6" customHeight="1" x14ac:dyDescent="0.25">
      <c r="A7" s="143" t="s">
        <v>9</v>
      </c>
      <c r="B7" s="143"/>
      <c r="C7" s="143"/>
      <c r="D7" s="143"/>
      <c r="E7" s="143"/>
      <c r="F7" s="143"/>
      <c r="G7" s="144" t="s">
        <v>10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 spans="1:26" ht="15.9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02" t="s">
        <v>13</v>
      </c>
      <c r="C10" s="102"/>
      <c r="D10" s="102"/>
      <c r="E10" s="102"/>
      <c r="F10" s="102"/>
      <c r="G10" s="102"/>
      <c r="H10" s="145" t="s">
        <v>14</v>
      </c>
      <c r="I10" s="145"/>
      <c r="J10" s="145"/>
      <c r="K10" s="145"/>
      <c r="L10" s="145"/>
      <c r="M10" s="145"/>
      <c r="N10" s="102" t="s">
        <v>15</v>
      </c>
      <c r="O10" s="102"/>
      <c r="P10" s="102"/>
      <c r="Q10" s="102"/>
      <c r="R10" s="102"/>
      <c r="S10" s="129" t="s">
        <v>80</v>
      </c>
      <c r="T10" s="129"/>
      <c r="U10" s="129"/>
      <c r="V10" s="129"/>
      <c r="W10" s="129"/>
      <c r="X10" s="129"/>
      <c r="Y10" s="129"/>
      <c r="Z10" s="12"/>
    </row>
    <row r="11" spans="1:26" ht="15.9" customHeight="1" x14ac:dyDescent="0.25">
      <c r="A11" s="9"/>
      <c r="B11" s="102" t="s">
        <v>17</v>
      </c>
      <c r="C11" s="102"/>
      <c r="D11" s="102"/>
      <c r="E11" s="102"/>
      <c r="F11" s="102"/>
      <c r="G11" s="102"/>
      <c r="H11" s="145" t="s">
        <v>79</v>
      </c>
      <c r="I11" s="145"/>
      <c r="J11" s="145"/>
      <c r="K11" s="145"/>
      <c r="L11" s="145"/>
      <c r="M11" s="145"/>
      <c r="N11" s="102" t="s">
        <v>18</v>
      </c>
      <c r="O11" s="102"/>
      <c r="P11" s="102"/>
      <c r="Q11" s="102"/>
      <c r="R11" s="102"/>
      <c r="S11" s="129" t="s">
        <v>78</v>
      </c>
      <c r="T11" s="129"/>
      <c r="U11" s="129"/>
      <c r="V11" s="129"/>
      <c r="W11" s="129"/>
      <c r="X11" s="129"/>
      <c r="Y11" s="129"/>
      <c r="Z11" s="12"/>
    </row>
    <row r="12" spans="1:26" ht="15.9" customHeight="1" x14ac:dyDescent="0.25">
      <c r="A12" s="9"/>
      <c r="B12" s="102" t="s">
        <v>20</v>
      </c>
      <c r="C12" s="102"/>
      <c r="D12" s="102"/>
      <c r="E12" s="102"/>
      <c r="F12" s="102"/>
      <c r="G12" s="102"/>
      <c r="H12" s="145" t="s">
        <v>77</v>
      </c>
      <c r="I12" s="145"/>
      <c r="J12" s="145"/>
      <c r="K12" s="145"/>
      <c r="L12" s="145"/>
      <c r="M12" s="145"/>
      <c r="N12" s="102" t="s">
        <v>22</v>
      </c>
      <c r="O12" s="102"/>
      <c r="P12" s="102"/>
      <c r="Q12" s="102"/>
      <c r="R12" s="102"/>
      <c r="S12" s="129" t="s">
        <v>23</v>
      </c>
      <c r="T12" s="129"/>
      <c r="U12" s="129"/>
      <c r="V12" s="129"/>
      <c r="W12" s="129"/>
      <c r="X12" s="129"/>
      <c r="Y12" s="129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24</v>
      </c>
      <c r="B15" s="21" t="s">
        <v>25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01" t="s">
        <v>26</v>
      </c>
      <c r="C17" s="101"/>
      <c r="D17" s="101"/>
      <c r="E17" s="101"/>
      <c r="F17" s="101"/>
      <c r="G17" s="101"/>
      <c r="H17" s="101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28"/>
    </row>
    <row r="18" spans="1:26" s="17" customFormat="1" ht="15" customHeight="1" x14ac:dyDescent="0.25">
      <c r="A18" s="24"/>
      <c r="B18" s="101" t="s">
        <v>27</v>
      </c>
      <c r="C18" s="101"/>
      <c r="D18" s="101"/>
      <c r="E18" s="101"/>
      <c r="F18" s="101"/>
      <c r="G18" s="101"/>
      <c r="H18" s="101"/>
      <c r="I18" s="198" t="s">
        <v>28</v>
      </c>
      <c r="J18" s="198"/>
      <c r="K18" s="27">
        <v>50</v>
      </c>
      <c r="L18" s="27" t="s">
        <v>29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30</v>
      </c>
      <c r="B21" s="38" t="s">
        <v>31</v>
      </c>
      <c r="C21" s="33"/>
      <c r="D21" s="34"/>
      <c r="E21" s="34"/>
      <c r="F21" s="34"/>
      <c r="G21" s="34"/>
      <c r="H21" s="33"/>
      <c r="I21" s="33"/>
      <c r="J21" s="207" t="s">
        <v>32</v>
      </c>
      <c r="K21" s="207"/>
      <c r="L21" s="207"/>
      <c r="M21" s="207"/>
      <c r="N21" s="207"/>
      <c r="O21" s="207"/>
      <c r="P21" s="207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05" t="s">
        <v>33</v>
      </c>
      <c r="C23" s="130" t="s">
        <v>34</v>
      </c>
      <c r="D23" s="130"/>
      <c r="E23" s="130"/>
      <c r="F23" s="130"/>
      <c r="G23" s="131"/>
      <c r="H23" s="202" t="s">
        <v>35</v>
      </c>
      <c r="I23" s="203"/>
      <c r="J23" s="204"/>
      <c r="K23" s="130" t="s">
        <v>36</v>
      </c>
      <c r="L23" s="130"/>
      <c r="M23" s="130"/>
      <c r="N23" s="130"/>
      <c r="O23" s="130"/>
      <c r="P23" s="131"/>
      <c r="Z23" s="11"/>
    </row>
    <row r="24" spans="1:26" ht="15.75" customHeight="1" x14ac:dyDescent="0.25">
      <c r="A24" s="9"/>
      <c r="B24" s="206"/>
      <c r="C24" s="132"/>
      <c r="D24" s="132"/>
      <c r="E24" s="132"/>
      <c r="F24" s="132"/>
      <c r="G24" s="133"/>
      <c r="H24" s="199" t="s">
        <v>37</v>
      </c>
      <c r="I24" s="200"/>
      <c r="J24" s="201"/>
      <c r="K24" s="132"/>
      <c r="L24" s="132"/>
      <c r="M24" s="132"/>
      <c r="N24" s="132"/>
      <c r="O24" s="132"/>
      <c r="P24" s="133"/>
      <c r="Z24" s="11"/>
    </row>
    <row r="25" spans="1:26" ht="19.5" customHeight="1" x14ac:dyDescent="0.25">
      <c r="A25" s="9"/>
      <c r="B25" s="45">
        <v>1</v>
      </c>
      <c r="C25" s="115" t="s">
        <v>76</v>
      </c>
      <c r="D25" s="116"/>
      <c r="E25" s="116"/>
      <c r="F25" s="116"/>
      <c r="G25" s="117"/>
      <c r="H25" s="156">
        <v>89</v>
      </c>
      <c r="I25" s="157"/>
      <c r="J25" s="158"/>
      <c r="K25" s="115"/>
      <c r="L25" s="116"/>
      <c r="M25" s="116"/>
      <c r="N25" s="116"/>
      <c r="O25" s="116"/>
      <c r="P25" s="117"/>
      <c r="Z25" s="11"/>
    </row>
    <row r="26" spans="1:26" ht="19.5" customHeight="1" x14ac:dyDescent="0.25">
      <c r="A26" s="9"/>
      <c r="B26" s="45">
        <v>2</v>
      </c>
      <c r="C26" s="115" t="s">
        <v>81</v>
      </c>
      <c r="D26" s="116"/>
      <c r="E26" s="116"/>
      <c r="F26" s="116"/>
      <c r="G26" s="117"/>
      <c r="H26" s="156">
        <v>70</v>
      </c>
      <c r="I26" s="157"/>
      <c r="J26" s="158"/>
      <c r="K26" s="115"/>
      <c r="L26" s="116"/>
      <c r="M26" s="116"/>
      <c r="N26" s="116"/>
      <c r="O26" s="116"/>
      <c r="P26" s="117"/>
      <c r="Z26" s="11"/>
    </row>
    <row r="27" spans="1:26" ht="19.5" customHeight="1" x14ac:dyDescent="0.25">
      <c r="A27" s="9"/>
      <c r="B27" s="45">
        <v>3</v>
      </c>
      <c r="C27" s="115" t="s">
        <v>82</v>
      </c>
      <c r="D27" s="116"/>
      <c r="E27" s="116"/>
      <c r="F27" s="116"/>
      <c r="G27" s="117"/>
      <c r="H27" s="156">
        <v>75</v>
      </c>
      <c r="I27" s="157"/>
      <c r="J27" s="158"/>
      <c r="K27" s="115"/>
      <c r="L27" s="116"/>
      <c r="M27" s="116"/>
      <c r="N27" s="116"/>
      <c r="O27" s="116"/>
      <c r="P27" s="117"/>
      <c r="Z27" s="11"/>
    </row>
    <row r="28" spans="1:26" ht="19.5" customHeight="1" x14ac:dyDescent="0.25">
      <c r="A28" s="9"/>
      <c r="B28" s="45">
        <v>4</v>
      </c>
      <c r="C28" s="115" t="s">
        <v>83</v>
      </c>
      <c r="D28" s="116"/>
      <c r="E28" s="116"/>
      <c r="F28" s="116"/>
      <c r="G28" s="117"/>
      <c r="H28" s="156">
        <v>86</v>
      </c>
      <c r="I28" s="157"/>
      <c r="J28" s="158"/>
      <c r="K28" s="115"/>
      <c r="L28" s="116"/>
      <c r="M28" s="116"/>
      <c r="N28" s="116"/>
      <c r="O28" s="116"/>
      <c r="P28" s="117"/>
      <c r="Z28" s="11"/>
    </row>
    <row r="29" spans="1:26" ht="19.5" customHeight="1" x14ac:dyDescent="0.25">
      <c r="A29" s="9"/>
      <c r="B29" s="45"/>
      <c r="C29" s="115"/>
      <c r="D29" s="116"/>
      <c r="E29" s="116"/>
      <c r="F29" s="116"/>
      <c r="G29" s="117"/>
      <c r="H29" s="156"/>
      <c r="I29" s="157"/>
      <c r="J29" s="158"/>
      <c r="K29" s="115"/>
      <c r="L29" s="116"/>
      <c r="M29" s="116"/>
      <c r="N29" s="116"/>
      <c r="O29" s="116"/>
      <c r="P29" s="117"/>
      <c r="Z29" s="11"/>
    </row>
    <row r="30" spans="1:26" ht="19.5" customHeight="1" x14ac:dyDescent="0.25">
      <c r="A30" s="9"/>
      <c r="B30" s="45"/>
      <c r="C30" s="115"/>
      <c r="D30" s="116"/>
      <c r="E30" s="116"/>
      <c r="F30" s="116"/>
      <c r="G30" s="117"/>
      <c r="H30" s="156"/>
      <c r="I30" s="157"/>
      <c r="J30" s="158"/>
      <c r="K30" s="115"/>
      <c r="L30" s="116"/>
      <c r="M30" s="116"/>
      <c r="N30" s="116"/>
      <c r="O30" s="116"/>
      <c r="P30" s="117"/>
      <c r="Z30" s="11"/>
    </row>
    <row r="31" spans="1:26" ht="19.5" customHeight="1" x14ac:dyDescent="0.25">
      <c r="A31" s="9"/>
      <c r="B31" s="45"/>
      <c r="C31" s="115"/>
      <c r="D31" s="116"/>
      <c r="E31" s="116"/>
      <c r="F31" s="116"/>
      <c r="G31" s="117"/>
      <c r="H31" s="156"/>
      <c r="I31" s="157"/>
      <c r="J31" s="158"/>
      <c r="K31" s="115"/>
      <c r="L31" s="116"/>
      <c r="M31" s="116"/>
      <c r="N31" s="116"/>
      <c r="O31" s="116"/>
      <c r="P31" s="117"/>
      <c r="Z31" s="11"/>
    </row>
    <row r="32" spans="1:26" ht="19.5" customHeight="1" x14ac:dyDescent="0.25">
      <c r="A32" s="9"/>
      <c r="B32" s="45"/>
      <c r="C32" s="115"/>
      <c r="D32" s="116"/>
      <c r="E32" s="116"/>
      <c r="F32" s="116"/>
      <c r="G32" s="117"/>
      <c r="H32" s="156"/>
      <c r="I32" s="157"/>
      <c r="J32" s="158"/>
      <c r="K32" s="115"/>
      <c r="L32" s="116"/>
      <c r="M32" s="116"/>
      <c r="N32" s="116"/>
      <c r="O32" s="116"/>
      <c r="P32" s="117"/>
      <c r="Z32" s="11"/>
    </row>
    <row r="33" spans="1:26" ht="19.5" customHeight="1" x14ac:dyDescent="0.25">
      <c r="A33" s="9"/>
      <c r="B33" s="45"/>
      <c r="C33" s="115"/>
      <c r="D33" s="116"/>
      <c r="E33" s="116"/>
      <c r="F33" s="116"/>
      <c r="G33" s="117"/>
      <c r="H33" s="156"/>
      <c r="I33" s="157"/>
      <c r="J33" s="158"/>
      <c r="K33" s="115"/>
      <c r="L33" s="116"/>
      <c r="M33" s="116"/>
      <c r="N33" s="116"/>
      <c r="O33" s="116"/>
      <c r="P33" s="117"/>
      <c r="Z33" s="11"/>
    </row>
    <row r="34" spans="1:26" ht="19.5" customHeight="1" x14ac:dyDescent="0.25">
      <c r="A34" s="9"/>
      <c r="B34" s="45"/>
      <c r="C34" s="115"/>
      <c r="D34" s="116"/>
      <c r="E34" s="116"/>
      <c r="F34" s="116"/>
      <c r="G34" s="117"/>
      <c r="H34" s="156"/>
      <c r="I34" s="157"/>
      <c r="J34" s="158"/>
      <c r="K34" s="115"/>
      <c r="L34" s="116"/>
      <c r="M34" s="116"/>
      <c r="N34" s="116"/>
      <c r="O34" s="116"/>
      <c r="P34" s="117"/>
      <c r="Z34" s="11"/>
    </row>
    <row r="35" spans="1:26" ht="19.5" customHeight="1" x14ac:dyDescent="0.25">
      <c r="A35" s="9"/>
      <c r="B35" s="45"/>
      <c r="C35" s="115"/>
      <c r="D35" s="116"/>
      <c r="E35" s="116"/>
      <c r="F35" s="116"/>
      <c r="G35" s="117"/>
      <c r="H35" s="156"/>
      <c r="I35" s="157"/>
      <c r="J35" s="158"/>
      <c r="K35" s="115"/>
      <c r="L35" s="116"/>
      <c r="M35" s="116"/>
      <c r="N35" s="116"/>
      <c r="O35" s="116"/>
      <c r="P35" s="117"/>
      <c r="Z35" s="11"/>
    </row>
    <row r="36" spans="1:26" ht="19.5" customHeight="1" x14ac:dyDescent="0.25">
      <c r="A36" s="9"/>
      <c r="B36" s="45"/>
      <c r="C36" s="115"/>
      <c r="D36" s="116"/>
      <c r="E36" s="116"/>
      <c r="F36" s="116"/>
      <c r="G36" s="117"/>
      <c r="H36" s="156"/>
      <c r="I36" s="157"/>
      <c r="J36" s="158"/>
      <c r="K36" s="115"/>
      <c r="L36" s="116"/>
      <c r="M36" s="116"/>
      <c r="N36" s="116"/>
      <c r="O36" s="116"/>
      <c r="P36" s="117"/>
      <c r="Z36" s="11"/>
    </row>
    <row r="37" spans="1:26" ht="19.5" customHeight="1" x14ac:dyDescent="0.25">
      <c r="A37" s="9"/>
      <c r="B37" s="45"/>
      <c r="C37" s="115"/>
      <c r="D37" s="116"/>
      <c r="E37" s="116"/>
      <c r="F37" s="116"/>
      <c r="G37" s="117"/>
      <c r="H37" s="156"/>
      <c r="I37" s="157"/>
      <c r="J37" s="158"/>
      <c r="K37" s="115"/>
      <c r="L37" s="116"/>
      <c r="M37" s="116"/>
      <c r="N37" s="116"/>
      <c r="O37" s="116"/>
      <c r="P37" s="117"/>
      <c r="Z37" s="11"/>
    </row>
    <row r="38" spans="1:26" ht="19.5" customHeight="1" x14ac:dyDescent="0.25">
      <c r="A38" s="9"/>
      <c r="B38" s="45"/>
      <c r="C38" s="115"/>
      <c r="D38" s="116"/>
      <c r="E38" s="116"/>
      <c r="F38" s="116"/>
      <c r="G38" s="117"/>
      <c r="H38" s="156"/>
      <c r="I38" s="157"/>
      <c r="J38" s="158"/>
      <c r="K38" s="115"/>
      <c r="L38" s="116"/>
      <c r="M38" s="116"/>
      <c r="N38" s="116"/>
      <c r="O38" s="116"/>
      <c r="P38" s="117"/>
      <c r="Z38" s="11"/>
    </row>
    <row r="39" spans="1:26" ht="19.5" customHeight="1" x14ac:dyDescent="0.25">
      <c r="A39" s="9"/>
      <c r="B39" s="45"/>
      <c r="C39" s="115"/>
      <c r="D39" s="116"/>
      <c r="E39" s="116"/>
      <c r="F39" s="116"/>
      <c r="G39" s="117"/>
      <c r="H39" s="156"/>
      <c r="I39" s="157"/>
      <c r="J39" s="158"/>
      <c r="K39" s="115"/>
      <c r="L39" s="116"/>
      <c r="M39" s="116"/>
      <c r="N39" s="116"/>
      <c r="O39" s="116"/>
      <c r="P39" s="117"/>
      <c r="Z39" s="11"/>
    </row>
    <row r="40" spans="1:26" ht="19.5" customHeight="1" x14ac:dyDescent="0.25">
      <c r="A40" s="9"/>
      <c r="B40" s="45"/>
      <c r="C40" s="115"/>
      <c r="D40" s="116"/>
      <c r="E40" s="116"/>
      <c r="F40" s="116"/>
      <c r="G40" s="117"/>
      <c r="H40" s="156"/>
      <c r="I40" s="157"/>
      <c r="J40" s="158"/>
      <c r="K40" s="115"/>
      <c r="L40" s="116"/>
      <c r="M40" s="116"/>
      <c r="N40" s="116"/>
      <c r="O40" s="116"/>
      <c r="P40" s="117"/>
      <c r="Z40" s="11"/>
    </row>
    <row r="41" spans="1:26" ht="19.5" customHeight="1" x14ac:dyDescent="0.25">
      <c r="A41" s="9"/>
      <c r="B41" s="45"/>
      <c r="C41" s="115"/>
      <c r="D41" s="116"/>
      <c r="E41" s="116"/>
      <c r="F41" s="116"/>
      <c r="G41" s="117"/>
      <c r="H41" s="156"/>
      <c r="I41" s="157"/>
      <c r="J41" s="158"/>
      <c r="K41" s="115"/>
      <c r="L41" s="116"/>
      <c r="M41" s="116"/>
      <c r="N41" s="116"/>
      <c r="O41" s="116"/>
      <c r="P41" s="117"/>
      <c r="Z41" s="11"/>
    </row>
    <row r="42" spans="1:26" ht="19.5" customHeight="1" x14ac:dyDescent="0.25">
      <c r="A42" s="9"/>
      <c r="B42" s="45"/>
      <c r="C42" s="115"/>
      <c r="D42" s="116"/>
      <c r="E42" s="116"/>
      <c r="F42" s="116"/>
      <c r="G42" s="117"/>
      <c r="H42" s="156"/>
      <c r="I42" s="157"/>
      <c r="J42" s="158"/>
      <c r="K42" s="115"/>
      <c r="L42" s="116"/>
      <c r="M42" s="116"/>
      <c r="N42" s="116"/>
      <c r="O42" s="116"/>
      <c r="P42" s="117"/>
      <c r="Z42" s="11"/>
    </row>
    <row r="43" spans="1:26" ht="19.5" customHeight="1" x14ac:dyDescent="0.25">
      <c r="A43" s="9"/>
      <c r="B43" s="45"/>
      <c r="C43" s="115"/>
      <c r="D43" s="116"/>
      <c r="E43" s="116"/>
      <c r="F43" s="116"/>
      <c r="G43" s="117"/>
      <c r="H43" s="156"/>
      <c r="I43" s="157"/>
      <c r="J43" s="158"/>
      <c r="K43" s="115"/>
      <c r="L43" s="116"/>
      <c r="M43" s="116"/>
      <c r="N43" s="116"/>
      <c r="O43" s="116"/>
      <c r="P43" s="117"/>
      <c r="Z43" s="11"/>
    </row>
    <row r="44" spans="1:26" ht="19.5" customHeight="1" x14ac:dyDescent="0.25">
      <c r="A44" s="9"/>
      <c r="B44" s="45"/>
      <c r="C44" s="115"/>
      <c r="D44" s="116"/>
      <c r="E44" s="116"/>
      <c r="F44" s="116"/>
      <c r="G44" s="117"/>
      <c r="H44" s="156"/>
      <c r="I44" s="157"/>
      <c r="J44" s="158"/>
      <c r="K44" s="115"/>
      <c r="L44" s="116"/>
      <c r="M44" s="116"/>
      <c r="N44" s="116"/>
      <c r="O44" s="116"/>
      <c r="P44" s="117"/>
      <c r="Z44" s="11"/>
    </row>
    <row r="45" spans="1:26" ht="19.5" customHeight="1" thickBot="1" x14ac:dyDescent="0.3">
      <c r="A45" s="9"/>
      <c r="B45" s="46"/>
      <c r="C45" s="139"/>
      <c r="D45" s="139"/>
      <c r="E45" s="139"/>
      <c r="F45" s="139"/>
      <c r="G45" s="140"/>
      <c r="H45" s="135"/>
      <c r="I45" s="136"/>
      <c r="J45" s="137"/>
      <c r="K45" s="138"/>
      <c r="L45" s="139"/>
      <c r="M45" s="139"/>
      <c r="N45" s="139"/>
      <c r="O45" s="139"/>
      <c r="P45" s="140"/>
      <c r="Z45" s="11"/>
    </row>
    <row r="46" spans="1:26" ht="15.75" customHeight="1" x14ac:dyDescent="0.25">
      <c r="A46" s="9"/>
      <c r="B46" s="189" t="s">
        <v>40</v>
      </c>
      <c r="C46" s="190"/>
      <c r="D46" s="190"/>
      <c r="E46" s="190"/>
      <c r="F46" s="190"/>
      <c r="G46" s="191"/>
      <c r="H46" s="195">
        <f>AVERAGE(H25:J45)</f>
        <v>80</v>
      </c>
      <c r="I46" s="196"/>
      <c r="J46" s="197"/>
      <c r="K46" s="123" t="s">
        <v>41</v>
      </c>
      <c r="L46" s="124"/>
      <c r="M46" s="118" t="s">
        <v>42</v>
      </c>
      <c r="N46" s="118"/>
      <c r="O46" s="118"/>
      <c r="P46" s="119"/>
      <c r="Z46" s="11"/>
    </row>
    <row r="47" spans="1:26" ht="15.75" customHeight="1" x14ac:dyDescent="0.25">
      <c r="A47" s="9"/>
      <c r="B47" s="183" t="s">
        <v>43</v>
      </c>
      <c r="C47" s="184"/>
      <c r="D47" s="184"/>
      <c r="E47" s="184"/>
      <c r="F47" s="184"/>
      <c r="G47" s="185"/>
      <c r="H47" s="98">
        <f>IF(COUNTIF(H25:J45,"*&lt;20*"),"&lt;20",MIN(H25:J45))</f>
        <v>70</v>
      </c>
      <c r="I47" s="99"/>
      <c r="J47" s="100"/>
      <c r="K47" s="125"/>
      <c r="L47" s="126"/>
      <c r="M47" s="91"/>
      <c r="N47" s="91"/>
      <c r="O47" s="91"/>
      <c r="P47" s="120"/>
      <c r="Z47" s="11"/>
    </row>
    <row r="48" spans="1:26" ht="15.75" customHeight="1" thickBot="1" x14ac:dyDescent="0.3">
      <c r="A48" s="9"/>
      <c r="B48" s="186" t="s">
        <v>44</v>
      </c>
      <c r="C48" s="187"/>
      <c r="D48" s="187"/>
      <c r="E48" s="187"/>
      <c r="F48" s="187"/>
      <c r="G48" s="188"/>
      <c r="H48" s="192">
        <f>IF(COUNTIF(H25:J45,"*&gt;250*"),"&gt;250",MAX(H25:J45))</f>
        <v>89</v>
      </c>
      <c r="I48" s="193"/>
      <c r="J48" s="194"/>
      <c r="K48" s="127"/>
      <c r="L48" s="128"/>
      <c r="M48" s="121"/>
      <c r="N48" s="121"/>
      <c r="O48" s="121"/>
      <c r="P48" s="122"/>
      <c r="Z48" s="11"/>
    </row>
    <row r="49" spans="1:26" ht="15.9" customHeight="1" x14ac:dyDescent="0.25">
      <c r="A49" s="35"/>
      <c r="B49" s="4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6"/>
    </row>
    <row r="50" spans="1:26" ht="12.75" customHeight="1" x14ac:dyDescent="0.25">
      <c r="A50" s="36"/>
      <c r="B50" s="37"/>
    </row>
    <row r="51" spans="1:26" s="17" customFormat="1" ht="15.6" customHeight="1" x14ac:dyDescent="0.25">
      <c r="A51" s="48" t="s">
        <v>45</v>
      </c>
      <c r="B51" s="5" t="s">
        <v>46</v>
      </c>
      <c r="C51" s="49"/>
      <c r="D51" s="49"/>
      <c r="E51" s="49"/>
      <c r="F51" s="50"/>
      <c r="G51" s="50"/>
      <c r="H51" s="5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1"/>
      <c r="V51" s="52"/>
      <c r="W51" s="52"/>
      <c r="X51" s="42"/>
      <c r="Y51" s="42"/>
      <c r="Z51" s="43"/>
    </row>
    <row r="52" spans="1:26" s="17" customFormat="1" ht="28.5" customHeight="1" x14ac:dyDescent="0.25">
      <c r="A52" s="103" t="s">
        <v>47</v>
      </c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5"/>
      <c r="R52" s="83" t="s">
        <v>48</v>
      </c>
      <c r="S52" s="84"/>
      <c r="T52" s="85"/>
      <c r="U52" s="73" t="s">
        <v>49</v>
      </c>
      <c r="V52" s="74"/>
      <c r="W52" s="74"/>
      <c r="X52" s="75"/>
      <c r="Y52" s="75"/>
      <c r="Z52" s="76"/>
    </row>
    <row r="53" spans="1:26" s="17" customFormat="1" ht="15.6" customHeight="1" x14ac:dyDescent="0.25">
      <c r="A53" s="77" t="s">
        <v>50</v>
      </c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9"/>
      <c r="R53" s="83" t="s">
        <v>51</v>
      </c>
      <c r="S53" s="84"/>
      <c r="T53" s="85"/>
      <c r="U53" s="86" t="s">
        <v>52</v>
      </c>
      <c r="V53" s="87"/>
      <c r="W53" s="87"/>
      <c r="X53" s="88"/>
      <c r="Y53" s="88"/>
      <c r="Z53" s="89"/>
    </row>
    <row r="54" spans="1:26" s="17" customFormat="1" ht="15.6" customHeight="1" x14ac:dyDescent="0.25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2"/>
      <c r="R54" s="83"/>
      <c r="S54" s="84"/>
      <c r="T54" s="85"/>
      <c r="U54" s="90"/>
      <c r="V54" s="91"/>
      <c r="W54" s="91"/>
      <c r="X54" s="92"/>
      <c r="Y54" s="92"/>
      <c r="Z54" s="93"/>
    </row>
    <row r="55" spans="1:26" s="17" customFormat="1" ht="15.6" customHeight="1" x14ac:dyDescent="0.25">
      <c r="A55" s="55" t="s">
        <v>53</v>
      </c>
      <c r="B55" s="56" t="s">
        <v>54</v>
      </c>
      <c r="C55" s="1"/>
      <c r="D55" s="1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7"/>
      <c r="R55" s="83"/>
      <c r="S55" s="84"/>
      <c r="T55" s="85"/>
      <c r="U55" s="94"/>
      <c r="V55" s="95"/>
      <c r="W55" s="95"/>
      <c r="X55" s="96"/>
      <c r="Y55" s="96"/>
      <c r="Z55" s="97"/>
    </row>
    <row r="56" spans="1:26" s="17" customFormat="1" ht="15.6" customHeight="1" x14ac:dyDescent="0.25">
      <c r="A56" s="174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6"/>
      <c r="R56" s="83" t="s">
        <v>55</v>
      </c>
      <c r="S56" s="84"/>
      <c r="T56" s="85"/>
      <c r="U56" s="58"/>
      <c r="V56" s="59"/>
      <c r="W56" s="59"/>
      <c r="X56" s="59"/>
      <c r="Y56" s="59"/>
      <c r="Z56" s="60"/>
    </row>
    <row r="57" spans="1:26" s="17" customFormat="1" ht="15.6" customHeight="1" x14ac:dyDescent="0.25">
      <c r="A57" s="174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6"/>
      <c r="R57" s="83"/>
      <c r="S57" s="84"/>
      <c r="T57" s="85"/>
      <c r="U57" s="61"/>
      <c r="V57" s="91"/>
      <c r="W57" s="91"/>
      <c r="X57" s="91"/>
      <c r="Y57" s="91"/>
      <c r="Z57" s="62"/>
    </row>
    <row r="58" spans="1:26" s="17" customFormat="1" ht="15.6" customHeight="1" x14ac:dyDescent="0.25">
      <c r="A58" s="174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6"/>
      <c r="R58" s="83"/>
      <c r="S58" s="84"/>
      <c r="T58" s="85"/>
      <c r="U58" s="61"/>
      <c r="V58" s="91"/>
      <c r="W58" s="91"/>
      <c r="X58" s="91"/>
      <c r="Y58" s="91"/>
      <c r="Z58" s="62"/>
    </row>
    <row r="59" spans="1:26" s="17" customFormat="1" ht="15.6" customHeight="1" x14ac:dyDescent="0.25">
      <c r="A59" s="177"/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9"/>
      <c r="R59" s="180"/>
      <c r="S59" s="181"/>
      <c r="T59" s="182"/>
      <c r="U59" s="63"/>
      <c r="V59" s="64"/>
      <c r="W59" s="64"/>
      <c r="X59" s="64"/>
      <c r="Y59" s="64"/>
      <c r="Z59" s="65"/>
    </row>
    <row r="60" spans="1:26" s="17" customFormat="1" ht="15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54"/>
      <c r="S60" s="54"/>
      <c r="T60" s="54"/>
      <c r="U60" s="41"/>
      <c r="V60" s="41"/>
      <c r="W60" s="41"/>
      <c r="X60" s="41"/>
      <c r="Y60" s="41"/>
      <c r="Z60" s="41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H35:J35"/>
    <mergeCell ref="K35:P35"/>
    <mergeCell ref="C36:G36"/>
    <mergeCell ref="H36:J36"/>
    <mergeCell ref="K36:P36"/>
    <mergeCell ref="C37:G37"/>
    <mergeCell ref="H37:J37"/>
    <mergeCell ref="K37:P37"/>
    <mergeCell ref="K32:P32"/>
    <mergeCell ref="C33:G33"/>
    <mergeCell ref="H33:J33"/>
    <mergeCell ref="K33:P33"/>
    <mergeCell ref="C34:G34"/>
    <mergeCell ref="H34:J34"/>
    <mergeCell ref="K34:P34"/>
    <mergeCell ref="K29:P29"/>
    <mergeCell ref="C30:G30"/>
    <mergeCell ref="H30:J30"/>
    <mergeCell ref="K30:P30"/>
    <mergeCell ref="C31:G31"/>
    <mergeCell ref="H31:J31"/>
    <mergeCell ref="K31:P31"/>
    <mergeCell ref="H46:J46"/>
    <mergeCell ref="H47:J47"/>
    <mergeCell ref="B17:H17"/>
    <mergeCell ref="B12:G12"/>
    <mergeCell ref="B11:G11"/>
    <mergeCell ref="C29:G29"/>
    <mergeCell ref="H29:J29"/>
    <mergeCell ref="C32:G32"/>
    <mergeCell ref="H32:J32"/>
    <mergeCell ref="C35:G35"/>
    <mergeCell ref="U1:Z6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A56:Q59"/>
    <mergeCell ref="R56:T59"/>
    <mergeCell ref="A52:Q52"/>
    <mergeCell ref="R52:T52"/>
    <mergeCell ref="A53:Q54"/>
    <mergeCell ref="R53:T55"/>
    <mergeCell ref="U52:Z52"/>
    <mergeCell ref="U53:Z55"/>
    <mergeCell ref="N12:R12"/>
    <mergeCell ref="H12:M12"/>
    <mergeCell ref="H11:M11"/>
    <mergeCell ref="N11:R11"/>
    <mergeCell ref="H26:J26"/>
    <mergeCell ref="K26:P26"/>
    <mergeCell ref="H27:J27"/>
    <mergeCell ref="K27:P27"/>
    <mergeCell ref="B23:B24"/>
    <mergeCell ref="C23:G24"/>
    <mergeCell ref="J21:P21"/>
    <mergeCell ref="C45:G45"/>
    <mergeCell ref="B47:G47"/>
    <mergeCell ref="B48:G48"/>
    <mergeCell ref="B46:G46"/>
    <mergeCell ref="C26:G26"/>
    <mergeCell ref="C27:G27"/>
    <mergeCell ref="H48:J48"/>
    <mergeCell ref="C28:G28"/>
    <mergeCell ref="H28:J28"/>
    <mergeCell ref="K28:P28"/>
    <mergeCell ref="V57:Y58"/>
    <mergeCell ref="I18:J18"/>
    <mergeCell ref="H25:J25"/>
    <mergeCell ref="C25:G25"/>
    <mergeCell ref="H24:J24"/>
    <mergeCell ref="H23:J23"/>
    <mergeCell ref="B18:H1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2030-6E6D-4569-BCAD-29BB7E81CA16}">
  <sheetPr>
    <pageSetUpPr fitToPage="1"/>
  </sheetPr>
  <dimension ref="A1:AA67"/>
  <sheetViews>
    <sheetView workbookViewId="0">
      <selection activeCell="V21" sqref="V21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59"/>
      <c r="B1" s="160"/>
      <c r="C1" s="160"/>
      <c r="D1" s="160"/>
      <c r="E1" s="160"/>
      <c r="F1" s="161"/>
      <c r="G1" s="168" t="s">
        <v>0</v>
      </c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70"/>
      <c r="U1" s="106" t="s">
        <v>1</v>
      </c>
      <c r="V1" s="107"/>
      <c r="W1" s="107"/>
      <c r="X1" s="107"/>
      <c r="Y1" s="107"/>
      <c r="Z1" s="108"/>
    </row>
    <row r="2" spans="1:26" ht="12.75" customHeight="1" x14ac:dyDescent="0.25">
      <c r="A2" s="162"/>
      <c r="B2" s="163"/>
      <c r="C2" s="163"/>
      <c r="D2" s="163"/>
      <c r="E2" s="163"/>
      <c r="F2" s="164"/>
      <c r="G2" s="171" t="s">
        <v>2</v>
      </c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3"/>
      <c r="U2" s="109"/>
      <c r="V2" s="110"/>
      <c r="W2" s="110"/>
      <c r="X2" s="110"/>
      <c r="Y2" s="110"/>
      <c r="Z2" s="111"/>
    </row>
    <row r="3" spans="1:26" ht="12.75" customHeight="1" x14ac:dyDescent="0.25">
      <c r="A3" s="162"/>
      <c r="B3" s="163"/>
      <c r="C3" s="163"/>
      <c r="D3" s="163"/>
      <c r="E3" s="163"/>
      <c r="F3" s="164"/>
      <c r="G3" s="171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3"/>
      <c r="U3" s="109"/>
      <c r="V3" s="110"/>
      <c r="W3" s="110"/>
      <c r="X3" s="110"/>
      <c r="Y3" s="110"/>
      <c r="Z3" s="111"/>
    </row>
    <row r="4" spans="1:26" ht="12.75" customHeight="1" x14ac:dyDescent="0.25">
      <c r="A4" s="162"/>
      <c r="B4" s="163"/>
      <c r="C4" s="163"/>
      <c r="D4" s="163"/>
      <c r="E4" s="163"/>
      <c r="F4" s="164"/>
      <c r="G4" s="171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3"/>
      <c r="U4" s="109"/>
      <c r="V4" s="110"/>
      <c r="W4" s="110"/>
      <c r="X4" s="110"/>
      <c r="Y4" s="110"/>
      <c r="Z4" s="111"/>
    </row>
    <row r="5" spans="1:26" ht="12.75" customHeight="1" x14ac:dyDescent="0.25">
      <c r="A5" s="162"/>
      <c r="B5" s="163"/>
      <c r="C5" s="163"/>
      <c r="D5" s="163"/>
      <c r="E5" s="163"/>
      <c r="F5" s="164"/>
      <c r="G5" s="141" t="s">
        <v>3</v>
      </c>
      <c r="H5" s="142"/>
      <c r="I5" s="146">
        <v>5</v>
      </c>
      <c r="J5" s="146"/>
      <c r="K5" s="147"/>
      <c r="L5" s="149" t="s">
        <v>4</v>
      </c>
      <c r="M5" s="150"/>
      <c r="N5" s="150"/>
      <c r="O5" s="151"/>
      <c r="P5" s="152" t="s">
        <v>75</v>
      </c>
      <c r="Q5" s="153"/>
      <c r="R5" s="153"/>
      <c r="S5" s="153"/>
      <c r="T5" s="154"/>
      <c r="U5" s="109"/>
      <c r="V5" s="110"/>
      <c r="W5" s="110"/>
      <c r="X5" s="110"/>
      <c r="Y5" s="110"/>
      <c r="Z5" s="111"/>
    </row>
    <row r="6" spans="1:26" ht="12.75" customHeight="1" x14ac:dyDescent="0.25">
      <c r="A6" s="165"/>
      <c r="B6" s="166"/>
      <c r="C6" s="166"/>
      <c r="D6" s="166"/>
      <c r="E6" s="166"/>
      <c r="F6" s="167"/>
      <c r="G6" s="2"/>
      <c r="H6" s="3"/>
      <c r="I6" s="148" t="s">
        <v>6</v>
      </c>
      <c r="J6" s="148"/>
      <c r="K6" s="148"/>
      <c r="L6" s="148" t="s">
        <v>7</v>
      </c>
      <c r="M6" s="148"/>
      <c r="N6" s="148"/>
      <c r="O6" s="148"/>
      <c r="P6" s="148" t="s">
        <v>8</v>
      </c>
      <c r="Q6" s="148"/>
      <c r="R6" s="148"/>
      <c r="S6" s="148"/>
      <c r="T6" s="155"/>
      <c r="U6" s="112"/>
      <c r="V6" s="113"/>
      <c r="W6" s="113"/>
      <c r="X6" s="113"/>
      <c r="Y6" s="113"/>
      <c r="Z6" s="114"/>
    </row>
    <row r="7" spans="1:26" ht="36.6" customHeight="1" x14ac:dyDescent="0.25">
      <c r="A7" s="143" t="s">
        <v>9</v>
      </c>
      <c r="B7" s="143"/>
      <c r="C7" s="143"/>
      <c r="D7" s="143"/>
      <c r="E7" s="143"/>
      <c r="F7" s="143"/>
      <c r="G7" s="144" t="s">
        <v>10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 spans="1:26" ht="15.9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02" t="s">
        <v>13</v>
      </c>
      <c r="C10" s="102"/>
      <c r="D10" s="102"/>
      <c r="E10" s="102"/>
      <c r="F10" s="102"/>
      <c r="G10" s="102"/>
      <c r="H10" s="145" t="s">
        <v>14</v>
      </c>
      <c r="I10" s="145"/>
      <c r="J10" s="145"/>
      <c r="K10" s="145"/>
      <c r="L10" s="145"/>
      <c r="M10" s="145"/>
      <c r="N10" s="102" t="s">
        <v>15</v>
      </c>
      <c r="O10" s="102"/>
      <c r="P10" s="102"/>
      <c r="Q10" s="102"/>
      <c r="R10" s="102"/>
      <c r="S10" s="129" t="s">
        <v>74</v>
      </c>
      <c r="T10" s="129"/>
      <c r="U10" s="129"/>
      <c r="V10" s="129"/>
      <c r="W10" s="129"/>
      <c r="X10" s="129"/>
      <c r="Y10" s="129"/>
      <c r="Z10" s="12"/>
    </row>
    <row r="11" spans="1:26" ht="15.9" customHeight="1" x14ac:dyDescent="0.25">
      <c r="A11" s="9"/>
      <c r="B11" s="102" t="s">
        <v>17</v>
      </c>
      <c r="C11" s="102"/>
      <c r="D11" s="102"/>
      <c r="E11" s="102"/>
      <c r="F11" s="102"/>
      <c r="G11" s="102"/>
      <c r="H11" s="145" t="s">
        <v>75</v>
      </c>
      <c r="I11" s="145"/>
      <c r="J11" s="145"/>
      <c r="K11" s="145"/>
      <c r="L11" s="145"/>
      <c r="M11" s="145"/>
      <c r="N11" s="102" t="s">
        <v>18</v>
      </c>
      <c r="O11" s="102"/>
      <c r="P11" s="102"/>
      <c r="Q11" s="102"/>
      <c r="R11" s="102"/>
      <c r="S11" s="129" t="s">
        <v>19</v>
      </c>
      <c r="T11" s="129"/>
      <c r="U11" s="129"/>
      <c r="V11" s="129"/>
      <c r="W11" s="129"/>
      <c r="X11" s="129"/>
      <c r="Y11" s="129"/>
      <c r="Z11" s="12"/>
    </row>
    <row r="12" spans="1:26" ht="15.9" customHeight="1" x14ac:dyDescent="0.25">
      <c r="A12" s="9"/>
      <c r="B12" s="102" t="s">
        <v>20</v>
      </c>
      <c r="C12" s="102"/>
      <c r="D12" s="102"/>
      <c r="E12" s="102"/>
      <c r="F12" s="102"/>
      <c r="G12" s="102"/>
      <c r="H12" s="145" t="s">
        <v>71</v>
      </c>
      <c r="I12" s="145"/>
      <c r="J12" s="145"/>
      <c r="K12" s="145"/>
      <c r="L12" s="145"/>
      <c r="M12" s="145"/>
      <c r="N12" s="102" t="s">
        <v>22</v>
      </c>
      <c r="O12" s="102"/>
      <c r="P12" s="102"/>
      <c r="Q12" s="102"/>
      <c r="R12" s="102"/>
      <c r="S12" s="129" t="s">
        <v>23</v>
      </c>
      <c r="T12" s="129"/>
      <c r="U12" s="129"/>
      <c r="V12" s="129"/>
      <c r="W12" s="129"/>
      <c r="X12" s="129"/>
      <c r="Y12" s="129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24</v>
      </c>
      <c r="B15" s="21" t="s">
        <v>25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01" t="s">
        <v>26</v>
      </c>
      <c r="C17" s="101"/>
      <c r="D17" s="101"/>
      <c r="E17" s="101"/>
      <c r="F17" s="101"/>
      <c r="G17" s="101"/>
      <c r="H17" s="101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28"/>
    </row>
    <row r="18" spans="1:26" s="17" customFormat="1" ht="15" customHeight="1" x14ac:dyDescent="0.25">
      <c r="A18" s="24"/>
      <c r="B18" s="101" t="s">
        <v>27</v>
      </c>
      <c r="C18" s="101"/>
      <c r="D18" s="101"/>
      <c r="E18" s="101"/>
      <c r="F18" s="101"/>
      <c r="G18" s="101"/>
      <c r="H18" s="101"/>
      <c r="I18" s="198" t="s">
        <v>28</v>
      </c>
      <c r="J18" s="198"/>
      <c r="K18" s="27">
        <v>35</v>
      </c>
      <c r="L18" s="27" t="s">
        <v>29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30</v>
      </c>
      <c r="B21" s="38" t="s">
        <v>31</v>
      </c>
      <c r="C21" s="33"/>
      <c r="D21" s="34"/>
      <c r="E21" s="34"/>
      <c r="F21" s="34"/>
      <c r="G21" s="34"/>
      <c r="H21" s="33"/>
      <c r="I21" s="33"/>
      <c r="J21" s="207" t="s">
        <v>32</v>
      </c>
      <c r="K21" s="207"/>
      <c r="L21" s="207"/>
      <c r="M21" s="207"/>
      <c r="N21" s="207"/>
      <c r="O21" s="207"/>
      <c r="P21" s="207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05" t="s">
        <v>33</v>
      </c>
      <c r="C23" s="130" t="s">
        <v>34</v>
      </c>
      <c r="D23" s="130"/>
      <c r="E23" s="130"/>
      <c r="F23" s="130"/>
      <c r="G23" s="131"/>
      <c r="H23" s="202" t="s">
        <v>35</v>
      </c>
      <c r="I23" s="203"/>
      <c r="J23" s="204"/>
      <c r="K23" s="130" t="s">
        <v>36</v>
      </c>
      <c r="L23" s="130"/>
      <c r="M23" s="130"/>
      <c r="N23" s="130"/>
      <c r="O23" s="130"/>
      <c r="P23" s="131"/>
      <c r="Z23" s="11"/>
    </row>
    <row r="24" spans="1:26" ht="15.75" customHeight="1" x14ac:dyDescent="0.25">
      <c r="A24" s="9"/>
      <c r="B24" s="206"/>
      <c r="C24" s="132"/>
      <c r="D24" s="132"/>
      <c r="E24" s="132"/>
      <c r="F24" s="132"/>
      <c r="G24" s="133"/>
      <c r="H24" s="199" t="s">
        <v>37</v>
      </c>
      <c r="I24" s="200"/>
      <c r="J24" s="201"/>
      <c r="K24" s="132"/>
      <c r="L24" s="132"/>
      <c r="M24" s="132"/>
      <c r="N24" s="132"/>
      <c r="O24" s="132"/>
      <c r="P24" s="133"/>
      <c r="Z24" s="11"/>
    </row>
    <row r="25" spans="1:26" ht="19.5" customHeight="1" x14ac:dyDescent="0.25">
      <c r="A25" s="9"/>
      <c r="B25" s="45">
        <v>1</v>
      </c>
      <c r="C25" s="115"/>
      <c r="D25" s="116"/>
      <c r="E25" s="116"/>
      <c r="F25" s="116"/>
      <c r="G25" s="117"/>
      <c r="H25" s="156">
        <v>105</v>
      </c>
      <c r="I25" s="157"/>
      <c r="J25" s="158"/>
      <c r="K25" s="115"/>
      <c r="L25" s="116"/>
      <c r="M25" s="116"/>
      <c r="N25" s="116"/>
      <c r="O25" s="116"/>
      <c r="P25" s="117"/>
      <c r="Z25" s="11"/>
    </row>
    <row r="26" spans="1:26" ht="19.5" customHeight="1" x14ac:dyDescent="0.25">
      <c r="A26" s="9"/>
      <c r="B26" s="45">
        <v>2</v>
      </c>
      <c r="C26" s="115"/>
      <c r="D26" s="116"/>
      <c r="E26" s="116"/>
      <c r="F26" s="116"/>
      <c r="G26" s="117"/>
      <c r="H26" s="156">
        <v>55</v>
      </c>
      <c r="I26" s="157"/>
      <c r="J26" s="158"/>
      <c r="K26" s="115"/>
      <c r="L26" s="116"/>
      <c r="M26" s="116"/>
      <c r="N26" s="116"/>
      <c r="O26" s="116"/>
      <c r="P26" s="117"/>
      <c r="Z26" s="11"/>
    </row>
    <row r="27" spans="1:26" ht="19.5" customHeight="1" x14ac:dyDescent="0.25">
      <c r="A27" s="9"/>
      <c r="B27" s="45"/>
      <c r="C27" s="115"/>
      <c r="D27" s="116"/>
      <c r="E27" s="116"/>
      <c r="F27" s="116"/>
      <c r="G27" s="117"/>
      <c r="H27" s="156"/>
      <c r="I27" s="157"/>
      <c r="J27" s="158"/>
      <c r="K27" s="115"/>
      <c r="L27" s="116"/>
      <c r="M27" s="116"/>
      <c r="N27" s="116"/>
      <c r="O27" s="116"/>
      <c r="P27" s="117"/>
      <c r="Z27" s="11"/>
    </row>
    <row r="28" spans="1:26" ht="19.5" customHeight="1" x14ac:dyDescent="0.25">
      <c r="A28" s="9"/>
      <c r="B28" s="45"/>
      <c r="C28" s="115"/>
      <c r="D28" s="116"/>
      <c r="E28" s="116"/>
      <c r="F28" s="116"/>
      <c r="G28" s="117"/>
      <c r="H28" s="156"/>
      <c r="I28" s="157"/>
      <c r="J28" s="158"/>
      <c r="K28" s="115"/>
      <c r="L28" s="116"/>
      <c r="M28" s="116"/>
      <c r="N28" s="116"/>
      <c r="O28" s="116"/>
      <c r="P28" s="117"/>
      <c r="Z28" s="11"/>
    </row>
    <row r="29" spans="1:26" ht="19.5" customHeight="1" x14ac:dyDescent="0.25">
      <c r="A29" s="9"/>
      <c r="B29" s="45"/>
      <c r="C29" s="115"/>
      <c r="D29" s="116"/>
      <c r="E29" s="116"/>
      <c r="F29" s="116"/>
      <c r="G29" s="117"/>
      <c r="H29" s="156"/>
      <c r="I29" s="157"/>
      <c r="J29" s="158"/>
      <c r="K29" s="115"/>
      <c r="L29" s="116"/>
      <c r="M29" s="116"/>
      <c r="N29" s="116"/>
      <c r="O29" s="116"/>
      <c r="P29" s="117"/>
      <c r="Z29" s="11"/>
    </row>
    <row r="30" spans="1:26" ht="19.5" customHeight="1" x14ac:dyDescent="0.25">
      <c r="A30" s="9"/>
      <c r="B30" s="45"/>
      <c r="C30" s="115"/>
      <c r="D30" s="116"/>
      <c r="E30" s="116"/>
      <c r="F30" s="116"/>
      <c r="G30" s="117"/>
      <c r="H30" s="156"/>
      <c r="I30" s="157"/>
      <c r="J30" s="158"/>
      <c r="K30" s="115"/>
      <c r="L30" s="116"/>
      <c r="M30" s="116"/>
      <c r="N30" s="116"/>
      <c r="O30" s="116"/>
      <c r="P30" s="117"/>
      <c r="Z30" s="11"/>
    </row>
    <row r="31" spans="1:26" ht="19.5" customHeight="1" x14ac:dyDescent="0.25">
      <c r="A31" s="9"/>
      <c r="B31" s="45"/>
      <c r="C31" s="115"/>
      <c r="D31" s="116"/>
      <c r="E31" s="116"/>
      <c r="F31" s="116"/>
      <c r="G31" s="117"/>
      <c r="H31" s="156"/>
      <c r="I31" s="157"/>
      <c r="J31" s="158"/>
      <c r="K31" s="115"/>
      <c r="L31" s="116"/>
      <c r="M31" s="116"/>
      <c r="N31" s="116"/>
      <c r="O31" s="116"/>
      <c r="P31" s="117"/>
      <c r="Z31" s="11"/>
    </row>
    <row r="32" spans="1:26" ht="19.5" customHeight="1" x14ac:dyDescent="0.25">
      <c r="A32" s="9"/>
      <c r="B32" s="45"/>
      <c r="C32" s="115"/>
      <c r="D32" s="116"/>
      <c r="E32" s="116"/>
      <c r="F32" s="116"/>
      <c r="G32" s="117"/>
      <c r="H32" s="156"/>
      <c r="I32" s="157"/>
      <c r="J32" s="158"/>
      <c r="K32" s="115"/>
      <c r="L32" s="116"/>
      <c r="M32" s="116"/>
      <c r="N32" s="116"/>
      <c r="O32" s="116"/>
      <c r="P32" s="117"/>
      <c r="Z32" s="11"/>
    </row>
    <row r="33" spans="1:26" ht="19.5" customHeight="1" x14ac:dyDescent="0.25">
      <c r="A33" s="9"/>
      <c r="B33" s="45"/>
      <c r="C33" s="115"/>
      <c r="D33" s="116"/>
      <c r="E33" s="116"/>
      <c r="F33" s="116"/>
      <c r="G33" s="117"/>
      <c r="H33" s="156"/>
      <c r="I33" s="157"/>
      <c r="J33" s="158"/>
      <c r="K33" s="115"/>
      <c r="L33" s="116"/>
      <c r="M33" s="116"/>
      <c r="N33" s="116"/>
      <c r="O33" s="116"/>
      <c r="P33" s="117"/>
      <c r="Z33" s="11"/>
    </row>
    <row r="34" spans="1:26" ht="19.5" customHeight="1" x14ac:dyDescent="0.25">
      <c r="A34" s="9"/>
      <c r="B34" s="45"/>
      <c r="C34" s="115"/>
      <c r="D34" s="116"/>
      <c r="E34" s="116"/>
      <c r="F34" s="116"/>
      <c r="G34" s="117"/>
      <c r="H34" s="156"/>
      <c r="I34" s="157"/>
      <c r="J34" s="158"/>
      <c r="K34" s="115"/>
      <c r="L34" s="116"/>
      <c r="M34" s="116"/>
      <c r="N34" s="116"/>
      <c r="O34" s="116"/>
      <c r="P34" s="117"/>
      <c r="Z34" s="11"/>
    </row>
    <row r="35" spans="1:26" ht="19.5" customHeight="1" x14ac:dyDescent="0.25">
      <c r="A35" s="9"/>
      <c r="B35" s="45"/>
      <c r="C35" s="115"/>
      <c r="D35" s="116"/>
      <c r="E35" s="116"/>
      <c r="F35" s="116"/>
      <c r="G35" s="117"/>
      <c r="H35" s="156"/>
      <c r="I35" s="157"/>
      <c r="J35" s="158"/>
      <c r="K35" s="115"/>
      <c r="L35" s="116"/>
      <c r="M35" s="116"/>
      <c r="N35" s="116"/>
      <c r="O35" s="116"/>
      <c r="P35" s="117"/>
      <c r="Z35" s="11"/>
    </row>
    <row r="36" spans="1:26" ht="19.5" customHeight="1" x14ac:dyDescent="0.25">
      <c r="A36" s="9"/>
      <c r="B36" s="45"/>
      <c r="C36" s="115"/>
      <c r="D36" s="116"/>
      <c r="E36" s="116"/>
      <c r="F36" s="116"/>
      <c r="G36" s="117"/>
      <c r="H36" s="156"/>
      <c r="I36" s="157"/>
      <c r="J36" s="158"/>
      <c r="K36" s="115"/>
      <c r="L36" s="116"/>
      <c r="M36" s="116"/>
      <c r="N36" s="116"/>
      <c r="O36" s="116"/>
      <c r="P36" s="117"/>
      <c r="Z36" s="11"/>
    </row>
    <row r="37" spans="1:26" ht="19.5" customHeight="1" x14ac:dyDescent="0.25">
      <c r="A37" s="9"/>
      <c r="B37" s="45"/>
      <c r="C37" s="115"/>
      <c r="D37" s="116"/>
      <c r="E37" s="116"/>
      <c r="F37" s="116"/>
      <c r="G37" s="117"/>
      <c r="H37" s="156"/>
      <c r="I37" s="157"/>
      <c r="J37" s="158"/>
      <c r="K37" s="115"/>
      <c r="L37" s="116"/>
      <c r="M37" s="116"/>
      <c r="N37" s="116"/>
      <c r="O37" s="116"/>
      <c r="P37" s="117"/>
      <c r="Z37" s="11"/>
    </row>
    <row r="38" spans="1:26" ht="19.5" customHeight="1" x14ac:dyDescent="0.25">
      <c r="A38" s="9"/>
      <c r="B38" s="45"/>
      <c r="C38" s="115"/>
      <c r="D38" s="116"/>
      <c r="E38" s="116"/>
      <c r="F38" s="116"/>
      <c r="G38" s="117"/>
      <c r="H38" s="156"/>
      <c r="I38" s="157"/>
      <c r="J38" s="158"/>
      <c r="K38" s="115"/>
      <c r="L38" s="116"/>
      <c r="M38" s="116"/>
      <c r="N38" s="116"/>
      <c r="O38" s="116"/>
      <c r="P38" s="117"/>
      <c r="Z38" s="11"/>
    </row>
    <row r="39" spans="1:26" ht="19.5" customHeight="1" x14ac:dyDescent="0.25">
      <c r="A39" s="9"/>
      <c r="B39" s="45"/>
      <c r="C39" s="115"/>
      <c r="D39" s="116"/>
      <c r="E39" s="116"/>
      <c r="F39" s="116"/>
      <c r="G39" s="117"/>
      <c r="H39" s="156"/>
      <c r="I39" s="157"/>
      <c r="J39" s="158"/>
      <c r="K39" s="115"/>
      <c r="L39" s="116"/>
      <c r="M39" s="116"/>
      <c r="N39" s="116"/>
      <c r="O39" s="116"/>
      <c r="P39" s="117"/>
      <c r="Z39" s="11"/>
    </row>
    <row r="40" spans="1:26" ht="19.5" customHeight="1" x14ac:dyDescent="0.25">
      <c r="A40" s="9"/>
      <c r="B40" s="45"/>
      <c r="C40" s="115"/>
      <c r="D40" s="116"/>
      <c r="E40" s="116"/>
      <c r="F40" s="116"/>
      <c r="G40" s="117"/>
      <c r="H40" s="156"/>
      <c r="I40" s="157"/>
      <c r="J40" s="158"/>
      <c r="K40" s="115"/>
      <c r="L40" s="116"/>
      <c r="M40" s="116"/>
      <c r="N40" s="116"/>
      <c r="O40" s="116"/>
      <c r="P40" s="117"/>
      <c r="Z40" s="11"/>
    </row>
    <row r="41" spans="1:26" ht="19.5" customHeight="1" x14ac:dyDescent="0.25">
      <c r="A41" s="9"/>
      <c r="B41" s="45"/>
      <c r="C41" s="115"/>
      <c r="D41" s="116"/>
      <c r="E41" s="116"/>
      <c r="F41" s="116"/>
      <c r="G41" s="117"/>
      <c r="H41" s="156"/>
      <c r="I41" s="157"/>
      <c r="J41" s="158"/>
      <c r="K41" s="115"/>
      <c r="L41" s="116"/>
      <c r="M41" s="116"/>
      <c r="N41" s="116"/>
      <c r="O41" s="116"/>
      <c r="P41" s="117"/>
      <c r="Z41" s="11"/>
    </row>
    <row r="42" spans="1:26" ht="19.5" customHeight="1" x14ac:dyDescent="0.25">
      <c r="A42" s="9"/>
      <c r="B42" s="45"/>
      <c r="C42" s="115"/>
      <c r="D42" s="116"/>
      <c r="E42" s="116"/>
      <c r="F42" s="116"/>
      <c r="G42" s="117"/>
      <c r="H42" s="156"/>
      <c r="I42" s="157"/>
      <c r="J42" s="158"/>
      <c r="K42" s="115"/>
      <c r="L42" s="116"/>
      <c r="M42" s="116"/>
      <c r="N42" s="116"/>
      <c r="O42" s="116"/>
      <c r="P42" s="117"/>
      <c r="Z42" s="11"/>
    </row>
    <row r="43" spans="1:26" ht="19.5" customHeight="1" x14ac:dyDescent="0.25">
      <c r="A43" s="9"/>
      <c r="B43" s="45"/>
      <c r="C43" s="115"/>
      <c r="D43" s="116"/>
      <c r="E43" s="116"/>
      <c r="F43" s="116"/>
      <c r="G43" s="117"/>
      <c r="H43" s="156"/>
      <c r="I43" s="157"/>
      <c r="J43" s="158"/>
      <c r="K43" s="115"/>
      <c r="L43" s="116"/>
      <c r="M43" s="116"/>
      <c r="N43" s="116"/>
      <c r="O43" s="116"/>
      <c r="P43" s="117"/>
      <c r="Z43" s="11"/>
    </row>
    <row r="44" spans="1:26" ht="19.5" customHeight="1" x14ac:dyDescent="0.25">
      <c r="A44" s="9"/>
      <c r="B44" s="45"/>
      <c r="C44" s="115"/>
      <c r="D44" s="116"/>
      <c r="E44" s="116"/>
      <c r="F44" s="116"/>
      <c r="G44" s="117"/>
      <c r="H44" s="156"/>
      <c r="I44" s="157"/>
      <c r="J44" s="158"/>
      <c r="K44" s="115"/>
      <c r="L44" s="116"/>
      <c r="M44" s="116"/>
      <c r="N44" s="116"/>
      <c r="O44" s="116"/>
      <c r="P44" s="117"/>
      <c r="Z44" s="11"/>
    </row>
    <row r="45" spans="1:26" ht="19.5" customHeight="1" thickBot="1" x14ac:dyDescent="0.3">
      <c r="A45" s="9"/>
      <c r="B45" s="46"/>
      <c r="C45" s="139"/>
      <c r="D45" s="139"/>
      <c r="E45" s="139"/>
      <c r="F45" s="139"/>
      <c r="G45" s="140"/>
      <c r="H45" s="135"/>
      <c r="I45" s="136"/>
      <c r="J45" s="137"/>
      <c r="K45" s="138"/>
      <c r="L45" s="139"/>
      <c r="M45" s="139"/>
      <c r="N45" s="139"/>
      <c r="O45" s="139"/>
      <c r="P45" s="140"/>
      <c r="Z45" s="11"/>
    </row>
    <row r="46" spans="1:26" ht="15.75" customHeight="1" x14ac:dyDescent="0.25">
      <c r="A46" s="9"/>
      <c r="B46" s="189" t="s">
        <v>40</v>
      </c>
      <c r="C46" s="190"/>
      <c r="D46" s="190"/>
      <c r="E46" s="190"/>
      <c r="F46" s="190"/>
      <c r="G46" s="191"/>
      <c r="H46" s="195">
        <f>AVERAGE(H25:J45)</f>
        <v>80</v>
      </c>
      <c r="I46" s="196"/>
      <c r="J46" s="197"/>
      <c r="K46" s="123" t="s">
        <v>41</v>
      </c>
      <c r="L46" s="124"/>
      <c r="M46" s="118" t="s">
        <v>42</v>
      </c>
      <c r="N46" s="118"/>
      <c r="O46" s="118"/>
      <c r="P46" s="119"/>
      <c r="Z46" s="11"/>
    </row>
    <row r="47" spans="1:26" ht="15.75" customHeight="1" x14ac:dyDescent="0.25">
      <c r="A47" s="9"/>
      <c r="B47" s="183" t="s">
        <v>43</v>
      </c>
      <c r="C47" s="184"/>
      <c r="D47" s="184"/>
      <c r="E47" s="184"/>
      <c r="F47" s="184"/>
      <c r="G47" s="185"/>
      <c r="H47" s="98">
        <f>IF(COUNTIF(H25:J45,"*&lt;20*"),"&lt;20",MIN(H25:J45))</f>
        <v>55</v>
      </c>
      <c r="I47" s="99"/>
      <c r="J47" s="100"/>
      <c r="K47" s="125"/>
      <c r="L47" s="126"/>
      <c r="M47" s="91"/>
      <c r="N47" s="91"/>
      <c r="O47" s="91"/>
      <c r="P47" s="120"/>
      <c r="Z47" s="11"/>
    </row>
    <row r="48" spans="1:26" ht="15.75" customHeight="1" thickBot="1" x14ac:dyDescent="0.3">
      <c r="A48" s="9"/>
      <c r="B48" s="186" t="s">
        <v>44</v>
      </c>
      <c r="C48" s="187"/>
      <c r="D48" s="187"/>
      <c r="E48" s="187"/>
      <c r="F48" s="187"/>
      <c r="G48" s="188"/>
      <c r="H48" s="192">
        <f>IF(COUNTIF(H25:J45,"*&gt;250*"),"&gt;250",MAX(H25:J45))</f>
        <v>105</v>
      </c>
      <c r="I48" s="193"/>
      <c r="J48" s="194"/>
      <c r="K48" s="127"/>
      <c r="L48" s="128"/>
      <c r="M48" s="121"/>
      <c r="N48" s="121"/>
      <c r="O48" s="121"/>
      <c r="P48" s="122"/>
      <c r="Z48" s="11"/>
    </row>
    <row r="49" spans="1:26" ht="15.9" customHeight="1" x14ac:dyDescent="0.25">
      <c r="A49" s="35"/>
      <c r="B49" s="4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6"/>
    </row>
    <row r="50" spans="1:26" ht="12.75" customHeight="1" x14ac:dyDescent="0.25">
      <c r="A50" s="36"/>
      <c r="B50" s="37"/>
    </row>
    <row r="51" spans="1:26" s="17" customFormat="1" ht="15.6" customHeight="1" x14ac:dyDescent="0.25">
      <c r="A51" s="48" t="s">
        <v>45</v>
      </c>
      <c r="B51" s="5" t="s">
        <v>46</v>
      </c>
      <c r="C51" s="49"/>
      <c r="D51" s="49"/>
      <c r="E51" s="49"/>
      <c r="F51" s="50"/>
      <c r="G51" s="50"/>
      <c r="H51" s="5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1"/>
      <c r="V51" s="52"/>
      <c r="W51" s="52"/>
      <c r="X51" s="42"/>
      <c r="Y51" s="42"/>
      <c r="Z51" s="43"/>
    </row>
    <row r="52" spans="1:26" s="17" customFormat="1" ht="28.5" customHeight="1" x14ac:dyDescent="0.25">
      <c r="A52" s="103" t="s">
        <v>47</v>
      </c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5"/>
      <c r="R52" s="83" t="s">
        <v>48</v>
      </c>
      <c r="S52" s="84"/>
      <c r="T52" s="85"/>
      <c r="U52" s="73" t="s">
        <v>49</v>
      </c>
      <c r="V52" s="74"/>
      <c r="W52" s="74"/>
      <c r="X52" s="75"/>
      <c r="Y52" s="75"/>
      <c r="Z52" s="76"/>
    </row>
    <row r="53" spans="1:26" s="17" customFormat="1" ht="15.6" customHeight="1" x14ac:dyDescent="0.25">
      <c r="A53" s="77" t="s">
        <v>50</v>
      </c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9"/>
      <c r="R53" s="83" t="s">
        <v>51</v>
      </c>
      <c r="S53" s="84"/>
      <c r="T53" s="85"/>
      <c r="U53" s="86" t="s">
        <v>52</v>
      </c>
      <c r="V53" s="87"/>
      <c r="W53" s="87"/>
      <c r="X53" s="88"/>
      <c r="Y53" s="88"/>
      <c r="Z53" s="89"/>
    </row>
    <row r="54" spans="1:26" s="17" customFormat="1" ht="15.6" customHeight="1" x14ac:dyDescent="0.25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2"/>
      <c r="R54" s="83"/>
      <c r="S54" s="84"/>
      <c r="T54" s="85"/>
      <c r="U54" s="90"/>
      <c r="V54" s="91"/>
      <c r="W54" s="91"/>
      <c r="X54" s="92"/>
      <c r="Y54" s="92"/>
      <c r="Z54" s="93"/>
    </row>
    <row r="55" spans="1:26" s="17" customFormat="1" ht="15.6" customHeight="1" x14ac:dyDescent="0.25">
      <c r="A55" s="55" t="s">
        <v>53</v>
      </c>
      <c r="B55" s="56" t="s">
        <v>54</v>
      </c>
      <c r="C55" s="1"/>
      <c r="D55" s="1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7"/>
      <c r="R55" s="83"/>
      <c r="S55" s="84"/>
      <c r="T55" s="85"/>
      <c r="U55" s="94"/>
      <c r="V55" s="95"/>
      <c r="W55" s="95"/>
      <c r="X55" s="96"/>
      <c r="Y55" s="96"/>
      <c r="Z55" s="97"/>
    </row>
    <row r="56" spans="1:26" s="17" customFormat="1" ht="15.6" customHeight="1" x14ac:dyDescent="0.25">
      <c r="A56" s="174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6"/>
      <c r="R56" s="83" t="s">
        <v>55</v>
      </c>
      <c r="S56" s="84"/>
      <c r="T56" s="85"/>
      <c r="U56" s="58"/>
      <c r="V56" s="59"/>
      <c r="W56" s="59"/>
      <c r="X56" s="59"/>
      <c r="Y56" s="59"/>
      <c r="Z56" s="60"/>
    </row>
    <row r="57" spans="1:26" s="17" customFormat="1" ht="15.6" customHeight="1" x14ac:dyDescent="0.25">
      <c r="A57" s="174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6"/>
      <c r="R57" s="83"/>
      <c r="S57" s="84"/>
      <c r="T57" s="85"/>
      <c r="U57" s="61"/>
      <c r="V57" s="91"/>
      <c r="W57" s="91"/>
      <c r="X57" s="91"/>
      <c r="Y57" s="91"/>
      <c r="Z57" s="62"/>
    </row>
    <row r="58" spans="1:26" s="17" customFormat="1" ht="15.6" customHeight="1" x14ac:dyDescent="0.25">
      <c r="A58" s="174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6"/>
      <c r="R58" s="83"/>
      <c r="S58" s="84"/>
      <c r="T58" s="85"/>
      <c r="U58" s="61"/>
      <c r="V58" s="91"/>
      <c r="W58" s="91"/>
      <c r="X58" s="91"/>
      <c r="Y58" s="91"/>
      <c r="Z58" s="62"/>
    </row>
    <row r="59" spans="1:26" s="17" customFormat="1" ht="15.6" customHeight="1" x14ac:dyDescent="0.25">
      <c r="A59" s="177"/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9"/>
      <c r="R59" s="180"/>
      <c r="S59" s="181"/>
      <c r="T59" s="182"/>
      <c r="U59" s="63"/>
      <c r="V59" s="64"/>
      <c r="W59" s="64"/>
      <c r="X59" s="64"/>
      <c r="Y59" s="64"/>
      <c r="Z59" s="65"/>
    </row>
    <row r="60" spans="1:26" s="17" customFormat="1" ht="15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54"/>
      <c r="S60" s="54"/>
      <c r="T60" s="54"/>
      <c r="U60" s="41"/>
      <c r="V60" s="41"/>
      <c r="W60" s="41"/>
      <c r="X60" s="41"/>
      <c r="Y60" s="41"/>
      <c r="Z60" s="41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K42:P42"/>
    <mergeCell ref="C43:G43"/>
    <mergeCell ref="H43:J43"/>
    <mergeCell ref="K43:P43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A56:Q59"/>
    <mergeCell ref="R56:T59"/>
    <mergeCell ref="K26:P26"/>
    <mergeCell ref="C27:G27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K34:P34"/>
    <mergeCell ref="C35:G35"/>
    <mergeCell ref="H35:J35"/>
    <mergeCell ref="K35:P35"/>
    <mergeCell ref="C36:G36"/>
    <mergeCell ref="H36:J36"/>
    <mergeCell ref="K36:P36"/>
    <mergeCell ref="C37:G3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G5:H5"/>
    <mergeCell ref="K28:P28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C38:G38"/>
    <mergeCell ref="H38:J38"/>
    <mergeCell ref="K38:P38"/>
    <mergeCell ref="U52:Z52"/>
    <mergeCell ref="A53:Q54"/>
    <mergeCell ref="R53:T55"/>
    <mergeCell ref="U53:Z55"/>
    <mergeCell ref="H47:J47"/>
    <mergeCell ref="B17:H17"/>
    <mergeCell ref="B12:G12"/>
    <mergeCell ref="B11:G11"/>
    <mergeCell ref="A52:Q52"/>
    <mergeCell ref="R52:T52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  <mergeCell ref="H42:J4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FD7A-28DA-4C58-BE92-0C3B806AD60B}">
  <sheetPr>
    <pageSetUpPr fitToPage="1"/>
  </sheetPr>
  <dimension ref="A1:AA67"/>
  <sheetViews>
    <sheetView workbookViewId="0">
      <selection activeCell="K18" sqref="K18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59"/>
      <c r="B1" s="160"/>
      <c r="C1" s="160"/>
      <c r="D1" s="160"/>
      <c r="E1" s="160"/>
      <c r="F1" s="161"/>
      <c r="G1" s="168" t="s">
        <v>0</v>
      </c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70"/>
      <c r="U1" s="106" t="s">
        <v>1</v>
      </c>
      <c r="V1" s="107"/>
      <c r="W1" s="107"/>
      <c r="X1" s="107"/>
      <c r="Y1" s="107"/>
      <c r="Z1" s="108"/>
    </row>
    <row r="2" spans="1:26" ht="12.75" customHeight="1" x14ac:dyDescent="0.25">
      <c r="A2" s="162"/>
      <c r="B2" s="163"/>
      <c r="C2" s="163"/>
      <c r="D2" s="163"/>
      <c r="E2" s="163"/>
      <c r="F2" s="164"/>
      <c r="G2" s="171" t="s">
        <v>2</v>
      </c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3"/>
      <c r="U2" s="109"/>
      <c r="V2" s="110"/>
      <c r="W2" s="110"/>
      <c r="X2" s="110"/>
      <c r="Y2" s="110"/>
      <c r="Z2" s="111"/>
    </row>
    <row r="3" spans="1:26" ht="12.75" customHeight="1" x14ac:dyDescent="0.25">
      <c r="A3" s="162"/>
      <c r="B3" s="163"/>
      <c r="C3" s="163"/>
      <c r="D3" s="163"/>
      <c r="E3" s="163"/>
      <c r="F3" s="164"/>
      <c r="G3" s="171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3"/>
      <c r="U3" s="109"/>
      <c r="V3" s="110"/>
      <c r="W3" s="110"/>
      <c r="X3" s="110"/>
      <c r="Y3" s="110"/>
      <c r="Z3" s="111"/>
    </row>
    <row r="4" spans="1:26" ht="12.75" customHeight="1" x14ac:dyDescent="0.25">
      <c r="A4" s="162"/>
      <c r="B4" s="163"/>
      <c r="C4" s="163"/>
      <c r="D4" s="163"/>
      <c r="E4" s="163"/>
      <c r="F4" s="164"/>
      <c r="G4" s="171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3"/>
      <c r="U4" s="109"/>
      <c r="V4" s="110"/>
      <c r="W4" s="110"/>
      <c r="X4" s="110"/>
      <c r="Y4" s="110"/>
      <c r="Z4" s="111"/>
    </row>
    <row r="5" spans="1:26" ht="12.75" customHeight="1" x14ac:dyDescent="0.25">
      <c r="A5" s="162"/>
      <c r="B5" s="163"/>
      <c r="C5" s="163"/>
      <c r="D5" s="163"/>
      <c r="E5" s="163"/>
      <c r="F5" s="164"/>
      <c r="G5" s="141" t="s">
        <v>3</v>
      </c>
      <c r="H5" s="142"/>
      <c r="I5" s="146">
        <v>4</v>
      </c>
      <c r="J5" s="146"/>
      <c r="K5" s="147"/>
      <c r="L5" s="149" t="s">
        <v>4</v>
      </c>
      <c r="M5" s="150"/>
      <c r="N5" s="150"/>
      <c r="O5" s="151"/>
      <c r="P5" s="152" t="s">
        <v>73</v>
      </c>
      <c r="Q5" s="153"/>
      <c r="R5" s="153"/>
      <c r="S5" s="153"/>
      <c r="T5" s="154"/>
      <c r="U5" s="109"/>
      <c r="V5" s="110"/>
      <c r="W5" s="110"/>
      <c r="X5" s="110"/>
      <c r="Y5" s="110"/>
      <c r="Z5" s="111"/>
    </row>
    <row r="6" spans="1:26" ht="12.75" customHeight="1" x14ac:dyDescent="0.25">
      <c r="A6" s="165"/>
      <c r="B6" s="166"/>
      <c r="C6" s="166"/>
      <c r="D6" s="166"/>
      <c r="E6" s="166"/>
      <c r="F6" s="167"/>
      <c r="G6" s="2"/>
      <c r="H6" s="3"/>
      <c r="I6" s="148" t="s">
        <v>6</v>
      </c>
      <c r="J6" s="148"/>
      <c r="K6" s="148"/>
      <c r="L6" s="148" t="s">
        <v>7</v>
      </c>
      <c r="M6" s="148"/>
      <c r="N6" s="148"/>
      <c r="O6" s="148"/>
      <c r="P6" s="148" t="s">
        <v>8</v>
      </c>
      <c r="Q6" s="148"/>
      <c r="R6" s="148"/>
      <c r="S6" s="148"/>
      <c r="T6" s="155"/>
      <c r="U6" s="112"/>
      <c r="V6" s="113"/>
      <c r="W6" s="113"/>
      <c r="X6" s="113"/>
      <c r="Y6" s="113"/>
      <c r="Z6" s="114"/>
    </row>
    <row r="7" spans="1:26" ht="36.6" customHeight="1" x14ac:dyDescent="0.25">
      <c r="A7" s="143" t="s">
        <v>9</v>
      </c>
      <c r="B7" s="143"/>
      <c r="C7" s="143"/>
      <c r="D7" s="143"/>
      <c r="E7" s="143"/>
      <c r="F7" s="143"/>
      <c r="G7" s="144" t="s">
        <v>10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 spans="1:26" ht="15.9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02" t="s">
        <v>13</v>
      </c>
      <c r="C10" s="102"/>
      <c r="D10" s="102"/>
      <c r="E10" s="102"/>
      <c r="F10" s="102"/>
      <c r="G10" s="102"/>
      <c r="H10" s="145" t="s">
        <v>14</v>
      </c>
      <c r="I10" s="145"/>
      <c r="J10" s="145"/>
      <c r="K10" s="145"/>
      <c r="L10" s="145"/>
      <c r="M10" s="145"/>
      <c r="N10" s="102" t="s">
        <v>15</v>
      </c>
      <c r="O10" s="102"/>
      <c r="P10" s="102"/>
      <c r="Q10" s="102"/>
      <c r="R10" s="102"/>
      <c r="S10" s="129" t="s">
        <v>74</v>
      </c>
      <c r="T10" s="129"/>
      <c r="U10" s="129"/>
      <c r="V10" s="129"/>
      <c r="W10" s="129"/>
      <c r="X10" s="129"/>
      <c r="Y10" s="129"/>
      <c r="Z10" s="12"/>
    </row>
    <row r="11" spans="1:26" ht="15.9" customHeight="1" x14ac:dyDescent="0.25">
      <c r="A11" s="9"/>
      <c r="B11" s="102" t="s">
        <v>17</v>
      </c>
      <c r="C11" s="102"/>
      <c r="D11" s="102"/>
      <c r="E11" s="102"/>
      <c r="F11" s="102"/>
      <c r="G11" s="102"/>
      <c r="H11" s="145" t="s">
        <v>73</v>
      </c>
      <c r="I11" s="145"/>
      <c r="J11" s="145"/>
      <c r="K11" s="145"/>
      <c r="L11" s="145"/>
      <c r="M11" s="145"/>
      <c r="N11" s="102" t="s">
        <v>18</v>
      </c>
      <c r="O11" s="102"/>
      <c r="P11" s="102"/>
      <c r="Q11" s="102"/>
      <c r="R11" s="102"/>
      <c r="S11" s="129" t="s">
        <v>72</v>
      </c>
      <c r="T11" s="129"/>
      <c r="U11" s="129"/>
      <c r="V11" s="129"/>
      <c r="W11" s="129"/>
      <c r="X11" s="129"/>
      <c r="Y11" s="129"/>
      <c r="Z11" s="12"/>
    </row>
    <row r="12" spans="1:26" ht="15.9" customHeight="1" x14ac:dyDescent="0.25">
      <c r="A12" s="9"/>
      <c r="B12" s="102" t="s">
        <v>20</v>
      </c>
      <c r="C12" s="102"/>
      <c r="D12" s="102"/>
      <c r="E12" s="102"/>
      <c r="F12" s="102"/>
      <c r="G12" s="102"/>
      <c r="H12" s="145" t="s">
        <v>71</v>
      </c>
      <c r="I12" s="145"/>
      <c r="J12" s="145"/>
      <c r="K12" s="145"/>
      <c r="L12" s="145"/>
      <c r="M12" s="145"/>
      <c r="N12" s="102" t="s">
        <v>22</v>
      </c>
      <c r="O12" s="102"/>
      <c r="P12" s="102"/>
      <c r="Q12" s="102"/>
      <c r="R12" s="102"/>
      <c r="S12" s="129" t="s">
        <v>23</v>
      </c>
      <c r="T12" s="129"/>
      <c r="U12" s="129"/>
      <c r="V12" s="129"/>
      <c r="W12" s="129"/>
      <c r="X12" s="129"/>
      <c r="Y12" s="129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24</v>
      </c>
      <c r="B15" s="21" t="s">
        <v>25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01" t="s">
        <v>26</v>
      </c>
      <c r="C17" s="101"/>
      <c r="D17" s="101"/>
      <c r="E17" s="101"/>
      <c r="F17" s="101"/>
      <c r="G17" s="101"/>
      <c r="H17" s="101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28"/>
    </row>
    <row r="18" spans="1:26" s="17" customFormat="1" ht="15" customHeight="1" x14ac:dyDescent="0.25">
      <c r="A18" s="24"/>
      <c r="B18" s="101" t="s">
        <v>27</v>
      </c>
      <c r="C18" s="101"/>
      <c r="D18" s="101"/>
      <c r="E18" s="101"/>
      <c r="F18" s="101"/>
      <c r="G18" s="101"/>
      <c r="H18" s="101"/>
      <c r="I18" s="198" t="s">
        <v>28</v>
      </c>
      <c r="J18" s="198"/>
      <c r="K18" s="27">
        <v>35</v>
      </c>
      <c r="L18" s="27" t="s">
        <v>29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30</v>
      </c>
      <c r="B21" s="38" t="s">
        <v>31</v>
      </c>
      <c r="C21" s="33"/>
      <c r="D21" s="34"/>
      <c r="E21" s="34"/>
      <c r="F21" s="34"/>
      <c r="G21" s="34"/>
      <c r="H21" s="33"/>
      <c r="I21" s="33"/>
      <c r="J21" s="207" t="s">
        <v>32</v>
      </c>
      <c r="K21" s="207"/>
      <c r="L21" s="207"/>
      <c r="M21" s="207"/>
      <c r="N21" s="207"/>
      <c r="O21" s="207"/>
      <c r="P21" s="207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05" t="s">
        <v>33</v>
      </c>
      <c r="C23" s="130" t="s">
        <v>34</v>
      </c>
      <c r="D23" s="130"/>
      <c r="E23" s="130"/>
      <c r="F23" s="130"/>
      <c r="G23" s="131"/>
      <c r="H23" s="202" t="s">
        <v>35</v>
      </c>
      <c r="I23" s="203"/>
      <c r="J23" s="204"/>
      <c r="K23" s="130" t="s">
        <v>36</v>
      </c>
      <c r="L23" s="130"/>
      <c r="M23" s="130"/>
      <c r="N23" s="130"/>
      <c r="O23" s="130"/>
      <c r="P23" s="131"/>
      <c r="Z23" s="11"/>
    </row>
    <row r="24" spans="1:26" ht="15.75" customHeight="1" x14ac:dyDescent="0.25">
      <c r="A24" s="9"/>
      <c r="B24" s="206"/>
      <c r="C24" s="132"/>
      <c r="D24" s="132"/>
      <c r="E24" s="132"/>
      <c r="F24" s="132"/>
      <c r="G24" s="133"/>
      <c r="H24" s="199" t="s">
        <v>37</v>
      </c>
      <c r="I24" s="200"/>
      <c r="J24" s="201"/>
      <c r="K24" s="132"/>
      <c r="L24" s="132"/>
      <c r="M24" s="132"/>
      <c r="N24" s="132"/>
      <c r="O24" s="132"/>
      <c r="P24" s="133"/>
      <c r="Z24" s="11"/>
    </row>
    <row r="25" spans="1:26" ht="19.5" customHeight="1" x14ac:dyDescent="0.25">
      <c r="A25" s="9"/>
      <c r="B25" s="45">
        <v>1</v>
      </c>
      <c r="C25" s="115"/>
      <c r="D25" s="116"/>
      <c r="E25" s="116"/>
      <c r="F25" s="116"/>
      <c r="G25" s="117"/>
      <c r="H25" s="156">
        <v>84</v>
      </c>
      <c r="I25" s="157"/>
      <c r="J25" s="158"/>
      <c r="K25" s="115"/>
      <c r="L25" s="116"/>
      <c r="M25" s="116"/>
      <c r="N25" s="116"/>
      <c r="O25" s="116"/>
      <c r="P25" s="117"/>
      <c r="Z25" s="11"/>
    </row>
    <row r="26" spans="1:26" ht="19.5" customHeight="1" x14ac:dyDescent="0.25">
      <c r="A26" s="9"/>
      <c r="B26" s="45">
        <v>2</v>
      </c>
      <c r="C26" s="115"/>
      <c r="D26" s="116"/>
      <c r="E26" s="116"/>
      <c r="F26" s="116"/>
      <c r="G26" s="117"/>
      <c r="H26" s="156">
        <v>61</v>
      </c>
      <c r="I26" s="208"/>
      <c r="J26" s="209"/>
      <c r="K26" s="115"/>
      <c r="L26" s="116"/>
      <c r="M26" s="116"/>
      <c r="N26" s="116"/>
      <c r="O26" s="116"/>
      <c r="P26" s="117"/>
      <c r="Z26" s="11"/>
    </row>
    <row r="27" spans="1:26" ht="19.5" customHeight="1" x14ac:dyDescent="0.25">
      <c r="A27" s="9"/>
      <c r="B27" s="45">
        <v>3</v>
      </c>
      <c r="C27" s="115"/>
      <c r="D27" s="116"/>
      <c r="E27" s="116"/>
      <c r="F27" s="116"/>
      <c r="G27" s="117"/>
      <c r="H27" s="156">
        <v>88</v>
      </c>
      <c r="I27" s="208"/>
      <c r="J27" s="209"/>
      <c r="K27" s="115"/>
      <c r="L27" s="116"/>
      <c r="M27" s="116"/>
      <c r="N27" s="116"/>
      <c r="O27" s="116"/>
      <c r="P27" s="117"/>
      <c r="Z27" s="11"/>
    </row>
    <row r="28" spans="1:26" ht="19.5" customHeight="1" x14ac:dyDescent="0.25">
      <c r="A28" s="9"/>
      <c r="B28" s="45">
        <v>4</v>
      </c>
      <c r="C28" s="115"/>
      <c r="D28" s="116"/>
      <c r="E28" s="116"/>
      <c r="F28" s="116"/>
      <c r="G28" s="117"/>
      <c r="H28" s="156">
        <v>94</v>
      </c>
      <c r="I28" s="208"/>
      <c r="J28" s="209"/>
      <c r="K28" s="115"/>
      <c r="L28" s="116"/>
      <c r="M28" s="116"/>
      <c r="N28" s="116"/>
      <c r="O28" s="116"/>
      <c r="P28" s="117"/>
      <c r="Z28" s="11"/>
    </row>
    <row r="29" spans="1:26" ht="19.5" customHeight="1" x14ac:dyDescent="0.25">
      <c r="A29" s="9"/>
      <c r="B29" s="45">
        <v>5</v>
      </c>
      <c r="C29" s="115"/>
      <c r="D29" s="116"/>
      <c r="E29" s="116"/>
      <c r="F29" s="116"/>
      <c r="G29" s="117"/>
      <c r="H29" s="156">
        <v>54</v>
      </c>
      <c r="I29" s="208"/>
      <c r="J29" s="209"/>
      <c r="K29" s="115"/>
      <c r="L29" s="116"/>
      <c r="M29" s="116"/>
      <c r="N29" s="116"/>
      <c r="O29" s="116"/>
      <c r="P29" s="117"/>
      <c r="Z29" s="11"/>
    </row>
    <row r="30" spans="1:26" ht="19.5" customHeight="1" x14ac:dyDescent="0.25">
      <c r="A30" s="9"/>
      <c r="B30" s="45">
        <v>6</v>
      </c>
      <c r="C30" s="115"/>
      <c r="D30" s="116"/>
      <c r="E30" s="116"/>
      <c r="F30" s="116"/>
      <c r="G30" s="117"/>
      <c r="H30" s="156">
        <v>70</v>
      </c>
      <c r="I30" s="208"/>
      <c r="J30" s="209"/>
      <c r="K30" s="115"/>
      <c r="L30" s="116"/>
      <c r="M30" s="116"/>
      <c r="N30" s="116"/>
      <c r="O30" s="116"/>
      <c r="P30" s="117"/>
      <c r="Z30" s="11"/>
    </row>
    <row r="31" spans="1:26" ht="19.5" customHeight="1" x14ac:dyDescent="0.25">
      <c r="A31" s="9"/>
      <c r="B31" s="45">
        <v>7</v>
      </c>
      <c r="C31" s="115"/>
      <c r="D31" s="116"/>
      <c r="E31" s="116"/>
      <c r="F31" s="116"/>
      <c r="G31" s="117"/>
      <c r="H31" s="156">
        <v>50</v>
      </c>
      <c r="I31" s="208"/>
      <c r="J31" s="209"/>
      <c r="K31" s="115"/>
      <c r="L31" s="116"/>
      <c r="M31" s="116"/>
      <c r="N31" s="116"/>
      <c r="O31" s="116"/>
      <c r="P31" s="117"/>
      <c r="Z31" s="11"/>
    </row>
    <row r="32" spans="1:26" ht="19.5" customHeight="1" x14ac:dyDescent="0.25">
      <c r="A32" s="9"/>
      <c r="B32" s="45"/>
      <c r="C32" s="115"/>
      <c r="D32" s="116"/>
      <c r="E32" s="116"/>
      <c r="F32" s="116"/>
      <c r="G32" s="117"/>
      <c r="H32" s="156"/>
      <c r="I32" s="157"/>
      <c r="J32" s="158"/>
      <c r="K32" s="115"/>
      <c r="L32" s="116"/>
      <c r="M32" s="116"/>
      <c r="N32" s="116"/>
      <c r="O32" s="116"/>
      <c r="P32" s="117"/>
      <c r="Z32" s="11"/>
    </row>
    <row r="33" spans="1:26" ht="19.5" customHeight="1" x14ac:dyDescent="0.25">
      <c r="A33" s="9"/>
      <c r="B33" s="45"/>
      <c r="C33" s="115"/>
      <c r="D33" s="116"/>
      <c r="E33" s="116"/>
      <c r="F33" s="116"/>
      <c r="G33" s="117"/>
      <c r="H33" s="156"/>
      <c r="I33" s="157"/>
      <c r="J33" s="158"/>
      <c r="K33" s="115"/>
      <c r="L33" s="116"/>
      <c r="M33" s="116"/>
      <c r="N33" s="116"/>
      <c r="O33" s="116"/>
      <c r="P33" s="117"/>
      <c r="Z33" s="11"/>
    </row>
    <row r="34" spans="1:26" ht="19.5" customHeight="1" x14ac:dyDescent="0.25">
      <c r="A34" s="9"/>
      <c r="B34" s="45"/>
      <c r="C34" s="115"/>
      <c r="D34" s="116"/>
      <c r="E34" s="116"/>
      <c r="F34" s="116"/>
      <c r="G34" s="117"/>
      <c r="H34" s="156"/>
      <c r="I34" s="157"/>
      <c r="J34" s="158"/>
      <c r="K34" s="115"/>
      <c r="L34" s="116"/>
      <c r="M34" s="116"/>
      <c r="N34" s="116"/>
      <c r="O34" s="116"/>
      <c r="P34" s="117"/>
      <c r="Z34" s="11"/>
    </row>
    <row r="35" spans="1:26" ht="19.5" customHeight="1" x14ac:dyDescent="0.25">
      <c r="A35" s="9"/>
      <c r="B35" s="45"/>
      <c r="C35" s="115"/>
      <c r="D35" s="116"/>
      <c r="E35" s="116"/>
      <c r="F35" s="116"/>
      <c r="G35" s="117"/>
      <c r="H35" s="156"/>
      <c r="I35" s="157"/>
      <c r="J35" s="158"/>
      <c r="K35" s="115"/>
      <c r="L35" s="116"/>
      <c r="M35" s="116"/>
      <c r="N35" s="116"/>
      <c r="O35" s="116"/>
      <c r="P35" s="117"/>
      <c r="Z35" s="11"/>
    </row>
    <row r="36" spans="1:26" ht="19.5" customHeight="1" x14ac:dyDescent="0.25">
      <c r="A36" s="9"/>
      <c r="B36" s="45"/>
      <c r="C36" s="115"/>
      <c r="D36" s="116"/>
      <c r="E36" s="116"/>
      <c r="F36" s="116"/>
      <c r="G36" s="117"/>
      <c r="H36" s="156"/>
      <c r="I36" s="157"/>
      <c r="J36" s="158"/>
      <c r="K36" s="115"/>
      <c r="L36" s="116"/>
      <c r="M36" s="116"/>
      <c r="N36" s="116"/>
      <c r="O36" s="116"/>
      <c r="P36" s="117"/>
      <c r="Z36" s="11"/>
    </row>
    <row r="37" spans="1:26" ht="19.5" customHeight="1" x14ac:dyDescent="0.25">
      <c r="A37" s="9"/>
      <c r="B37" s="45"/>
      <c r="C37" s="115"/>
      <c r="D37" s="116"/>
      <c r="E37" s="116"/>
      <c r="F37" s="116"/>
      <c r="G37" s="117"/>
      <c r="H37" s="156"/>
      <c r="I37" s="157"/>
      <c r="J37" s="158"/>
      <c r="K37" s="115"/>
      <c r="L37" s="116"/>
      <c r="M37" s="116"/>
      <c r="N37" s="116"/>
      <c r="O37" s="116"/>
      <c r="P37" s="117"/>
      <c r="Z37" s="11"/>
    </row>
    <row r="38" spans="1:26" ht="19.5" customHeight="1" x14ac:dyDescent="0.25">
      <c r="A38" s="9"/>
      <c r="B38" s="45"/>
      <c r="C38" s="115"/>
      <c r="D38" s="116"/>
      <c r="E38" s="116"/>
      <c r="F38" s="116"/>
      <c r="G38" s="117"/>
      <c r="H38" s="156"/>
      <c r="I38" s="157"/>
      <c r="J38" s="158"/>
      <c r="K38" s="115"/>
      <c r="L38" s="116"/>
      <c r="M38" s="116"/>
      <c r="N38" s="116"/>
      <c r="O38" s="116"/>
      <c r="P38" s="117"/>
      <c r="Z38" s="11"/>
    </row>
    <row r="39" spans="1:26" ht="19.5" customHeight="1" x14ac:dyDescent="0.25">
      <c r="A39" s="9"/>
      <c r="B39" s="45"/>
      <c r="C39" s="115"/>
      <c r="D39" s="116"/>
      <c r="E39" s="116"/>
      <c r="F39" s="116"/>
      <c r="G39" s="117"/>
      <c r="H39" s="156"/>
      <c r="I39" s="157"/>
      <c r="J39" s="158"/>
      <c r="K39" s="115"/>
      <c r="L39" s="116"/>
      <c r="M39" s="116"/>
      <c r="N39" s="116"/>
      <c r="O39" s="116"/>
      <c r="P39" s="117"/>
      <c r="Z39" s="11"/>
    </row>
    <row r="40" spans="1:26" ht="19.5" customHeight="1" x14ac:dyDescent="0.25">
      <c r="A40" s="9"/>
      <c r="B40" s="45"/>
      <c r="C40" s="115"/>
      <c r="D40" s="116"/>
      <c r="E40" s="116"/>
      <c r="F40" s="116"/>
      <c r="G40" s="117"/>
      <c r="H40" s="156"/>
      <c r="I40" s="157"/>
      <c r="J40" s="158"/>
      <c r="K40" s="115"/>
      <c r="L40" s="116"/>
      <c r="M40" s="116"/>
      <c r="N40" s="116"/>
      <c r="O40" s="116"/>
      <c r="P40" s="117"/>
      <c r="Z40" s="11"/>
    </row>
    <row r="41" spans="1:26" ht="19.5" customHeight="1" x14ac:dyDescent="0.25">
      <c r="A41" s="9"/>
      <c r="B41" s="45"/>
      <c r="C41" s="115"/>
      <c r="D41" s="116"/>
      <c r="E41" s="116"/>
      <c r="F41" s="116"/>
      <c r="G41" s="117"/>
      <c r="H41" s="156"/>
      <c r="I41" s="157"/>
      <c r="J41" s="158"/>
      <c r="K41" s="115"/>
      <c r="L41" s="116"/>
      <c r="M41" s="116"/>
      <c r="N41" s="116"/>
      <c r="O41" s="116"/>
      <c r="P41" s="117"/>
      <c r="Z41" s="11"/>
    </row>
    <row r="42" spans="1:26" ht="19.5" customHeight="1" x14ac:dyDescent="0.25">
      <c r="A42" s="9"/>
      <c r="B42" s="45"/>
      <c r="C42" s="115"/>
      <c r="D42" s="116"/>
      <c r="E42" s="116"/>
      <c r="F42" s="116"/>
      <c r="G42" s="117"/>
      <c r="H42" s="156"/>
      <c r="I42" s="157"/>
      <c r="J42" s="158"/>
      <c r="K42" s="115"/>
      <c r="L42" s="116"/>
      <c r="M42" s="116"/>
      <c r="N42" s="116"/>
      <c r="O42" s="116"/>
      <c r="P42" s="117"/>
      <c r="Z42" s="11"/>
    </row>
    <row r="43" spans="1:26" ht="19.5" customHeight="1" x14ac:dyDescent="0.25">
      <c r="A43" s="9"/>
      <c r="B43" s="45"/>
      <c r="C43" s="115"/>
      <c r="D43" s="116"/>
      <c r="E43" s="116"/>
      <c r="F43" s="116"/>
      <c r="G43" s="117"/>
      <c r="H43" s="156"/>
      <c r="I43" s="157"/>
      <c r="J43" s="158"/>
      <c r="K43" s="115"/>
      <c r="L43" s="116"/>
      <c r="M43" s="116"/>
      <c r="N43" s="116"/>
      <c r="O43" s="116"/>
      <c r="P43" s="117"/>
      <c r="Z43" s="11"/>
    </row>
    <row r="44" spans="1:26" ht="19.5" customHeight="1" x14ac:dyDescent="0.25">
      <c r="A44" s="9"/>
      <c r="B44" s="45"/>
      <c r="C44" s="115"/>
      <c r="D44" s="116"/>
      <c r="E44" s="116"/>
      <c r="F44" s="116"/>
      <c r="G44" s="117"/>
      <c r="H44" s="156"/>
      <c r="I44" s="157"/>
      <c r="J44" s="158"/>
      <c r="K44" s="115"/>
      <c r="L44" s="116"/>
      <c r="M44" s="116"/>
      <c r="N44" s="116"/>
      <c r="O44" s="116"/>
      <c r="P44" s="117"/>
      <c r="Z44" s="11"/>
    </row>
    <row r="45" spans="1:26" ht="19.5" customHeight="1" thickBot="1" x14ac:dyDescent="0.3">
      <c r="A45" s="9"/>
      <c r="B45" s="46"/>
      <c r="C45" s="139"/>
      <c r="D45" s="139"/>
      <c r="E45" s="139"/>
      <c r="F45" s="139"/>
      <c r="G45" s="140"/>
      <c r="H45" s="135"/>
      <c r="I45" s="136"/>
      <c r="J45" s="137"/>
      <c r="K45" s="138"/>
      <c r="L45" s="139"/>
      <c r="M45" s="139"/>
      <c r="N45" s="139"/>
      <c r="O45" s="139"/>
      <c r="P45" s="140"/>
      <c r="Z45" s="11"/>
    </row>
    <row r="46" spans="1:26" ht="15.75" customHeight="1" x14ac:dyDescent="0.25">
      <c r="A46" s="9"/>
      <c r="B46" s="189" t="s">
        <v>40</v>
      </c>
      <c r="C46" s="190"/>
      <c r="D46" s="190"/>
      <c r="E46" s="190"/>
      <c r="F46" s="190"/>
      <c r="G46" s="191"/>
      <c r="H46" s="195">
        <f>AVERAGE(H25:J45)</f>
        <v>71.571428571428569</v>
      </c>
      <c r="I46" s="196"/>
      <c r="J46" s="197"/>
      <c r="K46" s="123">
        <v>100</v>
      </c>
      <c r="L46" s="124"/>
      <c r="M46" s="118" t="s">
        <v>42</v>
      </c>
      <c r="N46" s="118"/>
      <c r="O46" s="118"/>
      <c r="P46" s="119"/>
      <c r="Z46" s="11"/>
    </row>
    <row r="47" spans="1:26" ht="15.75" customHeight="1" x14ac:dyDescent="0.25">
      <c r="A47" s="9"/>
      <c r="B47" s="183" t="s">
        <v>43</v>
      </c>
      <c r="C47" s="184"/>
      <c r="D47" s="184"/>
      <c r="E47" s="184"/>
      <c r="F47" s="184"/>
      <c r="G47" s="185"/>
      <c r="H47" s="98">
        <f>IF(COUNTIF(H25:J45,"*&lt;20*"),"&lt;20",MIN(H25:J45))</f>
        <v>50</v>
      </c>
      <c r="I47" s="99"/>
      <c r="J47" s="100"/>
      <c r="K47" s="125"/>
      <c r="L47" s="126"/>
      <c r="M47" s="91"/>
      <c r="N47" s="91"/>
      <c r="O47" s="91"/>
      <c r="P47" s="120"/>
      <c r="Z47" s="11"/>
    </row>
    <row r="48" spans="1:26" ht="15.75" customHeight="1" thickBot="1" x14ac:dyDescent="0.3">
      <c r="A48" s="9"/>
      <c r="B48" s="186" t="s">
        <v>44</v>
      </c>
      <c r="C48" s="187"/>
      <c r="D48" s="187"/>
      <c r="E48" s="187"/>
      <c r="F48" s="187"/>
      <c r="G48" s="188"/>
      <c r="H48" s="192">
        <f>IF(COUNTIF(H25:J45,"*&gt;250*"),"&gt;250",MAX(H25:J45))</f>
        <v>94</v>
      </c>
      <c r="I48" s="193"/>
      <c r="J48" s="194"/>
      <c r="K48" s="127"/>
      <c r="L48" s="128"/>
      <c r="M48" s="121"/>
      <c r="N48" s="121"/>
      <c r="O48" s="121"/>
      <c r="P48" s="122"/>
      <c r="Z48" s="11"/>
    </row>
    <row r="49" spans="1:26" ht="15.9" customHeight="1" x14ac:dyDescent="0.25">
      <c r="A49" s="35"/>
      <c r="B49" s="4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6"/>
    </row>
    <row r="50" spans="1:26" ht="12.75" customHeight="1" x14ac:dyDescent="0.25">
      <c r="A50" s="36"/>
      <c r="B50" s="37"/>
    </row>
    <row r="51" spans="1:26" s="17" customFormat="1" ht="15.6" customHeight="1" x14ac:dyDescent="0.25">
      <c r="A51" s="48" t="s">
        <v>45</v>
      </c>
      <c r="B51" s="5" t="s">
        <v>46</v>
      </c>
      <c r="C51" s="49"/>
      <c r="D51" s="49"/>
      <c r="E51" s="49"/>
      <c r="F51" s="50"/>
      <c r="G51" s="50"/>
      <c r="H51" s="5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1"/>
      <c r="V51" s="52"/>
      <c r="W51" s="52"/>
      <c r="X51" s="42"/>
      <c r="Y51" s="42"/>
      <c r="Z51" s="43"/>
    </row>
    <row r="52" spans="1:26" s="17" customFormat="1" ht="28.5" customHeight="1" x14ac:dyDescent="0.25">
      <c r="A52" s="103" t="s">
        <v>47</v>
      </c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5"/>
      <c r="R52" s="83" t="s">
        <v>48</v>
      </c>
      <c r="S52" s="84"/>
      <c r="T52" s="85"/>
      <c r="U52" s="73" t="s">
        <v>49</v>
      </c>
      <c r="V52" s="74"/>
      <c r="W52" s="74"/>
      <c r="X52" s="75"/>
      <c r="Y52" s="75"/>
      <c r="Z52" s="76"/>
    </row>
    <row r="53" spans="1:26" s="17" customFormat="1" ht="15.6" customHeight="1" x14ac:dyDescent="0.25">
      <c r="A53" s="77" t="s">
        <v>50</v>
      </c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9"/>
      <c r="R53" s="83" t="s">
        <v>51</v>
      </c>
      <c r="S53" s="84"/>
      <c r="T53" s="85"/>
      <c r="U53" s="86" t="s">
        <v>52</v>
      </c>
      <c r="V53" s="87"/>
      <c r="W53" s="87"/>
      <c r="X53" s="88"/>
      <c r="Y53" s="88"/>
      <c r="Z53" s="89"/>
    </row>
    <row r="54" spans="1:26" s="17" customFormat="1" ht="15.6" customHeight="1" x14ac:dyDescent="0.25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2"/>
      <c r="R54" s="83"/>
      <c r="S54" s="84"/>
      <c r="T54" s="85"/>
      <c r="U54" s="90"/>
      <c r="V54" s="91"/>
      <c r="W54" s="91"/>
      <c r="X54" s="92"/>
      <c r="Y54" s="92"/>
      <c r="Z54" s="93"/>
    </row>
    <row r="55" spans="1:26" s="17" customFormat="1" ht="15.6" customHeight="1" x14ac:dyDescent="0.25">
      <c r="A55" s="55" t="s">
        <v>53</v>
      </c>
      <c r="B55" s="56" t="s">
        <v>54</v>
      </c>
      <c r="C55" s="1"/>
      <c r="D55" s="1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7"/>
      <c r="R55" s="83"/>
      <c r="S55" s="84"/>
      <c r="T55" s="85"/>
      <c r="U55" s="94"/>
      <c r="V55" s="95"/>
      <c r="W55" s="95"/>
      <c r="X55" s="96"/>
      <c r="Y55" s="96"/>
      <c r="Z55" s="97"/>
    </row>
    <row r="56" spans="1:26" s="17" customFormat="1" ht="15.6" customHeight="1" x14ac:dyDescent="0.25">
      <c r="A56" s="174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6"/>
      <c r="R56" s="83" t="s">
        <v>55</v>
      </c>
      <c r="S56" s="84"/>
      <c r="T56" s="85"/>
      <c r="U56" s="58"/>
      <c r="V56" s="59"/>
      <c r="W56" s="59"/>
      <c r="X56" s="59"/>
      <c r="Y56" s="59"/>
      <c r="Z56" s="60"/>
    </row>
    <row r="57" spans="1:26" s="17" customFormat="1" ht="15.6" customHeight="1" x14ac:dyDescent="0.25">
      <c r="A57" s="174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6"/>
      <c r="R57" s="83"/>
      <c r="S57" s="84"/>
      <c r="T57" s="85"/>
      <c r="U57" s="61"/>
      <c r="V57" s="91"/>
      <c r="W57" s="91"/>
      <c r="X57" s="91"/>
      <c r="Y57" s="91"/>
      <c r="Z57" s="62"/>
    </row>
    <row r="58" spans="1:26" s="17" customFormat="1" ht="15.6" customHeight="1" x14ac:dyDescent="0.25">
      <c r="A58" s="174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6"/>
      <c r="R58" s="83"/>
      <c r="S58" s="84"/>
      <c r="T58" s="85"/>
      <c r="U58" s="61"/>
      <c r="V58" s="91"/>
      <c r="W58" s="91"/>
      <c r="X58" s="91"/>
      <c r="Y58" s="91"/>
      <c r="Z58" s="62"/>
    </row>
    <row r="59" spans="1:26" s="17" customFormat="1" ht="15.6" customHeight="1" x14ac:dyDescent="0.25">
      <c r="A59" s="177"/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9"/>
      <c r="R59" s="180"/>
      <c r="S59" s="181"/>
      <c r="T59" s="182"/>
      <c r="U59" s="63"/>
      <c r="V59" s="64"/>
      <c r="W59" s="64"/>
      <c r="X59" s="64"/>
      <c r="Y59" s="64"/>
      <c r="Z59" s="65"/>
    </row>
    <row r="60" spans="1:26" s="17" customFormat="1" ht="15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54"/>
      <c r="S60" s="54"/>
      <c r="T60" s="54"/>
      <c r="U60" s="41"/>
      <c r="V60" s="41"/>
      <c r="W60" s="41"/>
      <c r="X60" s="41"/>
      <c r="Y60" s="41"/>
      <c r="Z60" s="41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U52:Z52"/>
    <mergeCell ref="A53:Q54"/>
    <mergeCell ref="R53:T55"/>
    <mergeCell ref="U53:Z55"/>
    <mergeCell ref="H47:J47"/>
    <mergeCell ref="B17:H17"/>
    <mergeCell ref="B12:G12"/>
    <mergeCell ref="B11:G11"/>
    <mergeCell ref="A52:Q52"/>
    <mergeCell ref="R52:T52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  <mergeCell ref="H42:J42"/>
    <mergeCell ref="M46:P48"/>
    <mergeCell ref="K46:L48"/>
    <mergeCell ref="S12:Y12"/>
    <mergeCell ref="K23:P24"/>
    <mergeCell ref="I17:Y17"/>
    <mergeCell ref="S11:Y11"/>
    <mergeCell ref="H45:J45"/>
    <mergeCell ref="K45:P45"/>
    <mergeCell ref="G5:H5"/>
    <mergeCell ref="K28:P28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C38:G38"/>
    <mergeCell ref="H38:J38"/>
    <mergeCell ref="K38:P38"/>
    <mergeCell ref="C36:G36"/>
    <mergeCell ref="H36:J36"/>
    <mergeCell ref="K36:P36"/>
    <mergeCell ref="C37:G3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K25:P25"/>
    <mergeCell ref="H33:J33"/>
    <mergeCell ref="K33:P33"/>
    <mergeCell ref="C34:G34"/>
    <mergeCell ref="H34:J34"/>
    <mergeCell ref="A56:Q59"/>
    <mergeCell ref="R56:T59"/>
    <mergeCell ref="K26:P26"/>
    <mergeCell ref="C27:G27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K34:P34"/>
    <mergeCell ref="C35:G35"/>
    <mergeCell ref="H35:J35"/>
    <mergeCell ref="K35:P35"/>
    <mergeCell ref="K42:P42"/>
    <mergeCell ref="C43:G43"/>
    <mergeCell ref="H43:J43"/>
    <mergeCell ref="K43:P43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1D8A-D3F3-4F1A-A89C-4B4B583A18D1}">
  <sheetPr>
    <pageSetUpPr fitToPage="1"/>
  </sheetPr>
  <dimension ref="A1:AA76"/>
  <sheetViews>
    <sheetView workbookViewId="0">
      <selection activeCell="AB18" sqref="AB18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59"/>
      <c r="B1" s="160"/>
      <c r="C1" s="160"/>
      <c r="D1" s="160"/>
      <c r="E1" s="160"/>
      <c r="F1" s="161"/>
      <c r="G1" s="168" t="s">
        <v>0</v>
      </c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70"/>
      <c r="U1" s="106" t="s">
        <v>1</v>
      </c>
      <c r="V1" s="107"/>
      <c r="W1" s="107"/>
      <c r="X1" s="107"/>
      <c r="Y1" s="107"/>
      <c r="Z1" s="108"/>
    </row>
    <row r="2" spans="1:26" ht="12.75" customHeight="1" x14ac:dyDescent="0.25">
      <c r="A2" s="162"/>
      <c r="B2" s="163"/>
      <c r="C2" s="163"/>
      <c r="D2" s="163"/>
      <c r="E2" s="163"/>
      <c r="F2" s="164"/>
      <c r="G2" s="171" t="s">
        <v>2</v>
      </c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3"/>
      <c r="U2" s="109"/>
      <c r="V2" s="110"/>
      <c r="W2" s="110"/>
      <c r="X2" s="110"/>
      <c r="Y2" s="110"/>
      <c r="Z2" s="111"/>
    </row>
    <row r="3" spans="1:26" ht="12.75" customHeight="1" x14ac:dyDescent="0.25">
      <c r="A3" s="162"/>
      <c r="B3" s="163"/>
      <c r="C3" s="163"/>
      <c r="D3" s="163"/>
      <c r="E3" s="163"/>
      <c r="F3" s="164"/>
      <c r="G3" s="171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3"/>
      <c r="U3" s="109"/>
      <c r="V3" s="110"/>
      <c r="W3" s="110"/>
      <c r="X3" s="110"/>
      <c r="Y3" s="110"/>
      <c r="Z3" s="111"/>
    </row>
    <row r="4" spans="1:26" ht="12.75" customHeight="1" x14ac:dyDescent="0.25">
      <c r="A4" s="162"/>
      <c r="B4" s="163"/>
      <c r="C4" s="163"/>
      <c r="D4" s="163"/>
      <c r="E4" s="163"/>
      <c r="F4" s="164"/>
      <c r="G4" s="171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3"/>
      <c r="U4" s="109"/>
      <c r="V4" s="110"/>
      <c r="W4" s="110"/>
      <c r="X4" s="110"/>
      <c r="Y4" s="110"/>
      <c r="Z4" s="111"/>
    </row>
    <row r="5" spans="1:26" ht="12.75" customHeight="1" x14ac:dyDescent="0.25">
      <c r="A5" s="162"/>
      <c r="B5" s="163"/>
      <c r="C5" s="163"/>
      <c r="D5" s="163"/>
      <c r="E5" s="163"/>
      <c r="F5" s="164"/>
      <c r="G5" s="141" t="s">
        <v>3</v>
      </c>
      <c r="H5" s="142"/>
      <c r="I5" s="146">
        <v>3</v>
      </c>
      <c r="J5" s="146"/>
      <c r="K5" s="147"/>
      <c r="L5" s="149" t="s">
        <v>60</v>
      </c>
      <c r="M5" s="150"/>
      <c r="N5" s="150"/>
      <c r="O5" s="151"/>
      <c r="P5" s="152" t="s">
        <v>61</v>
      </c>
      <c r="Q5" s="153"/>
      <c r="R5" s="153"/>
      <c r="S5" s="153"/>
      <c r="T5" s="154"/>
      <c r="U5" s="109"/>
      <c r="V5" s="110"/>
      <c r="W5" s="110"/>
      <c r="X5" s="110"/>
      <c r="Y5" s="110"/>
      <c r="Z5" s="111"/>
    </row>
    <row r="6" spans="1:26" ht="12.75" customHeight="1" x14ac:dyDescent="0.25">
      <c r="A6" s="165"/>
      <c r="B6" s="166"/>
      <c r="C6" s="166"/>
      <c r="D6" s="166"/>
      <c r="E6" s="166"/>
      <c r="F6" s="167"/>
      <c r="G6" s="2"/>
      <c r="H6" s="3"/>
      <c r="I6" s="148" t="s">
        <v>6</v>
      </c>
      <c r="J6" s="148"/>
      <c r="K6" s="148"/>
      <c r="L6" s="148" t="s">
        <v>7</v>
      </c>
      <c r="M6" s="148"/>
      <c r="N6" s="148"/>
      <c r="O6" s="148"/>
      <c r="P6" s="148" t="s">
        <v>8</v>
      </c>
      <c r="Q6" s="148"/>
      <c r="R6" s="148"/>
      <c r="S6" s="148"/>
      <c r="T6" s="155"/>
      <c r="U6" s="112"/>
      <c r="V6" s="113"/>
      <c r="W6" s="113"/>
      <c r="X6" s="113"/>
      <c r="Y6" s="113"/>
      <c r="Z6" s="114"/>
    </row>
    <row r="7" spans="1:26" ht="36.6" customHeight="1" x14ac:dyDescent="0.25">
      <c r="A7" s="143" t="s">
        <v>9</v>
      </c>
      <c r="B7" s="143"/>
      <c r="C7" s="143"/>
      <c r="D7" s="143"/>
      <c r="E7" s="143"/>
      <c r="F7" s="143"/>
      <c r="G7" s="144" t="s">
        <v>10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 spans="1:26" ht="15.9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02" t="s">
        <v>13</v>
      </c>
      <c r="C10" s="102"/>
      <c r="D10" s="102"/>
      <c r="E10" s="102"/>
      <c r="F10" s="102"/>
      <c r="G10" s="102"/>
      <c r="H10" s="145" t="s">
        <v>62</v>
      </c>
      <c r="I10" s="145"/>
      <c r="J10" s="145"/>
      <c r="K10" s="145"/>
      <c r="L10" s="145"/>
      <c r="M10" s="145"/>
      <c r="N10" s="102" t="s">
        <v>15</v>
      </c>
      <c r="O10" s="102"/>
      <c r="P10" s="102"/>
      <c r="Q10" s="102"/>
      <c r="R10" s="102"/>
      <c r="S10" s="129" t="s">
        <v>63</v>
      </c>
      <c r="T10" s="129"/>
      <c r="U10" s="129"/>
      <c r="V10" s="129"/>
      <c r="W10" s="129"/>
      <c r="X10" s="129"/>
      <c r="Y10" s="129"/>
      <c r="Z10" s="12"/>
    </row>
    <row r="11" spans="1:26" ht="15.9" customHeight="1" x14ac:dyDescent="0.25">
      <c r="A11" s="9"/>
      <c r="B11" s="102" t="s">
        <v>17</v>
      </c>
      <c r="C11" s="102"/>
      <c r="D11" s="102"/>
      <c r="E11" s="102"/>
      <c r="F11" s="102"/>
      <c r="G11" s="102"/>
      <c r="H11" s="145" t="s">
        <v>61</v>
      </c>
      <c r="I11" s="145"/>
      <c r="J11" s="145"/>
      <c r="K11" s="145"/>
      <c r="L11" s="145"/>
      <c r="M11" s="145"/>
      <c r="N11" s="102" t="s">
        <v>18</v>
      </c>
      <c r="O11" s="102"/>
      <c r="P11" s="102"/>
      <c r="Q11" s="102"/>
      <c r="R11" s="102"/>
      <c r="S11" s="129" t="s">
        <v>57</v>
      </c>
      <c r="T11" s="129"/>
      <c r="U11" s="129"/>
      <c r="V11" s="129"/>
      <c r="W11" s="129"/>
      <c r="X11" s="129"/>
      <c r="Y11" s="129"/>
      <c r="Z11" s="12"/>
    </row>
    <row r="12" spans="1:26" ht="15.9" customHeight="1" x14ac:dyDescent="0.25">
      <c r="A12" s="9"/>
      <c r="B12" s="102" t="s">
        <v>20</v>
      </c>
      <c r="C12" s="102"/>
      <c r="D12" s="102"/>
      <c r="E12" s="102"/>
      <c r="F12" s="102"/>
      <c r="G12" s="102"/>
      <c r="H12" s="145" t="s">
        <v>64</v>
      </c>
      <c r="I12" s="145"/>
      <c r="J12" s="145"/>
      <c r="K12" s="145"/>
      <c r="L12" s="145"/>
      <c r="M12" s="145"/>
      <c r="N12" s="102" t="s">
        <v>22</v>
      </c>
      <c r="O12" s="102"/>
      <c r="P12" s="102"/>
      <c r="Q12" s="102"/>
      <c r="R12" s="102"/>
      <c r="S12" s="129" t="s">
        <v>65</v>
      </c>
      <c r="T12" s="129"/>
      <c r="U12" s="129"/>
      <c r="V12" s="129"/>
      <c r="W12" s="129"/>
      <c r="X12" s="129"/>
      <c r="Y12" s="129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24</v>
      </c>
      <c r="B15" s="21" t="s">
        <v>25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01" t="s">
        <v>26</v>
      </c>
      <c r="C17" s="101"/>
      <c r="D17" s="101"/>
      <c r="E17" s="101"/>
      <c r="F17" s="101"/>
      <c r="G17" s="101"/>
      <c r="H17" s="101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28"/>
    </row>
    <row r="18" spans="1:26" s="17" customFormat="1" ht="15" customHeight="1" x14ac:dyDescent="0.25">
      <c r="A18" s="24"/>
      <c r="B18" s="101" t="s">
        <v>27</v>
      </c>
      <c r="C18" s="101"/>
      <c r="D18" s="101"/>
      <c r="E18" s="101"/>
      <c r="F18" s="101"/>
      <c r="G18" s="101"/>
      <c r="H18" s="101"/>
      <c r="I18" s="198" t="s">
        <v>28</v>
      </c>
      <c r="J18" s="198"/>
      <c r="K18" s="27">
        <v>50</v>
      </c>
      <c r="L18" s="27" t="s">
        <v>29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30</v>
      </c>
      <c r="B21" s="38" t="s">
        <v>31</v>
      </c>
      <c r="C21" s="33"/>
      <c r="D21" s="34"/>
      <c r="E21" s="34"/>
      <c r="F21" s="34"/>
      <c r="G21" s="34"/>
      <c r="H21" s="33"/>
      <c r="I21" s="33"/>
      <c r="J21" s="207" t="s">
        <v>32</v>
      </c>
      <c r="K21" s="207"/>
      <c r="L21" s="207"/>
      <c r="M21" s="207"/>
      <c r="N21" s="207"/>
      <c r="O21" s="207"/>
      <c r="P21" s="207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05" t="s">
        <v>33</v>
      </c>
      <c r="C23" s="130" t="s">
        <v>34</v>
      </c>
      <c r="D23" s="130"/>
      <c r="E23" s="130"/>
      <c r="F23" s="130"/>
      <c r="G23" s="131"/>
      <c r="H23" s="202" t="s">
        <v>35</v>
      </c>
      <c r="I23" s="203"/>
      <c r="J23" s="204"/>
      <c r="K23" s="130" t="s">
        <v>36</v>
      </c>
      <c r="L23" s="130"/>
      <c r="M23" s="130"/>
      <c r="N23" s="130"/>
      <c r="O23" s="130"/>
      <c r="P23" s="131"/>
      <c r="Z23" s="11"/>
    </row>
    <row r="24" spans="1:26" ht="15.75" customHeight="1" x14ac:dyDescent="0.25">
      <c r="A24" s="9"/>
      <c r="B24" s="206"/>
      <c r="C24" s="132"/>
      <c r="D24" s="132"/>
      <c r="E24" s="132"/>
      <c r="F24" s="132"/>
      <c r="G24" s="133"/>
      <c r="H24" s="199" t="s">
        <v>37</v>
      </c>
      <c r="I24" s="200"/>
      <c r="J24" s="201"/>
      <c r="K24" s="132"/>
      <c r="L24" s="132"/>
      <c r="M24" s="132"/>
      <c r="N24" s="132"/>
      <c r="O24" s="132"/>
      <c r="P24" s="133"/>
      <c r="Z24" s="11"/>
    </row>
    <row r="25" spans="1:26" ht="19.5" customHeight="1" x14ac:dyDescent="0.25">
      <c r="A25" s="9"/>
      <c r="B25" s="45">
        <v>1</v>
      </c>
      <c r="C25" s="115" t="s">
        <v>66</v>
      </c>
      <c r="D25" s="116"/>
      <c r="E25" s="116"/>
      <c r="F25" s="116"/>
      <c r="G25" s="117"/>
      <c r="H25" s="156">
        <v>65</v>
      </c>
      <c r="I25" s="157"/>
      <c r="J25" s="158"/>
      <c r="K25" s="115"/>
      <c r="L25" s="116"/>
      <c r="M25" s="116"/>
      <c r="N25" s="116"/>
      <c r="O25" s="116"/>
      <c r="P25" s="117"/>
      <c r="Z25" s="11"/>
    </row>
    <row r="26" spans="1:26" ht="19.5" customHeight="1" x14ac:dyDescent="0.25">
      <c r="A26" s="9"/>
      <c r="B26" s="45">
        <v>2</v>
      </c>
      <c r="C26" s="115" t="s">
        <v>67</v>
      </c>
      <c r="D26" s="116"/>
      <c r="E26" s="116"/>
      <c r="F26" s="116"/>
      <c r="G26" s="117"/>
      <c r="H26" s="156">
        <v>57</v>
      </c>
      <c r="I26" s="157"/>
      <c r="J26" s="158"/>
      <c r="K26" s="115"/>
      <c r="L26" s="116"/>
      <c r="M26" s="116"/>
      <c r="N26" s="116"/>
      <c r="O26" s="116"/>
      <c r="P26" s="117"/>
      <c r="Z26" s="11"/>
    </row>
    <row r="27" spans="1:26" ht="19.5" customHeight="1" x14ac:dyDescent="0.25">
      <c r="A27" s="9"/>
      <c r="B27" s="45">
        <v>3</v>
      </c>
      <c r="C27" s="115" t="s">
        <v>68</v>
      </c>
      <c r="D27" s="116"/>
      <c r="E27" s="116"/>
      <c r="F27" s="116"/>
      <c r="G27" s="117"/>
      <c r="H27" s="156">
        <v>61</v>
      </c>
      <c r="I27" s="157"/>
      <c r="J27" s="158"/>
      <c r="K27" s="115"/>
      <c r="L27" s="116"/>
      <c r="M27" s="116"/>
      <c r="N27" s="116"/>
      <c r="O27" s="116"/>
      <c r="P27" s="117"/>
      <c r="Z27" s="11"/>
    </row>
    <row r="28" spans="1:26" ht="19.5" customHeight="1" x14ac:dyDescent="0.25">
      <c r="A28" s="9"/>
      <c r="B28" s="72"/>
      <c r="C28" s="66"/>
      <c r="D28" s="67"/>
      <c r="E28" s="67"/>
      <c r="F28" s="67"/>
      <c r="G28" s="68"/>
      <c r="H28" s="69"/>
      <c r="I28" s="70"/>
      <c r="J28" s="71"/>
      <c r="K28" s="66"/>
      <c r="L28" s="67"/>
      <c r="M28" s="67"/>
      <c r="N28" s="67"/>
      <c r="O28" s="67"/>
      <c r="P28" s="68"/>
      <c r="Z28" s="11"/>
    </row>
    <row r="29" spans="1:26" ht="19.5" customHeight="1" x14ac:dyDescent="0.25">
      <c r="A29" s="9"/>
      <c r="B29" s="72"/>
      <c r="C29" s="66"/>
      <c r="D29" s="67"/>
      <c r="E29" s="67"/>
      <c r="F29" s="67"/>
      <c r="G29" s="68"/>
      <c r="H29" s="69"/>
      <c r="I29" s="70"/>
      <c r="J29" s="71"/>
      <c r="K29" s="66"/>
      <c r="L29" s="67"/>
      <c r="M29" s="67"/>
      <c r="N29" s="67"/>
      <c r="O29" s="67"/>
      <c r="P29" s="68"/>
      <c r="Z29" s="11"/>
    </row>
    <row r="30" spans="1:26" ht="19.5" customHeight="1" x14ac:dyDescent="0.25">
      <c r="A30" s="9"/>
      <c r="B30" s="72"/>
      <c r="C30" s="66"/>
      <c r="D30" s="67"/>
      <c r="E30" s="67"/>
      <c r="F30" s="67"/>
      <c r="G30" s="68"/>
      <c r="H30" s="69"/>
      <c r="I30" s="70"/>
      <c r="J30" s="71"/>
      <c r="K30" s="66"/>
      <c r="L30" s="67"/>
      <c r="M30" s="67"/>
      <c r="N30" s="67"/>
      <c r="O30" s="67"/>
      <c r="P30" s="68"/>
      <c r="Z30" s="11"/>
    </row>
    <row r="31" spans="1:26" ht="19.5" customHeight="1" x14ac:dyDescent="0.25">
      <c r="A31" s="9"/>
      <c r="B31" s="72"/>
      <c r="C31" s="66"/>
      <c r="D31" s="67"/>
      <c r="E31" s="67"/>
      <c r="F31" s="67"/>
      <c r="G31" s="68"/>
      <c r="H31" s="69"/>
      <c r="I31" s="70"/>
      <c r="J31" s="71"/>
      <c r="K31" s="66"/>
      <c r="L31" s="67"/>
      <c r="M31" s="67"/>
      <c r="N31" s="67"/>
      <c r="O31" s="67"/>
      <c r="P31" s="68"/>
      <c r="Z31" s="11"/>
    </row>
    <row r="32" spans="1:26" ht="19.5" customHeight="1" x14ac:dyDescent="0.25">
      <c r="A32" s="9"/>
      <c r="B32" s="72"/>
      <c r="C32" s="66"/>
      <c r="D32" s="67"/>
      <c r="E32" s="67"/>
      <c r="F32" s="67"/>
      <c r="G32" s="68"/>
      <c r="H32" s="69"/>
      <c r="I32" s="70"/>
      <c r="J32" s="71"/>
      <c r="K32" s="66"/>
      <c r="L32" s="67"/>
      <c r="M32" s="67"/>
      <c r="N32" s="67"/>
      <c r="O32" s="67"/>
      <c r="P32" s="68"/>
      <c r="Z32" s="11"/>
    </row>
    <row r="33" spans="1:26" ht="19.5" customHeight="1" x14ac:dyDescent="0.25">
      <c r="A33" s="9"/>
      <c r="B33" s="72"/>
      <c r="C33" s="66"/>
      <c r="D33" s="67"/>
      <c r="E33" s="67"/>
      <c r="F33" s="67"/>
      <c r="G33" s="68"/>
      <c r="H33" s="69"/>
      <c r="I33" s="70"/>
      <c r="J33" s="71"/>
      <c r="K33" s="66"/>
      <c r="L33" s="67"/>
      <c r="M33" s="67"/>
      <c r="N33" s="67"/>
      <c r="O33" s="67"/>
      <c r="P33" s="68"/>
      <c r="Z33" s="11"/>
    </row>
    <row r="34" spans="1:26" ht="19.5" customHeight="1" x14ac:dyDescent="0.25">
      <c r="A34" s="9"/>
      <c r="B34" s="72"/>
      <c r="C34" s="66"/>
      <c r="D34" s="67"/>
      <c r="E34" s="67"/>
      <c r="F34" s="67"/>
      <c r="G34" s="68"/>
      <c r="H34" s="69"/>
      <c r="I34" s="70"/>
      <c r="J34" s="71"/>
      <c r="K34" s="66"/>
      <c r="L34" s="67"/>
      <c r="M34" s="67"/>
      <c r="N34" s="67"/>
      <c r="O34" s="67"/>
      <c r="P34" s="68"/>
      <c r="Z34" s="11"/>
    </row>
    <row r="35" spans="1:26" ht="19.5" customHeight="1" x14ac:dyDescent="0.25">
      <c r="A35" s="9"/>
      <c r="B35" s="72"/>
      <c r="C35" s="66"/>
      <c r="D35" s="67"/>
      <c r="E35" s="67"/>
      <c r="F35" s="67"/>
      <c r="G35" s="68"/>
      <c r="H35" s="69"/>
      <c r="I35" s="70"/>
      <c r="J35" s="71"/>
      <c r="K35" s="66"/>
      <c r="L35" s="67"/>
      <c r="M35" s="67"/>
      <c r="N35" s="67"/>
      <c r="O35" s="67"/>
      <c r="P35" s="68"/>
      <c r="Z35" s="11"/>
    </row>
    <row r="36" spans="1:26" ht="19.5" customHeight="1" x14ac:dyDescent="0.25">
      <c r="A36" s="9"/>
      <c r="B36" s="72"/>
      <c r="C36" s="66"/>
      <c r="D36" s="67"/>
      <c r="E36" s="67"/>
      <c r="F36" s="67"/>
      <c r="G36" s="68"/>
      <c r="H36" s="69"/>
      <c r="I36" s="70"/>
      <c r="J36" s="71"/>
      <c r="K36" s="66"/>
      <c r="L36" s="67"/>
      <c r="M36" s="67"/>
      <c r="N36" s="67"/>
      <c r="O36" s="67"/>
      <c r="P36" s="68"/>
      <c r="Z36" s="11"/>
    </row>
    <row r="37" spans="1:26" ht="19.5" customHeight="1" x14ac:dyDescent="0.25">
      <c r="A37" s="9"/>
      <c r="B37" s="72"/>
      <c r="C37" s="66"/>
      <c r="D37" s="67"/>
      <c r="E37" s="67"/>
      <c r="F37" s="67"/>
      <c r="G37" s="68"/>
      <c r="H37" s="69"/>
      <c r="I37" s="70"/>
      <c r="J37" s="71"/>
      <c r="K37" s="66"/>
      <c r="L37" s="67"/>
      <c r="M37" s="67"/>
      <c r="N37" s="67"/>
      <c r="O37" s="67"/>
      <c r="P37" s="68"/>
      <c r="Z37" s="11"/>
    </row>
    <row r="38" spans="1:26" ht="19.5" customHeight="1" x14ac:dyDescent="0.25">
      <c r="A38" s="9"/>
      <c r="B38" s="72"/>
      <c r="C38" s="66"/>
      <c r="D38" s="67"/>
      <c r="E38" s="67"/>
      <c r="F38" s="67"/>
      <c r="G38" s="68"/>
      <c r="H38" s="69"/>
      <c r="I38" s="70"/>
      <c r="J38" s="71"/>
      <c r="K38" s="66"/>
      <c r="L38" s="67"/>
      <c r="M38" s="67"/>
      <c r="N38" s="67"/>
      <c r="O38" s="67"/>
      <c r="P38" s="68"/>
      <c r="Z38" s="11"/>
    </row>
    <row r="39" spans="1:26" ht="19.5" customHeight="1" x14ac:dyDescent="0.25">
      <c r="A39" s="9"/>
      <c r="B39" s="72"/>
      <c r="C39" s="66"/>
      <c r="D39" s="67"/>
      <c r="E39" s="67"/>
      <c r="F39" s="67"/>
      <c r="G39" s="68"/>
      <c r="H39" s="69"/>
      <c r="I39" s="70"/>
      <c r="J39" s="71"/>
      <c r="K39" s="66"/>
      <c r="L39" s="67"/>
      <c r="M39" s="67"/>
      <c r="N39" s="67"/>
      <c r="O39" s="67"/>
      <c r="P39" s="68"/>
      <c r="Z39" s="11"/>
    </row>
    <row r="40" spans="1:26" ht="19.5" customHeight="1" x14ac:dyDescent="0.25">
      <c r="A40" s="9"/>
      <c r="B40" s="72"/>
      <c r="C40" s="66"/>
      <c r="D40" s="67"/>
      <c r="E40" s="67"/>
      <c r="F40" s="67"/>
      <c r="G40" s="68"/>
      <c r="H40" s="69"/>
      <c r="I40" s="70"/>
      <c r="J40" s="71"/>
      <c r="K40" s="66"/>
      <c r="L40" s="67"/>
      <c r="M40" s="67"/>
      <c r="N40" s="67"/>
      <c r="O40" s="67"/>
      <c r="P40" s="68"/>
      <c r="Z40" s="11"/>
    </row>
    <row r="41" spans="1:26" ht="19.5" customHeight="1" x14ac:dyDescent="0.25">
      <c r="A41" s="9"/>
      <c r="B41" s="72"/>
      <c r="C41" s="66"/>
      <c r="D41" s="67"/>
      <c r="E41" s="67"/>
      <c r="F41" s="67"/>
      <c r="G41" s="68"/>
      <c r="H41" s="69"/>
      <c r="I41" s="70"/>
      <c r="J41" s="71"/>
      <c r="K41" s="66"/>
      <c r="L41" s="67"/>
      <c r="M41" s="67"/>
      <c r="N41" s="67"/>
      <c r="O41" s="67"/>
      <c r="P41" s="68"/>
      <c r="Z41" s="11"/>
    </row>
    <row r="42" spans="1:26" ht="19.5" customHeight="1" x14ac:dyDescent="0.25">
      <c r="A42" s="9"/>
      <c r="B42" s="72"/>
      <c r="C42" s="66"/>
      <c r="D42" s="67"/>
      <c r="E42" s="67"/>
      <c r="F42" s="67"/>
      <c r="G42" s="68"/>
      <c r="H42" s="69"/>
      <c r="I42" s="70"/>
      <c r="J42" s="71"/>
      <c r="K42" s="66"/>
      <c r="L42" s="67"/>
      <c r="M42" s="67"/>
      <c r="N42" s="67"/>
      <c r="O42" s="67"/>
      <c r="P42" s="68"/>
      <c r="Z42" s="11"/>
    </row>
    <row r="43" spans="1:26" ht="19.5" customHeight="1" x14ac:dyDescent="0.25">
      <c r="A43" s="9"/>
      <c r="B43" s="72"/>
      <c r="C43" s="66"/>
      <c r="D43" s="67"/>
      <c r="E43" s="67"/>
      <c r="F43" s="67"/>
      <c r="G43" s="68"/>
      <c r="H43" s="69"/>
      <c r="I43" s="70"/>
      <c r="J43" s="71"/>
      <c r="K43" s="66"/>
      <c r="L43" s="67"/>
      <c r="M43" s="67"/>
      <c r="N43" s="67"/>
      <c r="O43" s="67"/>
      <c r="P43" s="68"/>
      <c r="Z43" s="11"/>
    </row>
    <row r="44" spans="1:26" ht="19.5" customHeight="1" x14ac:dyDescent="0.25">
      <c r="A44" s="9"/>
      <c r="B44" s="72"/>
      <c r="C44" s="66"/>
      <c r="D44" s="67"/>
      <c r="E44" s="67"/>
      <c r="F44" s="67"/>
      <c r="G44" s="68"/>
      <c r="H44" s="69"/>
      <c r="I44" s="70"/>
      <c r="J44" s="71"/>
      <c r="K44" s="66"/>
      <c r="L44" s="67"/>
      <c r="M44" s="67"/>
      <c r="N44" s="67"/>
      <c r="O44" s="67"/>
      <c r="P44" s="68"/>
      <c r="Z44" s="11"/>
    </row>
    <row r="45" spans="1:26" ht="19.5" customHeight="1" x14ac:dyDescent="0.25">
      <c r="A45" s="9"/>
      <c r="B45" s="72"/>
      <c r="C45" s="66"/>
      <c r="D45" s="67"/>
      <c r="E45" s="67"/>
      <c r="F45" s="67"/>
      <c r="G45" s="68"/>
      <c r="H45" s="69"/>
      <c r="I45" s="70"/>
      <c r="J45" s="71"/>
      <c r="K45" s="66"/>
      <c r="L45" s="67"/>
      <c r="M45" s="67"/>
      <c r="N45" s="67"/>
      <c r="O45" s="67"/>
      <c r="P45" s="68"/>
      <c r="Z45" s="11"/>
    </row>
    <row r="46" spans="1:26" ht="19.5" customHeight="1" x14ac:dyDescent="0.25">
      <c r="A46" s="9"/>
      <c r="B46" s="72"/>
      <c r="C46" s="66"/>
      <c r="D46" s="67"/>
      <c r="E46" s="67"/>
      <c r="F46" s="67"/>
      <c r="G46" s="68"/>
      <c r="H46" s="69"/>
      <c r="I46" s="70"/>
      <c r="J46" s="71"/>
      <c r="K46" s="66"/>
      <c r="L46" s="67"/>
      <c r="M46" s="67"/>
      <c r="N46" s="67"/>
      <c r="O46" s="67"/>
      <c r="P46" s="68"/>
      <c r="Z46" s="11"/>
    </row>
    <row r="47" spans="1:26" ht="19.5" customHeight="1" x14ac:dyDescent="0.25">
      <c r="A47" s="9"/>
      <c r="B47" s="72"/>
      <c r="C47" s="66"/>
      <c r="D47" s="67"/>
      <c r="E47" s="67"/>
      <c r="F47" s="67"/>
      <c r="G47" s="68"/>
      <c r="H47" s="69"/>
      <c r="I47" s="70"/>
      <c r="J47" s="71"/>
      <c r="K47" s="66"/>
      <c r="L47" s="67"/>
      <c r="M47" s="67"/>
      <c r="N47" s="67"/>
      <c r="O47" s="67"/>
      <c r="P47" s="68"/>
      <c r="Z47" s="11"/>
    </row>
    <row r="48" spans="1:26" ht="19.5" customHeight="1" x14ac:dyDescent="0.25">
      <c r="A48" s="9"/>
      <c r="B48" s="72"/>
      <c r="C48" s="66"/>
      <c r="D48" s="67"/>
      <c r="E48" s="67"/>
      <c r="F48" s="67"/>
      <c r="G48" s="68"/>
      <c r="H48" s="69"/>
      <c r="I48" s="70"/>
      <c r="J48" s="71"/>
      <c r="K48" s="66"/>
      <c r="L48" s="67"/>
      <c r="M48" s="67"/>
      <c r="N48" s="67"/>
      <c r="O48" s="67"/>
      <c r="P48" s="68"/>
      <c r="Z48" s="11"/>
    </row>
    <row r="49" spans="1:26" ht="19.5" customHeight="1" x14ac:dyDescent="0.25">
      <c r="A49" s="9"/>
      <c r="B49" s="72"/>
      <c r="C49" s="66"/>
      <c r="D49" s="67"/>
      <c r="E49" s="67"/>
      <c r="F49" s="67"/>
      <c r="G49" s="68"/>
      <c r="H49" s="69"/>
      <c r="I49" s="70"/>
      <c r="J49" s="71"/>
      <c r="K49" s="66"/>
      <c r="L49" s="67"/>
      <c r="M49" s="67"/>
      <c r="N49" s="67"/>
      <c r="O49" s="67"/>
      <c r="P49" s="68"/>
      <c r="Z49" s="11"/>
    </row>
    <row r="50" spans="1:26" ht="19.5" customHeight="1" x14ac:dyDescent="0.25">
      <c r="A50" s="9"/>
      <c r="B50" s="72"/>
      <c r="C50" s="66"/>
      <c r="D50" s="67"/>
      <c r="E50" s="67"/>
      <c r="F50" s="67"/>
      <c r="G50" s="68"/>
      <c r="H50" s="69"/>
      <c r="I50" s="70"/>
      <c r="J50" s="71"/>
      <c r="K50" s="66"/>
      <c r="L50" s="67"/>
      <c r="M50" s="67"/>
      <c r="N50" s="67"/>
      <c r="O50" s="67"/>
      <c r="P50" s="68"/>
      <c r="Z50" s="11"/>
    </row>
    <row r="51" spans="1:26" ht="19.5" customHeight="1" x14ac:dyDescent="0.25">
      <c r="A51" s="9"/>
      <c r="B51" s="72"/>
      <c r="C51" s="66"/>
      <c r="D51" s="67"/>
      <c r="E51" s="67"/>
      <c r="F51" s="67"/>
      <c r="G51" s="68"/>
      <c r="H51" s="69"/>
      <c r="I51" s="70"/>
      <c r="J51" s="71"/>
      <c r="K51" s="66"/>
      <c r="L51" s="67"/>
      <c r="M51" s="67"/>
      <c r="N51" s="67"/>
      <c r="O51" s="67"/>
      <c r="P51" s="68"/>
      <c r="Z51" s="11"/>
    </row>
    <row r="52" spans="1:26" ht="19.5" customHeight="1" x14ac:dyDescent="0.25">
      <c r="A52" s="9"/>
      <c r="B52" s="72"/>
      <c r="C52" s="66"/>
      <c r="D52" s="67"/>
      <c r="E52" s="67"/>
      <c r="F52" s="67"/>
      <c r="G52" s="68"/>
      <c r="H52" s="69"/>
      <c r="I52" s="70"/>
      <c r="J52" s="71"/>
      <c r="K52" s="66"/>
      <c r="L52" s="67"/>
      <c r="M52" s="67"/>
      <c r="N52" s="67"/>
      <c r="O52" s="67"/>
      <c r="P52" s="68"/>
      <c r="Z52" s="11"/>
    </row>
    <row r="53" spans="1:26" ht="19.5" customHeight="1" x14ac:dyDescent="0.25">
      <c r="A53" s="9"/>
      <c r="B53" s="72"/>
      <c r="C53" s="66"/>
      <c r="D53" s="67"/>
      <c r="E53" s="67"/>
      <c r="F53" s="67"/>
      <c r="G53" s="68"/>
      <c r="H53" s="69"/>
      <c r="I53" s="70"/>
      <c r="J53" s="71"/>
      <c r="K53" s="66"/>
      <c r="L53" s="67"/>
      <c r="M53" s="67"/>
      <c r="N53" s="67"/>
      <c r="O53" s="67"/>
      <c r="P53" s="68"/>
      <c r="Z53" s="11"/>
    </row>
    <row r="54" spans="1:26" ht="19.5" customHeight="1" thickBot="1" x14ac:dyDescent="0.3">
      <c r="A54" s="9"/>
      <c r="B54" s="46"/>
      <c r="C54" s="211"/>
      <c r="D54" s="212"/>
      <c r="E54" s="212"/>
      <c r="F54" s="212"/>
      <c r="G54" s="213"/>
      <c r="H54" s="214"/>
      <c r="I54" s="215"/>
      <c r="J54" s="216"/>
      <c r="K54" s="211"/>
      <c r="L54" s="212"/>
      <c r="M54" s="212"/>
      <c r="N54" s="212"/>
      <c r="O54" s="212"/>
      <c r="P54" s="213"/>
      <c r="Z54" s="11"/>
    </row>
    <row r="55" spans="1:26" ht="15.75" customHeight="1" x14ac:dyDescent="0.25">
      <c r="A55" s="9"/>
      <c r="B55" s="189" t="s">
        <v>40</v>
      </c>
      <c r="C55" s="190"/>
      <c r="D55" s="190"/>
      <c r="E55" s="190"/>
      <c r="F55" s="190"/>
      <c r="G55" s="191"/>
      <c r="H55" s="195">
        <f>AVERAGE(H25:J54)</f>
        <v>61</v>
      </c>
      <c r="I55" s="196"/>
      <c r="J55" s="197"/>
      <c r="K55" s="123" t="s">
        <v>41</v>
      </c>
      <c r="L55" s="124"/>
      <c r="M55" s="118" t="s">
        <v>42</v>
      </c>
      <c r="N55" s="118"/>
      <c r="O55" s="118"/>
      <c r="P55" s="119"/>
      <c r="Z55" s="11"/>
    </row>
    <row r="56" spans="1:26" ht="15.75" customHeight="1" x14ac:dyDescent="0.25">
      <c r="A56" s="9"/>
      <c r="B56" s="183" t="s">
        <v>43</v>
      </c>
      <c r="C56" s="184"/>
      <c r="D56" s="184"/>
      <c r="E56" s="184"/>
      <c r="F56" s="184"/>
      <c r="G56" s="185"/>
      <c r="H56" s="98">
        <f>IF(COUNTIF(H25:J54,"*&lt;20*"),"&lt;20",MIN(H25:J54))</f>
        <v>57</v>
      </c>
      <c r="I56" s="99"/>
      <c r="J56" s="100"/>
      <c r="K56" s="125"/>
      <c r="L56" s="126"/>
      <c r="M56" s="91"/>
      <c r="N56" s="91"/>
      <c r="O56" s="91"/>
      <c r="P56" s="120"/>
      <c r="Z56" s="11"/>
    </row>
    <row r="57" spans="1:26" ht="15.75" customHeight="1" thickBot="1" x14ac:dyDescent="0.3">
      <c r="A57" s="9"/>
      <c r="B57" s="186" t="s">
        <v>44</v>
      </c>
      <c r="C57" s="187"/>
      <c r="D57" s="187"/>
      <c r="E57" s="187"/>
      <c r="F57" s="187"/>
      <c r="G57" s="188"/>
      <c r="H57" s="192">
        <f>IF(COUNTIF(H25:J54,"*&gt;250*"),"&gt;250",MAX(H25:J54))</f>
        <v>65</v>
      </c>
      <c r="I57" s="193"/>
      <c r="J57" s="194"/>
      <c r="K57" s="127"/>
      <c r="L57" s="128"/>
      <c r="M57" s="121"/>
      <c r="N57" s="121"/>
      <c r="O57" s="121"/>
      <c r="P57" s="122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45</v>
      </c>
      <c r="B60" s="5" t="s">
        <v>46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103" t="s">
        <v>47</v>
      </c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5"/>
      <c r="R61" s="83" t="s">
        <v>48</v>
      </c>
      <c r="S61" s="84"/>
      <c r="T61" s="85"/>
      <c r="U61" s="210" t="s">
        <v>62</v>
      </c>
      <c r="V61" s="74"/>
      <c r="W61" s="74"/>
      <c r="X61" s="75"/>
      <c r="Y61" s="75"/>
      <c r="Z61" s="76"/>
    </row>
    <row r="62" spans="1:26" s="17" customFormat="1" ht="15.6" customHeight="1" x14ac:dyDescent="0.25">
      <c r="A62" s="77" t="s">
        <v>69</v>
      </c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9"/>
      <c r="R62" s="83" t="s">
        <v>51</v>
      </c>
      <c r="S62" s="84"/>
      <c r="T62" s="85"/>
      <c r="U62" s="86" t="s">
        <v>70</v>
      </c>
      <c r="V62" s="87"/>
      <c r="W62" s="87"/>
      <c r="X62" s="88"/>
      <c r="Y62" s="88"/>
      <c r="Z62" s="89"/>
    </row>
    <row r="63" spans="1:26" s="17" customFormat="1" ht="15.6" customHeight="1" x14ac:dyDescent="0.25">
      <c r="A63" s="80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2"/>
      <c r="R63" s="83"/>
      <c r="S63" s="84"/>
      <c r="T63" s="85"/>
      <c r="U63" s="90"/>
      <c r="V63" s="91"/>
      <c r="W63" s="91"/>
      <c r="X63" s="92"/>
      <c r="Y63" s="92"/>
      <c r="Z63" s="93"/>
    </row>
    <row r="64" spans="1:26" s="17" customFormat="1" ht="15.6" customHeight="1" x14ac:dyDescent="0.25">
      <c r="A64" s="55" t="s">
        <v>53</v>
      </c>
      <c r="B64" s="56" t="s">
        <v>54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83"/>
      <c r="S64" s="84"/>
      <c r="T64" s="85"/>
      <c r="U64" s="94"/>
      <c r="V64" s="95"/>
      <c r="W64" s="95"/>
      <c r="X64" s="96"/>
      <c r="Y64" s="96"/>
      <c r="Z64" s="97"/>
    </row>
    <row r="65" spans="1:26" s="17" customFormat="1" ht="15.6" customHeight="1" x14ac:dyDescent="0.25">
      <c r="A65" s="174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6"/>
      <c r="R65" s="83" t="s">
        <v>55</v>
      </c>
      <c r="S65" s="84"/>
      <c r="T65" s="85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174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6"/>
      <c r="R66" s="83"/>
      <c r="S66" s="84"/>
      <c r="T66" s="85"/>
      <c r="U66" s="61"/>
      <c r="V66" s="91"/>
      <c r="W66" s="91"/>
      <c r="X66" s="91"/>
      <c r="Y66" s="91"/>
      <c r="Z66" s="62"/>
    </row>
    <row r="67" spans="1:26" s="17" customFormat="1" ht="15.6" customHeight="1" x14ac:dyDescent="0.25">
      <c r="A67" s="174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6"/>
      <c r="R67" s="83"/>
      <c r="S67" s="84"/>
      <c r="T67" s="85"/>
      <c r="U67" s="61"/>
      <c r="V67" s="91"/>
      <c r="W67" s="91"/>
      <c r="X67" s="91"/>
      <c r="Y67" s="91"/>
      <c r="Z67" s="62"/>
    </row>
    <row r="68" spans="1:26" s="17" customFormat="1" ht="15.6" customHeight="1" x14ac:dyDescent="0.25">
      <c r="A68" s="177"/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9"/>
      <c r="R68" s="180"/>
      <c r="S68" s="181"/>
      <c r="T68" s="182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64">
    <mergeCell ref="G2:T4"/>
    <mergeCell ref="G5:H5"/>
    <mergeCell ref="I5:K5"/>
    <mergeCell ref="L5:O5"/>
    <mergeCell ref="P5:T5"/>
    <mergeCell ref="I6:K6"/>
    <mergeCell ref="B11:G11"/>
    <mergeCell ref="H11:M11"/>
    <mergeCell ref="N11:R11"/>
    <mergeCell ref="S11:Y11"/>
    <mergeCell ref="L6:O6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B12:G12"/>
    <mergeCell ref="H12:M12"/>
    <mergeCell ref="N12:R12"/>
    <mergeCell ref="S12:Y12"/>
    <mergeCell ref="B23:B24"/>
    <mergeCell ref="C23:G24"/>
    <mergeCell ref="H23:J23"/>
    <mergeCell ref="K23:P24"/>
    <mergeCell ref="H24:J24"/>
    <mergeCell ref="B17:H17"/>
    <mergeCell ref="I17:Y17"/>
    <mergeCell ref="B18:H18"/>
    <mergeCell ref="I18:J18"/>
    <mergeCell ref="J21:P21"/>
    <mergeCell ref="C25:G25"/>
    <mergeCell ref="H25:J25"/>
    <mergeCell ref="K25:P25"/>
    <mergeCell ref="C26:G26"/>
    <mergeCell ref="H26:J26"/>
    <mergeCell ref="K26:P26"/>
    <mergeCell ref="C27:G27"/>
    <mergeCell ref="H27:J27"/>
    <mergeCell ref="K27:P27"/>
    <mergeCell ref="C54:G54"/>
    <mergeCell ref="H54:J54"/>
    <mergeCell ref="K54:P54"/>
    <mergeCell ref="B55:G55"/>
    <mergeCell ref="H55:J55"/>
    <mergeCell ref="K55:L57"/>
    <mergeCell ref="M55:P57"/>
    <mergeCell ref="B56:G56"/>
    <mergeCell ref="H56:J56"/>
    <mergeCell ref="B57:G57"/>
    <mergeCell ref="H57:J57"/>
    <mergeCell ref="A65:Q68"/>
    <mergeCell ref="R65:T68"/>
    <mergeCell ref="V66:Y67"/>
    <mergeCell ref="A61:Q61"/>
    <mergeCell ref="R61:T61"/>
    <mergeCell ref="U61:Z61"/>
    <mergeCell ref="A62:Q63"/>
    <mergeCell ref="R62:T64"/>
    <mergeCell ref="U62:Z6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E88E-97E8-4AE2-B4FB-FE554E1C9C68}">
  <sheetPr>
    <pageSetUpPr fitToPage="1"/>
  </sheetPr>
  <dimension ref="A1:AA67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59"/>
      <c r="B1" s="160"/>
      <c r="C1" s="160"/>
      <c r="D1" s="160"/>
      <c r="E1" s="160"/>
      <c r="F1" s="161"/>
      <c r="G1" s="168" t="s">
        <v>0</v>
      </c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70"/>
      <c r="U1" s="106" t="s">
        <v>1</v>
      </c>
      <c r="V1" s="107"/>
      <c r="W1" s="107"/>
      <c r="X1" s="107"/>
      <c r="Y1" s="107"/>
      <c r="Z1" s="108"/>
    </row>
    <row r="2" spans="1:26" ht="12.75" customHeight="1" x14ac:dyDescent="0.25">
      <c r="A2" s="162"/>
      <c r="B2" s="163"/>
      <c r="C2" s="163"/>
      <c r="D2" s="163"/>
      <c r="E2" s="163"/>
      <c r="F2" s="164"/>
      <c r="G2" s="171" t="s">
        <v>2</v>
      </c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3"/>
      <c r="U2" s="109"/>
      <c r="V2" s="110"/>
      <c r="W2" s="110"/>
      <c r="X2" s="110"/>
      <c r="Y2" s="110"/>
      <c r="Z2" s="111"/>
    </row>
    <row r="3" spans="1:26" ht="12.75" customHeight="1" x14ac:dyDescent="0.25">
      <c r="A3" s="162"/>
      <c r="B3" s="163"/>
      <c r="C3" s="163"/>
      <c r="D3" s="163"/>
      <c r="E3" s="163"/>
      <c r="F3" s="164"/>
      <c r="G3" s="171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3"/>
      <c r="U3" s="109"/>
      <c r="V3" s="110"/>
      <c r="W3" s="110"/>
      <c r="X3" s="110"/>
      <c r="Y3" s="110"/>
      <c r="Z3" s="111"/>
    </row>
    <row r="4" spans="1:26" ht="12.75" customHeight="1" x14ac:dyDescent="0.25">
      <c r="A4" s="162"/>
      <c r="B4" s="163"/>
      <c r="C4" s="163"/>
      <c r="D4" s="163"/>
      <c r="E4" s="163"/>
      <c r="F4" s="164"/>
      <c r="G4" s="171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3"/>
      <c r="U4" s="109"/>
      <c r="V4" s="110"/>
      <c r="W4" s="110"/>
      <c r="X4" s="110"/>
      <c r="Y4" s="110"/>
      <c r="Z4" s="111"/>
    </row>
    <row r="5" spans="1:26" ht="12.75" customHeight="1" x14ac:dyDescent="0.25">
      <c r="A5" s="162"/>
      <c r="B5" s="163"/>
      <c r="C5" s="163"/>
      <c r="D5" s="163"/>
      <c r="E5" s="163"/>
      <c r="F5" s="164"/>
      <c r="G5" s="141" t="s">
        <v>3</v>
      </c>
      <c r="H5" s="142"/>
      <c r="I5" s="146">
        <v>2</v>
      </c>
      <c r="J5" s="146"/>
      <c r="K5" s="147"/>
      <c r="L5" s="149" t="s">
        <v>4</v>
      </c>
      <c r="M5" s="150"/>
      <c r="N5" s="150"/>
      <c r="O5" s="151"/>
      <c r="P5" s="152" t="s">
        <v>58</v>
      </c>
      <c r="Q5" s="153"/>
      <c r="R5" s="153"/>
      <c r="S5" s="153"/>
      <c r="T5" s="154"/>
      <c r="U5" s="109"/>
      <c r="V5" s="110"/>
      <c r="W5" s="110"/>
      <c r="X5" s="110"/>
      <c r="Y5" s="110"/>
      <c r="Z5" s="111"/>
    </row>
    <row r="6" spans="1:26" ht="12.75" customHeight="1" x14ac:dyDescent="0.25">
      <c r="A6" s="165"/>
      <c r="B6" s="166"/>
      <c r="C6" s="166"/>
      <c r="D6" s="166"/>
      <c r="E6" s="166"/>
      <c r="F6" s="167"/>
      <c r="G6" s="2"/>
      <c r="H6" s="3"/>
      <c r="I6" s="148" t="s">
        <v>6</v>
      </c>
      <c r="J6" s="148"/>
      <c r="K6" s="148"/>
      <c r="L6" s="148" t="s">
        <v>7</v>
      </c>
      <c r="M6" s="148"/>
      <c r="N6" s="148"/>
      <c r="O6" s="148"/>
      <c r="P6" s="148" t="s">
        <v>8</v>
      </c>
      <c r="Q6" s="148"/>
      <c r="R6" s="148"/>
      <c r="S6" s="148"/>
      <c r="T6" s="155"/>
      <c r="U6" s="112"/>
      <c r="V6" s="113"/>
      <c r="W6" s="113"/>
      <c r="X6" s="113"/>
      <c r="Y6" s="113"/>
      <c r="Z6" s="114"/>
    </row>
    <row r="7" spans="1:26" ht="36.6" customHeight="1" x14ac:dyDescent="0.25">
      <c r="A7" s="143" t="s">
        <v>9</v>
      </c>
      <c r="B7" s="143"/>
      <c r="C7" s="143"/>
      <c r="D7" s="143"/>
      <c r="E7" s="143"/>
      <c r="F7" s="143"/>
      <c r="G7" s="144" t="s">
        <v>10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 spans="1:26" ht="15.9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02" t="s">
        <v>13</v>
      </c>
      <c r="C10" s="102"/>
      <c r="D10" s="102"/>
      <c r="E10" s="102"/>
      <c r="F10" s="102"/>
      <c r="G10" s="102"/>
      <c r="H10" s="145" t="s">
        <v>14</v>
      </c>
      <c r="I10" s="145"/>
      <c r="J10" s="145"/>
      <c r="K10" s="145"/>
      <c r="L10" s="145"/>
      <c r="M10" s="145"/>
      <c r="N10" s="102" t="s">
        <v>15</v>
      </c>
      <c r="O10" s="102"/>
      <c r="P10" s="102"/>
      <c r="Q10" s="102"/>
      <c r="R10" s="102"/>
      <c r="S10" s="129" t="s">
        <v>59</v>
      </c>
      <c r="T10" s="129"/>
      <c r="U10" s="129"/>
      <c r="V10" s="129"/>
      <c r="W10" s="129"/>
      <c r="X10" s="129"/>
      <c r="Y10" s="129"/>
      <c r="Z10" s="12"/>
    </row>
    <row r="11" spans="1:26" ht="15.9" customHeight="1" x14ac:dyDescent="0.25">
      <c r="A11" s="9"/>
      <c r="B11" s="102" t="s">
        <v>17</v>
      </c>
      <c r="C11" s="102"/>
      <c r="D11" s="102"/>
      <c r="E11" s="102"/>
      <c r="F11" s="102"/>
      <c r="G11" s="102"/>
      <c r="H11" s="145" t="s">
        <v>58</v>
      </c>
      <c r="I11" s="145"/>
      <c r="J11" s="145"/>
      <c r="K11" s="145"/>
      <c r="L11" s="145"/>
      <c r="M11" s="145"/>
      <c r="N11" s="102" t="s">
        <v>18</v>
      </c>
      <c r="O11" s="102"/>
      <c r="P11" s="102"/>
      <c r="Q11" s="102"/>
      <c r="R11" s="102"/>
      <c r="S11" s="129" t="s">
        <v>57</v>
      </c>
      <c r="T11" s="129"/>
      <c r="U11" s="129"/>
      <c r="V11" s="129"/>
      <c r="W11" s="129"/>
      <c r="X11" s="129"/>
      <c r="Y11" s="129"/>
      <c r="Z11" s="12"/>
    </row>
    <row r="12" spans="1:26" ht="15.9" customHeight="1" x14ac:dyDescent="0.25">
      <c r="A12" s="9"/>
      <c r="B12" s="102" t="s">
        <v>20</v>
      </c>
      <c r="C12" s="102"/>
      <c r="D12" s="102"/>
      <c r="E12" s="102"/>
      <c r="F12" s="102"/>
      <c r="G12" s="102"/>
      <c r="H12" s="145" t="s">
        <v>56</v>
      </c>
      <c r="I12" s="145"/>
      <c r="J12" s="145"/>
      <c r="K12" s="145"/>
      <c r="L12" s="145"/>
      <c r="M12" s="145"/>
      <c r="N12" s="102" t="s">
        <v>22</v>
      </c>
      <c r="O12" s="102"/>
      <c r="P12" s="102"/>
      <c r="Q12" s="102"/>
      <c r="R12" s="102"/>
      <c r="S12" s="129" t="s">
        <v>23</v>
      </c>
      <c r="T12" s="129"/>
      <c r="U12" s="129"/>
      <c r="V12" s="129"/>
      <c r="W12" s="129"/>
      <c r="X12" s="129"/>
      <c r="Y12" s="129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24</v>
      </c>
      <c r="B15" s="21" t="s">
        <v>25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01" t="s">
        <v>26</v>
      </c>
      <c r="C17" s="101"/>
      <c r="D17" s="101"/>
      <c r="E17" s="101"/>
      <c r="F17" s="101"/>
      <c r="G17" s="101"/>
      <c r="H17" s="101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28"/>
    </row>
    <row r="18" spans="1:26" s="17" customFormat="1" ht="15" customHeight="1" x14ac:dyDescent="0.25">
      <c r="A18" s="24"/>
      <c r="B18" s="101" t="s">
        <v>27</v>
      </c>
      <c r="C18" s="101"/>
      <c r="D18" s="101"/>
      <c r="E18" s="101"/>
      <c r="F18" s="101"/>
      <c r="G18" s="101"/>
      <c r="H18" s="101"/>
      <c r="I18" s="198" t="s">
        <v>28</v>
      </c>
      <c r="J18" s="198"/>
      <c r="K18" s="27">
        <v>35</v>
      </c>
      <c r="L18" s="27" t="s">
        <v>29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30</v>
      </c>
      <c r="B21" s="38" t="s">
        <v>31</v>
      </c>
      <c r="C21" s="33"/>
      <c r="D21" s="34"/>
      <c r="E21" s="34"/>
      <c r="F21" s="34"/>
      <c r="G21" s="34"/>
      <c r="H21" s="33"/>
      <c r="I21" s="33"/>
      <c r="J21" s="207" t="s">
        <v>32</v>
      </c>
      <c r="K21" s="207"/>
      <c r="L21" s="207"/>
      <c r="M21" s="207"/>
      <c r="N21" s="207"/>
      <c r="O21" s="207"/>
      <c r="P21" s="207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05" t="s">
        <v>33</v>
      </c>
      <c r="C23" s="130" t="s">
        <v>34</v>
      </c>
      <c r="D23" s="130"/>
      <c r="E23" s="130"/>
      <c r="F23" s="130"/>
      <c r="G23" s="131"/>
      <c r="H23" s="202" t="s">
        <v>35</v>
      </c>
      <c r="I23" s="203"/>
      <c r="J23" s="204"/>
      <c r="K23" s="130" t="s">
        <v>36</v>
      </c>
      <c r="L23" s="130"/>
      <c r="M23" s="130"/>
      <c r="N23" s="130"/>
      <c r="O23" s="130"/>
      <c r="P23" s="131"/>
      <c r="Z23" s="11"/>
    </row>
    <row r="24" spans="1:26" ht="15.75" customHeight="1" x14ac:dyDescent="0.25">
      <c r="A24" s="9"/>
      <c r="B24" s="206"/>
      <c r="C24" s="132"/>
      <c r="D24" s="132"/>
      <c r="E24" s="132"/>
      <c r="F24" s="132"/>
      <c r="G24" s="133"/>
      <c r="H24" s="199" t="s">
        <v>37</v>
      </c>
      <c r="I24" s="200"/>
      <c r="J24" s="201"/>
      <c r="K24" s="132"/>
      <c r="L24" s="132"/>
      <c r="M24" s="132"/>
      <c r="N24" s="132"/>
      <c r="O24" s="132"/>
      <c r="P24" s="133"/>
      <c r="Z24" s="11"/>
    </row>
    <row r="25" spans="1:26" ht="19.5" customHeight="1" x14ac:dyDescent="0.25">
      <c r="A25" s="9"/>
      <c r="B25" s="45">
        <v>1</v>
      </c>
      <c r="C25" s="115"/>
      <c r="D25" s="116"/>
      <c r="E25" s="116"/>
      <c r="F25" s="116"/>
      <c r="G25" s="117"/>
      <c r="H25" s="156">
        <v>63</v>
      </c>
      <c r="I25" s="157"/>
      <c r="J25" s="158"/>
      <c r="K25" s="115"/>
      <c r="L25" s="116"/>
      <c r="M25" s="116"/>
      <c r="N25" s="116"/>
      <c r="O25" s="116"/>
      <c r="P25" s="117"/>
      <c r="Z25" s="11"/>
    </row>
    <row r="26" spans="1:26" ht="19.5" customHeight="1" x14ac:dyDescent="0.25">
      <c r="A26" s="9"/>
      <c r="B26" s="45">
        <v>2</v>
      </c>
      <c r="C26" s="115"/>
      <c r="D26" s="116"/>
      <c r="E26" s="116"/>
      <c r="F26" s="116"/>
      <c r="G26" s="117"/>
      <c r="H26" s="156">
        <v>49</v>
      </c>
      <c r="I26" s="157"/>
      <c r="J26" s="158"/>
      <c r="K26" s="115"/>
      <c r="L26" s="116"/>
      <c r="M26" s="116"/>
      <c r="N26" s="116"/>
      <c r="O26" s="116"/>
      <c r="P26" s="117"/>
      <c r="Z26" s="11"/>
    </row>
    <row r="27" spans="1:26" ht="19.5" customHeight="1" x14ac:dyDescent="0.25">
      <c r="A27" s="9"/>
      <c r="B27" s="45">
        <v>3</v>
      </c>
      <c r="C27" s="115"/>
      <c r="D27" s="116"/>
      <c r="E27" s="116"/>
      <c r="F27" s="116"/>
      <c r="G27" s="117"/>
      <c r="H27" s="156">
        <v>55</v>
      </c>
      <c r="I27" s="157"/>
      <c r="J27" s="158"/>
      <c r="K27" s="115"/>
      <c r="L27" s="116"/>
      <c r="M27" s="116"/>
      <c r="N27" s="116"/>
      <c r="O27" s="116"/>
      <c r="P27" s="117"/>
      <c r="Z27" s="11"/>
    </row>
    <row r="28" spans="1:26" ht="19.5" customHeight="1" x14ac:dyDescent="0.25">
      <c r="A28" s="9"/>
      <c r="B28" s="45">
        <v>4</v>
      </c>
      <c r="C28" s="115"/>
      <c r="D28" s="116"/>
      <c r="E28" s="116"/>
      <c r="F28" s="116"/>
      <c r="G28" s="117"/>
      <c r="H28" s="156">
        <v>52</v>
      </c>
      <c r="I28" s="157"/>
      <c r="J28" s="158"/>
      <c r="K28" s="115"/>
      <c r="L28" s="116"/>
      <c r="M28" s="116"/>
      <c r="N28" s="116"/>
      <c r="O28" s="116"/>
      <c r="P28" s="117"/>
      <c r="Z28" s="11"/>
    </row>
    <row r="29" spans="1:26" ht="19.5" customHeight="1" x14ac:dyDescent="0.25">
      <c r="A29" s="9"/>
      <c r="B29" s="45"/>
      <c r="C29" s="115"/>
      <c r="D29" s="116"/>
      <c r="E29" s="116"/>
      <c r="F29" s="116"/>
      <c r="G29" s="117"/>
      <c r="H29" s="156"/>
      <c r="I29" s="157"/>
      <c r="J29" s="158"/>
      <c r="K29" s="115"/>
      <c r="L29" s="116"/>
      <c r="M29" s="116"/>
      <c r="N29" s="116"/>
      <c r="O29" s="116"/>
      <c r="P29" s="117"/>
      <c r="Z29" s="11"/>
    </row>
    <row r="30" spans="1:26" ht="19.5" customHeight="1" x14ac:dyDescent="0.25">
      <c r="A30" s="9"/>
      <c r="B30" s="45"/>
      <c r="C30" s="115"/>
      <c r="D30" s="116"/>
      <c r="E30" s="116"/>
      <c r="F30" s="116"/>
      <c r="G30" s="117"/>
      <c r="H30" s="156"/>
      <c r="I30" s="157"/>
      <c r="J30" s="158"/>
      <c r="K30" s="115"/>
      <c r="L30" s="116"/>
      <c r="M30" s="116"/>
      <c r="N30" s="116"/>
      <c r="O30" s="116"/>
      <c r="P30" s="117"/>
      <c r="Z30" s="11"/>
    </row>
    <row r="31" spans="1:26" ht="19.5" customHeight="1" x14ac:dyDescent="0.25">
      <c r="A31" s="9"/>
      <c r="B31" s="45"/>
      <c r="C31" s="115"/>
      <c r="D31" s="116"/>
      <c r="E31" s="116"/>
      <c r="F31" s="116"/>
      <c r="G31" s="117"/>
      <c r="H31" s="156"/>
      <c r="I31" s="157"/>
      <c r="J31" s="158"/>
      <c r="K31" s="115"/>
      <c r="L31" s="116"/>
      <c r="M31" s="116"/>
      <c r="N31" s="116"/>
      <c r="O31" s="116"/>
      <c r="P31" s="117"/>
      <c r="Z31" s="11"/>
    </row>
    <row r="32" spans="1:26" ht="19.5" customHeight="1" x14ac:dyDescent="0.25">
      <c r="A32" s="9"/>
      <c r="B32" s="45"/>
      <c r="C32" s="115"/>
      <c r="D32" s="116"/>
      <c r="E32" s="116"/>
      <c r="F32" s="116"/>
      <c r="G32" s="117"/>
      <c r="H32" s="156"/>
      <c r="I32" s="157"/>
      <c r="J32" s="158"/>
      <c r="K32" s="115"/>
      <c r="L32" s="116"/>
      <c r="M32" s="116"/>
      <c r="N32" s="116"/>
      <c r="O32" s="116"/>
      <c r="P32" s="117"/>
      <c r="Z32" s="11"/>
    </row>
    <row r="33" spans="1:26" ht="19.5" customHeight="1" x14ac:dyDescent="0.25">
      <c r="A33" s="9"/>
      <c r="B33" s="45"/>
      <c r="C33" s="115"/>
      <c r="D33" s="116"/>
      <c r="E33" s="116"/>
      <c r="F33" s="116"/>
      <c r="G33" s="117"/>
      <c r="H33" s="156"/>
      <c r="I33" s="157"/>
      <c r="J33" s="158"/>
      <c r="K33" s="115"/>
      <c r="L33" s="116"/>
      <c r="M33" s="116"/>
      <c r="N33" s="116"/>
      <c r="O33" s="116"/>
      <c r="P33" s="117"/>
      <c r="Z33" s="11"/>
    </row>
    <row r="34" spans="1:26" ht="19.5" customHeight="1" x14ac:dyDescent="0.25">
      <c r="A34" s="9"/>
      <c r="B34" s="45"/>
      <c r="C34" s="115"/>
      <c r="D34" s="116"/>
      <c r="E34" s="116"/>
      <c r="F34" s="116"/>
      <c r="G34" s="117"/>
      <c r="H34" s="156"/>
      <c r="I34" s="157"/>
      <c r="J34" s="158"/>
      <c r="K34" s="115"/>
      <c r="L34" s="116"/>
      <c r="M34" s="116"/>
      <c r="N34" s="116"/>
      <c r="O34" s="116"/>
      <c r="P34" s="117"/>
      <c r="Z34" s="11"/>
    </row>
    <row r="35" spans="1:26" ht="19.5" customHeight="1" x14ac:dyDescent="0.25">
      <c r="A35" s="9"/>
      <c r="B35" s="45"/>
      <c r="C35" s="115"/>
      <c r="D35" s="116"/>
      <c r="E35" s="116"/>
      <c r="F35" s="116"/>
      <c r="G35" s="117"/>
      <c r="H35" s="156"/>
      <c r="I35" s="157"/>
      <c r="J35" s="158"/>
      <c r="K35" s="115"/>
      <c r="L35" s="116"/>
      <c r="M35" s="116"/>
      <c r="N35" s="116"/>
      <c r="O35" s="116"/>
      <c r="P35" s="117"/>
      <c r="Z35" s="11"/>
    </row>
    <row r="36" spans="1:26" ht="19.5" customHeight="1" x14ac:dyDescent="0.25">
      <c r="A36" s="9"/>
      <c r="B36" s="45"/>
      <c r="C36" s="115"/>
      <c r="D36" s="116"/>
      <c r="E36" s="116"/>
      <c r="F36" s="116"/>
      <c r="G36" s="117"/>
      <c r="H36" s="156"/>
      <c r="I36" s="157"/>
      <c r="J36" s="158"/>
      <c r="K36" s="115"/>
      <c r="L36" s="116"/>
      <c r="M36" s="116"/>
      <c r="N36" s="116"/>
      <c r="O36" s="116"/>
      <c r="P36" s="117"/>
      <c r="Z36" s="11"/>
    </row>
    <row r="37" spans="1:26" ht="19.5" customHeight="1" x14ac:dyDescent="0.25">
      <c r="A37" s="9"/>
      <c r="B37" s="45"/>
      <c r="C37" s="115"/>
      <c r="D37" s="116"/>
      <c r="E37" s="116"/>
      <c r="F37" s="116"/>
      <c r="G37" s="117"/>
      <c r="H37" s="156"/>
      <c r="I37" s="157"/>
      <c r="J37" s="158"/>
      <c r="K37" s="115"/>
      <c r="L37" s="116"/>
      <c r="M37" s="116"/>
      <c r="N37" s="116"/>
      <c r="O37" s="116"/>
      <c r="P37" s="117"/>
      <c r="Z37" s="11"/>
    </row>
    <row r="38" spans="1:26" ht="19.5" customHeight="1" x14ac:dyDescent="0.25">
      <c r="A38" s="9"/>
      <c r="B38" s="45"/>
      <c r="C38" s="115"/>
      <c r="D38" s="116"/>
      <c r="E38" s="116"/>
      <c r="F38" s="116"/>
      <c r="G38" s="117"/>
      <c r="H38" s="156"/>
      <c r="I38" s="157"/>
      <c r="J38" s="158"/>
      <c r="K38" s="115"/>
      <c r="L38" s="116"/>
      <c r="M38" s="116"/>
      <c r="N38" s="116"/>
      <c r="O38" s="116"/>
      <c r="P38" s="117"/>
      <c r="Z38" s="11"/>
    </row>
    <row r="39" spans="1:26" ht="19.5" customHeight="1" x14ac:dyDescent="0.25">
      <c r="A39" s="9"/>
      <c r="B39" s="45"/>
      <c r="C39" s="115"/>
      <c r="D39" s="116"/>
      <c r="E39" s="116"/>
      <c r="F39" s="116"/>
      <c r="G39" s="117"/>
      <c r="H39" s="156"/>
      <c r="I39" s="157"/>
      <c r="J39" s="158"/>
      <c r="K39" s="115"/>
      <c r="L39" s="116"/>
      <c r="M39" s="116"/>
      <c r="N39" s="116"/>
      <c r="O39" s="116"/>
      <c r="P39" s="117"/>
      <c r="Z39" s="11"/>
    </row>
    <row r="40" spans="1:26" ht="19.5" customHeight="1" x14ac:dyDescent="0.25">
      <c r="A40" s="9"/>
      <c r="B40" s="45"/>
      <c r="C40" s="115"/>
      <c r="D40" s="116"/>
      <c r="E40" s="116"/>
      <c r="F40" s="116"/>
      <c r="G40" s="117"/>
      <c r="H40" s="156"/>
      <c r="I40" s="157"/>
      <c r="J40" s="158"/>
      <c r="K40" s="115"/>
      <c r="L40" s="116"/>
      <c r="M40" s="116"/>
      <c r="N40" s="116"/>
      <c r="O40" s="116"/>
      <c r="P40" s="117"/>
      <c r="Z40" s="11"/>
    </row>
    <row r="41" spans="1:26" ht="19.5" customHeight="1" x14ac:dyDescent="0.25">
      <c r="A41" s="9"/>
      <c r="B41" s="45"/>
      <c r="C41" s="115"/>
      <c r="D41" s="116"/>
      <c r="E41" s="116"/>
      <c r="F41" s="116"/>
      <c r="G41" s="117"/>
      <c r="H41" s="156"/>
      <c r="I41" s="157"/>
      <c r="J41" s="158"/>
      <c r="K41" s="115"/>
      <c r="L41" s="116"/>
      <c r="M41" s="116"/>
      <c r="N41" s="116"/>
      <c r="O41" s="116"/>
      <c r="P41" s="117"/>
      <c r="Z41" s="11"/>
    </row>
    <row r="42" spans="1:26" ht="19.5" customHeight="1" x14ac:dyDescent="0.25">
      <c r="A42" s="9"/>
      <c r="B42" s="45"/>
      <c r="C42" s="115"/>
      <c r="D42" s="116"/>
      <c r="E42" s="116"/>
      <c r="F42" s="116"/>
      <c r="G42" s="117"/>
      <c r="H42" s="156"/>
      <c r="I42" s="157"/>
      <c r="J42" s="158"/>
      <c r="K42" s="115"/>
      <c r="L42" s="116"/>
      <c r="M42" s="116"/>
      <c r="N42" s="116"/>
      <c r="O42" s="116"/>
      <c r="P42" s="117"/>
      <c r="Z42" s="11"/>
    </row>
    <row r="43" spans="1:26" ht="19.5" customHeight="1" x14ac:dyDescent="0.25">
      <c r="A43" s="9"/>
      <c r="B43" s="45"/>
      <c r="C43" s="115"/>
      <c r="D43" s="116"/>
      <c r="E43" s="116"/>
      <c r="F43" s="116"/>
      <c r="G43" s="117"/>
      <c r="H43" s="156"/>
      <c r="I43" s="157"/>
      <c r="J43" s="158"/>
      <c r="K43" s="115"/>
      <c r="L43" s="116"/>
      <c r="M43" s="116"/>
      <c r="N43" s="116"/>
      <c r="O43" s="116"/>
      <c r="P43" s="117"/>
      <c r="Z43" s="11"/>
    </row>
    <row r="44" spans="1:26" ht="19.5" customHeight="1" x14ac:dyDescent="0.25">
      <c r="A44" s="9"/>
      <c r="B44" s="45"/>
      <c r="C44" s="115"/>
      <c r="D44" s="116"/>
      <c r="E44" s="116"/>
      <c r="F44" s="116"/>
      <c r="G44" s="117"/>
      <c r="H44" s="156"/>
      <c r="I44" s="157"/>
      <c r="J44" s="158"/>
      <c r="K44" s="115"/>
      <c r="L44" s="116"/>
      <c r="M44" s="116"/>
      <c r="N44" s="116"/>
      <c r="O44" s="116"/>
      <c r="P44" s="117"/>
      <c r="Z44" s="11"/>
    </row>
    <row r="45" spans="1:26" ht="19.5" customHeight="1" thickBot="1" x14ac:dyDescent="0.3">
      <c r="A45" s="9"/>
      <c r="B45" s="46"/>
      <c r="C45" s="139"/>
      <c r="D45" s="139"/>
      <c r="E45" s="139"/>
      <c r="F45" s="139"/>
      <c r="G45" s="140"/>
      <c r="H45" s="135"/>
      <c r="I45" s="136"/>
      <c r="J45" s="137"/>
      <c r="K45" s="138"/>
      <c r="L45" s="139"/>
      <c r="M45" s="139"/>
      <c r="N45" s="139"/>
      <c r="O45" s="139"/>
      <c r="P45" s="140"/>
      <c r="Z45" s="11"/>
    </row>
    <row r="46" spans="1:26" ht="15.75" customHeight="1" x14ac:dyDescent="0.25">
      <c r="A46" s="9"/>
      <c r="B46" s="189" t="s">
        <v>40</v>
      </c>
      <c r="C46" s="190"/>
      <c r="D46" s="190"/>
      <c r="E46" s="190"/>
      <c r="F46" s="190"/>
      <c r="G46" s="191"/>
      <c r="H46" s="195">
        <f>AVERAGE(H25:J45)</f>
        <v>54.75</v>
      </c>
      <c r="I46" s="196"/>
      <c r="J46" s="197"/>
      <c r="K46" s="123" t="s">
        <v>41</v>
      </c>
      <c r="L46" s="124"/>
      <c r="M46" s="118" t="s">
        <v>42</v>
      </c>
      <c r="N46" s="118"/>
      <c r="O46" s="118"/>
      <c r="P46" s="119"/>
      <c r="Z46" s="11"/>
    </row>
    <row r="47" spans="1:26" ht="15.75" customHeight="1" x14ac:dyDescent="0.25">
      <c r="A47" s="9"/>
      <c r="B47" s="183" t="s">
        <v>43</v>
      </c>
      <c r="C47" s="184"/>
      <c r="D47" s="184"/>
      <c r="E47" s="184"/>
      <c r="F47" s="184"/>
      <c r="G47" s="185"/>
      <c r="H47" s="98">
        <f>IF(COUNTIF(H25:J45,"*&lt;20*"),"&lt;20",MIN(H25:J45))</f>
        <v>49</v>
      </c>
      <c r="I47" s="99"/>
      <c r="J47" s="100"/>
      <c r="K47" s="125"/>
      <c r="L47" s="126"/>
      <c r="M47" s="91"/>
      <c r="N47" s="91"/>
      <c r="O47" s="91"/>
      <c r="P47" s="120"/>
      <c r="Z47" s="11"/>
    </row>
    <row r="48" spans="1:26" ht="15.75" customHeight="1" thickBot="1" x14ac:dyDescent="0.3">
      <c r="A48" s="9"/>
      <c r="B48" s="186" t="s">
        <v>44</v>
      </c>
      <c r="C48" s="187"/>
      <c r="D48" s="187"/>
      <c r="E48" s="187"/>
      <c r="F48" s="187"/>
      <c r="G48" s="188"/>
      <c r="H48" s="192">
        <f>IF(COUNTIF(H25:J45,"*&gt;250*"),"&gt;250",MAX(H25:J45))</f>
        <v>63</v>
      </c>
      <c r="I48" s="193"/>
      <c r="J48" s="194"/>
      <c r="K48" s="127"/>
      <c r="L48" s="128"/>
      <c r="M48" s="121"/>
      <c r="N48" s="121"/>
      <c r="O48" s="121"/>
      <c r="P48" s="122"/>
      <c r="Z48" s="11"/>
    </row>
    <row r="49" spans="1:26" ht="15.9" customHeight="1" x14ac:dyDescent="0.25">
      <c r="A49" s="35"/>
      <c r="B49" s="4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6"/>
    </row>
    <row r="50" spans="1:26" ht="12.75" customHeight="1" x14ac:dyDescent="0.25">
      <c r="A50" s="36"/>
      <c r="B50" s="37"/>
    </row>
    <row r="51" spans="1:26" s="17" customFormat="1" ht="15.6" customHeight="1" x14ac:dyDescent="0.25">
      <c r="A51" s="48" t="s">
        <v>45</v>
      </c>
      <c r="B51" s="5" t="s">
        <v>46</v>
      </c>
      <c r="C51" s="49"/>
      <c r="D51" s="49"/>
      <c r="E51" s="49"/>
      <c r="F51" s="50"/>
      <c r="G51" s="50"/>
      <c r="H51" s="5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1"/>
      <c r="V51" s="52"/>
      <c r="W51" s="52"/>
      <c r="X51" s="42"/>
      <c r="Y51" s="42"/>
      <c r="Z51" s="43"/>
    </row>
    <row r="52" spans="1:26" s="17" customFormat="1" ht="28.5" customHeight="1" x14ac:dyDescent="0.25">
      <c r="A52" s="103" t="s">
        <v>47</v>
      </c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5"/>
      <c r="R52" s="83" t="s">
        <v>48</v>
      </c>
      <c r="S52" s="84"/>
      <c r="T52" s="85"/>
      <c r="U52" s="73" t="s">
        <v>49</v>
      </c>
      <c r="V52" s="74"/>
      <c r="W52" s="74"/>
      <c r="X52" s="75"/>
      <c r="Y52" s="75"/>
      <c r="Z52" s="76"/>
    </row>
    <row r="53" spans="1:26" s="17" customFormat="1" ht="15.6" customHeight="1" x14ac:dyDescent="0.25">
      <c r="A53" s="77" t="s">
        <v>50</v>
      </c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9"/>
      <c r="R53" s="83" t="s">
        <v>51</v>
      </c>
      <c r="S53" s="84"/>
      <c r="T53" s="85"/>
      <c r="U53" s="86" t="s">
        <v>52</v>
      </c>
      <c r="V53" s="87"/>
      <c r="W53" s="87"/>
      <c r="X53" s="88"/>
      <c r="Y53" s="88"/>
      <c r="Z53" s="89"/>
    </row>
    <row r="54" spans="1:26" s="17" customFormat="1" ht="15.6" customHeight="1" x14ac:dyDescent="0.25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2"/>
      <c r="R54" s="83"/>
      <c r="S54" s="84"/>
      <c r="T54" s="85"/>
      <c r="U54" s="90"/>
      <c r="V54" s="91"/>
      <c r="W54" s="91"/>
      <c r="X54" s="92"/>
      <c r="Y54" s="92"/>
      <c r="Z54" s="93"/>
    </row>
    <row r="55" spans="1:26" s="17" customFormat="1" ht="15.6" customHeight="1" x14ac:dyDescent="0.25">
      <c r="A55" s="55" t="s">
        <v>53</v>
      </c>
      <c r="B55" s="56" t="s">
        <v>54</v>
      </c>
      <c r="C55" s="1"/>
      <c r="D55" s="1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7"/>
      <c r="R55" s="83"/>
      <c r="S55" s="84"/>
      <c r="T55" s="85"/>
      <c r="U55" s="94"/>
      <c r="V55" s="95"/>
      <c r="W55" s="95"/>
      <c r="X55" s="96"/>
      <c r="Y55" s="96"/>
      <c r="Z55" s="97"/>
    </row>
    <row r="56" spans="1:26" s="17" customFormat="1" ht="15.6" customHeight="1" x14ac:dyDescent="0.25">
      <c r="A56" s="174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6"/>
      <c r="R56" s="83" t="s">
        <v>55</v>
      </c>
      <c r="S56" s="84"/>
      <c r="T56" s="85"/>
      <c r="U56" s="58"/>
      <c r="V56" s="59"/>
      <c r="W56" s="59"/>
      <c r="X56" s="59"/>
      <c r="Y56" s="59"/>
      <c r="Z56" s="60"/>
    </row>
    <row r="57" spans="1:26" s="17" customFormat="1" ht="15.6" customHeight="1" x14ac:dyDescent="0.25">
      <c r="A57" s="174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6"/>
      <c r="R57" s="83"/>
      <c r="S57" s="84"/>
      <c r="T57" s="85"/>
      <c r="U57" s="61"/>
      <c r="V57" s="91"/>
      <c r="W57" s="91"/>
      <c r="X57" s="91"/>
      <c r="Y57" s="91"/>
      <c r="Z57" s="62"/>
    </row>
    <row r="58" spans="1:26" s="17" customFormat="1" ht="15.6" customHeight="1" x14ac:dyDescent="0.25">
      <c r="A58" s="174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6"/>
      <c r="R58" s="83"/>
      <c r="S58" s="84"/>
      <c r="T58" s="85"/>
      <c r="U58" s="61"/>
      <c r="V58" s="91"/>
      <c r="W58" s="91"/>
      <c r="X58" s="91"/>
      <c r="Y58" s="91"/>
      <c r="Z58" s="62"/>
    </row>
    <row r="59" spans="1:26" s="17" customFormat="1" ht="15.6" customHeight="1" x14ac:dyDescent="0.25">
      <c r="A59" s="177"/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9"/>
      <c r="R59" s="180"/>
      <c r="S59" s="181"/>
      <c r="T59" s="182"/>
      <c r="U59" s="63"/>
      <c r="V59" s="64"/>
      <c r="W59" s="64"/>
      <c r="X59" s="64"/>
      <c r="Y59" s="64"/>
      <c r="Z59" s="65"/>
    </row>
    <row r="60" spans="1:26" s="17" customFormat="1" ht="15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54"/>
      <c r="S60" s="54"/>
      <c r="T60" s="54"/>
      <c r="U60" s="41"/>
      <c r="V60" s="41"/>
      <c r="W60" s="41"/>
      <c r="X60" s="41"/>
      <c r="Y60" s="41"/>
      <c r="Z60" s="41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U52:Z52"/>
    <mergeCell ref="A53:Q54"/>
    <mergeCell ref="R53:T55"/>
    <mergeCell ref="U53:Z55"/>
    <mergeCell ref="H47:J47"/>
    <mergeCell ref="B17:H17"/>
    <mergeCell ref="B12:G12"/>
    <mergeCell ref="B11:G11"/>
    <mergeCell ref="A52:Q52"/>
    <mergeCell ref="R52:T52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  <mergeCell ref="H42:J42"/>
    <mergeCell ref="S11:Y11"/>
    <mergeCell ref="H45:J45"/>
    <mergeCell ref="K45:P45"/>
    <mergeCell ref="G5:H5"/>
    <mergeCell ref="K28:P28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C38:G38"/>
    <mergeCell ref="H38:J38"/>
    <mergeCell ref="K38:P38"/>
    <mergeCell ref="C36:G36"/>
    <mergeCell ref="H36:J36"/>
    <mergeCell ref="K25:P25"/>
    <mergeCell ref="H33:J33"/>
    <mergeCell ref="K33:P33"/>
    <mergeCell ref="C34:G34"/>
    <mergeCell ref="H34:J34"/>
    <mergeCell ref="M46:P48"/>
    <mergeCell ref="K46:L48"/>
    <mergeCell ref="S12:Y12"/>
    <mergeCell ref="K23:P24"/>
    <mergeCell ref="I17:Y1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K34:P34"/>
    <mergeCell ref="C35:G35"/>
    <mergeCell ref="H35:J35"/>
    <mergeCell ref="K35:P35"/>
    <mergeCell ref="K42:P42"/>
    <mergeCell ref="C43:G43"/>
    <mergeCell ref="H43:J43"/>
    <mergeCell ref="K43:P43"/>
    <mergeCell ref="K36:P36"/>
    <mergeCell ref="C37:G3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A56:Q59"/>
    <mergeCell ref="R56:T59"/>
    <mergeCell ref="K26:P26"/>
    <mergeCell ref="C27:G2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7"/>
  <sheetViews>
    <sheetView topLeftCell="A36"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59"/>
      <c r="B1" s="160"/>
      <c r="C1" s="160"/>
      <c r="D1" s="160"/>
      <c r="E1" s="160"/>
      <c r="F1" s="161"/>
      <c r="G1" s="168" t="s">
        <v>0</v>
      </c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70"/>
      <c r="U1" s="106" t="s">
        <v>1</v>
      </c>
      <c r="V1" s="107"/>
      <c r="W1" s="107"/>
      <c r="X1" s="107"/>
      <c r="Y1" s="107"/>
      <c r="Z1" s="108"/>
    </row>
    <row r="2" spans="1:26" ht="12.75" customHeight="1" x14ac:dyDescent="0.25">
      <c r="A2" s="162"/>
      <c r="B2" s="163"/>
      <c r="C2" s="163"/>
      <c r="D2" s="163"/>
      <c r="E2" s="163"/>
      <c r="F2" s="164"/>
      <c r="G2" s="171" t="s">
        <v>2</v>
      </c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3"/>
      <c r="U2" s="109"/>
      <c r="V2" s="110"/>
      <c r="W2" s="110"/>
      <c r="X2" s="110"/>
      <c r="Y2" s="110"/>
      <c r="Z2" s="111"/>
    </row>
    <row r="3" spans="1:26" ht="12.75" customHeight="1" x14ac:dyDescent="0.25">
      <c r="A3" s="162"/>
      <c r="B3" s="163"/>
      <c r="C3" s="163"/>
      <c r="D3" s="163"/>
      <c r="E3" s="163"/>
      <c r="F3" s="164"/>
      <c r="G3" s="171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3"/>
      <c r="U3" s="109"/>
      <c r="V3" s="110"/>
      <c r="W3" s="110"/>
      <c r="X3" s="110"/>
      <c r="Y3" s="110"/>
      <c r="Z3" s="111"/>
    </row>
    <row r="4" spans="1:26" ht="12.75" customHeight="1" x14ac:dyDescent="0.25">
      <c r="A4" s="162"/>
      <c r="B4" s="163"/>
      <c r="C4" s="163"/>
      <c r="D4" s="163"/>
      <c r="E4" s="163"/>
      <c r="F4" s="164"/>
      <c r="G4" s="171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3"/>
      <c r="U4" s="109"/>
      <c r="V4" s="110"/>
      <c r="W4" s="110"/>
      <c r="X4" s="110"/>
      <c r="Y4" s="110"/>
      <c r="Z4" s="111"/>
    </row>
    <row r="5" spans="1:26" ht="12.75" customHeight="1" x14ac:dyDescent="0.25">
      <c r="A5" s="162"/>
      <c r="B5" s="163"/>
      <c r="C5" s="163"/>
      <c r="D5" s="163"/>
      <c r="E5" s="163"/>
      <c r="F5" s="164"/>
      <c r="G5" s="141" t="s">
        <v>3</v>
      </c>
      <c r="H5" s="142"/>
      <c r="I5" s="146">
        <v>1</v>
      </c>
      <c r="J5" s="146"/>
      <c r="K5" s="147"/>
      <c r="L5" s="149" t="s">
        <v>4</v>
      </c>
      <c r="M5" s="150"/>
      <c r="N5" s="150"/>
      <c r="O5" s="151"/>
      <c r="P5" s="152" t="s">
        <v>5</v>
      </c>
      <c r="Q5" s="153"/>
      <c r="R5" s="153"/>
      <c r="S5" s="153"/>
      <c r="T5" s="154"/>
      <c r="U5" s="109"/>
      <c r="V5" s="110"/>
      <c r="W5" s="110"/>
      <c r="X5" s="110"/>
      <c r="Y5" s="110"/>
      <c r="Z5" s="111"/>
    </row>
    <row r="6" spans="1:26" ht="12.75" customHeight="1" x14ac:dyDescent="0.25">
      <c r="A6" s="165"/>
      <c r="B6" s="166"/>
      <c r="C6" s="166"/>
      <c r="D6" s="166"/>
      <c r="E6" s="166"/>
      <c r="F6" s="167"/>
      <c r="G6" s="2"/>
      <c r="H6" s="3"/>
      <c r="I6" s="148" t="s">
        <v>6</v>
      </c>
      <c r="J6" s="148"/>
      <c r="K6" s="148"/>
      <c r="L6" s="148" t="s">
        <v>7</v>
      </c>
      <c r="M6" s="148"/>
      <c r="N6" s="148"/>
      <c r="O6" s="148"/>
      <c r="P6" s="148" t="s">
        <v>8</v>
      </c>
      <c r="Q6" s="148"/>
      <c r="R6" s="148"/>
      <c r="S6" s="148"/>
      <c r="T6" s="155"/>
      <c r="U6" s="112"/>
      <c r="V6" s="113"/>
      <c r="W6" s="113"/>
      <c r="X6" s="113"/>
      <c r="Y6" s="113"/>
      <c r="Z6" s="114"/>
    </row>
    <row r="7" spans="1:26" ht="36.6" customHeight="1" x14ac:dyDescent="0.25">
      <c r="A7" s="143" t="s">
        <v>9</v>
      </c>
      <c r="B7" s="143"/>
      <c r="C7" s="143"/>
      <c r="D7" s="143"/>
      <c r="E7" s="143"/>
      <c r="F7" s="143"/>
      <c r="G7" s="144" t="s">
        <v>10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 spans="1:26" ht="15.9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02" t="s">
        <v>13</v>
      </c>
      <c r="C10" s="102"/>
      <c r="D10" s="102"/>
      <c r="E10" s="102"/>
      <c r="F10" s="102"/>
      <c r="G10" s="102"/>
      <c r="H10" s="145" t="s">
        <v>14</v>
      </c>
      <c r="I10" s="145"/>
      <c r="J10" s="145"/>
      <c r="K10" s="145"/>
      <c r="L10" s="145"/>
      <c r="M10" s="145"/>
      <c r="N10" s="102" t="s">
        <v>15</v>
      </c>
      <c r="O10" s="102"/>
      <c r="P10" s="102"/>
      <c r="Q10" s="102"/>
      <c r="R10" s="102"/>
      <c r="S10" s="129" t="s">
        <v>16</v>
      </c>
      <c r="T10" s="129"/>
      <c r="U10" s="129"/>
      <c r="V10" s="129"/>
      <c r="W10" s="129"/>
      <c r="X10" s="129"/>
      <c r="Y10" s="129"/>
      <c r="Z10" s="12"/>
    </row>
    <row r="11" spans="1:26" ht="15.9" customHeight="1" x14ac:dyDescent="0.25">
      <c r="A11" s="9"/>
      <c r="B11" s="102" t="s">
        <v>17</v>
      </c>
      <c r="C11" s="102"/>
      <c r="D11" s="102"/>
      <c r="E11" s="102"/>
      <c r="F11" s="102"/>
      <c r="G11" s="102"/>
      <c r="H11" s="145" t="s">
        <v>5</v>
      </c>
      <c r="I11" s="145"/>
      <c r="J11" s="145"/>
      <c r="K11" s="145"/>
      <c r="L11" s="145"/>
      <c r="M11" s="145"/>
      <c r="N11" s="102" t="s">
        <v>18</v>
      </c>
      <c r="O11" s="102"/>
      <c r="P11" s="102"/>
      <c r="Q11" s="102"/>
      <c r="R11" s="102"/>
      <c r="S11" s="129" t="s">
        <v>19</v>
      </c>
      <c r="T11" s="129"/>
      <c r="U11" s="129"/>
      <c r="V11" s="129"/>
      <c r="W11" s="129"/>
      <c r="X11" s="129"/>
      <c r="Y11" s="129"/>
      <c r="Z11" s="12"/>
    </row>
    <row r="12" spans="1:26" ht="15.9" customHeight="1" x14ac:dyDescent="0.25">
      <c r="A12" s="9"/>
      <c r="B12" s="102" t="s">
        <v>20</v>
      </c>
      <c r="C12" s="102"/>
      <c r="D12" s="102"/>
      <c r="E12" s="102"/>
      <c r="F12" s="102"/>
      <c r="G12" s="102"/>
      <c r="H12" s="145" t="s">
        <v>21</v>
      </c>
      <c r="I12" s="145"/>
      <c r="J12" s="145"/>
      <c r="K12" s="145"/>
      <c r="L12" s="145"/>
      <c r="M12" s="145"/>
      <c r="N12" s="102" t="s">
        <v>22</v>
      </c>
      <c r="O12" s="102"/>
      <c r="P12" s="102"/>
      <c r="Q12" s="102"/>
      <c r="R12" s="102"/>
      <c r="S12" s="129" t="s">
        <v>23</v>
      </c>
      <c r="T12" s="129"/>
      <c r="U12" s="129"/>
      <c r="V12" s="129"/>
      <c r="W12" s="129"/>
      <c r="X12" s="129"/>
      <c r="Y12" s="129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24</v>
      </c>
      <c r="B15" s="21" t="s">
        <v>25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01" t="s">
        <v>26</v>
      </c>
      <c r="C17" s="101"/>
      <c r="D17" s="101"/>
      <c r="E17" s="101"/>
      <c r="F17" s="101"/>
      <c r="G17" s="101"/>
      <c r="H17" s="101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28"/>
    </row>
    <row r="18" spans="1:26" s="17" customFormat="1" ht="15" customHeight="1" x14ac:dyDescent="0.25">
      <c r="A18" s="24"/>
      <c r="B18" s="101" t="s">
        <v>27</v>
      </c>
      <c r="C18" s="101"/>
      <c r="D18" s="101"/>
      <c r="E18" s="101"/>
      <c r="F18" s="101"/>
      <c r="G18" s="101"/>
      <c r="H18" s="101"/>
      <c r="I18" s="198" t="s">
        <v>28</v>
      </c>
      <c r="J18" s="198"/>
      <c r="K18" s="27">
        <v>50</v>
      </c>
      <c r="L18" s="27" t="s">
        <v>29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30</v>
      </c>
      <c r="B21" s="38" t="s">
        <v>31</v>
      </c>
      <c r="C21" s="33"/>
      <c r="D21" s="34"/>
      <c r="E21" s="34"/>
      <c r="F21" s="34"/>
      <c r="G21" s="34"/>
      <c r="H21" s="33"/>
      <c r="I21" s="33"/>
      <c r="J21" s="207" t="s">
        <v>32</v>
      </c>
      <c r="K21" s="207"/>
      <c r="L21" s="207"/>
      <c r="M21" s="207"/>
      <c r="N21" s="207"/>
      <c r="O21" s="207"/>
      <c r="P21" s="207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05" t="s">
        <v>33</v>
      </c>
      <c r="C23" s="130" t="s">
        <v>34</v>
      </c>
      <c r="D23" s="130"/>
      <c r="E23" s="130"/>
      <c r="F23" s="130"/>
      <c r="G23" s="131"/>
      <c r="H23" s="202" t="s">
        <v>35</v>
      </c>
      <c r="I23" s="203"/>
      <c r="J23" s="204"/>
      <c r="K23" s="130" t="s">
        <v>36</v>
      </c>
      <c r="L23" s="130"/>
      <c r="M23" s="130"/>
      <c r="N23" s="130"/>
      <c r="O23" s="130"/>
      <c r="P23" s="131"/>
      <c r="Z23" s="11"/>
    </row>
    <row r="24" spans="1:26" ht="15.75" customHeight="1" x14ac:dyDescent="0.25">
      <c r="A24" s="9"/>
      <c r="B24" s="206"/>
      <c r="C24" s="132"/>
      <c r="D24" s="132"/>
      <c r="E24" s="132"/>
      <c r="F24" s="132"/>
      <c r="G24" s="133"/>
      <c r="H24" s="199" t="s">
        <v>37</v>
      </c>
      <c r="I24" s="200"/>
      <c r="J24" s="201"/>
      <c r="K24" s="132"/>
      <c r="L24" s="132"/>
      <c r="M24" s="132"/>
      <c r="N24" s="132"/>
      <c r="O24" s="132"/>
      <c r="P24" s="133"/>
      <c r="Z24" s="11"/>
    </row>
    <row r="25" spans="1:26" ht="19.5" customHeight="1" x14ac:dyDescent="0.25">
      <c r="A25" s="9"/>
      <c r="B25" s="45">
        <v>1</v>
      </c>
      <c r="C25" s="115" t="s">
        <v>38</v>
      </c>
      <c r="D25" s="116"/>
      <c r="E25" s="116"/>
      <c r="F25" s="116"/>
      <c r="G25" s="117"/>
      <c r="H25" s="156">
        <v>70</v>
      </c>
      <c r="I25" s="157"/>
      <c r="J25" s="158"/>
      <c r="K25" s="115"/>
      <c r="L25" s="116"/>
      <c r="M25" s="116"/>
      <c r="N25" s="116"/>
      <c r="O25" s="116"/>
      <c r="P25" s="117"/>
      <c r="Z25" s="11"/>
    </row>
    <row r="26" spans="1:26" ht="19.5" customHeight="1" x14ac:dyDescent="0.25">
      <c r="A26" s="9"/>
      <c r="B26" s="45">
        <v>2</v>
      </c>
      <c r="C26" s="115"/>
      <c r="D26" s="116"/>
      <c r="E26" s="116"/>
      <c r="F26" s="116"/>
      <c r="G26" s="117"/>
      <c r="H26" s="156">
        <v>76</v>
      </c>
      <c r="I26" s="157"/>
      <c r="J26" s="158"/>
      <c r="K26" s="115"/>
      <c r="L26" s="116"/>
      <c r="M26" s="116"/>
      <c r="N26" s="116"/>
      <c r="O26" s="116"/>
      <c r="P26" s="117"/>
      <c r="Z26" s="11"/>
    </row>
    <row r="27" spans="1:26" ht="19.5" customHeight="1" x14ac:dyDescent="0.25">
      <c r="A27" s="9"/>
      <c r="B27" s="45">
        <v>3</v>
      </c>
      <c r="C27" s="115"/>
      <c r="D27" s="116"/>
      <c r="E27" s="116"/>
      <c r="F27" s="116"/>
      <c r="G27" s="117"/>
      <c r="H27" s="156">
        <v>86</v>
      </c>
      <c r="I27" s="157"/>
      <c r="J27" s="158"/>
      <c r="K27" s="115"/>
      <c r="L27" s="116"/>
      <c r="M27" s="116"/>
      <c r="N27" s="116"/>
      <c r="O27" s="116"/>
      <c r="P27" s="117"/>
      <c r="Z27" s="11"/>
    </row>
    <row r="28" spans="1:26" ht="19.5" customHeight="1" x14ac:dyDescent="0.25">
      <c r="A28" s="9"/>
      <c r="B28" s="45">
        <v>4</v>
      </c>
      <c r="C28" s="115"/>
      <c r="D28" s="116"/>
      <c r="E28" s="116"/>
      <c r="F28" s="116"/>
      <c r="G28" s="117"/>
      <c r="H28" s="156">
        <v>102</v>
      </c>
      <c r="I28" s="157"/>
      <c r="J28" s="158"/>
      <c r="K28" s="115"/>
      <c r="L28" s="116"/>
      <c r="M28" s="116"/>
      <c r="N28" s="116"/>
      <c r="O28" s="116"/>
      <c r="P28" s="117"/>
      <c r="Z28" s="11"/>
    </row>
    <row r="29" spans="1:26" ht="19.5" customHeight="1" x14ac:dyDescent="0.25">
      <c r="A29" s="9"/>
      <c r="B29" s="45">
        <v>5</v>
      </c>
      <c r="C29" s="115"/>
      <c r="D29" s="116"/>
      <c r="E29" s="116"/>
      <c r="F29" s="116"/>
      <c r="G29" s="117"/>
      <c r="H29" s="156">
        <v>74</v>
      </c>
      <c r="I29" s="157"/>
      <c r="J29" s="158"/>
      <c r="K29" s="115"/>
      <c r="L29" s="116"/>
      <c r="M29" s="116"/>
      <c r="N29" s="116"/>
      <c r="O29" s="116"/>
      <c r="P29" s="117"/>
      <c r="Z29" s="11"/>
    </row>
    <row r="30" spans="1:26" ht="19.5" customHeight="1" x14ac:dyDescent="0.25">
      <c r="A30" s="9"/>
      <c r="B30" s="45">
        <v>6</v>
      </c>
      <c r="C30" s="115"/>
      <c r="D30" s="116"/>
      <c r="E30" s="116"/>
      <c r="F30" s="116"/>
      <c r="G30" s="117"/>
      <c r="H30" s="156">
        <v>54</v>
      </c>
      <c r="I30" s="157"/>
      <c r="J30" s="158"/>
      <c r="K30" s="115"/>
      <c r="L30" s="116"/>
      <c r="M30" s="116"/>
      <c r="N30" s="116"/>
      <c r="O30" s="116"/>
      <c r="P30" s="117"/>
      <c r="Z30" s="11"/>
    </row>
    <row r="31" spans="1:26" ht="19.5" customHeight="1" x14ac:dyDescent="0.25">
      <c r="A31" s="9"/>
      <c r="B31" s="45">
        <v>7</v>
      </c>
      <c r="C31" s="115"/>
      <c r="D31" s="116"/>
      <c r="E31" s="116"/>
      <c r="F31" s="116"/>
      <c r="G31" s="117"/>
      <c r="H31" s="156">
        <v>52</v>
      </c>
      <c r="I31" s="157"/>
      <c r="J31" s="158"/>
      <c r="K31" s="115"/>
      <c r="L31" s="116"/>
      <c r="M31" s="116"/>
      <c r="N31" s="116"/>
      <c r="O31" s="116"/>
      <c r="P31" s="117"/>
      <c r="Z31" s="11"/>
    </row>
    <row r="32" spans="1:26" ht="19.5" customHeight="1" x14ac:dyDescent="0.25">
      <c r="A32" s="9"/>
      <c r="B32" s="45">
        <v>8</v>
      </c>
      <c r="C32" s="115" t="s">
        <v>39</v>
      </c>
      <c r="D32" s="116"/>
      <c r="E32" s="116"/>
      <c r="F32" s="116"/>
      <c r="G32" s="117"/>
      <c r="H32" s="156">
        <v>54</v>
      </c>
      <c r="I32" s="157"/>
      <c r="J32" s="158"/>
      <c r="K32" s="115"/>
      <c r="L32" s="116"/>
      <c r="M32" s="116"/>
      <c r="N32" s="116"/>
      <c r="O32" s="116"/>
      <c r="P32" s="117"/>
      <c r="Z32" s="11"/>
    </row>
    <row r="33" spans="1:26" ht="19.5" customHeight="1" x14ac:dyDescent="0.25">
      <c r="A33" s="9"/>
      <c r="B33" s="45">
        <v>9</v>
      </c>
      <c r="C33" s="115"/>
      <c r="D33" s="116"/>
      <c r="E33" s="116"/>
      <c r="F33" s="116"/>
      <c r="G33" s="117"/>
      <c r="H33" s="156">
        <v>83</v>
      </c>
      <c r="I33" s="157"/>
      <c r="J33" s="158"/>
      <c r="K33" s="115"/>
      <c r="L33" s="116"/>
      <c r="M33" s="116"/>
      <c r="N33" s="116"/>
      <c r="O33" s="116"/>
      <c r="P33" s="117"/>
      <c r="Z33" s="11"/>
    </row>
    <row r="34" spans="1:26" ht="19.5" customHeight="1" x14ac:dyDescent="0.25">
      <c r="A34" s="9"/>
      <c r="B34" s="45">
        <v>10</v>
      </c>
      <c r="C34" s="115"/>
      <c r="D34" s="116"/>
      <c r="E34" s="116"/>
      <c r="F34" s="116"/>
      <c r="G34" s="117"/>
      <c r="H34" s="156">
        <v>59</v>
      </c>
      <c r="I34" s="157"/>
      <c r="J34" s="158"/>
      <c r="K34" s="115"/>
      <c r="L34" s="116"/>
      <c r="M34" s="116"/>
      <c r="N34" s="116"/>
      <c r="O34" s="116"/>
      <c r="P34" s="117"/>
      <c r="Z34" s="11"/>
    </row>
    <row r="35" spans="1:26" ht="19.5" customHeight="1" x14ac:dyDescent="0.25">
      <c r="A35" s="9"/>
      <c r="B35" s="45">
        <v>11</v>
      </c>
      <c r="C35" s="115"/>
      <c r="D35" s="116"/>
      <c r="E35" s="116"/>
      <c r="F35" s="116"/>
      <c r="G35" s="117"/>
      <c r="H35" s="156">
        <v>57</v>
      </c>
      <c r="I35" s="157"/>
      <c r="J35" s="158"/>
      <c r="K35" s="115"/>
      <c r="L35" s="116"/>
      <c r="M35" s="116"/>
      <c r="N35" s="116"/>
      <c r="O35" s="116"/>
      <c r="P35" s="117"/>
      <c r="Z35" s="11"/>
    </row>
    <row r="36" spans="1:26" ht="19.5" customHeight="1" x14ac:dyDescent="0.25">
      <c r="A36" s="9"/>
      <c r="B36" s="45">
        <v>12</v>
      </c>
      <c r="C36" s="115"/>
      <c r="D36" s="116"/>
      <c r="E36" s="116"/>
      <c r="F36" s="116"/>
      <c r="G36" s="117"/>
      <c r="H36" s="156">
        <v>65</v>
      </c>
      <c r="I36" s="157"/>
      <c r="J36" s="158"/>
      <c r="K36" s="115"/>
      <c r="L36" s="116"/>
      <c r="M36" s="116"/>
      <c r="N36" s="116"/>
      <c r="O36" s="116"/>
      <c r="P36" s="117"/>
      <c r="Z36" s="11"/>
    </row>
    <row r="37" spans="1:26" ht="19.5" customHeight="1" x14ac:dyDescent="0.25">
      <c r="A37" s="9"/>
      <c r="B37" s="45"/>
      <c r="C37" s="115"/>
      <c r="D37" s="116"/>
      <c r="E37" s="116"/>
      <c r="F37" s="116"/>
      <c r="G37" s="117"/>
      <c r="H37" s="156"/>
      <c r="I37" s="157"/>
      <c r="J37" s="158"/>
      <c r="K37" s="115"/>
      <c r="L37" s="116"/>
      <c r="M37" s="116"/>
      <c r="N37" s="116"/>
      <c r="O37" s="116"/>
      <c r="P37" s="117"/>
      <c r="Z37" s="11"/>
    </row>
    <row r="38" spans="1:26" ht="19.5" customHeight="1" x14ac:dyDescent="0.25">
      <c r="A38" s="9"/>
      <c r="B38" s="45"/>
      <c r="C38" s="115"/>
      <c r="D38" s="116"/>
      <c r="E38" s="116"/>
      <c r="F38" s="116"/>
      <c r="G38" s="117"/>
      <c r="H38" s="156"/>
      <c r="I38" s="157"/>
      <c r="J38" s="158"/>
      <c r="K38" s="115"/>
      <c r="L38" s="116"/>
      <c r="M38" s="116"/>
      <c r="N38" s="116"/>
      <c r="O38" s="116"/>
      <c r="P38" s="117"/>
      <c r="Z38" s="11"/>
    </row>
    <row r="39" spans="1:26" ht="19.5" customHeight="1" x14ac:dyDescent="0.25">
      <c r="A39" s="9"/>
      <c r="B39" s="45"/>
      <c r="C39" s="115"/>
      <c r="D39" s="116"/>
      <c r="E39" s="116"/>
      <c r="F39" s="116"/>
      <c r="G39" s="117"/>
      <c r="H39" s="156"/>
      <c r="I39" s="157"/>
      <c r="J39" s="158"/>
      <c r="K39" s="115"/>
      <c r="L39" s="116"/>
      <c r="M39" s="116"/>
      <c r="N39" s="116"/>
      <c r="O39" s="116"/>
      <c r="P39" s="117"/>
      <c r="Z39" s="11"/>
    </row>
    <row r="40" spans="1:26" ht="19.5" customHeight="1" x14ac:dyDescent="0.25">
      <c r="A40" s="9"/>
      <c r="B40" s="45"/>
      <c r="C40" s="115"/>
      <c r="D40" s="116"/>
      <c r="E40" s="116"/>
      <c r="F40" s="116"/>
      <c r="G40" s="117"/>
      <c r="H40" s="156"/>
      <c r="I40" s="157"/>
      <c r="J40" s="158"/>
      <c r="K40" s="115"/>
      <c r="L40" s="116"/>
      <c r="M40" s="116"/>
      <c r="N40" s="116"/>
      <c r="O40" s="116"/>
      <c r="P40" s="117"/>
      <c r="Z40" s="11"/>
    </row>
    <row r="41" spans="1:26" ht="19.5" customHeight="1" x14ac:dyDescent="0.25">
      <c r="A41" s="9"/>
      <c r="B41" s="45"/>
      <c r="C41" s="115"/>
      <c r="D41" s="116"/>
      <c r="E41" s="116"/>
      <c r="F41" s="116"/>
      <c r="G41" s="117"/>
      <c r="H41" s="156"/>
      <c r="I41" s="157"/>
      <c r="J41" s="158"/>
      <c r="K41" s="115"/>
      <c r="L41" s="116"/>
      <c r="M41" s="116"/>
      <c r="N41" s="116"/>
      <c r="O41" s="116"/>
      <c r="P41" s="117"/>
      <c r="Z41" s="11"/>
    </row>
    <row r="42" spans="1:26" ht="19.5" customHeight="1" x14ac:dyDescent="0.25">
      <c r="A42" s="9"/>
      <c r="B42" s="45"/>
      <c r="C42" s="115"/>
      <c r="D42" s="116"/>
      <c r="E42" s="116"/>
      <c r="F42" s="116"/>
      <c r="G42" s="117"/>
      <c r="H42" s="156"/>
      <c r="I42" s="157"/>
      <c r="J42" s="158"/>
      <c r="K42" s="115"/>
      <c r="L42" s="116"/>
      <c r="M42" s="116"/>
      <c r="N42" s="116"/>
      <c r="O42" s="116"/>
      <c r="P42" s="117"/>
      <c r="Z42" s="11"/>
    </row>
    <row r="43" spans="1:26" ht="19.5" customHeight="1" x14ac:dyDescent="0.25">
      <c r="A43" s="9"/>
      <c r="B43" s="45"/>
      <c r="C43" s="115"/>
      <c r="D43" s="116"/>
      <c r="E43" s="116"/>
      <c r="F43" s="116"/>
      <c r="G43" s="117"/>
      <c r="H43" s="156"/>
      <c r="I43" s="157"/>
      <c r="J43" s="158"/>
      <c r="K43" s="115"/>
      <c r="L43" s="116"/>
      <c r="M43" s="116"/>
      <c r="N43" s="116"/>
      <c r="O43" s="116"/>
      <c r="P43" s="117"/>
      <c r="Z43" s="11"/>
    </row>
    <row r="44" spans="1:26" ht="19.5" customHeight="1" x14ac:dyDescent="0.25">
      <c r="A44" s="9"/>
      <c r="B44" s="45"/>
      <c r="C44" s="115"/>
      <c r="D44" s="116"/>
      <c r="E44" s="116"/>
      <c r="F44" s="116"/>
      <c r="G44" s="117"/>
      <c r="H44" s="156"/>
      <c r="I44" s="157"/>
      <c r="J44" s="158"/>
      <c r="K44" s="115"/>
      <c r="L44" s="116"/>
      <c r="M44" s="116"/>
      <c r="N44" s="116"/>
      <c r="O44" s="116"/>
      <c r="P44" s="117"/>
      <c r="Z44" s="11"/>
    </row>
    <row r="45" spans="1:26" ht="19.5" customHeight="1" x14ac:dyDescent="0.25">
      <c r="A45" s="9"/>
      <c r="B45" s="46"/>
      <c r="C45" s="139"/>
      <c r="D45" s="139"/>
      <c r="E45" s="139"/>
      <c r="F45" s="139"/>
      <c r="G45" s="140"/>
      <c r="H45" s="135"/>
      <c r="I45" s="136"/>
      <c r="J45" s="137"/>
      <c r="K45" s="138"/>
      <c r="L45" s="139"/>
      <c r="M45" s="139"/>
      <c r="N45" s="139"/>
      <c r="O45" s="139"/>
      <c r="P45" s="140"/>
      <c r="Z45" s="11"/>
    </row>
    <row r="46" spans="1:26" ht="15.75" customHeight="1" x14ac:dyDescent="0.25">
      <c r="A46" s="9"/>
      <c r="B46" s="189" t="s">
        <v>40</v>
      </c>
      <c r="C46" s="190"/>
      <c r="D46" s="190"/>
      <c r="E46" s="190"/>
      <c r="F46" s="190"/>
      <c r="G46" s="191"/>
      <c r="H46" s="195">
        <f>AVERAGE(H25:J45)</f>
        <v>69.333333333333329</v>
      </c>
      <c r="I46" s="196"/>
      <c r="J46" s="197"/>
      <c r="K46" s="123" t="s">
        <v>41</v>
      </c>
      <c r="L46" s="124"/>
      <c r="M46" s="118" t="s">
        <v>42</v>
      </c>
      <c r="N46" s="118"/>
      <c r="O46" s="118"/>
      <c r="P46" s="119"/>
      <c r="Z46" s="11"/>
    </row>
    <row r="47" spans="1:26" ht="15.75" customHeight="1" x14ac:dyDescent="0.25">
      <c r="A47" s="9"/>
      <c r="B47" s="183" t="s">
        <v>43</v>
      </c>
      <c r="C47" s="184"/>
      <c r="D47" s="184"/>
      <c r="E47" s="184"/>
      <c r="F47" s="184"/>
      <c r="G47" s="185"/>
      <c r="H47" s="98">
        <f>IF(COUNTIF(H25:J45,"*&lt;20*"),"&lt;20",MIN(H25:J45))</f>
        <v>52</v>
      </c>
      <c r="I47" s="99"/>
      <c r="J47" s="100"/>
      <c r="K47" s="125"/>
      <c r="L47" s="126"/>
      <c r="M47" s="91"/>
      <c r="N47" s="91"/>
      <c r="O47" s="91"/>
      <c r="P47" s="120"/>
      <c r="Z47" s="11"/>
    </row>
    <row r="48" spans="1:26" ht="15.75" customHeight="1" x14ac:dyDescent="0.25">
      <c r="A48" s="9"/>
      <c r="B48" s="186" t="s">
        <v>44</v>
      </c>
      <c r="C48" s="187"/>
      <c r="D48" s="187"/>
      <c r="E48" s="187"/>
      <c r="F48" s="187"/>
      <c r="G48" s="188"/>
      <c r="H48" s="192">
        <f>IF(COUNTIF(H25:J45,"*&gt;250*"),"&gt;250",MAX(H25:J45))</f>
        <v>102</v>
      </c>
      <c r="I48" s="193"/>
      <c r="J48" s="194"/>
      <c r="K48" s="127"/>
      <c r="L48" s="128"/>
      <c r="M48" s="121"/>
      <c r="N48" s="121"/>
      <c r="O48" s="121"/>
      <c r="P48" s="122"/>
      <c r="Z48" s="11"/>
    </row>
    <row r="49" spans="1:26" ht="15.9" customHeight="1" x14ac:dyDescent="0.25">
      <c r="A49" s="35"/>
      <c r="B49" s="4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6"/>
    </row>
    <row r="50" spans="1:26" ht="12.75" customHeight="1" x14ac:dyDescent="0.25">
      <c r="A50" s="36"/>
      <c r="B50" s="37"/>
    </row>
    <row r="51" spans="1:26" s="17" customFormat="1" ht="15.6" customHeight="1" x14ac:dyDescent="0.25">
      <c r="A51" s="48" t="s">
        <v>45</v>
      </c>
      <c r="B51" s="5" t="s">
        <v>46</v>
      </c>
      <c r="C51" s="49"/>
      <c r="D51" s="49"/>
      <c r="E51" s="49"/>
      <c r="F51" s="50"/>
      <c r="G51" s="50"/>
      <c r="H51" s="5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1"/>
      <c r="V51" s="52"/>
      <c r="W51" s="52"/>
      <c r="X51" s="42"/>
      <c r="Y51" s="42"/>
      <c r="Z51" s="43"/>
    </row>
    <row r="52" spans="1:26" s="17" customFormat="1" ht="28.5" customHeight="1" x14ac:dyDescent="0.25">
      <c r="A52" s="103" t="s">
        <v>47</v>
      </c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5"/>
      <c r="R52" s="83" t="s">
        <v>48</v>
      </c>
      <c r="S52" s="84"/>
      <c r="T52" s="85"/>
      <c r="U52" s="73" t="s">
        <v>49</v>
      </c>
      <c r="V52" s="74"/>
      <c r="W52" s="74"/>
      <c r="X52" s="75"/>
      <c r="Y52" s="75"/>
      <c r="Z52" s="76"/>
    </row>
    <row r="53" spans="1:26" s="17" customFormat="1" ht="15.6" customHeight="1" x14ac:dyDescent="0.25">
      <c r="A53" s="77" t="s">
        <v>50</v>
      </c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9"/>
      <c r="R53" s="83" t="s">
        <v>51</v>
      </c>
      <c r="S53" s="84"/>
      <c r="T53" s="85"/>
      <c r="U53" s="86" t="s">
        <v>52</v>
      </c>
      <c r="V53" s="87"/>
      <c r="W53" s="87"/>
      <c r="X53" s="88"/>
      <c r="Y53" s="88"/>
      <c r="Z53" s="89"/>
    </row>
    <row r="54" spans="1:26" s="17" customFormat="1" ht="15.6" customHeight="1" x14ac:dyDescent="0.25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2"/>
      <c r="R54" s="83"/>
      <c r="S54" s="84"/>
      <c r="T54" s="85"/>
      <c r="U54" s="90"/>
      <c r="V54" s="91"/>
      <c r="W54" s="91"/>
      <c r="X54" s="92"/>
      <c r="Y54" s="92"/>
      <c r="Z54" s="93"/>
    </row>
    <row r="55" spans="1:26" s="17" customFormat="1" ht="15.6" customHeight="1" x14ac:dyDescent="0.25">
      <c r="A55" s="55" t="s">
        <v>53</v>
      </c>
      <c r="B55" s="56" t="s">
        <v>54</v>
      </c>
      <c r="C55" s="1"/>
      <c r="D55" s="1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7"/>
      <c r="R55" s="83"/>
      <c r="S55" s="84"/>
      <c r="T55" s="85"/>
      <c r="U55" s="94"/>
      <c r="V55" s="95"/>
      <c r="W55" s="95"/>
      <c r="X55" s="96"/>
      <c r="Y55" s="96"/>
      <c r="Z55" s="97"/>
    </row>
    <row r="56" spans="1:26" s="17" customFormat="1" ht="15.6" customHeight="1" x14ac:dyDescent="0.25">
      <c r="A56" s="174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6"/>
      <c r="R56" s="83" t="s">
        <v>55</v>
      </c>
      <c r="S56" s="84"/>
      <c r="T56" s="85"/>
      <c r="U56" s="58"/>
      <c r="V56" s="59"/>
      <c r="W56" s="59"/>
      <c r="X56" s="59"/>
      <c r="Y56" s="59"/>
      <c r="Z56" s="60"/>
    </row>
    <row r="57" spans="1:26" s="17" customFormat="1" ht="15.6" customHeight="1" x14ac:dyDescent="0.25">
      <c r="A57" s="174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6"/>
      <c r="R57" s="83"/>
      <c r="S57" s="84"/>
      <c r="T57" s="85"/>
      <c r="U57" s="61"/>
      <c r="V57" s="91"/>
      <c r="W57" s="91"/>
      <c r="X57" s="91"/>
      <c r="Y57" s="91"/>
      <c r="Z57" s="62"/>
    </row>
    <row r="58" spans="1:26" s="17" customFormat="1" ht="15.6" customHeight="1" x14ac:dyDescent="0.25">
      <c r="A58" s="174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6"/>
      <c r="R58" s="83"/>
      <c r="S58" s="84"/>
      <c r="T58" s="85"/>
      <c r="U58" s="61"/>
      <c r="V58" s="91"/>
      <c r="W58" s="91"/>
      <c r="X58" s="91"/>
      <c r="Y58" s="91"/>
      <c r="Z58" s="62"/>
    </row>
    <row r="59" spans="1:26" s="17" customFormat="1" ht="15.6" customHeight="1" x14ac:dyDescent="0.25">
      <c r="A59" s="177"/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9"/>
      <c r="R59" s="180"/>
      <c r="S59" s="181"/>
      <c r="T59" s="182"/>
      <c r="U59" s="63"/>
      <c r="V59" s="64"/>
      <c r="W59" s="64"/>
      <c r="X59" s="64"/>
      <c r="Y59" s="64"/>
      <c r="Z59" s="65"/>
    </row>
    <row r="60" spans="1:26" s="17" customFormat="1" ht="15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54"/>
      <c r="S60" s="54"/>
      <c r="T60" s="54"/>
      <c r="U60" s="41"/>
      <c r="V60" s="41"/>
      <c r="W60" s="41"/>
      <c r="X60" s="41"/>
      <c r="Y60" s="41"/>
      <c r="Z60" s="41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B17:H17"/>
    <mergeCell ref="B12:G12"/>
    <mergeCell ref="B11:G11"/>
    <mergeCell ref="A52:Q52"/>
    <mergeCell ref="R52:T52"/>
    <mergeCell ref="U52:Z52"/>
    <mergeCell ref="A53:Q54"/>
    <mergeCell ref="R53:T55"/>
    <mergeCell ref="U53:Z55"/>
    <mergeCell ref="N12:R12"/>
    <mergeCell ref="H12:M12"/>
    <mergeCell ref="H11:M11"/>
    <mergeCell ref="N11:R11"/>
    <mergeCell ref="K25:P25"/>
    <mergeCell ref="S12:Y12"/>
    <mergeCell ref="K23:P24"/>
    <mergeCell ref="I17:Y17"/>
    <mergeCell ref="S11:Y11"/>
    <mergeCell ref="H36:J36"/>
    <mergeCell ref="K36:P36"/>
    <mergeCell ref="C37:G37"/>
    <mergeCell ref="H37:J37"/>
    <mergeCell ref="K37:P37"/>
    <mergeCell ref="C34:G34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A56:Q59"/>
    <mergeCell ref="R56:T59"/>
    <mergeCell ref="K26:P26"/>
    <mergeCell ref="C27:G27"/>
    <mergeCell ref="H27:J27"/>
    <mergeCell ref="K27:P27"/>
    <mergeCell ref="C28:G28"/>
    <mergeCell ref="H28:J28"/>
    <mergeCell ref="K28:P28"/>
    <mergeCell ref="C29:G29"/>
    <mergeCell ref="H29:J29"/>
    <mergeCell ref="K29:P29"/>
    <mergeCell ref="M46:P48"/>
    <mergeCell ref="K46:L48"/>
    <mergeCell ref="H45:J45"/>
    <mergeCell ref="H33:J33"/>
    <mergeCell ref="K33:P33"/>
    <mergeCell ref="C30:G30"/>
    <mergeCell ref="H30:J30"/>
    <mergeCell ref="K30:P30"/>
    <mergeCell ref="C31:G31"/>
    <mergeCell ref="H31:J31"/>
    <mergeCell ref="K31:P31"/>
    <mergeCell ref="C36:G36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45:G45"/>
    <mergeCell ref="B47:G47"/>
    <mergeCell ref="B48:G48"/>
    <mergeCell ref="B46:G46"/>
    <mergeCell ref="C26:G26"/>
    <mergeCell ref="H26:J26"/>
    <mergeCell ref="K45:P45"/>
    <mergeCell ref="H48:J48"/>
    <mergeCell ref="H46:J46"/>
    <mergeCell ref="H47:J47"/>
    <mergeCell ref="C32:G32"/>
    <mergeCell ref="H32:J32"/>
    <mergeCell ref="K32:P32"/>
    <mergeCell ref="C33:G33"/>
    <mergeCell ref="H34:J34"/>
    <mergeCell ref="K34:P34"/>
    <mergeCell ref="C35:G35"/>
    <mergeCell ref="H35:J35"/>
    <mergeCell ref="K35:P35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131025 CDF contre allée</vt:lpstr>
      <vt:lpstr>040225</vt:lpstr>
      <vt:lpstr>280125</vt:lpstr>
      <vt:lpstr>190924 CdF voirie exist.</vt:lpstr>
      <vt:lpstr>190724</vt:lpstr>
      <vt:lpstr>050424</vt:lpstr>
      <vt:lpstr>'040225'!Zone_d_impression</vt:lpstr>
      <vt:lpstr>'050424'!Zone_d_impression</vt:lpstr>
      <vt:lpstr>'131025 CDF contre allée'!Zone_d_impression</vt:lpstr>
      <vt:lpstr>'190724'!Zone_d_impression</vt:lpstr>
      <vt:lpstr>'190924 CdF voirie exist.'!Zone_d_impression</vt:lpstr>
      <vt:lpstr>'280125'!Zone_d_impression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2025-10-14T04:09:09Z</cp:lastPrinted>
  <dcterms:created xsi:type="dcterms:W3CDTF">2004-11-13T18:13:05Z</dcterms:created>
  <dcterms:modified xsi:type="dcterms:W3CDTF">2025-10-14T04:09:15Z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