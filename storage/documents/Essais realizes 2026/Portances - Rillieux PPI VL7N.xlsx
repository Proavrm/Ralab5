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1IC  Rillieux - PPI métro VL7N\Essais de laboratoire\"/>
    </mc:Choice>
  </mc:AlternateContent>
  <xr:revisionPtr revIDLastSave="0" documentId="13_ncr:1_{0F4D36DA-C5FF-41C7-AFAB-922AD389F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41025 CDF après rabot nations" sheetId="13" r:id="rId1"/>
    <sheet name="131025 CDF après rabot mas rill" sheetId="12" r:id="rId2"/>
    <sheet name="080825 CdF exist. Mas Rillier" sheetId="11" r:id="rId3"/>
    <sheet name="080825 CdF exist. Ampère" sheetId="10" r:id="rId4"/>
    <sheet name="200625 CDF" sheetId="9" r:id="rId5"/>
    <sheet name="130525 CDF" sheetId="8" r:id="rId6"/>
    <sheet name="220425 CDF" sheetId="7" r:id="rId7"/>
    <sheet name="100425 CDF-0,15m Mas Rillier" sheetId="6" r:id="rId8"/>
    <sheet name="040425Arase Mas Rillier" sheetId="5" r:id="rId9"/>
    <sheet name="270225 corr" sheetId="4" r:id="rId10"/>
    <sheet name="270225" sheetId="3" r:id="rId11"/>
    <sheet name="110225 Voie cyclable (corr.)" sheetId="2" r:id="rId12"/>
    <sheet name="110225 Voie cyclable" sheetId="1" r:id="rId13"/>
  </sheets>
  <definedNames>
    <definedName name="_xlnm.Print_Area" localSheetId="8">'040425Arase Mas Rillier'!$A$1:$Z$60</definedName>
    <definedName name="_xlnm.Print_Area" localSheetId="3">'080825 CdF exist. Ampère'!$A$1:$Z$69</definedName>
    <definedName name="_xlnm.Print_Area" localSheetId="2">'080825 CdF exist. Mas Rillier'!$A$1:$Z$69</definedName>
    <definedName name="_xlnm.Print_Area" localSheetId="7">'100425 CDF-0,15m Mas Rillier'!$A$1:$Z$61</definedName>
    <definedName name="_xlnm.Print_Area" localSheetId="12">'110225 Voie cyclable'!$A$1:$Z$69</definedName>
    <definedName name="_xlnm.Print_Area" localSheetId="11">'110225 Voie cyclable (corr.)'!$A$1:$Z$69</definedName>
    <definedName name="_xlnm.Print_Area" localSheetId="5">'130525 CDF'!$A$1:$Z$60</definedName>
    <definedName name="_xlnm.Print_Area" localSheetId="1">'131025 CDF après rabot mas rill'!$A$1:$Z$61</definedName>
    <definedName name="_xlnm.Print_Area" localSheetId="0">'141025 CDF après rabot nations'!$A$1:$Z$61</definedName>
    <definedName name="_xlnm.Print_Area" localSheetId="4">'200625 CDF'!$A$1:$Z$61</definedName>
    <definedName name="_xlnm.Print_Area" localSheetId="6">'220425 CDF'!$A$1:$Z$60</definedName>
    <definedName name="_xlnm.Print_Area" localSheetId="10">'270225'!$A$1:$Z$60</definedName>
    <definedName name="_xlnm.Print_Area" localSheetId="9">'270225 corr'!$A$1:$Z$59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3" l="1"/>
  <c r="H48" i="13"/>
  <c r="H49" i="13"/>
  <c r="H47" i="12"/>
  <c r="H48" i="12"/>
  <c r="H49" i="12"/>
  <c r="H55" i="11"/>
  <c r="H56" i="11"/>
  <c r="H57" i="11"/>
  <c r="H55" i="10"/>
  <c r="H56" i="10"/>
  <c r="H57" i="10"/>
  <c r="H47" i="9"/>
  <c r="H48" i="9"/>
  <c r="H49" i="9"/>
  <c r="H46" i="8"/>
  <c r="H47" i="8"/>
  <c r="H48" i="8"/>
  <c r="H46" i="7"/>
  <c r="H47" i="7"/>
  <c r="H48" i="7"/>
  <c r="H47" i="6"/>
  <c r="H48" i="6"/>
  <c r="H49" i="6"/>
  <c r="H46" i="5"/>
  <c r="H47" i="5"/>
  <c r="H48" i="5"/>
  <c r="H47" i="4"/>
  <c r="H46" i="4"/>
  <c r="H45" i="4"/>
  <c r="H46" i="3"/>
  <c r="H47" i="3"/>
  <c r="H48" i="3"/>
  <c r="H57" i="2"/>
  <c r="H56" i="2"/>
  <c r="H55" i="2"/>
  <c r="H57" i="1"/>
  <c r="H56" i="1"/>
  <c r="H55" i="1"/>
</calcChain>
</file>

<file path=xl/sharedStrings.xml><?xml version="1.0" encoding="utf-8"?>
<sst xmlns="http://schemas.openxmlformats.org/spreadsheetml/2006/main" count="735" uniqueCount="101">
  <si>
    <t>COMPTE RENDU D'ESSAIS</t>
  </si>
  <si>
    <t>PORTANCES DES PLATES-FORMES DYNAPLAQUE 
(NF P 94-117-2 d'octobre 2004)</t>
  </si>
  <si>
    <t>PLD N°</t>
  </si>
  <si>
    <t>11/02/2025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</si>
  <si>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</si>
  <si>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</si>
  <si>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</si>
  <si>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</si>
  <si>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</si>
  <si>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</si>
  <si>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</si>
  <si>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</si>
  <si>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</si>
  <si>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</si>
  <si>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0/80</t>
  </si>
  <si>
    <t>Date de(s) essai(s) :</t>
  </si>
  <si>
    <t>Météo :</t>
  </si>
  <si>
    <t>Pluie</t>
  </si>
  <si>
    <t>Partie de l'ouvrage :</t>
  </si>
  <si>
    <t>Plan de situation :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</si>
  <si>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</si>
  <si>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</si>
  <si>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</si>
  <si>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</si>
  <si>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</si>
  <si>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</si>
  <si>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</si>
  <si>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</si>
  <si>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</si>
  <si>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</si>
  <si>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</si>
  <si>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</si>
  <si>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</si>
  <si>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</si>
  <si>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&lt;20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</si>
  <si>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</si>
  <si>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</si>
  <si>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</si>
  <si>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</si>
  <si>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</si>
  <si>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</si>
  <si>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</si>
  <si>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</si>
  <si>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</si>
  <si>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Chef de section laboratoire</t>
  </si>
  <si>
    <t>6/</t>
  </si>
  <si>
    <t>COMMENTAIRES</t>
  </si>
  <si>
    <t>Visa</t>
  </si>
  <si>
    <t>Rillieux la Pape
PPI Métropole
VL7N</t>
  </si>
  <si>
    <t>RA O1IC</t>
  </si>
  <si>
    <t>Pour information</t>
  </si>
  <si>
    <t>Voie cyclable - Gir. De Gaulle</t>
  </si>
  <si>
    <t>Oui</t>
  </si>
  <si>
    <t>CdF :</t>
  </si>
  <si>
    <t>Technicien de laboratoire</t>
  </si>
  <si>
    <t>Conforme</t>
  </si>
  <si>
    <t>F. MONTET</t>
  </si>
  <si>
    <t xml:space="preserve"> 85.71</t>
  </si>
  <si>
    <t>CDR</t>
  </si>
  <si>
    <t>Couvert</t>
  </si>
  <si>
    <t>27/02/2025</t>
  </si>
  <si>
    <t>GR 0/31.5</t>
  </si>
  <si>
    <t>F. Montet</t>
  </si>
  <si>
    <t xml:space="preserve"> 20.00</t>
  </si>
  <si>
    <t>Non</t>
  </si>
  <si>
    <t>Beau</t>
  </si>
  <si>
    <t>04/04/2025</t>
  </si>
  <si>
    <t>Matériau en place</t>
  </si>
  <si>
    <t>Non conforme</t>
  </si>
  <si>
    <t>Arase Route du Mas Rillier</t>
  </si>
  <si>
    <t xml:space="preserve"> 26.32</t>
  </si>
  <si>
    <t>10/04/2025</t>
  </si>
  <si>
    <t>GR 0/80</t>
  </si>
  <si>
    <t xml:space="preserve"> </t>
  </si>
  <si>
    <t>CDR-0,15m Mas Rillier</t>
  </si>
  <si>
    <t xml:space="preserve"> 100.00</t>
  </si>
  <si>
    <t>CDF</t>
  </si>
  <si>
    <t>22/04/2025</t>
  </si>
  <si>
    <t>CDF piste cyclable</t>
  </si>
  <si>
    <t>13/05/2025</t>
  </si>
  <si>
    <t>20/06/2025</t>
  </si>
  <si>
    <t>Piste Cyclable</t>
  </si>
  <si>
    <t>Voirie</t>
  </si>
  <si>
    <t>rue Ampère</t>
  </si>
  <si>
    <t>08/08/2025</t>
  </si>
  <si>
    <t>CdF existante grave alluvionnaire</t>
  </si>
  <si>
    <t>Sondages route du Mas Rillier</t>
  </si>
  <si>
    <t>CDF après rabotage</t>
  </si>
  <si>
    <t>Nuit</t>
  </si>
  <si>
    <t>13/10/2025</t>
  </si>
  <si>
    <t>Juste avant croisement avec chemin de la croix</t>
  </si>
  <si>
    <t>Juste avant croisement avec av des nations</t>
  </si>
  <si>
    <t>Fin croisement avec av des nations</t>
  </si>
  <si>
    <t>Juste avant ilot</t>
  </si>
  <si>
    <t>A côté de l'ilôt</t>
  </si>
  <si>
    <t>Côté installation</t>
  </si>
  <si>
    <t>CDF après rabotage av des nations</t>
  </si>
  <si>
    <t>14/10/2025</t>
  </si>
  <si>
    <t>15/10/2025</t>
  </si>
  <si>
    <t>Côté opposé</t>
  </si>
  <si>
    <t>Axe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</si>
</sst>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1"/>
      <color rgb="FF000000"/>
      <name val="Century Gothic"/>
      <family val="2"/>
    </font>
    <font>
      <sz val="8"/>
      <name val="Arial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44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4" fillId="0" borderId="0" xfId="1"/>
    <xf numFmtId="0" fontId="15" fillId="0" borderId="0" xfId="1" applyFont="1" applyAlignment="1" applyProtection="1">
      <alignment vertical="center"/>
      <protection hidden="1"/>
    </xf>
    <xf numFmtId="0" fontId="15" fillId="0" borderId="0" xfId="1" applyFont="1" applyAlignment="1" applyProtection="1">
      <alignment horizontal="center" vertical="center"/>
      <protection hidden="1"/>
    </xf>
    <xf numFmtId="0" fontId="15" fillId="0" borderId="0" xfId="1" applyFont="1" applyProtection="1">
      <protection hidden="1"/>
    </xf>
    <xf numFmtId="0" fontId="12" fillId="0" borderId="4" xfId="1" applyFont="1" applyBorder="1" applyAlignment="1" applyProtection="1">
      <alignment vertical="center"/>
      <protection locked="0"/>
    </xf>
    <xf numFmtId="0" fontId="16" fillId="0" borderId="4" xfId="1" applyFont="1" applyBorder="1" applyAlignment="1" applyProtection="1">
      <alignment vertical="center"/>
      <protection hidden="1"/>
    </xf>
    <xf numFmtId="0" fontId="12" fillId="0" borderId="4" xfId="1" applyFont="1" applyBorder="1" applyAlignment="1" applyProtection="1">
      <alignment vertical="center" wrapText="1"/>
      <protection locked="0"/>
    </xf>
    <xf numFmtId="0" fontId="15" fillId="0" borderId="8" xfId="1" applyFont="1" applyBorder="1" applyAlignment="1" applyProtection="1">
      <alignment vertical="center" wrapText="1"/>
      <protection locked="0"/>
    </xf>
    <xf numFmtId="0" fontId="15" fillId="0" borderId="2" xfId="1" applyFont="1" applyBorder="1" applyAlignment="1" applyProtection="1">
      <alignment vertical="center" wrapText="1"/>
      <protection locked="0"/>
    </xf>
    <xf numFmtId="0" fontId="15" fillId="0" borderId="1" xfId="1" applyFont="1" applyBorder="1" applyAlignment="1" applyProtection="1">
      <alignment vertical="center" wrapText="1"/>
      <protection locked="0"/>
    </xf>
    <xf numFmtId="0" fontId="15" fillId="0" borderId="7" xfId="1" applyFont="1" applyBorder="1" applyAlignment="1" applyProtection="1">
      <alignment vertical="center" wrapText="1"/>
      <protection locked="0"/>
    </xf>
    <xf numFmtId="0" fontId="15" fillId="0" borderId="6" xfId="1" applyFont="1" applyBorder="1" applyAlignment="1" applyProtection="1">
      <alignment vertical="center" wrapText="1"/>
      <protection locked="0"/>
    </xf>
    <xf numFmtId="0" fontId="15" fillId="0" borderId="5" xfId="1" applyFont="1" applyBorder="1" applyAlignment="1" applyProtection="1">
      <alignment vertical="center" wrapText="1"/>
      <protection locked="0"/>
    </xf>
    <xf numFmtId="0" fontId="15" fillId="0" borderId="4" xfId="1" applyFont="1" applyBorder="1" applyAlignment="1" applyProtection="1">
      <alignment vertical="center" wrapText="1"/>
      <protection locked="0"/>
    </xf>
    <xf numFmtId="0" fontId="15" fillId="0" borderId="3" xfId="1" applyFont="1" applyBorder="1" applyAlignment="1" applyProtection="1">
      <alignment vertical="center" wrapText="1"/>
      <protection locked="0"/>
    </xf>
    <xf numFmtId="0" fontId="17" fillId="0" borderId="7" xfId="1" applyFont="1" applyBorder="1" applyAlignment="1" applyProtection="1">
      <alignment vertical="center"/>
      <protection hidden="1"/>
    </xf>
    <xf numFmtId="0" fontId="17" fillId="0" borderId="0" xfId="1" applyFont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5" fillId="0" borderId="10" xfId="1" applyFont="1" applyBorder="1" applyAlignment="1" applyProtection="1">
      <alignment horizontal="center" vertical="center" wrapText="1"/>
      <protection hidden="1"/>
    </xf>
    <xf numFmtId="0" fontId="15" fillId="0" borderId="9" xfId="1" applyFont="1" applyBorder="1" applyAlignment="1" applyProtection="1">
      <alignment horizontal="center" vertical="center" wrapText="1"/>
      <protection hidden="1"/>
    </xf>
    <xf numFmtId="0" fontId="16" fillId="0" borderId="9" xfId="1" applyFont="1" applyBorder="1" applyAlignment="1" applyProtection="1">
      <alignment horizontal="center" vertical="center" wrapText="1"/>
      <protection hidden="1"/>
    </xf>
    <xf numFmtId="0" fontId="16" fillId="0" borderId="4" xfId="1" applyFont="1" applyBorder="1" applyAlignment="1" applyProtection="1">
      <alignment horizontal="center" vertical="center" wrapText="1"/>
      <protection hidden="1"/>
    </xf>
    <xf numFmtId="0" fontId="15" fillId="0" borderId="4" xfId="1" applyFont="1" applyBorder="1" applyAlignment="1" applyProtection="1">
      <alignment vertical="center"/>
      <protection hidden="1"/>
    </xf>
    <xf numFmtId="0" fontId="15" fillId="0" borderId="13" xfId="1" applyFont="1" applyBorder="1" applyAlignment="1" applyProtection="1">
      <alignment vertical="center"/>
      <protection hidden="1"/>
    </xf>
    <xf numFmtId="0" fontId="20" fillId="0" borderId="13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19" fillId="0" borderId="3" xfId="1" applyFont="1" applyBorder="1" applyAlignment="1" applyProtection="1">
      <alignment vertical="center"/>
      <protection hidden="1"/>
    </xf>
    <xf numFmtId="0" fontId="21" fillId="0" borderId="0" xfId="1" applyFont="1" applyAlignment="1" applyProtection="1">
      <alignment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15" fillId="0" borderId="8" xfId="1" applyFont="1" applyBorder="1" applyAlignment="1" applyProtection="1">
      <alignment vertical="center"/>
      <protection hidden="1"/>
    </xf>
    <xf numFmtId="0" fontId="15" fillId="0" borderId="2" xfId="1" applyFont="1" applyBorder="1" applyAlignment="1" applyProtection="1">
      <alignment vertical="center"/>
      <protection hidden="1"/>
    </xf>
    <xf numFmtId="0" fontId="21" fillId="0" borderId="1" xfId="1" applyFont="1" applyBorder="1" applyAlignment="1" applyProtection="1">
      <alignment vertical="center"/>
      <protection hidden="1"/>
    </xf>
    <xf numFmtId="0" fontId="21" fillId="0" borderId="1" xfId="1" applyFont="1" applyBorder="1" applyAlignment="1" applyProtection="1">
      <alignment horizontal="center" vertical="center"/>
      <protection hidden="1"/>
    </xf>
    <xf numFmtId="0" fontId="15" fillId="0" borderId="7" xfId="1" applyFont="1" applyBorder="1" applyAlignment="1" applyProtection="1">
      <alignment vertical="center"/>
      <protection hidden="1"/>
    </xf>
    <xf numFmtId="0" fontId="15" fillId="0" borderId="6" xfId="1" applyFont="1" applyBorder="1" applyAlignment="1" applyProtection="1">
      <alignment horizontal="center" vertical="center"/>
      <protection hidden="1"/>
    </xf>
    <xf numFmtId="0" fontId="22" fillId="0" borderId="12" xfId="1" applyFont="1" applyBorder="1" applyAlignment="1">
      <alignment horizontal="center"/>
    </xf>
    <xf numFmtId="0" fontId="12" fillId="0" borderId="10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10" xfId="1" applyFont="1" applyBorder="1" applyAlignment="1">
      <alignment vertical="center"/>
    </xf>
    <xf numFmtId="0" fontId="12" fillId="0" borderId="9" xfId="1" applyFont="1" applyBorder="1" applyAlignment="1">
      <alignment vertical="center"/>
    </xf>
    <xf numFmtId="164" fontId="12" fillId="0" borderId="14" xfId="1" applyNumberFormat="1" applyFont="1" applyBorder="1" applyAlignment="1">
      <alignment horizontal="center" vertical="center"/>
    </xf>
    <xf numFmtId="0" fontId="22" fillId="0" borderId="15" xfId="1" applyFont="1" applyBorder="1" applyAlignment="1">
      <alignment horizontal="center"/>
    </xf>
    <xf numFmtId="0" fontId="22" fillId="0" borderId="11" xfId="1" applyFont="1" applyBorder="1" applyAlignment="1">
      <alignment horizontal="center"/>
    </xf>
    <xf numFmtId="0" fontId="12" fillId="0" borderId="4" xfId="1" applyFont="1" applyBorder="1"/>
    <xf numFmtId="0" fontId="15" fillId="0" borderId="6" xfId="1" applyFont="1" applyBorder="1" applyAlignment="1" applyProtection="1">
      <alignment vertical="center"/>
      <protection hidden="1"/>
    </xf>
    <xf numFmtId="0" fontId="15" fillId="0" borderId="5" xfId="1" applyFont="1" applyBorder="1" applyAlignment="1" applyProtection="1">
      <alignment vertical="center"/>
      <protection hidden="1"/>
    </xf>
    <xf numFmtId="0" fontId="20" fillId="0" borderId="4" xfId="1" applyFont="1" applyBorder="1" applyAlignment="1" applyProtection="1">
      <alignment vertical="center"/>
      <protection hidden="1"/>
    </xf>
    <xf numFmtId="0" fontId="20" fillId="0" borderId="4" xfId="1" applyFont="1" applyBorder="1" applyAlignment="1" applyProtection="1">
      <alignment horizontal="center" vertical="center"/>
      <protection hidden="1"/>
    </xf>
    <xf numFmtId="0" fontId="18" fillId="0" borderId="3" xfId="1" applyFont="1" applyBorder="1" applyAlignment="1" applyProtection="1">
      <alignment vertical="center"/>
      <protection hidden="1"/>
    </xf>
    <xf numFmtId="0" fontId="19" fillId="0" borderId="3" xfId="1" applyFont="1" applyBorder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left" vertical="center"/>
      <protection hidden="1"/>
    </xf>
    <xf numFmtId="0" fontId="15" fillId="0" borderId="8" xfId="1" applyFont="1" applyBorder="1" applyProtection="1">
      <protection hidden="1"/>
    </xf>
    <xf numFmtId="0" fontId="15" fillId="0" borderId="2" xfId="1" applyFont="1" applyBorder="1" applyProtection="1">
      <protection hidden="1"/>
    </xf>
    <xf numFmtId="0" fontId="15" fillId="0" borderId="1" xfId="1" applyFont="1" applyBorder="1" applyProtection="1">
      <protection hidden="1"/>
    </xf>
    <xf numFmtId="0" fontId="17" fillId="0" borderId="7" xfId="1" applyFont="1" applyBorder="1" applyAlignment="1" applyProtection="1">
      <alignment horizontal="left"/>
      <protection hidden="1"/>
    </xf>
    <xf numFmtId="0" fontId="12" fillId="0" borderId="0" xfId="1" applyFont="1" applyAlignment="1" applyProtection="1">
      <alignment horizontal="left"/>
      <protection locked="0"/>
    </xf>
    <xf numFmtId="0" fontId="15" fillId="0" borderId="6" xfId="1" applyFont="1" applyBorder="1" applyProtection="1">
      <protection hidden="1"/>
    </xf>
    <xf numFmtId="0" fontId="15" fillId="0" borderId="7" xfId="1" applyFont="1" applyBorder="1" applyProtection="1">
      <protection hidden="1"/>
    </xf>
    <xf numFmtId="0" fontId="19" fillId="0" borderId="0" xfId="1" applyFont="1" applyProtection="1">
      <protection hidden="1"/>
    </xf>
    <xf numFmtId="0" fontId="15" fillId="0" borderId="5" xfId="1" applyFont="1" applyBorder="1" applyProtection="1">
      <protection hidden="1"/>
    </xf>
    <xf numFmtId="0" fontId="15" fillId="0" borderId="4" xfId="1" applyFont="1" applyBorder="1" applyProtection="1">
      <protection hidden="1"/>
    </xf>
    <xf numFmtId="0" fontId="18" fillId="0" borderId="4" xfId="1" applyFont="1" applyBorder="1" applyProtection="1">
      <protection hidden="1"/>
    </xf>
    <xf numFmtId="14" fontId="22" fillId="0" borderId="0" xfId="1" applyNumberFormat="1" applyFont="1" applyAlignment="1" applyProtection="1">
      <alignment horizontal="center"/>
      <protection hidden="1"/>
    </xf>
    <xf numFmtId="0" fontId="16" fillId="0" borderId="0" xfId="1" applyFont="1" applyAlignment="1" applyProtection="1">
      <alignment horizontal="right"/>
      <protection hidden="1"/>
    </xf>
    <xf numFmtId="0" fontId="18" fillId="0" borderId="0" xfId="1" applyFont="1" applyAlignment="1" applyProtection="1">
      <alignment horizontal="right"/>
      <protection hidden="1"/>
    </xf>
    <xf numFmtId="0" fontId="15" fillId="0" borderId="2" xfId="1" applyFont="1" applyBorder="1" applyAlignment="1" applyProtection="1">
      <alignment horizontal="left" vertical="center"/>
      <protection hidden="1"/>
    </xf>
    <xf numFmtId="0" fontId="15" fillId="0" borderId="2" xfId="1" applyFont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horizontal="left" vertical="center"/>
      <protection hidden="1"/>
    </xf>
    <xf numFmtId="0" fontId="15" fillId="0" borderId="4" xfId="1" applyFont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vertical="center"/>
      <protection hidden="1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23" fillId="0" borderId="3" xfId="1" applyFont="1" applyBorder="1" applyAlignment="1" applyProtection="1">
      <alignment horizontal="center" vertical="center" wrapText="1"/>
      <protection locked="0"/>
    </xf>
    <xf numFmtId="0" fontId="23" fillId="0" borderId="4" xfId="1" applyFont="1" applyBorder="1" applyAlignment="1" applyProtection="1">
      <alignment horizontal="center" vertical="center" wrapText="1"/>
      <protection locked="0"/>
    </xf>
    <xf numFmtId="0" fontId="23" fillId="0" borderId="5" xfId="1" applyFont="1" applyBorder="1" applyAlignment="1" applyProtection="1">
      <alignment horizontal="center" vertical="center" wrapText="1"/>
      <protection locked="0"/>
    </xf>
    <xf numFmtId="0" fontId="23" fillId="0" borderId="6" xfId="1" applyFont="1" applyBorder="1" applyAlignment="1" applyProtection="1">
      <alignment horizontal="center" vertical="center" wrapText="1"/>
      <protection locked="0"/>
    </xf>
    <xf numFmtId="0" fontId="23" fillId="0" borderId="0" xfId="1" applyFont="1" applyAlignment="1" applyProtection="1">
      <alignment horizontal="center" vertical="center" wrapText="1"/>
      <protection locked="0"/>
    </xf>
    <xf numFmtId="0" fontId="23" fillId="0" borderId="7" xfId="1" applyFont="1" applyBorder="1" applyAlignment="1" applyProtection="1">
      <alignment horizontal="center" vertical="center" wrapText="1"/>
      <protection locked="0"/>
    </xf>
    <xf numFmtId="0" fontId="23" fillId="0" borderId="1" xfId="1" applyFont="1" applyBorder="1" applyAlignment="1" applyProtection="1">
      <alignment horizontal="center" vertical="center" wrapText="1"/>
      <protection locked="0"/>
    </xf>
    <xf numFmtId="0" fontId="23" fillId="0" borderId="2" xfId="1" applyFont="1" applyBorder="1" applyAlignment="1" applyProtection="1">
      <alignment horizontal="center" vertical="center" wrapText="1"/>
      <protection locked="0"/>
    </xf>
    <xf numFmtId="0" fontId="23" fillId="0" borderId="8" xfId="1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36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 wrapText="1"/>
      <protection locked="0"/>
    </xf>
    <xf numFmtId="0" fontId="12" fillId="0" borderId="0" xfId="1" applyFont="1" applyAlignment="1" applyProtection="1">
      <alignment horizontal="center"/>
      <protection locked="0"/>
    </xf>
    <xf numFmtId="164" fontId="12" fillId="0" borderId="14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0" xfId="1" applyFont="1" applyBorder="1" applyAlignment="1" applyProtection="1">
      <alignment horizontal="center"/>
      <protection locked="0"/>
    </xf>
    <xf numFmtId="0" fontId="22" fillId="0" borderId="1" xfId="1" applyFont="1" applyBorder="1" applyAlignment="1">
      <alignment horizontal="center" vertical="center"/>
    </xf>
    <xf numFmtId="0" fontId="12" fillId="0" borderId="2" xfId="1" applyFont="1" applyBorder="1"/>
    <xf numFmtId="0" fontId="12" fillId="0" borderId="8" xfId="1" applyFont="1" applyBorder="1"/>
    <xf numFmtId="0" fontId="22" fillId="0" borderId="3" xfId="1" applyFont="1" applyBorder="1" applyAlignment="1">
      <alignment horizontal="center" vertical="center"/>
    </xf>
    <xf numFmtId="0" fontId="12" fillId="0" borderId="4" xfId="1" applyFont="1" applyBorder="1"/>
    <xf numFmtId="0" fontId="12" fillId="0" borderId="5" xfId="1" applyFont="1" applyBorder="1"/>
    <xf numFmtId="0" fontId="12" fillId="0" borderId="0" xfId="1" applyFont="1" applyAlignment="1" applyProtection="1">
      <alignment horizontal="left"/>
      <protection hidden="1"/>
    </xf>
    <xf numFmtId="0" fontId="12" fillId="0" borderId="15" xfId="1" applyFont="1" applyBorder="1" applyAlignment="1" applyProtection="1">
      <alignment horizontal="center" vertical="center"/>
      <protection hidden="1"/>
    </xf>
    <xf numFmtId="0" fontId="12" fillId="0" borderId="16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/>
    </xf>
    <xf numFmtId="0" fontId="12" fillId="0" borderId="14" xfId="1" applyFont="1" applyBorder="1" applyAlignment="1" applyProtection="1">
      <alignment horizontal="center" vertical="center" wrapText="1"/>
      <protection locked="0"/>
    </xf>
    <xf numFmtId="0" fontId="12" fillId="0" borderId="9" xfId="1" applyFont="1" applyBorder="1" applyAlignment="1" applyProtection="1">
      <alignment horizontal="center" vertical="center" wrapText="1"/>
      <protection locked="0"/>
    </xf>
    <xf numFmtId="0" fontId="15" fillId="0" borderId="9" xfId="1" applyFont="1" applyBorder="1" applyAlignment="1" applyProtection="1">
      <alignment horizontal="center" vertical="center" wrapText="1"/>
      <protection locked="0"/>
    </xf>
    <xf numFmtId="0" fontId="15" fillId="0" borderId="10" xfId="1" applyFont="1" applyBorder="1" applyAlignment="1" applyProtection="1">
      <alignment horizontal="center" vertical="center" wrapText="1"/>
      <protection locked="0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5" fillId="0" borderId="4" xfId="1" applyFont="1" applyBorder="1" applyAlignment="1" applyProtection="1">
      <alignment horizontal="center" vertical="center" wrapText="1"/>
      <protection locked="0"/>
    </xf>
    <xf numFmtId="0" fontId="15" fillId="0" borderId="5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5" fillId="0" borderId="7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5" fillId="0" borderId="2" xfId="1" applyFont="1" applyBorder="1" applyAlignment="1" applyProtection="1">
      <alignment horizontal="center" vertical="center" wrapText="1"/>
      <protection locked="0"/>
    </xf>
    <xf numFmtId="0" fontId="15" fillId="0" borderId="8" xfId="1" applyFont="1" applyBorder="1" applyAlignment="1" applyProtection="1">
      <alignment horizontal="center" vertical="center" wrapText="1"/>
      <protection locked="0"/>
    </xf>
    <xf numFmtId="164" fontId="22" fillId="0" borderId="24" xfId="1" applyNumberFormat="1" applyFont="1" applyBorder="1" applyAlignment="1">
      <alignment horizontal="center" vertical="center"/>
    </xf>
    <xf numFmtId="0" fontId="12" fillId="0" borderId="25" xfId="1" applyFont="1" applyBorder="1"/>
    <xf numFmtId="0" fontId="12" fillId="0" borderId="26" xfId="1" applyFont="1" applyBorder="1"/>
    <xf numFmtId="164" fontId="22" fillId="0" borderId="27" xfId="1" applyNumberFormat="1" applyFont="1" applyBorder="1" applyAlignment="1">
      <alignment horizontal="center" vertical="top"/>
    </xf>
    <xf numFmtId="0" fontId="12" fillId="0" borderId="28" xfId="1" applyFont="1" applyBorder="1" applyAlignment="1">
      <alignment vertical="top"/>
    </xf>
    <xf numFmtId="0" fontId="12" fillId="0" borderId="29" xfId="1" applyFont="1" applyBorder="1" applyAlignment="1">
      <alignment vertical="top"/>
    </xf>
    <xf numFmtId="164" fontId="22" fillId="0" borderId="14" xfId="1" applyNumberFormat="1" applyFont="1" applyBorder="1" applyAlignment="1">
      <alignment horizontal="center" vertical="center"/>
    </xf>
    <xf numFmtId="0" fontId="12" fillId="0" borderId="9" xfId="1" applyFont="1" applyBorder="1"/>
    <xf numFmtId="0" fontId="12" fillId="0" borderId="10" xfId="1" applyFont="1" applyBorder="1"/>
    <xf numFmtId="14" fontId="12" fillId="0" borderId="0" xfId="1" applyNumberFormat="1" applyFont="1" applyAlignment="1" applyProtection="1">
      <alignment horizontal="left" vertical="center"/>
      <protection locked="0"/>
    </xf>
    <xf numFmtId="0" fontId="12" fillId="0" borderId="0" xfId="1" applyFont="1" applyAlignment="1" applyProtection="1">
      <alignment horizontal="left" vertical="center"/>
      <protection hidden="1"/>
    </xf>
    <xf numFmtId="0" fontId="12" fillId="0" borderId="6" xfId="1" applyFont="1" applyBorder="1" applyAlignment="1" applyProtection="1">
      <alignment horizontal="left" vertical="center" wrapText="1"/>
      <protection locked="0"/>
    </xf>
    <xf numFmtId="0" fontId="12" fillId="0" borderId="0" xfId="1" applyFont="1" applyAlignment="1" applyProtection="1">
      <alignment horizontal="left" vertical="center" wrapText="1"/>
      <protection locked="0"/>
    </xf>
    <xf numFmtId="0" fontId="12" fillId="0" borderId="7" xfId="1" applyFont="1" applyBorder="1" applyAlignment="1" applyProtection="1">
      <alignment horizontal="left" vertical="center" wrapText="1"/>
      <protection locked="0"/>
    </xf>
    <xf numFmtId="0" fontId="12" fillId="0" borderId="1" xfId="1" applyFont="1" applyBorder="1" applyAlignment="1" applyProtection="1">
      <alignment horizontal="left" vertical="center" wrapText="1"/>
      <protection locked="0"/>
    </xf>
    <xf numFmtId="0" fontId="12" fillId="0" borderId="2" xfId="1" applyFont="1" applyBorder="1" applyAlignment="1" applyProtection="1">
      <alignment horizontal="left" vertical="center" wrapText="1"/>
      <protection locked="0"/>
    </xf>
    <xf numFmtId="0" fontId="12" fillId="0" borderId="8" xfId="1" applyFont="1" applyBorder="1" applyAlignment="1" applyProtection="1">
      <alignment horizontal="left" vertical="center" wrapText="1"/>
      <protection locked="0"/>
    </xf>
    <xf numFmtId="0" fontId="16" fillId="0" borderId="6" xfId="1" applyFont="1" applyBorder="1" applyAlignment="1" applyProtection="1">
      <alignment horizontal="center"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0" fontId="16" fillId="0" borderId="7" xfId="1" applyFont="1" applyBorder="1" applyAlignment="1" applyProtection="1">
      <alignment horizontal="center" vertical="center"/>
      <protection hidden="1"/>
    </xf>
    <xf numFmtId="0" fontId="16" fillId="0" borderId="1" xfId="1" applyFont="1" applyBorder="1" applyAlignment="1" applyProtection="1">
      <alignment horizontal="center"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8" xfId="1" applyFont="1" applyBorder="1" applyAlignment="1" applyProtection="1">
      <alignment horizontal="center" vertical="center"/>
      <protection hidden="1"/>
    </xf>
    <xf numFmtId="0" fontId="19" fillId="0" borderId="33" xfId="1" applyFont="1" applyBorder="1" applyAlignment="1" applyProtection="1">
      <alignment horizontal="center" vertical="center"/>
      <protection hidden="1"/>
    </xf>
    <xf numFmtId="0" fontId="19" fillId="0" borderId="34" xfId="1" applyFont="1" applyBorder="1" applyAlignment="1" applyProtection="1">
      <alignment horizontal="center" vertical="center"/>
      <protection hidden="1"/>
    </xf>
    <xf numFmtId="0" fontId="19" fillId="0" borderId="35" xfId="1" applyFont="1" applyBorder="1" applyAlignment="1" applyProtection="1">
      <alignment horizontal="center"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0" fontId="19" fillId="0" borderId="7" xfId="1" applyFont="1" applyBorder="1" applyAlignment="1" applyProtection="1">
      <alignment horizontal="center" vertical="center"/>
      <protection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9" fillId="0" borderId="2" xfId="1" applyFont="1" applyBorder="1" applyAlignment="1" applyProtection="1">
      <alignment horizontal="center" vertical="center"/>
      <protection hidden="1"/>
    </xf>
    <xf numFmtId="0" fontId="19" fillId="0" borderId="8" xfId="1" applyFont="1" applyBorder="1" applyAlignment="1" applyProtection="1">
      <alignment horizontal="center" vertical="center"/>
      <protection hidden="1"/>
    </xf>
    <xf numFmtId="0" fontId="12" fillId="0" borderId="24" xfId="1" applyFont="1" applyBorder="1" applyAlignment="1" applyProtection="1">
      <alignment horizontal="center"/>
      <protection locked="0"/>
    </xf>
    <xf numFmtId="0" fontId="12" fillId="0" borderId="25" xfId="1" applyFont="1" applyBorder="1" applyAlignment="1" applyProtection="1">
      <alignment horizontal="center"/>
      <protection locked="0"/>
    </xf>
    <xf numFmtId="0" fontId="12" fillId="0" borderId="26" xfId="1" applyFont="1" applyBorder="1" applyAlignment="1" applyProtection="1">
      <alignment horizontal="center"/>
      <protection locked="0"/>
    </xf>
    <xf numFmtId="0" fontId="22" fillId="0" borderId="30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31" xfId="1" applyFont="1" applyBorder="1" applyAlignment="1">
      <alignment horizontal="center" vertical="center"/>
    </xf>
    <xf numFmtId="0" fontId="22" fillId="0" borderId="25" xfId="1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22" fillId="0" borderId="29" xfId="1" applyFont="1" applyBorder="1" applyAlignment="1">
      <alignment horizontal="center" vertical="center"/>
    </xf>
    <xf numFmtId="0" fontId="23" fillId="0" borderId="6" xfId="1" applyFont="1" applyBorder="1" applyAlignment="1" applyProtection="1">
      <alignment horizontal="center" vertical="center" wrapText="1"/>
      <protection hidden="1"/>
    </xf>
    <xf numFmtId="0" fontId="23" fillId="0" borderId="0" xfId="1" applyFont="1" applyAlignment="1" applyProtection="1">
      <alignment horizontal="center" vertical="center" wrapText="1"/>
      <protection hidden="1"/>
    </xf>
    <xf numFmtId="0" fontId="23" fillId="0" borderId="7" xfId="1" applyFont="1" applyBorder="1" applyAlignment="1" applyProtection="1">
      <alignment horizontal="center" vertical="center" wrapText="1"/>
      <protection hidden="1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0" fontId="19" fillId="0" borderId="9" xfId="1" applyFont="1" applyBorder="1" applyAlignment="1" applyProtection="1">
      <alignment horizontal="center" vertical="center"/>
      <protection hidden="1"/>
    </xf>
    <xf numFmtId="0" fontId="17" fillId="0" borderId="9" xfId="1" applyFont="1" applyBorder="1" applyAlignment="1" applyProtection="1">
      <alignment horizontal="center" vertical="center"/>
      <protection hidden="1"/>
    </xf>
    <xf numFmtId="0" fontId="12" fillId="0" borderId="17" xfId="1" applyFont="1" applyBorder="1" applyAlignment="1" applyProtection="1">
      <alignment horizontal="center" vertical="center" wrapText="1"/>
      <protection locked="0"/>
    </xf>
    <xf numFmtId="0" fontId="12" fillId="0" borderId="18" xfId="1" applyFont="1" applyBorder="1" applyAlignment="1" applyProtection="1">
      <alignment horizontal="center" vertical="center" wrapText="1"/>
      <protection locked="0"/>
    </xf>
    <xf numFmtId="0" fontId="12" fillId="0" borderId="19" xfId="1" applyFont="1" applyBorder="1" applyAlignment="1" applyProtection="1">
      <alignment horizontal="center" vertical="center" wrapText="1"/>
      <protection locked="0"/>
    </xf>
    <xf numFmtId="0" fontId="12" fillId="0" borderId="20" xfId="1" applyFont="1" applyBorder="1" applyAlignment="1" applyProtection="1">
      <alignment horizontal="center" vertical="center" wrapText="1"/>
      <protection locked="0"/>
    </xf>
    <xf numFmtId="0" fontId="12" fillId="0" borderId="21" xfId="1" applyFont="1" applyBorder="1" applyAlignment="1" applyProtection="1">
      <alignment horizontal="center" vertical="center" wrapText="1"/>
      <protection locked="0"/>
    </xf>
    <xf numFmtId="0" fontId="12" fillId="0" borderId="22" xfId="1" applyFont="1" applyBorder="1" applyAlignment="1" applyProtection="1">
      <alignment horizontal="center" vertical="center"/>
      <protection locked="0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23" xfId="1" applyFont="1" applyBorder="1" applyAlignment="1" applyProtection="1">
      <alignment horizontal="center" vertical="center"/>
      <protection locked="0"/>
    </xf>
    <xf numFmtId="0" fontId="12" fillId="0" borderId="20" xfId="1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left" vertical="center"/>
      <protection locked="0"/>
    </xf>
    <xf numFmtId="0" fontId="12" fillId="0" borderId="0" xfId="1" applyFont="1" applyAlignment="1" applyProtection="1">
      <alignment horizontal="left"/>
      <protection locked="0"/>
    </xf>
    <xf numFmtId="164" fontId="12" fillId="0" borderId="24" xfId="1" applyNumberFormat="1" applyFont="1" applyBorder="1" applyAlignment="1">
      <alignment horizontal="center" vertical="center"/>
    </xf>
    <xf numFmtId="164" fontId="12" fillId="0" borderId="25" xfId="1" applyNumberFormat="1" applyFont="1" applyBorder="1" applyAlignment="1">
      <alignment horizontal="center" vertical="center"/>
    </xf>
    <xf numFmtId="164" fontId="12" fillId="0" borderId="26" xfId="1" applyNumberFormat="1" applyFont="1" applyBorder="1" applyAlignment="1">
      <alignment horizontal="center" vertical="center"/>
    </xf>
    <xf numFmtId="0" fontId="22" fillId="0" borderId="0" xfId="1" applyFont="1" applyAlignment="1" applyProtection="1">
      <alignment horizontal="center" vertical="center"/>
      <protection hidden="1"/>
    </xf>
    <xf numFmtId="0" fontId="22" fillId="0" borderId="7" xfId="1" applyFont="1" applyBorder="1" applyAlignment="1" applyProtection="1">
      <alignment horizontal="center" vertical="center"/>
      <protection hidden="1"/>
    </xf>
    <xf numFmtId="0" fontId="24" fillId="0" borderId="2" xfId="1" applyFont="1" applyBorder="1" applyAlignment="1" applyProtection="1">
      <alignment horizontal="center" vertical="center"/>
      <protection hidden="1"/>
    </xf>
    <xf numFmtId="0" fontId="22" fillId="0" borderId="6" xfId="1" applyFont="1" applyBorder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0" fontId="22" fillId="0" borderId="7" xfId="1" applyFont="1" applyBorder="1" applyAlignment="1" applyProtection="1">
      <alignment horizontal="center" vertical="center"/>
      <protection locked="0"/>
    </xf>
    <xf numFmtId="14" fontId="22" fillId="0" borderId="6" xfId="1" applyNumberFormat="1" applyFont="1" applyBorder="1" applyAlignment="1" applyProtection="1">
      <alignment horizontal="center" vertical="center"/>
      <protection locked="0"/>
    </xf>
    <xf numFmtId="14" fontId="22" fillId="0" borderId="0" xfId="1" applyNumberFormat="1" applyFont="1" applyAlignment="1" applyProtection="1">
      <alignment horizontal="center" vertical="center"/>
      <protection locked="0"/>
    </xf>
    <xf numFmtId="14" fontId="22" fillId="0" borderId="7" xfId="1" applyNumberFormat="1" applyFont="1" applyBorder="1" applyAlignment="1" applyProtection="1">
      <alignment horizontal="center" vertical="center"/>
      <protection locked="0"/>
    </xf>
    <xf numFmtId="0" fontId="24" fillId="0" borderId="8" xfId="1" applyFont="1" applyBorder="1" applyAlignment="1" applyProtection="1">
      <alignment horizontal="center" vertical="center"/>
      <protection hidden="1"/>
    </xf>
    <xf numFmtId="0" fontId="15" fillId="0" borderId="3" xfId="1" applyFont="1" applyBorder="1" applyAlignment="1" applyProtection="1">
      <alignment horizontal="center" vertical="center" wrapText="1"/>
      <protection hidden="1"/>
    </xf>
    <xf numFmtId="0" fontId="15" fillId="0" borderId="4" xfId="1" applyFont="1" applyBorder="1" applyAlignment="1" applyProtection="1">
      <alignment horizontal="center" vertical="center" wrapText="1"/>
      <protection hidden="1"/>
    </xf>
    <xf numFmtId="0" fontId="15" fillId="0" borderId="5" xfId="1" applyFont="1" applyBorder="1" applyAlignment="1" applyProtection="1">
      <alignment horizontal="center" vertical="center" wrapText="1"/>
      <protection hidden="1"/>
    </xf>
    <xf numFmtId="0" fontId="15" fillId="0" borderId="6" xfId="1" applyFont="1" applyBorder="1" applyAlignment="1" applyProtection="1">
      <alignment horizontal="center" vertical="center" wrapText="1"/>
      <protection hidden="1"/>
    </xf>
    <xf numFmtId="0" fontId="15" fillId="0" borderId="0" xfId="1" applyFont="1" applyAlignment="1" applyProtection="1">
      <alignment horizontal="center" vertical="center" wrapText="1"/>
      <protection hidden="1"/>
    </xf>
    <xf numFmtId="0" fontId="15" fillId="0" borderId="7" xfId="1" applyFont="1" applyBorder="1" applyAlignment="1" applyProtection="1">
      <alignment horizontal="center" vertical="center" wrapText="1"/>
      <protection hidden="1"/>
    </xf>
    <xf numFmtId="0" fontId="15" fillId="0" borderId="1" xfId="1" applyFont="1" applyBorder="1" applyAlignment="1" applyProtection="1">
      <alignment horizontal="center" vertical="center" wrapText="1"/>
      <protection hidden="1"/>
    </xf>
    <xf numFmtId="0" fontId="15" fillId="0" borderId="2" xfId="1" applyFont="1" applyBorder="1" applyAlignment="1" applyProtection="1">
      <alignment horizontal="center" vertical="center" wrapText="1"/>
      <protection hidden="1"/>
    </xf>
    <xf numFmtId="0" fontId="15" fillId="0" borderId="8" xfId="1" applyFont="1" applyBorder="1" applyAlignment="1" applyProtection="1">
      <alignment horizontal="center" vertical="center" wrapText="1"/>
      <protection hidden="1"/>
    </xf>
    <xf numFmtId="0" fontId="21" fillId="0" borderId="3" xfId="1" applyFont="1" applyBorder="1" applyAlignment="1" applyProtection="1">
      <alignment horizontal="center" vertical="center"/>
      <protection hidden="1"/>
    </xf>
    <xf numFmtId="0" fontId="21" fillId="0" borderId="4" xfId="1" applyFont="1" applyBorder="1" applyAlignment="1" applyProtection="1">
      <alignment horizontal="center" vertical="center"/>
      <protection hidden="1"/>
    </xf>
    <xf numFmtId="0" fontId="21" fillId="0" borderId="5" xfId="1" applyFont="1" applyBorder="1" applyAlignment="1" applyProtection="1">
      <alignment horizontal="center" vertical="center"/>
      <protection hidden="1"/>
    </xf>
    <xf numFmtId="0" fontId="7" fillId="0" borderId="37" xfId="0" applyFont="1" applyBorder="1" applyAlignment="1" applyProtection="1">
      <alignment horizontal="center"/>
      <protection locked="0"/>
    </xf>
    <xf numFmtId="0" fontId="7" fillId="0" borderId="38" xfId="0" applyFont="1" applyBorder="1" applyAlignment="1" applyProtection="1">
      <alignment horizontal="center"/>
      <protection locked="0"/>
    </xf>
    <xf numFmtId="0" fontId="7" fillId="0" borderId="39" xfId="0" applyFont="1" applyBorder="1" applyAlignment="1" applyProtection="1">
      <alignment horizontal="center"/>
      <protection locked="0"/>
    </xf>
    <xf numFmtId="0" fontId="7" fillId="0" borderId="40" xfId="0" applyFont="1" applyBorder="1" applyAlignment="1" applyProtection="1">
      <alignment horizontal="center"/>
      <protection locked="0"/>
    </xf>
    <xf numFmtId="0" fontId="7" fillId="0" borderId="41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/>
      <protection hidden="1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12" fillId="0" borderId="22" xfId="0" applyFont="1" applyBorder="1" applyAlignment="1" applyProtection="1">
      <alignment horizontal="center" vertical="center"/>
      <protection locked="0"/>
    </xf>
    <xf numFmtId="14" fontId="25" fillId="0" borderId="0" xfId="0" applyNumberFormat="1" applyFont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0" fontId="12" fillId="0" borderId="14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538B24D4-385E-440E-949C-9BB19EB58FE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B339272-5624-402C-BA75-45AA4AFA4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69481CC-4E55-4648-8A21-7ED6CDD35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1640EDF-FB04-44D4-AEBD-D4B82BFC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66675</xdr:rowOff>
    </xdr:from>
    <xdr:ext cx="1744980" cy="695531"/>
    <xdr:pic>
      <xdr:nvPicPr>
        <xdr:cNvPr id="3" name="Image 2">
          <a:extLst>
            <a:ext uri="{FF2B5EF4-FFF2-40B4-BE49-F238E27FC236}">
              <a16:creationId xmlns:a16="http://schemas.microsoft.com/office/drawing/2014/main" id="{1EB0F8CD-EC6A-4718-83BA-6D914E82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37570"/>
          <a:ext cx="1744980" cy="69553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13DDF95-E987-4D77-8159-BAA753245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104775</xdr:colOff>
      <xdr:row>64</xdr:row>
      <xdr:rowOff>66675</xdr:rowOff>
    </xdr:from>
    <xdr:ext cx="1744980" cy="695531"/>
    <xdr:pic>
      <xdr:nvPicPr>
        <xdr:cNvPr id="3" name="Image 2">
          <a:extLst>
            <a:ext uri="{FF2B5EF4-FFF2-40B4-BE49-F238E27FC236}">
              <a16:creationId xmlns:a16="http://schemas.microsoft.com/office/drawing/2014/main" id="{86CD8CA5-4A8C-453B-BC88-2F29893A1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23870" y="11037570"/>
          <a:ext cx="1744980" cy="69553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88ABE5A-DFF8-4352-B7F0-2F4304784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7C5CE2F-A453-4703-8878-C8A4D0FA9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F34C1F1-DE44-4A27-BCB4-76F37400D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63C39A2-B39D-4B22-A7F0-FD973294D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B51030F-6E96-4A10-BEC5-E2661734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CB9E945-D11B-4B25-A83B-B5725458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76C1668-9826-49AE-AA43-6D107489F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B0B210A-1DBB-49E7-963A-A4F55DE91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219075</xdr:colOff>
      <xdr:row>64</xdr:row>
      <xdr:rowOff>76200</xdr:rowOff>
    </xdr:from>
    <xdr:to>
      <xdr:col>25</xdr:col>
      <xdr:colOff>173355</xdr:colOff>
      <xdr:row>67</xdr:row>
      <xdr:rowOff>167948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3AEF340-6CB2-41DC-A406-8FD6BB0D0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5670" y="14116050"/>
          <a:ext cx="1714500" cy="6956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219075</xdr:colOff>
      <xdr:row>64</xdr:row>
      <xdr:rowOff>76200</xdr:rowOff>
    </xdr:from>
    <xdr:to>
      <xdr:col>25</xdr:col>
      <xdr:colOff>173355</xdr:colOff>
      <xdr:row>67</xdr:row>
      <xdr:rowOff>167948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3E28160-5A00-B9D1-53A6-8EC026C9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7677150"/>
          <a:ext cx="1725930" cy="682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D35B-5B97-418F-A816-BF300998ECCA}">
  <sheetPr>
    <pageSetUpPr fitToPage="1"/>
  </sheetPr>
  <dimension ref="A1:AA68"/>
  <sheetViews>
    <sheetView tabSelected="1" topLeftCell="A44" workbookViewId="0">
      <selection activeCell="O61" sqref="O6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157"/>
      <c r="V2" s="158"/>
      <c r="W2" s="158"/>
      <c r="X2" s="158"/>
      <c r="Y2" s="158"/>
      <c r="Z2" s="15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157"/>
      <c r="V3" s="158"/>
      <c r="W3" s="158"/>
      <c r="X3" s="158"/>
      <c r="Y3" s="158"/>
      <c r="Z3" s="15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157"/>
      <c r="V4" s="158"/>
      <c r="W4" s="158"/>
      <c r="X4" s="158"/>
      <c r="Y4" s="158"/>
      <c r="Z4" s="15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11</v>
      </c>
      <c r="J5" s="187"/>
      <c r="K5" s="188"/>
      <c r="L5" s="190" t="s">
        <v>49</v>
      </c>
      <c r="M5" s="191"/>
      <c r="N5" s="191"/>
      <c r="O5" s="192"/>
      <c r="P5" s="193" t="s">
        <v>98</v>
      </c>
      <c r="Q5" s="194"/>
      <c r="R5" s="194"/>
      <c r="S5" s="194"/>
      <c r="T5" s="195"/>
      <c r="U5" s="157"/>
      <c r="V5" s="158"/>
      <c r="W5" s="158"/>
      <c r="X5" s="158"/>
      <c r="Y5" s="158"/>
      <c r="Z5" s="15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160"/>
      <c r="V6" s="161"/>
      <c r="W6" s="161"/>
      <c r="X6" s="161"/>
      <c r="Y6" s="161"/>
      <c r="Z6" s="16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67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97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88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441" t="s">
        <v>96</v>
      </c>
      <c r="I12" s="441"/>
      <c r="J12" s="441"/>
      <c r="K12" s="441"/>
      <c r="L12" s="441"/>
      <c r="M12" s="441"/>
      <c r="N12" s="153" t="s">
        <v>19</v>
      </c>
      <c r="O12" s="153"/>
      <c r="P12" s="153"/>
      <c r="Q12" s="153"/>
      <c r="R12" s="153"/>
      <c r="S12" s="175" t="s">
        <v>64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80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417" t="s">
        <v>95</v>
      </c>
      <c r="D25" s="418"/>
      <c r="E25" s="418"/>
      <c r="F25" s="418"/>
      <c r="G25" s="419"/>
      <c r="H25" s="149">
        <v>102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421"/>
      <c r="D26" s="422"/>
      <c r="E26" s="422"/>
      <c r="F26" s="422"/>
      <c r="G26" s="423"/>
      <c r="H26" s="149">
        <v>167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448" t="s">
        <v>100</v>
      </c>
      <c r="D27" s="283"/>
      <c r="E27" s="283"/>
      <c r="F27" s="283"/>
      <c r="G27" s="284"/>
      <c r="H27" s="149">
        <v>211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442" t="s">
        <v>99</v>
      </c>
      <c r="D28" s="443"/>
      <c r="E28" s="443"/>
      <c r="F28" s="443"/>
      <c r="G28" s="444"/>
      <c r="H28" s="149">
        <v>223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445"/>
      <c r="D29" s="446"/>
      <c r="E29" s="446"/>
      <c r="F29" s="446"/>
      <c r="G29" s="447"/>
      <c r="H29" s="149">
        <v>156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72"/>
      <c r="C30" s="146"/>
      <c r="D30" s="147"/>
      <c r="E30" s="147"/>
      <c r="F30" s="147"/>
      <c r="G30" s="148"/>
      <c r="H30" s="149"/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72"/>
      <c r="C31" s="146"/>
      <c r="D31" s="147"/>
      <c r="E31" s="147"/>
      <c r="F31" s="147"/>
      <c r="G31" s="148"/>
      <c r="H31" s="149"/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72"/>
      <c r="C32" s="146"/>
      <c r="D32" s="147"/>
      <c r="E32" s="147"/>
      <c r="F32" s="147"/>
      <c r="G32" s="148"/>
      <c r="H32" s="149"/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72"/>
      <c r="C33" s="146"/>
      <c r="D33" s="147"/>
      <c r="E33" s="147"/>
      <c r="F33" s="147"/>
      <c r="G33" s="148"/>
      <c r="H33" s="149"/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72"/>
      <c r="C34" s="146"/>
      <c r="D34" s="147"/>
      <c r="E34" s="147"/>
      <c r="F34" s="147"/>
      <c r="G34" s="148"/>
      <c r="H34" s="149"/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72"/>
      <c r="C35" s="146"/>
      <c r="D35" s="147"/>
      <c r="E35" s="147"/>
      <c r="F35" s="147"/>
      <c r="G35" s="148"/>
      <c r="H35" s="149"/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72"/>
      <c r="C36" s="146"/>
      <c r="D36" s="147"/>
      <c r="E36" s="147"/>
      <c r="F36" s="147"/>
      <c r="G36" s="148"/>
      <c r="H36" s="149"/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72"/>
      <c r="C37" s="146"/>
      <c r="D37" s="147"/>
      <c r="E37" s="147"/>
      <c r="F37" s="147"/>
      <c r="G37" s="148"/>
      <c r="H37" s="149"/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72"/>
      <c r="C38" s="146"/>
      <c r="D38" s="147"/>
      <c r="E38" s="147"/>
      <c r="F38" s="147"/>
      <c r="G38" s="148"/>
      <c r="H38" s="149"/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72"/>
      <c r="C39" s="146"/>
      <c r="D39" s="147"/>
      <c r="E39" s="147"/>
      <c r="F39" s="147"/>
      <c r="G39" s="148"/>
      <c r="H39" s="149"/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72"/>
      <c r="C40" s="146"/>
      <c r="D40" s="147"/>
      <c r="E40" s="147"/>
      <c r="F40" s="147"/>
      <c r="G40" s="148"/>
      <c r="H40" s="149"/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72"/>
      <c r="C41" s="146"/>
      <c r="D41" s="147"/>
      <c r="E41" s="147"/>
      <c r="F41" s="147"/>
      <c r="G41" s="148"/>
      <c r="H41" s="149"/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72"/>
      <c r="C42" s="146"/>
      <c r="D42" s="147"/>
      <c r="E42" s="147"/>
      <c r="F42" s="147"/>
      <c r="G42" s="148"/>
      <c r="H42" s="149"/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72"/>
      <c r="C43" s="146"/>
      <c r="D43" s="147"/>
      <c r="E43" s="147"/>
      <c r="F43" s="147"/>
      <c r="G43" s="148"/>
      <c r="H43" s="149"/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72"/>
      <c r="C44" s="146"/>
      <c r="D44" s="147"/>
      <c r="E44" s="147"/>
      <c r="F44" s="147"/>
      <c r="G44" s="148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x14ac:dyDescent="0.25">
      <c r="A45" s="9"/>
      <c r="B45" s="72"/>
      <c r="C45" s="146"/>
      <c r="D45" s="147"/>
      <c r="E45" s="147"/>
      <c r="F45" s="147"/>
      <c r="G45" s="148"/>
      <c r="H45" s="149"/>
      <c r="I45" s="150"/>
      <c r="J45" s="151"/>
      <c r="K45" s="146"/>
      <c r="L45" s="147"/>
      <c r="M45" s="147"/>
      <c r="N45" s="147"/>
      <c r="O45" s="147"/>
      <c r="P45" s="148"/>
      <c r="Z45" s="11"/>
    </row>
    <row r="46" spans="1:26" ht="19.5" customHeight="1" thickBot="1" x14ac:dyDescent="0.3">
      <c r="A46" s="9"/>
      <c r="B46" s="46"/>
      <c r="C46" s="185"/>
      <c r="D46" s="185"/>
      <c r="E46" s="185"/>
      <c r="F46" s="185"/>
      <c r="G46" s="186"/>
      <c r="H46" s="181"/>
      <c r="I46" s="182"/>
      <c r="J46" s="183"/>
      <c r="K46" s="184"/>
      <c r="L46" s="185"/>
      <c r="M46" s="185"/>
      <c r="N46" s="185"/>
      <c r="O46" s="185"/>
      <c r="P46" s="186"/>
      <c r="Z46" s="11"/>
    </row>
    <row r="47" spans="1:26" ht="15.75" customHeight="1" x14ac:dyDescent="0.25">
      <c r="A47" s="9"/>
      <c r="B47" s="247" t="s">
        <v>35</v>
      </c>
      <c r="C47" s="248"/>
      <c r="D47" s="248"/>
      <c r="E47" s="248"/>
      <c r="F47" s="248"/>
      <c r="G47" s="249"/>
      <c r="H47" s="266">
        <f>AVERAGE(H25:J46)</f>
        <v>171.8</v>
      </c>
      <c r="I47" s="267"/>
      <c r="J47" s="268"/>
      <c r="K47" s="169" t="s">
        <v>75</v>
      </c>
      <c r="L47" s="170"/>
      <c r="M47" s="163" t="s">
        <v>36</v>
      </c>
      <c r="N47" s="163"/>
      <c r="O47" s="163"/>
      <c r="P47" s="164"/>
      <c r="Z47" s="11"/>
    </row>
    <row r="48" spans="1:26" ht="15.75" customHeight="1" x14ac:dyDescent="0.25">
      <c r="A48" s="9"/>
      <c r="B48" s="241" t="s">
        <v>37</v>
      </c>
      <c r="C48" s="242"/>
      <c r="D48" s="242"/>
      <c r="E48" s="242"/>
      <c r="F48" s="242"/>
      <c r="G48" s="243"/>
      <c r="H48" s="269">
        <f>IF(COUNTIF(H25:J46,"*&lt;20*"),"&lt;20",MIN(H25:J46))</f>
        <v>102</v>
      </c>
      <c r="I48" s="270"/>
      <c r="J48" s="271"/>
      <c r="K48" s="171"/>
      <c r="L48" s="172"/>
      <c r="M48" s="165"/>
      <c r="N48" s="165"/>
      <c r="O48" s="165"/>
      <c r="P48" s="166"/>
      <c r="Z48" s="11"/>
    </row>
    <row r="49" spans="1:26" ht="15.75" customHeight="1" thickBot="1" x14ac:dyDescent="0.3">
      <c r="A49" s="9"/>
      <c r="B49" s="244" t="s">
        <v>38</v>
      </c>
      <c r="C49" s="245"/>
      <c r="D49" s="245"/>
      <c r="E49" s="245"/>
      <c r="F49" s="245"/>
      <c r="G49" s="246"/>
      <c r="H49" s="263">
        <f>IF(COUNTIF(H25:J46,"*&gt;250*"),"&gt;250",MAX(H25:J46))</f>
        <v>223</v>
      </c>
      <c r="I49" s="264"/>
      <c r="J49" s="265"/>
      <c r="K49" s="173"/>
      <c r="L49" s="174"/>
      <c r="M49" s="167"/>
      <c r="N49" s="167"/>
      <c r="O49" s="167"/>
      <c r="P49" s="168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39</v>
      </c>
      <c r="B52" s="5" t="s">
        <v>40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232" t="s">
        <v>41</v>
      </c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4"/>
      <c r="R53" s="226" t="s">
        <v>42</v>
      </c>
      <c r="S53" s="227"/>
      <c r="T53" s="228"/>
      <c r="U53" s="217" t="s">
        <v>56</v>
      </c>
      <c r="V53" s="218"/>
      <c r="W53" s="218"/>
      <c r="X53" s="250"/>
      <c r="Y53" s="250"/>
      <c r="Z53" s="251"/>
    </row>
    <row r="54" spans="1:26" s="17" customFormat="1" ht="15.6" customHeight="1" x14ac:dyDescent="0.25">
      <c r="A54" s="235" t="s">
        <v>55</v>
      </c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7"/>
      <c r="R54" s="226" t="s">
        <v>43</v>
      </c>
      <c r="S54" s="227"/>
      <c r="T54" s="228"/>
      <c r="U54" s="252" t="s">
        <v>54</v>
      </c>
      <c r="V54" s="253"/>
      <c r="W54" s="253"/>
      <c r="X54" s="254"/>
      <c r="Y54" s="254"/>
      <c r="Z54" s="255"/>
    </row>
    <row r="55" spans="1:26" s="17" customFormat="1" ht="15.6" customHeight="1" x14ac:dyDescent="0.25">
      <c r="A55" s="238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40"/>
      <c r="R55" s="226"/>
      <c r="S55" s="227"/>
      <c r="T55" s="228"/>
      <c r="U55" s="256"/>
      <c r="V55" s="165"/>
      <c r="W55" s="165"/>
      <c r="X55" s="257"/>
      <c r="Y55" s="257"/>
      <c r="Z55" s="258"/>
    </row>
    <row r="56" spans="1:26" s="17" customFormat="1" ht="15.6" customHeight="1" x14ac:dyDescent="0.25">
      <c r="A56" s="55" t="s">
        <v>45</v>
      </c>
      <c r="B56" s="56" t="s">
        <v>46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226"/>
      <c r="S56" s="227"/>
      <c r="T56" s="228"/>
      <c r="U56" s="259"/>
      <c r="V56" s="260"/>
      <c r="W56" s="260"/>
      <c r="X56" s="261"/>
      <c r="Y56" s="261"/>
      <c r="Z56" s="262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 t="s">
        <v>47</v>
      </c>
      <c r="S57" s="227"/>
      <c r="T57" s="228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  <c r="R58" s="226"/>
      <c r="S58" s="227"/>
      <c r="T58" s="228"/>
      <c r="U58" s="61"/>
      <c r="V58" s="165"/>
      <c r="W58" s="165"/>
      <c r="X58" s="165"/>
      <c r="Y58" s="165"/>
      <c r="Z58" s="62"/>
    </row>
    <row r="59" spans="1:26" s="17" customFormat="1" ht="15.6" customHeight="1" x14ac:dyDescent="0.25">
      <c r="A59" s="220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2"/>
      <c r="R59" s="226"/>
      <c r="S59" s="227"/>
      <c r="T59" s="228"/>
      <c r="U59" s="61"/>
      <c r="V59" s="165"/>
      <c r="W59" s="165"/>
      <c r="X59" s="165"/>
      <c r="Y59" s="165"/>
      <c r="Z59" s="62"/>
    </row>
    <row r="60" spans="1:26" s="17" customFormat="1" ht="15.6" customHeight="1" x14ac:dyDescent="0.25">
      <c r="A60" s="223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5"/>
      <c r="R60" s="229"/>
      <c r="S60" s="230"/>
      <c r="T60" s="231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6">
    <mergeCell ref="C45:G45"/>
    <mergeCell ref="H45:J45"/>
    <mergeCell ref="K45:P45"/>
    <mergeCell ref="C28:G29"/>
    <mergeCell ref="C25:G26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B17:H17"/>
    <mergeCell ref="B12:G12"/>
    <mergeCell ref="B11:G11"/>
    <mergeCell ref="C30:G30"/>
    <mergeCell ref="H30:J30"/>
    <mergeCell ref="K30:P30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U53:Z53"/>
    <mergeCell ref="U54:Z56"/>
    <mergeCell ref="H49:J49"/>
    <mergeCell ref="H47:J47"/>
    <mergeCell ref="H48:J48"/>
    <mergeCell ref="V58:Y59"/>
    <mergeCell ref="I18:J18"/>
    <mergeCell ref="H25:J25"/>
    <mergeCell ref="H24:J24"/>
    <mergeCell ref="H23:J23"/>
    <mergeCell ref="B18:H18"/>
    <mergeCell ref="B23:B24"/>
    <mergeCell ref="C23:G24"/>
    <mergeCell ref="J21:P21"/>
    <mergeCell ref="H28:J28"/>
    <mergeCell ref="K28:P28"/>
    <mergeCell ref="H29:J29"/>
    <mergeCell ref="K29:P2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37FA-F6B9-4EF3-8464-89D5FEF76200}">
  <sheetPr>
    <pageSetUpPr fitToPage="1"/>
  </sheetPr>
  <dimension ref="A1:AA68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157"/>
      <c r="V2" s="158"/>
      <c r="W2" s="158"/>
      <c r="X2" s="158"/>
      <c r="Y2" s="158"/>
      <c r="Z2" s="15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157"/>
      <c r="V3" s="158"/>
      <c r="W3" s="158"/>
      <c r="X3" s="158"/>
      <c r="Y3" s="158"/>
      <c r="Z3" s="15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157"/>
      <c r="V4" s="158"/>
      <c r="W4" s="158"/>
      <c r="X4" s="158"/>
      <c r="Y4" s="158"/>
      <c r="Z4" s="15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10</v>
      </c>
      <c r="J5" s="187"/>
      <c r="K5" s="188"/>
      <c r="L5" s="190" t="s">
        <v>49</v>
      </c>
      <c r="M5" s="191"/>
      <c r="N5" s="191"/>
      <c r="O5" s="192"/>
      <c r="P5" s="193">
        <v>45944</v>
      </c>
      <c r="Q5" s="194"/>
      <c r="R5" s="194"/>
      <c r="S5" s="194"/>
      <c r="T5" s="195"/>
      <c r="U5" s="157"/>
      <c r="V5" s="158"/>
      <c r="W5" s="158"/>
      <c r="X5" s="158"/>
      <c r="Y5" s="158"/>
      <c r="Z5" s="15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160"/>
      <c r="V6" s="161"/>
      <c r="W6" s="161"/>
      <c r="X6" s="161"/>
      <c r="Y6" s="161"/>
      <c r="Z6" s="16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67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89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88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87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64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80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28.8" customHeight="1" x14ac:dyDescent="0.25">
      <c r="A25" s="9"/>
      <c r="B25" s="45">
        <v>1</v>
      </c>
      <c r="C25" s="217" t="s">
        <v>90</v>
      </c>
      <c r="D25" s="218"/>
      <c r="E25" s="218"/>
      <c r="F25" s="218"/>
      <c r="G25" s="219"/>
      <c r="H25" s="149">
        <v>207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>
        <v>93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31.8" customHeight="1" x14ac:dyDescent="0.25">
      <c r="A27" s="9"/>
      <c r="B27" s="45">
        <v>3</v>
      </c>
      <c r="C27" s="217" t="s">
        <v>91</v>
      </c>
      <c r="D27" s="218"/>
      <c r="E27" s="218"/>
      <c r="F27" s="218"/>
      <c r="G27" s="219"/>
      <c r="H27" s="149">
        <v>124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30.6" customHeight="1" x14ac:dyDescent="0.25">
      <c r="A28" s="9"/>
      <c r="B28" s="45">
        <v>4</v>
      </c>
      <c r="C28" s="217" t="s">
        <v>92</v>
      </c>
      <c r="D28" s="218"/>
      <c r="E28" s="218"/>
      <c r="F28" s="218"/>
      <c r="G28" s="219"/>
      <c r="H28" s="149">
        <v>131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46"/>
      <c r="D29" s="147"/>
      <c r="E29" s="147"/>
      <c r="F29" s="147"/>
      <c r="G29" s="148"/>
      <c r="H29" s="149">
        <v>165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282" t="s">
        <v>93</v>
      </c>
      <c r="D30" s="283"/>
      <c r="E30" s="283"/>
      <c r="F30" s="283"/>
      <c r="G30" s="284"/>
      <c r="H30" s="149">
        <v>159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282" t="s">
        <v>94</v>
      </c>
      <c r="D31" s="283"/>
      <c r="E31" s="283"/>
      <c r="F31" s="283"/>
      <c r="G31" s="284"/>
      <c r="H31" s="149">
        <v>202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45"/>
      <c r="C32" s="146"/>
      <c r="D32" s="147"/>
      <c r="E32" s="147"/>
      <c r="F32" s="147"/>
      <c r="G32" s="148"/>
      <c r="H32" s="149"/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45"/>
      <c r="C33" s="146"/>
      <c r="D33" s="147"/>
      <c r="E33" s="147"/>
      <c r="F33" s="147"/>
      <c r="G33" s="148"/>
      <c r="H33" s="149"/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45"/>
      <c r="C34" s="146"/>
      <c r="D34" s="147"/>
      <c r="E34" s="147"/>
      <c r="F34" s="147"/>
      <c r="G34" s="148"/>
      <c r="H34" s="149"/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45"/>
      <c r="C35" s="146"/>
      <c r="D35" s="147"/>
      <c r="E35" s="147"/>
      <c r="F35" s="147"/>
      <c r="G35" s="148"/>
      <c r="H35" s="149"/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45"/>
      <c r="C36" s="146"/>
      <c r="D36" s="147"/>
      <c r="E36" s="147"/>
      <c r="F36" s="147"/>
      <c r="G36" s="148"/>
      <c r="H36" s="149"/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45"/>
      <c r="C37" s="146"/>
      <c r="D37" s="147"/>
      <c r="E37" s="147"/>
      <c r="F37" s="147"/>
      <c r="G37" s="148"/>
      <c r="H37" s="149"/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45"/>
      <c r="C38" s="146"/>
      <c r="D38" s="147"/>
      <c r="E38" s="147"/>
      <c r="F38" s="147"/>
      <c r="G38" s="148"/>
      <c r="H38" s="149"/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45"/>
      <c r="C39" s="146"/>
      <c r="D39" s="147"/>
      <c r="E39" s="147"/>
      <c r="F39" s="147"/>
      <c r="G39" s="148"/>
      <c r="H39" s="149"/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45"/>
      <c r="C40" s="146"/>
      <c r="D40" s="147"/>
      <c r="E40" s="147"/>
      <c r="F40" s="147"/>
      <c r="G40" s="148"/>
      <c r="H40" s="149"/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45"/>
      <c r="C41" s="146"/>
      <c r="D41" s="147"/>
      <c r="E41" s="147"/>
      <c r="F41" s="147"/>
      <c r="G41" s="148"/>
      <c r="H41" s="149"/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45"/>
      <c r="C42" s="146"/>
      <c r="D42" s="147"/>
      <c r="E42" s="147"/>
      <c r="F42" s="147"/>
      <c r="G42" s="148"/>
      <c r="H42" s="149"/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45"/>
      <c r="C43" s="146"/>
      <c r="D43" s="147"/>
      <c r="E43" s="147"/>
      <c r="F43" s="147"/>
      <c r="G43" s="148"/>
      <c r="H43" s="149"/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45"/>
      <c r="C44" s="146"/>
      <c r="D44" s="147"/>
      <c r="E44" s="147"/>
      <c r="F44" s="147"/>
      <c r="G44" s="148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x14ac:dyDescent="0.25">
      <c r="A45" s="9"/>
      <c r="B45" s="45"/>
      <c r="C45" s="146"/>
      <c r="D45" s="147"/>
      <c r="E45" s="147"/>
      <c r="F45" s="147"/>
      <c r="G45" s="148"/>
      <c r="H45" s="149"/>
      <c r="I45" s="150"/>
      <c r="J45" s="151"/>
      <c r="K45" s="146"/>
      <c r="L45" s="147"/>
      <c r="M45" s="147"/>
      <c r="N45" s="147"/>
      <c r="O45" s="147"/>
      <c r="P45" s="148"/>
      <c r="Z45" s="11"/>
    </row>
    <row r="46" spans="1:26" ht="19.5" customHeight="1" thickBot="1" x14ac:dyDescent="0.3">
      <c r="A46" s="9"/>
      <c r="B46" s="46"/>
      <c r="C46" s="185"/>
      <c r="D46" s="185"/>
      <c r="E46" s="185"/>
      <c r="F46" s="185"/>
      <c r="G46" s="186"/>
      <c r="H46" s="181"/>
      <c r="I46" s="182"/>
      <c r="J46" s="183"/>
      <c r="K46" s="184"/>
      <c r="L46" s="185"/>
      <c r="M46" s="185"/>
      <c r="N46" s="185"/>
      <c r="O46" s="185"/>
      <c r="P46" s="186"/>
      <c r="Z46" s="11"/>
    </row>
    <row r="47" spans="1:26" ht="15.75" customHeight="1" x14ac:dyDescent="0.25">
      <c r="A47" s="9"/>
      <c r="B47" s="247" t="s">
        <v>35</v>
      </c>
      <c r="C47" s="248"/>
      <c r="D47" s="248"/>
      <c r="E47" s="248"/>
      <c r="F47" s="248"/>
      <c r="G47" s="249"/>
      <c r="H47" s="266">
        <f>AVERAGE(H25:J46)</f>
        <v>154.42857142857142</v>
      </c>
      <c r="I47" s="267"/>
      <c r="J47" s="268"/>
      <c r="K47" s="169" t="s">
        <v>75</v>
      </c>
      <c r="L47" s="170"/>
      <c r="M47" s="163" t="s">
        <v>36</v>
      </c>
      <c r="N47" s="163"/>
      <c r="O47" s="163"/>
      <c r="P47" s="164"/>
      <c r="Z47" s="11"/>
    </row>
    <row r="48" spans="1:26" ht="15.75" customHeight="1" x14ac:dyDescent="0.25">
      <c r="A48" s="9"/>
      <c r="B48" s="241" t="s">
        <v>37</v>
      </c>
      <c r="C48" s="242"/>
      <c r="D48" s="242"/>
      <c r="E48" s="242"/>
      <c r="F48" s="242"/>
      <c r="G48" s="243"/>
      <c r="H48" s="269">
        <f>IF(COUNTIF(H25:J46,"*&lt;20*"),"&lt;20",MIN(H25:J46))</f>
        <v>93</v>
      </c>
      <c r="I48" s="270"/>
      <c r="J48" s="271"/>
      <c r="K48" s="171"/>
      <c r="L48" s="172"/>
      <c r="M48" s="165"/>
      <c r="N48" s="165"/>
      <c r="O48" s="165"/>
      <c r="P48" s="166"/>
      <c r="Z48" s="11"/>
    </row>
    <row r="49" spans="1:26" ht="15.75" customHeight="1" thickBot="1" x14ac:dyDescent="0.3">
      <c r="A49" s="9"/>
      <c r="B49" s="244" t="s">
        <v>38</v>
      </c>
      <c r="C49" s="245"/>
      <c r="D49" s="245"/>
      <c r="E49" s="245"/>
      <c r="F49" s="245"/>
      <c r="G49" s="246"/>
      <c r="H49" s="263">
        <f>IF(COUNTIF(H25:J46,"*&gt;250*"),"&gt;250",MAX(H25:J46))</f>
        <v>207</v>
      </c>
      <c r="I49" s="264"/>
      <c r="J49" s="265"/>
      <c r="K49" s="173"/>
      <c r="L49" s="174"/>
      <c r="M49" s="167"/>
      <c r="N49" s="167"/>
      <c r="O49" s="167"/>
      <c r="P49" s="168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39</v>
      </c>
      <c r="B52" s="5" t="s">
        <v>40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232" t="s">
        <v>41</v>
      </c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4"/>
      <c r="R53" s="226" t="s">
        <v>42</v>
      </c>
      <c r="S53" s="227"/>
      <c r="T53" s="228"/>
      <c r="U53" s="217" t="s">
        <v>56</v>
      </c>
      <c r="V53" s="218"/>
      <c r="W53" s="218"/>
      <c r="X53" s="250"/>
      <c r="Y53" s="250"/>
      <c r="Z53" s="251"/>
    </row>
    <row r="54" spans="1:26" s="17" customFormat="1" ht="15.6" customHeight="1" x14ac:dyDescent="0.25">
      <c r="A54" s="235" t="s">
        <v>55</v>
      </c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7"/>
      <c r="R54" s="226" t="s">
        <v>43</v>
      </c>
      <c r="S54" s="227"/>
      <c r="T54" s="228"/>
      <c r="U54" s="252" t="s">
        <v>54</v>
      </c>
      <c r="V54" s="253"/>
      <c r="W54" s="253"/>
      <c r="X54" s="254"/>
      <c r="Y54" s="254"/>
      <c r="Z54" s="255"/>
    </row>
    <row r="55" spans="1:26" s="17" customFormat="1" ht="15.6" customHeight="1" x14ac:dyDescent="0.25">
      <c r="A55" s="238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40"/>
      <c r="R55" s="226"/>
      <c r="S55" s="227"/>
      <c r="T55" s="228"/>
      <c r="U55" s="256"/>
      <c r="V55" s="165"/>
      <c r="W55" s="165"/>
      <c r="X55" s="257"/>
      <c r="Y55" s="257"/>
      <c r="Z55" s="258"/>
    </row>
    <row r="56" spans="1:26" s="17" customFormat="1" ht="15.6" customHeight="1" x14ac:dyDescent="0.25">
      <c r="A56" s="55" t="s">
        <v>45</v>
      </c>
      <c r="B56" s="56" t="s">
        <v>46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226"/>
      <c r="S56" s="227"/>
      <c r="T56" s="228"/>
      <c r="U56" s="259"/>
      <c r="V56" s="260"/>
      <c r="W56" s="260"/>
      <c r="X56" s="261"/>
      <c r="Y56" s="261"/>
      <c r="Z56" s="262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 t="s">
        <v>47</v>
      </c>
      <c r="S57" s="227"/>
      <c r="T57" s="228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  <c r="R58" s="226"/>
      <c r="S58" s="227"/>
      <c r="T58" s="228"/>
      <c r="U58" s="61"/>
      <c r="V58" s="165"/>
      <c r="W58" s="165"/>
      <c r="X58" s="165"/>
      <c r="Y58" s="165"/>
      <c r="Z58" s="62"/>
    </row>
    <row r="59" spans="1:26" s="17" customFormat="1" ht="15.6" customHeight="1" x14ac:dyDescent="0.25">
      <c r="A59" s="220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2"/>
      <c r="R59" s="226"/>
      <c r="S59" s="227"/>
      <c r="T59" s="228"/>
      <c r="U59" s="61"/>
      <c r="V59" s="165"/>
      <c r="W59" s="165"/>
      <c r="X59" s="165"/>
      <c r="Y59" s="165"/>
      <c r="Z59" s="62"/>
    </row>
    <row r="60" spans="1:26" s="17" customFormat="1" ht="15.6" customHeight="1" x14ac:dyDescent="0.25">
      <c r="A60" s="223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5"/>
      <c r="R60" s="229"/>
      <c r="S60" s="230"/>
      <c r="T60" s="231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C33:G33"/>
    <mergeCell ref="H33:J33"/>
    <mergeCell ref="K33:P33"/>
    <mergeCell ref="C34:G34"/>
    <mergeCell ref="H34:J34"/>
    <mergeCell ref="K34:P34"/>
    <mergeCell ref="B17:H17"/>
    <mergeCell ref="B12:G12"/>
    <mergeCell ref="B11:G11"/>
    <mergeCell ref="C32:G32"/>
    <mergeCell ref="H32:J32"/>
    <mergeCell ref="K32:P32"/>
    <mergeCell ref="C26:G26"/>
    <mergeCell ref="C27:G27"/>
    <mergeCell ref="C31:G31"/>
    <mergeCell ref="H31:J31"/>
    <mergeCell ref="K31:P31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ACF5-A9C8-4E6B-9DC3-BAB379C84EB3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399"/>
      <c r="B1" s="400"/>
      <c r="C1" s="400"/>
      <c r="D1" s="400"/>
      <c r="E1" s="400"/>
      <c r="F1" s="401"/>
      <c r="G1" s="408" t="s">
        <v>0</v>
      </c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10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402"/>
      <c r="B2" s="403"/>
      <c r="C2" s="403"/>
      <c r="D2" s="403"/>
      <c r="E2" s="403"/>
      <c r="F2" s="404"/>
      <c r="G2" s="366" t="s">
        <v>1</v>
      </c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8"/>
      <c r="U2" s="157"/>
      <c r="V2" s="158"/>
      <c r="W2" s="158"/>
      <c r="X2" s="158"/>
      <c r="Y2" s="158"/>
      <c r="Z2" s="159"/>
    </row>
    <row r="3" spans="1:26" ht="12.75" customHeight="1" x14ac:dyDescent="0.25">
      <c r="A3" s="402"/>
      <c r="B3" s="403"/>
      <c r="C3" s="403"/>
      <c r="D3" s="403"/>
      <c r="E3" s="403"/>
      <c r="F3" s="404"/>
      <c r="G3" s="366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8"/>
      <c r="U3" s="157"/>
      <c r="V3" s="158"/>
      <c r="W3" s="158"/>
      <c r="X3" s="158"/>
      <c r="Y3" s="158"/>
      <c r="Z3" s="159"/>
    </row>
    <row r="4" spans="1:26" ht="12.75" customHeight="1" x14ac:dyDescent="0.25">
      <c r="A4" s="402"/>
      <c r="B4" s="403"/>
      <c r="C4" s="403"/>
      <c r="D4" s="403"/>
      <c r="E4" s="403"/>
      <c r="F4" s="404"/>
      <c r="G4" s="366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  <c r="S4" s="367"/>
      <c r="T4" s="368"/>
      <c r="U4" s="157"/>
      <c r="V4" s="158"/>
      <c r="W4" s="158"/>
      <c r="X4" s="158"/>
      <c r="Y4" s="158"/>
      <c r="Z4" s="159"/>
    </row>
    <row r="5" spans="1:26" ht="12.75" customHeight="1" x14ac:dyDescent="0.25">
      <c r="A5" s="402"/>
      <c r="B5" s="403"/>
      <c r="C5" s="403"/>
      <c r="D5" s="403"/>
      <c r="E5" s="403"/>
      <c r="F5" s="404"/>
      <c r="G5" s="369" t="s">
        <v>2</v>
      </c>
      <c r="H5" s="370"/>
      <c r="I5" s="389">
        <v>9</v>
      </c>
      <c r="J5" s="389"/>
      <c r="K5" s="390"/>
      <c r="L5" s="392" t="s">
        <v>49</v>
      </c>
      <c r="M5" s="393"/>
      <c r="N5" s="393"/>
      <c r="O5" s="394"/>
      <c r="P5" s="395" t="s">
        <v>84</v>
      </c>
      <c r="Q5" s="396"/>
      <c r="R5" s="396"/>
      <c r="S5" s="396"/>
      <c r="T5" s="397"/>
      <c r="U5" s="157"/>
      <c r="V5" s="158"/>
      <c r="W5" s="158"/>
      <c r="X5" s="158"/>
      <c r="Y5" s="158"/>
      <c r="Z5" s="159"/>
    </row>
    <row r="6" spans="1:26" ht="12.75" customHeight="1" x14ac:dyDescent="0.25">
      <c r="A6" s="405"/>
      <c r="B6" s="406"/>
      <c r="C6" s="406"/>
      <c r="D6" s="406"/>
      <c r="E6" s="406"/>
      <c r="F6" s="407"/>
      <c r="G6" s="145"/>
      <c r="H6" s="104"/>
      <c r="I6" s="391" t="s">
        <v>4</v>
      </c>
      <c r="J6" s="391"/>
      <c r="K6" s="391"/>
      <c r="L6" s="391" t="s">
        <v>5</v>
      </c>
      <c r="M6" s="391"/>
      <c r="N6" s="391"/>
      <c r="O6" s="391"/>
      <c r="P6" s="391" t="s">
        <v>6</v>
      </c>
      <c r="Q6" s="391"/>
      <c r="R6" s="391"/>
      <c r="S6" s="391"/>
      <c r="T6" s="398"/>
      <c r="U6" s="160"/>
      <c r="V6" s="161"/>
      <c r="W6" s="161"/>
      <c r="X6" s="161"/>
      <c r="Y6" s="161"/>
      <c r="Z6" s="162"/>
    </row>
    <row r="7" spans="1:26" ht="36.6" customHeight="1" x14ac:dyDescent="0.25">
      <c r="A7" s="371" t="s">
        <v>7</v>
      </c>
      <c r="B7" s="371"/>
      <c r="C7" s="371"/>
      <c r="D7" s="371"/>
      <c r="E7" s="371"/>
      <c r="F7" s="371"/>
      <c r="G7" s="372" t="s">
        <v>8</v>
      </c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 spans="1:26" ht="15.9" customHeight="1" x14ac:dyDescent="0.25">
      <c r="A8" s="124" t="s">
        <v>9</v>
      </c>
      <c r="B8" s="99" t="s">
        <v>10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0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332" t="s">
        <v>11</v>
      </c>
      <c r="C10" s="332"/>
      <c r="D10" s="332"/>
      <c r="E10" s="332"/>
      <c r="F10" s="332"/>
      <c r="G10" s="332"/>
      <c r="H10" s="331" t="s">
        <v>12</v>
      </c>
      <c r="I10" s="331"/>
      <c r="J10" s="331"/>
      <c r="K10" s="331"/>
      <c r="L10" s="331"/>
      <c r="M10" s="331"/>
      <c r="N10" s="332" t="s">
        <v>13</v>
      </c>
      <c r="O10" s="332"/>
      <c r="P10" s="332"/>
      <c r="Q10" s="332"/>
      <c r="R10" s="332"/>
      <c r="S10" s="384" t="s">
        <v>85</v>
      </c>
      <c r="T10" s="384"/>
      <c r="U10" s="384"/>
      <c r="V10" s="384"/>
      <c r="W10" s="384"/>
      <c r="X10" s="384"/>
      <c r="Y10" s="384"/>
      <c r="Z10" s="143"/>
    </row>
    <row r="11" spans="1:26" ht="15.9" customHeight="1" x14ac:dyDescent="0.25">
      <c r="A11" s="108"/>
      <c r="B11" s="332" t="s">
        <v>15</v>
      </c>
      <c r="C11" s="332"/>
      <c r="D11" s="332"/>
      <c r="E11" s="332"/>
      <c r="F11" s="332"/>
      <c r="G11" s="332"/>
      <c r="H11" s="331" t="s">
        <v>84</v>
      </c>
      <c r="I11" s="331"/>
      <c r="J11" s="331"/>
      <c r="K11" s="331"/>
      <c r="L11" s="331"/>
      <c r="M11" s="331"/>
      <c r="N11" s="332" t="s">
        <v>16</v>
      </c>
      <c r="O11" s="332"/>
      <c r="P11" s="332"/>
      <c r="Q11" s="332"/>
      <c r="R11" s="332"/>
      <c r="S11" s="384" t="s">
        <v>65</v>
      </c>
      <c r="T11" s="384"/>
      <c r="U11" s="384"/>
      <c r="V11" s="384"/>
      <c r="W11" s="384"/>
      <c r="X11" s="384"/>
      <c r="Y11" s="384"/>
      <c r="Z11" s="143"/>
    </row>
    <row r="12" spans="1:26" ht="15.9" customHeight="1" x14ac:dyDescent="0.25">
      <c r="A12" s="108"/>
      <c r="B12" s="332" t="s">
        <v>18</v>
      </c>
      <c r="C12" s="332"/>
      <c r="D12" s="332"/>
      <c r="E12" s="332"/>
      <c r="F12" s="332"/>
      <c r="G12" s="332"/>
      <c r="H12" s="331" t="s">
        <v>86</v>
      </c>
      <c r="I12" s="331"/>
      <c r="J12" s="331"/>
      <c r="K12" s="331"/>
      <c r="L12" s="331"/>
      <c r="M12" s="331"/>
      <c r="N12" s="332" t="s">
        <v>19</v>
      </c>
      <c r="O12" s="332"/>
      <c r="P12" s="332"/>
      <c r="Q12" s="332"/>
      <c r="R12" s="332"/>
      <c r="S12" s="384" t="s">
        <v>64</v>
      </c>
      <c r="T12" s="384"/>
      <c r="U12" s="384"/>
      <c r="V12" s="384"/>
      <c r="W12" s="384"/>
      <c r="X12" s="384"/>
      <c r="Y12" s="384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20</v>
      </c>
      <c r="B15" s="136" t="s">
        <v>21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299" t="s">
        <v>22</v>
      </c>
      <c r="C17" s="299"/>
      <c r="D17" s="299"/>
      <c r="E17" s="299"/>
      <c r="F17" s="299"/>
      <c r="G17" s="299"/>
      <c r="H17" s="299"/>
      <c r="I17" s="385"/>
      <c r="J17" s="385"/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129"/>
    </row>
    <row r="18" spans="1:26" s="76" customFormat="1" ht="15" customHeight="1" x14ac:dyDescent="0.25">
      <c r="A18" s="131"/>
      <c r="B18" s="299" t="s">
        <v>23</v>
      </c>
      <c r="C18" s="299"/>
      <c r="D18" s="299"/>
      <c r="E18" s="299"/>
      <c r="F18" s="299"/>
      <c r="G18" s="299"/>
      <c r="H18" s="299"/>
      <c r="I18" s="286" t="s">
        <v>24</v>
      </c>
      <c r="J18" s="286"/>
      <c r="K18" s="130">
        <v>50</v>
      </c>
      <c r="L18" s="130" t="s">
        <v>25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26</v>
      </c>
      <c r="B21" s="123" t="s">
        <v>27</v>
      </c>
      <c r="C21" s="121"/>
      <c r="D21" s="122"/>
      <c r="E21" s="122"/>
      <c r="F21" s="122"/>
      <c r="G21" s="122"/>
      <c r="H21" s="121"/>
      <c r="I21" s="121"/>
      <c r="J21" s="306" t="s">
        <v>28</v>
      </c>
      <c r="K21" s="306"/>
      <c r="L21" s="306"/>
      <c r="M21" s="306"/>
      <c r="N21" s="306"/>
      <c r="O21" s="306"/>
      <c r="P21" s="306"/>
      <c r="Q21" s="118">
        <v>600</v>
      </c>
      <c r="R21" s="96"/>
      <c r="S21" s="96"/>
      <c r="T21" s="96"/>
      <c r="U21" s="96"/>
      <c r="V21" s="96"/>
      <c r="W21" s="96"/>
      <c r="X21" s="96"/>
      <c r="Y21" s="96"/>
      <c r="Z21" s="120"/>
    </row>
    <row r="22" spans="1:26" ht="12.75" customHeight="1" x14ac:dyDescent="0.25">
      <c r="A22" s="108"/>
      <c r="B22" s="119"/>
      <c r="Z22" s="107"/>
    </row>
    <row r="23" spans="1:26" ht="15.75" customHeight="1" x14ac:dyDescent="0.25">
      <c r="A23" s="108"/>
      <c r="B23" s="300" t="s">
        <v>29</v>
      </c>
      <c r="C23" s="302" t="s">
        <v>30</v>
      </c>
      <c r="D23" s="302"/>
      <c r="E23" s="302"/>
      <c r="F23" s="302"/>
      <c r="G23" s="303"/>
      <c r="H23" s="296" t="s">
        <v>31</v>
      </c>
      <c r="I23" s="297"/>
      <c r="J23" s="298"/>
      <c r="K23" s="302" t="s">
        <v>32</v>
      </c>
      <c r="L23" s="302"/>
      <c r="M23" s="302"/>
      <c r="N23" s="302"/>
      <c r="O23" s="302"/>
      <c r="P23" s="303"/>
      <c r="Z23" s="107"/>
    </row>
    <row r="24" spans="1:26" ht="15.75" customHeight="1" x14ac:dyDescent="0.25">
      <c r="A24" s="108"/>
      <c r="B24" s="301"/>
      <c r="C24" s="304"/>
      <c r="D24" s="304"/>
      <c r="E24" s="304"/>
      <c r="F24" s="304"/>
      <c r="G24" s="305"/>
      <c r="H24" s="293" t="s">
        <v>33</v>
      </c>
      <c r="I24" s="294"/>
      <c r="J24" s="295"/>
      <c r="K24" s="304"/>
      <c r="L24" s="304"/>
      <c r="M24" s="304"/>
      <c r="N24" s="304"/>
      <c r="O24" s="304"/>
      <c r="P24" s="305"/>
      <c r="Z24" s="107"/>
    </row>
    <row r="25" spans="1:26" ht="19.5" customHeight="1" x14ac:dyDescent="0.25">
      <c r="A25" s="108"/>
      <c r="B25" s="117">
        <v>1</v>
      </c>
      <c r="C25" s="290"/>
      <c r="D25" s="291"/>
      <c r="E25" s="291"/>
      <c r="F25" s="291"/>
      <c r="G25" s="292"/>
      <c r="H25" s="287">
        <v>94</v>
      </c>
      <c r="I25" s="288"/>
      <c r="J25" s="289"/>
      <c r="K25" s="290"/>
      <c r="L25" s="291"/>
      <c r="M25" s="291"/>
      <c r="N25" s="291"/>
      <c r="O25" s="291"/>
      <c r="P25" s="292"/>
      <c r="Z25" s="107"/>
    </row>
    <row r="26" spans="1:26" ht="19.5" customHeight="1" x14ac:dyDescent="0.25">
      <c r="A26" s="108"/>
      <c r="B26" s="117">
        <v>2</v>
      </c>
      <c r="C26" s="290"/>
      <c r="D26" s="291"/>
      <c r="E26" s="291"/>
      <c r="F26" s="291"/>
      <c r="G26" s="292"/>
      <c r="H26" s="287">
        <v>119</v>
      </c>
      <c r="I26" s="288"/>
      <c r="J26" s="289"/>
      <c r="K26" s="290"/>
      <c r="L26" s="291"/>
      <c r="M26" s="291"/>
      <c r="N26" s="291"/>
      <c r="O26" s="291"/>
      <c r="P26" s="292"/>
      <c r="Z26" s="107"/>
    </row>
    <row r="27" spans="1:26" ht="19.5" customHeight="1" x14ac:dyDescent="0.25">
      <c r="A27" s="108"/>
      <c r="B27" s="117">
        <v>3</v>
      </c>
      <c r="C27" s="290"/>
      <c r="D27" s="291"/>
      <c r="E27" s="291"/>
      <c r="F27" s="291"/>
      <c r="G27" s="292"/>
      <c r="H27" s="287">
        <v>178</v>
      </c>
      <c r="I27" s="288"/>
      <c r="J27" s="289"/>
      <c r="K27" s="290"/>
      <c r="L27" s="291"/>
      <c r="M27" s="291"/>
      <c r="N27" s="291"/>
      <c r="O27" s="291"/>
      <c r="P27" s="292"/>
      <c r="Z27" s="107"/>
    </row>
    <row r="28" spans="1:26" ht="19.5" customHeight="1" x14ac:dyDescent="0.25">
      <c r="A28" s="108"/>
      <c r="B28" s="116"/>
      <c r="C28" s="112"/>
      <c r="D28" s="111"/>
      <c r="E28" s="111"/>
      <c r="F28" s="111"/>
      <c r="G28" s="110"/>
      <c r="H28" s="115"/>
      <c r="I28" s="114"/>
      <c r="J28" s="113"/>
      <c r="K28" s="112"/>
      <c r="L28" s="111"/>
      <c r="M28" s="111"/>
      <c r="N28" s="111"/>
      <c r="O28" s="111"/>
      <c r="P28" s="110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115"/>
      <c r="I29" s="114"/>
      <c r="J29" s="113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115"/>
      <c r="I30" s="114"/>
      <c r="J30" s="113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115"/>
      <c r="I31" s="114"/>
      <c r="J31" s="113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115"/>
      <c r="I32" s="114"/>
      <c r="J32" s="113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354"/>
      <c r="D54" s="355"/>
      <c r="E54" s="355"/>
      <c r="F54" s="355"/>
      <c r="G54" s="356"/>
      <c r="H54" s="386"/>
      <c r="I54" s="387"/>
      <c r="J54" s="388"/>
      <c r="K54" s="354"/>
      <c r="L54" s="355"/>
      <c r="M54" s="355"/>
      <c r="N54" s="355"/>
      <c r="O54" s="355"/>
      <c r="P54" s="356"/>
      <c r="Z54" s="107"/>
    </row>
    <row r="55" spans="1:26" ht="15.75" customHeight="1" x14ac:dyDescent="0.25">
      <c r="A55" s="108"/>
      <c r="B55" s="363" t="s">
        <v>35</v>
      </c>
      <c r="C55" s="364"/>
      <c r="D55" s="364"/>
      <c r="E55" s="364"/>
      <c r="F55" s="364"/>
      <c r="G55" s="365"/>
      <c r="H55" s="325">
        <f>AVERAGE(H25:J54)</f>
        <v>130.33333333333334</v>
      </c>
      <c r="I55" s="326"/>
      <c r="J55" s="327"/>
      <c r="K55" s="378" t="s">
        <v>75</v>
      </c>
      <c r="L55" s="379"/>
      <c r="M55" s="373" t="s">
        <v>36</v>
      </c>
      <c r="N55" s="373"/>
      <c r="O55" s="373"/>
      <c r="P55" s="374"/>
      <c r="Z55" s="107"/>
    </row>
    <row r="56" spans="1:26" ht="15.75" customHeight="1" x14ac:dyDescent="0.25">
      <c r="A56" s="108"/>
      <c r="B56" s="357" t="s">
        <v>37</v>
      </c>
      <c r="C56" s="358"/>
      <c r="D56" s="358"/>
      <c r="E56" s="358"/>
      <c r="F56" s="358"/>
      <c r="G56" s="359"/>
      <c r="H56" s="328">
        <f>IF(COUNTIF(H25:J54,"*&lt;20*"),"&lt;20",MIN(H25:J54))</f>
        <v>94</v>
      </c>
      <c r="I56" s="329"/>
      <c r="J56" s="330"/>
      <c r="K56" s="380"/>
      <c r="L56" s="381"/>
      <c r="M56" s="285"/>
      <c r="N56" s="285"/>
      <c r="O56" s="285"/>
      <c r="P56" s="375"/>
      <c r="Z56" s="107"/>
    </row>
    <row r="57" spans="1:26" ht="15.75" customHeight="1" thickBot="1" x14ac:dyDescent="0.3">
      <c r="A57" s="108"/>
      <c r="B57" s="360" t="s">
        <v>38</v>
      </c>
      <c r="C57" s="361"/>
      <c r="D57" s="361"/>
      <c r="E57" s="361"/>
      <c r="F57" s="361"/>
      <c r="G57" s="362"/>
      <c r="H57" s="322">
        <f>IF(COUNTIF(H25:J54,"*&gt;250*"),"&gt;250",MAX(H25:J54))</f>
        <v>178</v>
      </c>
      <c r="I57" s="323"/>
      <c r="J57" s="324"/>
      <c r="K57" s="382"/>
      <c r="L57" s="383"/>
      <c r="M57" s="376"/>
      <c r="N57" s="376"/>
      <c r="O57" s="376"/>
      <c r="P57" s="377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39</v>
      </c>
      <c r="B60" s="99" t="s">
        <v>40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345" t="s">
        <v>41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7"/>
      <c r="R61" s="339" t="s">
        <v>42</v>
      </c>
      <c r="S61" s="340"/>
      <c r="T61" s="341"/>
      <c r="U61" s="307" t="s">
        <v>12</v>
      </c>
      <c r="V61" s="308"/>
      <c r="W61" s="308"/>
      <c r="X61" s="309"/>
      <c r="Y61" s="309"/>
      <c r="Z61" s="310"/>
    </row>
    <row r="62" spans="1:26" s="76" customFormat="1" ht="15.6" customHeight="1" x14ac:dyDescent="0.25">
      <c r="A62" s="348" t="s">
        <v>50</v>
      </c>
      <c r="B62" s="349"/>
      <c r="C62" s="349"/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50"/>
      <c r="R62" s="339" t="s">
        <v>43</v>
      </c>
      <c r="S62" s="340"/>
      <c r="T62" s="341"/>
      <c r="U62" s="311" t="s">
        <v>44</v>
      </c>
      <c r="V62" s="312"/>
      <c r="W62" s="312"/>
      <c r="X62" s="313"/>
      <c r="Y62" s="313"/>
      <c r="Z62" s="314"/>
    </row>
    <row r="63" spans="1:26" s="76" customFormat="1" ht="15.6" customHeight="1" x14ac:dyDescent="0.25">
      <c r="A63" s="351"/>
      <c r="B63" s="352"/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  <c r="N63" s="352"/>
      <c r="O63" s="352"/>
      <c r="P63" s="352"/>
      <c r="Q63" s="353"/>
      <c r="R63" s="339"/>
      <c r="S63" s="340"/>
      <c r="T63" s="341"/>
      <c r="U63" s="315"/>
      <c r="V63" s="285"/>
      <c r="W63" s="285"/>
      <c r="X63" s="316"/>
      <c r="Y63" s="316"/>
      <c r="Z63" s="317"/>
    </row>
    <row r="64" spans="1:26" s="76" customFormat="1" ht="15.6" customHeight="1" x14ac:dyDescent="0.25">
      <c r="A64" s="91" t="s">
        <v>45</v>
      </c>
      <c r="B64" s="90" t="s">
        <v>46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339"/>
      <c r="S64" s="340"/>
      <c r="T64" s="341"/>
      <c r="U64" s="318"/>
      <c r="V64" s="319"/>
      <c r="W64" s="319"/>
      <c r="X64" s="320"/>
      <c r="Y64" s="320"/>
      <c r="Z64" s="321"/>
    </row>
    <row r="65" spans="1:26" s="76" customFormat="1" ht="15.6" customHeight="1" x14ac:dyDescent="0.25">
      <c r="A65" s="333"/>
      <c r="B65" s="334"/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34"/>
      <c r="P65" s="334"/>
      <c r="Q65" s="335"/>
      <c r="R65" s="339" t="s">
        <v>47</v>
      </c>
      <c r="S65" s="340"/>
      <c r="T65" s="341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333"/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4"/>
      <c r="Q66" s="335"/>
      <c r="R66" s="339"/>
      <c r="S66" s="340"/>
      <c r="T66" s="341"/>
      <c r="U66" s="84"/>
      <c r="V66" s="285"/>
      <c r="W66" s="285"/>
      <c r="X66" s="285"/>
      <c r="Y66" s="285"/>
      <c r="Z66" s="83"/>
    </row>
    <row r="67" spans="1:26" s="76" customFormat="1" ht="15.6" customHeight="1" x14ac:dyDescent="0.25">
      <c r="A67" s="333"/>
      <c r="B67" s="334"/>
      <c r="C67" s="334"/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34"/>
      <c r="O67" s="334"/>
      <c r="P67" s="334"/>
      <c r="Q67" s="335"/>
      <c r="R67" s="339"/>
      <c r="S67" s="340"/>
      <c r="T67" s="341"/>
      <c r="U67" s="84"/>
      <c r="V67" s="285"/>
      <c r="W67" s="285"/>
      <c r="X67" s="285"/>
      <c r="Y67" s="285"/>
      <c r="Z67" s="83"/>
    </row>
    <row r="68" spans="1:26" s="76" customFormat="1" ht="15.6" customHeight="1" x14ac:dyDescent="0.25">
      <c r="A68" s="336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8"/>
      <c r="R68" s="342"/>
      <c r="S68" s="343"/>
      <c r="T68" s="344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A1:F6"/>
    <mergeCell ref="G1:T1"/>
    <mergeCell ref="B10:G10"/>
    <mergeCell ref="S10:Y10"/>
    <mergeCell ref="M55:P57"/>
    <mergeCell ref="K55:L57"/>
    <mergeCell ref="S12:Y12"/>
    <mergeCell ref="K23:P24"/>
    <mergeCell ref="I17:Y17"/>
    <mergeCell ref="H54:J54"/>
    <mergeCell ref="K54:P54"/>
    <mergeCell ref="N12:R12"/>
    <mergeCell ref="H12:M12"/>
    <mergeCell ref="B17:H17"/>
    <mergeCell ref="B12:G12"/>
    <mergeCell ref="K25:P25"/>
    <mergeCell ref="K27:P27"/>
    <mergeCell ref="N10:R10"/>
    <mergeCell ref="G2:T4"/>
    <mergeCell ref="G5:H5"/>
    <mergeCell ref="A7:F7"/>
    <mergeCell ref="G7:Z7"/>
    <mergeCell ref="H10:M10"/>
    <mergeCell ref="B11:G11"/>
    <mergeCell ref="U1:Z6"/>
    <mergeCell ref="S11:Y11"/>
    <mergeCell ref="I5:K5"/>
    <mergeCell ref="I6:K6"/>
    <mergeCell ref="L5:O5"/>
    <mergeCell ref="P5:T5"/>
    <mergeCell ref="L6:O6"/>
    <mergeCell ref="P6:T6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26:G26"/>
    <mergeCell ref="H26:J26"/>
    <mergeCell ref="K26:P26"/>
    <mergeCell ref="C27:G2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U61:Z61"/>
    <mergeCell ref="U62:Z64"/>
    <mergeCell ref="H57:J57"/>
    <mergeCell ref="H55:J55"/>
    <mergeCell ref="H56:J56"/>
    <mergeCell ref="H27:J2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3593-4C50-4A62-84C3-4F5BD7681A3A}">
  <sheetPr>
    <pageSetUpPr fitToPage="1"/>
  </sheetPr>
  <dimension ref="A1:AA76"/>
  <sheetViews>
    <sheetView topLeftCell="A48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399"/>
      <c r="B1" s="400"/>
      <c r="C1" s="400"/>
      <c r="D1" s="400"/>
      <c r="E1" s="400"/>
      <c r="F1" s="401"/>
      <c r="G1" s="408" t="s">
        <v>0</v>
      </c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10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402"/>
      <c r="B2" s="403"/>
      <c r="C2" s="403"/>
      <c r="D2" s="403"/>
      <c r="E2" s="403"/>
      <c r="F2" s="404"/>
      <c r="G2" s="366" t="s">
        <v>1</v>
      </c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8"/>
      <c r="U2" s="157"/>
      <c r="V2" s="158"/>
      <c r="W2" s="158"/>
      <c r="X2" s="158"/>
      <c r="Y2" s="158"/>
      <c r="Z2" s="159"/>
    </row>
    <row r="3" spans="1:26" ht="12.75" customHeight="1" x14ac:dyDescent="0.25">
      <c r="A3" s="402"/>
      <c r="B3" s="403"/>
      <c r="C3" s="403"/>
      <c r="D3" s="403"/>
      <c r="E3" s="403"/>
      <c r="F3" s="404"/>
      <c r="G3" s="366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8"/>
      <c r="U3" s="157"/>
      <c r="V3" s="158"/>
      <c r="W3" s="158"/>
      <c r="X3" s="158"/>
      <c r="Y3" s="158"/>
      <c r="Z3" s="159"/>
    </row>
    <row r="4" spans="1:26" ht="12.75" customHeight="1" x14ac:dyDescent="0.25">
      <c r="A4" s="402"/>
      <c r="B4" s="403"/>
      <c r="C4" s="403"/>
      <c r="D4" s="403"/>
      <c r="E4" s="403"/>
      <c r="F4" s="404"/>
      <c r="G4" s="366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  <c r="S4" s="367"/>
      <c r="T4" s="368"/>
      <c r="U4" s="157"/>
      <c r="V4" s="158"/>
      <c r="W4" s="158"/>
      <c r="X4" s="158"/>
      <c r="Y4" s="158"/>
      <c r="Z4" s="159"/>
    </row>
    <row r="5" spans="1:26" ht="12.75" customHeight="1" x14ac:dyDescent="0.25">
      <c r="A5" s="402"/>
      <c r="B5" s="403"/>
      <c r="C5" s="403"/>
      <c r="D5" s="403"/>
      <c r="E5" s="403"/>
      <c r="F5" s="404"/>
      <c r="G5" s="369" t="s">
        <v>2</v>
      </c>
      <c r="H5" s="370"/>
      <c r="I5" s="389">
        <v>8</v>
      </c>
      <c r="J5" s="389"/>
      <c r="K5" s="390"/>
      <c r="L5" s="392" t="s">
        <v>49</v>
      </c>
      <c r="M5" s="393"/>
      <c r="N5" s="393"/>
      <c r="O5" s="394"/>
      <c r="P5" s="395" t="s">
        <v>84</v>
      </c>
      <c r="Q5" s="396"/>
      <c r="R5" s="396"/>
      <c r="S5" s="396"/>
      <c r="T5" s="397"/>
      <c r="U5" s="157"/>
      <c r="V5" s="158"/>
      <c r="W5" s="158"/>
      <c r="X5" s="158"/>
      <c r="Y5" s="158"/>
      <c r="Z5" s="159"/>
    </row>
    <row r="6" spans="1:26" ht="12.75" customHeight="1" x14ac:dyDescent="0.25">
      <c r="A6" s="405"/>
      <c r="B6" s="406"/>
      <c r="C6" s="406"/>
      <c r="D6" s="406"/>
      <c r="E6" s="406"/>
      <c r="F6" s="407"/>
      <c r="G6" s="145"/>
      <c r="H6" s="104"/>
      <c r="I6" s="391" t="s">
        <v>4</v>
      </c>
      <c r="J6" s="391"/>
      <c r="K6" s="391"/>
      <c r="L6" s="391" t="s">
        <v>5</v>
      </c>
      <c r="M6" s="391"/>
      <c r="N6" s="391"/>
      <c r="O6" s="391"/>
      <c r="P6" s="391" t="s">
        <v>6</v>
      </c>
      <c r="Q6" s="391"/>
      <c r="R6" s="391"/>
      <c r="S6" s="391"/>
      <c r="T6" s="398"/>
      <c r="U6" s="160"/>
      <c r="V6" s="161"/>
      <c r="W6" s="161"/>
      <c r="X6" s="161"/>
      <c r="Y6" s="161"/>
      <c r="Z6" s="162"/>
    </row>
    <row r="7" spans="1:26" ht="36.6" customHeight="1" x14ac:dyDescent="0.25">
      <c r="A7" s="371" t="s">
        <v>7</v>
      </c>
      <c r="B7" s="371"/>
      <c r="C7" s="371"/>
      <c r="D7" s="371"/>
      <c r="E7" s="371"/>
      <c r="F7" s="371"/>
      <c r="G7" s="372" t="s">
        <v>8</v>
      </c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372"/>
      <c r="V7" s="372"/>
      <c r="W7" s="372"/>
      <c r="X7" s="372"/>
      <c r="Y7" s="372"/>
      <c r="Z7" s="372"/>
    </row>
    <row r="8" spans="1:26" ht="15.9" customHeight="1" x14ac:dyDescent="0.25">
      <c r="A8" s="124" t="s">
        <v>9</v>
      </c>
      <c r="B8" s="99" t="s">
        <v>10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0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332" t="s">
        <v>11</v>
      </c>
      <c r="C10" s="332"/>
      <c r="D10" s="332"/>
      <c r="E10" s="332"/>
      <c r="F10" s="332"/>
      <c r="G10" s="332"/>
      <c r="H10" s="331" t="s">
        <v>12</v>
      </c>
      <c r="I10" s="331"/>
      <c r="J10" s="331"/>
      <c r="K10" s="331"/>
      <c r="L10" s="331"/>
      <c r="M10" s="331"/>
      <c r="N10" s="332" t="s">
        <v>13</v>
      </c>
      <c r="O10" s="332"/>
      <c r="P10" s="332"/>
      <c r="Q10" s="332"/>
      <c r="R10" s="332"/>
      <c r="S10" s="384" t="s">
        <v>85</v>
      </c>
      <c r="T10" s="384"/>
      <c r="U10" s="384"/>
      <c r="V10" s="384"/>
      <c r="W10" s="384"/>
      <c r="X10" s="384"/>
      <c r="Y10" s="384"/>
      <c r="Z10" s="143"/>
    </row>
    <row r="11" spans="1:26" ht="15.9" customHeight="1" x14ac:dyDescent="0.25">
      <c r="A11" s="108"/>
      <c r="B11" s="332" t="s">
        <v>15</v>
      </c>
      <c r="C11" s="332"/>
      <c r="D11" s="332"/>
      <c r="E11" s="332"/>
      <c r="F11" s="332"/>
      <c r="G11" s="332"/>
      <c r="H11" s="331" t="s">
        <v>84</v>
      </c>
      <c r="I11" s="331"/>
      <c r="J11" s="331"/>
      <c r="K11" s="331"/>
      <c r="L11" s="331"/>
      <c r="M11" s="331"/>
      <c r="N11" s="332" t="s">
        <v>16</v>
      </c>
      <c r="O11" s="332"/>
      <c r="P11" s="332"/>
      <c r="Q11" s="332"/>
      <c r="R11" s="332"/>
      <c r="S11" s="384" t="s">
        <v>65</v>
      </c>
      <c r="T11" s="384"/>
      <c r="U11" s="384"/>
      <c r="V11" s="384"/>
      <c r="W11" s="384"/>
      <c r="X11" s="384"/>
      <c r="Y11" s="384"/>
      <c r="Z11" s="143"/>
    </row>
    <row r="12" spans="1:26" ht="15.9" customHeight="1" x14ac:dyDescent="0.25">
      <c r="A12" s="108"/>
      <c r="B12" s="332" t="s">
        <v>18</v>
      </c>
      <c r="C12" s="332"/>
      <c r="D12" s="332"/>
      <c r="E12" s="332"/>
      <c r="F12" s="332"/>
      <c r="G12" s="332"/>
      <c r="H12" s="331" t="s">
        <v>83</v>
      </c>
      <c r="I12" s="331"/>
      <c r="J12" s="331"/>
      <c r="K12" s="331"/>
      <c r="L12" s="331"/>
      <c r="M12" s="331"/>
      <c r="N12" s="332" t="s">
        <v>19</v>
      </c>
      <c r="O12" s="332"/>
      <c r="P12" s="332"/>
      <c r="Q12" s="332"/>
      <c r="R12" s="332"/>
      <c r="S12" s="384" t="s">
        <v>64</v>
      </c>
      <c r="T12" s="384"/>
      <c r="U12" s="384"/>
      <c r="V12" s="384"/>
      <c r="W12" s="384"/>
      <c r="X12" s="384"/>
      <c r="Y12" s="384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20</v>
      </c>
      <c r="B15" s="136" t="s">
        <v>21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299" t="s">
        <v>22</v>
      </c>
      <c r="C17" s="299"/>
      <c r="D17" s="299"/>
      <c r="E17" s="299"/>
      <c r="F17" s="299"/>
      <c r="G17" s="299"/>
      <c r="H17" s="299"/>
      <c r="I17" s="385"/>
      <c r="J17" s="385"/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129"/>
    </row>
    <row r="18" spans="1:26" s="76" customFormat="1" ht="15" customHeight="1" x14ac:dyDescent="0.25">
      <c r="A18" s="131"/>
      <c r="B18" s="299" t="s">
        <v>23</v>
      </c>
      <c r="C18" s="299"/>
      <c r="D18" s="299"/>
      <c r="E18" s="299"/>
      <c r="F18" s="299"/>
      <c r="G18" s="299"/>
      <c r="H18" s="299"/>
      <c r="I18" s="286" t="s">
        <v>24</v>
      </c>
      <c r="J18" s="286"/>
      <c r="K18" s="130">
        <v>50</v>
      </c>
      <c r="L18" s="130" t="s">
        <v>25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26</v>
      </c>
      <c r="B21" s="123" t="s">
        <v>27</v>
      </c>
      <c r="C21" s="121"/>
      <c r="D21" s="122"/>
      <c r="E21" s="122"/>
      <c r="F21" s="122"/>
      <c r="G21" s="122"/>
      <c r="H21" s="121"/>
      <c r="I21" s="121"/>
      <c r="J21" s="306" t="s">
        <v>28</v>
      </c>
      <c r="K21" s="306"/>
      <c r="L21" s="306"/>
      <c r="M21" s="306"/>
      <c r="N21" s="306"/>
      <c r="O21" s="306"/>
      <c r="P21" s="306"/>
      <c r="Q21" s="118">
        <v>600</v>
      </c>
      <c r="R21" s="96"/>
      <c r="S21" s="96"/>
      <c r="T21" s="96"/>
      <c r="U21" s="96"/>
      <c r="V21" s="96"/>
      <c r="W21" s="96"/>
      <c r="X21" s="96"/>
      <c r="Y21" s="96"/>
      <c r="Z21" s="120"/>
    </row>
    <row r="22" spans="1:26" ht="12.75" customHeight="1" x14ac:dyDescent="0.25">
      <c r="A22" s="108"/>
      <c r="B22" s="119"/>
      <c r="Z22" s="107"/>
    </row>
    <row r="23" spans="1:26" ht="15.75" customHeight="1" x14ac:dyDescent="0.25">
      <c r="A23" s="108"/>
      <c r="B23" s="300" t="s">
        <v>29</v>
      </c>
      <c r="C23" s="302" t="s">
        <v>30</v>
      </c>
      <c r="D23" s="302"/>
      <c r="E23" s="302"/>
      <c r="F23" s="302"/>
      <c r="G23" s="303"/>
      <c r="H23" s="296" t="s">
        <v>31</v>
      </c>
      <c r="I23" s="297"/>
      <c r="J23" s="298"/>
      <c r="K23" s="302" t="s">
        <v>32</v>
      </c>
      <c r="L23" s="302"/>
      <c r="M23" s="302"/>
      <c r="N23" s="302"/>
      <c r="O23" s="302"/>
      <c r="P23" s="303"/>
      <c r="Z23" s="107"/>
    </row>
    <row r="24" spans="1:26" ht="15.75" customHeight="1" x14ac:dyDescent="0.25">
      <c r="A24" s="108"/>
      <c r="B24" s="301"/>
      <c r="C24" s="304"/>
      <c r="D24" s="304"/>
      <c r="E24" s="304"/>
      <c r="F24" s="304"/>
      <c r="G24" s="305"/>
      <c r="H24" s="293" t="s">
        <v>33</v>
      </c>
      <c r="I24" s="294"/>
      <c r="J24" s="295"/>
      <c r="K24" s="304"/>
      <c r="L24" s="304"/>
      <c r="M24" s="304"/>
      <c r="N24" s="304"/>
      <c r="O24" s="304"/>
      <c r="P24" s="305"/>
      <c r="Z24" s="107"/>
    </row>
    <row r="25" spans="1:26" ht="19.5" customHeight="1" x14ac:dyDescent="0.25">
      <c r="A25" s="108"/>
      <c r="B25" s="117">
        <v>1</v>
      </c>
      <c r="C25" s="290"/>
      <c r="D25" s="291"/>
      <c r="E25" s="291"/>
      <c r="F25" s="291"/>
      <c r="G25" s="292"/>
      <c r="H25" s="287">
        <v>159</v>
      </c>
      <c r="I25" s="288"/>
      <c r="J25" s="289"/>
      <c r="K25" s="290"/>
      <c r="L25" s="291"/>
      <c r="M25" s="291"/>
      <c r="N25" s="291"/>
      <c r="O25" s="291"/>
      <c r="P25" s="292"/>
      <c r="Z25" s="107"/>
    </row>
    <row r="26" spans="1:26" ht="19.5" customHeight="1" x14ac:dyDescent="0.25">
      <c r="A26" s="108"/>
      <c r="B26" s="117">
        <v>2</v>
      </c>
      <c r="C26" s="290"/>
      <c r="D26" s="291"/>
      <c r="E26" s="291"/>
      <c r="F26" s="291"/>
      <c r="G26" s="292"/>
      <c r="H26" s="287">
        <v>68</v>
      </c>
      <c r="I26" s="288"/>
      <c r="J26" s="289"/>
      <c r="K26" s="290"/>
      <c r="L26" s="291"/>
      <c r="M26" s="291"/>
      <c r="N26" s="291"/>
      <c r="O26" s="291"/>
      <c r="P26" s="292"/>
      <c r="Z26" s="107"/>
    </row>
    <row r="27" spans="1:26" ht="19.5" customHeight="1" x14ac:dyDescent="0.25">
      <c r="A27" s="108"/>
      <c r="B27" s="117">
        <v>3</v>
      </c>
      <c r="C27" s="290"/>
      <c r="D27" s="291"/>
      <c r="E27" s="291"/>
      <c r="F27" s="291"/>
      <c r="G27" s="292"/>
      <c r="H27" s="287">
        <v>122</v>
      </c>
      <c r="I27" s="288"/>
      <c r="J27" s="289"/>
      <c r="K27" s="290"/>
      <c r="L27" s="291"/>
      <c r="M27" s="291"/>
      <c r="N27" s="291"/>
      <c r="O27" s="291"/>
      <c r="P27" s="292"/>
      <c r="Z27" s="107"/>
    </row>
    <row r="28" spans="1:26" ht="19.5" customHeight="1" x14ac:dyDescent="0.25">
      <c r="A28" s="108"/>
      <c r="B28" s="117">
        <v>4</v>
      </c>
      <c r="C28" s="290"/>
      <c r="D28" s="291"/>
      <c r="E28" s="291"/>
      <c r="F28" s="291"/>
      <c r="G28" s="292"/>
      <c r="H28" s="287">
        <v>128</v>
      </c>
      <c r="I28" s="288"/>
      <c r="J28" s="289"/>
      <c r="K28" s="290"/>
      <c r="L28" s="291"/>
      <c r="M28" s="291"/>
      <c r="N28" s="291"/>
      <c r="O28" s="291"/>
      <c r="P28" s="292"/>
      <c r="Z28" s="107"/>
    </row>
    <row r="29" spans="1:26" ht="19.5" customHeight="1" x14ac:dyDescent="0.25">
      <c r="A29" s="108"/>
      <c r="B29" s="117">
        <v>5</v>
      </c>
      <c r="C29" s="290"/>
      <c r="D29" s="291"/>
      <c r="E29" s="291"/>
      <c r="F29" s="291"/>
      <c r="G29" s="292"/>
      <c r="H29" s="287">
        <v>100</v>
      </c>
      <c r="I29" s="288"/>
      <c r="J29" s="289"/>
      <c r="K29" s="290"/>
      <c r="L29" s="291"/>
      <c r="M29" s="291"/>
      <c r="N29" s="291"/>
      <c r="O29" s="291"/>
      <c r="P29" s="292"/>
      <c r="Z29" s="107"/>
    </row>
    <row r="30" spans="1:26" ht="19.5" customHeight="1" x14ac:dyDescent="0.25">
      <c r="A30" s="108"/>
      <c r="B30" s="117">
        <v>6</v>
      </c>
      <c r="C30" s="290"/>
      <c r="D30" s="291"/>
      <c r="E30" s="291"/>
      <c r="F30" s="291"/>
      <c r="G30" s="292"/>
      <c r="H30" s="287">
        <v>63</v>
      </c>
      <c r="I30" s="288"/>
      <c r="J30" s="289"/>
      <c r="K30" s="290"/>
      <c r="L30" s="291"/>
      <c r="M30" s="291"/>
      <c r="N30" s="291"/>
      <c r="O30" s="291"/>
      <c r="P30" s="292"/>
      <c r="Z30" s="107"/>
    </row>
    <row r="31" spans="1:26" ht="19.5" customHeight="1" x14ac:dyDescent="0.25">
      <c r="A31" s="108"/>
      <c r="B31" s="117">
        <v>7</v>
      </c>
      <c r="C31" s="290"/>
      <c r="D31" s="291"/>
      <c r="E31" s="291"/>
      <c r="F31" s="291"/>
      <c r="G31" s="292"/>
      <c r="H31" s="287">
        <v>126</v>
      </c>
      <c r="I31" s="288"/>
      <c r="J31" s="289"/>
      <c r="K31" s="290"/>
      <c r="L31" s="291"/>
      <c r="M31" s="291"/>
      <c r="N31" s="291"/>
      <c r="O31" s="291"/>
      <c r="P31" s="292"/>
      <c r="Z31" s="107"/>
    </row>
    <row r="32" spans="1:26" ht="19.5" customHeight="1" x14ac:dyDescent="0.25">
      <c r="A32" s="108"/>
      <c r="B32" s="117">
        <v>8</v>
      </c>
      <c r="C32" s="290"/>
      <c r="D32" s="291"/>
      <c r="E32" s="291"/>
      <c r="F32" s="291"/>
      <c r="G32" s="292"/>
      <c r="H32" s="287">
        <v>208</v>
      </c>
      <c r="I32" s="288"/>
      <c r="J32" s="289"/>
      <c r="K32" s="290"/>
      <c r="L32" s="291"/>
      <c r="M32" s="291"/>
      <c r="N32" s="291"/>
      <c r="O32" s="291"/>
      <c r="P32" s="292"/>
      <c r="Z32" s="107"/>
    </row>
    <row r="33" spans="1:26" ht="19.5" customHeight="1" x14ac:dyDescent="0.25">
      <c r="A33" s="108"/>
      <c r="B33" s="117">
        <v>9</v>
      </c>
      <c r="C33" s="290"/>
      <c r="D33" s="291"/>
      <c r="E33" s="291"/>
      <c r="F33" s="291"/>
      <c r="G33" s="292"/>
      <c r="H33" s="287">
        <v>149</v>
      </c>
      <c r="I33" s="288"/>
      <c r="J33" s="289"/>
      <c r="K33" s="290"/>
      <c r="L33" s="291"/>
      <c r="M33" s="291"/>
      <c r="N33" s="291"/>
      <c r="O33" s="291"/>
      <c r="P33" s="292"/>
      <c r="Z33" s="107"/>
    </row>
    <row r="34" spans="1:26" ht="19.5" customHeight="1" x14ac:dyDescent="0.25">
      <c r="A34" s="108"/>
      <c r="B34" s="117">
        <v>10</v>
      </c>
      <c r="C34" s="290"/>
      <c r="D34" s="291"/>
      <c r="E34" s="291"/>
      <c r="F34" s="291"/>
      <c r="G34" s="292"/>
      <c r="H34" s="287">
        <v>141</v>
      </c>
      <c r="I34" s="288"/>
      <c r="J34" s="289"/>
      <c r="K34" s="290"/>
      <c r="L34" s="291"/>
      <c r="M34" s="291"/>
      <c r="N34" s="291"/>
      <c r="O34" s="291"/>
      <c r="P34" s="292"/>
      <c r="Z34" s="107"/>
    </row>
    <row r="35" spans="1:26" ht="19.5" customHeight="1" x14ac:dyDescent="0.25">
      <c r="A35" s="108"/>
      <c r="B35" s="117">
        <v>11</v>
      </c>
      <c r="C35" s="290"/>
      <c r="D35" s="291"/>
      <c r="E35" s="291"/>
      <c r="F35" s="291"/>
      <c r="G35" s="292"/>
      <c r="H35" s="287">
        <v>127</v>
      </c>
      <c r="I35" s="288"/>
      <c r="J35" s="289"/>
      <c r="K35" s="290"/>
      <c r="L35" s="291"/>
      <c r="M35" s="291"/>
      <c r="N35" s="291"/>
      <c r="O35" s="291"/>
      <c r="P35" s="292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354"/>
      <c r="D54" s="355"/>
      <c r="E54" s="355"/>
      <c r="F54" s="355"/>
      <c r="G54" s="356"/>
      <c r="H54" s="386"/>
      <c r="I54" s="387"/>
      <c r="J54" s="388"/>
      <c r="K54" s="354"/>
      <c r="L54" s="355"/>
      <c r="M54" s="355"/>
      <c r="N54" s="355"/>
      <c r="O54" s="355"/>
      <c r="P54" s="356"/>
      <c r="Z54" s="107"/>
    </row>
    <row r="55" spans="1:26" ht="15.75" customHeight="1" x14ac:dyDescent="0.25">
      <c r="A55" s="108"/>
      <c r="B55" s="363" t="s">
        <v>35</v>
      </c>
      <c r="C55" s="364"/>
      <c r="D55" s="364"/>
      <c r="E55" s="364"/>
      <c r="F55" s="364"/>
      <c r="G55" s="365"/>
      <c r="H55" s="325">
        <f>AVERAGE(H25:J54)</f>
        <v>126.45454545454545</v>
      </c>
      <c r="I55" s="326"/>
      <c r="J55" s="327"/>
      <c r="K55" s="378" t="s">
        <v>75</v>
      </c>
      <c r="L55" s="379"/>
      <c r="M55" s="373" t="s">
        <v>36</v>
      </c>
      <c r="N55" s="373"/>
      <c r="O55" s="373"/>
      <c r="P55" s="374"/>
      <c r="Z55" s="107"/>
    </row>
    <row r="56" spans="1:26" ht="15.75" customHeight="1" x14ac:dyDescent="0.25">
      <c r="A56" s="108"/>
      <c r="B56" s="357" t="s">
        <v>37</v>
      </c>
      <c r="C56" s="358"/>
      <c r="D56" s="358"/>
      <c r="E56" s="358"/>
      <c r="F56" s="358"/>
      <c r="G56" s="359"/>
      <c r="H56" s="328">
        <f>IF(COUNTIF(H25:J54,"*&lt;20*"),"&lt;20",MIN(H25:J54))</f>
        <v>63</v>
      </c>
      <c r="I56" s="329"/>
      <c r="J56" s="330"/>
      <c r="K56" s="380"/>
      <c r="L56" s="381"/>
      <c r="M56" s="285"/>
      <c r="N56" s="285"/>
      <c r="O56" s="285"/>
      <c r="P56" s="375"/>
      <c r="Z56" s="107"/>
    </row>
    <row r="57" spans="1:26" ht="15.75" customHeight="1" thickBot="1" x14ac:dyDescent="0.3">
      <c r="A57" s="108"/>
      <c r="B57" s="360" t="s">
        <v>38</v>
      </c>
      <c r="C57" s="361"/>
      <c r="D57" s="361"/>
      <c r="E57" s="361"/>
      <c r="F57" s="361"/>
      <c r="G57" s="362"/>
      <c r="H57" s="322">
        <f>IF(COUNTIF(H25:J54,"*&gt;250*"),"&gt;250",MAX(H25:J54))</f>
        <v>208</v>
      </c>
      <c r="I57" s="323"/>
      <c r="J57" s="324"/>
      <c r="K57" s="382"/>
      <c r="L57" s="383"/>
      <c r="M57" s="376"/>
      <c r="N57" s="376"/>
      <c r="O57" s="376"/>
      <c r="P57" s="377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39</v>
      </c>
      <c r="B60" s="99" t="s">
        <v>40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345" t="s">
        <v>41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7"/>
      <c r="R61" s="339" t="s">
        <v>42</v>
      </c>
      <c r="S61" s="340"/>
      <c r="T61" s="341"/>
      <c r="U61" s="307" t="s">
        <v>12</v>
      </c>
      <c r="V61" s="308"/>
      <c r="W61" s="308"/>
      <c r="X61" s="309"/>
      <c r="Y61" s="309"/>
      <c r="Z61" s="310"/>
    </row>
    <row r="62" spans="1:26" s="76" customFormat="1" ht="15.6" customHeight="1" x14ac:dyDescent="0.25">
      <c r="A62" s="348" t="s">
        <v>50</v>
      </c>
      <c r="B62" s="349"/>
      <c r="C62" s="349"/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50"/>
      <c r="R62" s="339" t="s">
        <v>43</v>
      </c>
      <c r="S62" s="340"/>
      <c r="T62" s="341"/>
      <c r="U62" s="311" t="s">
        <v>44</v>
      </c>
      <c r="V62" s="312"/>
      <c r="W62" s="312"/>
      <c r="X62" s="313"/>
      <c r="Y62" s="313"/>
      <c r="Z62" s="314"/>
    </row>
    <row r="63" spans="1:26" s="76" customFormat="1" ht="15.6" customHeight="1" x14ac:dyDescent="0.25">
      <c r="A63" s="351"/>
      <c r="B63" s="352"/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  <c r="N63" s="352"/>
      <c r="O63" s="352"/>
      <c r="P63" s="352"/>
      <c r="Q63" s="353"/>
      <c r="R63" s="339"/>
      <c r="S63" s="340"/>
      <c r="T63" s="341"/>
      <c r="U63" s="315"/>
      <c r="V63" s="285"/>
      <c r="W63" s="285"/>
      <c r="X63" s="316"/>
      <c r="Y63" s="316"/>
      <c r="Z63" s="317"/>
    </row>
    <row r="64" spans="1:26" s="76" customFormat="1" ht="15.6" customHeight="1" x14ac:dyDescent="0.25">
      <c r="A64" s="91" t="s">
        <v>45</v>
      </c>
      <c r="B64" s="90" t="s">
        <v>46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339"/>
      <c r="S64" s="340"/>
      <c r="T64" s="341"/>
      <c r="U64" s="318"/>
      <c r="V64" s="319"/>
      <c r="W64" s="319"/>
      <c r="X64" s="320"/>
      <c r="Y64" s="320"/>
      <c r="Z64" s="321"/>
    </row>
    <row r="65" spans="1:26" s="76" customFormat="1" ht="15.6" customHeight="1" x14ac:dyDescent="0.25">
      <c r="A65" s="333"/>
      <c r="B65" s="334"/>
      <c r="C65" s="334"/>
      <c r="D65" s="334"/>
      <c r="E65" s="334"/>
      <c r="F65" s="334"/>
      <c r="G65" s="334"/>
      <c r="H65" s="334"/>
      <c r="I65" s="334"/>
      <c r="J65" s="334"/>
      <c r="K65" s="334"/>
      <c r="L65" s="334"/>
      <c r="M65" s="334"/>
      <c r="N65" s="334"/>
      <c r="O65" s="334"/>
      <c r="P65" s="334"/>
      <c r="Q65" s="335"/>
      <c r="R65" s="339" t="s">
        <v>47</v>
      </c>
      <c r="S65" s="340"/>
      <c r="T65" s="341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333"/>
      <c r="B66" s="334"/>
      <c r="C66" s="334"/>
      <c r="D66" s="334"/>
      <c r="E66" s="334"/>
      <c r="F66" s="334"/>
      <c r="G66" s="334"/>
      <c r="H66" s="334"/>
      <c r="I66" s="334"/>
      <c r="J66" s="334"/>
      <c r="K66" s="334"/>
      <c r="L66" s="334"/>
      <c r="M66" s="334"/>
      <c r="N66" s="334"/>
      <c r="O66" s="334"/>
      <c r="P66" s="334"/>
      <c r="Q66" s="335"/>
      <c r="R66" s="339"/>
      <c r="S66" s="340"/>
      <c r="T66" s="341"/>
      <c r="U66" s="84"/>
      <c r="V66" s="285"/>
      <c r="W66" s="285"/>
      <c r="X66" s="285"/>
      <c r="Y66" s="285"/>
      <c r="Z66" s="83"/>
    </row>
    <row r="67" spans="1:26" s="76" customFormat="1" ht="15.6" customHeight="1" x14ac:dyDescent="0.25">
      <c r="A67" s="333"/>
      <c r="B67" s="334"/>
      <c r="C67" s="334"/>
      <c r="D67" s="334"/>
      <c r="E67" s="334"/>
      <c r="F67" s="334"/>
      <c r="G67" s="334"/>
      <c r="H67" s="334"/>
      <c r="I67" s="334"/>
      <c r="J67" s="334"/>
      <c r="K67" s="334"/>
      <c r="L67" s="334"/>
      <c r="M67" s="334"/>
      <c r="N67" s="334"/>
      <c r="O67" s="334"/>
      <c r="P67" s="334"/>
      <c r="Q67" s="335"/>
      <c r="R67" s="339"/>
      <c r="S67" s="340"/>
      <c r="T67" s="341"/>
      <c r="U67" s="84"/>
      <c r="V67" s="285"/>
      <c r="W67" s="285"/>
      <c r="X67" s="285"/>
      <c r="Y67" s="285"/>
      <c r="Z67" s="83"/>
    </row>
    <row r="68" spans="1:26" s="76" customFormat="1" ht="15.6" customHeight="1" x14ac:dyDescent="0.25">
      <c r="A68" s="336"/>
      <c r="B68" s="337"/>
      <c r="C68" s="337"/>
      <c r="D68" s="337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38"/>
      <c r="R68" s="342"/>
      <c r="S68" s="343"/>
      <c r="T68" s="344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88"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  <mergeCell ref="I17:Y17"/>
    <mergeCell ref="H54:J54"/>
    <mergeCell ref="K54:P54"/>
    <mergeCell ref="N12:R12"/>
    <mergeCell ref="H12:M12"/>
    <mergeCell ref="H31:J31"/>
    <mergeCell ref="K31:P31"/>
    <mergeCell ref="B17:H17"/>
    <mergeCell ref="B12:G12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U61:Z61"/>
    <mergeCell ref="U62:Z64"/>
    <mergeCell ref="H57:J57"/>
    <mergeCell ref="H55:J55"/>
    <mergeCell ref="H56:J56"/>
    <mergeCell ref="M55:P57"/>
    <mergeCell ref="K55:L5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012C-23C9-4F37-AEEB-46527FB4942D}">
  <sheetPr>
    <pageSetUpPr fitToPage="1"/>
  </sheetPr>
  <dimension ref="A1:AA68"/>
  <sheetViews>
    <sheetView topLeftCell="A32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7</v>
      </c>
      <c r="J5" s="187"/>
      <c r="K5" s="188"/>
      <c r="L5" s="190" t="s">
        <v>49</v>
      </c>
      <c r="M5" s="191"/>
      <c r="N5" s="191"/>
      <c r="O5" s="192"/>
      <c r="P5" s="193" t="s">
        <v>80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67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80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65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76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52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50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417" t="s">
        <v>81</v>
      </c>
      <c r="D25" s="418"/>
      <c r="E25" s="418"/>
      <c r="F25" s="418"/>
      <c r="G25" s="419"/>
      <c r="H25" s="149">
        <v>89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71"/>
      <c r="D26" s="172"/>
      <c r="E26" s="172"/>
      <c r="F26" s="172"/>
      <c r="G26" s="420"/>
      <c r="H26" s="149">
        <v>66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71"/>
      <c r="D27" s="172"/>
      <c r="E27" s="172"/>
      <c r="F27" s="172"/>
      <c r="G27" s="420"/>
      <c r="H27" s="149">
        <v>99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171"/>
      <c r="D28" s="172"/>
      <c r="E28" s="172"/>
      <c r="F28" s="172"/>
      <c r="G28" s="420"/>
      <c r="H28" s="149">
        <v>142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71"/>
      <c r="D29" s="172"/>
      <c r="E29" s="172"/>
      <c r="F29" s="172"/>
      <c r="G29" s="420"/>
      <c r="H29" s="149">
        <v>51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171"/>
      <c r="D30" s="172"/>
      <c r="E30" s="172"/>
      <c r="F30" s="172"/>
      <c r="G30" s="420"/>
      <c r="H30" s="149">
        <v>63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71"/>
      <c r="D31" s="172"/>
      <c r="E31" s="172"/>
      <c r="F31" s="172"/>
      <c r="G31" s="420"/>
      <c r="H31" s="149">
        <v>60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45">
        <v>8</v>
      </c>
      <c r="C32" s="171"/>
      <c r="D32" s="172"/>
      <c r="E32" s="172"/>
      <c r="F32" s="172"/>
      <c r="G32" s="420"/>
      <c r="H32" s="149">
        <v>60</v>
      </c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45">
        <v>9</v>
      </c>
      <c r="C33" s="421"/>
      <c r="D33" s="422"/>
      <c r="E33" s="422"/>
      <c r="F33" s="422"/>
      <c r="G33" s="423"/>
      <c r="H33" s="149">
        <v>141</v>
      </c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45">
        <v>10</v>
      </c>
      <c r="C34" s="417" t="s">
        <v>82</v>
      </c>
      <c r="D34" s="418"/>
      <c r="E34" s="418"/>
      <c r="F34" s="418"/>
      <c r="G34" s="419"/>
      <c r="H34" s="149">
        <v>200</v>
      </c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45">
        <v>11</v>
      </c>
      <c r="C35" s="171"/>
      <c r="D35" s="172"/>
      <c r="E35" s="172"/>
      <c r="F35" s="172"/>
      <c r="G35" s="420"/>
      <c r="H35" s="149">
        <v>154</v>
      </c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45">
        <v>12</v>
      </c>
      <c r="C36" s="171"/>
      <c r="D36" s="172"/>
      <c r="E36" s="172"/>
      <c r="F36" s="172"/>
      <c r="G36" s="420"/>
      <c r="H36" s="149">
        <v>130</v>
      </c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45">
        <v>13</v>
      </c>
      <c r="C37" s="171"/>
      <c r="D37" s="172"/>
      <c r="E37" s="172"/>
      <c r="F37" s="172"/>
      <c r="G37" s="420"/>
      <c r="H37" s="149">
        <v>120</v>
      </c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45">
        <v>14</v>
      </c>
      <c r="C38" s="171"/>
      <c r="D38" s="172"/>
      <c r="E38" s="172"/>
      <c r="F38" s="172"/>
      <c r="G38" s="420"/>
      <c r="H38" s="149">
        <v>96</v>
      </c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45">
        <v>15</v>
      </c>
      <c r="C39" s="171"/>
      <c r="D39" s="172"/>
      <c r="E39" s="172"/>
      <c r="F39" s="172"/>
      <c r="G39" s="420"/>
      <c r="H39" s="149">
        <v>130</v>
      </c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45">
        <v>16</v>
      </c>
      <c r="C40" s="421"/>
      <c r="D40" s="422"/>
      <c r="E40" s="422"/>
      <c r="F40" s="422"/>
      <c r="G40" s="423"/>
      <c r="H40" s="149">
        <v>110</v>
      </c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72"/>
      <c r="C41" s="411"/>
      <c r="D41" s="412"/>
      <c r="E41" s="412"/>
      <c r="F41" s="412"/>
      <c r="G41" s="413"/>
      <c r="H41" s="149"/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72"/>
      <c r="C42" s="414"/>
      <c r="D42" s="415"/>
      <c r="E42" s="415"/>
      <c r="F42" s="415"/>
      <c r="G42" s="416"/>
      <c r="H42" s="149"/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72"/>
      <c r="C43" s="414"/>
      <c r="D43" s="415"/>
      <c r="E43" s="415"/>
      <c r="F43" s="415"/>
      <c r="G43" s="416"/>
      <c r="H43" s="149"/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72"/>
      <c r="C44" s="414"/>
      <c r="D44" s="415"/>
      <c r="E44" s="415"/>
      <c r="F44" s="415"/>
      <c r="G44" s="416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x14ac:dyDescent="0.25">
      <c r="A45" s="9"/>
      <c r="B45" s="72"/>
      <c r="C45" s="414"/>
      <c r="D45" s="415"/>
      <c r="E45" s="415"/>
      <c r="F45" s="415"/>
      <c r="G45" s="416"/>
      <c r="H45" s="149"/>
      <c r="I45" s="150"/>
      <c r="J45" s="151"/>
      <c r="K45" s="146"/>
      <c r="L45" s="147"/>
      <c r="M45" s="147"/>
      <c r="N45" s="147"/>
      <c r="O45" s="147"/>
      <c r="P45" s="148"/>
      <c r="Z45" s="11"/>
    </row>
    <row r="46" spans="1:26" ht="19.5" customHeight="1" thickBot="1" x14ac:dyDescent="0.3">
      <c r="A46" s="9"/>
      <c r="B46" s="46"/>
      <c r="C46" s="185"/>
      <c r="D46" s="185"/>
      <c r="E46" s="185"/>
      <c r="F46" s="185"/>
      <c r="G46" s="186"/>
      <c r="H46" s="181"/>
      <c r="I46" s="182"/>
      <c r="J46" s="183"/>
      <c r="K46" s="184"/>
      <c r="L46" s="185"/>
      <c r="M46" s="185"/>
      <c r="N46" s="185"/>
      <c r="O46" s="185"/>
      <c r="P46" s="186"/>
      <c r="Z46" s="11"/>
    </row>
    <row r="47" spans="1:26" ht="15.75" customHeight="1" x14ac:dyDescent="0.25">
      <c r="A47" s="9"/>
      <c r="B47" s="247" t="s">
        <v>35</v>
      </c>
      <c r="C47" s="248"/>
      <c r="D47" s="248"/>
      <c r="E47" s="248"/>
      <c r="F47" s="248"/>
      <c r="G47" s="249"/>
      <c r="H47" s="266">
        <f>AVERAGE(H25:J46)</f>
        <v>106.9375</v>
      </c>
      <c r="I47" s="267"/>
      <c r="J47" s="268"/>
      <c r="K47" s="169">
        <v>100</v>
      </c>
      <c r="L47" s="170"/>
      <c r="M47" s="163" t="s">
        <v>36</v>
      </c>
      <c r="N47" s="163"/>
      <c r="O47" s="163"/>
      <c r="P47" s="164"/>
      <c r="Z47" s="11"/>
    </row>
    <row r="48" spans="1:26" ht="15.75" customHeight="1" x14ac:dyDescent="0.25">
      <c r="A48" s="9"/>
      <c r="B48" s="241" t="s">
        <v>37</v>
      </c>
      <c r="C48" s="242"/>
      <c r="D48" s="242"/>
      <c r="E48" s="242"/>
      <c r="F48" s="242"/>
      <c r="G48" s="243"/>
      <c r="H48" s="269">
        <f>IF(COUNTIF(H25:J46,"*&lt;20*"),"&lt;20",MIN(H25:J46))</f>
        <v>51</v>
      </c>
      <c r="I48" s="270"/>
      <c r="J48" s="271"/>
      <c r="K48" s="171"/>
      <c r="L48" s="172"/>
      <c r="M48" s="165"/>
      <c r="N48" s="165"/>
      <c r="O48" s="165"/>
      <c r="P48" s="166"/>
      <c r="Z48" s="11"/>
    </row>
    <row r="49" spans="1:26" ht="15.75" customHeight="1" thickBot="1" x14ac:dyDescent="0.3">
      <c r="A49" s="9"/>
      <c r="B49" s="244" t="s">
        <v>38</v>
      </c>
      <c r="C49" s="245"/>
      <c r="D49" s="245"/>
      <c r="E49" s="245"/>
      <c r="F49" s="245"/>
      <c r="G49" s="246"/>
      <c r="H49" s="263">
        <f>IF(COUNTIF(H25:J46,"*&gt;250*"),"&gt;250",MAX(H25:J46))</f>
        <v>200</v>
      </c>
      <c r="I49" s="264"/>
      <c r="J49" s="265"/>
      <c r="K49" s="173"/>
      <c r="L49" s="174"/>
      <c r="M49" s="167"/>
      <c r="N49" s="167"/>
      <c r="O49" s="167"/>
      <c r="P49" s="168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39</v>
      </c>
      <c r="B52" s="5" t="s">
        <v>40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232" t="s">
        <v>41</v>
      </c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4"/>
      <c r="R53" s="226" t="s">
        <v>42</v>
      </c>
      <c r="S53" s="227"/>
      <c r="T53" s="228"/>
      <c r="U53" s="217" t="s">
        <v>56</v>
      </c>
      <c r="V53" s="218"/>
      <c r="W53" s="218"/>
      <c r="X53" s="250"/>
      <c r="Y53" s="250"/>
      <c r="Z53" s="251"/>
    </row>
    <row r="54" spans="1:26" s="17" customFormat="1" ht="15.6" customHeight="1" x14ac:dyDescent="0.25">
      <c r="A54" s="235" t="s">
        <v>55</v>
      </c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7"/>
      <c r="R54" s="226" t="s">
        <v>43</v>
      </c>
      <c r="S54" s="227"/>
      <c r="T54" s="228"/>
      <c r="U54" s="252" t="s">
        <v>54</v>
      </c>
      <c r="V54" s="253"/>
      <c r="W54" s="253"/>
      <c r="X54" s="254"/>
      <c r="Y54" s="254"/>
      <c r="Z54" s="255"/>
    </row>
    <row r="55" spans="1:26" s="17" customFormat="1" ht="15.6" customHeight="1" x14ac:dyDescent="0.25">
      <c r="A55" s="238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40"/>
      <c r="R55" s="226"/>
      <c r="S55" s="227"/>
      <c r="T55" s="228"/>
      <c r="U55" s="256"/>
      <c r="V55" s="165"/>
      <c r="W55" s="165"/>
      <c r="X55" s="257"/>
      <c r="Y55" s="257"/>
      <c r="Z55" s="258"/>
    </row>
    <row r="56" spans="1:26" s="17" customFormat="1" ht="15.6" customHeight="1" x14ac:dyDescent="0.25">
      <c r="A56" s="55" t="s">
        <v>45</v>
      </c>
      <c r="B56" s="56" t="s">
        <v>46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226"/>
      <c r="S56" s="227"/>
      <c r="T56" s="228"/>
      <c r="U56" s="259"/>
      <c r="V56" s="260"/>
      <c r="W56" s="260"/>
      <c r="X56" s="261"/>
      <c r="Y56" s="261"/>
      <c r="Z56" s="262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 t="s">
        <v>47</v>
      </c>
      <c r="S57" s="227"/>
      <c r="T57" s="228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  <c r="R58" s="226"/>
      <c r="S58" s="227"/>
      <c r="T58" s="228"/>
      <c r="U58" s="61"/>
      <c r="V58" s="165"/>
      <c r="W58" s="165"/>
      <c r="X58" s="165"/>
      <c r="Y58" s="165"/>
      <c r="Z58" s="62"/>
    </row>
    <row r="59" spans="1:26" s="17" customFormat="1" ht="15.6" customHeight="1" x14ac:dyDescent="0.25">
      <c r="A59" s="220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2"/>
      <c r="R59" s="226"/>
      <c r="S59" s="227"/>
      <c r="T59" s="228"/>
      <c r="U59" s="61"/>
      <c r="V59" s="165"/>
      <c r="W59" s="165"/>
      <c r="X59" s="165"/>
      <c r="Y59" s="165"/>
      <c r="Z59" s="62"/>
    </row>
    <row r="60" spans="1:26" s="17" customFormat="1" ht="15.6" customHeight="1" x14ac:dyDescent="0.25">
      <c r="A60" s="223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5"/>
      <c r="R60" s="229"/>
      <c r="S60" s="230"/>
      <c r="T60" s="231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04">
    <mergeCell ref="U53:Z53"/>
    <mergeCell ref="M47:P49"/>
    <mergeCell ref="K47:L49"/>
    <mergeCell ref="H46:J46"/>
    <mergeCell ref="K46:P46"/>
    <mergeCell ref="U54:Z56"/>
    <mergeCell ref="H49:J49"/>
    <mergeCell ref="H47:J47"/>
    <mergeCell ref="H48:J48"/>
    <mergeCell ref="V58:Y59"/>
    <mergeCell ref="I18:J18"/>
    <mergeCell ref="H25:J25"/>
    <mergeCell ref="H24:J24"/>
    <mergeCell ref="H23:J23"/>
    <mergeCell ref="B18:H18"/>
    <mergeCell ref="B23:B24"/>
    <mergeCell ref="C23:G24"/>
    <mergeCell ref="J21:P21"/>
    <mergeCell ref="H28:J28"/>
    <mergeCell ref="K28:P28"/>
    <mergeCell ref="H29:J29"/>
    <mergeCell ref="K29:P29"/>
    <mergeCell ref="H30:J30"/>
    <mergeCell ref="K30:P30"/>
    <mergeCell ref="H31:J31"/>
    <mergeCell ref="K31:P31"/>
    <mergeCell ref="H32:J32"/>
    <mergeCell ref="K32:P32"/>
    <mergeCell ref="H27:J27"/>
    <mergeCell ref="H33:J33"/>
    <mergeCell ref="K33:P33"/>
    <mergeCell ref="H34:J34"/>
    <mergeCell ref="K34:P34"/>
    <mergeCell ref="H35:J35"/>
    <mergeCell ref="K35:P35"/>
    <mergeCell ref="H36:J36"/>
    <mergeCell ref="K36:P36"/>
    <mergeCell ref="C34:G40"/>
    <mergeCell ref="H37:J37"/>
    <mergeCell ref="K37:P37"/>
    <mergeCell ref="H40:J40"/>
    <mergeCell ref="K40:P40"/>
    <mergeCell ref="H38:J38"/>
    <mergeCell ref="K38:P38"/>
    <mergeCell ref="H39:J39"/>
    <mergeCell ref="K39:P39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G7:Z7"/>
    <mergeCell ref="H10:M10"/>
    <mergeCell ref="H26:J26"/>
    <mergeCell ref="K26:P26"/>
    <mergeCell ref="C25:G33"/>
    <mergeCell ref="B17:H17"/>
    <mergeCell ref="B12:G12"/>
    <mergeCell ref="B11:G11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K27:P27"/>
    <mergeCell ref="N12:R12"/>
    <mergeCell ref="H12:M12"/>
    <mergeCell ref="H11:M11"/>
    <mergeCell ref="N11:R11"/>
    <mergeCell ref="P6:T6"/>
    <mergeCell ref="A1:F6"/>
    <mergeCell ref="G1:T1"/>
    <mergeCell ref="B10:G10"/>
    <mergeCell ref="H44:J44"/>
    <mergeCell ref="K44:P44"/>
    <mergeCell ref="H45:J45"/>
    <mergeCell ref="K45:P45"/>
    <mergeCell ref="C41:G41"/>
    <mergeCell ref="C42:G42"/>
    <mergeCell ref="C43:G43"/>
    <mergeCell ref="C44:G44"/>
    <mergeCell ref="C45:G45"/>
    <mergeCell ref="H41:J41"/>
    <mergeCell ref="K41:P41"/>
    <mergeCell ref="H42:J42"/>
    <mergeCell ref="K42:P42"/>
    <mergeCell ref="H43:J43"/>
    <mergeCell ref="K43:P43"/>
    <mergeCell ref="S10:Y10"/>
    <mergeCell ref="N10:R10"/>
    <mergeCell ref="G2:T4"/>
    <mergeCell ref="G5:H5"/>
    <mergeCell ref="A7:F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7EBF-A95B-4B76-A910-E13D434FA249}">
  <sheetPr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6</v>
      </c>
      <c r="J5" s="187"/>
      <c r="K5" s="188"/>
      <c r="L5" s="190" t="s">
        <v>49</v>
      </c>
      <c r="M5" s="191"/>
      <c r="N5" s="191"/>
      <c r="O5" s="192"/>
      <c r="P5" s="193" t="s">
        <v>79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72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79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65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78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52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35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40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>
        <v>41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46"/>
      <c r="D27" s="147"/>
      <c r="E27" s="147"/>
      <c r="F27" s="147"/>
      <c r="G27" s="148"/>
      <c r="H27" s="149">
        <v>45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146"/>
      <c r="D28" s="147"/>
      <c r="E28" s="147"/>
      <c r="F28" s="147"/>
      <c r="G28" s="148"/>
      <c r="H28" s="149">
        <v>40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46"/>
      <c r="D29" s="147"/>
      <c r="E29" s="147"/>
      <c r="F29" s="147"/>
      <c r="G29" s="148"/>
      <c r="H29" s="149">
        <v>39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146"/>
      <c r="D30" s="147"/>
      <c r="E30" s="147"/>
      <c r="F30" s="147"/>
      <c r="G30" s="148"/>
      <c r="H30" s="149">
        <v>36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46"/>
      <c r="D31" s="147"/>
      <c r="E31" s="147"/>
      <c r="F31" s="147"/>
      <c r="G31" s="148"/>
      <c r="H31" s="149">
        <v>44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72"/>
      <c r="C32" s="146"/>
      <c r="D32" s="147"/>
      <c r="E32" s="147"/>
      <c r="F32" s="147"/>
      <c r="G32" s="148"/>
      <c r="H32" s="149"/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72"/>
      <c r="C33" s="146"/>
      <c r="D33" s="147"/>
      <c r="E33" s="147"/>
      <c r="F33" s="147"/>
      <c r="G33" s="148"/>
      <c r="H33" s="149"/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72"/>
      <c r="C34" s="146"/>
      <c r="D34" s="147"/>
      <c r="E34" s="147"/>
      <c r="F34" s="147"/>
      <c r="G34" s="148"/>
      <c r="H34" s="149"/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72"/>
      <c r="C35" s="146"/>
      <c r="D35" s="147"/>
      <c r="E35" s="147"/>
      <c r="F35" s="147"/>
      <c r="G35" s="148"/>
      <c r="H35" s="149"/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72"/>
      <c r="C36" s="146"/>
      <c r="D36" s="147"/>
      <c r="E36" s="147"/>
      <c r="F36" s="147"/>
      <c r="G36" s="148"/>
      <c r="H36" s="149"/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72"/>
      <c r="C37" s="146"/>
      <c r="D37" s="147"/>
      <c r="E37" s="147"/>
      <c r="F37" s="147"/>
      <c r="G37" s="148"/>
      <c r="H37" s="149"/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72"/>
      <c r="C38" s="146"/>
      <c r="D38" s="147"/>
      <c r="E38" s="147"/>
      <c r="F38" s="147"/>
      <c r="G38" s="148"/>
      <c r="H38" s="149"/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72"/>
      <c r="C39" s="146"/>
      <c r="D39" s="147"/>
      <c r="E39" s="147"/>
      <c r="F39" s="147"/>
      <c r="G39" s="148"/>
      <c r="H39" s="149"/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72"/>
      <c r="C40" s="146"/>
      <c r="D40" s="147"/>
      <c r="E40" s="147"/>
      <c r="F40" s="147"/>
      <c r="G40" s="148"/>
      <c r="H40" s="149"/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72"/>
      <c r="C41" s="146"/>
      <c r="D41" s="147"/>
      <c r="E41" s="147"/>
      <c r="F41" s="147"/>
      <c r="G41" s="148"/>
      <c r="H41" s="149"/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72"/>
      <c r="C42" s="146"/>
      <c r="D42" s="147"/>
      <c r="E42" s="147"/>
      <c r="F42" s="147"/>
      <c r="G42" s="148"/>
      <c r="H42" s="149"/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72"/>
      <c r="C43" s="146"/>
      <c r="D43" s="147"/>
      <c r="E43" s="147"/>
      <c r="F43" s="147"/>
      <c r="G43" s="148"/>
      <c r="H43" s="149"/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72"/>
      <c r="C44" s="146"/>
      <c r="D44" s="147"/>
      <c r="E44" s="147"/>
      <c r="F44" s="147"/>
      <c r="G44" s="148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thickBot="1" x14ac:dyDescent="0.3">
      <c r="A45" s="9"/>
      <c r="B45" s="46"/>
      <c r="C45" s="185"/>
      <c r="D45" s="185"/>
      <c r="E45" s="185"/>
      <c r="F45" s="185"/>
      <c r="G45" s="186"/>
      <c r="H45" s="181"/>
      <c r="I45" s="182"/>
      <c r="J45" s="183"/>
      <c r="K45" s="184"/>
      <c r="L45" s="185"/>
      <c r="M45" s="185"/>
      <c r="N45" s="185"/>
      <c r="O45" s="185"/>
      <c r="P45" s="186"/>
      <c r="Z45" s="11"/>
    </row>
    <row r="46" spans="1:26" ht="15.75" customHeight="1" x14ac:dyDescent="0.25">
      <c r="A46" s="9"/>
      <c r="B46" s="247" t="s">
        <v>35</v>
      </c>
      <c r="C46" s="248"/>
      <c r="D46" s="248"/>
      <c r="E46" s="248"/>
      <c r="F46" s="248"/>
      <c r="G46" s="249"/>
      <c r="H46" s="266">
        <f>AVERAGE(H25:J45)</f>
        <v>40.714285714285715</v>
      </c>
      <c r="I46" s="267"/>
      <c r="J46" s="268"/>
      <c r="K46" s="169" t="s">
        <v>75</v>
      </c>
      <c r="L46" s="170"/>
      <c r="M46" s="163" t="s">
        <v>36</v>
      </c>
      <c r="N46" s="163"/>
      <c r="O46" s="163"/>
      <c r="P46" s="164"/>
      <c r="Z46" s="11"/>
    </row>
    <row r="47" spans="1:26" ht="15.75" customHeight="1" x14ac:dyDescent="0.25">
      <c r="A47" s="9"/>
      <c r="B47" s="241" t="s">
        <v>37</v>
      </c>
      <c r="C47" s="242"/>
      <c r="D47" s="242"/>
      <c r="E47" s="242"/>
      <c r="F47" s="242"/>
      <c r="G47" s="243"/>
      <c r="H47" s="269">
        <f>IF(COUNTIF(H25:J45,"*&lt;20*"),"&lt;20",MIN(H25:J45))</f>
        <v>36</v>
      </c>
      <c r="I47" s="270"/>
      <c r="J47" s="271"/>
      <c r="K47" s="171"/>
      <c r="L47" s="172"/>
      <c r="M47" s="165"/>
      <c r="N47" s="165"/>
      <c r="O47" s="165"/>
      <c r="P47" s="166"/>
      <c r="Z47" s="11"/>
    </row>
    <row r="48" spans="1:26" ht="15.75" customHeight="1" thickBot="1" x14ac:dyDescent="0.3">
      <c r="A48" s="9"/>
      <c r="B48" s="244" t="s">
        <v>38</v>
      </c>
      <c r="C48" s="245"/>
      <c r="D48" s="245"/>
      <c r="E48" s="245"/>
      <c r="F48" s="245"/>
      <c r="G48" s="246"/>
      <c r="H48" s="263">
        <f>IF(COUNTIF(H25:J45,"*&gt;250*"),"&gt;250",MAX(H25:J45))</f>
        <v>45</v>
      </c>
      <c r="I48" s="264"/>
      <c r="J48" s="265"/>
      <c r="K48" s="173"/>
      <c r="L48" s="174"/>
      <c r="M48" s="167"/>
      <c r="N48" s="167"/>
      <c r="O48" s="167"/>
      <c r="P48" s="168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39</v>
      </c>
      <c r="B51" s="5" t="s">
        <v>40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232" t="s">
        <v>41</v>
      </c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4"/>
      <c r="R52" s="226" t="s">
        <v>42</v>
      </c>
      <c r="S52" s="227"/>
      <c r="T52" s="228"/>
      <c r="U52" s="217" t="s">
        <v>56</v>
      </c>
      <c r="V52" s="218"/>
      <c r="W52" s="218"/>
      <c r="X52" s="250"/>
      <c r="Y52" s="250"/>
      <c r="Z52" s="251"/>
    </row>
    <row r="53" spans="1:26" s="17" customFormat="1" ht="15.6" customHeight="1" x14ac:dyDescent="0.25">
      <c r="A53" s="235" t="s">
        <v>55</v>
      </c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7"/>
      <c r="R53" s="226" t="s">
        <v>43</v>
      </c>
      <c r="S53" s="227"/>
      <c r="T53" s="228"/>
      <c r="U53" s="252" t="s">
        <v>54</v>
      </c>
      <c r="V53" s="253"/>
      <c r="W53" s="253"/>
      <c r="X53" s="254"/>
      <c r="Y53" s="254"/>
      <c r="Z53" s="255"/>
    </row>
    <row r="54" spans="1:26" s="17" customFormat="1" ht="15.6" customHeight="1" x14ac:dyDescent="0.25">
      <c r="A54" s="238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40"/>
      <c r="R54" s="226"/>
      <c r="S54" s="227"/>
      <c r="T54" s="228"/>
      <c r="U54" s="256"/>
      <c r="V54" s="165"/>
      <c r="W54" s="165"/>
      <c r="X54" s="257"/>
      <c r="Y54" s="257"/>
      <c r="Z54" s="258"/>
    </row>
    <row r="55" spans="1:26" s="17" customFormat="1" ht="15.6" customHeight="1" x14ac:dyDescent="0.25">
      <c r="A55" s="55" t="s">
        <v>45</v>
      </c>
      <c r="B55" s="56" t="s">
        <v>46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226"/>
      <c r="S55" s="227"/>
      <c r="T55" s="228"/>
      <c r="U55" s="259"/>
      <c r="V55" s="260"/>
      <c r="W55" s="260"/>
      <c r="X55" s="261"/>
      <c r="Y55" s="261"/>
      <c r="Z55" s="262"/>
    </row>
    <row r="56" spans="1:26" s="17" customFormat="1" ht="15.6" customHeight="1" x14ac:dyDescent="0.25">
      <c r="A56" s="220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2"/>
      <c r="R56" s="226" t="s">
        <v>47</v>
      </c>
      <c r="S56" s="227"/>
      <c r="T56" s="228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/>
      <c r="S57" s="227"/>
      <c r="T57" s="228"/>
      <c r="U57" s="61"/>
      <c r="V57" s="165"/>
      <c r="W57" s="165"/>
      <c r="X57" s="165"/>
      <c r="Y57" s="165"/>
      <c r="Z57" s="62"/>
    </row>
    <row r="58" spans="1:26" s="17" customFormat="1" ht="15.6" customHeight="1" x14ac:dyDescent="0.2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  <c r="R58" s="226"/>
      <c r="S58" s="227"/>
      <c r="T58" s="228"/>
      <c r="U58" s="61"/>
      <c r="V58" s="165"/>
      <c r="W58" s="165"/>
      <c r="X58" s="165"/>
      <c r="Y58" s="165"/>
      <c r="Z58" s="62"/>
    </row>
    <row r="59" spans="1:26" s="17" customFormat="1" ht="15.6" customHeight="1" x14ac:dyDescent="0.25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5"/>
      <c r="R59" s="229"/>
      <c r="S59" s="230"/>
      <c r="T59" s="231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B17:H17"/>
    <mergeCell ref="B12:G12"/>
    <mergeCell ref="B11:G11"/>
    <mergeCell ref="U1:Z6"/>
    <mergeCell ref="K25:P25"/>
    <mergeCell ref="A1:F6"/>
    <mergeCell ref="G1:T1"/>
    <mergeCell ref="C27:G27"/>
    <mergeCell ref="H27:J27"/>
    <mergeCell ref="K27:P27"/>
    <mergeCell ref="N12:R12"/>
    <mergeCell ref="H12:M12"/>
    <mergeCell ref="H11:M11"/>
    <mergeCell ref="N11:R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C31:G31"/>
    <mergeCell ref="H31:J31"/>
    <mergeCell ref="K31:P31"/>
    <mergeCell ref="C32:G32"/>
    <mergeCell ref="H32:J32"/>
    <mergeCell ref="K32:P32"/>
    <mergeCell ref="M46:P48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FAB1-9E34-49DB-AECB-BAC5D605B019}">
  <sheetPr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5</v>
      </c>
      <c r="J5" s="187"/>
      <c r="K5" s="188"/>
      <c r="L5" s="190" t="s">
        <v>49</v>
      </c>
      <c r="M5" s="191"/>
      <c r="N5" s="191"/>
      <c r="O5" s="192"/>
      <c r="P5" s="193" t="s">
        <v>77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72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77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65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76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52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35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36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>
        <v>50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46"/>
      <c r="D27" s="147"/>
      <c r="E27" s="147"/>
      <c r="F27" s="147"/>
      <c r="G27" s="148"/>
      <c r="H27" s="149">
        <v>53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146"/>
      <c r="D28" s="147"/>
      <c r="E28" s="147"/>
      <c r="F28" s="147"/>
      <c r="G28" s="148"/>
      <c r="H28" s="149">
        <v>74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46"/>
      <c r="D29" s="147"/>
      <c r="E29" s="147"/>
      <c r="F29" s="147"/>
      <c r="G29" s="148"/>
      <c r="H29" s="149">
        <v>42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146"/>
      <c r="D30" s="147"/>
      <c r="E30" s="147"/>
      <c r="F30" s="147"/>
      <c r="G30" s="148"/>
      <c r="H30" s="149">
        <v>60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46"/>
      <c r="D31" s="147"/>
      <c r="E31" s="147"/>
      <c r="F31" s="147"/>
      <c r="G31" s="148"/>
      <c r="H31" s="149">
        <v>57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45">
        <v>8</v>
      </c>
      <c r="C32" s="146"/>
      <c r="D32" s="147"/>
      <c r="E32" s="147"/>
      <c r="F32" s="147"/>
      <c r="G32" s="148"/>
      <c r="H32" s="149"/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45">
        <v>9</v>
      </c>
      <c r="C33" s="146"/>
      <c r="D33" s="147"/>
      <c r="E33" s="147"/>
      <c r="F33" s="147"/>
      <c r="G33" s="148"/>
      <c r="H33" s="149"/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45">
        <v>10</v>
      </c>
      <c r="C34" s="146"/>
      <c r="D34" s="147"/>
      <c r="E34" s="147"/>
      <c r="F34" s="147"/>
      <c r="G34" s="148"/>
      <c r="H34" s="149"/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45">
        <v>11</v>
      </c>
      <c r="C35" s="146"/>
      <c r="D35" s="147"/>
      <c r="E35" s="147"/>
      <c r="F35" s="147"/>
      <c r="G35" s="148"/>
      <c r="H35" s="149"/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45">
        <v>12</v>
      </c>
      <c r="C36" s="146"/>
      <c r="D36" s="147"/>
      <c r="E36" s="147"/>
      <c r="F36" s="147"/>
      <c r="G36" s="148"/>
      <c r="H36" s="149"/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72"/>
      <c r="C37" s="146"/>
      <c r="D37" s="147"/>
      <c r="E37" s="147"/>
      <c r="F37" s="147"/>
      <c r="G37" s="148"/>
      <c r="H37" s="149"/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72"/>
      <c r="C38" s="146"/>
      <c r="D38" s="147"/>
      <c r="E38" s="147"/>
      <c r="F38" s="147"/>
      <c r="G38" s="148"/>
      <c r="H38" s="149"/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72"/>
      <c r="C39" s="146"/>
      <c r="D39" s="147"/>
      <c r="E39" s="147"/>
      <c r="F39" s="147"/>
      <c r="G39" s="148"/>
      <c r="H39" s="149"/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72"/>
      <c r="C40" s="146"/>
      <c r="D40" s="147"/>
      <c r="E40" s="147"/>
      <c r="F40" s="147"/>
      <c r="G40" s="148"/>
      <c r="H40" s="149"/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72"/>
      <c r="C41" s="146"/>
      <c r="D41" s="147"/>
      <c r="E41" s="147"/>
      <c r="F41" s="147"/>
      <c r="G41" s="148"/>
      <c r="H41" s="149"/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72"/>
      <c r="C42" s="146"/>
      <c r="D42" s="147"/>
      <c r="E42" s="147"/>
      <c r="F42" s="147"/>
      <c r="G42" s="148"/>
      <c r="H42" s="149"/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72"/>
      <c r="C43" s="146"/>
      <c r="D43" s="147"/>
      <c r="E43" s="147"/>
      <c r="F43" s="147"/>
      <c r="G43" s="148"/>
      <c r="H43" s="149"/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72"/>
      <c r="C44" s="146"/>
      <c r="D44" s="147"/>
      <c r="E44" s="147"/>
      <c r="F44" s="147"/>
      <c r="G44" s="148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thickBot="1" x14ac:dyDescent="0.3">
      <c r="A45" s="9"/>
      <c r="B45" s="46"/>
      <c r="C45" s="185"/>
      <c r="D45" s="185"/>
      <c r="E45" s="185"/>
      <c r="F45" s="185"/>
      <c r="G45" s="186"/>
      <c r="H45" s="181"/>
      <c r="I45" s="182"/>
      <c r="J45" s="183"/>
      <c r="K45" s="184"/>
      <c r="L45" s="185"/>
      <c r="M45" s="185"/>
      <c r="N45" s="185"/>
      <c r="O45" s="185"/>
      <c r="P45" s="186"/>
      <c r="Z45" s="11"/>
    </row>
    <row r="46" spans="1:26" ht="15.75" customHeight="1" x14ac:dyDescent="0.25">
      <c r="A46" s="9"/>
      <c r="B46" s="247" t="s">
        <v>35</v>
      </c>
      <c r="C46" s="248"/>
      <c r="D46" s="248"/>
      <c r="E46" s="248"/>
      <c r="F46" s="248"/>
      <c r="G46" s="249"/>
      <c r="H46" s="266">
        <f>AVERAGE(H25:J45)</f>
        <v>53.142857142857146</v>
      </c>
      <c r="I46" s="267"/>
      <c r="J46" s="268"/>
      <c r="K46" s="169" t="s">
        <v>75</v>
      </c>
      <c r="L46" s="170"/>
      <c r="M46" s="163" t="s">
        <v>36</v>
      </c>
      <c r="N46" s="163"/>
      <c r="O46" s="163"/>
      <c r="P46" s="164"/>
      <c r="Z46" s="11"/>
    </row>
    <row r="47" spans="1:26" ht="15.75" customHeight="1" x14ac:dyDescent="0.25">
      <c r="A47" s="9"/>
      <c r="B47" s="241" t="s">
        <v>37</v>
      </c>
      <c r="C47" s="242"/>
      <c r="D47" s="242"/>
      <c r="E47" s="242"/>
      <c r="F47" s="242"/>
      <c r="G47" s="243"/>
      <c r="H47" s="269">
        <f>IF(COUNTIF(H25:J45,"*&lt;20*"),"&lt;20",MIN(H25:J45))</f>
        <v>36</v>
      </c>
      <c r="I47" s="270"/>
      <c r="J47" s="271"/>
      <c r="K47" s="171"/>
      <c r="L47" s="172"/>
      <c r="M47" s="165"/>
      <c r="N47" s="165"/>
      <c r="O47" s="165"/>
      <c r="P47" s="166"/>
      <c r="Z47" s="11"/>
    </row>
    <row r="48" spans="1:26" ht="15.75" customHeight="1" thickBot="1" x14ac:dyDescent="0.3">
      <c r="A48" s="9"/>
      <c r="B48" s="244" t="s">
        <v>38</v>
      </c>
      <c r="C48" s="245"/>
      <c r="D48" s="245"/>
      <c r="E48" s="245"/>
      <c r="F48" s="245"/>
      <c r="G48" s="246"/>
      <c r="H48" s="263">
        <f>IF(COUNTIF(H25:J45,"*&gt;250*"),"&gt;250",MAX(H25:J45))</f>
        <v>74</v>
      </c>
      <c r="I48" s="264"/>
      <c r="J48" s="265"/>
      <c r="K48" s="173"/>
      <c r="L48" s="174"/>
      <c r="M48" s="167"/>
      <c r="N48" s="167"/>
      <c r="O48" s="167"/>
      <c r="P48" s="168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39</v>
      </c>
      <c r="B51" s="5" t="s">
        <v>40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232" t="s">
        <v>41</v>
      </c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4"/>
      <c r="R52" s="226" t="s">
        <v>42</v>
      </c>
      <c r="S52" s="227"/>
      <c r="T52" s="228"/>
      <c r="U52" s="217" t="s">
        <v>56</v>
      </c>
      <c r="V52" s="218"/>
      <c r="W52" s="218"/>
      <c r="X52" s="250"/>
      <c r="Y52" s="250"/>
      <c r="Z52" s="251"/>
    </row>
    <row r="53" spans="1:26" s="17" customFormat="1" ht="15.6" customHeight="1" x14ac:dyDescent="0.25">
      <c r="A53" s="235" t="s">
        <v>55</v>
      </c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7"/>
      <c r="R53" s="226" t="s">
        <v>43</v>
      </c>
      <c r="S53" s="227"/>
      <c r="T53" s="228"/>
      <c r="U53" s="252" t="s">
        <v>54</v>
      </c>
      <c r="V53" s="253"/>
      <c r="W53" s="253"/>
      <c r="X53" s="254"/>
      <c r="Y53" s="254"/>
      <c r="Z53" s="255"/>
    </row>
    <row r="54" spans="1:26" s="17" customFormat="1" ht="15.6" customHeight="1" x14ac:dyDescent="0.25">
      <c r="A54" s="238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40"/>
      <c r="R54" s="226"/>
      <c r="S54" s="227"/>
      <c r="T54" s="228"/>
      <c r="U54" s="256"/>
      <c r="V54" s="165"/>
      <c r="W54" s="165"/>
      <c r="X54" s="257"/>
      <c r="Y54" s="257"/>
      <c r="Z54" s="258"/>
    </row>
    <row r="55" spans="1:26" s="17" customFormat="1" ht="15.6" customHeight="1" x14ac:dyDescent="0.25">
      <c r="A55" s="55" t="s">
        <v>45</v>
      </c>
      <c r="B55" s="56" t="s">
        <v>46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226"/>
      <c r="S55" s="227"/>
      <c r="T55" s="228"/>
      <c r="U55" s="259"/>
      <c r="V55" s="260"/>
      <c r="W55" s="260"/>
      <c r="X55" s="261"/>
      <c r="Y55" s="261"/>
      <c r="Z55" s="262"/>
    </row>
    <row r="56" spans="1:26" s="17" customFormat="1" ht="15.6" customHeight="1" x14ac:dyDescent="0.25">
      <c r="A56" s="220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2"/>
      <c r="R56" s="226" t="s">
        <v>47</v>
      </c>
      <c r="S56" s="227"/>
      <c r="T56" s="228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/>
      <c r="S57" s="227"/>
      <c r="T57" s="228"/>
      <c r="U57" s="61"/>
      <c r="V57" s="165"/>
      <c r="W57" s="165"/>
      <c r="X57" s="165"/>
      <c r="Y57" s="165"/>
      <c r="Z57" s="62"/>
    </row>
    <row r="58" spans="1:26" s="17" customFormat="1" ht="15.6" customHeight="1" x14ac:dyDescent="0.2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  <c r="R58" s="226"/>
      <c r="S58" s="227"/>
      <c r="T58" s="228"/>
      <c r="U58" s="61"/>
      <c r="V58" s="165"/>
      <c r="W58" s="165"/>
      <c r="X58" s="165"/>
      <c r="Y58" s="165"/>
      <c r="Z58" s="62"/>
    </row>
    <row r="59" spans="1:26" s="17" customFormat="1" ht="15.6" customHeight="1" x14ac:dyDescent="0.25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5"/>
      <c r="R59" s="229"/>
      <c r="S59" s="230"/>
      <c r="T59" s="231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33:J33"/>
    <mergeCell ref="K33:P33"/>
    <mergeCell ref="C36:G36"/>
    <mergeCell ref="H36:J36"/>
    <mergeCell ref="K36:P36"/>
    <mergeCell ref="C34:G34"/>
    <mergeCell ref="H34:J34"/>
    <mergeCell ref="K34:P34"/>
    <mergeCell ref="C35:G35"/>
    <mergeCell ref="H35:J35"/>
    <mergeCell ref="K35:P35"/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N12:R12"/>
    <mergeCell ref="H12:M12"/>
    <mergeCell ref="H11:M11"/>
    <mergeCell ref="N11:R11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C31:G31"/>
    <mergeCell ref="H31:J31"/>
    <mergeCell ref="K31:P31"/>
    <mergeCell ref="C32:G32"/>
    <mergeCell ref="H32:J32"/>
    <mergeCell ref="K32:P32"/>
    <mergeCell ref="C33:G33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B17:H17"/>
    <mergeCell ref="B12:G12"/>
    <mergeCell ref="B11:G11"/>
    <mergeCell ref="C37:G37"/>
    <mergeCell ref="H37:J37"/>
    <mergeCell ref="K37:P37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A1:F6"/>
    <mergeCell ref="G1:T1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36C1-377A-4557-847A-666144F39520}">
  <sheetPr>
    <pageSetUpPr fitToPage="1"/>
  </sheetPr>
  <dimension ref="A1:AA68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4</v>
      </c>
      <c r="J5" s="187"/>
      <c r="K5" s="188"/>
      <c r="L5" s="190" t="s">
        <v>49</v>
      </c>
      <c r="M5" s="191"/>
      <c r="N5" s="191"/>
      <c r="O5" s="192"/>
      <c r="P5" s="193" t="s">
        <v>71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72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71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65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74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52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35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57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>
        <v>46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46"/>
      <c r="D27" s="147"/>
      <c r="E27" s="147"/>
      <c r="F27" s="147"/>
      <c r="G27" s="148"/>
      <c r="H27" s="149">
        <v>40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146"/>
      <c r="D28" s="147"/>
      <c r="E28" s="147"/>
      <c r="F28" s="147"/>
      <c r="G28" s="148"/>
      <c r="H28" s="149">
        <v>27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46"/>
      <c r="D29" s="147"/>
      <c r="E29" s="147"/>
      <c r="F29" s="147"/>
      <c r="G29" s="148"/>
      <c r="H29" s="149">
        <v>25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146"/>
      <c r="D30" s="147"/>
      <c r="E30" s="147"/>
      <c r="F30" s="147"/>
      <c r="G30" s="148"/>
      <c r="H30" s="149" t="s">
        <v>34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46"/>
      <c r="D31" s="147"/>
      <c r="E31" s="147"/>
      <c r="F31" s="147"/>
      <c r="G31" s="148"/>
      <c r="H31" s="149" t="s">
        <v>34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45">
        <v>8</v>
      </c>
      <c r="C32" s="146"/>
      <c r="D32" s="147"/>
      <c r="E32" s="147"/>
      <c r="F32" s="147"/>
      <c r="G32" s="148"/>
      <c r="H32" s="149" t="s">
        <v>34</v>
      </c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45">
        <v>9</v>
      </c>
      <c r="C33" s="146"/>
      <c r="D33" s="147"/>
      <c r="E33" s="147"/>
      <c r="F33" s="147"/>
      <c r="G33" s="148"/>
      <c r="H33" s="149">
        <v>25</v>
      </c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45">
        <v>10</v>
      </c>
      <c r="C34" s="146"/>
      <c r="D34" s="147"/>
      <c r="E34" s="147"/>
      <c r="F34" s="147"/>
      <c r="G34" s="148"/>
      <c r="H34" s="149" t="s">
        <v>34</v>
      </c>
      <c r="I34" s="150"/>
      <c r="J34" s="151"/>
      <c r="K34" s="146" t="s">
        <v>73</v>
      </c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45">
        <v>11</v>
      </c>
      <c r="C35" s="146"/>
      <c r="D35" s="147"/>
      <c r="E35" s="147"/>
      <c r="F35" s="147"/>
      <c r="G35" s="148"/>
      <c r="H35" s="149" t="s">
        <v>34</v>
      </c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45">
        <v>12</v>
      </c>
      <c r="C36" s="146"/>
      <c r="D36" s="147"/>
      <c r="E36" s="147"/>
      <c r="F36" s="147"/>
      <c r="G36" s="148"/>
      <c r="H36" s="149">
        <v>28</v>
      </c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45">
        <v>13</v>
      </c>
      <c r="C37" s="146"/>
      <c r="D37" s="147"/>
      <c r="E37" s="147"/>
      <c r="F37" s="147"/>
      <c r="G37" s="148"/>
      <c r="H37" s="149">
        <v>24</v>
      </c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45">
        <v>14</v>
      </c>
      <c r="C38" s="146"/>
      <c r="D38" s="147"/>
      <c r="E38" s="147"/>
      <c r="F38" s="147"/>
      <c r="G38" s="148"/>
      <c r="H38" s="149" t="s">
        <v>34</v>
      </c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45">
        <v>15</v>
      </c>
      <c r="C39" s="146"/>
      <c r="D39" s="147"/>
      <c r="E39" s="147"/>
      <c r="F39" s="147"/>
      <c r="G39" s="148"/>
      <c r="H39" s="149">
        <v>26</v>
      </c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45">
        <v>16</v>
      </c>
      <c r="C40" s="146"/>
      <c r="D40" s="147"/>
      <c r="E40" s="147"/>
      <c r="F40" s="147"/>
      <c r="G40" s="148"/>
      <c r="H40" s="149">
        <v>20</v>
      </c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45">
        <v>17</v>
      </c>
      <c r="C41" s="146"/>
      <c r="D41" s="147"/>
      <c r="E41" s="147"/>
      <c r="F41" s="147"/>
      <c r="G41" s="148"/>
      <c r="H41" s="149">
        <v>38</v>
      </c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45">
        <v>18</v>
      </c>
      <c r="C42" s="146"/>
      <c r="D42" s="147"/>
      <c r="E42" s="147"/>
      <c r="F42" s="147"/>
      <c r="G42" s="148"/>
      <c r="H42" s="149" t="s">
        <v>34</v>
      </c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45">
        <v>19</v>
      </c>
      <c r="C43" s="146"/>
      <c r="D43" s="147"/>
      <c r="E43" s="147"/>
      <c r="F43" s="147"/>
      <c r="G43" s="148"/>
      <c r="H43" s="149">
        <v>35</v>
      </c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72"/>
      <c r="C44" s="146"/>
      <c r="D44" s="147"/>
      <c r="E44" s="147"/>
      <c r="F44" s="147"/>
      <c r="G44" s="148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x14ac:dyDescent="0.25">
      <c r="A45" s="9"/>
      <c r="B45" s="72"/>
      <c r="C45" s="146"/>
      <c r="D45" s="147"/>
      <c r="E45" s="147"/>
      <c r="F45" s="147"/>
      <c r="G45" s="148"/>
      <c r="H45" s="149"/>
      <c r="I45" s="150"/>
      <c r="J45" s="151"/>
      <c r="K45" s="146"/>
      <c r="L45" s="147"/>
      <c r="M45" s="147"/>
      <c r="N45" s="147"/>
      <c r="O45" s="147"/>
      <c r="P45" s="148"/>
      <c r="Z45" s="11"/>
    </row>
    <row r="46" spans="1:26" ht="19.5" customHeight="1" thickBot="1" x14ac:dyDescent="0.3">
      <c r="A46" s="9"/>
      <c r="B46" s="46"/>
      <c r="C46" s="185"/>
      <c r="D46" s="185"/>
      <c r="E46" s="185"/>
      <c r="F46" s="185"/>
      <c r="G46" s="186"/>
      <c r="H46" s="181"/>
      <c r="I46" s="182"/>
      <c r="J46" s="183"/>
      <c r="K46" s="184"/>
      <c r="L46" s="185"/>
      <c r="M46" s="185"/>
      <c r="N46" s="185"/>
      <c r="O46" s="185"/>
      <c r="P46" s="186"/>
      <c r="Z46" s="11"/>
    </row>
    <row r="47" spans="1:26" ht="15.75" customHeight="1" x14ac:dyDescent="0.25">
      <c r="A47" s="9"/>
      <c r="B47" s="247" t="s">
        <v>35</v>
      </c>
      <c r="C47" s="248"/>
      <c r="D47" s="248"/>
      <c r="E47" s="248"/>
      <c r="F47" s="248"/>
      <c r="G47" s="249"/>
      <c r="H47" s="266">
        <f>AVERAGE(H25:J46)</f>
        <v>32.583333333333336</v>
      </c>
      <c r="I47" s="267"/>
      <c r="J47" s="268"/>
      <c r="K47" s="169" t="s">
        <v>70</v>
      </c>
      <c r="L47" s="170"/>
      <c r="M47" s="163" t="s">
        <v>36</v>
      </c>
      <c r="N47" s="163"/>
      <c r="O47" s="163"/>
      <c r="P47" s="164"/>
      <c r="Z47" s="11"/>
    </row>
    <row r="48" spans="1:26" ht="15.75" customHeight="1" x14ac:dyDescent="0.25">
      <c r="A48" s="9"/>
      <c r="B48" s="241" t="s">
        <v>37</v>
      </c>
      <c r="C48" s="242"/>
      <c r="D48" s="242"/>
      <c r="E48" s="242"/>
      <c r="F48" s="242"/>
      <c r="G48" s="243"/>
      <c r="H48" s="269" t="str">
        <f>IF(COUNTIF(H25:J46,"*&lt;20*"),"&lt;20",MIN(H25:J46))</f>
        <v>&lt;20</v>
      </c>
      <c r="I48" s="270"/>
      <c r="J48" s="271"/>
      <c r="K48" s="171"/>
      <c r="L48" s="172"/>
      <c r="M48" s="165"/>
      <c r="N48" s="165"/>
      <c r="O48" s="165"/>
      <c r="P48" s="166"/>
      <c r="Z48" s="11"/>
    </row>
    <row r="49" spans="1:26" ht="15.75" customHeight="1" thickBot="1" x14ac:dyDescent="0.3">
      <c r="A49" s="9"/>
      <c r="B49" s="244" t="s">
        <v>38</v>
      </c>
      <c r="C49" s="245"/>
      <c r="D49" s="245"/>
      <c r="E49" s="245"/>
      <c r="F49" s="245"/>
      <c r="G49" s="246"/>
      <c r="H49" s="263">
        <f>IF(COUNTIF(H25:J46,"*&gt;250*"),"&gt;250",MAX(H25:J46))</f>
        <v>57</v>
      </c>
      <c r="I49" s="264"/>
      <c r="J49" s="265"/>
      <c r="K49" s="173"/>
      <c r="L49" s="174"/>
      <c r="M49" s="167"/>
      <c r="N49" s="167"/>
      <c r="O49" s="167"/>
      <c r="P49" s="168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39</v>
      </c>
      <c r="B52" s="5" t="s">
        <v>40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232" t="s">
        <v>41</v>
      </c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4"/>
      <c r="R53" s="226" t="s">
        <v>42</v>
      </c>
      <c r="S53" s="227"/>
      <c r="T53" s="228"/>
      <c r="U53" s="217" t="s">
        <v>56</v>
      </c>
      <c r="V53" s="218"/>
      <c r="W53" s="218"/>
      <c r="X53" s="250"/>
      <c r="Y53" s="250"/>
      <c r="Z53" s="251"/>
    </row>
    <row r="54" spans="1:26" s="17" customFormat="1" ht="15.6" customHeight="1" x14ac:dyDescent="0.25">
      <c r="A54" s="235" t="s">
        <v>68</v>
      </c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7"/>
      <c r="R54" s="226" t="s">
        <v>43</v>
      </c>
      <c r="S54" s="227"/>
      <c r="T54" s="228"/>
      <c r="U54" s="252" t="s">
        <v>54</v>
      </c>
      <c r="V54" s="253"/>
      <c r="W54" s="253"/>
      <c r="X54" s="254"/>
      <c r="Y54" s="254"/>
      <c r="Z54" s="255"/>
    </row>
    <row r="55" spans="1:26" s="17" customFormat="1" ht="15.6" customHeight="1" x14ac:dyDescent="0.25">
      <c r="A55" s="238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40"/>
      <c r="R55" s="226"/>
      <c r="S55" s="227"/>
      <c r="T55" s="228"/>
      <c r="U55" s="256"/>
      <c r="V55" s="165"/>
      <c r="W55" s="165"/>
      <c r="X55" s="257"/>
      <c r="Y55" s="257"/>
      <c r="Z55" s="258"/>
    </row>
    <row r="56" spans="1:26" s="17" customFormat="1" ht="15.6" customHeight="1" x14ac:dyDescent="0.25">
      <c r="A56" s="55" t="s">
        <v>45</v>
      </c>
      <c r="B56" s="56" t="s">
        <v>46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226"/>
      <c r="S56" s="227"/>
      <c r="T56" s="228"/>
      <c r="U56" s="259"/>
      <c r="V56" s="260"/>
      <c r="W56" s="260"/>
      <c r="X56" s="261"/>
      <c r="Y56" s="261"/>
      <c r="Z56" s="262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 t="s">
        <v>47</v>
      </c>
      <c r="S57" s="227"/>
      <c r="T57" s="228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  <c r="R58" s="226"/>
      <c r="S58" s="227"/>
      <c r="T58" s="228"/>
      <c r="U58" s="61"/>
      <c r="V58" s="165"/>
      <c r="W58" s="165"/>
      <c r="X58" s="165"/>
      <c r="Y58" s="165"/>
      <c r="Z58" s="62"/>
    </row>
    <row r="59" spans="1:26" s="17" customFormat="1" ht="15.6" customHeight="1" x14ac:dyDescent="0.25">
      <c r="A59" s="220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2"/>
      <c r="R59" s="226"/>
      <c r="S59" s="227"/>
      <c r="T59" s="228"/>
      <c r="U59" s="61"/>
      <c r="V59" s="165"/>
      <c r="W59" s="165"/>
      <c r="X59" s="165"/>
      <c r="Y59" s="165"/>
      <c r="Z59" s="62"/>
    </row>
    <row r="60" spans="1:26" s="17" customFormat="1" ht="15.6" customHeight="1" x14ac:dyDescent="0.25">
      <c r="A60" s="223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5"/>
      <c r="R60" s="229"/>
      <c r="S60" s="230"/>
      <c r="T60" s="231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2:G42"/>
    <mergeCell ref="H42:J42"/>
    <mergeCell ref="K42:P42"/>
    <mergeCell ref="C43:G43"/>
    <mergeCell ref="H43:J43"/>
    <mergeCell ref="K43:P43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I5:K5"/>
    <mergeCell ref="I6:K6"/>
    <mergeCell ref="L5:O5"/>
    <mergeCell ref="P5:T5"/>
    <mergeCell ref="L6:O6"/>
    <mergeCell ref="P6:T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H26:J26"/>
    <mergeCell ref="K26:P26"/>
    <mergeCell ref="H27:J27"/>
    <mergeCell ref="K27:P27"/>
    <mergeCell ref="N12:R12"/>
    <mergeCell ref="H12:M12"/>
    <mergeCell ref="H11:M11"/>
    <mergeCell ref="N11:R11"/>
    <mergeCell ref="H35:J35"/>
    <mergeCell ref="K35:P35"/>
    <mergeCell ref="C45:G45"/>
    <mergeCell ref="H45:J45"/>
    <mergeCell ref="K45:P45"/>
    <mergeCell ref="B17:H17"/>
    <mergeCell ref="B12:G12"/>
    <mergeCell ref="B11:G11"/>
    <mergeCell ref="C44:G44"/>
    <mergeCell ref="H44:J44"/>
    <mergeCell ref="K44:P44"/>
    <mergeCell ref="C26:G26"/>
    <mergeCell ref="C27:G27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0DAF-294D-414D-AD88-EEFA6C94C013}">
  <sheetPr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3</v>
      </c>
      <c r="J5" s="187"/>
      <c r="K5" s="188"/>
      <c r="L5" s="190" t="s">
        <v>49</v>
      </c>
      <c r="M5" s="191"/>
      <c r="N5" s="191"/>
      <c r="O5" s="192"/>
      <c r="P5" s="193" t="s">
        <v>66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67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66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65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69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64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35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2" customHeight="1" x14ac:dyDescent="0.25">
      <c r="A25" s="9"/>
      <c r="B25" s="45">
        <v>1</v>
      </c>
      <c r="C25" s="217"/>
      <c r="D25" s="218"/>
      <c r="E25" s="218"/>
      <c r="F25" s="218"/>
      <c r="G25" s="219"/>
      <c r="H25" s="149">
        <v>25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2" customHeight="1" x14ac:dyDescent="0.25">
      <c r="A26" s="9"/>
      <c r="B26" s="45">
        <v>2</v>
      </c>
      <c r="C26" s="217"/>
      <c r="D26" s="218"/>
      <c r="E26" s="218"/>
      <c r="F26" s="218"/>
      <c r="G26" s="219"/>
      <c r="H26" s="149" t="s">
        <v>34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2" customHeight="1" x14ac:dyDescent="0.25">
      <c r="A27" s="9"/>
      <c r="B27" s="45">
        <v>3</v>
      </c>
      <c r="C27" s="217"/>
      <c r="D27" s="218"/>
      <c r="E27" s="218"/>
      <c r="F27" s="218"/>
      <c r="G27" s="219"/>
      <c r="H27" s="149">
        <v>20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2" customHeight="1" x14ac:dyDescent="0.25">
      <c r="A28" s="9"/>
      <c r="B28" s="45">
        <v>4</v>
      </c>
      <c r="C28" s="217"/>
      <c r="D28" s="218"/>
      <c r="E28" s="218"/>
      <c r="F28" s="218"/>
      <c r="G28" s="219"/>
      <c r="H28" s="149">
        <v>39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2" customHeight="1" x14ac:dyDescent="0.25">
      <c r="A29" s="9"/>
      <c r="B29" s="45">
        <v>5</v>
      </c>
      <c r="C29" s="217"/>
      <c r="D29" s="218"/>
      <c r="E29" s="218"/>
      <c r="F29" s="218"/>
      <c r="G29" s="219"/>
      <c r="H29" s="149">
        <v>30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282"/>
      <c r="D30" s="283"/>
      <c r="E30" s="283"/>
      <c r="F30" s="283"/>
      <c r="G30" s="284"/>
      <c r="H30" s="149" t="s">
        <v>34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46"/>
      <c r="D31" s="147"/>
      <c r="E31" s="147"/>
      <c r="F31" s="147"/>
      <c r="G31" s="148"/>
      <c r="H31" s="149">
        <v>20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45">
        <v>8</v>
      </c>
      <c r="C32" s="146"/>
      <c r="D32" s="147"/>
      <c r="E32" s="147"/>
      <c r="F32" s="147"/>
      <c r="G32" s="148"/>
      <c r="H32" s="149" t="s">
        <v>34</v>
      </c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45">
        <v>9</v>
      </c>
      <c r="C33" s="146"/>
      <c r="D33" s="147"/>
      <c r="E33" s="147"/>
      <c r="F33" s="147"/>
      <c r="G33" s="148"/>
      <c r="H33" s="149" t="s">
        <v>34</v>
      </c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45">
        <v>10</v>
      </c>
      <c r="C34" s="146"/>
      <c r="D34" s="147"/>
      <c r="E34" s="147"/>
      <c r="F34" s="147"/>
      <c r="G34" s="148"/>
      <c r="H34" s="149"/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2" customHeight="1" x14ac:dyDescent="0.25">
      <c r="A35" s="9"/>
      <c r="B35" s="45">
        <v>11</v>
      </c>
      <c r="C35" s="146"/>
      <c r="D35" s="147"/>
      <c r="E35" s="147"/>
      <c r="F35" s="147"/>
      <c r="G35" s="148"/>
      <c r="H35" s="149"/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45">
        <v>12</v>
      </c>
      <c r="C36" s="146"/>
      <c r="D36" s="147"/>
      <c r="E36" s="147"/>
      <c r="F36" s="147"/>
      <c r="G36" s="148"/>
      <c r="H36" s="149"/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45">
        <v>13</v>
      </c>
      <c r="C37" s="146"/>
      <c r="D37" s="147"/>
      <c r="E37" s="147"/>
      <c r="F37" s="147"/>
      <c r="G37" s="148"/>
      <c r="H37" s="149"/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45">
        <v>14</v>
      </c>
      <c r="C38" s="146"/>
      <c r="D38" s="147"/>
      <c r="E38" s="147"/>
      <c r="F38" s="147"/>
      <c r="G38" s="148"/>
      <c r="H38" s="149"/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45">
        <v>15</v>
      </c>
      <c r="C39" s="146"/>
      <c r="D39" s="147"/>
      <c r="E39" s="147"/>
      <c r="F39" s="147"/>
      <c r="G39" s="148"/>
      <c r="H39" s="149"/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45">
        <v>16</v>
      </c>
      <c r="C40" s="146"/>
      <c r="D40" s="147"/>
      <c r="E40" s="147"/>
      <c r="F40" s="147"/>
      <c r="G40" s="148"/>
      <c r="H40" s="149"/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45">
        <v>17</v>
      </c>
      <c r="C41" s="146"/>
      <c r="D41" s="147"/>
      <c r="E41" s="147"/>
      <c r="F41" s="147"/>
      <c r="G41" s="148"/>
      <c r="H41" s="149"/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45">
        <v>18</v>
      </c>
      <c r="C42" s="146"/>
      <c r="D42" s="147"/>
      <c r="E42" s="147"/>
      <c r="F42" s="147"/>
      <c r="G42" s="148"/>
      <c r="H42" s="149"/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45">
        <v>19</v>
      </c>
      <c r="C43" s="146"/>
      <c r="D43" s="147"/>
      <c r="E43" s="147"/>
      <c r="F43" s="147"/>
      <c r="G43" s="148"/>
      <c r="H43" s="149"/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45">
        <v>20</v>
      </c>
      <c r="C44" s="146"/>
      <c r="D44" s="147"/>
      <c r="E44" s="147"/>
      <c r="F44" s="147"/>
      <c r="G44" s="148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thickBot="1" x14ac:dyDescent="0.3">
      <c r="A45" s="9"/>
      <c r="B45" s="46"/>
      <c r="C45" s="185"/>
      <c r="D45" s="185"/>
      <c r="E45" s="185"/>
      <c r="F45" s="185"/>
      <c r="G45" s="186"/>
      <c r="H45" s="181"/>
      <c r="I45" s="182"/>
      <c r="J45" s="183"/>
      <c r="K45" s="184"/>
      <c r="L45" s="185"/>
      <c r="M45" s="185"/>
      <c r="N45" s="185"/>
      <c r="O45" s="185"/>
      <c r="P45" s="186"/>
      <c r="Z45" s="11"/>
    </row>
    <row r="46" spans="1:26" ht="15.75" customHeight="1" x14ac:dyDescent="0.25">
      <c r="A46" s="9"/>
      <c r="B46" s="247" t="s">
        <v>35</v>
      </c>
      <c r="C46" s="248"/>
      <c r="D46" s="248"/>
      <c r="E46" s="248"/>
      <c r="F46" s="248"/>
      <c r="G46" s="249"/>
      <c r="H46" s="266">
        <f>AVERAGE(H25:J45)</f>
        <v>26.8</v>
      </c>
      <c r="I46" s="267"/>
      <c r="J46" s="268"/>
      <c r="K46" s="169" t="s">
        <v>63</v>
      </c>
      <c r="L46" s="170"/>
      <c r="M46" s="163" t="s">
        <v>36</v>
      </c>
      <c r="N46" s="163"/>
      <c r="O46" s="163"/>
      <c r="P46" s="164"/>
      <c r="Z46" s="11"/>
    </row>
    <row r="47" spans="1:26" ht="15.75" customHeight="1" x14ac:dyDescent="0.25">
      <c r="A47" s="9"/>
      <c r="B47" s="241" t="s">
        <v>37</v>
      </c>
      <c r="C47" s="242"/>
      <c r="D47" s="242"/>
      <c r="E47" s="242"/>
      <c r="F47" s="242"/>
      <c r="G47" s="243"/>
      <c r="H47" s="269" t="str">
        <f>IF(COUNTIF(H25:J45,"*&lt;20*"),"&lt;20",MIN(H25:J45))</f>
        <v>&lt;20</v>
      </c>
      <c r="I47" s="270"/>
      <c r="J47" s="271"/>
      <c r="K47" s="171"/>
      <c r="L47" s="172"/>
      <c r="M47" s="165"/>
      <c r="N47" s="165"/>
      <c r="O47" s="165"/>
      <c r="P47" s="166"/>
      <c r="Z47" s="11"/>
    </row>
    <row r="48" spans="1:26" ht="15.75" customHeight="1" thickBot="1" x14ac:dyDescent="0.3">
      <c r="A48" s="9"/>
      <c r="B48" s="244" t="s">
        <v>38</v>
      </c>
      <c r="C48" s="245"/>
      <c r="D48" s="245"/>
      <c r="E48" s="245"/>
      <c r="F48" s="245"/>
      <c r="G48" s="246"/>
      <c r="H48" s="263">
        <f>IF(COUNTIF(H25:J45,"*&gt;250*"),"&gt;250",MAX(H25:J45))</f>
        <v>39</v>
      </c>
      <c r="I48" s="264"/>
      <c r="J48" s="265"/>
      <c r="K48" s="173"/>
      <c r="L48" s="174"/>
      <c r="M48" s="167"/>
      <c r="N48" s="167"/>
      <c r="O48" s="167"/>
      <c r="P48" s="168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39</v>
      </c>
      <c r="B51" s="5" t="s">
        <v>40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232" t="s">
        <v>41</v>
      </c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4"/>
      <c r="R52" s="226" t="s">
        <v>42</v>
      </c>
      <c r="S52" s="227"/>
      <c r="T52" s="228"/>
      <c r="U52" s="217" t="s">
        <v>56</v>
      </c>
      <c r="V52" s="218"/>
      <c r="W52" s="218"/>
      <c r="X52" s="250"/>
      <c r="Y52" s="250"/>
      <c r="Z52" s="251"/>
    </row>
    <row r="53" spans="1:26" s="17" customFormat="1" ht="15.6" customHeight="1" x14ac:dyDescent="0.25">
      <c r="A53" s="235" t="s">
        <v>68</v>
      </c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7"/>
      <c r="R53" s="226" t="s">
        <v>43</v>
      </c>
      <c r="S53" s="227"/>
      <c r="T53" s="228"/>
      <c r="U53" s="252" t="s">
        <v>54</v>
      </c>
      <c r="V53" s="253"/>
      <c r="W53" s="253"/>
      <c r="X53" s="254"/>
      <c r="Y53" s="254"/>
      <c r="Z53" s="255"/>
    </row>
    <row r="54" spans="1:26" s="17" customFormat="1" ht="15.6" customHeight="1" x14ac:dyDescent="0.25">
      <c r="A54" s="238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40"/>
      <c r="R54" s="226"/>
      <c r="S54" s="227"/>
      <c r="T54" s="228"/>
      <c r="U54" s="256"/>
      <c r="V54" s="165"/>
      <c r="W54" s="165"/>
      <c r="X54" s="257"/>
      <c r="Y54" s="257"/>
      <c r="Z54" s="258"/>
    </row>
    <row r="55" spans="1:26" s="17" customFormat="1" ht="15.6" customHeight="1" x14ac:dyDescent="0.25">
      <c r="A55" s="55" t="s">
        <v>45</v>
      </c>
      <c r="B55" s="56" t="s">
        <v>46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226"/>
      <c r="S55" s="227"/>
      <c r="T55" s="228"/>
      <c r="U55" s="259"/>
      <c r="V55" s="260"/>
      <c r="W55" s="260"/>
      <c r="X55" s="261"/>
      <c r="Y55" s="261"/>
      <c r="Z55" s="262"/>
    </row>
    <row r="56" spans="1:26" s="17" customFormat="1" ht="15.6" customHeight="1" x14ac:dyDescent="0.25">
      <c r="A56" s="220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2"/>
      <c r="R56" s="226" t="s">
        <v>47</v>
      </c>
      <c r="S56" s="227"/>
      <c r="T56" s="228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/>
      <c r="S57" s="227"/>
      <c r="T57" s="228"/>
      <c r="U57" s="61"/>
      <c r="V57" s="165"/>
      <c r="W57" s="165"/>
      <c r="X57" s="165"/>
      <c r="Y57" s="165"/>
      <c r="Z57" s="62"/>
    </row>
    <row r="58" spans="1:26" s="17" customFormat="1" ht="15.6" customHeight="1" x14ac:dyDescent="0.2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  <c r="R58" s="226"/>
      <c r="S58" s="227"/>
      <c r="T58" s="228"/>
      <c r="U58" s="61"/>
      <c r="V58" s="165"/>
      <c r="W58" s="165"/>
      <c r="X58" s="165"/>
      <c r="Y58" s="165"/>
      <c r="Z58" s="62"/>
    </row>
    <row r="59" spans="1:26" s="17" customFormat="1" ht="15.6" customHeight="1" x14ac:dyDescent="0.25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5"/>
      <c r="R59" s="229"/>
      <c r="S59" s="230"/>
      <c r="T59" s="231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U52:Z52"/>
    <mergeCell ref="U53:Z55"/>
    <mergeCell ref="H48:J48"/>
    <mergeCell ref="H46:J46"/>
    <mergeCell ref="H47:J47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A56:Q59"/>
    <mergeCell ref="R56:T59"/>
    <mergeCell ref="A52:Q52"/>
    <mergeCell ref="R52:T52"/>
    <mergeCell ref="A53:Q54"/>
    <mergeCell ref="R53:T55"/>
    <mergeCell ref="C45:G45"/>
    <mergeCell ref="B47:G47"/>
    <mergeCell ref="B48:G48"/>
    <mergeCell ref="B46:G4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H26:J26"/>
    <mergeCell ref="K26:P26"/>
    <mergeCell ref="H27:J27"/>
    <mergeCell ref="K27:P27"/>
    <mergeCell ref="N12:R12"/>
    <mergeCell ref="H12:M12"/>
    <mergeCell ref="H11:M11"/>
    <mergeCell ref="N11:R11"/>
    <mergeCell ref="C31:G31"/>
    <mergeCell ref="H31:J31"/>
    <mergeCell ref="K31:P31"/>
    <mergeCell ref="C32:G32"/>
    <mergeCell ref="H32:J32"/>
    <mergeCell ref="K32:P32"/>
    <mergeCell ref="B17:H17"/>
    <mergeCell ref="B12:G12"/>
    <mergeCell ref="B11:G11"/>
    <mergeCell ref="C30:G30"/>
    <mergeCell ref="H30:J30"/>
    <mergeCell ref="K30:P30"/>
    <mergeCell ref="C26:G26"/>
    <mergeCell ref="C27:G27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</mergeCells>
  <phoneticPr fontId="13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0DF1-E3CB-4C13-9382-A457DF7E06A4}">
  <sheetPr>
    <pageSetUpPr fitToPage="1"/>
  </sheetPr>
  <dimension ref="A1:AA66"/>
  <sheetViews>
    <sheetView workbookViewId="0">
      <selection activeCell="H10" sqref="H10:M10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2</v>
      </c>
      <c r="J5" s="187"/>
      <c r="K5" s="188"/>
      <c r="L5" s="190" t="s">
        <v>49</v>
      </c>
      <c r="M5" s="191"/>
      <c r="N5" s="191"/>
      <c r="O5" s="192"/>
      <c r="P5" s="193" t="s">
        <v>60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61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60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59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58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52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35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46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>
        <v>45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46"/>
      <c r="D27" s="147"/>
      <c r="E27" s="147"/>
      <c r="F27" s="147"/>
      <c r="G27" s="148"/>
      <c r="H27" s="149">
        <v>94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146"/>
      <c r="D28" s="147"/>
      <c r="E28" s="147"/>
      <c r="F28" s="147"/>
      <c r="G28" s="148"/>
      <c r="H28" s="149">
        <v>98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46"/>
      <c r="D29" s="147"/>
      <c r="E29" s="147"/>
      <c r="F29" s="147"/>
      <c r="G29" s="148"/>
      <c r="H29" s="149">
        <v>42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146"/>
      <c r="D30" s="147"/>
      <c r="E30" s="147"/>
      <c r="F30" s="147"/>
      <c r="G30" s="148"/>
      <c r="H30" s="149">
        <v>79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46"/>
      <c r="D31" s="147"/>
      <c r="E31" s="147"/>
      <c r="F31" s="147"/>
      <c r="G31" s="148"/>
      <c r="H31" s="149">
        <v>36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72"/>
      <c r="C32" s="146"/>
      <c r="D32" s="147"/>
      <c r="E32" s="147"/>
      <c r="F32" s="147"/>
      <c r="G32" s="148"/>
      <c r="H32" s="149"/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72"/>
      <c r="C33" s="146"/>
      <c r="D33" s="147"/>
      <c r="E33" s="147"/>
      <c r="F33" s="147"/>
      <c r="G33" s="148"/>
      <c r="H33" s="149"/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72"/>
      <c r="C34" s="146"/>
      <c r="D34" s="147"/>
      <c r="E34" s="147"/>
      <c r="F34" s="147"/>
      <c r="G34" s="148"/>
      <c r="H34" s="149"/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72"/>
      <c r="C35" s="146"/>
      <c r="D35" s="147"/>
      <c r="E35" s="147"/>
      <c r="F35" s="147"/>
      <c r="G35" s="148"/>
      <c r="H35" s="149"/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72"/>
      <c r="C36" s="146"/>
      <c r="D36" s="147"/>
      <c r="E36" s="147"/>
      <c r="F36" s="147"/>
      <c r="G36" s="148"/>
      <c r="H36" s="149"/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72"/>
      <c r="C37" s="146"/>
      <c r="D37" s="147"/>
      <c r="E37" s="147"/>
      <c r="F37" s="147"/>
      <c r="G37" s="148"/>
      <c r="H37" s="149"/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72"/>
      <c r="C38" s="146"/>
      <c r="D38" s="147"/>
      <c r="E38" s="147"/>
      <c r="F38" s="147"/>
      <c r="G38" s="148"/>
      <c r="H38" s="149"/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72"/>
      <c r="C39" s="146"/>
      <c r="D39" s="147"/>
      <c r="E39" s="147"/>
      <c r="F39" s="147"/>
      <c r="G39" s="148"/>
      <c r="H39" s="149"/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72"/>
      <c r="C40" s="146"/>
      <c r="D40" s="147"/>
      <c r="E40" s="147"/>
      <c r="F40" s="147"/>
      <c r="G40" s="148"/>
      <c r="H40" s="149"/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72"/>
      <c r="C41" s="146"/>
      <c r="D41" s="147"/>
      <c r="E41" s="147"/>
      <c r="F41" s="147"/>
      <c r="G41" s="148"/>
      <c r="H41" s="149"/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72"/>
      <c r="C42" s="146"/>
      <c r="D42" s="147"/>
      <c r="E42" s="147"/>
      <c r="F42" s="147"/>
      <c r="G42" s="148"/>
      <c r="H42" s="149"/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72"/>
      <c r="C43" s="146"/>
      <c r="D43" s="147"/>
      <c r="E43" s="147"/>
      <c r="F43" s="147"/>
      <c r="G43" s="148"/>
      <c r="H43" s="149"/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thickBot="1" x14ac:dyDescent="0.3">
      <c r="A44" s="9"/>
      <c r="B44" s="46"/>
      <c r="C44" s="185"/>
      <c r="D44" s="185"/>
      <c r="E44" s="185"/>
      <c r="F44" s="185"/>
      <c r="G44" s="186"/>
      <c r="H44" s="181"/>
      <c r="I44" s="182"/>
      <c r="J44" s="183"/>
      <c r="K44" s="184"/>
      <c r="L44" s="185"/>
      <c r="M44" s="185"/>
      <c r="N44" s="185"/>
      <c r="O44" s="185"/>
      <c r="P44" s="186"/>
      <c r="Z44" s="11"/>
    </row>
    <row r="45" spans="1:26" ht="15.75" customHeight="1" x14ac:dyDescent="0.25">
      <c r="A45" s="9"/>
      <c r="B45" s="247" t="s">
        <v>35</v>
      </c>
      <c r="C45" s="248"/>
      <c r="D45" s="248"/>
      <c r="E45" s="248"/>
      <c r="F45" s="248"/>
      <c r="G45" s="249"/>
      <c r="H45" s="266">
        <f>AVERAGE(H25:J44)</f>
        <v>62.857142857142854</v>
      </c>
      <c r="I45" s="267"/>
      <c r="J45" s="268"/>
      <c r="K45" s="169">
        <v>100</v>
      </c>
      <c r="L45" s="170"/>
      <c r="M45" s="163" t="s">
        <v>36</v>
      </c>
      <c r="N45" s="163"/>
      <c r="O45" s="163"/>
      <c r="P45" s="164"/>
      <c r="Z45" s="11"/>
    </row>
    <row r="46" spans="1:26" ht="15.75" customHeight="1" x14ac:dyDescent="0.25">
      <c r="A46" s="9"/>
      <c r="B46" s="241" t="s">
        <v>37</v>
      </c>
      <c r="C46" s="242"/>
      <c r="D46" s="242"/>
      <c r="E46" s="242"/>
      <c r="F46" s="242"/>
      <c r="G46" s="243"/>
      <c r="H46" s="269">
        <f>IF(COUNTIF(H25:J44,"*&lt;20*"),"&lt;20",MIN(H25:J44))</f>
        <v>36</v>
      </c>
      <c r="I46" s="270"/>
      <c r="J46" s="271"/>
      <c r="K46" s="171"/>
      <c r="L46" s="172"/>
      <c r="M46" s="165"/>
      <c r="N46" s="165"/>
      <c r="O46" s="165"/>
      <c r="P46" s="166"/>
      <c r="Z46" s="11"/>
    </row>
    <row r="47" spans="1:26" ht="15.75" customHeight="1" thickBot="1" x14ac:dyDescent="0.3">
      <c r="A47" s="9"/>
      <c r="B47" s="244" t="s">
        <v>38</v>
      </c>
      <c r="C47" s="245"/>
      <c r="D47" s="245"/>
      <c r="E47" s="245"/>
      <c r="F47" s="245"/>
      <c r="G47" s="246"/>
      <c r="H47" s="263">
        <f>IF(COUNTIF(H25:J44,"*&gt;250*"),"&gt;250",MAX(H25:J44))</f>
        <v>98</v>
      </c>
      <c r="I47" s="264"/>
      <c r="J47" s="265"/>
      <c r="K47" s="173"/>
      <c r="L47" s="174"/>
      <c r="M47" s="167"/>
      <c r="N47" s="167"/>
      <c r="O47" s="167"/>
      <c r="P47" s="168"/>
      <c r="Z47" s="11"/>
    </row>
    <row r="48" spans="1:26" ht="15.9" customHeight="1" x14ac:dyDescent="0.25">
      <c r="A48" s="35"/>
      <c r="B48" s="4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16"/>
    </row>
    <row r="49" spans="1:26" ht="12.75" customHeight="1" x14ac:dyDescent="0.25">
      <c r="A49" s="36"/>
      <c r="B49" s="37"/>
    </row>
    <row r="50" spans="1:26" s="17" customFormat="1" ht="15.6" customHeight="1" x14ac:dyDescent="0.25">
      <c r="A50" s="48" t="s">
        <v>39</v>
      </c>
      <c r="B50" s="5" t="s">
        <v>40</v>
      </c>
      <c r="C50" s="49"/>
      <c r="D50" s="49"/>
      <c r="E50" s="49"/>
      <c r="F50" s="50"/>
      <c r="G50" s="50"/>
      <c r="H50" s="50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51"/>
      <c r="V50" s="52"/>
      <c r="W50" s="52"/>
      <c r="X50" s="42"/>
      <c r="Y50" s="42"/>
      <c r="Z50" s="43"/>
    </row>
    <row r="51" spans="1:26" s="17" customFormat="1" ht="28.5" customHeight="1" x14ac:dyDescent="0.25">
      <c r="A51" s="232" t="s">
        <v>41</v>
      </c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4"/>
      <c r="R51" s="226" t="s">
        <v>42</v>
      </c>
      <c r="S51" s="227"/>
      <c r="T51" s="228"/>
      <c r="U51" s="217" t="s">
        <v>56</v>
      </c>
      <c r="V51" s="218"/>
      <c r="W51" s="218"/>
      <c r="X51" s="250"/>
      <c r="Y51" s="250"/>
      <c r="Z51" s="251"/>
    </row>
    <row r="52" spans="1:26" s="17" customFormat="1" ht="15.6" customHeight="1" x14ac:dyDescent="0.25">
      <c r="A52" s="235" t="s">
        <v>55</v>
      </c>
      <c r="B52" s="236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7"/>
      <c r="R52" s="226" t="s">
        <v>43</v>
      </c>
      <c r="S52" s="227"/>
      <c r="T52" s="228"/>
      <c r="U52" s="252" t="s">
        <v>54</v>
      </c>
      <c r="V52" s="253"/>
      <c r="W52" s="253"/>
      <c r="X52" s="254"/>
      <c r="Y52" s="254"/>
      <c r="Z52" s="255"/>
    </row>
    <row r="53" spans="1:26" s="17" customFormat="1" ht="15.6" customHeight="1" x14ac:dyDescent="0.25">
      <c r="A53" s="238"/>
      <c r="B53" s="239"/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40"/>
      <c r="R53" s="226"/>
      <c r="S53" s="227"/>
      <c r="T53" s="228"/>
      <c r="U53" s="256"/>
      <c r="V53" s="165"/>
      <c r="W53" s="165"/>
      <c r="X53" s="257"/>
      <c r="Y53" s="257"/>
      <c r="Z53" s="258"/>
    </row>
    <row r="54" spans="1:26" s="17" customFormat="1" ht="15.6" customHeight="1" x14ac:dyDescent="0.25">
      <c r="A54" s="55" t="s">
        <v>45</v>
      </c>
      <c r="B54" s="56" t="s">
        <v>46</v>
      </c>
      <c r="C54" s="1"/>
      <c r="D54" s="1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7"/>
      <c r="R54" s="226"/>
      <c r="S54" s="227"/>
      <c r="T54" s="228"/>
      <c r="U54" s="259"/>
      <c r="V54" s="260"/>
      <c r="W54" s="260"/>
      <c r="X54" s="261"/>
      <c r="Y54" s="261"/>
      <c r="Z54" s="262"/>
    </row>
    <row r="55" spans="1:26" s="17" customFormat="1" ht="15.6" customHeight="1" x14ac:dyDescent="0.25">
      <c r="A55" s="22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2"/>
      <c r="R55" s="226" t="s">
        <v>47</v>
      </c>
      <c r="S55" s="227"/>
      <c r="T55" s="228"/>
      <c r="U55" s="58"/>
      <c r="V55" s="59"/>
      <c r="W55" s="59"/>
      <c r="X55" s="59"/>
      <c r="Y55" s="59"/>
      <c r="Z55" s="60"/>
    </row>
    <row r="56" spans="1:26" s="17" customFormat="1" ht="15.6" customHeight="1" x14ac:dyDescent="0.25">
      <c r="A56" s="220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2"/>
      <c r="R56" s="226"/>
      <c r="S56" s="227"/>
      <c r="T56" s="228"/>
      <c r="U56" s="61"/>
      <c r="V56" s="165"/>
      <c r="W56" s="165"/>
      <c r="X56" s="165"/>
      <c r="Y56" s="165"/>
      <c r="Z56" s="62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/>
      <c r="S57" s="227"/>
      <c r="T57" s="228"/>
      <c r="U57" s="61"/>
      <c r="V57" s="165"/>
      <c r="W57" s="165"/>
      <c r="X57" s="165"/>
      <c r="Y57" s="165"/>
      <c r="Z57" s="62"/>
    </row>
    <row r="58" spans="1:26" s="17" customFormat="1" ht="15.6" customHeight="1" x14ac:dyDescent="0.25">
      <c r="A58" s="223"/>
      <c r="B58" s="224"/>
      <c r="C58" s="224"/>
      <c r="D58" s="224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5"/>
      <c r="R58" s="229"/>
      <c r="S58" s="230"/>
      <c r="T58" s="231"/>
      <c r="U58" s="63"/>
      <c r="V58" s="64"/>
      <c r="W58" s="64"/>
      <c r="X58" s="64"/>
      <c r="Y58" s="64"/>
      <c r="Z58" s="65"/>
    </row>
    <row r="59" spans="1:26" s="17" customFormat="1" ht="15" customHeight="1" x14ac:dyDescent="0.25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54"/>
      <c r="S59" s="54"/>
      <c r="T59" s="54"/>
      <c r="U59" s="41"/>
      <c r="V59" s="41"/>
      <c r="W59" s="41"/>
      <c r="X59" s="41"/>
      <c r="Y59" s="41"/>
      <c r="Z59" s="41"/>
    </row>
    <row r="61" spans="1:26" ht="12.75" customHeight="1" x14ac:dyDescent="0.25">
      <c r="A61" s="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</sheetData>
  <sheetProtection formatCells="0" formatColumns="0" formatRows="0" insertColumns="0" insertRows="0" insertHyperlinks="0" deleteColumns="0" deleteRows="0" selectLockedCells="1" sort="0" autoFilter="0" pivotTables="0"/>
  <mergeCells count="112"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H28:J28"/>
    <mergeCell ref="K28:P28"/>
    <mergeCell ref="C25:G25"/>
    <mergeCell ref="H25:J25"/>
    <mergeCell ref="K25:P25"/>
    <mergeCell ref="C26:G26"/>
    <mergeCell ref="H26:J26"/>
    <mergeCell ref="K26:P26"/>
    <mergeCell ref="H11:M11"/>
    <mergeCell ref="N11:R11"/>
    <mergeCell ref="B11:G11"/>
    <mergeCell ref="C30:G30"/>
    <mergeCell ref="H30:J30"/>
    <mergeCell ref="K30:P30"/>
    <mergeCell ref="C31:G31"/>
    <mergeCell ref="H31:J31"/>
    <mergeCell ref="K31:P31"/>
    <mergeCell ref="C29:G29"/>
    <mergeCell ref="H29:J29"/>
    <mergeCell ref="K29:P29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7:G27"/>
    <mergeCell ref="H27:J27"/>
    <mergeCell ref="K27:P27"/>
    <mergeCell ref="C28:G28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B45:G45"/>
    <mergeCell ref="H45:J45"/>
    <mergeCell ref="K45:L47"/>
    <mergeCell ref="M45:P47"/>
    <mergeCell ref="B46:G46"/>
    <mergeCell ref="H46:J46"/>
    <mergeCell ref="B47:G47"/>
    <mergeCell ref="A55:Q58"/>
    <mergeCell ref="R55:T58"/>
    <mergeCell ref="V56:Y57"/>
    <mergeCell ref="H47:J47"/>
    <mergeCell ref="A51:Q51"/>
    <mergeCell ref="R51:T51"/>
    <mergeCell ref="U51:Z51"/>
    <mergeCell ref="A52:Q53"/>
    <mergeCell ref="R52:T54"/>
    <mergeCell ref="U52:Z5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BB1E-7A15-4B60-917C-369122D7A66B}">
  <sheetPr>
    <pageSetUpPr fitToPage="1"/>
  </sheetPr>
  <dimension ref="A1:AA67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2</v>
      </c>
      <c r="J5" s="187"/>
      <c r="K5" s="188"/>
      <c r="L5" s="190" t="s">
        <v>49</v>
      </c>
      <c r="M5" s="191"/>
      <c r="N5" s="191"/>
      <c r="O5" s="192"/>
      <c r="P5" s="193" t="s">
        <v>60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62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61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60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59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58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52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272" t="s">
        <v>24</v>
      </c>
      <c r="J18" s="272"/>
      <c r="K18" s="27">
        <v>35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46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>
        <v>45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46"/>
      <c r="D27" s="147"/>
      <c r="E27" s="147"/>
      <c r="F27" s="147"/>
      <c r="G27" s="148"/>
      <c r="H27" s="149">
        <v>94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146"/>
      <c r="D28" s="147"/>
      <c r="E28" s="147"/>
      <c r="F28" s="147"/>
      <c r="G28" s="148"/>
      <c r="H28" s="149">
        <v>98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46"/>
      <c r="D29" s="147"/>
      <c r="E29" s="147"/>
      <c r="F29" s="147"/>
      <c r="G29" s="148"/>
      <c r="H29" s="149">
        <v>25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146"/>
      <c r="D30" s="147"/>
      <c r="E30" s="147"/>
      <c r="F30" s="147"/>
      <c r="G30" s="148"/>
      <c r="H30" s="149">
        <v>79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46"/>
      <c r="D31" s="147"/>
      <c r="E31" s="147"/>
      <c r="F31" s="147"/>
      <c r="G31" s="148"/>
      <c r="H31" s="149">
        <v>36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72"/>
      <c r="C32" s="146"/>
      <c r="D32" s="147"/>
      <c r="E32" s="147"/>
      <c r="F32" s="147"/>
      <c r="G32" s="148"/>
      <c r="H32" s="149"/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72"/>
      <c r="C33" s="146"/>
      <c r="D33" s="147"/>
      <c r="E33" s="147"/>
      <c r="F33" s="147"/>
      <c r="G33" s="148"/>
      <c r="H33" s="149"/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72"/>
      <c r="C34" s="146"/>
      <c r="D34" s="147"/>
      <c r="E34" s="147"/>
      <c r="F34" s="147"/>
      <c r="G34" s="148"/>
      <c r="H34" s="149"/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72"/>
      <c r="C35" s="146"/>
      <c r="D35" s="147"/>
      <c r="E35" s="147"/>
      <c r="F35" s="147"/>
      <c r="G35" s="148"/>
      <c r="H35" s="149"/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72"/>
      <c r="C36" s="146"/>
      <c r="D36" s="147"/>
      <c r="E36" s="147"/>
      <c r="F36" s="147"/>
      <c r="G36" s="148"/>
      <c r="H36" s="149"/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72"/>
      <c r="C37" s="146"/>
      <c r="D37" s="147"/>
      <c r="E37" s="147"/>
      <c r="F37" s="147"/>
      <c r="G37" s="148"/>
      <c r="H37" s="149"/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72"/>
      <c r="C38" s="146"/>
      <c r="D38" s="147"/>
      <c r="E38" s="147"/>
      <c r="F38" s="147"/>
      <c r="G38" s="148"/>
      <c r="H38" s="149"/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72"/>
      <c r="C39" s="146"/>
      <c r="D39" s="147"/>
      <c r="E39" s="147"/>
      <c r="F39" s="147"/>
      <c r="G39" s="148"/>
      <c r="H39" s="149"/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72"/>
      <c r="C40" s="146"/>
      <c r="D40" s="147"/>
      <c r="E40" s="147"/>
      <c r="F40" s="147"/>
      <c r="G40" s="148"/>
      <c r="H40" s="149"/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72"/>
      <c r="C41" s="146"/>
      <c r="D41" s="147"/>
      <c r="E41" s="147"/>
      <c r="F41" s="147"/>
      <c r="G41" s="148"/>
      <c r="H41" s="149"/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72"/>
      <c r="C42" s="146"/>
      <c r="D42" s="147"/>
      <c r="E42" s="147"/>
      <c r="F42" s="147"/>
      <c r="G42" s="148"/>
      <c r="H42" s="149"/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72"/>
      <c r="C43" s="146"/>
      <c r="D43" s="147"/>
      <c r="E43" s="147"/>
      <c r="F43" s="147"/>
      <c r="G43" s="148"/>
      <c r="H43" s="149"/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72"/>
      <c r="C44" s="146"/>
      <c r="D44" s="147"/>
      <c r="E44" s="147"/>
      <c r="F44" s="147"/>
      <c r="G44" s="148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thickBot="1" x14ac:dyDescent="0.3">
      <c r="A45" s="9"/>
      <c r="B45" s="46"/>
      <c r="C45" s="185"/>
      <c r="D45" s="185"/>
      <c r="E45" s="185"/>
      <c r="F45" s="185"/>
      <c r="G45" s="186"/>
      <c r="H45" s="181"/>
      <c r="I45" s="182"/>
      <c r="J45" s="183"/>
      <c r="K45" s="184"/>
      <c r="L45" s="185"/>
      <c r="M45" s="185"/>
      <c r="N45" s="185"/>
      <c r="O45" s="185"/>
      <c r="P45" s="186"/>
      <c r="Z45" s="11"/>
    </row>
    <row r="46" spans="1:26" ht="15.75" customHeight="1" x14ac:dyDescent="0.25">
      <c r="A46" s="9"/>
      <c r="B46" s="247" t="s">
        <v>35</v>
      </c>
      <c r="C46" s="248"/>
      <c r="D46" s="248"/>
      <c r="E46" s="248"/>
      <c r="F46" s="248"/>
      <c r="G46" s="249"/>
      <c r="H46" s="266">
        <f>AVERAGE(H25:J45)</f>
        <v>60.428571428571431</v>
      </c>
      <c r="I46" s="267"/>
      <c r="J46" s="268"/>
      <c r="K46" s="169" t="s">
        <v>57</v>
      </c>
      <c r="L46" s="170"/>
      <c r="M46" s="163" t="s">
        <v>36</v>
      </c>
      <c r="N46" s="163"/>
      <c r="O46" s="163"/>
      <c r="P46" s="164"/>
      <c r="Z46" s="11"/>
    </row>
    <row r="47" spans="1:26" ht="15.75" customHeight="1" x14ac:dyDescent="0.25">
      <c r="A47" s="9"/>
      <c r="B47" s="241" t="s">
        <v>37</v>
      </c>
      <c r="C47" s="242"/>
      <c r="D47" s="242"/>
      <c r="E47" s="242"/>
      <c r="F47" s="242"/>
      <c r="G47" s="243"/>
      <c r="H47" s="269">
        <f>IF(COUNTIF(H25:J45,"*&lt;20*"),"&lt;20",MIN(H25:J45))</f>
        <v>25</v>
      </c>
      <c r="I47" s="270"/>
      <c r="J47" s="271"/>
      <c r="K47" s="171"/>
      <c r="L47" s="172"/>
      <c r="M47" s="165"/>
      <c r="N47" s="165"/>
      <c r="O47" s="165"/>
      <c r="P47" s="166"/>
      <c r="Z47" s="11"/>
    </row>
    <row r="48" spans="1:26" ht="15.75" customHeight="1" thickBot="1" x14ac:dyDescent="0.3">
      <c r="A48" s="9"/>
      <c r="B48" s="244" t="s">
        <v>38</v>
      </c>
      <c r="C48" s="245"/>
      <c r="D48" s="245"/>
      <c r="E48" s="245"/>
      <c r="F48" s="245"/>
      <c r="G48" s="246"/>
      <c r="H48" s="263">
        <f>IF(COUNTIF(H25:J45,"*&gt;250*"),"&gt;250",MAX(H25:J45))</f>
        <v>98</v>
      </c>
      <c r="I48" s="264"/>
      <c r="J48" s="265"/>
      <c r="K48" s="173"/>
      <c r="L48" s="174"/>
      <c r="M48" s="167"/>
      <c r="N48" s="167"/>
      <c r="O48" s="167"/>
      <c r="P48" s="168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39</v>
      </c>
      <c r="B51" s="5" t="s">
        <v>40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232" t="s">
        <v>41</v>
      </c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4"/>
      <c r="R52" s="226" t="s">
        <v>42</v>
      </c>
      <c r="S52" s="227"/>
      <c r="T52" s="228"/>
      <c r="U52" s="217" t="s">
        <v>56</v>
      </c>
      <c r="V52" s="218"/>
      <c r="W52" s="218"/>
      <c r="X52" s="250"/>
      <c r="Y52" s="250"/>
      <c r="Z52" s="251"/>
    </row>
    <row r="53" spans="1:26" s="17" customFormat="1" ht="15.6" customHeight="1" x14ac:dyDescent="0.25">
      <c r="A53" s="235" t="s">
        <v>55</v>
      </c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7"/>
      <c r="R53" s="226" t="s">
        <v>43</v>
      </c>
      <c r="S53" s="227"/>
      <c r="T53" s="228"/>
      <c r="U53" s="252" t="s">
        <v>54</v>
      </c>
      <c r="V53" s="253"/>
      <c r="W53" s="253"/>
      <c r="X53" s="254"/>
      <c r="Y53" s="254"/>
      <c r="Z53" s="255"/>
    </row>
    <row r="54" spans="1:26" s="17" customFormat="1" ht="15.6" customHeight="1" x14ac:dyDescent="0.25">
      <c r="A54" s="238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40"/>
      <c r="R54" s="226"/>
      <c r="S54" s="227"/>
      <c r="T54" s="228"/>
      <c r="U54" s="256"/>
      <c r="V54" s="165"/>
      <c r="W54" s="165"/>
      <c r="X54" s="257"/>
      <c r="Y54" s="257"/>
      <c r="Z54" s="258"/>
    </row>
    <row r="55" spans="1:26" s="17" customFormat="1" ht="15.6" customHeight="1" x14ac:dyDescent="0.25">
      <c r="A55" s="55" t="s">
        <v>45</v>
      </c>
      <c r="B55" s="56" t="s">
        <v>46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226"/>
      <c r="S55" s="227"/>
      <c r="T55" s="228"/>
      <c r="U55" s="259"/>
      <c r="V55" s="260"/>
      <c r="W55" s="260"/>
      <c r="X55" s="261"/>
      <c r="Y55" s="261"/>
      <c r="Z55" s="262"/>
    </row>
    <row r="56" spans="1:26" s="17" customFormat="1" ht="15.6" customHeight="1" x14ac:dyDescent="0.25">
      <c r="A56" s="220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2"/>
      <c r="R56" s="226" t="s">
        <v>47</v>
      </c>
      <c r="S56" s="227"/>
      <c r="T56" s="228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220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2"/>
      <c r="R57" s="226"/>
      <c r="S57" s="227"/>
      <c r="T57" s="228"/>
      <c r="U57" s="61"/>
      <c r="V57" s="165"/>
      <c r="W57" s="165"/>
      <c r="X57" s="165"/>
      <c r="Y57" s="165"/>
      <c r="Z57" s="62"/>
    </row>
    <row r="58" spans="1:26" s="17" customFormat="1" ht="15.6" customHeight="1" x14ac:dyDescent="0.25">
      <c r="A58" s="220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2"/>
      <c r="R58" s="226"/>
      <c r="S58" s="227"/>
      <c r="T58" s="228"/>
      <c r="U58" s="61"/>
      <c r="V58" s="165"/>
      <c r="W58" s="165"/>
      <c r="X58" s="165"/>
      <c r="Y58" s="165"/>
      <c r="Z58" s="62"/>
    </row>
    <row r="59" spans="1:26" s="17" customFormat="1" ht="15.6" customHeight="1" x14ac:dyDescent="0.25">
      <c r="A59" s="223"/>
      <c r="B59" s="224"/>
      <c r="C59" s="224"/>
      <c r="D59" s="224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5"/>
      <c r="R59" s="229"/>
      <c r="S59" s="230"/>
      <c r="T59" s="231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R56:T59"/>
    <mergeCell ref="K26:P26"/>
    <mergeCell ref="C27:G27"/>
    <mergeCell ref="H27:J27"/>
    <mergeCell ref="K27:P27"/>
    <mergeCell ref="C45:G45"/>
    <mergeCell ref="B47:G47"/>
    <mergeCell ref="N11:R11"/>
    <mergeCell ref="B17:H17"/>
    <mergeCell ref="B12:G12"/>
    <mergeCell ref="B11:G11"/>
    <mergeCell ref="C26:G26"/>
    <mergeCell ref="H26:J26"/>
    <mergeCell ref="K25:P25"/>
    <mergeCell ref="S12:Y12"/>
    <mergeCell ref="I17:Y17"/>
    <mergeCell ref="S11:Y11"/>
    <mergeCell ref="H40:J40"/>
    <mergeCell ref="K40:P40"/>
    <mergeCell ref="C41:G41"/>
    <mergeCell ref="H41:J41"/>
    <mergeCell ref="C28:G28"/>
    <mergeCell ref="H28:J28"/>
    <mergeCell ref="H42:J42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A56:Q59"/>
    <mergeCell ref="K23:P24"/>
    <mergeCell ref="H45:J45"/>
    <mergeCell ref="K45:P45"/>
    <mergeCell ref="K28:P28"/>
    <mergeCell ref="C29:G29"/>
    <mergeCell ref="H29:J29"/>
    <mergeCell ref="K29:P29"/>
    <mergeCell ref="A1:F6"/>
    <mergeCell ref="G1:T1"/>
    <mergeCell ref="B10:G10"/>
    <mergeCell ref="S10:Y10"/>
    <mergeCell ref="N10:R10"/>
    <mergeCell ref="G2:T4"/>
    <mergeCell ref="U1:Z6"/>
    <mergeCell ref="G5:H5"/>
    <mergeCell ref="A7:F7"/>
    <mergeCell ref="G7:Z7"/>
    <mergeCell ref="H10:M10"/>
    <mergeCell ref="N12:R12"/>
    <mergeCell ref="H12:M12"/>
    <mergeCell ref="H11:M11"/>
    <mergeCell ref="I5:K5"/>
    <mergeCell ref="I6:K6"/>
    <mergeCell ref="L5:O5"/>
    <mergeCell ref="P5:T5"/>
    <mergeCell ref="L6:O6"/>
    <mergeCell ref="P6:T6"/>
    <mergeCell ref="A53:Q54"/>
    <mergeCell ref="R53:T55"/>
    <mergeCell ref="A52:Q52"/>
    <mergeCell ref="R52:T52"/>
    <mergeCell ref="C34:G34"/>
    <mergeCell ref="H34:J34"/>
    <mergeCell ref="K34:P34"/>
    <mergeCell ref="C35:G35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6:L48"/>
    <mergeCell ref="C40:G40"/>
    <mergeCell ref="K42:P42"/>
    <mergeCell ref="C43:G43"/>
    <mergeCell ref="H43:J43"/>
    <mergeCell ref="K43:P43"/>
    <mergeCell ref="U53:Z55"/>
    <mergeCell ref="C32:G32"/>
    <mergeCell ref="H32:J32"/>
    <mergeCell ref="K32:P32"/>
    <mergeCell ref="C33:G33"/>
    <mergeCell ref="H33:J33"/>
    <mergeCell ref="K33:P33"/>
    <mergeCell ref="H47:J47"/>
    <mergeCell ref="H35:J35"/>
    <mergeCell ref="K35:P35"/>
    <mergeCell ref="C36:G36"/>
    <mergeCell ref="H36:J36"/>
    <mergeCell ref="K36:P36"/>
    <mergeCell ref="C37:G37"/>
    <mergeCell ref="H37:J37"/>
    <mergeCell ref="K37:P37"/>
    <mergeCell ref="U52:Z52"/>
    <mergeCell ref="K44:P44"/>
    <mergeCell ref="C42:G42"/>
    <mergeCell ref="B48:G48"/>
    <mergeCell ref="B46:G46"/>
    <mergeCell ref="H48:J48"/>
    <mergeCell ref="H46:J46"/>
    <mergeCell ref="M46:P48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E303-93E5-4293-B743-DB8355B7C194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1</v>
      </c>
      <c r="J5" s="187"/>
      <c r="K5" s="188"/>
      <c r="L5" s="190" t="s">
        <v>49</v>
      </c>
      <c r="M5" s="191"/>
      <c r="N5" s="191"/>
      <c r="O5" s="192"/>
      <c r="P5" s="193" t="s">
        <v>3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12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14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3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17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51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52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433" t="s">
        <v>53</v>
      </c>
      <c r="J18" s="433"/>
      <c r="K18" s="272" t="s">
        <v>24</v>
      </c>
      <c r="L18" s="272"/>
      <c r="M18" s="27">
        <v>35</v>
      </c>
      <c r="N18" s="27" t="s">
        <v>25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58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3</v>
      </c>
      <c r="C26" s="146"/>
      <c r="D26" s="147"/>
      <c r="E26" s="147"/>
      <c r="F26" s="147"/>
      <c r="G26" s="148"/>
      <c r="H26" s="149">
        <v>34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/>
      <c r="C27" s="146"/>
      <c r="D27" s="147"/>
      <c r="E27" s="147"/>
      <c r="F27" s="147"/>
      <c r="G27" s="148"/>
      <c r="H27" s="149"/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72"/>
      <c r="C28" s="69"/>
      <c r="D28" s="70"/>
      <c r="E28" s="70"/>
      <c r="F28" s="70"/>
      <c r="G28" s="71"/>
      <c r="H28" s="66"/>
      <c r="I28" s="67"/>
      <c r="J28" s="68"/>
      <c r="K28" s="69"/>
      <c r="L28" s="70"/>
      <c r="M28" s="70"/>
      <c r="N28" s="70"/>
      <c r="O28" s="70"/>
      <c r="P28" s="71"/>
      <c r="Z28" s="11"/>
    </row>
    <row r="29" spans="1:26" ht="19.5" customHeight="1" x14ac:dyDescent="0.25">
      <c r="A29" s="9"/>
      <c r="B29" s="72"/>
      <c r="C29" s="69"/>
      <c r="D29" s="70"/>
      <c r="E29" s="70"/>
      <c r="F29" s="70"/>
      <c r="G29" s="71"/>
      <c r="H29" s="66"/>
      <c r="I29" s="67"/>
      <c r="J29" s="68"/>
      <c r="K29" s="69"/>
      <c r="L29" s="70"/>
      <c r="M29" s="70"/>
      <c r="N29" s="70"/>
      <c r="O29" s="70"/>
      <c r="P29" s="71"/>
      <c r="Z29" s="11"/>
    </row>
    <row r="30" spans="1:26" ht="19.5" customHeight="1" x14ac:dyDescent="0.25">
      <c r="A30" s="9"/>
      <c r="B30" s="72"/>
      <c r="C30" s="69"/>
      <c r="D30" s="70"/>
      <c r="E30" s="70"/>
      <c r="F30" s="70"/>
      <c r="G30" s="71"/>
      <c r="H30" s="66"/>
      <c r="I30" s="67"/>
      <c r="J30" s="68"/>
      <c r="K30" s="69"/>
      <c r="L30" s="70"/>
      <c r="M30" s="70"/>
      <c r="N30" s="70"/>
      <c r="O30" s="70"/>
      <c r="P30" s="71"/>
      <c r="Z30" s="11"/>
    </row>
    <row r="31" spans="1:26" ht="19.5" customHeight="1" x14ac:dyDescent="0.25">
      <c r="A31" s="9"/>
      <c r="B31" s="72"/>
      <c r="C31" s="69"/>
      <c r="D31" s="70"/>
      <c r="E31" s="70"/>
      <c r="F31" s="70"/>
      <c r="G31" s="71"/>
      <c r="H31" s="66"/>
      <c r="I31" s="67"/>
      <c r="J31" s="68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72"/>
      <c r="C32" s="69"/>
      <c r="D32" s="70"/>
      <c r="E32" s="70"/>
      <c r="F32" s="70"/>
      <c r="G32" s="71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72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thickBot="1" x14ac:dyDescent="0.3">
      <c r="A54" s="9"/>
      <c r="B54" s="46"/>
      <c r="C54" s="434"/>
      <c r="D54" s="435"/>
      <c r="E54" s="435"/>
      <c r="F54" s="435"/>
      <c r="G54" s="436"/>
      <c r="H54" s="437"/>
      <c r="I54" s="438"/>
      <c r="J54" s="439"/>
      <c r="K54" s="434"/>
      <c r="L54" s="435"/>
      <c r="M54" s="435"/>
      <c r="N54" s="435"/>
      <c r="O54" s="435"/>
      <c r="P54" s="436"/>
      <c r="Z54" s="11"/>
    </row>
    <row r="55" spans="1:26" ht="15.75" customHeight="1" x14ac:dyDescent="0.25">
      <c r="A55" s="9"/>
      <c r="B55" s="247" t="s">
        <v>35</v>
      </c>
      <c r="C55" s="248"/>
      <c r="D55" s="248"/>
      <c r="E55" s="248"/>
      <c r="F55" s="248"/>
      <c r="G55" s="249"/>
      <c r="H55" s="266">
        <f>AVERAGE(H25:J54)</f>
        <v>46</v>
      </c>
      <c r="I55" s="267"/>
      <c r="J55" s="268"/>
      <c r="K55" s="440"/>
      <c r="L55" s="170"/>
      <c r="M55" s="163" t="s">
        <v>36</v>
      </c>
      <c r="N55" s="163"/>
      <c r="O55" s="163"/>
      <c r="P55" s="164"/>
      <c r="Z55" s="11"/>
    </row>
    <row r="56" spans="1:26" ht="15.75" customHeight="1" x14ac:dyDescent="0.25">
      <c r="A56" s="9"/>
      <c r="B56" s="241" t="s">
        <v>37</v>
      </c>
      <c r="C56" s="242"/>
      <c r="D56" s="242"/>
      <c r="E56" s="242"/>
      <c r="F56" s="242"/>
      <c r="G56" s="243"/>
      <c r="H56" s="269">
        <f>IF(COUNTIF(H25:J54,"*&lt;20*"),"&lt;20",MIN(H25:J54))</f>
        <v>34</v>
      </c>
      <c r="I56" s="270"/>
      <c r="J56" s="271"/>
      <c r="K56" s="171"/>
      <c r="L56" s="172"/>
      <c r="M56" s="165"/>
      <c r="N56" s="165"/>
      <c r="O56" s="165"/>
      <c r="P56" s="166"/>
      <c r="Z56" s="11"/>
    </row>
    <row r="57" spans="1:26" ht="15.75" customHeight="1" thickBot="1" x14ac:dyDescent="0.3">
      <c r="A57" s="9"/>
      <c r="B57" s="244" t="s">
        <v>38</v>
      </c>
      <c r="C57" s="245"/>
      <c r="D57" s="245"/>
      <c r="E57" s="245"/>
      <c r="F57" s="245"/>
      <c r="G57" s="246"/>
      <c r="H57" s="263">
        <f>IF(COUNTIF(H25:J54,"*&gt;250*"),"&gt;250",MAX(H25:J54))</f>
        <v>58</v>
      </c>
      <c r="I57" s="264"/>
      <c r="J57" s="265"/>
      <c r="K57" s="173"/>
      <c r="L57" s="174"/>
      <c r="M57" s="167"/>
      <c r="N57" s="167"/>
      <c r="O57" s="167"/>
      <c r="P57" s="168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39</v>
      </c>
      <c r="B60" s="5" t="s">
        <v>40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232" t="s">
        <v>41</v>
      </c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4"/>
      <c r="R61" s="226" t="s">
        <v>42</v>
      </c>
      <c r="S61" s="227"/>
      <c r="T61" s="228"/>
      <c r="U61" s="217" t="s">
        <v>12</v>
      </c>
      <c r="V61" s="218"/>
      <c r="W61" s="218"/>
      <c r="X61" s="250"/>
      <c r="Y61" s="250"/>
      <c r="Z61" s="251"/>
    </row>
    <row r="62" spans="1:26" s="17" customFormat="1" ht="15.6" customHeight="1" x14ac:dyDescent="0.25">
      <c r="A62" s="235" t="s">
        <v>50</v>
      </c>
      <c r="B62" s="236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7"/>
      <c r="R62" s="226" t="s">
        <v>43</v>
      </c>
      <c r="S62" s="227"/>
      <c r="T62" s="228"/>
      <c r="U62" s="252" t="s">
        <v>44</v>
      </c>
      <c r="V62" s="253"/>
      <c r="W62" s="253"/>
      <c r="X62" s="254"/>
      <c r="Y62" s="254"/>
      <c r="Z62" s="255"/>
    </row>
    <row r="63" spans="1:26" s="17" customFormat="1" ht="15.6" customHeight="1" x14ac:dyDescent="0.25">
      <c r="A63" s="238"/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40"/>
      <c r="R63" s="226"/>
      <c r="S63" s="227"/>
      <c r="T63" s="228"/>
      <c r="U63" s="256"/>
      <c r="V63" s="165"/>
      <c r="W63" s="165"/>
      <c r="X63" s="257"/>
      <c r="Y63" s="257"/>
      <c r="Z63" s="258"/>
    </row>
    <row r="64" spans="1:26" s="17" customFormat="1" ht="15.6" customHeight="1" x14ac:dyDescent="0.25">
      <c r="A64" s="55" t="s">
        <v>45</v>
      </c>
      <c r="B64" s="56" t="s">
        <v>46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26"/>
      <c r="S64" s="227"/>
      <c r="T64" s="228"/>
      <c r="U64" s="259"/>
      <c r="V64" s="260"/>
      <c r="W64" s="260"/>
      <c r="X64" s="261"/>
      <c r="Y64" s="261"/>
      <c r="Z64" s="262"/>
    </row>
    <row r="65" spans="1:26" s="17" customFormat="1" ht="15.6" customHeight="1" x14ac:dyDescent="0.25">
      <c r="A65" s="220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2"/>
      <c r="R65" s="226" t="s">
        <v>47</v>
      </c>
      <c r="S65" s="227"/>
      <c r="T65" s="228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220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2"/>
      <c r="R66" s="226"/>
      <c r="S66" s="227"/>
      <c r="T66" s="228"/>
      <c r="U66" s="61"/>
      <c r="V66" s="165"/>
      <c r="W66" s="165"/>
      <c r="X66" s="165"/>
      <c r="Y66" s="165"/>
      <c r="Z66" s="62"/>
    </row>
    <row r="67" spans="1:26" s="17" customFormat="1" ht="15.6" customHeight="1" x14ac:dyDescent="0.25">
      <c r="A67" s="220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2"/>
      <c r="R67" s="226"/>
      <c r="S67" s="227"/>
      <c r="T67" s="228"/>
      <c r="U67" s="61"/>
      <c r="V67" s="165"/>
      <c r="W67" s="165"/>
      <c r="X67" s="165"/>
      <c r="Y67" s="165"/>
      <c r="Z67" s="62"/>
    </row>
    <row r="68" spans="1:26" s="17" customFormat="1" ht="15.6" customHeight="1" x14ac:dyDescent="0.25">
      <c r="A68" s="223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5"/>
      <c r="R68" s="229"/>
      <c r="S68" s="230"/>
      <c r="T68" s="231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65:Q68"/>
    <mergeCell ref="R65:T68"/>
    <mergeCell ref="V66:Y67"/>
    <mergeCell ref="H57:J57"/>
    <mergeCell ref="A61:Q61"/>
    <mergeCell ref="R61:T61"/>
    <mergeCell ref="U61:Z61"/>
    <mergeCell ref="A62:Q63"/>
    <mergeCell ref="R62:T64"/>
    <mergeCell ref="U62:Z64"/>
    <mergeCell ref="B55:G55"/>
    <mergeCell ref="H55:J55"/>
    <mergeCell ref="K55:L57"/>
    <mergeCell ref="M55:P57"/>
    <mergeCell ref="B56:G56"/>
    <mergeCell ref="H56:J56"/>
    <mergeCell ref="B57:G57"/>
    <mergeCell ref="C27:G27"/>
    <mergeCell ref="H27:J27"/>
    <mergeCell ref="K27:P27"/>
    <mergeCell ref="C54:G54"/>
    <mergeCell ref="H54:J54"/>
    <mergeCell ref="K54:P54"/>
    <mergeCell ref="K23:P24"/>
    <mergeCell ref="H24:J24"/>
    <mergeCell ref="C26:G26"/>
    <mergeCell ref="H26:J26"/>
    <mergeCell ref="K26:P26"/>
    <mergeCell ref="B12:G12"/>
    <mergeCell ref="H12:M12"/>
    <mergeCell ref="N12:R12"/>
    <mergeCell ref="S12:Y12"/>
    <mergeCell ref="C25:G25"/>
    <mergeCell ref="H25:J25"/>
    <mergeCell ref="K25:P25"/>
    <mergeCell ref="B17:H17"/>
    <mergeCell ref="I17:Y17"/>
    <mergeCell ref="B18:H18"/>
    <mergeCell ref="I18:J18"/>
    <mergeCell ref="K18:L18"/>
    <mergeCell ref="J21:P21"/>
    <mergeCell ref="B23:B24"/>
    <mergeCell ref="C23:G24"/>
    <mergeCell ref="H23:J23"/>
    <mergeCell ref="I6:K6"/>
    <mergeCell ref="B11:G11"/>
    <mergeCell ref="H11:M11"/>
    <mergeCell ref="N11:R11"/>
    <mergeCell ref="S11:Y11"/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workbookViewId="0">
      <selection activeCell="T23" sqref="T23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97"/>
      <c r="B1" s="198"/>
      <c r="C1" s="198"/>
      <c r="D1" s="198"/>
      <c r="E1" s="198"/>
      <c r="F1" s="199"/>
      <c r="G1" s="206" t="s">
        <v>0</v>
      </c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8"/>
      <c r="U1" s="424" t="s">
        <v>48</v>
      </c>
      <c r="V1" s="425"/>
      <c r="W1" s="425"/>
      <c r="X1" s="425"/>
      <c r="Y1" s="425"/>
      <c r="Z1" s="426"/>
    </row>
    <row r="2" spans="1:26" ht="12.75" customHeight="1" x14ac:dyDescent="0.25">
      <c r="A2" s="200"/>
      <c r="B2" s="201"/>
      <c r="C2" s="201"/>
      <c r="D2" s="201"/>
      <c r="E2" s="201"/>
      <c r="F2" s="202"/>
      <c r="G2" s="209" t="s">
        <v>1</v>
      </c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1"/>
      <c r="U2" s="427"/>
      <c r="V2" s="428"/>
      <c r="W2" s="428"/>
      <c r="X2" s="428"/>
      <c r="Y2" s="428"/>
      <c r="Z2" s="429"/>
    </row>
    <row r="3" spans="1:26" ht="12.75" customHeight="1" x14ac:dyDescent="0.25">
      <c r="A3" s="200"/>
      <c r="B3" s="201"/>
      <c r="C3" s="201"/>
      <c r="D3" s="201"/>
      <c r="E3" s="201"/>
      <c r="F3" s="202"/>
      <c r="G3" s="209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1"/>
      <c r="U3" s="427"/>
      <c r="V3" s="428"/>
      <c r="W3" s="428"/>
      <c r="X3" s="428"/>
      <c r="Y3" s="428"/>
      <c r="Z3" s="429"/>
    </row>
    <row r="4" spans="1:26" ht="12.75" customHeight="1" x14ac:dyDescent="0.25">
      <c r="A4" s="200"/>
      <c r="B4" s="201"/>
      <c r="C4" s="201"/>
      <c r="D4" s="201"/>
      <c r="E4" s="201"/>
      <c r="F4" s="202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427"/>
      <c r="V4" s="428"/>
      <c r="W4" s="428"/>
      <c r="X4" s="428"/>
      <c r="Y4" s="428"/>
      <c r="Z4" s="429"/>
    </row>
    <row r="5" spans="1:26" ht="12.75" customHeight="1" x14ac:dyDescent="0.25">
      <c r="A5" s="200"/>
      <c r="B5" s="201"/>
      <c r="C5" s="201"/>
      <c r="D5" s="201"/>
      <c r="E5" s="201"/>
      <c r="F5" s="202"/>
      <c r="G5" s="212" t="s">
        <v>2</v>
      </c>
      <c r="H5" s="213"/>
      <c r="I5" s="187">
        <v>1</v>
      </c>
      <c r="J5" s="187"/>
      <c r="K5" s="188"/>
      <c r="L5" s="190" t="s">
        <v>49</v>
      </c>
      <c r="M5" s="191"/>
      <c r="N5" s="191"/>
      <c r="O5" s="192"/>
      <c r="P5" s="193" t="s">
        <v>3</v>
      </c>
      <c r="Q5" s="194"/>
      <c r="R5" s="194"/>
      <c r="S5" s="194"/>
      <c r="T5" s="195"/>
      <c r="U5" s="427"/>
      <c r="V5" s="428"/>
      <c r="W5" s="428"/>
      <c r="X5" s="428"/>
      <c r="Y5" s="428"/>
      <c r="Z5" s="429"/>
    </row>
    <row r="6" spans="1:26" ht="12.75" customHeight="1" x14ac:dyDescent="0.25">
      <c r="A6" s="203"/>
      <c r="B6" s="204"/>
      <c r="C6" s="204"/>
      <c r="D6" s="204"/>
      <c r="E6" s="204"/>
      <c r="F6" s="205"/>
      <c r="G6" s="2"/>
      <c r="H6" s="3"/>
      <c r="I6" s="189" t="s">
        <v>4</v>
      </c>
      <c r="J6" s="189"/>
      <c r="K6" s="189"/>
      <c r="L6" s="189" t="s">
        <v>5</v>
      </c>
      <c r="M6" s="189"/>
      <c r="N6" s="189"/>
      <c r="O6" s="189"/>
      <c r="P6" s="189" t="s">
        <v>6</v>
      </c>
      <c r="Q6" s="189"/>
      <c r="R6" s="189"/>
      <c r="S6" s="189"/>
      <c r="T6" s="196"/>
      <c r="U6" s="430"/>
      <c r="V6" s="431"/>
      <c r="W6" s="431"/>
      <c r="X6" s="431"/>
      <c r="Y6" s="431"/>
      <c r="Z6" s="432"/>
    </row>
    <row r="7" spans="1:26" ht="36.6" customHeight="1" x14ac:dyDescent="0.25">
      <c r="A7" s="214" t="s">
        <v>7</v>
      </c>
      <c r="B7" s="214"/>
      <c r="C7" s="214"/>
      <c r="D7" s="214"/>
      <c r="E7" s="214"/>
      <c r="F7" s="214"/>
      <c r="G7" s="215" t="s">
        <v>8</v>
      </c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53" t="s">
        <v>11</v>
      </c>
      <c r="C10" s="153"/>
      <c r="D10" s="153"/>
      <c r="E10" s="153"/>
      <c r="F10" s="153"/>
      <c r="G10" s="153"/>
      <c r="H10" s="216" t="s">
        <v>12</v>
      </c>
      <c r="I10" s="216"/>
      <c r="J10" s="216"/>
      <c r="K10" s="216"/>
      <c r="L10" s="216"/>
      <c r="M10" s="216"/>
      <c r="N10" s="153" t="s">
        <v>13</v>
      </c>
      <c r="O10" s="153"/>
      <c r="P10" s="153"/>
      <c r="Q10" s="153"/>
      <c r="R10" s="153"/>
      <c r="S10" s="175" t="s">
        <v>14</v>
      </c>
      <c r="T10" s="175"/>
      <c r="U10" s="175"/>
      <c r="V10" s="175"/>
      <c r="W10" s="175"/>
      <c r="X10" s="175"/>
      <c r="Y10" s="175"/>
      <c r="Z10" s="12"/>
    </row>
    <row r="11" spans="1:26" ht="15.9" customHeight="1" x14ac:dyDescent="0.25">
      <c r="A11" s="9"/>
      <c r="B11" s="153" t="s">
        <v>15</v>
      </c>
      <c r="C11" s="153"/>
      <c r="D11" s="153"/>
      <c r="E11" s="153"/>
      <c r="F11" s="153"/>
      <c r="G11" s="153"/>
      <c r="H11" s="216" t="s">
        <v>3</v>
      </c>
      <c r="I11" s="216"/>
      <c r="J11" s="216"/>
      <c r="K11" s="216"/>
      <c r="L11" s="216"/>
      <c r="M11" s="216"/>
      <c r="N11" s="153" t="s">
        <v>16</v>
      </c>
      <c r="O11" s="153"/>
      <c r="P11" s="153"/>
      <c r="Q11" s="153"/>
      <c r="R11" s="153"/>
      <c r="S11" s="175" t="s">
        <v>17</v>
      </c>
      <c r="T11" s="175"/>
      <c r="U11" s="175"/>
      <c r="V11" s="175"/>
      <c r="W11" s="175"/>
      <c r="X11" s="175"/>
      <c r="Y11" s="175"/>
      <c r="Z11" s="12"/>
    </row>
    <row r="12" spans="1:26" ht="15.9" customHeight="1" x14ac:dyDescent="0.25">
      <c r="A12" s="9"/>
      <c r="B12" s="153" t="s">
        <v>18</v>
      </c>
      <c r="C12" s="153"/>
      <c r="D12" s="153"/>
      <c r="E12" s="153"/>
      <c r="F12" s="153"/>
      <c r="G12" s="153"/>
      <c r="H12" s="216" t="s">
        <v>51</v>
      </c>
      <c r="I12" s="216"/>
      <c r="J12" s="216"/>
      <c r="K12" s="216"/>
      <c r="L12" s="216"/>
      <c r="M12" s="216"/>
      <c r="N12" s="153" t="s">
        <v>19</v>
      </c>
      <c r="O12" s="153"/>
      <c r="P12" s="153"/>
      <c r="Q12" s="153"/>
      <c r="R12" s="153"/>
      <c r="S12" s="175" t="s">
        <v>52</v>
      </c>
      <c r="T12" s="175"/>
      <c r="U12" s="175"/>
      <c r="V12" s="175"/>
      <c r="W12" s="175"/>
      <c r="X12" s="175"/>
      <c r="Y12" s="17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22</v>
      </c>
      <c r="C17" s="152"/>
      <c r="D17" s="152"/>
      <c r="E17" s="152"/>
      <c r="F17" s="152"/>
      <c r="G17" s="152"/>
      <c r="H17" s="152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28"/>
    </row>
    <row r="18" spans="1:26" s="17" customFormat="1" ht="15" customHeight="1" x14ac:dyDescent="0.25">
      <c r="A18" s="24"/>
      <c r="B18" s="152" t="s">
        <v>23</v>
      </c>
      <c r="C18" s="152"/>
      <c r="D18" s="152"/>
      <c r="E18" s="152"/>
      <c r="F18" s="152"/>
      <c r="G18" s="152"/>
      <c r="H18" s="152"/>
      <c r="I18" s="433" t="s">
        <v>53</v>
      </c>
      <c r="J18" s="433"/>
      <c r="K18" s="272" t="s">
        <v>24</v>
      </c>
      <c r="L18" s="272"/>
      <c r="M18" s="27">
        <v>35</v>
      </c>
      <c r="N18" s="27" t="s">
        <v>25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281" t="s">
        <v>28</v>
      </c>
      <c r="K21" s="281"/>
      <c r="L21" s="281"/>
      <c r="M21" s="281"/>
      <c r="N21" s="281"/>
      <c r="O21" s="281"/>
      <c r="P21" s="281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79" t="s">
        <v>29</v>
      </c>
      <c r="C23" s="176" t="s">
        <v>30</v>
      </c>
      <c r="D23" s="176"/>
      <c r="E23" s="176"/>
      <c r="F23" s="176"/>
      <c r="G23" s="177"/>
      <c r="H23" s="276" t="s">
        <v>31</v>
      </c>
      <c r="I23" s="277"/>
      <c r="J23" s="278"/>
      <c r="K23" s="176" t="s">
        <v>32</v>
      </c>
      <c r="L23" s="176"/>
      <c r="M23" s="176"/>
      <c r="N23" s="176"/>
      <c r="O23" s="176"/>
      <c r="P23" s="177"/>
      <c r="Z23" s="11"/>
    </row>
    <row r="24" spans="1:26" ht="15.75" customHeight="1" x14ac:dyDescent="0.25">
      <c r="A24" s="9"/>
      <c r="B24" s="280"/>
      <c r="C24" s="178"/>
      <c r="D24" s="178"/>
      <c r="E24" s="178"/>
      <c r="F24" s="178"/>
      <c r="G24" s="179"/>
      <c r="H24" s="273" t="s">
        <v>33</v>
      </c>
      <c r="I24" s="274"/>
      <c r="J24" s="275"/>
      <c r="K24" s="178"/>
      <c r="L24" s="178"/>
      <c r="M24" s="178"/>
      <c r="N24" s="178"/>
      <c r="O24" s="178"/>
      <c r="P24" s="179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58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 t="s">
        <v>34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46"/>
      <c r="D27" s="147"/>
      <c r="E27" s="147"/>
      <c r="F27" s="147"/>
      <c r="G27" s="148"/>
      <c r="H27" s="149">
        <v>34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72"/>
      <c r="C28" s="69"/>
      <c r="D28" s="70"/>
      <c r="E28" s="70"/>
      <c r="F28" s="70"/>
      <c r="G28" s="71"/>
      <c r="H28" s="66"/>
      <c r="I28" s="67"/>
      <c r="J28" s="68"/>
      <c r="K28" s="69"/>
      <c r="L28" s="70"/>
      <c r="M28" s="70"/>
      <c r="N28" s="70"/>
      <c r="O28" s="70"/>
      <c r="P28" s="71"/>
      <c r="Z28" s="11"/>
    </row>
    <row r="29" spans="1:26" ht="19.5" customHeight="1" x14ac:dyDescent="0.25">
      <c r="A29" s="9"/>
      <c r="B29" s="72"/>
      <c r="C29" s="69"/>
      <c r="D29" s="70"/>
      <c r="E29" s="70"/>
      <c r="F29" s="70"/>
      <c r="G29" s="71"/>
      <c r="H29" s="66"/>
      <c r="I29" s="67"/>
      <c r="J29" s="68"/>
      <c r="K29" s="69"/>
      <c r="L29" s="70"/>
      <c r="M29" s="70"/>
      <c r="N29" s="70"/>
      <c r="O29" s="70"/>
      <c r="P29" s="71"/>
      <c r="Z29" s="11"/>
    </row>
    <row r="30" spans="1:26" ht="19.5" customHeight="1" x14ac:dyDescent="0.25">
      <c r="A30" s="9"/>
      <c r="B30" s="72"/>
      <c r="C30" s="69"/>
      <c r="D30" s="70"/>
      <c r="E30" s="70"/>
      <c r="F30" s="70"/>
      <c r="G30" s="71"/>
      <c r="H30" s="66"/>
      <c r="I30" s="67"/>
      <c r="J30" s="68"/>
      <c r="K30" s="69"/>
      <c r="L30" s="70"/>
      <c r="M30" s="70"/>
      <c r="N30" s="70"/>
      <c r="O30" s="70"/>
      <c r="P30" s="71"/>
      <c r="Z30" s="11"/>
    </row>
    <row r="31" spans="1:26" ht="19.5" customHeight="1" x14ac:dyDescent="0.25">
      <c r="A31" s="9"/>
      <c r="B31" s="72"/>
      <c r="C31" s="69"/>
      <c r="D31" s="70"/>
      <c r="E31" s="70"/>
      <c r="F31" s="70"/>
      <c r="G31" s="71"/>
      <c r="H31" s="66"/>
      <c r="I31" s="67"/>
      <c r="J31" s="68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72"/>
      <c r="C32" s="69"/>
      <c r="D32" s="70"/>
      <c r="E32" s="70"/>
      <c r="F32" s="70"/>
      <c r="G32" s="71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72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434"/>
      <c r="D54" s="435"/>
      <c r="E54" s="435"/>
      <c r="F54" s="435"/>
      <c r="G54" s="436"/>
      <c r="H54" s="437"/>
      <c r="I54" s="438"/>
      <c r="J54" s="439"/>
      <c r="K54" s="434"/>
      <c r="L54" s="435"/>
      <c r="M54" s="435"/>
      <c r="N54" s="435"/>
      <c r="O54" s="435"/>
      <c r="P54" s="436"/>
      <c r="Z54" s="11"/>
    </row>
    <row r="55" spans="1:26" ht="15.75" customHeight="1" x14ac:dyDescent="0.25">
      <c r="A55" s="9"/>
      <c r="B55" s="247" t="s">
        <v>35</v>
      </c>
      <c r="C55" s="248"/>
      <c r="D55" s="248"/>
      <c r="E55" s="248"/>
      <c r="F55" s="248"/>
      <c r="G55" s="249"/>
      <c r="H55" s="266">
        <f>AVERAGE(H25:J54)</f>
        <v>46</v>
      </c>
      <c r="I55" s="267"/>
      <c r="J55" s="268"/>
      <c r="K55" s="440"/>
      <c r="L55" s="170"/>
      <c r="M55" s="163" t="s">
        <v>36</v>
      </c>
      <c r="N55" s="163"/>
      <c r="O55" s="163"/>
      <c r="P55" s="164"/>
      <c r="Z55" s="11"/>
    </row>
    <row r="56" spans="1:26" ht="15.75" customHeight="1" x14ac:dyDescent="0.25">
      <c r="A56" s="9"/>
      <c r="B56" s="241" t="s">
        <v>37</v>
      </c>
      <c r="C56" s="242"/>
      <c r="D56" s="242"/>
      <c r="E56" s="242"/>
      <c r="F56" s="242"/>
      <c r="G56" s="243"/>
      <c r="H56" s="269" t="str">
        <f>IF(COUNTIF(H25:J54,"*&lt;20*"),"&lt;20",MIN(H25:J54))</f>
        <v>&lt;20</v>
      </c>
      <c r="I56" s="270"/>
      <c r="J56" s="271"/>
      <c r="K56" s="171"/>
      <c r="L56" s="172"/>
      <c r="M56" s="165"/>
      <c r="N56" s="165"/>
      <c r="O56" s="165"/>
      <c r="P56" s="166"/>
      <c r="Z56" s="11"/>
    </row>
    <row r="57" spans="1:26" ht="15.75" customHeight="1" x14ac:dyDescent="0.25">
      <c r="A57" s="9"/>
      <c r="B57" s="244" t="s">
        <v>38</v>
      </c>
      <c r="C57" s="245"/>
      <c r="D57" s="245"/>
      <c r="E57" s="245"/>
      <c r="F57" s="245"/>
      <c r="G57" s="246"/>
      <c r="H57" s="263">
        <f>IF(COUNTIF(H25:J54,"*&gt;250*"),"&gt;250",MAX(H25:J54))</f>
        <v>58</v>
      </c>
      <c r="I57" s="264"/>
      <c r="J57" s="265"/>
      <c r="K57" s="173"/>
      <c r="L57" s="174"/>
      <c r="M57" s="167"/>
      <c r="N57" s="167"/>
      <c r="O57" s="167"/>
      <c r="P57" s="168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39</v>
      </c>
      <c r="B60" s="5" t="s">
        <v>40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232" t="s">
        <v>41</v>
      </c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4"/>
      <c r="R61" s="226" t="s">
        <v>42</v>
      </c>
      <c r="S61" s="227"/>
      <c r="T61" s="228"/>
      <c r="U61" s="217" t="s">
        <v>12</v>
      </c>
      <c r="V61" s="218"/>
      <c r="W61" s="218"/>
      <c r="X61" s="250"/>
      <c r="Y61" s="250"/>
      <c r="Z61" s="251"/>
    </row>
    <row r="62" spans="1:26" s="17" customFormat="1" ht="15.6" customHeight="1" x14ac:dyDescent="0.25">
      <c r="A62" s="235" t="s">
        <v>50</v>
      </c>
      <c r="B62" s="236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7"/>
      <c r="R62" s="226" t="s">
        <v>43</v>
      </c>
      <c r="S62" s="227"/>
      <c r="T62" s="228"/>
      <c r="U62" s="252" t="s">
        <v>44</v>
      </c>
      <c r="V62" s="253"/>
      <c r="W62" s="253"/>
      <c r="X62" s="254"/>
      <c r="Y62" s="254"/>
      <c r="Z62" s="255"/>
    </row>
    <row r="63" spans="1:26" s="17" customFormat="1" ht="15.6" customHeight="1" x14ac:dyDescent="0.25">
      <c r="A63" s="238"/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40"/>
      <c r="R63" s="226"/>
      <c r="S63" s="227"/>
      <c r="T63" s="228"/>
      <c r="U63" s="256"/>
      <c r="V63" s="165"/>
      <c r="W63" s="165"/>
      <c r="X63" s="257"/>
      <c r="Y63" s="257"/>
      <c r="Z63" s="258"/>
    </row>
    <row r="64" spans="1:26" s="17" customFormat="1" ht="15.6" customHeight="1" x14ac:dyDescent="0.25">
      <c r="A64" s="55" t="s">
        <v>45</v>
      </c>
      <c r="B64" s="56" t="s">
        <v>46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26"/>
      <c r="S64" s="227"/>
      <c r="T64" s="228"/>
      <c r="U64" s="259"/>
      <c r="V64" s="260"/>
      <c r="W64" s="260"/>
      <c r="X64" s="261"/>
      <c r="Y64" s="261"/>
      <c r="Z64" s="262"/>
    </row>
    <row r="65" spans="1:26" s="17" customFormat="1" ht="15.6" customHeight="1" x14ac:dyDescent="0.25">
      <c r="A65" s="220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2"/>
      <c r="R65" s="226" t="s">
        <v>47</v>
      </c>
      <c r="S65" s="227"/>
      <c r="T65" s="228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220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2"/>
      <c r="R66" s="226"/>
      <c r="S66" s="227"/>
      <c r="T66" s="228"/>
      <c r="U66" s="61"/>
      <c r="V66" s="165"/>
      <c r="W66" s="165"/>
      <c r="X66" s="165"/>
      <c r="Y66" s="165"/>
      <c r="Z66" s="62"/>
    </row>
    <row r="67" spans="1:26" s="17" customFormat="1" ht="15.6" customHeight="1" x14ac:dyDescent="0.25">
      <c r="A67" s="220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2"/>
      <c r="R67" s="226"/>
      <c r="S67" s="227"/>
      <c r="T67" s="228"/>
      <c r="U67" s="61"/>
      <c r="V67" s="165"/>
      <c r="W67" s="165"/>
      <c r="X67" s="165"/>
      <c r="Y67" s="165"/>
      <c r="Z67" s="62"/>
    </row>
    <row r="68" spans="1:26" s="17" customFormat="1" ht="15.6" customHeight="1" x14ac:dyDescent="0.25">
      <c r="A68" s="223"/>
      <c r="B68" s="224"/>
      <c r="C68" s="224"/>
      <c r="D68" s="224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5"/>
      <c r="R68" s="229"/>
      <c r="S68" s="230"/>
      <c r="T68" s="231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I18:J18"/>
    <mergeCell ref="A61:Q61"/>
    <mergeCell ref="R61:T61"/>
    <mergeCell ref="V66:Y67"/>
    <mergeCell ref="K18:L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A65:Q68"/>
    <mergeCell ref="R65:T68"/>
    <mergeCell ref="K26:P26"/>
    <mergeCell ref="C27:G27"/>
    <mergeCell ref="H27:J27"/>
    <mergeCell ref="K27:P27"/>
    <mergeCell ref="B55:G55"/>
    <mergeCell ref="C26:G26"/>
    <mergeCell ref="H26:J26"/>
    <mergeCell ref="H56:J56"/>
    <mergeCell ref="P5:T5"/>
    <mergeCell ref="L6:O6"/>
    <mergeCell ref="P6:T6"/>
    <mergeCell ref="N12:R12"/>
    <mergeCell ref="H12:M12"/>
    <mergeCell ref="H11:M11"/>
    <mergeCell ref="N11:R11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U61:Z61"/>
    <mergeCell ref="A62:Q63"/>
    <mergeCell ref="R62:T64"/>
    <mergeCell ref="U62:Z6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13</vt:i4>
      </vt:variant>
    </vt:vector>
  </HeadingPairs>
  <TitlesOfParts>
    <vt:vector size="26" baseType="lpstr">
      <vt:lpstr>141025 CDF après rabot nations</vt:lpstr>
      <vt:lpstr>131025 CDF après rabot mas rill</vt:lpstr>
      <vt:lpstr>080825 CdF exist. Mas Rillier</vt:lpstr>
      <vt:lpstr>080825 CdF exist. Ampère</vt:lpstr>
      <vt:lpstr>200625 CDF</vt:lpstr>
      <vt:lpstr>130525 CDF</vt:lpstr>
      <vt:lpstr>220425 CDF</vt:lpstr>
      <vt:lpstr>100425 CDF-0,15m Mas Rillier</vt:lpstr>
      <vt:lpstr>040425Arase Mas Rillier</vt:lpstr>
      <vt:lpstr>270225 corr</vt:lpstr>
      <vt:lpstr>270225</vt:lpstr>
      <vt:lpstr>110225 Voie cyclable (corr.)</vt:lpstr>
      <vt:lpstr>110225 Voie cyclable</vt:lpstr>
      <vt:lpstr>'040425Arase Mas Rillier'!Zone_d_impression</vt:lpstr>
      <vt:lpstr>'080825 CdF exist. Ampère'!Zone_d_impression</vt:lpstr>
      <vt:lpstr>'080825 CdF exist. Mas Rillier'!Zone_d_impression</vt:lpstr>
      <vt:lpstr>'100425 CDF-0,15m Mas Rillier'!Zone_d_impression</vt:lpstr>
      <vt:lpstr>'110225 Voie cyclable'!Zone_d_impression</vt:lpstr>
      <vt:lpstr>'110225 Voie cyclable (corr.)'!Zone_d_impression</vt:lpstr>
      <vt:lpstr>'130525 CDF'!Zone_d_impression</vt:lpstr>
      <vt:lpstr>'131025 CDF après rabot mas rill'!Zone_d_impression</vt:lpstr>
      <vt:lpstr>'141025 CDF après rabot nations'!Zone_d_impression</vt:lpstr>
      <vt:lpstr>'200625 CDF'!Zone_d_impression</vt:lpstr>
      <vt:lpstr>'220425 CDF'!Zone_d_impression</vt:lpstr>
      <vt:lpstr>'270225'!Zone_d_impression</vt:lpstr>
      <vt:lpstr>'270225 corr'!Zone_d_impression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2025-10-14T22:18:48Z</cp:lastPrinted>
  <dcterms:created xsi:type="dcterms:W3CDTF">2004-11-13T18:13:05Z</dcterms:created>
  <dcterms:modified xsi:type="dcterms:W3CDTF">2025-10-14T22:18:53Z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