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42\RA ALHL  Andrézieux Bouthéon - Aire des gens du voyage\Essais de Laboratoire\Sondages\"/>
    </mc:Choice>
  </mc:AlternateContent>
  <xr:revisionPtr revIDLastSave="0" documentId="13_ncr:1_{19F7DF42-6F6A-4E61-8643-4BD60032CEE8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S2E2" sheetId="7" r:id="rId1"/>
    <sheet name="S4E1" sheetId="6" r:id="rId2"/>
    <sheet name="S3E1" sheetId="5" r:id="rId3"/>
    <sheet name="S2E1" sheetId="4" r:id="rId4"/>
    <sheet name="S1E1" sheetId="3" r:id="rId5"/>
  </sheets>
  <definedNames>
    <definedName name="_xlnm.Print_Area" localSheetId="4">S1E1!$A$1:$Z$76</definedName>
    <definedName name="_xlnm.Print_Area" localSheetId="3">S2E1!$A$1:$Z$76</definedName>
    <definedName name="_xlnm.Print_Area" localSheetId="0">S2E2!$A$1:$Z$76</definedName>
    <definedName name="_xlnm.Print_Area" localSheetId="2">S3E1!$A$1:$Z$76</definedName>
    <definedName name="_xlnm.Print_Area" localSheetId="1">S4E1!$A$1:$Z$76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7" l="1"/>
  <c r="U63" i="6"/>
  <c r="U63" i="5"/>
  <c r="U63" i="4"/>
  <c r="U63" i="3"/>
</calcChain>
</file>

<file path=xl/sharedStrings.xml><?xml version="1.0" encoding="utf-8"?>
<sst xmlns="http://schemas.openxmlformats.org/spreadsheetml/2006/main" count="330" uniqueCount="72">
  <si>
    <t>RENSEIGNEMENTS GENERAUX</t>
  </si>
  <si>
    <t>Nature du matériau :</t>
  </si>
  <si>
    <t>Provenance :</t>
  </si>
  <si>
    <t>Destination :</t>
  </si>
  <si>
    <t>Tamis (mm)</t>
  </si>
  <si>
    <t>PARAMETRES D'IDENTIFICATION</t>
  </si>
  <si>
    <t>Classe :</t>
  </si>
  <si>
    <t>Dénomination :</t>
  </si>
  <si>
    <t>VBs</t>
  </si>
  <si>
    <t>IPI</t>
  </si>
  <si>
    <t>Es</t>
  </si>
  <si>
    <t>Etat :</t>
  </si>
  <si>
    <t>CLASSIFICATION GTR</t>
  </si>
  <si>
    <t>Wn (%)</t>
  </si>
  <si>
    <t>LA</t>
  </si>
  <si>
    <t>MDE</t>
  </si>
  <si>
    <t>FR (%)</t>
  </si>
  <si>
    <t>DG (%)</t>
  </si>
  <si>
    <t>ρd (t/m3)</t>
  </si>
  <si>
    <t>ρdOPN (t/m3)</t>
  </si>
  <si>
    <t>Passants (%)</t>
  </si>
  <si>
    <t>Date de(s) prélèvement(s) :</t>
  </si>
  <si>
    <t>WOPN (%)</t>
  </si>
  <si>
    <t>Ic</t>
  </si>
  <si>
    <t>Ip</t>
  </si>
  <si>
    <t>1/</t>
  </si>
  <si>
    <t>2/</t>
  </si>
  <si>
    <t>3/</t>
  </si>
  <si>
    <t>5/</t>
  </si>
  <si>
    <t>4/</t>
  </si>
  <si>
    <t>COMMENTAIRES</t>
  </si>
  <si>
    <t>Date de(s) essai(s) :</t>
  </si>
  <si>
    <t>N° Ech.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</si>
  <si>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</si>
  <si>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</si>
  <si>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</si>
  <si>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</si>
  <si>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</si>
  <si>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</si>
  <si>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</si>
  <si>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6/</t>
  </si>
  <si>
    <t>CONCLUSIONS</t>
  </si>
  <si>
    <t>7/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</si>
  <si>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</si>
  <si>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</si>
  <si>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</si>
  <si>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</si>
  <si>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</si>
  <si>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</si>
  <si>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ID</t>
  </si>
  <si>
    <t>ANALYSE GRANULOMETRIQUE (NF P 94-056 de mars 1996 ou NF EN 933-1 de mai 2012)</t>
  </si>
  <si>
    <t>et/ou NF EN 13285</t>
  </si>
  <si>
    <r>
      <t>D</t>
    </r>
    <r>
      <rPr>
        <b/>
        <vertAlign val="subscript"/>
        <sz val="10"/>
        <rFont val="Century Gothic"/>
        <family val="2"/>
      </rPr>
      <t>max</t>
    </r>
    <r>
      <rPr>
        <b/>
        <sz val="10"/>
        <rFont val="Century Gothic"/>
        <family val="2"/>
      </rPr>
      <t xml:space="preserve"> (mm)</t>
    </r>
  </si>
  <si>
    <t>IDENTIFICATION DE MATERIAU
(NF P 11-300 de septembre 1992 et GTR 1992)</t>
  </si>
  <si>
    <t>Contrôle :</t>
  </si>
  <si>
    <t>Andrezieu Boutheon Aire des gens du voyage</t>
  </si>
  <si>
    <t>RA ALHL</t>
  </si>
  <si>
    <t>F. Montet</t>
  </si>
  <si>
    <t>Argile sableuse barriolée marron grise</t>
  </si>
  <si>
    <t>S1E1</t>
  </si>
  <si>
    <t>A2</t>
  </si>
  <si>
    <t>h</t>
  </si>
  <si>
    <t>Pour Information</t>
  </si>
  <si>
    <t>F. MONTET</t>
  </si>
  <si>
    <t>Technicien de laboratoire</t>
  </si>
  <si>
    <t>m</t>
  </si>
  <si>
    <t>S2E1</t>
  </si>
  <si>
    <t>S3E1</t>
  </si>
  <si>
    <t>S4E1</t>
  </si>
  <si>
    <t>S2E2</t>
  </si>
  <si>
    <t>Sable argileux barriolé marron gris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</si>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</sst>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9"/>
      <name val="Century Gothic"/>
      <family val="2"/>
    </font>
    <font>
      <i/>
      <sz val="10"/>
      <name val="Century Gothic"/>
      <family val="2"/>
    </font>
    <font>
      <b/>
      <vertAlign val="subscript"/>
      <sz val="1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233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horizontal="left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14" fontId="10" fillId="0" borderId="0" xfId="0" applyNumberFormat="1" applyFont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4" fillId="0" borderId="0" xfId="0" applyFont="1" applyProtection="1">
      <protection hidden="1"/>
    </xf>
    <xf numFmtId="0" fontId="1" fillId="0" borderId="11" xfId="0" applyFont="1" applyBorder="1" applyProtection="1">
      <protection hidden="1"/>
    </xf>
    <xf numFmtId="0" fontId="6" fillId="0" borderId="11" xfId="0" applyFont="1" applyBorder="1" applyAlignment="1" applyProtection="1">
      <alignment horizontal="left"/>
      <protection hidden="1"/>
    </xf>
    <xf numFmtId="0" fontId="1" fillId="0" borderId="9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12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164" fontId="12" fillId="0" borderId="2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hidden="1"/>
    </xf>
    <xf numFmtId="0" fontId="13" fillId="0" borderId="8" xfId="0" quotePrefix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11" xfId="0" applyFont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vertical="center" wrapText="1"/>
      <protection locked="0"/>
    </xf>
    <xf numFmtId="164" fontId="17" fillId="0" borderId="27" xfId="1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locked="0"/>
    </xf>
    <xf numFmtId="164" fontId="17" fillId="0" borderId="27" xfId="0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164" fontId="16" fillId="0" borderId="28" xfId="1" applyNumberFormat="1" applyFont="1" applyBorder="1" applyAlignment="1" applyProtection="1">
      <alignment horizontal="center" vertical="center"/>
      <protection locked="0"/>
    </xf>
    <xf numFmtId="164" fontId="16" fillId="0" borderId="29" xfId="1" applyNumberFormat="1" applyFont="1" applyBorder="1" applyAlignment="1" applyProtection="1">
      <alignment horizontal="center" vertical="center"/>
      <protection locked="0"/>
    </xf>
    <xf numFmtId="1" fontId="16" fillId="0" borderId="28" xfId="1" applyNumberFormat="1" applyFont="1" applyBorder="1" applyAlignment="1" applyProtection="1">
      <alignment horizontal="center" vertical="center"/>
      <protection locked="0"/>
    </xf>
    <xf numFmtId="1" fontId="16" fillId="0" borderId="29" xfId="1" applyNumberFormat="1" applyFont="1" applyBorder="1" applyAlignment="1" applyProtection="1">
      <alignment horizontal="center" vertical="center"/>
      <protection locked="0"/>
    </xf>
    <xf numFmtId="2" fontId="16" fillId="0" borderId="28" xfId="1" applyNumberFormat="1" applyFont="1" applyBorder="1" applyAlignment="1" applyProtection="1">
      <alignment horizontal="center" vertical="center"/>
      <protection locked="0"/>
    </xf>
    <xf numFmtId="2" fontId="16" fillId="0" borderId="29" xfId="1" applyNumberFormat="1" applyFont="1" applyBorder="1" applyAlignment="1" applyProtection="1">
      <alignment horizontal="center" vertical="center"/>
      <protection locked="0"/>
    </xf>
    <xf numFmtId="165" fontId="16" fillId="0" borderId="28" xfId="1" applyNumberFormat="1" applyFont="1" applyBorder="1" applyAlignment="1" applyProtection="1">
      <alignment horizontal="center" vertical="center"/>
      <protection locked="0"/>
    </xf>
    <xf numFmtId="165" fontId="16" fillId="0" borderId="29" xfId="1" applyNumberFormat="1" applyFont="1" applyBorder="1" applyAlignment="1" applyProtection="1">
      <alignment horizontal="center" vertical="center"/>
      <protection locked="0"/>
    </xf>
    <xf numFmtId="1" fontId="1" fillId="0" borderId="9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165" fontId="1" fillId="0" borderId="9" xfId="0" applyNumberFormat="1" applyFont="1" applyBorder="1" applyAlignment="1" applyProtection="1">
      <alignment horizontal="center" vertical="center"/>
      <protection locked="0"/>
    </xf>
    <xf numFmtId="165" fontId="1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8" fillId="0" borderId="5" xfId="0" applyFont="1" applyBorder="1" applyAlignment="1" applyProtection="1">
      <alignment horizontal="center" vertical="top" wrapText="1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65" fontId="1" fillId="0" borderId="19" xfId="0" applyNumberFormat="1" applyFont="1" applyBorder="1" applyAlignment="1" applyProtection="1">
      <alignment horizontal="center" vertical="center"/>
      <protection locked="0"/>
    </xf>
    <xf numFmtId="165" fontId="1" fillId="0" borderId="20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1" fontId="1" fillId="0" borderId="3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 applyProtection="1">
      <alignment horizontal="center" vertical="center"/>
      <protection locked="0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vertical="center"/>
      <protection locked="0"/>
    </xf>
    <xf numFmtId="2" fontId="1" fillId="0" borderId="4" xfId="0" applyNumberFormat="1" applyFont="1" applyBorder="1" applyAlignment="1" applyProtection="1">
      <alignment vertical="center"/>
      <protection locked="0"/>
    </xf>
    <xf numFmtId="2" fontId="1" fillId="0" borderId="10" xfId="0" applyNumberFormat="1" applyFont="1" applyBorder="1" applyAlignment="1" applyProtection="1">
      <alignment vertical="center"/>
      <protection locked="0"/>
    </xf>
    <xf numFmtId="2" fontId="1" fillId="0" borderId="8" xfId="0" applyNumberFormat="1" applyFont="1" applyBorder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1" fillId="0" borderId="11" xfId="0" applyNumberFormat="1" applyFont="1" applyBorder="1" applyAlignment="1" applyProtection="1">
      <alignment vertical="center"/>
      <protection locked="0"/>
    </xf>
    <xf numFmtId="2" fontId="1" fillId="0" borderId="9" xfId="0" applyNumberFormat="1" applyFont="1" applyBorder="1" applyAlignment="1" applyProtection="1">
      <alignment vertical="center"/>
      <protection locked="0"/>
    </xf>
    <xf numFmtId="2" fontId="1" fillId="0" borderId="5" xfId="0" applyNumberFormat="1" applyFont="1" applyBorder="1" applyAlignment="1" applyProtection="1">
      <alignment vertical="center"/>
      <protection locked="0"/>
    </xf>
    <xf numFmtId="2" fontId="1" fillId="0" borderId="12" xfId="0" applyNumberFormat="1" applyFont="1" applyBorder="1" applyAlignment="1" applyProtection="1">
      <alignment vertical="center"/>
      <protection locked="0"/>
    </xf>
    <xf numFmtId="165" fontId="1" fillId="0" borderId="3" xfId="0" applyNumberFormat="1" applyFont="1" applyBorder="1" applyAlignment="1" applyProtection="1">
      <alignment vertical="center"/>
      <protection locked="0"/>
    </xf>
    <xf numFmtId="165" fontId="1" fillId="0" borderId="4" xfId="0" applyNumberFormat="1" applyFont="1" applyBorder="1" applyAlignment="1" applyProtection="1">
      <alignment vertical="center"/>
      <protection locked="0"/>
    </xf>
    <xf numFmtId="165" fontId="1" fillId="0" borderId="10" xfId="0" applyNumberFormat="1" applyFont="1" applyBorder="1" applyAlignment="1" applyProtection="1">
      <alignment vertical="center"/>
      <protection locked="0"/>
    </xf>
    <xf numFmtId="165" fontId="1" fillId="0" borderId="8" xfId="0" applyNumberFormat="1" applyFont="1" applyBorder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165" fontId="1" fillId="0" borderId="11" xfId="0" applyNumberFormat="1" applyFont="1" applyBorder="1" applyAlignment="1" applyProtection="1">
      <alignment vertical="center"/>
      <protection locked="0"/>
    </xf>
    <xf numFmtId="165" fontId="1" fillId="0" borderId="9" xfId="0" applyNumberFormat="1" applyFont="1" applyBorder="1" applyAlignment="1" applyProtection="1">
      <alignment vertical="center"/>
      <protection locked="0"/>
    </xf>
    <xf numFmtId="165" fontId="1" fillId="0" borderId="5" xfId="0" applyNumberFormat="1" applyFont="1" applyBorder="1" applyAlignment="1" applyProtection="1">
      <alignment vertical="center"/>
      <protection locked="0"/>
    </xf>
    <xf numFmtId="165" fontId="1" fillId="0" borderId="12" xfId="0" applyNumberFormat="1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textRotation="90" wrapText="1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1" fillId="0" borderId="9" xfId="0" applyFont="1" applyBorder="1" applyAlignment="1" applyProtection="1">
      <alignment horizontal="center" vertical="center" textRotation="90" wrapText="1"/>
      <protection hidden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18" fillId="0" borderId="30" xfId="1" applyFont="1" applyBorder="1" applyAlignment="1" applyProtection="1">
      <alignment horizontal="center" vertical="center" wrapText="1"/>
      <protection locked="0"/>
    </xf>
    <xf numFmtId="0" fontId="18" fillId="0" borderId="31" xfId="1" applyFont="1" applyBorder="1" applyAlignment="1" applyProtection="1">
      <alignment horizontal="center" vertical="center" wrapText="1"/>
      <protection locked="0"/>
    </xf>
    <xf numFmtId="0" fontId="18" fillId="0" borderId="32" xfId="1" applyFont="1" applyBorder="1" applyAlignment="1" applyProtection="1">
      <alignment horizontal="center" vertical="center" wrapText="1"/>
      <protection locked="0"/>
    </xf>
    <xf numFmtId="0" fontId="18" fillId="0" borderId="33" xfId="1" applyFont="1" applyBorder="1" applyAlignment="1" applyProtection="1">
      <alignment horizontal="center" vertical="center" wrapText="1"/>
      <protection locked="0"/>
    </xf>
    <xf numFmtId="0" fontId="18" fillId="0" borderId="0" xfId="1" applyFont="1" applyAlignment="1" applyProtection="1">
      <alignment horizontal="center" vertical="center" wrapText="1"/>
      <protection locked="0"/>
    </xf>
    <xf numFmtId="0" fontId="18" fillId="0" borderId="34" xfId="1" applyFont="1" applyBorder="1" applyAlignment="1" applyProtection="1">
      <alignment horizontal="center" vertical="center" wrapText="1"/>
      <protection locked="0"/>
    </xf>
    <xf numFmtId="0" fontId="18" fillId="0" borderId="35" xfId="1" applyFont="1" applyBorder="1" applyAlignment="1" applyProtection="1">
      <alignment horizontal="center" vertical="center" wrapText="1"/>
      <protection locked="0"/>
    </xf>
    <xf numFmtId="0" fontId="18" fillId="0" borderId="36" xfId="1" applyFont="1" applyBorder="1" applyAlignment="1" applyProtection="1">
      <alignment horizontal="center" vertical="center" wrapText="1"/>
      <protection locked="0"/>
    </xf>
    <xf numFmtId="0" fontId="18" fillId="0" borderId="37" xfId="1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14" fontId="10" fillId="0" borderId="8" xfId="0" applyNumberFormat="1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14" fontId="10" fillId="0" borderId="11" xfId="0" applyNumberFormat="1" applyFont="1" applyBorder="1" applyAlignment="1" applyProtection="1">
      <alignment horizontal="center" vertical="center"/>
      <protection locked="0"/>
    </xf>
    <xf numFmtId="164" fontId="16" fillId="0" borderId="28" xfId="0" applyNumberFormat="1" applyFont="1" applyBorder="1" applyAlignment="1" applyProtection="1">
      <alignment horizontal="center" vertical="center"/>
      <protection locked="0"/>
    </xf>
    <xf numFmtId="164" fontId="16" fillId="0" borderId="29" xfId="0" applyNumberFormat="1" applyFont="1" applyBorder="1" applyAlignment="1" applyProtection="1">
      <alignment horizontal="center" vertical="center"/>
      <protection locked="0"/>
    </xf>
    <xf numFmtId="2" fontId="16" fillId="0" borderId="28" xfId="0" applyNumberFormat="1" applyFont="1" applyBorder="1" applyAlignment="1" applyProtection="1">
      <alignment horizontal="center" vertical="center"/>
      <protection locked="0"/>
    </xf>
    <xf numFmtId="2" fontId="16" fillId="0" borderId="29" xfId="0" applyNumberFormat="1" applyFont="1" applyBorder="1" applyAlignment="1" applyProtection="1">
      <alignment horizontal="center" vertical="center"/>
      <protection locked="0"/>
    </xf>
    <xf numFmtId="165" fontId="16" fillId="0" borderId="28" xfId="0" applyNumberFormat="1" applyFont="1" applyBorder="1" applyAlignment="1" applyProtection="1">
      <alignment horizontal="center" vertical="center"/>
      <protection locked="0"/>
    </xf>
    <xf numFmtId="165" fontId="16" fillId="0" borderId="29" xfId="0" applyNumberFormat="1" applyFont="1" applyBorder="1" applyAlignment="1" applyProtection="1">
      <alignment horizontal="center" vertical="center"/>
      <protection locked="0"/>
    </xf>
    <xf numFmtId="1" fontId="16" fillId="0" borderId="28" xfId="0" applyNumberFormat="1" applyFont="1" applyBorder="1" applyAlignment="1" applyProtection="1">
      <alignment horizontal="center" vertical="center"/>
      <protection locked="0"/>
    </xf>
    <xf numFmtId="1" fontId="16" fillId="0" borderId="29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1D63E5D7-CFB8-4D65-A23A-C6BA4EF6FA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S2E2!$D$47:$Y$47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S2E2!$D$48:$Y$48</c:f>
              <c:numCache>
                <c:formatCode>0.0</c:formatCode>
                <c:ptCount val="22"/>
                <c:pt idx="0">
                  <c:v>29.3</c:v>
                </c:pt>
                <c:pt idx="1">
                  <c:v>39.5</c:v>
                </c:pt>
                <c:pt idx="2">
                  <c:v>58.4</c:v>
                </c:pt>
                <c:pt idx="3">
                  <c:v>77.099999999999994</c:v>
                </c:pt>
                <c:pt idx="4">
                  <c:v>93.7</c:v>
                </c:pt>
                <c:pt idx="5">
                  <c:v>97.5</c:v>
                </c:pt>
                <c:pt idx="6">
                  <c:v>98.3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CF-4C48-875E-E7DAE38E5D5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S2E2!$D$47:$Z$47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S2E2!$D$49:$Z$49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CF-4C48-875E-E7DAE38E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S4E1!$D$47:$Y$47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S4E1!$D$48:$Y$48</c:f>
              <c:numCache>
                <c:formatCode>0.0</c:formatCode>
                <c:ptCount val="22"/>
                <c:pt idx="0">
                  <c:v>39.299999999999997</c:v>
                </c:pt>
                <c:pt idx="1">
                  <c:v>44.4</c:v>
                </c:pt>
                <c:pt idx="2">
                  <c:v>56.4</c:v>
                </c:pt>
                <c:pt idx="3">
                  <c:v>68.400000000000006</c:v>
                </c:pt>
                <c:pt idx="4">
                  <c:v>80.400000000000006</c:v>
                </c:pt>
                <c:pt idx="5">
                  <c:v>87.4</c:v>
                </c:pt>
                <c:pt idx="6">
                  <c:v>92.7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95-4B2B-907F-84CF8636B4E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S4E1!$D$47:$Z$47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S4E1!$D$49:$Z$49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95-4B2B-907F-84CF8636B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S3E1!$D$47:$Y$47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S3E1!$D$48:$Y$48</c:f>
              <c:numCache>
                <c:formatCode>0.0</c:formatCode>
                <c:ptCount val="22"/>
                <c:pt idx="0">
                  <c:v>41.7</c:v>
                </c:pt>
                <c:pt idx="1">
                  <c:v>47.2</c:v>
                </c:pt>
                <c:pt idx="2">
                  <c:v>67.2</c:v>
                </c:pt>
                <c:pt idx="3">
                  <c:v>81.7</c:v>
                </c:pt>
                <c:pt idx="4">
                  <c:v>95.4</c:v>
                </c:pt>
                <c:pt idx="5">
                  <c:v>98.8</c:v>
                </c:pt>
                <c:pt idx="6">
                  <c:v>99.8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A7-43A4-9903-6B05730AFF42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S3E1!$D$47:$Z$47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S3E1!$D$49:$Z$49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A7-43A4-9903-6B05730AF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S2E1!$D$47:$Y$47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S2E1!$D$48:$Y$48</c:f>
              <c:numCache>
                <c:formatCode>0.0</c:formatCode>
                <c:ptCount val="22"/>
                <c:pt idx="0">
                  <c:v>42.2</c:v>
                </c:pt>
                <c:pt idx="1">
                  <c:v>48.2</c:v>
                </c:pt>
                <c:pt idx="2">
                  <c:v>60</c:v>
                </c:pt>
                <c:pt idx="3">
                  <c:v>71</c:v>
                </c:pt>
                <c:pt idx="4">
                  <c:v>83.3</c:v>
                </c:pt>
                <c:pt idx="5">
                  <c:v>90.1</c:v>
                </c:pt>
                <c:pt idx="6">
                  <c:v>94.2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00-4F53-BCC7-0873137FE68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S2E1!$D$47:$Z$47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00-4F53-BCC7-0873137F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S1E1!$D$47:$Y$47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S1E1!$D$48:$Y$48</c:f>
              <c:numCache>
                <c:formatCode>0.0</c:formatCode>
                <c:ptCount val="22"/>
                <c:pt idx="0">
                  <c:v>44.8</c:v>
                </c:pt>
                <c:pt idx="1">
                  <c:v>52.6</c:v>
                </c:pt>
                <c:pt idx="2">
                  <c:v>63.2</c:v>
                </c:pt>
                <c:pt idx="3">
                  <c:v>76.099999999999994</c:v>
                </c:pt>
                <c:pt idx="4">
                  <c:v>88.8</c:v>
                </c:pt>
                <c:pt idx="5">
                  <c:v>96.6</c:v>
                </c:pt>
                <c:pt idx="6">
                  <c:v>99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F-405B-874B-9E4AB2B061D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S1E1!$D$47:$Z$47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EF-405B-874B-9E4AB2B0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D033B04-0F81-44D9-81FB-E6D18236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4758EC99-1F09-45D5-8186-7FCA32A4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538965-1913-4A1F-AABE-9698828B8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563880</xdr:colOff>
          <xdr:row>74</xdr:row>
          <xdr:rowOff>190500</xdr:rowOff>
        </xdr:to>
        <xdr:sp macro="" textlink="">
          <xdr:nvSpPr>
            <xdr:cNvPr id="6145" name="CommandButton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1B080379-5B66-4A6A-95EC-E81B4530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03F8899-5302-497B-B6CB-234D86B67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563880</xdr:colOff>
          <xdr:row>74</xdr:row>
          <xdr:rowOff>190500</xdr:rowOff>
        </xdr:to>
        <xdr:sp macro="" textlink="">
          <xdr:nvSpPr>
            <xdr:cNvPr id="5121" name="Command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A4FDE3BF-F293-490E-8FDF-2CD3B2F1D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61D03B8-9B4F-4A74-89D1-08F277CB6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563880</xdr:colOff>
          <xdr:row>74</xdr:row>
          <xdr:rowOff>190500</xdr:rowOff>
        </xdr:to>
        <xdr:sp macro="" textlink="">
          <xdr:nvSpPr>
            <xdr:cNvPr id="4097" name="CommandButton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3F337AC9-A1D5-426D-89FA-B9147B76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74</xdr:row>
          <xdr:rowOff>190500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33375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6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DB20-A6FB-4396-B5C1-24244247593E}">
  <sheetPr codeName="Feuil7">
    <pageSetUpPr fitToPage="1"/>
  </sheetPr>
  <dimension ref="A1:Z76"/>
  <sheetViews>
    <sheetView topLeftCell="A51" workbookViewId="0">
      <selection activeCell="AC57" sqref="AC57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95"/>
      <c r="B1" s="196"/>
      <c r="C1" s="196"/>
      <c r="D1" s="196"/>
      <c r="E1" s="196"/>
      <c r="F1" s="197"/>
      <c r="G1" s="158" t="s">
        <v>44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159"/>
      <c r="U1" s="205" t="s">
        <v>55</v>
      </c>
      <c r="V1" s="206"/>
      <c r="W1" s="206"/>
      <c r="X1" s="206"/>
      <c r="Y1" s="206"/>
      <c r="Z1" s="207"/>
    </row>
    <row r="2" spans="1:26" ht="12.75" customHeight="1" x14ac:dyDescent="0.25">
      <c r="A2" s="198"/>
      <c r="B2" s="199"/>
      <c r="C2" s="199"/>
      <c r="D2" s="199"/>
      <c r="E2" s="199"/>
      <c r="F2" s="200"/>
      <c r="G2" s="214" t="s">
        <v>53</v>
      </c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08"/>
      <c r="V2" s="209"/>
      <c r="W2" s="209"/>
      <c r="X2" s="209"/>
      <c r="Y2" s="209"/>
      <c r="Z2" s="210"/>
    </row>
    <row r="3" spans="1:26" ht="12.75" customHeight="1" x14ac:dyDescent="0.25">
      <c r="A3" s="198"/>
      <c r="B3" s="199"/>
      <c r="C3" s="199"/>
      <c r="D3" s="199"/>
      <c r="E3" s="199"/>
      <c r="F3" s="200"/>
      <c r="G3" s="214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8"/>
      <c r="V3" s="209"/>
      <c r="W3" s="209"/>
      <c r="X3" s="209"/>
      <c r="Y3" s="209"/>
      <c r="Z3" s="210"/>
    </row>
    <row r="4" spans="1:26" ht="12.75" customHeight="1" x14ac:dyDescent="0.25">
      <c r="A4" s="198"/>
      <c r="B4" s="199"/>
      <c r="C4" s="199"/>
      <c r="D4" s="199"/>
      <c r="E4" s="199"/>
      <c r="F4" s="200"/>
      <c r="G4" s="2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08"/>
      <c r="V4" s="209"/>
      <c r="W4" s="209"/>
      <c r="X4" s="209"/>
      <c r="Y4" s="209"/>
      <c r="Z4" s="210"/>
    </row>
    <row r="5" spans="1:26" ht="12.75" customHeight="1" x14ac:dyDescent="0.25">
      <c r="A5" s="198"/>
      <c r="B5" s="199"/>
      <c r="C5" s="199"/>
      <c r="D5" s="199"/>
      <c r="E5" s="199"/>
      <c r="F5" s="200"/>
      <c r="G5" s="217" t="s">
        <v>49</v>
      </c>
      <c r="H5" s="218"/>
      <c r="I5" s="2" t="s">
        <v>45</v>
      </c>
      <c r="J5" s="219">
        <v>5</v>
      </c>
      <c r="K5" s="220"/>
      <c r="L5" s="221" t="s">
        <v>56</v>
      </c>
      <c r="M5" s="219"/>
      <c r="N5" s="219"/>
      <c r="O5" s="220"/>
      <c r="P5" s="222">
        <v>45744</v>
      </c>
      <c r="Q5" s="223"/>
      <c r="R5" s="223"/>
      <c r="S5" s="223"/>
      <c r="T5" s="224"/>
      <c r="U5" s="208"/>
      <c r="V5" s="209"/>
      <c r="W5" s="209"/>
      <c r="X5" s="209"/>
      <c r="Y5" s="209"/>
      <c r="Z5" s="210"/>
    </row>
    <row r="6" spans="1:26" ht="12.75" customHeight="1" x14ac:dyDescent="0.25">
      <c r="A6" s="201"/>
      <c r="B6" s="202"/>
      <c r="C6" s="202"/>
      <c r="D6" s="202"/>
      <c r="E6" s="202"/>
      <c r="F6" s="203"/>
      <c r="G6" s="3"/>
      <c r="H6" s="4"/>
      <c r="I6" s="4"/>
      <c r="J6" s="192" t="s">
        <v>46</v>
      </c>
      <c r="K6" s="192"/>
      <c r="L6" s="192" t="s">
        <v>47</v>
      </c>
      <c r="M6" s="192"/>
      <c r="N6" s="192"/>
      <c r="O6" s="192"/>
      <c r="P6" s="192" t="s">
        <v>48</v>
      </c>
      <c r="Q6" s="192"/>
      <c r="R6" s="192"/>
      <c r="S6" s="192"/>
      <c r="T6" s="193"/>
      <c r="U6" s="211"/>
      <c r="V6" s="212"/>
      <c r="W6" s="212"/>
      <c r="X6" s="212"/>
      <c r="Y6" s="212"/>
      <c r="Z6" s="213"/>
    </row>
    <row r="7" spans="1:26" ht="36.6" customHeight="1" x14ac:dyDescent="0.25">
      <c r="A7" s="187" t="s">
        <v>34</v>
      </c>
      <c r="B7" s="187"/>
      <c r="C7" s="187"/>
      <c r="D7" s="187"/>
      <c r="E7" s="187"/>
      <c r="F7" s="187"/>
      <c r="G7" s="194" t="s">
        <v>43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9" t="s">
        <v>33</v>
      </c>
      <c r="C10" s="189"/>
      <c r="D10" s="189"/>
      <c r="E10" s="189"/>
      <c r="F10" s="189"/>
      <c r="G10" s="189"/>
      <c r="H10" s="190" t="s">
        <v>57</v>
      </c>
      <c r="I10" s="190"/>
      <c r="J10" s="190"/>
      <c r="K10" s="190"/>
      <c r="L10" s="190"/>
      <c r="M10" s="190"/>
      <c r="N10" s="189" t="s">
        <v>1</v>
      </c>
      <c r="O10" s="189"/>
      <c r="P10" s="189"/>
      <c r="Q10" s="189"/>
      <c r="R10" s="189"/>
      <c r="S10" s="75" t="s">
        <v>70</v>
      </c>
      <c r="T10" s="75"/>
      <c r="U10" s="75"/>
      <c r="V10" s="75"/>
      <c r="W10" s="75"/>
      <c r="X10" s="75"/>
      <c r="Y10" s="75"/>
      <c r="Z10" s="14"/>
    </row>
    <row r="11" spans="1:26" ht="15.9" customHeight="1" x14ac:dyDescent="0.25">
      <c r="A11" s="10"/>
      <c r="B11" s="189" t="s">
        <v>21</v>
      </c>
      <c r="C11" s="189"/>
      <c r="D11" s="189"/>
      <c r="E11" s="189"/>
      <c r="F11" s="189"/>
      <c r="G11" s="189"/>
      <c r="H11" s="190">
        <v>45741</v>
      </c>
      <c r="I11" s="190"/>
      <c r="J11" s="190"/>
      <c r="K11" s="190"/>
      <c r="L11" s="190"/>
      <c r="M11" s="190"/>
      <c r="N11" s="189" t="s">
        <v>2</v>
      </c>
      <c r="O11" s="189"/>
      <c r="P11" s="189"/>
      <c r="Q11" s="189"/>
      <c r="R11" s="189"/>
      <c r="S11" s="191" t="s">
        <v>69</v>
      </c>
      <c r="T11" s="191"/>
      <c r="U11" s="191"/>
      <c r="V11" s="191"/>
      <c r="W11" s="191"/>
      <c r="X11" s="191"/>
      <c r="Y11" s="191"/>
      <c r="Z11" s="14"/>
    </row>
    <row r="12" spans="1:26" ht="15.9" customHeight="1" x14ac:dyDescent="0.25">
      <c r="A12" s="10"/>
      <c r="B12" s="189" t="s">
        <v>31</v>
      </c>
      <c r="C12" s="189"/>
      <c r="D12" s="189"/>
      <c r="E12" s="189"/>
      <c r="F12" s="189"/>
      <c r="G12" s="189"/>
      <c r="H12" s="190">
        <v>45742</v>
      </c>
      <c r="I12" s="190"/>
      <c r="J12" s="190"/>
      <c r="K12" s="190"/>
      <c r="L12" s="190"/>
      <c r="M12" s="190"/>
      <c r="N12" s="189" t="s">
        <v>3</v>
      </c>
      <c r="O12" s="189"/>
      <c r="P12" s="189"/>
      <c r="Q12" s="189"/>
      <c r="R12" s="189"/>
      <c r="S12" s="191"/>
      <c r="T12" s="191"/>
      <c r="U12" s="191"/>
      <c r="V12" s="191"/>
      <c r="W12" s="191"/>
      <c r="X12" s="191"/>
      <c r="Y12" s="191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84" t="s">
        <v>38</v>
      </c>
      <c r="C17" s="184"/>
      <c r="D17" s="184"/>
      <c r="E17" s="184"/>
      <c r="F17" s="184"/>
      <c r="G17" s="184"/>
      <c r="H17" s="18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29"/>
    </row>
    <row r="18" spans="1:26" s="19" customFormat="1" ht="15" x14ac:dyDescent="0.25">
      <c r="A18" s="26"/>
      <c r="B18" s="184" t="s">
        <v>39</v>
      </c>
      <c r="C18" s="184"/>
      <c r="D18" s="184"/>
      <c r="E18" s="184"/>
      <c r="F18" s="184"/>
      <c r="G18" s="184"/>
      <c r="H18" s="184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86" t="s">
        <v>4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37"/>
      <c r="W46" s="37"/>
      <c r="X46" s="37"/>
      <c r="Y46" s="37"/>
      <c r="Z46" s="38"/>
    </row>
    <row r="47" spans="1:26" ht="15.9" customHeight="1" x14ac:dyDescent="0.25">
      <c r="A47" s="39"/>
      <c r="B47" s="130" t="s">
        <v>32</v>
      </c>
      <c r="C47" s="176"/>
      <c r="D47" s="74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77" t="s">
        <v>20</v>
      </c>
      <c r="B48" s="180"/>
      <c r="C48" s="181"/>
      <c r="D48" s="73">
        <v>29.3</v>
      </c>
      <c r="E48" s="73">
        <v>39.5</v>
      </c>
      <c r="F48" s="73">
        <v>58.4</v>
      </c>
      <c r="G48" s="73">
        <v>77.099999999999994</v>
      </c>
      <c r="H48" s="73">
        <v>93.7</v>
      </c>
      <c r="I48" s="73">
        <v>97.5</v>
      </c>
      <c r="J48" s="73">
        <v>98.3</v>
      </c>
      <c r="K48" s="73">
        <v>100</v>
      </c>
      <c r="L48" s="73"/>
      <c r="M48" s="73"/>
      <c r="N48" s="73"/>
      <c r="O48" s="73"/>
      <c r="P48" s="73"/>
      <c r="Q48" s="73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78"/>
      <c r="B49" s="182"/>
      <c r="C49" s="18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78"/>
      <c r="B50" s="182"/>
      <c r="C50" s="18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79"/>
      <c r="B51" s="182"/>
      <c r="C51" s="18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73" t="s">
        <v>32</v>
      </c>
      <c r="C56" s="173"/>
      <c r="D56" s="173" t="s">
        <v>13</v>
      </c>
      <c r="E56" s="173"/>
      <c r="F56" s="130" t="s">
        <v>52</v>
      </c>
      <c r="G56" s="176"/>
      <c r="H56" s="173" t="s">
        <v>24</v>
      </c>
      <c r="I56" s="173"/>
      <c r="J56" s="173" t="s">
        <v>23</v>
      </c>
      <c r="K56" s="173"/>
      <c r="L56" s="173" t="s">
        <v>8</v>
      </c>
      <c r="M56" s="173"/>
      <c r="N56" s="173" t="s">
        <v>10</v>
      </c>
      <c r="O56" s="173"/>
      <c r="P56" s="173" t="s">
        <v>9</v>
      </c>
      <c r="Q56" s="173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74"/>
      <c r="C57" s="175"/>
      <c r="D57" s="99">
        <v>13.2</v>
      </c>
      <c r="E57" s="100"/>
      <c r="F57" s="99">
        <v>10</v>
      </c>
      <c r="G57" s="100"/>
      <c r="H57" s="103"/>
      <c r="I57" s="104"/>
      <c r="J57" s="105"/>
      <c r="K57" s="106"/>
      <c r="L57" s="103">
        <v>2.31</v>
      </c>
      <c r="M57" s="104"/>
      <c r="N57" s="99"/>
      <c r="O57" s="100"/>
      <c r="P57" s="101">
        <v>16</v>
      </c>
      <c r="Q57" s="10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71"/>
      <c r="C58" s="172"/>
      <c r="D58" s="126"/>
      <c r="E58" s="127"/>
      <c r="F58" s="126"/>
      <c r="G58" s="127"/>
      <c r="H58" s="169"/>
      <c r="I58" s="170"/>
      <c r="J58" s="128"/>
      <c r="K58" s="129"/>
      <c r="L58" s="169"/>
      <c r="M58" s="170"/>
      <c r="N58" s="126"/>
      <c r="O58" s="127"/>
      <c r="P58" s="124"/>
      <c r="Q58" s="125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67"/>
      <c r="C59" s="168"/>
      <c r="D59" s="126"/>
      <c r="E59" s="127"/>
      <c r="F59" s="126"/>
      <c r="G59" s="127"/>
      <c r="H59" s="169"/>
      <c r="I59" s="170"/>
      <c r="J59" s="128"/>
      <c r="K59" s="129"/>
      <c r="L59" s="169"/>
      <c r="M59" s="170"/>
      <c r="N59" s="126"/>
      <c r="O59" s="127"/>
      <c r="P59" s="124"/>
      <c r="Q59" s="125"/>
      <c r="R59" s="12"/>
      <c r="T59" s="47"/>
      <c r="U59" s="13" t="s">
        <v>6</v>
      </c>
      <c r="V59" s="64"/>
      <c r="W59" s="161" t="s">
        <v>71</v>
      </c>
      <c r="X59" s="161"/>
      <c r="Y59" s="161"/>
      <c r="Z59" s="12"/>
    </row>
    <row r="60" spans="1:26" ht="15.9" customHeight="1" x14ac:dyDescent="0.25">
      <c r="A60" s="51"/>
      <c r="B60" s="162"/>
      <c r="C60" s="163"/>
      <c r="D60" s="109"/>
      <c r="E60" s="110"/>
      <c r="F60" s="109"/>
      <c r="G60" s="110"/>
      <c r="H60" s="164"/>
      <c r="I60" s="165"/>
      <c r="J60" s="111"/>
      <c r="K60" s="112"/>
      <c r="L60" s="164"/>
      <c r="M60" s="165"/>
      <c r="N60" s="109"/>
      <c r="O60" s="110"/>
      <c r="P60" s="107"/>
      <c r="Q60" s="108"/>
      <c r="R60" s="12"/>
      <c r="T60" s="47"/>
      <c r="U60" s="64" t="s">
        <v>11</v>
      </c>
      <c r="V60" s="64"/>
      <c r="W60" s="166" t="s">
        <v>65</v>
      </c>
      <c r="X60" s="166"/>
      <c r="Y60" s="166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57" t="s">
        <v>14</v>
      </c>
      <c r="C62" s="157"/>
      <c r="D62" s="157" t="s">
        <v>15</v>
      </c>
      <c r="E62" s="157"/>
      <c r="F62" s="157" t="s">
        <v>16</v>
      </c>
      <c r="G62" s="157"/>
      <c r="H62" s="157" t="s">
        <v>17</v>
      </c>
      <c r="I62" s="157"/>
      <c r="J62" s="158" t="s">
        <v>18</v>
      </c>
      <c r="K62" s="159"/>
      <c r="L62" s="130" t="s">
        <v>22</v>
      </c>
      <c r="M62" s="160"/>
      <c r="N62" s="132"/>
      <c r="O62" s="130" t="s">
        <v>19</v>
      </c>
      <c r="P62" s="131"/>
      <c r="Q62" s="132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33"/>
      <c r="C63" s="134"/>
      <c r="D63" s="133"/>
      <c r="E63" s="134"/>
      <c r="F63" s="135"/>
      <c r="G63" s="136"/>
      <c r="H63" s="135"/>
      <c r="I63" s="136"/>
      <c r="J63" s="137"/>
      <c r="K63" s="138"/>
      <c r="L63" s="139"/>
      <c r="M63" s="140"/>
      <c r="N63" s="141"/>
      <c r="O63" s="148"/>
      <c r="P63" s="149"/>
      <c r="Q63" s="150"/>
      <c r="R63" s="12"/>
      <c r="T63" s="47"/>
      <c r="U63" s="122" t="str">
        <f>IF(S10&lt;&gt;"",S10,"")</f>
        <v>Sable argileux barriolé marron gris</v>
      </c>
      <c r="V63" s="122"/>
      <c r="W63" s="122"/>
      <c r="X63" s="122"/>
      <c r="Y63" s="122"/>
      <c r="Z63" s="50"/>
    </row>
    <row r="64" spans="1:26" ht="15.9" customHeight="1" x14ac:dyDescent="0.25">
      <c r="A64" s="45"/>
      <c r="B64" s="124"/>
      <c r="C64" s="125"/>
      <c r="D64" s="124"/>
      <c r="E64" s="125"/>
      <c r="F64" s="126"/>
      <c r="G64" s="127"/>
      <c r="H64" s="126"/>
      <c r="I64" s="127"/>
      <c r="J64" s="128"/>
      <c r="K64" s="129"/>
      <c r="L64" s="142"/>
      <c r="M64" s="143"/>
      <c r="N64" s="144"/>
      <c r="O64" s="151"/>
      <c r="P64" s="152"/>
      <c r="Q64" s="153"/>
      <c r="R64" s="12"/>
      <c r="T64" s="47"/>
      <c r="U64" s="122"/>
      <c r="V64" s="122"/>
      <c r="W64" s="122"/>
      <c r="X64" s="122"/>
      <c r="Y64" s="122"/>
      <c r="Z64" s="50"/>
    </row>
    <row r="65" spans="1:26" ht="15.9" customHeight="1" x14ac:dyDescent="0.25">
      <c r="A65" s="45"/>
      <c r="B65" s="124"/>
      <c r="C65" s="125"/>
      <c r="D65" s="124"/>
      <c r="E65" s="125"/>
      <c r="F65" s="126"/>
      <c r="G65" s="127"/>
      <c r="H65" s="126"/>
      <c r="I65" s="127"/>
      <c r="J65" s="128"/>
      <c r="K65" s="129"/>
      <c r="L65" s="142"/>
      <c r="M65" s="143"/>
      <c r="N65" s="144"/>
      <c r="O65" s="151"/>
      <c r="P65" s="152"/>
      <c r="Q65" s="153"/>
      <c r="R65" s="12"/>
      <c r="T65" s="3"/>
      <c r="U65" s="123"/>
      <c r="V65" s="123"/>
      <c r="W65" s="123"/>
      <c r="X65" s="123"/>
      <c r="Y65" s="123"/>
      <c r="Z65" s="53"/>
    </row>
    <row r="66" spans="1:26" ht="15.9" customHeight="1" x14ac:dyDescent="0.25">
      <c r="A66" s="45"/>
      <c r="B66" s="107"/>
      <c r="C66" s="108"/>
      <c r="D66" s="107"/>
      <c r="E66" s="108"/>
      <c r="F66" s="109"/>
      <c r="G66" s="110"/>
      <c r="H66" s="109"/>
      <c r="I66" s="110"/>
      <c r="J66" s="111"/>
      <c r="K66" s="112"/>
      <c r="L66" s="145"/>
      <c r="M66" s="146"/>
      <c r="N66" s="147"/>
      <c r="O66" s="154"/>
      <c r="P66" s="155"/>
      <c r="Q66" s="156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113"/>
      <c r="V69" s="113"/>
      <c r="W69" s="113"/>
      <c r="X69" s="114"/>
      <c r="Y69" s="114"/>
      <c r="Z69" s="115"/>
    </row>
    <row r="70" spans="1:26" s="19" customFormat="1" ht="26.4" customHeight="1" x14ac:dyDescent="0.25">
      <c r="A70" s="116" t="s">
        <v>54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8"/>
      <c r="R70" s="80" t="s">
        <v>35</v>
      </c>
      <c r="S70" s="81"/>
      <c r="T70" s="82"/>
      <c r="U70" s="119" t="s">
        <v>63</v>
      </c>
      <c r="V70" s="120"/>
      <c r="W70" s="120"/>
      <c r="X70" s="120"/>
      <c r="Y70" s="120"/>
      <c r="Z70" s="121"/>
    </row>
    <row r="71" spans="1:26" s="19" customFormat="1" ht="26.4" customHeight="1" x14ac:dyDescent="0.25">
      <c r="A71" s="77" t="s">
        <v>62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9"/>
      <c r="R71" s="80"/>
      <c r="S71" s="81"/>
      <c r="T71" s="82"/>
      <c r="U71" s="83" t="s">
        <v>64</v>
      </c>
      <c r="V71" s="84"/>
      <c r="W71" s="84"/>
      <c r="X71" s="84"/>
      <c r="Y71" s="84"/>
      <c r="Z71" s="85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80"/>
      <c r="S72" s="81"/>
      <c r="T72" s="82"/>
      <c r="U72" s="86"/>
      <c r="V72" s="87"/>
      <c r="W72" s="87"/>
      <c r="X72" s="87"/>
      <c r="Y72" s="87"/>
      <c r="Z72" s="88"/>
    </row>
    <row r="73" spans="1:26" s="19" customFormat="1" ht="15.6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1"/>
      <c r="R73" s="80" t="s">
        <v>36</v>
      </c>
      <c r="S73" s="81"/>
      <c r="T73" s="82"/>
      <c r="U73" s="65"/>
      <c r="V73" s="66"/>
      <c r="W73" s="66"/>
      <c r="X73" s="66"/>
      <c r="Y73" s="66"/>
      <c r="Z73" s="67"/>
    </row>
    <row r="74" spans="1:26" s="19" customFormat="1" ht="15.6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  <c r="R74" s="80"/>
      <c r="S74" s="81"/>
      <c r="T74" s="82"/>
      <c r="U74" s="68"/>
      <c r="V74" s="98"/>
      <c r="W74" s="98"/>
      <c r="X74" s="98"/>
      <c r="Y74" s="98"/>
      <c r="Z74" s="69"/>
    </row>
    <row r="75" spans="1:26" s="19" customFormat="1" ht="15.6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1"/>
      <c r="R75" s="80"/>
      <c r="S75" s="81"/>
      <c r="T75" s="82"/>
      <c r="U75" s="68"/>
      <c r="V75" s="98"/>
      <c r="W75" s="98"/>
      <c r="X75" s="98"/>
      <c r="Y75" s="98"/>
      <c r="Z75" s="69"/>
    </row>
    <row r="76" spans="1:26" s="19" customFormat="1" ht="15.6" customHeight="1" x14ac:dyDescent="0.25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95"/>
      <c r="S76" s="96"/>
      <c r="T76" s="97"/>
      <c r="U76" s="70"/>
      <c r="V76" s="71"/>
      <c r="W76" s="71"/>
      <c r="X76" s="71"/>
      <c r="Y76" s="71"/>
      <c r="Z76" s="72"/>
    </row>
  </sheetData>
  <sheetProtection selectLockedCells="1"/>
  <mergeCells count="117"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A71:Q71"/>
    <mergeCell ref="R71:T72"/>
    <mergeCell ref="U71:Z72"/>
    <mergeCell ref="A73:Q76"/>
    <mergeCell ref="R73:T76"/>
    <mergeCell ref="V74:Y75"/>
    <mergeCell ref="N57:O57"/>
    <mergeCell ref="P57:Q57"/>
    <mergeCell ref="D57:E57"/>
    <mergeCell ref="F57:G57"/>
    <mergeCell ref="H57:I57"/>
    <mergeCell ref="J57:K57"/>
    <mergeCell ref="L57:M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10241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563880</xdr:colOff>
                <xdr:row>74</xdr:row>
                <xdr:rowOff>190500</xdr:rowOff>
              </to>
            </anchor>
          </controlPr>
        </control>
      </mc:Choice>
      <mc:Fallback>
        <control shapeId="10241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0406-0D12-4093-9EE2-CC32431C04B1}">
  <sheetPr codeName="Feuil6">
    <pageSetUpPr fitToPage="1"/>
  </sheetPr>
  <dimension ref="A1:Z76"/>
  <sheetViews>
    <sheetView topLeftCell="A52" workbookViewId="0">
      <selection activeCell="S50" sqref="S50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95"/>
      <c r="B1" s="196"/>
      <c r="C1" s="196"/>
      <c r="D1" s="196"/>
      <c r="E1" s="196"/>
      <c r="F1" s="197"/>
      <c r="G1" s="158" t="s">
        <v>44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159"/>
      <c r="U1" s="205" t="s">
        <v>55</v>
      </c>
      <c r="V1" s="206"/>
      <c r="W1" s="206"/>
      <c r="X1" s="206"/>
      <c r="Y1" s="206"/>
      <c r="Z1" s="207"/>
    </row>
    <row r="2" spans="1:26" ht="12.75" customHeight="1" x14ac:dyDescent="0.25">
      <c r="A2" s="198"/>
      <c r="B2" s="199"/>
      <c r="C2" s="199"/>
      <c r="D2" s="199"/>
      <c r="E2" s="199"/>
      <c r="F2" s="200"/>
      <c r="G2" s="214" t="s">
        <v>53</v>
      </c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08"/>
      <c r="V2" s="209"/>
      <c r="W2" s="209"/>
      <c r="X2" s="209"/>
      <c r="Y2" s="209"/>
      <c r="Z2" s="210"/>
    </row>
    <row r="3" spans="1:26" ht="12.75" customHeight="1" x14ac:dyDescent="0.25">
      <c r="A3" s="198"/>
      <c r="B3" s="199"/>
      <c r="C3" s="199"/>
      <c r="D3" s="199"/>
      <c r="E3" s="199"/>
      <c r="F3" s="200"/>
      <c r="G3" s="214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8"/>
      <c r="V3" s="209"/>
      <c r="W3" s="209"/>
      <c r="X3" s="209"/>
      <c r="Y3" s="209"/>
      <c r="Z3" s="210"/>
    </row>
    <row r="4" spans="1:26" ht="12.75" customHeight="1" x14ac:dyDescent="0.25">
      <c r="A4" s="198"/>
      <c r="B4" s="199"/>
      <c r="C4" s="199"/>
      <c r="D4" s="199"/>
      <c r="E4" s="199"/>
      <c r="F4" s="200"/>
      <c r="G4" s="2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08"/>
      <c r="V4" s="209"/>
      <c r="W4" s="209"/>
      <c r="X4" s="209"/>
      <c r="Y4" s="209"/>
      <c r="Z4" s="210"/>
    </row>
    <row r="5" spans="1:26" ht="12.75" customHeight="1" x14ac:dyDescent="0.25">
      <c r="A5" s="198"/>
      <c r="B5" s="199"/>
      <c r="C5" s="199"/>
      <c r="D5" s="199"/>
      <c r="E5" s="199"/>
      <c r="F5" s="200"/>
      <c r="G5" s="217" t="s">
        <v>49</v>
      </c>
      <c r="H5" s="218"/>
      <c r="I5" s="2" t="s">
        <v>45</v>
      </c>
      <c r="J5" s="219">
        <v>4</v>
      </c>
      <c r="K5" s="220"/>
      <c r="L5" s="221" t="s">
        <v>56</v>
      </c>
      <c r="M5" s="219"/>
      <c r="N5" s="219"/>
      <c r="O5" s="220"/>
      <c r="P5" s="222">
        <v>45743</v>
      </c>
      <c r="Q5" s="223"/>
      <c r="R5" s="223"/>
      <c r="S5" s="223"/>
      <c r="T5" s="224"/>
      <c r="U5" s="208"/>
      <c r="V5" s="209"/>
      <c r="W5" s="209"/>
      <c r="X5" s="209"/>
      <c r="Y5" s="209"/>
      <c r="Z5" s="210"/>
    </row>
    <row r="6" spans="1:26" ht="12.75" customHeight="1" x14ac:dyDescent="0.25">
      <c r="A6" s="201"/>
      <c r="B6" s="202"/>
      <c r="C6" s="202"/>
      <c r="D6" s="202"/>
      <c r="E6" s="202"/>
      <c r="F6" s="203"/>
      <c r="G6" s="3"/>
      <c r="H6" s="4"/>
      <c r="I6" s="4"/>
      <c r="J6" s="192" t="s">
        <v>46</v>
      </c>
      <c r="K6" s="192"/>
      <c r="L6" s="192" t="s">
        <v>47</v>
      </c>
      <c r="M6" s="192"/>
      <c r="N6" s="192"/>
      <c r="O6" s="192"/>
      <c r="P6" s="192" t="s">
        <v>48</v>
      </c>
      <c r="Q6" s="192"/>
      <c r="R6" s="192"/>
      <c r="S6" s="192"/>
      <c r="T6" s="193"/>
      <c r="U6" s="211"/>
      <c r="V6" s="212"/>
      <c r="W6" s="212"/>
      <c r="X6" s="212"/>
      <c r="Y6" s="212"/>
      <c r="Z6" s="213"/>
    </row>
    <row r="7" spans="1:26" ht="36.6" customHeight="1" x14ac:dyDescent="0.25">
      <c r="A7" s="187" t="s">
        <v>34</v>
      </c>
      <c r="B7" s="187"/>
      <c r="C7" s="187"/>
      <c r="D7" s="187"/>
      <c r="E7" s="187"/>
      <c r="F7" s="187"/>
      <c r="G7" s="194" t="s">
        <v>43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9" t="s">
        <v>33</v>
      </c>
      <c r="C10" s="189"/>
      <c r="D10" s="189"/>
      <c r="E10" s="189"/>
      <c r="F10" s="189"/>
      <c r="G10" s="189"/>
      <c r="H10" s="190" t="s">
        <v>57</v>
      </c>
      <c r="I10" s="190"/>
      <c r="J10" s="190"/>
      <c r="K10" s="190"/>
      <c r="L10" s="190"/>
      <c r="M10" s="190"/>
      <c r="N10" s="189" t="s">
        <v>1</v>
      </c>
      <c r="O10" s="189"/>
      <c r="P10" s="189"/>
      <c r="Q10" s="189"/>
      <c r="R10" s="189"/>
      <c r="S10" s="75" t="s">
        <v>58</v>
      </c>
      <c r="T10" s="75"/>
      <c r="U10" s="75"/>
      <c r="V10" s="75"/>
      <c r="W10" s="75"/>
      <c r="X10" s="75"/>
      <c r="Y10" s="75"/>
      <c r="Z10" s="14"/>
    </row>
    <row r="11" spans="1:26" ht="15.9" customHeight="1" x14ac:dyDescent="0.25">
      <c r="A11" s="10"/>
      <c r="B11" s="189" t="s">
        <v>21</v>
      </c>
      <c r="C11" s="189"/>
      <c r="D11" s="189"/>
      <c r="E11" s="189"/>
      <c r="F11" s="189"/>
      <c r="G11" s="189"/>
      <c r="H11" s="190">
        <v>45741</v>
      </c>
      <c r="I11" s="190"/>
      <c r="J11" s="190"/>
      <c r="K11" s="190"/>
      <c r="L11" s="190"/>
      <c r="M11" s="190"/>
      <c r="N11" s="189" t="s">
        <v>2</v>
      </c>
      <c r="O11" s="189"/>
      <c r="P11" s="189"/>
      <c r="Q11" s="189"/>
      <c r="R11" s="189"/>
      <c r="S11" s="191" t="s">
        <v>68</v>
      </c>
      <c r="T11" s="191"/>
      <c r="U11" s="191"/>
      <c r="V11" s="191"/>
      <c r="W11" s="191"/>
      <c r="X11" s="191"/>
      <c r="Y11" s="191"/>
      <c r="Z11" s="14"/>
    </row>
    <row r="12" spans="1:26" ht="15.9" customHeight="1" x14ac:dyDescent="0.25">
      <c r="A12" s="10"/>
      <c r="B12" s="189" t="s">
        <v>31</v>
      </c>
      <c r="C12" s="189"/>
      <c r="D12" s="189"/>
      <c r="E12" s="189"/>
      <c r="F12" s="189"/>
      <c r="G12" s="189"/>
      <c r="H12" s="190">
        <v>45742</v>
      </c>
      <c r="I12" s="190"/>
      <c r="J12" s="190"/>
      <c r="K12" s="190"/>
      <c r="L12" s="190"/>
      <c r="M12" s="190"/>
      <c r="N12" s="189" t="s">
        <v>3</v>
      </c>
      <c r="O12" s="189"/>
      <c r="P12" s="189"/>
      <c r="Q12" s="189"/>
      <c r="R12" s="189"/>
      <c r="S12" s="191"/>
      <c r="T12" s="191"/>
      <c r="U12" s="191"/>
      <c r="V12" s="191"/>
      <c r="W12" s="191"/>
      <c r="X12" s="191"/>
      <c r="Y12" s="191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84" t="s">
        <v>38</v>
      </c>
      <c r="C17" s="184"/>
      <c r="D17" s="184"/>
      <c r="E17" s="184"/>
      <c r="F17" s="184"/>
      <c r="G17" s="184"/>
      <c r="H17" s="18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29"/>
    </row>
    <row r="18" spans="1:26" s="19" customFormat="1" ht="15" x14ac:dyDescent="0.25">
      <c r="A18" s="26"/>
      <c r="B18" s="184" t="s">
        <v>39</v>
      </c>
      <c r="C18" s="184"/>
      <c r="D18" s="184"/>
      <c r="E18" s="184"/>
      <c r="F18" s="184"/>
      <c r="G18" s="184"/>
      <c r="H18" s="184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86" t="s">
        <v>4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37"/>
      <c r="W46" s="37"/>
      <c r="X46" s="37"/>
      <c r="Y46" s="37"/>
      <c r="Z46" s="38"/>
    </row>
    <row r="47" spans="1:26" ht="15.9" customHeight="1" x14ac:dyDescent="0.25">
      <c r="A47" s="39"/>
      <c r="B47" s="130" t="s">
        <v>32</v>
      </c>
      <c r="C47" s="176"/>
      <c r="D47" s="74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77" t="s">
        <v>20</v>
      </c>
      <c r="B48" s="180"/>
      <c r="C48" s="181"/>
      <c r="D48" s="76">
        <v>39.299999999999997</v>
      </c>
      <c r="E48" s="76">
        <v>44.4</v>
      </c>
      <c r="F48" s="76">
        <v>56.4</v>
      </c>
      <c r="G48" s="76">
        <v>68.400000000000006</v>
      </c>
      <c r="H48" s="76">
        <v>80.400000000000006</v>
      </c>
      <c r="I48" s="76">
        <v>87.4</v>
      </c>
      <c r="J48" s="76">
        <v>92.7</v>
      </c>
      <c r="K48" s="76">
        <v>100</v>
      </c>
      <c r="L48" s="73"/>
      <c r="M48" s="73"/>
      <c r="N48" s="73"/>
      <c r="O48" s="73"/>
      <c r="P48" s="73"/>
      <c r="Q48" s="73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78"/>
      <c r="B49" s="182"/>
      <c r="C49" s="18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78"/>
      <c r="B50" s="182"/>
      <c r="C50" s="18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79"/>
      <c r="B51" s="182"/>
      <c r="C51" s="18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73" t="s">
        <v>32</v>
      </c>
      <c r="C56" s="173"/>
      <c r="D56" s="173" t="s">
        <v>13</v>
      </c>
      <c r="E56" s="173"/>
      <c r="F56" s="130" t="s">
        <v>52</v>
      </c>
      <c r="G56" s="176"/>
      <c r="H56" s="173" t="s">
        <v>24</v>
      </c>
      <c r="I56" s="173"/>
      <c r="J56" s="173" t="s">
        <v>23</v>
      </c>
      <c r="K56" s="173"/>
      <c r="L56" s="173" t="s">
        <v>8</v>
      </c>
      <c r="M56" s="173"/>
      <c r="N56" s="173" t="s">
        <v>10</v>
      </c>
      <c r="O56" s="173"/>
      <c r="P56" s="173" t="s">
        <v>9</v>
      </c>
      <c r="Q56" s="173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74"/>
      <c r="C57" s="175"/>
      <c r="D57" s="225">
        <v>18.3</v>
      </c>
      <c r="E57" s="226"/>
      <c r="F57" s="225">
        <v>10</v>
      </c>
      <c r="G57" s="226"/>
      <c r="H57" s="227"/>
      <c r="I57" s="228"/>
      <c r="J57" s="229"/>
      <c r="K57" s="230"/>
      <c r="L57" s="227"/>
      <c r="M57" s="228"/>
      <c r="N57" s="225"/>
      <c r="O57" s="226"/>
      <c r="P57" s="231">
        <v>7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71"/>
      <c r="C58" s="172"/>
      <c r="D58" s="126"/>
      <c r="E58" s="127"/>
      <c r="F58" s="126"/>
      <c r="G58" s="127"/>
      <c r="H58" s="169"/>
      <c r="I58" s="170"/>
      <c r="J58" s="128"/>
      <c r="K58" s="129"/>
      <c r="L58" s="169"/>
      <c r="M58" s="170"/>
      <c r="N58" s="126"/>
      <c r="O58" s="127"/>
      <c r="P58" s="124"/>
      <c r="Q58" s="125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67"/>
      <c r="C59" s="168"/>
      <c r="D59" s="126"/>
      <c r="E59" s="127"/>
      <c r="F59" s="126"/>
      <c r="G59" s="127"/>
      <c r="H59" s="169"/>
      <c r="I59" s="170"/>
      <c r="J59" s="128"/>
      <c r="K59" s="129"/>
      <c r="L59" s="169"/>
      <c r="M59" s="170"/>
      <c r="N59" s="126"/>
      <c r="O59" s="127"/>
      <c r="P59" s="124"/>
      <c r="Q59" s="125"/>
      <c r="R59" s="12"/>
      <c r="T59" s="47"/>
      <c r="U59" s="13" t="s">
        <v>6</v>
      </c>
      <c r="V59" s="64"/>
      <c r="W59" s="161" t="s">
        <v>60</v>
      </c>
      <c r="X59" s="161"/>
      <c r="Y59" s="161"/>
      <c r="Z59" s="12"/>
    </row>
    <row r="60" spans="1:26" ht="15.9" customHeight="1" x14ac:dyDescent="0.25">
      <c r="A60" s="51"/>
      <c r="B60" s="162"/>
      <c r="C60" s="163"/>
      <c r="D60" s="109"/>
      <c r="E60" s="110"/>
      <c r="F60" s="109"/>
      <c r="G60" s="110"/>
      <c r="H60" s="164"/>
      <c r="I60" s="165"/>
      <c r="J60" s="111"/>
      <c r="K60" s="112"/>
      <c r="L60" s="164"/>
      <c r="M60" s="165"/>
      <c r="N60" s="109"/>
      <c r="O60" s="110"/>
      <c r="P60" s="107"/>
      <c r="Q60" s="108"/>
      <c r="R60" s="12"/>
      <c r="T60" s="47"/>
      <c r="U60" s="64" t="s">
        <v>11</v>
      </c>
      <c r="V60" s="64"/>
      <c r="W60" s="166" t="s">
        <v>65</v>
      </c>
      <c r="X60" s="166"/>
      <c r="Y60" s="166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57" t="s">
        <v>14</v>
      </c>
      <c r="C62" s="157"/>
      <c r="D62" s="157" t="s">
        <v>15</v>
      </c>
      <c r="E62" s="157"/>
      <c r="F62" s="157" t="s">
        <v>16</v>
      </c>
      <c r="G62" s="157"/>
      <c r="H62" s="157" t="s">
        <v>17</v>
      </c>
      <c r="I62" s="157"/>
      <c r="J62" s="158" t="s">
        <v>18</v>
      </c>
      <c r="K62" s="159"/>
      <c r="L62" s="130" t="s">
        <v>22</v>
      </c>
      <c r="M62" s="160"/>
      <c r="N62" s="132"/>
      <c r="O62" s="130" t="s">
        <v>19</v>
      </c>
      <c r="P62" s="131"/>
      <c r="Q62" s="132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33"/>
      <c r="C63" s="134"/>
      <c r="D63" s="133"/>
      <c r="E63" s="134"/>
      <c r="F63" s="135"/>
      <c r="G63" s="136"/>
      <c r="H63" s="135"/>
      <c r="I63" s="136"/>
      <c r="J63" s="137"/>
      <c r="K63" s="138"/>
      <c r="L63" s="139"/>
      <c r="M63" s="140"/>
      <c r="N63" s="141"/>
      <c r="O63" s="148"/>
      <c r="P63" s="149"/>
      <c r="Q63" s="150"/>
      <c r="R63" s="12"/>
      <c r="T63" s="47"/>
      <c r="U63" s="122" t="str">
        <f>IF(S10&lt;&gt;"",S10,"")</f>
        <v>Argile sableuse barriolée marron grise</v>
      </c>
      <c r="V63" s="122"/>
      <c r="W63" s="122"/>
      <c r="X63" s="122"/>
      <c r="Y63" s="122"/>
      <c r="Z63" s="50"/>
    </row>
    <row r="64" spans="1:26" ht="15.9" customHeight="1" x14ac:dyDescent="0.25">
      <c r="A64" s="45"/>
      <c r="B64" s="124"/>
      <c r="C64" s="125"/>
      <c r="D64" s="124"/>
      <c r="E64" s="125"/>
      <c r="F64" s="126"/>
      <c r="G64" s="127"/>
      <c r="H64" s="126"/>
      <c r="I64" s="127"/>
      <c r="J64" s="128"/>
      <c r="K64" s="129"/>
      <c r="L64" s="142"/>
      <c r="M64" s="143"/>
      <c r="N64" s="144"/>
      <c r="O64" s="151"/>
      <c r="P64" s="152"/>
      <c r="Q64" s="153"/>
      <c r="R64" s="12"/>
      <c r="T64" s="47"/>
      <c r="U64" s="122"/>
      <c r="V64" s="122"/>
      <c r="W64" s="122"/>
      <c r="X64" s="122"/>
      <c r="Y64" s="122"/>
      <c r="Z64" s="50"/>
    </row>
    <row r="65" spans="1:26" ht="15.9" customHeight="1" x14ac:dyDescent="0.25">
      <c r="A65" s="45"/>
      <c r="B65" s="124"/>
      <c r="C65" s="125"/>
      <c r="D65" s="124"/>
      <c r="E65" s="125"/>
      <c r="F65" s="126"/>
      <c r="G65" s="127"/>
      <c r="H65" s="126"/>
      <c r="I65" s="127"/>
      <c r="J65" s="128"/>
      <c r="K65" s="129"/>
      <c r="L65" s="142"/>
      <c r="M65" s="143"/>
      <c r="N65" s="144"/>
      <c r="O65" s="151"/>
      <c r="P65" s="152"/>
      <c r="Q65" s="153"/>
      <c r="R65" s="12"/>
      <c r="T65" s="3"/>
      <c r="U65" s="123"/>
      <c r="V65" s="123"/>
      <c r="W65" s="123"/>
      <c r="X65" s="123"/>
      <c r="Y65" s="123"/>
      <c r="Z65" s="53"/>
    </row>
    <row r="66" spans="1:26" ht="15.9" customHeight="1" x14ac:dyDescent="0.25">
      <c r="A66" s="45"/>
      <c r="B66" s="107"/>
      <c r="C66" s="108"/>
      <c r="D66" s="107"/>
      <c r="E66" s="108"/>
      <c r="F66" s="109"/>
      <c r="G66" s="110"/>
      <c r="H66" s="109"/>
      <c r="I66" s="110"/>
      <c r="J66" s="111"/>
      <c r="K66" s="112"/>
      <c r="L66" s="145"/>
      <c r="M66" s="146"/>
      <c r="N66" s="147"/>
      <c r="O66" s="154"/>
      <c r="P66" s="155"/>
      <c r="Q66" s="156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113"/>
      <c r="V69" s="113"/>
      <c r="W69" s="113"/>
      <c r="X69" s="114"/>
      <c r="Y69" s="114"/>
      <c r="Z69" s="115"/>
    </row>
    <row r="70" spans="1:26" s="19" customFormat="1" ht="26.4" customHeight="1" x14ac:dyDescent="0.25">
      <c r="A70" s="116" t="s">
        <v>54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8"/>
      <c r="R70" s="80" t="s">
        <v>35</v>
      </c>
      <c r="S70" s="81"/>
      <c r="T70" s="82"/>
      <c r="U70" s="119" t="s">
        <v>63</v>
      </c>
      <c r="V70" s="120"/>
      <c r="W70" s="120"/>
      <c r="X70" s="120"/>
      <c r="Y70" s="120"/>
      <c r="Z70" s="121"/>
    </row>
    <row r="71" spans="1:26" s="19" customFormat="1" ht="26.4" customHeight="1" x14ac:dyDescent="0.25">
      <c r="A71" s="77" t="s">
        <v>62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9"/>
      <c r="R71" s="80"/>
      <c r="S71" s="81"/>
      <c r="T71" s="82"/>
      <c r="U71" s="83" t="s">
        <v>64</v>
      </c>
      <c r="V71" s="84"/>
      <c r="W71" s="84"/>
      <c r="X71" s="84"/>
      <c r="Y71" s="84"/>
      <c r="Z71" s="85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80"/>
      <c r="S72" s="81"/>
      <c r="T72" s="82"/>
      <c r="U72" s="86"/>
      <c r="V72" s="87"/>
      <c r="W72" s="87"/>
      <c r="X72" s="87"/>
      <c r="Y72" s="87"/>
      <c r="Z72" s="88"/>
    </row>
    <row r="73" spans="1:26" s="19" customFormat="1" ht="15.6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1"/>
      <c r="R73" s="80" t="s">
        <v>36</v>
      </c>
      <c r="S73" s="81"/>
      <c r="T73" s="82"/>
      <c r="U73" s="65"/>
      <c r="V73" s="66"/>
      <c r="W73" s="66"/>
      <c r="X73" s="66"/>
      <c r="Y73" s="66"/>
      <c r="Z73" s="67"/>
    </row>
    <row r="74" spans="1:26" s="19" customFormat="1" ht="15.6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  <c r="R74" s="80"/>
      <c r="S74" s="81"/>
      <c r="T74" s="82"/>
      <c r="U74" s="68"/>
      <c r="V74" s="98"/>
      <c r="W74" s="98"/>
      <c r="X74" s="98"/>
      <c r="Y74" s="98"/>
      <c r="Z74" s="69"/>
    </row>
    <row r="75" spans="1:26" s="19" customFormat="1" ht="15.6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1"/>
      <c r="R75" s="80"/>
      <c r="S75" s="81"/>
      <c r="T75" s="82"/>
      <c r="U75" s="68"/>
      <c r="V75" s="98"/>
      <c r="W75" s="98"/>
      <c r="X75" s="98"/>
      <c r="Y75" s="98"/>
      <c r="Z75" s="69"/>
    </row>
    <row r="76" spans="1:26" s="19" customFormat="1" ht="15.6" customHeight="1" x14ac:dyDescent="0.25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95"/>
      <c r="S76" s="96"/>
      <c r="T76" s="97"/>
      <c r="U76" s="70"/>
      <c r="V76" s="71"/>
      <c r="W76" s="71"/>
      <c r="X76" s="71"/>
      <c r="Y76" s="71"/>
      <c r="Z76" s="72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B57:C57"/>
    <mergeCell ref="D57:E57"/>
    <mergeCell ref="F57:G57"/>
    <mergeCell ref="H57:I57"/>
    <mergeCell ref="J57:K57"/>
    <mergeCell ref="L57:M57"/>
    <mergeCell ref="N57:O57"/>
    <mergeCell ref="P57:Q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6145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563880</xdr:colOff>
                <xdr:row>74</xdr:row>
                <xdr:rowOff>190500</xdr:rowOff>
              </to>
            </anchor>
          </controlPr>
        </control>
      </mc:Choice>
      <mc:Fallback>
        <control shapeId="6145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99EB-D9CC-45C8-BA6F-BC3999551524}">
  <sheetPr codeName="Feuil5">
    <pageSetUpPr fitToPage="1"/>
  </sheetPr>
  <dimension ref="A1:Z76"/>
  <sheetViews>
    <sheetView topLeftCell="A52" workbookViewId="0">
      <selection activeCell="D57" sqref="D57:Q57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95"/>
      <c r="B1" s="196"/>
      <c r="C1" s="196"/>
      <c r="D1" s="196"/>
      <c r="E1" s="196"/>
      <c r="F1" s="197"/>
      <c r="G1" s="158" t="s">
        <v>44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159"/>
      <c r="U1" s="205" t="s">
        <v>55</v>
      </c>
      <c r="V1" s="206"/>
      <c r="W1" s="206"/>
      <c r="X1" s="206"/>
      <c r="Y1" s="206"/>
      <c r="Z1" s="207"/>
    </row>
    <row r="2" spans="1:26" ht="12.75" customHeight="1" x14ac:dyDescent="0.25">
      <c r="A2" s="198"/>
      <c r="B2" s="199"/>
      <c r="C2" s="199"/>
      <c r="D2" s="199"/>
      <c r="E2" s="199"/>
      <c r="F2" s="200"/>
      <c r="G2" s="214" t="s">
        <v>53</v>
      </c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08"/>
      <c r="V2" s="209"/>
      <c r="W2" s="209"/>
      <c r="X2" s="209"/>
      <c r="Y2" s="209"/>
      <c r="Z2" s="210"/>
    </row>
    <row r="3" spans="1:26" ht="12.75" customHeight="1" x14ac:dyDescent="0.25">
      <c r="A3" s="198"/>
      <c r="B3" s="199"/>
      <c r="C3" s="199"/>
      <c r="D3" s="199"/>
      <c r="E3" s="199"/>
      <c r="F3" s="200"/>
      <c r="G3" s="214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8"/>
      <c r="V3" s="209"/>
      <c r="W3" s="209"/>
      <c r="X3" s="209"/>
      <c r="Y3" s="209"/>
      <c r="Z3" s="210"/>
    </row>
    <row r="4" spans="1:26" ht="12.75" customHeight="1" x14ac:dyDescent="0.25">
      <c r="A4" s="198"/>
      <c r="B4" s="199"/>
      <c r="C4" s="199"/>
      <c r="D4" s="199"/>
      <c r="E4" s="199"/>
      <c r="F4" s="200"/>
      <c r="G4" s="2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08"/>
      <c r="V4" s="209"/>
      <c r="W4" s="209"/>
      <c r="X4" s="209"/>
      <c r="Y4" s="209"/>
      <c r="Z4" s="210"/>
    </row>
    <row r="5" spans="1:26" ht="12.75" customHeight="1" x14ac:dyDescent="0.25">
      <c r="A5" s="198"/>
      <c r="B5" s="199"/>
      <c r="C5" s="199"/>
      <c r="D5" s="199"/>
      <c r="E5" s="199"/>
      <c r="F5" s="200"/>
      <c r="G5" s="217" t="s">
        <v>49</v>
      </c>
      <c r="H5" s="218"/>
      <c r="I5" s="2" t="s">
        <v>45</v>
      </c>
      <c r="J5" s="219">
        <v>3</v>
      </c>
      <c r="K5" s="220"/>
      <c r="L5" s="221" t="s">
        <v>56</v>
      </c>
      <c r="M5" s="219"/>
      <c r="N5" s="219"/>
      <c r="O5" s="220"/>
      <c r="P5" s="222">
        <v>45743</v>
      </c>
      <c r="Q5" s="223"/>
      <c r="R5" s="223"/>
      <c r="S5" s="223"/>
      <c r="T5" s="224"/>
      <c r="U5" s="208"/>
      <c r="V5" s="209"/>
      <c r="W5" s="209"/>
      <c r="X5" s="209"/>
      <c r="Y5" s="209"/>
      <c r="Z5" s="210"/>
    </row>
    <row r="6" spans="1:26" ht="12.75" customHeight="1" x14ac:dyDescent="0.25">
      <c r="A6" s="201"/>
      <c r="B6" s="202"/>
      <c r="C6" s="202"/>
      <c r="D6" s="202"/>
      <c r="E6" s="202"/>
      <c r="F6" s="203"/>
      <c r="G6" s="3"/>
      <c r="H6" s="4"/>
      <c r="I6" s="4"/>
      <c r="J6" s="192" t="s">
        <v>46</v>
      </c>
      <c r="K6" s="192"/>
      <c r="L6" s="192" t="s">
        <v>47</v>
      </c>
      <c r="M6" s="192"/>
      <c r="N6" s="192"/>
      <c r="O6" s="192"/>
      <c r="P6" s="192" t="s">
        <v>48</v>
      </c>
      <c r="Q6" s="192"/>
      <c r="R6" s="192"/>
      <c r="S6" s="192"/>
      <c r="T6" s="193"/>
      <c r="U6" s="211"/>
      <c r="V6" s="212"/>
      <c r="W6" s="212"/>
      <c r="X6" s="212"/>
      <c r="Y6" s="212"/>
      <c r="Z6" s="213"/>
    </row>
    <row r="7" spans="1:26" ht="36.6" customHeight="1" x14ac:dyDescent="0.25">
      <c r="A7" s="187" t="s">
        <v>34</v>
      </c>
      <c r="B7" s="187"/>
      <c r="C7" s="187"/>
      <c r="D7" s="187"/>
      <c r="E7" s="187"/>
      <c r="F7" s="187"/>
      <c r="G7" s="194" t="s">
        <v>43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9" t="s">
        <v>33</v>
      </c>
      <c r="C10" s="189"/>
      <c r="D10" s="189"/>
      <c r="E10" s="189"/>
      <c r="F10" s="189"/>
      <c r="G10" s="189"/>
      <c r="H10" s="190" t="s">
        <v>57</v>
      </c>
      <c r="I10" s="190"/>
      <c r="J10" s="190"/>
      <c r="K10" s="190"/>
      <c r="L10" s="190"/>
      <c r="M10" s="190"/>
      <c r="N10" s="189" t="s">
        <v>1</v>
      </c>
      <c r="O10" s="189"/>
      <c r="P10" s="189"/>
      <c r="Q10" s="189"/>
      <c r="R10" s="189"/>
      <c r="S10" s="75" t="s">
        <v>58</v>
      </c>
      <c r="T10" s="75"/>
      <c r="U10" s="75"/>
      <c r="V10" s="75"/>
      <c r="W10" s="75"/>
      <c r="X10" s="75"/>
      <c r="Y10" s="75"/>
      <c r="Z10" s="14"/>
    </row>
    <row r="11" spans="1:26" ht="15.9" customHeight="1" x14ac:dyDescent="0.25">
      <c r="A11" s="10"/>
      <c r="B11" s="189" t="s">
        <v>21</v>
      </c>
      <c r="C11" s="189"/>
      <c r="D11" s="189"/>
      <c r="E11" s="189"/>
      <c r="F11" s="189"/>
      <c r="G11" s="189"/>
      <c r="H11" s="190">
        <v>45741</v>
      </c>
      <c r="I11" s="190"/>
      <c r="J11" s="190"/>
      <c r="K11" s="190"/>
      <c r="L11" s="190"/>
      <c r="M11" s="190"/>
      <c r="N11" s="189" t="s">
        <v>2</v>
      </c>
      <c r="O11" s="189"/>
      <c r="P11" s="189"/>
      <c r="Q11" s="189"/>
      <c r="R11" s="189"/>
      <c r="S11" s="191" t="s">
        <v>67</v>
      </c>
      <c r="T11" s="191"/>
      <c r="U11" s="191"/>
      <c r="V11" s="191"/>
      <c r="W11" s="191"/>
      <c r="X11" s="191"/>
      <c r="Y11" s="191"/>
      <c r="Z11" s="14"/>
    </row>
    <row r="12" spans="1:26" ht="15.9" customHeight="1" x14ac:dyDescent="0.25">
      <c r="A12" s="10"/>
      <c r="B12" s="189" t="s">
        <v>31</v>
      </c>
      <c r="C12" s="189"/>
      <c r="D12" s="189"/>
      <c r="E12" s="189"/>
      <c r="F12" s="189"/>
      <c r="G12" s="189"/>
      <c r="H12" s="190">
        <v>45742</v>
      </c>
      <c r="I12" s="190"/>
      <c r="J12" s="190"/>
      <c r="K12" s="190"/>
      <c r="L12" s="190"/>
      <c r="M12" s="190"/>
      <c r="N12" s="189" t="s">
        <v>3</v>
      </c>
      <c r="O12" s="189"/>
      <c r="P12" s="189"/>
      <c r="Q12" s="189"/>
      <c r="R12" s="189"/>
      <c r="S12" s="191"/>
      <c r="T12" s="191"/>
      <c r="U12" s="191"/>
      <c r="V12" s="191"/>
      <c r="W12" s="191"/>
      <c r="X12" s="191"/>
      <c r="Y12" s="191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84" t="s">
        <v>38</v>
      </c>
      <c r="C17" s="184"/>
      <c r="D17" s="184"/>
      <c r="E17" s="184"/>
      <c r="F17" s="184"/>
      <c r="G17" s="184"/>
      <c r="H17" s="18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29"/>
    </row>
    <row r="18" spans="1:26" s="19" customFormat="1" ht="15" x14ac:dyDescent="0.25">
      <c r="A18" s="26"/>
      <c r="B18" s="184" t="s">
        <v>39</v>
      </c>
      <c r="C18" s="184"/>
      <c r="D18" s="184"/>
      <c r="E18" s="184"/>
      <c r="F18" s="184"/>
      <c r="G18" s="184"/>
      <c r="H18" s="184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86" t="s">
        <v>4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37"/>
      <c r="W46" s="37"/>
      <c r="X46" s="37"/>
      <c r="Y46" s="37"/>
      <c r="Z46" s="38"/>
    </row>
    <row r="47" spans="1:26" ht="15.9" customHeight="1" x14ac:dyDescent="0.25">
      <c r="A47" s="39"/>
      <c r="B47" s="130" t="s">
        <v>32</v>
      </c>
      <c r="C47" s="176"/>
      <c r="D47" s="74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77" t="s">
        <v>20</v>
      </c>
      <c r="B48" s="180"/>
      <c r="C48" s="181"/>
      <c r="D48" s="76">
        <v>41.7</v>
      </c>
      <c r="E48" s="76">
        <v>47.2</v>
      </c>
      <c r="F48" s="76">
        <v>67.2</v>
      </c>
      <c r="G48" s="76">
        <v>81.7</v>
      </c>
      <c r="H48" s="76">
        <v>95.4</v>
      </c>
      <c r="I48" s="76">
        <v>98.8</v>
      </c>
      <c r="J48" s="76">
        <v>99.8</v>
      </c>
      <c r="K48" s="76">
        <v>100</v>
      </c>
      <c r="L48" s="73"/>
      <c r="M48" s="73"/>
      <c r="N48" s="73"/>
      <c r="O48" s="73"/>
      <c r="P48" s="73"/>
      <c r="Q48" s="73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78"/>
      <c r="B49" s="182"/>
      <c r="C49" s="18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78"/>
      <c r="B50" s="182"/>
      <c r="C50" s="18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79"/>
      <c r="B51" s="182"/>
      <c r="C51" s="18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73" t="s">
        <v>32</v>
      </c>
      <c r="C56" s="173"/>
      <c r="D56" s="173" t="s">
        <v>13</v>
      </c>
      <c r="E56" s="173"/>
      <c r="F56" s="130" t="s">
        <v>52</v>
      </c>
      <c r="G56" s="176"/>
      <c r="H56" s="173" t="s">
        <v>24</v>
      </c>
      <c r="I56" s="173"/>
      <c r="J56" s="173" t="s">
        <v>23</v>
      </c>
      <c r="K56" s="173"/>
      <c r="L56" s="173" t="s">
        <v>8</v>
      </c>
      <c r="M56" s="173"/>
      <c r="N56" s="173" t="s">
        <v>10</v>
      </c>
      <c r="O56" s="173"/>
      <c r="P56" s="173" t="s">
        <v>9</v>
      </c>
      <c r="Q56" s="173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74"/>
      <c r="C57" s="175"/>
      <c r="D57" s="225">
        <v>18.5</v>
      </c>
      <c r="E57" s="226"/>
      <c r="F57" s="225">
        <v>10</v>
      </c>
      <c r="G57" s="226"/>
      <c r="H57" s="227"/>
      <c r="I57" s="228"/>
      <c r="J57" s="229"/>
      <c r="K57" s="230"/>
      <c r="L57" s="227"/>
      <c r="M57" s="228"/>
      <c r="N57" s="225"/>
      <c r="O57" s="226"/>
      <c r="P57" s="231">
        <v>9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71"/>
      <c r="C58" s="172"/>
      <c r="D58" s="126"/>
      <c r="E58" s="127"/>
      <c r="F58" s="126"/>
      <c r="G58" s="127"/>
      <c r="H58" s="169"/>
      <c r="I58" s="170"/>
      <c r="J58" s="128"/>
      <c r="K58" s="129"/>
      <c r="L58" s="169"/>
      <c r="M58" s="170"/>
      <c r="N58" s="126"/>
      <c r="O58" s="127"/>
      <c r="P58" s="124"/>
      <c r="Q58" s="125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67"/>
      <c r="C59" s="168"/>
      <c r="D59" s="126"/>
      <c r="E59" s="127"/>
      <c r="F59" s="126"/>
      <c r="G59" s="127"/>
      <c r="H59" s="169"/>
      <c r="I59" s="170"/>
      <c r="J59" s="128"/>
      <c r="K59" s="129"/>
      <c r="L59" s="169"/>
      <c r="M59" s="170"/>
      <c r="N59" s="126"/>
      <c r="O59" s="127"/>
      <c r="P59" s="124"/>
      <c r="Q59" s="125"/>
      <c r="R59" s="12"/>
      <c r="T59" s="47"/>
      <c r="U59" s="13" t="s">
        <v>6</v>
      </c>
      <c r="V59" s="64"/>
      <c r="W59" s="161" t="s">
        <v>60</v>
      </c>
      <c r="X59" s="161"/>
      <c r="Y59" s="161"/>
      <c r="Z59" s="12"/>
    </row>
    <row r="60" spans="1:26" ht="15.9" customHeight="1" x14ac:dyDescent="0.25">
      <c r="A60" s="51"/>
      <c r="B60" s="162"/>
      <c r="C60" s="163"/>
      <c r="D60" s="109"/>
      <c r="E60" s="110"/>
      <c r="F60" s="109"/>
      <c r="G60" s="110"/>
      <c r="H60" s="164"/>
      <c r="I60" s="165"/>
      <c r="J60" s="111"/>
      <c r="K60" s="112"/>
      <c r="L60" s="164"/>
      <c r="M60" s="165"/>
      <c r="N60" s="109"/>
      <c r="O60" s="110"/>
      <c r="P60" s="107"/>
      <c r="Q60" s="108"/>
      <c r="R60" s="12"/>
      <c r="T60" s="47"/>
      <c r="U60" s="64" t="s">
        <v>11</v>
      </c>
      <c r="V60" s="64"/>
      <c r="W60" s="166" t="s">
        <v>65</v>
      </c>
      <c r="X60" s="166"/>
      <c r="Y60" s="166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57" t="s">
        <v>14</v>
      </c>
      <c r="C62" s="157"/>
      <c r="D62" s="157" t="s">
        <v>15</v>
      </c>
      <c r="E62" s="157"/>
      <c r="F62" s="157" t="s">
        <v>16</v>
      </c>
      <c r="G62" s="157"/>
      <c r="H62" s="157" t="s">
        <v>17</v>
      </c>
      <c r="I62" s="157"/>
      <c r="J62" s="158" t="s">
        <v>18</v>
      </c>
      <c r="K62" s="159"/>
      <c r="L62" s="130" t="s">
        <v>22</v>
      </c>
      <c r="M62" s="160"/>
      <c r="N62" s="132"/>
      <c r="O62" s="130" t="s">
        <v>19</v>
      </c>
      <c r="P62" s="131"/>
      <c r="Q62" s="132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33"/>
      <c r="C63" s="134"/>
      <c r="D63" s="133"/>
      <c r="E63" s="134"/>
      <c r="F63" s="135"/>
      <c r="G63" s="136"/>
      <c r="H63" s="135"/>
      <c r="I63" s="136"/>
      <c r="J63" s="137"/>
      <c r="K63" s="138"/>
      <c r="L63" s="139"/>
      <c r="M63" s="140"/>
      <c r="N63" s="141"/>
      <c r="O63" s="148"/>
      <c r="P63" s="149"/>
      <c r="Q63" s="150"/>
      <c r="R63" s="12"/>
      <c r="T63" s="47"/>
      <c r="U63" s="122" t="str">
        <f>IF(S10&lt;&gt;"",S10,"")</f>
        <v>Argile sableuse barriolée marron grise</v>
      </c>
      <c r="V63" s="122"/>
      <c r="W63" s="122"/>
      <c r="X63" s="122"/>
      <c r="Y63" s="122"/>
      <c r="Z63" s="50"/>
    </row>
    <row r="64" spans="1:26" ht="15.9" customHeight="1" x14ac:dyDescent="0.25">
      <c r="A64" s="45"/>
      <c r="B64" s="124"/>
      <c r="C64" s="125"/>
      <c r="D64" s="124"/>
      <c r="E64" s="125"/>
      <c r="F64" s="126"/>
      <c r="G64" s="127"/>
      <c r="H64" s="126"/>
      <c r="I64" s="127"/>
      <c r="J64" s="128"/>
      <c r="K64" s="129"/>
      <c r="L64" s="142"/>
      <c r="M64" s="143"/>
      <c r="N64" s="144"/>
      <c r="O64" s="151"/>
      <c r="P64" s="152"/>
      <c r="Q64" s="153"/>
      <c r="R64" s="12"/>
      <c r="T64" s="47"/>
      <c r="U64" s="122"/>
      <c r="V64" s="122"/>
      <c r="W64" s="122"/>
      <c r="X64" s="122"/>
      <c r="Y64" s="122"/>
      <c r="Z64" s="50"/>
    </row>
    <row r="65" spans="1:26" ht="15.9" customHeight="1" x14ac:dyDescent="0.25">
      <c r="A65" s="45"/>
      <c r="B65" s="124"/>
      <c r="C65" s="125"/>
      <c r="D65" s="124"/>
      <c r="E65" s="125"/>
      <c r="F65" s="126"/>
      <c r="G65" s="127"/>
      <c r="H65" s="126"/>
      <c r="I65" s="127"/>
      <c r="J65" s="128"/>
      <c r="K65" s="129"/>
      <c r="L65" s="142"/>
      <c r="M65" s="143"/>
      <c r="N65" s="144"/>
      <c r="O65" s="151"/>
      <c r="P65" s="152"/>
      <c r="Q65" s="153"/>
      <c r="R65" s="12"/>
      <c r="T65" s="3"/>
      <c r="U65" s="123"/>
      <c r="V65" s="123"/>
      <c r="W65" s="123"/>
      <c r="X65" s="123"/>
      <c r="Y65" s="123"/>
      <c r="Z65" s="53"/>
    </row>
    <row r="66" spans="1:26" ht="15.9" customHeight="1" x14ac:dyDescent="0.25">
      <c r="A66" s="45"/>
      <c r="B66" s="107"/>
      <c r="C66" s="108"/>
      <c r="D66" s="107"/>
      <c r="E66" s="108"/>
      <c r="F66" s="109"/>
      <c r="G66" s="110"/>
      <c r="H66" s="109"/>
      <c r="I66" s="110"/>
      <c r="J66" s="111"/>
      <c r="K66" s="112"/>
      <c r="L66" s="145"/>
      <c r="M66" s="146"/>
      <c r="N66" s="147"/>
      <c r="O66" s="154"/>
      <c r="P66" s="155"/>
      <c r="Q66" s="156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113"/>
      <c r="V69" s="113"/>
      <c r="W69" s="113"/>
      <c r="X69" s="114"/>
      <c r="Y69" s="114"/>
      <c r="Z69" s="115"/>
    </row>
    <row r="70" spans="1:26" s="19" customFormat="1" ht="26.4" customHeight="1" x14ac:dyDescent="0.25">
      <c r="A70" s="116" t="s">
        <v>54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8"/>
      <c r="R70" s="80" t="s">
        <v>35</v>
      </c>
      <c r="S70" s="81"/>
      <c r="T70" s="82"/>
      <c r="U70" s="119" t="s">
        <v>63</v>
      </c>
      <c r="V70" s="120"/>
      <c r="W70" s="120"/>
      <c r="X70" s="120"/>
      <c r="Y70" s="120"/>
      <c r="Z70" s="121"/>
    </row>
    <row r="71" spans="1:26" s="19" customFormat="1" ht="26.4" customHeight="1" x14ac:dyDescent="0.25">
      <c r="A71" s="77" t="s">
        <v>62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9"/>
      <c r="R71" s="80"/>
      <c r="S71" s="81"/>
      <c r="T71" s="82"/>
      <c r="U71" s="83" t="s">
        <v>64</v>
      </c>
      <c r="V71" s="84"/>
      <c r="W71" s="84"/>
      <c r="X71" s="84"/>
      <c r="Y71" s="84"/>
      <c r="Z71" s="85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80"/>
      <c r="S72" s="81"/>
      <c r="T72" s="82"/>
      <c r="U72" s="86"/>
      <c r="V72" s="87"/>
      <c r="W72" s="87"/>
      <c r="X72" s="87"/>
      <c r="Y72" s="87"/>
      <c r="Z72" s="88"/>
    </row>
    <row r="73" spans="1:26" s="19" customFormat="1" ht="15.6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1"/>
      <c r="R73" s="80" t="s">
        <v>36</v>
      </c>
      <c r="S73" s="81"/>
      <c r="T73" s="82"/>
      <c r="U73" s="65"/>
      <c r="V73" s="66"/>
      <c r="W73" s="66"/>
      <c r="X73" s="66"/>
      <c r="Y73" s="66"/>
      <c r="Z73" s="67"/>
    </row>
    <row r="74" spans="1:26" s="19" customFormat="1" ht="15.6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  <c r="R74" s="80"/>
      <c r="S74" s="81"/>
      <c r="T74" s="82"/>
      <c r="U74" s="68"/>
      <c r="V74" s="98"/>
      <c r="W74" s="98"/>
      <c r="X74" s="98"/>
      <c r="Y74" s="98"/>
      <c r="Z74" s="69"/>
    </row>
    <row r="75" spans="1:26" s="19" customFormat="1" ht="15.6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1"/>
      <c r="R75" s="80"/>
      <c r="S75" s="81"/>
      <c r="T75" s="82"/>
      <c r="U75" s="68"/>
      <c r="V75" s="98"/>
      <c r="W75" s="98"/>
      <c r="X75" s="98"/>
      <c r="Y75" s="98"/>
      <c r="Z75" s="69"/>
    </row>
    <row r="76" spans="1:26" s="19" customFormat="1" ht="15.6" customHeight="1" x14ac:dyDescent="0.25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95"/>
      <c r="S76" s="96"/>
      <c r="T76" s="97"/>
      <c r="U76" s="70"/>
      <c r="V76" s="71"/>
      <c r="W76" s="71"/>
      <c r="X76" s="71"/>
      <c r="Y76" s="71"/>
      <c r="Z76" s="72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B57:C57"/>
    <mergeCell ref="D57:E57"/>
    <mergeCell ref="F57:G57"/>
    <mergeCell ref="H57:I57"/>
    <mergeCell ref="J57:K57"/>
    <mergeCell ref="L57:M57"/>
    <mergeCell ref="N57:O57"/>
    <mergeCell ref="P57:Q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5121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563880</xdr:colOff>
                <xdr:row>74</xdr:row>
                <xdr:rowOff>190500</xdr:rowOff>
              </to>
            </anchor>
          </controlPr>
        </control>
      </mc:Choice>
      <mc:Fallback>
        <control shapeId="5121" r:id="rId4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66F-5CC9-4E2B-96A5-96148D77CB15}">
  <sheetPr codeName="Feuil4">
    <pageSetUpPr fitToPage="1"/>
  </sheetPr>
  <dimension ref="A1:Z76"/>
  <sheetViews>
    <sheetView topLeftCell="A52" workbookViewId="0">
      <selection activeCell="AB58" sqref="AB58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95"/>
      <c r="B1" s="196"/>
      <c r="C1" s="196"/>
      <c r="D1" s="196"/>
      <c r="E1" s="196"/>
      <c r="F1" s="197"/>
      <c r="G1" s="158" t="s">
        <v>44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159"/>
      <c r="U1" s="205" t="s">
        <v>55</v>
      </c>
      <c r="V1" s="206"/>
      <c r="W1" s="206"/>
      <c r="X1" s="206"/>
      <c r="Y1" s="206"/>
      <c r="Z1" s="207"/>
    </row>
    <row r="2" spans="1:26" ht="12.75" customHeight="1" x14ac:dyDescent="0.25">
      <c r="A2" s="198"/>
      <c r="B2" s="199"/>
      <c r="C2" s="199"/>
      <c r="D2" s="199"/>
      <c r="E2" s="199"/>
      <c r="F2" s="200"/>
      <c r="G2" s="214" t="s">
        <v>53</v>
      </c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08"/>
      <c r="V2" s="209"/>
      <c r="W2" s="209"/>
      <c r="X2" s="209"/>
      <c r="Y2" s="209"/>
      <c r="Z2" s="210"/>
    </row>
    <row r="3" spans="1:26" ht="12.75" customHeight="1" x14ac:dyDescent="0.25">
      <c r="A3" s="198"/>
      <c r="B3" s="199"/>
      <c r="C3" s="199"/>
      <c r="D3" s="199"/>
      <c r="E3" s="199"/>
      <c r="F3" s="200"/>
      <c r="G3" s="214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8"/>
      <c r="V3" s="209"/>
      <c r="W3" s="209"/>
      <c r="X3" s="209"/>
      <c r="Y3" s="209"/>
      <c r="Z3" s="210"/>
    </row>
    <row r="4" spans="1:26" ht="12.75" customHeight="1" x14ac:dyDescent="0.25">
      <c r="A4" s="198"/>
      <c r="B4" s="199"/>
      <c r="C4" s="199"/>
      <c r="D4" s="199"/>
      <c r="E4" s="199"/>
      <c r="F4" s="200"/>
      <c r="G4" s="2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08"/>
      <c r="V4" s="209"/>
      <c r="W4" s="209"/>
      <c r="X4" s="209"/>
      <c r="Y4" s="209"/>
      <c r="Z4" s="210"/>
    </row>
    <row r="5" spans="1:26" ht="12.75" customHeight="1" x14ac:dyDescent="0.25">
      <c r="A5" s="198"/>
      <c r="B5" s="199"/>
      <c r="C5" s="199"/>
      <c r="D5" s="199"/>
      <c r="E5" s="199"/>
      <c r="F5" s="200"/>
      <c r="G5" s="217" t="s">
        <v>49</v>
      </c>
      <c r="H5" s="218"/>
      <c r="I5" s="2" t="s">
        <v>45</v>
      </c>
      <c r="J5" s="219">
        <v>2</v>
      </c>
      <c r="K5" s="220"/>
      <c r="L5" s="221" t="s">
        <v>56</v>
      </c>
      <c r="M5" s="219"/>
      <c r="N5" s="219"/>
      <c r="O5" s="220"/>
      <c r="P5" s="222">
        <v>45743</v>
      </c>
      <c r="Q5" s="223"/>
      <c r="R5" s="223"/>
      <c r="S5" s="223"/>
      <c r="T5" s="224"/>
      <c r="U5" s="208"/>
      <c r="V5" s="209"/>
      <c r="W5" s="209"/>
      <c r="X5" s="209"/>
      <c r="Y5" s="209"/>
      <c r="Z5" s="210"/>
    </row>
    <row r="6" spans="1:26" ht="12.75" customHeight="1" x14ac:dyDescent="0.25">
      <c r="A6" s="201"/>
      <c r="B6" s="202"/>
      <c r="C6" s="202"/>
      <c r="D6" s="202"/>
      <c r="E6" s="202"/>
      <c r="F6" s="203"/>
      <c r="G6" s="3"/>
      <c r="H6" s="4"/>
      <c r="I6" s="4"/>
      <c r="J6" s="192" t="s">
        <v>46</v>
      </c>
      <c r="K6" s="192"/>
      <c r="L6" s="192" t="s">
        <v>47</v>
      </c>
      <c r="M6" s="192"/>
      <c r="N6" s="192"/>
      <c r="O6" s="192"/>
      <c r="P6" s="192" t="s">
        <v>48</v>
      </c>
      <c r="Q6" s="192"/>
      <c r="R6" s="192"/>
      <c r="S6" s="192"/>
      <c r="T6" s="193"/>
      <c r="U6" s="211"/>
      <c r="V6" s="212"/>
      <c r="W6" s="212"/>
      <c r="X6" s="212"/>
      <c r="Y6" s="212"/>
      <c r="Z6" s="213"/>
    </row>
    <row r="7" spans="1:26" ht="36.6" customHeight="1" x14ac:dyDescent="0.25">
      <c r="A7" s="187" t="s">
        <v>34</v>
      </c>
      <c r="B7" s="187"/>
      <c r="C7" s="187"/>
      <c r="D7" s="187"/>
      <c r="E7" s="187"/>
      <c r="F7" s="187"/>
      <c r="G7" s="194" t="s">
        <v>43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9" t="s">
        <v>33</v>
      </c>
      <c r="C10" s="189"/>
      <c r="D10" s="189"/>
      <c r="E10" s="189"/>
      <c r="F10" s="189"/>
      <c r="G10" s="189"/>
      <c r="H10" s="190" t="s">
        <v>57</v>
      </c>
      <c r="I10" s="190"/>
      <c r="J10" s="190"/>
      <c r="K10" s="190"/>
      <c r="L10" s="190"/>
      <c r="M10" s="190"/>
      <c r="N10" s="189" t="s">
        <v>1</v>
      </c>
      <c r="O10" s="189"/>
      <c r="P10" s="189"/>
      <c r="Q10" s="189"/>
      <c r="R10" s="189"/>
      <c r="S10" s="75" t="s">
        <v>58</v>
      </c>
      <c r="T10" s="75"/>
      <c r="U10" s="75"/>
      <c r="V10" s="75"/>
      <c r="W10" s="75"/>
      <c r="X10" s="75"/>
      <c r="Y10" s="75"/>
      <c r="Z10" s="14"/>
    </row>
    <row r="11" spans="1:26" ht="15.9" customHeight="1" x14ac:dyDescent="0.25">
      <c r="A11" s="10"/>
      <c r="B11" s="189" t="s">
        <v>21</v>
      </c>
      <c r="C11" s="189"/>
      <c r="D11" s="189"/>
      <c r="E11" s="189"/>
      <c r="F11" s="189"/>
      <c r="G11" s="189"/>
      <c r="H11" s="190">
        <v>45741</v>
      </c>
      <c r="I11" s="190"/>
      <c r="J11" s="190"/>
      <c r="K11" s="190"/>
      <c r="L11" s="190"/>
      <c r="M11" s="190"/>
      <c r="N11" s="189" t="s">
        <v>2</v>
      </c>
      <c r="O11" s="189"/>
      <c r="P11" s="189"/>
      <c r="Q11" s="189"/>
      <c r="R11" s="189"/>
      <c r="S11" s="191" t="s">
        <v>66</v>
      </c>
      <c r="T11" s="191"/>
      <c r="U11" s="191"/>
      <c r="V11" s="191"/>
      <c r="W11" s="191"/>
      <c r="X11" s="191"/>
      <c r="Y11" s="191"/>
      <c r="Z11" s="14"/>
    </row>
    <row r="12" spans="1:26" ht="15.9" customHeight="1" x14ac:dyDescent="0.25">
      <c r="A12" s="10"/>
      <c r="B12" s="189" t="s">
        <v>31</v>
      </c>
      <c r="C12" s="189"/>
      <c r="D12" s="189"/>
      <c r="E12" s="189"/>
      <c r="F12" s="189"/>
      <c r="G12" s="189"/>
      <c r="H12" s="190">
        <v>45742</v>
      </c>
      <c r="I12" s="190"/>
      <c r="J12" s="190"/>
      <c r="K12" s="190"/>
      <c r="L12" s="190"/>
      <c r="M12" s="190"/>
      <c r="N12" s="189" t="s">
        <v>3</v>
      </c>
      <c r="O12" s="189"/>
      <c r="P12" s="189"/>
      <c r="Q12" s="189"/>
      <c r="R12" s="189"/>
      <c r="S12" s="191"/>
      <c r="T12" s="191"/>
      <c r="U12" s="191"/>
      <c r="V12" s="191"/>
      <c r="W12" s="191"/>
      <c r="X12" s="191"/>
      <c r="Y12" s="191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84" t="s">
        <v>38</v>
      </c>
      <c r="C17" s="184"/>
      <c r="D17" s="184"/>
      <c r="E17" s="184"/>
      <c r="F17" s="184"/>
      <c r="G17" s="184"/>
      <c r="H17" s="18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29"/>
    </row>
    <row r="18" spans="1:26" s="19" customFormat="1" ht="15" x14ac:dyDescent="0.25">
      <c r="A18" s="26"/>
      <c r="B18" s="184" t="s">
        <v>39</v>
      </c>
      <c r="C18" s="184"/>
      <c r="D18" s="184"/>
      <c r="E18" s="184"/>
      <c r="F18" s="184"/>
      <c r="G18" s="184"/>
      <c r="H18" s="184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86" t="s">
        <v>4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37"/>
      <c r="W46" s="37"/>
      <c r="X46" s="37"/>
      <c r="Y46" s="37"/>
      <c r="Z46" s="38"/>
    </row>
    <row r="47" spans="1:26" ht="15.9" customHeight="1" x14ac:dyDescent="0.25">
      <c r="A47" s="39"/>
      <c r="B47" s="130" t="s">
        <v>32</v>
      </c>
      <c r="C47" s="176"/>
      <c r="D47" s="74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77" t="s">
        <v>20</v>
      </c>
      <c r="B48" s="180"/>
      <c r="C48" s="181"/>
      <c r="D48" s="76">
        <v>42.2</v>
      </c>
      <c r="E48" s="76">
        <v>48.2</v>
      </c>
      <c r="F48" s="76">
        <v>60</v>
      </c>
      <c r="G48" s="76">
        <v>71</v>
      </c>
      <c r="H48" s="76">
        <v>83.3</v>
      </c>
      <c r="I48" s="76">
        <v>90.1</v>
      </c>
      <c r="J48" s="76">
        <v>94.2</v>
      </c>
      <c r="K48" s="76">
        <v>100</v>
      </c>
      <c r="L48" s="73"/>
      <c r="M48" s="73"/>
      <c r="N48" s="73"/>
      <c r="O48" s="73"/>
      <c r="P48" s="73"/>
      <c r="Q48" s="73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78"/>
      <c r="B49" s="182"/>
      <c r="C49" s="18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78"/>
      <c r="B50" s="182"/>
      <c r="C50" s="18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79"/>
      <c r="B51" s="182"/>
      <c r="C51" s="18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73" t="s">
        <v>32</v>
      </c>
      <c r="C56" s="173"/>
      <c r="D56" s="173" t="s">
        <v>13</v>
      </c>
      <c r="E56" s="173"/>
      <c r="F56" s="130" t="s">
        <v>52</v>
      </c>
      <c r="G56" s="176"/>
      <c r="H56" s="173" t="s">
        <v>24</v>
      </c>
      <c r="I56" s="173"/>
      <c r="J56" s="173" t="s">
        <v>23</v>
      </c>
      <c r="K56" s="173"/>
      <c r="L56" s="173" t="s">
        <v>8</v>
      </c>
      <c r="M56" s="173"/>
      <c r="N56" s="173" t="s">
        <v>10</v>
      </c>
      <c r="O56" s="173"/>
      <c r="P56" s="173" t="s">
        <v>9</v>
      </c>
      <c r="Q56" s="173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74"/>
      <c r="C57" s="175"/>
      <c r="D57" s="225">
        <v>18.600000000000001</v>
      </c>
      <c r="E57" s="226"/>
      <c r="F57" s="225">
        <v>10</v>
      </c>
      <c r="G57" s="226"/>
      <c r="H57" s="227"/>
      <c r="I57" s="228"/>
      <c r="J57" s="229"/>
      <c r="K57" s="230"/>
      <c r="L57" s="227"/>
      <c r="M57" s="228"/>
      <c r="N57" s="225"/>
      <c r="O57" s="226"/>
      <c r="P57" s="231">
        <v>7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71"/>
      <c r="C58" s="172"/>
      <c r="D58" s="126"/>
      <c r="E58" s="127"/>
      <c r="F58" s="126"/>
      <c r="G58" s="127"/>
      <c r="H58" s="169"/>
      <c r="I58" s="170"/>
      <c r="J58" s="128"/>
      <c r="K58" s="129"/>
      <c r="L58" s="169"/>
      <c r="M58" s="170"/>
      <c r="N58" s="126"/>
      <c r="O58" s="127"/>
      <c r="P58" s="124"/>
      <c r="Q58" s="125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67"/>
      <c r="C59" s="168"/>
      <c r="D59" s="126"/>
      <c r="E59" s="127"/>
      <c r="F59" s="126"/>
      <c r="G59" s="127"/>
      <c r="H59" s="169"/>
      <c r="I59" s="170"/>
      <c r="J59" s="128"/>
      <c r="K59" s="129"/>
      <c r="L59" s="169"/>
      <c r="M59" s="170"/>
      <c r="N59" s="126"/>
      <c r="O59" s="127"/>
      <c r="P59" s="124"/>
      <c r="Q59" s="125"/>
      <c r="R59" s="12"/>
      <c r="T59" s="47"/>
      <c r="U59" s="13" t="s">
        <v>6</v>
      </c>
      <c r="V59" s="64"/>
      <c r="W59" s="161" t="s">
        <v>60</v>
      </c>
      <c r="X59" s="161"/>
      <c r="Y59" s="161"/>
      <c r="Z59" s="12"/>
    </row>
    <row r="60" spans="1:26" ht="15.9" customHeight="1" x14ac:dyDescent="0.25">
      <c r="A60" s="51"/>
      <c r="B60" s="162"/>
      <c r="C60" s="163"/>
      <c r="D60" s="109"/>
      <c r="E60" s="110"/>
      <c r="F60" s="109"/>
      <c r="G60" s="110"/>
      <c r="H60" s="164"/>
      <c r="I60" s="165"/>
      <c r="J60" s="111"/>
      <c r="K60" s="112"/>
      <c r="L60" s="164"/>
      <c r="M60" s="165"/>
      <c r="N60" s="109"/>
      <c r="O60" s="110"/>
      <c r="P60" s="107"/>
      <c r="Q60" s="108"/>
      <c r="R60" s="12"/>
      <c r="T60" s="47"/>
      <c r="U60" s="64" t="s">
        <v>11</v>
      </c>
      <c r="V60" s="64"/>
      <c r="W60" s="166" t="s">
        <v>65</v>
      </c>
      <c r="X60" s="166"/>
      <c r="Y60" s="166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57" t="s">
        <v>14</v>
      </c>
      <c r="C62" s="157"/>
      <c r="D62" s="157" t="s">
        <v>15</v>
      </c>
      <c r="E62" s="157"/>
      <c r="F62" s="157" t="s">
        <v>16</v>
      </c>
      <c r="G62" s="157"/>
      <c r="H62" s="157" t="s">
        <v>17</v>
      </c>
      <c r="I62" s="157"/>
      <c r="J62" s="158" t="s">
        <v>18</v>
      </c>
      <c r="K62" s="159"/>
      <c r="L62" s="130" t="s">
        <v>22</v>
      </c>
      <c r="M62" s="160"/>
      <c r="N62" s="132"/>
      <c r="O62" s="130" t="s">
        <v>19</v>
      </c>
      <c r="P62" s="131"/>
      <c r="Q62" s="132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33"/>
      <c r="C63" s="134"/>
      <c r="D63" s="133"/>
      <c r="E63" s="134"/>
      <c r="F63" s="135"/>
      <c r="G63" s="136"/>
      <c r="H63" s="135"/>
      <c r="I63" s="136"/>
      <c r="J63" s="137"/>
      <c r="K63" s="138"/>
      <c r="L63" s="139"/>
      <c r="M63" s="140"/>
      <c r="N63" s="141"/>
      <c r="O63" s="148"/>
      <c r="P63" s="149"/>
      <c r="Q63" s="150"/>
      <c r="R63" s="12"/>
      <c r="T63" s="47"/>
      <c r="U63" s="122" t="str">
        <f>IF(S10&lt;&gt;"",S10,"")</f>
        <v>Argile sableuse barriolée marron grise</v>
      </c>
      <c r="V63" s="122"/>
      <c r="W63" s="122"/>
      <c r="X63" s="122"/>
      <c r="Y63" s="122"/>
      <c r="Z63" s="50"/>
    </row>
    <row r="64" spans="1:26" ht="15.9" customHeight="1" x14ac:dyDescent="0.25">
      <c r="A64" s="45"/>
      <c r="B64" s="124"/>
      <c r="C64" s="125"/>
      <c r="D64" s="124"/>
      <c r="E64" s="125"/>
      <c r="F64" s="126"/>
      <c r="G64" s="127"/>
      <c r="H64" s="126"/>
      <c r="I64" s="127"/>
      <c r="J64" s="128"/>
      <c r="K64" s="129"/>
      <c r="L64" s="142"/>
      <c r="M64" s="143"/>
      <c r="N64" s="144"/>
      <c r="O64" s="151"/>
      <c r="P64" s="152"/>
      <c r="Q64" s="153"/>
      <c r="R64" s="12"/>
      <c r="T64" s="47"/>
      <c r="U64" s="122"/>
      <c r="V64" s="122"/>
      <c r="W64" s="122"/>
      <c r="X64" s="122"/>
      <c r="Y64" s="122"/>
      <c r="Z64" s="50"/>
    </row>
    <row r="65" spans="1:26" ht="15.9" customHeight="1" x14ac:dyDescent="0.25">
      <c r="A65" s="45"/>
      <c r="B65" s="124"/>
      <c r="C65" s="125"/>
      <c r="D65" s="124"/>
      <c r="E65" s="125"/>
      <c r="F65" s="126"/>
      <c r="G65" s="127"/>
      <c r="H65" s="126"/>
      <c r="I65" s="127"/>
      <c r="J65" s="128"/>
      <c r="K65" s="129"/>
      <c r="L65" s="142"/>
      <c r="M65" s="143"/>
      <c r="N65" s="144"/>
      <c r="O65" s="151"/>
      <c r="P65" s="152"/>
      <c r="Q65" s="153"/>
      <c r="R65" s="12"/>
      <c r="T65" s="3"/>
      <c r="U65" s="123"/>
      <c r="V65" s="123"/>
      <c r="W65" s="123"/>
      <c r="X65" s="123"/>
      <c r="Y65" s="123"/>
      <c r="Z65" s="53"/>
    </row>
    <row r="66" spans="1:26" ht="15.9" customHeight="1" x14ac:dyDescent="0.25">
      <c r="A66" s="45"/>
      <c r="B66" s="107"/>
      <c r="C66" s="108"/>
      <c r="D66" s="107"/>
      <c r="E66" s="108"/>
      <c r="F66" s="109"/>
      <c r="G66" s="110"/>
      <c r="H66" s="109"/>
      <c r="I66" s="110"/>
      <c r="J66" s="111"/>
      <c r="K66" s="112"/>
      <c r="L66" s="145"/>
      <c r="M66" s="146"/>
      <c r="N66" s="147"/>
      <c r="O66" s="154"/>
      <c r="P66" s="155"/>
      <c r="Q66" s="156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113"/>
      <c r="V69" s="113"/>
      <c r="W69" s="113"/>
      <c r="X69" s="114"/>
      <c r="Y69" s="114"/>
      <c r="Z69" s="115"/>
    </row>
    <row r="70" spans="1:26" s="19" customFormat="1" ht="26.4" customHeight="1" x14ac:dyDescent="0.25">
      <c r="A70" s="116" t="s">
        <v>54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8"/>
      <c r="R70" s="80" t="s">
        <v>35</v>
      </c>
      <c r="S70" s="81"/>
      <c r="T70" s="82"/>
      <c r="U70" s="119" t="s">
        <v>63</v>
      </c>
      <c r="V70" s="120"/>
      <c r="W70" s="120"/>
      <c r="X70" s="120"/>
      <c r="Y70" s="120"/>
      <c r="Z70" s="121"/>
    </row>
    <row r="71" spans="1:26" s="19" customFormat="1" ht="26.4" customHeight="1" x14ac:dyDescent="0.25">
      <c r="A71" s="77" t="s">
        <v>62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9"/>
      <c r="R71" s="80"/>
      <c r="S71" s="81"/>
      <c r="T71" s="82"/>
      <c r="U71" s="83" t="s">
        <v>64</v>
      </c>
      <c r="V71" s="84"/>
      <c r="W71" s="84"/>
      <c r="X71" s="84"/>
      <c r="Y71" s="84"/>
      <c r="Z71" s="85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80"/>
      <c r="S72" s="81"/>
      <c r="T72" s="82"/>
      <c r="U72" s="86"/>
      <c r="V72" s="87"/>
      <c r="W72" s="87"/>
      <c r="X72" s="87"/>
      <c r="Y72" s="87"/>
      <c r="Z72" s="88"/>
    </row>
    <row r="73" spans="1:26" s="19" customFormat="1" ht="15.6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1"/>
      <c r="R73" s="80" t="s">
        <v>36</v>
      </c>
      <c r="S73" s="81"/>
      <c r="T73" s="82"/>
      <c r="U73" s="65"/>
      <c r="V73" s="66"/>
      <c r="W73" s="66"/>
      <c r="X73" s="66"/>
      <c r="Y73" s="66"/>
      <c r="Z73" s="67"/>
    </row>
    <row r="74" spans="1:26" s="19" customFormat="1" ht="15.6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  <c r="R74" s="80"/>
      <c r="S74" s="81"/>
      <c r="T74" s="82"/>
      <c r="U74" s="68"/>
      <c r="V74" s="98"/>
      <c r="W74" s="98"/>
      <c r="X74" s="98"/>
      <c r="Y74" s="98"/>
      <c r="Z74" s="69"/>
    </row>
    <row r="75" spans="1:26" s="19" customFormat="1" ht="15.6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1"/>
      <c r="R75" s="80"/>
      <c r="S75" s="81"/>
      <c r="T75" s="82"/>
      <c r="U75" s="68"/>
      <c r="V75" s="98"/>
      <c r="W75" s="98"/>
      <c r="X75" s="98"/>
      <c r="Y75" s="98"/>
      <c r="Z75" s="69"/>
    </row>
    <row r="76" spans="1:26" s="19" customFormat="1" ht="15.6" customHeight="1" x14ac:dyDescent="0.25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95"/>
      <c r="S76" s="96"/>
      <c r="T76" s="97"/>
      <c r="U76" s="70"/>
      <c r="V76" s="71"/>
      <c r="W76" s="71"/>
      <c r="X76" s="71"/>
      <c r="Y76" s="71"/>
      <c r="Z76" s="72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B57:C57"/>
    <mergeCell ref="D57:E57"/>
    <mergeCell ref="F57:G57"/>
    <mergeCell ref="H57:I57"/>
    <mergeCell ref="J57:K57"/>
    <mergeCell ref="L57:M57"/>
    <mergeCell ref="N57:O57"/>
    <mergeCell ref="P57:Q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4097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563880</xdr:colOff>
                <xdr:row>74</xdr:row>
                <xdr:rowOff>190500</xdr:rowOff>
              </to>
            </anchor>
          </controlPr>
        </control>
      </mc:Choice>
      <mc:Fallback>
        <control shapeId="4097" r:id="rId4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Z76"/>
  <sheetViews>
    <sheetView tabSelected="1" topLeftCell="A39" workbookViewId="0">
      <selection activeCell="Z62" sqref="Z62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195"/>
      <c r="B1" s="196"/>
      <c r="C1" s="196"/>
      <c r="D1" s="196"/>
      <c r="E1" s="196"/>
      <c r="F1" s="197"/>
      <c r="G1" s="158" t="s">
        <v>44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159"/>
      <c r="U1" s="205" t="s">
        <v>55</v>
      </c>
      <c r="V1" s="206"/>
      <c r="W1" s="206"/>
      <c r="X1" s="206"/>
      <c r="Y1" s="206"/>
      <c r="Z1" s="207"/>
    </row>
    <row r="2" spans="1:26" ht="12.75" customHeight="1" x14ac:dyDescent="0.25">
      <c r="A2" s="198"/>
      <c r="B2" s="199"/>
      <c r="C2" s="199"/>
      <c r="D2" s="199"/>
      <c r="E2" s="199"/>
      <c r="F2" s="200"/>
      <c r="G2" s="214" t="s">
        <v>53</v>
      </c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08"/>
      <c r="V2" s="209"/>
      <c r="W2" s="209"/>
      <c r="X2" s="209"/>
      <c r="Y2" s="209"/>
      <c r="Z2" s="210"/>
    </row>
    <row r="3" spans="1:26" ht="12.75" customHeight="1" x14ac:dyDescent="0.25">
      <c r="A3" s="198"/>
      <c r="B3" s="199"/>
      <c r="C3" s="199"/>
      <c r="D3" s="199"/>
      <c r="E3" s="199"/>
      <c r="F3" s="200"/>
      <c r="G3" s="214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08"/>
      <c r="V3" s="209"/>
      <c r="W3" s="209"/>
      <c r="X3" s="209"/>
      <c r="Y3" s="209"/>
      <c r="Z3" s="210"/>
    </row>
    <row r="4" spans="1:26" ht="12.75" customHeight="1" x14ac:dyDescent="0.25">
      <c r="A4" s="198"/>
      <c r="B4" s="199"/>
      <c r="C4" s="199"/>
      <c r="D4" s="199"/>
      <c r="E4" s="199"/>
      <c r="F4" s="200"/>
      <c r="G4" s="214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08"/>
      <c r="V4" s="209"/>
      <c r="W4" s="209"/>
      <c r="X4" s="209"/>
      <c r="Y4" s="209"/>
      <c r="Z4" s="210"/>
    </row>
    <row r="5" spans="1:26" ht="12.75" customHeight="1" x14ac:dyDescent="0.25">
      <c r="A5" s="198"/>
      <c r="B5" s="199"/>
      <c r="C5" s="199"/>
      <c r="D5" s="199"/>
      <c r="E5" s="199"/>
      <c r="F5" s="200"/>
      <c r="G5" s="217" t="s">
        <v>49</v>
      </c>
      <c r="H5" s="218"/>
      <c r="I5" s="2" t="s">
        <v>45</v>
      </c>
      <c r="J5" s="219">
        <v>1</v>
      </c>
      <c r="K5" s="220"/>
      <c r="L5" s="221" t="s">
        <v>56</v>
      </c>
      <c r="M5" s="219"/>
      <c r="N5" s="219"/>
      <c r="O5" s="220"/>
      <c r="P5" s="222">
        <v>45743</v>
      </c>
      <c r="Q5" s="223"/>
      <c r="R5" s="223"/>
      <c r="S5" s="223"/>
      <c r="T5" s="224"/>
      <c r="U5" s="208"/>
      <c r="V5" s="209"/>
      <c r="W5" s="209"/>
      <c r="X5" s="209"/>
      <c r="Y5" s="209"/>
      <c r="Z5" s="210"/>
    </row>
    <row r="6" spans="1:26" ht="12.75" customHeight="1" x14ac:dyDescent="0.25">
      <c r="A6" s="201"/>
      <c r="B6" s="202"/>
      <c r="C6" s="202"/>
      <c r="D6" s="202"/>
      <c r="E6" s="202"/>
      <c r="F6" s="203"/>
      <c r="G6" s="3"/>
      <c r="H6" s="4"/>
      <c r="I6" s="4"/>
      <c r="J6" s="192" t="s">
        <v>46</v>
      </c>
      <c r="K6" s="192"/>
      <c r="L6" s="192" t="s">
        <v>47</v>
      </c>
      <c r="M6" s="192"/>
      <c r="N6" s="192"/>
      <c r="O6" s="192"/>
      <c r="P6" s="192" t="s">
        <v>48</v>
      </c>
      <c r="Q6" s="192"/>
      <c r="R6" s="192"/>
      <c r="S6" s="192"/>
      <c r="T6" s="193"/>
      <c r="U6" s="211"/>
      <c r="V6" s="212"/>
      <c r="W6" s="212"/>
      <c r="X6" s="212"/>
      <c r="Y6" s="212"/>
      <c r="Z6" s="213"/>
    </row>
    <row r="7" spans="1:26" ht="36.6" customHeight="1" x14ac:dyDescent="0.25">
      <c r="A7" s="187" t="s">
        <v>34</v>
      </c>
      <c r="B7" s="187"/>
      <c r="C7" s="187"/>
      <c r="D7" s="187"/>
      <c r="E7" s="187"/>
      <c r="F7" s="187"/>
      <c r="G7" s="194" t="s">
        <v>43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189" t="s">
        <v>33</v>
      </c>
      <c r="C10" s="189"/>
      <c r="D10" s="189"/>
      <c r="E10" s="189"/>
      <c r="F10" s="189"/>
      <c r="G10" s="189"/>
      <c r="H10" s="190" t="s">
        <v>57</v>
      </c>
      <c r="I10" s="190"/>
      <c r="J10" s="190"/>
      <c r="K10" s="190"/>
      <c r="L10" s="190"/>
      <c r="M10" s="190"/>
      <c r="N10" s="189" t="s">
        <v>1</v>
      </c>
      <c r="O10" s="189"/>
      <c r="P10" s="189"/>
      <c r="Q10" s="189"/>
      <c r="R10" s="189"/>
      <c r="S10" s="75" t="s">
        <v>58</v>
      </c>
      <c r="T10" s="75"/>
      <c r="U10" s="75"/>
      <c r="V10" s="75"/>
      <c r="W10" s="75"/>
      <c r="X10" s="75"/>
      <c r="Y10" s="75"/>
      <c r="Z10" s="14"/>
    </row>
    <row r="11" spans="1:26" ht="15.9" customHeight="1" x14ac:dyDescent="0.25">
      <c r="A11" s="10"/>
      <c r="B11" s="189" t="s">
        <v>21</v>
      </c>
      <c r="C11" s="189"/>
      <c r="D11" s="189"/>
      <c r="E11" s="189"/>
      <c r="F11" s="189"/>
      <c r="G11" s="189"/>
      <c r="H11" s="190">
        <v>45741</v>
      </c>
      <c r="I11" s="190"/>
      <c r="J11" s="190"/>
      <c r="K11" s="190"/>
      <c r="L11" s="190"/>
      <c r="M11" s="190"/>
      <c r="N11" s="189" t="s">
        <v>2</v>
      </c>
      <c r="O11" s="189"/>
      <c r="P11" s="189"/>
      <c r="Q11" s="189"/>
      <c r="R11" s="189"/>
      <c r="S11" s="191" t="s">
        <v>59</v>
      </c>
      <c r="T11" s="191"/>
      <c r="U11" s="191"/>
      <c r="V11" s="191"/>
      <c r="W11" s="191"/>
      <c r="X11" s="191"/>
      <c r="Y11" s="191"/>
      <c r="Z11" s="14"/>
    </row>
    <row r="12" spans="1:26" ht="15.9" customHeight="1" x14ac:dyDescent="0.25">
      <c r="A12" s="10"/>
      <c r="B12" s="189" t="s">
        <v>31</v>
      </c>
      <c r="C12" s="189"/>
      <c r="D12" s="189"/>
      <c r="E12" s="189"/>
      <c r="F12" s="189"/>
      <c r="G12" s="189"/>
      <c r="H12" s="190">
        <v>45742</v>
      </c>
      <c r="I12" s="190"/>
      <c r="J12" s="190"/>
      <c r="K12" s="190"/>
      <c r="L12" s="190"/>
      <c r="M12" s="190"/>
      <c r="N12" s="189" t="s">
        <v>3</v>
      </c>
      <c r="O12" s="189"/>
      <c r="P12" s="189"/>
      <c r="Q12" s="189"/>
      <c r="R12" s="189"/>
      <c r="S12" s="191"/>
      <c r="T12" s="191"/>
      <c r="U12" s="191"/>
      <c r="V12" s="191"/>
      <c r="W12" s="191"/>
      <c r="X12" s="191"/>
      <c r="Y12" s="191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84" t="s">
        <v>38</v>
      </c>
      <c r="C17" s="184"/>
      <c r="D17" s="184"/>
      <c r="E17" s="184"/>
      <c r="F17" s="184"/>
      <c r="G17" s="184"/>
      <c r="H17" s="184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29"/>
    </row>
    <row r="18" spans="1:26" s="19" customFormat="1" ht="15" x14ac:dyDescent="0.25">
      <c r="A18" s="26"/>
      <c r="B18" s="184" t="s">
        <v>39</v>
      </c>
      <c r="C18" s="184"/>
      <c r="D18" s="184"/>
      <c r="E18" s="184"/>
      <c r="F18" s="184"/>
      <c r="G18" s="184"/>
      <c r="H18" s="184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86" t="s">
        <v>4</v>
      </c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37"/>
      <c r="W46" s="37"/>
      <c r="X46" s="37"/>
      <c r="Y46" s="37"/>
      <c r="Z46" s="38"/>
    </row>
    <row r="47" spans="1:26" ht="15.9" customHeight="1" x14ac:dyDescent="0.25">
      <c r="A47" s="39"/>
      <c r="B47" s="130" t="s">
        <v>32</v>
      </c>
      <c r="C47" s="176"/>
      <c r="D47" s="74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77" t="s">
        <v>20</v>
      </c>
      <c r="B48" s="180"/>
      <c r="C48" s="181"/>
      <c r="D48" s="76">
        <v>44.8</v>
      </c>
      <c r="E48" s="76">
        <v>52.6</v>
      </c>
      <c r="F48" s="76">
        <v>63.2</v>
      </c>
      <c r="G48" s="76">
        <v>76.099999999999994</v>
      </c>
      <c r="H48" s="76">
        <v>88.8</v>
      </c>
      <c r="I48" s="76">
        <v>96.6</v>
      </c>
      <c r="J48" s="76">
        <v>99</v>
      </c>
      <c r="K48" s="76">
        <v>100</v>
      </c>
      <c r="L48" s="73"/>
      <c r="M48" s="73"/>
      <c r="N48" s="73"/>
      <c r="O48" s="73"/>
      <c r="P48" s="73"/>
      <c r="Q48" s="73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78"/>
      <c r="B49" s="182"/>
      <c r="C49" s="18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78"/>
      <c r="B50" s="182"/>
      <c r="C50" s="18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79"/>
      <c r="B51" s="182"/>
      <c r="C51" s="18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73" t="s">
        <v>32</v>
      </c>
      <c r="C56" s="173"/>
      <c r="D56" s="173" t="s">
        <v>13</v>
      </c>
      <c r="E56" s="173"/>
      <c r="F56" s="130" t="s">
        <v>52</v>
      </c>
      <c r="G56" s="176"/>
      <c r="H56" s="173" t="s">
        <v>24</v>
      </c>
      <c r="I56" s="173"/>
      <c r="J56" s="173" t="s">
        <v>23</v>
      </c>
      <c r="K56" s="173"/>
      <c r="L56" s="173" t="s">
        <v>8</v>
      </c>
      <c r="M56" s="173"/>
      <c r="N56" s="173" t="s">
        <v>10</v>
      </c>
      <c r="O56" s="173"/>
      <c r="P56" s="173" t="s">
        <v>9</v>
      </c>
      <c r="Q56" s="173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74"/>
      <c r="C57" s="175"/>
      <c r="D57" s="225">
        <v>20.6</v>
      </c>
      <c r="E57" s="226"/>
      <c r="F57" s="225">
        <v>10</v>
      </c>
      <c r="G57" s="226"/>
      <c r="H57" s="227"/>
      <c r="I57" s="228"/>
      <c r="J57" s="229"/>
      <c r="K57" s="230"/>
      <c r="L57" s="227">
        <v>5.3</v>
      </c>
      <c r="M57" s="228"/>
      <c r="N57" s="225"/>
      <c r="O57" s="226"/>
      <c r="P57" s="231">
        <v>6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71"/>
      <c r="C58" s="172"/>
      <c r="D58" s="126"/>
      <c r="E58" s="127"/>
      <c r="F58" s="126"/>
      <c r="G58" s="127"/>
      <c r="H58" s="169"/>
      <c r="I58" s="170"/>
      <c r="J58" s="128"/>
      <c r="K58" s="129"/>
      <c r="L58" s="169"/>
      <c r="M58" s="170"/>
      <c r="N58" s="126"/>
      <c r="O58" s="127"/>
      <c r="P58" s="124"/>
      <c r="Q58" s="125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67"/>
      <c r="C59" s="168"/>
      <c r="D59" s="126"/>
      <c r="E59" s="127"/>
      <c r="F59" s="126"/>
      <c r="G59" s="127"/>
      <c r="H59" s="169"/>
      <c r="I59" s="170"/>
      <c r="J59" s="128"/>
      <c r="K59" s="129"/>
      <c r="L59" s="169"/>
      <c r="M59" s="170"/>
      <c r="N59" s="126"/>
      <c r="O59" s="127"/>
      <c r="P59" s="124"/>
      <c r="Q59" s="125"/>
      <c r="R59" s="12"/>
      <c r="T59" s="47"/>
      <c r="U59" s="13" t="s">
        <v>6</v>
      </c>
      <c r="V59" s="64"/>
      <c r="W59" s="161" t="s">
        <v>60</v>
      </c>
      <c r="X59" s="161"/>
      <c r="Y59" s="161"/>
      <c r="Z59" s="12"/>
    </row>
    <row r="60" spans="1:26" ht="15.9" customHeight="1" x14ac:dyDescent="0.25">
      <c r="A60" s="51"/>
      <c r="B60" s="162"/>
      <c r="C60" s="163"/>
      <c r="D60" s="109"/>
      <c r="E60" s="110"/>
      <c r="F60" s="109"/>
      <c r="G60" s="110"/>
      <c r="H60" s="164"/>
      <c r="I60" s="165"/>
      <c r="J60" s="111"/>
      <c r="K60" s="112"/>
      <c r="L60" s="164"/>
      <c r="M60" s="165"/>
      <c r="N60" s="109"/>
      <c r="O60" s="110"/>
      <c r="P60" s="107"/>
      <c r="Q60" s="108"/>
      <c r="R60" s="12"/>
      <c r="T60" s="47"/>
      <c r="U60" s="64" t="s">
        <v>11</v>
      </c>
      <c r="V60" s="64"/>
      <c r="W60" s="166" t="s">
        <v>61</v>
      </c>
      <c r="X60" s="166"/>
      <c r="Y60" s="166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57" t="s">
        <v>14</v>
      </c>
      <c r="C62" s="157"/>
      <c r="D62" s="157" t="s">
        <v>15</v>
      </c>
      <c r="E62" s="157"/>
      <c r="F62" s="157" t="s">
        <v>16</v>
      </c>
      <c r="G62" s="157"/>
      <c r="H62" s="157" t="s">
        <v>17</v>
      </c>
      <c r="I62" s="157"/>
      <c r="J62" s="158" t="s">
        <v>18</v>
      </c>
      <c r="K62" s="159"/>
      <c r="L62" s="130" t="s">
        <v>22</v>
      </c>
      <c r="M62" s="160"/>
      <c r="N62" s="132"/>
      <c r="O62" s="130" t="s">
        <v>19</v>
      </c>
      <c r="P62" s="131"/>
      <c r="Q62" s="132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33"/>
      <c r="C63" s="134"/>
      <c r="D63" s="133"/>
      <c r="E63" s="134"/>
      <c r="F63" s="135"/>
      <c r="G63" s="136"/>
      <c r="H63" s="135"/>
      <c r="I63" s="136"/>
      <c r="J63" s="137"/>
      <c r="K63" s="138"/>
      <c r="L63" s="139"/>
      <c r="M63" s="140"/>
      <c r="N63" s="141"/>
      <c r="O63" s="148"/>
      <c r="P63" s="149"/>
      <c r="Q63" s="150"/>
      <c r="R63" s="12"/>
      <c r="T63" s="47"/>
      <c r="U63" s="122" t="str">
        <f>IF(S10&lt;&gt;"",S10,"")</f>
        <v>Argile sableuse barriolée marron grise</v>
      </c>
      <c r="V63" s="122"/>
      <c r="W63" s="122"/>
      <c r="X63" s="122"/>
      <c r="Y63" s="122"/>
      <c r="Z63" s="50"/>
    </row>
    <row r="64" spans="1:26" ht="15.9" customHeight="1" x14ac:dyDescent="0.25">
      <c r="A64" s="45"/>
      <c r="B64" s="124"/>
      <c r="C64" s="125"/>
      <c r="D64" s="124"/>
      <c r="E64" s="125"/>
      <c r="F64" s="126"/>
      <c r="G64" s="127"/>
      <c r="H64" s="126"/>
      <c r="I64" s="127"/>
      <c r="J64" s="128"/>
      <c r="K64" s="129"/>
      <c r="L64" s="142"/>
      <c r="M64" s="143"/>
      <c r="N64" s="144"/>
      <c r="O64" s="151"/>
      <c r="P64" s="152"/>
      <c r="Q64" s="153"/>
      <c r="R64" s="12"/>
      <c r="T64" s="47"/>
      <c r="U64" s="122"/>
      <c r="V64" s="122"/>
      <c r="W64" s="122"/>
      <c r="X64" s="122"/>
      <c r="Y64" s="122"/>
      <c r="Z64" s="50"/>
    </row>
    <row r="65" spans="1:26" ht="15.9" customHeight="1" x14ac:dyDescent="0.25">
      <c r="A65" s="45"/>
      <c r="B65" s="124"/>
      <c r="C65" s="125"/>
      <c r="D65" s="124"/>
      <c r="E65" s="125"/>
      <c r="F65" s="126"/>
      <c r="G65" s="127"/>
      <c r="H65" s="126"/>
      <c r="I65" s="127"/>
      <c r="J65" s="128"/>
      <c r="K65" s="129"/>
      <c r="L65" s="142"/>
      <c r="M65" s="143"/>
      <c r="N65" s="144"/>
      <c r="O65" s="151"/>
      <c r="P65" s="152"/>
      <c r="Q65" s="153"/>
      <c r="R65" s="12"/>
      <c r="T65" s="3"/>
      <c r="U65" s="123"/>
      <c r="V65" s="123"/>
      <c r="W65" s="123"/>
      <c r="X65" s="123"/>
      <c r="Y65" s="123"/>
      <c r="Z65" s="53"/>
    </row>
    <row r="66" spans="1:26" ht="15.9" customHeight="1" x14ac:dyDescent="0.25">
      <c r="A66" s="45"/>
      <c r="B66" s="107"/>
      <c r="C66" s="108"/>
      <c r="D66" s="107"/>
      <c r="E66" s="108"/>
      <c r="F66" s="109"/>
      <c r="G66" s="110"/>
      <c r="H66" s="109"/>
      <c r="I66" s="110"/>
      <c r="J66" s="111"/>
      <c r="K66" s="112"/>
      <c r="L66" s="145"/>
      <c r="M66" s="146"/>
      <c r="N66" s="147"/>
      <c r="O66" s="154"/>
      <c r="P66" s="155"/>
      <c r="Q66" s="156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113"/>
      <c r="V69" s="113"/>
      <c r="W69" s="113"/>
      <c r="X69" s="114"/>
      <c r="Y69" s="114"/>
      <c r="Z69" s="115"/>
    </row>
    <row r="70" spans="1:26" s="19" customFormat="1" ht="26.4" customHeight="1" x14ac:dyDescent="0.25">
      <c r="A70" s="116" t="s">
        <v>54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8"/>
      <c r="R70" s="80" t="s">
        <v>35</v>
      </c>
      <c r="S70" s="81"/>
      <c r="T70" s="82"/>
      <c r="U70" s="119" t="s">
        <v>63</v>
      </c>
      <c r="V70" s="120"/>
      <c r="W70" s="120"/>
      <c r="X70" s="120"/>
      <c r="Y70" s="120"/>
      <c r="Z70" s="121"/>
    </row>
    <row r="71" spans="1:26" s="19" customFormat="1" ht="26.4" customHeight="1" x14ac:dyDescent="0.25">
      <c r="A71" s="77" t="s">
        <v>62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9"/>
      <c r="R71" s="80"/>
      <c r="S71" s="81"/>
      <c r="T71" s="82"/>
      <c r="U71" s="83" t="s">
        <v>64</v>
      </c>
      <c r="V71" s="84"/>
      <c r="W71" s="84"/>
      <c r="X71" s="84"/>
      <c r="Y71" s="84"/>
      <c r="Z71" s="85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80"/>
      <c r="S72" s="81"/>
      <c r="T72" s="82"/>
      <c r="U72" s="86"/>
      <c r="V72" s="87"/>
      <c r="W72" s="87"/>
      <c r="X72" s="87"/>
      <c r="Y72" s="87"/>
      <c r="Z72" s="88"/>
    </row>
    <row r="73" spans="1:26" s="19" customFormat="1" ht="15.6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1"/>
      <c r="R73" s="80" t="s">
        <v>36</v>
      </c>
      <c r="S73" s="81"/>
      <c r="T73" s="82"/>
      <c r="U73" s="65"/>
      <c r="V73" s="66"/>
      <c r="W73" s="66"/>
      <c r="X73" s="66"/>
      <c r="Y73" s="66"/>
      <c r="Z73" s="67"/>
    </row>
    <row r="74" spans="1:26" s="19" customFormat="1" ht="15.6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1"/>
      <c r="R74" s="80"/>
      <c r="S74" s="81"/>
      <c r="T74" s="82"/>
      <c r="U74" s="68"/>
      <c r="V74" s="98"/>
      <c r="W74" s="98"/>
      <c r="X74" s="98"/>
      <c r="Y74" s="98"/>
      <c r="Z74" s="69"/>
    </row>
    <row r="75" spans="1:26" s="19" customFormat="1" ht="15.6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1"/>
      <c r="R75" s="80"/>
      <c r="S75" s="81"/>
      <c r="T75" s="82"/>
      <c r="U75" s="68"/>
      <c r="V75" s="98"/>
      <c r="W75" s="98"/>
      <c r="X75" s="98"/>
      <c r="Y75" s="98"/>
      <c r="Z75" s="69"/>
    </row>
    <row r="76" spans="1:26" s="19" customFormat="1" ht="15.6" customHeight="1" x14ac:dyDescent="0.25">
      <c r="A76" s="92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4"/>
      <c r="R76" s="95"/>
      <c r="S76" s="96"/>
      <c r="T76" s="97"/>
      <c r="U76" s="70"/>
      <c r="V76" s="71"/>
      <c r="W76" s="71"/>
      <c r="X76" s="71"/>
      <c r="Y76" s="71"/>
      <c r="Z76" s="72"/>
    </row>
  </sheetData>
  <sheetProtection selectLockedCells="1"/>
  <mergeCells count="117"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46:U46"/>
    <mergeCell ref="B47:C47"/>
    <mergeCell ref="P56:Q56"/>
    <mergeCell ref="S11:Y11"/>
    <mergeCell ref="B12:G12"/>
    <mergeCell ref="H12:M12"/>
    <mergeCell ref="N12:R12"/>
    <mergeCell ref="S12:Y12"/>
    <mergeCell ref="B11:G11"/>
    <mergeCell ref="H11:M11"/>
    <mergeCell ref="N11:R11"/>
    <mergeCell ref="D56:E56"/>
    <mergeCell ref="F56:G56"/>
    <mergeCell ref="H56:I56"/>
    <mergeCell ref="J56:K56"/>
    <mergeCell ref="L56:M56"/>
    <mergeCell ref="N56:O56"/>
    <mergeCell ref="B17:H17"/>
    <mergeCell ref="I17:Y17"/>
    <mergeCell ref="B18:H18"/>
    <mergeCell ref="I18:Y18"/>
    <mergeCell ref="A48:A51"/>
    <mergeCell ref="B48:C48"/>
    <mergeCell ref="B49:C49"/>
    <mergeCell ref="B50:C50"/>
    <mergeCell ref="B51:C51"/>
    <mergeCell ref="B56:C56"/>
    <mergeCell ref="B57:C57"/>
    <mergeCell ref="N57:O57"/>
    <mergeCell ref="P57:Q57"/>
    <mergeCell ref="D57:E57"/>
    <mergeCell ref="F57:G57"/>
    <mergeCell ref="H57:I57"/>
    <mergeCell ref="J57:K57"/>
    <mergeCell ref="L57:M57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R71:T72"/>
    <mergeCell ref="U71:Z72"/>
    <mergeCell ref="A73:Q76"/>
    <mergeCell ref="R73:T76"/>
    <mergeCell ref="D66:E66"/>
    <mergeCell ref="F66:G66"/>
    <mergeCell ref="H66:I66"/>
    <mergeCell ref="J66:K66"/>
    <mergeCell ref="U69:Z69"/>
    <mergeCell ref="R70:T70"/>
    <mergeCell ref="U70:Z70"/>
    <mergeCell ref="V74:Y75"/>
    <mergeCell ref="A70:Q70"/>
    <mergeCell ref="A71:Q71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3076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74</xdr:row>
                <xdr:rowOff>190500</xdr:rowOff>
              </to>
            </anchor>
          </controlPr>
        </control>
      </mc:Choice>
      <mc:Fallback>
        <control shapeId="3076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S2E2</vt:lpstr>
      <vt:lpstr>S4E1</vt:lpstr>
      <vt:lpstr>S3E1</vt:lpstr>
      <vt:lpstr>S2E1</vt:lpstr>
      <vt:lpstr>S1E1</vt:lpstr>
      <vt:lpstr>S1E1!Zone_d_impression</vt:lpstr>
      <vt:lpstr>S2E1!Zone_d_impression</vt:lpstr>
      <vt:lpstr>S2E2!Zone_d_impression</vt:lpstr>
      <vt:lpstr>S3E1!Zone_d_impression</vt:lpstr>
      <vt:lpstr>S4E1!Zone_d_impression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MONTET Frédéric</cp:lastModifiedBy>
  <cp:lastPrinted>2025-03-28T07:08:00Z</cp:lastPrinted>
  <dcterms:created xsi:type="dcterms:W3CDTF">2004-11-13T18:13:05Z</dcterms:created>
  <dcterms:modified xsi:type="dcterms:W3CDTF">2025-03-31T09:44:42Z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