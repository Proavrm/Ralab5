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N63C  Villeurbanne - Tram T6 Nord\Essais de Laboratoire\Enrobés\"/>
    </mc:Choice>
  </mc:AlternateContent>
  <xr:revisionPtr revIDLastSave="0" documentId="13_ncr:1_{BBC187CE-78CA-4F6B-858E-C46D64916A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20825 GB Car. Verlaine Tolstoï" sheetId="9" r:id="rId1"/>
    <sheet name="120825 GB Racc. Verlaine 4 aout" sheetId="8" r:id="rId2"/>
    <sheet name="290725 GB Liaison Salengro" sheetId="7" r:id="rId3"/>
    <sheet name="290725 GB Base Salengro 11 Nov" sheetId="6" r:id="rId4"/>
    <sheet name="290725 GB Fond Salengro 11 Nov" sheetId="5" r:id="rId5"/>
    <sheet name="060525 Leclerc Poizat (2)" sheetId="4" r:id="rId6"/>
    <sheet name="060525 11 nov." sheetId="3" r:id="rId7"/>
    <sheet name="230125" sheetId="1" r:id="rId8"/>
  </sheets>
  <definedNames>
    <definedName name="_xlnm.Print_Area" localSheetId="6">'060525 11 nov.'!$A$1:$Z$60</definedName>
    <definedName name="_xlnm.Print_Area" localSheetId="5">'060525 Leclerc Poizat (2)'!$A$1:$Z$60</definedName>
    <definedName name="_xlnm.Print_Area" localSheetId="0">'120825 GB Car. Verlaine Tolstoï'!$A$1:$Z$62</definedName>
    <definedName name="_xlnm.Print_Area" localSheetId="1">'120825 GB Racc. Verlaine 4 aout'!$A$1:$Z$63</definedName>
    <definedName name="_xlnm.Print_Area" localSheetId="7">'230125'!$A$1:$Z$62</definedName>
    <definedName name="_xlnm.Print_Area" localSheetId="3">'290725 GB Base Salengro 11 Nov'!$A$1:$Z$63</definedName>
    <definedName name="_xlnm.Print_Area" localSheetId="4">'290725 GB Fond Salengro 11 Nov'!$A$1:$Z$63</definedName>
    <definedName name="_xlnm.Print_Area" localSheetId="2">'290725 GB Liaison Salengro'!$A$1:$Z$64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5" i="9" l="1"/>
  <c r="AD36" i="9"/>
  <c r="AD37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35" i="8"/>
  <c r="AD36" i="8"/>
  <c r="AD37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35" i="7"/>
  <c r="AD36" i="7"/>
  <c r="AD37" i="7"/>
  <c r="AD38" i="7"/>
  <c r="AD39" i="7"/>
  <c r="AD40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35" i="6"/>
  <c r="AD36" i="6"/>
  <c r="AD37" i="6"/>
  <c r="AD38" i="6"/>
  <c r="AD39" i="6"/>
  <c r="AD40" i="6"/>
  <c r="AD41" i="6"/>
  <c r="AD42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35" i="5"/>
  <c r="AD36" i="5"/>
  <c r="AD37" i="5"/>
  <c r="AD38" i="5"/>
  <c r="AD39" i="5"/>
  <c r="AD40" i="5"/>
  <c r="AD41" i="5"/>
  <c r="AD42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49" i="4"/>
  <c r="AD48" i="4"/>
  <c r="AD47" i="4"/>
  <c r="AD46" i="4"/>
  <c r="AD41" i="4"/>
  <c r="AD40" i="4"/>
  <c r="AD39" i="4"/>
  <c r="AD38" i="4"/>
  <c r="AD37" i="4"/>
  <c r="AD36" i="4"/>
  <c r="AD35" i="4"/>
  <c r="AD35" i="3"/>
  <c r="AD36" i="3"/>
  <c r="AD37" i="3"/>
  <c r="AD38" i="3"/>
  <c r="AD39" i="3"/>
  <c r="AD40" i="3"/>
  <c r="AD41" i="3"/>
  <c r="AD42" i="3"/>
  <c r="AD43" i="3"/>
  <c r="AD44" i="3"/>
  <c r="AD45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F27" i="9" l="1"/>
  <c r="F27" i="8"/>
  <c r="F27" i="7"/>
  <c r="F27" i="6"/>
  <c r="F27" i="5"/>
  <c r="F27" i="4"/>
  <c r="F27" i="3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38" i="1"/>
  <c r="AD37" i="1"/>
  <c r="AD36" i="1"/>
  <c r="AD35" i="1"/>
  <c r="F27" i="1" l="1"/>
</calcChain>
</file>

<file path=xl/sharedStrings.xml><?xml version="1.0" encoding="utf-8"?>
<sst xmlns="http://schemas.openxmlformats.org/spreadsheetml/2006/main" count="582" uniqueCount="109">
  <si>
    <t>COMPTE RENDU D'ESSAIS</t>
  </si>
  <si>
    <t>Villeurbanne - Tram T6N</t>
  </si>
  <si>
    <t>MASSE VOLUMIQUE DES ENROBES
(NF EN 12697-6-A1)</t>
  </si>
  <si>
    <t>n°</t>
  </si>
  <si>
    <t>RA N63C</t>
  </si>
  <si>
    <t>24/01/2025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</si>
  <si>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</si>
  <si>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</si>
  <si>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</si>
  <si>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</si>
  <si>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</si>
  <si>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</si>
  <si>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</si>
  <si>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F. Montet</t>
  </si>
  <si>
    <t>23/01/2025</t>
  </si>
  <si>
    <t>Opérateur :</t>
  </si>
  <si>
    <t>Nature du produit :</t>
  </si>
  <si>
    <t>GB 0/14 Classe 3</t>
  </si>
  <si>
    <t>Date de(s) prélèvement(s) :</t>
  </si>
  <si>
    <t>Provenance :</t>
  </si>
  <si>
    <t>Boulevard du 11 novembre</t>
  </si>
  <si>
    <t>Date de(s) essai(s) :</t>
  </si>
  <si>
    <t>Couche :</t>
  </si>
  <si>
    <t>Base</t>
  </si>
  <si>
    <t>2/</t>
  </si>
  <si>
    <t>CRITERES DE CONFORMITE</t>
  </si>
  <si>
    <t>Source des critères :</t>
  </si>
  <si>
    <t>Définition des critères / objectifs :</t>
  </si>
  <si>
    <t>3/</t>
  </si>
  <si>
    <t>RESULTATS DES ESSAIS</t>
  </si>
  <si>
    <t>Température mesurée de l'eau :
(±1 - °C)</t>
  </si>
  <si>
    <t>°C</t>
  </si>
  <si>
    <t xml:space="preserve">Masse volumique de la paraffine: </t>
  </si>
  <si>
    <r>
      <t>kg/m</t>
    </r>
    <r>
      <rPr>
        <b/>
        <vertAlign val="superscript"/>
        <sz val="11"/>
        <color rgb="FF000000"/>
        <rFont val="Century Gothic"/>
      </rPr>
      <t>3</t>
    </r>
  </si>
  <si>
    <t>Masse volumique de l'eau :</t>
  </si>
  <si>
    <t>kg/m3</t>
  </si>
  <si>
    <t>MVR :</t>
  </si>
  <si>
    <t>Référence de l'éprouvette</t>
  </si>
  <si>
    <t>Masse séche
(g)</t>
  </si>
  <si>
    <t>Masse sèche paraffinée
(g)</t>
  </si>
  <si>
    <t>Masse dans l'eau
(g)</t>
  </si>
  <si>
    <r>
      <t>Masse volumique de l'éprouvette
(kg/m</t>
    </r>
    <r>
      <rPr>
        <b/>
        <vertAlign val="superscript"/>
        <sz val="11"/>
        <color rgb="FF000000"/>
        <rFont val="Century Gothic"/>
      </rPr>
      <t>3)</t>
    </r>
  </si>
  <si>
    <t>Compacité %</t>
  </si>
  <si>
    <t>% vides</t>
  </si>
  <si>
    <t>Hauteur de l'éprouvette (cm)</t>
  </si>
  <si>
    <t>Température mesurée au 1°C</t>
  </si>
  <si>
    <t>Facteur de correction K</t>
  </si>
  <si>
    <t>Facteur de correction à utiliser</t>
  </si>
  <si>
    <t>SC4 couche de fondation</t>
  </si>
  <si>
    <t>SC5 couche de base</t>
  </si>
  <si>
    <t>SC6 couche de fondation</t>
  </si>
  <si>
    <t>SC6 couche de base</t>
  </si>
  <si>
    <t>4/</t>
  </si>
  <si>
    <t>CONCLUSIONS</t>
  </si>
  <si>
    <t>Contrôle</t>
  </si>
  <si>
    <t>Nom</t>
  </si>
  <si>
    <t>F. MONTET</t>
  </si>
  <si>
    <t>Conforme</t>
  </si>
  <si>
    <t>Fonction</t>
  </si>
  <si>
    <t>Technicien de laboratoire</t>
  </si>
  <si>
    <t>5/</t>
  </si>
  <si>
    <t>COMMENTAIRES</t>
  </si>
  <si>
    <t>Visa</t>
  </si>
  <si>
    <t>Base/Fondation</t>
  </si>
  <si>
    <t>Application du 02/12/2024</t>
  </si>
  <si>
    <r>
      <t xml:space="preserve">%vides </t>
    </r>
    <r>
      <rPr>
        <sz val="11"/>
        <color rgb="FF000000"/>
        <rFont val="Aptos Narrow"/>
        <family val="2"/>
      </rPr>
      <t>≤ 9%</t>
    </r>
  </si>
  <si>
    <t>Chef de section laboratoire</t>
  </si>
  <si>
    <t>Non conforme</t>
  </si>
  <si>
    <t xml:space="preserve"> Sylvain LHOPITAL</t>
  </si>
  <si>
    <t>SC6 Base</t>
  </si>
  <si>
    <t>SC6 Fond.</t>
  </si>
  <si>
    <t>SC5 Fond.</t>
  </si>
  <si>
    <t>SC4 Base</t>
  </si>
  <si>
    <t>SC4 Fond.</t>
  </si>
  <si>
    <t>SC3 Base</t>
  </si>
  <si>
    <t>SC3 Fond.</t>
  </si>
  <si>
    <t>SC2 Base</t>
  </si>
  <si>
    <t>SC2 Fond.</t>
  </si>
  <si>
    <t>SC1 Base</t>
  </si>
  <si>
    <t>SC1 Fond.</t>
  </si>
  <si>
    <t>Fondation</t>
  </si>
  <si>
    <t>14/05/2025</t>
  </si>
  <si>
    <t>F157 - P2R - Pusignan</t>
  </si>
  <si>
    <t>Sylvain LHOPITAL</t>
  </si>
  <si>
    <t>08/05/2025</t>
  </si>
  <si>
    <t>Villeurbanne
Tram T6N</t>
  </si>
  <si>
    <t>Fondation/Base - Carr. 11 nov.</t>
  </si>
  <si>
    <t>Fondation/Base - Leclerc/Poizat</t>
  </si>
  <si>
    <t>SC8</t>
  </si>
  <si>
    <t>SC7</t>
  </si>
  <si>
    <t>SC6</t>
  </si>
  <si>
    <t>SC5</t>
  </si>
  <si>
    <t>SC4</t>
  </si>
  <si>
    <t>SC3</t>
  </si>
  <si>
    <t>SC2</t>
  </si>
  <si>
    <t>SC1</t>
  </si>
  <si>
    <r>
      <t>Masse volumique de l'éprouvette
(kg/m</t>
    </r>
    <r>
      <rPr>
        <b/>
        <vertAlign val="superscript"/>
        <sz val="11"/>
        <color rgb="FF000000"/>
        <rFont val="Century Gothic"/>
        <family val="2"/>
      </rPr>
      <t>3)</t>
    </r>
  </si>
  <si>
    <r>
      <t>kg/m</t>
    </r>
    <r>
      <rPr>
        <b/>
        <vertAlign val="superscript"/>
        <sz val="11"/>
        <color rgb="FF000000"/>
        <rFont val="Century Gothic"/>
        <family val="2"/>
      </rPr>
      <t>3</t>
    </r>
  </si>
  <si>
    <t>%vides ≤ 9% avec tolérance jusqu'à 11%</t>
  </si>
  <si>
    <t>P2R</t>
  </si>
  <si>
    <t>30/07/2025</t>
  </si>
  <si>
    <t>29/07/2025</t>
  </si>
  <si>
    <t>Liaison</t>
  </si>
  <si>
    <t>Raccordement Verlaine / 4 août</t>
  </si>
  <si>
    <t>12/08/2025</t>
  </si>
  <si>
    <t>11/08/2025</t>
  </si>
  <si>
    <t>Raccordement Verlaine / Tolstoï</t>
  </si>
  <si>
    <t>EME 0/14 Classe 2 30%AE</t>
  </si>
  <si>
    <t>%vides ≤ 6% avec tolérance jusqu'à 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</si>
</sst>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0"/>
  </numFmts>
  <fonts count="30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alibri"/>
    </font>
    <font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b/>
      <vertAlign val="superscript"/>
      <sz val="11"/>
      <color rgb="FF000000"/>
      <name val="Century Gothic"/>
    </font>
    <font>
      <sz val="11"/>
      <color rgb="FF000000"/>
      <name val="Aptos Narrow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sz val="14"/>
      <name val="Century Gothic"/>
      <family val="2"/>
    </font>
    <font>
      <sz val="10"/>
      <color rgb="FF000000"/>
      <name val="Arial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sz val="11"/>
      <color rgb="FF000000"/>
      <name val="Calibri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vertAlign val="superscript"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8" fillId="0" borderId="0"/>
  </cellStyleXfs>
  <cellXfs count="458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/>
    <xf numFmtId="0" fontId="8" fillId="0" borderId="0" xfId="0" applyFont="1" applyAlignment="1">
      <alignment horizontal="right"/>
    </xf>
    <xf numFmtId="164" fontId="1" fillId="0" borderId="7" xfId="0" applyNumberFormat="1" applyFont="1" applyBorder="1" applyAlignment="1" applyProtection="1">
      <alignment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164" fontId="1" fillId="0" borderId="8" xfId="0" applyNumberFormat="1" applyFont="1" applyBorder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7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9" fillId="0" borderId="0" xfId="0" applyFont="1"/>
    <xf numFmtId="0" fontId="6" fillId="0" borderId="3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10" fillId="0" borderId="4" xfId="0" applyFont="1" applyBorder="1" applyAlignment="1" applyProtection="1">
      <alignment vertical="center"/>
      <protection hidden="1"/>
    </xf>
    <xf numFmtId="0" fontId="10" fillId="0" borderId="4" xfId="0" applyFont="1" applyBorder="1" applyProtection="1">
      <protection hidden="1"/>
    </xf>
    <xf numFmtId="0" fontId="10" fillId="0" borderId="6" xfId="0" applyFont="1" applyBorder="1" applyProtection="1">
      <protection hidden="1"/>
    </xf>
    <xf numFmtId="0" fontId="6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horizontal="left" vertical="center"/>
      <protection hidden="1"/>
    </xf>
    <xf numFmtId="0" fontId="10" fillId="0" borderId="3" xfId="0" applyFont="1" applyBorder="1" applyAlignment="1" applyProtection="1">
      <alignment vertical="center" wrapText="1"/>
      <protection locked="0"/>
    </xf>
    <xf numFmtId="0" fontId="10" fillId="0" borderId="4" xfId="0" applyFont="1" applyBorder="1" applyAlignment="1" applyProtection="1">
      <alignment vertical="center" wrapText="1"/>
      <protection locked="0"/>
    </xf>
    <xf numFmtId="0" fontId="10" fillId="0" borderId="5" xfId="0" applyFont="1" applyBorder="1" applyAlignment="1" applyProtection="1">
      <alignment vertical="center" wrapText="1"/>
      <protection locked="0"/>
    </xf>
    <xf numFmtId="0" fontId="10" fillId="0" borderId="6" xfId="0" applyFont="1" applyBorder="1" applyAlignment="1" applyProtection="1">
      <alignment vertical="center" wrapText="1"/>
      <protection locked="0"/>
    </xf>
    <xf numFmtId="0" fontId="10" fillId="0" borderId="7" xfId="0" applyFont="1" applyBorder="1" applyAlignment="1" applyProtection="1">
      <alignment vertical="center" wrapText="1"/>
      <protection locked="0"/>
    </xf>
    <xf numFmtId="0" fontId="16" fillId="0" borderId="8" xfId="0" applyFont="1" applyBorder="1" applyAlignment="1" applyProtection="1">
      <alignment vertical="center" wrapText="1"/>
      <protection locked="0"/>
    </xf>
    <xf numFmtId="0" fontId="16" fillId="0" borderId="2" xfId="0" applyFont="1" applyBorder="1" applyAlignment="1" applyProtection="1">
      <alignment vertical="center" wrapText="1"/>
      <protection locked="0"/>
    </xf>
    <xf numFmtId="0" fontId="16" fillId="0" borderId="1" xfId="0" applyFont="1" applyBorder="1" applyAlignment="1" applyProtection="1">
      <alignment vertical="center" wrapText="1"/>
      <protection locked="0"/>
    </xf>
    <xf numFmtId="0" fontId="16" fillId="0" borderId="7" xfId="0" applyFont="1" applyBorder="1" applyAlignment="1" applyProtection="1">
      <alignment vertical="center" wrapText="1"/>
      <protection locked="0"/>
    </xf>
    <xf numFmtId="0" fontId="16" fillId="0" borderId="6" xfId="0" applyFont="1" applyBorder="1" applyAlignment="1" applyProtection="1">
      <alignment vertical="center" wrapText="1"/>
      <protection locked="0"/>
    </xf>
    <xf numFmtId="0" fontId="16" fillId="0" borderId="5" xfId="0" applyFont="1" applyBorder="1" applyAlignment="1" applyProtection="1">
      <alignment vertical="center" wrapText="1"/>
      <protection locked="0"/>
    </xf>
    <xf numFmtId="0" fontId="16" fillId="0" borderId="4" xfId="0" applyFont="1" applyBorder="1" applyAlignment="1" applyProtection="1">
      <alignment vertical="center" wrapText="1"/>
      <protection locked="0"/>
    </xf>
    <xf numFmtId="0" fontId="16" fillId="0" borderId="3" xfId="0" applyFont="1" applyBorder="1" applyAlignment="1" applyProtection="1">
      <alignment vertical="center" wrapText="1"/>
      <protection locked="0"/>
    </xf>
    <xf numFmtId="0" fontId="18" fillId="0" borderId="0" xfId="1"/>
    <xf numFmtId="0" fontId="16" fillId="0" borderId="0" xfId="1" applyFont="1" applyAlignment="1" applyProtection="1">
      <alignment vertical="center"/>
      <protection hidden="1"/>
    </xf>
    <xf numFmtId="0" fontId="16" fillId="0" borderId="0" xfId="1" applyFont="1" applyAlignment="1" applyProtection="1">
      <alignment horizontal="center" vertical="center"/>
      <protection hidden="1"/>
    </xf>
    <xf numFmtId="164" fontId="16" fillId="0" borderId="8" xfId="1" applyNumberFormat="1" applyFont="1" applyBorder="1" applyAlignment="1" applyProtection="1">
      <alignment vertical="center"/>
      <protection hidden="1"/>
    </xf>
    <xf numFmtId="0" fontId="16" fillId="0" borderId="2" xfId="1" applyFont="1" applyBorder="1" applyAlignment="1" applyProtection="1">
      <alignment horizontal="center" vertical="center"/>
      <protection hidden="1"/>
    </xf>
    <xf numFmtId="0" fontId="16" fillId="0" borderId="1" xfId="1" applyFont="1" applyBorder="1" applyAlignment="1" applyProtection="1">
      <alignment horizontal="center" vertical="center"/>
      <protection hidden="1"/>
    </xf>
    <xf numFmtId="164" fontId="16" fillId="0" borderId="7" xfId="1" applyNumberFormat="1" applyFont="1" applyBorder="1" applyAlignment="1" applyProtection="1">
      <alignment vertical="center"/>
      <protection hidden="1"/>
    </xf>
    <xf numFmtId="0" fontId="16" fillId="0" borderId="6" xfId="1" applyFont="1" applyBorder="1" applyAlignment="1" applyProtection="1">
      <alignment horizontal="center" vertical="center"/>
      <protection hidden="1"/>
    </xf>
    <xf numFmtId="164" fontId="16" fillId="0" borderId="0" xfId="1" applyNumberFormat="1" applyFont="1" applyAlignment="1" applyProtection="1">
      <alignment horizontal="center" vertical="center"/>
      <protection hidden="1"/>
    </xf>
    <xf numFmtId="0" fontId="16" fillId="0" borderId="0" xfId="1" applyFont="1" applyProtection="1">
      <protection hidden="1"/>
    </xf>
    <xf numFmtId="0" fontId="16" fillId="0" borderId="8" xfId="1" applyFont="1" applyBorder="1" applyAlignment="1" applyProtection="1">
      <alignment vertical="center" wrapText="1"/>
      <protection locked="0"/>
    </xf>
    <xf numFmtId="0" fontId="16" fillId="0" borderId="2" xfId="1" applyFont="1" applyBorder="1" applyAlignment="1" applyProtection="1">
      <alignment vertical="center" wrapText="1"/>
      <protection locked="0"/>
    </xf>
    <xf numFmtId="0" fontId="16" fillId="0" borderId="1" xfId="1" applyFont="1" applyBorder="1" applyAlignment="1" applyProtection="1">
      <alignment vertical="center" wrapText="1"/>
      <protection locked="0"/>
    </xf>
    <xf numFmtId="0" fontId="15" fillId="0" borderId="7" xfId="1" applyFont="1" applyBorder="1" applyAlignment="1" applyProtection="1">
      <alignment vertical="center" wrapText="1"/>
      <protection locked="0"/>
    </xf>
    <xf numFmtId="0" fontId="15" fillId="0" borderId="6" xfId="1" applyFont="1" applyBorder="1" applyAlignment="1" applyProtection="1">
      <alignment vertical="center" wrapText="1"/>
      <protection locked="0"/>
    </xf>
    <xf numFmtId="0" fontId="15" fillId="0" borderId="5" xfId="1" applyFont="1" applyBorder="1" applyAlignment="1" applyProtection="1">
      <alignment vertical="center" wrapText="1"/>
      <protection locked="0"/>
    </xf>
    <xf numFmtId="0" fontId="15" fillId="0" borderId="4" xfId="1" applyFont="1" applyBorder="1" applyAlignment="1" applyProtection="1">
      <alignment vertical="center" wrapText="1"/>
      <protection locked="0"/>
    </xf>
    <xf numFmtId="0" fontId="15" fillId="0" borderId="3" xfId="1" applyFont="1" applyBorder="1" applyAlignment="1" applyProtection="1">
      <alignment vertical="center" wrapText="1"/>
      <protection locked="0"/>
    </xf>
    <xf numFmtId="0" fontId="20" fillId="0" borderId="7" xfId="1" applyFont="1" applyBorder="1" applyAlignment="1" applyProtection="1">
      <alignment vertical="center"/>
      <protection hidden="1"/>
    </xf>
    <xf numFmtId="0" fontId="20" fillId="0" borderId="0" xfId="1" applyFont="1" applyAlignment="1" applyProtection="1">
      <alignment vertical="center"/>
      <protection hidden="1"/>
    </xf>
    <xf numFmtId="0" fontId="21" fillId="0" borderId="0" xfId="1" applyFont="1" applyAlignment="1" applyProtection="1">
      <alignment vertical="center"/>
      <protection hidden="1"/>
    </xf>
    <xf numFmtId="0" fontId="22" fillId="0" borderId="6" xfId="1" applyFont="1" applyBorder="1" applyAlignment="1" applyProtection="1">
      <alignment horizontal="center" vertical="center"/>
      <protection hidden="1"/>
    </xf>
    <xf numFmtId="0" fontId="23" fillId="0" borderId="0" xfId="1" applyFont="1"/>
    <xf numFmtId="0" fontId="16" fillId="0" borderId="4" xfId="1" applyFont="1" applyBorder="1" applyAlignment="1" applyProtection="1">
      <alignment vertical="center"/>
      <protection hidden="1"/>
    </xf>
    <xf numFmtId="0" fontId="16" fillId="0" borderId="10" xfId="1" applyFont="1" applyBorder="1" applyAlignment="1" applyProtection="1">
      <alignment vertical="center"/>
      <protection hidden="1"/>
    </xf>
    <xf numFmtId="0" fontId="24" fillId="0" borderId="10" xfId="1" applyFont="1" applyBorder="1" applyAlignment="1" applyProtection="1">
      <alignment vertical="center"/>
      <protection hidden="1"/>
    </xf>
    <xf numFmtId="0" fontId="21" fillId="0" borderId="10" xfId="1" applyFont="1" applyBorder="1" applyAlignment="1" applyProtection="1">
      <alignment vertical="center"/>
      <protection hidden="1"/>
    </xf>
    <xf numFmtId="0" fontId="22" fillId="0" borderId="9" xfId="1" applyFont="1" applyBorder="1" applyAlignment="1" applyProtection="1">
      <alignment horizontal="center" vertical="center"/>
      <protection hidden="1"/>
    </xf>
    <xf numFmtId="0" fontId="25" fillId="0" borderId="0" xfId="1" applyFont="1" applyAlignment="1" applyProtection="1">
      <alignment vertical="center"/>
      <protection hidden="1"/>
    </xf>
    <xf numFmtId="0" fontId="25" fillId="0" borderId="0" xfId="1" applyFont="1" applyAlignment="1" applyProtection="1">
      <alignment horizontal="center" vertical="center"/>
      <protection hidden="1"/>
    </xf>
    <xf numFmtId="0" fontId="16" fillId="0" borderId="8" xfId="1" applyFont="1" applyBorder="1" applyAlignment="1" applyProtection="1">
      <alignment vertical="center"/>
      <protection hidden="1"/>
    </xf>
    <xf numFmtId="0" fontId="16" fillId="0" borderId="2" xfId="1" applyFont="1" applyBorder="1" applyAlignment="1" applyProtection="1">
      <alignment vertical="center"/>
      <protection hidden="1"/>
    </xf>
    <xf numFmtId="0" fontId="25" fillId="0" borderId="2" xfId="1" applyFont="1" applyBorder="1" applyAlignment="1" applyProtection="1">
      <alignment vertical="center"/>
      <protection hidden="1"/>
    </xf>
    <xf numFmtId="0" fontId="25" fillId="0" borderId="1" xfId="1" applyFont="1" applyBorder="1" applyAlignment="1" applyProtection="1">
      <alignment horizontal="center" vertical="center"/>
      <protection hidden="1"/>
    </xf>
    <xf numFmtId="0" fontId="16" fillId="0" borderId="7" xfId="1" applyFont="1" applyBorder="1" applyAlignment="1" applyProtection="1">
      <alignment vertical="center"/>
      <protection hidden="1"/>
    </xf>
    <xf numFmtId="0" fontId="16" fillId="0" borderId="0" xfId="1" applyFont="1" applyAlignment="1">
      <alignment vertical="center"/>
    </xf>
    <xf numFmtId="2" fontId="16" fillId="0" borderId="0" xfId="1" applyNumberFormat="1" applyFont="1" applyAlignment="1">
      <alignment vertical="center"/>
    </xf>
    <xf numFmtId="165" fontId="16" fillId="0" borderId="0" xfId="1" applyNumberFormat="1" applyFont="1" applyAlignment="1">
      <alignment vertical="center"/>
    </xf>
    <xf numFmtId="0" fontId="16" fillId="0" borderId="0" xfId="1" applyFont="1"/>
    <xf numFmtId="0" fontId="25" fillId="0" borderId="0" xfId="1" applyFont="1"/>
    <xf numFmtId="0" fontId="25" fillId="0" borderId="0" xfId="1" applyFont="1" applyAlignment="1">
      <alignment horizontal="center"/>
    </xf>
    <xf numFmtId="0" fontId="25" fillId="0" borderId="0" xfId="1" applyFont="1" applyAlignment="1">
      <alignment horizontal="right"/>
    </xf>
    <xf numFmtId="0" fontId="25" fillId="0" borderId="0" xfId="1" applyFont="1" applyAlignment="1">
      <alignment horizontal="right" wrapText="1"/>
    </xf>
    <xf numFmtId="0" fontId="16" fillId="0" borderId="5" xfId="1" applyFont="1" applyBorder="1" applyAlignment="1" applyProtection="1">
      <alignment vertical="center"/>
      <protection hidden="1"/>
    </xf>
    <xf numFmtId="0" fontId="24" fillId="0" borderId="4" xfId="1" applyFont="1" applyBorder="1" applyAlignment="1" applyProtection="1">
      <alignment vertical="center"/>
      <protection hidden="1"/>
    </xf>
    <xf numFmtId="0" fontId="24" fillId="0" borderId="4" xfId="1" applyFont="1" applyBorder="1" applyAlignment="1" applyProtection="1">
      <alignment horizontal="center" vertical="center"/>
      <protection hidden="1"/>
    </xf>
    <xf numFmtId="0" fontId="21" fillId="0" borderId="4" xfId="1" applyFont="1" applyBorder="1" applyAlignment="1" applyProtection="1">
      <alignment vertical="center"/>
      <protection hidden="1"/>
    </xf>
    <xf numFmtId="0" fontId="22" fillId="0" borderId="3" xfId="1" applyFont="1" applyBorder="1" applyAlignment="1" applyProtection="1">
      <alignment horizontal="center" vertical="center"/>
      <protection hidden="1"/>
    </xf>
    <xf numFmtId="0" fontId="16" fillId="0" borderId="0" xfId="1" applyFont="1" applyAlignment="1" applyProtection="1">
      <alignment horizontal="left" vertical="center"/>
      <protection hidden="1"/>
    </xf>
    <xf numFmtId="0" fontId="16" fillId="0" borderId="8" xfId="1" applyFont="1" applyBorder="1" applyProtection="1">
      <protection hidden="1"/>
    </xf>
    <xf numFmtId="0" fontId="16" fillId="0" borderId="2" xfId="1" applyFont="1" applyBorder="1" applyProtection="1">
      <protection hidden="1"/>
    </xf>
    <xf numFmtId="0" fontId="16" fillId="0" borderId="1" xfId="1" applyFont="1" applyBorder="1" applyProtection="1">
      <protection hidden="1"/>
    </xf>
    <xf numFmtId="0" fontId="20" fillId="0" borderId="7" xfId="1" applyFont="1" applyBorder="1" applyAlignment="1" applyProtection="1">
      <alignment horizontal="left"/>
      <protection hidden="1"/>
    </xf>
    <xf numFmtId="0" fontId="15" fillId="0" borderId="6" xfId="1" applyFont="1" applyBorder="1" applyProtection="1">
      <protection hidden="1"/>
    </xf>
    <xf numFmtId="0" fontId="16" fillId="0" borderId="7" xfId="1" applyFont="1" applyBorder="1" applyProtection="1">
      <protection hidden="1"/>
    </xf>
    <xf numFmtId="0" fontId="15" fillId="0" borderId="0" xfId="1" applyFont="1" applyProtection="1">
      <protection hidden="1"/>
    </xf>
    <xf numFmtId="0" fontId="26" fillId="0" borderId="0" xfId="1" applyFont="1" applyProtection="1">
      <protection hidden="1"/>
    </xf>
    <xf numFmtId="0" fontId="16" fillId="0" borderId="5" xfId="1" applyFont="1" applyBorder="1" applyProtection="1">
      <protection hidden="1"/>
    </xf>
    <xf numFmtId="0" fontId="16" fillId="0" borderId="4" xfId="1" applyFont="1" applyBorder="1" applyProtection="1">
      <protection hidden="1"/>
    </xf>
    <xf numFmtId="0" fontId="15" fillId="0" borderId="4" xfId="1" applyFont="1" applyBorder="1" applyProtection="1">
      <protection hidden="1"/>
    </xf>
    <xf numFmtId="0" fontId="19" fillId="0" borderId="4" xfId="1" applyFont="1" applyBorder="1" applyAlignment="1" applyProtection="1">
      <alignment vertical="center"/>
      <protection hidden="1"/>
    </xf>
    <xf numFmtId="0" fontId="26" fillId="0" borderId="3" xfId="1" applyFont="1" applyBorder="1" applyAlignment="1" applyProtection="1">
      <alignment horizontal="center" vertical="center"/>
      <protection hidden="1"/>
    </xf>
    <xf numFmtId="14" fontId="26" fillId="0" borderId="0" xfId="1" applyNumberFormat="1" applyFont="1" applyAlignment="1" applyProtection="1">
      <alignment horizontal="center"/>
      <protection hidden="1"/>
    </xf>
    <xf numFmtId="0" fontId="19" fillId="0" borderId="0" xfId="1" applyFont="1" applyAlignment="1" applyProtection="1">
      <alignment horizontal="right"/>
      <protection hidden="1"/>
    </xf>
    <xf numFmtId="0" fontId="21" fillId="0" borderId="0" xfId="1" applyFont="1" applyAlignment="1" applyProtection="1">
      <alignment horizontal="right"/>
      <protection hidden="1"/>
    </xf>
    <xf numFmtId="0" fontId="15" fillId="0" borderId="2" xfId="1" applyFont="1" applyBorder="1" applyAlignment="1" applyProtection="1">
      <alignment vertical="center"/>
      <protection hidden="1"/>
    </xf>
    <xf numFmtId="0" fontId="15" fillId="0" borderId="2" xfId="1" applyFont="1" applyBorder="1" applyAlignment="1" applyProtection="1">
      <alignment horizontal="left" vertical="center"/>
      <protection hidden="1"/>
    </xf>
    <xf numFmtId="0" fontId="15" fillId="0" borderId="2" xfId="1" applyFont="1" applyBorder="1" applyAlignment="1" applyProtection="1">
      <alignment horizontal="center" vertical="center"/>
      <protection hidden="1"/>
    </xf>
    <xf numFmtId="0" fontId="20" fillId="0" borderId="7" xfId="1" applyFont="1" applyBorder="1" applyAlignment="1" applyProtection="1">
      <alignment horizontal="left" vertical="center"/>
      <protection hidden="1"/>
    </xf>
    <xf numFmtId="0" fontId="16" fillId="0" borderId="4" xfId="1" applyFont="1" applyBorder="1" applyAlignment="1" applyProtection="1">
      <alignment horizontal="center" vertical="center"/>
      <protection hidden="1"/>
    </xf>
    <xf numFmtId="0" fontId="15" fillId="0" borderId="4" xfId="1" applyFont="1" applyBorder="1" applyAlignment="1" applyProtection="1">
      <alignment vertical="center"/>
      <protection hidden="1"/>
    </xf>
    <xf numFmtId="0" fontId="16" fillId="0" borderId="1" xfId="1" applyFont="1" applyBorder="1" applyAlignment="1" applyProtection="1">
      <alignment vertical="center"/>
      <protection hidden="1"/>
    </xf>
    <xf numFmtId="0" fontId="16" fillId="0" borderId="0" xfId="1" applyFont="1" applyAlignment="1" applyProtection="1">
      <alignment horizontal="right" vertical="center"/>
      <protection hidden="1"/>
    </xf>
    <xf numFmtId="0" fontId="16" fillId="0" borderId="7" xfId="1" applyFont="1" applyBorder="1" applyAlignment="1" applyProtection="1">
      <alignment vertical="center" wrapText="1"/>
      <protection locked="0"/>
    </xf>
    <xf numFmtId="0" fontId="16" fillId="0" borderId="6" xfId="1" applyFont="1" applyBorder="1" applyAlignment="1" applyProtection="1">
      <alignment vertical="center" wrapText="1"/>
      <protection locked="0"/>
    </xf>
    <xf numFmtId="0" fontId="16" fillId="0" borderId="5" xfId="1" applyFont="1" applyBorder="1" applyAlignment="1" applyProtection="1">
      <alignment vertical="center" wrapText="1"/>
      <protection locked="0"/>
    </xf>
    <xf numFmtId="0" fontId="16" fillId="0" borderId="4" xfId="1" applyFont="1" applyBorder="1" applyAlignment="1" applyProtection="1">
      <alignment vertical="center" wrapText="1"/>
      <protection locked="0"/>
    </xf>
    <xf numFmtId="0" fontId="16" fillId="0" borderId="3" xfId="1" applyFont="1" applyBorder="1" applyAlignment="1" applyProtection="1">
      <alignment vertical="center" wrapText="1"/>
      <protection locked="0"/>
    </xf>
    <xf numFmtId="0" fontId="17" fillId="0" borderId="46" xfId="1" applyFont="1" applyBorder="1" applyAlignment="1" applyProtection="1">
      <alignment horizontal="center" vertical="center" wrapText="1"/>
      <protection locked="0"/>
    </xf>
    <xf numFmtId="0" fontId="17" fillId="0" borderId="45" xfId="1" applyFont="1" applyBorder="1" applyAlignment="1" applyProtection="1">
      <alignment horizontal="center" vertical="center" wrapText="1"/>
      <protection locked="0"/>
    </xf>
    <xf numFmtId="0" fontId="17" fillId="0" borderId="44" xfId="1" applyFont="1" applyBorder="1" applyAlignment="1" applyProtection="1">
      <alignment horizontal="center" vertical="center" wrapText="1"/>
      <protection locked="0"/>
    </xf>
    <xf numFmtId="0" fontId="17" fillId="0" borderId="43" xfId="1" applyFont="1" applyBorder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 wrapText="1"/>
      <protection locked="0"/>
    </xf>
    <xf numFmtId="0" fontId="17" fillId="0" borderId="42" xfId="1" applyFont="1" applyBorder="1" applyAlignment="1" applyProtection="1">
      <alignment horizontal="center" vertical="center" wrapText="1"/>
      <protection locked="0"/>
    </xf>
    <xf numFmtId="0" fontId="17" fillId="0" borderId="41" xfId="1" applyFont="1" applyBorder="1" applyAlignment="1" applyProtection="1">
      <alignment horizontal="center" vertical="center" wrapText="1"/>
      <protection locked="0"/>
    </xf>
    <xf numFmtId="0" fontId="17" fillId="0" borderId="40" xfId="1" applyFont="1" applyBorder="1" applyAlignment="1" applyProtection="1">
      <alignment horizontal="center" vertical="center" wrapText="1"/>
      <protection locked="0"/>
    </xf>
    <xf numFmtId="0" fontId="17" fillId="0" borderId="39" xfId="1" applyFont="1" applyBorder="1" applyAlignment="1" applyProtection="1">
      <alignment horizontal="center" vertical="center" wrapText="1"/>
      <protection locked="0"/>
    </xf>
    <xf numFmtId="0" fontId="28" fillId="0" borderId="6" xfId="1" applyFont="1" applyBorder="1" applyAlignment="1" applyProtection="1">
      <alignment horizontal="center" vertical="center" wrapText="1"/>
      <protection hidden="1"/>
    </xf>
    <xf numFmtId="0" fontId="28" fillId="0" borderId="0" xfId="1" applyFont="1" applyAlignment="1" applyProtection="1">
      <alignment horizontal="center" vertical="center" wrapText="1"/>
      <protection hidden="1"/>
    </xf>
    <xf numFmtId="0" fontId="28" fillId="0" borderId="7" xfId="1" applyFont="1" applyBorder="1" applyAlignment="1" applyProtection="1">
      <alignment horizontal="center" vertical="center" wrapText="1"/>
      <protection hidden="1"/>
    </xf>
    <xf numFmtId="0" fontId="22" fillId="0" borderId="6" xfId="1" applyFont="1" applyBorder="1" applyAlignment="1" applyProtection="1">
      <alignment horizontal="center" vertical="center" wrapText="1"/>
      <protection hidden="1"/>
    </xf>
    <xf numFmtId="0" fontId="22" fillId="0" borderId="0" xfId="1" applyFont="1" applyAlignment="1" applyProtection="1">
      <alignment horizontal="center" vertical="center" wrapText="1"/>
      <protection hidden="1"/>
    </xf>
    <xf numFmtId="166" fontId="26" fillId="0" borderId="0" xfId="1" applyNumberFormat="1" applyFont="1" applyAlignment="1" applyProtection="1">
      <alignment horizontal="center" vertical="center"/>
      <protection locked="0"/>
    </xf>
    <xf numFmtId="166" fontId="26" fillId="0" borderId="7" xfId="1" applyNumberFormat="1" applyFont="1" applyBorder="1" applyAlignment="1" applyProtection="1">
      <alignment horizontal="center" vertical="center"/>
      <protection locked="0"/>
    </xf>
    <xf numFmtId="0" fontId="26" fillId="0" borderId="6" xfId="1" applyFont="1" applyBorder="1" applyAlignment="1" applyProtection="1">
      <alignment horizontal="center" vertical="center"/>
      <protection locked="0"/>
    </xf>
    <xf numFmtId="0" fontId="26" fillId="0" borderId="0" xfId="1" applyFont="1" applyAlignment="1" applyProtection="1">
      <alignment horizontal="center" vertical="center"/>
      <protection locked="0"/>
    </xf>
    <xf numFmtId="0" fontId="26" fillId="0" borderId="7" xfId="1" applyFont="1" applyBorder="1" applyAlignment="1" applyProtection="1">
      <alignment horizontal="center" vertical="center"/>
      <protection locked="0"/>
    </xf>
    <xf numFmtId="14" fontId="26" fillId="0" borderId="6" xfId="1" applyNumberFormat="1" applyFont="1" applyBorder="1" applyAlignment="1" applyProtection="1">
      <alignment horizontal="center" vertical="center"/>
      <protection locked="0"/>
    </xf>
    <xf numFmtId="14" fontId="26" fillId="0" borderId="0" xfId="1" applyNumberFormat="1" applyFont="1" applyAlignment="1" applyProtection="1">
      <alignment horizontal="center" vertical="center"/>
      <protection locked="0"/>
    </xf>
    <xf numFmtId="14" fontId="26" fillId="0" borderId="7" xfId="1" applyNumberFormat="1" applyFont="1" applyBorder="1" applyAlignment="1" applyProtection="1">
      <alignment horizontal="center" vertical="center"/>
      <protection locked="0"/>
    </xf>
    <xf numFmtId="0" fontId="29" fillId="0" borderId="2" xfId="1" applyFont="1" applyBorder="1" applyAlignment="1" applyProtection="1">
      <alignment horizontal="center" vertical="center"/>
      <protection hidden="1"/>
    </xf>
    <xf numFmtId="0" fontId="29" fillId="0" borderId="8" xfId="1" applyFont="1" applyBorder="1" applyAlignment="1" applyProtection="1">
      <alignment horizontal="center" vertical="center"/>
      <protection hidden="1"/>
    </xf>
    <xf numFmtId="0" fontId="26" fillId="0" borderId="3" xfId="1" applyFont="1" applyBorder="1" applyAlignment="1">
      <alignment horizontal="center" vertical="center" wrapText="1"/>
    </xf>
    <xf numFmtId="0" fontId="26" fillId="0" borderId="4" xfId="1" applyFont="1" applyBorder="1" applyAlignment="1">
      <alignment horizontal="center" vertical="center" wrapText="1"/>
    </xf>
    <xf numFmtId="0" fontId="26" fillId="0" borderId="6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1" xfId="1" applyFont="1" applyBorder="1" applyAlignment="1">
      <alignment horizontal="center" vertical="center" wrapText="1"/>
    </xf>
    <xf numFmtId="0" fontId="26" fillId="0" borderId="2" xfId="1" applyFont="1" applyBorder="1" applyAlignment="1">
      <alignment horizontal="center" vertical="center" wrapText="1"/>
    </xf>
    <xf numFmtId="0" fontId="15" fillId="0" borderId="0" xfId="1" applyFont="1" applyAlignment="1" applyProtection="1">
      <alignment horizontal="left"/>
      <protection hidden="1"/>
    </xf>
    <xf numFmtId="0" fontId="15" fillId="0" borderId="15" xfId="1" applyFont="1" applyBorder="1" applyAlignment="1">
      <alignment horizontal="center" vertical="center"/>
    </xf>
    <xf numFmtId="1" fontId="15" fillId="0" borderId="15" xfId="1" applyNumberFormat="1" applyFont="1" applyBorder="1" applyAlignment="1">
      <alignment horizontal="center" vertical="center"/>
    </xf>
    <xf numFmtId="0" fontId="16" fillId="0" borderId="3" xfId="1" applyFont="1" applyBorder="1" applyAlignment="1" applyProtection="1">
      <alignment horizontal="center" vertical="center" wrapText="1"/>
      <protection hidden="1"/>
    </xf>
    <xf numFmtId="0" fontId="16" fillId="0" borderId="4" xfId="1" applyFont="1" applyBorder="1" applyAlignment="1" applyProtection="1">
      <alignment horizontal="center" vertical="center" wrapText="1"/>
      <protection hidden="1"/>
    </xf>
    <xf numFmtId="0" fontId="16" fillId="0" borderId="5" xfId="1" applyFont="1" applyBorder="1" applyAlignment="1" applyProtection="1">
      <alignment horizontal="center" vertical="center" wrapText="1"/>
      <protection hidden="1"/>
    </xf>
    <xf numFmtId="0" fontId="16" fillId="0" borderId="6" xfId="1" applyFont="1" applyBorder="1" applyAlignment="1" applyProtection="1">
      <alignment horizontal="center" vertical="center" wrapText="1"/>
      <protection hidden="1"/>
    </xf>
    <xf numFmtId="0" fontId="16" fillId="0" borderId="0" xfId="1" applyFont="1" applyAlignment="1" applyProtection="1">
      <alignment horizontal="center" vertical="center" wrapText="1"/>
      <protection hidden="1"/>
    </xf>
    <xf numFmtId="0" fontId="16" fillId="0" borderId="7" xfId="1" applyFont="1" applyBorder="1" applyAlignment="1" applyProtection="1">
      <alignment horizontal="center" vertical="center" wrapText="1"/>
      <protection hidden="1"/>
    </xf>
    <xf numFmtId="0" fontId="16" fillId="0" borderId="1" xfId="1" applyFont="1" applyBorder="1" applyAlignment="1" applyProtection="1">
      <alignment horizontal="center" vertical="center" wrapText="1"/>
      <protection hidden="1"/>
    </xf>
    <xf numFmtId="0" fontId="16" fillId="0" borderId="2" xfId="1" applyFont="1" applyBorder="1" applyAlignment="1" applyProtection="1">
      <alignment horizontal="center" vertical="center" wrapText="1"/>
      <protection hidden="1"/>
    </xf>
    <xf numFmtId="0" fontId="16" fillId="0" borderId="8" xfId="1" applyFont="1" applyBorder="1" applyAlignment="1" applyProtection="1">
      <alignment horizontal="center" vertical="center" wrapText="1"/>
      <protection hidden="1"/>
    </xf>
    <xf numFmtId="0" fontId="25" fillId="0" borderId="3" xfId="1" applyFont="1" applyBorder="1" applyAlignment="1" applyProtection="1">
      <alignment horizontal="center" vertical="center"/>
      <protection hidden="1"/>
    </xf>
    <xf numFmtId="0" fontId="25" fillId="0" borderId="4" xfId="1" applyFont="1" applyBorder="1" applyAlignment="1" applyProtection="1">
      <alignment horizontal="center" vertical="center"/>
      <protection hidden="1"/>
    </xf>
    <xf numFmtId="0" fontId="25" fillId="0" borderId="5" xfId="1" applyFont="1" applyBorder="1" applyAlignment="1" applyProtection="1">
      <alignment horizontal="center" vertical="center"/>
      <protection hidden="1"/>
    </xf>
    <xf numFmtId="0" fontId="15" fillId="0" borderId="0" xfId="1" applyFont="1" applyAlignment="1" applyProtection="1">
      <alignment horizontal="left" vertical="center"/>
      <protection hidden="1"/>
    </xf>
    <xf numFmtId="0" fontId="15" fillId="0" borderId="0" xfId="1" applyFont="1" applyAlignment="1" applyProtection="1">
      <alignment horizontal="left" vertical="center"/>
      <protection locked="0"/>
    </xf>
    <xf numFmtId="0" fontId="15" fillId="0" borderId="26" xfId="1" applyFont="1" applyBorder="1" applyAlignment="1">
      <alignment horizontal="center" vertical="center"/>
    </xf>
    <xf numFmtId="14" fontId="15" fillId="0" borderId="0" xfId="1" applyNumberFormat="1" applyFont="1" applyAlignment="1" applyProtection="1">
      <alignment horizontal="left" vertical="center"/>
      <protection locked="0"/>
    </xf>
    <xf numFmtId="0" fontId="26" fillId="0" borderId="27" xfId="1" applyFont="1" applyBorder="1" applyAlignment="1">
      <alignment horizontal="center" vertical="center" wrapText="1"/>
    </xf>
    <xf numFmtId="0" fontId="26" fillId="0" borderId="19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26" fillId="0" borderId="29" xfId="1" applyFont="1" applyBorder="1" applyAlignment="1">
      <alignment horizontal="center" vertical="center" wrapText="1"/>
    </xf>
    <xf numFmtId="0" fontId="26" fillId="0" borderId="4" xfId="1" applyFont="1" applyBorder="1" applyAlignment="1">
      <alignment horizontal="center" vertical="center"/>
    </xf>
    <xf numFmtId="0" fontId="26" fillId="0" borderId="6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1" xfId="1" applyFont="1" applyBorder="1" applyAlignment="1">
      <alignment horizontal="center" vertical="center"/>
    </xf>
    <xf numFmtId="0" fontId="26" fillId="0" borderId="2" xfId="1" applyFont="1" applyBorder="1" applyAlignment="1">
      <alignment horizontal="center" vertical="center"/>
    </xf>
    <xf numFmtId="0" fontId="16" fillId="0" borderId="31" xfId="1" applyFont="1" applyBorder="1" applyAlignment="1">
      <alignment horizontal="center" vertical="center"/>
    </xf>
    <xf numFmtId="165" fontId="15" fillId="0" borderId="15" xfId="1" applyNumberFormat="1" applyFont="1" applyBorder="1" applyAlignment="1">
      <alignment horizontal="center" vertical="center"/>
    </xf>
    <xf numFmtId="0" fontId="22" fillId="0" borderId="11" xfId="1" applyFont="1" applyBorder="1" applyAlignment="1" applyProtection="1">
      <alignment horizontal="center" vertical="center"/>
      <protection hidden="1"/>
    </xf>
    <xf numFmtId="0" fontId="20" fillId="0" borderId="11" xfId="1" applyFont="1" applyBorder="1" applyAlignment="1" applyProtection="1">
      <alignment horizontal="center" vertical="center"/>
      <protection hidden="1"/>
    </xf>
    <xf numFmtId="0" fontId="19" fillId="0" borderId="6" xfId="1" applyFont="1" applyBorder="1" applyAlignment="1" applyProtection="1">
      <alignment horizontal="center" vertical="center"/>
      <protection hidden="1"/>
    </xf>
    <xf numFmtId="0" fontId="19" fillId="0" borderId="0" xfId="1" applyFont="1" applyAlignment="1" applyProtection="1">
      <alignment horizontal="center" vertical="center"/>
      <protection hidden="1"/>
    </xf>
    <xf numFmtId="0" fontId="19" fillId="0" borderId="7" xfId="1" applyFont="1" applyBorder="1" applyAlignment="1" applyProtection="1">
      <alignment horizontal="center" vertical="center"/>
      <protection hidden="1"/>
    </xf>
    <xf numFmtId="0" fontId="19" fillId="0" borderId="11" xfId="1" applyFont="1" applyBorder="1" applyAlignment="1" applyProtection="1">
      <alignment horizontal="center" vertical="center" wrapText="1"/>
      <protection hidden="1"/>
    </xf>
    <xf numFmtId="0" fontId="16" fillId="0" borderId="11" xfId="1" applyFont="1" applyBorder="1" applyAlignment="1" applyProtection="1">
      <alignment horizontal="center" vertical="center" wrapText="1"/>
      <protection hidden="1"/>
    </xf>
    <xf numFmtId="0" fontId="16" fillId="0" borderId="20" xfId="1" applyFont="1" applyBorder="1" applyAlignment="1" applyProtection="1">
      <alignment horizontal="center" vertical="center" wrapText="1"/>
      <protection hidden="1"/>
    </xf>
    <xf numFmtId="0" fontId="15" fillId="0" borderId="21" xfId="1" applyFont="1" applyBorder="1" applyAlignment="1" applyProtection="1">
      <alignment horizontal="center" vertical="center" wrapText="1"/>
      <protection locked="0"/>
    </xf>
    <xf numFmtId="0" fontId="15" fillId="0" borderId="11" xfId="1" applyFont="1" applyBorder="1" applyAlignment="1" applyProtection="1">
      <alignment horizontal="center" vertical="center" wrapText="1"/>
      <protection locked="0"/>
    </xf>
    <xf numFmtId="0" fontId="16" fillId="0" borderId="11" xfId="1" applyFont="1" applyBorder="1" applyAlignment="1" applyProtection="1">
      <alignment horizontal="center" vertical="center" wrapText="1"/>
      <protection locked="0"/>
    </xf>
    <xf numFmtId="0" fontId="16" fillId="0" borderId="20" xfId="1" applyFont="1" applyBorder="1" applyAlignment="1" applyProtection="1">
      <alignment horizontal="center" vertical="center" wrapText="1"/>
      <protection locked="0"/>
    </xf>
    <xf numFmtId="0" fontId="26" fillId="0" borderId="19" xfId="1" applyFont="1" applyBorder="1" applyAlignment="1">
      <alignment horizontal="center" vertical="center"/>
    </xf>
    <xf numFmtId="0" fontId="26" fillId="0" borderId="22" xfId="1" applyFont="1" applyBorder="1" applyAlignment="1">
      <alignment horizontal="center" vertical="center" wrapText="1"/>
    </xf>
    <xf numFmtId="0" fontId="26" fillId="0" borderId="23" xfId="1" applyFont="1" applyBorder="1" applyAlignment="1">
      <alignment horizontal="center" vertical="center" wrapText="1"/>
    </xf>
    <xf numFmtId="0" fontId="26" fillId="0" borderId="24" xfId="1" applyFont="1" applyBorder="1" applyAlignment="1">
      <alignment horizontal="center" vertical="center" wrapText="1"/>
    </xf>
    <xf numFmtId="0" fontId="15" fillId="0" borderId="0" xfId="1" applyFont="1" applyAlignment="1" applyProtection="1">
      <alignment horizontal="left"/>
      <protection locked="0"/>
    </xf>
    <xf numFmtId="0" fontId="26" fillId="0" borderId="4" xfId="1" applyFont="1" applyBorder="1" applyAlignment="1">
      <alignment horizontal="left" vertical="center"/>
    </xf>
    <xf numFmtId="0" fontId="26" fillId="0" borderId="5" xfId="1" applyFont="1" applyBorder="1" applyAlignment="1">
      <alignment horizontal="left" vertical="center"/>
    </xf>
    <xf numFmtId="0" fontId="26" fillId="0" borderId="0" xfId="1" applyFont="1" applyAlignment="1">
      <alignment horizontal="left" vertical="center"/>
    </xf>
    <xf numFmtId="0" fontId="26" fillId="0" borderId="7" xfId="1" applyFont="1" applyBorder="1" applyAlignment="1">
      <alignment horizontal="left" vertical="center"/>
    </xf>
    <xf numFmtId="0" fontId="26" fillId="0" borderId="2" xfId="1" applyFont="1" applyBorder="1" applyAlignment="1">
      <alignment horizontal="left" vertical="center"/>
    </xf>
    <xf numFmtId="0" fontId="26" fillId="0" borderId="8" xfId="1" applyFont="1" applyBorder="1" applyAlignment="1">
      <alignment horizontal="left" vertical="center"/>
    </xf>
    <xf numFmtId="165" fontId="26" fillId="0" borderId="4" xfId="1" applyNumberFormat="1" applyFont="1" applyBorder="1" applyAlignment="1">
      <alignment horizontal="center" vertical="center"/>
    </xf>
    <xf numFmtId="165" fontId="26" fillId="0" borderId="0" xfId="1" applyNumberFormat="1" applyFont="1" applyAlignment="1">
      <alignment horizontal="center" vertical="center"/>
    </xf>
    <xf numFmtId="165" fontId="26" fillId="0" borderId="2" xfId="1" applyNumberFormat="1" applyFont="1" applyBorder="1" applyAlignment="1">
      <alignment horizontal="center" vertical="center"/>
    </xf>
    <xf numFmtId="0" fontId="26" fillId="0" borderId="3" xfId="1" applyFont="1" applyBorder="1" applyAlignment="1">
      <alignment horizontal="center" vertical="center"/>
    </xf>
    <xf numFmtId="0" fontId="15" fillId="0" borderId="6" xfId="1" applyFont="1" applyBorder="1" applyAlignment="1" applyProtection="1">
      <alignment horizontal="left" vertical="center" wrapText="1"/>
      <protection locked="0"/>
    </xf>
    <xf numFmtId="0" fontId="15" fillId="0" borderId="0" xfId="1" applyFont="1" applyAlignment="1" applyProtection="1">
      <alignment horizontal="left" vertical="center" wrapText="1"/>
      <protection locked="0"/>
    </xf>
    <xf numFmtId="0" fontId="15" fillId="0" borderId="7" xfId="1" applyFont="1" applyBorder="1" applyAlignment="1" applyProtection="1">
      <alignment horizontal="left" vertical="center" wrapText="1"/>
      <protection locked="0"/>
    </xf>
    <xf numFmtId="0" fontId="15" fillId="0" borderId="1" xfId="1" applyFont="1" applyBorder="1" applyAlignment="1" applyProtection="1">
      <alignment horizontal="left" vertical="center" wrapText="1"/>
      <protection locked="0"/>
    </xf>
    <xf numFmtId="0" fontId="15" fillId="0" borderId="2" xfId="1" applyFont="1" applyBorder="1" applyAlignment="1" applyProtection="1">
      <alignment horizontal="left" vertical="center" wrapText="1"/>
      <protection locked="0"/>
    </xf>
    <xf numFmtId="0" fontId="15" fillId="0" borderId="8" xfId="1" applyFont="1" applyBorder="1" applyAlignment="1" applyProtection="1">
      <alignment horizontal="left" vertical="center" wrapText="1"/>
      <protection locked="0"/>
    </xf>
    <xf numFmtId="0" fontId="19" fillId="0" borderId="1" xfId="1" applyFont="1" applyBorder="1" applyAlignment="1" applyProtection="1">
      <alignment horizontal="center" vertical="center"/>
      <protection hidden="1"/>
    </xf>
    <xf numFmtId="0" fontId="19" fillId="0" borderId="2" xfId="1" applyFont="1" applyBorder="1" applyAlignment="1" applyProtection="1">
      <alignment horizontal="center" vertical="center"/>
      <protection hidden="1"/>
    </xf>
    <xf numFmtId="0" fontId="19" fillId="0" borderId="8" xfId="1" applyFont="1" applyBorder="1" applyAlignment="1" applyProtection="1">
      <alignment horizontal="center" vertical="center"/>
      <protection hidden="1"/>
    </xf>
    <xf numFmtId="0" fontId="15" fillId="0" borderId="0" xfId="1" applyFont="1" applyAlignment="1" applyProtection="1">
      <alignment horizontal="center" vertical="center" wrapText="1"/>
      <protection locked="0"/>
    </xf>
    <xf numFmtId="0" fontId="15" fillId="0" borderId="3" xfId="1" applyFont="1" applyBorder="1" applyAlignment="1" applyProtection="1">
      <alignment horizontal="center" vertical="center" wrapText="1"/>
      <protection locked="0"/>
    </xf>
    <xf numFmtId="0" fontId="15" fillId="0" borderId="4" xfId="1" applyFont="1" applyBorder="1" applyAlignment="1" applyProtection="1">
      <alignment horizontal="center" vertical="center" wrapText="1"/>
      <protection locked="0"/>
    </xf>
    <xf numFmtId="0" fontId="16" fillId="0" borderId="4" xfId="1" applyFont="1" applyBorder="1" applyAlignment="1" applyProtection="1">
      <alignment horizontal="center" vertical="center" wrapText="1"/>
      <protection locked="0"/>
    </xf>
    <xf numFmtId="0" fontId="16" fillId="0" borderId="5" xfId="1" applyFont="1" applyBorder="1" applyAlignment="1" applyProtection="1">
      <alignment horizontal="center" vertical="center" wrapText="1"/>
      <protection locked="0"/>
    </xf>
    <xf numFmtId="0" fontId="15" fillId="0" borderId="6" xfId="1" applyFont="1" applyBorder="1" applyAlignment="1" applyProtection="1">
      <alignment horizontal="center" vertical="center" wrapText="1"/>
      <protection locked="0"/>
    </xf>
    <xf numFmtId="0" fontId="16" fillId="0" borderId="0" xfId="1" applyFont="1" applyAlignment="1" applyProtection="1">
      <alignment horizontal="center" vertical="center" wrapText="1"/>
      <protection locked="0"/>
    </xf>
    <xf numFmtId="0" fontId="16" fillId="0" borderId="7" xfId="1" applyFont="1" applyBorder="1" applyAlignment="1" applyProtection="1">
      <alignment horizontal="center" vertical="center" wrapText="1"/>
      <protection locked="0"/>
    </xf>
    <xf numFmtId="0" fontId="15" fillId="0" borderId="1" xfId="1" applyFont="1" applyBorder="1" applyAlignment="1" applyProtection="1">
      <alignment horizontal="center" vertical="center" wrapText="1"/>
      <protection locked="0"/>
    </xf>
    <xf numFmtId="0" fontId="15" fillId="0" borderId="2" xfId="1" applyFont="1" applyBorder="1" applyAlignment="1" applyProtection="1">
      <alignment horizontal="center" vertical="center" wrapText="1"/>
      <protection locked="0"/>
    </xf>
    <xf numFmtId="0" fontId="16" fillId="0" borderId="2" xfId="1" applyFont="1" applyBorder="1" applyAlignment="1" applyProtection="1">
      <alignment horizontal="center" vertical="center" wrapText="1"/>
      <protection locked="0"/>
    </xf>
    <xf numFmtId="0" fontId="16" fillId="0" borderId="8" xfId="1" applyFont="1" applyBorder="1" applyAlignment="1" applyProtection="1">
      <alignment horizontal="center" vertical="center" wrapText="1"/>
      <protection locked="0"/>
    </xf>
    <xf numFmtId="0" fontId="15" fillId="0" borderId="16" xfId="1" applyFont="1" applyBorder="1" applyAlignment="1">
      <alignment horizontal="center" vertical="center"/>
    </xf>
    <xf numFmtId="0" fontId="16" fillId="0" borderId="30" xfId="1" applyFont="1" applyBorder="1" applyAlignment="1">
      <alignment horizontal="center" vertical="center"/>
    </xf>
    <xf numFmtId="0" fontId="22" fillId="0" borderId="6" xfId="1" applyFont="1" applyBorder="1" applyAlignment="1" applyProtection="1">
      <alignment horizontal="center" vertical="center"/>
      <protection hidden="1"/>
    </xf>
    <xf numFmtId="0" fontId="22" fillId="0" borderId="0" xfId="1" applyFont="1" applyAlignment="1" applyProtection="1">
      <alignment horizontal="center" vertical="center"/>
      <protection hidden="1"/>
    </xf>
    <xf numFmtId="0" fontId="22" fillId="0" borderId="7" xfId="1" applyFont="1" applyBorder="1" applyAlignment="1" applyProtection="1">
      <alignment horizontal="center" vertical="center"/>
      <protection hidden="1"/>
    </xf>
    <xf numFmtId="0" fontId="22" fillId="0" borderId="1" xfId="1" applyFont="1" applyBorder="1" applyAlignment="1" applyProtection="1">
      <alignment horizontal="center" vertical="center"/>
      <protection hidden="1"/>
    </xf>
    <xf numFmtId="0" fontId="22" fillId="0" borderId="2" xfId="1" applyFont="1" applyBorder="1" applyAlignment="1" applyProtection="1">
      <alignment horizontal="center" vertical="center"/>
      <protection hidden="1"/>
    </xf>
    <xf numFmtId="0" fontId="22" fillId="0" borderId="8" xfId="1" applyFont="1" applyBorder="1" applyAlignment="1" applyProtection="1">
      <alignment horizontal="center" vertical="center"/>
      <protection hidden="1"/>
    </xf>
    <xf numFmtId="0" fontId="22" fillId="0" borderId="12" xfId="1" applyFont="1" applyBorder="1" applyAlignment="1" applyProtection="1">
      <alignment horizontal="center" vertical="center"/>
      <protection hidden="1"/>
    </xf>
    <xf numFmtId="0" fontId="22" fillId="0" borderId="13" xfId="1" applyFont="1" applyBorder="1" applyAlignment="1" applyProtection="1">
      <alignment horizontal="center" vertical="center"/>
      <protection hidden="1"/>
    </xf>
    <xf numFmtId="0" fontId="22" fillId="0" borderId="14" xfId="1" applyFont="1" applyBorder="1" applyAlignment="1" applyProtection="1">
      <alignment horizontal="center" vertical="center"/>
      <protection hidden="1"/>
    </xf>
    <xf numFmtId="0" fontId="16" fillId="0" borderId="32" xfId="1" applyFont="1" applyBorder="1" applyAlignment="1">
      <alignment horizontal="center" vertical="center"/>
    </xf>
    <xf numFmtId="0" fontId="16" fillId="0" borderId="50" xfId="1" applyFont="1" applyBorder="1" applyAlignment="1">
      <alignment horizontal="center" vertical="center"/>
    </xf>
    <xf numFmtId="0" fontId="16" fillId="0" borderId="49" xfId="1" applyFont="1" applyBorder="1" applyAlignment="1">
      <alignment horizontal="center" vertical="center"/>
    </xf>
    <xf numFmtId="0" fontId="16" fillId="0" borderId="51" xfId="1" applyFont="1" applyBorder="1" applyAlignment="1">
      <alignment horizontal="center" vertical="center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0" fontId="17" fillId="0" borderId="45" xfId="0" applyFont="1" applyBorder="1" applyAlignment="1" applyProtection="1">
      <alignment horizontal="center" vertical="center" wrapText="1"/>
      <protection locked="0"/>
    </xf>
    <xf numFmtId="0" fontId="17" fillId="0" borderId="44" xfId="0" applyFont="1" applyBorder="1" applyAlignment="1" applyProtection="1">
      <alignment horizontal="center" vertical="center" wrapText="1"/>
      <protection locked="0"/>
    </xf>
    <xf numFmtId="0" fontId="17" fillId="0" borderId="43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42" xfId="0" applyFont="1" applyBorder="1" applyAlignment="1" applyProtection="1">
      <alignment horizontal="center" vertical="center" wrapText="1"/>
      <protection locked="0"/>
    </xf>
    <xf numFmtId="0" fontId="17" fillId="0" borderId="41" xfId="0" applyFont="1" applyBorder="1" applyAlignment="1" applyProtection="1">
      <alignment horizontal="center" vertical="center" wrapText="1"/>
      <protection locked="0"/>
    </xf>
    <xf numFmtId="0" fontId="17" fillId="0" borderId="40" xfId="0" applyFont="1" applyBorder="1" applyAlignment="1" applyProtection="1">
      <alignment horizontal="center" vertical="center" wrapText="1"/>
      <protection locked="0"/>
    </xf>
    <xf numFmtId="0" fontId="17" fillId="0" borderId="39" xfId="0" applyFont="1" applyBorder="1" applyAlignment="1" applyProtection="1">
      <alignment horizontal="center" vertical="center" wrapText="1"/>
      <protection locked="0"/>
    </xf>
    <xf numFmtId="0" fontId="16" fillId="0" borderId="17" xfId="1" applyFont="1" applyBorder="1" applyAlignment="1">
      <alignment horizontal="center" vertical="center"/>
    </xf>
    <xf numFmtId="0" fontId="16" fillId="0" borderId="18" xfId="1" applyFont="1" applyBorder="1" applyAlignment="1">
      <alignment horizontal="center" vertical="center"/>
    </xf>
    <xf numFmtId="0" fontId="15" fillId="0" borderId="5" xfId="1" applyFont="1" applyBorder="1" applyAlignment="1" applyProtection="1">
      <alignment horizontal="center" vertical="center" wrapText="1"/>
      <protection locked="0"/>
    </xf>
    <xf numFmtId="0" fontId="15" fillId="0" borderId="7" xfId="1" applyFont="1" applyBorder="1" applyAlignment="1" applyProtection="1">
      <alignment horizontal="center" vertical="center" wrapText="1"/>
      <protection locked="0"/>
    </xf>
    <xf numFmtId="0" fontId="15" fillId="0" borderId="8" xfId="1" applyFont="1" applyBorder="1" applyAlignment="1" applyProtection="1">
      <alignment horizontal="center" vertical="center" wrapText="1"/>
      <protection locked="0"/>
    </xf>
    <xf numFmtId="0" fontId="16" fillId="0" borderId="25" xfId="1" applyFont="1" applyBorder="1" applyAlignment="1">
      <alignment horizontal="center" vertical="center"/>
    </xf>
    <xf numFmtId="0" fontId="15" fillId="0" borderId="20" xfId="1" applyFont="1" applyBorder="1" applyAlignment="1" applyProtection="1">
      <alignment horizontal="center" vertical="center" wrapText="1"/>
      <protection locked="0"/>
    </xf>
    <xf numFmtId="0" fontId="28" fillId="0" borderId="3" xfId="1" applyFont="1" applyBorder="1" applyAlignment="1" applyProtection="1">
      <alignment horizontal="center" vertical="center" wrapText="1"/>
      <protection locked="0"/>
    </xf>
    <xf numFmtId="0" fontId="28" fillId="0" borderId="4" xfId="1" applyFont="1" applyBorder="1" applyAlignment="1" applyProtection="1">
      <alignment horizontal="center" vertical="center" wrapText="1"/>
      <protection locked="0"/>
    </xf>
    <xf numFmtId="0" fontId="28" fillId="0" borderId="5" xfId="1" applyFont="1" applyBorder="1" applyAlignment="1" applyProtection="1">
      <alignment horizontal="center" vertical="center" wrapText="1"/>
      <protection locked="0"/>
    </xf>
    <xf numFmtId="0" fontId="28" fillId="0" borderId="6" xfId="1" applyFont="1" applyBorder="1" applyAlignment="1" applyProtection="1">
      <alignment horizontal="center" vertical="center" wrapText="1"/>
      <protection locked="0"/>
    </xf>
    <xf numFmtId="0" fontId="28" fillId="0" borderId="0" xfId="1" applyFont="1" applyAlignment="1" applyProtection="1">
      <alignment horizontal="center" vertical="center" wrapText="1"/>
      <protection locked="0"/>
    </xf>
    <xf numFmtId="0" fontId="28" fillId="0" borderId="7" xfId="1" applyFont="1" applyBorder="1" applyAlignment="1" applyProtection="1">
      <alignment horizontal="center" vertical="center" wrapText="1"/>
      <protection locked="0"/>
    </xf>
    <xf numFmtId="0" fontId="28" fillId="0" borderId="1" xfId="1" applyFont="1" applyBorder="1" applyAlignment="1" applyProtection="1">
      <alignment horizontal="center" vertical="center" wrapText="1"/>
      <protection locked="0"/>
    </xf>
    <xf numFmtId="0" fontId="28" fillId="0" borderId="2" xfId="1" applyFont="1" applyBorder="1" applyAlignment="1" applyProtection="1">
      <alignment horizontal="center" vertical="center" wrapText="1"/>
      <protection locked="0"/>
    </xf>
    <xf numFmtId="0" fontId="28" fillId="0" borderId="8" xfId="1" applyFont="1" applyBorder="1" applyAlignment="1" applyProtection="1">
      <alignment horizontal="center" vertical="center" wrapText="1"/>
      <protection locked="0"/>
    </xf>
    <xf numFmtId="0" fontId="1" fillId="0" borderId="37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20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15" fillId="0" borderId="21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 applyProtection="1">
      <alignment horizontal="center" vertical="center" wrapText="1"/>
      <protection locked="0"/>
    </xf>
    <xf numFmtId="0" fontId="1" fillId="0" borderId="32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5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0" xfId="0" applyFont="1" applyAlignment="1" applyProtection="1">
      <alignment horizontal="left"/>
      <protection hidden="1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left" vertical="center"/>
      <protection hidden="1"/>
    </xf>
    <xf numFmtId="14" fontId="10" fillId="0" borderId="0" xfId="0" applyNumberFormat="1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2" fillId="0" borderId="8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66" fontId="6" fillId="0" borderId="0" xfId="0" applyNumberFormat="1" applyFont="1" applyAlignment="1" applyProtection="1">
      <alignment horizontal="center" vertical="center"/>
      <protection locked="0"/>
    </xf>
    <xf numFmtId="166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0" fillId="0" borderId="2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21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0" fillId="0" borderId="20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left"/>
      <protection locked="0"/>
    </xf>
    <xf numFmtId="0" fontId="1" fillId="0" borderId="25" xfId="0" applyFont="1" applyBorder="1" applyAlignment="1">
      <alignment horizontal="center" vertical="center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BC02C3D5-B3B9-4D09-B31C-11B4426F174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401103D-959A-4CAA-ADB5-0453CB206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" y="34290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123825</xdr:colOff>
      <xdr:row>58</xdr:row>
      <xdr:rowOff>38100</xdr:rowOff>
    </xdr:from>
    <xdr:ext cx="1849120" cy="739870"/>
    <xdr:pic>
      <xdr:nvPicPr>
        <xdr:cNvPr id="3" name="Image 2">
          <a:extLst>
            <a:ext uri="{FF2B5EF4-FFF2-40B4-BE49-F238E27FC236}">
              <a16:creationId xmlns:a16="http://schemas.microsoft.com/office/drawing/2014/main" id="{1F618E75-E2D2-40B0-8B90-44B42CAEB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730" y="9982200"/>
          <a:ext cx="1849120" cy="73987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9EB5C86-35B6-4692-8FBF-75DD70AED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" y="34290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123825</xdr:colOff>
      <xdr:row>59</xdr:row>
      <xdr:rowOff>38100</xdr:rowOff>
    </xdr:from>
    <xdr:ext cx="1849120" cy="739870"/>
    <xdr:pic>
      <xdr:nvPicPr>
        <xdr:cNvPr id="3" name="Image 2">
          <a:extLst>
            <a:ext uri="{FF2B5EF4-FFF2-40B4-BE49-F238E27FC236}">
              <a16:creationId xmlns:a16="http://schemas.microsoft.com/office/drawing/2014/main" id="{33DD99AC-61EC-461C-8013-5666F3F09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730" y="10153650"/>
          <a:ext cx="1849120" cy="73987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6B1CC38-595C-46CC-A4D1-56DB6DAA2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" y="342900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69BBB6F-4A10-43D2-BE8A-B0294846E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" y="342900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154820B-8A34-4320-9D72-0E5E25E01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010" y="335280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A45AD43-3BBF-41FD-8F94-28CCBF3CF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32385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123825</xdr:colOff>
      <xdr:row>56</xdr:row>
      <xdr:rowOff>38100</xdr:rowOff>
    </xdr:from>
    <xdr:ext cx="1849120" cy="739870"/>
    <xdr:pic>
      <xdr:nvPicPr>
        <xdr:cNvPr id="3" name="Image 2">
          <a:extLst>
            <a:ext uri="{FF2B5EF4-FFF2-40B4-BE49-F238E27FC236}">
              <a16:creationId xmlns:a16="http://schemas.microsoft.com/office/drawing/2014/main" id="{4A0A9DD6-4A1E-42E7-8A48-200759EC4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9150" y="12496800"/>
          <a:ext cx="1849120" cy="73987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1B91C04-0216-41A6-B978-3BDA6B815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32385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123825</xdr:colOff>
      <xdr:row>56</xdr:row>
      <xdr:rowOff>38100</xdr:rowOff>
    </xdr:from>
    <xdr:ext cx="1849120" cy="739870"/>
    <xdr:pic>
      <xdr:nvPicPr>
        <xdr:cNvPr id="3" name="Image 2">
          <a:extLst>
            <a:ext uri="{FF2B5EF4-FFF2-40B4-BE49-F238E27FC236}">
              <a16:creationId xmlns:a16="http://schemas.microsoft.com/office/drawing/2014/main" id="{8F2FD0E5-584A-464F-BA5B-336F2EFAD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2650" y="9105900"/>
          <a:ext cx="1849120" cy="73987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EB0D-833C-4DF4-8049-393DE2F7BF62}">
  <sheetPr>
    <pageSetUpPr fitToPage="1"/>
  </sheetPr>
  <dimension ref="A1:AF69"/>
  <sheetViews>
    <sheetView tabSelected="1" topLeftCell="A19" workbookViewId="0">
      <selection activeCell="AA47" sqref="AA47"/>
    </sheetView>
  </sheetViews>
  <sheetFormatPr baseColWidth="10" defaultColWidth="11.44140625" defaultRowHeight="12.75" customHeight="1" x14ac:dyDescent="0.25"/>
  <cols>
    <col min="1" max="1" width="5.109375" style="83" customWidth="1"/>
    <col min="2" max="26" width="5.109375" style="82" customWidth="1"/>
    <col min="27" max="27" width="20" style="82" customWidth="1"/>
    <col min="28" max="28" width="28.109375" style="82" customWidth="1"/>
    <col min="29" max="29" width="22.88671875" style="82" customWidth="1"/>
    <col min="30" max="30" width="29.33203125" style="82" customWidth="1"/>
    <col min="31" max="31" width="11.44140625" style="82"/>
    <col min="32" max="16384" width="11.44140625" style="81"/>
  </cols>
  <sheetData>
    <row r="1" spans="1:32" ht="12.75" customHeight="1" x14ac:dyDescent="0.25">
      <c r="A1" s="192"/>
      <c r="B1" s="193"/>
      <c r="C1" s="193"/>
      <c r="D1" s="193"/>
      <c r="E1" s="193"/>
      <c r="F1" s="194"/>
      <c r="G1" s="201" t="s">
        <v>0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3"/>
      <c r="U1" s="159" t="s">
        <v>85</v>
      </c>
      <c r="V1" s="160"/>
      <c r="W1" s="160"/>
      <c r="X1" s="160"/>
      <c r="Y1" s="160"/>
      <c r="Z1" s="161"/>
    </row>
    <row r="2" spans="1:32" ht="12.75" customHeight="1" x14ac:dyDescent="0.3">
      <c r="A2" s="195"/>
      <c r="B2" s="196"/>
      <c r="C2" s="196"/>
      <c r="D2" s="196"/>
      <c r="E2" s="196"/>
      <c r="F2" s="197"/>
      <c r="G2" s="168" t="s">
        <v>2</v>
      </c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70"/>
      <c r="U2" s="162"/>
      <c r="V2" s="163"/>
      <c r="W2" s="163"/>
      <c r="X2" s="163"/>
      <c r="Y2" s="163"/>
      <c r="Z2" s="164"/>
      <c r="AA2" s="103"/>
      <c r="AB2" s="103"/>
    </row>
    <row r="3" spans="1:32" ht="12.75" customHeight="1" x14ac:dyDescent="0.3">
      <c r="A3" s="195"/>
      <c r="B3" s="196"/>
      <c r="C3" s="196"/>
      <c r="D3" s="196"/>
      <c r="E3" s="196"/>
      <c r="F3" s="197"/>
      <c r="G3" s="168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70"/>
      <c r="U3" s="162"/>
      <c r="V3" s="163"/>
      <c r="W3" s="163"/>
      <c r="X3" s="163"/>
      <c r="Y3" s="163"/>
      <c r="Z3" s="164"/>
      <c r="AA3" s="103"/>
      <c r="AB3" s="103"/>
    </row>
    <row r="4" spans="1:32" ht="12.75" customHeight="1" x14ac:dyDescent="0.3">
      <c r="A4" s="195"/>
      <c r="B4" s="196"/>
      <c r="C4" s="196"/>
      <c r="D4" s="196"/>
      <c r="E4" s="196"/>
      <c r="F4" s="197"/>
      <c r="G4" s="168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70"/>
      <c r="U4" s="162"/>
      <c r="V4" s="163"/>
      <c r="W4" s="163"/>
      <c r="X4" s="163"/>
      <c r="Y4" s="163"/>
      <c r="Z4" s="164"/>
      <c r="AA4" s="103"/>
      <c r="AB4" s="103"/>
    </row>
    <row r="5" spans="1:32" ht="12.75" customHeight="1" x14ac:dyDescent="0.3">
      <c r="A5" s="195"/>
      <c r="B5" s="196"/>
      <c r="C5" s="196"/>
      <c r="D5" s="196"/>
      <c r="E5" s="196"/>
      <c r="F5" s="197"/>
      <c r="G5" s="171"/>
      <c r="H5" s="172"/>
      <c r="I5" s="153" t="s">
        <v>3</v>
      </c>
      <c r="J5" s="173">
        <v>8</v>
      </c>
      <c r="K5" s="174"/>
      <c r="L5" s="175" t="s">
        <v>4</v>
      </c>
      <c r="M5" s="176"/>
      <c r="N5" s="176"/>
      <c r="O5" s="177"/>
      <c r="P5" s="178" t="s">
        <v>104</v>
      </c>
      <c r="Q5" s="179"/>
      <c r="R5" s="179"/>
      <c r="S5" s="179"/>
      <c r="T5" s="180"/>
      <c r="U5" s="162"/>
      <c r="V5" s="163"/>
      <c r="W5" s="163"/>
      <c r="X5" s="163"/>
      <c r="Y5" s="163"/>
      <c r="Z5" s="164"/>
      <c r="AA5" s="103"/>
      <c r="AB5" s="103"/>
    </row>
    <row r="6" spans="1:32" ht="12.75" customHeight="1" x14ac:dyDescent="0.25">
      <c r="A6" s="198"/>
      <c r="B6" s="199"/>
      <c r="C6" s="199"/>
      <c r="D6" s="199"/>
      <c r="E6" s="199"/>
      <c r="F6" s="200"/>
      <c r="G6" s="152"/>
      <c r="H6" s="112"/>
      <c r="I6" s="112"/>
      <c r="J6" s="181" t="s">
        <v>6</v>
      </c>
      <c r="K6" s="181"/>
      <c r="L6" s="181" t="s">
        <v>7</v>
      </c>
      <c r="M6" s="181"/>
      <c r="N6" s="181"/>
      <c r="O6" s="181"/>
      <c r="P6" s="181" t="s">
        <v>8</v>
      </c>
      <c r="Q6" s="181"/>
      <c r="R6" s="181"/>
      <c r="S6" s="181"/>
      <c r="T6" s="182"/>
      <c r="U6" s="165"/>
      <c r="V6" s="166"/>
      <c r="W6" s="166"/>
      <c r="X6" s="166"/>
      <c r="Y6" s="166"/>
      <c r="Z6" s="167"/>
    </row>
    <row r="7" spans="1:32" ht="36.6" customHeight="1" x14ac:dyDescent="0.25">
      <c r="A7" s="219" t="s">
        <v>9</v>
      </c>
      <c r="B7" s="219"/>
      <c r="C7" s="219"/>
      <c r="D7" s="219"/>
      <c r="E7" s="219"/>
      <c r="F7" s="219"/>
      <c r="G7" s="220" t="s">
        <v>10</v>
      </c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</row>
    <row r="8" spans="1:32" ht="15.9" customHeight="1" x14ac:dyDescent="0.3">
      <c r="A8" s="142" t="s">
        <v>11</v>
      </c>
      <c r="B8" s="141" t="s">
        <v>12</v>
      </c>
      <c r="C8" s="151"/>
      <c r="D8" s="150"/>
      <c r="E8" s="150"/>
      <c r="F8" s="150"/>
      <c r="G8" s="150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24"/>
      <c r="AB8" s="103"/>
      <c r="AF8" s="103" t="s">
        <v>83</v>
      </c>
    </row>
    <row r="9" spans="1:32" ht="8.25" customHeight="1" x14ac:dyDescent="0.3">
      <c r="A9" s="88"/>
      <c r="D9" s="83"/>
      <c r="E9" s="83"/>
      <c r="F9" s="83"/>
      <c r="G9" s="83"/>
      <c r="Z9" s="115"/>
      <c r="AB9" s="103"/>
      <c r="AF9" s="103" t="s">
        <v>105</v>
      </c>
    </row>
    <row r="10" spans="1:32" ht="15.9" customHeight="1" x14ac:dyDescent="0.3">
      <c r="A10" s="88"/>
      <c r="B10" s="204" t="s">
        <v>15</v>
      </c>
      <c r="C10" s="204"/>
      <c r="D10" s="204"/>
      <c r="E10" s="204"/>
      <c r="F10" s="204"/>
      <c r="G10" s="204"/>
      <c r="H10" s="207" t="s">
        <v>83</v>
      </c>
      <c r="I10" s="207"/>
      <c r="J10" s="207"/>
      <c r="K10" s="207"/>
      <c r="L10" s="207"/>
      <c r="M10" s="207"/>
      <c r="N10" s="204" t="s">
        <v>16</v>
      </c>
      <c r="O10" s="204"/>
      <c r="P10" s="204"/>
      <c r="Q10" s="204"/>
      <c r="R10" s="204"/>
      <c r="S10" s="205" t="s">
        <v>107</v>
      </c>
      <c r="T10" s="205"/>
      <c r="U10" s="205"/>
      <c r="V10" s="205"/>
      <c r="W10" s="205"/>
      <c r="X10" s="205"/>
      <c r="Y10" s="205"/>
      <c r="Z10" s="149"/>
      <c r="AB10" s="103"/>
      <c r="AF10" s="103" t="s">
        <v>104</v>
      </c>
    </row>
    <row r="11" spans="1:32" ht="15.9" customHeight="1" x14ac:dyDescent="0.3">
      <c r="A11" s="88"/>
      <c r="B11" s="204" t="s">
        <v>18</v>
      </c>
      <c r="C11" s="204"/>
      <c r="D11" s="204"/>
      <c r="E11" s="204"/>
      <c r="F11" s="204"/>
      <c r="G11" s="204"/>
      <c r="H11" s="207" t="s">
        <v>105</v>
      </c>
      <c r="I11" s="207"/>
      <c r="J11" s="207"/>
      <c r="K11" s="207"/>
      <c r="L11" s="207"/>
      <c r="M11" s="207"/>
      <c r="N11" s="204" t="s">
        <v>19</v>
      </c>
      <c r="O11" s="204"/>
      <c r="P11" s="204"/>
      <c r="Q11" s="204"/>
      <c r="R11" s="204"/>
      <c r="S11" s="205" t="s">
        <v>106</v>
      </c>
      <c r="T11" s="205"/>
      <c r="U11" s="205"/>
      <c r="V11" s="205"/>
      <c r="W11" s="205"/>
      <c r="X11" s="205"/>
      <c r="Y11" s="205"/>
      <c r="Z11" s="149"/>
      <c r="AB11" s="103"/>
      <c r="AF11" s="103" t="s">
        <v>17</v>
      </c>
    </row>
    <row r="12" spans="1:32" ht="15.9" customHeight="1" x14ac:dyDescent="0.3">
      <c r="A12" s="88"/>
      <c r="B12" s="204" t="s">
        <v>21</v>
      </c>
      <c r="C12" s="204"/>
      <c r="D12" s="204"/>
      <c r="E12" s="204"/>
      <c r="F12" s="204"/>
      <c r="G12" s="204"/>
      <c r="H12" s="207" t="s">
        <v>104</v>
      </c>
      <c r="I12" s="207"/>
      <c r="J12" s="207"/>
      <c r="K12" s="207"/>
      <c r="L12" s="207"/>
      <c r="M12" s="207"/>
      <c r="N12" s="204" t="s">
        <v>22</v>
      </c>
      <c r="O12" s="204"/>
      <c r="P12" s="204"/>
      <c r="Q12" s="204"/>
      <c r="R12" s="204"/>
      <c r="S12" s="205" t="s">
        <v>80</v>
      </c>
      <c r="T12" s="205"/>
      <c r="U12" s="205"/>
      <c r="V12" s="205"/>
      <c r="W12" s="205"/>
      <c r="X12" s="205"/>
      <c r="Y12" s="205"/>
      <c r="Z12" s="149"/>
      <c r="AB12" s="103"/>
      <c r="AF12" s="103" t="s">
        <v>106</v>
      </c>
    </row>
    <row r="13" spans="1:32" ht="8.25" customHeight="1" x14ac:dyDescent="0.3">
      <c r="A13" s="86"/>
      <c r="B13" s="146"/>
      <c r="C13" s="146"/>
      <c r="D13" s="148"/>
      <c r="E13" s="148"/>
      <c r="F13" s="148"/>
      <c r="G13" s="148"/>
      <c r="H13" s="146"/>
      <c r="I13" s="146"/>
      <c r="J13" s="146"/>
      <c r="K13" s="146"/>
      <c r="L13" s="146"/>
      <c r="M13" s="146"/>
      <c r="N13" s="147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11"/>
      <c r="AB13" s="103"/>
      <c r="AF13" s="103" t="s">
        <v>80</v>
      </c>
    </row>
    <row r="14" spans="1:32" s="90" customFormat="1" ht="15" customHeight="1" x14ac:dyDescent="0.25">
      <c r="B14" s="144"/>
      <c r="C14" s="144"/>
      <c r="K14" s="145"/>
      <c r="L14" s="144"/>
      <c r="M14" s="143"/>
    </row>
    <row r="15" spans="1:32" s="90" customFormat="1" ht="16.2" customHeight="1" x14ac:dyDescent="0.25">
      <c r="A15" s="142" t="s">
        <v>24</v>
      </c>
      <c r="B15" s="141" t="s">
        <v>25</v>
      </c>
      <c r="C15" s="140"/>
      <c r="D15" s="140"/>
      <c r="E15" s="140"/>
      <c r="F15" s="140"/>
      <c r="G15" s="140"/>
      <c r="H15" s="140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8"/>
    </row>
    <row r="16" spans="1:32" s="90" customFormat="1" ht="13.8" customHeight="1" x14ac:dyDescent="0.25">
      <c r="A16" s="134"/>
      <c r="B16" s="137"/>
      <c r="C16" s="136"/>
      <c r="D16" s="136"/>
      <c r="E16" s="136"/>
      <c r="F16" s="136"/>
      <c r="G16" s="136"/>
      <c r="H16" s="136"/>
      <c r="Z16" s="135"/>
    </row>
    <row r="17" spans="1:32" s="90" customFormat="1" ht="15" customHeight="1" x14ac:dyDescent="0.25">
      <c r="A17" s="134"/>
      <c r="B17" s="189" t="s">
        <v>26</v>
      </c>
      <c r="C17" s="189"/>
      <c r="D17" s="189"/>
      <c r="E17" s="189"/>
      <c r="F17" s="189"/>
      <c r="G17" s="189"/>
      <c r="H17" s="189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133"/>
    </row>
    <row r="18" spans="1:32" s="90" customFormat="1" ht="15" customHeight="1" x14ac:dyDescent="0.25">
      <c r="A18" s="134"/>
      <c r="B18" s="189" t="s">
        <v>27</v>
      </c>
      <c r="C18" s="189"/>
      <c r="D18" s="189"/>
      <c r="E18" s="189"/>
      <c r="F18" s="189"/>
      <c r="G18" s="189"/>
      <c r="H18" s="189"/>
      <c r="I18" s="235" t="s">
        <v>108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133"/>
    </row>
    <row r="19" spans="1:32" s="90" customFormat="1" ht="13.2" customHeight="1" x14ac:dyDescent="0.25">
      <c r="A19" s="132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0"/>
    </row>
    <row r="20" spans="1:32" ht="12.75" customHeight="1" x14ac:dyDescent="0.25">
      <c r="D20" s="83"/>
      <c r="E20" s="83"/>
      <c r="F20" s="83"/>
      <c r="G20" s="83"/>
      <c r="N20" s="129"/>
    </row>
    <row r="21" spans="1:32" ht="15.9" customHeight="1" x14ac:dyDescent="0.25">
      <c r="A21" s="128" t="s">
        <v>28</v>
      </c>
      <c r="B21" s="127" t="s">
        <v>29</v>
      </c>
      <c r="C21" s="125"/>
      <c r="D21" s="126"/>
      <c r="E21" s="126"/>
      <c r="F21" s="126"/>
      <c r="G21" s="126"/>
      <c r="H21" s="125"/>
      <c r="I21" s="125"/>
      <c r="J21" s="125"/>
      <c r="K21" s="125"/>
      <c r="L21" s="125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24"/>
    </row>
    <row r="22" spans="1:32" ht="12.75" customHeight="1" x14ac:dyDescent="0.25">
      <c r="A22" s="88"/>
      <c r="Z22" s="115"/>
    </row>
    <row r="23" spans="1:32" ht="12.75" customHeight="1" x14ac:dyDescent="0.25">
      <c r="A23" s="88"/>
      <c r="Z23" s="115"/>
    </row>
    <row r="24" spans="1:32" ht="12.75" customHeight="1" x14ac:dyDescent="0.25">
      <c r="A24" s="88"/>
      <c r="B24" s="183" t="s">
        <v>30</v>
      </c>
      <c r="C24" s="212"/>
      <c r="D24" s="212"/>
      <c r="E24" s="212"/>
      <c r="F24" s="212">
        <v>29</v>
      </c>
      <c r="G24" s="212"/>
      <c r="H24" s="212"/>
      <c r="I24" s="212"/>
      <c r="J24" s="236" t="s">
        <v>31</v>
      </c>
      <c r="K24" s="236"/>
      <c r="L24" s="237"/>
      <c r="O24" s="183" t="s">
        <v>32</v>
      </c>
      <c r="P24" s="184"/>
      <c r="Q24" s="184"/>
      <c r="R24" s="184"/>
      <c r="S24" s="212">
        <v>890</v>
      </c>
      <c r="T24" s="212"/>
      <c r="U24" s="212"/>
      <c r="V24" s="212"/>
      <c r="W24" s="236" t="s">
        <v>97</v>
      </c>
      <c r="X24" s="236"/>
      <c r="Y24" s="237"/>
      <c r="Z24" s="115"/>
      <c r="AA24" s="81"/>
    </row>
    <row r="25" spans="1:32" ht="12.75" customHeight="1" x14ac:dyDescent="0.25">
      <c r="A25" s="88"/>
      <c r="B25" s="213"/>
      <c r="C25" s="214"/>
      <c r="D25" s="214"/>
      <c r="E25" s="214"/>
      <c r="F25" s="214"/>
      <c r="G25" s="214"/>
      <c r="H25" s="214"/>
      <c r="I25" s="214"/>
      <c r="J25" s="238"/>
      <c r="K25" s="238"/>
      <c r="L25" s="239"/>
      <c r="O25" s="185"/>
      <c r="P25" s="186"/>
      <c r="Q25" s="186"/>
      <c r="R25" s="186"/>
      <c r="S25" s="214"/>
      <c r="T25" s="214"/>
      <c r="U25" s="214"/>
      <c r="V25" s="214"/>
      <c r="W25" s="238"/>
      <c r="X25" s="238"/>
      <c r="Y25" s="239"/>
      <c r="Z25" s="115"/>
      <c r="AA25" s="81"/>
    </row>
    <row r="26" spans="1:32" ht="12.75" customHeight="1" x14ac:dyDescent="0.25">
      <c r="A26" s="88"/>
      <c r="B26" s="215"/>
      <c r="C26" s="216"/>
      <c r="D26" s="216"/>
      <c r="E26" s="216"/>
      <c r="F26" s="216"/>
      <c r="G26" s="216"/>
      <c r="H26" s="216"/>
      <c r="I26" s="216"/>
      <c r="J26" s="240"/>
      <c r="K26" s="240"/>
      <c r="L26" s="241"/>
      <c r="O26" s="187"/>
      <c r="P26" s="188"/>
      <c r="Q26" s="188"/>
      <c r="R26" s="188"/>
      <c r="S26" s="216"/>
      <c r="T26" s="216"/>
      <c r="U26" s="216"/>
      <c r="V26" s="216"/>
      <c r="W26" s="240"/>
      <c r="X26" s="240"/>
      <c r="Y26" s="241"/>
      <c r="Z26" s="115"/>
      <c r="AA26" s="81"/>
    </row>
    <row r="27" spans="1:32" ht="12.75" customHeight="1" x14ac:dyDescent="0.25">
      <c r="A27" s="88"/>
      <c r="B27" s="183" t="s">
        <v>34</v>
      </c>
      <c r="C27" s="184"/>
      <c r="D27" s="184"/>
      <c r="E27" s="184"/>
      <c r="F27" s="242">
        <f>IF(F24&lt;&gt;"",(997.1*(SUM(AD35:AD69))),"")</f>
        <v>996.00319000000002</v>
      </c>
      <c r="G27" s="242"/>
      <c r="H27" s="242"/>
      <c r="I27" s="242"/>
      <c r="J27" s="236" t="s">
        <v>35</v>
      </c>
      <c r="K27" s="236"/>
      <c r="L27" s="237"/>
      <c r="O27" s="245" t="s">
        <v>36</v>
      </c>
      <c r="P27" s="212"/>
      <c r="Q27" s="212"/>
      <c r="R27" s="212"/>
      <c r="S27" s="212">
        <v>2463</v>
      </c>
      <c r="T27" s="212"/>
      <c r="U27" s="212"/>
      <c r="V27" s="212"/>
      <c r="W27" s="236" t="s">
        <v>35</v>
      </c>
      <c r="X27" s="236"/>
      <c r="Y27" s="237"/>
      <c r="Z27" s="115"/>
      <c r="AA27" s="81"/>
    </row>
    <row r="28" spans="1:32" ht="12.75" customHeight="1" x14ac:dyDescent="0.25">
      <c r="A28" s="88"/>
      <c r="B28" s="185"/>
      <c r="C28" s="186"/>
      <c r="D28" s="186"/>
      <c r="E28" s="186"/>
      <c r="F28" s="243"/>
      <c r="G28" s="243"/>
      <c r="H28" s="243"/>
      <c r="I28" s="243"/>
      <c r="J28" s="238"/>
      <c r="K28" s="238"/>
      <c r="L28" s="239"/>
      <c r="O28" s="213"/>
      <c r="P28" s="214"/>
      <c r="Q28" s="214"/>
      <c r="R28" s="214"/>
      <c r="S28" s="214"/>
      <c r="T28" s="214"/>
      <c r="U28" s="214"/>
      <c r="V28" s="214"/>
      <c r="W28" s="238"/>
      <c r="X28" s="238"/>
      <c r="Y28" s="239"/>
      <c r="Z28" s="115"/>
      <c r="AA28" s="81"/>
    </row>
    <row r="29" spans="1:32" ht="12.75" customHeight="1" x14ac:dyDescent="0.25">
      <c r="A29" s="88"/>
      <c r="B29" s="187"/>
      <c r="C29" s="188"/>
      <c r="D29" s="188"/>
      <c r="E29" s="188"/>
      <c r="F29" s="244"/>
      <c r="G29" s="244"/>
      <c r="H29" s="244"/>
      <c r="I29" s="244"/>
      <c r="J29" s="240"/>
      <c r="K29" s="240"/>
      <c r="L29" s="241"/>
      <c r="O29" s="215"/>
      <c r="P29" s="216"/>
      <c r="Q29" s="216"/>
      <c r="R29" s="216"/>
      <c r="S29" s="216"/>
      <c r="T29" s="216"/>
      <c r="U29" s="216"/>
      <c r="V29" s="216"/>
      <c r="W29" s="240"/>
      <c r="X29" s="240"/>
      <c r="Y29" s="241"/>
      <c r="Z29" s="115"/>
    </row>
    <row r="30" spans="1:32" ht="12.75" customHeight="1" x14ac:dyDescent="0.3">
      <c r="A30" s="88"/>
      <c r="B30" s="123"/>
      <c r="C30" s="121"/>
      <c r="D30" s="120"/>
      <c r="I30" s="119"/>
      <c r="J30" s="119"/>
      <c r="P30" s="121"/>
      <c r="Q30" s="121"/>
      <c r="R30" s="121"/>
      <c r="S30" s="121"/>
      <c r="T30" s="121"/>
      <c r="U30" s="121"/>
      <c r="V30" s="121"/>
      <c r="W30" s="120"/>
      <c r="Z30" s="115"/>
      <c r="AA30" s="103"/>
      <c r="AB30" s="103"/>
      <c r="AC30" s="103"/>
      <c r="AD30" s="103"/>
      <c r="AE30" s="103"/>
      <c r="AF30" s="103"/>
    </row>
    <row r="31" spans="1:32" ht="12.75" customHeight="1" thickBot="1" x14ac:dyDescent="0.3">
      <c r="A31" s="88"/>
      <c r="B31" s="123"/>
      <c r="C31" s="121"/>
      <c r="D31" s="120"/>
      <c r="E31" s="119"/>
      <c r="F31" s="122"/>
      <c r="G31" s="121"/>
      <c r="H31" s="120"/>
      <c r="I31" s="119"/>
      <c r="J31" s="119"/>
      <c r="Z31" s="115"/>
    </row>
    <row r="32" spans="1:32" ht="19.5" customHeight="1" x14ac:dyDescent="0.25">
      <c r="A32" s="88"/>
      <c r="B32" s="208" t="s">
        <v>37</v>
      </c>
      <c r="C32" s="209"/>
      <c r="D32" s="209"/>
      <c r="E32" s="209" t="s">
        <v>38</v>
      </c>
      <c r="F32" s="209"/>
      <c r="G32" s="209"/>
      <c r="H32" s="209" t="s">
        <v>39</v>
      </c>
      <c r="I32" s="209"/>
      <c r="J32" s="209"/>
      <c r="K32" s="209" t="s">
        <v>40</v>
      </c>
      <c r="L32" s="209"/>
      <c r="M32" s="209"/>
      <c r="N32" s="209" t="s">
        <v>96</v>
      </c>
      <c r="O32" s="209"/>
      <c r="P32" s="209"/>
      <c r="Q32" s="209" t="s">
        <v>42</v>
      </c>
      <c r="R32" s="209"/>
      <c r="S32" s="209"/>
      <c r="T32" s="231" t="s">
        <v>43</v>
      </c>
      <c r="U32" s="231"/>
      <c r="V32" s="231"/>
      <c r="W32" s="209" t="s">
        <v>44</v>
      </c>
      <c r="X32" s="209"/>
      <c r="Y32" s="232"/>
      <c r="Z32" s="115"/>
      <c r="AB32" s="192" t="s">
        <v>45</v>
      </c>
      <c r="AC32" s="193" t="s">
        <v>46</v>
      </c>
      <c r="AD32" s="194" t="s">
        <v>47</v>
      </c>
    </row>
    <row r="33" spans="1:30" ht="19.5" customHeight="1" x14ac:dyDescent="0.25">
      <c r="A33" s="88"/>
      <c r="B33" s="210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214"/>
      <c r="U33" s="214"/>
      <c r="V33" s="214"/>
      <c r="W33" s="186"/>
      <c r="X33" s="186"/>
      <c r="Y33" s="233"/>
      <c r="Z33" s="115"/>
      <c r="AB33" s="195"/>
      <c r="AC33" s="196"/>
      <c r="AD33" s="197"/>
    </row>
    <row r="34" spans="1:30" ht="19.5" customHeight="1" x14ac:dyDescent="0.25">
      <c r="A34" s="88"/>
      <c r="B34" s="211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216"/>
      <c r="U34" s="216"/>
      <c r="V34" s="216"/>
      <c r="W34" s="188"/>
      <c r="X34" s="188"/>
      <c r="Y34" s="234"/>
      <c r="Z34" s="115"/>
      <c r="AB34" s="198"/>
      <c r="AC34" s="199"/>
      <c r="AD34" s="200"/>
    </row>
    <row r="35" spans="1:30" ht="25.5" customHeight="1" x14ac:dyDescent="0.25">
      <c r="A35" s="88"/>
      <c r="B35" s="206" t="s">
        <v>95</v>
      </c>
      <c r="C35" s="190"/>
      <c r="D35" s="190"/>
      <c r="E35" s="190">
        <v>4004.1</v>
      </c>
      <c r="F35" s="190"/>
      <c r="G35" s="190"/>
      <c r="H35" s="190">
        <v>4095.2</v>
      </c>
      <c r="I35" s="190"/>
      <c r="J35" s="190"/>
      <c r="K35" s="190">
        <v>2297.9</v>
      </c>
      <c r="L35" s="190"/>
      <c r="M35" s="190"/>
      <c r="N35" s="191">
        <v>2352.4</v>
      </c>
      <c r="O35" s="191"/>
      <c r="P35" s="191"/>
      <c r="Q35" s="356">
        <v>95.5</v>
      </c>
      <c r="R35" s="356"/>
      <c r="S35" s="356"/>
      <c r="T35" s="356">
        <v>4.5</v>
      </c>
      <c r="U35" s="356"/>
      <c r="V35" s="356"/>
      <c r="W35" s="190">
        <v>16.5</v>
      </c>
      <c r="X35" s="190"/>
      <c r="Y35" s="267"/>
      <c r="Z35" s="115"/>
      <c r="AB35" s="88">
        <v>10</v>
      </c>
      <c r="AC35" s="83">
        <v>1.0026999999999999</v>
      </c>
      <c r="AD35" s="87" t="str">
        <f>IF($F$24=AB35,AC35,"")</f>
        <v/>
      </c>
    </row>
    <row r="36" spans="1:30" ht="25.5" customHeight="1" x14ac:dyDescent="0.25">
      <c r="A36" s="88"/>
      <c r="B36" s="206" t="s">
        <v>94</v>
      </c>
      <c r="C36" s="190"/>
      <c r="D36" s="190"/>
      <c r="E36" s="190">
        <v>3807.8</v>
      </c>
      <c r="F36" s="190"/>
      <c r="G36" s="190"/>
      <c r="H36" s="190">
        <v>3894.4</v>
      </c>
      <c r="I36" s="190"/>
      <c r="J36" s="190"/>
      <c r="K36" s="190">
        <v>2162.3000000000002</v>
      </c>
      <c r="L36" s="190"/>
      <c r="M36" s="190"/>
      <c r="N36" s="191">
        <v>2319.4</v>
      </c>
      <c r="O36" s="191"/>
      <c r="P36" s="191"/>
      <c r="Q36" s="356">
        <v>94.2</v>
      </c>
      <c r="R36" s="356"/>
      <c r="S36" s="356"/>
      <c r="T36" s="356">
        <v>5.8</v>
      </c>
      <c r="U36" s="356"/>
      <c r="V36" s="356"/>
      <c r="W36" s="190">
        <v>16</v>
      </c>
      <c r="X36" s="190"/>
      <c r="Y36" s="267"/>
      <c r="Z36" s="115"/>
      <c r="AB36" s="88">
        <v>10</v>
      </c>
      <c r="AC36" s="83">
        <v>1.0026999999999999</v>
      </c>
      <c r="AD36" s="87" t="str">
        <f>IF($F$24=AB35,AC35,"")</f>
        <v/>
      </c>
    </row>
    <row r="37" spans="1:30" ht="25.5" customHeight="1" x14ac:dyDescent="0.25">
      <c r="A37" s="88"/>
      <c r="B37" s="206" t="s">
        <v>93</v>
      </c>
      <c r="C37" s="190"/>
      <c r="D37" s="190"/>
      <c r="E37" s="190">
        <v>4051.4</v>
      </c>
      <c r="F37" s="190"/>
      <c r="G37" s="190"/>
      <c r="H37" s="190">
        <v>4160.6000000000004</v>
      </c>
      <c r="I37" s="190"/>
      <c r="J37" s="190"/>
      <c r="K37" s="190">
        <v>2250.6999999999998</v>
      </c>
      <c r="L37" s="190"/>
      <c r="M37" s="190"/>
      <c r="N37" s="191">
        <v>2257.1999999999998</v>
      </c>
      <c r="O37" s="191"/>
      <c r="P37" s="191"/>
      <c r="Q37" s="356">
        <v>91.6</v>
      </c>
      <c r="R37" s="356"/>
      <c r="S37" s="356"/>
      <c r="T37" s="356">
        <v>8.4</v>
      </c>
      <c r="U37" s="356"/>
      <c r="V37" s="356"/>
      <c r="W37" s="190">
        <v>18</v>
      </c>
      <c r="X37" s="190"/>
      <c r="Y37" s="267"/>
      <c r="Z37" s="115"/>
      <c r="AB37" s="88">
        <v>10</v>
      </c>
      <c r="AC37" s="83">
        <v>1.0026999999999999</v>
      </c>
      <c r="AD37" s="87" t="str">
        <f>IF($F$24=AB35,AC35,"")</f>
        <v/>
      </c>
    </row>
    <row r="38" spans="1:30" ht="25.5" customHeight="1" x14ac:dyDescent="0.25">
      <c r="A38" s="88"/>
      <c r="B38" s="281"/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279"/>
      <c r="Y38" s="280"/>
      <c r="Z38" s="115"/>
      <c r="AB38" s="88"/>
      <c r="AC38" s="83"/>
      <c r="AD38" s="87"/>
    </row>
    <row r="39" spans="1:30" ht="25.5" customHeight="1" x14ac:dyDescent="0.25">
      <c r="A39" s="88"/>
      <c r="B39" s="281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80"/>
      <c r="Z39" s="115"/>
      <c r="AB39" s="88"/>
      <c r="AC39" s="83"/>
      <c r="AD39" s="87"/>
    </row>
    <row r="40" spans="1:30" ht="25.5" customHeight="1" x14ac:dyDescent="0.25">
      <c r="A40" s="88"/>
      <c r="B40" s="281"/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80"/>
      <c r="Z40" s="115"/>
      <c r="AB40" s="88"/>
      <c r="AC40" s="83"/>
      <c r="AD40" s="87"/>
    </row>
    <row r="41" spans="1:30" ht="25.5" customHeight="1" x14ac:dyDescent="0.25">
      <c r="A41" s="88"/>
      <c r="B41" s="281"/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80"/>
      <c r="Z41" s="115"/>
      <c r="AB41" s="88"/>
      <c r="AC41" s="83"/>
      <c r="AD41" s="87"/>
    </row>
    <row r="42" spans="1:30" ht="25.5" customHeight="1" x14ac:dyDescent="0.25">
      <c r="A42" s="88"/>
      <c r="B42" s="281"/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80"/>
      <c r="Z42" s="115"/>
      <c r="AB42" s="88"/>
      <c r="AC42" s="83"/>
      <c r="AD42" s="87"/>
    </row>
    <row r="43" spans="1:30" ht="25.5" customHeight="1" x14ac:dyDescent="0.25">
      <c r="A43" s="88"/>
      <c r="B43" s="281"/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80"/>
      <c r="Z43" s="115"/>
      <c r="AB43" s="88"/>
      <c r="AC43" s="83"/>
      <c r="AD43" s="87"/>
    </row>
    <row r="44" spans="1:30" ht="25.5" customHeight="1" x14ac:dyDescent="0.25">
      <c r="A44" s="88"/>
      <c r="B44" s="281"/>
      <c r="C44" s="279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80"/>
      <c r="Z44" s="115"/>
      <c r="AB44" s="88"/>
      <c r="AC44" s="83"/>
      <c r="AD44" s="87"/>
    </row>
    <row r="45" spans="1:30" ht="25.5" customHeight="1" x14ac:dyDescent="0.25">
      <c r="A45" s="88"/>
      <c r="B45" s="281"/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80"/>
      <c r="Z45" s="115"/>
      <c r="AB45" s="88"/>
      <c r="AC45" s="83"/>
      <c r="AD45" s="87"/>
    </row>
    <row r="46" spans="1:30" ht="25.5" customHeight="1" x14ac:dyDescent="0.25">
      <c r="A46" s="88"/>
      <c r="B46" s="281"/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79"/>
      <c r="R46" s="279"/>
      <c r="S46" s="279"/>
      <c r="T46" s="279"/>
      <c r="U46" s="279"/>
      <c r="V46" s="279"/>
      <c r="W46" s="279"/>
      <c r="X46" s="279"/>
      <c r="Y46" s="280"/>
      <c r="Z46" s="115"/>
      <c r="AB46" s="88"/>
      <c r="AC46" s="83"/>
      <c r="AD46" s="87"/>
    </row>
    <row r="47" spans="1:30" ht="25.5" customHeight="1" x14ac:dyDescent="0.25">
      <c r="A47" s="88"/>
      <c r="B47" s="281"/>
      <c r="C47" s="279"/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279"/>
      <c r="X47" s="279"/>
      <c r="Y47" s="280"/>
      <c r="Z47" s="115"/>
      <c r="AB47" s="88"/>
      <c r="AC47" s="83"/>
      <c r="AD47" s="87"/>
    </row>
    <row r="48" spans="1:30" ht="25.5" customHeight="1" x14ac:dyDescent="0.25">
      <c r="A48" s="88"/>
      <c r="B48" s="281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80"/>
      <c r="Z48" s="115"/>
      <c r="AB48" s="88"/>
      <c r="AC48" s="83"/>
      <c r="AD48" s="87"/>
    </row>
    <row r="49" spans="1:30" ht="25.5" customHeight="1" x14ac:dyDescent="0.25">
      <c r="A49" s="88"/>
      <c r="B49" s="281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80"/>
      <c r="Z49" s="115"/>
      <c r="AB49" s="88"/>
      <c r="AC49" s="83"/>
      <c r="AD49" s="87"/>
    </row>
    <row r="50" spans="1:30" ht="25.5" customHeight="1" thickBot="1" x14ac:dyDescent="0.3">
      <c r="A50" s="88"/>
      <c r="B50" s="278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68"/>
      <c r="Z50" s="115"/>
      <c r="AB50" s="88">
        <v>11</v>
      </c>
      <c r="AC50" s="83">
        <v>1.0025999999999999</v>
      </c>
      <c r="AD50" s="87" t="str">
        <f t="shared" ref="AD50:AD69" si="0">IF($F$24=AB50,AC50,"")</f>
        <v/>
      </c>
    </row>
    <row r="51" spans="1:30" ht="12.75" customHeight="1" x14ac:dyDescent="0.25"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8"/>
      <c r="O51" s="118"/>
      <c r="P51" s="118"/>
      <c r="Q51" s="117"/>
      <c r="R51" s="117"/>
      <c r="S51" s="117"/>
      <c r="T51" s="117"/>
      <c r="U51" s="117"/>
      <c r="V51" s="117"/>
      <c r="W51" s="116"/>
      <c r="X51" s="116"/>
      <c r="Y51" s="116"/>
      <c r="Z51" s="115"/>
      <c r="AB51" s="88">
        <v>12</v>
      </c>
      <c r="AC51" s="83">
        <v>1.0024999999999999</v>
      </c>
      <c r="AD51" s="87" t="str">
        <f t="shared" si="0"/>
        <v/>
      </c>
    </row>
    <row r="52" spans="1:30" ht="15.9" customHeight="1" x14ac:dyDescent="0.25">
      <c r="A52" s="114"/>
      <c r="B52" s="113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1"/>
      <c r="AB52" s="88">
        <v>13</v>
      </c>
      <c r="AC52" s="83">
        <v>1.0023</v>
      </c>
      <c r="AD52" s="87" t="str">
        <f t="shared" si="0"/>
        <v/>
      </c>
    </row>
    <row r="53" spans="1:30" ht="12.75" customHeight="1" x14ac:dyDescent="0.25">
      <c r="A53" s="110"/>
      <c r="B53" s="109"/>
      <c r="AB53" s="88">
        <v>14</v>
      </c>
      <c r="AC53" s="83">
        <v>1.0022</v>
      </c>
      <c r="AD53" s="87" t="str">
        <f t="shared" si="0"/>
        <v/>
      </c>
    </row>
    <row r="54" spans="1:30" s="90" customFormat="1" ht="15.6" customHeight="1" x14ac:dyDescent="0.3">
      <c r="A54" s="108" t="s">
        <v>52</v>
      </c>
      <c r="B54" s="107" t="s">
        <v>53</v>
      </c>
      <c r="C54" s="106"/>
      <c r="D54" s="106"/>
      <c r="E54" s="106"/>
      <c r="F54" s="105"/>
      <c r="G54" s="105"/>
      <c r="H54" s="105"/>
      <c r="I54" s="104"/>
      <c r="J54" s="104"/>
      <c r="K54" s="104"/>
      <c r="L54" s="104"/>
      <c r="M54" s="104"/>
      <c r="N54" s="104"/>
      <c r="O54" s="104"/>
      <c r="P54" s="104"/>
      <c r="Q54" s="105"/>
      <c r="R54" s="104"/>
      <c r="S54" s="104"/>
      <c r="T54" s="104"/>
      <c r="U54" s="224"/>
      <c r="V54" s="224"/>
      <c r="W54" s="224"/>
      <c r="X54" s="225"/>
      <c r="Y54" s="225"/>
      <c r="Z54" s="226"/>
      <c r="AA54" s="103"/>
      <c r="AB54" s="88">
        <v>15</v>
      </c>
      <c r="AC54" s="83">
        <v>1.0021</v>
      </c>
      <c r="AD54" s="87" t="str">
        <f t="shared" si="0"/>
        <v/>
      </c>
    </row>
    <row r="55" spans="1:30" s="90" customFormat="1" ht="25.8" customHeight="1" x14ac:dyDescent="0.3">
      <c r="A55" s="275" t="s">
        <v>54</v>
      </c>
      <c r="B55" s="276"/>
      <c r="C55" s="276"/>
      <c r="D55" s="276"/>
      <c r="E55" s="276"/>
      <c r="F55" s="276"/>
      <c r="G55" s="276"/>
      <c r="H55" s="276"/>
      <c r="I55" s="276"/>
      <c r="J55" s="276"/>
      <c r="K55" s="276"/>
      <c r="L55" s="276"/>
      <c r="M55" s="276"/>
      <c r="N55" s="276"/>
      <c r="O55" s="276"/>
      <c r="P55" s="276"/>
      <c r="Q55" s="277"/>
      <c r="R55" s="221" t="s">
        <v>55</v>
      </c>
      <c r="S55" s="222"/>
      <c r="T55" s="223"/>
      <c r="U55" s="227" t="s">
        <v>68</v>
      </c>
      <c r="V55" s="228"/>
      <c r="W55" s="228"/>
      <c r="X55" s="229"/>
      <c r="Y55" s="229"/>
      <c r="Z55" s="230"/>
      <c r="AA55" s="103"/>
      <c r="AB55" s="88">
        <v>16</v>
      </c>
      <c r="AC55" s="83">
        <v>1.0019</v>
      </c>
      <c r="AD55" s="87" t="str">
        <f t="shared" si="0"/>
        <v/>
      </c>
    </row>
    <row r="56" spans="1:30" s="90" customFormat="1" ht="15.6" customHeight="1" x14ac:dyDescent="0.3">
      <c r="A56" s="269" t="s">
        <v>67</v>
      </c>
      <c r="B56" s="270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1"/>
      <c r="R56" s="221" t="s">
        <v>58</v>
      </c>
      <c r="S56" s="222"/>
      <c r="T56" s="223"/>
      <c r="U56" s="256" t="s">
        <v>66</v>
      </c>
      <c r="V56" s="257"/>
      <c r="W56" s="257"/>
      <c r="X56" s="258"/>
      <c r="Y56" s="258"/>
      <c r="Z56" s="259"/>
      <c r="AA56" s="103"/>
      <c r="AB56" s="88">
        <v>17</v>
      </c>
      <c r="AC56" s="83">
        <v>1.0017</v>
      </c>
      <c r="AD56" s="87" t="str">
        <f t="shared" si="0"/>
        <v/>
      </c>
    </row>
    <row r="57" spans="1:30" s="90" customFormat="1" ht="15.6" customHeight="1" x14ac:dyDescent="0.3">
      <c r="A57" s="272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4"/>
      <c r="R57" s="221"/>
      <c r="S57" s="222"/>
      <c r="T57" s="223"/>
      <c r="U57" s="260"/>
      <c r="V57" s="255"/>
      <c r="W57" s="255"/>
      <c r="X57" s="261"/>
      <c r="Y57" s="261"/>
      <c r="Z57" s="262"/>
      <c r="AA57" s="103"/>
      <c r="AB57" s="88">
        <v>18</v>
      </c>
      <c r="AC57" s="83">
        <v>1.0016</v>
      </c>
      <c r="AD57" s="87" t="str">
        <f t="shared" si="0"/>
        <v/>
      </c>
    </row>
    <row r="58" spans="1:30" s="90" customFormat="1" ht="15.6" customHeight="1" x14ac:dyDescent="0.25">
      <c r="A58" s="102" t="s">
        <v>60</v>
      </c>
      <c r="B58" s="101" t="s">
        <v>61</v>
      </c>
      <c r="C58" s="82"/>
      <c r="D58" s="82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99"/>
      <c r="R58" s="221"/>
      <c r="S58" s="222"/>
      <c r="T58" s="223"/>
      <c r="U58" s="263"/>
      <c r="V58" s="264"/>
      <c r="W58" s="264"/>
      <c r="X58" s="265"/>
      <c r="Y58" s="265"/>
      <c r="Z58" s="266"/>
      <c r="AB58" s="88">
        <v>19</v>
      </c>
      <c r="AC58" s="83">
        <v>1.0014000000000001</v>
      </c>
      <c r="AD58" s="87" t="str">
        <f t="shared" si="0"/>
        <v/>
      </c>
    </row>
    <row r="59" spans="1:30" s="90" customFormat="1" ht="15.6" customHeight="1" x14ac:dyDescent="0.25">
      <c r="A59" s="246"/>
      <c r="B59" s="247"/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8"/>
      <c r="R59" s="221" t="s">
        <v>62</v>
      </c>
      <c r="S59" s="222"/>
      <c r="T59" s="223"/>
      <c r="U59" s="158"/>
      <c r="V59" s="157"/>
      <c r="W59" s="157"/>
      <c r="X59" s="157"/>
      <c r="Y59" s="157"/>
      <c r="Z59" s="156"/>
      <c r="AB59" s="88">
        <v>20</v>
      </c>
      <c r="AC59" s="83">
        <v>1.0012000000000001</v>
      </c>
      <c r="AD59" s="87" t="str">
        <f t="shared" si="0"/>
        <v/>
      </c>
    </row>
    <row r="60" spans="1:30" s="90" customFormat="1" ht="15.6" customHeight="1" x14ac:dyDescent="0.25">
      <c r="A60" s="246"/>
      <c r="B60" s="247"/>
      <c r="C60" s="247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8"/>
      <c r="R60" s="221"/>
      <c r="S60" s="222"/>
      <c r="T60" s="223"/>
      <c r="U60" s="155"/>
      <c r="V60" s="255"/>
      <c r="W60" s="255"/>
      <c r="X60" s="255"/>
      <c r="Y60" s="255"/>
      <c r="Z60" s="154"/>
      <c r="AB60" s="88">
        <v>21</v>
      </c>
      <c r="AC60" s="89">
        <v>1.0009999999999999</v>
      </c>
      <c r="AD60" s="87" t="str">
        <f t="shared" si="0"/>
        <v/>
      </c>
    </row>
    <row r="61" spans="1:30" s="90" customFormat="1" ht="15.6" customHeight="1" x14ac:dyDescent="0.25">
      <c r="A61" s="246"/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8"/>
      <c r="R61" s="221"/>
      <c r="S61" s="222"/>
      <c r="T61" s="223"/>
      <c r="U61" s="155"/>
      <c r="V61" s="255"/>
      <c r="W61" s="255"/>
      <c r="X61" s="255"/>
      <c r="Y61" s="255"/>
      <c r="Z61" s="154"/>
      <c r="AB61" s="88">
        <v>22</v>
      </c>
      <c r="AC61" s="83">
        <v>1.0006999999999999</v>
      </c>
      <c r="AD61" s="87" t="str">
        <f t="shared" si="0"/>
        <v/>
      </c>
    </row>
    <row r="62" spans="1:30" s="90" customFormat="1" ht="15.6" customHeight="1" x14ac:dyDescent="0.25">
      <c r="A62" s="249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1"/>
      <c r="R62" s="252"/>
      <c r="S62" s="253"/>
      <c r="T62" s="254"/>
      <c r="U62" s="93"/>
      <c r="V62" s="92"/>
      <c r="W62" s="92"/>
      <c r="X62" s="92"/>
      <c r="Y62" s="92"/>
      <c r="Z62" s="91"/>
      <c r="AB62" s="88">
        <v>23</v>
      </c>
      <c r="AC62" s="83">
        <v>1.0004999999999999</v>
      </c>
      <c r="AD62" s="87" t="str">
        <f t="shared" si="0"/>
        <v/>
      </c>
    </row>
    <row r="63" spans="1:30" ht="12.75" customHeight="1" x14ac:dyDescent="0.25">
      <c r="AB63" s="88">
        <v>24</v>
      </c>
      <c r="AC63" s="83">
        <v>1.0003</v>
      </c>
      <c r="AD63" s="87" t="str">
        <f t="shared" si="0"/>
        <v/>
      </c>
    </row>
    <row r="64" spans="1:30" ht="12.75" customHeight="1" x14ac:dyDescent="0.25">
      <c r="AB64" s="88">
        <v>25</v>
      </c>
      <c r="AC64" s="89">
        <v>1</v>
      </c>
      <c r="AD64" s="87" t="str">
        <f t="shared" si="0"/>
        <v/>
      </c>
    </row>
    <row r="65" spans="28:30" ht="12.75" customHeight="1" x14ac:dyDescent="0.25">
      <c r="AB65" s="88">
        <v>26</v>
      </c>
      <c r="AC65" s="83">
        <v>0.99970000000000003</v>
      </c>
      <c r="AD65" s="87" t="str">
        <f t="shared" si="0"/>
        <v/>
      </c>
    </row>
    <row r="66" spans="28:30" ht="12.75" customHeight="1" x14ac:dyDescent="0.25">
      <c r="AB66" s="88">
        <v>27</v>
      </c>
      <c r="AC66" s="83">
        <v>0.99950000000000006</v>
      </c>
      <c r="AD66" s="87" t="str">
        <f t="shared" si="0"/>
        <v/>
      </c>
    </row>
    <row r="67" spans="28:30" ht="12.75" customHeight="1" x14ac:dyDescent="0.25">
      <c r="AB67" s="88">
        <v>28</v>
      </c>
      <c r="AC67" s="83">
        <v>0.99919999999999998</v>
      </c>
      <c r="AD67" s="87" t="str">
        <f t="shared" si="0"/>
        <v/>
      </c>
    </row>
    <row r="68" spans="28:30" ht="12.75" customHeight="1" x14ac:dyDescent="0.25">
      <c r="AB68" s="88">
        <v>29</v>
      </c>
      <c r="AC68" s="83">
        <v>0.99890000000000001</v>
      </c>
      <c r="AD68" s="87">
        <f t="shared" si="0"/>
        <v>0.99890000000000001</v>
      </c>
    </row>
    <row r="69" spans="28:30" ht="12.75" customHeight="1" x14ac:dyDescent="0.25">
      <c r="AB69" s="86">
        <v>30</v>
      </c>
      <c r="AC69" s="85">
        <v>0.99860000000000004</v>
      </c>
      <c r="AD69" s="84" t="str">
        <f t="shared" si="0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90">
    <mergeCell ref="Q49:S49"/>
    <mergeCell ref="T49:V49"/>
    <mergeCell ref="W49:Y49"/>
    <mergeCell ref="B49:D49"/>
    <mergeCell ref="E49:G49"/>
    <mergeCell ref="H49:J49"/>
    <mergeCell ref="K49:M49"/>
    <mergeCell ref="N49:P49"/>
    <mergeCell ref="W48:Y48"/>
    <mergeCell ref="B47:D47"/>
    <mergeCell ref="E47:G47"/>
    <mergeCell ref="H47:J47"/>
    <mergeCell ref="K47:M47"/>
    <mergeCell ref="N47:P47"/>
    <mergeCell ref="Q47:S47"/>
    <mergeCell ref="T47:V47"/>
    <mergeCell ref="W47:Y47"/>
    <mergeCell ref="B48:D48"/>
    <mergeCell ref="E48:G48"/>
    <mergeCell ref="H48:J48"/>
    <mergeCell ref="K48:M48"/>
    <mergeCell ref="N48:P48"/>
    <mergeCell ref="Q48:S48"/>
    <mergeCell ref="T48:V48"/>
    <mergeCell ref="Q44:S44"/>
    <mergeCell ref="T44:V44"/>
    <mergeCell ref="W44:Y44"/>
    <mergeCell ref="B44:D44"/>
    <mergeCell ref="E44:G44"/>
    <mergeCell ref="H44:J44"/>
    <mergeCell ref="K44:M44"/>
    <mergeCell ref="N44:P44"/>
    <mergeCell ref="W46:Y46"/>
    <mergeCell ref="B45:D45"/>
    <mergeCell ref="E45:G45"/>
    <mergeCell ref="H45:J45"/>
    <mergeCell ref="K45:M45"/>
    <mergeCell ref="N45:P45"/>
    <mergeCell ref="Q45:S45"/>
    <mergeCell ref="T45:V45"/>
    <mergeCell ref="W45:Y45"/>
    <mergeCell ref="B46:D46"/>
    <mergeCell ref="E46:G46"/>
    <mergeCell ref="H46:J46"/>
    <mergeCell ref="K46:M46"/>
    <mergeCell ref="N46:P46"/>
    <mergeCell ref="Q46:S46"/>
    <mergeCell ref="T46:V46"/>
    <mergeCell ref="W43:Y43"/>
    <mergeCell ref="B42:D42"/>
    <mergeCell ref="E42:G42"/>
    <mergeCell ref="H42:J42"/>
    <mergeCell ref="K42:M42"/>
    <mergeCell ref="N42:P42"/>
    <mergeCell ref="Q42:S42"/>
    <mergeCell ref="T42:V42"/>
    <mergeCell ref="W42:Y42"/>
    <mergeCell ref="B43:D43"/>
    <mergeCell ref="E43:G43"/>
    <mergeCell ref="H43:J43"/>
    <mergeCell ref="K43:M43"/>
    <mergeCell ref="N43:P43"/>
    <mergeCell ref="Q43:S43"/>
    <mergeCell ref="T43:V43"/>
    <mergeCell ref="W41:Y41"/>
    <mergeCell ref="B40:D40"/>
    <mergeCell ref="E40:G40"/>
    <mergeCell ref="H40:J40"/>
    <mergeCell ref="K40:M40"/>
    <mergeCell ref="N40:P40"/>
    <mergeCell ref="Q40:S40"/>
    <mergeCell ref="T40:V40"/>
    <mergeCell ref="W40:Y40"/>
    <mergeCell ref="B41:D41"/>
    <mergeCell ref="E41:G41"/>
    <mergeCell ref="H41:J41"/>
    <mergeCell ref="K41:M41"/>
    <mergeCell ref="N41:P41"/>
    <mergeCell ref="Q41:S41"/>
    <mergeCell ref="T41:V41"/>
    <mergeCell ref="K38:M38"/>
    <mergeCell ref="N38:P38"/>
    <mergeCell ref="Q38:S38"/>
    <mergeCell ref="T38:V38"/>
    <mergeCell ref="W38:Y38"/>
    <mergeCell ref="B39:D39"/>
    <mergeCell ref="E39:G39"/>
    <mergeCell ref="H39:J39"/>
    <mergeCell ref="K39:M39"/>
    <mergeCell ref="N39:P39"/>
    <mergeCell ref="Q39:S39"/>
    <mergeCell ref="T39:V39"/>
    <mergeCell ref="A59:Q62"/>
    <mergeCell ref="R56:T58"/>
    <mergeCell ref="R59:T62"/>
    <mergeCell ref="H35:J35"/>
    <mergeCell ref="K35:M35"/>
    <mergeCell ref="AD32:AD34"/>
    <mergeCell ref="E32:G34"/>
    <mergeCell ref="H32:J34"/>
    <mergeCell ref="K32:M34"/>
    <mergeCell ref="N32:P34"/>
    <mergeCell ref="V60:Y61"/>
    <mergeCell ref="AB32:AB34"/>
    <mergeCell ref="AC32:AC34"/>
    <mergeCell ref="U56:Z58"/>
    <mergeCell ref="T35:V35"/>
    <mergeCell ref="W35:Y35"/>
    <mergeCell ref="T50:V50"/>
    <mergeCell ref="W50:Y50"/>
    <mergeCell ref="E36:G36"/>
    <mergeCell ref="H36:J36"/>
    <mergeCell ref="K36:M36"/>
    <mergeCell ref="N36:P36"/>
    <mergeCell ref="A56:Q57"/>
    <mergeCell ref="A55:Q55"/>
    <mergeCell ref="R55:T55"/>
    <mergeCell ref="U54:Z54"/>
    <mergeCell ref="U55:Z55"/>
    <mergeCell ref="S12:Y12"/>
    <mergeCell ref="T32:V34"/>
    <mergeCell ref="W32:Y34"/>
    <mergeCell ref="Q35:S35"/>
    <mergeCell ref="I17:Y17"/>
    <mergeCell ref="I18:Y18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E50:G50"/>
    <mergeCell ref="Q50:S50"/>
    <mergeCell ref="H50:J50"/>
    <mergeCell ref="W36:Y36"/>
    <mergeCell ref="E37:G37"/>
    <mergeCell ref="K50:M50"/>
    <mergeCell ref="N50:P50"/>
    <mergeCell ref="Q36:S36"/>
    <mergeCell ref="T36:V36"/>
    <mergeCell ref="A7:F7"/>
    <mergeCell ref="G7:Z7"/>
    <mergeCell ref="B10:G10"/>
    <mergeCell ref="H12:M12"/>
    <mergeCell ref="S11:Y11"/>
    <mergeCell ref="B12:G12"/>
    <mergeCell ref="Q32:S34"/>
    <mergeCell ref="B50:D50"/>
    <mergeCell ref="B37:D37"/>
    <mergeCell ref="H37:J37"/>
    <mergeCell ref="K37:M37"/>
    <mergeCell ref="N37:P37"/>
    <mergeCell ref="Q37:S37"/>
    <mergeCell ref="T37:V37"/>
    <mergeCell ref="W37:Y37"/>
    <mergeCell ref="B36:D36"/>
    <mergeCell ref="W39:Y39"/>
    <mergeCell ref="B38:D38"/>
    <mergeCell ref="E38:G38"/>
    <mergeCell ref="H38:J38"/>
    <mergeCell ref="B27:E29"/>
    <mergeCell ref="B18:H18"/>
    <mergeCell ref="B17:H17"/>
    <mergeCell ref="E35:G35"/>
    <mergeCell ref="N35:P35"/>
    <mergeCell ref="A1:F6"/>
    <mergeCell ref="G1:T1"/>
    <mergeCell ref="B11:G11"/>
    <mergeCell ref="S10:Y10"/>
    <mergeCell ref="B35:D35"/>
    <mergeCell ref="N10:R10"/>
    <mergeCell ref="N11:R11"/>
    <mergeCell ref="N12:R12"/>
    <mergeCell ref="H10:M10"/>
    <mergeCell ref="H11:M11"/>
    <mergeCell ref="B32:D34"/>
    <mergeCell ref="B24:E26"/>
    <mergeCell ref="U1:Z6"/>
    <mergeCell ref="G2:T4"/>
    <mergeCell ref="G5:H5"/>
    <mergeCell ref="J5:K5"/>
    <mergeCell ref="L5:O5"/>
    <mergeCell ref="P5:T5"/>
    <mergeCell ref="J6:K6"/>
    <mergeCell ref="L6:O6"/>
    <mergeCell ref="P6:T6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BCA8-1D74-426A-819A-589B2DCC9655}">
  <sheetPr>
    <pageSetUpPr fitToPage="1"/>
  </sheetPr>
  <dimension ref="A1:AF70"/>
  <sheetViews>
    <sheetView topLeftCell="A14" workbookViewId="0">
      <selection activeCell="N35" sqref="N35:P37"/>
    </sheetView>
  </sheetViews>
  <sheetFormatPr baseColWidth="10" defaultColWidth="11.44140625" defaultRowHeight="12.75" customHeight="1" x14ac:dyDescent="0.25"/>
  <cols>
    <col min="1" max="1" width="5.109375" style="83" customWidth="1"/>
    <col min="2" max="26" width="5.109375" style="82" customWidth="1"/>
    <col min="27" max="27" width="20" style="82" customWidth="1"/>
    <col min="28" max="28" width="28.109375" style="82" customWidth="1"/>
    <col min="29" max="29" width="22.88671875" style="82" customWidth="1"/>
    <col min="30" max="30" width="29.33203125" style="82" customWidth="1"/>
    <col min="31" max="31" width="11.44140625" style="82"/>
    <col min="32" max="16384" width="11.44140625" style="81"/>
  </cols>
  <sheetData>
    <row r="1" spans="1:32" ht="12.75" customHeight="1" x14ac:dyDescent="0.25">
      <c r="A1" s="192"/>
      <c r="B1" s="193"/>
      <c r="C1" s="193"/>
      <c r="D1" s="193"/>
      <c r="E1" s="193"/>
      <c r="F1" s="194"/>
      <c r="G1" s="201" t="s">
        <v>0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3"/>
      <c r="U1" s="282" t="s">
        <v>85</v>
      </c>
      <c r="V1" s="283"/>
      <c r="W1" s="283"/>
      <c r="X1" s="283"/>
      <c r="Y1" s="283"/>
      <c r="Z1" s="284"/>
    </row>
    <row r="2" spans="1:32" ht="12.75" customHeight="1" x14ac:dyDescent="0.3">
      <c r="A2" s="195"/>
      <c r="B2" s="196"/>
      <c r="C2" s="196"/>
      <c r="D2" s="196"/>
      <c r="E2" s="196"/>
      <c r="F2" s="197"/>
      <c r="G2" s="168" t="s">
        <v>2</v>
      </c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70"/>
      <c r="U2" s="285"/>
      <c r="V2" s="286"/>
      <c r="W2" s="286"/>
      <c r="X2" s="286"/>
      <c r="Y2" s="286"/>
      <c r="Z2" s="287"/>
      <c r="AA2" s="103"/>
      <c r="AB2" s="103"/>
    </row>
    <row r="3" spans="1:32" ht="12.75" customHeight="1" x14ac:dyDescent="0.3">
      <c r="A3" s="195"/>
      <c r="B3" s="196"/>
      <c r="C3" s="196"/>
      <c r="D3" s="196"/>
      <c r="E3" s="196"/>
      <c r="F3" s="197"/>
      <c r="G3" s="168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70"/>
      <c r="U3" s="285"/>
      <c r="V3" s="286"/>
      <c r="W3" s="286"/>
      <c r="X3" s="286"/>
      <c r="Y3" s="286"/>
      <c r="Z3" s="287"/>
      <c r="AA3" s="103"/>
      <c r="AB3" s="103"/>
    </row>
    <row r="4" spans="1:32" ht="12.75" customHeight="1" x14ac:dyDescent="0.3">
      <c r="A4" s="195"/>
      <c r="B4" s="196"/>
      <c r="C4" s="196"/>
      <c r="D4" s="196"/>
      <c r="E4" s="196"/>
      <c r="F4" s="197"/>
      <c r="G4" s="168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70"/>
      <c r="U4" s="285"/>
      <c r="V4" s="286"/>
      <c r="W4" s="286"/>
      <c r="X4" s="286"/>
      <c r="Y4" s="286"/>
      <c r="Z4" s="287"/>
      <c r="AA4" s="103"/>
      <c r="AB4" s="103"/>
    </row>
    <row r="5" spans="1:32" ht="12.75" customHeight="1" x14ac:dyDescent="0.3">
      <c r="A5" s="195"/>
      <c r="B5" s="196"/>
      <c r="C5" s="196"/>
      <c r="D5" s="196"/>
      <c r="E5" s="196"/>
      <c r="F5" s="197"/>
      <c r="G5" s="171"/>
      <c r="H5" s="172"/>
      <c r="I5" s="153" t="s">
        <v>3</v>
      </c>
      <c r="J5" s="173">
        <v>7</v>
      </c>
      <c r="K5" s="174"/>
      <c r="L5" s="175" t="s">
        <v>4</v>
      </c>
      <c r="M5" s="176"/>
      <c r="N5" s="176"/>
      <c r="O5" s="177"/>
      <c r="P5" s="178" t="s">
        <v>104</v>
      </c>
      <c r="Q5" s="179"/>
      <c r="R5" s="179"/>
      <c r="S5" s="179"/>
      <c r="T5" s="180"/>
      <c r="U5" s="285"/>
      <c r="V5" s="286"/>
      <c r="W5" s="286"/>
      <c r="X5" s="286"/>
      <c r="Y5" s="286"/>
      <c r="Z5" s="287"/>
      <c r="AA5" s="103"/>
      <c r="AB5" s="103"/>
    </row>
    <row r="6" spans="1:32" ht="12.75" customHeight="1" x14ac:dyDescent="0.25">
      <c r="A6" s="198"/>
      <c r="B6" s="199"/>
      <c r="C6" s="199"/>
      <c r="D6" s="199"/>
      <c r="E6" s="199"/>
      <c r="F6" s="200"/>
      <c r="G6" s="152"/>
      <c r="H6" s="112"/>
      <c r="I6" s="112"/>
      <c r="J6" s="181" t="s">
        <v>6</v>
      </c>
      <c r="K6" s="181"/>
      <c r="L6" s="181" t="s">
        <v>7</v>
      </c>
      <c r="M6" s="181"/>
      <c r="N6" s="181"/>
      <c r="O6" s="181"/>
      <c r="P6" s="181" t="s">
        <v>8</v>
      </c>
      <c r="Q6" s="181"/>
      <c r="R6" s="181"/>
      <c r="S6" s="181"/>
      <c r="T6" s="182"/>
      <c r="U6" s="288"/>
      <c r="V6" s="289"/>
      <c r="W6" s="289"/>
      <c r="X6" s="289"/>
      <c r="Y6" s="289"/>
      <c r="Z6" s="290"/>
    </row>
    <row r="7" spans="1:32" ht="36.6" customHeight="1" x14ac:dyDescent="0.25">
      <c r="A7" s="219" t="s">
        <v>9</v>
      </c>
      <c r="B7" s="219"/>
      <c r="C7" s="219"/>
      <c r="D7" s="219"/>
      <c r="E7" s="219"/>
      <c r="F7" s="219"/>
      <c r="G7" s="220" t="s">
        <v>10</v>
      </c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</row>
    <row r="8" spans="1:32" ht="15.9" customHeight="1" x14ac:dyDescent="0.3">
      <c r="A8" s="142" t="s">
        <v>11</v>
      </c>
      <c r="B8" s="141" t="s">
        <v>12</v>
      </c>
      <c r="C8" s="151"/>
      <c r="D8" s="150"/>
      <c r="E8" s="150"/>
      <c r="F8" s="150"/>
      <c r="G8" s="150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24"/>
      <c r="AB8" s="103"/>
      <c r="AF8" s="103" t="s">
        <v>83</v>
      </c>
    </row>
    <row r="9" spans="1:32" ht="8.25" customHeight="1" x14ac:dyDescent="0.3">
      <c r="A9" s="88"/>
      <c r="D9" s="83"/>
      <c r="E9" s="83"/>
      <c r="F9" s="83"/>
      <c r="G9" s="83"/>
      <c r="Z9" s="115"/>
      <c r="AB9" s="103"/>
      <c r="AF9" s="103" t="s">
        <v>105</v>
      </c>
    </row>
    <row r="10" spans="1:32" ht="15.9" customHeight="1" x14ac:dyDescent="0.3">
      <c r="A10" s="88"/>
      <c r="B10" s="204" t="s">
        <v>15</v>
      </c>
      <c r="C10" s="204"/>
      <c r="D10" s="204"/>
      <c r="E10" s="204"/>
      <c r="F10" s="204"/>
      <c r="G10" s="204"/>
      <c r="H10" s="207" t="s">
        <v>83</v>
      </c>
      <c r="I10" s="207"/>
      <c r="J10" s="207"/>
      <c r="K10" s="207"/>
      <c r="L10" s="207"/>
      <c r="M10" s="207"/>
      <c r="N10" s="204" t="s">
        <v>16</v>
      </c>
      <c r="O10" s="204"/>
      <c r="P10" s="204"/>
      <c r="Q10" s="204"/>
      <c r="R10" s="204"/>
      <c r="S10" s="205" t="s">
        <v>17</v>
      </c>
      <c r="T10" s="205"/>
      <c r="U10" s="205"/>
      <c r="V10" s="205"/>
      <c r="W10" s="205"/>
      <c r="X10" s="205"/>
      <c r="Y10" s="205"/>
      <c r="Z10" s="149"/>
      <c r="AB10" s="103"/>
      <c r="AF10" s="103" t="s">
        <v>104</v>
      </c>
    </row>
    <row r="11" spans="1:32" ht="15.9" customHeight="1" x14ac:dyDescent="0.3">
      <c r="A11" s="88"/>
      <c r="B11" s="204" t="s">
        <v>18</v>
      </c>
      <c r="C11" s="204"/>
      <c r="D11" s="204"/>
      <c r="E11" s="204"/>
      <c r="F11" s="204"/>
      <c r="G11" s="204"/>
      <c r="H11" s="207" t="s">
        <v>105</v>
      </c>
      <c r="I11" s="207"/>
      <c r="J11" s="207"/>
      <c r="K11" s="207"/>
      <c r="L11" s="207"/>
      <c r="M11" s="207"/>
      <c r="N11" s="204" t="s">
        <v>19</v>
      </c>
      <c r="O11" s="204"/>
      <c r="P11" s="204"/>
      <c r="Q11" s="204"/>
      <c r="R11" s="204"/>
      <c r="S11" s="205" t="s">
        <v>103</v>
      </c>
      <c r="T11" s="205"/>
      <c r="U11" s="205"/>
      <c r="V11" s="205"/>
      <c r="W11" s="205"/>
      <c r="X11" s="205"/>
      <c r="Y11" s="205"/>
      <c r="Z11" s="149"/>
      <c r="AB11" s="103"/>
      <c r="AF11" s="103" t="s">
        <v>17</v>
      </c>
    </row>
    <row r="12" spans="1:32" ht="15.9" customHeight="1" x14ac:dyDescent="0.3">
      <c r="A12" s="88"/>
      <c r="B12" s="204" t="s">
        <v>21</v>
      </c>
      <c r="C12" s="204"/>
      <c r="D12" s="204"/>
      <c r="E12" s="204"/>
      <c r="F12" s="204"/>
      <c r="G12" s="204"/>
      <c r="H12" s="207" t="s">
        <v>104</v>
      </c>
      <c r="I12" s="207"/>
      <c r="J12" s="207"/>
      <c r="K12" s="207"/>
      <c r="L12" s="207"/>
      <c r="M12" s="207"/>
      <c r="N12" s="204" t="s">
        <v>22</v>
      </c>
      <c r="O12" s="204"/>
      <c r="P12" s="204"/>
      <c r="Q12" s="204"/>
      <c r="R12" s="204"/>
      <c r="S12" s="205" t="s">
        <v>80</v>
      </c>
      <c r="T12" s="205"/>
      <c r="U12" s="205"/>
      <c r="V12" s="205"/>
      <c r="W12" s="205"/>
      <c r="X12" s="205"/>
      <c r="Y12" s="205"/>
      <c r="Z12" s="149"/>
      <c r="AB12" s="103"/>
      <c r="AF12" s="103" t="s">
        <v>103</v>
      </c>
    </row>
    <row r="13" spans="1:32" ht="8.25" customHeight="1" x14ac:dyDescent="0.3">
      <c r="A13" s="86"/>
      <c r="B13" s="146"/>
      <c r="C13" s="146"/>
      <c r="D13" s="148"/>
      <c r="E13" s="148"/>
      <c r="F13" s="148"/>
      <c r="G13" s="148"/>
      <c r="H13" s="146"/>
      <c r="I13" s="146"/>
      <c r="J13" s="146"/>
      <c r="K13" s="146"/>
      <c r="L13" s="146"/>
      <c r="M13" s="146"/>
      <c r="N13" s="147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11"/>
      <c r="AB13" s="103"/>
      <c r="AF13" s="103" t="s">
        <v>80</v>
      </c>
    </row>
    <row r="14" spans="1:32" s="90" customFormat="1" ht="15" customHeight="1" x14ac:dyDescent="0.25">
      <c r="B14" s="144"/>
      <c r="C14" s="144"/>
      <c r="K14" s="145"/>
      <c r="L14" s="144"/>
      <c r="M14" s="143"/>
    </row>
    <row r="15" spans="1:32" s="90" customFormat="1" ht="16.2" customHeight="1" x14ac:dyDescent="0.25">
      <c r="A15" s="142" t="s">
        <v>24</v>
      </c>
      <c r="B15" s="141" t="s">
        <v>25</v>
      </c>
      <c r="C15" s="140"/>
      <c r="D15" s="140"/>
      <c r="E15" s="140"/>
      <c r="F15" s="140"/>
      <c r="G15" s="140"/>
      <c r="H15" s="140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8"/>
    </row>
    <row r="16" spans="1:32" s="90" customFormat="1" ht="13.8" customHeight="1" x14ac:dyDescent="0.25">
      <c r="A16" s="134"/>
      <c r="B16" s="137"/>
      <c r="C16" s="136"/>
      <c r="D16" s="136"/>
      <c r="E16" s="136"/>
      <c r="F16" s="136"/>
      <c r="G16" s="136"/>
      <c r="H16" s="136"/>
      <c r="Z16" s="135"/>
    </row>
    <row r="17" spans="1:32" s="90" customFormat="1" ht="15" customHeight="1" x14ac:dyDescent="0.25">
      <c r="A17" s="134"/>
      <c r="B17" s="189" t="s">
        <v>26</v>
      </c>
      <c r="C17" s="189"/>
      <c r="D17" s="189"/>
      <c r="E17" s="189"/>
      <c r="F17" s="189"/>
      <c r="G17" s="189"/>
      <c r="H17" s="189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133"/>
    </row>
    <row r="18" spans="1:32" s="90" customFormat="1" ht="15" customHeight="1" x14ac:dyDescent="0.25">
      <c r="A18" s="134"/>
      <c r="B18" s="189" t="s">
        <v>27</v>
      </c>
      <c r="C18" s="189"/>
      <c r="D18" s="189"/>
      <c r="E18" s="189"/>
      <c r="F18" s="189"/>
      <c r="G18" s="189"/>
      <c r="H18" s="189"/>
      <c r="I18" s="235" t="s">
        <v>98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133"/>
    </row>
    <row r="19" spans="1:32" s="90" customFormat="1" ht="13.2" customHeight="1" x14ac:dyDescent="0.25">
      <c r="A19" s="132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0"/>
    </row>
    <row r="20" spans="1:32" ht="12.75" customHeight="1" x14ac:dyDescent="0.25">
      <c r="D20" s="83"/>
      <c r="E20" s="83"/>
      <c r="F20" s="83"/>
      <c r="G20" s="83"/>
      <c r="N20" s="129"/>
    </row>
    <row r="21" spans="1:32" ht="15.9" customHeight="1" x14ac:dyDescent="0.25">
      <c r="A21" s="128" t="s">
        <v>28</v>
      </c>
      <c r="B21" s="127" t="s">
        <v>29</v>
      </c>
      <c r="C21" s="125"/>
      <c r="D21" s="126"/>
      <c r="E21" s="126"/>
      <c r="F21" s="126"/>
      <c r="G21" s="126"/>
      <c r="H21" s="125"/>
      <c r="I21" s="125"/>
      <c r="J21" s="125"/>
      <c r="K21" s="125"/>
      <c r="L21" s="125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24"/>
    </row>
    <row r="22" spans="1:32" ht="12.75" customHeight="1" x14ac:dyDescent="0.25">
      <c r="A22" s="88"/>
      <c r="Z22" s="115"/>
    </row>
    <row r="23" spans="1:32" ht="12.75" customHeight="1" x14ac:dyDescent="0.25">
      <c r="A23" s="88"/>
      <c r="Z23" s="115"/>
    </row>
    <row r="24" spans="1:32" ht="12.75" customHeight="1" x14ac:dyDescent="0.25">
      <c r="A24" s="88"/>
      <c r="B24" s="183" t="s">
        <v>30</v>
      </c>
      <c r="C24" s="212"/>
      <c r="D24" s="212"/>
      <c r="E24" s="212"/>
      <c r="F24" s="212">
        <v>29</v>
      </c>
      <c r="G24" s="212"/>
      <c r="H24" s="212"/>
      <c r="I24" s="212"/>
      <c r="J24" s="236" t="s">
        <v>31</v>
      </c>
      <c r="K24" s="236"/>
      <c r="L24" s="237"/>
      <c r="O24" s="183" t="s">
        <v>32</v>
      </c>
      <c r="P24" s="184"/>
      <c r="Q24" s="184"/>
      <c r="R24" s="184"/>
      <c r="S24" s="212">
        <v>890</v>
      </c>
      <c r="T24" s="212"/>
      <c r="U24" s="212"/>
      <c r="V24" s="212"/>
      <c r="W24" s="236" t="s">
        <v>97</v>
      </c>
      <c r="X24" s="236"/>
      <c r="Y24" s="237"/>
      <c r="Z24" s="115"/>
      <c r="AA24" s="81"/>
    </row>
    <row r="25" spans="1:32" ht="12.75" customHeight="1" x14ac:dyDescent="0.25">
      <c r="A25" s="88"/>
      <c r="B25" s="213"/>
      <c r="C25" s="214"/>
      <c r="D25" s="214"/>
      <c r="E25" s="214"/>
      <c r="F25" s="214"/>
      <c r="G25" s="214"/>
      <c r="H25" s="214"/>
      <c r="I25" s="214"/>
      <c r="J25" s="238"/>
      <c r="K25" s="238"/>
      <c r="L25" s="239"/>
      <c r="O25" s="185"/>
      <c r="P25" s="186"/>
      <c r="Q25" s="186"/>
      <c r="R25" s="186"/>
      <c r="S25" s="214"/>
      <c r="T25" s="214"/>
      <c r="U25" s="214"/>
      <c r="V25" s="214"/>
      <c r="W25" s="238"/>
      <c r="X25" s="238"/>
      <c r="Y25" s="239"/>
      <c r="Z25" s="115"/>
      <c r="AA25" s="81"/>
    </row>
    <row r="26" spans="1:32" ht="12.75" customHeight="1" x14ac:dyDescent="0.25">
      <c r="A26" s="88"/>
      <c r="B26" s="215"/>
      <c r="C26" s="216"/>
      <c r="D26" s="216"/>
      <c r="E26" s="216"/>
      <c r="F26" s="216"/>
      <c r="G26" s="216"/>
      <c r="H26" s="216"/>
      <c r="I26" s="216"/>
      <c r="J26" s="240"/>
      <c r="K26" s="240"/>
      <c r="L26" s="241"/>
      <c r="O26" s="187"/>
      <c r="P26" s="188"/>
      <c r="Q26" s="188"/>
      <c r="R26" s="188"/>
      <c r="S26" s="216"/>
      <c r="T26" s="216"/>
      <c r="U26" s="216"/>
      <c r="V26" s="216"/>
      <c r="W26" s="240"/>
      <c r="X26" s="240"/>
      <c r="Y26" s="241"/>
      <c r="Z26" s="115"/>
      <c r="AA26" s="81"/>
    </row>
    <row r="27" spans="1:32" ht="12.75" customHeight="1" x14ac:dyDescent="0.25">
      <c r="A27" s="88"/>
      <c r="B27" s="183" t="s">
        <v>34</v>
      </c>
      <c r="C27" s="184"/>
      <c r="D27" s="184"/>
      <c r="E27" s="184"/>
      <c r="F27" s="242">
        <f>IF(F24&lt;&gt;"",(997.1*(SUM(AD35:AD70))),"")</f>
        <v>996.00319000000002</v>
      </c>
      <c r="G27" s="242"/>
      <c r="H27" s="242"/>
      <c r="I27" s="242"/>
      <c r="J27" s="236" t="s">
        <v>35</v>
      </c>
      <c r="K27" s="236"/>
      <c r="L27" s="237"/>
      <c r="O27" s="245" t="s">
        <v>36</v>
      </c>
      <c r="P27" s="212"/>
      <c r="Q27" s="212"/>
      <c r="R27" s="212"/>
      <c r="S27" s="212">
        <v>2480</v>
      </c>
      <c r="T27" s="212"/>
      <c r="U27" s="212"/>
      <c r="V27" s="212"/>
      <c r="W27" s="236" t="s">
        <v>35</v>
      </c>
      <c r="X27" s="236"/>
      <c r="Y27" s="237"/>
      <c r="Z27" s="115"/>
      <c r="AA27" s="81"/>
    </row>
    <row r="28" spans="1:32" ht="12.75" customHeight="1" x14ac:dyDescent="0.25">
      <c r="A28" s="88"/>
      <c r="B28" s="185"/>
      <c r="C28" s="186"/>
      <c r="D28" s="186"/>
      <c r="E28" s="186"/>
      <c r="F28" s="243"/>
      <c r="G28" s="243"/>
      <c r="H28" s="243"/>
      <c r="I28" s="243"/>
      <c r="J28" s="238"/>
      <c r="K28" s="238"/>
      <c r="L28" s="239"/>
      <c r="O28" s="213"/>
      <c r="P28" s="214"/>
      <c r="Q28" s="214"/>
      <c r="R28" s="214"/>
      <c r="S28" s="214"/>
      <c r="T28" s="214"/>
      <c r="U28" s="214"/>
      <c r="V28" s="214"/>
      <c r="W28" s="238"/>
      <c r="X28" s="238"/>
      <c r="Y28" s="239"/>
      <c r="Z28" s="115"/>
      <c r="AA28" s="81"/>
    </row>
    <row r="29" spans="1:32" ht="12.75" customHeight="1" x14ac:dyDescent="0.25">
      <c r="A29" s="88"/>
      <c r="B29" s="187"/>
      <c r="C29" s="188"/>
      <c r="D29" s="188"/>
      <c r="E29" s="188"/>
      <c r="F29" s="244"/>
      <c r="G29" s="244"/>
      <c r="H29" s="244"/>
      <c r="I29" s="244"/>
      <c r="J29" s="240"/>
      <c r="K29" s="240"/>
      <c r="L29" s="241"/>
      <c r="O29" s="215"/>
      <c r="P29" s="216"/>
      <c r="Q29" s="216"/>
      <c r="R29" s="216"/>
      <c r="S29" s="216"/>
      <c r="T29" s="216"/>
      <c r="U29" s="216"/>
      <c r="V29" s="216"/>
      <c r="W29" s="240"/>
      <c r="X29" s="240"/>
      <c r="Y29" s="241"/>
      <c r="Z29" s="115"/>
    </row>
    <row r="30" spans="1:32" ht="12.75" customHeight="1" x14ac:dyDescent="0.3">
      <c r="A30" s="88"/>
      <c r="B30" s="123"/>
      <c r="C30" s="121"/>
      <c r="D30" s="120"/>
      <c r="I30" s="119"/>
      <c r="J30" s="119"/>
      <c r="P30" s="121"/>
      <c r="Q30" s="121"/>
      <c r="R30" s="121"/>
      <c r="S30" s="121"/>
      <c r="T30" s="121"/>
      <c r="U30" s="121"/>
      <c r="V30" s="121"/>
      <c r="W30" s="120"/>
      <c r="Z30" s="115"/>
      <c r="AA30" s="103"/>
      <c r="AB30" s="103"/>
      <c r="AC30" s="103"/>
      <c r="AD30" s="103"/>
      <c r="AE30" s="103"/>
      <c r="AF30" s="103"/>
    </row>
    <row r="31" spans="1:32" ht="12.75" customHeight="1" thickBot="1" x14ac:dyDescent="0.3">
      <c r="A31" s="88"/>
      <c r="B31" s="123"/>
      <c r="C31" s="121"/>
      <c r="D31" s="120"/>
      <c r="E31" s="119"/>
      <c r="F31" s="122"/>
      <c r="G31" s="121"/>
      <c r="H31" s="120"/>
      <c r="I31" s="119"/>
      <c r="J31" s="119"/>
      <c r="Z31" s="115"/>
    </row>
    <row r="32" spans="1:32" ht="19.5" customHeight="1" x14ac:dyDescent="0.25">
      <c r="A32" s="88"/>
      <c r="B32" s="208" t="s">
        <v>37</v>
      </c>
      <c r="C32" s="209"/>
      <c r="D32" s="209"/>
      <c r="E32" s="209" t="s">
        <v>38</v>
      </c>
      <c r="F32" s="209"/>
      <c r="G32" s="209"/>
      <c r="H32" s="209" t="s">
        <v>39</v>
      </c>
      <c r="I32" s="209"/>
      <c r="J32" s="209"/>
      <c r="K32" s="209" t="s">
        <v>40</v>
      </c>
      <c r="L32" s="209"/>
      <c r="M32" s="209"/>
      <c r="N32" s="209" t="s">
        <v>96</v>
      </c>
      <c r="O32" s="209"/>
      <c r="P32" s="209"/>
      <c r="Q32" s="209" t="s">
        <v>42</v>
      </c>
      <c r="R32" s="209"/>
      <c r="S32" s="209"/>
      <c r="T32" s="231" t="s">
        <v>43</v>
      </c>
      <c r="U32" s="231"/>
      <c r="V32" s="231"/>
      <c r="W32" s="209" t="s">
        <v>44</v>
      </c>
      <c r="X32" s="209"/>
      <c r="Y32" s="232"/>
      <c r="Z32" s="115"/>
      <c r="AB32" s="192" t="s">
        <v>45</v>
      </c>
      <c r="AC32" s="193" t="s">
        <v>46</v>
      </c>
      <c r="AD32" s="194" t="s">
        <v>47</v>
      </c>
    </row>
    <row r="33" spans="1:30" ht="19.5" customHeight="1" x14ac:dyDescent="0.25">
      <c r="A33" s="88"/>
      <c r="B33" s="210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214"/>
      <c r="U33" s="214"/>
      <c r="V33" s="214"/>
      <c r="W33" s="186"/>
      <c r="X33" s="186"/>
      <c r="Y33" s="233"/>
      <c r="Z33" s="115"/>
      <c r="AB33" s="195"/>
      <c r="AC33" s="196"/>
      <c r="AD33" s="197"/>
    </row>
    <row r="34" spans="1:30" ht="19.5" customHeight="1" x14ac:dyDescent="0.25">
      <c r="A34" s="88"/>
      <c r="B34" s="211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216"/>
      <c r="U34" s="216"/>
      <c r="V34" s="216"/>
      <c r="W34" s="188"/>
      <c r="X34" s="188"/>
      <c r="Y34" s="234"/>
      <c r="Z34" s="115"/>
      <c r="AB34" s="198"/>
      <c r="AC34" s="199"/>
      <c r="AD34" s="200"/>
    </row>
    <row r="35" spans="1:30" ht="25.5" customHeight="1" x14ac:dyDescent="0.25">
      <c r="A35" s="88"/>
      <c r="B35" s="206" t="s">
        <v>95</v>
      </c>
      <c r="C35" s="190"/>
      <c r="D35" s="190"/>
      <c r="E35" s="190">
        <v>5803.5</v>
      </c>
      <c r="F35" s="190"/>
      <c r="G35" s="190"/>
      <c r="H35" s="190">
        <v>5893.4</v>
      </c>
      <c r="I35" s="190"/>
      <c r="J35" s="190"/>
      <c r="K35" s="190">
        <v>3286.2</v>
      </c>
      <c r="L35" s="190"/>
      <c r="M35" s="190"/>
      <c r="N35" s="191">
        <v>2306</v>
      </c>
      <c r="O35" s="191"/>
      <c r="P35" s="191"/>
      <c r="Q35" s="218">
        <v>93</v>
      </c>
      <c r="R35" s="218"/>
      <c r="S35" s="218"/>
      <c r="T35" s="218">
        <v>7</v>
      </c>
      <c r="U35" s="218"/>
      <c r="V35" s="218"/>
      <c r="W35" s="190">
        <v>24.5</v>
      </c>
      <c r="X35" s="190"/>
      <c r="Y35" s="267"/>
      <c r="Z35" s="115"/>
      <c r="AB35" s="88">
        <v>10</v>
      </c>
      <c r="AC35" s="83">
        <v>1.0026999999999999</v>
      </c>
      <c r="AD35" s="87" t="str">
        <f>IF($F$24=AB35,AC35,"")</f>
        <v/>
      </c>
    </row>
    <row r="36" spans="1:30" ht="25.5" customHeight="1" x14ac:dyDescent="0.25">
      <c r="A36" s="88"/>
      <c r="B36" s="206" t="s">
        <v>94</v>
      </c>
      <c r="C36" s="190"/>
      <c r="D36" s="190"/>
      <c r="E36" s="190">
        <v>4961.8999999999996</v>
      </c>
      <c r="F36" s="190"/>
      <c r="G36" s="190"/>
      <c r="H36" s="190">
        <v>5035.7</v>
      </c>
      <c r="I36" s="190"/>
      <c r="J36" s="190"/>
      <c r="K36" s="190">
        <v>2785.4</v>
      </c>
      <c r="L36" s="190"/>
      <c r="M36" s="190"/>
      <c r="N36" s="191">
        <v>2279.9</v>
      </c>
      <c r="O36" s="191"/>
      <c r="P36" s="191"/>
      <c r="Q36" s="218">
        <v>91.9</v>
      </c>
      <c r="R36" s="218"/>
      <c r="S36" s="218"/>
      <c r="T36" s="218">
        <v>8.1</v>
      </c>
      <c r="U36" s="218"/>
      <c r="V36" s="218"/>
      <c r="W36" s="190">
        <v>21.5</v>
      </c>
      <c r="X36" s="190"/>
      <c r="Y36" s="267"/>
      <c r="Z36" s="115"/>
      <c r="AB36" s="88">
        <v>10</v>
      </c>
      <c r="AC36" s="83">
        <v>1.0026999999999999</v>
      </c>
      <c r="AD36" s="87" t="str">
        <f>IF($F$24=AB35,AC35,"")</f>
        <v/>
      </c>
    </row>
    <row r="37" spans="1:30" ht="25.5" customHeight="1" x14ac:dyDescent="0.25">
      <c r="A37" s="88"/>
      <c r="B37" s="206" t="s">
        <v>93</v>
      </c>
      <c r="C37" s="190"/>
      <c r="D37" s="190"/>
      <c r="E37" s="190">
        <v>3815.6</v>
      </c>
      <c r="F37" s="190"/>
      <c r="G37" s="190"/>
      <c r="H37" s="190">
        <v>3883.3</v>
      </c>
      <c r="I37" s="190"/>
      <c r="J37" s="190"/>
      <c r="K37" s="190">
        <v>2162.4</v>
      </c>
      <c r="L37" s="190"/>
      <c r="M37" s="190"/>
      <c r="N37" s="191">
        <v>2310.1</v>
      </c>
      <c r="O37" s="191"/>
      <c r="P37" s="191"/>
      <c r="Q37" s="218">
        <v>93.1</v>
      </c>
      <c r="R37" s="218"/>
      <c r="S37" s="218"/>
      <c r="T37" s="218">
        <v>6.9</v>
      </c>
      <c r="U37" s="218"/>
      <c r="V37" s="218"/>
      <c r="W37" s="190">
        <v>16</v>
      </c>
      <c r="X37" s="190"/>
      <c r="Y37" s="267"/>
      <c r="Z37" s="115"/>
      <c r="AB37" s="88">
        <v>10</v>
      </c>
      <c r="AC37" s="83">
        <v>1.0026999999999999</v>
      </c>
      <c r="AD37" s="87" t="str">
        <f>IF($F$24=AB35,AC35,"")</f>
        <v/>
      </c>
    </row>
    <row r="38" spans="1:30" ht="25.5" customHeight="1" x14ac:dyDescent="0.25">
      <c r="A38" s="88"/>
      <c r="B38" s="281"/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279"/>
      <c r="Y38" s="280"/>
      <c r="Z38" s="115"/>
      <c r="AB38" s="88"/>
      <c r="AC38" s="83"/>
      <c r="AD38" s="87"/>
    </row>
    <row r="39" spans="1:30" ht="25.5" customHeight="1" x14ac:dyDescent="0.25">
      <c r="A39" s="88"/>
      <c r="B39" s="281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80"/>
      <c r="Z39" s="115"/>
      <c r="AB39" s="88"/>
      <c r="AC39" s="83"/>
      <c r="AD39" s="87"/>
    </row>
    <row r="40" spans="1:30" ht="25.5" customHeight="1" x14ac:dyDescent="0.25">
      <c r="A40" s="88"/>
      <c r="B40" s="281"/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80"/>
      <c r="Z40" s="115"/>
      <c r="AB40" s="88"/>
      <c r="AC40" s="83"/>
      <c r="AD40" s="87"/>
    </row>
    <row r="41" spans="1:30" ht="25.5" customHeight="1" x14ac:dyDescent="0.25">
      <c r="A41" s="88"/>
      <c r="B41" s="281"/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80"/>
      <c r="Z41" s="115"/>
      <c r="AB41" s="88"/>
      <c r="AC41" s="83"/>
      <c r="AD41" s="87"/>
    </row>
    <row r="42" spans="1:30" ht="25.5" customHeight="1" x14ac:dyDescent="0.25">
      <c r="A42" s="88"/>
      <c r="B42" s="281"/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80"/>
      <c r="Z42" s="115"/>
      <c r="AB42" s="88"/>
      <c r="AC42" s="83"/>
      <c r="AD42" s="87"/>
    </row>
    <row r="43" spans="1:30" ht="25.5" customHeight="1" x14ac:dyDescent="0.25">
      <c r="A43" s="88"/>
      <c r="B43" s="281"/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80"/>
      <c r="Z43" s="115"/>
      <c r="AB43" s="88"/>
      <c r="AC43" s="83"/>
      <c r="AD43" s="87"/>
    </row>
    <row r="44" spans="1:30" ht="25.5" customHeight="1" x14ac:dyDescent="0.25">
      <c r="A44" s="88"/>
      <c r="B44" s="281"/>
      <c r="C44" s="279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80"/>
      <c r="Z44" s="115"/>
      <c r="AB44" s="88"/>
      <c r="AC44" s="83"/>
      <c r="AD44" s="87"/>
    </row>
    <row r="45" spans="1:30" ht="25.5" customHeight="1" x14ac:dyDescent="0.25">
      <c r="A45" s="88"/>
      <c r="B45" s="281"/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80"/>
      <c r="Z45" s="115"/>
      <c r="AB45" s="88"/>
      <c r="AC45" s="83"/>
      <c r="AD45" s="87"/>
    </row>
    <row r="46" spans="1:30" ht="25.5" customHeight="1" x14ac:dyDescent="0.25">
      <c r="A46" s="88"/>
      <c r="B46" s="281"/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79"/>
      <c r="R46" s="279"/>
      <c r="S46" s="279"/>
      <c r="T46" s="279"/>
      <c r="U46" s="279"/>
      <c r="V46" s="279"/>
      <c r="W46" s="279"/>
      <c r="X46" s="279"/>
      <c r="Y46" s="280"/>
      <c r="Z46" s="115"/>
      <c r="AB46" s="88"/>
      <c r="AC46" s="83"/>
      <c r="AD46" s="87"/>
    </row>
    <row r="47" spans="1:30" ht="25.5" customHeight="1" x14ac:dyDescent="0.25">
      <c r="A47" s="88"/>
      <c r="B47" s="281"/>
      <c r="C47" s="279"/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279"/>
      <c r="X47" s="279"/>
      <c r="Y47" s="280"/>
      <c r="Z47" s="115"/>
      <c r="AB47" s="88"/>
      <c r="AC47" s="83"/>
      <c r="AD47" s="87"/>
    </row>
    <row r="48" spans="1:30" ht="25.5" customHeight="1" x14ac:dyDescent="0.25">
      <c r="A48" s="88"/>
      <c r="B48" s="281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80"/>
      <c r="Z48" s="115"/>
      <c r="AB48" s="88"/>
      <c r="AC48" s="83"/>
      <c r="AD48" s="87"/>
    </row>
    <row r="49" spans="1:30" ht="25.5" customHeight="1" x14ac:dyDescent="0.25">
      <c r="A49" s="88"/>
      <c r="B49" s="281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80"/>
      <c r="Z49" s="115"/>
      <c r="AB49" s="88"/>
      <c r="AC49" s="83"/>
      <c r="AD49" s="87"/>
    </row>
    <row r="50" spans="1:30" ht="25.5" customHeight="1" x14ac:dyDescent="0.25">
      <c r="A50" s="88"/>
      <c r="B50" s="281"/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  <c r="W50" s="279"/>
      <c r="X50" s="279"/>
      <c r="Y50" s="280"/>
      <c r="Z50" s="115"/>
      <c r="AB50" s="88"/>
      <c r="AC50" s="83"/>
      <c r="AD50" s="87"/>
    </row>
    <row r="51" spans="1:30" ht="25.5" customHeight="1" thickBot="1" x14ac:dyDescent="0.3">
      <c r="A51" s="88"/>
      <c r="B51" s="278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68"/>
      <c r="Z51" s="115"/>
      <c r="AB51" s="88">
        <v>11</v>
      </c>
      <c r="AC51" s="83">
        <v>1.0025999999999999</v>
      </c>
      <c r="AD51" s="87" t="str">
        <f t="shared" ref="AD51:AD70" si="0">IF($F$24=AB51,AC51,"")</f>
        <v/>
      </c>
    </row>
    <row r="52" spans="1:30" ht="12.75" customHeight="1" x14ac:dyDescent="0.25"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8"/>
      <c r="O52" s="118"/>
      <c r="P52" s="118"/>
      <c r="Q52" s="117"/>
      <c r="R52" s="117"/>
      <c r="S52" s="117"/>
      <c r="T52" s="117"/>
      <c r="U52" s="117"/>
      <c r="V52" s="117"/>
      <c r="W52" s="116"/>
      <c r="X52" s="116"/>
      <c r="Y52" s="116"/>
      <c r="Z52" s="115"/>
      <c r="AB52" s="88">
        <v>12</v>
      </c>
      <c r="AC52" s="83">
        <v>1.0024999999999999</v>
      </c>
      <c r="AD52" s="87" t="str">
        <f t="shared" si="0"/>
        <v/>
      </c>
    </row>
    <row r="53" spans="1:30" ht="15.9" customHeight="1" x14ac:dyDescent="0.25">
      <c r="A53" s="114"/>
      <c r="B53" s="113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1"/>
      <c r="AB53" s="88">
        <v>13</v>
      </c>
      <c r="AC53" s="83">
        <v>1.0023</v>
      </c>
      <c r="AD53" s="87" t="str">
        <f t="shared" si="0"/>
        <v/>
      </c>
    </row>
    <row r="54" spans="1:30" ht="12.75" customHeight="1" x14ac:dyDescent="0.25">
      <c r="A54" s="110"/>
      <c r="B54" s="109"/>
      <c r="AB54" s="88">
        <v>14</v>
      </c>
      <c r="AC54" s="83">
        <v>1.0022</v>
      </c>
      <c r="AD54" s="87" t="str">
        <f t="shared" si="0"/>
        <v/>
      </c>
    </row>
    <row r="55" spans="1:30" s="90" customFormat="1" ht="15.6" customHeight="1" x14ac:dyDescent="0.3">
      <c r="A55" s="108" t="s">
        <v>52</v>
      </c>
      <c r="B55" s="107" t="s">
        <v>53</v>
      </c>
      <c r="C55" s="106"/>
      <c r="D55" s="106"/>
      <c r="E55" s="106"/>
      <c r="F55" s="105"/>
      <c r="G55" s="105"/>
      <c r="H55" s="105"/>
      <c r="I55" s="104"/>
      <c r="J55" s="104"/>
      <c r="K55" s="104"/>
      <c r="L55" s="104"/>
      <c r="M55" s="104"/>
      <c r="N55" s="104"/>
      <c r="O55" s="104"/>
      <c r="P55" s="104"/>
      <c r="Q55" s="105"/>
      <c r="R55" s="104"/>
      <c r="S55" s="104"/>
      <c r="T55" s="104"/>
      <c r="U55" s="224"/>
      <c r="V55" s="224"/>
      <c r="W55" s="224"/>
      <c r="X55" s="225"/>
      <c r="Y55" s="225"/>
      <c r="Z55" s="226"/>
      <c r="AA55" s="103"/>
      <c r="AB55" s="88">
        <v>15</v>
      </c>
      <c r="AC55" s="83">
        <v>1.0021</v>
      </c>
      <c r="AD55" s="87" t="str">
        <f t="shared" si="0"/>
        <v/>
      </c>
    </row>
    <row r="56" spans="1:30" s="90" customFormat="1" ht="25.8" customHeight="1" x14ac:dyDescent="0.3">
      <c r="A56" s="275" t="s">
        <v>54</v>
      </c>
      <c r="B56" s="276"/>
      <c r="C56" s="276"/>
      <c r="D56" s="276"/>
      <c r="E56" s="276"/>
      <c r="F56" s="276"/>
      <c r="G56" s="276"/>
      <c r="H56" s="276"/>
      <c r="I56" s="276"/>
      <c r="J56" s="276"/>
      <c r="K56" s="276"/>
      <c r="L56" s="276"/>
      <c r="M56" s="276"/>
      <c r="N56" s="276"/>
      <c r="O56" s="276"/>
      <c r="P56" s="276"/>
      <c r="Q56" s="277"/>
      <c r="R56" s="221" t="s">
        <v>55</v>
      </c>
      <c r="S56" s="222"/>
      <c r="T56" s="223"/>
      <c r="U56" s="227" t="s">
        <v>68</v>
      </c>
      <c r="V56" s="228"/>
      <c r="W56" s="228"/>
      <c r="X56" s="229"/>
      <c r="Y56" s="229"/>
      <c r="Z56" s="230"/>
      <c r="AA56" s="103"/>
      <c r="AB56" s="88">
        <v>16</v>
      </c>
      <c r="AC56" s="83">
        <v>1.0019</v>
      </c>
      <c r="AD56" s="87" t="str">
        <f t="shared" si="0"/>
        <v/>
      </c>
    </row>
    <row r="57" spans="1:30" s="90" customFormat="1" ht="15.6" customHeight="1" x14ac:dyDescent="0.3">
      <c r="A57" s="269" t="s">
        <v>57</v>
      </c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1"/>
      <c r="R57" s="221" t="s">
        <v>58</v>
      </c>
      <c r="S57" s="222"/>
      <c r="T57" s="223"/>
      <c r="U57" s="256" t="s">
        <v>66</v>
      </c>
      <c r="V57" s="257"/>
      <c r="W57" s="257"/>
      <c r="X57" s="258"/>
      <c r="Y57" s="258"/>
      <c r="Z57" s="259"/>
      <c r="AA57" s="103"/>
      <c r="AB57" s="88">
        <v>17</v>
      </c>
      <c r="AC57" s="83">
        <v>1.0017</v>
      </c>
      <c r="AD57" s="87" t="str">
        <f t="shared" si="0"/>
        <v/>
      </c>
    </row>
    <row r="58" spans="1:30" s="90" customFormat="1" ht="15.6" customHeight="1" x14ac:dyDescent="0.3">
      <c r="A58" s="272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4"/>
      <c r="R58" s="221"/>
      <c r="S58" s="222"/>
      <c r="T58" s="223"/>
      <c r="U58" s="260"/>
      <c r="V58" s="255"/>
      <c r="W58" s="255"/>
      <c r="X58" s="261"/>
      <c r="Y58" s="261"/>
      <c r="Z58" s="262"/>
      <c r="AA58" s="103"/>
      <c r="AB58" s="88">
        <v>18</v>
      </c>
      <c r="AC58" s="83">
        <v>1.0016</v>
      </c>
      <c r="AD58" s="87" t="str">
        <f t="shared" si="0"/>
        <v/>
      </c>
    </row>
    <row r="59" spans="1:30" s="90" customFormat="1" ht="15.6" customHeight="1" x14ac:dyDescent="0.25">
      <c r="A59" s="102" t="s">
        <v>60</v>
      </c>
      <c r="B59" s="101" t="s">
        <v>61</v>
      </c>
      <c r="C59" s="82"/>
      <c r="D59" s="82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99"/>
      <c r="R59" s="221"/>
      <c r="S59" s="222"/>
      <c r="T59" s="223"/>
      <c r="U59" s="263"/>
      <c r="V59" s="264"/>
      <c r="W59" s="264"/>
      <c r="X59" s="265"/>
      <c r="Y59" s="265"/>
      <c r="Z59" s="266"/>
      <c r="AB59" s="88">
        <v>19</v>
      </c>
      <c r="AC59" s="83">
        <v>1.0014000000000001</v>
      </c>
      <c r="AD59" s="87" t="str">
        <f t="shared" si="0"/>
        <v/>
      </c>
    </row>
    <row r="60" spans="1:30" s="90" customFormat="1" ht="15.6" customHeight="1" x14ac:dyDescent="0.25">
      <c r="A60" s="246"/>
      <c r="B60" s="247"/>
      <c r="C60" s="247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8"/>
      <c r="R60" s="221" t="s">
        <v>62</v>
      </c>
      <c r="S60" s="222"/>
      <c r="T60" s="223"/>
      <c r="U60" s="158"/>
      <c r="V60" s="157"/>
      <c r="W60" s="157"/>
      <c r="X60" s="157"/>
      <c r="Y60" s="157"/>
      <c r="Z60" s="156"/>
      <c r="AB60" s="88">
        <v>20</v>
      </c>
      <c r="AC60" s="83">
        <v>1.0012000000000001</v>
      </c>
      <c r="AD60" s="87" t="str">
        <f t="shared" si="0"/>
        <v/>
      </c>
    </row>
    <row r="61" spans="1:30" s="90" customFormat="1" ht="15.6" customHeight="1" x14ac:dyDescent="0.25">
      <c r="A61" s="246"/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8"/>
      <c r="R61" s="221"/>
      <c r="S61" s="222"/>
      <c r="T61" s="223"/>
      <c r="U61" s="155"/>
      <c r="V61" s="255"/>
      <c r="W61" s="255"/>
      <c r="X61" s="255"/>
      <c r="Y61" s="255"/>
      <c r="Z61" s="154"/>
      <c r="AB61" s="88">
        <v>21</v>
      </c>
      <c r="AC61" s="89">
        <v>1.0009999999999999</v>
      </c>
      <c r="AD61" s="87" t="str">
        <f t="shared" si="0"/>
        <v/>
      </c>
    </row>
    <row r="62" spans="1:30" s="90" customFormat="1" ht="15.6" customHeight="1" x14ac:dyDescent="0.25">
      <c r="A62" s="246"/>
      <c r="B62" s="247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8"/>
      <c r="R62" s="221"/>
      <c r="S62" s="222"/>
      <c r="T62" s="223"/>
      <c r="U62" s="155"/>
      <c r="V62" s="255"/>
      <c r="W62" s="255"/>
      <c r="X62" s="255"/>
      <c r="Y62" s="255"/>
      <c r="Z62" s="154"/>
      <c r="AB62" s="88">
        <v>22</v>
      </c>
      <c r="AC62" s="83">
        <v>1.0006999999999999</v>
      </c>
      <c r="AD62" s="87" t="str">
        <f t="shared" si="0"/>
        <v/>
      </c>
    </row>
    <row r="63" spans="1:30" s="90" customFormat="1" ht="15.6" customHeight="1" x14ac:dyDescent="0.25">
      <c r="A63" s="249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1"/>
      <c r="R63" s="252"/>
      <c r="S63" s="253"/>
      <c r="T63" s="254"/>
      <c r="U63" s="93"/>
      <c r="V63" s="92"/>
      <c r="W63" s="92"/>
      <c r="X63" s="92"/>
      <c r="Y63" s="92"/>
      <c r="Z63" s="91"/>
      <c r="AB63" s="88">
        <v>23</v>
      </c>
      <c r="AC63" s="83">
        <v>1.0004999999999999</v>
      </c>
      <c r="AD63" s="87" t="str">
        <f t="shared" si="0"/>
        <v/>
      </c>
    </row>
    <row r="64" spans="1:30" ht="12.75" customHeight="1" x14ac:dyDescent="0.25">
      <c r="AB64" s="88">
        <v>24</v>
      </c>
      <c r="AC64" s="83">
        <v>1.0003</v>
      </c>
      <c r="AD64" s="87" t="str">
        <f t="shared" si="0"/>
        <v/>
      </c>
    </row>
    <row r="65" spans="28:30" ht="12.75" customHeight="1" x14ac:dyDescent="0.25">
      <c r="AB65" s="88">
        <v>25</v>
      </c>
      <c r="AC65" s="89">
        <v>1</v>
      </c>
      <c r="AD65" s="87" t="str">
        <f t="shared" si="0"/>
        <v/>
      </c>
    </row>
    <row r="66" spans="28:30" ht="12.75" customHeight="1" x14ac:dyDescent="0.25">
      <c r="AB66" s="88">
        <v>26</v>
      </c>
      <c r="AC66" s="83">
        <v>0.99970000000000003</v>
      </c>
      <c r="AD66" s="87" t="str">
        <f t="shared" si="0"/>
        <v/>
      </c>
    </row>
    <row r="67" spans="28:30" ht="12.75" customHeight="1" x14ac:dyDescent="0.25">
      <c r="AB67" s="88">
        <v>27</v>
      </c>
      <c r="AC67" s="83">
        <v>0.99950000000000006</v>
      </c>
      <c r="AD67" s="87" t="str">
        <f t="shared" si="0"/>
        <v/>
      </c>
    </row>
    <row r="68" spans="28:30" ht="12.75" customHeight="1" x14ac:dyDescent="0.25">
      <c r="AB68" s="88">
        <v>28</v>
      </c>
      <c r="AC68" s="83">
        <v>0.99919999999999998</v>
      </c>
      <c r="AD68" s="87" t="str">
        <f t="shared" si="0"/>
        <v/>
      </c>
    </row>
    <row r="69" spans="28:30" ht="12.75" customHeight="1" x14ac:dyDescent="0.25">
      <c r="AB69" s="88">
        <v>29</v>
      </c>
      <c r="AC69" s="83">
        <v>0.99890000000000001</v>
      </c>
      <c r="AD69" s="87">
        <f t="shared" si="0"/>
        <v>0.99890000000000001</v>
      </c>
    </row>
    <row r="70" spans="28:30" ht="12.75" customHeight="1" x14ac:dyDescent="0.25">
      <c r="AB70" s="86">
        <v>30</v>
      </c>
      <c r="AC70" s="85">
        <v>0.99860000000000004</v>
      </c>
      <c r="AD70" s="84" t="str">
        <f t="shared" si="0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98">
    <mergeCell ref="Q49:S49"/>
    <mergeCell ref="T49:V49"/>
    <mergeCell ref="W49:Y49"/>
    <mergeCell ref="B49:D49"/>
    <mergeCell ref="E49:G49"/>
    <mergeCell ref="H49:J49"/>
    <mergeCell ref="K49:M49"/>
    <mergeCell ref="N49:P49"/>
    <mergeCell ref="W48:Y48"/>
    <mergeCell ref="B47:D47"/>
    <mergeCell ref="E47:G47"/>
    <mergeCell ref="H47:J47"/>
    <mergeCell ref="K47:M47"/>
    <mergeCell ref="N47:P47"/>
    <mergeCell ref="Q47:S47"/>
    <mergeCell ref="T47:V47"/>
    <mergeCell ref="W47:Y47"/>
    <mergeCell ref="B48:D48"/>
    <mergeCell ref="E48:G48"/>
    <mergeCell ref="H48:J48"/>
    <mergeCell ref="K48:M48"/>
    <mergeCell ref="N48:P48"/>
    <mergeCell ref="Q48:S48"/>
    <mergeCell ref="T48:V48"/>
    <mergeCell ref="W46:Y46"/>
    <mergeCell ref="B45:D45"/>
    <mergeCell ref="E45:G45"/>
    <mergeCell ref="H45:J45"/>
    <mergeCell ref="K45:M45"/>
    <mergeCell ref="N45:P45"/>
    <mergeCell ref="Q45:S45"/>
    <mergeCell ref="T45:V45"/>
    <mergeCell ref="W45:Y45"/>
    <mergeCell ref="B46:D46"/>
    <mergeCell ref="E46:G46"/>
    <mergeCell ref="H46:J46"/>
    <mergeCell ref="K46:M46"/>
    <mergeCell ref="N46:P46"/>
    <mergeCell ref="Q46:S46"/>
    <mergeCell ref="T46:V46"/>
    <mergeCell ref="W44:Y44"/>
    <mergeCell ref="B43:D43"/>
    <mergeCell ref="E43:G43"/>
    <mergeCell ref="H43:J43"/>
    <mergeCell ref="K43:M43"/>
    <mergeCell ref="N43:P43"/>
    <mergeCell ref="Q43:S43"/>
    <mergeCell ref="T43:V43"/>
    <mergeCell ref="W43:Y43"/>
    <mergeCell ref="B44:D44"/>
    <mergeCell ref="E44:G44"/>
    <mergeCell ref="H44:J44"/>
    <mergeCell ref="K44:M44"/>
    <mergeCell ref="N44:P44"/>
    <mergeCell ref="Q44:S44"/>
    <mergeCell ref="T44:V44"/>
    <mergeCell ref="W42:Y42"/>
    <mergeCell ref="B41:D41"/>
    <mergeCell ref="E41:G41"/>
    <mergeCell ref="H41:J41"/>
    <mergeCell ref="K41:M41"/>
    <mergeCell ref="N41:P41"/>
    <mergeCell ref="Q41:S41"/>
    <mergeCell ref="T41:V41"/>
    <mergeCell ref="W41:Y41"/>
    <mergeCell ref="B42:D42"/>
    <mergeCell ref="E42:G42"/>
    <mergeCell ref="H42:J42"/>
    <mergeCell ref="K42:M42"/>
    <mergeCell ref="N42:P42"/>
    <mergeCell ref="Q42:S42"/>
    <mergeCell ref="T42:V42"/>
    <mergeCell ref="T39:V39"/>
    <mergeCell ref="W39:Y39"/>
    <mergeCell ref="B40:D40"/>
    <mergeCell ref="E40:G40"/>
    <mergeCell ref="H40:J40"/>
    <mergeCell ref="K40:M40"/>
    <mergeCell ref="N40:P40"/>
    <mergeCell ref="Q40:S40"/>
    <mergeCell ref="T40:V40"/>
    <mergeCell ref="B50:D50"/>
    <mergeCell ref="E50:G50"/>
    <mergeCell ref="H50:J50"/>
    <mergeCell ref="K50:M50"/>
    <mergeCell ref="N50:P50"/>
    <mergeCell ref="W36:Y36"/>
    <mergeCell ref="B37:D37"/>
    <mergeCell ref="E37:G37"/>
    <mergeCell ref="H37:J37"/>
    <mergeCell ref="K37:M37"/>
    <mergeCell ref="T38:V38"/>
    <mergeCell ref="W38:Y38"/>
    <mergeCell ref="B39:D39"/>
    <mergeCell ref="E39:G39"/>
    <mergeCell ref="H39:J39"/>
    <mergeCell ref="K39:M39"/>
    <mergeCell ref="N39:P39"/>
    <mergeCell ref="W40:Y40"/>
    <mergeCell ref="Q50:S50"/>
    <mergeCell ref="T50:V50"/>
    <mergeCell ref="W50:Y50"/>
    <mergeCell ref="B38:D38"/>
    <mergeCell ref="E38:G38"/>
    <mergeCell ref="H38:J38"/>
    <mergeCell ref="A60:Q63"/>
    <mergeCell ref="R57:T59"/>
    <mergeCell ref="R60:T63"/>
    <mergeCell ref="H35:J35"/>
    <mergeCell ref="K35:M35"/>
    <mergeCell ref="R56:T56"/>
    <mergeCell ref="U55:Z55"/>
    <mergeCell ref="U56:Z56"/>
    <mergeCell ref="Q51:S51"/>
    <mergeCell ref="A57:Q58"/>
    <mergeCell ref="A56:Q56"/>
    <mergeCell ref="V61:Y62"/>
    <mergeCell ref="U57:Z59"/>
    <mergeCell ref="T35:V35"/>
    <mergeCell ref="W35:Y35"/>
    <mergeCell ref="B51:D51"/>
    <mergeCell ref="E51:G51"/>
    <mergeCell ref="N37:P37"/>
    <mergeCell ref="Q37:S37"/>
    <mergeCell ref="T37:V37"/>
    <mergeCell ref="W37:Y37"/>
    <mergeCell ref="B36:D36"/>
    <mergeCell ref="E36:G36"/>
    <mergeCell ref="H36:J36"/>
    <mergeCell ref="AD32:AD34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AB32:AB34"/>
    <mergeCell ref="AC32:AC34"/>
    <mergeCell ref="W51:Y51"/>
    <mergeCell ref="H51:J51"/>
    <mergeCell ref="K51:M51"/>
    <mergeCell ref="N51:P51"/>
    <mergeCell ref="Q36:S36"/>
    <mergeCell ref="T36:V36"/>
    <mergeCell ref="S12:Y12"/>
    <mergeCell ref="T32:V34"/>
    <mergeCell ref="W32:Y34"/>
    <mergeCell ref="Q35:S35"/>
    <mergeCell ref="I17:Y17"/>
    <mergeCell ref="I18:Y18"/>
    <mergeCell ref="W27:Y29"/>
    <mergeCell ref="H32:J34"/>
    <mergeCell ref="K32:M34"/>
    <mergeCell ref="N32:P34"/>
    <mergeCell ref="Q32:S34"/>
    <mergeCell ref="T51:V51"/>
    <mergeCell ref="K36:M36"/>
    <mergeCell ref="N36:P36"/>
    <mergeCell ref="K38:M38"/>
    <mergeCell ref="N38:P38"/>
    <mergeCell ref="Q38:S38"/>
    <mergeCell ref="Q39:S39"/>
    <mergeCell ref="U1:Z6"/>
    <mergeCell ref="G2:T4"/>
    <mergeCell ref="G5:H5"/>
    <mergeCell ref="J5:K5"/>
    <mergeCell ref="L5:O5"/>
    <mergeCell ref="B35:D35"/>
    <mergeCell ref="N10:R10"/>
    <mergeCell ref="N11:R11"/>
    <mergeCell ref="N12:R12"/>
    <mergeCell ref="H10:M10"/>
    <mergeCell ref="H11:M11"/>
    <mergeCell ref="B32:D34"/>
    <mergeCell ref="B24:E26"/>
    <mergeCell ref="B27:E29"/>
    <mergeCell ref="B18:H18"/>
    <mergeCell ref="A7:F7"/>
    <mergeCell ref="G7:Z7"/>
    <mergeCell ref="B10:G10"/>
    <mergeCell ref="H12:M12"/>
    <mergeCell ref="S11:Y11"/>
    <mergeCell ref="B12:G12"/>
    <mergeCell ref="B11:G11"/>
    <mergeCell ref="S10:Y10"/>
    <mergeCell ref="E32:G34"/>
    <mergeCell ref="P5:T5"/>
    <mergeCell ref="J6:K6"/>
    <mergeCell ref="L6:O6"/>
    <mergeCell ref="P6:T6"/>
    <mergeCell ref="B17:H17"/>
    <mergeCell ref="E35:G35"/>
    <mergeCell ref="N35:P35"/>
    <mergeCell ref="A1:F6"/>
    <mergeCell ref="G1:T1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49A4-CB75-44CB-9078-BABA5E42A0E3}">
  <sheetPr>
    <pageSetUpPr fitToPage="1"/>
  </sheetPr>
  <dimension ref="A1:AF71"/>
  <sheetViews>
    <sheetView topLeftCell="A33" workbookViewId="0">
      <selection activeCell="AA47" sqref="AA47"/>
    </sheetView>
  </sheetViews>
  <sheetFormatPr baseColWidth="10" defaultColWidth="11.44140625" defaultRowHeight="12.75" customHeight="1" x14ac:dyDescent="0.25"/>
  <cols>
    <col min="1" max="1" width="5.109375" style="83" customWidth="1"/>
    <col min="2" max="26" width="5.109375" style="82" customWidth="1"/>
    <col min="27" max="27" width="20" style="82" customWidth="1"/>
    <col min="28" max="28" width="28.109375" style="82" customWidth="1"/>
    <col min="29" max="29" width="22.88671875" style="82" customWidth="1"/>
    <col min="30" max="30" width="29.33203125" style="82" customWidth="1"/>
    <col min="31" max="31" width="11.44140625" style="82"/>
    <col min="32" max="16384" width="11.44140625" style="81"/>
  </cols>
  <sheetData>
    <row r="1" spans="1:32" ht="12.75" customHeight="1" x14ac:dyDescent="0.25">
      <c r="A1" s="192"/>
      <c r="B1" s="193"/>
      <c r="C1" s="193"/>
      <c r="D1" s="193"/>
      <c r="E1" s="193"/>
      <c r="F1" s="194"/>
      <c r="G1" s="201" t="s">
        <v>0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3"/>
      <c r="U1" s="298" t="s">
        <v>1</v>
      </c>
      <c r="V1" s="299"/>
      <c r="W1" s="299"/>
      <c r="X1" s="299"/>
      <c r="Y1" s="299"/>
      <c r="Z1" s="300"/>
    </row>
    <row r="2" spans="1:32" ht="12.75" customHeight="1" x14ac:dyDescent="0.3">
      <c r="A2" s="195"/>
      <c r="B2" s="196"/>
      <c r="C2" s="196"/>
      <c r="D2" s="196"/>
      <c r="E2" s="196"/>
      <c r="F2" s="197"/>
      <c r="G2" s="168" t="s">
        <v>2</v>
      </c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70"/>
      <c r="U2" s="301"/>
      <c r="V2" s="302"/>
      <c r="W2" s="302"/>
      <c r="X2" s="302"/>
      <c r="Y2" s="302"/>
      <c r="Z2" s="303"/>
      <c r="AA2" s="103"/>
      <c r="AB2" s="103"/>
    </row>
    <row r="3" spans="1:32" ht="12.75" customHeight="1" x14ac:dyDescent="0.3">
      <c r="A3" s="195"/>
      <c r="B3" s="196"/>
      <c r="C3" s="196"/>
      <c r="D3" s="196"/>
      <c r="E3" s="196"/>
      <c r="F3" s="197"/>
      <c r="G3" s="168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70"/>
      <c r="U3" s="301"/>
      <c r="V3" s="302"/>
      <c r="W3" s="302"/>
      <c r="X3" s="302"/>
      <c r="Y3" s="302"/>
      <c r="Z3" s="303"/>
      <c r="AA3" s="103"/>
      <c r="AB3" s="103"/>
    </row>
    <row r="4" spans="1:32" ht="12.75" customHeight="1" x14ac:dyDescent="0.3">
      <c r="A4" s="195"/>
      <c r="B4" s="196"/>
      <c r="C4" s="196"/>
      <c r="D4" s="196"/>
      <c r="E4" s="196"/>
      <c r="F4" s="197"/>
      <c r="G4" s="168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70"/>
      <c r="U4" s="301"/>
      <c r="V4" s="302"/>
      <c r="W4" s="302"/>
      <c r="X4" s="302"/>
      <c r="Y4" s="302"/>
      <c r="Z4" s="303"/>
      <c r="AA4" s="103"/>
      <c r="AB4" s="103"/>
    </row>
    <row r="5" spans="1:32" ht="12.75" customHeight="1" x14ac:dyDescent="0.3">
      <c r="A5" s="195"/>
      <c r="B5" s="196"/>
      <c r="C5" s="196"/>
      <c r="D5" s="196"/>
      <c r="E5" s="196"/>
      <c r="F5" s="197"/>
      <c r="G5" s="171"/>
      <c r="H5" s="172"/>
      <c r="I5" s="153" t="s">
        <v>3</v>
      </c>
      <c r="J5" s="173">
        <v>6</v>
      </c>
      <c r="K5" s="174"/>
      <c r="L5" s="175" t="s">
        <v>4</v>
      </c>
      <c r="M5" s="176"/>
      <c r="N5" s="176"/>
      <c r="O5" s="177"/>
      <c r="P5" s="178" t="s">
        <v>100</v>
      </c>
      <c r="Q5" s="179"/>
      <c r="R5" s="179"/>
      <c r="S5" s="179"/>
      <c r="T5" s="180"/>
      <c r="U5" s="301"/>
      <c r="V5" s="302"/>
      <c r="W5" s="302"/>
      <c r="X5" s="302"/>
      <c r="Y5" s="302"/>
      <c r="Z5" s="303"/>
      <c r="AA5" s="103"/>
      <c r="AB5" s="103"/>
    </row>
    <row r="6" spans="1:32" ht="12.75" customHeight="1" x14ac:dyDescent="0.25">
      <c r="A6" s="198"/>
      <c r="B6" s="199"/>
      <c r="C6" s="199"/>
      <c r="D6" s="199"/>
      <c r="E6" s="199"/>
      <c r="F6" s="200"/>
      <c r="G6" s="152"/>
      <c r="H6" s="112"/>
      <c r="I6" s="112"/>
      <c r="J6" s="181" t="s">
        <v>6</v>
      </c>
      <c r="K6" s="181"/>
      <c r="L6" s="181" t="s">
        <v>7</v>
      </c>
      <c r="M6" s="181"/>
      <c r="N6" s="181"/>
      <c r="O6" s="181"/>
      <c r="P6" s="181" t="s">
        <v>8</v>
      </c>
      <c r="Q6" s="181"/>
      <c r="R6" s="181"/>
      <c r="S6" s="181"/>
      <c r="T6" s="182"/>
      <c r="U6" s="304"/>
      <c r="V6" s="305"/>
      <c r="W6" s="305"/>
      <c r="X6" s="305"/>
      <c r="Y6" s="305"/>
      <c r="Z6" s="306"/>
    </row>
    <row r="7" spans="1:32" ht="36.6" customHeight="1" x14ac:dyDescent="0.25">
      <c r="A7" s="219" t="s">
        <v>9</v>
      </c>
      <c r="B7" s="219"/>
      <c r="C7" s="219"/>
      <c r="D7" s="219"/>
      <c r="E7" s="219"/>
      <c r="F7" s="219"/>
      <c r="G7" s="220" t="s">
        <v>10</v>
      </c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</row>
    <row r="8" spans="1:32" ht="15.9" customHeight="1" x14ac:dyDescent="0.3">
      <c r="A8" s="142" t="s">
        <v>11</v>
      </c>
      <c r="B8" s="141" t="s">
        <v>12</v>
      </c>
      <c r="C8" s="151"/>
      <c r="D8" s="150"/>
      <c r="E8" s="150"/>
      <c r="F8" s="150"/>
      <c r="G8" s="150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24"/>
      <c r="AB8" s="103"/>
      <c r="AF8" s="103" t="s">
        <v>13</v>
      </c>
    </row>
    <row r="9" spans="1:32" ht="8.25" customHeight="1" x14ac:dyDescent="0.3">
      <c r="A9" s="88"/>
      <c r="D9" s="83"/>
      <c r="E9" s="83"/>
      <c r="F9" s="83"/>
      <c r="G9" s="83"/>
      <c r="Z9" s="115"/>
      <c r="AB9" s="103"/>
      <c r="AF9" s="103" t="s">
        <v>101</v>
      </c>
    </row>
    <row r="10" spans="1:32" ht="15.9" customHeight="1" x14ac:dyDescent="0.3">
      <c r="A10" s="88"/>
      <c r="B10" s="204" t="s">
        <v>15</v>
      </c>
      <c r="C10" s="204"/>
      <c r="D10" s="204"/>
      <c r="E10" s="204"/>
      <c r="F10" s="204"/>
      <c r="G10" s="204"/>
      <c r="H10" s="207" t="s">
        <v>13</v>
      </c>
      <c r="I10" s="207"/>
      <c r="J10" s="207"/>
      <c r="K10" s="207"/>
      <c r="L10" s="207"/>
      <c r="M10" s="207"/>
      <c r="N10" s="204" t="s">
        <v>16</v>
      </c>
      <c r="O10" s="204"/>
      <c r="P10" s="204"/>
      <c r="Q10" s="204"/>
      <c r="R10" s="204"/>
      <c r="S10" s="205" t="s">
        <v>17</v>
      </c>
      <c r="T10" s="205"/>
      <c r="U10" s="205"/>
      <c r="V10" s="205"/>
      <c r="W10" s="205"/>
      <c r="X10" s="205"/>
      <c r="Y10" s="205"/>
      <c r="Z10" s="149"/>
      <c r="AB10" s="103"/>
      <c r="AF10" s="103" t="s">
        <v>100</v>
      </c>
    </row>
    <row r="11" spans="1:32" ht="15.9" customHeight="1" x14ac:dyDescent="0.3">
      <c r="A11" s="88"/>
      <c r="B11" s="204" t="s">
        <v>18</v>
      </c>
      <c r="C11" s="204"/>
      <c r="D11" s="204"/>
      <c r="E11" s="204"/>
      <c r="F11" s="204"/>
      <c r="G11" s="204"/>
      <c r="H11" s="207" t="s">
        <v>101</v>
      </c>
      <c r="I11" s="207"/>
      <c r="J11" s="207"/>
      <c r="K11" s="207"/>
      <c r="L11" s="207"/>
      <c r="M11" s="207"/>
      <c r="N11" s="204" t="s">
        <v>19</v>
      </c>
      <c r="O11" s="204"/>
      <c r="P11" s="204"/>
      <c r="Q11" s="204"/>
      <c r="R11" s="204"/>
      <c r="S11" s="205" t="s">
        <v>99</v>
      </c>
      <c r="T11" s="205"/>
      <c r="U11" s="205"/>
      <c r="V11" s="205"/>
      <c r="W11" s="205"/>
      <c r="X11" s="205"/>
      <c r="Y11" s="205"/>
      <c r="Z11" s="149"/>
      <c r="AB11" s="103"/>
      <c r="AF11" s="103" t="s">
        <v>17</v>
      </c>
    </row>
    <row r="12" spans="1:32" ht="15.9" customHeight="1" x14ac:dyDescent="0.3">
      <c r="A12" s="88"/>
      <c r="B12" s="204" t="s">
        <v>21</v>
      </c>
      <c r="C12" s="204"/>
      <c r="D12" s="204"/>
      <c r="E12" s="204"/>
      <c r="F12" s="204"/>
      <c r="G12" s="204"/>
      <c r="H12" s="207" t="s">
        <v>100</v>
      </c>
      <c r="I12" s="207"/>
      <c r="J12" s="207"/>
      <c r="K12" s="207"/>
      <c r="L12" s="207"/>
      <c r="M12" s="207"/>
      <c r="N12" s="204" t="s">
        <v>22</v>
      </c>
      <c r="O12" s="204"/>
      <c r="P12" s="204"/>
      <c r="Q12" s="204"/>
      <c r="R12" s="204"/>
      <c r="S12" s="205" t="s">
        <v>102</v>
      </c>
      <c r="T12" s="205"/>
      <c r="U12" s="205"/>
      <c r="V12" s="205"/>
      <c r="W12" s="205"/>
      <c r="X12" s="205"/>
      <c r="Y12" s="205"/>
      <c r="Z12" s="149"/>
      <c r="AB12" s="103"/>
      <c r="AF12" s="103" t="s">
        <v>99</v>
      </c>
    </row>
    <row r="13" spans="1:32" ht="8.25" customHeight="1" x14ac:dyDescent="0.3">
      <c r="A13" s="86"/>
      <c r="B13" s="146"/>
      <c r="C13" s="146"/>
      <c r="D13" s="148"/>
      <c r="E13" s="148"/>
      <c r="F13" s="148"/>
      <c r="G13" s="148"/>
      <c r="H13" s="146"/>
      <c r="I13" s="146"/>
      <c r="J13" s="146"/>
      <c r="K13" s="146"/>
      <c r="L13" s="146"/>
      <c r="M13" s="146"/>
      <c r="N13" s="147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11"/>
      <c r="AB13" s="103"/>
      <c r="AF13" s="103" t="s">
        <v>102</v>
      </c>
    </row>
    <row r="14" spans="1:32" s="90" customFormat="1" ht="15" customHeight="1" x14ac:dyDescent="0.25">
      <c r="B14" s="144"/>
      <c r="C14" s="144"/>
      <c r="K14" s="145"/>
      <c r="L14" s="144"/>
      <c r="M14" s="143"/>
    </row>
    <row r="15" spans="1:32" s="90" customFormat="1" ht="16.2" customHeight="1" x14ac:dyDescent="0.25">
      <c r="A15" s="142" t="s">
        <v>24</v>
      </c>
      <c r="B15" s="141" t="s">
        <v>25</v>
      </c>
      <c r="C15" s="140"/>
      <c r="D15" s="140"/>
      <c r="E15" s="140"/>
      <c r="F15" s="140"/>
      <c r="G15" s="140"/>
      <c r="H15" s="140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8"/>
    </row>
    <row r="16" spans="1:32" s="90" customFormat="1" ht="13.8" customHeight="1" x14ac:dyDescent="0.25">
      <c r="A16" s="134"/>
      <c r="B16" s="137"/>
      <c r="C16" s="136"/>
      <c r="D16" s="136"/>
      <c r="E16" s="136"/>
      <c r="F16" s="136"/>
      <c r="G16" s="136"/>
      <c r="H16" s="136"/>
      <c r="Z16" s="135"/>
    </row>
    <row r="17" spans="1:32" s="90" customFormat="1" ht="15" customHeight="1" x14ac:dyDescent="0.25">
      <c r="A17" s="134"/>
      <c r="B17" s="189" t="s">
        <v>26</v>
      </c>
      <c r="C17" s="189"/>
      <c r="D17" s="189"/>
      <c r="E17" s="189"/>
      <c r="F17" s="189"/>
      <c r="G17" s="189"/>
      <c r="H17" s="189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133"/>
    </row>
    <row r="18" spans="1:32" s="90" customFormat="1" ht="15" customHeight="1" x14ac:dyDescent="0.25">
      <c r="A18" s="134"/>
      <c r="B18" s="189" t="s">
        <v>27</v>
      </c>
      <c r="C18" s="189"/>
      <c r="D18" s="189"/>
      <c r="E18" s="189"/>
      <c r="F18" s="189"/>
      <c r="G18" s="189"/>
      <c r="H18" s="189"/>
      <c r="I18" s="235" t="s">
        <v>98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133"/>
    </row>
    <row r="19" spans="1:32" s="90" customFormat="1" ht="13.2" customHeight="1" x14ac:dyDescent="0.25">
      <c r="A19" s="132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0"/>
    </row>
    <row r="20" spans="1:32" ht="12.75" customHeight="1" x14ac:dyDescent="0.25">
      <c r="D20" s="83"/>
      <c r="E20" s="83"/>
      <c r="F20" s="83"/>
      <c r="G20" s="83"/>
      <c r="N20" s="129"/>
    </row>
    <row r="21" spans="1:32" ht="15.9" customHeight="1" x14ac:dyDescent="0.25">
      <c r="A21" s="128" t="s">
        <v>28</v>
      </c>
      <c r="B21" s="127" t="s">
        <v>29</v>
      </c>
      <c r="C21" s="125"/>
      <c r="D21" s="126"/>
      <c r="E21" s="126"/>
      <c r="F21" s="126"/>
      <c r="G21" s="126"/>
      <c r="H21" s="125"/>
      <c r="I21" s="125"/>
      <c r="J21" s="125"/>
      <c r="K21" s="125"/>
      <c r="L21" s="125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24"/>
    </row>
    <row r="22" spans="1:32" ht="12.75" customHeight="1" x14ac:dyDescent="0.25">
      <c r="A22" s="88"/>
      <c r="Z22" s="115"/>
    </row>
    <row r="23" spans="1:32" ht="12.75" customHeight="1" x14ac:dyDescent="0.25">
      <c r="A23" s="88"/>
      <c r="Z23" s="115"/>
    </row>
    <row r="24" spans="1:32" ht="12.75" customHeight="1" x14ac:dyDescent="0.25">
      <c r="A24" s="88"/>
      <c r="B24" s="183" t="s">
        <v>30</v>
      </c>
      <c r="C24" s="212"/>
      <c r="D24" s="212"/>
      <c r="E24" s="212"/>
      <c r="F24" s="212">
        <v>24</v>
      </c>
      <c r="G24" s="212"/>
      <c r="H24" s="212"/>
      <c r="I24" s="212"/>
      <c r="J24" s="236" t="s">
        <v>31</v>
      </c>
      <c r="K24" s="236"/>
      <c r="L24" s="237"/>
      <c r="O24" s="183" t="s">
        <v>32</v>
      </c>
      <c r="P24" s="184"/>
      <c r="Q24" s="184"/>
      <c r="R24" s="184"/>
      <c r="S24" s="212">
        <v>890</v>
      </c>
      <c r="T24" s="212"/>
      <c r="U24" s="212"/>
      <c r="V24" s="212"/>
      <c r="W24" s="236" t="s">
        <v>97</v>
      </c>
      <c r="X24" s="236"/>
      <c r="Y24" s="237"/>
      <c r="Z24" s="115"/>
      <c r="AA24" s="81"/>
    </row>
    <row r="25" spans="1:32" ht="12.75" customHeight="1" x14ac:dyDescent="0.25">
      <c r="A25" s="88"/>
      <c r="B25" s="213"/>
      <c r="C25" s="214"/>
      <c r="D25" s="214"/>
      <c r="E25" s="214"/>
      <c r="F25" s="214"/>
      <c r="G25" s="214"/>
      <c r="H25" s="214"/>
      <c r="I25" s="214"/>
      <c r="J25" s="238"/>
      <c r="K25" s="238"/>
      <c r="L25" s="239"/>
      <c r="O25" s="185"/>
      <c r="P25" s="186"/>
      <c r="Q25" s="186"/>
      <c r="R25" s="186"/>
      <c r="S25" s="214"/>
      <c r="T25" s="214"/>
      <c r="U25" s="214"/>
      <c r="V25" s="214"/>
      <c r="W25" s="238"/>
      <c r="X25" s="238"/>
      <c r="Y25" s="239"/>
      <c r="Z25" s="115"/>
      <c r="AA25" s="81"/>
    </row>
    <row r="26" spans="1:32" ht="12.75" customHeight="1" x14ac:dyDescent="0.25">
      <c r="A26" s="88"/>
      <c r="B26" s="215"/>
      <c r="C26" s="216"/>
      <c r="D26" s="216"/>
      <c r="E26" s="216"/>
      <c r="F26" s="216"/>
      <c r="G26" s="216"/>
      <c r="H26" s="216"/>
      <c r="I26" s="216"/>
      <c r="J26" s="240"/>
      <c r="K26" s="240"/>
      <c r="L26" s="241"/>
      <c r="O26" s="187"/>
      <c r="P26" s="188"/>
      <c r="Q26" s="188"/>
      <c r="R26" s="188"/>
      <c r="S26" s="216"/>
      <c r="T26" s="216"/>
      <c r="U26" s="216"/>
      <c r="V26" s="216"/>
      <c r="W26" s="240"/>
      <c r="X26" s="240"/>
      <c r="Y26" s="241"/>
      <c r="Z26" s="115"/>
      <c r="AA26" s="81"/>
    </row>
    <row r="27" spans="1:32" ht="12.75" customHeight="1" x14ac:dyDescent="0.25">
      <c r="A27" s="88"/>
      <c r="B27" s="183" t="s">
        <v>34</v>
      </c>
      <c r="C27" s="184"/>
      <c r="D27" s="184"/>
      <c r="E27" s="184"/>
      <c r="F27" s="242">
        <f>IF(F24&lt;&gt;"",(997.1*(SUM(AD35:AD71))),"")</f>
        <v>997.39913000000001</v>
      </c>
      <c r="G27" s="242"/>
      <c r="H27" s="242"/>
      <c r="I27" s="242"/>
      <c r="J27" s="236" t="s">
        <v>35</v>
      </c>
      <c r="K27" s="236"/>
      <c r="L27" s="237"/>
      <c r="O27" s="245" t="s">
        <v>36</v>
      </c>
      <c r="P27" s="212"/>
      <c r="Q27" s="212"/>
      <c r="R27" s="212"/>
      <c r="S27" s="212">
        <v>2480</v>
      </c>
      <c r="T27" s="212"/>
      <c r="U27" s="212"/>
      <c r="V27" s="212"/>
      <c r="W27" s="236" t="s">
        <v>35</v>
      </c>
      <c r="X27" s="236"/>
      <c r="Y27" s="237"/>
      <c r="Z27" s="115"/>
      <c r="AA27" s="81"/>
    </row>
    <row r="28" spans="1:32" ht="12.75" customHeight="1" x14ac:dyDescent="0.25">
      <c r="A28" s="88"/>
      <c r="B28" s="185"/>
      <c r="C28" s="186"/>
      <c r="D28" s="186"/>
      <c r="E28" s="186"/>
      <c r="F28" s="243"/>
      <c r="G28" s="243"/>
      <c r="H28" s="243"/>
      <c r="I28" s="243"/>
      <c r="J28" s="238"/>
      <c r="K28" s="238"/>
      <c r="L28" s="239"/>
      <c r="O28" s="213"/>
      <c r="P28" s="214"/>
      <c r="Q28" s="214"/>
      <c r="R28" s="214"/>
      <c r="S28" s="214"/>
      <c r="T28" s="214"/>
      <c r="U28" s="214"/>
      <c r="V28" s="214"/>
      <c r="W28" s="238"/>
      <c r="X28" s="238"/>
      <c r="Y28" s="239"/>
      <c r="Z28" s="115"/>
      <c r="AA28" s="81"/>
    </row>
    <row r="29" spans="1:32" ht="12.75" customHeight="1" x14ac:dyDescent="0.25">
      <c r="A29" s="88"/>
      <c r="B29" s="187"/>
      <c r="C29" s="188"/>
      <c r="D29" s="188"/>
      <c r="E29" s="188"/>
      <c r="F29" s="244"/>
      <c r="G29" s="244"/>
      <c r="H29" s="244"/>
      <c r="I29" s="244"/>
      <c r="J29" s="240"/>
      <c r="K29" s="240"/>
      <c r="L29" s="241"/>
      <c r="O29" s="215"/>
      <c r="P29" s="216"/>
      <c r="Q29" s="216"/>
      <c r="R29" s="216"/>
      <c r="S29" s="216"/>
      <c r="T29" s="216"/>
      <c r="U29" s="216"/>
      <c r="V29" s="216"/>
      <c r="W29" s="240"/>
      <c r="X29" s="240"/>
      <c r="Y29" s="241"/>
      <c r="Z29" s="115"/>
    </row>
    <row r="30" spans="1:32" ht="12.75" customHeight="1" x14ac:dyDescent="0.3">
      <c r="A30" s="88"/>
      <c r="B30" s="123"/>
      <c r="C30" s="121"/>
      <c r="D30" s="120"/>
      <c r="I30" s="119"/>
      <c r="J30" s="119"/>
      <c r="P30" s="121"/>
      <c r="Q30" s="121"/>
      <c r="R30" s="121"/>
      <c r="S30" s="121"/>
      <c r="T30" s="121"/>
      <c r="U30" s="121"/>
      <c r="V30" s="121"/>
      <c r="W30" s="120"/>
      <c r="Z30" s="115"/>
      <c r="AA30" s="103"/>
      <c r="AB30" s="103"/>
      <c r="AC30" s="103"/>
      <c r="AD30" s="103"/>
      <c r="AE30" s="103"/>
      <c r="AF30" s="103"/>
    </row>
    <row r="31" spans="1:32" ht="12.75" customHeight="1" thickBot="1" x14ac:dyDescent="0.3">
      <c r="A31" s="88"/>
      <c r="B31" s="123"/>
      <c r="C31" s="121"/>
      <c r="D31" s="120"/>
      <c r="E31" s="119"/>
      <c r="F31" s="122"/>
      <c r="G31" s="121"/>
      <c r="H31" s="120"/>
      <c r="I31" s="119"/>
      <c r="J31" s="119"/>
      <c r="Z31" s="115"/>
    </row>
    <row r="32" spans="1:32" ht="19.5" customHeight="1" x14ac:dyDescent="0.25">
      <c r="A32" s="88"/>
      <c r="B32" s="208" t="s">
        <v>37</v>
      </c>
      <c r="C32" s="209"/>
      <c r="D32" s="209"/>
      <c r="E32" s="209" t="s">
        <v>38</v>
      </c>
      <c r="F32" s="209"/>
      <c r="G32" s="209"/>
      <c r="H32" s="209" t="s">
        <v>39</v>
      </c>
      <c r="I32" s="209"/>
      <c r="J32" s="209"/>
      <c r="K32" s="209" t="s">
        <v>40</v>
      </c>
      <c r="L32" s="209"/>
      <c r="M32" s="209"/>
      <c r="N32" s="209" t="s">
        <v>96</v>
      </c>
      <c r="O32" s="209"/>
      <c r="P32" s="209"/>
      <c r="Q32" s="209" t="s">
        <v>42</v>
      </c>
      <c r="R32" s="209"/>
      <c r="S32" s="209"/>
      <c r="T32" s="231" t="s">
        <v>43</v>
      </c>
      <c r="U32" s="231"/>
      <c r="V32" s="231"/>
      <c r="W32" s="209" t="s">
        <v>44</v>
      </c>
      <c r="X32" s="209"/>
      <c r="Y32" s="232"/>
      <c r="Z32" s="115"/>
      <c r="AB32" s="192" t="s">
        <v>45</v>
      </c>
      <c r="AC32" s="193" t="s">
        <v>46</v>
      </c>
      <c r="AD32" s="194" t="s">
        <v>47</v>
      </c>
    </row>
    <row r="33" spans="1:30" ht="19.5" customHeight="1" x14ac:dyDescent="0.25">
      <c r="A33" s="88"/>
      <c r="B33" s="210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214"/>
      <c r="U33" s="214"/>
      <c r="V33" s="214"/>
      <c r="W33" s="186"/>
      <c r="X33" s="186"/>
      <c r="Y33" s="233"/>
      <c r="Z33" s="115"/>
      <c r="AB33" s="195"/>
      <c r="AC33" s="196"/>
      <c r="AD33" s="197"/>
    </row>
    <row r="34" spans="1:30" ht="19.5" customHeight="1" x14ac:dyDescent="0.25">
      <c r="A34" s="88"/>
      <c r="B34" s="211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216"/>
      <c r="U34" s="216"/>
      <c r="V34" s="216"/>
      <c r="W34" s="188"/>
      <c r="X34" s="188"/>
      <c r="Y34" s="234"/>
      <c r="Z34" s="115"/>
      <c r="AB34" s="198"/>
      <c r="AC34" s="199"/>
      <c r="AD34" s="200"/>
    </row>
    <row r="35" spans="1:30" ht="25.5" customHeight="1" x14ac:dyDescent="0.25">
      <c r="A35" s="88"/>
      <c r="B35" s="206" t="s">
        <v>95</v>
      </c>
      <c r="C35" s="190"/>
      <c r="D35" s="190"/>
      <c r="E35" s="190">
        <v>2259.1</v>
      </c>
      <c r="F35" s="190"/>
      <c r="G35" s="190"/>
      <c r="H35" s="190">
        <v>2292.5</v>
      </c>
      <c r="I35" s="190"/>
      <c r="J35" s="190"/>
      <c r="K35" s="190">
        <v>1284.5</v>
      </c>
      <c r="L35" s="190"/>
      <c r="M35" s="190"/>
      <c r="N35" s="218">
        <v>2321.5</v>
      </c>
      <c r="O35" s="218"/>
      <c r="P35" s="218"/>
      <c r="Q35" s="218">
        <v>93.6</v>
      </c>
      <c r="R35" s="218"/>
      <c r="S35" s="218"/>
      <c r="T35" s="218">
        <v>6.4</v>
      </c>
      <c r="U35" s="218"/>
      <c r="V35" s="218"/>
      <c r="W35" s="190">
        <v>9.6999999999999993</v>
      </c>
      <c r="X35" s="190"/>
      <c r="Y35" s="267"/>
      <c r="Z35" s="115"/>
      <c r="AB35" s="88">
        <v>10</v>
      </c>
      <c r="AC35" s="83">
        <v>1.0026999999999999</v>
      </c>
      <c r="AD35" s="87" t="str">
        <f>IF($F$24=AB35,AC35,"")</f>
        <v/>
      </c>
    </row>
    <row r="36" spans="1:30" ht="25.5" customHeight="1" x14ac:dyDescent="0.25">
      <c r="A36" s="88"/>
      <c r="B36" s="206" t="s">
        <v>94</v>
      </c>
      <c r="C36" s="190"/>
      <c r="D36" s="190"/>
      <c r="E36" s="190">
        <v>2268.6999999999998</v>
      </c>
      <c r="F36" s="190"/>
      <c r="G36" s="190"/>
      <c r="H36" s="190">
        <v>2304</v>
      </c>
      <c r="I36" s="190"/>
      <c r="J36" s="190"/>
      <c r="K36" s="190">
        <v>1316.7</v>
      </c>
      <c r="L36" s="190"/>
      <c r="M36" s="190"/>
      <c r="N36" s="218">
        <v>2387.6</v>
      </c>
      <c r="O36" s="218"/>
      <c r="P36" s="218"/>
      <c r="Q36" s="218">
        <v>96.3</v>
      </c>
      <c r="R36" s="218"/>
      <c r="S36" s="218"/>
      <c r="T36" s="218">
        <v>3.7</v>
      </c>
      <c r="U36" s="218"/>
      <c r="V36" s="218"/>
      <c r="W36" s="190">
        <v>9.5</v>
      </c>
      <c r="X36" s="190"/>
      <c r="Y36" s="267"/>
      <c r="Z36" s="115"/>
      <c r="AB36" s="88">
        <v>10</v>
      </c>
      <c r="AC36" s="83">
        <v>1.0026999999999999</v>
      </c>
      <c r="AD36" s="87" t="str">
        <f>IF($F$24=AB35,AC35,"")</f>
        <v/>
      </c>
    </row>
    <row r="37" spans="1:30" ht="25.5" customHeight="1" x14ac:dyDescent="0.25">
      <c r="A37" s="88"/>
      <c r="B37" s="206" t="s">
        <v>93</v>
      </c>
      <c r="C37" s="190"/>
      <c r="D37" s="190"/>
      <c r="E37" s="190">
        <v>1789.5</v>
      </c>
      <c r="F37" s="190"/>
      <c r="G37" s="190"/>
      <c r="H37" s="190">
        <v>1818.9</v>
      </c>
      <c r="I37" s="190"/>
      <c r="J37" s="190"/>
      <c r="K37" s="190">
        <v>1035.9000000000001</v>
      </c>
      <c r="L37" s="190"/>
      <c r="M37" s="190"/>
      <c r="N37" s="218">
        <v>2379.6</v>
      </c>
      <c r="O37" s="218"/>
      <c r="P37" s="218"/>
      <c r="Q37" s="218">
        <v>96</v>
      </c>
      <c r="R37" s="218"/>
      <c r="S37" s="218"/>
      <c r="T37" s="218">
        <v>4</v>
      </c>
      <c r="U37" s="218"/>
      <c r="V37" s="218"/>
      <c r="W37" s="190">
        <v>8.5</v>
      </c>
      <c r="X37" s="190"/>
      <c r="Y37" s="267"/>
      <c r="Z37" s="115"/>
      <c r="AB37" s="88">
        <v>10</v>
      </c>
      <c r="AC37" s="83">
        <v>1.0026999999999999</v>
      </c>
      <c r="AD37" s="87" t="str">
        <f>IF($F$24=AB35,AC35,"")</f>
        <v/>
      </c>
    </row>
    <row r="38" spans="1:30" ht="25.5" customHeight="1" x14ac:dyDescent="0.25">
      <c r="A38" s="88"/>
      <c r="B38" s="206" t="s">
        <v>92</v>
      </c>
      <c r="C38" s="190"/>
      <c r="D38" s="190"/>
      <c r="E38" s="190">
        <v>1558.2</v>
      </c>
      <c r="F38" s="190"/>
      <c r="G38" s="190"/>
      <c r="H38" s="190">
        <v>1592.4</v>
      </c>
      <c r="I38" s="190"/>
      <c r="J38" s="190"/>
      <c r="K38" s="190">
        <v>878.2</v>
      </c>
      <c r="L38" s="190"/>
      <c r="M38" s="190"/>
      <c r="N38" s="218">
        <v>2299.5</v>
      </c>
      <c r="O38" s="218"/>
      <c r="P38" s="218"/>
      <c r="Q38" s="218">
        <v>92.7</v>
      </c>
      <c r="R38" s="218"/>
      <c r="S38" s="218"/>
      <c r="T38" s="218">
        <v>7.3</v>
      </c>
      <c r="U38" s="218"/>
      <c r="V38" s="218"/>
      <c r="W38" s="190">
        <v>6.5</v>
      </c>
      <c r="X38" s="190"/>
      <c r="Y38" s="267"/>
      <c r="Z38" s="115"/>
      <c r="AB38" s="88">
        <v>10</v>
      </c>
      <c r="AC38" s="83">
        <v>1.0026999999999999</v>
      </c>
      <c r="AD38" s="87" t="str">
        <f>IF($F$24=AB35,AC35,"")</f>
        <v/>
      </c>
    </row>
    <row r="39" spans="1:30" ht="25.5" customHeight="1" x14ac:dyDescent="0.25">
      <c r="A39" s="88"/>
      <c r="B39" s="206" t="s">
        <v>91</v>
      </c>
      <c r="C39" s="190"/>
      <c r="D39" s="190"/>
      <c r="E39" s="190">
        <v>1893.1</v>
      </c>
      <c r="F39" s="190"/>
      <c r="G39" s="190"/>
      <c r="H39" s="190">
        <v>1921.8</v>
      </c>
      <c r="I39" s="190"/>
      <c r="J39" s="190"/>
      <c r="K39" s="190">
        <v>1064.4000000000001</v>
      </c>
      <c r="L39" s="190"/>
      <c r="M39" s="190"/>
      <c r="N39" s="218">
        <v>2288</v>
      </c>
      <c r="O39" s="218"/>
      <c r="P39" s="218"/>
      <c r="Q39" s="218">
        <v>92.3</v>
      </c>
      <c r="R39" s="218"/>
      <c r="S39" s="218"/>
      <c r="T39" s="218">
        <v>7.7</v>
      </c>
      <c r="U39" s="218"/>
      <c r="V39" s="218"/>
      <c r="W39" s="190">
        <v>8.1999999999999993</v>
      </c>
      <c r="X39" s="190"/>
      <c r="Y39" s="267"/>
      <c r="Z39" s="115"/>
      <c r="AB39" s="88">
        <v>10</v>
      </c>
      <c r="AC39" s="83">
        <v>1.0026999999999999</v>
      </c>
      <c r="AD39" s="87" t="str">
        <f>IF($F$24=AB35,AC35,"")</f>
        <v/>
      </c>
    </row>
    <row r="40" spans="1:30" ht="25.5" customHeight="1" x14ac:dyDescent="0.25">
      <c r="A40" s="88"/>
      <c r="B40" s="206" t="s">
        <v>90</v>
      </c>
      <c r="C40" s="190"/>
      <c r="D40" s="190"/>
      <c r="E40" s="190">
        <v>1953.2</v>
      </c>
      <c r="F40" s="190"/>
      <c r="G40" s="190"/>
      <c r="H40" s="190">
        <v>1984.2</v>
      </c>
      <c r="I40" s="190"/>
      <c r="J40" s="190"/>
      <c r="K40" s="190">
        <v>1123.0999999999999</v>
      </c>
      <c r="L40" s="190"/>
      <c r="M40" s="190"/>
      <c r="N40" s="218">
        <v>2357.5</v>
      </c>
      <c r="O40" s="218"/>
      <c r="P40" s="218"/>
      <c r="Q40" s="218">
        <v>95.1</v>
      </c>
      <c r="R40" s="218"/>
      <c r="S40" s="218"/>
      <c r="T40" s="218">
        <v>4.9000000000000004</v>
      </c>
      <c r="U40" s="218"/>
      <c r="V40" s="218"/>
      <c r="W40" s="190">
        <v>8.3000000000000007</v>
      </c>
      <c r="X40" s="190"/>
      <c r="Y40" s="267"/>
      <c r="Z40" s="115"/>
      <c r="AB40" s="88">
        <v>10</v>
      </c>
      <c r="AC40" s="83">
        <v>1.0026999999999999</v>
      </c>
      <c r="AD40" s="87" t="str">
        <f>IF($F$24=AB35,AC35,"")</f>
        <v/>
      </c>
    </row>
    <row r="41" spans="1:30" ht="25.5" customHeight="1" x14ac:dyDescent="0.25">
      <c r="A41" s="88"/>
      <c r="B41" s="206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218"/>
      <c r="O41" s="218"/>
      <c r="P41" s="218"/>
      <c r="Q41" s="218"/>
      <c r="R41" s="218"/>
      <c r="S41" s="218"/>
      <c r="T41" s="218"/>
      <c r="U41" s="218"/>
      <c r="V41" s="218"/>
      <c r="W41" s="190"/>
      <c r="X41" s="190"/>
      <c r="Y41" s="267"/>
      <c r="Z41" s="115"/>
      <c r="AB41" s="88"/>
      <c r="AC41" s="83"/>
      <c r="AD41" s="87"/>
    </row>
    <row r="42" spans="1:30" ht="25.5" customHeight="1" x14ac:dyDescent="0.25">
      <c r="A42" s="88"/>
      <c r="B42" s="206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218"/>
      <c r="O42" s="218"/>
      <c r="P42" s="218"/>
      <c r="Q42" s="218"/>
      <c r="R42" s="218"/>
      <c r="S42" s="218"/>
      <c r="T42" s="218"/>
      <c r="U42" s="218"/>
      <c r="V42" s="218"/>
      <c r="W42" s="190"/>
      <c r="X42" s="190"/>
      <c r="Y42" s="267"/>
      <c r="Z42" s="115"/>
      <c r="AB42" s="88"/>
      <c r="AC42" s="83"/>
      <c r="AD42" s="87"/>
    </row>
    <row r="43" spans="1:30" ht="25.5" customHeight="1" x14ac:dyDescent="0.25">
      <c r="A43" s="88"/>
      <c r="B43" s="206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218"/>
      <c r="O43" s="218"/>
      <c r="P43" s="218"/>
      <c r="Q43" s="218"/>
      <c r="R43" s="218"/>
      <c r="S43" s="218"/>
      <c r="T43" s="218"/>
      <c r="U43" s="218"/>
      <c r="V43" s="218"/>
      <c r="W43" s="190"/>
      <c r="X43" s="190"/>
      <c r="Y43" s="267"/>
      <c r="Z43" s="115"/>
      <c r="AB43" s="88"/>
      <c r="AC43" s="83"/>
      <c r="AD43" s="87"/>
    </row>
    <row r="44" spans="1:30" ht="25.5" customHeight="1" x14ac:dyDescent="0.25">
      <c r="A44" s="88"/>
      <c r="B44" s="206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218"/>
      <c r="O44" s="218"/>
      <c r="P44" s="218"/>
      <c r="Q44" s="218"/>
      <c r="R44" s="218"/>
      <c r="S44" s="218"/>
      <c r="T44" s="218"/>
      <c r="U44" s="218"/>
      <c r="V44" s="218"/>
      <c r="W44" s="190"/>
      <c r="X44" s="190"/>
      <c r="Y44" s="267"/>
      <c r="Z44" s="115"/>
      <c r="AB44" s="88"/>
      <c r="AC44" s="83"/>
      <c r="AD44" s="87"/>
    </row>
    <row r="45" spans="1:30" ht="25.5" customHeight="1" x14ac:dyDescent="0.25">
      <c r="A45" s="88"/>
      <c r="B45" s="206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218"/>
      <c r="O45" s="218"/>
      <c r="P45" s="218"/>
      <c r="Q45" s="218"/>
      <c r="R45" s="218"/>
      <c r="S45" s="218"/>
      <c r="T45" s="218"/>
      <c r="U45" s="218"/>
      <c r="V45" s="218"/>
      <c r="W45" s="190"/>
      <c r="X45" s="190"/>
      <c r="Y45" s="267"/>
      <c r="Z45" s="115"/>
      <c r="AB45" s="88"/>
      <c r="AC45" s="83"/>
      <c r="AD45" s="87"/>
    </row>
    <row r="46" spans="1:30" ht="25.5" customHeight="1" x14ac:dyDescent="0.25">
      <c r="A46" s="88"/>
      <c r="B46" s="206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218"/>
      <c r="O46" s="218"/>
      <c r="P46" s="218"/>
      <c r="Q46" s="218"/>
      <c r="R46" s="218"/>
      <c r="S46" s="218"/>
      <c r="T46" s="218"/>
      <c r="U46" s="218"/>
      <c r="V46" s="218"/>
      <c r="W46" s="190"/>
      <c r="X46" s="190"/>
      <c r="Y46" s="267"/>
      <c r="Z46" s="115"/>
      <c r="AB46" s="88"/>
      <c r="AC46" s="83"/>
      <c r="AD46" s="87"/>
    </row>
    <row r="47" spans="1:30" ht="25.5" customHeight="1" x14ac:dyDescent="0.25">
      <c r="A47" s="88"/>
      <c r="B47" s="206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218"/>
      <c r="O47" s="218"/>
      <c r="P47" s="218"/>
      <c r="Q47" s="218"/>
      <c r="R47" s="218"/>
      <c r="S47" s="218"/>
      <c r="T47" s="218"/>
      <c r="U47" s="218"/>
      <c r="V47" s="218"/>
      <c r="W47" s="190"/>
      <c r="X47" s="190"/>
      <c r="Y47" s="267"/>
      <c r="Z47" s="115"/>
      <c r="AB47" s="88"/>
      <c r="AC47" s="83"/>
      <c r="AD47" s="87"/>
    </row>
    <row r="48" spans="1:30" ht="25.5" customHeight="1" x14ac:dyDescent="0.25">
      <c r="A48" s="88"/>
      <c r="B48" s="206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218"/>
      <c r="O48" s="218"/>
      <c r="P48" s="218"/>
      <c r="Q48" s="218"/>
      <c r="R48" s="218"/>
      <c r="S48" s="218"/>
      <c r="T48" s="218"/>
      <c r="U48" s="218"/>
      <c r="V48" s="218"/>
      <c r="W48" s="190"/>
      <c r="X48" s="190"/>
      <c r="Y48" s="267"/>
      <c r="Z48" s="115"/>
      <c r="AB48" s="88"/>
      <c r="AC48" s="83"/>
      <c r="AD48" s="87"/>
    </row>
    <row r="49" spans="1:30" ht="25.5" customHeight="1" x14ac:dyDescent="0.25">
      <c r="A49" s="88"/>
      <c r="B49" s="206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218"/>
      <c r="O49" s="218"/>
      <c r="P49" s="218"/>
      <c r="Q49" s="218"/>
      <c r="R49" s="218"/>
      <c r="S49" s="218"/>
      <c r="T49" s="218"/>
      <c r="U49" s="218"/>
      <c r="V49" s="218"/>
      <c r="W49" s="190"/>
      <c r="X49" s="190"/>
      <c r="Y49" s="267"/>
      <c r="Z49" s="115"/>
      <c r="AB49" s="88"/>
      <c r="AC49" s="83"/>
      <c r="AD49" s="87"/>
    </row>
    <row r="50" spans="1:30" ht="25.5" customHeight="1" x14ac:dyDescent="0.25">
      <c r="A50" s="88"/>
      <c r="B50" s="206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218"/>
      <c r="O50" s="218"/>
      <c r="P50" s="218"/>
      <c r="Q50" s="218"/>
      <c r="R50" s="218"/>
      <c r="S50" s="218"/>
      <c r="T50" s="218"/>
      <c r="U50" s="218"/>
      <c r="V50" s="218"/>
      <c r="W50" s="190"/>
      <c r="X50" s="190"/>
      <c r="Y50" s="267"/>
      <c r="Z50" s="115"/>
      <c r="AB50" s="88"/>
      <c r="AC50" s="83"/>
      <c r="AD50" s="87"/>
    </row>
    <row r="51" spans="1:30" ht="25.5" customHeight="1" x14ac:dyDescent="0.25">
      <c r="A51" s="88"/>
      <c r="B51" s="206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218"/>
      <c r="O51" s="218"/>
      <c r="P51" s="218"/>
      <c r="Q51" s="218"/>
      <c r="R51" s="218"/>
      <c r="S51" s="218"/>
      <c r="T51" s="218"/>
      <c r="U51" s="218"/>
      <c r="V51" s="218"/>
      <c r="W51" s="190"/>
      <c r="X51" s="190"/>
      <c r="Y51" s="267"/>
      <c r="Z51" s="115"/>
      <c r="AB51" s="88"/>
      <c r="AC51" s="83"/>
      <c r="AD51" s="87"/>
    </row>
    <row r="52" spans="1:30" ht="25.5" customHeight="1" thickBot="1" x14ac:dyDescent="0.3">
      <c r="A52" s="88"/>
      <c r="B52" s="291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6"/>
      <c r="Z52" s="115"/>
      <c r="AB52" s="88">
        <v>11</v>
      </c>
      <c r="AC52" s="83">
        <v>1.0025999999999999</v>
      </c>
      <c r="AD52" s="87" t="str">
        <f t="shared" ref="AD52:AD71" si="0">IF($F$24=AB52,AC52,"")</f>
        <v/>
      </c>
    </row>
    <row r="53" spans="1:30" ht="12.75" customHeight="1" x14ac:dyDescent="0.25"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8"/>
      <c r="O53" s="118"/>
      <c r="P53" s="118"/>
      <c r="Q53" s="117"/>
      <c r="R53" s="117"/>
      <c r="S53" s="117"/>
      <c r="T53" s="117"/>
      <c r="U53" s="117"/>
      <c r="V53" s="117"/>
      <c r="W53" s="116"/>
      <c r="X53" s="116"/>
      <c r="Y53" s="116"/>
      <c r="Z53" s="115"/>
      <c r="AB53" s="88">
        <v>12</v>
      </c>
      <c r="AC53" s="83">
        <v>1.0024999999999999</v>
      </c>
      <c r="AD53" s="87" t="str">
        <f t="shared" si="0"/>
        <v/>
      </c>
    </row>
    <row r="54" spans="1:30" ht="15.9" customHeight="1" x14ac:dyDescent="0.25">
      <c r="A54" s="114"/>
      <c r="B54" s="113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1"/>
      <c r="AB54" s="88">
        <v>13</v>
      </c>
      <c r="AC54" s="83">
        <v>1.0023</v>
      </c>
      <c r="AD54" s="87" t="str">
        <f t="shared" si="0"/>
        <v/>
      </c>
    </row>
    <row r="55" spans="1:30" ht="12.75" customHeight="1" x14ac:dyDescent="0.25">
      <c r="A55" s="110"/>
      <c r="B55" s="109"/>
      <c r="AB55" s="88">
        <v>14</v>
      </c>
      <c r="AC55" s="83">
        <v>1.0022</v>
      </c>
      <c r="AD55" s="87" t="str">
        <f t="shared" si="0"/>
        <v/>
      </c>
    </row>
    <row r="56" spans="1:30" s="90" customFormat="1" ht="15.6" customHeight="1" x14ac:dyDescent="0.3">
      <c r="A56" s="108" t="s">
        <v>52</v>
      </c>
      <c r="B56" s="107" t="s">
        <v>53</v>
      </c>
      <c r="C56" s="106"/>
      <c r="D56" s="106"/>
      <c r="E56" s="106"/>
      <c r="F56" s="105"/>
      <c r="G56" s="105"/>
      <c r="H56" s="105"/>
      <c r="I56" s="104"/>
      <c r="J56" s="104"/>
      <c r="K56" s="104"/>
      <c r="L56" s="104"/>
      <c r="M56" s="104"/>
      <c r="N56" s="104"/>
      <c r="O56" s="104"/>
      <c r="P56" s="104"/>
      <c r="Q56" s="105"/>
      <c r="R56" s="104"/>
      <c r="S56" s="104"/>
      <c r="T56" s="104"/>
      <c r="U56" s="224"/>
      <c r="V56" s="224"/>
      <c r="W56" s="224"/>
      <c r="X56" s="225"/>
      <c r="Y56" s="225"/>
      <c r="Z56" s="226"/>
      <c r="AA56" s="103"/>
      <c r="AB56" s="88">
        <v>15</v>
      </c>
      <c r="AC56" s="83">
        <v>1.0021</v>
      </c>
      <c r="AD56" s="87" t="str">
        <f t="shared" si="0"/>
        <v/>
      </c>
    </row>
    <row r="57" spans="1:30" s="90" customFormat="1" ht="25.8" customHeight="1" x14ac:dyDescent="0.3">
      <c r="A57" s="275" t="s">
        <v>54</v>
      </c>
      <c r="B57" s="276"/>
      <c r="C57" s="276"/>
      <c r="D57" s="276"/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7"/>
      <c r="R57" s="221" t="s">
        <v>55</v>
      </c>
      <c r="S57" s="222"/>
      <c r="T57" s="223"/>
      <c r="U57" s="227" t="s">
        <v>56</v>
      </c>
      <c r="V57" s="228"/>
      <c r="W57" s="228"/>
      <c r="X57" s="228"/>
      <c r="Y57" s="228"/>
      <c r="Z57" s="297"/>
      <c r="AA57" s="103"/>
      <c r="AB57" s="88">
        <v>16</v>
      </c>
      <c r="AC57" s="83">
        <v>1.0019</v>
      </c>
      <c r="AD57" s="87" t="str">
        <f t="shared" si="0"/>
        <v/>
      </c>
    </row>
    <row r="58" spans="1:30" s="90" customFormat="1" ht="15.6" customHeight="1" x14ac:dyDescent="0.3">
      <c r="A58" s="269" t="s">
        <v>57</v>
      </c>
      <c r="B58" s="270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1"/>
      <c r="R58" s="221" t="s">
        <v>58</v>
      </c>
      <c r="S58" s="222"/>
      <c r="T58" s="223"/>
      <c r="U58" s="256" t="s">
        <v>59</v>
      </c>
      <c r="V58" s="257"/>
      <c r="W58" s="257"/>
      <c r="X58" s="257"/>
      <c r="Y58" s="257"/>
      <c r="Z58" s="293"/>
      <c r="AA58" s="103"/>
      <c r="AB58" s="88">
        <v>17</v>
      </c>
      <c r="AC58" s="83">
        <v>1.0017</v>
      </c>
      <c r="AD58" s="87" t="str">
        <f t="shared" si="0"/>
        <v/>
      </c>
    </row>
    <row r="59" spans="1:30" s="90" customFormat="1" ht="15.6" customHeight="1" x14ac:dyDescent="0.3">
      <c r="A59" s="272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4"/>
      <c r="R59" s="221"/>
      <c r="S59" s="222"/>
      <c r="T59" s="223"/>
      <c r="U59" s="260"/>
      <c r="V59" s="255"/>
      <c r="W59" s="255"/>
      <c r="X59" s="255"/>
      <c r="Y59" s="255"/>
      <c r="Z59" s="294"/>
      <c r="AA59" s="103"/>
      <c r="AB59" s="88">
        <v>18</v>
      </c>
      <c r="AC59" s="83">
        <v>1.0016</v>
      </c>
      <c r="AD59" s="87" t="str">
        <f t="shared" si="0"/>
        <v/>
      </c>
    </row>
    <row r="60" spans="1:30" s="90" customFormat="1" ht="15.6" customHeight="1" x14ac:dyDescent="0.25">
      <c r="A60" s="102" t="s">
        <v>60</v>
      </c>
      <c r="B60" s="101" t="s">
        <v>61</v>
      </c>
      <c r="C60" s="82"/>
      <c r="D60" s="82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99"/>
      <c r="R60" s="221"/>
      <c r="S60" s="222"/>
      <c r="T60" s="223"/>
      <c r="U60" s="263"/>
      <c r="V60" s="264"/>
      <c r="W60" s="264"/>
      <c r="X60" s="264"/>
      <c r="Y60" s="264"/>
      <c r="Z60" s="295"/>
      <c r="AB60" s="88">
        <v>19</v>
      </c>
      <c r="AC60" s="83">
        <v>1.0014000000000001</v>
      </c>
      <c r="AD60" s="87" t="str">
        <f t="shared" si="0"/>
        <v/>
      </c>
    </row>
    <row r="61" spans="1:30" s="90" customFormat="1" ht="15.6" customHeight="1" x14ac:dyDescent="0.25">
      <c r="A61" s="246"/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8"/>
      <c r="R61" s="221" t="s">
        <v>62</v>
      </c>
      <c r="S61" s="222"/>
      <c r="T61" s="223"/>
      <c r="U61" s="98"/>
      <c r="V61" s="97"/>
      <c r="W61" s="97"/>
      <c r="X61" s="97"/>
      <c r="Y61" s="97"/>
      <c r="Z61" s="96"/>
      <c r="AB61" s="88">
        <v>20</v>
      </c>
      <c r="AC61" s="83">
        <v>1.0012000000000001</v>
      </c>
      <c r="AD61" s="87" t="str">
        <f t="shared" si="0"/>
        <v/>
      </c>
    </row>
    <row r="62" spans="1:30" s="90" customFormat="1" ht="15.6" customHeight="1" x14ac:dyDescent="0.25">
      <c r="A62" s="246"/>
      <c r="B62" s="247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8"/>
      <c r="R62" s="221"/>
      <c r="S62" s="222"/>
      <c r="T62" s="223"/>
      <c r="U62" s="95"/>
      <c r="V62" s="255"/>
      <c r="W62" s="255"/>
      <c r="X62" s="255"/>
      <c r="Y62" s="255"/>
      <c r="Z62" s="94"/>
      <c r="AB62" s="88">
        <v>21</v>
      </c>
      <c r="AC62" s="89">
        <v>1.0009999999999999</v>
      </c>
      <c r="AD62" s="87" t="str">
        <f t="shared" si="0"/>
        <v/>
      </c>
    </row>
    <row r="63" spans="1:30" s="90" customFormat="1" ht="15.6" customHeight="1" x14ac:dyDescent="0.25">
      <c r="A63" s="246"/>
      <c r="B63" s="247"/>
      <c r="C63" s="247"/>
      <c r="D63" s="247"/>
      <c r="E63" s="247"/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8"/>
      <c r="R63" s="221"/>
      <c r="S63" s="222"/>
      <c r="T63" s="223"/>
      <c r="U63" s="95"/>
      <c r="V63" s="255"/>
      <c r="W63" s="255"/>
      <c r="X63" s="255"/>
      <c r="Y63" s="255"/>
      <c r="Z63" s="94"/>
      <c r="AB63" s="88">
        <v>22</v>
      </c>
      <c r="AC63" s="83">
        <v>1.0006999999999999</v>
      </c>
      <c r="AD63" s="87" t="str">
        <f t="shared" si="0"/>
        <v/>
      </c>
    </row>
    <row r="64" spans="1:30" s="90" customFormat="1" ht="15.6" customHeight="1" x14ac:dyDescent="0.25">
      <c r="A64" s="249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1"/>
      <c r="R64" s="252"/>
      <c r="S64" s="253"/>
      <c r="T64" s="254"/>
      <c r="U64" s="93"/>
      <c r="V64" s="92"/>
      <c r="W64" s="92"/>
      <c r="X64" s="92"/>
      <c r="Y64" s="92"/>
      <c r="Z64" s="91"/>
      <c r="AB64" s="88">
        <v>23</v>
      </c>
      <c r="AC64" s="83">
        <v>1.0004999999999999</v>
      </c>
      <c r="AD64" s="87" t="str">
        <f t="shared" si="0"/>
        <v/>
      </c>
    </row>
    <row r="65" spans="28:30" ht="12.75" customHeight="1" x14ac:dyDescent="0.25">
      <c r="AB65" s="88">
        <v>24</v>
      </c>
      <c r="AC65" s="83">
        <v>1.0003</v>
      </c>
      <c r="AD65" s="87">
        <f t="shared" si="0"/>
        <v>1.0003</v>
      </c>
    </row>
    <row r="66" spans="28:30" ht="12.75" customHeight="1" x14ac:dyDescent="0.25">
      <c r="AB66" s="88">
        <v>25</v>
      </c>
      <c r="AC66" s="89">
        <v>1</v>
      </c>
      <c r="AD66" s="87" t="str">
        <f t="shared" si="0"/>
        <v/>
      </c>
    </row>
    <row r="67" spans="28:30" ht="12.75" customHeight="1" x14ac:dyDescent="0.25">
      <c r="AB67" s="88">
        <v>26</v>
      </c>
      <c r="AC67" s="83">
        <v>0.99970000000000003</v>
      </c>
      <c r="AD67" s="87" t="str">
        <f t="shared" si="0"/>
        <v/>
      </c>
    </row>
    <row r="68" spans="28:30" ht="12.75" customHeight="1" x14ac:dyDescent="0.25">
      <c r="AB68" s="88">
        <v>27</v>
      </c>
      <c r="AC68" s="83">
        <v>0.99950000000000006</v>
      </c>
      <c r="AD68" s="87" t="str">
        <f t="shared" si="0"/>
        <v/>
      </c>
    </row>
    <row r="69" spans="28:30" ht="12.75" customHeight="1" x14ac:dyDescent="0.25">
      <c r="AB69" s="88">
        <v>28</v>
      </c>
      <c r="AC69" s="83">
        <v>0.99919999999999998</v>
      </c>
      <c r="AD69" s="87" t="str">
        <f t="shared" si="0"/>
        <v/>
      </c>
    </row>
    <row r="70" spans="28:30" ht="12.75" customHeight="1" x14ac:dyDescent="0.25">
      <c r="AB70" s="88">
        <v>29</v>
      </c>
      <c r="AC70" s="83">
        <v>0.99890000000000001</v>
      </c>
      <c r="AD70" s="87" t="str">
        <f t="shared" si="0"/>
        <v/>
      </c>
    </row>
    <row r="71" spans="28:30" ht="12.75" customHeight="1" x14ac:dyDescent="0.25">
      <c r="AB71" s="86">
        <v>30</v>
      </c>
      <c r="AC71" s="85">
        <v>0.99860000000000004</v>
      </c>
      <c r="AD71" s="84" t="str">
        <f t="shared" si="0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206">
    <mergeCell ref="T48:V48"/>
    <mergeCell ref="W48:Y48"/>
    <mergeCell ref="B49:D49"/>
    <mergeCell ref="E49:G49"/>
    <mergeCell ref="H49:J49"/>
    <mergeCell ref="K49:M49"/>
    <mergeCell ref="N49:P49"/>
    <mergeCell ref="Q49:S49"/>
    <mergeCell ref="T49:V49"/>
    <mergeCell ref="W49:Y49"/>
    <mergeCell ref="B48:D48"/>
    <mergeCell ref="E48:G48"/>
    <mergeCell ref="H48:J48"/>
    <mergeCell ref="K48:M48"/>
    <mergeCell ref="N48:P48"/>
    <mergeCell ref="Q48:S48"/>
    <mergeCell ref="L6:O6"/>
    <mergeCell ref="P6:T6"/>
    <mergeCell ref="N46:P46"/>
    <mergeCell ref="Q46:S46"/>
    <mergeCell ref="T46:V46"/>
    <mergeCell ref="W46:Y46"/>
    <mergeCell ref="B47:D47"/>
    <mergeCell ref="E47:G47"/>
    <mergeCell ref="H47:J47"/>
    <mergeCell ref="K47:M47"/>
    <mergeCell ref="N47:P47"/>
    <mergeCell ref="Q47:S47"/>
    <mergeCell ref="B27:E29"/>
    <mergeCell ref="B18:H18"/>
    <mergeCell ref="B17:H17"/>
    <mergeCell ref="E35:G35"/>
    <mergeCell ref="N35:P35"/>
    <mergeCell ref="A1:F6"/>
    <mergeCell ref="G1:T1"/>
    <mergeCell ref="B11:G11"/>
    <mergeCell ref="S10:Y10"/>
    <mergeCell ref="B35:D35"/>
    <mergeCell ref="N10:R10"/>
    <mergeCell ref="N11:R11"/>
    <mergeCell ref="N12:R12"/>
    <mergeCell ref="H10:M10"/>
    <mergeCell ref="H11:M11"/>
    <mergeCell ref="B32:D34"/>
    <mergeCell ref="B24:E26"/>
    <mergeCell ref="U1:Z6"/>
    <mergeCell ref="G2:T4"/>
    <mergeCell ref="G5:H5"/>
    <mergeCell ref="J5:K5"/>
    <mergeCell ref="L5:O5"/>
    <mergeCell ref="P5:T5"/>
    <mergeCell ref="J6:K6"/>
    <mergeCell ref="K52:M52"/>
    <mergeCell ref="N52:P52"/>
    <mergeCell ref="Q36:S36"/>
    <mergeCell ref="T36:V36"/>
    <mergeCell ref="A7:F7"/>
    <mergeCell ref="G7:Z7"/>
    <mergeCell ref="B10:G10"/>
    <mergeCell ref="H12:M12"/>
    <mergeCell ref="S11:Y11"/>
    <mergeCell ref="B12:G12"/>
    <mergeCell ref="Q32:S34"/>
    <mergeCell ref="B39:D39"/>
    <mergeCell ref="Q39:S39"/>
    <mergeCell ref="T39:V39"/>
    <mergeCell ref="W41:Y41"/>
    <mergeCell ref="B40:D40"/>
    <mergeCell ref="E40:G40"/>
    <mergeCell ref="H40:J40"/>
    <mergeCell ref="K40:M40"/>
    <mergeCell ref="N40:P40"/>
    <mergeCell ref="Q40:S40"/>
    <mergeCell ref="T40:V40"/>
    <mergeCell ref="W40:Y40"/>
    <mergeCell ref="B41:D41"/>
    <mergeCell ref="R57:T57"/>
    <mergeCell ref="U56:Z56"/>
    <mergeCell ref="U57:Z57"/>
    <mergeCell ref="S12:Y12"/>
    <mergeCell ref="T32:V34"/>
    <mergeCell ref="W32:Y34"/>
    <mergeCell ref="Q35:S35"/>
    <mergeCell ref="I17:Y17"/>
    <mergeCell ref="I18:Y18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W38:Y38"/>
    <mergeCell ref="E39:G39"/>
    <mergeCell ref="H39:J39"/>
    <mergeCell ref="K39:M39"/>
    <mergeCell ref="N39:P39"/>
    <mergeCell ref="A61:Q64"/>
    <mergeCell ref="R58:T60"/>
    <mergeCell ref="R61:T64"/>
    <mergeCell ref="H35:J35"/>
    <mergeCell ref="K35:M35"/>
    <mergeCell ref="AD32:AD34"/>
    <mergeCell ref="E32:G34"/>
    <mergeCell ref="H32:J34"/>
    <mergeCell ref="K32:M34"/>
    <mergeCell ref="N32:P34"/>
    <mergeCell ref="V62:Y63"/>
    <mergeCell ref="AB32:AB34"/>
    <mergeCell ref="AC32:AC34"/>
    <mergeCell ref="U58:Z60"/>
    <mergeCell ref="T35:V35"/>
    <mergeCell ref="W35:Y35"/>
    <mergeCell ref="T52:V52"/>
    <mergeCell ref="W52:Y52"/>
    <mergeCell ref="T47:V47"/>
    <mergeCell ref="W47:Y47"/>
    <mergeCell ref="E36:G36"/>
    <mergeCell ref="H36:J36"/>
    <mergeCell ref="K36:M36"/>
    <mergeCell ref="N36:P36"/>
    <mergeCell ref="A58:Q59"/>
    <mergeCell ref="A57:Q57"/>
    <mergeCell ref="B52:D52"/>
    <mergeCell ref="E52:G52"/>
    <mergeCell ref="Q52:S52"/>
    <mergeCell ref="H52:J52"/>
    <mergeCell ref="W36:Y36"/>
    <mergeCell ref="B37:D37"/>
    <mergeCell ref="E37:G37"/>
    <mergeCell ref="H37:J37"/>
    <mergeCell ref="K37:M37"/>
    <mergeCell ref="N37:P37"/>
    <mergeCell ref="Q37:S37"/>
    <mergeCell ref="T37:V37"/>
    <mergeCell ref="W37:Y37"/>
    <mergeCell ref="B36:D36"/>
    <mergeCell ref="W39:Y39"/>
    <mergeCell ref="B38:D38"/>
    <mergeCell ref="E38:G38"/>
    <mergeCell ref="H38:J38"/>
    <mergeCell ref="K38:M38"/>
    <mergeCell ref="N38:P38"/>
    <mergeCell ref="Q38:S38"/>
    <mergeCell ref="T38:V38"/>
    <mergeCell ref="E41:G41"/>
    <mergeCell ref="H41:J41"/>
    <mergeCell ref="K41:M41"/>
    <mergeCell ref="N41:P41"/>
    <mergeCell ref="Q41:S41"/>
    <mergeCell ref="T41:V41"/>
    <mergeCell ref="W43:Y43"/>
    <mergeCell ref="B42:D42"/>
    <mergeCell ref="E42:G42"/>
    <mergeCell ref="H42:J42"/>
    <mergeCell ref="K42:M42"/>
    <mergeCell ref="N42:P42"/>
    <mergeCell ref="Q42:S42"/>
    <mergeCell ref="T42:V42"/>
    <mergeCell ref="W42:Y42"/>
    <mergeCell ref="B43:D43"/>
    <mergeCell ref="E43:G43"/>
    <mergeCell ref="H43:J43"/>
    <mergeCell ref="K43:M43"/>
    <mergeCell ref="N43:P43"/>
    <mergeCell ref="Q43:S43"/>
    <mergeCell ref="T43:V43"/>
    <mergeCell ref="W45:Y45"/>
    <mergeCell ref="B44:D44"/>
    <mergeCell ref="E44:G44"/>
    <mergeCell ref="H44:J44"/>
    <mergeCell ref="K44:M44"/>
    <mergeCell ref="N44:P44"/>
    <mergeCell ref="Q44:S44"/>
    <mergeCell ref="T44:V44"/>
    <mergeCell ref="W44:Y44"/>
    <mergeCell ref="B45:D45"/>
    <mergeCell ref="E45:G45"/>
    <mergeCell ref="H45:J45"/>
    <mergeCell ref="K45:M45"/>
    <mergeCell ref="N45:P45"/>
    <mergeCell ref="Q45:S45"/>
    <mergeCell ref="T45:V45"/>
    <mergeCell ref="B46:D46"/>
    <mergeCell ref="E46:G46"/>
    <mergeCell ref="H46:J46"/>
    <mergeCell ref="K46:M46"/>
    <mergeCell ref="B50:D50"/>
    <mergeCell ref="E50:G50"/>
    <mergeCell ref="H50:J50"/>
    <mergeCell ref="K50:M50"/>
    <mergeCell ref="N50:P50"/>
    <mergeCell ref="Q51:S51"/>
    <mergeCell ref="T51:V51"/>
    <mergeCell ref="W51:Y51"/>
    <mergeCell ref="B51:D51"/>
    <mergeCell ref="E51:G51"/>
    <mergeCell ref="H51:J51"/>
    <mergeCell ref="K51:M51"/>
    <mergeCell ref="N51:P51"/>
    <mergeCell ref="W50:Y50"/>
    <mergeCell ref="Q50:S50"/>
    <mergeCell ref="T50:V50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2DDC-96A2-4000-B01E-2CF0B790DCD1}">
  <sheetPr>
    <pageSetUpPr fitToPage="1"/>
  </sheetPr>
  <dimension ref="A1:AF70"/>
  <sheetViews>
    <sheetView topLeftCell="A19" workbookViewId="0">
      <selection activeCell="I18" sqref="I18:Y18"/>
    </sheetView>
  </sheetViews>
  <sheetFormatPr baseColWidth="10" defaultColWidth="11.44140625" defaultRowHeight="12.75" customHeight="1" x14ac:dyDescent="0.25"/>
  <cols>
    <col min="1" max="1" width="5.109375" style="83" customWidth="1"/>
    <col min="2" max="26" width="5.109375" style="82" customWidth="1"/>
    <col min="27" max="27" width="20" style="82" customWidth="1"/>
    <col min="28" max="28" width="28.109375" style="82" customWidth="1"/>
    <col min="29" max="29" width="22.88671875" style="82" customWidth="1"/>
    <col min="30" max="30" width="29.33203125" style="82" customWidth="1"/>
    <col min="31" max="31" width="11.44140625" style="82"/>
    <col min="32" max="16384" width="11.44140625" style="81"/>
  </cols>
  <sheetData>
    <row r="1" spans="1:32" ht="12.75" customHeight="1" x14ac:dyDescent="0.25">
      <c r="A1" s="192"/>
      <c r="B1" s="193"/>
      <c r="C1" s="193"/>
      <c r="D1" s="193"/>
      <c r="E1" s="193"/>
      <c r="F1" s="194"/>
      <c r="G1" s="201" t="s">
        <v>0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3"/>
      <c r="U1" s="298" t="s">
        <v>1</v>
      </c>
      <c r="V1" s="299"/>
      <c r="W1" s="299"/>
      <c r="X1" s="299"/>
      <c r="Y1" s="299"/>
      <c r="Z1" s="300"/>
    </row>
    <row r="2" spans="1:32" ht="12.75" customHeight="1" x14ac:dyDescent="0.3">
      <c r="A2" s="195"/>
      <c r="B2" s="196"/>
      <c r="C2" s="196"/>
      <c r="D2" s="196"/>
      <c r="E2" s="196"/>
      <c r="F2" s="197"/>
      <c r="G2" s="168" t="s">
        <v>2</v>
      </c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70"/>
      <c r="U2" s="301"/>
      <c r="V2" s="302"/>
      <c r="W2" s="302"/>
      <c r="X2" s="302"/>
      <c r="Y2" s="302"/>
      <c r="Z2" s="303"/>
      <c r="AA2" s="103"/>
      <c r="AB2" s="103"/>
    </row>
    <row r="3" spans="1:32" ht="12.75" customHeight="1" x14ac:dyDescent="0.3">
      <c r="A3" s="195"/>
      <c r="B3" s="196"/>
      <c r="C3" s="196"/>
      <c r="D3" s="196"/>
      <c r="E3" s="196"/>
      <c r="F3" s="197"/>
      <c r="G3" s="168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70"/>
      <c r="U3" s="301"/>
      <c r="V3" s="302"/>
      <c r="W3" s="302"/>
      <c r="X3" s="302"/>
      <c r="Y3" s="302"/>
      <c r="Z3" s="303"/>
      <c r="AA3" s="103"/>
      <c r="AB3" s="103"/>
    </row>
    <row r="4" spans="1:32" ht="12.75" customHeight="1" x14ac:dyDescent="0.3">
      <c r="A4" s="195"/>
      <c r="B4" s="196"/>
      <c r="C4" s="196"/>
      <c r="D4" s="196"/>
      <c r="E4" s="196"/>
      <c r="F4" s="197"/>
      <c r="G4" s="168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70"/>
      <c r="U4" s="301"/>
      <c r="V4" s="302"/>
      <c r="W4" s="302"/>
      <c r="X4" s="302"/>
      <c r="Y4" s="302"/>
      <c r="Z4" s="303"/>
      <c r="AA4" s="103"/>
      <c r="AB4" s="103"/>
    </row>
    <row r="5" spans="1:32" ht="12.75" customHeight="1" x14ac:dyDescent="0.3">
      <c r="A5" s="195"/>
      <c r="B5" s="196"/>
      <c r="C5" s="196"/>
      <c r="D5" s="196"/>
      <c r="E5" s="196"/>
      <c r="F5" s="197"/>
      <c r="G5" s="171"/>
      <c r="H5" s="172"/>
      <c r="I5" s="153" t="s">
        <v>3</v>
      </c>
      <c r="J5" s="173">
        <v>5</v>
      </c>
      <c r="K5" s="174"/>
      <c r="L5" s="175" t="s">
        <v>4</v>
      </c>
      <c r="M5" s="176"/>
      <c r="N5" s="176"/>
      <c r="O5" s="177"/>
      <c r="P5" s="178" t="s">
        <v>100</v>
      </c>
      <c r="Q5" s="179"/>
      <c r="R5" s="179"/>
      <c r="S5" s="179"/>
      <c r="T5" s="180"/>
      <c r="U5" s="301"/>
      <c r="V5" s="302"/>
      <c r="W5" s="302"/>
      <c r="X5" s="302"/>
      <c r="Y5" s="302"/>
      <c r="Z5" s="303"/>
      <c r="AA5" s="103"/>
      <c r="AB5" s="103"/>
    </row>
    <row r="6" spans="1:32" ht="12.75" customHeight="1" x14ac:dyDescent="0.25">
      <c r="A6" s="198"/>
      <c r="B6" s="199"/>
      <c r="C6" s="199"/>
      <c r="D6" s="199"/>
      <c r="E6" s="199"/>
      <c r="F6" s="200"/>
      <c r="G6" s="152"/>
      <c r="H6" s="112"/>
      <c r="I6" s="112"/>
      <c r="J6" s="181" t="s">
        <v>6</v>
      </c>
      <c r="K6" s="181"/>
      <c r="L6" s="181" t="s">
        <v>7</v>
      </c>
      <c r="M6" s="181"/>
      <c r="N6" s="181"/>
      <c r="O6" s="181"/>
      <c r="P6" s="181" t="s">
        <v>8</v>
      </c>
      <c r="Q6" s="181"/>
      <c r="R6" s="181"/>
      <c r="S6" s="181"/>
      <c r="T6" s="182"/>
      <c r="U6" s="304"/>
      <c r="V6" s="305"/>
      <c r="W6" s="305"/>
      <c r="X6" s="305"/>
      <c r="Y6" s="305"/>
      <c r="Z6" s="306"/>
    </row>
    <row r="7" spans="1:32" ht="36.6" customHeight="1" x14ac:dyDescent="0.25">
      <c r="A7" s="219" t="s">
        <v>9</v>
      </c>
      <c r="B7" s="219"/>
      <c r="C7" s="219"/>
      <c r="D7" s="219"/>
      <c r="E7" s="219"/>
      <c r="F7" s="219"/>
      <c r="G7" s="220" t="s">
        <v>10</v>
      </c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</row>
    <row r="8" spans="1:32" ht="15.9" customHeight="1" x14ac:dyDescent="0.3">
      <c r="A8" s="142" t="s">
        <v>11</v>
      </c>
      <c r="B8" s="141" t="s">
        <v>12</v>
      </c>
      <c r="C8" s="151"/>
      <c r="D8" s="150"/>
      <c r="E8" s="150"/>
      <c r="F8" s="150"/>
      <c r="G8" s="150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24"/>
      <c r="AB8" s="103"/>
      <c r="AF8" s="103" t="s">
        <v>13</v>
      </c>
    </row>
    <row r="9" spans="1:32" ht="8.25" customHeight="1" x14ac:dyDescent="0.3">
      <c r="A9" s="88"/>
      <c r="D9" s="83"/>
      <c r="E9" s="83"/>
      <c r="F9" s="83"/>
      <c r="G9" s="83"/>
      <c r="Z9" s="115"/>
      <c r="AB9" s="103"/>
      <c r="AF9" s="103" t="s">
        <v>101</v>
      </c>
    </row>
    <row r="10" spans="1:32" ht="15.9" customHeight="1" x14ac:dyDescent="0.3">
      <c r="A10" s="88"/>
      <c r="B10" s="204" t="s">
        <v>15</v>
      </c>
      <c r="C10" s="204"/>
      <c r="D10" s="204"/>
      <c r="E10" s="204"/>
      <c r="F10" s="204"/>
      <c r="G10" s="204"/>
      <c r="H10" s="207" t="s">
        <v>13</v>
      </c>
      <c r="I10" s="207"/>
      <c r="J10" s="207"/>
      <c r="K10" s="207"/>
      <c r="L10" s="207"/>
      <c r="M10" s="207"/>
      <c r="N10" s="204" t="s">
        <v>16</v>
      </c>
      <c r="O10" s="204"/>
      <c r="P10" s="204"/>
      <c r="Q10" s="204"/>
      <c r="R10" s="204"/>
      <c r="S10" s="205" t="s">
        <v>17</v>
      </c>
      <c r="T10" s="205"/>
      <c r="U10" s="205"/>
      <c r="V10" s="205"/>
      <c r="W10" s="205"/>
      <c r="X10" s="205"/>
      <c r="Y10" s="205"/>
      <c r="Z10" s="149"/>
      <c r="AB10" s="103"/>
      <c r="AF10" s="103" t="s">
        <v>100</v>
      </c>
    </row>
    <row r="11" spans="1:32" ht="15.9" customHeight="1" x14ac:dyDescent="0.3">
      <c r="A11" s="88"/>
      <c r="B11" s="204" t="s">
        <v>18</v>
      </c>
      <c r="C11" s="204"/>
      <c r="D11" s="204"/>
      <c r="E11" s="204"/>
      <c r="F11" s="204"/>
      <c r="G11" s="204"/>
      <c r="H11" s="207" t="s">
        <v>101</v>
      </c>
      <c r="I11" s="207"/>
      <c r="J11" s="207"/>
      <c r="K11" s="207"/>
      <c r="L11" s="207"/>
      <c r="M11" s="207"/>
      <c r="N11" s="204" t="s">
        <v>19</v>
      </c>
      <c r="O11" s="204"/>
      <c r="P11" s="204"/>
      <c r="Q11" s="204"/>
      <c r="R11" s="204"/>
      <c r="S11" s="205" t="s">
        <v>99</v>
      </c>
      <c r="T11" s="205"/>
      <c r="U11" s="205"/>
      <c r="V11" s="205"/>
      <c r="W11" s="205"/>
      <c r="X11" s="205"/>
      <c r="Y11" s="205"/>
      <c r="Z11" s="149"/>
      <c r="AB11" s="103"/>
      <c r="AF11" s="103" t="s">
        <v>17</v>
      </c>
    </row>
    <row r="12" spans="1:32" ht="15.9" customHeight="1" x14ac:dyDescent="0.3">
      <c r="A12" s="88"/>
      <c r="B12" s="204" t="s">
        <v>21</v>
      </c>
      <c r="C12" s="204"/>
      <c r="D12" s="204"/>
      <c r="E12" s="204"/>
      <c r="F12" s="204"/>
      <c r="G12" s="204"/>
      <c r="H12" s="207" t="s">
        <v>100</v>
      </c>
      <c r="I12" s="207"/>
      <c r="J12" s="207"/>
      <c r="K12" s="207"/>
      <c r="L12" s="207"/>
      <c r="M12" s="207"/>
      <c r="N12" s="204" t="s">
        <v>22</v>
      </c>
      <c r="O12" s="204"/>
      <c r="P12" s="204"/>
      <c r="Q12" s="204"/>
      <c r="R12" s="204"/>
      <c r="S12" s="205" t="s">
        <v>23</v>
      </c>
      <c r="T12" s="205"/>
      <c r="U12" s="205"/>
      <c r="V12" s="205"/>
      <c r="W12" s="205"/>
      <c r="X12" s="205"/>
      <c r="Y12" s="205"/>
      <c r="Z12" s="149"/>
      <c r="AB12" s="103"/>
      <c r="AF12" s="103" t="s">
        <v>99</v>
      </c>
    </row>
    <row r="13" spans="1:32" ht="8.25" customHeight="1" x14ac:dyDescent="0.3">
      <c r="A13" s="86"/>
      <c r="B13" s="146"/>
      <c r="C13" s="146"/>
      <c r="D13" s="148"/>
      <c r="E13" s="148"/>
      <c r="F13" s="148"/>
      <c r="G13" s="148"/>
      <c r="H13" s="146"/>
      <c r="I13" s="146"/>
      <c r="J13" s="146"/>
      <c r="K13" s="146"/>
      <c r="L13" s="146"/>
      <c r="M13" s="146"/>
      <c r="N13" s="147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11"/>
      <c r="AB13" s="103"/>
      <c r="AF13" s="103" t="s">
        <v>23</v>
      </c>
    </row>
    <row r="14" spans="1:32" s="90" customFormat="1" ht="15" customHeight="1" x14ac:dyDescent="0.25">
      <c r="B14" s="144"/>
      <c r="C14" s="144"/>
      <c r="K14" s="145"/>
      <c r="L14" s="144"/>
      <c r="M14" s="143"/>
    </row>
    <row r="15" spans="1:32" s="90" customFormat="1" ht="16.2" customHeight="1" x14ac:dyDescent="0.25">
      <c r="A15" s="142" t="s">
        <v>24</v>
      </c>
      <c r="B15" s="141" t="s">
        <v>25</v>
      </c>
      <c r="C15" s="140"/>
      <c r="D15" s="140"/>
      <c r="E15" s="140"/>
      <c r="F15" s="140"/>
      <c r="G15" s="140"/>
      <c r="H15" s="140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8"/>
    </row>
    <row r="16" spans="1:32" s="90" customFormat="1" ht="13.8" customHeight="1" x14ac:dyDescent="0.25">
      <c r="A16" s="134"/>
      <c r="B16" s="137"/>
      <c r="C16" s="136"/>
      <c r="D16" s="136"/>
      <c r="E16" s="136"/>
      <c r="F16" s="136"/>
      <c r="G16" s="136"/>
      <c r="H16" s="136"/>
      <c r="Z16" s="135"/>
    </row>
    <row r="17" spans="1:32" s="90" customFormat="1" ht="15" customHeight="1" x14ac:dyDescent="0.25">
      <c r="A17" s="134"/>
      <c r="B17" s="189" t="s">
        <v>26</v>
      </c>
      <c r="C17" s="189"/>
      <c r="D17" s="189"/>
      <c r="E17" s="189"/>
      <c r="F17" s="189"/>
      <c r="G17" s="189"/>
      <c r="H17" s="189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133"/>
    </row>
    <row r="18" spans="1:32" s="90" customFormat="1" ht="15" customHeight="1" x14ac:dyDescent="0.25">
      <c r="A18" s="134"/>
      <c r="B18" s="189" t="s">
        <v>27</v>
      </c>
      <c r="C18" s="189"/>
      <c r="D18" s="189"/>
      <c r="E18" s="189"/>
      <c r="F18" s="189"/>
      <c r="G18" s="189"/>
      <c r="H18" s="189"/>
      <c r="I18" s="235" t="s">
        <v>98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133"/>
    </row>
    <row r="19" spans="1:32" s="90" customFormat="1" ht="13.2" customHeight="1" x14ac:dyDescent="0.25">
      <c r="A19" s="132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0"/>
    </row>
    <row r="20" spans="1:32" ht="12.75" customHeight="1" x14ac:dyDescent="0.25">
      <c r="D20" s="83"/>
      <c r="E20" s="83"/>
      <c r="F20" s="83"/>
      <c r="G20" s="83"/>
      <c r="N20" s="129"/>
    </row>
    <row r="21" spans="1:32" ht="15.9" customHeight="1" x14ac:dyDescent="0.25">
      <c r="A21" s="128" t="s">
        <v>28</v>
      </c>
      <c r="B21" s="127" t="s">
        <v>29</v>
      </c>
      <c r="C21" s="125"/>
      <c r="D21" s="126"/>
      <c r="E21" s="126"/>
      <c r="F21" s="126"/>
      <c r="G21" s="126"/>
      <c r="H21" s="125"/>
      <c r="I21" s="125"/>
      <c r="J21" s="125"/>
      <c r="K21" s="125"/>
      <c r="L21" s="125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24"/>
    </row>
    <row r="22" spans="1:32" ht="12.75" customHeight="1" x14ac:dyDescent="0.25">
      <c r="A22" s="88"/>
      <c r="Z22" s="115"/>
    </row>
    <row r="23" spans="1:32" ht="12.75" customHeight="1" x14ac:dyDescent="0.25">
      <c r="A23" s="88"/>
      <c r="Z23" s="115"/>
    </row>
    <row r="24" spans="1:32" ht="12.75" customHeight="1" x14ac:dyDescent="0.25">
      <c r="A24" s="88"/>
      <c r="B24" s="183" t="s">
        <v>30</v>
      </c>
      <c r="C24" s="212"/>
      <c r="D24" s="212"/>
      <c r="E24" s="212"/>
      <c r="F24" s="212">
        <v>24</v>
      </c>
      <c r="G24" s="212"/>
      <c r="H24" s="212"/>
      <c r="I24" s="212"/>
      <c r="J24" s="236" t="s">
        <v>31</v>
      </c>
      <c r="K24" s="236"/>
      <c r="L24" s="237"/>
      <c r="O24" s="183" t="s">
        <v>32</v>
      </c>
      <c r="P24" s="184"/>
      <c r="Q24" s="184"/>
      <c r="R24" s="184"/>
      <c r="S24" s="212">
        <v>890</v>
      </c>
      <c r="T24" s="212"/>
      <c r="U24" s="212"/>
      <c r="V24" s="212"/>
      <c r="W24" s="236" t="s">
        <v>97</v>
      </c>
      <c r="X24" s="236"/>
      <c r="Y24" s="237"/>
      <c r="Z24" s="115"/>
      <c r="AA24" s="81"/>
    </row>
    <row r="25" spans="1:32" ht="12.75" customHeight="1" x14ac:dyDescent="0.25">
      <c r="A25" s="88"/>
      <c r="B25" s="213"/>
      <c r="C25" s="214"/>
      <c r="D25" s="214"/>
      <c r="E25" s="214"/>
      <c r="F25" s="214"/>
      <c r="G25" s="214"/>
      <c r="H25" s="214"/>
      <c r="I25" s="214"/>
      <c r="J25" s="238"/>
      <c r="K25" s="238"/>
      <c r="L25" s="239"/>
      <c r="O25" s="185"/>
      <c r="P25" s="186"/>
      <c r="Q25" s="186"/>
      <c r="R25" s="186"/>
      <c r="S25" s="214"/>
      <c r="T25" s="214"/>
      <c r="U25" s="214"/>
      <c r="V25" s="214"/>
      <c r="W25" s="238"/>
      <c r="X25" s="238"/>
      <c r="Y25" s="239"/>
      <c r="Z25" s="115"/>
      <c r="AA25" s="81"/>
    </row>
    <row r="26" spans="1:32" ht="12.75" customHeight="1" x14ac:dyDescent="0.25">
      <c r="A26" s="88"/>
      <c r="B26" s="215"/>
      <c r="C26" s="216"/>
      <c r="D26" s="216"/>
      <c r="E26" s="216"/>
      <c r="F26" s="216"/>
      <c r="G26" s="216"/>
      <c r="H26" s="216"/>
      <c r="I26" s="216"/>
      <c r="J26" s="240"/>
      <c r="K26" s="240"/>
      <c r="L26" s="241"/>
      <c r="O26" s="187"/>
      <c r="P26" s="188"/>
      <c r="Q26" s="188"/>
      <c r="R26" s="188"/>
      <c r="S26" s="216"/>
      <c r="T26" s="216"/>
      <c r="U26" s="216"/>
      <c r="V26" s="216"/>
      <c r="W26" s="240"/>
      <c r="X26" s="240"/>
      <c r="Y26" s="241"/>
      <c r="Z26" s="115"/>
      <c r="AA26" s="81"/>
    </row>
    <row r="27" spans="1:32" ht="12.75" customHeight="1" x14ac:dyDescent="0.25">
      <c r="A27" s="88"/>
      <c r="B27" s="183" t="s">
        <v>34</v>
      </c>
      <c r="C27" s="184"/>
      <c r="D27" s="184"/>
      <c r="E27" s="184"/>
      <c r="F27" s="242">
        <f>IF(F24&lt;&gt;"",(997.1*(SUM(AD35:AD70))),"")</f>
        <v>997.39913000000001</v>
      </c>
      <c r="G27" s="242"/>
      <c r="H27" s="242"/>
      <c r="I27" s="242"/>
      <c r="J27" s="236" t="s">
        <v>35</v>
      </c>
      <c r="K27" s="236"/>
      <c r="L27" s="237"/>
      <c r="O27" s="245" t="s">
        <v>36</v>
      </c>
      <c r="P27" s="212"/>
      <c r="Q27" s="212"/>
      <c r="R27" s="212"/>
      <c r="S27" s="212">
        <v>2480</v>
      </c>
      <c r="T27" s="212"/>
      <c r="U27" s="212"/>
      <c r="V27" s="212"/>
      <c r="W27" s="236" t="s">
        <v>35</v>
      </c>
      <c r="X27" s="236"/>
      <c r="Y27" s="237"/>
      <c r="Z27" s="115"/>
      <c r="AA27" s="81"/>
    </row>
    <row r="28" spans="1:32" ht="12.75" customHeight="1" x14ac:dyDescent="0.25">
      <c r="A28" s="88"/>
      <c r="B28" s="185"/>
      <c r="C28" s="186"/>
      <c r="D28" s="186"/>
      <c r="E28" s="186"/>
      <c r="F28" s="243"/>
      <c r="G28" s="243"/>
      <c r="H28" s="243"/>
      <c r="I28" s="243"/>
      <c r="J28" s="238"/>
      <c r="K28" s="238"/>
      <c r="L28" s="239"/>
      <c r="O28" s="213"/>
      <c r="P28" s="214"/>
      <c r="Q28" s="214"/>
      <c r="R28" s="214"/>
      <c r="S28" s="214"/>
      <c r="T28" s="214"/>
      <c r="U28" s="214"/>
      <c r="V28" s="214"/>
      <c r="W28" s="238"/>
      <c r="X28" s="238"/>
      <c r="Y28" s="239"/>
      <c r="Z28" s="115"/>
      <c r="AA28" s="81"/>
    </row>
    <row r="29" spans="1:32" ht="12.75" customHeight="1" x14ac:dyDescent="0.25">
      <c r="A29" s="88"/>
      <c r="B29" s="187"/>
      <c r="C29" s="188"/>
      <c r="D29" s="188"/>
      <c r="E29" s="188"/>
      <c r="F29" s="244"/>
      <c r="G29" s="244"/>
      <c r="H29" s="244"/>
      <c r="I29" s="244"/>
      <c r="J29" s="240"/>
      <c r="K29" s="240"/>
      <c r="L29" s="241"/>
      <c r="O29" s="215"/>
      <c r="P29" s="216"/>
      <c r="Q29" s="216"/>
      <c r="R29" s="216"/>
      <c r="S29" s="216"/>
      <c r="T29" s="216"/>
      <c r="U29" s="216"/>
      <c r="V29" s="216"/>
      <c r="W29" s="240"/>
      <c r="X29" s="240"/>
      <c r="Y29" s="241"/>
      <c r="Z29" s="115"/>
    </row>
    <row r="30" spans="1:32" ht="12.75" customHeight="1" x14ac:dyDescent="0.3">
      <c r="A30" s="88"/>
      <c r="B30" s="123"/>
      <c r="C30" s="121"/>
      <c r="D30" s="120"/>
      <c r="I30" s="119"/>
      <c r="J30" s="119"/>
      <c r="P30" s="121"/>
      <c r="Q30" s="121"/>
      <c r="R30" s="121"/>
      <c r="S30" s="121"/>
      <c r="T30" s="121"/>
      <c r="U30" s="121"/>
      <c r="V30" s="121"/>
      <c r="W30" s="120"/>
      <c r="Z30" s="115"/>
      <c r="AA30" s="103"/>
      <c r="AB30" s="103"/>
      <c r="AC30" s="103"/>
      <c r="AD30" s="103"/>
      <c r="AE30" s="103"/>
      <c r="AF30" s="103"/>
    </row>
    <row r="31" spans="1:32" ht="12.75" customHeight="1" thickBot="1" x14ac:dyDescent="0.3">
      <c r="A31" s="88"/>
      <c r="B31" s="123"/>
      <c r="C31" s="121"/>
      <c r="D31" s="120"/>
      <c r="E31" s="119"/>
      <c r="F31" s="122"/>
      <c r="G31" s="121"/>
      <c r="H31" s="120"/>
      <c r="I31" s="119"/>
      <c r="J31" s="119"/>
      <c r="Z31" s="115"/>
    </row>
    <row r="32" spans="1:32" ht="19.5" customHeight="1" x14ac:dyDescent="0.25">
      <c r="A32" s="88"/>
      <c r="B32" s="208" t="s">
        <v>37</v>
      </c>
      <c r="C32" s="209"/>
      <c r="D32" s="209"/>
      <c r="E32" s="209" t="s">
        <v>38</v>
      </c>
      <c r="F32" s="209"/>
      <c r="G32" s="209"/>
      <c r="H32" s="209" t="s">
        <v>39</v>
      </c>
      <c r="I32" s="209"/>
      <c r="J32" s="209"/>
      <c r="K32" s="209" t="s">
        <v>40</v>
      </c>
      <c r="L32" s="209"/>
      <c r="M32" s="209"/>
      <c r="N32" s="209" t="s">
        <v>96</v>
      </c>
      <c r="O32" s="209"/>
      <c r="P32" s="209"/>
      <c r="Q32" s="209" t="s">
        <v>42</v>
      </c>
      <c r="R32" s="209"/>
      <c r="S32" s="209"/>
      <c r="T32" s="231" t="s">
        <v>43</v>
      </c>
      <c r="U32" s="231"/>
      <c r="V32" s="231"/>
      <c r="W32" s="209" t="s">
        <v>44</v>
      </c>
      <c r="X32" s="209"/>
      <c r="Y32" s="232"/>
      <c r="Z32" s="115"/>
      <c r="AB32" s="192" t="s">
        <v>45</v>
      </c>
      <c r="AC32" s="193" t="s">
        <v>46</v>
      </c>
      <c r="AD32" s="194" t="s">
        <v>47</v>
      </c>
    </row>
    <row r="33" spans="1:30" ht="19.5" customHeight="1" x14ac:dyDescent="0.25">
      <c r="A33" s="88"/>
      <c r="B33" s="210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214"/>
      <c r="U33" s="214"/>
      <c r="V33" s="214"/>
      <c r="W33" s="186"/>
      <c r="X33" s="186"/>
      <c r="Y33" s="233"/>
      <c r="Z33" s="115"/>
      <c r="AB33" s="195"/>
      <c r="AC33" s="196"/>
      <c r="AD33" s="197"/>
    </row>
    <row r="34" spans="1:30" ht="19.5" customHeight="1" x14ac:dyDescent="0.25">
      <c r="A34" s="88"/>
      <c r="B34" s="211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216"/>
      <c r="U34" s="216"/>
      <c r="V34" s="216"/>
      <c r="W34" s="188"/>
      <c r="X34" s="188"/>
      <c r="Y34" s="234"/>
      <c r="Z34" s="115"/>
      <c r="AB34" s="198"/>
      <c r="AC34" s="199"/>
      <c r="AD34" s="200"/>
    </row>
    <row r="35" spans="1:30" ht="25.5" customHeight="1" x14ac:dyDescent="0.25">
      <c r="A35" s="88"/>
      <c r="B35" s="206" t="s">
        <v>95</v>
      </c>
      <c r="C35" s="190"/>
      <c r="D35" s="190"/>
      <c r="E35" s="190">
        <v>2018.8</v>
      </c>
      <c r="F35" s="190"/>
      <c r="G35" s="190"/>
      <c r="H35" s="190">
        <v>2045.4</v>
      </c>
      <c r="I35" s="190"/>
      <c r="J35" s="190"/>
      <c r="K35" s="190">
        <v>1154.9000000000001</v>
      </c>
      <c r="L35" s="190"/>
      <c r="M35" s="190"/>
      <c r="N35" s="218">
        <v>2339.5</v>
      </c>
      <c r="O35" s="218"/>
      <c r="P35" s="218"/>
      <c r="Q35" s="218">
        <v>94.3</v>
      </c>
      <c r="R35" s="218"/>
      <c r="S35" s="218"/>
      <c r="T35" s="218">
        <v>5.7</v>
      </c>
      <c r="U35" s="218"/>
      <c r="V35" s="218"/>
      <c r="W35" s="190">
        <v>8.5</v>
      </c>
      <c r="X35" s="190"/>
      <c r="Y35" s="267"/>
      <c r="Z35" s="115"/>
      <c r="AB35" s="88">
        <v>10</v>
      </c>
      <c r="AC35" s="83">
        <v>1.0026999999999999</v>
      </c>
      <c r="AD35" s="87" t="str">
        <f>IF($F$24=AB35,AC35,"")</f>
        <v/>
      </c>
    </row>
    <row r="36" spans="1:30" ht="25.5" customHeight="1" x14ac:dyDescent="0.25">
      <c r="A36" s="88"/>
      <c r="B36" s="206" t="s">
        <v>94</v>
      </c>
      <c r="C36" s="190"/>
      <c r="D36" s="190"/>
      <c r="E36" s="190">
        <v>3185.5</v>
      </c>
      <c r="F36" s="190"/>
      <c r="G36" s="190"/>
      <c r="H36" s="190">
        <v>3221</v>
      </c>
      <c r="I36" s="190"/>
      <c r="J36" s="190"/>
      <c r="K36" s="190">
        <v>1858.4</v>
      </c>
      <c r="L36" s="190"/>
      <c r="M36" s="190"/>
      <c r="N36" s="218">
        <v>2401.9</v>
      </c>
      <c r="O36" s="218"/>
      <c r="P36" s="218"/>
      <c r="Q36" s="218">
        <v>96.9</v>
      </c>
      <c r="R36" s="218"/>
      <c r="S36" s="218"/>
      <c r="T36" s="218">
        <v>3.1</v>
      </c>
      <c r="U36" s="218"/>
      <c r="V36" s="218"/>
      <c r="W36" s="190">
        <v>13.5</v>
      </c>
      <c r="X36" s="190"/>
      <c r="Y36" s="267"/>
      <c r="Z36" s="115"/>
      <c r="AB36" s="88">
        <v>10</v>
      </c>
      <c r="AC36" s="83">
        <v>1.0026999999999999</v>
      </c>
      <c r="AD36" s="87" t="str">
        <f>IF($F$24=AB35,AC35,"")</f>
        <v/>
      </c>
    </row>
    <row r="37" spans="1:30" ht="25.5" customHeight="1" x14ac:dyDescent="0.25">
      <c r="A37" s="88"/>
      <c r="B37" s="206" t="s">
        <v>93</v>
      </c>
      <c r="C37" s="190"/>
      <c r="D37" s="190"/>
      <c r="E37" s="190">
        <v>2079.5</v>
      </c>
      <c r="F37" s="190"/>
      <c r="G37" s="190"/>
      <c r="H37" s="190">
        <v>2111.6999999999998</v>
      </c>
      <c r="I37" s="190"/>
      <c r="J37" s="190"/>
      <c r="K37" s="190">
        <v>1198.0999999999999</v>
      </c>
      <c r="L37" s="190"/>
      <c r="M37" s="190"/>
      <c r="N37" s="218">
        <v>2363.6</v>
      </c>
      <c r="O37" s="218"/>
      <c r="P37" s="218"/>
      <c r="Q37" s="218">
        <v>95.3</v>
      </c>
      <c r="R37" s="218"/>
      <c r="S37" s="218"/>
      <c r="T37" s="218">
        <v>4.7</v>
      </c>
      <c r="U37" s="218"/>
      <c r="V37" s="218"/>
      <c r="W37" s="190">
        <v>8.8000000000000007</v>
      </c>
      <c r="X37" s="190"/>
      <c r="Y37" s="267"/>
      <c r="Z37" s="115"/>
      <c r="AB37" s="88">
        <v>10</v>
      </c>
      <c r="AC37" s="83">
        <v>1.0026999999999999</v>
      </c>
      <c r="AD37" s="87" t="str">
        <f>IF($F$24=AB35,AC35,"")</f>
        <v/>
      </c>
    </row>
    <row r="38" spans="1:30" ht="25.5" customHeight="1" x14ac:dyDescent="0.25">
      <c r="A38" s="88"/>
      <c r="B38" s="206" t="s">
        <v>92</v>
      </c>
      <c r="C38" s="190"/>
      <c r="D38" s="190"/>
      <c r="E38" s="190">
        <v>2437.5</v>
      </c>
      <c r="F38" s="190"/>
      <c r="G38" s="190"/>
      <c r="H38" s="190">
        <v>2481.6</v>
      </c>
      <c r="I38" s="190"/>
      <c r="J38" s="190"/>
      <c r="K38" s="190">
        <v>1331.4</v>
      </c>
      <c r="L38" s="190"/>
      <c r="M38" s="190"/>
      <c r="N38" s="218">
        <v>2208.6</v>
      </c>
      <c r="O38" s="218"/>
      <c r="P38" s="218"/>
      <c r="Q38" s="218">
        <v>89.1</v>
      </c>
      <c r="R38" s="218"/>
      <c r="S38" s="218"/>
      <c r="T38" s="218">
        <v>10.9</v>
      </c>
      <c r="U38" s="218"/>
      <c r="V38" s="218"/>
      <c r="W38" s="190">
        <v>11</v>
      </c>
      <c r="X38" s="190"/>
      <c r="Y38" s="267"/>
      <c r="Z38" s="115"/>
      <c r="AB38" s="88">
        <v>10</v>
      </c>
      <c r="AC38" s="83">
        <v>1.0026999999999999</v>
      </c>
      <c r="AD38" s="87" t="str">
        <f>IF($F$24=AB35,AC35,"")</f>
        <v/>
      </c>
    </row>
    <row r="39" spans="1:30" ht="25.5" customHeight="1" x14ac:dyDescent="0.25">
      <c r="A39" s="88"/>
      <c r="B39" s="206" t="s">
        <v>91</v>
      </c>
      <c r="C39" s="190"/>
      <c r="D39" s="190"/>
      <c r="E39" s="190">
        <v>1776.1</v>
      </c>
      <c r="F39" s="190"/>
      <c r="G39" s="190"/>
      <c r="H39" s="190">
        <v>1804.1</v>
      </c>
      <c r="I39" s="190"/>
      <c r="J39" s="190"/>
      <c r="K39" s="190">
        <v>1003.4</v>
      </c>
      <c r="L39" s="190"/>
      <c r="M39" s="190"/>
      <c r="N39" s="218">
        <v>2302.6999999999998</v>
      </c>
      <c r="O39" s="218"/>
      <c r="P39" s="218"/>
      <c r="Q39" s="218">
        <v>92.9</v>
      </c>
      <c r="R39" s="218"/>
      <c r="S39" s="218"/>
      <c r="T39" s="218">
        <v>7.1</v>
      </c>
      <c r="U39" s="218"/>
      <c r="V39" s="218"/>
      <c r="W39" s="190">
        <v>7.8</v>
      </c>
      <c r="X39" s="190"/>
      <c r="Y39" s="267"/>
      <c r="Z39" s="115"/>
      <c r="AB39" s="88">
        <v>10</v>
      </c>
      <c r="AC39" s="83">
        <v>1.0026999999999999</v>
      </c>
      <c r="AD39" s="87" t="str">
        <f>IF($F$24=AB35,AC35,"")</f>
        <v/>
      </c>
    </row>
    <row r="40" spans="1:30" ht="25.5" customHeight="1" x14ac:dyDescent="0.25">
      <c r="A40" s="88"/>
      <c r="B40" s="206" t="s">
        <v>90</v>
      </c>
      <c r="C40" s="190"/>
      <c r="D40" s="190"/>
      <c r="E40" s="190">
        <v>2648.4</v>
      </c>
      <c r="F40" s="190"/>
      <c r="G40" s="190"/>
      <c r="H40" s="190">
        <v>2688.3</v>
      </c>
      <c r="I40" s="190"/>
      <c r="J40" s="190"/>
      <c r="K40" s="190">
        <v>1536.6</v>
      </c>
      <c r="L40" s="190"/>
      <c r="M40" s="190"/>
      <c r="N40" s="218">
        <v>2386.1999999999998</v>
      </c>
      <c r="O40" s="218"/>
      <c r="P40" s="218"/>
      <c r="Q40" s="218">
        <v>96.2</v>
      </c>
      <c r="R40" s="218"/>
      <c r="S40" s="218"/>
      <c r="T40" s="218">
        <v>3.8</v>
      </c>
      <c r="U40" s="218"/>
      <c r="V40" s="218"/>
      <c r="W40" s="190">
        <v>11</v>
      </c>
      <c r="X40" s="190"/>
      <c r="Y40" s="267"/>
      <c r="Z40" s="115"/>
      <c r="AB40" s="88">
        <v>10</v>
      </c>
      <c r="AC40" s="83">
        <v>1.0026999999999999</v>
      </c>
      <c r="AD40" s="87" t="str">
        <f>IF($F$24=AB35,AC35,"")</f>
        <v/>
      </c>
    </row>
    <row r="41" spans="1:30" ht="25.5" customHeight="1" x14ac:dyDescent="0.25">
      <c r="A41" s="88"/>
      <c r="B41" s="206" t="s">
        <v>89</v>
      </c>
      <c r="C41" s="190"/>
      <c r="D41" s="190"/>
      <c r="E41" s="190">
        <v>2415.3000000000002</v>
      </c>
      <c r="F41" s="190"/>
      <c r="G41" s="190"/>
      <c r="H41" s="190">
        <v>2447</v>
      </c>
      <c r="I41" s="190"/>
      <c r="J41" s="190"/>
      <c r="K41" s="190">
        <v>1399.1</v>
      </c>
      <c r="L41" s="190"/>
      <c r="M41" s="190"/>
      <c r="N41" s="218">
        <v>2379.6</v>
      </c>
      <c r="O41" s="218"/>
      <c r="P41" s="218"/>
      <c r="Q41" s="218">
        <v>96</v>
      </c>
      <c r="R41" s="218"/>
      <c r="S41" s="218"/>
      <c r="T41" s="218">
        <v>4</v>
      </c>
      <c r="U41" s="218"/>
      <c r="V41" s="218"/>
      <c r="W41" s="190">
        <v>10</v>
      </c>
      <c r="X41" s="190"/>
      <c r="Y41" s="267"/>
      <c r="Z41" s="115"/>
      <c r="AB41" s="88">
        <v>10</v>
      </c>
      <c r="AC41" s="83">
        <v>1.0026999999999999</v>
      </c>
      <c r="AD41" s="87" t="str">
        <f>IF($F$24=AB35,AC35,"")</f>
        <v/>
      </c>
    </row>
    <row r="42" spans="1:30" ht="25.5" customHeight="1" x14ac:dyDescent="0.25">
      <c r="A42" s="88"/>
      <c r="B42" s="206" t="s">
        <v>88</v>
      </c>
      <c r="C42" s="190"/>
      <c r="D42" s="190"/>
      <c r="E42" s="190">
        <v>2423.3000000000002</v>
      </c>
      <c r="F42" s="190"/>
      <c r="G42" s="190"/>
      <c r="H42" s="190">
        <v>2467.6</v>
      </c>
      <c r="I42" s="190"/>
      <c r="J42" s="190"/>
      <c r="K42" s="190">
        <v>1398.1</v>
      </c>
      <c r="L42" s="190"/>
      <c r="M42" s="190"/>
      <c r="N42" s="218">
        <v>2369.9</v>
      </c>
      <c r="O42" s="218"/>
      <c r="P42" s="218"/>
      <c r="Q42" s="218">
        <v>95.6</v>
      </c>
      <c r="R42" s="218"/>
      <c r="S42" s="218"/>
      <c r="T42" s="218">
        <v>4.4000000000000004</v>
      </c>
      <c r="U42" s="218"/>
      <c r="V42" s="218"/>
      <c r="W42" s="190">
        <v>10.199999999999999</v>
      </c>
      <c r="X42" s="190"/>
      <c r="Y42" s="267"/>
      <c r="Z42" s="115"/>
      <c r="AB42" s="88">
        <v>10</v>
      </c>
      <c r="AC42" s="83">
        <v>1.0026999999999999</v>
      </c>
      <c r="AD42" s="87" t="str">
        <f>IF($F$24=AB35,AC35,"")</f>
        <v/>
      </c>
    </row>
    <row r="43" spans="1:30" ht="25.5" customHeight="1" x14ac:dyDescent="0.25">
      <c r="A43" s="88"/>
      <c r="B43" s="206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218"/>
      <c r="O43" s="218"/>
      <c r="P43" s="218"/>
      <c r="Q43" s="218"/>
      <c r="R43" s="218"/>
      <c r="S43" s="218"/>
      <c r="T43" s="218"/>
      <c r="U43" s="218"/>
      <c r="V43" s="218"/>
      <c r="W43" s="190"/>
      <c r="X43" s="190"/>
      <c r="Y43" s="267"/>
      <c r="Z43" s="115"/>
      <c r="AB43" s="88"/>
      <c r="AC43" s="83"/>
      <c r="AD43" s="87"/>
    </row>
    <row r="44" spans="1:30" ht="25.5" customHeight="1" x14ac:dyDescent="0.25">
      <c r="A44" s="88"/>
      <c r="B44" s="206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218"/>
      <c r="O44" s="218"/>
      <c r="P44" s="218"/>
      <c r="Q44" s="218"/>
      <c r="R44" s="218"/>
      <c r="S44" s="218"/>
      <c r="T44" s="218"/>
      <c r="U44" s="218"/>
      <c r="V44" s="218"/>
      <c r="W44" s="190"/>
      <c r="X44" s="190"/>
      <c r="Y44" s="267"/>
      <c r="Z44" s="115"/>
      <c r="AB44" s="88"/>
      <c r="AC44" s="83"/>
      <c r="AD44" s="87"/>
    </row>
    <row r="45" spans="1:30" ht="25.5" customHeight="1" x14ac:dyDescent="0.25">
      <c r="A45" s="88"/>
      <c r="B45" s="206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218"/>
      <c r="O45" s="218"/>
      <c r="P45" s="218"/>
      <c r="Q45" s="218"/>
      <c r="R45" s="218"/>
      <c r="S45" s="218"/>
      <c r="T45" s="218"/>
      <c r="U45" s="218"/>
      <c r="V45" s="218"/>
      <c r="W45" s="190"/>
      <c r="X45" s="190"/>
      <c r="Y45" s="267"/>
      <c r="Z45" s="115"/>
      <c r="AB45" s="88"/>
      <c r="AC45" s="83"/>
      <c r="AD45" s="87"/>
    </row>
    <row r="46" spans="1:30" ht="25.5" customHeight="1" x14ac:dyDescent="0.25">
      <c r="A46" s="88"/>
      <c r="B46" s="206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218"/>
      <c r="O46" s="218"/>
      <c r="P46" s="218"/>
      <c r="Q46" s="218"/>
      <c r="R46" s="218"/>
      <c r="S46" s="218"/>
      <c r="T46" s="218"/>
      <c r="U46" s="218"/>
      <c r="V46" s="218"/>
      <c r="W46" s="190"/>
      <c r="X46" s="190"/>
      <c r="Y46" s="267"/>
      <c r="Z46" s="115"/>
      <c r="AB46" s="88"/>
      <c r="AC46" s="83"/>
      <c r="AD46" s="87"/>
    </row>
    <row r="47" spans="1:30" ht="25.5" customHeight="1" x14ac:dyDescent="0.25">
      <c r="A47" s="88"/>
      <c r="B47" s="206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218"/>
      <c r="O47" s="218"/>
      <c r="P47" s="218"/>
      <c r="Q47" s="218"/>
      <c r="R47" s="218"/>
      <c r="S47" s="218"/>
      <c r="T47" s="218"/>
      <c r="U47" s="218"/>
      <c r="V47" s="218"/>
      <c r="W47" s="190"/>
      <c r="X47" s="190"/>
      <c r="Y47" s="267"/>
      <c r="Z47" s="115"/>
      <c r="AB47" s="88"/>
      <c r="AC47" s="83"/>
      <c r="AD47" s="87"/>
    </row>
    <row r="48" spans="1:30" ht="25.5" customHeight="1" x14ac:dyDescent="0.25">
      <c r="A48" s="88"/>
      <c r="B48" s="206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218"/>
      <c r="O48" s="218"/>
      <c r="P48" s="218"/>
      <c r="Q48" s="218"/>
      <c r="R48" s="218"/>
      <c r="S48" s="218"/>
      <c r="T48" s="218"/>
      <c r="U48" s="218"/>
      <c r="V48" s="218"/>
      <c r="W48" s="190"/>
      <c r="X48" s="190"/>
      <c r="Y48" s="267"/>
      <c r="Z48" s="115"/>
      <c r="AB48" s="88"/>
      <c r="AC48" s="83"/>
      <c r="AD48" s="87"/>
    </row>
    <row r="49" spans="1:30" ht="25.5" customHeight="1" x14ac:dyDescent="0.25">
      <c r="A49" s="88"/>
      <c r="B49" s="206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218"/>
      <c r="O49" s="218"/>
      <c r="P49" s="218"/>
      <c r="Q49" s="218"/>
      <c r="R49" s="218"/>
      <c r="S49" s="218"/>
      <c r="T49" s="218"/>
      <c r="U49" s="218"/>
      <c r="V49" s="218"/>
      <c r="W49" s="190"/>
      <c r="X49" s="190"/>
      <c r="Y49" s="267"/>
      <c r="Z49" s="115"/>
      <c r="AB49" s="88"/>
      <c r="AC49" s="83"/>
      <c r="AD49" s="87"/>
    </row>
    <row r="50" spans="1:30" ht="25.5" customHeight="1" x14ac:dyDescent="0.25">
      <c r="A50" s="88"/>
      <c r="B50" s="206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218"/>
      <c r="O50" s="218"/>
      <c r="P50" s="218"/>
      <c r="Q50" s="218"/>
      <c r="R50" s="218"/>
      <c r="S50" s="218"/>
      <c r="T50" s="218"/>
      <c r="U50" s="218"/>
      <c r="V50" s="218"/>
      <c r="W50" s="190"/>
      <c r="X50" s="190"/>
      <c r="Y50" s="267"/>
      <c r="Z50" s="115"/>
      <c r="AB50" s="88"/>
      <c r="AC50" s="83"/>
      <c r="AD50" s="87"/>
    </row>
    <row r="51" spans="1:30" ht="25.5" customHeight="1" thickBot="1" x14ac:dyDescent="0.3">
      <c r="A51" s="88"/>
      <c r="B51" s="291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6"/>
      <c r="Z51" s="115"/>
      <c r="AB51" s="88">
        <v>11</v>
      </c>
      <c r="AC51" s="83">
        <v>1.0025999999999999</v>
      </c>
      <c r="AD51" s="87" t="str">
        <f t="shared" ref="AD51:AD70" si="0">IF($F$24=AB51,AC51,"")</f>
        <v/>
      </c>
    </row>
    <row r="52" spans="1:30" ht="12.75" customHeight="1" x14ac:dyDescent="0.25"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8"/>
      <c r="O52" s="118"/>
      <c r="P52" s="118"/>
      <c r="Q52" s="117"/>
      <c r="R52" s="117"/>
      <c r="S52" s="117"/>
      <c r="T52" s="117"/>
      <c r="U52" s="117"/>
      <c r="V52" s="117"/>
      <c r="W52" s="116"/>
      <c r="X52" s="116"/>
      <c r="Y52" s="116"/>
      <c r="Z52" s="115"/>
      <c r="AB52" s="88">
        <v>12</v>
      </c>
      <c r="AC52" s="83">
        <v>1.0024999999999999</v>
      </c>
      <c r="AD52" s="87" t="str">
        <f t="shared" si="0"/>
        <v/>
      </c>
    </row>
    <row r="53" spans="1:30" ht="15.9" customHeight="1" x14ac:dyDescent="0.25">
      <c r="A53" s="114"/>
      <c r="B53" s="113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1"/>
      <c r="AB53" s="88">
        <v>13</v>
      </c>
      <c r="AC53" s="83">
        <v>1.0023</v>
      </c>
      <c r="AD53" s="87" t="str">
        <f t="shared" si="0"/>
        <v/>
      </c>
    </row>
    <row r="54" spans="1:30" ht="12.75" customHeight="1" x14ac:dyDescent="0.25">
      <c r="A54" s="110"/>
      <c r="B54" s="109"/>
      <c r="AB54" s="88">
        <v>14</v>
      </c>
      <c r="AC54" s="83">
        <v>1.0022</v>
      </c>
      <c r="AD54" s="87" t="str">
        <f t="shared" si="0"/>
        <v/>
      </c>
    </row>
    <row r="55" spans="1:30" s="90" customFormat="1" ht="15.6" customHeight="1" x14ac:dyDescent="0.3">
      <c r="A55" s="108" t="s">
        <v>52</v>
      </c>
      <c r="B55" s="107" t="s">
        <v>53</v>
      </c>
      <c r="C55" s="106"/>
      <c r="D55" s="106"/>
      <c r="E55" s="106"/>
      <c r="F55" s="105"/>
      <c r="G55" s="105"/>
      <c r="H55" s="105"/>
      <c r="I55" s="104"/>
      <c r="J55" s="104"/>
      <c r="K55" s="104"/>
      <c r="L55" s="104"/>
      <c r="M55" s="104"/>
      <c r="N55" s="104"/>
      <c r="O55" s="104"/>
      <c r="P55" s="104"/>
      <c r="Q55" s="105"/>
      <c r="R55" s="104"/>
      <c r="S55" s="104"/>
      <c r="T55" s="104"/>
      <c r="U55" s="224"/>
      <c r="V55" s="224"/>
      <c r="W55" s="224"/>
      <c r="X55" s="225"/>
      <c r="Y55" s="225"/>
      <c r="Z55" s="226"/>
      <c r="AA55" s="103"/>
      <c r="AB55" s="88">
        <v>15</v>
      </c>
      <c r="AC55" s="83">
        <v>1.0021</v>
      </c>
      <c r="AD55" s="87" t="str">
        <f t="shared" si="0"/>
        <v/>
      </c>
    </row>
    <row r="56" spans="1:30" s="90" customFormat="1" ht="25.8" customHeight="1" x14ac:dyDescent="0.3">
      <c r="A56" s="275" t="s">
        <v>54</v>
      </c>
      <c r="B56" s="276"/>
      <c r="C56" s="276"/>
      <c r="D56" s="276"/>
      <c r="E56" s="276"/>
      <c r="F56" s="276"/>
      <c r="G56" s="276"/>
      <c r="H56" s="276"/>
      <c r="I56" s="276"/>
      <c r="J56" s="276"/>
      <c r="K56" s="276"/>
      <c r="L56" s="276"/>
      <c r="M56" s="276"/>
      <c r="N56" s="276"/>
      <c r="O56" s="276"/>
      <c r="P56" s="276"/>
      <c r="Q56" s="277"/>
      <c r="R56" s="221" t="s">
        <v>55</v>
      </c>
      <c r="S56" s="222"/>
      <c r="T56" s="223"/>
      <c r="U56" s="227" t="s">
        <v>56</v>
      </c>
      <c r="V56" s="228"/>
      <c r="W56" s="228"/>
      <c r="X56" s="228"/>
      <c r="Y56" s="228"/>
      <c r="Z56" s="297"/>
      <c r="AA56" s="103"/>
      <c r="AB56" s="88">
        <v>16</v>
      </c>
      <c r="AC56" s="83">
        <v>1.0019</v>
      </c>
      <c r="AD56" s="87" t="str">
        <f t="shared" si="0"/>
        <v/>
      </c>
    </row>
    <row r="57" spans="1:30" s="90" customFormat="1" ht="15.6" customHeight="1" x14ac:dyDescent="0.3">
      <c r="A57" s="269" t="s">
        <v>57</v>
      </c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1"/>
      <c r="R57" s="221" t="s">
        <v>58</v>
      </c>
      <c r="S57" s="222"/>
      <c r="T57" s="223"/>
      <c r="U57" s="256" t="s">
        <v>59</v>
      </c>
      <c r="V57" s="257"/>
      <c r="W57" s="257"/>
      <c r="X57" s="257"/>
      <c r="Y57" s="257"/>
      <c r="Z57" s="293"/>
      <c r="AA57" s="103"/>
      <c r="AB57" s="88">
        <v>17</v>
      </c>
      <c r="AC57" s="83">
        <v>1.0017</v>
      </c>
      <c r="AD57" s="87" t="str">
        <f t="shared" si="0"/>
        <v/>
      </c>
    </row>
    <row r="58" spans="1:30" s="90" customFormat="1" ht="15.6" customHeight="1" x14ac:dyDescent="0.3">
      <c r="A58" s="272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4"/>
      <c r="R58" s="221"/>
      <c r="S58" s="222"/>
      <c r="T58" s="223"/>
      <c r="U58" s="260"/>
      <c r="V58" s="255"/>
      <c r="W58" s="255"/>
      <c r="X58" s="255"/>
      <c r="Y58" s="255"/>
      <c r="Z58" s="294"/>
      <c r="AA58" s="103"/>
      <c r="AB58" s="88">
        <v>18</v>
      </c>
      <c r="AC58" s="83">
        <v>1.0016</v>
      </c>
      <c r="AD58" s="87" t="str">
        <f t="shared" si="0"/>
        <v/>
      </c>
    </row>
    <row r="59" spans="1:30" s="90" customFormat="1" ht="15.6" customHeight="1" x14ac:dyDescent="0.25">
      <c r="A59" s="102" t="s">
        <v>60</v>
      </c>
      <c r="B59" s="101" t="s">
        <v>61</v>
      </c>
      <c r="C59" s="82"/>
      <c r="D59" s="82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99"/>
      <c r="R59" s="221"/>
      <c r="S59" s="222"/>
      <c r="T59" s="223"/>
      <c r="U59" s="263"/>
      <c r="V59" s="264"/>
      <c r="W59" s="264"/>
      <c r="X59" s="264"/>
      <c r="Y59" s="264"/>
      <c r="Z59" s="295"/>
      <c r="AB59" s="88">
        <v>19</v>
      </c>
      <c r="AC59" s="83">
        <v>1.0014000000000001</v>
      </c>
      <c r="AD59" s="87" t="str">
        <f t="shared" si="0"/>
        <v/>
      </c>
    </row>
    <row r="60" spans="1:30" s="90" customFormat="1" ht="15.6" customHeight="1" x14ac:dyDescent="0.25">
      <c r="A60" s="246"/>
      <c r="B60" s="247"/>
      <c r="C60" s="247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8"/>
      <c r="R60" s="221" t="s">
        <v>62</v>
      </c>
      <c r="S60" s="222"/>
      <c r="T60" s="223"/>
      <c r="U60" s="98"/>
      <c r="V60" s="97"/>
      <c r="W60" s="97"/>
      <c r="X60" s="97"/>
      <c r="Y60" s="97"/>
      <c r="Z60" s="96"/>
      <c r="AB60" s="88">
        <v>20</v>
      </c>
      <c r="AC60" s="83">
        <v>1.0012000000000001</v>
      </c>
      <c r="AD60" s="87" t="str">
        <f t="shared" si="0"/>
        <v/>
      </c>
    </row>
    <row r="61" spans="1:30" s="90" customFormat="1" ht="15.6" customHeight="1" x14ac:dyDescent="0.25">
      <c r="A61" s="246"/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8"/>
      <c r="R61" s="221"/>
      <c r="S61" s="222"/>
      <c r="T61" s="223"/>
      <c r="U61" s="95"/>
      <c r="V61" s="255"/>
      <c r="W61" s="255"/>
      <c r="X61" s="255"/>
      <c r="Y61" s="255"/>
      <c r="Z61" s="94"/>
      <c r="AB61" s="88">
        <v>21</v>
      </c>
      <c r="AC61" s="89">
        <v>1.0009999999999999</v>
      </c>
      <c r="AD61" s="87" t="str">
        <f t="shared" si="0"/>
        <v/>
      </c>
    </row>
    <row r="62" spans="1:30" s="90" customFormat="1" ht="15.6" customHeight="1" x14ac:dyDescent="0.25">
      <c r="A62" s="246"/>
      <c r="B62" s="247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8"/>
      <c r="R62" s="221"/>
      <c r="S62" s="222"/>
      <c r="T62" s="223"/>
      <c r="U62" s="95"/>
      <c r="V62" s="255"/>
      <c r="W62" s="255"/>
      <c r="X62" s="255"/>
      <c r="Y62" s="255"/>
      <c r="Z62" s="94"/>
      <c r="AB62" s="88">
        <v>22</v>
      </c>
      <c r="AC62" s="83">
        <v>1.0006999999999999</v>
      </c>
      <c r="AD62" s="87" t="str">
        <f t="shared" si="0"/>
        <v/>
      </c>
    </row>
    <row r="63" spans="1:30" s="90" customFormat="1" ht="15.6" customHeight="1" x14ac:dyDescent="0.25">
      <c r="A63" s="249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1"/>
      <c r="R63" s="252"/>
      <c r="S63" s="253"/>
      <c r="T63" s="254"/>
      <c r="U63" s="93"/>
      <c r="V63" s="92"/>
      <c r="W63" s="92"/>
      <c r="X63" s="92"/>
      <c r="Y63" s="92"/>
      <c r="Z63" s="91"/>
      <c r="AB63" s="88">
        <v>23</v>
      </c>
      <c r="AC63" s="83">
        <v>1.0004999999999999</v>
      </c>
      <c r="AD63" s="87" t="str">
        <f t="shared" si="0"/>
        <v/>
      </c>
    </row>
    <row r="64" spans="1:30" ht="12.75" customHeight="1" x14ac:dyDescent="0.25">
      <c r="AB64" s="88">
        <v>24</v>
      </c>
      <c r="AC64" s="83">
        <v>1.0003</v>
      </c>
      <c r="AD64" s="87">
        <f t="shared" si="0"/>
        <v>1.0003</v>
      </c>
    </row>
    <row r="65" spans="28:30" ht="12.75" customHeight="1" x14ac:dyDescent="0.25">
      <c r="AB65" s="88">
        <v>25</v>
      </c>
      <c r="AC65" s="89">
        <v>1</v>
      </c>
      <c r="AD65" s="87" t="str">
        <f t="shared" si="0"/>
        <v/>
      </c>
    </row>
    <row r="66" spans="28:30" ht="12.75" customHeight="1" x14ac:dyDescent="0.25">
      <c r="AB66" s="88">
        <v>26</v>
      </c>
      <c r="AC66" s="83">
        <v>0.99970000000000003</v>
      </c>
      <c r="AD66" s="87" t="str">
        <f t="shared" si="0"/>
        <v/>
      </c>
    </row>
    <row r="67" spans="28:30" ht="12.75" customHeight="1" x14ac:dyDescent="0.25">
      <c r="AB67" s="88">
        <v>27</v>
      </c>
      <c r="AC67" s="83">
        <v>0.99950000000000006</v>
      </c>
      <c r="AD67" s="87" t="str">
        <f t="shared" si="0"/>
        <v/>
      </c>
    </row>
    <row r="68" spans="28:30" ht="12.75" customHeight="1" x14ac:dyDescent="0.25">
      <c r="AB68" s="88">
        <v>28</v>
      </c>
      <c r="AC68" s="83">
        <v>0.99919999999999998</v>
      </c>
      <c r="AD68" s="87" t="str">
        <f t="shared" si="0"/>
        <v/>
      </c>
    </row>
    <row r="69" spans="28:30" ht="12.75" customHeight="1" x14ac:dyDescent="0.25">
      <c r="AB69" s="88">
        <v>29</v>
      </c>
      <c r="AC69" s="83">
        <v>0.99890000000000001</v>
      </c>
      <c r="AD69" s="87" t="str">
        <f t="shared" si="0"/>
        <v/>
      </c>
    </row>
    <row r="70" spans="28:30" ht="12.75" customHeight="1" x14ac:dyDescent="0.25">
      <c r="AB70" s="86">
        <v>30</v>
      </c>
      <c r="AC70" s="85">
        <v>0.99860000000000004</v>
      </c>
      <c r="AD70" s="84" t="str">
        <f t="shared" si="0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98">
    <mergeCell ref="L6:O6"/>
    <mergeCell ref="P6:T6"/>
    <mergeCell ref="B27:E29"/>
    <mergeCell ref="B18:H18"/>
    <mergeCell ref="B17:H17"/>
    <mergeCell ref="E35:G35"/>
    <mergeCell ref="N35:P35"/>
    <mergeCell ref="A1:F6"/>
    <mergeCell ref="G1:T1"/>
    <mergeCell ref="B11:G11"/>
    <mergeCell ref="S10:Y10"/>
    <mergeCell ref="B35:D35"/>
    <mergeCell ref="N10:R10"/>
    <mergeCell ref="N11:R11"/>
    <mergeCell ref="N12:R12"/>
    <mergeCell ref="H10:M10"/>
    <mergeCell ref="H11:M11"/>
    <mergeCell ref="B32:D34"/>
    <mergeCell ref="B24:E26"/>
    <mergeCell ref="U1:Z6"/>
    <mergeCell ref="G2:T4"/>
    <mergeCell ref="G5:H5"/>
    <mergeCell ref="J5:K5"/>
    <mergeCell ref="L5:O5"/>
    <mergeCell ref="P5:T5"/>
    <mergeCell ref="J6:K6"/>
    <mergeCell ref="K51:M51"/>
    <mergeCell ref="N51:P51"/>
    <mergeCell ref="Q36:S36"/>
    <mergeCell ref="T36:V36"/>
    <mergeCell ref="A7:F7"/>
    <mergeCell ref="G7:Z7"/>
    <mergeCell ref="B10:G10"/>
    <mergeCell ref="H12:M12"/>
    <mergeCell ref="S11:Y11"/>
    <mergeCell ref="B12:G12"/>
    <mergeCell ref="Q32:S34"/>
    <mergeCell ref="B51:D51"/>
    <mergeCell ref="B37:D37"/>
    <mergeCell ref="H37:J37"/>
    <mergeCell ref="K37:M37"/>
    <mergeCell ref="N37:P37"/>
    <mergeCell ref="Q37:S37"/>
    <mergeCell ref="T37:V37"/>
    <mergeCell ref="W37:Y37"/>
    <mergeCell ref="B36:D36"/>
    <mergeCell ref="W39:Y39"/>
    <mergeCell ref="B38:D38"/>
    <mergeCell ref="E38:G38"/>
    <mergeCell ref="H38:J38"/>
    <mergeCell ref="R56:T56"/>
    <mergeCell ref="U55:Z55"/>
    <mergeCell ref="U56:Z56"/>
    <mergeCell ref="S12:Y12"/>
    <mergeCell ref="T32:V34"/>
    <mergeCell ref="W32:Y34"/>
    <mergeCell ref="Q35:S35"/>
    <mergeCell ref="I17:Y17"/>
    <mergeCell ref="I18:Y18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E51:G51"/>
    <mergeCell ref="Q51:S51"/>
    <mergeCell ref="H51:J51"/>
    <mergeCell ref="W36:Y36"/>
    <mergeCell ref="E37:G37"/>
    <mergeCell ref="A60:Q63"/>
    <mergeCell ref="R57:T59"/>
    <mergeCell ref="R60:T63"/>
    <mergeCell ref="H35:J35"/>
    <mergeCell ref="K35:M35"/>
    <mergeCell ref="AD32:AD34"/>
    <mergeCell ref="E32:G34"/>
    <mergeCell ref="H32:J34"/>
    <mergeCell ref="K32:M34"/>
    <mergeCell ref="N32:P34"/>
    <mergeCell ref="V61:Y62"/>
    <mergeCell ref="AB32:AB34"/>
    <mergeCell ref="AC32:AC34"/>
    <mergeCell ref="U57:Z59"/>
    <mergeCell ref="T35:V35"/>
    <mergeCell ref="W35:Y35"/>
    <mergeCell ref="T51:V51"/>
    <mergeCell ref="W51:Y51"/>
    <mergeCell ref="E36:G36"/>
    <mergeCell ref="H36:J36"/>
    <mergeCell ref="K36:M36"/>
    <mergeCell ref="N36:P36"/>
    <mergeCell ref="A57:Q58"/>
    <mergeCell ref="A56:Q56"/>
    <mergeCell ref="K38:M38"/>
    <mergeCell ref="N38:P38"/>
    <mergeCell ref="Q38:S38"/>
    <mergeCell ref="T38:V38"/>
    <mergeCell ref="W38:Y38"/>
    <mergeCell ref="B39:D39"/>
    <mergeCell ref="E39:G39"/>
    <mergeCell ref="H39:J39"/>
    <mergeCell ref="K39:M39"/>
    <mergeCell ref="N39:P39"/>
    <mergeCell ref="Q39:S39"/>
    <mergeCell ref="T39:V39"/>
    <mergeCell ref="W41:Y41"/>
    <mergeCell ref="B40:D40"/>
    <mergeCell ref="E40:G40"/>
    <mergeCell ref="H40:J40"/>
    <mergeCell ref="K40:M40"/>
    <mergeCell ref="N40:P40"/>
    <mergeCell ref="Q40:S40"/>
    <mergeCell ref="T40:V40"/>
    <mergeCell ref="W40:Y40"/>
    <mergeCell ref="B41:D41"/>
    <mergeCell ref="E41:G41"/>
    <mergeCell ref="H41:J41"/>
    <mergeCell ref="K41:M41"/>
    <mergeCell ref="N41:P41"/>
    <mergeCell ref="Q41:S41"/>
    <mergeCell ref="T41:V41"/>
    <mergeCell ref="W43:Y43"/>
    <mergeCell ref="B42:D42"/>
    <mergeCell ref="E42:G42"/>
    <mergeCell ref="H42:J42"/>
    <mergeCell ref="K42:M42"/>
    <mergeCell ref="N42:P42"/>
    <mergeCell ref="Q42:S42"/>
    <mergeCell ref="T42:V42"/>
    <mergeCell ref="W42:Y42"/>
    <mergeCell ref="B43:D43"/>
    <mergeCell ref="E43:G43"/>
    <mergeCell ref="H43:J43"/>
    <mergeCell ref="K43:M43"/>
    <mergeCell ref="N43:P43"/>
    <mergeCell ref="Q43:S43"/>
    <mergeCell ref="T43:V43"/>
    <mergeCell ref="W45:Y45"/>
    <mergeCell ref="B44:D44"/>
    <mergeCell ref="E44:G44"/>
    <mergeCell ref="H44:J44"/>
    <mergeCell ref="K44:M44"/>
    <mergeCell ref="N44:P44"/>
    <mergeCell ref="Q44:S44"/>
    <mergeCell ref="T44:V44"/>
    <mergeCell ref="W44:Y44"/>
    <mergeCell ref="B45:D45"/>
    <mergeCell ref="E45:G45"/>
    <mergeCell ref="H45:J45"/>
    <mergeCell ref="K45:M45"/>
    <mergeCell ref="N45:P45"/>
    <mergeCell ref="Q45:S45"/>
    <mergeCell ref="T45:V45"/>
    <mergeCell ref="W47:Y47"/>
    <mergeCell ref="B46:D46"/>
    <mergeCell ref="E46:G46"/>
    <mergeCell ref="H46:J46"/>
    <mergeCell ref="K46:M46"/>
    <mergeCell ref="N46:P46"/>
    <mergeCell ref="Q46:S46"/>
    <mergeCell ref="T46:V46"/>
    <mergeCell ref="W46:Y46"/>
    <mergeCell ref="B47:D47"/>
    <mergeCell ref="E47:G47"/>
    <mergeCell ref="H47:J47"/>
    <mergeCell ref="K47:M47"/>
    <mergeCell ref="N47:P47"/>
    <mergeCell ref="Q47:S47"/>
    <mergeCell ref="T47:V47"/>
    <mergeCell ref="B48:D48"/>
    <mergeCell ref="E48:G48"/>
    <mergeCell ref="H48:J48"/>
    <mergeCell ref="K48:M48"/>
    <mergeCell ref="N48:P48"/>
    <mergeCell ref="Q48:S48"/>
    <mergeCell ref="T48:V48"/>
    <mergeCell ref="W48:Y48"/>
    <mergeCell ref="B49:D49"/>
    <mergeCell ref="E49:G49"/>
    <mergeCell ref="H49:J49"/>
    <mergeCell ref="K49:M49"/>
    <mergeCell ref="N49:P49"/>
    <mergeCell ref="Q49:S49"/>
    <mergeCell ref="T49:V49"/>
    <mergeCell ref="Q50:S50"/>
    <mergeCell ref="T50:V50"/>
    <mergeCell ref="W50:Y50"/>
    <mergeCell ref="B50:D50"/>
    <mergeCell ref="E50:G50"/>
    <mergeCell ref="H50:J50"/>
    <mergeCell ref="K50:M50"/>
    <mergeCell ref="N50:P50"/>
    <mergeCell ref="W49:Y49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F2BF-F4BF-4D25-85C7-8EF058E0C212}">
  <sheetPr>
    <pageSetUpPr fitToPage="1"/>
  </sheetPr>
  <dimension ref="A1:AF70"/>
  <sheetViews>
    <sheetView topLeftCell="A42" workbookViewId="0">
      <selection activeCell="I18" sqref="I18:Y18"/>
    </sheetView>
  </sheetViews>
  <sheetFormatPr baseColWidth="10" defaultColWidth="11.44140625" defaultRowHeight="12.75" customHeight="1" x14ac:dyDescent="0.25"/>
  <cols>
    <col min="1" max="1" width="5.109375" style="83" customWidth="1"/>
    <col min="2" max="26" width="5.109375" style="82" customWidth="1"/>
    <col min="27" max="27" width="20" style="82" customWidth="1"/>
    <col min="28" max="28" width="28.109375" style="82" customWidth="1"/>
    <col min="29" max="29" width="22.88671875" style="82" customWidth="1"/>
    <col min="30" max="30" width="29.33203125" style="82" customWidth="1"/>
    <col min="31" max="31" width="11.44140625" style="82"/>
    <col min="32" max="16384" width="11.44140625" style="81"/>
  </cols>
  <sheetData>
    <row r="1" spans="1:32" ht="12.75" customHeight="1" x14ac:dyDescent="0.25">
      <c r="A1" s="192"/>
      <c r="B1" s="193"/>
      <c r="C1" s="193"/>
      <c r="D1" s="193"/>
      <c r="E1" s="193"/>
      <c r="F1" s="194"/>
      <c r="G1" s="201" t="s">
        <v>0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3"/>
      <c r="U1" s="298" t="s">
        <v>1</v>
      </c>
      <c r="V1" s="299"/>
      <c r="W1" s="299"/>
      <c r="X1" s="299"/>
      <c r="Y1" s="299"/>
      <c r="Z1" s="300"/>
    </row>
    <row r="2" spans="1:32" ht="12.75" customHeight="1" x14ac:dyDescent="0.3">
      <c r="A2" s="195"/>
      <c r="B2" s="196"/>
      <c r="C2" s="196"/>
      <c r="D2" s="196"/>
      <c r="E2" s="196"/>
      <c r="F2" s="197"/>
      <c r="G2" s="168" t="s">
        <v>2</v>
      </c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70"/>
      <c r="U2" s="301"/>
      <c r="V2" s="302"/>
      <c r="W2" s="302"/>
      <c r="X2" s="302"/>
      <c r="Y2" s="302"/>
      <c r="Z2" s="303"/>
      <c r="AA2" s="103"/>
      <c r="AB2" s="103"/>
    </row>
    <row r="3" spans="1:32" ht="12.75" customHeight="1" x14ac:dyDescent="0.3">
      <c r="A3" s="195"/>
      <c r="B3" s="196"/>
      <c r="C3" s="196"/>
      <c r="D3" s="196"/>
      <c r="E3" s="196"/>
      <c r="F3" s="197"/>
      <c r="G3" s="168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70"/>
      <c r="U3" s="301"/>
      <c r="V3" s="302"/>
      <c r="W3" s="302"/>
      <c r="X3" s="302"/>
      <c r="Y3" s="302"/>
      <c r="Z3" s="303"/>
      <c r="AA3" s="103"/>
      <c r="AB3" s="103"/>
    </row>
    <row r="4" spans="1:32" ht="12.75" customHeight="1" x14ac:dyDescent="0.3">
      <c r="A4" s="195"/>
      <c r="B4" s="196"/>
      <c r="C4" s="196"/>
      <c r="D4" s="196"/>
      <c r="E4" s="196"/>
      <c r="F4" s="197"/>
      <c r="G4" s="168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70"/>
      <c r="U4" s="301"/>
      <c r="V4" s="302"/>
      <c r="W4" s="302"/>
      <c r="X4" s="302"/>
      <c r="Y4" s="302"/>
      <c r="Z4" s="303"/>
      <c r="AA4" s="103"/>
      <c r="AB4" s="103"/>
    </row>
    <row r="5" spans="1:32" ht="12.75" customHeight="1" x14ac:dyDescent="0.3">
      <c r="A5" s="195"/>
      <c r="B5" s="196"/>
      <c r="C5" s="196"/>
      <c r="D5" s="196"/>
      <c r="E5" s="196"/>
      <c r="F5" s="197"/>
      <c r="G5" s="171"/>
      <c r="H5" s="172"/>
      <c r="I5" s="153" t="s">
        <v>3</v>
      </c>
      <c r="J5" s="173">
        <v>4</v>
      </c>
      <c r="K5" s="174"/>
      <c r="L5" s="175" t="s">
        <v>4</v>
      </c>
      <c r="M5" s="176"/>
      <c r="N5" s="176"/>
      <c r="O5" s="177"/>
      <c r="P5" s="178" t="s">
        <v>100</v>
      </c>
      <c r="Q5" s="179"/>
      <c r="R5" s="179"/>
      <c r="S5" s="179"/>
      <c r="T5" s="180"/>
      <c r="U5" s="301"/>
      <c r="V5" s="302"/>
      <c r="W5" s="302"/>
      <c r="X5" s="302"/>
      <c r="Y5" s="302"/>
      <c r="Z5" s="303"/>
      <c r="AA5" s="103"/>
      <c r="AB5" s="103"/>
    </row>
    <row r="6" spans="1:32" ht="12.75" customHeight="1" x14ac:dyDescent="0.25">
      <c r="A6" s="198"/>
      <c r="B6" s="199"/>
      <c r="C6" s="199"/>
      <c r="D6" s="199"/>
      <c r="E6" s="199"/>
      <c r="F6" s="200"/>
      <c r="G6" s="152"/>
      <c r="H6" s="112"/>
      <c r="I6" s="112"/>
      <c r="J6" s="181" t="s">
        <v>6</v>
      </c>
      <c r="K6" s="181"/>
      <c r="L6" s="181" t="s">
        <v>7</v>
      </c>
      <c r="M6" s="181"/>
      <c r="N6" s="181"/>
      <c r="O6" s="181"/>
      <c r="P6" s="181" t="s">
        <v>8</v>
      </c>
      <c r="Q6" s="181"/>
      <c r="R6" s="181"/>
      <c r="S6" s="181"/>
      <c r="T6" s="182"/>
      <c r="U6" s="304"/>
      <c r="V6" s="305"/>
      <c r="W6" s="305"/>
      <c r="X6" s="305"/>
      <c r="Y6" s="305"/>
      <c r="Z6" s="306"/>
    </row>
    <row r="7" spans="1:32" ht="36.6" customHeight="1" x14ac:dyDescent="0.25">
      <c r="A7" s="219" t="s">
        <v>9</v>
      </c>
      <c r="B7" s="219"/>
      <c r="C7" s="219"/>
      <c r="D7" s="219"/>
      <c r="E7" s="219"/>
      <c r="F7" s="219"/>
      <c r="G7" s="220" t="s">
        <v>10</v>
      </c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</row>
    <row r="8" spans="1:32" ht="15.9" customHeight="1" x14ac:dyDescent="0.3">
      <c r="A8" s="142" t="s">
        <v>11</v>
      </c>
      <c r="B8" s="141" t="s">
        <v>12</v>
      </c>
      <c r="C8" s="151"/>
      <c r="D8" s="150"/>
      <c r="E8" s="150"/>
      <c r="F8" s="150"/>
      <c r="G8" s="150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24"/>
      <c r="AB8" s="103"/>
      <c r="AF8" s="103" t="s">
        <v>13</v>
      </c>
    </row>
    <row r="9" spans="1:32" ht="8.25" customHeight="1" x14ac:dyDescent="0.3">
      <c r="A9" s="88"/>
      <c r="D9" s="83"/>
      <c r="E9" s="83"/>
      <c r="F9" s="83"/>
      <c r="G9" s="83"/>
      <c r="Z9" s="115"/>
      <c r="AB9" s="103"/>
      <c r="AF9" s="103" t="s">
        <v>101</v>
      </c>
    </row>
    <row r="10" spans="1:32" ht="15.9" customHeight="1" x14ac:dyDescent="0.3">
      <c r="A10" s="88"/>
      <c r="B10" s="204" t="s">
        <v>15</v>
      </c>
      <c r="C10" s="204"/>
      <c r="D10" s="204"/>
      <c r="E10" s="204"/>
      <c r="F10" s="204"/>
      <c r="G10" s="204"/>
      <c r="H10" s="207" t="s">
        <v>13</v>
      </c>
      <c r="I10" s="207"/>
      <c r="J10" s="207"/>
      <c r="K10" s="207"/>
      <c r="L10" s="207"/>
      <c r="M10" s="207"/>
      <c r="N10" s="204" t="s">
        <v>16</v>
      </c>
      <c r="O10" s="204"/>
      <c r="P10" s="204"/>
      <c r="Q10" s="204"/>
      <c r="R10" s="204"/>
      <c r="S10" s="205" t="s">
        <v>17</v>
      </c>
      <c r="T10" s="205"/>
      <c r="U10" s="205"/>
      <c r="V10" s="205"/>
      <c r="W10" s="205"/>
      <c r="X10" s="205"/>
      <c r="Y10" s="205"/>
      <c r="Z10" s="149"/>
      <c r="AB10" s="103"/>
      <c r="AF10" s="103" t="s">
        <v>100</v>
      </c>
    </row>
    <row r="11" spans="1:32" ht="15.9" customHeight="1" x14ac:dyDescent="0.3">
      <c r="A11" s="88"/>
      <c r="B11" s="204" t="s">
        <v>18</v>
      </c>
      <c r="C11" s="204"/>
      <c r="D11" s="204"/>
      <c r="E11" s="204"/>
      <c r="F11" s="204"/>
      <c r="G11" s="204"/>
      <c r="H11" s="207" t="s">
        <v>101</v>
      </c>
      <c r="I11" s="207"/>
      <c r="J11" s="207"/>
      <c r="K11" s="207"/>
      <c r="L11" s="207"/>
      <c r="M11" s="207"/>
      <c r="N11" s="204" t="s">
        <v>19</v>
      </c>
      <c r="O11" s="204"/>
      <c r="P11" s="204"/>
      <c r="Q11" s="204"/>
      <c r="R11" s="204"/>
      <c r="S11" s="205" t="s">
        <v>99</v>
      </c>
      <c r="T11" s="205"/>
      <c r="U11" s="205"/>
      <c r="V11" s="205"/>
      <c r="W11" s="205"/>
      <c r="X11" s="205"/>
      <c r="Y11" s="205"/>
      <c r="Z11" s="149"/>
      <c r="AB11" s="103"/>
      <c r="AF11" s="103" t="s">
        <v>17</v>
      </c>
    </row>
    <row r="12" spans="1:32" ht="15.9" customHeight="1" x14ac:dyDescent="0.3">
      <c r="A12" s="88"/>
      <c r="B12" s="204" t="s">
        <v>21</v>
      </c>
      <c r="C12" s="204"/>
      <c r="D12" s="204"/>
      <c r="E12" s="204"/>
      <c r="F12" s="204"/>
      <c r="G12" s="204"/>
      <c r="H12" s="207" t="s">
        <v>100</v>
      </c>
      <c r="I12" s="207"/>
      <c r="J12" s="207"/>
      <c r="K12" s="207"/>
      <c r="L12" s="207"/>
      <c r="M12" s="207"/>
      <c r="N12" s="204" t="s">
        <v>22</v>
      </c>
      <c r="O12" s="204"/>
      <c r="P12" s="204"/>
      <c r="Q12" s="204"/>
      <c r="R12" s="204"/>
      <c r="S12" s="205" t="s">
        <v>80</v>
      </c>
      <c r="T12" s="205"/>
      <c r="U12" s="205"/>
      <c r="V12" s="205"/>
      <c r="W12" s="205"/>
      <c r="X12" s="205"/>
      <c r="Y12" s="205"/>
      <c r="Z12" s="149"/>
      <c r="AB12" s="103"/>
      <c r="AF12" s="103" t="s">
        <v>99</v>
      </c>
    </row>
    <row r="13" spans="1:32" ht="8.25" customHeight="1" x14ac:dyDescent="0.3">
      <c r="A13" s="86"/>
      <c r="B13" s="146"/>
      <c r="C13" s="146"/>
      <c r="D13" s="148"/>
      <c r="E13" s="148"/>
      <c r="F13" s="148"/>
      <c r="G13" s="148"/>
      <c r="H13" s="146"/>
      <c r="I13" s="146"/>
      <c r="J13" s="146"/>
      <c r="K13" s="146"/>
      <c r="L13" s="146"/>
      <c r="M13" s="146"/>
      <c r="N13" s="147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11"/>
      <c r="AB13" s="103"/>
      <c r="AF13" s="103" t="s">
        <v>80</v>
      </c>
    </row>
    <row r="14" spans="1:32" s="90" customFormat="1" ht="15" customHeight="1" x14ac:dyDescent="0.25">
      <c r="B14" s="144"/>
      <c r="C14" s="144"/>
      <c r="K14" s="145"/>
      <c r="L14" s="144"/>
      <c r="M14" s="143"/>
    </row>
    <row r="15" spans="1:32" s="90" customFormat="1" ht="16.2" customHeight="1" x14ac:dyDescent="0.25">
      <c r="A15" s="142" t="s">
        <v>24</v>
      </c>
      <c r="B15" s="141" t="s">
        <v>25</v>
      </c>
      <c r="C15" s="140"/>
      <c r="D15" s="140"/>
      <c r="E15" s="140"/>
      <c r="F15" s="140"/>
      <c r="G15" s="140"/>
      <c r="H15" s="140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8"/>
    </row>
    <row r="16" spans="1:32" s="90" customFormat="1" ht="13.8" customHeight="1" x14ac:dyDescent="0.25">
      <c r="A16" s="134"/>
      <c r="B16" s="137"/>
      <c r="C16" s="136"/>
      <c r="D16" s="136"/>
      <c r="E16" s="136"/>
      <c r="F16" s="136"/>
      <c r="G16" s="136"/>
      <c r="H16" s="136"/>
      <c r="Z16" s="135"/>
    </row>
    <row r="17" spans="1:32" s="90" customFormat="1" ht="15" customHeight="1" x14ac:dyDescent="0.25">
      <c r="A17" s="134"/>
      <c r="B17" s="189" t="s">
        <v>26</v>
      </c>
      <c r="C17" s="189"/>
      <c r="D17" s="189"/>
      <c r="E17" s="189"/>
      <c r="F17" s="189"/>
      <c r="G17" s="189"/>
      <c r="H17" s="189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133"/>
    </row>
    <row r="18" spans="1:32" s="90" customFormat="1" ht="15" customHeight="1" x14ac:dyDescent="0.25">
      <c r="A18" s="134"/>
      <c r="B18" s="189" t="s">
        <v>27</v>
      </c>
      <c r="C18" s="189"/>
      <c r="D18" s="189"/>
      <c r="E18" s="189"/>
      <c r="F18" s="189"/>
      <c r="G18" s="189"/>
      <c r="H18" s="189"/>
      <c r="I18" s="235" t="s">
        <v>98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133"/>
    </row>
    <row r="19" spans="1:32" s="90" customFormat="1" ht="13.2" customHeight="1" x14ac:dyDescent="0.25">
      <c r="A19" s="132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0"/>
    </row>
    <row r="20" spans="1:32" ht="12.75" customHeight="1" x14ac:dyDescent="0.25">
      <c r="D20" s="83"/>
      <c r="E20" s="83"/>
      <c r="F20" s="83"/>
      <c r="G20" s="83"/>
      <c r="N20" s="129"/>
    </row>
    <row r="21" spans="1:32" ht="15.9" customHeight="1" x14ac:dyDescent="0.25">
      <c r="A21" s="128" t="s">
        <v>28</v>
      </c>
      <c r="B21" s="127" t="s">
        <v>29</v>
      </c>
      <c r="C21" s="125"/>
      <c r="D21" s="126"/>
      <c r="E21" s="126"/>
      <c r="F21" s="126"/>
      <c r="G21" s="126"/>
      <c r="H21" s="125"/>
      <c r="I21" s="125"/>
      <c r="J21" s="125"/>
      <c r="K21" s="125"/>
      <c r="L21" s="125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24"/>
    </row>
    <row r="22" spans="1:32" ht="12.75" customHeight="1" x14ac:dyDescent="0.25">
      <c r="A22" s="88"/>
      <c r="Z22" s="115"/>
    </row>
    <row r="23" spans="1:32" ht="12.75" customHeight="1" x14ac:dyDescent="0.25">
      <c r="A23" s="88"/>
      <c r="Z23" s="115"/>
    </row>
    <row r="24" spans="1:32" ht="12.75" customHeight="1" x14ac:dyDescent="0.25">
      <c r="A24" s="88"/>
      <c r="B24" s="183" t="s">
        <v>30</v>
      </c>
      <c r="C24" s="212"/>
      <c r="D24" s="212"/>
      <c r="E24" s="212"/>
      <c r="F24" s="212">
        <v>24</v>
      </c>
      <c r="G24" s="212"/>
      <c r="H24" s="212"/>
      <c r="I24" s="212"/>
      <c r="J24" s="236" t="s">
        <v>31</v>
      </c>
      <c r="K24" s="236"/>
      <c r="L24" s="237"/>
      <c r="O24" s="183" t="s">
        <v>32</v>
      </c>
      <c r="P24" s="184"/>
      <c r="Q24" s="184"/>
      <c r="R24" s="184"/>
      <c r="S24" s="212">
        <v>890</v>
      </c>
      <c r="T24" s="212"/>
      <c r="U24" s="212"/>
      <c r="V24" s="212"/>
      <c r="W24" s="236" t="s">
        <v>97</v>
      </c>
      <c r="X24" s="236"/>
      <c r="Y24" s="237"/>
      <c r="Z24" s="115"/>
      <c r="AA24" s="81"/>
    </row>
    <row r="25" spans="1:32" ht="12.75" customHeight="1" x14ac:dyDescent="0.25">
      <c r="A25" s="88"/>
      <c r="B25" s="213"/>
      <c r="C25" s="214"/>
      <c r="D25" s="214"/>
      <c r="E25" s="214"/>
      <c r="F25" s="214"/>
      <c r="G25" s="214"/>
      <c r="H25" s="214"/>
      <c r="I25" s="214"/>
      <c r="J25" s="238"/>
      <c r="K25" s="238"/>
      <c r="L25" s="239"/>
      <c r="O25" s="185"/>
      <c r="P25" s="186"/>
      <c r="Q25" s="186"/>
      <c r="R25" s="186"/>
      <c r="S25" s="214"/>
      <c r="T25" s="214"/>
      <c r="U25" s="214"/>
      <c r="V25" s="214"/>
      <c r="W25" s="238"/>
      <c r="X25" s="238"/>
      <c r="Y25" s="239"/>
      <c r="Z25" s="115"/>
      <c r="AA25" s="81"/>
    </row>
    <row r="26" spans="1:32" ht="12.75" customHeight="1" x14ac:dyDescent="0.25">
      <c r="A26" s="88"/>
      <c r="B26" s="215"/>
      <c r="C26" s="216"/>
      <c r="D26" s="216"/>
      <c r="E26" s="216"/>
      <c r="F26" s="216"/>
      <c r="G26" s="216"/>
      <c r="H26" s="216"/>
      <c r="I26" s="216"/>
      <c r="J26" s="240"/>
      <c r="K26" s="240"/>
      <c r="L26" s="241"/>
      <c r="O26" s="187"/>
      <c r="P26" s="188"/>
      <c r="Q26" s="188"/>
      <c r="R26" s="188"/>
      <c r="S26" s="216"/>
      <c r="T26" s="216"/>
      <c r="U26" s="216"/>
      <c r="V26" s="216"/>
      <c r="W26" s="240"/>
      <c r="X26" s="240"/>
      <c r="Y26" s="241"/>
      <c r="Z26" s="115"/>
      <c r="AA26" s="81"/>
    </row>
    <row r="27" spans="1:32" ht="12.75" customHeight="1" x14ac:dyDescent="0.25">
      <c r="A27" s="88"/>
      <c r="B27" s="183" t="s">
        <v>34</v>
      </c>
      <c r="C27" s="184"/>
      <c r="D27" s="184"/>
      <c r="E27" s="184"/>
      <c r="F27" s="242">
        <f>IF(F24&lt;&gt;"",(997.1*(SUM(AD35:AD70))),"")</f>
        <v>997.39913000000001</v>
      </c>
      <c r="G27" s="242"/>
      <c r="H27" s="242"/>
      <c r="I27" s="242"/>
      <c r="J27" s="236" t="s">
        <v>35</v>
      </c>
      <c r="K27" s="236"/>
      <c r="L27" s="237"/>
      <c r="O27" s="245" t="s">
        <v>36</v>
      </c>
      <c r="P27" s="212"/>
      <c r="Q27" s="212"/>
      <c r="R27" s="212"/>
      <c r="S27" s="212">
        <v>2480</v>
      </c>
      <c r="T27" s="212"/>
      <c r="U27" s="212"/>
      <c r="V27" s="212"/>
      <c r="W27" s="236" t="s">
        <v>35</v>
      </c>
      <c r="X27" s="236"/>
      <c r="Y27" s="237"/>
      <c r="Z27" s="115"/>
      <c r="AA27" s="81"/>
    </row>
    <row r="28" spans="1:32" ht="12.75" customHeight="1" x14ac:dyDescent="0.25">
      <c r="A28" s="88"/>
      <c r="B28" s="185"/>
      <c r="C28" s="186"/>
      <c r="D28" s="186"/>
      <c r="E28" s="186"/>
      <c r="F28" s="243"/>
      <c r="G28" s="243"/>
      <c r="H28" s="243"/>
      <c r="I28" s="243"/>
      <c r="J28" s="238"/>
      <c r="K28" s="238"/>
      <c r="L28" s="239"/>
      <c r="O28" s="213"/>
      <c r="P28" s="214"/>
      <c r="Q28" s="214"/>
      <c r="R28" s="214"/>
      <c r="S28" s="214"/>
      <c r="T28" s="214"/>
      <c r="U28" s="214"/>
      <c r="V28" s="214"/>
      <c r="W28" s="238"/>
      <c r="X28" s="238"/>
      <c r="Y28" s="239"/>
      <c r="Z28" s="115"/>
      <c r="AA28" s="81"/>
    </row>
    <row r="29" spans="1:32" ht="12.75" customHeight="1" x14ac:dyDescent="0.25">
      <c r="A29" s="88"/>
      <c r="B29" s="187"/>
      <c r="C29" s="188"/>
      <c r="D29" s="188"/>
      <c r="E29" s="188"/>
      <c r="F29" s="244"/>
      <c r="G29" s="244"/>
      <c r="H29" s="244"/>
      <c r="I29" s="244"/>
      <c r="J29" s="240"/>
      <c r="K29" s="240"/>
      <c r="L29" s="241"/>
      <c r="O29" s="215"/>
      <c r="P29" s="216"/>
      <c r="Q29" s="216"/>
      <c r="R29" s="216"/>
      <c r="S29" s="216"/>
      <c r="T29" s="216"/>
      <c r="U29" s="216"/>
      <c r="V29" s="216"/>
      <c r="W29" s="240"/>
      <c r="X29" s="240"/>
      <c r="Y29" s="241"/>
      <c r="Z29" s="115"/>
    </row>
    <row r="30" spans="1:32" ht="12.75" customHeight="1" x14ac:dyDescent="0.3">
      <c r="A30" s="88"/>
      <c r="B30" s="123"/>
      <c r="C30" s="121"/>
      <c r="D30" s="120"/>
      <c r="I30" s="119"/>
      <c r="J30" s="119"/>
      <c r="P30" s="121"/>
      <c r="Q30" s="121"/>
      <c r="R30" s="121"/>
      <c r="S30" s="121"/>
      <c r="T30" s="121"/>
      <c r="U30" s="121"/>
      <c r="V30" s="121"/>
      <c r="W30" s="120"/>
      <c r="Z30" s="115"/>
      <c r="AA30" s="103"/>
      <c r="AB30" s="103"/>
      <c r="AC30" s="103"/>
      <c r="AD30" s="103"/>
      <c r="AE30" s="103"/>
      <c r="AF30" s="103"/>
    </row>
    <row r="31" spans="1:32" ht="12.75" customHeight="1" thickBot="1" x14ac:dyDescent="0.3">
      <c r="A31" s="88"/>
      <c r="B31" s="123"/>
      <c r="C31" s="121"/>
      <c r="D31" s="120"/>
      <c r="E31" s="119"/>
      <c r="F31" s="122"/>
      <c r="G31" s="121"/>
      <c r="H31" s="120"/>
      <c r="I31" s="119"/>
      <c r="J31" s="119"/>
      <c r="Z31" s="115"/>
    </row>
    <row r="32" spans="1:32" ht="19.5" customHeight="1" x14ac:dyDescent="0.25">
      <c r="A32" s="88"/>
      <c r="B32" s="208" t="s">
        <v>37</v>
      </c>
      <c r="C32" s="209"/>
      <c r="D32" s="209"/>
      <c r="E32" s="209" t="s">
        <v>38</v>
      </c>
      <c r="F32" s="209"/>
      <c r="G32" s="209"/>
      <c r="H32" s="209" t="s">
        <v>39</v>
      </c>
      <c r="I32" s="209"/>
      <c r="J32" s="209"/>
      <c r="K32" s="209" t="s">
        <v>40</v>
      </c>
      <c r="L32" s="209"/>
      <c r="M32" s="209"/>
      <c r="N32" s="209" t="s">
        <v>96</v>
      </c>
      <c r="O32" s="209"/>
      <c r="P32" s="209"/>
      <c r="Q32" s="209" t="s">
        <v>42</v>
      </c>
      <c r="R32" s="209"/>
      <c r="S32" s="209"/>
      <c r="T32" s="231" t="s">
        <v>43</v>
      </c>
      <c r="U32" s="231"/>
      <c r="V32" s="231"/>
      <c r="W32" s="209" t="s">
        <v>44</v>
      </c>
      <c r="X32" s="209"/>
      <c r="Y32" s="232"/>
      <c r="Z32" s="115"/>
      <c r="AB32" s="192" t="s">
        <v>45</v>
      </c>
      <c r="AC32" s="193" t="s">
        <v>46</v>
      </c>
      <c r="AD32" s="194" t="s">
        <v>47</v>
      </c>
    </row>
    <row r="33" spans="1:30" ht="19.5" customHeight="1" x14ac:dyDescent="0.25">
      <c r="A33" s="88"/>
      <c r="B33" s="210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214"/>
      <c r="U33" s="214"/>
      <c r="V33" s="214"/>
      <c r="W33" s="186"/>
      <c r="X33" s="186"/>
      <c r="Y33" s="233"/>
      <c r="Z33" s="115"/>
      <c r="AB33" s="195"/>
      <c r="AC33" s="196"/>
      <c r="AD33" s="197"/>
    </row>
    <row r="34" spans="1:30" ht="19.5" customHeight="1" x14ac:dyDescent="0.25">
      <c r="A34" s="88"/>
      <c r="B34" s="211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216"/>
      <c r="U34" s="216"/>
      <c r="V34" s="216"/>
      <c r="W34" s="188"/>
      <c r="X34" s="188"/>
      <c r="Y34" s="234"/>
      <c r="Z34" s="115"/>
      <c r="AB34" s="198"/>
      <c r="AC34" s="199"/>
      <c r="AD34" s="200"/>
    </row>
    <row r="35" spans="1:30" ht="25.5" customHeight="1" x14ac:dyDescent="0.25">
      <c r="A35" s="88"/>
      <c r="B35" s="206" t="s">
        <v>95</v>
      </c>
      <c r="C35" s="190"/>
      <c r="D35" s="190"/>
      <c r="E35" s="190">
        <v>1364.4</v>
      </c>
      <c r="F35" s="190"/>
      <c r="G35" s="190"/>
      <c r="H35" s="190">
        <v>1388.6</v>
      </c>
      <c r="I35" s="190"/>
      <c r="J35" s="190"/>
      <c r="K35" s="190">
        <v>760.4</v>
      </c>
      <c r="L35" s="190"/>
      <c r="M35" s="190"/>
      <c r="N35" s="218">
        <v>2264</v>
      </c>
      <c r="O35" s="218"/>
      <c r="P35" s="218"/>
      <c r="Q35" s="218">
        <v>91.3</v>
      </c>
      <c r="R35" s="218"/>
      <c r="S35" s="218"/>
      <c r="T35" s="218">
        <v>8.6999999999999993</v>
      </c>
      <c r="U35" s="218"/>
      <c r="V35" s="218"/>
      <c r="W35" s="190">
        <v>6</v>
      </c>
      <c r="X35" s="190"/>
      <c r="Y35" s="267"/>
      <c r="Z35" s="115"/>
      <c r="AB35" s="88">
        <v>10</v>
      </c>
      <c r="AC35" s="83">
        <v>1.0026999999999999</v>
      </c>
      <c r="AD35" s="87" t="str">
        <f>IF($F$24=AB35,AC35,"")</f>
        <v/>
      </c>
    </row>
    <row r="36" spans="1:30" ht="25.5" customHeight="1" x14ac:dyDescent="0.25">
      <c r="A36" s="88"/>
      <c r="B36" s="206" t="s">
        <v>94</v>
      </c>
      <c r="C36" s="190"/>
      <c r="D36" s="190"/>
      <c r="E36" s="190">
        <v>1217.5999999999999</v>
      </c>
      <c r="F36" s="190"/>
      <c r="G36" s="190"/>
      <c r="H36" s="190">
        <v>1239.3</v>
      </c>
      <c r="I36" s="190"/>
      <c r="J36" s="190"/>
      <c r="K36" s="190">
        <v>691.6</v>
      </c>
      <c r="L36" s="190"/>
      <c r="M36" s="190"/>
      <c r="N36" s="218">
        <v>2320.4</v>
      </c>
      <c r="O36" s="218"/>
      <c r="P36" s="218"/>
      <c r="Q36" s="218">
        <v>93.6</v>
      </c>
      <c r="R36" s="218"/>
      <c r="S36" s="218"/>
      <c r="T36" s="218">
        <v>6.4</v>
      </c>
      <c r="U36" s="218"/>
      <c r="V36" s="218"/>
      <c r="W36" s="190">
        <v>5.2</v>
      </c>
      <c r="X36" s="190"/>
      <c r="Y36" s="267"/>
      <c r="Z36" s="115"/>
      <c r="AB36" s="88">
        <v>10</v>
      </c>
      <c r="AC36" s="83">
        <v>1.0026999999999999</v>
      </c>
      <c r="AD36" s="87" t="str">
        <f>IF($F$24=AB35,AC35,"")</f>
        <v/>
      </c>
    </row>
    <row r="37" spans="1:30" ht="25.5" customHeight="1" x14ac:dyDescent="0.25">
      <c r="A37" s="88"/>
      <c r="B37" s="206" t="s">
        <v>93</v>
      </c>
      <c r="C37" s="190"/>
      <c r="D37" s="190"/>
      <c r="E37" s="190">
        <v>1139.2</v>
      </c>
      <c r="F37" s="190"/>
      <c r="G37" s="190"/>
      <c r="H37" s="190">
        <v>1168.0999999999999</v>
      </c>
      <c r="I37" s="190"/>
      <c r="J37" s="190"/>
      <c r="K37" s="190">
        <v>631.70000000000005</v>
      </c>
      <c r="L37" s="190"/>
      <c r="M37" s="190"/>
      <c r="N37" s="218">
        <v>2254.4</v>
      </c>
      <c r="O37" s="218"/>
      <c r="P37" s="218"/>
      <c r="Q37" s="218">
        <v>90.9</v>
      </c>
      <c r="R37" s="218"/>
      <c r="S37" s="218"/>
      <c r="T37" s="218">
        <v>9.1</v>
      </c>
      <c r="U37" s="218"/>
      <c r="V37" s="218"/>
      <c r="W37" s="190">
        <v>5.3</v>
      </c>
      <c r="X37" s="190"/>
      <c r="Y37" s="267"/>
      <c r="Z37" s="115"/>
      <c r="AB37" s="88">
        <v>10</v>
      </c>
      <c r="AC37" s="83">
        <v>1.0026999999999999</v>
      </c>
      <c r="AD37" s="87" t="str">
        <f>IF($F$24=AB35,AC35,"")</f>
        <v/>
      </c>
    </row>
    <row r="38" spans="1:30" ht="25.5" customHeight="1" x14ac:dyDescent="0.25">
      <c r="A38" s="88"/>
      <c r="B38" s="206" t="s">
        <v>92</v>
      </c>
      <c r="C38" s="190"/>
      <c r="D38" s="190"/>
      <c r="E38" s="190">
        <v>1266</v>
      </c>
      <c r="F38" s="190"/>
      <c r="G38" s="190"/>
      <c r="H38" s="190">
        <v>1289.2</v>
      </c>
      <c r="I38" s="190"/>
      <c r="J38" s="190"/>
      <c r="K38" s="190">
        <v>719.3</v>
      </c>
      <c r="L38" s="190"/>
      <c r="M38" s="190"/>
      <c r="N38" s="218">
        <v>2321.6</v>
      </c>
      <c r="O38" s="218"/>
      <c r="P38" s="218"/>
      <c r="Q38" s="218">
        <v>93.6</v>
      </c>
      <c r="R38" s="218"/>
      <c r="S38" s="218"/>
      <c r="T38" s="218">
        <v>6.4</v>
      </c>
      <c r="U38" s="218"/>
      <c r="V38" s="218"/>
      <c r="W38" s="190">
        <v>5.4</v>
      </c>
      <c r="X38" s="190"/>
      <c r="Y38" s="267"/>
      <c r="Z38" s="115"/>
      <c r="AB38" s="88">
        <v>10</v>
      </c>
      <c r="AC38" s="83">
        <v>1.0026999999999999</v>
      </c>
      <c r="AD38" s="87" t="str">
        <f>IF($F$24=AB35,AC35,"")</f>
        <v/>
      </c>
    </row>
    <row r="39" spans="1:30" ht="25.5" customHeight="1" x14ac:dyDescent="0.25">
      <c r="A39" s="88"/>
      <c r="B39" s="206" t="s">
        <v>91</v>
      </c>
      <c r="C39" s="190"/>
      <c r="D39" s="190"/>
      <c r="E39" s="190">
        <v>1191.0999999999999</v>
      </c>
      <c r="F39" s="190"/>
      <c r="G39" s="190"/>
      <c r="H39" s="190">
        <v>1213.0999999999999</v>
      </c>
      <c r="I39" s="190"/>
      <c r="J39" s="190"/>
      <c r="K39" s="190">
        <v>680.4</v>
      </c>
      <c r="L39" s="190"/>
      <c r="M39" s="190"/>
      <c r="N39" s="218">
        <v>2338.4</v>
      </c>
      <c r="O39" s="218"/>
      <c r="P39" s="218"/>
      <c r="Q39" s="218">
        <v>94.3</v>
      </c>
      <c r="R39" s="218"/>
      <c r="S39" s="218"/>
      <c r="T39" s="218">
        <v>5.7</v>
      </c>
      <c r="U39" s="218"/>
      <c r="V39" s="218"/>
      <c r="W39" s="190">
        <v>5.2</v>
      </c>
      <c r="X39" s="190"/>
      <c r="Y39" s="267"/>
      <c r="Z39" s="115"/>
      <c r="AB39" s="88">
        <v>10</v>
      </c>
      <c r="AC39" s="83">
        <v>1.0026999999999999</v>
      </c>
      <c r="AD39" s="87" t="str">
        <f>IF($F$24=AB35,AC35,"")</f>
        <v/>
      </c>
    </row>
    <row r="40" spans="1:30" ht="25.5" customHeight="1" x14ac:dyDescent="0.25">
      <c r="A40" s="88"/>
      <c r="B40" s="206" t="s">
        <v>90</v>
      </c>
      <c r="C40" s="190"/>
      <c r="D40" s="190"/>
      <c r="E40" s="190">
        <v>1255.4000000000001</v>
      </c>
      <c r="F40" s="190"/>
      <c r="G40" s="190"/>
      <c r="H40" s="190">
        <v>1282</v>
      </c>
      <c r="I40" s="190"/>
      <c r="J40" s="190"/>
      <c r="K40" s="190">
        <v>711</v>
      </c>
      <c r="L40" s="190"/>
      <c r="M40" s="190"/>
      <c r="N40" s="218">
        <v>2313.6999999999998</v>
      </c>
      <c r="O40" s="218"/>
      <c r="P40" s="218"/>
      <c r="Q40" s="218">
        <v>93.3</v>
      </c>
      <c r="R40" s="218"/>
      <c r="S40" s="218"/>
      <c r="T40" s="218">
        <v>6.7</v>
      </c>
      <c r="U40" s="218"/>
      <c r="V40" s="218"/>
      <c r="W40" s="190">
        <v>5.5</v>
      </c>
      <c r="X40" s="190"/>
      <c r="Y40" s="267"/>
      <c r="Z40" s="115"/>
      <c r="AB40" s="88">
        <v>10</v>
      </c>
      <c r="AC40" s="83">
        <v>1.0026999999999999</v>
      </c>
      <c r="AD40" s="87" t="str">
        <f>IF($F$24=AB35,AC35,"")</f>
        <v/>
      </c>
    </row>
    <row r="41" spans="1:30" ht="25.5" customHeight="1" x14ac:dyDescent="0.25">
      <c r="A41" s="88"/>
      <c r="B41" s="206" t="s">
        <v>89</v>
      </c>
      <c r="C41" s="190"/>
      <c r="D41" s="190"/>
      <c r="E41" s="190">
        <v>2912.1</v>
      </c>
      <c r="F41" s="190"/>
      <c r="G41" s="190"/>
      <c r="H41" s="190">
        <v>2953</v>
      </c>
      <c r="I41" s="190"/>
      <c r="J41" s="190"/>
      <c r="K41" s="190">
        <v>1689.7</v>
      </c>
      <c r="L41" s="190"/>
      <c r="M41" s="190"/>
      <c r="N41" s="218">
        <v>2385.6999999999998</v>
      </c>
      <c r="O41" s="218"/>
      <c r="P41" s="218"/>
      <c r="Q41" s="218">
        <v>96.2</v>
      </c>
      <c r="R41" s="218"/>
      <c r="S41" s="218"/>
      <c r="T41" s="218">
        <v>3.8</v>
      </c>
      <c r="U41" s="218"/>
      <c r="V41" s="218"/>
      <c r="W41" s="190">
        <v>12.1</v>
      </c>
      <c r="X41" s="190"/>
      <c r="Y41" s="267"/>
      <c r="Z41" s="115"/>
      <c r="AB41" s="88">
        <v>10</v>
      </c>
      <c r="AC41" s="83">
        <v>1.0026999999999999</v>
      </c>
      <c r="AD41" s="87" t="str">
        <f>IF($F$24=AB35,AC35,"")</f>
        <v/>
      </c>
    </row>
    <row r="42" spans="1:30" ht="25.5" customHeight="1" x14ac:dyDescent="0.25">
      <c r="A42" s="88"/>
      <c r="B42" s="206" t="s">
        <v>88</v>
      </c>
      <c r="C42" s="190"/>
      <c r="D42" s="190"/>
      <c r="E42" s="190">
        <v>2665.1</v>
      </c>
      <c r="F42" s="190"/>
      <c r="G42" s="190"/>
      <c r="H42" s="190">
        <v>2707.5</v>
      </c>
      <c r="I42" s="190"/>
      <c r="J42" s="190"/>
      <c r="K42" s="190">
        <v>1515.4</v>
      </c>
      <c r="L42" s="190"/>
      <c r="M42" s="190"/>
      <c r="N42" s="218">
        <v>2322.4</v>
      </c>
      <c r="O42" s="218"/>
      <c r="P42" s="218"/>
      <c r="Q42" s="218">
        <v>93.6</v>
      </c>
      <c r="R42" s="218"/>
      <c r="S42" s="218"/>
      <c r="T42" s="218">
        <v>6.4</v>
      </c>
      <c r="U42" s="218"/>
      <c r="V42" s="218"/>
      <c r="W42" s="190">
        <v>11.5</v>
      </c>
      <c r="X42" s="190"/>
      <c r="Y42" s="267"/>
      <c r="Z42" s="115"/>
      <c r="AB42" s="88">
        <v>10</v>
      </c>
      <c r="AC42" s="83">
        <v>1.0026999999999999</v>
      </c>
      <c r="AD42" s="87" t="str">
        <f>IF($F$24=AB35,AC35,"")</f>
        <v/>
      </c>
    </row>
    <row r="43" spans="1:30" ht="25.5" customHeight="1" x14ac:dyDescent="0.25">
      <c r="A43" s="88"/>
      <c r="B43" s="206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218"/>
      <c r="O43" s="218"/>
      <c r="P43" s="218"/>
      <c r="Q43" s="218"/>
      <c r="R43" s="218"/>
      <c r="S43" s="218"/>
      <c r="T43" s="218"/>
      <c r="U43" s="218"/>
      <c r="V43" s="218"/>
      <c r="W43" s="190"/>
      <c r="X43" s="190"/>
      <c r="Y43" s="267"/>
      <c r="Z43" s="115"/>
      <c r="AB43" s="88"/>
      <c r="AC43" s="83"/>
      <c r="AD43" s="87"/>
    </row>
    <row r="44" spans="1:30" ht="25.5" customHeight="1" x14ac:dyDescent="0.25">
      <c r="A44" s="88"/>
      <c r="B44" s="206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218"/>
      <c r="O44" s="218"/>
      <c r="P44" s="218"/>
      <c r="Q44" s="218"/>
      <c r="R44" s="218"/>
      <c r="S44" s="218"/>
      <c r="T44" s="218"/>
      <c r="U44" s="218"/>
      <c r="V44" s="218"/>
      <c r="W44" s="190"/>
      <c r="X44" s="190"/>
      <c r="Y44" s="267"/>
      <c r="Z44" s="115"/>
      <c r="AB44" s="88"/>
      <c r="AC44" s="83"/>
      <c r="AD44" s="87"/>
    </row>
    <row r="45" spans="1:30" ht="25.5" customHeight="1" x14ac:dyDescent="0.25">
      <c r="A45" s="88"/>
      <c r="B45" s="206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218"/>
      <c r="O45" s="218"/>
      <c r="P45" s="218"/>
      <c r="Q45" s="218"/>
      <c r="R45" s="218"/>
      <c r="S45" s="218"/>
      <c r="T45" s="218"/>
      <c r="U45" s="218"/>
      <c r="V45" s="218"/>
      <c r="W45" s="190"/>
      <c r="X45" s="190"/>
      <c r="Y45" s="267"/>
      <c r="Z45" s="115"/>
      <c r="AB45" s="88"/>
      <c r="AC45" s="83"/>
      <c r="AD45" s="87"/>
    </row>
    <row r="46" spans="1:30" ht="25.5" customHeight="1" x14ac:dyDescent="0.25">
      <c r="A46" s="88"/>
      <c r="B46" s="206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218"/>
      <c r="O46" s="218"/>
      <c r="P46" s="218"/>
      <c r="Q46" s="218"/>
      <c r="R46" s="218"/>
      <c r="S46" s="218"/>
      <c r="T46" s="218"/>
      <c r="U46" s="218"/>
      <c r="V46" s="218"/>
      <c r="W46" s="190"/>
      <c r="X46" s="190"/>
      <c r="Y46" s="267"/>
      <c r="Z46" s="115"/>
      <c r="AB46" s="88"/>
      <c r="AC46" s="83"/>
      <c r="AD46" s="87"/>
    </row>
    <row r="47" spans="1:30" ht="25.5" customHeight="1" x14ac:dyDescent="0.25">
      <c r="A47" s="88"/>
      <c r="B47" s="206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218"/>
      <c r="O47" s="218"/>
      <c r="P47" s="218"/>
      <c r="Q47" s="218"/>
      <c r="R47" s="218"/>
      <c r="S47" s="218"/>
      <c r="T47" s="218"/>
      <c r="U47" s="218"/>
      <c r="V47" s="218"/>
      <c r="W47" s="190"/>
      <c r="X47" s="190"/>
      <c r="Y47" s="267"/>
      <c r="Z47" s="115"/>
      <c r="AB47" s="88"/>
      <c r="AC47" s="83"/>
      <c r="AD47" s="87"/>
    </row>
    <row r="48" spans="1:30" ht="25.5" customHeight="1" x14ac:dyDescent="0.25">
      <c r="A48" s="88"/>
      <c r="B48" s="206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218"/>
      <c r="O48" s="218"/>
      <c r="P48" s="218"/>
      <c r="Q48" s="218"/>
      <c r="R48" s="218"/>
      <c r="S48" s="218"/>
      <c r="T48" s="218"/>
      <c r="U48" s="218"/>
      <c r="V48" s="218"/>
      <c r="W48" s="190"/>
      <c r="X48" s="190"/>
      <c r="Y48" s="267"/>
      <c r="Z48" s="115"/>
      <c r="AB48" s="88"/>
      <c r="AC48" s="83"/>
      <c r="AD48" s="87"/>
    </row>
    <row r="49" spans="1:30" ht="25.5" customHeight="1" x14ac:dyDescent="0.25">
      <c r="A49" s="88"/>
      <c r="B49" s="206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218"/>
      <c r="O49" s="218"/>
      <c r="P49" s="218"/>
      <c r="Q49" s="218"/>
      <c r="R49" s="218"/>
      <c r="S49" s="218"/>
      <c r="T49" s="218"/>
      <c r="U49" s="218"/>
      <c r="V49" s="218"/>
      <c r="W49" s="190"/>
      <c r="X49" s="190"/>
      <c r="Y49" s="267"/>
      <c r="Z49" s="115"/>
      <c r="AB49" s="88"/>
      <c r="AC49" s="83"/>
      <c r="AD49" s="87"/>
    </row>
    <row r="50" spans="1:30" ht="25.5" customHeight="1" x14ac:dyDescent="0.25">
      <c r="A50" s="88"/>
      <c r="B50" s="206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218"/>
      <c r="O50" s="218"/>
      <c r="P50" s="218"/>
      <c r="Q50" s="218"/>
      <c r="R50" s="218"/>
      <c r="S50" s="218"/>
      <c r="T50" s="218"/>
      <c r="U50" s="218"/>
      <c r="V50" s="218"/>
      <c r="W50" s="190"/>
      <c r="X50" s="190"/>
      <c r="Y50" s="267"/>
      <c r="Z50" s="115"/>
      <c r="AB50" s="88"/>
      <c r="AC50" s="83"/>
      <c r="AD50" s="87"/>
    </row>
    <row r="51" spans="1:30" ht="25.5" customHeight="1" thickBot="1" x14ac:dyDescent="0.3">
      <c r="A51" s="88"/>
      <c r="B51" s="291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6"/>
      <c r="Z51" s="115"/>
      <c r="AB51" s="88">
        <v>11</v>
      </c>
      <c r="AC51" s="83">
        <v>1.0025999999999999</v>
      </c>
      <c r="AD51" s="87" t="str">
        <f t="shared" ref="AD51:AD70" si="0">IF($F$24=AB51,AC51,"")</f>
        <v/>
      </c>
    </row>
    <row r="52" spans="1:30" ht="12.75" customHeight="1" x14ac:dyDescent="0.25"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8"/>
      <c r="O52" s="118"/>
      <c r="P52" s="118"/>
      <c r="Q52" s="117"/>
      <c r="R52" s="117"/>
      <c r="S52" s="117"/>
      <c r="T52" s="117"/>
      <c r="U52" s="117"/>
      <c r="V52" s="117"/>
      <c r="W52" s="116"/>
      <c r="X52" s="116"/>
      <c r="Y52" s="116"/>
      <c r="Z52" s="115"/>
      <c r="AB52" s="88">
        <v>12</v>
      </c>
      <c r="AC52" s="83">
        <v>1.0024999999999999</v>
      </c>
      <c r="AD52" s="87" t="str">
        <f t="shared" si="0"/>
        <v/>
      </c>
    </row>
    <row r="53" spans="1:30" ht="15.9" customHeight="1" x14ac:dyDescent="0.25">
      <c r="A53" s="114"/>
      <c r="B53" s="113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1"/>
      <c r="AB53" s="88">
        <v>13</v>
      </c>
      <c r="AC53" s="83">
        <v>1.0023</v>
      </c>
      <c r="AD53" s="87" t="str">
        <f t="shared" si="0"/>
        <v/>
      </c>
    </row>
    <row r="54" spans="1:30" ht="12.75" customHeight="1" x14ac:dyDescent="0.25">
      <c r="A54" s="110"/>
      <c r="B54" s="109"/>
      <c r="AB54" s="88">
        <v>14</v>
      </c>
      <c r="AC54" s="83">
        <v>1.0022</v>
      </c>
      <c r="AD54" s="87" t="str">
        <f t="shared" si="0"/>
        <v/>
      </c>
    </row>
    <row r="55" spans="1:30" s="90" customFormat="1" ht="15.6" customHeight="1" x14ac:dyDescent="0.3">
      <c r="A55" s="108" t="s">
        <v>52</v>
      </c>
      <c r="B55" s="107" t="s">
        <v>53</v>
      </c>
      <c r="C55" s="106"/>
      <c r="D55" s="106"/>
      <c r="E55" s="106"/>
      <c r="F55" s="105"/>
      <c r="G55" s="105"/>
      <c r="H55" s="105"/>
      <c r="I55" s="104"/>
      <c r="J55" s="104"/>
      <c r="K55" s="104"/>
      <c r="L55" s="104"/>
      <c r="M55" s="104"/>
      <c r="N55" s="104"/>
      <c r="O55" s="104"/>
      <c r="P55" s="104"/>
      <c r="Q55" s="105"/>
      <c r="R55" s="104"/>
      <c r="S55" s="104"/>
      <c r="T55" s="104"/>
      <c r="U55" s="224"/>
      <c r="V55" s="224"/>
      <c r="W55" s="224"/>
      <c r="X55" s="225"/>
      <c r="Y55" s="225"/>
      <c r="Z55" s="226"/>
      <c r="AA55" s="103"/>
      <c r="AB55" s="88">
        <v>15</v>
      </c>
      <c r="AC55" s="83">
        <v>1.0021</v>
      </c>
      <c r="AD55" s="87" t="str">
        <f t="shared" si="0"/>
        <v/>
      </c>
    </row>
    <row r="56" spans="1:30" s="90" customFormat="1" ht="25.8" customHeight="1" x14ac:dyDescent="0.3">
      <c r="A56" s="275" t="s">
        <v>54</v>
      </c>
      <c r="B56" s="276"/>
      <c r="C56" s="276"/>
      <c r="D56" s="276"/>
      <c r="E56" s="276"/>
      <c r="F56" s="276"/>
      <c r="G56" s="276"/>
      <c r="H56" s="276"/>
      <c r="I56" s="276"/>
      <c r="J56" s="276"/>
      <c r="K56" s="276"/>
      <c r="L56" s="276"/>
      <c r="M56" s="276"/>
      <c r="N56" s="276"/>
      <c r="O56" s="276"/>
      <c r="P56" s="276"/>
      <c r="Q56" s="277"/>
      <c r="R56" s="221" t="s">
        <v>55</v>
      </c>
      <c r="S56" s="222"/>
      <c r="T56" s="223"/>
      <c r="U56" s="227" t="s">
        <v>56</v>
      </c>
      <c r="V56" s="228"/>
      <c r="W56" s="228"/>
      <c r="X56" s="228"/>
      <c r="Y56" s="228"/>
      <c r="Z56" s="297"/>
      <c r="AA56" s="103"/>
      <c r="AB56" s="88">
        <v>16</v>
      </c>
      <c r="AC56" s="83">
        <v>1.0019</v>
      </c>
      <c r="AD56" s="87" t="str">
        <f t="shared" si="0"/>
        <v/>
      </c>
    </row>
    <row r="57" spans="1:30" s="90" customFormat="1" ht="15.6" customHeight="1" x14ac:dyDescent="0.3">
      <c r="A57" s="269" t="s">
        <v>57</v>
      </c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1"/>
      <c r="R57" s="221" t="s">
        <v>58</v>
      </c>
      <c r="S57" s="222"/>
      <c r="T57" s="223"/>
      <c r="U57" s="256" t="s">
        <v>59</v>
      </c>
      <c r="V57" s="257"/>
      <c r="W57" s="257"/>
      <c r="X57" s="257"/>
      <c r="Y57" s="257"/>
      <c r="Z57" s="293"/>
      <c r="AA57" s="103"/>
      <c r="AB57" s="88">
        <v>17</v>
      </c>
      <c r="AC57" s="83">
        <v>1.0017</v>
      </c>
      <c r="AD57" s="87" t="str">
        <f t="shared" si="0"/>
        <v/>
      </c>
    </row>
    <row r="58" spans="1:30" s="90" customFormat="1" ht="15.6" customHeight="1" x14ac:dyDescent="0.3">
      <c r="A58" s="272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4"/>
      <c r="R58" s="221"/>
      <c r="S58" s="222"/>
      <c r="T58" s="223"/>
      <c r="U58" s="260"/>
      <c r="V58" s="255"/>
      <c r="W58" s="255"/>
      <c r="X58" s="255"/>
      <c r="Y58" s="255"/>
      <c r="Z58" s="294"/>
      <c r="AA58" s="103"/>
      <c r="AB58" s="88">
        <v>18</v>
      </c>
      <c r="AC58" s="83">
        <v>1.0016</v>
      </c>
      <c r="AD58" s="87" t="str">
        <f t="shared" si="0"/>
        <v/>
      </c>
    </row>
    <row r="59" spans="1:30" s="90" customFormat="1" ht="15.6" customHeight="1" x14ac:dyDescent="0.25">
      <c r="A59" s="102" t="s">
        <v>60</v>
      </c>
      <c r="B59" s="101" t="s">
        <v>61</v>
      </c>
      <c r="C59" s="82"/>
      <c r="D59" s="82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99"/>
      <c r="R59" s="221"/>
      <c r="S59" s="222"/>
      <c r="T59" s="223"/>
      <c r="U59" s="263"/>
      <c r="V59" s="264"/>
      <c r="W59" s="264"/>
      <c r="X59" s="264"/>
      <c r="Y59" s="264"/>
      <c r="Z59" s="295"/>
      <c r="AB59" s="88">
        <v>19</v>
      </c>
      <c r="AC59" s="83">
        <v>1.0014000000000001</v>
      </c>
      <c r="AD59" s="87" t="str">
        <f t="shared" si="0"/>
        <v/>
      </c>
    </row>
    <row r="60" spans="1:30" s="90" customFormat="1" ht="15.6" customHeight="1" x14ac:dyDescent="0.25">
      <c r="A60" s="246"/>
      <c r="B60" s="247"/>
      <c r="C60" s="247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8"/>
      <c r="R60" s="221" t="s">
        <v>62</v>
      </c>
      <c r="S60" s="222"/>
      <c r="T60" s="223"/>
      <c r="U60" s="98"/>
      <c r="V60" s="97"/>
      <c r="W60" s="97"/>
      <c r="X60" s="97"/>
      <c r="Y60" s="97"/>
      <c r="Z60" s="96"/>
      <c r="AB60" s="88">
        <v>20</v>
      </c>
      <c r="AC60" s="83">
        <v>1.0012000000000001</v>
      </c>
      <c r="AD60" s="87" t="str">
        <f t="shared" si="0"/>
        <v/>
      </c>
    </row>
    <row r="61" spans="1:30" s="90" customFormat="1" ht="15.6" customHeight="1" x14ac:dyDescent="0.25">
      <c r="A61" s="246"/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8"/>
      <c r="R61" s="221"/>
      <c r="S61" s="222"/>
      <c r="T61" s="223"/>
      <c r="U61" s="95"/>
      <c r="V61" s="255"/>
      <c r="W61" s="255"/>
      <c r="X61" s="255"/>
      <c r="Y61" s="255"/>
      <c r="Z61" s="94"/>
      <c r="AB61" s="88">
        <v>21</v>
      </c>
      <c r="AC61" s="89">
        <v>1.0009999999999999</v>
      </c>
      <c r="AD61" s="87" t="str">
        <f t="shared" si="0"/>
        <v/>
      </c>
    </row>
    <row r="62" spans="1:30" s="90" customFormat="1" ht="15.6" customHeight="1" x14ac:dyDescent="0.25">
      <c r="A62" s="246"/>
      <c r="B62" s="247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8"/>
      <c r="R62" s="221"/>
      <c r="S62" s="222"/>
      <c r="T62" s="223"/>
      <c r="U62" s="95"/>
      <c r="V62" s="255"/>
      <c r="W62" s="255"/>
      <c r="X62" s="255"/>
      <c r="Y62" s="255"/>
      <c r="Z62" s="94"/>
      <c r="AB62" s="88">
        <v>22</v>
      </c>
      <c r="AC62" s="83">
        <v>1.0006999999999999</v>
      </c>
      <c r="AD62" s="87" t="str">
        <f t="shared" si="0"/>
        <v/>
      </c>
    </row>
    <row r="63" spans="1:30" s="90" customFormat="1" ht="15.6" customHeight="1" x14ac:dyDescent="0.25">
      <c r="A63" s="249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1"/>
      <c r="R63" s="252"/>
      <c r="S63" s="253"/>
      <c r="T63" s="254"/>
      <c r="U63" s="93"/>
      <c r="V63" s="92"/>
      <c r="W63" s="92"/>
      <c r="X63" s="92"/>
      <c r="Y63" s="92"/>
      <c r="Z63" s="91"/>
      <c r="AB63" s="88">
        <v>23</v>
      </c>
      <c r="AC63" s="83">
        <v>1.0004999999999999</v>
      </c>
      <c r="AD63" s="87" t="str">
        <f t="shared" si="0"/>
        <v/>
      </c>
    </row>
    <row r="64" spans="1:30" ht="12.75" customHeight="1" x14ac:dyDescent="0.25">
      <c r="AB64" s="88">
        <v>24</v>
      </c>
      <c r="AC64" s="83">
        <v>1.0003</v>
      </c>
      <c r="AD64" s="87">
        <f t="shared" si="0"/>
        <v>1.0003</v>
      </c>
    </row>
    <row r="65" spans="28:30" ht="12.75" customHeight="1" x14ac:dyDescent="0.25">
      <c r="AB65" s="88">
        <v>25</v>
      </c>
      <c r="AC65" s="89">
        <v>1</v>
      </c>
      <c r="AD65" s="87" t="str">
        <f t="shared" si="0"/>
        <v/>
      </c>
    </row>
    <row r="66" spans="28:30" ht="12.75" customHeight="1" x14ac:dyDescent="0.25">
      <c r="AB66" s="88">
        <v>26</v>
      </c>
      <c r="AC66" s="83">
        <v>0.99970000000000003</v>
      </c>
      <c r="AD66" s="87" t="str">
        <f t="shared" si="0"/>
        <v/>
      </c>
    </row>
    <row r="67" spans="28:30" ht="12.75" customHeight="1" x14ac:dyDescent="0.25">
      <c r="AB67" s="88">
        <v>27</v>
      </c>
      <c r="AC67" s="83">
        <v>0.99950000000000006</v>
      </c>
      <c r="AD67" s="87" t="str">
        <f t="shared" si="0"/>
        <v/>
      </c>
    </row>
    <row r="68" spans="28:30" ht="12.75" customHeight="1" x14ac:dyDescent="0.25">
      <c r="AB68" s="88">
        <v>28</v>
      </c>
      <c r="AC68" s="83">
        <v>0.99919999999999998</v>
      </c>
      <c r="AD68" s="87" t="str">
        <f t="shared" si="0"/>
        <v/>
      </c>
    </row>
    <row r="69" spans="28:30" ht="12.75" customHeight="1" x14ac:dyDescent="0.25">
      <c r="AB69" s="88">
        <v>29</v>
      </c>
      <c r="AC69" s="83">
        <v>0.99890000000000001</v>
      </c>
      <c r="AD69" s="87" t="str">
        <f t="shared" si="0"/>
        <v/>
      </c>
    </row>
    <row r="70" spans="28:30" ht="12.75" customHeight="1" x14ac:dyDescent="0.25">
      <c r="AB70" s="86">
        <v>30</v>
      </c>
      <c r="AC70" s="85">
        <v>0.99860000000000004</v>
      </c>
      <c r="AD70" s="84" t="str">
        <f t="shared" si="0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98">
    <mergeCell ref="L6:O6"/>
    <mergeCell ref="P6:T6"/>
    <mergeCell ref="B27:E29"/>
    <mergeCell ref="B18:H18"/>
    <mergeCell ref="B17:H17"/>
    <mergeCell ref="E35:G35"/>
    <mergeCell ref="N35:P35"/>
    <mergeCell ref="A1:F6"/>
    <mergeCell ref="G1:T1"/>
    <mergeCell ref="B11:G11"/>
    <mergeCell ref="S10:Y10"/>
    <mergeCell ref="B35:D35"/>
    <mergeCell ref="N10:R10"/>
    <mergeCell ref="N11:R11"/>
    <mergeCell ref="N12:R12"/>
    <mergeCell ref="H10:M10"/>
    <mergeCell ref="H11:M11"/>
    <mergeCell ref="B32:D34"/>
    <mergeCell ref="B24:E26"/>
    <mergeCell ref="U1:Z6"/>
    <mergeCell ref="G2:T4"/>
    <mergeCell ref="G5:H5"/>
    <mergeCell ref="J5:K5"/>
    <mergeCell ref="L5:O5"/>
    <mergeCell ref="P5:T5"/>
    <mergeCell ref="J6:K6"/>
    <mergeCell ref="K51:M51"/>
    <mergeCell ref="N51:P51"/>
    <mergeCell ref="Q36:S36"/>
    <mergeCell ref="T36:V36"/>
    <mergeCell ref="A7:F7"/>
    <mergeCell ref="G7:Z7"/>
    <mergeCell ref="B10:G10"/>
    <mergeCell ref="H12:M12"/>
    <mergeCell ref="S11:Y11"/>
    <mergeCell ref="B12:G12"/>
    <mergeCell ref="Q32:S34"/>
    <mergeCell ref="B51:D51"/>
    <mergeCell ref="B37:D37"/>
    <mergeCell ref="H37:J37"/>
    <mergeCell ref="K37:M37"/>
    <mergeCell ref="N37:P37"/>
    <mergeCell ref="Q37:S37"/>
    <mergeCell ref="T37:V37"/>
    <mergeCell ref="W37:Y37"/>
    <mergeCell ref="B36:D36"/>
    <mergeCell ref="W39:Y39"/>
    <mergeCell ref="B38:D38"/>
    <mergeCell ref="E38:G38"/>
    <mergeCell ref="H38:J38"/>
    <mergeCell ref="R56:T56"/>
    <mergeCell ref="U55:Z55"/>
    <mergeCell ref="U56:Z56"/>
    <mergeCell ref="S12:Y12"/>
    <mergeCell ref="T32:V34"/>
    <mergeCell ref="W32:Y34"/>
    <mergeCell ref="Q35:S35"/>
    <mergeCell ref="I17:Y17"/>
    <mergeCell ref="I18:Y18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E51:G51"/>
    <mergeCell ref="Q51:S51"/>
    <mergeCell ref="H51:J51"/>
    <mergeCell ref="W36:Y36"/>
    <mergeCell ref="E37:G37"/>
    <mergeCell ref="A60:Q63"/>
    <mergeCell ref="R57:T59"/>
    <mergeCell ref="R60:T63"/>
    <mergeCell ref="H35:J35"/>
    <mergeCell ref="K35:M35"/>
    <mergeCell ref="AD32:AD34"/>
    <mergeCell ref="E32:G34"/>
    <mergeCell ref="H32:J34"/>
    <mergeCell ref="K32:M34"/>
    <mergeCell ref="N32:P34"/>
    <mergeCell ref="V61:Y62"/>
    <mergeCell ref="AB32:AB34"/>
    <mergeCell ref="AC32:AC34"/>
    <mergeCell ref="U57:Z59"/>
    <mergeCell ref="T35:V35"/>
    <mergeCell ref="W35:Y35"/>
    <mergeCell ref="T51:V51"/>
    <mergeCell ref="W51:Y51"/>
    <mergeCell ref="E36:G36"/>
    <mergeCell ref="H36:J36"/>
    <mergeCell ref="K36:M36"/>
    <mergeCell ref="N36:P36"/>
    <mergeCell ref="A57:Q58"/>
    <mergeCell ref="A56:Q56"/>
    <mergeCell ref="K38:M38"/>
    <mergeCell ref="N38:P38"/>
    <mergeCell ref="Q38:S38"/>
    <mergeCell ref="T38:V38"/>
    <mergeCell ref="W38:Y38"/>
    <mergeCell ref="B39:D39"/>
    <mergeCell ref="E39:G39"/>
    <mergeCell ref="H39:J39"/>
    <mergeCell ref="K39:M39"/>
    <mergeCell ref="N39:P39"/>
    <mergeCell ref="Q39:S39"/>
    <mergeCell ref="T39:V39"/>
    <mergeCell ref="W41:Y41"/>
    <mergeCell ref="B40:D40"/>
    <mergeCell ref="E40:G40"/>
    <mergeCell ref="H40:J40"/>
    <mergeCell ref="K40:M40"/>
    <mergeCell ref="N40:P40"/>
    <mergeCell ref="Q40:S40"/>
    <mergeCell ref="T40:V40"/>
    <mergeCell ref="W40:Y40"/>
    <mergeCell ref="B41:D41"/>
    <mergeCell ref="E41:G41"/>
    <mergeCell ref="H41:J41"/>
    <mergeCell ref="K41:M41"/>
    <mergeCell ref="N41:P41"/>
    <mergeCell ref="Q41:S41"/>
    <mergeCell ref="T41:V41"/>
    <mergeCell ref="W43:Y43"/>
    <mergeCell ref="B42:D42"/>
    <mergeCell ref="E42:G42"/>
    <mergeCell ref="H42:J42"/>
    <mergeCell ref="K42:M42"/>
    <mergeCell ref="N42:P42"/>
    <mergeCell ref="Q42:S42"/>
    <mergeCell ref="T42:V42"/>
    <mergeCell ref="W42:Y42"/>
    <mergeCell ref="B43:D43"/>
    <mergeCell ref="E43:G43"/>
    <mergeCell ref="H43:J43"/>
    <mergeCell ref="K43:M43"/>
    <mergeCell ref="N43:P43"/>
    <mergeCell ref="Q43:S43"/>
    <mergeCell ref="T43:V43"/>
    <mergeCell ref="W45:Y45"/>
    <mergeCell ref="B44:D44"/>
    <mergeCell ref="E44:G44"/>
    <mergeCell ref="H44:J44"/>
    <mergeCell ref="K44:M44"/>
    <mergeCell ref="N44:P44"/>
    <mergeCell ref="Q44:S44"/>
    <mergeCell ref="T44:V44"/>
    <mergeCell ref="W44:Y44"/>
    <mergeCell ref="B45:D45"/>
    <mergeCell ref="E45:G45"/>
    <mergeCell ref="H45:J45"/>
    <mergeCell ref="K45:M45"/>
    <mergeCell ref="N45:P45"/>
    <mergeCell ref="Q45:S45"/>
    <mergeCell ref="T45:V45"/>
    <mergeCell ref="W47:Y47"/>
    <mergeCell ref="B46:D46"/>
    <mergeCell ref="E46:G46"/>
    <mergeCell ref="H46:J46"/>
    <mergeCell ref="K46:M46"/>
    <mergeCell ref="N46:P46"/>
    <mergeCell ref="Q46:S46"/>
    <mergeCell ref="T46:V46"/>
    <mergeCell ref="W46:Y46"/>
    <mergeCell ref="B47:D47"/>
    <mergeCell ref="E47:G47"/>
    <mergeCell ref="H47:J47"/>
    <mergeCell ref="K47:M47"/>
    <mergeCell ref="N47:P47"/>
    <mergeCell ref="Q47:S47"/>
    <mergeCell ref="T47:V47"/>
    <mergeCell ref="B48:D48"/>
    <mergeCell ref="E48:G48"/>
    <mergeCell ref="H48:J48"/>
    <mergeCell ref="K48:M48"/>
    <mergeCell ref="N48:P48"/>
    <mergeCell ref="Q48:S48"/>
    <mergeCell ref="T48:V48"/>
    <mergeCell ref="W48:Y48"/>
    <mergeCell ref="B49:D49"/>
    <mergeCell ref="E49:G49"/>
    <mergeCell ref="H49:J49"/>
    <mergeCell ref="K49:M49"/>
    <mergeCell ref="N49:P49"/>
    <mergeCell ref="Q49:S49"/>
    <mergeCell ref="T49:V49"/>
    <mergeCell ref="Q50:S50"/>
    <mergeCell ref="T50:V50"/>
    <mergeCell ref="W50:Y50"/>
    <mergeCell ref="B50:D50"/>
    <mergeCell ref="E50:G50"/>
    <mergeCell ref="H50:J50"/>
    <mergeCell ref="K50:M50"/>
    <mergeCell ref="N50:P50"/>
    <mergeCell ref="W49:Y49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3E73-5168-4558-B921-68EEC992CDC6}">
  <sheetPr>
    <pageSetUpPr fitToPage="1"/>
  </sheetPr>
  <dimension ref="A1:AF71"/>
  <sheetViews>
    <sheetView topLeftCell="A24" workbookViewId="0">
      <selection activeCell="AA44" sqref="AA44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27" width="20" style="1" customWidth="1"/>
    <col min="28" max="28" width="28.109375" style="1" customWidth="1"/>
    <col min="29" max="29" width="22.88671875" style="1" customWidth="1"/>
    <col min="30" max="30" width="29.33203125" style="1" customWidth="1"/>
    <col min="31" max="31" width="11.44140625" style="1"/>
  </cols>
  <sheetData>
    <row r="1" spans="1:32" ht="12.75" customHeight="1" x14ac:dyDescent="0.25">
      <c r="A1" s="377"/>
      <c r="B1" s="380"/>
      <c r="C1" s="380"/>
      <c r="D1" s="380"/>
      <c r="E1" s="380"/>
      <c r="F1" s="383"/>
      <c r="G1" s="415" t="s">
        <v>0</v>
      </c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7"/>
      <c r="U1" s="282" t="s">
        <v>85</v>
      </c>
      <c r="V1" s="283"/>
      <c r="W1" s="283"/>
      <c r="X1" s="283"/>
      <c r="Y1" s="283"/>
      <c r="Z1" s="284"/>
    </row>
    <row r="2" spans="1:32" ht="12.75" customHeight="1" x14ac:dyDescent="0.3">
      <c r="A2" s="378"/>
      <c r="B2" s="381"/>
      <c r="C2" s="381"/>
      <c r="D2" s="381"/>
      <c r="E2" s="381"/>
      <c r="F2" s="384"/>
      <c r="G2" s="418" t="s">
        <v>2</v>
      </c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20"/>
      <c r="U2" s="285"/>
      <c r="V2" s="286"/>
      <c r="W2" s="286"/>
      <c r="X2" s="286"/>
      <c r="Y2" s="286"/>
      <c r="Z2" s="287"/>
      <c r="AA2" s="57"/>
      <c r="AB2" s="57"/>
    </row>
    <row r="3" spans="1:32" ht="12.75" customHeight="1" x14ac:dyDescent="0.3">
      <c r="A3" s="378"/>
      <c r="B3" s="381"/>
      <c r="C3" s="381"/>
      <c r="D3" s="381"/>
      <c r="E3" s="381"/>
      <c r="F3" s="384"/>
      <c r="G3" s="418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20"/>
      <c r="U3" s="285"/>
      <c r="V3" s="286"/>
      <c r="W3" s="286"/>
      <c r="X3" s="286"/>
      <c r="Y3" s="286"/>
      <c r="Z3" s="287"/>
      <c r="AA3" s="57"/>
      <c r="AB3" s="57"/>
    </row>
    <row r="4" spans="1:32" ht="12.75" customHeight="1" x14ac:dyDescent="0.3">
      <c r="A4" s="378"/>
      <c r="B4" s="381"/>
      <c r="C4" s="381"/>
      <c r="D4" s="381"/>
      <c r="E4" s="381"/>
      <c r="F4" s="384"/>
      <c r="G4" s="418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19"/>
      <c r="S4" s="419"/>
      <c r="T4" s="420"/>
      <c r="U4" s="285"/>
      <c r="V4" s="286"/>
      <c r="W4" s="286"/>
      <c r="X4" s="286"/>
      <c r="Y4" s="286"/>
      <c r="Z4" s="287"/>
      <c r="AA4" s="57"/>
      <c r="AB4" s="57"/>
    </row>
    <row r="5" spans="1:32" ht="12.75" customHeight="1" x14ac:dyDescent="0.3">
      <c r="A5" s="378"/>
      <c r="B5" s="381"/>
      <c r="C5" s="381"/>
      <c r="D5" s="381"/>
      <c r="E5" s="381"/>
      <c r="F5" s="384"/>
      <c r="G5" s="421"/>
      <c r="H5" s="422"/>
      <c r="I5" s="2" t="s">
        <v>3</v>
      </c>
      <c r="J5" s="423">
        <v>2</v>
      </c>
      <c r="K5" s="424"/>
      <c r="L5" s="425" t="s">
        <v>4</v>
      </c>
      <c r="M5" s="426"/>
      <c r="N5" s="426"/>
      <c r="O5" s="427"/>
      <c r="P5" s="428" t="s">
        <v>81</v>
      </c>
      <c r="Q5" s="429"/>
      <c r="R5" s="429"/>
      <c r="S5" s="429"/>
      <c r="T5" s="430"/>
      <c r="U5" s="285"/>
      <c r="V5" s="286"/>
      <c r="W5" s="286"/>
      <c r="X5" s="286"/>
      <c r="Y5" s="286"/>
      <c r="Z5" s="287"/>
      <c r="AA5" s="57"/>
      <c r="AB5" s="57"/>
    </row>
    <row r="6" spans="1:32" ht="12.75" customHeight="1" x14ac:dyDescent="0.25">
      <c r="A6" s="379"/>
      <c r="B6" s="382"/>
      <c r="C6" s="382"/>
      <c r="D6" s="382"/>
      <c r="E6" s="382"/>
      <c r="F6" s="385"/>
      <c r="G6" s="3"/>
      <c r="H6" s="4"/>
      <c r="I6" s="4"/>
      <c r="J6" s="389" t="s">
        <v>6</v>
      </c>
      <c r="K6" s="389"/>
      <c r="L6" s="389" t="s">
        <v>7</v>
      </c>
      <c r="M6" s="389"/>
      <c r="N6" s="389"/>
      <c r="O6" s="389"/>
      <c r="P6" s="389" t="s">
        <v>8</v>
      </c>
      <c r="Q6" s="389"/>
      <c r="R6" s="389"/>
      <c r="S6" s="389"/>
      <c r="T6" s="412"/>
      <c r="U6" s="288"/>
      <c r="V6" s="289"/>
      <c r="W6" s="289"/>
      <c r="X6" s="289"/>
      <c r="Y6" s="289"/>
      <c r="Z6" s="290"/>
    </row>
    <row r="7" spans="1:32" ht="36.6" customHeight="1" x14ac:dyDescent="0.25">
      <c r="A7" s="413" t="s">
        <v>9</v>
      </c>
      <c r="B7" s="413"/>
      <c r="C7" s="413"/>
      <c r="D7" s="413"/>
      <c r="E7" s="413"/>
      <c r="F7" s="413"/>
      <c r="G7" s="414" t="s">
        <v>10</v>
      </c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  <c r="Z7" s="414"/>
    </row>
    <row r="8" spans="1:32" ht="15.9" customHeight="1" x14ac:dyDescent="0.3">
      <c r="A8" s="58" t="s">
        <v>11</v>
      </c>
      <c r="B8" s="59" t="s">
        <v>12</v>
      </c>
      <c r="C8" s="60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  <c r="AB8" s="57"/>
      <c r="AF8" s="57" t="s">
        <v>83</v>
      </c>
    </row>
    <row r="9" spans="1:32" ht="8.25" customHeight="1" x14ac:dyDescent="0.3">
      <c r="A9" s="10"/>
      <c r="D9" s="11"/>
      <c r="E9" s="11"/>
      <c r="F9" s="11"/>
      <c r="G9" s="11"/>
      <c r="Z9" s="12"/>
      <c r="AB9" s="57"/>
      <c r="AF9" s="57" t="s">
        <v>84</v>
      </c>
    </row>
    <row r="10" spans="1:32" ht="15.9" customHeight="1" x14ac:dyDescent="0.3">
      <c r="A10" s="10"/>
      <c r="B10" s="409" t="s">
        <v>15</v>
      </c>
      <c r="C10" s="409"/>
      <c r="D10" s="409"/>
      <c r="E10" s="409"/>
      <c r="F10" s="409"/>
      <c r="G10" s="409"/>
      <c r="H10" s="410" t="s">
        <v>83</v>
      </c>
      <c r="I10" s="410"/>
      <c r="J10" s="410"/>
      <c r="K10" s="410"/>
      <c r="L10" s="410"/>
      <c r="M10" s="410"/>
      <c r="N10" s="409" t="s">
        <v>16</v>
      </c>
      <c r="O10" s="409"/>
      <c r="P10" s="409"/>
      <c r="Q10" s="409"/>
      <c r="R10" s="409"/>
      <c r="S10" s="411" t="s">
        <v>17</v>
      </c>
      <c r="T10" s="411"/>
      <c r="U10" s="411"/>
      <c r="V10" s="411"/>
      <c r="W10" s="411"/>
      <c r="X10" s="411"/>
      <c r="Y10" s="411"/>
      <c r="Z10" s="13"/>
      <c r="AB10" s="57"/>
      <c r="AF10" s="57" t="s">
        <v>81</v>
      </c>
    </row>
    <row r="11" spans="1:32" ht="15.9" customHeight="1" x14ac:dyDescent="0.3">
      <c r="A11" s="10"/>
      <c r="B11" s="409" t="s">
        <v>18</v>
      </c>
      <c r="C11" s="409"/>
      <c r="D11" s="409"/>
      <c r="E11" s="409"/>
      <c r="F11" s="409"/>
      <c r="G11" s="409"/>
      <c r="H11" s="410">
        <v>45783</v>
      </c>
      <c r="I11" s="410"/>
      <c r="J11" s="410"/>
      <c r="K11" s="410"/>
      <c r="L11" s="410"/>
      <c r="M11" s="410"/>
      <c r="N11" s="409" t="s">
        <v>19</v>
      </c>
      <c r="O11" s="409"/>
      <c r="P11" s="409"/>
      <c r="Q11" s="409"/>
      <c r="R11" s="409"/>
      <c r="S11" s="411" t="s">
        <v>82</v>
      </c>
      <c r="T11" s="411"/>
      <c r="U11" s="411"/>
      <c r="V11" s="411"/>
      <c r="W11" s="411"/>
      <c r="X11" s="411"/>
      <c r="Y11" s="411"/>
      <c r="Z11" s="13"/>
      <c r="AB11" s="57"/>
      <c r="AF11" s="57" t="s">
        <v>17</v>
      </c>
    </row>
    <row r="12" spans="1:32" ht="15.9" customHeight="1" x14ac:dyDescent="0.3">
      <c r="A12" s="10"/>
      <c r="B12" s="409" t="s">
        <v>21</v>
      </c>
      <c r="C12" s="409"/>
      <c r="D12" s="409"/>
      <c r="E12" s="409"/>
      <c r="F12" s="409"/>
      <c r="G12" s="409"/>
      <c r="H12" s="410" t="s">
        <v>81</v>
      </c>
      <c r="I12" s="410"/>
      <c r="J12" s="410"/>
      <c r="K12" s="410"/>
      <c r="L12" s="410"/>
      <c r="M12" s="410"/>
      <c r="N12" s="409" t="s">
        <v>22</v>
      </c>
      <c r="O12" s="409"/>
      <c r="P12" s="409"/>
      <c r="Q12" s="409"/>
      <c r="R12" s="409"/>
      <c r="S12" s="411" t="s">
        <v>87</v>
      </c>
      <c r="T12" s="411"/>
      <c r="U12" s="411"/>
      <c r="V12" s="411"/>
      <c r="W12" s="411"/>
      <c r="X12" s="411"/>
      <c r="Y12" s="411"/>
      <c r="Z12" s="13"/>
      <c r="AB12" s="57"/>
      <c r="AF12" s="57"/>
    </row>
    <row r="13" spans="1:32" ht="8.25" customHeight="1" x14ac:dyDescent="0.3">
      <c r="A13" s="14"/>
      <c r="B13" s="65"/>
      <c r="C13" s="65"/>
      <c r="D13" s="66"/>
      <c r="E13" s="66"/>
      <c r="F13" s="66"/>
      <c r="G13" s="66"/>
      <c r="H13" s="65"/>
      <c r="I13" s="65"/>
      <c r="J13" s="65"/>
      <c r="K13" s="65"/>
      <c r="L13" s="65"/>
      <c r="M13" s="65"/>
      <c r="N13" s="67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16"/>
      <c r="AB13" s="57"/>
      <c r="AF13" s="57" t="s">
        <v>80</v>
      </c>
    </row>
    <row r="14" spans="1:32" s="17" customFormat="1" ht="15" customHeight="1" x14ac:dyDescent="0.25">
      <c r="B14" s="18"/>
      <c r="C14" s="18"/>
      <c r="K14" s="19"/>
      <c r="L14" s="18"/>
      <c r="M14" s="20"/>
    </row>
    <row r="15" spans="1:32" s="17" customFormat="1" ht="16.2" customHeight="1" x14ac:dyDescent="0.25">
      <c r="A15" s="58" t="s">
        <v>24</v>
      </c>
      <c r="B15" s="59" t="s">
        <v>25</v>
      </c>
      <c r="C15" s="61"/>
      <c r="D15" s="61"/>
      <c r="E15" s="61"/>
      <c r="F15" s="61"/>
      <c r="G15" s="61"/>
      <c r="H15" s="6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2"/>
    </row>
    <row r="16" spans="1:32" s="17" customFormat="1" ht="13.8" customHeight="1" x14ac:dyDescent="0.25">
      <c r="A16" s="62"/>
      <c r="B16" s="63"/>
      <c r="C16" s="64"/>
      <c r="D16" s="64"/>
      <c r="E16" s="64"/>
      <c r="F16" s="64"/>
      <c r="G16" s="64"/>
      <c r="H16" s="64"/>
      <c r="Z16" s="23"/>
    </row>
    <row r="17" spans="1:32" s="17" customFormat="1" ht="15" customHeight="1" x14ac:dyDescent="0.25">
      <c r="A17" s="62"/>
      <c r="B17" s="407" t="s">
        <v>26</v>
      </c>
      <c r="C17" s="407"/>
      <c r="D17" s="407"/>
      <c r="E17" s="407"/>
      <c r="F17" s="407"/>
      <c r="G17" s="407"/>
      <c r="H17" s="407"/>
      <c r="I17" s="408"/>
      <c r="J17" s="408"/>
      <c r="K17" s="408"/>
      <c r="L17" s="408"/>
      <c r="M17" s="408"/>
      <c r="N17" s="408"/>
      <c r="O17" s="408"/>
      <c r="P17" s="408"/>
      <c r="Q17" s="408"/>
      <c r="R17" s="408"/>
      <c r="S17" s="408"/>
      <c r="T17" s="408"/>
      <c r="U17" s="408"/>
      <c r="V17" s="408"/>
      <c r="W17" s="408"/>
      <c r="X17" s="408"/>
      <c r="Y17" s="408"/>
      <c r="Z17" s="24"/>
    </row>
    <row r="18" spans="1:32" s="17" customFormat="1" ht="15" customHeight="1" x14ac:dyDescent="0.25">
      <c r="A18" s="62"/>
      <c r="B18" s="407" t="s">
        <v>27</v>
      </c>
      <c r="C18" s="407"/>
      <c r="D18" s="407"/>
      <c r="E18" s="407"/>
      <c r="F18" s="407"/>
      <c r="G18" s="407"/>
      <c r="H18" s="407"/>
      <c r="I18" s="408"/>
      <c r="J18" s="408"/>
      <c r="K18" s="408"/>
      <c r="L18" s="408"/>
      <c r="M18" s="408"/>
      <c r="N18" s="408"/>
      <c r="O18" s="408"/>
      <c r="P18" s="408"/>
      <c r="Q18" s="408"/>
      <c r="R18" s="408"/>
      <c r="S18" s="408"/>
      <c r="T18" s="408"/>
      <c r="U18" s="408"/>
      <c r="V18" s="408"/>
      <c r="W18" s="408"/>
      <c r="X18" s="408"/>
      <c r="Y18" s="408"/>
      <c r="Z18" s="24"/>
    </row>
    <row r="19" spans="1:32" s="17" customFormat="1" ht="13.2" customHeight="1" x14ac:dyDescent="0.25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7"/>
    </row>
    <row r="20" spans="1:32" ht="12.75" customHeight="1" x14ac:dyDescent="0.25">
      <c r="D20" s="11"/>
      <c r="E20" s="11"/>
      <c r="F20" s="11"/>
      <c r="G20" s="11"/>
      <c r="N20" s="28"/>
    </row>
    <row r="21" spans="1:32" ht="15.9" customHeight="1" x14ac:dyDescent="0.25">
      <c r="A21" s="5" t="s">
        <v>28</v>
      </c>
      <c r="B21" s="6" t="s">
        <v>29</v>
      </c>
      <c r="C21" s="29"/>
      <c r="D21" s="30"/>
      <c r="E21" s="30"/>
      <c r="F21" s="30"/>
      <c r="G21" s="30"/>
      <c r="H21" s="29"/>
      <c r="I21" s="29"/>
      <c r="J21" s="29"/>
      <c r="K21" s="29"/>
      <c r="L21" s="2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32" ht="12.75" customHeight="1" x14ac:dyDescent="0.25">
      <c r="A22" s="10"/>
      <c r="Z22" s="12"/>
    </row>
    <row r="23" spans="1:32" ht="12.75" customHeight="1" x14ac:dyDescent="0.25">
      <c r="A23" s="10"/>
      <c r="Z23" s="12"/>
    </row>
    <row r="24" spans="1:32" ht="12.75" customHeight="1" x14ac:dyDescent="0.25">
      <c r="A24" s="10"/>
      <c r="B24" s="390" t="s">
        <v>30</v>
      </c>
      <c r="C24" s="404"/>
      <c r="D24" s="404"/>
      <c r="E24" s="404"/>
      <c r="F24" s="404">
        <v>25</v>
      </c>
      <c r="G24" s="404"/>
      <c r="H24" s="404"/>
      <c r="I24" s="404"/>
      <c r="J24" s="397" t="s">
        <v>31</v>
      </c>
      <c r="K24" s="397"/>
      <c r="L24" s="398"/>
      <c r="O24" s="390" t="s">
        <v>32</v>
      </c>
      <c r="P24" s="391"/>
      <c r="Q24" s="391"/>
      <c r="R24" s="391"/>
      <c r="S24" s="404">
        <v>890</v>
      </c>
      <c r="T24" s="404"/>
      <c r="U24" s="404"/>
      <c r="V24" s="404"/>
      <c r="W24" s="397" t="s">
        <v>33</v>
      </c>
      <c r="X24" s="397"/>
      <c r="Y24" s="398"/>
      <c r="Z24" s="12"/>
      <c r="AA24"/>
    </row>
    <row r="25" spans="1:32" ht="12.75" customHeight="1" x14ac:dyDescent="0.25">
      <c r="A25" s="10"/>
      <c r="B25" s="405"/>
      <c r="C25" s="369"/>
      <c r="D25" s="369"/>
      <c r="E25" s="369"/>
      <c r="F25" s="369"/>
      <c r="G25" s="369"/>
      <c r="H25" s="369"/>
      <c r="I25" s="369"/>
      <c r="J25" s="399"/>
      <c r="K25" s="399"/>
      <c r="L25" s="400"/>
      <c r="O25" s="392"/>
      <c r="P25" s="373"/>
      <c r="Q25" s="373"/>
      <c r="R25" s="373"/>
      <c r="S25" s="369"/>
      <c r="T25" s="369"/>
      <c r="U25" s="369"/>
      <c r="V25" s="369"/>
      <c r="W25" s="399"/>
      <c r="X25" s="399"/>
      <c r="Y25" s="400"/>
      <c r="Z25" s="12"/>
      <c r="AA25"/>
    </row>
    <row r="26" spans="1:32" ht="12.75" customHeight="1" x14ac:dyDescent="0.25">
      <c r="A26" s="10"/>
      <c r="B26" s="406"/>
      <c r="C26" s="370"/>
      <c r="D26" s="370"/>
      <c r="E26" s="370"/>
      <c r="F26" s="370"/>
      <c r="G26" s="370"/>
      <c r="H26" s="370"/>
      <c r="I26" s="370"/>
      <c r="J26" s="401"/>
      <c r="K26" s="401"/>
      <c r="L26" s="402"/>
      <c r="O26" s="393"/>
      <c r="P26" s="375"/>
      <c r="Q26" s="375"/>
      <c r="R26" s="375"/>
      <c r="S26" s="370"/>
      <c r="T26" s="370"/>
      <c r="U26" s="370"/>
      <c r="V26" s="370"/>
      <c r="W26" s="401"/>
      <c r="X26" s="401"/>
      <c r="Y26" s="402"/>
      <c r="Z26" s="12"/>
      <c r="AA26"/>
    </row>
    <row r="27" spans="1:32" ht="12.75" customHeight="1" x14ac:dyDescent="0.25">
      <c r="A27" s="10"/>
      <c r="B27" s="390" t="s">
        <v>34</v>
      </c>
      <c r="C27" s="391"/>
      <c r="D27" s="391"/>
      <c r="E27" s="391"/>
      <c r="F27" s="394">
        <f>IF(F24&lt;&gt;"",(997.1*(SUM(AD35:AD71))),"")</f>
        <v>997.1</v>
      </c>
      <c r="G27" s="394"/>
      <c r="H27" s="394"/>
      <c r="I27" s="394"/>
      <c r="J27" s="397" t="s">
        <v>35</v>
      </c>
      <c r="K27" s="397"/>
      <c r="L27" s="398"/>
      <c r="O27" s="403" t="s">
        <v>36</v>
      </c>
      <c r="P27" s="404"/>
      <c r="Q27" s="404"/>
      <c r="R27" s="404"/>
      <c r="S27" s="404">
        <v>2480</v>
      </c>
      <c r="T27" s="404"/>
      <c r="U27" s="404"/>
      <c r="V27" s="404"/>
      <c r="W27" s="397" t="s">
        <v>35</v>
      </c>
      <c r="X27" s="397"/>
      <c r="Y27" s="398"/>
      <c r="Z27" s="12"/>
      <c r="AA27"/>
    </row>
    <row r="28" spans="1:32" ht="12.75" customHeight="1" x14ac:dyDescent="0.25">
      <c r="A28" s="10"/>
      <c r="B28" s="392"/>
      <c r="C28" s="373"/>
      <c r="D28" s="373"/>
      <c r="E28" s="373"/>
      <c r="F28" s="395"/>
      <c r="G28" s="395"/>
      <c r="H28" s="395"/>
      <c r="I28" s="395"/>
      <c r="J28" s="399"/>
      <c r="K28" s="399"/>
      <c r="L28" s="400"/>
      <c r="O28" s="405"/>
      <c r="P28" s="369"/>
      <c r="Q28" s="369"/>
      <c r="R28" s="369"/>
      <c r="S28" s="369"/>
      <c r="T28" s="369"/>
      <c r="U28" s="369"/>
      <c r="V28" s="369"/>
      <c r="W28" s="399"/>
      <c r="X28" s="399"/>
      <c r="Y28" s="400"/>
      <c r="Z28" s="12"/>
      <c r="AA28"/>
    </row>
    <row r="29" spans="1:32" ht="12.75" customHeight="1" x14ac:dyDescent="0.25">
      <c r="A29" s="10"/>
      <c r="B29" s="393"/>
      <c r="C29" s="375"/>
      <c r="D29" s="375"/>
      <c r="E29" s="375"/>
      <c r="F29" s="396"/>
      <c r="G29" s="396"/>
      <c r="H29" s="396"/>
      <c r="I29" s="396"/>
      <c r="J29" s="401"/>
      <c r="K29" s="401"/>
      <c r="L29" s="402"/>
      <c r="O29" s="406"/>
      <c r="P29" s="370"/>
      <c r="Q29" s="370"/>
      <c r="R29" s="370"/>
      <c r="S29" s="370"/>
      <c r="T29" s="370"/>
      <c r="U29" s="370"/>
      <c r="V29" s="370"/>
      <c r="W29" s="401"/>
      <c r="X29" s="401"/>
      <c r="Y29" s="402"/>
      <c r="Z29" s="12"/>
    </row>
    <row r="30" spans="1:32" ht="12.75" customHeight="1" x14ac:dyDescent="0.3">
      <c r="A30" s="10"/>
      <c r="B30" s="31"/>
      <c r="C30" s="32"/>
      <c r="D30" s="33"/>
      <c r="I30" s="34"/>
      <c r="J30" s="34"/>
      <c r="P30" s="32"/>
      <c r="Q30" s="32"/>
      <c r="R30" s="32"/>
      <c r="S30" s="32"/>
      <c r="T30" s="32"/>
      <c r="U30" s="32"/>
      <c r="V30" s="32"/>
      <c r="W30" s="33"/>
      <c r="Z30" s="12"/>
      <c r="AA30" s="57"/>
      <c r="AB30" s="57"/>
      <c r="AC30" s="57"/>
      <c r="AD30" s="57"/>
      <c r="AE30" s="57"/>
      <c r="AF30" s="57"/>
    </row>
    <row r="31" spans="1:32" ht="12.75" customHeight="1" thickBot="1" x14ac:dyDescent="0.3">
      <c r="A31" s="10"/>
      <c r="B31" s="31"/>
      <c r="C31" s="32"/>
      <c r="D31" s="33"/>
      <c r="E31" s="34"/>
      <c r="F31" s="35"/>
      <c r="G31" s="32"/>
      <c r="H31" s="33"/>
      <c r="I31" s="34"/>
      <c r="J31" s="34"/>
      <c r="Z31" s="12"/>
    </row>
    <row r="32" spans="1:32" ht="19.5" customHeight="1" x14ac:dyDescent="0.25">
      <c r="A32" s="10"/>
      <c r="B32" s="386" t="s">
        <v>37</v>
      </c>
      <c r="C32" s="371"/>
      <c r="D32" s="371"/>
      <c r="E32" s="371" t="s">
        <v>38</v>
      </c>
      <c r="F32" s="371"/>
      <c r="G32" s="371"/>
      <c r="H32" s="371" t="s">
        <v>39</v>
      </c>
      <c r="I32" s="371"/>
      <c r="J32" s="371"/>
      <c r="K32" s="371" t="s">
        <v>40</v>
      </c>
      <c r="L32" s="371"/>
      <c r="M32" s="371"/>
      <c r="N32" s="371" t="s">
        <v>41</v>
      </c>
      <c r="O32" s="371"/>
      <c r="P32" s="371"/>
      <c r="Q32" s="371" t="s">
        <v>42</v>
      </c>
      <c r="R32" s="371"/>
      <c r="S32" s="371"/>
      <c r="T32" s="368" t="s">
        <v>43</v>
      </c>
      <c r="U32" s="368"/>
      <c r="V32" s="368"/>
      <c r="W32" s="371" t="s">
        <v>44</v>
      </c>
      <c r="X32" s="371"/>
      <c r="Y32" s="372"/>
      <c r="Z32" s="12"/>
      <c r="AB32" s="377" t="s">
        <v>45</v>
      </c>
      <c r="AC32" s="380" t="s">
        <v>46</v>
      </c>
      <c r="AD32" s="383" t="s">
        <v>47</v>
      </c>
    </row>
    <row r="33" spans="1:32" ht="19.5" customHeight="1" x14ac:dyDescent="0.25">
      <c r="A33" s="10"/>
      <c r="B33" s="387"/>
      <c r="C33" s="373"/>
      <c r="D33" s="373"/>
      <c r="E33" s="373"/>
      <c r="F33" s="373"/>
      <c r="G33" s="373"/>
      <c r="H33" s="373"/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69"/>
      <c r="U33" s="369"/>
      <c r="V33" s="369"/>
      <c r="W33" s="373"/>
      <c r="X33" s="373"/>
      <c r="Y33" s="374"/>
      <c r="Z33" s="12"/>
      <c r="AB33" s="378"/>
      <c r="AC33" s="381"/>
      <c r="AD33" s="384"/>
    </row>
    <row r="34" spans="1:32" ht="19.5" customHeight="1" x14ac:dyDescent="0.25">
      <c r="A34" s="10"/>
      <c r="B34" s="388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0"/>
      <c r="U34" s="370"/>
      <c r="V34" s="370"/>
      <c r="W34" s="375"/>
      <c r="X34" s="375"/>
      <c r="Y34" s="376"/>
      <c r="Z34" s="12"/>
      <c r="AB34" s="379"/>
      <c r="AC34" s="382"/>
      <c r="AD34" s="385"/>
    </row>
    <row r="35" spans="1:32" ht="25.5" customHeight="1" x14ac:dyDescent="0.25">
      <c r="A35" s="10"/>
      <c r="B35" s="366" t="s">
        <v>75</v>
      </c>
      <c r="C35" s="364"/>
      <c r="D35" s="367"/>
      <c r="E35" s="363">
        <v>3018.1</v>
      </c>
      <c r="F35" s="364"/>
      <c r="G35" s="367"/>
      <c r="H35" s="363">
        <v>3071.8</v>
      </c>
      <c r="I35" s="364"/>
      <c r="J35" s="367"/>
      <c r="K35" s="363">
        <v>1742</v>
      </c>
      <c r="L35" s="364"/>
      <c r="M35" s="367"/>
      <c r="N35" s="360">
        <v>2370.1999999999998</v>
      </c>
      <c r="O35" s="361"/>
      <c r="P35" s="362"/>
      <c r="Q35" s="360">
        <v>95.6</v>
      </c>
      <c r="R35" s="361"/>
      <c r="S35" s="362"/>
      <c r="T35" s="360">
        <v>4.4000000000000004</v>
      </c>
      <c r="U35" s="361"/>
      <c r="V35" s="362"/>
      <c r="W35" s="363">
        <v>8</v>
      </c>
      <c r="X35" s="364"/>
      <c r="Y35" s="365"/>
      <c r="Z35" s="12"/>
      <c r="AB35" s="10">
        <v>10</v>
      </c>
      <c r="AC35" s="11">
        <v>1.0026999999999999</v>
      </c>
      <c r="AD35" s="36" t="str">
        <f>IF($F$24=AB35,AC35,"")</f>
        <v/>
      </c>
    </row>
    <row r="36" spans="1:32" ht="25.5" customHeight="1" x14ac:dyDescent="0.25">
      <c r="A36" s="10"/>
      <c r="B36" s="366" t="s">
        <v>74</v>
      </c>
      <c r="C36" s="364"/>
      <c r="D36" s="367"/>
      <c r="E36" s="363">
        <v>4143.8999999999996</v>
      </c>
      <c r="F36" s="364"/>
      <c r="G36" s="367"/>
      <c r="H36" s="363">
        <v>4211.8999999999996</v>
      </c>
      <c r="I36" s="364"/>
      <c r="J36" s="367"/>
      <c r="K36" s="363">
        <v>2296.8000000000002</v>
      </c>
      <c r="L36" s="364"/>
      <c r="M36" s="367"/>
      <c r="N36" s="360">
        <v>2246.9</v>
      </c>
      <c r="O36" s="361"/>
      <c r="P36" s="362"/>
      <c r="Q36" s="360">
        <v>90.6</v>
      </c>
      <c r="R36" s="361"/>
      <c r="S36" s="362"/>
      <c r="T36" s="360">
        <v>9.4</v>
      </c>
      <c r="U36" s="361"/>
      <c r="V36" s="362"/>
      <c r="W36" s="363">
        <v>11.5</v>
      </c>
      <c r="X36" s="364"/>
      <c r="Y36" s="365"/>
      <c r="Z36" s="12"/>
      <c r="AB36" s="10">
        <v>10</v>
      </c>
      <c r="AC36" s="11">
        <v>1.0026999999999999</v>
      </c>
      <c r="AD36" s="36" t="str">
        <f>IF($F$24=AB35,AC35,"")</f>
        <v/>
      </c>
    </row>
    <row r="37" spans="1:32" ht="25.5" customHeight="1" x14ac:dyDescent="0.25">
      <c r="A37" s="10"/>
      <c r="B37" s="366" t="s">
        <v>73</v>
      </c>
      <c r="C37" s="364"/>
      <c r="D37" s="367"/>
      <c r="E37" s="363">
        <v>3090</v>
      </c>
      <c r="F37" s="364"/>
      <c r="G37" s="367"/>
      <c r="H37" s="363">
        <v>3145.9</v>
      </c>
      <c r="I37" s="364"/>
      <c r="J37" s="367"/>
      <c r="K37" s="363">
        <v>1786.3</v>
      </c>
      <c r="L37" s="364"/>
      <c r="M37" s="367"/>
      <c r="N37" s="360">
        <v>2375.6</v>
      </c>
      <c r="O37" s="361"/>
      <c r="P37" s="362"/>
      <c r="Q37" s="360">
        <v>95.8</v>
      </c>
      <c r="R37" s="361"/>
      <c r="S37" s="362"/>
      <c r="T37" s="360">
        <v>4.2</v>
      </c>
      <c r="U37" s="361"/>
      <c r="V37" s="362"/>
      <c r="W37" s="363">
        <v>8.5</v>
      </c>
      <c r="X37" s="364"/>
      <c r="Y37" s="365"/>
      <c r="Z37" s="12"/>
      <c r="AB37" s="10">
        <v>10</v>
      </c>
      <c r="AC37" s="11">
        <v>1.0026999999999999</v>
      </c>
      <c r="AD37" s="36" t="str">
        <f>IF($F$24=AB35,AC35,"")</f>
        <v/>
      </c>
    </row>
    <row r="38" spans="1:32" ht="25.5" customHeight="1" x14ac:dyDescent="0.25">
      <c r="A38" s="10"/>
      <c r="B38" s="359" t="s">
        <v>72</v>
      </c>
      <c r="C38" s="357"/>
      <c r="D38" s="357"/>
      <c r="E38" s="357">
        <v>3316.2</v>
      </c>
      <c r="F38" s="357"/>
      <c r="G38" s="357"/>
      <c r="H38" s="357">
        <v>3373.3</v>
      </c>
      <c r="I38" s="357"/>
      <c r="J38" s="357"/>
      <c r="K38" s="357">
        <v>1832.8</v>
      </c>
      <c r="L38" s="357"/>
      <c r="M38" s="357"/>
      <c r="N38" s="356">
        <v>2239.4</v>
      </c>
      <c r="O38" s="356"/>
      <c r="P38" s="356"/>
      <c r="Q38" s="356">
        <v>90.3</v>
      </c>
      <c r="R38" s="356"/>
      <c r="S38" s="356"/>
      <c r="T38" s="356">
        <v>9.6999999999999993</v>
      </c>
      <c r="U38" s="356"/>
      <c r="V38" s="356"/>
      <c r="W38" s="357">
        <v>9.5</v>
      </c>
      <c r="X38" s="357"/>
      <c r="Y38" s="358"/>
      <c r="Z38" s="12"/>
      <c r="AB38" s="10">
        <v>10</v>
      </c>
      <c r="AC38" s="11">
        <v>1.0026999999999999</v>
      </c>
      <c r="AD38" s="36" t="str">
        <f>IF($F$24=AB35,AC35,"")</f>
        <v/>
      </c>
    </row>
    <row r="39" spans="1:32" ht="25.5" customHeight="1" x14ac:dyDescent="0.25">
      <c r="A39" s="10"/>
      <c r="B39" s="359" t="s">
        <v>71</v>
      </c>
      <c r="C39" s="357"/>
      <c r="D39" s="357"/>
      <c r="E39" s="357">
        <v>2931.3</v>
      </c>
      <c r="F39" s="357"/>
      <c r="G39" s="357"/>
      <c r="H39" s="357">
        <v>3016.4</v>
      </c>
      <c r="I39" s="357"/>
      <c r="J39" s="357"/>
      <c r="K39" s="357">
        <v>1639.9</v>
      </c>
      <c r="L39" s="357"/>
      <c r="M39" s="357"/>
      <c r="N39" s="356">
        <v>2281.4</v>
      </c>
      <c r="O39" s="356"/>
      <c r="P39" s="356"/>
      <c r="Q39" s="356">
        <v>92</v>
      </c>
      <c r="R39" s="356"/>
      <c r="S39" s="356"/>
      <c r="T39" s="356">
        <v>8</v>
      </c>
      <c r="U39" s="356"/>
      <c r="V39" s="356"/>
      <c r="W39" s="357">
        <v>8</v>
      </c>
      <c r="X39" s="357"/>
      <c r="Y39" s="358"/>
      <c r="Z39" s="12"/>
      <c r="AB39" s="10">
        <v>10</v>
      </c>
      <c r="AC39" s="11">
        <v>1.0026999999999999</v>
      </c>
      <c r="AD39" s="36" t="str">
        <f>IF($F$24=AB35,AC35,"")</f>
        <v/>
      </c>
    </row>
    <row r="40" spans="1:32" ht="25.5" customHeight="1" x14ac:dyDescent="0.25">
      <c r="A40" s="10"/>
      <c r="B40" s="359" t="s">
        <v>70</v>
      </c>
      <c r="C40" s="357"/>
      <c r="D40" s="357"/>
      <c r="E40" s="357">
        <v>2589.8000000000002</v>
      </c>
      <c r="F40" s="357"/>
      <c r="G40" s="357"/>
      <c r="H40" s="357">
        <v>2652.2</v>
      </c>
      <c r="I40" s="357"/>
      <c r="J40" s="357"/>
      <c r="K40" s="357">
        <v>1418.8</v>
      </c>
      <c r="L40" s="357"/>
      <c r="M40" s="357"/>
      <c r="N40" s="356">
        <v>2219.4</v>
      </c>
      <c r="O40" s="356"/>
      <c r="P40" s="356"/>
      <c r="Q40" s="356">
        <v>89.5</v>
      </c>
      <c r="R40" s="356"/>
      <c r="S40" s="356"/>
      <c r="T40" s="356">
        <v>10.5</v>
      </c>
      <c r="U40" s="356"/>
      <c r="V40" s="356"/>
      <c r="W40" s="357">
        <v>7.5</v>
      </c>
      <c r="X40" s="357"/>
      <c r="Y40" s="358"/>
      <c r="Z40" s="12"/>
      <c r="AB40" s="10">
        <v>10</v>
      </c>
      <c r="AC40" s="11">
        <v>1.0026999999999999</v>
      </c>
      <c r="AD40" s="36" t="str">
        <f>IF($F$24=AB35,AC35,"")</f>
        <v/>
      </c>
    </row>
    <row r="41" spans="1:32" s="1" customFormat="1" ht="25.5" customHeight="1" x14ac:dyDescent="0.25">
      <c r="A41" s="10"/>
      <c r="B41" s="359" t="s">
        <v>69</v>
      </c>
      <c r="C41" s="357"/>
      <c r="D41" s="357"/>
      <c r="E41" s="357">
        <v>1887.1</v>
      </c>
      <c r="F41" s="357"/>
      <c r="G41" s="357"/>
      <c r="H41" s="357">
        <v>1979.6</v>
      </c>
      <c r="I41" s="357"/>
      <c r="J41" s="357"/>
      <c r="K41" s="357">
        <v>1031.8</v>
      </c>
      <c r="L41" s="357"/>
      <c r="M41" s="357"/>
      <c r="N41" s="356">
        <v>2229</v>
      </c>
      <c r="O41" s="356"/>
      <c r="P41" s="356"/>
      <c r="Q41" s="356">
        <v>89.9</v>
      </c>
      <c r="R41" s="356"/>
      <c r="S41" s="356"/>
      <c r="T41" s="356">
        <v>10.1</v>
      </c>
      <c r="U41" s="356"/>
      <c r="V41" s="356"/>
      <c r="W41" s="357">
        <v>5.5</v>
      </c>
      <c r="X41" s="357"/>
      <c r="Y41" s="358"/>
      <c r="Z41" s="12"/>
      <c r="AB41" s="10">
        <v>10</v>
      </c>
      <c r="AC41" s="11">
        <v>1.0026999999999999</v>
      </c>
      <c r="AD41" s="36" t="str">
        <f>IF($F$24=AB35,AC35,"")</f>
        <v/>
      </c>
      <c r="AF41"/>
    </row>
    <row r="42" spans="1:32" s="1" customFormat="1" ht="25.5" customHeight="1" x14ac:dyDescent="0.25">
      <c r="A42" s="10"/>
      <c r="B42" s="309"/>
      <c r="C42" s="307"/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8"/>
      <c r="Z42" s="12"/>
      <c r="AB42" s="10"/>
      <c r="AC42" s="11"/>
      <c r="AD42" s="36"/>
      <c r="AF42"/>
    </row>
    <row r="43" spans="1:32" s="1" customFormat="1" ht="25.5" customHeight="1" x14ac:dyDescent="0.25">
      <c r="A43" s="10"/>
      <c r="B43" s="309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8"/>
      <c r="Z43" s="12"/>
      <c r="AB43" s="10"/>
      <c r="AC43" s="11"/>
      <c r="AD43" s="36"/>
      <c r="AF43"/>
    </row>
    <row r="44" spans="1:32" s="1" customFormat="1" ht="25.5" customHeight="1" x14ac:dyDescent="0.25">
      <c r="A44" s="10"/>
      <c r="B44" s="309"/>
      <c r="C44" s="307"/>
      <c r="D44" s="307"/>
      <c r="E44" s="307"/>
      <c r="F44" s="307"/>
      <c r="G44" s="307"/>
      <c r="H44" s="307"/>
      <c r="I44" s="307"/>
      <c r="J44" s="307"/>
      <c r="K44" s="307"/>
      <c r="L44" s="307"/>
      <c r="M44" s="307"/>
      <c r="N44" s="307"/>
      <c r="O44" s="307"/>
      <c r="P44" s="307"/>
      <c r="Q44" s="307"/>
      <c r="R44" s="307"/>
      <c r="S44" s="307"/>
      <c r="T44" s="307"/>
      <c r="U44" s="307"/>
      <c r="V44" s="307"/>
      <c r="W44" s="307"/>
      <c r="X44" s="307"/>
      <c r="Y44" s="308"/>
      <c r="Z44" s="12"/>
      <c r="AB44" s="10"/>
      <c r="AC44" s="11"/>
      <c r="AD44" s="36"/>
      <c r="AF44"/>
    </row>
    <row r="45" spans="1:32" s="1" customFormat="1" ht="25.5" customHeight="1" x14ac:dyDescent="0.25">
      <c r="A45" s="10"/>
      <c r="B45" s="309"/>
      <c r="C45" s="307"/>
      <c r="D45" s="307"/>
      <c r="E45" s="307"/>
      <c r="F45" s="307"/>
      <c r="G45" s="307"/>
      <c r="H45" s="307"/>
      <c r="I45" s="307"/>
      <c r="J45" s="307"/>
      <c r="K45" s="307"/>
      <c r="L45" s="307"/>
      <c r="M45" s="307"/>
      <c r="N45" s="307"/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308"/>
      <c r="Z45" s="12"/>
      <c r="AB45" s="10"/>
      <c r="AC45" s="11"/>
      <c r="AD45" s="36"/>
      <c r="AF45"/>
    </row>
    <row r="46" spans="1:32" s="1" customFormat="1" ht="25.5" customHeight="1" x14ac:dyDescent="0.25">
      <c r="A46" s="10"/>
      <c r="B46" s="309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8"/>
      <c r="Z46" s="12"/>
      <c r="AB46" s="10">
        <v>10</v>
      </c>
      <c r="AC46" s="11">
        <v>1.0026999999999999</v>
      </c>
      <c r="AD46" s="36" t="str">
        <f>IF($F$24=AB35,AC35,"")</f>
        <v/>
      </c>
      <c r="AF46"/>
    </row>
    <row r="47" spans="1:32" s="1" customFormat="1" ht="25.5" customHeight="1" x14ac:dyDescent="0.25">
      <c r="A47" s="10"/>
      <c r="B47" s="353"/>
      <c r="C47" s="354"/>
      <c r="D47" s="354"/>
      <c r="E47" s="354"/>
      <c r="F47" s="354"/>
      <c r="G47" s="354"/>
      <c r="H47" s="354"/>
      <c r="I47" s="354"/>
      <c r="J47" s="354"/>
      <c r="K47" s="354"/>
      <c r="L47" s="354"/>
      <c r="M47" s="354"/>
      <c r="N47" s="354"/>
      <c r="O47" s="354"/>
      <c r="P47" s="354"/>
      <c r="Q47" s="354"/>
      <c r="R47" s="354"/>
      <c r="S47" s="354"/>
      <c r="T47" s="354"/>
      <c r="U47" s="354"/>
      <c r="V47" s="354"/>
      <c r="W47" s="354"/>
      <c r="X47" s="354"/>
      <c r="Y47" s="355"/>
      <c r="Z47" s="12"/>
      <c r="AB47" s="10">
        <v>10</v>
      </c>
      <c r="AC47" s="11">
        <v>1.0026999999999999</v>
      </c>
      <c r="AD47" s="36" t="str">
        <f>IF($F$24=AB35,AC35,"")</f>
        <v/>
      </c>
      <c r="AF47"/>
    </row>
    <row r="48" spans="1:32" s="1" customFormat="1" ht="25.5" customHeight="1" thickBot="1" x14ac:dyDescent="0.3">
      <c r="A48" s="10"/>
      <c r="B48" s="352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1"/>
      <c r="Z48" s="12"/>
      <c r="AB48" s="10">
        <v>10</v>
      </c>
      <c r="AC48" s="11">
        <v>1.0026999999999999</v>
      </c>
      <c r="AD48" s="36" t="str">
        <f>IF($F$24=AB35,AC35,"")</f>
        <v/>
      </c>
      <c r="AF48"/>
    </row>
    <row r="49" spans="1:32" s="1" customFormat="1" ht="25.5" customHeight="1" x14ac:dyDescent="0.25">
      <c r="A49" s="1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2"/>
      <c r="O49" s="52"/>
      <c r="P49" s="52"/>
      <c r="Q49" s="53"/>
      <c r="R49" s="53"/>
      <c r="S49" s="53"/>
      <c r="T49" s="53"/>
      <c r="U49" s="53"/>
      <c r="V49" s="53"/>
      <c r="W49" s="51"/>
      <c r="X49" s="51"/>
      <c r="Y49" s="51"/>
      <c r="Z49" s="12"/>
      <c r="AB49" s="10">
        <v>10</v>
      </c>
      <c r="AC49" s="11">
        <v>1.0026999999999999</v>
      </c>
      <c r="AD49" s="36" t="str">
        <f>IF($F$24=AB35,AC35,"")</f>
        <v/>
      </c>
      <c r="AF49"/>
    </row>
    <row r="50" spans="1:32" s="1" customFormat="1" ht="25.5" customHeight="1" x14ac:dyDescent="0.25">
      <c r="A50" s="41"/>
      <c r="B50" s="4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16"/>
      <c r="AB50" s="10"/>
      <c r="AC50" s="11"/>
      <c r="AD50" s="36"/>
      <c r="AF50"/>
    </row>
    <row r="51" spans="1:32" s="1" customFormat="1" ht="25.5" customHeight="1" x14ac:dyDescent="0.25">
      <c r="A51" s="43"/>
      <c r="B51" s="44"/>
      <c r="AB51" s="10"/>
      <c r="AC51" s="11"/>
      <c r="AD51" s="36"/>
      <c r="AF51"/>
    </row>
    <row r="52" spans="1:32" s="1" customFormat="1" ht="25.5" customHeight="1" x14ac:dyDescent="0.25">
      <c r="A52" s="45" t="s">
        <v>52</v>
      </c>
      <c r="B52" s="46" t="s">
        <v>53</v>
      </c>
      <c r="C52" s="47"/>
      <c r="D52" s="47"/>
      <c r="E52" s="47"/>
      <c r="F52" s="48"/>
      <c r="G52" s="48"/>
      <c r="H52" s="48"/>
      <c r="I52" s="7"/>
      <c r="J52" s="7"/>
      <c r="K52" s="7"/>
      <c r="L52" s="7"/>
      <c r="M52" s="7"/>
      <c r="N52" s="7"/>
      <c r="O52" s="7"/>
      <c r="P52" s="7"/>
      <c r="Q52" s="48"/>
      <c r="R52" s="7"/>
      <c r="S52" s="7"/>
      <c r="T52" s="7"/>
      <c r="U52" s="342"/>
      <c r="V52" s="342"/>
      <c r="W52" s="342"/>
      <c r="X52" s="343"/>
      <c r="Y52" s="343"/>
      <c r="Z52" s="344"/>
      <c r="AB52" s="10">
        <v>11</v>
      </c>
      <c r="AC52" s="11">
        <v>1.0025999999999999</v>
      </c>
      <c r="AD52" s="36" t="str">
        <f t="shared" ref="AD52:AD71" si="0">IF($F$24=AB52,AC52,"")</f>
        <v/>
      </c>
      <c r="AF52"/>
    </row>
    <row r="53" spans="1:32" s="1" customFormat="1" ht="12.75" customHeight="1" x14ac:dyDescent="0.25">
      <c r="A53" s="345" t="s">
        <v>54</v>
      </c>
      <c r="B53" s="346"/>
      <c r="C53" s="346"/>
      <c r="D53" s="346"/>
      <c r="E53" s="346"/>
      <c r="F53" s="346"/>
      <c r="G53" s="346"/>
      <c r="H53" s="346"/>
      <c r="I53" s="346"/>
      <c r="J53" s="346"/>
      <c r="K53" s="346"/>
      <c r="L53" s="346"/>
      <c r="M53" s="346"/>
      <c r="N53" s="346"/>
      <c r="O53" s="346"/>
      <c r="P53" s="346"/>
      <c r="Q53" s="347"/>
      <c r="R53" s="316" t="s">
        <v>55</v>
      </c>
      <c r="S53" s="317"/>
      <c r="T53" s="318"/>
      <c r="U53" s="348" t="s">
        <v>68</v>
      </c>
      <c r="V53" s="349"/>
      <c r="W53" s="349"/>
      <c r="X53" s="350"/>
      <c r="Y53" s="350"/>
      <c r="Z53" s="351"/>
      <c r="AB53" s="10">
        <v>12</v>
      </c>
      <c r="AC53" s="11">
        <v>1.0024999999999999</v>
      </c>
      <c r="AD53" s="36" t="str">
        <f t="shared" si="0"/>
        <v/>
      </c>
      <c r="AF53"/>
    </row>
    <row r="54" spans="1:32" s="1" customFormat="1" ht="15.9" customHeight="1" x14ac:dyDescent="0.25">
      <c r="A54" s="310" t="s">
        <v>67</v>
      </c>
      <c r="B54" s="311"/>
      <c r="C54" s="311"/>
      <c r="D54" s="311"/>
      <c r="E54" s="311"/>
      <c r="F54" s="311"/>
      <c r="G54" s="311"/>
      <c r="H54" s="311"/>
      <c r="I54" s="311"/>
      <c r="J54" s="311"/>
      <c r="K54" s="311"/>
      <c r="L54" s="311"/>
      <c r="M54" s="311"/>
      <c r="N54" s="311"/>
      <c r="O54" s="311"/>
      <c r="P54" s="311"/>
      <c r="Q54" s="312"/>
      <c r="R54" s="316" t="s">
        <v>58</v>
      </c>
      <c r="S54" s="317"/>
      <c r="T54" s="318"/>
      <c r="U54" s="319" t="s">
        <v>66</v>
      </c>
      <c r="V54" s="320"/>
      <c r="W54" s="320"/>
      <c r="X54" s="321"/>
      <c r="Y54" s="321"/>
      <c r="Z54" s="322"/>
      <c r="AB54" s="10">
        <v>13</v>
      </c>
      <c r="AC54" s="11">
        <v>1.0023</v>
      </c>
      <c r="AD54" s="36" t="str">
        <f t="shared" si="0"/>
        <v/>
      </c>
      <c r="AF54"/>
    </row>
    <row r="55" spans="1:32" s="1" customFormat="1" ht="12.75" customHeight="1" x14ac:dyDescent="0.25">
      <c r="A55" s="313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5"/>
      <c r="R55" s="316"/>
      <c r="S55" s="317"/>
      <c r="T55" s="318"/>
      <c r="U55" s="323"/>
      <c r="V55" s="324"/>
      <c r="W55" s="324"/>
      <c r="X55" s="325"/>
      <c r="Y55" s="325"/>
      <c r="Z55" s="326"/>
      <c r="AB55" s="10">
        <v>14</v>
      </c>
      <c r="AC55" s="11">
        <v>1.0022</v>
      </c>
      <c r="AD55" s="36" t="str">
        <f t="shared" si="0"/>
        <v/>
      </c>
      <c r="AF55"/>
    </row>
    <row r="56" spans="1:32" s="17" customFormat="1" ht="15.6" customHeight="1" x14ac:dyDescent="0.3">
      <c r="A56" s="38" t="s">
        <v>60</v>
      </c>
      <c r="B56" s="49" t="s">
        <v>61</v>
      </c>
      <c r="C56" s="1"/>
      <c r="D56" s="1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39"/>
      <c r="R56" s="316"/>
      <c r="S56" s="317"/>
      <c r="T56" s="318"/>
      <c r="U56" s="327"/>
      <c r="V56" s="328"/>
      <c r="W56" s="328"/>
      <c r="X56" s="329"/>
      <c r="Y56" s="329"/>
      <c r="Z56" s="330"/>
      <c r="AA56" s="57"/>
      <c r="AB56" s="10">
        <v>15</v>
      </c>
      <c r="AC56" s="11">
        <v>1.0021</v>
      </c>
      <c r="AD56" s="36" t="str">
        <f t="shared" si="0"/>
        <v/>
      </c>
    </row>
    <row r="57" spans="1:32" s="17" customFormat="1" ht="25.8" customHeight="1" x14ac:dyDescent="0.3">
      <c r="A57" s="331"/>
      <c r="B57" s="332"/>
      <c r="C57" s="332"/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N57" s="332"/>
      <c r="O57" s="332"/>
      <c r="P57" s="332"/>
      <c r="Q57" s="333"/>
      <c r="R57" s="316" t="s">
        <v>62</v>
      </c>
      <c r="S57" s="317"/>
      <c r="T57" s="318"/>
      <c r="U57" s="80"/>
      <c r="V57" s="79"/>
      <c r="W57" s="79"/>
      <c r="X57" s="79"/>
      <c r="Y57" s="79"/>
      <c r="Z57" s="78"/>
      <c r="AA57" s="57"/>
      <c r="AB57" s="10">
        <v>16</v>
      </c>
      <c r="AC57" s="11">
        <v>1.0019</v>
      </c>
      <c r="AD57" s="36" t="str">
        <f t="shared" si="0"/>
        <v/>
      </c>
    </row>
    <row r="58" spans="1:32" s="17" customFormat="1" ht="15.6" customHeight="1" x14ac:dyDescent="0.3">
      <c r="A58" s="331"/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3"/>
      <c r="R58" s="316"/>
      <c r="S58" s="317"/>
      <c r="T58" s="318"/>
      <c r="U58" s="77"/>
      <c r="V58" s="324"/>
      <c r="W58" s="324"/>
      <c r="X58" s="324"/>
      <c r="Y58" s="324"/>
      <c r="Z58" s="76"/>
      <c r="AA58" s="57"/>
      <c r="AB58" s="10">
        <v>17</v>
      </c>
      <c r="AC58" s="11">
        <v>1.0017</v>
      </c>
      <c r="AD58" s="36" t="str">
        <f t="shared" si="0"/>
        <v/>
      </c>
    </row>
    <row r="59" spans="1:32" s="17" customFormat="1" ht="15.6" customHeight="1" x14ac:dyDescent="0.3">
      <c r="A59" s="331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316"/>
      <c r="S59" s="317"/>
      <c r="T59" s="318"/>
      <c r="U59" s="77"/>
      <c r="V59" s="324"/>
      <c r="W59" s="324"/>
      <c r="X59" s="324"/>
      <c r="Y59" s="324"/>
      <c r="Z59" s="76"/>
      <c r="AA59" s="57"/>
      <c r="AB59" s="10">
        <v>18</v>
      </c>
      <c r="AC59" s="11">
        <v>1.0016</v>
      </c>
      <c r="AD59" s="36" t="str">
        <f t="shared" si="0"/>
        <v/>
      </c>
    </row>
    <row r="60" spans="1:32" s="17" customFormat="1" ht="15.6" customHeight="1" x14ac:dyDescent="0.25">
      <c r="A60" s="334"/>
      <c r="B60" s="335"/>
      <c r="C60" s="335"/>
      <c r="D60" s="335"/>
      <c r="E60" s="335"/>
      <c r="F60" s="335"/>
      <c r="G60" s="335"/>
      <c r="H60" s="335"/>
      <c r="I60" s="335"/>
      <c r="J60" s="335"/>
      <c r="K60" s="335"/>
      <c r="L60" s="335"/>
      <c r="M60" s="335"/>
      <c r="N60" s="335"/>
      <c r="O60" s="335"/>
      <c r="P60" s="335"/>
      <c r="Q60" s="336"/>
      <c r="R60" s="337"/>
      <c r="S60" s="338"/>
      <c r="T60" s="339"/>
      <c r="U60" s="75"/>
      <c r="V60" s="74"/>
      <c r="W60" s="74"/>
      <c r="X60" s="74"/>
      <c r="Y60" s="74"/>
      <c r="Z60" s="73"/>
      <c r="AB60" s="10">
        <v>19</v>
      </c>
      <c r="AC60" s="11">
        <v>1.0014000000000001</v>
      </c>
      <c r="AD60" s="36" t="str">
        <f t="shared" si="0"/>
        <v/>
      </c>
    </row>
    <row r="61" spans="1:32" s="17" customFormat="1" ht="15.6" customHeight="1" x14ac:dyDescent="0.25">
      <c r="A61" s="1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B61" s="10">
        <v>20</v>
      </c>
      <c r="AC61" s="11">
        <v>1.0012000000000001</v>
      </c>
      <c r="AD61" s="36" t="str">
        <f t="shared" si="0"/>
        <v/>
      </c>
    </row>
    <row r="62" spans="1:32" s="17" customFormat="1" ht="15.6" customHeight="1" x14ac:dyDescent="0.25">
      <c r="A62" s="1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B62" s="10">
        <v>21</v>
      </c>
      <c r="AC62" s="37">
        <v>1.0009999999999999</v>
      </c>
      <c r="AD62" s="36" t="str">
        <f t="shared" si="0"/>
        <v/>
      </c>
    </row>
    <row r="63" spans="1:32" s="17" customFormat="1" ht="15.6" customHeight="1" x14ac:dyDescent="0.25">
      <c r="A63" s="1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B63" s="10">
        <v>22</v>
      </c>
      <c r="AC63" s="11">
        <v>1.0006999999999999</v>
      </c>
      <c r="AD63" s="36" t="str">
        <f t="shared" si="0"/>
        <v/>
      </c>
    </row>
    <row r="64" spans="1:32" s="17" customFormat="1" ht="15.6" customHeight="1" x14ac:dyDescent="0.25">
      <c r="A64" s="1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B64" s="10">
        <v>23</v>
      </c>
      <c r="AC64" s="11">
        <v>1.0004999999999999</v>
      </c>
      <c r="AD64" s="36" t="str">
        <f t="shared" si="0"/>
        <v/>
      </c>
    </row>
    <row r="65" spans="1:32" s="1" customFormat="1" ht="12.75" customHeight="1" x14ac:dyDescent="0.25">
      <c r="A65" s="11"/>
      <c r="AB65" s="10">
        <v>24</v>
      </c>
      <c r="AC65" s="11">
        <v>1.0003</v>
      </c>
      <c r="AD65" s="36" t="str">
        <f t="shared" si="0"/>
        <v/>
      </c>
      <c r="AF65"/>
    </row>
    <row r="66" spans="1:32" s="1" customFormat="1" ht="12.75" customHeight="1" x14ac:dyDescent="0.25">
      <c r="A66" s="11"/>
      <c r="AB66" s="10">
        <v>25</v>
      </c>
      <c r="AC66" s="37">
        <v>1</v>
      </c>
      <c r="AD66" s="36">
        <f t="shared" si="0"/>
        <v>1</v>
      </c>
      <c r="AF66"/>
    </row>
    <row r="67" spans="1:32" s="1" customFormat="1" ht="12.75" customHeight="1" x14ac:dyDescent="0.25">
      <c r="A67" s="11"/>
      <c r="AB67" s="10">
        <v>26</v>
      </c>
      <c r="AC67" s="11">
        <v>0.99970000000000003</v>
      </c>
      <c r="AD67" s="36" t="str">
        <f t="shared" si="0"/>
        <v/>
      </c>
      <c r="AF67"/>
    </row>
    <row r="68" spans="1:32" s="1" customFormat="1" ht="12.75" customHeight="1" x14ac:dyDescent="0.25">
      <c r="A68" s="11"/>
      <c r="AB68" s="10">
        <v>27</v>
      </c>
      <c r="AC68" s="11">
        <v>0.99950000000000006</v>
      </c>
      <c r="AD68" s="36" t="str">
        <f t="shared" si="0"/>
        <v/>
      </c>
      <c r="AF68"/>
    </row>
    <row r="69" spans="1:32" s="1" customFormat="1" ht="12.75" customHeight="1" x14ac:dyDescent="0.25">
      <c r="A69" s="11"/>
      <c r="AB69" s="10">
        <v>28</v>
      </c>
      <c r="AC69" s="11">
        <v>0.99919999999999998</v>
      </c>
      <c r="AD69" s="36" t="str">
        <f t="shared" si="0"/>
        <v/>
      </c>
      <c r="AF69"/>
    </row>
    <row r="70" spans="1:32" s="1" customFormat="1" ht="12.75" customHeight="1" x14ac:dyDescent="0.25">
      <c r="A70" s="11"/>
      <c r="AB70" s="10">
        <v>29</v>
      </c>
      <c r="AC70" s="11">
        <v>0.99890000000000001</v>
      </c>
      <c r="AD70" s="36" t="str">
        <f t="shared" si="0"/>
        <v/>
      </c>
      <c r="AF70"/>
    </row>
    <row r="71" spans="1:32" s="1" customFormat="1" ht="12.75" customHeight="1" x14ac:dyDescent="0.25">
      <c r="A71" s="11"/>
      <c r="AB71" s="14">
        <v>30</v>
      </c>
      <c r="AC71" s="15">
        <v>0.99860000000000004</v>
      </c>
      <c r="AD71" s="40" t="str">
        <f t="shared" si="0"/>
        <v/>
      </c>
      <c r="AF71"/>
    </row>
  </sheetData>
  <sheetProtection formatCells="0" formatColumns="0" formatRows="0" insertColumns="0" insertRows="0" insertHyperlinks="0" deleteColumns="0" deleteRows="0" selectLockedCells="1" sort="0" autoFilter="0" pivotTables="0"/>
  <mergeCells count="174"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27:E29"/>
    <mergeCell ref="F27:I29"/>
    <mergeCell ref="J27:L29"/>
    <mergeCell ref="O27:R29"/>
    <mergeCell ref="S27:V29"/>
    <mergeCell ref="W27:Y29"/>
    <mergeCell ref="B17:H17"/>
    <mergeCell ref="I17:Y17"/>
    <mergeCell ref="B18:H18"/>
    <mergeCell ref="I18:Y18"/>
    <mergeCell ref="B24:E26"/>
    <mergeCell ref="F24:I26"/>
    <mergeCell ref="J24:L26"/>
    <mergeCell ref="O24:R26"/>
    <mergeCell ref="S24:V26"/>
    <mergeCell ref="W24:Y26"/>
    <mergeCell ref="L6:O6"/>
    <mergeCell ref="B11:G11"/>
    <mergeCell ref="H11:M11"/>
    <mergeCell ref="N11:R11"/>
    <mergeCell ref="S11:Y11"/>
    <mergeCell ref="B12:G12"/>
    <mergeCell ref="H12:M12"/>
    <mergeCell ref="AB32:AB34"/>
    <mergeCell ref="AC32:AC34"/>
    <mergeCell ref="AD32:AD34"/>
    <mergeCell ref="B32:D34"/>
    <mergeCell ref="E32:G34"/>
    <mergeCell ref="H32:J34"/>
    <mergeCell ref="K32:M34"/>
    <mergeCell ref="N32:P34"/>
    <mergeCell ref="Q32:S34"/>
    <mergeCell ref="B35:D35"/>
    <mergeCell ref="E35:G35"/>
    <mergeCell ref="H35:J35"/>
    <mergeCell ref="K35:M35"/>
    <mergeCell ref="N35:P35"/>
    <mergeCell ref="Q35:S35"/>
    <mergeCell ref="T35:V35"/>
    <mergeCell ref="W35:Y35"/>
    <mergeCell ref="T32:V34"/>
    <mergeCell ref="W32:Y34"/>
    <mergeCell ref="T36:V36"/>
    <mergeCell ref="W36:Y36"/>
    <mergeCell ref="B37:D37"/>
    <mergeCell ref="E37:G37"/>
    <mergeCell ref="H37:J37"/>
    <mergeCell ref="K37:M37"/>
    <mergeCell ref="N37:P37"/>
    <mergeCell ref="Q37:S37"/>
    <mergeCell ref="T37:V37"/>
    <mergeCell ref="W37:Y37"/>
    <mergeCell ref="B36:D36"/>
    <mergeCell ref="E36:G36"/>
    <mergeCell ref="H36:J36"/>
    <mergeCell ref="K36:M36"/>
    <mergeCell ref="N36:P36"/>
    <mergeCell ref="Q36:S36"/>
    <mergeCell ref="T38:V38"/>
    <mergeCell ref="W38:Y38"/>
    <mergeCell ref="B39:D39"/>
    <mergeCell ref="E39:G39"/>
    <mergeCell ref="H39:J39"/>
    <mergeCell ref="K39:M39"/>
    <mergeCell ref="N39:P39"/>
    <mergeCell ref="Q39:S39"/>
    <mergeCell ref="T39:V39"/>
    <mergeCell ref="W39:Y39"/>
    <mergeCell ref="B38:D38"/>
    <mergeCell ref="E38:G38"/>
    <mergeCell ref="H38:J38"/>
    <mergeCell ref="K38:M38"/>
    <mergeCell ref="N38:P38"/>
    <mergeCell ref="Q38:S38"/>
    <mergeCell ref="T40:V40"/>
    <mergeCell ref="W40:Y40"/>
    <mergeCell ref="B41:D41"/>
    <mergeCell ref="E41:G41"/>
    <mergeCell ref="H41:J41"/>
    <mergeCell ref="K41:M41"/>
    <mergeCell ref="N41:P41"/>
    <mergeCell ref="Q41:S41"/>
    <mergeCell ref="T41:V41"/>
    <mergeCell ref="W41:Y41"/>
    <mergeCell ref="B40:D40"/>
    <mergeCell ref="E40:G40"/>
    <mergeCell ref="H40:J40"/>
    <mergeCell ref="K40:M40"/>
    <mergeCell ref="N40:P40"/>
    <mergeCell ref="Q40:S40"/>
    <mergeCell ref="T46:V46"/>
    <mergeCell ref="W46:Y46"/>
    <mergeCell ref="B47:D47"/>
    <mergeCell ref="E47:G47"/>
    <mergeCell ref="H47:J47"/>
    <mergeCell ref="K47:M47"/>
    <mergeCell ref="N47:P47"/>
    <mergeCell ref="Q47:S47"/>
    <mergeCell ref="T47:V47"/>
    <mergeCell ref="W47:Y47"/>
    <mergeCell ref="B46:D46"/>
    <mergeCell ref="E46:G46"/>
    <mergeCell ref="H46:J46"/>
    <mergeCell ref="K46:M46"/>
    <mergeCell ref="N46:P46"/>
    <mergeCell ref="Q46:S46"/>
    <mergeCell ref="A54:Q55"/>
    <mergeCell ref="R54:T56"/>
    <mergeCell ref="U54:Z56"/>
    <mergeCell ref="A57:Q60"/>
    <mergeCell ref="R57:T60"/>
    <mergeCell ref="V58:Y59"/>
    <mergeCell ref="T48:V48"/>
    <mergeCell ref="W48:Y48"/>
    <mergeCell ref="U52:Z52"/>
    <mergeCell ref="A53:Q53"/>
    <mergeCell ref="R53:T53"/>
    <mergeCell ref="U53:Z53"/>
    <mergeCell ref="B48:D48"/>
    <mergeCell ref="E48:G48"/>
    <mergeCell ref="H48:J48"/>
    <mergeCell ref="K48:M48"/>
    <mergeCell ref="N48:P48"/>
    <mergeCell ref="Q48:S48"/>
    <mergeCell ref="T42:V42"/>
    <mergeCell ref="W42:Y42"/>
    <mergeCell ref="B43:D43"/>
    <mergeCell ref="E43:G43"/>
    <mergeCell ref="H43:J43"/>
    <mergeCell ref="K43:M43"/>
    <mergeCell ref="N43:P43"/>
    <mergeCell ref="Q43:S43"/>
    <mergeCell ref="T43:V43"/>
    <mergeCell ref="W43:Y43"/>
    <mergeCell ref="B42:D42"/>
    <mergeCell ref="E42:G42"/>
    <mergeCell ref="H42:J42"/>
    <mergeCell ref="K42:M42"/>
    <mergeCell ref="N42:P42"/>
    <mergeCell ref="Q42:S42"/>
    <mergeCell ref="T44:V44"/>
    <mergeCell ref="W44:Y44"/>
    <mergeCell ref="B45:D45"/>
    <mergeCell ref="E45:G45"/>
    <mergeCell ref="H45:J45"/>
    <mergeCell ref="K45:M45"/>
    <mergeCell ref="N45:P45"/>
    <mergeCell ref="Q45:S45"/>
    <mergeCell ref="T45:V45"/>
    <mergeCell ref="W45:Y45"/>
    <mergeCell ref="B44:D44"/>
    <mergeCell ref="E44:G44"/>
    <mergeCell ref="H44:J44"/>
    <mergeCell ref="K44:M44"/>
    <mergeCell ref="N44:P44"/>
    <mergeCell ref="Q44:S44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28CF-2A19-422D-98F7-6709C46C02F1}">
  <sheetPr>
    <pageSetUpPr fitToPage="1"/>
  </sheetPr>
  <dimension ref="A1:AF67"/>
  <sheetViews>
    <sheetView workbookViewId="0">
      <selection activeCell="A56" sqref="A56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27" width="20" style="1" customWidth="1"/>
    <col min="28" max="28" width="28.109375" style="1" customWidth="1"/>
    <col min="29" max="29" width="22.88671875" style="1" customWidth="1"/>
    <col min="30" max="30" width="29.33203125" style="1" customWidth="1"/>
    <col min="31" max="31" width="11.44140625" style="1"/>
  </cols>
  <sheetData>
    <row r="1" spans="1:32" ht="12.75" customHeight="1" x14ac:dyDescent="0.25">
      <c r="A1" s="377"/>
      <c r="B1" s="380"/>
      <c r="C1" s="380"/>
      <c r="D1" s="380"/>
      <c r="E1" s="380"/>
      <c r="F1" s="383"/>
      <c r="G1" s="415" t="s">
        <v>0</v>
      </c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7"/>
      <c r="U1" s="282" t="s">
        <v>85</v>
      </c>
      <c r="V1" s="283"/>
      <c r="W1" s="283"/>
      <c r="X1" s="283"/>
      <c r="Y1" s="283"/>
      <c r="Z1" s="284"/>
    </row>
    <row r="2" spans="1:32" ht="12.75" customHeight="1" x14ac:dyDescent="0.3">
      <c r="A2" s="378"/>
      <c r="B2" s="381"/>
      <c r="C2" s="381"/>
      <c r="D2" s="381"/>
      <c r="E2" s="381"/>
      <c r="F2" s="384"/>
      <c r="G2" s="418" t="s">
        <v>2</v>
      </c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20"/>
      <c r="U2" s="285"/>
      <c r="V2" s="286"/>
      <c r="W2" s="286"/>
      <c r="X2" s="286"/>
      <c r="Y2" s="286"/>
      <c r="Z2" s="287"/>
      <c r="AA2" s="57"/>
      <c r="AB2" s="57"/>
    </row>
    <row r="3" spans="1:32" ht="12.75" customHeight="1" x14ac:dyDescent="0.3">
      <c r="A3" s="378"/>
      <c r="B3" s="381"/>
      <c r="C3" s="381"/>
      <c r="D3" s="381"/>
      <c r="E3" s="381"/>
      <c r="F3" s="384"/>
      <c r="G3" s="418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20"/>
      <c r="U3" s="285"/>
      <c r="V3" s="286"/>
      <c r="W3" s="286"/>
      <c r="X3" s="286"/>
      <c r="Y3" s="286"/>
      <c r="Z3" s="287"/>
      <c r="AA3" s="57"/>
      <c r="AB3" s="57"/>
    </row>
    <row r="4" spans="1:32" ht="12.75" customHeight="1" x14ac:dyDescent="0.3">
      <c r="A4" s="378"/>
      <c r="B4" s="381"/>
      <c r="C4" s="381"/>
      <c r="D4" s="381"/>
      <c r="E4" s="381"/>
      <c r="F4" s="384"/>
      <c r="G4" s="418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19"/>
      <c r="S4" s="419"/>
      <c r="T4" s="420"/>
      <c r="U4" s="285"/>
      <c r="V4" s="286"/>
      <c r="W4" s="286"/>
      <c r="X4" s="286"/>
      <c r="Y4" s="286"/>
      <c r="Z4" s="287"/>
      <c r="AA4" s="57"/>
      <c r="AB4" s="57"/>
    </row>
    <row r="5" spans="1:32" ht="12.75" customHeight="1" x14ac:dyDescent="0.3">
      <c r="A5" s="378"/>
      <c r="B5" s="381"/>
      <c r="C5" s="381"/>
      <c r="D5" s="381"/>
      <c r="E5" s="381"/>
      <c r="F5" s="384"/>
      <c r="G5" s="421"/>
      <c r="H5" s="422"/>
      <c r="I5" s="2" t="s">
        <v>3</v>
      </c>
      <c r="J5" s="423">
        <v>2</v>
      </c>
      <c r="K5" s="424"/>
      <c r="L5" s="425" t="s">
        <v>4</v>
      </c>
      <c r="M5" s="426"/>
      <c r="N5" s="426"/>
      <c r="O5" s="427"/>
      <c r="P5" s="428" t="s">
        <v>81</v>
      </c>
      <c r="Q5" s="429"/>
      <c r="R5" s="429"/>
      <c r="S5" s="429"/>
      <c r="T5" s="430"/>
      <c r="U5" s="285"/>
      <c r="V5" s="286"/>
      <c r="W5" s="286"/>
      <c r="X5" s="286"/>
      <c r="Y5" s="286"/>
      <c r="Z5" s="287"/>
      <c r="AA5" s="57"/>
      <c r="AB5" s="57"/>
    </row>
    <row r="6" spans="1:32" ht="12.75" customHeight="1" x14ac:dyDescent="0.25">
      <c r="A6" s="379"/>
      <c r="B6" s="382"/>
      <c r="C6" s="382"/>
      <c r="D6" s="382"/>
      <c r="E6" s="382"/>
      <c r="F6" s="385"/>
      <c r="G6" s="3"/>
      <c r="H6" s="4"/>
      <c r="I6" s="4"/>
      <c r="J6" s="389" t="s">
        <v>6</v>
      </c>
      <c r="K6" s="389"/>
      <c r="L6" s="389" t="s">
        <v>7</v>
      </c>
      <c r="M6" s="389"/>
      <c r="N6" s="389"/>
      <c r="O6" s="389"/>
      <c r="P6" s="389" t="s">
        <v>8</v>
      </c>
      <c r="Q6" s="389"/>
      <c r="R6" s="389"/>
      <c r="S6" s="389"/>
      <c r="T6" s="412"/>
      <c r="U6" s="288"/>
      <c r="V6" s="289"/>
      <c r="W6" s="289"/>
      <c r="X6" s="289"/>
      <c r="Y6" s="289"/>
      <c r="Z6" s="290"/>
    </row>
    <row r="7" spans="1:32" ht="36.6" customHeight="1" x14ac:dyDescent="0.25">
      <c r="A7" s="413" t="s">
        <v>9</v>
      </c>
      <c r="B7" s="413"/>
      <c r="C7" s="413"/>
      <c r="D7" s="413"/>
      <c r="E7" s="413"/>
      <c r="F7" s="413"/>
      <c r="G7" s="414" t="s">
        <v>10</v>
      </c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  <c r="Z7" s="414"/>
    </row>
    <row r="8" spans="1:32" ht="15.9" customHeight="1" x14ac:dyDescent="0.3">
      <c r="A8" s="58" t="s">
        <v>11</v>
      </c>
      <c r="B8" s="59" t="s">
        <v>12</v>
      </c>
      <c r="C8" s="60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  <c r="AB8" s="57"/>
      <c r="AF8" s="57" t="s">
        <v>83</v>
      </c>
    </row>
    <row r="9" spans="1:32" ht="8.25" customHeight="1" x14ac:dyDescent="0.3">
      <c r="A9" s="10"/>
      <c r="D9" s="11"/>
      <c r="E9" s="11"/>
      <c r="F9" s="11"/>
      <c r="G9" s="11"/>
      <c r="Z9" s="12"/>
      <c r="AB9" s="57"/>
      <c r="AF9" s="57" t="s">
        <v>84</v>
      </c>
    </row>
    <row r="10" spans="1:32" ht="15.9" customHeight="1" x14ac:dyDescent="0.3">
      <c r="A10" s="10"/>
      <c r="B10" s="409" t="s">
        <v>15</v>
      </c>
      <c r="C10" s="409"/>
      <c r="D10" s="409"/>
      <c r="E10" s="409"/>
      <c r="F10" s="409"/>
      <c r="G10" s="409"/>
      <c r="H10" s="410" t="s">
        <v>83</v>
      </c>
      <c r="I10" s="410"/>
      <c r="J10" s="410"/>
      <c r="K10" s="410"/>
      <c r="L10" s="410"/>
      <c r="M10" s="410"/>
      <c r="N10" s="409" t="s">
        <v>16</v>
      </c>
      <c r="O10" s="409"/>
      <c r="P10" s="409"/>
      <c r="Q10" s="409"/>
      <c r="R10" s="409"/>
      <c r="S10" s="411" t="s">
        <v>17</v>
      </c>
      <c r="T10" s="411"/>
      <c r="U10" s="411"/>
      <c r="V10" s="411"/>
      <c r="W10" s="411"/>
      <c r="X10" s="411"/>
      <c r="Y10" s="411"/>
      <c r="Z10" s="13"/>
      <c r="AB10" s="57"/>
      <c r="AF10" s="57" t="s">
        <v>81</v>
      </c>
    </row>
    <row r="11" spans="1:32" ht="15.9" customHeight="1" x14ac:dyDescent="0.3">
      <c r="A11" s="10"/>
      <c r="B11" s="409" t="s">
        <v>18</v>
      </c>
      <c r="C11" s="409"/>
      <c r="D11" s="409"/>
      <c r="E11" s="409"/>
      <c r="F11" s="409"/>
      <c r="G11" s="409"/>
      <c r="H11" s="410">
        <v>45783</v>
      </c>
      <c r="I11" s="410"/>
      <c r="J11" s="410"/>
      <c r="K11" s="410"/>
      <c r="L11" s="410"/>
      <c r="M11" s="410"/>
      <c r="N11" s="409" t="s">
        <v>19</v>
      </c>
      <c r="O11" s="409"/>
      <c r="P11" s="409"/>
      <c r="Q11" s="409"/>
      <c r="R11" s="409"/>
      <c r="S11" s="411" t="s">
        <v>82</v>
      </c>
      <c r="T11" s="411"/>
      <c r="U11" s="411"/>
      <c r="V11" s="411"/>
      <c r="W11" s="411"/>
      <c r="X11" s="411"/>
      <c r="Y11" s="411"/>
      <c r="Z11" s="13"/>
      <c r="AB11" s="57"/>
      <c r="AF11" s="57" t="s">
        <v>17</v>
      </c>
    </row>
    <row r="12" spans="1:32" ht="15.9" customHeight="1" x14ac:dyDescent="0.3">
      <c r="A12" s="10"/>
      <c r="B12" s="409" t="s">
        <v>21</v>
      </c>
      <c r="C12" s="409"/>
      <c r="D12" s="409"/>
      <c r="E12" s="409"/>
      <c r="F12" s="409"/>
      <c r="G12" s="409"/>
      <c r="H12" s="410" t="s">
        <v>81</v>
      </c>
      <c r="I12" s="410"/>
      <c r="J12" s="410"/>
      <c r="K12" s="410"/>
      <c r="L12" s="410"/>
      <c r="M12" s="410"/>
      <c r="N12" s="409" t="s">
        <v>22</v>
      </c>
      <c r="O12" s="409"/>
      <c r="P12" s="409"/>
      <c r="Q12" s="409"/>
      <c r="R12" s="409"/>
      <c r="S12" s="411" t="s">
        <v>86</v>
      </c>
      <c r="T12" s="411"/>
      <c r="U12" s="411"/>
      <c r="V12" s="411"/>
      <c r="W12" s="411"/>
      <c r="X12" s="411"/>
      <c r="Y12" s="411"/>
      <c r="Z12" s="13"/>
      <c r="AB12" s="57"/>
      <c r="AF12" s="57"/>
    </row>
    <row r="13" spans="1:32" ht="8.25" customHeight="1" x14ac:dyDescent="0.3">
      <c r="A13" s="14"/>
      <c r="B13" s="65"/>
      <c r="C13" s="65"/>
      <c r="D13" s="66"/>
      <c r="E13" s="66"/>
      <c r="F13" s="66"/>
      <c r="G13" s="66"/>
      <c r="H13" s="65"/>
      <c r="I13" s="65"/>
      <c r="J13" s="65"/>
      <c r="K13" s="65"/>
      <c r="L13" s="65"/>
      <c r="M13" s="65"/>
      <c r="N13" s="67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16"/>
      <c r="AB13" s="57"/>
      <c r="AF13" s="57" t="s">
        <v>80</v>
      </c>
    </row>
    <row r="14" spans="1:32" s="17" customFormat="1" ht="15" customHeight="1" x14ac:dyDescent="0.25">
      <c r="B14" s="18"/>
      <c r="C14" s="18"/>
      <c r="K14" s="19"/>
      <c r="L14" s="18"/>
      <c r="M14" s="20"/>
    </row>
    <row r="15" spans="1:32" s="17" customFormat="1" ht="16.2" customHeight="1" x14ac:dyDescent="0.25">
      <c r="A15" s="58" t="s">
        <v>24</v>
      </c>
      <c r="B15" s="59" t="s">
        <v>25</v>
      </c>
      <c r="C15" s="61"/>
      <c r="D15" s="61"/>
      <c r="E15" s="61"/>
      <c r="F15" s="61"/>
      <c r="G15" s="61"/>
      <c r="H15" s="6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2"/>
    </row>
    <row r="16" spans="1:32" s="17" customFormat="1" ht="13.8" customHeight="1" x14ac:dyDescent="0.25">
      <c r="A16" s="62"/>
      <c r="B16" s="63"/>
      <c r="C16" s="64"/>
      <c r="D16" s="64"/>
      <c r="E16" s="64"/>
      <c r="F16" s="64"/>
      <c r="G16" s="64"/>
      <c r="H16" s="64"/>
      <c r="Z16" s="23"/>
    </row>
    <row r="17" spans="1:32" s="17" customFormat="1" ht="15" customHeight="1" x14ac:dyDescent="0.25">
      <c r="A17" s="62"/>
      <c r="B17" s="407" t="s">
        <v>26</v>
      </c>
      <c r="C17" s="407"/>
      <c r="D17" s="407"/>
      <c r="E17" s="407"/>
      <c r="F17" s="407"/>
      <c r="G17" s="407"/>
      <c r="H17" s="407"/>
      <c r="I17" s="408"/>
      <c r="J17" s="408"/>
      <c r="K17" s="408"/>
      <c r="L17" s="408"/>
      <c r="M17" s="408"/>
      <c r="N17" s="408"/>
      <c r="O17" s="408"/>
      <c r="P17" s="408"/>
      <c r="Q17" s="408"/>
      <c r="R17" s="408"/>
      <c r="S17" s="408"/>
      <c r="T17" s="408"/>
      <c r="U17" s="408"/>
      <c r="V17" s="408"/>
      <c r="W17" s="408"/>
      <c r="X17" s="408"/>
      <c r="Y17" s="408"/>
      <c r="Z17" s="24"/>
    </row>
    <row r="18" spans="1:32" s="17" customFormat="1" ht="15" customHeight="1" x14ac:dyDescent="0.25">
      <c r="A18" s="62"/>
      <c r="B18" s="407" t="s">
        <v>27</v>
      </c>
      <c r="C18" s="407"/>
      <c r="D18" s="407"/>
      <c r="E18" s="407"/>
      <c r="F18" s="407"/>
      <c r="G18" s="407"/>
      <c r="H18" s="407"/>
      <c r="I18" s="408"/>
      <c r="J18" s="408"/>
      <c r="K18" s="408"/>
      <c r="L18" s="408"/>
      <c r="M18" s="408"/>
      <c r="N18" s="408"/>
      <c r="O18" s="408"/>
      <c r="P18" s="408"/>
      <c r="Q18" s="408"/>
      <c r="R18" s="408"/>
      <c r="S18" s="408"/>
      <c r="T18" s="408"/>
      <c r="U18" s="408"/>
      <c r="V18" s="408"/>
      <c r="W18" s="408"/>
      <c r="X18" s="408"/>
      <c r="Y18" s="408"/>
      <c r="Z18" s="24"/>
    </row>
    <row r="19" spans="1:32" s="17" customFormat="1" ht="13.2" customHeight="1" x14ac:dyDescent="0.25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7"/>
    </row>
    <row r="20" spans="1:32" ht="12.75" customHeight="1" x14ac:dyDescent="0.25">
      <c r="D20" s="11"/>
      <c r="E20" s="11"/>
      <c r="F20" s="11"/>
      <c r="G20" s="11"/>
      <c r="N20" s="28"/>
    </row>
    <row r="21" spans="1:32" ht="15.9" customHeight="1" x14ac:dyDescent="0.25">
      <c r="A21" s="5" t="s">
        <v>28</v>
      </c>
      <c r="B21" s="6" t="s">
        <v>29</v>
      </c>
      <c r="C21" s="29"/>
      <c r="D21" s="30"/>
      <c r="E21" s="30"/>
      <c r="F21" s="30"/>
      <c r="G21" s="30"/>
      <c r="H21" s="29"/>
      <c r="I21" s="29"/>
      <c r="J21" s="29"/>
      <c r="K21" s="29"/>
      <c r="L21" s="2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32" ht="12.75" customHeight="1" x14ac:dyDescent="0.25">
      <c r="A22" s="10"/>
      <c r="Z22" s="12"/>
    </row>
    <row r="23" spans="1:32" ht="12.75" customHeight="1" x14ac:dyDescent="0.25">
      <c r="A23" s="10"/>
      <c r="Z23" s="12"/>
    </row>
    <row r="24" spans="1:32" ht="12.75" customHeight="1" x14ac:dyDescent="0.25">
      <c r="A24" s="10"/>
      <c r="B24" s="390" t="s">
        <v>30</v>
      </c>
      <c r="C24" s="404"/>
      <c r="D24" s="404"/>
      <c r="E24" s="404"/>
      <c r="F24" s="404">
        <v>25</v>
      </c>
      <c r="G24" s="404"/>
      <c r="H24" s="404"/>
      <c r="I24" s="404"/>
      <c r="J24" s="397" t="s">
        <v>31</v>
      </c>
      <c r="K24" s="397"/>
      <c r="L24" s="398"/>
      <c r="O24" s="390" t="s">
        <v>32</v>
      </c>
      <c r="P24" s="391"/>
      <c r="Q24" s="391"/>
      <c r="R24" s="391"/>
      <c r="S24" s="404">
        <v>890</v>
      </c>
      <c r="T24" s="404"/>
      <c r="U24" s="404"/>
      <c r="V24" s="404"/>
      <c r="W24" s="397" t="s">
        <v>33</v>
      </c>
      <c r="X24" s="397"/>
      <c r="Y24" s="398"/>
      <c r="Z24" s="12"/>
      <c r="AA24"/>
    </row>
    <row r="25" spans="1:32" ht="12.75" customHeight="1" x14ac:dyDescent="0.25">
      <c r="A25" s="10"/>
      <c r="B25" s="405"/>
      <c r="C25" s="369"/>
      <c r="D25" s="369"/>
      <c r="E25" s="369"/>
      <c r="F25" s="369"/>
      <c r="G25" s="369"/>
      <c r="H25" s="369"/>
      <c r="I25" s="369"/>
      <c r="J25" s="399"/>
      <c r="K25" s="399"/>
      <c r="L25" s="400"/>
      <c r="O25" s="392"/>
      <c r="P25" s="373"/>
      <c r="Q25" s="373"/>
      <c r="R25" s="373"/>
      <c r="S25" s="369"/>
      <c r="T25" s="369"/>
      <c r="U25" s="369"/>
      <c r="V25" s="369"/>
      <c r="W25" s="399"/>
      <c r="X25" s="399"/>
      <c r="Y25" s="400"/>
      <c r="Z25" s="12"/>
      <c r="AA25"/>
    </row>
    <row r="26" spans="1:32" ht="12.75" customHeight="1" x14ac:dyDescent="0.25">
      <c r="A26" s="10"/>
      <c r="B26" s="406"/>
      <c r="C26" s="370"/>
      <c r="D26" s="370"/>
      <c r="E26" s="370"/>
      <c r="F26" s="370"/>
      <c r="G26" s="370"/>
      <c r="H26" s="370"/>
      <c r="I26" s="370"/>
      <c r="J26" s="401"/>
      <c r="K26" s="401"/>
      <c r="L26" s="402"/>
      <c r="O26" s="393"/>
      <c r="P26" s="375"/>
      <c r="Q26" s="375"/>
      <c r="R26" s="375"/>
      <c r="S26" s="370"/>
      <c r="T26" s="370"/>
      <c r="U26" s="370"/>
      <c r="V26" s="370"/>
      <c r="W26" s="401"/>
      <c r="X26" s="401"/>
      <c r="Y26" s="402"/>
      <c r="Z26" s="12"/>
      <c r="AA26"/>
    </row>
    <row r="27" spans="1:32" ht="12.75" customHeight="1" x14ac:dyDescent="0.25">
      <c r="A27" s="10"/>
      <c r="B27" s="390" t="s">
        <v>34</v>
      </c>
      <c r="C27" s="391"/>
      <c r="D27" s="391"/>
      <c r="E27" s="391"/>
      <c r="F27" s="394">
        <f>IF(F24&lt;&gt;"",(997.1*(SUM(AD35:AD67))),"")</f>
        <v>997.1</v>
      </c>
      <c r="G27" s="394"/>
      <c r="H27" s="394"/>
      <c r="I27" s="394"/>
      <c r="J27" s="397" t="s">
        <v>35</v>
      </c>
      <c r="K27" s="397"/>
      <c r="L27" s="398"/>
      <c r="O27" s="403" t="s">
        <v>36</v>
      </c>
      <c r="P27" s="404"/>
      <c r="Q27" s="404"/>
      <c r="R27" s="404"/>
      <c r="S27" s="404">
        <v>2480</v>
      </c>
      <c r="T27" s="404"/>
      <c r="U27" s="404"/>
      <c r="V27" s="404"/>
      <c r="W27" s="397" t="s">
        <v>35</v>
      </c>
      <c r="X27" s="397"/>
      <c r="Y27" s="398"/>
      <c r="Z27" s="12"/>
      <c r="AA27"/>
    </row>
    <row r="28" spans="1:32" ht="12.75" customHeight="1" x14ac:dyDescent="0.25">
      <c r="A28" s="10"/>
      <c r="B28" s="392"/>
      <c r="C28" s="373"/>
      <c r="D28" s="373"/>
      <c r="E28" s="373"/>
      <c r="F28" s="395"/>
      <c r="G28" s="395"/>
      <c r="H28" s="395"/>
      <c r="I28" s="395"/>
      <c r="J28" s="399"/>
      <c r="K28" s="399"/>
      <c r="L28" s="400"/>
      <c r="O28" s="405"/>
      <c r="P28" s="369"/>
      <c r="Q28" s="369"/>
      <c r="R28" s="369"/>
      <c r="S28" s="369"/>
      <c r="T28" s="369"/>
      <c r="U28" s="369"/>
      <c r="V28" s="369"/>
      <c r="W28" s="399"/>
      <c r="X28" s="399"/>
      <c r="Y28" s="400"/>
      <c r="Z28" s="12"/>
      <c r="AA28"/>
    </row>
    <row r="29" spans="1:32" ht="12.75" customHeight="1" x14ac:dyDescent="0.25">
      <c r="A29" s="10"/>
      <c r="B29" s="393"/>
      <c r="C29" s="375"/>
      <c r="D29" s="375"/>
      <c r="E29" s="375"/>
      <c r="F29" s="396"/>
      <c r="G29" s="396"/>
      <c r="H29" s="396"/>
      <c r="I29" s="396"/>
      <c r="J29" s="401"/>
      <c r="K29" s="401"/>
      <c r="L29" s="402"/>
      <c r="O29" s="406"/>
      <c r="P29" s="370"/>
      <c r="Q29" s="370"/>
      <c r="R29" s="370"/>
      <c r="S29" s="370"/>
      <c r="T29" s="370"/>
      <c r="U29" s="370"/>
      <c r="V29" s="370"/>
      <c r="W29" s="401"/>
      <c r="X29" s="401"/>
      <c r="Y29" s="402"/>
      <c r="Z29" s="12"/>
    </row>
    <row r="30" spans="1:32" ht="12.75" customHeight="1" x14ac:dyDescent="0.3">
      <c r="A30" s="10"/>
      <c r="B30" s="31"/>
      <c r="C30" s="32"/>
      <c r="D30" s="33"/>
      <c r="I30" s="34"/>
      <c r="J30" s="34"/>
      <c r="P30" s="32"/>
      <c r="Q30" s="32"/>
      <c r="R30" s="32"/>
      <c r="S30" s="32"/>
      <c r="T30" s="32"/>
      <c r="U30" s="32"/>
      <c r="V30" s="32"/>
      <c r="W30" s="33"/>
      <c r="Z30" s="12"/>
      <c r="AA30" s="57"/>
      <c r="AB30" s="57"/>
      <c r="AC30" s="57"/>
      <c r="AD30" s="57"/>
      <c r="AE30" s="57"/>
      <c r="AF30" s="57"/>
    </row>
    <row r="31" spans="1:32" ht="12.75" customHeight="1" thickBot="1" x14ac:dyDescent="0.3">
      <c r="A31" s="10"/>
      <c r="B31" s="31"/>
      <c r="C31" s="32"/>
      <c r="D31" s="33"/>
      <c r="E31" s="34"/>
      <c r="F31" s="35"/>
      <c r="G31" s="32"/>
      <c r="H31" s="33"/>
      <c r="I31" s="34"/>
      <c r="J31" s="34"/>
      <c r="Z31" s="12"/>
    </row>
    <row r="32" spans="1:32" ht="19.5" customHeight="1" x14ac:dyDescent="0.25">
      <c r="A32" s="10"/>
      <c r="B32" s="386" t="s">
        <v>37</v>
      </c>
      <c r="C32" s="371"/>
      <c r="D32" s="371"/>
      <c r="E32" s="371" t="s">
        <v>38</v>
      </c>
      <c r="F32" s="371"/>
      <c r="G32" s="371"/>
      <c r="H32" s="371" t="s">
        <v>39</v>
      </c>
      <c r="I32" s="371"/>
      <c r="J32" s="371"/>
      <c r="K32" s="371" t="s">
        <v>40</v>
      </c>
      <c r="L32" s="371"/>
      <c r="M32" s="371"/>
      <c r="N32" s="371" t="s">
        <v>41</v>
      </c>
      <c r="O32" s="371"/>
      <c r="P32" s="371"/>
      <c r="Q32" s="371" t="s">
        <v>42</v>
      </c>
      <c r="R32" s="371"/>
      <c r="S32" s="371"/>
      <c r="T32" s="368" t="s">
        <v>43</v>
      </c>
      <c r="U32" s="368"/>
      <c r="V32" s="368"/>
      <c r="W32" s="371" t="s">
        <v>44</v>
      </c>
      <c r="X32" s="371"/>
      <c r="Y32" s="372"/>
      <c r="Z32" s="12"/>
      <c r="AB32" s="377" t="s">
        <v>45</v>
      </c>
      <c r="AC32" s="380" t="s">
        <v>46</v>
      </c>
      <c r="AD32" s="383" t="s">
        <v>47</v>
      </c>
    </row>
    <row r="33" spans="1:30" ht="19.5" customHeight="1" x14ac:dyDescent="0.25">
      <c r="A33" s="10"/>
      <c r="B33" s="387"/>
      <c r="C33" s="373"/>
      <c r="D33" s="373"/>
      <c r="E33" s="373"/>
      <c r="F33" s="373"/>
      <c r="G33" s="373"/>
      <c r="H33" s="373"/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69"/>
      <c r="U33" s="369"/>
      <c r="V33" s="369"/>
      <c r="W33" s="373"/>
      <c r="X33" s="373"/>
      <c r="Y33" s="374"/>
      <c r="Z33" s="12"/>
      <c r="AB33" s="378"/>
      <c r="AC33" s="381"/>
      <c r="AD33" s="384"/>
    </row>
    <row r="34" spans="1:30" ht="19.5" customHeight="1" x14ac:dyDescent="0.25">
      <c r="A34" s="10"/>
      <c r="B34" s="388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0"/>
      <c r="U34" s="370"/>
      <c r="V34" s="370"/>
      <c r="W34" s="375"/>
      <c r="X34" s="375"/>
      <c r="Y34" s="376"/>
      <c r="Z34" s="12"/>
      <c r="AB34" s="379"/>
      <c r="AC34" s="382"/>
      <c r="AD34" s="385"/>
    </row>
    <row r="35" spans="1:30" ht="25.5" customHeight="1" x14ac:dyDescent="0.25">
      <c r="A35" s="10"/>
      <c r="B35" s="359" t="s">
        <v>79</v>
      </c>
      <c r="C35" s="357"/>
      <c r="D35" s="357"/>
      <c r="E35" s="357">
        <v>2672.6</v>
      </c>
      <c r="F35" s="357"/>
      <c r="G35" s="357"/>
      <c r="H35" s="357">
        <v>2716.8</v>
      </c>
      <c r="I35" s="357"/>
      <c r="J35" s="357"/>
      <c r="K35" s="357">
        <v>1505</v>
      </c>
      <c r="L35" s="357"/>
      <c r="M35" s="357"/>
      <c r="N35" s="356">
        <v>2292.8000000000002</v>
      </c>
      <c r="O35" s="356"/>
      <c r="P35" s="356"/>
      <c r="Q35" s="356">
        <v>92.5</v>
      </c>
      <c r="R35" s="356"/>
      <c r="S35" s="356"/>
      <c r="T35" s="356">
        <v>7.5</v>
      </c>
      <c r="U35" s="356"/>
      <c r="V35" s="356"/>
      <c r="W35" s="357">
        <v>7.5</v>
      </c>
      <c r="X35" s="357"/>
      <c r="Y35" s="358"/>
      <c r="Z35" s="12"/>
      <c r="AB35" s="10">
        <v>10</v>
      </c>
      <c r="AC35" s="11">
        <v>1.0026999999999999</v>
      </c>
      <c r="AD35" s="36" t="str">
        <f>IF($F$24=AB35,AC35,"")</f>
        <v/>
      </c>
    </row>
    <row r="36" spans="1:30" ht="25.5" customHeight="1" x14ac:dyDescent="0.25">
      <c r="A36" s="10"/>
      <c r="B36" s="359" t="s">
        <v>78</v>
      </c>
      <c r="C36" s="357"/>
      <c r="D36" s="357"/>
      <c r="E36" s="357">
        <v>3473.4</v>
      </c>
      <c r="F36" s="357"/>
      <c r="G36" s="357"/>
      <c r="H36" s="357">
        <v>3518.1</v>
      </c>
      <c r="I36" s="357"/>
      <c r="J36" s="357"/>
      <c r="K36" s="357">
        <v>1990.9</v>
      </c>
      <c r="L36" s="357"/>
      <c r="M36" s="357"/>
      <c r="N36" s="356">
        <v>2344.6</v>
      </c>
      <c r="O36" s="356"/>
      <c r="P36" s="356"/>
      <c r="Q36" s="356">
        <v>94.5</v>
      </c>
      <c r="R36" s="356"/>
      <c r="S36" s="356"/>
      <c r="T36" s="356">
        <v>5.5</v>
      </c>
      <c r="U36" s="356"/>
      <c r="V36" s="356"/>
      <c r="W36" s="357">
        <v>9.5</v>
      </c>
      <c r="X36" s="357"/>
      <c r="Y36" s="358"/>
      <c r="Z36" s="12"/>
      <c r="AB36" s="10">
        <v>10</v>
      </c>
      <c r="AC36" s="11">
        <v>1.0026999999999999</v>
      </c>
      <c r="AD36" s="36" t="str">
        <f>IF($F$24=AB35,AC35,"")</f>
        <v/>
      </c>
    </row>
    <row r="37" spans="1:30" ht="25.5" customHeight="1" x14ac:dyDescent="0.25">
      <c r="A37" s="10"/>
      <c r="B37" s="359" t="s">
        <v>77</v>
      </c>
      <c r="C37" s="357"/>
      <c r="D37" s="357"/>
      <c r="E37" s="357">
        <v>3860.9</v>
      </c>
      <c r="F37" s="357"/>
      <c r="G37" s="357"/>
      <c r="H37" s="357">
        <v>3915.4</v>
      </c>
      <c r="I37" s="357"/>
      <c r="J37" s="357"/>
      <c r="K37" s="357">
        <v>2203.4</v>
      </c>
      <c r="L37" s="357"/>
      <c r="M37" s="357"/>
      <c r="N37" s="356">
        <v>2331.8000000000002</v>
      </c>
      <c r="O37" s="356"/>
      <c r="P37" s="356"/>
      <c r="Q37" s="356">
        <v>94</v>
      </c>
      <c r="R37" s="356"/>
      <c r="S37" s="356"/>
      <c r="T37" s="356">
        <v>6</v>
      </c>
      <c r="U37" s="356"/>
      <c r="V37" s="356"/>
      <c r="W37" s="357">
        <v>10</v>
      </c>
      <c r="X37" s="357"/>
      <c r="Y37" s="358"/>
      <c r="Z37" s="12"/>
      <c r="AB37" s="10">
        <v>10</v>
      </c>
      <c r="AC37" s="11">
        <v>1.0026999999999999</v>
      </c>
      <c r="AD37" s="36" t="str">
        <f>IF($F$24=AB35,AC35,"")</f>
        <v/>
      </c>
    </row>
    <row r="38" spans="1:30" ht="25.5" customHeight="1" x14ac:dyDescent="0.25">
      <c r="A38" s="10"/>
      <c r="B38" s="359" t="s">
        <v>76</v>
      </c>
      <c r="C38" s="357"/>
      <c r="D38" s="357"/>
      <c r="E38" s="357">
        <v>3130.1</v>
      </c>
      <c r="F38" s="357"/>
      <c r="G38" s="357"/>
      <c r="H38" s="357">
        <v>3211.6</v>
      </c>
      <c r="I38" s="357"/>
      <c r="J38" s="357"/>
      <c r="K38" s="357">
        <v>1742.9</v>
      </c>
      <c r="L38" s="357"/>
      <c r="M38" s="357"/>
      <c r="N38" s="356">
        <v>2265.9</v>
      </c>
      <c r="O38" s="356"/>
      <c r="P38" s="356"/>
      <c r="Q38" s="356">
        <v>91.4</v>
      </c>
      <c r="R38" s="356"/>
      <c r="S38" s="356"/>
      <c r="T38" s="356">
        <v>8.6</v>
      </c>
      <c r="U38" s="356"/>
      <c r="V38" s="356"/>
      <c r="W38" s="357">
        <v>9.5</v>
      </c>
      <c r="X38" s="357"/>
      <c r="Y38" s="358"/>
      <c r="Z38" s="12"/>
      <c r="AB38" s="10">
        <v>10</v>
      </c>
      <c r="AC38" s="11">
        <v>1.0026999999999999</v>
      </c>
      <c r="AD38" s="36" t="str">
        <f>IF($F$24=AB35,AC35,"")</f>
        <v/>
      </c>
    </row>
    <row r="39" spans="1:30" ht="25.5" customHeight="1" x14ac:dyDescent="0.25">
      <c r="A39" s="10"/>
      <c r="B39" s="359"/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357"/>
      <c r="N39" s="356"/>
      <c r="O39" s="356"/>
      <c r="P39" s="356"/>
      <c r="Q39" s="356"/>
      <c r="R39" s="356"/>
      <c r="S39" s="356"/>
      <c r="T39" s="356"/>
      <c r="U39" s="356"/>
      <c r="V39" s="356"/>
      <c r="W39" s="357"/>
      <c r="X39" s="357"/>
      <c r="Y39" s="358"/>
      <c r="Z39" s="12"/>
      <c r="AB39" s="10">
        <v>10</v>
      </c>
      <c r="AC39" s="11">
        <v>1.0026999999999999</v>
      </c>
      <c r="AD39" s="36" t="str">
        <f>IF($F$24=AB35,AC35,"")</f>
        <v/>
      </c>
    </row>
    <row r="40" spans="1:30" ht="25.5" customHeight="1" x14ac:dyDescent="0.25">
      <c r="A40" s="10"/>
      <c r="B40" s="359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6"/>
      <c r="O40" s="356"/>
      <c r="P40" s="356"/>
      <c r="Q40" s="356"/>
      <c r="R40" s="356"/>
      <c r="S40" s="356"/>
      <c r="T40" s="356"/>
      <c r="U40" s="356"/>
      <c r="V40" s="356"/>
      <c r="W40" s="357"/>
      <c r="X40" s="357"/>
      <c r="Y40" s="358"/>
      <c r="Z40" s="12"/>
      <c r="AB40" s="10">
        <v>10</v>
      </c>
      <c r="AC40" s="11">
        <v>1.0026999999999999</v>
      </c>
      <c r="AD40" s="36" t="str">
        <f>IF($F$24=AB35,AC35,"")</f>
        <v/>
      </c>
    </row>
    <row r="41" spans="1:30" ht="25.5" customHeight="1" x14ac:dyDescent="0.25">
      <c r="A41" s="10"/>
      <c r="B41" s="359"/>
      <c r="C41" s="357"/>
      <c r="D41" s="357"/>
      <c r="E41" s="357"/>
      <c r="F41" s="357"/>
      <c r="G41" s="357"/>
      <c r="H41" s="357"/>
      <c r="I41" s="357"/>
      <c r="J41" s="357"/>
      <c r="K41" s="357"/>
      <c r="L41" s="357"/>
      <c r="M41" s="357"/>
      <c r="N41" s="356"/>
      <c r="O41" s="356"/>
      <c r="P41" s="356"/>
      <c r="Q41" s="356"/>
      <c r="R41" s="356"/>
      <c r="S41" s="356"/>
      <c r="T41" s="356"/>
      <c r="U41" s="356"/>
      <c r="V41" s="356"/>
      <c r="W41" s="357"/>
      <c r="X41" s="357"/>
      <c r="Y41" s="358"/>
      <c r="Z41" s="12"/>
      <c r="AB41" s="10">
        <v>10</v>
      </c>
      <c r="AC41" s="11">
        <v>1.0026999999999999</v>
      </c>
      <c r="AD41" s="36" t="str">
        <f>IF($F$24=AB35,AC35,"")</f>
        <v/>
      </c>
    </row>
    <row r="42" spans="1:30" ht="25.5" customHeight="1" x14ac:dyDescent="0.25">
      <c r="A42" s="10"/>
      <c r="B42" s="359"/>
      <c r="C42" s="357"/>
      <c r="D42" s="357"/>
      <c r="E42" s="357"/>
      <c r="F42" s="357"/>
      <c r="G42" s="357"/>
      <c r="H42" s="357"/>
      <c r="I42" s="357"/>
      <c r="J42" s="357"/>
      <c r="K42" s="357"/>
      <c r="L42" s="357"/>
      <c r="M42" s="357"/>
      <c r="N42" s="356"/>
      <c r="O42" s="356"/>
      <c r="P42" s="356"/>
      <c r="Q42" s="356"/>
      <c r="R42" s="356"/>
      <c r="S42" s="356"/>
      <c r="T42" s="356"/>
      <c r="U42" s="356"/>
      <c r="V42" s="356"/>
      <c r="W42" s="357"/>
      <c r="X42" s="357"/>
      <c r="Y42" s="358"/>
      <c r="Z42" s="12"/>
      <c r="AB42" s="10">
        <v>10</v>
      </c>
      <c r="AC42" s="11">
        <v>1.0026999999999999</v>
      </c>
      <c r="AD42" s="36" t="str">
        <f>IF($F$24=AB35,AC35,"")</f>
        <v/>
      </c>
    </row>
    <row r="43" spans="1:30" ht="25.5" customHeight="1" x14ac:dyDescent="0.25">
      <c r="A43" s="10"/>
      <c r="B43" s="359"/>
      <c r="C43" s="357"/>
      <c r="D43" s="357"/>
      <c r="E43" s="357"/>
      <c r="F43" s="357"/>
      <c r="G43" s="357"/>
      <c r="H43" s="357"/>
      <c r="I43" s="357"/>
      <c r="J43" s="357"/>
      <c r="K43" s="357"/>
      <c r="L43" s="357"/>
      <c r="M43" s="357"/>
      <c r="N43" s="356"/>
      <c r="O43" s="356"/>
      <c r="P43" s="356"/>
      <c r="Q43" s="356"/>
      <c r="R43" s="356"/>
      <c r="S43" s="356"/>
      <c r="T43" s="356"/>
      <c r="U43" s="356"/>
      <c r="V43" s="356"/>
      <c r="W43" s="357"/>
      <c r="X43" s="357"/>
      <c r="Y43" s="358"/>
      <c r="Z43" s="12"/>
      <c r="AB43" s="10">
        <v>10</v>
      </c>
      <c r="AC43" s="11">
        <v>1.0026999999999999</v>
      </c>
      <c r="AD43" s="36" t="str">
        <f>IF($F$24=AB35,AC35,"")</f>
        <v/>
      </c>
    </row>
    <row r="44" spans="1:30" ht="25.5" customHeight="1" x14ac:dyDescent="0.25">
      <c r="A44" s="10"/>
      <c r="B44" s="359"/>
      <c r="C44" s="357"/>
      <c r="D44" s="357"/>
      <c r="E44" s="357"/>
      <c r="F44" s="357"/>
      <c r="G44" s="357"/>
      <c r="H44" s="357"/>
      <c r="I44" s="357"/>
      <c r="J44" s="357"/>
      <c r="K44" s="357"/>
      <c r="L44" s="357"/>
      <c r="M44" s="357"/>
      <c r="N44" s="356"/>
      <c r="O44" s="356"/>
      <c r="P44" s="356"/>
      <c r="Q44" s="356"/>
      <c r="R44" s="356"/>
      <c r="S44" s="356"/>
      <c r="T44" s="356"/>
      <c r="U44" s="356"/>
      <c r="V44" s="356"/>
      <c r="W44" s="357"/>
      <c r="X44" s="357"/>
      <c r="Y44" s="358"/>
      <c r="Z44" s="12"/>
      <c r="AB44" s="10">
        <v>10</v>
      </c>
      <c r="AC44" s="11">
        <v>1.0026999999999999</v>
      </c>
      <c r="AD44" s="36" t="str">
        <f>IF($F$24=AB35,AC35,"")</f>
        <v/>
      </c>
    </row>
    <row r="45" spans="1:30" ht="25.5" customHeight="1" x14ac:dyDescent="0.25">
      <c r="A45" s="10"/>
      <c r="B45" s="359"/>
      <c r="C45" s="357"/>
      <c r="D45" s="357"/>
      <c r="E45" s="357"/>
      <c r="F45" s="357"/>
      <c r="G45" s="357"/>
      <c r="H45" s="357"/>
      <c r="I45" s="357"/>
      <c r="J45" s="357"/>
      <c r="K45" s="357"/>
      <c r="L45" s="357"/>
      <c r="M45" s="357"/>
      <c r="N45" s="356"/>
      <c r="O45" s="356"/>
      <c r="P45" s="356"/>
      <c r="Q45" s="356"/>
      <c r="R45" s="356"/>
      <c r="S45" s="356"/>
      <c r="T45" s="356"/>
      <c r="U45" s="356"/>
      <c r="V45" s="356"/>
      <c r="W45" s="357"/>
      <c r="X45" s="357"/>
      <c r="Y45" s="358"/>
      <c r="Z45" s="12"/>
      <c r="AB45" s="10">
        <v>10</v>
      </c>
      <c r="AC45" s="11">
        <v>1.0026999999999999</v>
      </c>
      <c r="AD45" s="36" t="str">
        <f>IF($F$24=AB35,AC35,"")</f>
        <v/>
      </c>
    </row>
    <row r="46" spans="1:30" ht="25.5" customHeight="1" x14ac:dyDescent="0.25">
      <c r="A46" s="10"/>
      <c r="B46" s="309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8"/>
      <c r="Z46" s="12"/>
      <c r="AB46" s="10"/>
      <c r="AC46" s="11"/>
      <c r="AD46" s="36"/>
    </row>
    <row r="47" spans="1:30" ht="25.5" customHeight="1" x14ac:dyDescent="0.25">
      <c r="A47" s="10"/>
      <c r="B47" s="353"/>
      <c r="C47" s="354"/>
      <c r="D47" s="354"/>
      <c r="E47" s="354"/>
      <c r="F47" s="354"/>
      <c r="G47" s="354"/>
      <c r="H47" s="354"/>
      <c r="I47" s="354"/>
      <c r="J47" s="354"/>
      <c r="K47" s="354"/>
      <c r="L47" s="354"/>
      <c r="M47" s="354"/>
      <c r="N47" s="354"/>
      <c r="O47" s="354"/>
      <c r="P47" s="354"/>
      <c r="Q47" s="354"/>
      <c r="R47" s="354"/>
      <c r="S47" s="354"/>
      <c r="T47" s="354"/>
      <c r="U47" s="354"/>
      <c r="V47" s="354"/>
      <c r="W47" s="354"/>
      <c r="X47" s="354"/>
      <c r="Y47" s="355"/>
      <c r="Z47" s="12"/>
      <c r="AB47" s="10"/>
      <c r="AC47" s="11"/>
      <c r="AD47" s="36"/>
    </row>
    <row r="48" spans="1:30" ht="25.5" customHeight="1" thickBot="1" x14ac:dyDescent="0.3">
      <c r="A48" s="10"/>
      <c r="B48" s="352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1"/>
      <c r="Z48" s="12"/>
      <c r="AB48" s="10">
        <v>11</v>
      </c>
      <c r="AC48" s="11">
        <v>1.0025999999999999</v>
      </c>
      <c r="AD48" s="36" t="str">
        <f t="shared" ref="AD48:AD67" si="0">IF($F$24=AB48,AC48,"")</f>
        <v/>
      </c>
    </row>
    <row r="49" spans="1:30" ht="12.75" customHeight="1" x14ac:dyDescent="0.25"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2"/>
      <c r="O49" s="52"/>
      <c r="P49" s="52"/>
      <c r="Q49" s="53"/>
      <c r="R49" s="53"/>
      <c r="S49" s="53"/>
      <c r="T49" s="53"/>
      <c r="U49" s="53"/>
      <c r="V49" s="53"/>
      <c r="W49" s="51"/>
      <c r="X49" s="51"/>
      <c r="Y49" s="51"/>
      <c r="Z49" s="12"/>
      <c r="AB49" s="10">
        <v>12</v>
      </c>
      <c r="AC49" s="11">
        <v>1.0024999999999999</v>
      </c>
      <c r="AD49" s="36" t="str">
        <f t="shared" si="0"/>
        <v/>
      </c>
    </row>
    <row r="50" spans="1:30" ht="15.9" customHeight="1" x14ac:dyDescent="0.25">
      <c r="A50" s="41"/>
      <c r="B50" s="4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16"/>
      <c r="AB50" s="10">
        <v>13</v>
      </c>
      <c r="AC50" s="11">
        <v>1.0023</v>
      </c>
      <c r="AD50" s="36" t="str">
        <f t="shared" si="0"/>
        <v/>
      </c>
    </row>
    <row r="51" spans="1:30" ht="12.75" customHeight="1" x14ac:dyDescent="0.25">
      <c r="A51" s="43"/>
      <c r="B51" s="44"/>
      <c r="AB51" s="10">
        <v>14</v>
      </c>
      <c r="AC51" s="11">
        <v>1.0022</v>
      </c>
      <c r="AD51" s="36" t="str">
        <f t="shared" si="0"/>
        <v/>
      </c>
    </row>
    <row r="52" spans="1:30" s="17" customFormat="1" ht="15.6" customHeight="1" x14ac:dyDescent="0.3">
      <c r="A52" s="45" t="s">
        <v>52</v>
      </c>
      <c r="B52" s="46" t="s">
        <v>53</v>
      </c>
      <c r="C52" s="47"/>
      <c r="D52" s="47"/>
      <c r="E52" s="47"/>
      <c r="F52" s="48"/>
      <c r="G52" s="48"/>
      <c r="H52" s="48"/>
      <c r="I52" s="7"/>
      <c r="J52" s="7"/>
      <c r="K52" s="7"/>
      <c r="L52" s="7"/>
      <c r="M52" s="7"/>
      <c r="N52" s="7"/>
      <c r="O52" s="7"/>
      <c r="P52" s="7"/>
      <c r="Q52" s="48"/>
      <c r="R52" s="7"/>
      <c r="S52" s="7"/>
      <c r="T52" s="7"/>
      <c r="U52" s="342"/>
      <c r="V52" s="342"/>
      <c r="W52" s="342"/>
      <c r="X52" s="343"/>
      <c r="Y52" s="343"/>
      <c r="Z52" s="344"/>
      <c r="AA52" s="57"/>
      <c r="AB52" s="10">
        <v>15</v>
      </c>
      <c r="AC52" s="11">
        <v>1.0021</v>
      </c>
      <c r="AD52" s="36" t="str">
        <f t="shared" si="0"/>
        <v/>
      </c>
    </row>
    <row r="53" spans="1:30" s="17" customFormat="1" ht="25.8" customHeight="1" x14ac:dyDescent="0.3">
      <c r="A53" s="345" t="s">
        <v>54</v>
      </c>
      <c r="B53" s="346"/>
      <c r="C53" s="346"/>
      <c r="D53" s="346"/>
      <c r="E53" s="346"/>
      <c r="F53" s="346"/>
      <c r="G53" s="346"/>
      <c r="H53" s="346"/>
      <c r="I53" s="346"/>
      <c r="J53" s="346"/>
      <c r="K53" s="346"/>
      <c r="L53" s="346"/>
      <c r="M53" s="346"/>
      <c r="N53" s="346"/>
      <c r="O53" s="346"/>
      <c r="P53" s="346"/>
      <c r="Q53" s="347"/>
      <c r="R53" s="316" t="s">
        <v>55</v>
      </c>
      <c r="S53" s="317"/>
      <c r="T53" s="318"/>
      <c r="U53" s="348" t="s">
        <v>68</v>
      </c>
      <c r="V53" s="349"/>
      <c r="W53" s="349"/>
      <c r="X53" s="350"/>
      <c r="Y53" s="350"/>
      <c r="Z53" s="351"/>
      <c r="AA53" s="57"/>
      <c r="AB53" s="10">
        <v>16</v>
      </c>
      <c r="AC53" s="11">
        <v>1.0019</v>
      </c>
      <c r="AD53" s="36" t="str">
        <f t="shared" si="0"/>
        <v/>
      </c>
    </row>
    <row r="54" spans="1:30" s="17" customFormat="1" ht="15.6" customHeight="1" x14ac:dyDescent="0.3">
      <c r="A54" s="310" t="s">
        <v>57</v>
      </c>
      <c r="B54" s="311"/>
      <c r="C54" s="311"/>
      <c r="D54" s="311"/>
      <c r="E54" s="311"/>
      <c r="F54" s="311"/>
      <c r="G54" s="311"/>
      <c r="H54" s="311"/>
      <c r="I54" s="311"/>
      <c r="J54" s="311"/>
      <c r="K54" s="311"/>
      <c r="L54" s="311"/>
      <c r="M54" s="311"/>
      <c r="N54" s="311"/>
      <c r="O54" s="311"/>
      <c r="P54" s="311"/>
      <c r="Q54" s="312"/>
      <c r="R54" s="316" t="s">
        <v>58</v>
      </c>
      <c r="S54" s="317"/>
      <c r="T54" s="318"/>
      <c r="U54" s="319" t="s">
        <v>66</v>
      </c>
      <c r="V54" s="320"/>
      <c r="W54" s="320"/>
      <c r="X54" s="321"/>
      <c r="Y54" s="321"/>
      <c r="Z54" s="322"/>
      <c r="AA54" s="57"/>
      <c r="AB54" s="10">
        <v>17</v>
      </c>
      <c r="AC54" s="11">
        <v>1.0017</v>
      </c>
      <c r="AD54" s="36" t="str">
        <f t="shared" si="0"/>
        <v/>
      </c>
    </row>
    <row r="55" spans="1:30" s="17" customFormat="1" ht="15.6" customHeight="1" x14ac:dyDescent="0.3">
      <c r="A55" s="313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5"/>
      <c r="R55" s="316"/>
      <c r="S55" s="317"/>
      <c r="T55" s="318"/>
      <c r="U55" s="323"/>
      <c r="V55" s="324"/>
      <c r="W55" s="324"/>
      <c r="X55" s="325"/>
      <c r="Y55" s="325"/>
      <c r="Z55" s="326"/>
      <c r="AA55" s="57"/>
      <c r="AB55" s="10">
        <v>18</v>
      </c>
      <c r="AC55" s="11">
        <v>1.0016</v>
      </c>
      <c r="AD55" s="36" t="str">
        <f t="shared" si="0"/>
        <v/>
      </c>
    </row>
    <row r="56" spans="1:30" s="17" customFormat="1" ht="15.6" customHeight="1" x14ac:dyDescent="0.25">
      <c r="A56" s="38" t="s">
        <v>60</v>
      </c>
      <c r="B56" s="49" t="s">
        <v>61</v>
      </c>
      <c r="C56" s="1"/>
      <c r="D56" s="1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39"/>
      <c r="R56" s="316"/>
      <c r="S56" s="317"/>
      <c r="T56" s="318"/>
      <c r="U56" s="327"/>
      <c r="V56" s="328"/>
      <c r="W56" s="328"/>
      <c r="X56" s="329"/>
      <c r="Y56" s="329"/>
      <c r="Z56" s="330"/>
      <c r="AB56" s="10">
        <v>19</v>
      </c>
      <c r="AC56" s="11">
        <v>1.0014000000000001</v>
      </c>
      <c r="AD56" s="36" t="str">
        <f t="shared" si="0"/>
        <v/>
      </c>
    </row>
    <row r="57" spans="1:30" s="17" customFormat="1" ht="15.6" customHeight="1" x14ac:dyDescent="0.25">
      <c r="A57" s="331"/>
      <c r="B57" s="332"/>
      <c r="C57" s="332"/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N57" s="332"/>
      <c r="O57" s="332"/>
      <c r="P57" s="332"/>
      <c r="Q57" s="333"/>
      <c r="R57" s="316" t="s">
        <v>62</v>
      </c>
      <c r="S57" s="317"/>
      <c r="T57" s="318"/>
      <c r="U57" s="80"/>
      <c r="V57" s="79"/>
      <c r="W57" s="79"/>
      <c r="X57" s="79"/>
      <c r="Y57" s="79"/>
      <c r="Z57" s="78"/>
      <c r="AB57" s="10">
        <v>20</v>
      </c>
      <c r="AC57" s="11">
        <v>1.0012000000000001</v>
      </c>
      <c r="AD57" s="36" t="str">
        <f t="shared" si="0"/>
        <v/>
      </c>
    </row>
    <row r="58" spans="1:30" s="17" customFormat="1" ht="15.6" customHeight="1" x14ac:dyDescent="0.25">
      <c r="A58" s="331"/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3"/>
      <c r="R58" s="316"/>
      <c r="S58" s="317"/>
      <c r="T58" s="318"/>
      <c r="U58" s="77"/>
      <c r="V58" s="324"/>
      <c r="W58" s="324"/>
      <c r="X58" s="324"/>
      <c r="Y58" s="324"/>
      <c r="Z58" s="76"/>
      <c r="AB58" s="10">
        <v>21</v>
      </c>
      <c r="AC58" s="37">
        <v>1.0009999999999999</v>
      </c>
      <c r="AD58" s="36" t="str">
        <f t="shared" si="0"/>
        <v/>
      </c>
    </row>
    <row r="59" spans="1:30" s="17" customFormat="1" ht="15.6" customHeight="1" x14ac:dyDescent="0.25">
      <c r="A59" s="331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316"/>
      <c r="S59" s="317"/>
      <c r="T59" s="318"/>
      <c r="U59" s="77"/>
      <c r="V59" s="324"/>
      <c r="W59" s="324"/>
      <c r="X59" s="324"/>
      <c r="Y59" s="324"/>
      <c r="Z59" s="76"/>
      <c r="AB59" s="10">
        <v>22</v>
      </c>
      <c r="AC59" s="11">
        <v>1.0006999999999999</v>
      </c>
      <c r="AD59" s="36" t="str">
        <f t="shared" si="0"/>
        <v/>
      </c>
    </row>
    <row r="60" spans="1:30" s="17" customFormat="1" ht="15.6" customHeight="1" x14ac:dyDescent="0.25">
      <c r="A60" s="334"/>
      <c r="B60" s="335"/>
      <c r="C60" s="335"/>
      <c r="D60" s="335"/>
      <c r="E60" s="335"/>
      <c r="F60" s="335"/>
      <c r="G60" s="335"/>
      <c r="H60" s="335"/>
      <c r="I60" s="335"/>
      <c r="J60" s="335"/>
      <c r="K60" s="335"/>
      <c r="L60" s="335"/>
      <c r="M60" s="335"/>
      <c r="N60" s="335"/>
      <c r="O60" s="335"/>
      <c r="P60" s="335"/>
      <c r="Q60" s="336"/>
      <c r="R60" s="337"/>
      <c r="S60" s="338"/>
      <c r="T60" s="339"/>
      <c r="U60" s="75"/>
      <c r="V60" s="74"/>
      <c r="W60" s="74"/>
      <c r="X60" s="74"/>
      <c r="Y60" s="74"/>
      <c r="Z60" s="73"/>
      <c r="AB60" s="10">
        <v>23</v>
      </c>
      <c r="AC60" s="11">
        <v>1.0004999999999999</v>
      </c>
      <c r="AD60" s="36" t="str">
        <f t="shared" si="0"/>
        <v/>
      </c>
    </row>
    <row r="61" spans="1:30" ht="12.75" customHeight="1" x14ac:dyDescent="0.25">
      <c r="AB61" s="10">
        <v>24</v>
      </c>
      <c r="AC61" s="11">
        <v>1.0003</v>
      </c>
      <c r="AD61" s="36" t="str">
        <f t="shared" si="0"/>
        <v/>
      </c>
    </row>
    <row r="62" spans="1:30" ht="12.75" customHeight="1" x14ac:dyDescent="0.25">
      <c r="AB62" s="10">
        <v>25</v>
      </c>
      <c r="AC62" s="37">
        <v>1</v>
      </c>
      <c r="AD62" s="36">
        <f t="shared" si="0"/>
        <v>1</v>
      </c>
    </row>
    <row r="63" spans="1:30" ht="12.75" customHeight="1" x14ac:dyDescent="0.25">
      <c r="AB63" s="10">
        <v>26</v>
      </c>
      <c r="AC63" s="11">
        <v>0.99970000000000003</v>
      </c>
      <c r="AD63" s="36" t="str">
        <f t="shared" si="0"/>
        <v/>
      </c>
    </row>
    <row r="64" spans="1:30" ht="12.75" customHeight="1" x14ac:dyDescent="0.25">
      <c r="AB64" s="10">
        <v>27</v>
      </c>
      <c r="AC64" s="11">
        <v>0.99950000000000006</v>
      </c>
      <c r="AD64" s="36" t="str">
        <f t="shared" si="0"/>
        <v/>
      </c>
    </row>
    <row r="65" spans="28:30" ht="12.75" customHeight="1" x14ac:dyDescent="0.25">
      <c r="AB65" s="10">
        <v>28</v>
      </c>
      <c r="AC65" s="11">
        <v>0.99919999999999998</v>
      </c>
      <c r="AD65" s="36" t="str">
        <f t="shared" si="0"/>
        <v/>
      </c>
    </row>
    <row r="66" spans="28:30" ht="12.75" customHeight="1" x14ac:dyDescent="0.25">
      <c r="AB66" s="10">
        <v>29</v>
      </c>
      <c r="AC66" s="11">
        <v>0.99890000000000001</v>
      </c>
      <c r="AD66" s="36" t="str">
        <f t="shared" si="0"/>
        <v/>
      </c>
    </row>
    <row r="67" spans="28:30" ht="12.75" customHeight="1" x14ac:dyDescent="0.25">
      <c r="AB67" s="14">
        <v>30</v>
      </c>
      <c r="AC67" s="15">
        <v>0.99860000000000004</v>
      </c>
      <c r="AD67" s="40" t="str">
        <f t="shared" si="0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74">
    <mergeCell ref="L6:O6"/>
    <mergeCell ref="P6:T6"/>
    <mergeCell ref="B27:E29"/>
    <mergeCell ref="B18:H18"/>
    <mergeCell ref="B17:H17"/>
    <mergeCell ref="E35:G35"/>
    <mergeCell ref="N35:P35"/>
    <mergeCell ref="A1:F6"/>
    <mergeCell ref="G1:T1"/>
    <mergeCell ref="B11:G11"/>
    <mergeCell ref="S10:Y10"/>
    <mergeCell ref="B35:D35"/>
    <mergeCell ref="N10:R10"/>
    <mergeCell ref="N11:R11"/>
    <mergeCell ref="N12:R12"/>
    <mergeCell ref="H10:M10"/>
    <mergeCell ref="H11:M11"/>
    <mergeCell ref="B32:D34"/>
    <mergeCell ref="B24:E26"/>
    <mergeCell ref="U1:Z6"/>
    <mergeCell ref="G2:T4"/>
    <mergeCell ref="G5:H5"/>
    <mergeCell ref="J5:K5"/>
    <mergeCell ref="L5:O5"/>
    <mergeCell ref="P5:T5"/>
    <mergeCell ref="J6:K6"/>
    <mergeCell ref="K48:M48"/>
    <mergeCell ref="N48:P48"/>
    <mergeCell ref="Q36:S36"/>
    <mergeCell ref="T36:V36"/>
    <mergeCell ref="A7:F7"/>
    <mergeCell ref="G7:Z7"/>
    <mergeCell ref="B10:G10"/>
    <mergeCell ref="H12:M12"/>
    <mergeCell ref="S11:Y11"/>
    <mergeCell ref="B12:G12"/>
    <mergeCell ref="Q32:S34"/>
    <mergeCell ref="B48:D48"/>
    <mergeCell ref="B37:D37"/>
    <mergeCell ref="H37:J37"/>
    <mergeCell ref="K37:M37"/>
    <mergeCell ref="N37:P37"/>
    <mergeCell ref="Q37:S37"/>
    <mergeCell ref="T37:V37"/>
    <mergeCell ref="W37:Y37"/>
    <mergeCell ref="B36:D36"/>
    <mergeCell ref="W39:Y39"/>
    <mergeCell ref="B38:D38"/>
    <mergeCell ref="E38:G38"/>
    <mergeCell ref="H38:J38"/>
    <mergeCell ref="R53:T53"/>
    <mergeCell ref="U52:Z52"/>
    <mergeCell ref="U53:Z53"/>
    <mergeCell ref="S12:Y12"/>
    <mergeCell ref="T32:V34"/>
    <mergeCell ref="W32:Y34"/>
    <mergeCell ref="Q35:S35"/>
    <mergeCell ref="I17:Y17"/>
    <mergeCell ref="I18:Y18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E48:G48"/>
    <mergeCell ref="Q48:S48"/>
    <mergeCell ref="H48:J48"/>
    <mergeCell ref="W36:Y36"/>
    <mergeCell ref="E37:G37"/>
    <mergeCell ref="A57:Q60"/>
    <mergeCell ref="R54:T56"/>
    <mergeCell ref="R57:T60"/>
    <mergeCell ref="H35:J35"/>
    <mergeCell ref="K35:M35"/>
    <mergeCell ref="AD32:AD34"/>
    <mergeCell ref="E32:G34"/>
    <mergeCell ref="H32:J34"/>
    <mergeCell ref="K32:M34"/>
    <mergeCell ref="N32:P34"/>
    <mergeCell ref="V58:Y59"/>
    <mergeCell ref="AB32:AB34"/>
    <mergeCell ref="AC32:AC34"/>
    <mergeCell ref="U54:Z56"/>
    <mergeCell ref="T35:V35"/>
    <mergeCell ref="W35:Y35"/>
    <mergeCell ref="T48:V48"/>
    <mergeCell ref="W48:Y48"/>
    <mergeCell ref="E36:G36"/>
    <mergeCell ref="H36:J36"/>
    <mergeCell ref="K36:M36"/>
    <mergeCell ref="N36:P36"/>
    <mergeCell ref="A54:Q55"/>
    <mergeCell ref="A53:Q53"/>
    <mergeCell ref="K38:M38"/>
    <mergeCell ref="N38:P38"/>
    <mergeCell ref="Q38:S38"/>
    <mergeCell ref="T38:V38"/>
    <mergeCell ref="W38:Y38"/>
    <mergeCell ref="B39:D39"/>
    <mergeCell ref="E39:G39"/>
    <mergeCell ref="H39:J39"/>
    <mergeCell ref="K39:M39"/>
    <mergeCell ref="N39:P39"/>
    <mergeCell ref="Q39:S39"/>
    <mergeCell ref="T39:V39"/>
    <mergeCell ref="W41:Y41"/>
    <mergeCell ref="B40:D40"/>
    <mergeCell ref="E40:G40"/>
    <mergeCell ref="H40:J40"/>
    <mergeCell ref="K40:M40"/>
    <mergeCell ref="N40:P40"/>
    <mergeCell ref="Q40:S40"/>
    <mergeCell ref="T40:V40"/>
    <mergeCell ref="W40:Y40"/>
    <mergeCell ref="B41:D41"/>
    <mergeCell ref="E41:G41"/>
    <mergeCell ref="H41:J41"/>
    <mergeCell ref="K41:M41"/>
    <mergeCell ref="N41:P41"/>
    <mergeCell ref="Q41:S41"/>
    <mergeCell ref="T41:V41"/>
    <mergeCell ref="W43:Y43"/>
    <mergeCell ref="B42:D42"/>
    <mergeCell ref="E42:G42"/>
    <mergeCell ref="H42:J42"/>
    <mergeCell ref="K42:M42"/>
    <mergeCell ref="N42:P42"/>
    <mergeCell ref="Q42:S42"/>
    <mergeCell ref="T42:V42"/>
    <mergeCell ref="W42:Y42"/>
    <mergeCell ref="B43:D43"/>
    <mergeCell ref="E43:G43"/>
    <mergeCell ref="H43:J43"/>
    <mergeCell ref="K43:M43"/>
    <mergeCell ref="N43:P43"/>
    <mergeCell ref="Q43:S43"/>
    <mergeCell ref="T43:V43"/>
    <mergeCell ref="W45:Y45"/>
    <mergeCell ref="B44:D44"/>
    <mergeCell ref="E44:G44"/>
    <mergeCell ref="H44:J44"/>
    <mergeCell ref="K44:M44"/>
    <mergeCell ref="N44:P44"/>
    <mergeCell ref="Q44:S44"/>
    <mergeCell ref="T44:V44"/>
    <mergeCell ref="W44:Y44"/>
    <mergeCell ref="B45:D45"/>
    <mergeCell ref="E45:G45"/>
    <mergeCell ref="H45:J45"/>
    <mergeCell ref="K45:M45"/>
    <mergeCell ref="N45:P45"/>
    <mergeCell ref="Q45:S45"/>
    <mergeCell ref="T45:V45"/>
    <mergeCell ref="W47:Y47"/>
    <mergeCell ref="B46:D46"/>
    <mergeCell ref="E46:G46"/>
    <mergeCell ref="H46:J46"/>
    <mergeCell ref="K46:M46"/>
    <mergeCell ref="N46:P46"/>
    <mergeCell ref="Q46:S46"/>
    <mergeCell ref="T46:V46"/>
    <mergeCell ref="W46:Y46"/>
    <mergeCell ref="B47:D47"/>
    <mergeCell ref="E47:G47"/>
    <mergeCell ref="H47:J47"/>
    <mergeCell ref="K47:M47"/>
    <mergeCell ref="N47:P47"/>
    <mergeCell ref="Q47:S47"/>
    <mergeCell ref="T47:V47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69"/>
  <sheetViews>
    <sheetView topLeftCell="A4" workbookViewId="0">
      <selection activeCell="I18" sqref="I18:Y18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27" width="20" style="1" customWidth="1"/>
    <col min="28" max="28" width="28.109375" style="1" customWidth="1"/>
    <col min="29" max="29" width="22.88671875" style="1" customWidth="1"/>
    <col min="30" max="30" width="29.33203125" style="1" customWidth="1"/>
    <col min="31" max="31" width="11.44140625" style="1"/>
  </cols>
  <sheetData>
    <row r="1" spans="1:32" ht="12.75" customHeight="1" x14ac:dyDescent="0.25">
      <c r="A1" s="377"/>
      <c r="B1" s="380"/>
      <c r="C1" s="380"/>
      <c r="D1" s="380"/>
      <c r="E1" s="380"/>
      <c r="F1" s="383"/>
      <c r="G1" s="415" t="s">
        <v>0</v>
      </c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7"/>
      <c r="U1" s="449" t="s">
        <v>1</v>
      </c>
      <c r="V1" s="450"/>
      <c r="W1" s="450"/>
      <c r="X1" s="450"/>
      <c r="Y1" s="450"/>
      <c r="Z1" s="451"/>
    </row>
    <row r="2" spans="1:32" ht="12.75" customHeight="1" x14ac:dyDescent="0.3">
      <c r="A2" s="378"/>
      <c r="B2" s="381"/>
      <c r="C2" s="381"/>
      <c r="D2" s="381"/>
      <c r="E2" s="381"/>
      <c r="F2" s="384"/>
      <c r="G2" s="418" t="s">
        <v>2</v>
      </c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20"/>
      <c r="U2" s="452"/>
      <c r="V2" s="453"/>
      <c r="W2" s="453"/>
      <c r="X2" s="453"/>
      <c r="Y2" s="453"/>
      <c r="Z2" s="454"/>
      <c r="AA2" s="57"/>
      <c r="AB2" s="57"/>
    </row>
    <row r="3" spans="1:32" ht="12.75" customHeight="1" x14ac:dyDescent="0.3">
      <c r="A3" s="378"/>
      <c r="B3" s="381"/>
      <c r="C3" s="381"/>
      <c r="D3" s="381"/>
      <c r="E3" s="381"/>
      <c r="F3" s="384"/>
      <c r="G3" s="418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20"/>
      <c r="U3" s="452"/>
      <c r="V3" s="453"/>
      <c r="W3" s="453"/>
      <c r="X3" s="453"/>
      <c r="Y3" s="453"/>
      <c r="Z3" s="454"/>
      <c r="AA3" s="57"/>
      <c r="AB3" s="57"/>
    </row>
    <row r="4" spans="1:32" ht="12.75" customHeight="1" x14ac:dyDescent="0.3">
      <c r="A4" s="378"/>
      <c r="B4" s="381"/>
      <c r="C4" s="381"/>
      <c r="D4" s="381"/>
      <c r="E4" s="381"/>
      <c r="F4" s="384"/>
      <c r="G4" s="418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19"/>
      <c r="S4" s="419"/>
      <c r="T4" s="420"/>
      <c r="U4" s="452"/>
      <c r="V4" s="453"/>
      <c r="W4" s="453"/>
      <c r="X4" s="453"/>
      <c r="Y4" s="453"/>
      <c r="Z4" s="454"/>
      <c r="AA4" s="57"/>
      <c r="AB4" s="57"/>
    </row>
    <row r="5" spans="1:32" ht="12.75" customHeight="1" x14ac:dyDescent="0.3">
      <c r="A5" s="378"/>
      <c r="B5" s="381"/>
      <c r="C5" s="381"/>
      <c r="D5" s="381"/>
      <c r="E5" s="381"/>
      <c r="F5" s="384"/>
      <c r="G5" s="421"/>
      <c r="H5" s="422"/>
      <c r="I5" s="2" t="s">
        <v>3</v>
      </c>
      <c r="J5" s="423">
        <v>1</v>
      </c>
      <c r="K5" s="424"/>
      <c r="L5" s="425" t="s">
        <v>4</v>
      </c>
      <c r="M5" s="426"/>
      <c r="N5" s="426"/>
      <c r="O5" s="427"/>
      <c r="P5" s="428" t="s">
        <v>5</v>
      </c>
      <c r="Q5" s="429"/>
      <c r="R5" s="429"/>
      <c r="S5" s="429"/>
      <c r="T5" s="430"/>
      <c r="U5" s="452"/>
      <c r="V5" s="453"/>
      <c r="W5" s="453"/>
      <c r="X5" s="453"/>
      <c r="Y5" s="453"/>
      <c r="Z5" s="454"/>
      <c r="AA5" s="57"/>
      <c r="AB5" s="57"/>
    </row>
    <row r="6" spans="1:32" ht="12.75" customHeight="1" x14ac:dyDescent="0.25">
      <c r="A6" s="379"/>
      <c r="B6" s="382"/>
      <c r="C6" s="382"/>
      <c r="D6" s="382"/>
      <c r="E6" s="382"/>
      <c r="F6" s="385"/>
      <c r="G6" s="3"/>
      <c r="H6" s="4"/>
      <c r="I6" s="4"/>
      <c r="J6" s="389" t="s">
        <v>6</v>
      </c>
      <c r="K6" s="389"/>
      <c r="L6" s="389" t="s">
        <v>7</v>
      </c>
      <c r="M6" s="389"/>
      <c r="N6" s="389"/>
      <c r="O6" s="389"/>
      <c r="P6" s="389" t="s">
        <v>8</v>
      </c>
      <c r="Q6" s="389"/>
      <c r="R6" s="389"/>
      <c r="S6" s="389"/>
      <c r="T6" s="412"/>
      <c r="U6" s="455"/>
      <c r="V6" s="456"/>
      <c r="W6" s="456"/>
      <c r="X6" s="456"/>
      <c r="Y6" s="456"/>
      <c r="Z6" s="457"/>
    </row>
    <row r="7" spans="1:32" ht="36.6" customHeight="1" x14ac:dyDescent="0.25">
      <c r="A7" s="413" t="s">
        <v>9</v>
      </c>
      <c r="B7" s="413"/>
      <c r="C7" s="413"/>
      <c r="D7" s="413"/>
      <c r="E7" s="413"/>
      <c r="F7" s="413"/>
      <c r="G7" s="414" t="s">
        <v>10</v>
      </c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  <c r="Z7" s="414"/>
    </row>
    <row r="8" spans="1:32" ht="15.9" customHeight="1" x14ac:dyDescent="0.3">
      <c r="A8" s="58" t="s">
        <v>11</v>
      </c>
      <c r="B8" s="59" t="s">
        <v>12</v>
      </c>
      <c r="C8" s="60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  <c r="AB8" s="57"/>
      <c r="AF8" s="57" t="s">
        <v>13</v>
      </c>
    </row>
    <row r="9" spans="1:32" ht="8.25" customHeight="1" x14ac:dyDescent="0.3">
      <c r="A9" s="10"/>
      <c r="D9" s="11"/>
      <c r="E9" s="11"/>
      <c r="F9" s="11"/>
      <c r="G9" s="11"/>
      <c r="Z9" s="12"/>
      <c r="AB9" s="57"/>
      <c r="AF9" s="57" t="s">
        <v>14</v>
      </c>
    </row>
    <row r="10" spans="1:32" ht="15.9" customHeight="1" x14ac:dyDescent="0.3">
      <c r="A10" s="10"/>
      <c r="B10" s="409" t="s">
        <v>15</v>
      </c>
      <c r="C10" s="409"/>
      <c r="D10" s="409"/>
      <c r="E10" s="409"/>
      <c r="F10" s="409"/>
      <c r="G10" s="409"/>
      <c r="H10" s="410" t="s">
        <v>13</v>
      </c>
      <c r="I10" s="410"/>
      <c r="J10" s="410"/>
      <c r="K10" s="410"/>
      <c r="L10" s="410"/>
      <c r="M10" s="410"/>
      <c r="N10" s="409" t="s">
        <v>16</v>
      </c>
      <c r="O10" s="409"/>
      <c r="P10" s="409"/>
      <c r="Q10" s="409"/>
      <c r="R10" s="409"/>
      <c r="S10" s="411" t="s">
        <v>17</v>
      </c>
      <c r="T10" s="411"/>
      <c r="U10" s="411"/>
      <c r="V10" s="411"/>
      <c r="W10" s="411"/>
      <c r="X10" s="411"/>
      <c r="Y10" s="411"/>
      <c r="Z10" s="13"/>
      <c r="AB10" s="57"/>
      <c r="AF10" s="57" t="s">
        <v>5</v>
      </c>
    </row>
    <row r="11" spans="1:32" ht="15.9" customHeight="1" x14ac:dyDescent="0.3">
      <c r="A11" s="10"/>
      <c r="B11" s="409" t="s">
        <v>18</v>
      </c>
      <c r="C11" s="409"/>
      <c r="D11" s="409"/>
      <c r="E11" s="409"/>
      <c r="F11" s="409"/>
      <c r="G11" s="409"/>
      <c r="H11" s="410" t="s">
        <v>14</v>
      </c>
      <c r="I11" s="410"/>
      <c r="J11" s="410"/>
      <c r="K11" s="410"/>
      <c r="L11" s="410"/>
      <c r="M11" s="410"/>
      <c r="N11" s="409" t="s">
        <v>19</v>
      </c>
      <c r="O11" s="409"/>
      <c r="P11" s="409"/>
      <c r="Q11" s="409"/>
      <c r="R11" s="409"/>
      <c r="S11" s="411" t="s">
        <v>20</v>
      </c>
      <c r="T11" s="411"/>
      <c r="U11" s="411"/>
      <c r="V11" s="411"/>
      <c r="W11" s="411"/>
      <c r="X11" s="411"/>
      <c r="Y11" s="411"/>
      <c r="Z11" s="13"/>
      <c r="AB11" s="57"/>
      <c r="AF11" s="57" t="s">
        <v>17</v>
      </c>
    </row>
    <row r="12" spans="1:32" ht="15.9" customHeight="1" x14ac:dyDescent="0.3">
      <c r="A12" s="10"/>
      <c r="B12" s="409" t="s">
        <v>21</v>
      </c>
      <c r="C12" s="409"/>
      <c r="D12" s="409"/>
      <c r="E12" s="409"/>
      <c r="F12" s="409"/>
      <c r="G12" s="409"/>
      <c r="H12" s="410" t="s">
        <v>5</v>
      </c>
      <c r="I12" s="410"/>
      <c r="J12" s="410"/>
      <c r="K12" s="410"/>
      <c r="L12" s="410"/>
      <c r="M12" s="410"/>
      <c r="N12" s="409" t="s">
        <v>22</v>
      </c>
      <c r="O12" s="409"/>
      <c r="P12" s="409"/>
      <c r="Q12" s="409"/>
      <c r="R12" s="409"/>
      <c r="S12" s="411" t="s">
        <v>63</v>
      </c>
      <c r="T12" s="411"/>
      <c r="U12" s="411"/>
      <c r="V12" s="411"/>
      <c r="W12" s="411"/>
      <c r="X12" s="411"/>
      <c r="Y12" s="411"/>
      <c r="Z12" s="13"/>
      <c r="AB12" s="57"/>
      <c r="AF12" s="57" t="s">
        <v>20</v>
      </c>
    </row>
    <row r="13" spans="1:32" ht="8.25" customHeight="1" x14ac:dyDescent="0.3">
      <c r="A13" s="14"/>
      <c r="B13" s="65"/>
      <c r="C13" s="65"/>
      <c r="D13" s="66"/>
      <c r="E13" s="66"/>
      <c r="F13" s="66"/>
      <c r="G13" s="66"/>
      <c r="H13" s="65"/>
      <c r="I13" s="65"/>
      <c r="J13" s="65"/>
      <c r="K13" s="65"/>
      <c r="L13" s="65"/>
      <c r="M13" s="65"/>
      <c r="N13" s="67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16"/>
      <c r="AB13" s="57"/>
      <c r="AF13" s="57" t="s">
        <v>23</v>
      </c>
    </row>
    <row r="14" spans="1:32" s="17" customFormat="1" ht="15" customHeight="1" x14ac:dyDescent="0.25">
      <c r="B14" s="18"/>
      <c r="C14" s="18"/>
      <c r="K14" s="19"/>
      <c r="L14" s="18"/>
      <c r="M14" s="20"/>
    </row>
    <row r="15" spans="1:32" s="17" customFormat="1" ht="16.2" customHeight="1" x14ac:dyDescent="0.25">
      <c r="A15" s="58" t="s">
        <v>24</v>
      </c>
      <c r="B15" s="59" t="s">
        <v>25</v>
      </c>
      <c r="C15" s="61"/>
      <c r="D15" s="61"/>
      <c r="E15" s="61"/>
      <c r="F15" s="61"/>
      <c r="G15" s="61"/>
      <c r="H15" s="6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2"/>
    </row>
    <row r="16" spans="1:32" s="17" customFormat="1" ht="13.8" customHeight="1" x14ac:dyDescent="0.25">
      <c r="A16" s="62"/>
      <c r="B16" s="63"/>
      <c r="C16" s="64"/>
      <c r="D16" s="64"/>
      <c r="E16" s="64"/>
      <c r="F16" s="64"/>
      <c r="G16" s="64"/>
      <c r="H16" s="64"/>
      <c r="Z16" s="23"/>
    </row>
    <row r="17" spans="1:32" s="17" customFormat="1" ht="15" customHeight="1" x14ac:dyDescent="0.25">
      <c r="A17" s="62"/>
      <c r="B17" s="407" t="s">
        <v>26</v>
      </c>
      <c r="C17" s="407"/>
      <c r="D17" s="407"/>
      <c r="E17" s="407"/>
      <c r="F17" s="407"/>
      <c r="G17" s="407"/>
      <c r="H17" s="407"/>
      <c r="I17" s="408"/>
      <c r="J17" s="408"/>
      <c r="K17" s="408"/>
      <c r="L17" s="408"/>
      <c r="M17" s="408"/>
      <c r="N17" s="408"/>
      <c r="O17" s="408"/>
      <c r="P17" s="408"/>
      <c r="Q17" s="408"/>
      <c r="R17" s="408"/>
      <c r="S17" s="408"/>
      <c r="T17" s="408"/>
      <c r="U17" s="408"/>
      <c r="V17" s="408"/>
      <c r="W17" s="408"/>
      <c r="X17" s="408"/>
      <c r="Y17" s="408"/>
      <c r="Z17" s="24"/>
    </row>
    <row r="18" spans="1:32" s="17" customFormat="1" ht="15" customHeight="1" x14ac:dyDescent="0.3">
      <c r="A18" s="62"/>
      <c r="B18" s="407" t="s">
        <v>27</v>
      </c>
      <c r="C18" s="407"/>
      <c r="D18" s="407"/>
      <c r="E18" s="407"/>
      <c r="F18" s="407"/>
      <c r="G18" s="407"/>
      <c r="H18" s="407"/>
      <c r="I18" s="447" t="s">
        <v>65</v>
      </c>
      <c r="J18" s="408"/>
      <c r="K18" s="408"/>
      <c r="L18" s="408"/>
      <c r="M18" s="408"/>
      <c r="N18" s="408"/>
      <c r="O18" s="408"/>
      <c r="P18" s="408"/>
      <c r="Q18" s="408"/>
      <c r="R18" s="408"/>
      <c r="S18" s="408"/>
      <c r="T18" s="408"/>
      <c r="U18" s="408"/>
      <c r="V18" s="408"/>
      <c r="W18" s="408"/>
      <c r="X18" s="408"/>
      <c r="Y18" s="408"/>
      <c r="Z18" s="24"/>
    </row>
    <row r="19" spans="1:32" s="17" customFormat="1" ht="13.2" customHeight="1" x14ac:dyDescent="0.25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7"/>
    </row>
    <row r="20" spans="1:32" ht="12.75" customHeight="1" x14ac:dyDescent="0.25">
      <c r="D20" s="11"/>
      <c r="E20" s="11"/>
      <c r="F20" s="11"/>
      <c r="G20" s="11"/>
      <c r="N20" s="28"/>
    </row>
    <row r="21" spans="1:32" ht="15.9" customHeight="1" x14ac:dyDescent="0.25">
      <c r="A21" s="5" t="s">
        <v>28</v>
      </c>
      <c r="B21" s="6" t="s">
        <v>29</v>
      </c>
      <c r="C21" s="29"/>
      <c r="D21" s="30"/>
      <c r="E21" s="30"/>
      <c r="F21" s="30"/>
      <c r="G21" s="30"/>
      <c r="H21" s="29"/>
      <c r="I21" s="29"/>
      <c r="J21" s="29"/>
      <c r="K21" s="29"/>
      <c r="L21" s="2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32" ht="12.75" customHeight="1" x14ac:dyDescent="0.25">
      <c r="A22" s="10"/>
      <c r="Z22" s="12"/>
    </row>
    <row r="23" spans="1:32" ht="12.75" customHeight="1" x14ac:dyDescent="0.25">
      <c r="A23" s="10"/>
      <c r="Z23" s="12"/>
    </row>
    <row r="24" spans="1:32" ht="12.75" customHeight="1" x14ac:dyDescent="0.25">
      <c r="A24" s="10"/>
      <c r="B24" s="390" t="s">
        <v>30</v>
      </c>
      <c r="C24" s="404"/>
      <c r="D24" s="404"/>
      <c r="E24" s="404"/>
      <c r="F24" s="404">
        <v>19</v>
      </c>
      <c r="G24" s="404"/>
      <c r="H24" s="404"/>
      <c r="I24" s="404"/>
      <c r="J24" s="397" t="s">
        <v>31</v>
      </c>
      <c r="K24" s="397"/>
      <c r="L24" s="398"/>
      <c r="O24" s="390" t="s">
        <v>32</v>
      </c>
      <c r="P24" s="391"/>
      <c r="Q24" s="391"/>
      <c r="R24" s="391"/>
      <c r="S24" s="404">
        <v>890</v>
      </c>
      <c r="T24" s="404"/>
      <c r="U24" s="404"/>
      <c r="V24" s="404"/>
      <c r="W24" s="397" t="s">
        <v>33</v>
      </c>
      <c r="X24" s="397"/>
      <c r="Y24" s="398"/>
      <c r="Z24" s="12"/>
      <c r="AA24"/>
    </row>
    <row r="25" spans="1:32" ht="12.75" customHeight="1" x14ac:dyDescent="0.25">
      <c r="A25" s="10"/>
      <c r="B25" s="405"/>
      <c r="C25" s="369"/>
      <c r="D25" s="369"/>
      <c r="E25" s="369"/>
      <c r="F25" s="369"/>
      <c r="G25" s="369"/>
      <c r="H25" s="369"/>
      <c r="I25" s="369"/>
      <c r="J25" s="399"/>
      <c r="K25" s="399"/>
      <c r="L25" s="400"/>
      <c r="O25" s="392"/>
      <c r="P25" s="373"/>
      <c r="Q25" s="373"/>
      <c r="R25" s="373"/>
      <c r="S25" s="369"/>
      <c r="T25" s="369"/>
      <c r="U25" s="369"/>
      <c r="V25" s="369"/>
      <c r="W25" s="399"/>
      <c r="X25" s="399"/>
      <c r="Y25" s="400"/>
      <c r="Z25" s="12"/>
      <c r="AA25"/>
    </row>
    <row r="26" spans="1:32" ht="12.75" customHeight="1" x14ac:dyDescent="0.25">
      <c r="A26" s="10"/>
      <c r="B26" s="406"/>
      <c r="C26" s="370"/>
      <c r="D26" s="370"/>
      <c r="E26" s="370"/>
      <c r="F26" s="370"/>
      <c r="G26" s="370"/>
      <c r="H26" s="370"/>
      <c r="I26" s="370"/>
      <c r="J26" s="401"/>
      <c r="K26" s="401"/>
      <c r="L26" s="402"/>
      <c r="O26" s="393"/>
      <c r="P26" s="375"/>
      <c r="Q26" s="375"/>
      <c r="R26" s="375"/>
      <c r="S26" s="370"/>
      <c r="T26" s="370"/>
      <c r="U26" s="370"/>
      <c r="V26" s="370"/>
      <c r="W26" s="401"/>
      <c r="X26" s="401"/>
      <c r="Y26" s="402"/>
      <c r="Z26" s="12"/>
      <c r="AA26"/>
    </row>
    <row r="27" spans="1:32" ht="12.75" customHeight="1" x14ac:dyDescent="0.25">
      <c r="A27" s="10"/>
      <c r="B27" s="390" t="s">
        <v>34</v>
      </c>
      <c r="C27" s="391"/>
      <c r="D27" s="391"/>
      <c r="E27" s="391"/>
      <c r="F27" s="394">
        <f>IF(F24&lt;&gt;"",(997.1*(SUM(AD35:AD69))),"")</f>
        <v>998.49594000000013</v>
      </c>
      <c r="G27" s="394"/>
      <c r="H27" s="394"/>
      <c r="I27" s="394"/>
      <c r="J27" s="397" t="s">
        <v>35</v>
      </c>
      <c r="K27" s="397"/>
      <c r="L27" s="398"/>
      <c r="O27" s="403" t="s">
        <v>36</v>
      </c>
      <c r="P27" s="404"/>
      <c r="Q27" s="404"/>
      <c r="R27" s="404"/>
      <c r="S27" s="404">
        <v>2480</v>
      </c>
      <c r="T27" s="404"/>
      <c r="U27" s="404"/>
      <c r="V27" s="404"/>
      <c r="W27" s="397" t="s">
        <v>35</v>
      </c>
      <c r="X27" s="397"/>
      <c r="Y27" s="398"/>
      <c r="Z27" s="12"/>
      <c r="AA27"/>
    </row>
    <row r="28" spans="1:32" ht="12.75" customHeight="1" x14ac:dyDescent="0.25">
      <c r="A28" s="10"/>
      <c r="B28" s="392"/>
      <c r="C28" s="373"/>
      <c r="D28" s="373"/>
      <c r="E28" s="373"/>
      <c r="F28" s="395"/>
      <c r="G28" s="395"/>
      <c r="H28" s="395"/>
      <c r="I28" s="395"/>
      <c r="J28" s="399"/>
      <c r="K28" s="399"/>
      <c r="L28" s="400"/>
      <c r="O28" s="405"/>
      <c r="P28" s="369"/>
      <c r="Q28" s="369"/>
      <c r="R28" s="369"/>
      <c r="S28" s="369"/>
      <c r="T28" s="369"/>
      <c r="U28" s="369"/>
      <c r="V28" s="369"/>
      <c r="W28" s="399"/>
      <c r="X28" s="399"/>
      <c r="Y28" s="400"/>
      <c r="Z28" s="12"/>
      <c r="AA28"/>
    </row>
    <row r="29" spans="1:32" ht="12.75" customHeight="1" x14ac:dyDescent="0.25">
      <c r="A29" s="10"/>
      <c r="B29" s="393"/>
      <c r="C29" s="375"/>
      <c r="D29" s="375"/>
      <c r="E29" s="375"/>
      <c r="F29" s="396"/>
      <c r="G29" s="396"/>
      <c r="H29" s="396"/>
      <c r="I29" s="396"/>
      <c r="J29" s="401"/>
      <c r="K29" s="401"/>
      <c r="L29" s="402"/>
      <c r="O29" s="406"/>
      <c r="P29" s="370"/>
      <c r="Q29" s="370"/>
      <c r="R29" s="370"/>
      <c r="S29" s="370"/>
      <c r="T29" s="370"/>
      <c r="U29" s="370"/>
      <c r="V29" s="370"/>
      <c r="W29" s="401"/>
      <c r="X29" s="401"/>
      <c r="Y29" s="402"/>
      <c r="Z29" s="12"/>
    </row>
    <row r="30" spans="1:32" ht="12.75" customHeight="1" x14ac:dyDescent="0.3">
      <c r="A30" s="10"/>
      <c r="B30" s="31"/>
      <c r="C30" s="32"/>
      <c r="D30" s="33"/>
      <c r="I30" s="34"/>
      <c r="J30" s="34"/>
      <c r="P30" s="32"/>
      <c r="Q30" s="32"/>
      <c r="R30" s="32"/>
      <c r="S30" s="32"/>
      <c r="T30" s="32"/>
      <c r="U30" s="32"/>
      <c r="V30" s="32"/>
      <c r="W30" s="33"/>
      <c r="Z30" s="12"/>
      <c r="AA30" s="57"/>
      <c r="AB30" s="57"/>
      <c r="AC30" s="57"/>
      <c r="AD30" s="57"/>
      <c r="AE30" s="57"/>
      <c r="AF30" s="57"/>
    </row>
    <row r="31" spans="1:32" ht="12.75" customHeight="1" x14ac:dyDescent="0.25">
      <c r="A31" s="10"/>
      <c r="B31" s="31"/>
      <c r="C31" s="32"/>
      <c r="D31" s="33"/>
      <c r="E31" s="34"/>
      <c r="F31" s="35"/>
      <c r="G31" s="32"/>
      <c r="H31" s="33"/>
      <c r="I31" s="34"/>
      <c r="J31" s="34"/>
      <c r="Z31" s="12"/>
    </row>
    <row r="32" spans="1:32" ht="19.5" customHeight="1" x14ac:dyDescent="0.25">
      <c r="A32" s="10"/>
      <c r="B32" s="386" t="s">
        <v>37</v>
      </c>
      <c r="C32" s="371"/>
      <c r="D32" s="371"/>
      <c r="E32" s="371" t="s">
        <v>38</v>
      </c>
      <c r="F32" s="371"/>
      <c r="G32" s="371"/>
      <c r="H32" s="371" t="s">
        <v>39</v>
      </c>
      <c r="I32" s="371"/>
      <c r="J32" s="371"/>
      <c r="K32" s="371" t="s">
        <v>40</v>
      </c>
      <c r="L32" s="371"/>
      <c r="M32" s="371"/>
      <c r="N32" s="371" t="s">
        <v>41</v>
      </c>
      <c r="O32" s="371"/>
      <c r="P32" s="371"/>
      <c r="Q32" s="371" t="s">
        <v>42</v>
      </c>
      <c r="R32" s="371"/>
      <c r="S32" s="371"/>
      <c r="T32" s="368" t="s">
        <v>43</v>
      </c>
      <c r="U32" s="368"/>
      <c r="V32" s="368"/>
      <c r="W32" s="371" t="s">
        <v>44</v>
      </c>
      <c r="X32" s="371"/>
      <c r="Y32" s="372"/>
      <c r="Z32" s="12"/>
      <c r="AB32" s="377" t="s">
        <v>45</v>
      </c>
      <c r="AC32" s="380" t="s">
        <v>46</v>
      </c>
      <c r="AD32" s="383" t="s">
        <v>47</v>
      </c>
    </row>
    <row r="33" spans="1:30" ht="19.5" customHeight="1" x14ac:dyDescent="0.25">
      <c r="A33" s="10"/>
      <c r="B33" s="387"/>
      <c r="C33" s="373"/>
      <c r="D33" s="373"/>
      <c r="E33" s="373"/>
      <c r="F33" s="373"/>
      <c r="G33" s="373"/>
      <c r="H33" s="373"/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69"/>
      <c r="U33" s="369"/>
      <c r="V33" s="369"/>
      <c r="W33" s="373"/>
      <c r="X33" s="373"/>
      <c r="Y33" s="374"/>
      <c r="Z33" s="12"/>
      <c r="AB33" s="378"/>
      <c r="AC33" s="381"/>
      <c r="AD33" s="384"/>
    </row>
    <row r="34" spans="1:30" ht="19.5" customHeight="1" x14ac:dyDescent="0.25">
      <c r="A34" s="10"/>
      <c r="B34" s="388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0"/>
      <c r="U34" s="370"/>
      <c r="V34" s="370"/>
      <c r="W34" s="375"/>
      <c r="X34" s="375"/>
      <c r="Y34" s="376"/>
      <c r="Z34" s="12"/>
      <c r="AB34" s="379"/>
      <c r="AC34" s="382"/>
      <c r="AD34" s="385"/>
    </row>
    <row r="35" spans="1:30" ht="34.200000000000003" customHeight="1" x14ac:dyDescent="0.25">
      <c r="A35" s="10"/>
      <c r="B35" s="431" t="s">
        <v>48</v>
      </c>
      <c r="C35" s="432"/>
      <c r="D35" s="432"/>
      <c r="E35" s="357">
        <v>2452.3000000000002</v>
      </c>
      <c r="F35" s="357"/>
      <c r="G35" s="357"/>
      <c r="H35" s="357">
        <v>2488.1999999999998</v>
      </c>
      <c r="I35" s="357"/>
      <c r="J35" s="357"/>
      <c r="K35" s="357">
        <v>1402.4</v>
      </c>
      <c r="L35" s="357"/>
      <c r="M35" s="357"/>
      <c r="N35" s="356">
        <v>2342</v>
      </c>
      <c r="O35" s="356"/>
      <c r="P35" s="356"/>
      <c r="Q35" s="356">
        <v>94.4</v>
      </c>
      <c r="R35" s="356"/>
      <c r="S35" s="356"/>
      <c r="T35" s="356">
        <v>5.6</v>
      </c>
      <c r="U35" s="356"/>
      <c r="V35" s="356"/>
      <c r="W35" s="357">
        <v>12</v>
      </c>
      <c r="X35" s="357"/>
      <c r="Y35" s="358"/>
      <c r="Z35" s="12"/>
      <c r="AB35" s="10">
        <v>10</v>
      </c>
      <c r="AC35" s="11">
        <v>1.0026999999999999</v>
      </c>
      <c r="AD35" s="36" t="str">
        <f>IF($F$24=AB35,AC35,"")</f>
        <v/>
      </c>
    </row>
    <row r="36" spans="1:30" ht="34.200000000000003" customHeight="1" x14ac:dyDescent="0.25">
      <c r="A36" s="10"/>
      <c r="B36" s="431" t="s">
        <v>49</v>
      </c>
      <c r="C36" s="432"/>
      <c r="D36" s="432"/>
      <c r="E36" s="357">
        <v>1565.6</v>
      </c>
      <c r="F36" s="357"/>
      <c r="G36" s="357"/>
      <c r="H36" s="357">
        <v>1597.9</v>
      </c>
      <c r="I36" s="357"/>
      <c r="J36" s="357"/>
      <c r="K36" s="357">
        <v>895.7</v>
      </c>
      <c r="L36" s="357"/>
      <c r="M36" s="357"/>
      <c r="N36" s="356">
        <v>2347.3000000000002</v>
      </c>
      <c r="O36" s="356"/>
      <c r="P36" s="356"/>
      <c r="Q36" s="356">
        <v>94.6</v>
      </c>
      <c r="R36" s="356"/>
      <c r="S36" s="356"/>
      <c r="T36" s="356">
        <v>5.4</v>
      </c>
      <c r="U36" s="356"/>
      <c r="V36" s="356"/>
      <c r="W36" s="357">
        <v>6.5</v>
      </c>
      <c r="X36" s="357"/>
      <c r="Y36" s="358"/>
      <c r="Z36" s="12"/>
      <c r="AB36" s="10">
        <v>10</v>
      </c>
      <c r="AC36" s="11">
        <v>1.0026999999999999</v>
      </c>
      <c r="AD36" s="36" t="str">
        <f>IF($F$24=AB35,AC35,"")</f>
        <v/>
      </c>
    </row>
    <row r="37" spans="1:30" ht="34.200000000000003" customHeight="1" x14ac:dyDescent="0.25">
      <c r="A37" s="10"/>
      <c r="B37" s="431" t="s">
        <v>51</v>
      </c>
      <c r="C37" s="432"/>
      <c r="D37" s="432"/>
      <c r="E37" s="357">
        <v>1976.8</v>
      </c>
      <c r="F37" s="357"/>
      <c r="G37" s="357"/>
      <c r="H37" s="357">
        <v>2021.9</v>
      </c>
      <c r="I37" s="357"/>
      <c r="J37" s="357"/>
      <c r="K37" s="357">
        <v>1102.9000000000001</v>
      </c>
      <c r="L37" s="357"/>
      <c r="M37" s="357"/>
      <c r="N37" s="356">
        <v>2272.9</v>
      </c>
      <c r="O37" s="356"/>
      <c r="P37" s="356"/>
      <c r="Q37" s="356">
        <v>91.6</v>
      </c>
      <c r="R37" s="356"/>
      <c r="S37" s="356"/>
      <c r="T37" s="356">
        <v>8.4</v>
      </c>
      <c r="U37" s="356"/>
      <c r="V37" s="356"/>
      <c r="W37" s="357">
        <v>7</v>
      </c>
      <c r="X37" s="357"/>
      <c r="Y37" s="358"/>
      <c r="Z37" s="12"/>
      <c r="AB37" s="10">
        <v>10</v>
      </c>
      <c r="AC37" s="11">
        <v>1.0026999999999999</v>
      </c>
      <c r="AD37" s="36" t="str">
        <f>IF($F$24=AB35,AC35,"")</f>
        <v/>
      </c>
    </row>
    <row r="38" spans="1:30" ht="34.200000000000003" customHeight="1" x14ac:dyDescent="0.25">
      <c r="A38" s="10"/>
      <c r="B38" s="431" t="s">
        <v>50</v>
      </c>
      <c r="C38" s="432"/>
      <c r="D38" s="432"/>
      <c r="E38" s="357">
        <v>2048.5</v>
      </c>
      <c r="F38" s="357"/>
      <c r="G38" s="357"/>
      <c r="H38" s="357">
        <v>2119.4</v>
      </c>
      <c r="I38" s="357"/>
      <c r="J38" s="357"/>
      <c r="K38" s="357">
        <v>1164.7</v>
      </c>
      <c r="L38" s="357"/>
      <c r="M38" s="357"/>
      <c r="N38" s="356">
        <v>2337.1999999999998</v>
      </c>
      <c r="O38" s="356"/>
      <c r="P38" s="356"/>
      <c r="Q38" s="356">
        <v>94.2</v>
      </c>
      <c r="R38" s="356"/>
      <c r="S38" s="356"/>
      <c r="T38" s="356">
        <v>5.8</v>
      </c>
      <c r="U38" s="356"/>
      <c r="V38" s="356"/>
      <c r="W38" s="357">
        <v>10</v>
      </c>
      <c r="X38" s="357"/>
      <c r="Y38" s="358"/>
      <c r="Z38" s="12"/>
      <c r="AB38" s="10">
        <v>10</v>
      </c>
      <c r="AC38" s="11">
        <v>1.0026999999999999</v>
      </c>
      <c r="AD38" s="36" t="str">
        <f>IF($F$24=AB35,AC35,"")</f>
        <v/>
      </c>
    </row>
    <row r="39" spans="1:30" ht="25.5" customHeight="1" x14ac:dyDescent="0.25">
      <c r="A39" s="10"/>
      <c r="B39" s="359"/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357"/>
      <c r="N39" s="356"/>
      <c r="O39" s="356"/>
      <c r="P39" s="356"/>
      <c r="Q39" s="356"/>
      <c r="R39" s="356"/>
      <c r="S39" s="356"/>
      <c r="T39" s="356"/>
      <c r="U39" s="356"/>
      <c r="V39" s="356"/>
      <c r="W39" s="357"/>
      <c r="X39" s="357"/>
      <c r="Y39" s="358"/>
      <c r="Z39" s="12"/>
      <c r="AB39" s="10"/>
      <c r="AC39" s="11"/>
      <c r="AD39" s="36"/>
    </row>
    <row r="40" spans="1:30" ht="25.5" customHeight="1" x14ac:dyDescent="0.25">
      <c r="A40" s="10"/>
      <c r="B40" s="359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6"/>
      <c r="O40" s="356"/>
      <c r="P40" s="356"/>
      <c r="Q40" s="356"/>
      <c r="R40" s="356"/>
      <c r="S40" s="356"/>
      <c r="T40" s="356"/>
      <c r="U40" s="356"/>
      <c r="V40" s="356"/>
      <c r="W40" s="357"/>
      <c r="X40" s="357"/>
      <c r="Y40" s="358"/>
      <c r="Z40" s="12"/>
      <c r="AB40" s="10"/>
      <c r="AC40" s="11"/>
      <c r="AD40" s="36"/>
    </row>
    <row r="41" spans="1:30" ht="25.5" customHeight="1" x14ac:dyDescent="0.25">
      <c r="A41" s="10"/>
      <c r="B41" s="359"/>
      <c r="C41" s="357"/>
      <c r="D41" s="357"/>
      <c r="E41" s="357"/>
      <c r="F41" s="357"/>
      <c r="G41" s="357"/>
      <c r="H41" s="357"/>
      <c r="I41" s="357"/>
      <c r="J41" s="357"/>
      <c r="K41" s="357"/>
      <c r="L41" s="357"/>
      <c r="M41" s="357"/>
      <c r="N41" s="356"/>
      <c r="O41" s="356"/>
      <c r="P41" s="356"/>
      <c r="Q41" s="356"/>
      <c r="R41" s="356"/>
      <c r="S41" s="356"/>
      <c r="T41" s="356"/>
      <c r="U41" s="356"/>
      <c r="V41" s="356"/>
      <c r="W41" s="357"/>
      <c r="X41" s="357"/>
      <c r="Y41" s="358"/>
      <c r="Z41" s="12"/>
      <c r="AB41" s="10"/>
      <c r="AC41" s="11"/>
      <c r="AD41" s="36"/>
    </row>
    <row r="42" spans="1:30" ht="25.5" customHeight="1" x14ac:dyDescent="0.25">
      <c r="A42" s="10"/>
      <c r="B42" s="359"/>
      <c r="C42" s="357"/>
      <c r="D42" s="357"/>
      <c r="E42" s="357"/>
      <c r="F42" s="357"/>
      <c r="G42" s="357"/>
      <c r="H42" s="357"/>
      <c r="I42" s="357"/>
      <c r="J42" s="357"/>
      <c r="K42" s="357"/>
      <c r="L42" s="357"/>
      <c r="M42" s="357"/>
      <c r="N42" s="356"/>
      <c r="O42" s="356"/>
      <c r="P42" s="356"/>
      <c r="Q42" s="356"/>
      <c r="R42" s="356"/>
      <c r="S42" s="356"/>
      <c r="T42" s="356"/>
      <c r="U42" s="356"/>
      <c r="V42" s="356"/>
      <c r="W42" s="357"/>
      <c r="X42" s="357"/>
      <c r="Y42" s="358"/>
      <c r="Z42" s="12"/>
      <c r="AB42" s="10"/>
      <c r="AC42" s="11"/>
      <c r="AD42" s="36"/>
    </row>
    <row r="43" spans="1:30" ht="25.5" customHeight="1" x14ac:dyDescent="0.25">
      <c r="A43" s="10"/>
      <c r="B43" s="359"/>
      <c r="C43" s="357"/>
      <c r="D43" s="357"/>
      <c r="E43" s="357"/>
      <c r="F43" s="357"/>
      <c r="G43" s="357"/>
      <c r="H43" s="357"/>
      <c r="I43" s="357"/>
      <c r="J43" s="357"/>
      <c r="K43" s="357"/>
      <c r="L43" s="357"/>
      <c r="M43" s="357"/>
      <c r="N43" s="356"/>
      <c r="O43" s="356"/>
      <c r="P43" s="356"/>
      <c r="Q43" s="356"/>
      <c r="R43" s="356"/>
      <c r="S43" s="356"/>
      <c r="T43" s="356"/>
      <c r="U43" s="356"/>
      <c r="V43" s="356"/>
      <c r="W43" s="357"/>
      <c r="X43" s="357"/>
      <c r="Y43" s="358"/>
      <c r="Z43" s="12"/>
      <c r="AB43" s="10"/>
      <c r="AC43" s="11"/>
      <c r="AD43" s="36"/>
    </row>
    <row r="44" spans="1:30" ht="25.5" customHeight="1" x14ac:dyDescent="0.25">
      <c r="A44" s="10"/>
      <c r="B44" s="359"/>
      <c r="C44" s="357"/>
      <c r="D44" s="357"/>
      <c r="E44" s="357"/>
      <c r="F44" s="357"/>
      <c r="G44" s="357"/>
      <c r="H44" s="357"/>
      <c r="I44" s="357"/>
      <c r="J44" s="357"/>
      <c r="K44" s="357"/>
      <c r="L44" s="357"/>
      <c r="M44" s="357"/>
      <c r="N44" s="356"/>
      <c r="O44" s="356"/>
      <c r="P44" s="356"/>
      <c r="Q44" s="356"/>
      <c r="R44" s="356"/>
      <c r="S44" s="356"/>
      <c r="T44" s="356"/>
      <c r="U44" s="356"/>
      <c r="V44" s="356"/>
      <c r="W44" s="357"/>
      <c r="X44" s="357"/>
      <c r="Y44" s="358"/>
      <c r="Z44" s="12"/>
      <c r="AB44" s="10"/>
      <c r="AC44" s="11"/>
      <c r="AD44" s="36"/>
    </row>
    <row r="45" spans="1:30" ht="25.5" customHeight="1" x14ac:dyDescent="0.25">
      <c r="A45" s="10"/>
      <c r="B45" s="359"/>
      <c r="C45" s="357"/>
      <c r="D45" s="357"/>
      <c r="E45" s="357"/>
      <c r="F45" s="357"/>
      <c r="G45" s="357"/>
      <c r="H45" s="357"/>
      <c r="I45" s="357"/>
      <c r="J45" s="357"/>
      <c r="K45" s="357"/>
      <c r="L45" s="357"/>
      <c r="M45" s="357"/>
      <c r="N45" s="356"/>
      <c r="O45" s="356"/>
      <c r="P45" s="356"/>
      <c r="Q45" s="356"/>
      <c r="R45" s="356"/>
      <c r="S45" s="356"/>
      <c r="T45" s="356"/>
      <c r="U45" s="356"/>
      <c r="V45" s="356"/>
      <c r="W45" s="357"/>
      <c r="X45" s="357"/>
      <c r="Y45" s="358"/>
      <c r="Z45" s="12"/>
      <c r="AB45" s="10"/>
      <c r="AC45" s="11"/>
      <c r="AD45" s="36"/>
    </row>
    <row r="46" spans="1:30" ht="25.5" customHeight="1" x14ac:dyDescent="0.25">
      <c r="A46" s="10"/>
      <c r="B46" s="359"/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357"/>
      <c r="N46" s="356"/>
      <c r="O46" s="356"/>
      <c r="P46" s="356"/>
      <c r="Q46" s="356"/>
      <c r="R46" s="356"/>
      <c r="S46" s="356"/>
      <c r="T46" s="356"/>
      <c r="U46" s="356"/>
      <c r="V46" s="356"/>
      <c r="W46" s="357"/>
      <c r="X46" s="357"/>
      <c r="Y46" s="358"/>
      <c r="Z46" s="12"/>
      <c r="AB46" s="10"/>
      <c r="AC46" s="11"/>
      <c r="AD46" s="36"/>
    </row>
    <row r="47" spans="1:30" ht="25.5" customHeight="1" x14ac:dyDescent="0.25">
      <c r="A47" s="10"/>
      <c r="B47" s="359"/>
      <c r="C47" s="357"/>
      <c r="D47" s="357"/>
      <c r="E47" s="357"/>
      <c r="F47" s="357"/>
      <c r="G47" s="357"/>
      <c r="H47" s="357"/>
      <c r="I47" s="357"/>
      <c r="J47" s="357"/>
      <c r="K47" s="357"/>
      <c r="L47" s="357"/>
      <c r="M47" s="357"/>
      <c r="N47" s="356"/>
      <c r="O47" s="356"/>
      <c r="P47" s="356"/>
      <c r="Q47" s="356"/>
      <c r="R47" s="356"/>
      <c r="S47" s="356"/>
      <c r="T47" s="356"/>
      <c r="U47" s="356"/>
      <c r="V47" s="356"/>
      <c r="W47" s="357"/>
      <c r="X47" s="357"/>
      <c r="Y47" s="358"/>
      <c r="Z47" s="12"/>
      <c r="AB47" s="10"/>
      <c r="AC47" s="11"/>
      <c r="AD47" s="36"/>
    </row>
    <row r="48" spans="1:30" ht="25.5" customHeight="1" x14ac:dyDescent="0.25">
      <c r="A48" s="10"/>
      <c r="B48" s="359"/>
      <c r="C48" s="357"/>
      <c r="D48" s="357"/>
      <c r="E48" s="357"/>
      <c r="F48" s="357"/>
      <c r="G48" s="357"/>
      <c r="H48" s="357"/>
      <c r="I48" s="357"/>
      <c r="J48" s="357"/>
      <c r="K48" s="357"/>
      <c r="L48" s="357"/>
      <c r="M48" s="357"/>
      <c r="N48" s="356"/>
      <c r="O48" s="356"/>
      <c r="P48" s="356"/>
      <c r="Q48" s="356"/>
      <c r="R48" s="356"/>
      <c r="S48" s="356"/>
      <c r="T48" s="356"/>
      <c r="U48" s="356"/>
      <c r="V48" s="356"/>
      <c r="W48" s="357"/>
      <c r="X48" s="357"/>
      <c r="Y48" s="358"/>
      <c r="Z48" s="12"/>
      <c r="AB48" s="10"/>
      <c r="AC48" s="11"/>
      <c r="AD48" s="36"/>
    </row>
    <row r="49" spans="1:30" ht="25.5" customHeight="1" x14ac:dyDescent="0.25">
      <c r="A49" s="10"/>
      <c r="B49" s="359"/>
      <c r="C49" s="357"/>
      <c r="D49" s="357"/>
      <c r="E49" s="357"/>
      <c r="F49" s="357"/>
      <c r="G49" s="357"/>
      <c r="H49" s="357"/>
      <c r="I49" s="357"/>
      <c r="J49" s="357"/>
      <c r="K49" s="357"/>
      <c r="L49" s="357"/>
      <c r="M49" s="357"/>
      <c r="N49" s="356"/>
      <c r="O49" s="356"/>
      <c r="P49" s="356"/>
      <c r="Q49" s="356"/>
      <c r="R49" s="356"/>
      <c r="S49" s="356"/>
      <c r="T49" s="356"/>
      <c r="U49" s="356"/>
      <c r="V49" s="356"/>
      <c r="W49" s="357"/>
      <c r="X49" s="357"/>
      <c r="Y49" s="358"/>
      <c r="Z49" s="12"/>
      <c r="AB49" s="10"/>
      <c r="AC49" s="11"/>
      <c r="AD49" s="36"/>
    </row>
    <row r="50" spans="1:30" ht="25.5" customHeight="1" x14ac:dyDescent="0.25">
      <c r="A50" s="10"/>
      <c r="B50" s="442"/>
      <c r="C50" s="443"/>
      <c r="D50" s="443"/>
      <c r="E50" s="443"/>
      <c r="F50" s="443"/>
      <c r="G50" s="443"/>
      <c r="H50" s="443"/>
      <c r="I50" s="443"/>
      <c r="J50" s="443"/>
      <c r="K50" s="443"/>
      <c r="L50" s="443"/>
      <c r="M50" s="443"/>
      <c r="N50" s="443"/>
      <c r="O50" s="443"/>
      <c r="P50" s="443"/>
      <c r="Q50" s="443"/>
      <c r="R50" s="443"/>
      <c r="S50" s="443"/>
      <c r="T50" s="443"/>
      <c r="U50" s="443"/>
      <c r="V50" s="443"/>
      <c r="W50" s="443"/>
      <c r="X50" s="443"/>
      <c r="Y50" s="448"/>
      <c r="Z50" s="12"/>
      <c r="AB50" s="10">
        <v>11</v>
      </c>
      <c r="AC50" s="11">
        <v>1.0025999999999999</v>
      </c>
      <c r="AD50" s="36" t="str">
        <f t="shared" ref="AD50:AD69" si="0">IF($F$24=AB50,AC50,"")</f>
        <v/>
      </c>
    </row>
    <row r="51" spans="1:30" ht="12.75" customHeight="1" x14ac:dyDescent="0.25"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2"/>
      <c r="O51" s="52"/>
      <c r="P51" s="52"/>
      <c r="Q51" s="53"/>
      <c r="R51" s="53"/>
      <c r="S51" s="53"/>
      <c r="T51" s="53"/>
      <c r="U51" s="53"/>
      <c r="V51" s="53"/>
      <c r="W51" s="51"/>
      <c r="X51" s="51"/>
      <c r="Y51" s="51"/>
      <c r="Z51" s="12"/>
      <c r="AB51" s="10">
        <v>12</v>
      </c>
      <c r="AC51" s="11">
        <v>1.0024999999999999</v>
      </c>
      <c r="AD51" s="36" t="str">
        <f t="shared" si="0"/>
        <v/>
      </c>
    </row>
    <row r="52" spans="1:30" ht="15.9" customHeight="1" x14ac:dyDescent="0.25">
      <c r="A52" s="41"/>
      <c r="B52" s="4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6"/>
      <c r="AB52" s="10">
        <v>13</v>
      </c>
      <c r="AC52" s="11">
        <v>1.0023</v>
      </c>
      <c r="AD52" s="36" t="str">
        <f t="shared" si="0"/>
        <v/>
      </c>
    </row>
    <row r="53" spans="1:30" ht="12.75" customHeight="1" x14ac:dyDescent="0.25">
      <c r="A53" s="43"/>
      <c r="B53" s="44"/>
      <c r="AB53" s="10">
        <v>14</v>
      </c>
      <c r="AC53" s="11">
        <v>1.0022</v>
      </c>
      <c r="AD53" s="36" t="str">
        <f t="shared" si="0"/>
        <v/>
      </c>
    </row>
    <row r="54" spans="1:30" s="17" customFormat="1" ht="15.6" customHeight="1" x14ac:dyDescent="0.3">
      <c r="A54" s="45" t="s">
        <v>52</v>
      </c>
      <c r="B54" s="46" t="s">
        <v>53</v>
      </c>
      <c r="C54" s="47"/>
      <c r="D54" s="47"/>
      <c r="E54" s="47"/>
      <c r="F54" s="48"/>
      <c r="G54" s="48"/>
      <c r="H54" s="48"/>
      <c r="I54" s="7"/>
      <c r="J54" s="7"/>
      <c r="K54" s="7"/>
      <c r="L54" s="7"/>
      <c r="M54" s="7"/>
      <c r="N54" s="7"/>
      <c r="O54" s="7"/>
      <c r="P54" s="7"/>
      <c r="Q54" s="48"/>
      <c r="R54" s="7"/>
      <c r="S54" s="7"/>
      <c r="T54" s="7"/>
      <c r="U54" s="342"/>
      <c r="V54" s="342"/>
      <c r="W54" s="342"/>
      <c r="X54" s="343"/>
      <c r="Y54" s="343"/>
      <c r="Z54" s="344"/>
      <c r="AA54" s="57"/>
      <c r="AB54" s="10">
        <v>15</v>
      </c>
      <c r="AC54" s="11">
        <v>1.0021</v>
      </c>
      <c r="AD54" s="36" t="str">
        <f t="shared" si="0"/>
        <v/>
      </c>
    </row>
    <row r="55" spans="1:30" s="17" customFormat="1" ht="25.8" customHeight="1" x14ac:dyDescent="0.3">
      <c r="A55" s="345" t="s">
        <v>54</v>
      </c>
      <c r="B55" s="346"/>
      <c r="C55" s="346"/>
      <c r="D55" s="346"/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6"/>
      <c r="Q55" s="347"/>
      <c r="R55" s="316" t="s">
        <v>55</v>
      </c>
      <c r="S55" s="317"/>
      <c r="T55" s="318"/>
      <c r="U55" s="444" t="s">
        <v>56</v>
      </c>
      <c r="V55" s="445"/>
      <c r="W55" s="445"/>
      <c r="X55" s="445"/>
      <c r="Y55" s="445"/>
      <c r="Z55" s="446"/>
      <c r="AA55" s="57"/>
      <c r="AB55" s="10">
        <v>16</v>
      </c>
      <c r="AC55" s="11">
        <v>1.0019</v>
      </c>
      <c r="AD55" s="36" t="str">
        <f t="shared" si="0"/>
        <v/>
      </c>
    </row>
    <row r="56" spans="1:30" s="17" customFormat="1" ht="15.6" customHeight="1" x14ac:dyDescent="0.3">
      <c r="A56" s="310" t="s">
        <v>57</v>
      </c>
      <c r="B56" s="311"/>
      <c r="C56" s="311"/>
      <c r="D56" s="311"/>
      <c r="E56" s="311"/>
      <c r="F56" s="311"/>
      <c r="G56" s="311"/>
      <c r="H56" s="311"/>
      <c r="I56" s="311"/>
      <c r="J56" s="311"/>
      <c r="K56" s="311"/>
      <c r="L56" s="311"/>
      <c r="M56" s="311"/>
      <c r="N56" s="311"/>
      <c r="O56" s="311"/>
      <c r="P56" s="311"/>
      <c r="Q56" s="312"/>
      <c r="R56" s="316" t="s">
        <v>58</v>
      </c>
      <c r="S56" s="317"/>
      <c r="T56" s="318"/>
      <c r="U56" s="434" t="s">
        <v>59</v>
      </c>
      <c r="V56" s="435"/>
      <c r="W56" s="435"/>
      <c r="X56" s="435"/>
      <c r="Y56" s="435"/>
      <c r="Z56" s="436"/>
      <c r="AA56" s="57"/>
      <c r="AB56" s="10">
        <v>17</v>
      </c>
      <c r="AC56" s="11">
        <v>1.0017</v>
      </c>
      <c r="AD56" s="36" t="str">
        <f t="shared" si="0"/>
        <v/>
      </c>
    </row>
    <row r="57" spans="1:30" s="17" customFormat="1" ht="15.6" customHeight="1" x14ac:dyDescent="0.3">
      <c r="A57" s="313"/>
      <c r="B57" s="314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15"/>
      <c r="R57" s="316"/>
      <c r="S57" s="317"/>
      <c r="T57" s="318"/>
      <c r="U57" s="437"/>
      <c r="V57" s="433"/>
      <c r="W57" s="433"/>
      <c r="X57" s="433"/>
      <c r="Y57" s="433"/>
      <c r="Z57" s="438"/>
      <c r="AA57" s="57"/>
      <c r="AB57" s="10">
        <v>18</v>
      </c>
      <c r="AC57" s="11">
        <v>1.0016</v>
      </c>
      <c r="AD57" s="36" t="str">
        <f t="shared" si="0"/>
        <v/>
      </c>
    </row>
    <row r="58" spans="1:30" s="17" customFormat="1" ht="15.6" customHeight="1" x14ac:dyDescent="0.25">
      <c r="A58" s="38" t="s">
        <v>60</v>
      </c>
      <c r="B58" s="49" t="s">
        <v>61</v>
      </c>
      <c r="C58" s="1"/>
      <c r="D58" s="1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39"/>
      <c r="R58" s="316"/>
      <c r="S58" s="317"/>
      <c r="T58" s="318"/>
      <c r="U58" s="439"/>
      <c r="V58" s="440"/>
      <c r="W58" s="440"/>
      <c r="X58" s="440"/>
      <c r="Y58" s="440"/>
      <c r="Z58" s="441"/>
      <c r="AB58" s="10">
        <v>19</v>
      </c>
      <c r="AC58" s="11">
        <v>1.0014000000000001</v>
      </c>
      <c r="AD58" s="36">
        <f t="shared" si="0"/>
        <v>1.0014000000000001</v>
      </c>
    </row>
    <row r="59" spans="1:30" s="17" customFormat="1" ht="15.6" customHeight="1" x14ac:dyDescent="0.25">
      <c r="A59" s="331" t="s">
        <v>64</v>
      </c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316" t="s">
        <v>62</v>
      </c>
      <c r="S59" s="317"/>
      <c r="T59" s="318"/>
      <c r="U59" s="68"/>
      <c r="V59" s="69"/>
      <c r="W59" s="69"/>
      <c r="X59" s="69"/>
      <c r="Y59" s="69"/>
      <c r="Z59" s="70"/>
      <c r="AB59" s="10">
        <v>20</v>
      </c>
      <c r="AC59" s="11">
        <v>1.0012000000000001</v>
      </c>
      <c r="AD59" s="36" t="str">
        <f t="shared" si="0"/>
        <v/>
      </c>
    </row>
    <row r="60" spans="1:30" s="17" customFormat="1" ht="15.6" customHeight="1" x14ac:dyDescent="0.25">
      <c r="A60" s="331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3"/>
      <c r="R60" s="316"/>
      <c r="S60" s="317"/>
      <c r="T60" s="318"/>
      <c r="U60" s="71"/>
      <c r="V60" s="433"/>
      <c r="W60" s="433"/>
      <c r="X60" s="433"/>
      <c r="Y60" s="433"/>
      <c r="Z60" s="72"/>
      <c r="AB60" s="10">
        <v>21</v>
      </c>
      <c r="AC60" s="37">
        <v>1.0009999999999999</v>
      </c>
      <c r="AD60" s="36" t="str">
        <f t="shared" si="0"/>
        <v/>
      </c>
    </row>
    <row r="61" spans="1:30" s="17" customFormat="1" ht="15.6" customHeight="1" x14ac:dyDescent="0.25">
      <c r="A61" s="331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3"/>
      <c r="R61" s="316"/>
      <c r="S61" s="317"/>
      <c r="T61" s="318"/>
      <c r="U61" s="71"/>
      <c r="V61" s="433"/>
      <c r="W61" s="433"/>
      <c r="X61" s="433"/>
      <c r="Y61" s="433"/>
      <c r="Z61" s="72"/>
      <c r="AB61" s="10">
        <v>22</v>
      </c>
      <c r="AC61" s="11">
        <v>1.0006999999999999</v>
      </c>
      <c r="AD61" s="36" t="str">
        <f t="shared" si="0"/>
        <v/>
      </c>
    </row>
    <row r="62" spans="1:30" s="17" customFormat="1" ht="15.6" customHeight="1" x14ac:dyDescent="0.25">
      <c r="A62" s="334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6"/>
      <c r="R62" s="337"/>
      <c r="S62" s="338"/>
      <c r="T62" s="339"/>
      <c r="U62" s="54"/>
      <c r="V62" s="55"/>
      <c r="W62" s="55"/>
      <c r="X62" s="55"/>
      <c r="Y62" s="55"/>
      <c r="Z62" s="56"/>
      <c r="AB62" s="10">
        <v>23</v>
      </c>
      <c r="AC62" s="11">
        <v>1.0004999999999999</v>
      </c>
      <c r="AD62" s="36" t="str">
        <f t="shared" si="0"/>
        <v/>
      </c>
    </row>
    <row r="63" spans="1:30" ht="12.75" customHeight="1" x14ac:dyDescent="0.25">
      <c r="AB63" s="10">
        <v>24</v>
      </c>
      <c r="AC63" s="11">
        <v>1.0003</v>
      </c>
      <c r="AD63" s="36" t="str">
        <f t="shared" si="0"/>
        <v/>
      </c>
    </row>
    <row r="64" spans="1:30" ht="12.75" customHeight="1" x14ac:dyDescent="0.25">
      <c r="AB64" s="10">
        <v>25</v>
      </c>
      <c r="AC64" s="37">
        <v>1</v>
      </c>
      <c r="AD64" s="36" t="str">
        <f t="shared" si="0"/>
        <v/>
      </c>
    </row>
    <row r="65" spans="28:30" ht="12.75" customHeight="1" x14ac:dyDescent="0.25">
      <c r="AB65" s="10">
        <v>26</v>
      </c>
      <c r="AC65" s="11">
        <v>0.99970000000000003</v>
      </c>
      <c r="AD65" s="36" t="str">
        <f t="shared" si="0"/>
        <v/>
      </c>
    </row>
    <row r="66" spans="28:30" ht="12.75" customHeight="1" x14ac:dyDescent="0.25">
      <c r="AB66" s="10">
        <v>27</v>
      </c>
      <c r="AC66" s="11">
        <v>0.99950000000000006</v>
      </c>
      <c r="AD66" s="36" t="str">
        <f t="shared" si="0"/>
        <v/>
      </c>
    </row>
    <row r="67" spans="28:30" ht="12.75" customHeight="1" x14ac:dyDescent="0.25">
      <c r="AB67" s="10">
        <v>28</v>
      </c>
      <c r="AC67" s="11">
        <v>0.99919999999999998</v>
      </c>
      <c r="AD67" s="36" t="str">
        <f t="shared" si="0"/>
        <v/>
      </c>
    </row>
    <row r="68" spans="28:30" ht="12.75" customHeight="1" x14ac:dyDescent="0.25">
      <c r="AB68" s="10">
        <v>29</v>
      </c>
      <c r="AC68" s="11">
        <v>0.99890000000000001</v>
      </c>
      <c r="AD68" s="36" t="str">
        <f t="shared" si="0"/>
        <v/>
      </c>
    </row>
    <row r="69" spans="28:30" ht="12.75" customHeight="1" x14ac:dyDescent="0.25">
      <c r="AB69" s="14">
        <v>30</v>
      </c>
      <c r="AC69" s="15">
        <v>0.99860000000000004</v>
      </c>
      <c r="AD69" s="40" t="str">
        <f t="shared" si="0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90"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0:G10"/>
    <mergeCell ref="H12:M12"/>
    <mergeCell ref="S11:Y11"/>
    <mergeCell ref="B12:G12"/>
    <mergeCell ref="B11:G11"/>
    <mergeCell ref="S10:Y10"/>
    <mergeCell ref="B35:D35"/>
    <mergeCell ref="N10:R10"/>
    <mergeCell ref="N11:R11"/>
    <mergeCell ref="N12:R12"/>
    <mergeCell ref="H10:M10"/>
    <mergeCell ref="H11:M11"/>
    <mergeCell ref="B32:D34"/>
    <mergeCell ref="B24:E26"/>
    <mergeCell ref="B27:E29"/>
    <mergeCell ref="B18:H18"/>
    <mergeCell ref="B17:H17"/>
    <mergeCell ref="E35:G35"/>
    <mergeCell ref="N35:P35"/>
    <mergeCell ref="S12:Y12"/>
    <mergeCell ref="T32:V34"/>
    <mergeCell ref="W32:Y34"/>
    <mergeCell ref="Q35:S35"/>
    <mergeCell ref="I17:Y17"/>
    <mergeCell ref="I18:Y18"/>
    <mergeCell ref="Q50:S50"/>
    <mergeCell ref="W50:Y50"/>
    <mergeCell ref="H50:J50"/>
    <mergeCell ref="K50:M50"/>
    <mergeCell ref="N50:P50"/>
    <mergeCell ref="Q36:S36"/>
    <mergeCell ref="T36:V36"/>
    <mergeCell ref="N37:P37"/>
    <mergeCell ref="Q37:S37"/>
    <mergeCell ref="T37:V37"/>
    <mergeCell ref="W37:Y37"/>
    <mergeCell ref="Q40:S40"/>
    <mergeCell ref="T40:V40"/>
    <mergeCell ref="W40:Y40"/>
    <mergeCell ref="Q42:S42"/>
    <mergeCell ref="T42:V42"/>
    <mergeCell ref="W42:Y42"/>
    <mergeCell ref="Q44:S44"/>
    <mergeCell ref="T44:V44"/>
    <mergeCell ref="W44:Y44"/>
    <mergeCell ref="Q46:S46"/>
    <mergeCell ref="AD32:AD34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E32:G34"/>
    <mergeCell ref="H32:J34"/>
    <mergeCell ref="K32:M34"/>
    <mergeCell ref="N32:P34"/>
    <mergeCell ref="Q32:S34"/>
    <mergeCell ref="A56:Q57"/>
    <mergeCell ref="A55:Q55"/>
    <mergeCell ref="V60:Y61"/>
    <mergeCell ref="AB32:AB34"/>
    <mergeCell ref="AC32:AC34"/>
    <mergeCell ref="U56:Z58"/>
    <mergeCell ref="T35:V35"/>
    <mergeCell ref="W35:Y35"/>
    <mergeCell ref="B50:D50"/>
    <mergeCell ref="E50:G50"/>
    <mergeCell ref="T50:V50"/>
    <mergeCell ref="A59:Q62"/>
    <mergeCell ref="R56:T58"/>
    <mergeCell ref="R59:T62"/>
    <mergeCell ref="H35:J35"/>
    <mergeCell ref="K35:M35"/>
    <mergeCell ref="R55:T55"/>
    <mergeCell ref="U54:Z54"/>
    <mergeCell ref="U55:Z55"/>
    <mergeCell ref="W36:Y36"/>
    <mergeCell ref="B37:D37"/>
    <mergeCell ref="E37:G37"/>
    <mergeCell ref="H37:J37"/>
    <mergeCell ref="K37:M37"/>
    <mergeCell ref="B36:D36"/>
    <mergeCell ref="E36:G36"/>
    <mergeCell ref="H36:J36"/>
    <mergeCell ref="K36:M36"/>
    <mergeCell ref="N36:P36"/>
    <mergeCell ref="Q38:S38"/>
    <mergeCell ref="T38:V38"/>
    <mergeCell ref="W38:Y38"/>
    <mergeCell ref="B39:D39"/>
    <mergeCell ref="E39:G39"/>
    <mergeCell ref="H39:J39"/>
    <mergeCell ref="K39:M39"/>
    <mergeCell ref="N39:P39"/>
    <mergeCell ref="Q39:S39"/>
    <mergeCell ref="T39:V39"/>
    <mergeCell ref="W39:Y39"/>
    <mergeCell ref="B38:D38"/>
    <mergeCell ref="E38:G38"/>
    <mergeCell ref="H38:J38"/>
    <mergeCell ref="K38:M38"/>
    <mergeCell ref="N38:P38"/>
    <mergeCell ref="B41:D41"/>
    <mergeCell ref="E41:G41"/>
    <mergeCell ref="H41:J41"/>
    <mergeCell ref="K41:M41"/>
    <mergeCell ref="N41:P41"/>
    <mergeCell ref="Q41:S41"/>
    <mergeCell ref="T41:V41"/>
    <mergeCell ref="W41:Y41"/>
    <mergeCell ref="B40:D40"/>
    <mergeCell ref="E40:G40"/>
    <mergeCell ref="H40:J40"/>
    <mergeCell ref="K40:M40"/>
    <mergeCell ref="N40:P40"/>
    <mergeCell ref="B43:D43"/>
    <mergeCell ref="E43:G43"/>
    <mergeCell ref="H43:J43"/>
    <mergeCell ref="K43:M43"/>
    <mergeCell ref="N43:P43"/>
    <mergeCell ref="Q43:S43"/>
    <mergeCell ref="T43:V43"/>
    <mergeCell ref="W43:Y43"/>
    <mergeCell ref="B42:D42"/>
    <mergeCell ref="E42:G42"/>
    <mergeCell ref="H42:J42"/>
    <mergeCell ref="K42:M42"/>
    <mergeCell ref="N42:P42"/>
    <mergeCell ref="B45:D45"/>
    <mergeCell ref="E45:G45"/>
    <mergeCell ref="H45:J45"/>
    <mergeCell ref="K45:M45"/>
    <mergeCell ref="N45:P45"/>
    <mergeCell ref="Q45:S45"/>
    <mergeCell ref="T45:V45"/>
    <mergeCell ref="W45:Y45"/>
    <mergeCell ref="B44:D44"/>
    <mergeCell ref="E44:G44"/>
    <mergeCell ref="H44:J44"/>
    <mergeCell ref="K44:M44"/>
    <mergeCell ref="N44:P44"/>
    <mergeCell ref="T46:V46"/>
    <mergeCell ref="W46:Y46"/>
    <mergeCell ref="B47:D47"/>
    <mergeCell ref="E47:G47"/>
    <mergeCell ref="H47:J47"/>
    <mergeCell ref="K47:M47"/>
    <mergeCell ref="N47:P47"/>
    <mergeCell ref="Q47:S47"/>
    <mergeCell ref="T47:V47"/>
    <mergeCell ref="W47:Y47"/>
    <mergeCell ref="B46:D46"/>
    <mergeCell ref="E46:G46"/>
    <mergeCell ref="H46:J46"/>
    <mergeCell ref="K46:M46"/>
    <mergeCell ref="N46:P46"/>
    <mergeCell ref="Q48:S48"/>
    <mergeCell ref="T48:V48"/>
    <mergeCell ref="W48:Y48"/>
    <mergeCell ref="B49:D49"/>
    <mergeCell ref="E49:G49"/>
    <mergeCell ref="H49:J49"/>
    <mergeCell ref="K49:M49"/>
    <mergeCell ref="N49:P49"/>
    <mergeCell ref="Q49:S49"/>
    <mergeCell ref="T49:V49"/>
    <mergeCell ref="W49:Y49"/>
    <mergeCell ref="B48:D48"/>
    <mergeCell ref="E48:G48"/>
    <mergeCell ref="H48:J48"/>
    <mergeCell ref="K48:M48"/>
    <mergeCell ref="N48:P48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8</vt:i4>
      </vt:variant>
    </vt:vector>
  </HeadingPairs>
  <TitlesOfParts>
    <vt:vector size="16" baseType="lpstr">
      <vt:lpstr>120825 GB Car. Verlaine Tolstoï</vt:lpstr>
      <vt:lpstr>120825 GB Racc. Verlaine 4 aout</vt:lpstr>
      <vt:lpstr>290725 GB Liaison Salengro</vt:lpstr>
      <vt:lpstr>290725 GB Base Salengro 11 Nov</vt:lpstr>
      <vt:lpstr>290725 GB Fond Salengro 11 Nov</vt:lpstr>
      <vt:lpstr>060525 Leclerc Poizat (2)</vt:lpstr>
      <vt:lpstr>060525 11 nov.</vt:lpstr>
      <vt:lpstr>230125</vt:lpstr>
      <vt:lpstr>'060525 11 nov.'!Zone_d_impression</vt:lpstr>
      <vt:lpstr>'060525 Leclerc Poizat (2)'!Zone_d_impression</vt:lpstr>
      <vt:lpstr>'120825 GB Car. Verlaine Tolstoï'!Zone_d_impression</vt:lpstr>
      <vt:lpstr>'120825 GB Racc. Verlaine 4 aout'!Zone_d_impression</vt:lpstr>
      <vt:lpstr>'230125'!Zone_d_impression</vt:lpstr>
      <vt:lpstr>'290725 GB Base Salengro 11 Nov'!Zone_d_impression</vt:lpstr>
      <vt:lpstr>'290725 GB Fond Salengro 11 Nov'!Zone_d_impression</vt:lpstr>
      <vt:lpstr>'290725 GB Liaison Salengro'!Zone_d_impression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2025-08-13T06:27:04Z</cp:lastPrinted>
  <dcterms:created xsi:type="dcterms:W3CDTF">2004-11-13T18:13:05Z</dcterms:created>
  <dcterms:modified xsi:type="dcterms:W3CDTF">2025-08-13T06:27:05Z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