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53C  Vaulx en Velin - Les Noirettes Lot 2\Essais de Laboratoire\Portances\"/>
    </mc:Choice>
  </mc:AlternateContent>
  <xr:revisionPtr revIDLastSave="0" documentId="13_ncr:1_{A8D140F9-DDFC-4532-9BAC-235B8A90F70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30226 AT Parking" sheetId="4" r:id="rId1"/>
    <sheet name="130226 Arase" sheetId="3" r:id="rId2"/>
    <sheet name="030226 AT Parking" sheetId="2" r:id="rId3"/>
    <sheet name="050825 CdF PF" sheetId="1" r:id="rId4"/>
  </sheets>
  <definedNames>
    <definedName name="_xlnm.Print_Area" localSheetId="2">'030226 AT Parking'!$A$1:$Z$69</definedName>
    <definedName name="_xlnm.Print_Area" localSheetId="3">'050825 CdF PF'!$A$1:$Z$69</definedName>
    <definedName name="_xlnm.Print_Area" localSheetId="1">'130226 Arase'!$A$1:$Z$69</definedName>
    <definedName name="_xlnm.Print_Area" localSheetId="0">'230226 AT Parking'!$A$1:$Z$69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4" l="1"/>
  <c r="H56" i="4"/>
  <c r="H57" i="4"/>
  <c r="H55" i="3"/>
  <c r="H56" i="3"/>
  <c r="H57" i="3"/>
  <c r="H55" i="2"/>
  <c r="H56" i="2"/>
  <c r="H57" i="2"/>
  <c r="H57" i="1"/>
  <c r="H56" i="1"/>
  <c r="H55" i="1"/>
</calcChain>
</file>

<file path=xl/sharedStrings.xml><?xml version="1.0" encoding="utf-8"?>
<sst xmlns="http://schemas.openxmlformats.org/spreadsheetml/2006/main" count="220" uniqueCount="73">
  <si>
    <t>COMPTE RENDU D'ESSAIS</t>
  </si>
  <si>
    <t>PORTANCES DES PLATES-FORMES DYNAPLAQUE 
(NF P 94-117-2 d'octobre 2004)</t>
  </si>
  <si>
    <t>PLD N°</t>
  </si>
  <si>
    <t>RA P53C</t>
  </si>
  <si>
    <t>05/08/2025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</si>
  <si>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</si>
  <si>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</si>
  <si>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</si>
  <si>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</si>
  <si>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</si>
  <si>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</si>
  <si>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</si>
  <si>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</si>
  <si>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</si>
  <si>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</si>
  <si>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 calcaire 0/80</t>
  </si>
  <si>
    <t>Date de(s) essai(s) :</t>
  </si>
  <si>
    <t>Météo :</t>
  </si>
  <si>
    <t>Beau</t>
  </si>
  <si>
    <t>Partie de l'ouvrage :</t>
  </si>
  <si>
    <t>PF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</si>
  <si>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</si>
  <si>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</si>
  <si>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</si>
  <si>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</si>
  <si>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</si>
  <si>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</si>
  <si>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</si>
  <si>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</si>
  <si>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</si>
  <si>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</si>
  <si>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</si>
  <si>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</si>
  <si>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</si>
  <si>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</si>
  <si>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</si>
  <si>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</si>
  <si>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</si>
  <si>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</si>
  <si>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</si>
  <si>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</si>
  <si>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</si>
  <si>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</si>
  <si>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</si>
  <si>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</si>
  <si>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</si>
  <si>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</si>
  <si>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</si>
  <si>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</si>
  <si>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</si>
  <si>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</si>
  <si>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</si>
  <si>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Vaulx en Velin
Les Noirettes Lot 2</t>
  </si>
  <si>
    <t>Pour information</t>
  </si>
  <si>
    <t>50.00</t>
  </si>
  <si>
    <t>Oui</t>
  </si>
  <si>
    <t>AT Parking</t>
  </si>
  <si>
    <t>Couvert</t>
  </si>
  <si>
    <t>03/02/2026</t>
  </si>
  <si>
    <t>Grave alluvionnaire</t>
  </si>
  <si>
    <t>Technicien de laboratoire</t>
  </si>
  <si>
    <t>HUGO LEPOLARD</t>
  </si>
  <si>
    <t xml:space="preserve"> 50.00</t>
  </si>
  <si>
    <t>&lt;20</t>
  </si>
  <si>
    <t>13/02/2026</t>
  </si>
  <si>
    <t>Matériau du site</t>
  </si>
  <si>
    <t>Hugo Lepolard</t>
  </si>
  <si>
    <t>Arase</t>
  </si>
  <si>
    <t>AT parking</t>
  </si>
  <si>
    <t>23/02/2026</t>
  </si>
  <si>
    <t>Grave concassée 0/80</t>
  </si>
  <si>
    <t>PL2 N°</t>
  </si>
  <si>
    <t>PORTANCES DES PLATES-FORMES  
( NF P 94-117-1 et NF P 94-117-3 )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</si>
</sst>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u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5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2" fillId="0" borderId="0" xfId="1"/>
    <xf numFmtId="0" fontId="13" fillId="0" borderId="0" xfId="1" applyFont="1" applyAlignment="1" applyProtection="1">
      <alignment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13" fillId="0" borderId="0" xfId="1" applyFont="1" applyProtection="1">
      <protection hidden="1"/>
    </xf>
    <xf numFmtId="0" fontId="14" fillId="0" borderId="4" xfId="1" applyFont="1" applyBorder="1" applyAlignment="1" applyProtection="1">
      <alignment vertical="center"/>
      <protection locked="0"/>
    </xf>
    <xf numFmtId="0" fontId="15" fillId="0" borderId="4" xfId="1" applyFont="1" applyBorder="1" applyAlignment="1" applyProtection="1">
      <alignment vertical="center"/>
      <protection hidden="1"/>
    </xf>
    <xf numFmtId="0" fontId="14" fillId="0" borderId="4" xfId="1" applyFont="1" applyBorder="1" applyAlignment="1" applyProtection="1">
      <alignment vertical="center" wrapText="1"/>
      <protection locked="0"/>
    </xf>
    <xf numFmtId="0" fontId="13" fillId="0" borderId="8" xfId="1" applyFont="1" applyBorder="1" applyAlignment="1" applyProtection="1">
      <alignment vertical="center" wrapText="1"/>
      <protection locked="0"/>
    </xf>
    <xf numFmtId="0" fontId="13" fillId="0" borderId="2" xfId="1" applyFont="1" applyBorder="1" applyAlignment="1" applyProtection="1">
      <alignment vertical="center" wrapText="1"/>
      <protection locked="0"/>
    </xf>
    <xf numFmtId="0" fontId="13" fillId="0" borderId="1" xfId="1" applyFont="1" applyBorder="1" applyAlignment="1" applyProtection="1">
      <alignment vertical="center" wrapText="1"/>
      <protection locked="0"/>
    </xf>
    <xf numFmtId="0" fontId="13" fillId="0" borderId="7" xfId="1" applyFont="1" applyBorder="1" applyAlignment="1" applyProtection="1">
      <alignment vertical="center" wrapText="1"/>
      <protection locked="0"/>
    </xf>
    <xf numFmtId="0" fontId="13" fillId="0" borderId="6" xfId="1" applyFont="1" applyBorder="1" applyAlignment="1" applyProtection="1">
      <alignment vertical="center" wrapText="1"/>
      <protection locked="0"/>
    </xf>
    <xf numFmtId="0" fontId="13" fillId="0" borderId="5" xfId="1" applyFont="1" applyBorder="1" applyAlignment="1" applyProtection="1">
      <alignment vertical="center" wrapText="1"/>
      <protection locked="0"/>
    </xf>
    <xf numFmtId="0" fontId="13" fillId="0" borderId="4" xfId="1" applyFont="1" applyBorder="1" applyAlignment="1" applyProtection="1">
      <alignment vertical="center" wrapText="1"/>
      <protection locked="0"/>
    </xf>
    <xf numFmtId="0" fontId="13" fillId="0" borderId="3" xfId="1" applyFont="1" applyBorder="1" applyAlignment="1" applyProtection="1">
      <alignment vertical="center" wrapText="1"/>
      <protection locked="0"/>
    </xf>
    <xf numFmtId="0" fontId="16" fillId="0" borderId="7" xfId="1" applyFont="1" applyBorder="1" applyAlignment="1" applyProtection="1">
      <alignment vertical="center"/>
      <protection hidden="1"/>
    </xf>
    <xf numFmtId="0" fontId="16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3" fillId="0" borderId="10" xfId="1" applyFont="1" applyBorder="1" applyAlignment="1" applyProtection="1">
      <alignment horizontal="center" vertical="center" wrapText="1"/>
      <protection hidden="1"/>
    </xf>
    <xf numFmtId="0" fontId="13" fillId="0" borderId="9" xfId="1" applyFont="1" applyBorder="1" applyAlignment="1" applyProtection="1">
      <alignment horizontal="center" vertical="center" wrapText="1"/>
      <protection hidden="1"/>
    </xf>
    <xf numFmtId="0" fontId="15" fillId="0" borderId="9" xfId="1" applyFont="1" applyBorder="1" applyAlignment="1" applyProtection="1">
      <alignment horizontal="center" vertical="center" wrapText="1"/>
      <protection hidden="1"/>
    </xf>
    <xf numFmtId="0" fontId="15" fillId="0" borderId="4" xfId="1" applyFont="1" applyBorder="1" applyAlignment="1" applyProtection="1">
      <alignment horizontal="center" vertical="center" wrapText="1"/>
      <protection hidden="1"/>
    </xf>
    <xf numFmtId="0" fontId="13" fillId="0" borderId="4" xfId="1" applyFont="1" applyBorder="1" applyAlignment="1" applyProtection="1">
      <alignment vertical="center"/>
      <protection hidden="1"/>
    </xf>
    <xf numFmtId="0" fontId="13" fillId="0" borderId="13" xfId="1" applyFont="1" applyBorder="1" applyAlignment="1" applyProtection="1">
      <alignment vertical="center"/>
      <protection hidden="1"/>
    </xf>
    <xf numFmtId="0" fontId="19" fillId="0" borderId="13" xfId="1" applyFont="1" applyBorder="1" applyAlignment="1" applyProtection="1">
      <alignment vertical="center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18" fillId="0" borderId="3" xfId="1" applyFont="1" applyBorder="1" applyAlignment="1" applyProtection="1">
      <alignment vertical="center"/>
      <protection hidden="1"/>
    </xf>
    <xf numFmtId="0" fontId="20" fillId="0" borderId="0" xfId="1" applyFont="1" applyAlignment="1" applyProtection="1">
      <alignment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13" fillId="0" borderId="8" xfId="1" applyFont="1" applyBorder="1" applyAlignment="1" applyProtection="1">
      <alignment vertical="center"/>
      <protection hidden="1"/>
    </xf>
    <xf numFmtId="0" fontId="13" fillId="0" borderId="2" xfId="1" applyFont="1" applyBorder="1" applyAlignment="1" applyProtection="1">
      <alignment vertical="center"/>
      <protection hidden="1"/>
    </xf>
    <xf numFmtId="0" fontId="20" fillId="0" borderId="1" xfId="1" applyFont="1" applyBorder="1" applyAlignment="1" applyProtection="1">
      <alignment vertical="center"/>
      <protection hidden="1"/>
    </xf>
    <xf numFmtId="0" fontId="20" fillId="0" borderId="1" xfId="1" applyFont="1" applyBorder="1" applyAlignment="1" applyProtection="1">
      <alignment horizontal="center" vertical="center"/>
      <protection hidden="1"/>
    </xf>
    <xf numFmtId="0" fontId="13" fillId="0" borderId="7" xfId="1" applyFont="1" applyBorder="1" applyAlignment="1" applyProtection="1">
      <alignment vertical="center"/>
      <protection hidden="1"/>
    </xf>
    <xf numFmtId="0" fontId="13" fillId="0" borderId="6" xfId="1" applyFont="1" applyBorder="1" applyAlignment="1" applyProtection="1">
      <alignment horizontal="center" vertical="center"/>
      <protection hidden="1"/>
    </xf>
    <xf numFmtId="0" fontId="21" fillId="0" borderId="12" xfId="1" applyFont="1" applyBorder="1" applyAlignment="1">
      <alignment horizontal="center"/>
    </xf>
    <xf numFmtId="0" fontId="14" fillId="0" borderId="10" xfId="1" applyFont="1" applyBorder="1" applyAlignment="1" applyProtection="1">
      <alignment horizontal="center"/>
      <protection locked="0"/>
    </xf>
    <xf numFmtId="0" fontId="14" fillId="0" borderId="9" xfId="1" applyFont="1" applyBorder="1" applyAlignment="1" applyProtection="1">
      <alignment horizontal="center"/>
      <protection locked="0"/>
    </xf>
    <xf numFmtId="0" fontId="14" fillId="0" borderId="14" xfId="1" applyFont="1" applyBorder="1" applyAlignment="1" applyProtection="1">
      <alignment horizontal="center"/>
      <protection locked="0"/>
    </xf>
    <xf numFmtId="0" fontId="14" fillId="0" borderId="10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164" fontId="14" fillId="0" borderId="14" xfId="1" applyNumberFormat="1" applyFont="1" applyBorder="1" applyAlignment="1">
      <alignment horizontal="center" vertical="center"/>
    </xf>
    <xf numFmtId="0" fontId="21" fillId="0" borderId="15" xfId="1" applyFont="1" applyBorder="1" applyAlignment="1">
      <alignment horizontal="center"/>
    </xf>
    <xf numFmtId="0" fontId="21" fillId="0" borderId="11" xfId="1" applyFont="1" applyBorder="1" applyAlignment="1">
      <alignment horizontal="center"/>
    </xf>
    <xf numFmtId="0" fontId="14" fillId="0" borderId="4" xfId="1" applyFont="1" applyBorder="1"/>
    <xf numFmtId="0" fontId="13" fillId="0" borderId="6" xfId="1" applyFont="1" applyBorder="1" applyAlignment="1" applyProtection="1">
      <alignment vertical="center"/>
      <protection hidden="1"/>
    </xf>
    <xf numFmtId="0" fontId="13" fillId="0" borderId="5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vertical="center"/>
      <protection hidden="1"/>
    </xf>
    <xf numFmtId="0" fontId="18" fillId="0" borderId="3" xfId="1" applyFont="1" applyBorder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left" vertical="center"/>
      <protection hidden="1"/>
    </xf>
    <xf numFmtId="0" fontId="13" fillId="0" borderId="8" xfId="1" applyFont="1" applyBorder="1" applyProtection="1">
      <protection hidden="1"/>
    </xf>
    <xf numFmtId="0" fontId="13" fillId="0" borderId="2" xfId="1" applyFont="1" applyBorder="1" applyProtection="1">
      <protection hidden="1"/>
    </xf>
    <xf numFmtId="0" fontId="13" fillId="0" borderId="1" xfId="1" applyFont="1" applyBorder="1" applyProtection="1">
      <protection hidden="1"/>
    </xf>
    <xf numFmtId="0" fontId="16" fillId="0" borderId="7" xfId="1" applyFont="1" applyBorder="1" applyAlignment="1" applyProtection="1">
      <alignment horizontal="left"/>
      <protection hidden="1"/>
    </xf>
    <xf numFmtId="0" fontId="14" fillId="0" borderId="0" xfId="1" applyFont="1" applyAlignment="1" applyProtection="1">
      <alignment horizontal="left"/>
      <protection locked="0"/>
    </xf>
    <xf numFmtId="0" fontId="13" fillId="0" borderId="6" xfId="1" applyFont="1" applyBorder="1" applyProtection="1">
      <protection hidden="1"/>
    </xf>
    <xf numFmtId="0" fontId="13" fillId="0" borderId="7" xfId="1" applyFont="1" applyBorder="1" applyProtection="1">
      <protection hidden="1"/>
    </xf>
    <xf numFmtId="0" fontId="18" fillId="0" borderId="0" xfId="1" applyFont="1" applyProtection="1">
      <protection hidden="1"/>
    </xf>
    <xf numFmtId="0" fontId="13" fillId="0" borderId="5" xfId="1" applyFont="1" applyBorder="1" applyProtection="1">
      <protection hidden="1"/>
    </xf>
    <xf numFmtId="0" fontId="13" fillId="0" borderId="4" xfId="1" applyFont="1" applyBorder="1" applyProtection="1">
      <protection hidden="1"/>
    </xf>
    <xf numFmtId="0" fontId="17" fillId="0" borderId="4" xfId="1" applyFont="1" applyBorder="1" applyProtection="1">
      <protection hidden="1"/>
    </xf>
    <xf numFmtId="14" fontId="21" fillId="0" borderId="0" xfId="1" applyNumberFormat="1" applyFont="1" applyAlignment="1" applyProtection="1">
      <alignment horizontal="center"/>
      <protection hidden="1"/>
    </xf>
    <xf numFmtId="0" fontId="15" fillId="0" borderId="0" xfId="1" applyFont="1" applyAlignment="1" applyProtection="1">
      <alignment horizontal="right"/>
      <protection hidden="1"/>
    </xf>
    <xf numFmtId="0" fontId="17" fillId="0" borderId="0" xfId="1" applyFont="1" applyAlignment="1" applyProtection="1">
      <alignment horizontal="right"/>
      <protection hidden="1"/>
    </xf>
    <xf numFmtId="0" fontId="13" fillId="0" borderId="2" xfId="1" applyFont="1" applyBorder="1" applyAlignment="1" applyProtection="1">
      <alignment horizontal="left" vertical="center"/>
      <protection hidden="1"/>
    </xf>
    <xf numFmtId="0" fontId="13" fillId="0" borderId="2" xfId="1" applyFont="1" applyBorder="1" applyAlignment="1" applyProtection="1">
      <alignment horizontal="center" vertical="center"/>
      <protection hidden="1"/>
    </xf>
    <xf numFmtId="0" fontId="13" fillId="0" borderId="1" xfId="1" applyFont="1" applyBorder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horizontal="left" vertical="center"/>
      <protection hidden="1"/>
    </xf>
    <xf numFmtId="0" fontId="13" fillId="0" borderId="4" xfId="1" applyFont="1" applyBorder="1" applyAlignment="1" applyProtection="1">
      <alignment horizontal="center" vertical="center"/>
      <protection hidden="1"/>
    </xf>
    <xf numFmtId="0" fontId="13" fillId="0" borderId="1" xfId="1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164" fontId="7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37" xfId="0" applyFont="1" applyBorder="1" applyAlignment="1" applyProtection="1">
      <alignment horizontal="center"/>
      <protection locked="0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40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164" fontId="7" fillId="0" borderId="40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44" xfId="0" applyFont="1" applyBorder="1" applyAlignment="1" applyProtection="1">
      <alignment horizontal="center"/>
      <protection locked="0"/>
    </xf>
    <xf numFmtId="0" fontId="14" fillId="0" borderId="9" xfId="1" applyFont="1" applyBorder="1"/>
    <xf numFmtId="0" fontId="14" fillId="0" borderId="10" xfId="1" applyFont="1" applyBorder="1"/>
    <xf numFmtId="0" fontId="7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164" fontId="7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/>
      <protection locked="0"/>
    </xf>
    <xf numFmtId="164" fontId="7" fillId="0" borderId="30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0" fontId="7" fillId="0" borderId="3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4" fillId="0" borderId="14" xfId="1" applyFont="1" applyBorder="1" applyAlignment="1" applyProtection="1">
      <alignment horizontal="center"/>
      <protection locked="0"/>
    </xf>
    <xf numFmtId="0" fontId="14" fillId="0" borderId="9" xfId="1" applyFont="1" applyBorder="1" applyAlignment="1" applyProtection="1">
      <alignment horizontal="center"/>
      <protection locked="0"/>
    </xf>
    <xf numFmtId="0" fontId="14" fillId="0" borderId="10" xfId="1" applyFont="1" applyBorder="1" applyAlignment="1" applyProtection="1">
      <alignment horizontal="center"/>
      <protection locked="0"/>
    </xf>
    <xf numFmtId="164" fontId="14" fillId="0" borderId="14" xfId="1" applyNumberFormat="1" applyFont="1" applyBorder="1" applyAlignment="1">
      <alignment horizontal="center" vertical="center"/>
    </xf>
    <xf numFmtId="0" fontId="14" fillId="0" borderId="9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/>
      <protection locked="0"/>
    </xf>
    <xf numFmtId="0" fontId="21" fillId="0" borderId="1" xfId="1" applyFont="1" applyBorder="1" applyAlignment="1">
      <alignment horizontal="center" vertical="center"/>
    </xf>
    <xf numFmtId="0" fontId="14" fillId="0" borderId="2" xfId="1" applyFont="1" applyBorder="1"/>
    <xf numFmtId="0" fontId="14" fillId="0" borderId="8" xfId="1" applyFont="1" applyBorder="1"/>
    <xf numFmtId="0" fontId="21" fillId="0" borderId="3" xfId="1" applyFont="1" applyBorder="1" applyAlignment="1">
      <alignment horizontal="center" vertical="center"/>
    </xf>
    <xf numFmtId="0" fontId="14" fillId="0" borderId="4" xfId="1" applyFont="1" applyBorder="1"/>
    <xf numFmtId="0" fontId="14" fillId="0" borderId="5" xfId="1" applyFont="1" applyBorder="1"/>
    <xf numFmtId="0" fontId="14" fillId="0" borderId="0" xfId="1" applyFont="1" applyAlignment="1" applyProtection="1">
      <alignment horizontal="left"/>
      <protection hidden="1"/>
    </xf>
    <xf numFmtId="0" fontId="14" fillId="0" borderId="15" xfId="1" applyFont="1" applyBorder="1" applyAlignment="1" applyProtection="1">
      <alignment horizontal="center" vertical="center"/>
      <protection hidden="1"/>
    </xf>
    <xf numFmtId="0" fontId="14" fillId="0" borderId="16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/>
    </xf>
    <xf numFmtId="0" fontId="14" fillId="0" borderId="14" xfId="1" applyFont="1" applyBorder="1" applyAlignment="1" applyProtection="1">
      <alignment horizontal="center" vertical="center" wrapText="1"/>
      <protection locked="0"/>
    </xf>
    <xf numFmtId="0" fontId="14" fillId="0" borderId="9" xfId="1" applyFont="1" applyBorder="1" applyAlignment="1" applyProtection="1">
      <alignment horizontal="center" vertical="center" wrapText="1"/>
      <protection locked="0"/>
    </xf>
    <xf numFmtId="0" fontId="13" fillId="0" borderId="9" xfId="1" applyFont="1" applyBorder="1" applyAlignment="1" applyProtection="1">
      <alignment horizontal="center" vertical="center" wrapText="1"/>
      <protection locked="0"/>
    </xf>
    <xf numFmtId="0" fontId="13" fillId="0" borderId="10" xfId="1" applyFont="1" applyBorder="1" applyAlignment="1" applyProtection="1">
      <alignment horizontal="center" vertical="center" wrapText="1"/>
      <protection locked="0"/>
    </xf>
    <xf numFmtId="0" fontId="14" fillId="0" borderId="3" xfId="1" applyFont="1" applyBorder="1" applyAlignment="1" applyProtection="1">
      <alignment horizontal="center" vertical="center" wrapText="1"/>
      <protection locked="0"/>
    </xf>
    <xf numFmtId="0" fontId="14" fillId="0" borderId="4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4" fillId="0" borderId="6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7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3" fillId="0" borderId="8" xfId="1" applyFont="1" applyBorder="1" applyAlignment="1" applyProtection="1">
      <alignment horizontal="center" vertical="center" wrapText="1"/>
      <protection locked="0"/>
    </xf>
    <xf numFmtId="164" fontId="21" fillId="0" borderId="31" xfId="1" applyNumberFormat="1" applyFont="1" applyBorder="1" applyAlignment="1">
      <alignment horizontal="center" vertical="center"/>
    </xf>
    <xf numFmtId="0" fontId="14" fillId="0" borderId="20" xfId="1" applyFont="1" applyBorder="1"/>
    <xf numFmtId="0" fontId="14" fillId="0" borderId="21" xfId="1" applyFont="1" applyBorder="1"/>
    <xf numFmtId="164" fontId="21" fillId="0" borderId="32" xfId="1" applyNumberFormat="1" applyFont="1" applyBorder="1" applyAlignment="1">
      <alignment horizontal="center" vertical="top"/>
    </xf>
    <xf numFmtId="0" fontId="14" fillId="0" borderId="23" xfId="1" applyFont="1" applyBorder="1" applyAlignment="1">
      <alignment vertical="top"/>
    </xf>
    <xf numFmtId="0" fontId="14" fillId="0" borderId="24" xfId="1" applyFont="1" applyBorder="1" applyAlignment="1">
      <alignment vertical="top"/>
    </xf>
    <xf numFmtId="164" fontId="21" fillId="0" borderId="14" xfId="1" applyNumberFormat="1" applyFont="1" applyBorder="1" applyAlignment="1">
      <alignment horizontal="center" vertical="center"/>
    </xf>
    <xf numFmtId="0" fontId="14" fillId="0" borderId="9" xfId="1" applyFont="1" applyBorder="1"/>
    <xf numFmtId="0" fontId="14" fillId="0" borderId="10" xfId="1" applyFont="1" applyBorder="1"/>
    <xf numFmtId="0" fontId="14" fillId="0" borderId="25" xfId="1" applyFont="1" applyBorder="1" applyAlignment="1" applyProtection="1">
      <alignment horizontal="center" vertical="center" wrapText="1"/>
      <protection locked="0"/>
    </xf>
    <xf numFmtId="0" fontId="14" fillId="0" borderId="26" xfId="1" applyFont="1" applyBorder="1" applyAlignment="1" applyProtection="1">
      <alignment horizontal="center" vertical="center" wrapText="1"/>
      <protection locked="0"/>
    </xf>
    <xf numFmtId="0" fontId="14" fillId="0" borderId="27" xfId="1" applyFont="1" applyBorder="1" applyAlignment="1" applyProtection="1">
      <alignment horizontal="center" vertical="center" wrapText="1"/>
      <protection locked="0"/>
    </xf>
    <xf numFmtId="0" fontId="14" fillId="0" borderId="17" xfId="1" applyFont="1" applyBorder="1" applyAlignment="1" applyProtection="1">
      <alignment horizontal="center" vertical="center" wrapText="1"/>
      <protection locked="0"/>
    </xf>
    <xf numFmtId="0" fontId="14" fillId="0" borderId="28" xfId="1" applyFont="1" applyBorder="1" applyAlignment="1" applyProtection="1">
      <alignment horizontal="center" vertical="center" wrapText="1"/>
      <protection locked="0"/>
    </xf>
    <xf numFmtId="0" fontId="14" fillId="0" borderId="29" xfId="1" applyFont="1" applyBorder="1" applyAlignment="1" applyProtection="1">
      <alignment horizontal="center" vertical="center"/>
      <protection locked="0"/>
    </xf>
    <xf numFmtId="0" fontId="14" fillId="0" borderId="25" xfId="1" applyFont="1" applyBorder="1" applyAlignment="1" applyProtection="1">
      <alignment horizontal="center" vertical="center"/>
      <protection locked="0"/>
    </xf>
    <xf numFmtId="0" fontId="14" fillId="0" borderId="6" xfId="1" applyFont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30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14" fontId="14" fillId="0" borderId="0" xfId="1" applyNumberFormat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4" fillId="0" borderId="6" xfId="1" applyFont="1" applyBorder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4" fillId="0" borderId="7" xfId="1" applyFont="1" applyBorder="1" applyAlignment="1" applyProtection="1">
      <alignment horizontal="left" vertical="center" wrapText="1"/>
      <protection locked="0"/>
    </xf>
    <xf numFmtId="0" fontId="14" fillId="0" borderId="1" xfId="1" applyFont="1" applyBorder="1" applyAlignment="1" applyProtection="1">
      <alignment horizontal="left" vertical="center" wrapText="1"/>
      <protection locked="0"/>
    </xf>
    <xf numFmtId="0" fontId="14" fillId="0" borderId="2" xfId="1" applyFont="1" applyBorder="1" applyAlignment="1" applyProtection="1">
      <alignment horizontal="left" vertical="center" wrapText="1"/>
      <protection locked="0"/>
    </xf>
    <xf numFmtId="0" fontId="14" fillId="0" borderId="8" xfId="1" applyFont="1" applyBorder="1" applyAlignment="1" applyProtection="1">
      <alignment horizontal="left" vertical="center" wrapText="1"/>
      <protection locked="0"/>
    </xf>
    <xf numFmtId="0" fontId="15" fillId="0" borderId="6" xfId="1" applyFont="1" applyBorder="1" applyAlignment="1" applyProtection="1">
      <alignment horizontal="center" vertical="center"/>
      <protection hidden="1"/>
    </xf>
    <xf numFmtId="0" fontId="15" fillId="0" borderId="0" xfId="1" applyFont="1" applyAlignment="1" applyProtection="1">
      <alignment horizontal="center" vertical="center"/>
      <protection hidden="1"/>
    </xf>
    <xf numFmtId="0" fontId="15" fillId="0" borderId="7" xfId="1" applyFont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hidden="1"/>
    </xf>
    <xf numFmtId="0" fontId="15" fillId="0" borderId="2" xfId="1" applyFont="1" applyBorder="1" applyAlignment="1" applyProtection="1">
      <alignment horizontal="center" vertical="center"/>
      <protection hidden="1"/>
    </xf>
    <xf numFmtId="0" fontId="15" fillId="0" borderId="8" xfId="1" applyFont="1" applyBorder="1" applyAlignment="1" applyProtection="1">
      <alignment horizontal="center" vertical="center"/>
      <protection hidden="1"/>
    </xf>
    <xf numFmtId="0" fontId="18" fillId="0" borderId="33" xfId="1" applyFont="1" applyBorder="1" applyAlignment="1" applyProtection="1">
      <alignment horizontal="center" vertical="center"/>
      <protection hidden="1"/>
    </xf>
    <xf numFmtId="0" fontId="18" fillId="0" borderId="34" xfId="1" applyFont="1" applyBorder="1" applyAlignment="1" applyProtection="1">
      <alignment horizontal="center" vertical="center"/>
      <protection hidden="1"/>
    </xf>
    <xf numFmtId="0" fontId="18" fillId="0" borderId="35" xfId="1" applyFont="1" applyBorder="1" applyAlignment="1" applyProtection="1">
      <alignment horizontal="center" vertical="center"/>
      <protection hidden="1"/>
    </xf>
    <xf numFmtId="0" fontId="18" fillId="0" borderId="6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7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8" xfId="1" applyFont="1" applyBorder="1" applyAlignment="1" applyProtection="1">
      <alignment horizontal="center" vertical="center"/>
      <protection hidden="1"/>
    </xf>
    <xf numFmtId="0" fontId="14" fillId="0" borderId="31" xfId="1" applyFont="1" applyBorder="1" applyAlignment="1" applyProtection="1">
      <alignment horizontal="center"/>
      <protection locked="0"/>
    </xf>
    <xf numFmtId="0" fontId="14" fillId="0" borderId="20" xfId="1" applyFont="1" applyBorder="1" applyAlignment="1" applyProtection="1">
      <alignment horizontal="center"/>
      <protection locked="0"/>
    </xf>
    <xf numFmtId="0" fontId="14" fillId="0" borderId="21" xfId="1" applyFont="1" applyBorder="1" applyAlignment="1" applyProtection="1">
      <alignment horizontal="center"/>
      <protection locked="0"/>
    </xf>
    <xf numFmtId="0" fontId="21" fillId="0" borderId="18" xfId="1" applyFont="1" applyBorder="1" applyAlignment="1">
      <alignment horizontal="center" vertical="center"/>
    </xf>
    <xf numFmtId="0" fontId="21" fillId="0" borderId="9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19" xfId="1" applyFont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1" fillId="0" borderId="23" xfId="1" applyFont="1" applyBorder="1" applyAlignment="1">
      <alignment horizontal="center" vertical="center"/>
    </xf>
    <xf numFmtId="0" fontId="21" fillId="0" borderId="24" xfId="1" applyFont="1" applyBorder="1" applyAlignment="1">
      <alignment horizontal="center" vertical="center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7" xfId="1" applyFont="1" applyBorder="1" applyAlignment="1" applyProtection="1">
      <alignment horizontal="center" vertical="center" wrapText="1"/>
      <protection hidden="1"/>
    </xf>
    <xf numFmtId="0" fontId="21" fillId="0" borderId="6" xfId="1" applyFont="1" applyBorder="1" applyAlignment="1" applyProtection="1">
      <alignment horizontal="center" vertical="center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8" fillId="0" borderId="9" xfId="1" applyFont="1" applyBorder="1" applyAlignment="1" applyProtection="1">
      <alignment horizontal="center" vertical="center"/>
      <protection hidden="1"/>
    </xf>
    <xf numFmtId="0" fontId="16" fillId="0" borderId="9" xfId="1" applyFont="1" applyBorder="1" applyAlignment="1" applyProtection="1">
      <alignment horizontal="center" vertical="center"/>
      <protection hidden="1"/>
    </xf>
    <xf numFmtId="0" fontId="14" fillId="0" borderId="0" xfId="1" applyFont="1" applyAlignment="1" applyProtection="1">
      <alignment horizontal="left"/>
      <protection locked="0"/>
    </xf>
    <xf numFmtId="164" fontId="14" fillId="0" borderId="31" xfId="1" applyNumberFormat="1" applyFont="1" applyBorder="1" applyAlignment="1">
      <alignment horizontal="center" vertical="center"/>
    </xf>
    <xf numFmtId="164" fontId="14" fillId="0" borderId="20" xfId="1" applyNumberFormat="1" applyFont="1" applyBorder="1" applyAlignment="1">
      <alignment horizontal="center" vertical="center"/>
    </xf>
    <xf numFmtId="164" fontId="14" fillId="0" borderId="21" xfId="1" applyNumberFormat="1" applyFont="1" applyBorder="1" applyAlignment="1">
      <alignment horizontal="center" vertical="center"/>
    </xf>
    <xf numFmtId="0" fontId="22" fillId="0" borderId="3" xfId="1" applyFont="1" applyBorder="1" applyAlignment="1" applyProtection="1">
      <alignment horizontal="center" vertical="center" wrapText="1"/>
      <protection locked="0"/>
    </xf>
    <xf numFmtId="0" fontId="22" fillId="0" borderId="4" xfId="1" applyFont="1" applyBorder="1" applyAlignment="1" applyProtection="1">
      <alignment horizontal="center" vertical="center" wrapText="1"/>
      <protection locked="0"/>
    </xf>
    <xf numFmtId="0" fontId="22" fillId="0" borderId="5" xfId="1" applyFont="1" applyBorder="1" applyAlignment="1" applyProtection="1">
      <alignment horizontal="center" vertical="center" wrapText="1"/>
      <protection locked="0"/>
    </xf>
    <xf numFmtId="0" fontId="22" fillId="0" borderId="6" xfId="1" applyFont="1" applyBorder="1" applyAlignment="1" applyProtection="1">
      <alignment horizontal="center" vertical="center" wrapText="1"/>
      <protection locked="0"/>
    </xf>
    <xf numFmtId="0" fontId="22" fillId="0" borderId="0" xfId="1" applyFont="1" applyAlignment="1" applyProtection="1">
      <alignment horizontal="center" vertical="center" wrapText="1"/>
      <protection locked="0"/>
    </xf>
    <xf numFmtId="0" fontId="22" fillId="0" borderId="7" xfId="1" applyFont="1" applyBorder="1" applyAlignment="1" applyProtection="1">
      <alignment horizontal="center" vertical="center" wrapText="1"/>
      <protection locked="0"/>
    </xf>
    <xf numFmtId="0" fontId="22" fillId="0" borderId="1" xfId="1" applyFont="1" applyBorder="1" applyAlignment="1" applyProtection="1">
      <alignment horizontal="center" vertical="center" wrapText="1"/>
      <protection locked="0"/>
    </xf>
    <xf numFmtId="0" fontId="22" fillId="0" borderId="2" xfId="1" applyFont="1" applyBorder="1" applyAlignment="1" applyProtection="1">
      <alignment horizontal="center" vertical="center" wrapText="1"/>
      <protection locked="0"/>
    </xf>
    <xf numFmtId="0" fontId="22" fillId="0" borderId="8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21" fillId="0" borderId="0" xfId="1" applyFont="1" applyAlignment="1" applyProtection="1">
      <alignment horizontal="center" vertical="center"/>
      <protection hidden="1"/>
    </xf>
    <xf numFmtId="0" fontId="21" fillId="0" borderId="7" xfId="1" applyFont="1" applyBorder="1" applyAlignment="1" applyProtection="1">
      <alignment horizontal="center" vertical="center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1" fillId="0" borderId="6" xfId="1" applyFont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7" xfId="1" applyFont="1" applyBorder="1" applyAlignment="1" applyProtection="1">
      <alignment horizontal="center" vertical="center"/>
      <protection locked="0"/>
    </xf>
    <xf numFmtId="14" fontId="21" fillId="0" borderId="6" xfId="1" applyNumberFormat="1" applyFont="1" applyBorder="1" applyAlignment="1" applyProtection="1">
      <alignment horizontal="center" vertical="center"/>
      <protection locked="0"/>
    </xf>
    <xf numFmtId="14" fontId="21" fillId="0" borderId="0" xfId="1" applyNumberFormat="1" applyFont="1" applyAlignment="1" applyProtection="1">
      <alignment horizontal="center" vertical="center"/>
      <protection locked="0"/>
    </xf>
    <xf numFmtId="14" fontId="21" fillId="0" borderId="7" xfId="1" applyNumberFormat="1" applyFont="1" applyBorder="1" applyAlignment="1" applyProtection="1">
      <alignment horizontal="center" vertical="center"/>
      <protection locked="0"/>
    </xf>
    <xf numFmtId="0" fontId="23" fillId="0" borderId="8" xfId="1" applyFont="1" applyBorder="1" applyAlignment="1" applyProtection="1">
      <alignment horizontal="center" vertical="center"/>
      <protection hidden="1"/>
    </xf>
    <xf numFmtId="0" fontId="13" fillId="0" borderId="3" xfId="1" applyFont="1" applyBorder="1" applyAlignment="1" applyProtection="1">
      <alignment horizontal="center" vertical="center" wrapText="1"/>
      <protection hidden="1"/>
    </xf>
    <xf numFmtId="0" fontId="13" fillId="0" borderId="4" xfId="1" applyFont="1" applyBorder="1" applyAlignment="1" applyProtection="1">
      <alignment horizontal="center" vertical="center" wrapText="1"/>
      <protection hidden="1"/>
    </xf>
    <xf numFmtId="0" fontId="13" fillId="0" borderId="5" xfId="1" applyFont="1" applyBorder="1" applyAlignment="1" applyProtection="1">
      <alignment horizontal="center" vertical="center" wrapText="1"/>
      <protection hidden="1"/>
    </xf>
    <xf numFmtId="0" fontId="13" fillId="0" borderId="6" xfId="1" applyFont="1" applyBorder="1" applyAlignment="1" applyProtection="1">
      <alignment horizontal="center" vertical="center" wrapText="1"/>
      <protection hidden="1"/>
    </xf>
    <xf numFmtId="0" fontId="13" fillId="0" borderId="0" xfId="1" applyFont="1" applyAlignment="1" applyProtection="1">
      <alignment horizontal="center" vertical="center" wrapText="1"/>
      <protection hidden="1"/>
    </xf>
    <xf numFmtId="0" fontId="13" fillId="0" borderId="7" xfId="1" applyFont="1" applyBorder="1" applyAlignment="1" applyProtection="1">
      <alignment horizontal="center" vertical="center" wrapText="1"/>
      <protection hidden="1"/>
    </xf>
    <xf numFmtId="0" fontId="13" fillId="0" borderId="1" xfId="1" applyFont="1" applyBorder="1" applyAlignment="1" applyProtection="1">
      <alignment horizontal="center" vertical="center" wrapText="1"/>
      <protection hidden="1"/>
    </xf>
    <xf numFmtId="0" fontId="13" fillId="0" borderId="2" xfId="1" applyFont="1" applyBorder="1" applyAlignment="1" applyProtection="1">
      <alignment horizontal="center" vertical="center" wrapText="1"/>
      <protection hidden="1"/>
    </xf>
    <xf numFmtId="0" fontId="13" fillId="0" borderId="8" xfId="1" applyFont="1" applyBorder="1" applyAlignment="1" applyProtection="1">
      <alignment horizontal="center" vertical="center" wrapText="1"/>
      <protection hidden="1"/>
    </xf>
    <xf numFmtId="0" fontId="20" fillId="0" borderId="3" xfId="1" applyFont="1" applyBorder="1" applyAlignment="1" applyProtection="1">
      <alignment horizontal="center"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0" fontId="20" fillId="0" borderId="5" xfId="1" applyFont="1" applyBorder="1" applyAlignment="1" applyProtection="1">
      <alignment horizontal="center" vertical="center"/>
      <protection hidden="1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64" fontId="14" fillId="0" borderId="21" xfId="1" applyNumberFormat="1" applyFont="1" applyBorder="1" applyAlignment="1">
      <alignment horizontal="center"/>
    </xf>
    <xf numFmtId="164" fontId="14" fillId="0" borderId="20" xfId="1" applyNumberFormat="1" applyFont="1" applyBorder="1" applyAlignment="1">
      <alignment horizontal="center"/>
    </xf>
    <xf numFmtId="164" fontId="14" fillId="0" borderId="31" xfId="1" applyNumberFormat="1" applyFont="1" applyBorder="1" applyAlignment="1">
      <alignment horizontal="center"/>
    </xf>
    <xf numFmtId="164" fontId="14" fillId="0" borderId="14" xfId="1" applyNumberFormat="1" applyFont="1" applyBorder="1" applyAlignment="1">
      <alignment horizontal="center" wrapText="1"/>
    </xf>
    <xf numFmtId="164" fontId="14" fillId="0" borderId="14" xfId="1" applyNumberFormat="1" applyFont="1" applyBorder="1" applyAlignment="1">
      <alignment horizontal="center" wrapText="1"/>
    </xf>
    <xf numFmtId="0" fontId="14" fillId="0" borderId="0" xfId="1" applyFont="1" applyAlignment="1" applyProtection="1">
      <alignment vertical="center"/>
      <protection hidden="1"/>
    </xf>
    <xf numFmtId="0" fontId="14" fillId="0" borderId="4" xfId="1" applyFont="1" applyBorder="1" applyAlignment="1" applyProtection="1">
      <alignment vertical="center"/>
      <protection hidden="1"/>
    </xf>
    <xf numFmtId="0" fontId="24" fillId="0" borderId="4" xfId="1" applyFont="1" applyBorder="1" applyAlignment="1" applyProtection="1">
      <alignment vertical="center"/>
      <protection hidden="1"/>
    </xf>
  </cellXfs>
  <cellStyles count="2">
    <cellStyle name="Normal" xfId="0" builtinId="0"/>
    <cellStyle name="Normal 2" xfId="1" xr:uid="{F6638601-588A-467D-AD1C-AD9AEB972AF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82932C1-258C-4FD1-BDC8-FEC27D1B4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173354</xdr:colOff>
      <xdr:row>64</xdr:row>
      <xdr:rowOff>62866</xdr:rowOff>
    </xdr:from>
    <xdr:ext cx="1647294" cy="641984"/>
    <xdr:pic>
      <xdr:nvPicPr>
        <xdr:cNvPr id="3" name="Image 2">
          <a:extLst>
            <a:ext uri="{FF2B5EF4-FFF2-40B4-BE49-F238E27FC236}">
              <a16:creationId xmlns:a16="http://schemas.microsoft.com/office/drawing/2014/main" id="{055BAB5F-1319-4C37-8F61-9CA89361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0544" y="11031856"/>
          <a:ext cx="1647294" cy="64198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62676F9-A40B-48B3-8231-BBB7A97B9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D2FE011-9F47-4D53-B2A0-CD0713D8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323850</xdr:colOff>
      <xdr:row>64</xdr:row>
      <xdr:rowOff>104776</xdr:rowOff>
    </xdr:from>
    <xdr:ext cx="1413510" cy="550679"/>
    <xdr:pic>
      <xdr:nvPicPr>
        <xdr:cNvPr id="3" name="Image 2">
          <a:extLst>
            <a:ext uri="{FF2B5EF4-FFF2-40B4-BE49-F238E27FC236}">
              <a16:creationId xmlns:a16="http://schemas.microsoft.com/office/drawing/2014/main" id="{D7E8CAF1-B5F6-45DD-87C9-561BD963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41040" y="11075671"/>
          <a:ext cx="1413510" cy="5506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323850</xdr:colOff>
      <xdr:row>64</xdr:row>
      <xdr:rowOff>104776</xdr:rowOff>
    </xdr:from>
    <xdr:to>
      <xdr:col>24</xdr:col>
      <xdr:colOff>314325</xdr:colOff>
      <xdr:row>67</xdr:row>
      <xdr:rowOff>57285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2A4561B-4E2C-2834-B3E6-3F61B4D4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14144626"/>
          <a:ext cx="1400175" cy="552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36BE-FC1A-4DEC-91A4-D26A580CEB15}">
  <sheetPr>
    <pageSetUpPr fitToPage="1"/>
  </sheetPr>
  <dimension ref="A1:AA76"/>
  <sheetViews>
    <sheetView tabSelected="1" workbookViewId="0">
      <selection activeCell="AA21" sqref="AA21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29"/>
      <c r="B1" s="430"/>
      <c r="C1" s="430"/>
      <c r="D1" s="430"/>
      <c r="E1" s="430"/>
      <c r="F1" s="431"/>
      <c r="G1" s="438" t="s">
        <v>0</v>
      </c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40"/>
      <c r="U1" s="409" t="s">
        <v>52</v>
      </c>
      <c r="V1" s="410"/>
      <c r="W1" s="410"/>
      <c r="X1" s="410"/>
      <c r="Y1" s="410"/>
      <c r="Z1" s="411"/>
    </row>
    <row r="2" spans="1:26" ht="12.75" customHeight="1" x14ac:dyDescent="0.25">
      <c r="A2" s="432"/>
      <c r="B2" s="433"/>
      <c r="C2" s="433"/>
      <c r="D2" s="433"/>
      <c r="E2" s="433"/>
      <c r="F2" s="434"/>
      <c r="G2" s="398" t="s">
        <v>72</v>
      </c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400"/>
      <c r="U2" s="412"/>
      <c r="V2" s="413"/>
      <c r="W2" s="413"/>
      <c r="X2" s="413"/>
      <c r="Y2" s="413"/>
      <c r="Z2" s="414"/>
    </row>
    <row r="3" spans="1:26" ht="12.75" customHeight="1" x14ac:dyDescent="0.25">
      <c r="A3" s="432"/>
      <c r="B3" s="433"/>
      <c r="C3" s="433"/>
      <c r="D3" s="433"/>
      <c r="E3" s="433"/>
      <c r="F3" s="434"/>
      <c r="G3" s="398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400"/>
      <c r="U3" s="412"/>
      <c r="V3" s="413"/>
      <c r="W3" s="413"/>
      <c r="X3" s="413"/>
      <c r="Y3" s="413"/>
      <c r="Z3" s="414"/>
    </row>
    <row r="4" spans="1:26" ht="12.75" customHeight="1" x14ac:dyDescent="0.25">
      <c r="A4" s="432"/>
      <c r="B4" s="433"/>
      <c r="C4" s="433"/>
      <c r="D4" s="433"/>
      <c r="E4" s="433"/>
      <c r="F4" s="434"/>
      <c r="G4" s="398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400"/>
      <c r="U4" s="412"/>
      <c r="V4" s="413"/>
      <c r="W4" s="413"/>
      <c r="X4" s="413"/>
      <c r="Y4" s="413"/>
      <c r="Z4" s="414"/>
    </row>
    <row r="5" spans="1:26" ht="12.75" customHeight="1" x14ac:dyDescent="0.25">
      <c r="A5" s="432"/>
      <c r="B5" s="433"/>
      <c r="C5" s="433"/>
      <c r="D5" s="433"/>
      <c r="E5" s="433"/>
      <c r="F5" s="434"/>
      <c r="G5" s="401" t="s">
        <v>71</v>
      </c>
      <c r="H5" s="402"/>
      <c r="I5" s="419">
        <v>4</v>
      </c>
      <c r="J5" s="419"/>
      <c r="K5" s="420"/>
      <c r="L5" s="422" t="s">
        <v>3</v>
      </c>
      <c r="M5" s="423"/>
      <c r="N5" s="423"/>
      <c r="O5" s="424"/>
      <c r="P5" s="425" t="s">
        <v>69</v>
      </c>
      <c r="Q5" s="426"/>
      <c r="R5" s="426"/>
      <c r="S5" s="426"/>
      <c r="T5" s="427"/>
      <c r="U5" s="412"/>
      <c r="V5" s="413"/>
      <c r="W5" s="413"/>
      <c r="X5" s="413"/>
      <c r="Y5" s="413"/>
      <c r="Z5" s="414"/>
    </row>
    <row r="6" spans="1:26" ht="12.75" customHeight="1" x14ac:dyDescent="0.25">
      <c r="A6" s="435"/>
      <c r="B6" s="436"/>
      <c r="C6" s="436"/>
      <c r="D6" s="436"/>
      <c r="E6" s="436"/>
      <c r="F6" s="437"/>
      <c r="G6" s="145"/>
      <c r="H6" s="104"/>
      <c r="I6" s="421" t="s">
        <v>5</v>
      </c>
      <c r="J6" s="421"/>
      <c r="K6" s="421"/>
      <c r="L6" s="421" t="s">
        <v>6</v>
      </c>
      <c r="M6" s="421"/>
      <c r="N6" s="421"/>
      <c r="O6" s="421"/>
      <c r="P6" s="421" t="s">
        <v>7</v>
      </c>
      <c r="Q6" s="421"/>
      <c r="R6" s="421"/>
      <c r="S6" s="421"/>
      <c r="T6" s="428"/>
      <c r="U6" s="415"/>
      <c r="V6" s="416"/>
      <c r="W6" s="416"/>
      <c r="X6" s="416"/>
      <c r="Y6" s="416"/>
      <c r="Z6" s="417"/>
    </row>
    <row r="7" spans="1:26" ht="36.6" customHeight="1" x14ac:dyDescent="0.25">
      <c r="A7" s="403" t="s">
        <v>8</v>
      </c>
      <c r="B7" s="403"/>
      <c r="C7" s="403"/>
      <c r="D7" s="403"/>
      <c r="E7" s="403"/>
      <c r="F7" s="403"/>
      <c r="G7" s="404" t="s">
        <v>9</v>
      </c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64" t="s">
        <v>12</v>
      </c>
      <c r="C10" s="364"/>
      <c r="D10" s="364"/>
      <c r="E10" s="364"/>
      <c r="F10" s="364"/>
      <c r="G10" s="364"/>
      <c r="H10" s="363" t="s">
        <v>13</v>
      </c>
      <c r="I10" s="363"/>
      <c r="J10" s="363"/>
      <c r="K10" s="363"/>
      <c r="L10" s="363"/>
      <c r="M10" s="363"/>
      <c r="N10" s="364" t="s">
        <v>14</v>
      </c>
      <c r="O10" s="364"/>
      <c r="P10" s="364"/>
      <c r="Q10" s="364"/>
      <c r="R10" s="364"/>
      <c r="S10" s="418" t="s">
        <v>70</v>
      </c>
      <c r="T10" s="418"/>
      <c r="U10" s="418"/>
      <c r="V10" s="418"/>
      <c r="W10" s="418"/>
      <c r="X10" s="418"/>
      <c r="Y10" s="418"/>
      <c r="Z10" s="143"/>
    </row>
    <row r="11" spans="1:26" ht="15.9" customHeight="1" x14ac:dyDescent="0.25">
      <c r="A11" s="108"/>
      <c r="B11" s="364" t="s">
        <v>16</v>
      </c>
      <c r="C11" s="364"/>
      <c r="D11" s="364"/>
      <c r="E11" s="364"/>
      <c r="F11" s="364"/>
      <c r="G11" s="364"/>
      <c r="H11" s="363" t="s">
        <v>69</v>
      </c>
      <c r="I11" s="363"/>
      <c r="J11" s="363"/>
      <c r="K11" s="363"/>
      <c r="L11" s="363"/>
      <c r="M11" s="363"/>
      <c r="N11" s="364" t="s">
        <v>17</v>
      </c>
      <c r="O11" s="364"/>
      <c r="P11" s="364"/>
      <c r="Q11" s="364"/>
      <c r="R11" s="364"/>
      <c r="S11" s="418" t="s">
        <v>57</v>
      </c>
      <c r="T11" s="418"/>
      <c r="U11" s="418"/>
      <c r="V11" s="418"/>
      <c r="W11" s="418"/>
      <c r="X11" s="418"/>
      <c r="Y11" s="418"/>
      <c r="Z11" s="143"/>
    </row>
    <row r="12" spans="1:26" ht="15.9" customHeight="1" x14ac:dyDescent="0.25">
      <c r="A12" s="108"/>
      <c r="B12" s="364" t="s">
        <v>19</v>
      </c>
      <c r="C12" s="364"/>
      <c r="D12" s="364"/>
      <c r="E12" s="364"/>
      <c r="F12" s="364"/>
      <c r="G12" s="364"/>
      <c r="H12" s="363" t="s">
        <v>68</v>
      </c>
      <c r="I12" s="363"/>
      <c r="J12" s="363"/>
      <c r="K12" s="363"/>
      <c r="L12" s="363"/>
      <c r="M12" s="363"/>
      <c r="N12" s="364" t="s">
        <v>21</v>
      </c>
      <c r="O12" s="364"/>
      <c r="P12" s="364"/>
      <c r="Q12" s="364"/>
      <c r="R12" s="364"/>
      <c r="S12" s="418" t="s">
        <v>55</v>
      </c>
      <c r="T12" s="418"/>
      <c r="U12" s="418"/>
      <c r="V12" s="418"/>
      <c r="W12" s="418"/>
      <c r="X12" s="418"/>
      <c r="Y12" s="418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320" t="s">
        <v>25</v>
      </c>
      <c r="C17" s="320"/>
      <c r="D17" s="320"/>
      <c r="E17" s="320"/>
      <c r="F17" s="320"/>
      <c r="G17" s="320"/>
      <c r="H17" s="320"/>
      <c r="I17" s="405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129"/>
    </row>
    <row r="18" spans="1:26" s="76" customFormat="1" ht="15" customHeight="1" x14ac:dyDescent="0.25">
      <c r="A18" s="131"/>
      <c r="B18" s="320" t="s">
        <v>26</v>
      </c>
      <c r="C18" s="320"/>
      <c r="D18" s="320"/>
      <c r="E18" s="320"/>
      <c r="F18" s="320"/>
      <c r="G18" s="320"/>
      <c r="H18" s="320"/>
      <c r="I18" s="313" t="s">
        <v>27</v>
      </c>
      <c r="J18" s="313"/>
      <c r="K18" s="130">
        <v>30</v>
      </c>
      <c r="L18" s="130" t="s">
        <v>28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29</v>
      </c>
      <c r="B21" s="123" t="s">
        <v>30</v>
      </c>
      <c r="C21" s="121"/>
      <c r="D21" s="122"/>
      <c r="E21" s="122"/>
      <c r="F21" s="122"/>
      <c r="G21" s="122"/>
      <c r="H21" s="121"/>
      <c r="I21" s="121"/>
      <c r="J21" s="118" t="s">
        <v>31</v>
      </c>
      <c r="K21" s="118"/>
      <c r="L21" s="454"/>
      <c r="M21" s="453"/>
      <c r="N21" s="453"/>
      <c r="O21" s="453"/>
      <c r="P21" s="453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K22" s="452"/>
      <c r="L22" s="452"/>
      <c r="M22" s="452"/>
      <c r="N22" s="452"/>
      <c r="O22" s="452"/>
      <c r="P22" s="452"/>
      <c r="Q22" s="452"/>
      <c r="Z22" s="107"/>
    </row>
    <row r="23" spans="1:26" ht="15.75" customHeight="1" x14ac:dyDescent="0.25">
      <c r="A23" s="108"/>
      <c r="B23" s="321" t="s">
        <v>32</v>
      </c>
      <c r="C23" s="323" t="s">
        <v>33</v>
      </c>
      <c r="D23" s="323"/>
      <c r="E23" s="323"/>
      <c r="F23" s="323"/>
      <c r="G23" s="324"/>
      <c r="H23" s="317" t="s">
        <v>34</v>
      </c>
      <c r="I23" s="318"/>
      <c r="J23" s="319"/>
      <c r="K23" s="323" t="s">
        <v>35</v>
      </c>
      <c r="L23" s="323"/>
      <c r="M23" s="323"/>
      <c r="N23" s="323"/>
      <c r="O23" s="323"/>
      <c r="P23" s="324"/>
      <c r="Z23" s="107"/>
    </row>
    <row r="24" spans="1:26" ht="15.75" customHeight="1" x14ac:dyDescent="0.25">
      <c r="A24" s="108"/>
      <c r="B24" s="322"/>
      <c r="C24" s="325"/>
      <c r="D24" s="325"/>
      <c r="E24" s="325"/>
      <c r="F24" s="325"/>
      <c r="G24" s="326"/>
      <c r="H24" s="314" t="s">
        <v>36</v>
      </c>
      <c r="I24" s="315"/>
      <c r="J24" s="316"/>
      <c r="K24" s="325"/>
      <c r="L24" s="325"/>
      <c r="M24" s="325"/>
      <c r="N24" s="325"/>
      <c r="O24" s="325"/>
      <c r="P24" s="326"/>
      <c r="Z24" s="107"/>
    </row>
    <row r="25" spans="1:26" ht="19.5" customHeight="1" x14ac:dyDescent="0.25">
      <c r="A25" s="108"/>
      <c r="B25" s="117">
        <v>1</v>
      </c>
      <c r="C25" s="306"/>
      <c r="D25" s="307"/>
      <c r="E25" s="307"/>
      <c r="F25" s="307"/>
      <c r="G25" s="308"/>
      <c r="H25" s="451">
        <v>67.2</v>
      </c>
      <c r="I25" s="350"/>
      <c r="J25" s="351"/>
      <c r="K25" s="306"/>
      <c r="L25" s="307"/>
      <c r="M25" s="307"/>
      <c r="N25" s="307"/>
      <c r="O25" s="307"/>
      <c r="P25" s="308"/>
      <c r="Z25" s="107"/>
    </row>
    <row r="26" spans="1:26" ht="19.5" customHeight="1" x14ac:dyDescent="0.25">
      <c r="A26" s="108"/>
      <c r="B26" s="117">
        <v>2</v>
      </c>
      <c r="C26" s="306"/>
      <c r="D26" s="307"/>
      <c r="E26" s="307"/>
      <c r="F26" s="307"/>
      <c r="G26" s="308"/>
      <c r="H26" s="451">
        <v>22.6</v>
      </c>
      <c r="I26" s="350"/>
      <c r="J26" s="351"/>
      <c r="K26" s="306"/>
      <c r="L26" s="307"/>
      <c r="M26" s="307"/>
      <c r="N26" s="307"/>
      <c r="O26" s="307"/>
      <c r="P26" s="308"/>
      <c r="Z26" s="107"/>
    </row>
    <row r="27" spans="1:26" ht="19.5" customHeight="1" x14ac:dyDescent="0.25">
      <c r="A27" s="108"/>
      <c r="B27" s="117">
        <v>3</v>
      </c>
      <c r="C27" s="306"/>
      <c r="D27" s="307"/>
      <c r="E27" s="307"/>
      <c r="F27" s="307"/>
      <c r="G27" s="308"/>
      <c r="H27" s="451">
        <v>36.299999999999997</v>
      </c>
      <c r="I27" s="350"/>
      <c r="J27" s="351"/>
      <c r="K27" s="306"/>
      <c r="L27" s="307"/>
      <c r="M27" s="307"/>
      <c r="N27" s="307"/>
      <c r="O27" s="307"/>
      <c r="P27" s="308"/>
      <c r="Z27" s="107"/>
    </row>
    <row r="28" spans="1:26" ht="19.5" customHeight="1" x14ac:dyDescent="0.25">
      <c r="A28" s="108"/>
      <c r="B28" s="117">
        <v>4</v>
      </c>
      <c r="C28" s="306"/>
      <c r="D28" s="307"/>
      <c r="E28" s="307"/>
      <c r="F28" s="307"/>
      <c r="G28" s="308"/>
      <c r="H28" s="451">
        <v>38.5</v>
      </c>
      <c r="I28" s="350"/>
      <c r="J28" s="351"/>
      <c r="K28" s="306"/>
      <c r="L28" s="307"/>
      <c r="M28" s="307"/>
      <c r="N28" s="307"/>
      <c r="O28" s="307"/>
      <c r="P28" s="308"/>
      <c r="Z28" s="107"/>
    </row>
    <row r="29" spans="1:26" ht="19.5" customHeight="1" x14ac:dyDescent="0.25">
      <c r="A29" s="108"/>
      <c r="B29" s="116"/>
      <c r="C29" s="112"/>
      <c r="D29" s="111"/>
      <c r="E29" s="111"/>
      <c r="F29" s="111"/>
      <c r="G29" s="110"/>
      <c r="H29" s="450"/>
      <c r="I29" s="163"/>
      <c r="J29" s="164"/>
      <c r="K29" s="112"/>
      <c r="L29" s="111"/>
      <c r="M29" s="111"/>
      <c r="N29" s="111"/>
      <c r="O29" s="111"/>
      <c r="P29" s="110"/>
      <c r="Z29" s="107"/>
    </row>
    <row r="30" spans="1:26" ht="19.5" customHeight="1" x14ac:dyDescent="0.25">
      <c r="A30" s="108"/>
      <c r="B30" s="116"/>
      <c r="C30" s="112"/>
      <c r="D30" s="111"/>
      <c r="E30" s="111"/>
      <c r="F30" s="111"/>
      <c r="G30" s="110"/>
      <c r="H30" s="450"/>
      <c r="I30" s="163"/>
      <c r="J30" s="164"/>
      <c r="K30" s="112"/>
      <c r="L30" s="111"/>
      <c r="M30" s="111"/>
      <c r="N30" s="111"/>
      <c r="O30" s="111"/>
      <c r="P30" s="110"/>
      <c r="Z30" s="107"/>
    </row>
    <row r="31" spans="1:26" ht="19.5" customHeight="1" x14ac:dyDescent="0.25">
      <c r="A31" s="108"/>
      <c r="B31" s="116"/>
      <c r="C31" s="112"/>
      <c r="D31" s="111"/>
      <c r="E31" s="111"/>
      <c r="F31" s="111"/>
      <c r="G31" s="110"/>
      <c r="H31" s="450"/>
      <c r="I31" s="163"/>
      <c r="J31" s="164"/>
      <c r="K31" s="112"/>
      <c r="L31" s="111"/>
      <c r="M31" s="111"/>
      <c r="N31" s="111"/>
      <c r="O31" s="111"/>
      <c r="P31" s="110"/>
      <c r="Z31" s="107"/>
    </row>
    <row r="32" spans="1:26" ht="19.5" customHeight="1" x14ac:dyDescent="0.25">
      <c r="A32" s="108"/>
      <c r="B32" s="116"/>
      <c r="C32" s="112"/>
      <c r="D32" s="111"/>
      <c r="E32" s="111"/>
      <c r="F32" s="111"/>
      <c r="G32" s="110"/>
      <c r="H32" s="450"/>
      <c r="I32" s="163"/>
      <c r="J32" s="164"/>
      <c r="K32" s="112"/>
      <c r="L32" s="111"/>
      <c r="M32" s="111"/>
      <c r="N32" s="111"/>
      <c r="O32" s="111"/>
      <c r="P32" s="110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450"/>
      <c r="I33" s="163"/>
      <c r="J33" s="164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450"/>
      <c r="I34" s="163"/>
      <c r="J34" s="164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450"/>
      <c r="I35" s="163"/>
      <c r="J35" s="164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450"/>
      <c r="I36" s="163"/>
      <c r="J36" s="164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450"/>
      <c r="I37" s="163"/>
      <c r="J37" s="164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450"/>
      <c r="I38" s="163"/>
      <c r="J38" s="164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450"/>
      <c r="I39" s="163"/>
      <c r="J39" s="164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450"/>
      <c r="I40" s="163"/>
      <c r="J40" s="164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450"/>
      <c r="I41" s="163"/>
      <c r="J41" s="164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450"/>
      <c r="I42" s="163"/>
      <c r="J42" s="164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450"/>
      <c r="I43" s="163"/>
      <c r="J43" s="164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450"/>
      <c r="I44" s="163"/>
      <c r="J44" s="164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450"/>
      <c r="I45" s="163"/>
      <c r="J45" s="164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450"/>
      <c r="I46" s="163"/>
      <c r="J46" s="164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450"/>
      <c r="I47" s="163"/>
      <c r="J47" s="164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450"/>
      <c r="I48" s="163"/>
      <c r="J48" s="164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450"/>
      <c r="I49" s="163"/>
      <c r="J49" s="164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450"/>
      <c r="I50" s="163"/>
      <c r="J50" s="164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450"/>
      <c r="I51" s="163"/>
      <c r="J51" s="164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450"/>
      <c r="I52" s="163"/>
      <c r="J52" s="164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450"/>
      <c r="I53" s="163"/>
      <c r="J53" s="164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386"/>
      <c r="D54" s="387"/>
      <c r="E54" s="387"/>
      <c r="F54" s="387"/>
      <c r="G54" s="388"/>
      <c r="H54" s="449"/>
      <c r="I54" s="448"/>
      <c r="J54" s="447"/>
      <c r="K54" s="386"/>
      <c r="L54" s="387"/>
      <c r="M54" s="387"/>
      <c r="N54" s="387"/>
      <c r="O54" s="387"/>
      <c r="P54" s="388"/>
      <c r="Z54" s="107"/>
    </row>
    <row r="55" spans="1:26" ht="15.75" customHeight="1" x14ac:dyDescent="0.25">
      <c r="A55" s="108"/>
      <c r="B55" s="395" t="s">
        <v>37</v>
      </c>
      <c r="C55" s="396"/>
      <c r="D55" s="396"/>
      <c r="E55" s="396"/>
      <c r="F55" s="396"/>
      <c r="G55" s="397"/>
      <c r="H55" s="349">
        <f>AVERAGE(H25:J54)</f>
        <v>41.150000000000006</v>
      </c>
      <c r="I55" s="350"/>
      <c r="J55" s="351"/>
      <c r="K55" s="357">
        <v>25</v>
      </c>
      <c r="L55" s="358"/>
      <c r="M55" s="352" t="s">
        <v>39</v>
      </c>
      <c r="N55" s="352"/>
      <c r="O55" s="352"/>
      <c r="P55" s="353"/>
      <c r="Z55" s="107"/>
    </row>
    <row r="56" spans="1:26" ht="15.75" customHeight="1" x14ac:dyDescent="0.25">
      <c r="A56" s="108"/>
      <c r="B56" s="389" t="s">
        <v>40</v>
      </c>
      <c r="C56" s="390"/>
      <c r="D56" s="390"/>
      <c r="E56" s="390"/>
      <c r="F56" s="390"/>
      <c r="G56" s="391"/>
      <c r="H56" s="349">
        <f>IF(COUNTIF(H25:J54,"*&lt;20*"),"&lt;20",MIN(H25:J54))</f>
        <v>22.6</v>
      </c>
      <c r="I56" s="350"/>
      <c r="J56" s="351"/>
      <c r="K56" s="359"/>
      <c r="L56" s="360"/>
      <c r="M56" s="312"/>
      <c r="N56" s="312"/>
      <c r="O56" s="312"/>
      <c r="P56" s="354"/>
      <c r="Z56" s="107"/>
    </row>
    <row r="57" spans="1:26" ht="15.75" customHeight="1" thickBot="1" x14ac:dyDescent="0.3">
      <c r="A57" s="108"/>
      <c r="B57" s="392" t="s">
        <v>41</v>
      </c>
      <c r="C57" s="393"/>
      <c r="D57" s="393"/>
      <c r="E57" s="393"/>
      <c r="F57" s="393"/>
      <c r="G57" s="394"/>
      <c r="H57" s="343">
        <f>IF(COUNTIF(H25:J54,"*&gt;250*"),"&gt;250",MAX(H25:J54))</f>
        <v>67.2</v>
      </c>
      <c r="I57" s="344"/>
      <c r="J57" s="345"/>
      <c r="K57" s="361"/>
      <c r="L57" s="362"/>
      <c r="M57" s="355"/>
      <c r="N57" s="355"/>
      <c r="O57" s="355"/>
      <c r="P57" s="356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377" t="s">
        <v>44</v>
      </c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9"/>
      <c r="R61" s="371" t="s">
        <v>45</v>
      </c>
      <c r="S61" s="372"/>
      <c r="T61" s="373"/>
      <c r="U61" s="328" t="s">
        <v>13</v>
      </c>
      <c r="V61" s="329"/>
      <c r="W61" s="329"/>
      <c r="X61" s="330"/>
      <c r="Y61" s="330"/>
      <c r="Z61" s="331"/>
    </row>
    <row r="62" spans="1:26" s="76" customFormat="1" ht="15.6" customHeight="1" x14ac:dyDescent="0.25">
      <c r="A62" s="380" t="s">
        <v>53</v>
      </c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2"/>
      <c r="R62" s="371" t="s">
        <v>47</v>
      </c>
      <c r="S62" s="372"/>
      <c r="T62" s="373"/>
      <c r="U62" s="332" t="s">
        <v>48</v>
      </c>
      <c r="V62" s="333"/>
      <c r="W62" s="333"/>
      <c r="X62" s="334"/>
      <c r="Y62" s="334"/>
      <c r="Z62" s="335"/>
    </row>
    <row r="63" spans="1:26" s="76" customFormat="1" ht="15.6" customHeight="1" x14ac:dyDescent="0.25">
      <c r="A63" s="383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5"/>
      <c r="R63" s="371"/>
      <c r="S63" s="372"/>
      <c r="T63" s="373"/>
      <c r="U63" s="336"/>
      <c r="V63" s="312"/>
      <c r="W63" s="312"/>
      <c r="X63" s="337"/>
      <c r="Y63" s="337"/>
      <c r="Z63" s="338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71"/>
      <c r="S64" s="372"/>
      <c r="T64" s="373"/>
      <c r="U64" s="339"/>
      <c r="V64" s="340"/>
      <c r="W64" s="340"/>
      <c r="X64" s="341"/>
      <c r="Y64" s="341"/>
      <c r="Z64" s="342"/>
    </row>
    <row r="65" spans="1:26" s="76" customFormat="1" ht="15.6" customHeight="1" x14ac:dyDescent="0.25">
      <c r="A65" s="365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7"/>
      <c r="R65" s="371" t="s">
        <v>51</v>
      </c>
      <c r="S65" s="372"/>
      <c r="T65" s="373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71"/>
      <c r="S66" s="372"/>
      <c r="T66" s="373"/>
      <c r="U66" s="84"/>
      <c r="V66" s="312"/>
      <c r="W66" s="312"/>
      <c r="X66" s="312"/>
      <c r="Y66" s="312"/>
      <c r="Z66" s="83"/>
    </row>
    <row r="67" spans="1:26" s="76" customFormat="1" ht="15.6" customHeight="1" x14ac:dyDescent="0.25">
      <c r="A67" s="365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7"/>
      <c r="R67" s="371"/>
      <c r="S67" s="372"/>
      <c r="T67" s="373"/>
      <c r="U67" s="84"/>
      <c r="V67" s="312"/>
      <c r="W67" s="312"/>
      <c r="X67" s="312"/>
      <c r="Y67" s="312"/>
      <c r="Z67" s="83"/>
    </row>
    <row r="68" spans="1:26" s="76" customFormat="1" ht="15.6" customHeight="1" x14ac:dyDescent="0.25">
      <c r="A68" s="368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70"/>
      <c r="R68" s="374"/>
      <c r="S68" s="375"/>
      <c r="T68" s="376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6">
    <mergeCell ref="A61:Q61"/>
    <mergeCell ref="B57:G57"/>
    <mergeCell ref="B55:G55"/>
    <mergeCell ref="A65:Q68"/>
    <mergeCell ref="R65:T68"/>
    <mergeCell ref="V66:Y67"/>
    <mergeCell ref="R61:T61"/>
    <mergeCell ref="U61:Z61"/>
    <mergeCell ref="A62:Q63"/>
    <mergeCell ref="R62:T64"/>
    <mergeCell ref="U62:Z64"/>
    <mergeCell ref="H56:J56"/>
    <mergeCell ref="B17:H17"/>
    <mergeCell ref="B12:G12"/>
    <mergeCell ref="B11:G11"/>
    <mergeCell ref="N12:R12"/>
    <mergeCell ref="H12:M12"/>
    <mergeCell ref="B56:G56"/>
    <mergeCell ref="U1:Z6"/>
    <mergeCell ref="K25:P25"/>
    <mergeCell ref="M55:P57"/>
    <mergeCell ref="K55:L57"/>
    <mergeCell ref="S12:Y12"/>
    <mergeCell ref="K23:P24"/>
    <mergeCell ref="I17:Y17"/>
    <mergeCell ref="S11:Y11"/>
    <mergeCell ref="H57:J57"/>
    <mergeCell ref="H55:J5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B18:H18"/>
    <mergeCell ref="B23:B24"/>
    <mergeCell ref="C23:G24"/>
    <mergeCell ref="C26:G26"/>
    <mergeCell ref="H26:J26"/>
    <mergeCell ref="K26:P26"/>
    <mergeCell ref="H11:M11"/>
    <mergeCell ref="N11:R11"/>
    <mergeCell ref="C54:G54"/>
    <mergeCell ref="H54:J54"/>
    <mergeCell ref="K54:P54"/>
    <mergeCell ref="I18:J18"/>
    <mergeCell ref="H25:J25"/>
    <mergeCell ref="C25:G25"/>
    <mergeCell ref="H24:J24"/>
    <mergeCell ref="H23:J23"/>
    <mergeCell ref="C27:G27"/>
    <mergeCell ref="H27:J27"/>
    <mergeCell ref="K27:P27"/>
    <mergeCell ref="C28:G28"/>
    <mergeCell ref="H28:J28"/>
    <mergeCell ref="K28:P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186B-0A61-4C06-8B34-1A7B0A045144}">
  <sheetPr>
    <pageSetUpPr fitToPage="1"/>
  </sheetPr>
  <dimension ref="A1:AD76"/>
  <sheetViews>
    <sheetView topLeftCell="A8" zoomScaleNormal="100" workbookViewId="0">
      <selection activeCell="AB21" sqref="AB2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30" ht="12.75" customHeight="1" x14ac:dyDescent="0.25">
      <c r="A1" s="294"/>
      <c r="B1" s="295"/>
      <c r="C1" s="295"/>
      <c r="D1" s="295"/>
      <c r="E1" s="295"/>
      <c r="F1" s="296"/>
      <c r="G1" s="303" t="s">
        <v>0</v>
      </c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5"/>
      <c r="U1" s="274" t="s">
        <v>52</v>
      </c>
      <c r="V1" s="275"/>
      <c r="W1" s="275"/>
      <c r="X1" s="275"/>
      <c r="Y1" s="275"/>
      <c r="Z1" s="276"/>
    </row>
    <row r="2" spans="1:30" ht="12.75" customHeight="1" x14ac:dyDescent="0.25">
      <c r="A2" s="297"/>
      <c r="B2" s="298"/>
      <c r="C2" s="298"/>
      <c r="D2" s="298"/>
      <c r="E2" s="298"/>
      <c r="F2" s="299"/>
      <c r="G2" s="262" t="s">
        <v>1</v>
      </c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4"/>
      <c r="U2" s="277"/>
      <c r="V2" s="278"/>
      <c r="W2" s="278"/>
      <c r="X2" s="278"/>
      <c r="Y2" s="278"/>
      <c r="Z2" s="279"/>
    </row>
    <row r="3" spans="1:30" ht="12.75" customHeight="1" x14ac:dyDescent="0.25">
      <c r="A3" s="297"/>
      <c r="B3" s="298"/>
      <c r="C3" s="298"/>
      <c r="D3" s="298"/>
      <c r="E3" s="298"/>
      <c r="F3" s="299"/>
      <c r="G3" s="262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277"/>
      <c r="V3" s="278"/>
      <c r="W3" s="278"/>
      <c r="X3" s="278"/>
      <c r="Y3" s="278"/>
      <c r="Z3" s="279"/>
    </row>
    <row r="4" spans="1:30" ht="12.75" customHeight="1" x14ac:dyDescent="0.25">
      <c r="A4" s="297"/>
      <c r="B4" s="298"/>
      <c r="C4" s="298"/>
      <c r="D4" s="298"/>
      <c r="E4" s="298"/>
      <c r="F4" s="299"/>
      <c r="G4" s="262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77"/>
      <c r="V4" s="278"/>
      <c r="W4" s="278"/>
      <c r="X4" s="278"/>
      <c r="Y4" s="278"/>
      <c r="Z4" s="279"/>
    </row>
    <row r="5" spans="1:30" ht="12.75" customHeight="1" x14ac:dyDescent="0.25">
      <c r="A5" s="297"/>
      <c r="B5" s="298"/>
      <c r="C5" s="298"/>
      <c r="D5" s="298"/>
      <c r="E5" s="298"/>
      <c r="F5" s="299"/>
      <c r="G5" s="265" t="s">
        <v>2</v>
      </c>
      <c r="H5" s="266"/>
      <c r="I5" s="284">
        <v>3</v>
      </c>
      <c r="J5" s="284"/>
      <c r="K5" s="285"/>
      <c r="L5" s="287" t="s">
        <v>3</v>
      </c>
      <c r="M5" s="288"/>
      <c r="N5" s="288"/>
      <c r="O5" s="289"/>
      <c r="P5" s="290" t="s">
        <v>64</v>
      </c>
      <c r="Q5" s="291"/>
      <c r="R5" s="291"/>
      <c r="S5" s="291"/>
      <c r="T5" s="292"/>
      <c r="U5" s="277"/>
      <c r="V5" s="278"/>
      <c r="W5" s="278"/>
      <c r="X5" s="278"/>
      <c r="Y5" s="278"/>
      <c r="Z5" s="279"/>
    </row>
    <row r="6" spans="1:30" ht="12.75" customHeight="1" x14ac:dyDescent="0.25">
      <c r="A6" s="300"/>
      <c r="B6" s="301"/>
      <c r="C6" s="301"/>
      <c r="D6" s="301"/>
      <c r="E6" s="301"/>
      <c r="F6" s="302"/>
      <c r="G6" s="2"/>
      <c r="H6" s="3"/>
      <c r="I6" s="286" t="s">
        <v>5</v>
      </c>
      <c r="J6" s="286"/>
      <c r="K6" s="286"/>
      <c r="L6" s="286" t="s">
        <v>6</v>
      </c>
      <c r="M6" s="286"/>
      <c r="N6" s="286"/>
      <c r="O6" s="286"/>
      <c r="P6" s="286" t="s">
        <v>7</v>
      </c>
      <c r="Q6" s="286"/>
      <c r="R6" s="286"/>
      <c r="S6" s="286"/>
      <c r="T6" s="293"/>
      <c r="U6" s="280"/>
      <c r="V6" s="281"/>
      <c r="W6" s="281"/>
      <c r="X6" s="281"/>
      <c r="Y6" s="281"/>
      <c r="Z6" s="282"/>
    </row>
    <row r="7" spans="1:30" ht="36.6" customHeight="1" x14ac:dyDescent="0.25">
      <c r="A7" s="267" t="s">
        <v>8</v>
      </c>
      <c r="B7" s="267"/>
      <c r="C7" s="267"/>
      <c r="D7" s="267"/>
      <c r="E7" s="267"/>
      <c r="F7" s="267"/>
      <c r="G7" s="268" t="s">
        <v>9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30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30" ht="8.25" customHeight="1" x14ac:dyDescent="0.25">
      <c r="A9" s="9"/>
      <c r="D9" s="10"/>
      <c r="E9" s="10"/>
      <c r="F9" s="10"/>
      <c r="G9" s="10"/>
      <c r="Z9" s="11"/>
    </row>
    <row r="10" spans="1:30" ht="15.9" customHeight="1" x14ac:dyDescent="0.25">
      <c r="A10" s="9"/>
      <c r="B10" s="229" t="s">
        <v>12</v>
      </c>
      <c r="C10" s="229"/>
      <c r="D10" s="229"/>
      <c r="E10" s="229"/>
      <c r="F10" s="229"/>
      <c r="G10" s="229"/>
      <c r="H10" s="228" t="s">
        <v>66</v>
      </c>
      <c r="I10" s="228"/>
      <c r="J10" s="228"/>
      <c r="K10" s="228"/>
      <c r="L10" s="228"/>
      <c r="M10" s="228"/>
      <c r="N10" s="229" t="s">
        <v>14</v>
      </c>
      <c r="O10" s="229"/>
      <c r="P10" s="229"/>
      <c r="Q10" s="229"/>
      <c r="R10" s="229"/>
      <c r="S10" s="283" t="s">
        <v>65</v>
      </c>
      <c r="T10" s="283"/>
      <c r="U10" s="283"/>
      <c r="V10" s="283"/>
      <c r="W10" s="283"/>
      <c r="X10" s="283"/>
      <c r="Y10" s="283"/>
      <c r="Z10" s="12"/>
      <c r="AD10">
        <v>2</v>
      </c>
    </row>
    <row r="11" spans="1:30" ht="15.9" customHeight="1" x14ac:dyDescent="0.25">
      <c r="A11" s="9"/>
      <c r="B11" s="229" t="s">
        <v>16</v>
      </c>
      <c r="C11" s="229"/>
      <c r="D11" s="229"/>
      <c r="E11" s="229"/>
      <c r="F11" s="229"/>
      <c r="G11" s="229"/>
      <c r="H11" s="228" t="s">
        <v>64</v>
      </c>
      <c r="I11" s="228"/>
      <c r="J11" s="228"/>
      <c r="K11" s="228"/>
      <c r="L11" s="228"/>
      <c r="M11" s="228"/>
      <c r="N11" s="229" t="s">
        <v>17</v>
      </c>
      <c r="O11" s="229"/>
      <c r="P11" s="229"/>
      <c r="Q11" s="229"/>
      <c r="R11" s="229"/>
      <c r="S11" s="283" t="s">
        <v>18</v>
      </c>
      <c r="T11" s="283"/>
      <c r="U11" s="283"/>
      <c r="V11" s="283"/>
      <c r="W11" s="283"/>
      <c r="X11" s="283"/>
      <c r="Y11" s="283"/>
      <c r="Z11" s="12"/>
    </row>
    <row r="12" spans="1:30" ht="15.9" customHeight="1" x14ac:dyDescent="0.25">
      <c r="A12" s="9"/>
      <c r="B12" s="229" t="s">
        <v>19</v>
      </c>
      <c r="C12" s="229"/>
      <c r="D12" s="229"/>
      <c r="E12" s="229"/>
      <c r="F12" s="229"/>
      <c r="G12" s="229"/>
      <c r="H12" s="228" t="s">
        <v>67</v>
      </c>
      <c r="I12" s="228"/>
      <c r="J12" s="228"/>
      <c r="K12" s="228"/>
      <c r="L12" s="228"/>
      <c r="M12" s="228"/>
      <c r="N12" s="229" t="s">
        <v>21</v>
      </c>
      <c r="O12" s="229"/>
      <c r="P12" s="229"/>
      <c r="Q12" s="229"/>
      <c r="R12" s="229"/>
      <c r="S12" s="283" t="s">
        <v>55</v>
      </c>
      <c r="T12" s="283"/>
      <c r="U12" s="283"/>
      <c r="V12" s="283"/>
      <c r="W12" s="283"/>
      <c r="X12" s="283"/>
      <c r="Y12" s="283"/>
      <c r="Z12" s="12"/>
    </row>
    <row r="13" spans="1:30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30" s="17" customFormat="1" ht="15" customHeight="1" x14ac:dyDescent="0.25">
      <c r="B14" s="18"/>
      <c r="C14" s="18"/>
      <c r="K14" s="19"/>
      <c r="L14" s="18"/>
      <c r="M14" s="20"/>
    </row>
    <row r="15" spans="1:30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30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85" t="s">
        <v>25</v>
      </c>
      <c r="C17" s="185"/>
      <c r="D17" s="185"/>
      <c r="E17" s="185"/>
      <c r="F17" s="185"/>
      <c r="G17" s="185"/>
      <c r="H17" s="185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8"/>
    </row>
    <row r="18" spans="1:26" s="17" customFormat="1" ht="15" customHeight="1" x14ac:dyDescent="0.25">
      <c r="A18" s="24"/>
      <c r="B18" s="185" t="s">
        <v>26</v>
      </c>
      <c r="C18" s="185"/>
      <c r="D18" s="185"/>
      <c r="E18" s="185"/>
      <c r="F18" s="185"/>
      <c r="G18" s="185"/>
      <c r="H18" s="185"/>
      <c r="I18" s="178" t="s">
        <v>27</v>
      </c>
      <c r="J18" s="178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92" t="s">
        <v>31</v>
      </c>
      <c r="K21" s="192"/>
      <c r="L21" s="192"/>
      <c r="M21" s="192"/>
      <c r="N21" s="192"/>
      <c r="O21" s="192"/>
      <c r="P21" s="192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6" t="s">
        <v>32</v>
      </c>
      <c r="C23" s="188" t="s">
        <v>33</v>
      </c>
      <c r="D23" s="188"/>
      <c r="E23" s="188"/>
      <c r="F23" s="188"/>
      <c r="G23" s="189"/>
      <c r="H23" s="182" t="s">
        <v>34</v>
      </c>
      <c r="I23" s="183"/>
      <c r="J23" s="184"/>
      <c r="K23" s="188" t="s">
        <v>35</v>
      </c>
      <c r="L23" s="188"/>
      <c r="M23" s="188"/>
      <c r="N23" s="188"/>
      <c r="O23" s="188"/>
      <c r="P23" s="189"/>
      <c r="Z23" s="11"/>
    </row>
    <row r="24" spans="1:26" ht="15.75" customHeight="1" x14ac:dyDescent="0.25">
      <c r="A24" s="9"/>
      <c r="B24" s="187"/>
      <c r="C24" s="190"/>
      <c r="D24" s="190"/>
      <c r="E24" s="190"/>
      <c r="F24" s="190"/>
      <c r="G24" s="191"/>
      <c r="H24" s="179" t="s">
        <v>36</v>
      </c>
      <c r="I24" s="180"/>
      <c r="J24" s="181"/>
      <c r="K24" s="190"/>
      <c r="L24" s="190"/>
      <c r="M24" s="190"/>
      <c r="N24" s="190"/>
      <c r="O24" s="190"/>
      <c r="P24" s="191"/>
      <c r="Z24" s="11"/>
    </row>
    <row r="25" spans="1:26" ht="19.5" customHeight="1" x14ac:dyDescent="0.25">
      <c r="A25" s="9"/>
      <c r="B25" s="45">
        <v>1</v>
      </c>
      <c r="C25" s="171"/>
      <c r="D25" s="172"/>
      <c r="E25" s="172"/>
      <c r="F25" s="172"/>
      <c r="G25" s="173"/>
      <c r="H25" s="174">
        <v>111</v>
      </c>
      <c r="I25" s="175"/>
      <c r="J25" s="176"/>
      <c r="K25" s="171"/>
      <c r="L25" s="172"/>
      <c r="M25" s="172"/>
      <c r="N25" s="172"/>
      <c r="O25" s="172"/>
      <c r="P25" s="173"/>
      <c r="Z25" s="11"/>
    </row>
    <row r="26" spans="1:26" ht="19.5" customHeight="1" x14ac:dyDescent="0.25">
      <c r="A26" s="9"/>
      <c r="B26" s="45">
        <v>2</v>
      </c>
      <c r="C26" s="171"/>
      <c r="D26" s="172"/>
      <c r="E26" s="172"/>
      <c r="F26" s="172"/>
      <c r="G26" s="173"/>
      <c r="H26" s="174">
        <v>94</v>
      </c>
      <c r="I26" s="175"/>
      <c r="J26" s="176"/>
      <c r="K26" s="171"/>
      <c r="L26" s="172"/>
      <c r="M26" s="172"/>
      <c r="N26" s="172"/>
      <c r="O26" s="172"/>
      <c r="P26" s="173"/>
      <c r="Z26" s="11"/>
    </row>
    <row r="27" spans="1:26" ht="19.5" customHeight="1" x14ac:dyDescent="0.25">
      <c r="A27" s="9"/>
      <c r="B27" s="45">
        <v>3</v>
      </c>
      <c r="C27" s="171"/>
      <c r="D27" s="172"/>
      <c r="E27" s="172"/>
      <c r="F27" s="172"/>
      <c r="G27" s="173"/>
      <c r="H27" s="174">
        <v>81</v>
      </c>
      <c r="I27" s="175"/>
      <c r="J27" s="176"/>
      <c r="K27" s="171"/>
      <c r="L27" s="172"/>
      <c r="M27" s="172"/>
      <c r="N27" s="172"/>
      <c r="O27" s="172"/>
      <c r="P27" s="173"/>
      <c r="Z27" s="11"/>
    </row>
    <row r="28" spans="1:26" ht="19.5" customHeight="1" x14ac:dyDescent="0.25">
      <c r="A28" s="9"/>
      <c r="B28" s="45">
        <v>4</v>
      </c>
      <c r="C28" s="171"/>
      <c r="D28" s="172"/>
      <c r="E28" s="172"/>
      <c r="F28" s="172"/>
      <c r="G28" s="173"/>
      <c r="H28" s="174">
        <v>67</v>
      </c>
      <c r="I28" s="175"/>
      <c r="J28" s="176"/>
      <c r="K28" s="171"/>
      <c r="L28" s="172"/>
      <c r="M28" s="172"/>
      <c r="N28" s="172"/>
      <c r="O28" s="172"/>
      <c r="P28" s="173"/>
      <c r="Z28" s="11"/>
    </row>
    <row r="29" spans="1:26" ht="19.5" customHeight="1" x14ac:dyDescent="0.25">
      <c r="A29" s="9"/>
      <c r="B29" s="45">
        <v>5</v>
      </c>
      <c r="C29" s="171"/>
      <c r="D29" s="172"/>
      <c r="E29" s="172"/>
      <c r="F29" s="172"/>
      <c r="G29" s="173"/>
      <c r="H29" s="174">
        <v>31</v>
      </c>
      <c r="I29" s="175"/>
      <c r="J29" s="176"/>
      <c r="K29" s="171"/>
      <c r="L29" s="172"/>
      <c r="M29" s="172"/>
      <c r="N29" s="172"/>
      <c r="O29" s="172"/>
      <c r="P29" s="173"/>
      <c r="Z29" s="11"/>
    </row>
    <row r="30" spans="1:26" ht="19.5" customHeight="1" x14ac:dyDescent="0.25">
      <c r="A30" s="9"/>
      <c r="B30" s="45">
        <v>6</v>
      </c>
      <c r="C30" s="171"/>
      <c r="D30" s="172"/>
      <c r="E30" s="172"/>
      <c r="F30" s="172"/>
      <c r="G30" s="173"/>
      <c r="H30" s="174" t="s">
        <v>63</v>
      </c>
      <c r="I30" s="175"/>
      <c r="J30" s="176"/>
      <c r="K30" s="171"/>
      <c r="L30" s="172"/>
      <c r="M30" s="172"/>
      <c r="N30" s="172"/>
      <c r="O30" s="172"/>
      <c r="P30" s="173"/>
      <c r="Z30" s="11"/>
    </row>
    <row r="31" spans="1:26" ht="19.5" customHeight="1" x14ac:dyDescent="0.25">
      <c r="A31" s="9"/>
      <c r="B31" s="45">
        <v>7</v>
      </c>
      <c r="C31" s="171"/>
      <c r="D31" s="172"/>
      <c r="E31" s="172"/>
      <c r="F31" s="172"/>
      <c r="G31" s="173"/>
      <c r="H31" s="174">
        <v>39</v>
      </c>
      <c r="I31" s="175"/>
      <c r="J31" s="176"/>
      <c r="K31" s="171"/>
      <c r="L31" s="172"/>
      <c r="M31" s="172"/>
      <c r="N31" s="172"/>
      <c r="O31" s="172"/>
      <c r="P31" s="173"/>
      <c r="Z31" s="11"/>
    </row>
    <row r="32" spans="1:26" ht="19.5" customHeight="1" x14ac:dyDescent="0.25">
      <c r="A32" s="9"/>
      <c r="B32" s="45">
        <v>8</v>
      </c>
      <c r="C32" s="171"/>
      <c r="D32" s="172"/>
      <c r="E32" s="172"/>
      <c r="F32" s="172"/>
      <c r="G32" s="173"/>
      <c r="H32" s="174">
        <v>32</v>
      </c>
      <c r="I32" s="175"/>
      <c r="J32" s="176"/>
      <c r="K32" s="171"/>
      <c r="L32" s="172"/>
      <c r="M32" s="172"/>
      <c r="N32" s="172"/>
      <c r="O32" s="172"/>
      <c r="P32" s="173"/>
      <c r="Z32" s="11"/>
    </row>
    <row r="33" spans="1:26" ht="19.5" customHeight="1" x14ac:dyDescent="0.25">
      <c r="A33" s="9"/>
      <c r="B33" s="45">
        <v>9</v>
      </c>
      <c r="C33" s="171"/>
      <c r="D33" s="172"/>
      <c r="E33" s="172"/>
      <c r="F33" s="172"/>
      <c r="G33" s="173"/>
      <c r="H33" s="174">
        <v>50</v>
      </c>
      <c r="I33" s="175"/>
      <c r="J33" s="176"/>
      <c r="K33" s="171"/>
      <c r="L33" s="172"/>
      <c r="M33" s="172"/>
      <c r="N33" s="172"/>
      <c r="O33" s="172"/>
      <c r="P33" s="173"/>
      <c r="Z33" s="11"/>
    </row>
    <row r="34" spans="1:26" ht="19.5" customHeight="1" x14ac:dyDescent="0.25">
      <c r="A34" s="9"/>
      <c r="B34" s="45">
        <v>10</v>
      </c>
      <c r="C34" s="171"/>
      <c r="D34" s="172"/>
      <c r="E34" s="172"/>
      <c r="F34" s="172"/>
      <c r="G34" s="173"/>
      <c r="H34" s="174">
        <v>22</v>
      </c>
      <c r="I34" s="175"/>
      <c r="J34" s="176"/>
      <c r="K34" s="171"/>
      <c r="L34" s="172"/>
      <c r="M34" s="172"/>
      <c r="N34" s="172"/>
      <c r="O34" s="172"/>
      <c r="P34" s="173"/>
      <c r="Z34" s="11"/>
    </row>
    <row r="35" spans="1:26" ht="19.5" customHeight="1" x14ac:dyDescent="0.25">
      <c r="A35" s="9"/>
      <c r="B35" s="45">
        <v>11</v>
      </c>
      <c r="C35" s="171"/>
      <c r="D35" s="172"/>
      <c r="E35" s="172"/>
      <c r="F35" s="172"/>
      <c r="G35" s="173"/>
      <c r="H35" s="174">
        <v>50</v>
      </c>
      <c r="I35" s="175"/>
      <c r="J35" s="176"/>
      <c r="K35" s="171"/>
      <c r="L35" s="172"/>
      <c r="M35" s="172"/>
      <c r="N35" s="172"/>
      <c r="O35" s="172"/>
      <c r="P35" s="173"/>
      <c r="Z35" s="11"/>
    </row>
    <row r="36" spans="1:26" ht="19.5" customHeight="1" x14ac:dyDescent="0.25">
      <c r="A36" s="9"/>
      <c r="B36" s="72">
        <v>12</v>
      </c>
      <c r="C36" s="165"/>
      <c r="D36" s="166"/>
      <c r="E36" s="166"/>
      <c r="F36" s="166"/>
      <c r="G36" s="167"/>
      <c r="H36" s="168">
        <v>28</v>
      </c>
      <c r="I36" s="169"/>
      <c r="J36" s="170"/>
      <c r="K36" s="165"/>
      <c r="L36" s="166"/>
      <c r="M36" s="166"/>
      <c r="N36" s="166"/>
      <c r="O36" s="166"/>
      <c r="P36" s="167"/>
      <c r="Z36" s="11"/>
    </row>
    <row r="37" spans="1:26" ht="19.5" customHeight="1" x14ac:dyDescent="0.25">
      <c r="A37" s="9"/>
      <c r="B37" s="155"/>
      <c r="C37" s="156"/>
      <c r="D37" s="157"/>
      <c r="E37" s="157"/>
      <c r="F37" s="157"/>
      <c r="G37" s="158"/>
      <c r="H37" s="159"/>
      <c r="I37" s="160"/>
      <c r="J37" s="161"/>
      <c r="K37" s="156"/>
      <c r="L37" s="157"/>
      <c r="M37" s="157"/>
      <c r="N37" s="157"/>
      <c r="O37" s="157"/>
      <c r="P37" s="162"/>
      <c r="Z37" s="11"/>
    </row>
    <row r="38" spans="1:26" ht="19.5" customHeight="1" x14ac:dyDescent="0.25">
      <c r="A38" s="9"/>
      <c r="B38" s="153"/>
      <c r="C38" s="151"/>
      <c r="D38" s="146"/>
      <c r="E38" s="146"/>
      <c r="F38" s="146"/>
      <c r="G38" s="147"/>
      <c r="H38" s="148"/>
      <c r="I38" s="149"/>
      <c r="J38" s="150"/>
      <c r="K38" s="151"/>
      <c r="L38" s="146"/>
      <c r="M38" s="146"/>
      <c r="N38" s="146"/>
      <c r="O38" s="146"/>
      <c r="P38" s="152"/>
      <c r="Z38" s="11"/>
    </row>
    <row r="39" spans="1:26" ht="19.5" customHeight="1" x14ac:dyDescent="0.25">
      <c r="A39" s="9"/>
      <c r="B39" s="155"/>
      <c r="C39" s="156"/>
      <c r="D39" s="157"/>
      <c r="E39" s="157"/>
      <c r="F39" s="157"/>
      <c r="G39" s="158"/>
      <c r="H39" s="159"/>
      <c r="I39" s="160"/>
      <c r="J39" s="161"/>
      <c r="K39" s="156"/>
      <c r="L39" s="157"/>
      <c r="M39" s="157"/>
      <c r="N39" s="157"/>
      <c r="O39" s="157"/>
      <c r="P39" s="162"/>
      <c r="Z39" s="11"/>
    </row>
    <row r="40" spans="1:26" ht="19.5" customHeight="1" x14ac:dyDescent="0.25">
      <c r="A40" s="9"/>
      <c r="B40" s="153"/>
      <c r="C40" s="151"/>
      <c r="D40" s="146"/>
      <c r="E40" s="146"/>
      <c r="F40" s="146"/>
      <c r="G40" s="147"/>
      <c r="H40" s="148"/>
      <c r="I40" s="149"/>
      <c r="J40" s="150"/>
      <c r="K40" s="151"/>
      <c r="L40" s="146"/>
      <c r="M40" s="146"/>
      <c r="N40" s="146"/>
      <c r="O40" s="146"/>
      <c r="P40" s="152"/>
      <c r="Z40" s="11"/>
    </row>
    <row r="41" spans="1:26" ht="19.5" customHeight="1" x14ac:dyDescent="0.25">
      <c r="A41" s="9"/>
      <c r="B41" s="155"/>
      <c r="C41" s="157"/>
      <c r="D41" s="157"/>
      <c r="E41" s="157"/>
      <c r="F41" s="157"/>
      <c r="G41" s="158"/>
      <c r="H41" s="159"/>
      <c r="I41" s="160"/>
      <c r="J41" s="161"/>
      <c r="K41" s="156"/>
      <c r="L41" s="157"/>
      <c r="M41" s="157"/>
      <c r="N41" s="157"/>
      <c r="O41" s="157"/>
      <c r="P41" s="158"/>
      <c r="Z41" s="11"/>
    </row>
    <row r="42" spans="1:26" ht="19.5" customHeight="1" x14ac:dyDescent="0.25">
      <c r="A42" s="9"/>
      <c r="B42" s="153"/>
      <c r="C42" s="146"/>
      <c r="D42" s="146"/>
      <c r="E42" s="146"/>
      <c r="F42" s="146"/>
      <c r="G42" s="147"/>
      <c r="H42" s="148"/>
      <c r="I42" s="149"/>
      <c r="J42" s="150"/>
      <c r="K42" s="151"/>
      <c r="L42" s="146"/>
      <c r="M42" s="146"/>
      <c r="N42" s="146"/>
      <c r="O42" s="146"/>
      <c r="P42" s="147"/>
      <c r="Z42" s="11"/>
    </row>
    <row r="43" spans="1:26" ht="19.5" customHeight="1" x14ac:dyDescent="0.25">
      <c r="A43" s="9"/>
      <c r="B43" s="155"/>
      <c r="C43" s="157"/>
      <c r="D43" s="157"/>
      <c r="E43" s="157"/>
      <c r="F43" s="157"/>
      <c r="G43" s="158"/>
      <c r="H43" s="159"/>
      <c r="I43" s="160"/>
      <c r="J43" s="161"/>
      <c r="K43" s="156"/>
      <c r="L43" s="157"/>
      <c r="M43" s="157"/>
      <c r="N43" s="157"/>
      <c r="O43" s="157"/>
      <c r="P43" s="158"/>
      <c r="Z43" s="11"/>
    </row>
    <row r="44" spans="1:26" ht="19.5" customHeight="1" x14ac:dyDescent="0.25">
      <c r="A44" s="9"/>
      <c r="B44" s="153"/>
      <c r="C44" s="146"/>
      <c r="D44" s="146"/>
      <c r="E44" s="146"/>
      <c r="F44" s="146"/>
      <c r="G44" s="147"/>
      <c r="H44" s="148"/>
      <c r="I44" s="149"/>
      <c r="J44" s="150"/>
      <c r="K44" s="151"/>
      <c r="L44" s="146"/>
      <c r="M44" s="146"/>
      <c r="N44" s="146"/>
      <c r="O44" s="146"/>
      <c r="P44" s="147"/>
      <c r="Z44" s="11"/>
    </row>
    <row r="45" spans="1:26" ht="19.5" customHeight="1" x14ac:dyDescent="0.25">
      <c r="A45" s="9"/>
      <c r="B45" s="155"/>
      <c r="C45" s="157"/>
      <c r="D45" s="157"/>
      <c r="E45" s="157"/>
      <c r="F45" s="157"/>
      <c r="G45" s="158"/>
      <c r="H45" s="159"/>
      <c r="I45" s="160"/>
      <c r="J45" s="161"/>
      <c r="K45" s="156"/>
      <c r="L45" s="157"/>
      <c r="M45" s="157"/>
      <c r="N45" s="157"/>
      <c r="O45" s="157"/>
      <c r="P45" s="158"/>
      <c r="Z45" s="11"/>
    </row>
    <row r="46" spans="1:26" ht="19.5" customHeight="1" x14ac:dyDescent="0.25">
      <c r="A46" s="9"/>
      <c r="B46" s="153"/>
      <c r="C46" s="146"/>
      <c r="D46" s="146"/>
      <c r="E46" s="146"/>
      <c r="F46" s="146"/>
      <c r="G46" s="147"/>
      <c r="H46" s="148"/>
      <c r="I46" s="149"/>
      <c r="J46" s="150"/>
      <c r="K46" s="151"/>
      <c r="L46" s="146"/>
      <c r="M46" s="146"/>
      <c r="N46" s="146"/>
      <c r="O46" s="146"/>
      <c r="P46" s="147"/>
      <c r="Z46" s="11"/>
    </row>
    <row r="47" spans="1:26" ht="19.5" customHeight="1" x14ac:dyDescent="0.25">
      <c r="A47" s="9"/>
      <c r="B47" s="155"/>
      <c r="C47" s="157"/>
      <c r="D47" s="157"/>
      <c r="E47" s="157"/>
      <c r="F47" s="157"/>
      <c r="G47" s="158"/>
      <c r="H47" s="159"/>
      <c r="I47" s="160"/>
      <c r="J47" s="161"/>
      <c r="K47" s="156"/>
      <c r="L47" s="157"/>
      <c r="M47" s="157"/>
      <c r="N47" s="157"/>
      <c r="O47" s="157"/>
      <c r="P47" s="158"/>
      <c r="Z47" s="11"/>
    </row>
    <row r="48" spans="1:26" ht="19.5" customHeight="1" x14ac:dyDescent="0.25">
      <c r="A48" s="9"/>
      <c r="B48" s="153"/>
      <c r="C48" s="146"/>
      <c r="D48" s="146"/>
      <c r="E48" s="146"/>
      <c r="F48" s="146"/>
      <c r="G48" s="147"/>
      <c r="H48" s="148"/>
      <c r="I48" s="149"/>
      <c r="J48" s="150"/>
      <c r="K48" s="151"/>
      <c r="L48" s="146"/>
      <c r="M48" s="146"/>
      <c r="N48" s="146"/>
      <c r="O48" s="146"/>
      <c r="P48" s="147"/>
      <c r="Z48" s="11"/>
    </row>
    <row r="49" spans="1:26" ht="19.5" customHeight="1" x14ac:dyDescent="0.25">
      <c r="A49" s="9"/>
      <c r="B49" s="155"/>
      <c r="C49" s="157"/>
      <c r="D49" s="157"/>
      <c r="E49" s="157"/>
      <c r="F49" s="157"/>
      <c r="G49" s="158"/>
      <c r="H49" s="159"/>
      <c r="I49" s="160"/>
      <c r="J49" s="161"/>
      <c r="K49" s="156"/>
      <c r="L49" s="157"/>
      <c r="M49" s="157"/>
      <c r="N49" s="157"/>
      <c r="O49" s="157"/>
      <c r="P49" s="158"/>
      <c r="Z49" s="11"/>
    </row>
    <row r="50" spans="1:26" ht="19.5" customHeight="1" x14ac:dyDescent="0.25">
      <c r="A50" s="9"/>
      <c r="B50" s="153"/>
      <c r="C50" s="146"/>
      <c r="D50" s="146"/>
      <c r="E50" s="146"/>
      <c r="F50" s="146"/>
      <c r="G50" s="147"/>
      <c r="H50" s="148"/>
      <c r="I50" s="149"/>
      <c r="J50" s="150"/>
      <c r="K50" s="151"/>
      <c r="L50" s="146"/>
      <c r="M50" s="146"/>
      <c r="N50" s="146"/>
      <c r="O50" s="146"/>
      <c r="P50" s="147"/>
      <c r="Z50" s="11"/>
    </row>
    <row r="51" spans="1:26" ht="19.5" customHeight="1" x14ac:dyDescent="0.25">
      <c r="A51" s="9"/>
      <c r="B51" s="155"/>
      <c r="C51" s="157"/>
      <c r="D51" s="157"/>
      <c r="E51" s="157"/>
      <c r="F51" s="157"/>
      <c r="G51" s="158"/>
      <c r="H51" s="159"/>
      <c r="I51" s="160"/>
      <c r="J51" s="161"/>
      <c r="K51" s="156"/>
      <c r="L51" s="157"/>
      <c r="M51" s="157"/>
      <c r="N51" s="157"/>
      <c r="O51" s="157"/>
      <c r="P51" s="158"/>
      <c r="Z51" s="11"/>
    </row>
    <row r="52" spans="1:26" ht="19.5" customHeight="1" x14ac:dyDescent="0.25">
      <c r="A52" s="9"/>
      <c r="B52" s="153"/>
      <c r="C52" s="146"/>
      <c r="D52" s="146"/>
      <c r="E52" s="146"/>
      <c r="F52" s="146"/>
      <c r="G52" s="147"/>
      <c r="H52" s="148"/>
      <c r="I52" s="149"/>
      <c r="J52" s="150"/>
      <c r="K52" s="151"/>
      <c r="L52" s="146"/>
      <c r="M52" s="146"/>
      <c r="N52" s="146"/>
      <c r="O52" s="146"/>
      <c r="P52" s="147"/>
      <c r="Z52" s="11"/>
    </row>
    <row r="53" spans="1:26" ht="19.5" customHeight="1" x14ac:dyDescent="0.25">
      <c r="A53" s="9"/>
      <c r="B53" s="155"/>
      <c r="C53" s="157"/>
      <c r="D53" s="157"/>
      <c r="E53" s="157"/>
      <c r="F53" s="157"/>
      <c r="G53" s="158"/>
      <c r="H53" s="159"/>
      <c r="I53" s="160"/>
      <c r="J53" s="161"/>
      <c r="K53" s="156"/>
      <c r="L53" s="157"/>
      <c r="M53" s="157"/>
      <c r="N53" s="157"/>
      <c r="O53" s="157"/>
      <c r="P53" s="158"/>
      <c r="Z53" s="11"/>
    </row>
    <row r="54" spans="1:26" ht="19.5" customHeight="1" thickBot="1" x14ac:dyDescent="0.3">
      <c r="A54" s="9"/>
      <c r="B54" s="154"/>
      <c r="C54" s="251"/>
      <c r="D54" s="251"/>
      <c r="E54" s="251"/>
      <c r="F54" s="251"/>
      <c r="G54" s="252"/>
      <c r="H54" s="270"/>
      <c r="I54" s="271"/>
      <c r="J54" s="272"/>
      <c r="K54" s="273"/>
      <c r="L54" s="251"/>
      <c r="M54" s="251"/>
      <c r="N54" s="251"/>
      <c r="O54" s="251"/>
      <c r="P54" s="252"/>
      <c r="Z54" s="11"/>
    </row>
    <row r="55" spans="1:26" ht="15.75" customHeight="1" x14ac:dyDescent="0.25">
      <c r="A55" s="9"/>
      <c r="B55" s="259" t="s">
        <v>37</v>
      </c>
      <c r="C55" s="260"/>
      <c r="D55" s="260"/>
      <c r="E55" s="260"/>
      <c r="F55" s="260"/>
      <c r="G55" s="261"/>
      <c r="H55" s="211">
        <f>AVERAGE(H25:J54)</f>
        <v>55</v>
      </c>
      <c r="I55" s="212"/>
      <c r="J55" s="213"/>
      <c r="K55" s="222" t="s">
        <v>62</v>
      </c>
      <c r="L55" s="223"/>
      <c r="M55" s="217" t="s">
        <v>39</v>
      </c>
      <c r="N55" s="217"/>
      <c r="O55" s="217"/>
      <c r="P55" s="218"/>
      <c r="Z55" s="11"/>
    </row>
    <row r="56" spans="1:26" ht="15.75" customHeight="1" x14ac:dyDescent="0.25">
      <c r="A56" s="9"/>
      <c r="B56" s="253" t="s">
        <v>40</v>
      </c>
      <c r="C56" s="254"/>
      <c r="D56" s="254"/>
      <c r="E56" s="254"/>
      <c r="F56" s="254"/>
      <c r="G56" s="255"/>
      <c r="H56" s="214" t="str">
        <f>IF(COUNTIF(H25:J54,"*&lt;20*"),"&lt;20",MIN(H25:J54))</f>
        <v>&lt;20</v>
      </c>
      <c r="I56" s="215"/>
      <c r="J56" s="216"/>
      <c r="K56" s="224"/>
      <c r="L56" s="225"/>
      <c r="M56" s="177"/>
      <c r="N56" s="177"/>
      <c r="O56" s="177"/>
      <c r="P56" s="219"/>
      <c r="Z56" s="11"/>
    </row>
    <row r="57" spans="1:26" ht="15.75" customHeight="1" thickBot="1" x14ac:dyDescent="0.3">
      <c r="A57" s="9"/>
      <c r="B57" s="256" t="s">
        <v>41</v>
      </c>
      <c r="C57" s="257"/>
      <c r="D57" s="257"/>
      <c r="E57" s="257"/>
      <c r="F57" s="257"/>
      <c r="G57" s="258"/>
      <c r="H57" s="208">
        <f>IF(COUNTIF(H25:J54,"*&gt;250*"),"&gt;250",MAX(H25:J54))</f>
        <v>111</v>
      </c>
      <c r="I57" s="209"/>
      <c r="J57" s="210"/>
      <c r="K57" s="226"/>
      <c r="L57" s="227"/>
      <c r="M57" s="220"/>
      <c r="N57" s="220"/>
      <c r="O57" s="220"/>
      <c r="P57" s="221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42" t="s">
        <v>44</v>
      </c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4"/>
      <c r="R61" s="236" t="s">
        <v>45</v>
      </c>
      <c r="S61" s="237"/>
      <c r="T61" s="238"/>
      <c r="U61" s="193" t="s">
        <v>61</v>
      </c>
      <c r="V61" s="194"/>
      <c r="W61" s="194"/>
      <c r="X61" s="195"/>
      <c r="Y61" s="195"/>
      <c r="Z61" s="196"/>
    </row>
    <row r="62" spans="1:26" s="17" customFormat="1" ht="15.6" customHeight="1" x14ac:dyDescent="0.25">
      <c r="A62" s="245" t="s">
        <v>53</v>
      </c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7"/>
      <c r="R62" s="236" t="s">
        <v>47</v>
      </c>
      <c r="S62" s="237"/>
      <c r="T62" s="238"/>
      <c r="U62" s="197" t="s">
        <v>60</v>
      </c>
      <c r="V62" s="198"/>
      <c r="W62" s="198"/>
      <c r="X62" s="199"/>
      <c r="Y62" s="199"/>
      <c r="Z62" s="200"/>
    </row>
    <row r="63" spans="1:26" s="17" customFormat="1" ht="15.6" customHeight="1" x14ac:dyDescent="0.25">
      <c r="A63" s="248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50"/>
      <c r="R63" s="236"/>
      <c r="S63" s="237"/>
      <c r="T63" s="238"/>
      <c r="U63" s="201"/>
      <c r="V63" s="177"/>
      <c r="W63" s="177"/>
      <c r="X63" s="202"/>
      <c r="Y63" s="202"/>
      <c r="Z63" s="203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36"/>
      <c r="S64" s="237"/>
      <c r="T64" s="238"/>
      <c r="U64" s="204"/>
      <c r="V64" s="205"/>
      <c r="W64" s="205"/>
      <c r="X64" s="206"/>
      <c r="Y64" s="206"/>
      <c r="Z64" s="207"/>
    </row>
    <row r="65" spans="1:26" s="17" customFormat="1" ht="15.6" customHeight="1" x14ac:dyDescent="0.25">
      <c r="A65" s="230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2"/>
      <c r="R65" s="236" t="s">
        <v>51</v>
      </c>
      <c r="S65" s="237"/>
      <c r="T65" s="23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30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2"/>
      <c r="R66" s="236"/>
      <c r="S66" s="237"/>
      <c r="T66" s="238"/>
      <c r="U66" s="61"/>
      <c r="V66" s="177"/>
      <c r="W66" s="177"/>
      <c r="X66" s="177"/>
      <c r="Y66" s="177"/>
      <c r="Z66" s="62"/>
    </row>
    <row r="67" spans="1:26" s="17" customFormat="1" ht="15.6" customHeight="1" x14ac:dyDescent="0.25">
      <c r="A67" s="230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2"/>
      <c r="R67" s="236"/>
      <c r="S67" s="237"/>
      <c r="T67" s="238"/>
      <c r="U67" s="61"/>
      <c r="V67" s="177"/>
      <c r="W67" s="177"/>
      <c r="X67" s="177"/>
      <c r="Y67" s="177"/>
      <c r="Z67" s="62"/>
    </row>
    <row r="68" spans="1:26" s="17" customFormat="1" ht="15.6" customHeight="1" x14ac:dyDescent="0.25">
      <c r="A68" s="233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5"/>
      <c r="R68" s="239"/>
      <c r="S68" s="240"/>
      <c r="T68" s="24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H31:J31"/>
    <mergeCell ref="K31:P31"/>
    <mergeCell ref="B17:H17"/>
    <mergeCell ref="B12:G12"/>
    <mergeCell ref="C26:G26"/>
    <mergeCell ref="H26:J26"/>
    <mergeCell ref="K26:P26"/>
    <mergeCell ref="C27:G27"/>
    <mergeCell ref="H27:J27"/>
    <mergeCell ref="K27:P27"/>
    <mergeCell ref="C32:G32"/>
    <mergeCell ref="N10:R10"/>
    <mergeCell ref="G2:T4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0:G30"/>
    <mergeCell ref="H30:J30"/>
    <mergeCell ref="K30:P30"/>
    <mergeCell ref="C31:G31"/>
    <mergeCell ref="U61:Z61"/>
    <mergeCell ref="U62:Z64"/>
    <mergeCell ref="H57:J57"/>
    <mergeCell ref="H55:J55"/>
    <mergeCell ref="H56:J56"/>
    <mergeCell ref="M55:P57"/>
    <mergeCell ref="K55:L57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H32:J32"/>
    <mergeCell ref="K32:P32"/>
    <mergeCell ref="C33:G33"/>
    <mergeCell ref="H33:J33"/>
    <mergeCell ref="K33:P33"/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7AD7-A0B5-404E-8629-3E3508CA8146}">
  <sheetPr>
    <pageSetUpPr fitToPage="1"/>
  </sheetPr>
  <dimension ref="A1:AA76"/>
  <sheetViews>
    <sheetView topLeftCell="A8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29"/>
      <c r="B1" s="430"/>
      <c r="C1" s="430"/>
      <c r="D1" s="430"/>
      <c r="E1" s="430"/>
      <c r="F1" s="431"/>
      <c r="G1" s="438" t="s">
        <v>0</v>
      </c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40"/>
      <c r="U1" s="409" t="s">
        <v>52</v>
      </c>
      <c r="V1" s="410"/>
      <c r="W1" s="410"/>
      <c r="X1" s="410"/>
      <c r="Y1" s="410"/>
      <c r="Z1" s="411"/>
    </row>
    <row r="2" spans="1:26" ht="12.75" customHeight="1" x14ac:dyDescent="0.25">
      <c r="A2" s="432"/>
      <c r="B2" s="433"/>
      <c r="C2" s="433"/>
      <c r="D2" s="433"/>
      <c r="E2" s="433"/>
      <c r="F2" s="434"/>
      <c r="G2" s="398" t="s">
        <v>1</v>
      </c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400"/>
      <c r="U2" s="412"/>
      <c r="V2" s="413"/>
      <c r="W2" s="413"/>
      <c r="X2" s="413"/>
      <c r="Y2" s="413"/>
      <c r="Z2" s="414"/>
    </row>
    <row r="3" spans="1:26" ht="12.75" customHeight="1" x14ac:dyDescent="0.25">
      <c r="A3" s="432"/>
      <c r="B3" s="433"/>
      <c r="C3" s="433"/>
      <c r="D3" s="433"/>
      <c r="E3" s="433"/>
      <c r="F3" s="434"/>
      <c r="G3" s="398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400"/>
      <c r="U3" s="412"/>
      <c r="V3" s="413"/>
      <c r="W3" s="413"/>
      <c r="X3" s="413"/>
      <c r="Y3" s="413"/>
      <c r="Z3" s="414"/>
    </row>
    <row r="4" spans="1:26" ht="12.75" customHeight="1" x14ac:dyDescent="0.25">
      <c r="A4" s="432"/>
      <c r="B4" s="433"/>
      <c r="C4" s="433"/>
      <c r="D4" s="433"/>
      <c r="E4" s="433"/>
      <c r="F4" s="434"/>
      <c r="G4" s="398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400"/>
      <c r="U4" s="412"/>
      <c r="V4" s="413"/>
      <c r="W4" s="413"/>
      <c r="X4" s="413"/>
      <c r="Y4" s="413"/>
      <c r="Z4" s="414"/>
    </row>
    <row r="5" spans="1:26" ht="12.75" customHeight="1" x14ac:dyDescent="0.25">
      <c r="A5" s="432"/>
      <c r="B5" s="433"/>
      <c r="C5" s="433"/>
      <c r="D5" s="433"/>
      <c r="E5" s="433"/>
      <c r="F5" s="434"/>
      <c r="G5" s="401" t="s">
        <v>2</v>
      </c>
      <c r="H5" s="402"/>
      <c r="I5" s="419">
        <v>2</v>
      </c>
      <c r="J5" s="419"/>
      <c r="K5" s="420"/>
      <c r="L5" s="422" t="s">
        <v>3</v>
      </c>
      <c r="M5" s="423"/>
      <c r="N5" s="423"/>
      <c r="O5" s="424"/>
      <c r="P5" s="425" t="s">
        <v>58</v>
      </c>
      <c r="Q5" s="426"/>
      <c r="R5" s="426"/>
      <c r="S5" s="426"/>
      <c r="T5" s="427"/>
      <c r="U5" s="412"/>
      <c r="V5" s="413"/>
      <c r="W5" s="413"/>
      <c r="X5" s="413"/>
      <c r="Y5" s="413"/>
      <c r="Z5" s="414"/>
    </row>
    <row r="6" spans="1:26" ht="12.75" customHeight="1" x14ac:dyDescent="0.25">
      <c r="A6" s="435"/>
      <c r="B6" s="436"/>
      <c r="C6" s="436"/>
      <c r="D6" s="436"/>
      <c r="E6" s="436"/>
      <c r="F6" s="437"/>
      <c r="G6" s="145"/>
      <c r="H6" s="104"/>
      <c r="I6" s="421" t="s">
        <v>5</v>
      </c>
      <c r="J6" s="421"/>
      <c r="K6" s="421"/>
      <c r="L6" s="421" t="s">
        <v>6</v>
      </c>
      <c r="M6" s="421"/>
      <c r="N6" s="421"/>
      <c r="O6" s="421"/>
      <c r="P6" s="421" t="s">
        <v>7</v>
      </c>
      <c r="Q6" s="421"/>
      <c r="R6" s="421"/>
      <c r="S6" s="421"/>
      <c r="T6" s="428"/>
      <c r="U6" s="415"/>
      <c r="V6" s="416"/>
      <c r="W6" s="416"/>
      <c r="X6" s="416"/>
      <c r="Y6" s="416"/>
      <c r="Z6" s="417"/>
    </row>
    <row r="7" spans="1:26" ht="36.6" customHeight="1" x14ac:dyDescent="0.25">
      <c r="A7" s="403" t="s">
        <v>8</v>
      </c>
      <c r="B7" s="403"/>
      <c r="C7" s="403"/>
      <c r="D7" s="403"/>
      <c r="E7" s="403"/>
      <c r="F7" s="403"/>
      <c r="G7" s="404" t="s">
        <v>9</v>
      </c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</row>
    <row r="8" spans="1:26" ht="15.9" customHeight="1" x14ac:dyDescent="0.25">
      <c r="A8" s="124" t="s">
        <v>10</v>
      </c>
      <c r="B8" s="99" t="s">
        <v>11</v>
      </c>
      <c r="C8" s="96"/>
      <c r="D8" s="144"/>
      <c r="E8" s="144"/>
      <c r="F8" s="144"/>
      <c r="G8" s="144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0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64" t="s">
        <v>12</v>
      </c>
      <c r="C10" s="364"/>
      <c r="D10" s="364"/>
      <c r="E10" s="364"/>
      <c r="F10" s="364"/>
      <c r="G10" s="364"/>
      <c r="H10" s="363" t="s">
        <v>13</v>
      </c>
      <c r="I10" s="363"/>
      <c r="J10" s="363"/>
      <c r="K10" s="363"/>
      <c r="L10" s="363"/>
      <c r="M10" s="363"/>
      <c r="N10" s="364" t="s">
        <v>14</v>
      </c>
      <c r="O10" s="364"/>
      <c r="P10" s="364"/>
      <c r="Q10" s="364"/>
      <c r="R10" s="364"/>
      <c r="S10" s="418" t="s">
        <v>59</v>
      </c>
      <c r="T10" s="418"/>
      <c r="U10" s="418"/>
      <c r="V10" s="418"/>
      <c r="W10" s="418"/>
      <c r="X10" s="418"/>
      <c r="Y10" s="418"/>
      <c r="Z10" s="143"/>
    </row>
    <row r="11" spans="1:26" ht="15.9" customHeight="1" x14ac:dyDescent="0.25">
      <c r="A11" s="108"/>
      <c r="B11" s="364" t="s">
        <v>16</v>
      </c>
      <c r="C11" s="364"/>
      <c r="D11" s="364"/>
      <c r="E11" s="364"/>
      <c r="F11" s="364"/>
      <c r="G11" s="364"/>
      <c r="H11" s="363" t="s">
        <v>58</v>
      </c>
      <c r="I11" s="363"/>
      <c r="J11" s="363"/>
      <c r="K11" s="363"/>
      <c r="L11" s="363"/>
      <c r="M11" s="363"/>
      <c r="N11" s="364" t="s">
        <v>17</v>
      </c>
      <c r="O11" s="364"/>
      <c r="P11" s="364"/>
      <c r="Q11" s="364"/>
      <c r="R11" s="364"/>
      <c r="S11" s="418" t="s">
        <v>57</v>
      </c>
      <c r="T11" s="418"/>
      <c r="U11" s="418"/>
      <c r="V11" s="418"/>
      <c r="W11" s="418"/>
      <c r="X11" s="418"/>
      <c r="Y11" s="418"/>
      <c r="Z11" s="143"/>
    </row>
    <row r="12" spans="1:26" ht="15.9" customHeight="1" x14ac:dyDescent="0.25">
      <c r="A12" s="108"/>
      <c r="B12" s="364" t="s">
        <v>19</v>
      </c>
      <c r="C12" s="364"/>
      <c r="D12" s="364"/>
      <c r="E12" s="364"/>
      <c r="F12" s="364"/>
      <c r="G12" s="364"/>
      <c r="H12" s="363" t="s">
        <v>56</v>
      </c>
      <c r="I12" s="363"/>
      <c r="J12" s="363"/>
      <c r="K12" s="363"/>
      <c r="L12" s="363"/>
      <c r="M12" s="363"/>
      <c r="N12" s="364" t="s">
        <v>21</v>
      </c>
      <c r="O12" s="364"/>
      <c r="P12" s="364"/>
      <c r="Q12" s="364"/>
      <c r="R12" s="364"/>
      <c r="S12" s="418" t="s">
        <v>55</v>
      </c>
      <c r="T12" s="418"/>
      <c r="U12" s="418"/>
      <c r="V12" s="418"/>
      <c r="W12" s="418"/>
      <c r="X12" s="418"/>
      <c r="Y12" s="418"/>
      <c r="Z12" s="143"/>
    </row>
    <row r="13" spans="1:26" ht="8.25" customHeight="1" x14ac:dyDescent="0.25">
      <c r="A13" s="142"/>
      <c r="B13" s="104"/>
      <c r="C13" s="104"/>
      <c r="D13" s="141"/>
      <c r="E13" s="141"/>
      <c r="F13" s="141"/>
      <c r="G13" s="141"/>
      <c r="H13" s="104"/>
      <c r="I13" s="104"/>
      <c r="J13" s="104"/>
      <c r="K13" s="104"/>
      <c r="L13" s="104"/>
      <c r="M13" s="104"/>
      <c r="N13" s="140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38"/>
      <c r="C14" s="138"/>
      <c r="K14" s="139"/>
      <c r="L14" s="138"/>
      <c r="M14" s="137"/>
    </row>
    <row r="15" spans="1:26" s="76" customFormat="1" ht="15.6" customHeight="1" x14ac:dyDescent="0.25">
      <c r="A15" s="124" t="s">
        <v>23</v>
      </c>
      <c r="B15" s="136" t="s">
        <v>24</v>
      </c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4"/>
    </row>
    <row r="16" spans="1:26" s="76" customFormat="1" ht="15" customHeight="1" x14ac:dyDescent="0.25">
      <c r="A16" s="131"/>
      <c r="B16" s="133"/>
      <c r="Z16" s="132"/>
    </row>
    <row r="17" spans="1:26" s="76" customFormat="1" ht="15" customHeight="1" x14ac:dyDescent="0.25">
      <c r="A17" s="131"/>
      <c r="B17" s="320" t="s">
        <v>25</v>
      </c>
      <c r="C17" s="320"/>
      <c r="D17" s="320"/>
      <c r="E17" s="320"/>
      <c r="F17" s="320"/>
      <c r="G17" s="320"/>
      <c r="H17" s="320"/>
      <c r="I17" s="405"/>
      <c r="J17" s="405"/>
      <c r="K17" s="405"/>
      <c r="L17" s="405"/>
      <c r="M17" s="405"/>
      <c r="N17" s="405"/>
      <c r="O17" s="405"/>
      <c r="P17" s="405"/>
      <c r="Q17" s="405"/>
      <c r="R17" s="405"/>
      <c r="S17" s="405"/>
      <c r="T17" s="405"/>
      <c r="U17" s="405"/>
      <c r="V17" s="405"/>
      <c r="W17" s="405"/>
      <c r="X17" s="405"/>
      <c r="Y17" s="405"/>
      <c r="Z17" s="129"/>
    </row>
    <row r="18" spans="1:26" s="76" customFormat="1" ht="15" customHeight="1" x14ac:dyDescent="0.25">
      <c r="A18" s="131"/>
      <c r="B18" s="320" t="s">
        <v>26</v>
      </c>
      <c r="C18" s="320"/>
      <c r="D18" s="320"/>
      <c r="E18" s="320"/>
      <c r="F18" s="320"/>
      <c r="G18" s="320"/>
      <c r="H18" s="320"/>
      <c r="I18" s="313" t="s">
        <v>27</v>
      </c>
      <c r="J18" s="313"/>
      <c r="K18" s="130">
        <v>30</v>
      </c>
      <c r="L18" s="130" t="s">
        <v>28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29"/>
    </row>
    <row r="19" spans="1:26" s="76" customFormat="1" ht="13.2" customHeight="1" x14ac:dyDescent="0.25">
      <c r="A19" s="128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6"/>
    </row>
    <row r="20" spans="1:26" ht="12.75" customHeight="1" x14ac:dyDescent="0.25">
      <c r="D20" s="75"/>
      <c r="E20" s="75"/>
      <c r="F20" s="75"/>
      <c r="G20" s="75"/>
      <c r="N20" s="125"/>
    </row>
    <row r="21" spans="1:26" ht="15.9" customHeight="1" x14ac:dyDescent="0.25">
      <c r="A21" s="124" t="s">
        <v>29</v>
      </c>
      <c r="B21" s="123" t="s">
        <v>30</v>
      </c>
      <c r="C21" s="121"/>
      <c r="D21" s="122"/>
      <c r="E21" s="122"/>
      <c r="F21" s="122"/>
      <c r="G21" s="122"/>
      <c r="H21" s="121"/>
      <c r="I21" s="121"/>
      <c r="J21" s="327" t="s">
        <v>31</v>
      </c>
      <c r="K21" s="327"/>
      <c r="L21" s="327"/>
      <c r="M21" s="327"/>
      <c r="N21" s="327"/>
      <c r="O21" s="327"/>
      <c r="P21" s="327"/>
      <c r="Q21" s="118">
        <v>600</v>
      </c>
      <c r="R21" s="96"/>
      <c r="S21" s="96"/>
      <c r="T21" s="96"/>
      <c r="U21" s="96"/>
      <c r="V21" s="96"/>
      <c r="W21" s="96"/>
      <c r="X21" s="96"/>
      <c r="Y21" s="96"/>
      <c r="Z21" s="120"/>
    </row>
    <row r="22" spans="1:26" ht="12.75" customHeight="1" x14ac:dyDescent="0.25">
      <c r="A22" s="108"/>
      <c r="B22" s="119"/>
      <c r="Z22" s="107"/>
    </row>
    <row r="23" spans="1:26" ht="15.75" customHeight="1" x14ac:dyDescent="0.25">
      <c r="A23" s="108"/>
      <c r="B23" s="321" t="s">
        <v>32</v>
      </c>
      <c r="C23" s="323" t="s">
        <v>33</v>
      </c>
      <c r="D23" s="323"/>
      <c r="E23" s="323"/>
      <c r="F23" s="323"/>
      <c r="G23" s="324"/>
      <c r="H23" s="317" t="s">
        <v>34</v>
      </c>
      <c r="I23" s="318"/>
      <c r="J23" s="319"/>
      <c r="K23" s="323" t="s">
        <v>35</v>
      </c>
      <c r="L23" s="323"/>
      <c r="M23" s="323"/>
      <c r="N23" s="323"/>
      <c r="O23" s="323"/>
      <c r="P23" s="324"/>
      <c r="Z23" s="107"/>
    </row>
    <row r="24" spans="1:26" ht="15.75" customHeight="1" x14ac:dyDescent="0.25">
      <c r="A24" s="108"/>
      <c r="B24" s="322"/>
      <c r="C24" s="325"/>
      <c r="D24" s="325"/>
      <c r="E24" s="325"/>
      <c r="F24" s="325"/>
      <c r="G24" s="326"/>
      <c r="H24" s="314" t="s">
        <v>36</v>
      </c>
      <c r="I24" s="315"/>
      <c r="J24" s="316"/>
      <c r="K24" s="325"/>
      <c r="L24" s="325"/>
      <c r="M24" s="325"/>
      <c r="N24" s="325"/>
      <c r="O24" s="325"/>
      <c r="P24" s="326"/>
      <c r="Z24" s="107"/>
    </row>
    <row r="25" spans="1:26" ht="19.5" customHeight="1" x14ac:dyDescent="0.25">
      <c r="A25" s="108"/>
      <c r="B25" s="117">
        <v>1</v>
      </c>
      <c r="C25" s="306"/>
      <c r="D25" s="307"/>
      <c r="E25" s="307"/>
      <c r="F25" s="307"/>
      <c r="G25" s="308"/>
      <c r="H25" s="309">
        <v>28</v>
      </c>
      <c r="I25" s="310"/>
      <c r="J25" s="311"/>
      <c r="K25" s="306"/>
      <c r="L25" s="307"/>
      <c r="M25" s="307"/>
      <c r="N25" s="307"/>
      <c r="O25" s="307"/>
      <c r="P25" s="308"/>
      <c r="Z25" s="107"/>
    </row>
    <row r="26" spans="1:26" ht="19.5" customHeight="1" x14ac:dyDescent="0.25">
      <c r="A26" s="108"/>
      <c r="B26" s="117">
        <v>2</v>
      </c>
      <c r="C26" s="306"/>
      <c r="D26" s="307"/>
      <c r="E26" s="307"/>
      <c r="F26" s="307"/>
      <c r="G26" s="308"/>
      <c r="H26" s="309">
        <v>43</v>
      </c>
      <c r="I26" s="310"/>
      <c r="J26" s="311"/>
      <c r="K26" s="306"/>
      <c r="L26" s="307"/>
      <c r="M26" s="307"/>
      <c r="N26" s="307"/>
      <c r="O26" s="307"/>
      <c r="P26" s="308"/>
      <c r="Z26" s="107"/>
    </row>
    <row r="27" spans="1:26" ht="19.5" customHeight="1" x14ac:dyDescent="0.25">
      <c r="A27" s="108"/>
      <c r="B27" s="117">
        <v>3</v>
      </c>
      <c r="C27" s="306"/>
      <c r="D27" s="307"/>
      <c r="E27" s="307"/>
      <c r="F27" s="307"/>
      <c r="G27" s="308"/>
      <c r="H27" s="309">
        <v>23</v>
      </c>
      <c r="I27" s="310"/>
      <c r="J27" s="311"/>
      <c r="K27" s="306"/>
      <c r="L27" s="307"/>
      <c r="M27" s="307"/>
      <c r="N27" s="307"/>
      <c r="O27" s="307"/>
      <c r="P27" s="308"/>
      <c r="Z27" s="107"/>
    </row>
    <row r="28" spans="1:26" ht="19.5" customHeight="1" x14ac:dyDescent="0.25">
      <c r="A28" s="108"/>
      <c r="B28" s="117">
        <v>4</v>
      </c>
      <c r="C28" s="306"/>
      <c r="D28" s="307"/>
      <c r="E28" s="307"/>
      <c r="F28" s="307"/>
      <c r="G28" s="308"/>
      <c r="H28" s="309">
        <v>40</v>
      </c>
      <c r="I28" s="310"/>
      <c r="J28" s="311"/>
      <c r="K28" s="306"/>
      <c r="L28" s="307"/>
      <c r="M28" s="307"/>
      <c r="N28" s="307"/>
      <c r="O28" s="307"/>
      <c r="P28" s="308"/>
      <c r="Z28" s="107"/>
    </row>
    <row r="29" spans="1:26" ht="19.5" customHeight="1" x14ac:dyDescent="0.25">
      <c r="A29" s="108"/>
      <c r="B29" s="117">
        <v>5</v>
      </c>
      <c r="C29" s="306"/>
      <c r="D29" s="307"/>
      <c r="E29" s="307"/>
      <c r="F29" s="307"/>
      <c r="G29" s="308"/>
      <c r="H29" s="309">
        <v>25</v>
      </c>
      <c r="I29" s="310"/>
      <c r="J29" s="311"/>
      <c r="K29" s="306"/>
      <c r="L29" s="307"/>
      <c r="M29" s="307"/>
      <c r="N29" s="307"/>
      <c r="O29" s="307"/>
      <c r="P29" s="308"/>
      <c r="Z29" s="107"/>
    </row>
    <row r="30" spans="1:26" ht="19.5" customHeight="1" x14ac:dyDescent="0.25">
      <c r="A30" s="108"/>
      <c r="B30" s="117">
        <v>6</v>
      </c>
      <c r="C30" s="306"/>
      <c r="D30" s="307"/>
      <c r="E30" s="307"/>
      <c r="F30" s="307"/>
      <c r="G30" s="308"/>
      <c r="H30" s="309">
        <v>28</v>
      </c>
      <c r="I30" s="310"/>
      <c r="J30" s="311"/>
      <c r="K30" s="306"/>
      <c r="L30" s="307"/>
      <c r="M30" s="307"/>
      <c r="N30" s="307"/>
      <c r="O30" s="307"/>
      <c r="P30" s="308"/>
      <c r="Z30" s="107"/>
    </row>
    <row r="31" spans="1:26" ht="19.5" customHeight="1" x14ac:dyDescent="0.25">
      <c r="A31" s="108"/>
      <c r="B31" s="117">
        <v>7</v>
      </c>
      <c r="C31" s="306"/>
      <c r="D31" s="307"/>
      <c r="E31" s="307"/>
      <c r="F31" s="307"/>
      <c r="G31" s="308"/>
      <c r="H31" s="309">
        <v>34</v>
      </c>
      <c r="I31" s="310"/>
      <c r="J31" s="311"/>
      <c r="K31" s="306"/>
      <c r="L31" s="307"/>
      <c r="M31" s="307"/>
      <c r="N31" s="307"/>
      <c r="O31" s="307"/>
      <c r="P31" s="308"/>
      <c r="Z31" s="107"/>
    </row>
    <row r="32" spans="1:26" ht="19.5" customHeight="1" x14ac:dyDescent="0.25">
      <c r="A32" s="108"/>
      <c r="B32" s="117">
        <v>8</v>
      </c>
      <c r="C32" s="306"/>
      <c r="D32" s="307"/>
      <c r="E32" s="307"/>
      <c r="F32" s="307"/>
      <c r="G32" s="308"/>
      <c r="H32" s="309">
        <v>50</v>
      </c>
      <c r="I32" s="310"/>
      <c r="J32" s="311"/>
      <c r="K32" s="306"/>
      <c r="L32" s="307"/>
      <c r="M32" s="307"/>
      <c r="N32" s="307"/>
      <c r="O32" s="307"/>
      <c r="P32" s="308"/>
      <c r="Z32" s="107"/>
    </row>
    <row r="33" spans="1:26" ht="19.5" customHeight="1" x14ac:dyDescent="0.25">
      <c r="A33" s="108"/>
      <c r="B33" s="116"/>
      <c r="C33" s="112"/>
      <c r="D33" s="111"/>
      <c r="E33" s="111"/>
      <c r="F33" s="111"/>
      <c r="G33" s="110"/>
      <c r="H33" s="115"/>
      <c r="I33" s="114"/>
      <c r="J33" s="113"/>
      <c r="K33" s="112"/>
      <c r="L33" s="111"/>
      <c r="M33" s="111"/>
      <c r="N33" s="111"/>
      <c r="O33" s="111"/>
      <c r="P33" s="110"/>
      <c r="Z33" s="107"/>
    </row>
    <row r="34" spans="1:26" ht="19.5" customHeight="1" x14ac:dyDescent="0.25">
      <c r="A34" s="108"/>
      <c r="B34" s="116"/>
      <c r="C34" s="112"/>
      <c r="D34" s="111"/>
      <c r="E34" s="111"/>
      <c r="F34" s="111"/>
      <c r="G34" s="110"/>
      <c r="H34" s="115"/>
      <c r="I34" s="114"/>
      <c r="J34" s="113"/>
      <c r="K34" s="112"/>
      <c r="L34" s="111"/>
      <c r="M34" s="111"/>
      <c r="N34" s="111"/>
      <c r="O34" s="111"/>
      <c r="P34" s="110"/>
      <c r="Z34" s="107"/>
    </row>
    <row r="35" spans="1:26" ht="19.5" customHeight="1" x14ac:dyDescent="0.25">
      <c r="A35" s="108"/>
      <c r="B35" s="116"/>
      <c r="C35" s="112"/>
      <c r="D35" s="111"/>
      <c r="E35" s="111"/>
      <c r="F35" s="111"/>
      <c r="G35" s="110"/>
      <c r="H35" s="115"/>
      <c r="I35" s="114"/>
      <c r="J35" s="113"/>
      <c r="K35" s="112"/>
      <c r="L35" s="111"/>
      <c r="M35" s="111"/>
      <c r="N35" s="111"/>
      <c r="O35" s="111"/>
      <c r="P35" s="110"/>
      <c r="Z35" s="107"/>
    </row>
    <row r="36" spans="1:26" ht="19.5" customHeight="1" x14ac:dyDescent="0.25">
      <c r="A36" s="108"/>
      <c r="B36" s="116"/>
      <c r="C36" s="112"/>
      <c r="D36" s="111"/>
      <c r="E36" s="111"/>
      <c r="F36" s="111"/>
      <c r="G36" s="110"/>
      <c r="H36" s="115"/>
      <c r="I36" s="114"/>
      <c r="J36" s="113"/>
      <c r="K36" s="112"/>
      <c r="L36" s="111"/>
      <c r="M36" s="111"/>
      <c r="N36" s="111"/>
      <c r="O36" s="111"/>
      <c r="P36" s="110"/>
      <c r="Z36" s="107"/>
    </row>
    <row r="37" spans="1:26" ht="19.5" customHeight="1" x14ac:dyDescent="0.25">
      <c r="A37" s="108"/>
      <c r="B37" s="116"/>
      <c r="C37" s="112"/>
      <c r="D37" s="111"/>
      <c r="E37" s="111"/>
      <c r="F37" s="111"/>
      <c r="G37" s="110"/>
      <c r="H37" s="115"/>
      <c r="I37" s="114"/>
      <c r="J37" s="113"/>
      <c r="K37" s="112"/>
      <c r="L37" s="111"/>
      <c r="M37" s="111"/>
      <c r="N37" s="111"/>
      <c r="O37" s="111"/>
      <c r="P37" s="110"/>
      <c r="Z37" s="107"/>
    </row>
    <row r="38" spans="1:26" ht="19.5" customHeight="1" x14ac:dyDescent="0.25">
      <c r="A38" s="108"/>
      <c r="B38" s="116"/>
      <c r="C38" s="112"/>
      <c r="D38" s="111"/>
      <c r="E38" s="111"/>
      <c r="F38" s="111"/>
      <c r="G38" s="110"/>
      <c r="H38" s="115"/>
      <c r="I38" s="114"/>
      <c r="J38" s="113"/>
      <c r="K38" s="112"/>
      <c r="L38" s="111"/>
      <c r="M38" s="111"/>
      <c r="N38" s="111"/>
      <c r="O38" s="111"/>
      <c r="P38" s="110"/>
      <c r="Z38" s="107"/>
    </row>
    <row r="39" spans="1:26" ht="19.5" customHeight="1" x14ac:dyDescent="0.25">
      <c r="A39" s="108"/>
      <c r="B39" s="116"/>
      <c r="C39" s="112"/>
      <c r="D39" s="111"/>
      <c r="E39" s="111"/>
      <c r="F39" s="111"/>
      <c r="G39" s="110"/>
      <c r="H39" s="115"/>
      <c r="I39" s="114"/>
      <c r="J39" s="113"/>
      <c r="K39" s="112"/>
      <c r="L39" s="111"/>
      <c r="M39" s="111"/>
      <c r="N39" s="111"/>
      <c r="O39" s="111"/>
      <c r="P39" s="110"/>
      <c r="Z39" s="107"/>
    </row>
    <row r="40" spans="1:26" ht="19.5" customHeight="1" x14ac:dyDescent="0.25">
      <c r="A40" s="108"/>
      <c r="B40" s="116"/>
      <c r="C40" s="112"/>
      <c r="D40" s="111"/>
      <c r="E40" s="111"/>
      <c r="F40" s="111"/>
      <c r="G40" s="110"/>
      <c r="H40" s="115"/>
      <c r="I40" s="114"/>
      <c r="J40" s="113"/>
      <c r="K40" s="112"/>
      <c r="L40" s="111"/>
      <c r="M40" s="111"/>
      <c r="N40" s="111"/>
      <c r="O40" s="111"/>
      <c r="P40" s="110"/>
      <c r="Z40" s="107"/>
    </row>
    <row r="41" spans="1:26" ht="19.5" customHeight="1" x14ac:dyDescent="0.25">
      <c r="A41" s="108"/>
      <c r="B41" s="116"/>
      <c r="C41" s="112"/>
      <c r="D41" s="111"/>
      <c r="E41" s="111"/>
      <c r="F41" s="111"/>
      <c r="G41" s="110"/>
      <c r="H41" s="115"/>
      <c r="I41" s="114"/>
      <c r="J41" s="113"/>
      <c r="K41" s="112"/>
      <c r="L41" s="111"/>
      <c r="M41" s="111"/>
      <c r="N41" s="111"/>
      <c r="O41" s="111"/>
      <c r="P41" s="110"/>
      <c r="Z41" s="107"/>
    </row>
    <row r="42" spans="1:26" ht="19.5" customHeight="1" x14ac:dyDescent="0.25">
      <c r="A42" s="108"/>
      <c r="B42" s="116"/>
      <c r="C42" s="112"/>
      <c r="D42" s="111"/>
      <c r="E42" s="111"/>
      <c r="F42" s="111"/>
      <c r="G42" s="110"/>
      <c r="H42" s="115"/>
      <c r="I42" s="114"/>
      <c r="J42" s="113"/>
      <c r="K42" s="112"/>
      <c r="L42" s="111"/>
      <c r="M42" s="111"/>
      <c r="N42" s="111"/>
      <c r="O42" s="111"/>
      <c r="P42" s="110"/>
      <c r="Z42" s="107"/>
    </row>
    <row r="43" spans="1:26" ht="19.5" customHeight="1" x14ac:dyDescent="0.25">
      <c r="A43" s="108"/>
      <c r="B43" s="116"/>
      <c r="C43" s="112"/>
      <c r="D43" s="111"/>
      <c r="E43" s="111"/>
      <c r="F43" s="111"/>
      <c r="G43" s="110"/>
      <c r="H43" s="115"/>
      <c r="I43" s="114"/>
      <c r="J43" s="113"/>
      <c r="K43" s="112"/>
      <c r="L43" s="111"/>
      <c r="M43" s="111"/>
      <c r="N43" s="111"/>
      <c r="O43" s="111"/>
      <c r="P43" s="110"/>
      <c r="Z43" s="107"/>
    </row>
    <row r="44" spans="1:26" ht="19.5" customHeight="1" x14ac:dyDescent="0.25">
      <c r="A44" s="108"/>
      <c r="B44" s="116"/>
      <c r="C44" s="112"/>
      <c r="D44" s="111"/>
      <c r="E44" s="111"/>
      <c r="F44" s="111"/>
      <c r="G44" s="110"/>
      <c r="H44" s="115"/>
      <c r="I44" s="114"/>
      <c r="J44" s="113"/>
      <c r="K44" s="112"/>
      <c r="L44" s="111"/>
      <c r="M44" s="111"/>
      <c r="N44" s="111"/>
      <c r="O44" s="111"/>
      <c r="P44" s="110"/>
      <c r="Z44" s="107"/>
    </row>
    <row r="45" spans="1:26" ht="19.5" customHeight="1" x14ac:dyDescent="0.25">
      <c r="A45" s="108"/>
      <c r="B45" s="116"/>
      <c r="C45" s="112"/>
      <c r="D45" s="111"/>
      <c r="E45" s="111"/>
      <c r="F45" s="111"/>
      <c r="G45" s="110"/>
      <c r="H45" s="115"/>
      <c r="I45" s="114"/>
      <c r="J45" s="113"/>
      <c r="K45" s="112"/>
      <c r="L45" s="111"/>
      <c r="M45" s="111"/>
      <c r="N45" s="111"/>
      <c r="O45" s="111"/>
      <c r="P45" s="110"/>
      <c r="Z45" s="107"/>
    </row>
    <row r="46" spans="1:26" ht="19.5" customHeight="1" x14ac:dyDescent="0.25">
      <c r="A46" s="108"/>
      <c r="B46" s="116"/>
      <c r="C46" s="112"/>
      <c r="D46" s="111"/>
      <c r="E46" s="111"/>
      <c r="F46" s="111"/>
      <c r="G46" s="110"/>
      <c r="H46" s="115"/>
      <c r="I46" s="114"/>
      <c r="J46" s="113"/>
      <c r="K46" s="112"/>
      <c r="L46" s="111"/>
      <c r="M46" s="111"/>
      <c r="N46" s="111"/>
      <c r="O46" s="111"/>
      <c r="P46" s="110"/>
      <c r="Z46" s="107"/>
    </row>
    <row r="47" spans="1:26" ht="19.5" customHeight="1" x14ac:dyDescent="0.25">
      <c r="A47" s="108"/>
      <c r="B47" s="116"/>
      <c r="C47" s="112"/>
      <c r="D47" s="111"/>
      <c r="E47" s="111"/>
      <c r="F47" s="111"/>
      <c r="G47" s="110"/>
      <c r="H47" s="115"/>
      <c r="I47" s="114"/>
      <c r="J47" s="113"/>
      <c r="K47" s="112"/>
      <c r="L47" s="111"/>
      <c r="M47" s="111"/>
      <c r="N47" s="111"/>
      <c r="O47" s="111"/>
      <c r="P47" s="110"/>
      <c r="Z47" s="107"/>
    </row>
    <row r="48" spans="1:26" ht="19.5" customHeight="1" x14ac:dyDescent="0.25">
      <c r="A48" s="108"/>
      <c r="B48" s="116"/>
      <c r="C48" s="112"/>
      <c r="D48" s="111"/>
      <c r="E48" s="111"/>
      <c r="F48" s="111"/>
      <c r="G48" s="110"/>
      <c r="H48" s="115"/>
      <c r="I48" s="114"/>
      <c r="J48" s="113"/>
      <c r="K48" s="112"/>
      <c r="L48" s="111"/>
      <c r="M48" s="111"/>
      <c r="N48" s="111"/>
      <c r="O48" s="111"/>
      <c r="P48" s="110"/>
      <c r="Z48" s="107"/>
    </row>
    <row r="49" spans="1:26" ht="19.5" customHeight="1" x14ac:dyDescent="0.25">
      <c r="A49" s="108"/>
      <c r="B49" s="116"/>
      <c r="C49" s="112"/>
      <c r="D49" s="111"/>
      <c r="E49" s="111"/>
      <c r="F49" s="111"/>
      <c r="G49" s="110"/>
      <c r="H49" s="115"/>
      <c r="I49" s="114"/>
      <c r="J49" s="113"/>
      <c r="K49" s="112"/>
      <c r="L49" s="111"/>
      <c r="M49" s="111"/>
      <c r="N49" s="111"/>
      <c r="O49" s="111"/>
      <c r="P49" s="110"/>
      <c r="Z49" s="107"/>
    </row>
    <row r="50" spans="1:26" ht="19.5" customHeight="1" x14ac:dyDescent="0.25">
      <c r="A50" s="108"/>
      <c r="B50" s="116"/>
      <c r="C50" s="112"/>
      <c r="D50" s="111"/>
      <c r="E50" s="111"/>
      <c r="F50" s="111"/>
      <c r="G50" s="110"/>
      <c r="H50" s="115"/>
      <c r="I50" s="114"/>
      <c r="J50" s="113"/>
      <c r="K50" s="112"/>
      <c r="L50" s="111"/>
      <c r="M50" s="111"/>
      <c r="N50" s="111"/>
      <c r="O50" s="111"/>
      <c r="P50" s="110"/>
      <c r="Z50" s="107"/>
    </row>
    <row r="51" spans="1:26" ht="19.5" customHeight="1" x14ac:dyDescent="0.25">
      <c r="A51" s="108"/>
      <c r="B51" s="116"/>
      <c r="C51" s="112"/>
      <c r="D51" s="111"/>
      <c r="E51" s="111"/>
      <c r="F51" s="111"/>
      <c r="G51" s="110"/>
      <c r="H51" s="115"/>
      <c r="I51" s="114"/>
      <c r="J51" s="113"/>
      <c r="K51" s="112"/>
      <c r="L51" s="111"/>
      <c r="M51" s="111"/>
      <c r="N51" s="111"/>
      <c r="O51" s="111"/>
      <c r="P51" s="110"/>
      <c r="Z51" s="107"/>
    </row>
    <row r="52" spans="1:26" ht="19.5" customHeight="1" x14ac:dyDescent="0.25">
      <c r="A52" s="108"/>
      <c r="B52" s="116"/>
      <c r="C52" s="112"/>
      <c r="D52" s="111"/>
      <c r="E52" s="111"/>
      <c r="F52" s="111"/>
      <c r="G52" s="110"/>
      <c r="H52" s="115"/>
      <c r="I52" s="114"/>
      <c r="J52" s="113"/>
      <c r="K52" s="112"/>
      <c r="L52" s="111"/>
      <c r="M52" s="111"/>
      <c r="N52" s="111"/>
      <c r="O52" s="111"/>
      <c r="P52" s="110"/>
      <c r="Z52" s="107"/>
    </row>
    <row r="53" spans="1:26" ht="19.5" customHeight="1" x14ac:dyDescent="0.25">
      <c r="A53" s="108"/>
      <c r="B53" s="116"/>
      <c r="C53" s="112"/>
      <c r="D53" s="111"/>
      <c r="E53" s="111"/>
      <c r="F53" s="111"/>
      <c r="G53" s="110"/>
      <c r="H53" s="115"/>
      <c r="I53" s="114"/>
      <c r="J53" s="113"/>
      <c r="K53" s="112"/>
      <c r="L53" s="111"/>
      <c r="M53" s="111"/>
      <c r="N53" s="111"/>
      <c r="O53" s="111"/>
      <c r="P53" s="110"/>
      <c r="Z53" s="107"/>
    </row>
    <row r="54" spans="1:26" ht="19.5" customHeight="1" thickBot="1" x14ac:dyDescent="0.3">
      <c r="A54" s="108"/>
      <c r="B54" s="109"/>
      <c r="C54" s="386"/>
      <c r="D54" s="387"/>
      <c r="E54" s="387"/>
      <c r="F54" s="387"/>
      <c r="G54" s="388"/>
      <c r="H54" s="406"/>
      <c r="I54" s="407"/>
      <c r="J54" s="408"/>
      <c r="K54" s="386"/>
      <c r="L54" s="387"/>
      <c r="M54" s="387"/>
      <c r="N54" s="387"/>
      <c r="O54" s="387"/>
      <c r="P54" s="388"/>
      <c r="Z54" s="107"/>
    </row>
    <row r="55" spans="1:26" ht="15.75" customHeight="1" x14ac:dyDescent="0.25">
      <c r="A55" s="108"/>
      <c r="B55" s="395" t="s">
        <v>37</v>
      </c>
      <c r="C55" s="396"/>
      <c r="D55" s="396"/>
      <c r="E55" s="396"/>
      <c r="F55" s="396"/>
      <c r="G55" s="397"/>
      <c r="H55" s="346">
        <f>AVERAGE(H25:J54)</f>
        <v>33.875</v>
      </c>
      <c r="I55" s="347"/>
      <c r="J55" s="348"/>
      <c r="K55" s="357" t="s">
        <v>54</v>
      </c>
      <c r="L55" s="358"/>
      <c r="M55" s="352" t="s">
        <v>39</v>
      </c>
      <c r="N55" s="352"/>
      <c r="O55" s="352"/>
      <c r="P55" s="353"/>
      <c r="Z55" s="107"/>
    </row>
    <row r="56" spans="1:26" ht="15.75" customHeight="1" x14ac:dyDescent="0.25">
      <c r="A56" s="108"/>
      <c r="B56" s="389" t="s">
        <v>40</v>
      </c>
      <c r="C56" s="390"/>
      <c r="D56" s="390"/>
      <c r="E56" s="390"/>
      <c r="F56" s="390"/>
      <c r="G56" s="391"/>
      <c r="H56" s="349">
        <f>IF(COUNTIF(H25:J54,"*&lt;20*"),"&lt;20",MIN(H25:J54))</f>
        <v>23</v>
      </c>
      <c r="I56" s="350"/>
      <c r="J56" s="351"/>
      <c r="K56" s="359"/>
      <c r="L56" s="360"/>
      <c r="M56" s="312"/>
      <c r="N56" s="312"/>
      <c r="O56" s="312"/>
      <c r="P56" s="354"/>
      <c r="Z56" s="107"/>
    </row>
    <row r="57" spans="1:26" ht="15.75" customHeight="1" thickBot="1" x14ac:dyDescent="0.3">
      <c r="A57" s="108"/>
      <c r="B57" s="392" t="s">
        <v>41</v>
      </c>
      <c r="C57" s="393"/>
      <c r="D57" s="393"/>
      <c r="E57" s="393"/>
      <c r="F57" s="393"/>
      <c r="G57" s="394"/>
      <c r="H57" s="343">
        <f>IF(COUNTIF(H25:J54,"*&gt;250*"),"&gt;250",MAX(H25:J54))</f>
        <v>50</v>
      </c>
      <c r="I57" s="344"/>
      <c r="J57" s="345"/>
      <c r="K57" s="361"/>
      <c r="L57" s="362"/>
      <c r="M57" s="355"/>
      <c r="N57" s="355"/>
      <c r="O57" s="355"/>
      <c r="P57" s="356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42</v>
      </c>
      <c r="B60" s="99" t="s">
        <v>43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377" t="s">
        <v>44</v>
      </c>
      <c r="B61" s="378"/>
      <c r="C61" s="378"/>
      <c r="D61" s="378"/>
      <c r="E61" s="378"/>
      <c r="F61" s="378"/>
      <c r="G61" s="378"/>
      <c r="H61" s="378"/>
      <c r="I61" s="378"/>
      <c r="J61" s="378"/>
      <c r="K61" s="378"/>
      <c r="L61" s="378"/>
      <c r="M61" s="378"/>
      <c r="N61" s="378"/>
      <c r="O61" s="378"/>
      <c r="P61" s="378"/>
      <c r="Q61" s="379"/>
      <c r="R61" s="371" t="s">
        <v>45</v>
      </c>
      <c r="S61" s="372"/>
      <c r="T61" s="373"/>
      <c r="U61" s="328" t="s">
        <v>13</v>
      </c>
      <c r="V61" s="329"/>
      <c r="W61" s="329"/>
      <c r="X61" s="330"/>
      <c r="Y61" s="330"/>
      <c r="Z61" s="331"/>
    </row>
    <row r="62" spans="1:26" s="76" customFormat="1" ht="15.6" customHeight="1" x14ac:dyDescent="0.25">
      <c r="A62" s="380" t="s">
        <v>53</v>
      </c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381"/>
      <c r="Q62" s="382"/>
      <c r="R62" s="371" t="s">
        <v>47</v>
      </c>
      <c r="S62" s="372"/>
      <c r="T62" s="373"/>
      <c r="U62" s="332" t="s">
        <v>48</v>
      </c>
      <c r="V62" s="333"/>
      <c r="W62" s="333"/>
      <c r="X62" s="334"/>
      <c r="Y62" s="334"/>
      <c r="Z62" s="335"/>
    </row>
    <row r="63" spans="1:26" s="76" customFormat="1" ht="15.6" customHeight="1" x14ac:dyDescent="0.25">
      <c r="A63" s="383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5"/>
      <c r="R63" s="371"/>
      <c r="S63" s="372"/>
      <c r="T63" s="373"/>
      <c r="U63" s="336"/>
      <c r="V63" s="312"/>
      <c r="W63" s="312"/>
      <c r="X63" s="337"/>
      <c r="Y63" s="337"/>
      <c r="Z63" s="338"/>
    </row>
    <row r="64" spans="1:26" s="76" customFormat="1" ht="15.6" customHeight="1" x14ac:dyDescent="0.25">
      <c r="A64" s="91" t="s">
        <v>49</v>
      </c>
      <c r="B64" s="90" t="s">
        <v>50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71"/>
      <c r="S64" s="372"/>
      <c r="T64" s="373"/>
      <c r="U64" s="339"/>
      <c r="V64" s="340"/>
      <c r="W64" s="340"/>
      <c r="X64" s="341"/>
      <c r="Y64" s="341"/>
      <c r="Z64" s="342"/>
    </row>
    <row r="65" spans="1:26" s="76" customFormat="1" ht="15.6" customHeight="1" x14ac:dyDescent="0.25">
      <c r="A65" s="365"/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7"/>
      <c r="R65" s="371" t="s">
        <v>51</v>
      </c>
      <c r="S65" s="372"/>
      <c r="T65" s="373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365"/>
      <c r="B66" s="366"/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7"/>
      <c r="R66" s="371"/>
      <c r="S66" s="372"/>
      <c r="T66" s="373"/>
      <c r="U66" s="84"/>
      <c r="V66" s="312"/>
      <c r="W66" s="312"/>
      <c r="X66" s="312"/>
      <c r="Y66" s="312"/>
      <c r="Z66" s="83"/>
    </row>
    <row r="67" spans="1:26" s="76" customFormat="1" ht="15.6" customHeight="1" x14ac:dyDescent="0.25">
      <c r="A67" s="365"/>
      <c r="B67" s="366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7"/>
      <c r="R67" s="371"/>
      <c r="S67" s="372"/>
      <c r="T67" s="373"/>
      <c r="U67" s="84"/>
      <c r="V67" s="312"/>
      <c r="W67" s="312"/>
      <c r="X67" s="312"/>
      <c r="Y67" s="312"/>
      <c r="Z67" s="83"/>
    </row>
    <row r="68" spans="1:26" s="76" customFormat="1" ht="15.6" customHeight="1" x14ac:dyDescent="0.25">
      <c r="A68" s="368"/>
      <c r="B68" s="369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70"/>
      <c r="R68" s="374"/>
      <c r="S68" s="375"/>
      <c r="T68" s="376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B11:G11"/>
    <mergeCell ref="U1:Z6"/>
    <mergeCell ref="K25:P25"/>
    <mergeCell ref="S11:Y11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S12:Y12"/>
    <mergeCell ref="K23:P24"/>
    <mergeCell ref="I17:Y17"/>
    <mergeCell ref="H54:J54"/>
    <mergeCell ref="K54:P54"/>
    <mergeCell ref="N12:R12"/>
    <mergeCell ref="H12:M12"/>
    <mergeCell ref="H30:J30"/>
    <mergeCell ref="K30:P30"/>
    <mergeCell ref="B17:H17"/>
    <mergeCell ref="B12:G12"/>
    <mergeCell ref="C26:G26"/>
    <mergeCell ref="H26:J26"/>
    <mergeCell ref="K26:P26"/>
    <mergeCell ref="C27:G27"/>
    <mergeCell ref="H27:J27"/>
    <mergeCell ref="K27:P27"/>
    <mergeCell ref="C29:G29"/>
    <mergeCell ref="N10:R10"/>
    <mergeCell ref="G2:T4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C32:G32"/>
    <mergeCell ref="H32:J32"/>
    <mergeCell ref="K32:P32"/>
    <mergeCell ref="C30:G30"/>
    <mergeCell ref="H29:J29"/>
    <mergeCell ref="K29:P29"/>
    <mergeCell ref="U61:Z61"/>
    <mergeCell ref="U62:Z64"/>
    <mergeCell ref="H57:J57"/>
    <mergeCell ref="H55:J55"/>
    <mergeCell ref="H56:J56"/>
    <mergeCell ref="M55:P57"/>
    <mergeCell ref="K55:L57"/>
    <mergeCell ref="C31:G31"/>
    <mergeCell ref="H31:J31"/>
    <mergeCell ref="K31:P31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294"/>
      <c r="B1" s="295"/>
      <c r="C1" s="295"/>
      <c r="D1" s="295"/>
      <c r="E1" s="295"/>
      <c r="F1" s="296"/>
      <c r="G1" s="303" t="s">
        <v>0</v>
      </c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5"/>
      <c r="U1" s="274" t="s">
        <v>52</v>
      </c>
      <c r="V1" s="275"/>
      <c r="W1" s="275"/>
      <c r="X1" s="275"/>
      <c r="Y1" s="275"/>
      <c r="Z1" s="276"/>
    </row>
    <row r="2" spans="1:26" ht="12.75" customHeight="1" x14ac:dyDescent="0.25">
      <c r="A2" s="297"/>
      <c r="B2" s="298"/>
      <c r="C2" s="298"/>
      <c r="D2" s="298"/>
      <c r="E2" s="298"/>
      <c r="F2" s="299"/>
      <c r="G2" s="262" t="s">
        <v>1</v>
      </c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4"/>
      <c r="U2" s="277"/>
      <c r="V2" s="278"/>
      <c r="W2" s="278"/>
      <c r="X2" s="278"/>
      <c r="Y2" s="278"/>
      <c r="Z2" s="279"/>
    </row>
    <row r="3" spans="1:26" ht="12.75" customHeight="1" x14ac:dyDescent="0.25">
      <c r="A3" s="297"/>
      <c r="B3" s="298"/>
      <c r="C3" s="298"/>
      <c r="D3" s="298"/>
      <c r="E3" s="298"/>
      <c r="F3" s="299"/>
      <c r="G3" s="262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4"/>
      <c r="U3" s="277"/>
      <c r="V3" s="278"/>
      <c r="W3" s="278"/>
      <c r="X3" s="278"/>
      <c r="Y3" s="278"/>
      <c r="Z3" s="279"/>
    </row>
    <row r="4" spans="1:26" ht="12.75" customHeight="1" x14ac:dyDescent="0.25">
      <c r="A4" s="297"/>
      <c r="B4" s="298"/>
      <c r="C4" s="298"/>
      <c r="D4" s="298"/>
      <c r="E4" s="298"/>
      <c r="F4" s="299"/>
      <c r="G4" s="262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77"/>
      <c r="V4" s="278"/>
      <c r="W4" s="278"/>
      <c r="X4" s="278"/>
      <c r="Y4" s="278"/>
      <c r="Z4" s="279"/>
    </row>
    <row r="5" spans="1:26" ht="12.75" customHeight="1" x14ac:dyDescent="0.25">
      <c r="A5" s="297"/>
      <c r="B5" s="298"/>
      <c r="C5" s="298"/>
      <c r="D5" s="298"/>
      <c r="E5" s="298"/>
      <c r="F5" s="299"/>
      <c r="G5" s="265" t="s">
        <v>2</v>
      </c>
      <c r="H5" s="266"/>
      <c r="I5" s="284">
        <v>1</v>
      </c>
      <c r="J5" s="284"/>
      <c r="K5" s="285"/>
      <c r="L5" s="287" t="s">
        <v>3</v>
      </c>
      <c r="M5" s="288"/>
      <c r="N5" s="288"/>
      <c r="O5" s="289"/>
      <c r="P5" s="290" t="s">
        <v>4</v>
      </c>
      <c r="Q5" s="291"/>
      <c r="R5" s="291"/>
      <c r="S5" s="291"/>
      <c r="T5" s="292"/>
      <c r="U5" s="277"/>
      <c r="V5" s="278"/>
      <c r="W5" s="278"/>
      <c r="X5" s="278"/>
      <c r="Y5" s="278"/>
      <c r="Z5" s="279"/>
    </row>
    <row r="6" spans="1:26" ht="12.75" customHeight="1" x14ac:dyDescent="0.25">
      <c r="A6" s="300"/>
      <c r="B6" s="301"/>
      <c r="C6" s="301"/>
      <c r="D6" s="301"/>
      <c r="E6" s="301"/>
      <c r="F6" s="302"/>
      <c r="G6" s="2"/>
      <c r="H6" s="3"/>
      <c r="I6" s="286" t="s">
        <v>5</v>
      </c>
      <c r="J6" s="286"/>
      <c r="K6" s="286"/>
      <c r="L6" s="286" t="s">
        <v>6</v>
      </c>
      <c r="M6" s="286"/>
      <c r="N6" s="286"/>
      <c r="O6" s="286"/>
      <c r="P6" s="286" t="s">
        <v>7</v>
      </c>
      <c r="Q6" s="286"/>
      <c r="R6" s="286"/>
      <c r="S6" s="286"/>
      <c r="T6" s="293"/>
      <c r="U6" s="280"/>
      <c r="V6" s="281"/>
      <c r="W6" s="281"/>
      <c r="X6" s="281"/>
      <c r="Y6" s="281"/>
      <c r="Z6" s="282"/>
    </row>
    <row r="7" spans="1:26" ht="36.6" customHeight="1" x14ac:dyDescent="0.25">
      <c r="A7" s="267" t="s">
        <v>8</v>
      </c>
      <c r="B7" s="267"/>
      <c r="C7" s="267"/>
      <c r="D7" s="267"/>
      <c r="E7" s="267"/>
      <c r="F7" s="267"/>
      <c r="G7" s="268" t="s">
        <v>9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229" t="s">
        <v>12</v>
      </c>
      <c r="C10" s="229"/>
      <c r="D10" s="229"/>
      <c r="E10" s="229"/>
      <c r="F10" s="229"/>
      <c r="G10" s="229"/>
      <c r="H10" s="228" t="s">
        <v>13</v>
      </c>
      <c r="I10" s="228"/>
      <c r="J10" s="228"/>
      <c r="K10" s="228"/>
      <c r="L10" s="228"/>
      <c r="M10" s="228"/>
      <c r="N10" s="229" t="s">
        <v>14</v>
      </c>
      <c r="O10" s="229"/>
      <c r="P10" s="229"/>
      <c r="Q10" s="229"/>
      <c r="R10" s="229"/>
      <c r="S10" s="283" t="s">
        <v>15</v>
      </c>
      <c r="T10" s="283"/>
      <c r="U10" s="283"/>
      <c r="V10" s="283"/>
      <c r="W10" s="283"/>
      <c r="X10" s="283"/>
      <c r="Y10" s="283"/>
      <c r="Z10" s="12"/>
    </row>
    <row r="11" spans="1:26" ht="15.9" customHeight="1" x14ac:dyDescent="0.25">
      <c r="A11" s="9"/>
      <c r="B11" s="229" t="s">
        <v>16</v>
      </c>
      <c r="C11" s="229"/>
      <c r="D11" s="229"/>
      <c r="E11" s="229"/>
      <c r="F11" s="229"/>
      <c r="G11" s="229"/>
      <c r="H11" s="228" t="s">
        <v>4</v>
      </c>
      <c r="I11" s="228"/>
      <c r="J11" s="228"/>
      <c r="K11" s="228"/>
      <c r="L11" s="228"/>
      <c r="M11" s="228"/>
      <c r="N11" s="229" t="s">
        <v>17</v>
      </c>
      <c r="O11" s="229"/>
      <c r="P11" s="229"/>
      <c r="Q11" s="229"/>
      <c r="R11" s="229"/>
      <c r="S11" s="283" t="s">
        <v>18</v>
      </c>
      <c r="T11" s="283"/>
      <c r="U11" s="283"/>
      <c r="V11" s="283"/>
      <c r="W11" s="283"/>
      <c r="X11" s="283"/>
      <c r="Y11" s="283"/>
      <c r="Z11" s="12"/>
    </row>
    <row r="12" spans="1:26" ht="15.9" customHeight="1" x14ac:dyDescent="0.25">
      <c r="A12" s="9"/>
      <c r="B12" s="229" t="s">
        <v>19</v>
      </c>
      <c r="C12" s="229"/>
      <c r="D12" s="229"/>
      <c r="E12" s="229"/>
      <c r="F12" s="229"/>
      <c r="G12" s="229"/>
      <c r="H12" s="228" t="s">
        <v>20</v>
      </c>
      <c r="I12" s="228"/>
      <c r="J12" s="228"/>
      <c r="K12" s="228"/>
      <c r="L12" s="228"/>
      <c r="M12" s="228"/>
      <c r="N12" s="229" t="s">
        <v>21</v>
      </c>
      <c r="O12" s="229"/>
      <c r="P12" s="229"/>
      <c r="Q12" s="229"/>
      <c r="R12" s="229"/>
      <c r="S12" s="283" t="s">
        <v>22</v>
      </c>
      <c r="T12" s="283"/>
      <c r="U12" s="283"/>
      <c r="V12" s="283"/>
      <c r="W12" s="283"/>
      <c r="X12" s="283"/>
      <c r="Y12" s="28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85" t="s">
        <v>25</v>
      </c>
      <c r="C17" s="185"/>
      <c r="D17" s="185"/>
      <c r="E17" s="185"/>
      <c r="F17" s="185"/>
      <c r="G17" s="185"/>
      <c r="H17" s="185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8"/>
    </row>
    <row r="18" spans="1:26" s="17" customFormat="1" ht="15" customHeight="1" x14ac:dyDescent="0.25">
      <c r="A18" s="24"/>
      <c r="B18" s="185" t="s">
        <v>26</v>
      </c>
      <c r="C18" s="185"/>
      <c r="D18" s="185"/>
      <c r="E18" s="185"/>
      <c r="F18" s="185"/>
      <c r="G18" s="185"/>
      <c r="H18" s="185"/>
      <c r="I18" s="178" t="s">
        <v>27</v>
      </c>
      <c r="J18" s="178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92" t="s">
        <v>31</v>
      </c>
      <c r="K21" s="192"/>
      <c r="L21" s="192"/>
      <c r="M21" s="192"/>
      <c r="N21" s="192"/>
      <c r="O21" s="192"/>
      <c r="P21" s="192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86" t="s">
        <v>32</v>
      </c>
      <c r="C23" s="188" t="s">
        <v>33</v>
      </c>
      <c r="D23" s="188"/>
      <c r="E23" s="188"/>
      <c r="F23" s="188"/>
      <c r="G23" s="189"/>
      <c r="H23" s="182" t="s">
        <v>34</v>
      </c>
      <c r="I23" s="183"/>
      <c r="J23" s="184"/>
      <c r="K23" s="188" t="s">
        <v>35</v>
      </c>
      <c r="L23" s="188"/>
      <c r="M23" s="188"/>
      <c r="N23" s="188"/>
      <c r="O23" s="188"/>
      <c r="P23" s="189"/>
      <c r="Z23" s="11"/>
    </row>
    <row r="24" spans="1:26" ht="15.75" customHeight="1" x14ac:dyDescent="0.25">
      <c r="A24" s="9"/>
      <c r="B24" s="187"/>
      <c r="C24" s="190"/>
      <c r="D24" s="190"/>
      <c r="E24" s="190"/>
      <c r="F24" s="190"/>
      <c r="G24" s="191"/>
      <c r="H24" s="179" t="s">
        <v>36</v>
      </c>
      <c r="I24" s="180"/>
      <c r="J24" s="181"/>
      <c r="K24" s="190"/>
      <c r="L24" s="190"/>
      <c r="M24" s="190"/>
      <c r="N24" s="190"/>
      <c r="O24" s="190"/>
      <c r="P24" s="191"/>
      <c r="Z24" s="11"/>
    </row>
    <row r="25" spans="1:26" ht="19.5" customHeight="1" x14ac:dyDescent="0.25">
      <c r="A25" s="9"/>
      <c r="B25" s="45">
        <v>1</v>
      </c>
      <c r="C25" s="171"/>
      <c r="D25" s="172"/>
      <c r="E25" s="172"/>
      <c r="F25" s="172"/>
      <c r="G25" s="173"/>
      <c r="H25" s="174">
        <v>99</v>
      </c>
      <c r="I25" s="175"/>
      <c r="J25" s="176"/>
      <c r="K25" s="171"/>
      <c r="L25" s="172"/>
      <c r="M25" s="172"/>
      <c r="N25" s="172"/>
      <c r="O25" s="172"/>
      <c r="P25" s="173"/>
      <c r="Z25" s="11"/>
    </row>
    <row r="26" spans="1:26" ht="19.5" customHeight="1" x14ac:dyDescent="0.25">
      <c r="A26" s="9"/>
      <c r="B26" s="45">
        <v>2</v>
      </c>
      <c r="C26" s="171"/>
      <c r="D26" s="172"/>
      <c r="E26" s="172"/>
      <c r="F26" s="172"/>
      <c r="G26" s="173"/>
      <c r="H26" s="174">
        <v>92</v>
      </c>
      <c r="I26" s="175"/>
      <c r="J26" s="176"/>
      <c r="K26" s="171"/>
      <c r="L26" s="172"/>
      <c r="M26" s="172"/>
      <c r="N26" s="172"/>
      <c r="O26" s="172"/>
      <c r="P26" s="173"/>
      <c r="Z26" s="11"/>
    </row>
    <row r="27" spans="1:26" ht="19.5" customHeight="1" x14ac:dyDescent="0.25">
      <c r="A27" s="9"/>
      <c r="B27" s="45">
        <v>3</v>
      </c>
      <c r="C27" s="171"/>
      <c r="D27" s="172"/>
      <c r="E27" s="172"/>
      <c r="F27" s="172"/>
      <c r="G27" s="173"/>
      <c r="H27" s="174">
        <v>101</v>
      </c>
      <c r="I27" s="175"/>
      <c r="J27" s="176"/>
      <c r="K27" s="171"/>
      <c r="L27" s="172"/>
      <c r="M27" s="172"/>
      <c r="N27" s="172"/>
      <c r="O27" s="172"/>
      <c r="P27" s="173"/>
      <c r="Z27" s="11"/>
    </row>
    <row r="28" spans="1:26" ht="19.5" customHeight="1" x14ac:dyDescent="0.25">
      <c r="A28" s="9"/>
      <c r="B28" s="45">
        <v>4</v>
      </c>
      <c r="C28" s="171"/>
      <c r="D28" s="172"/>
      <c r="E28" s="172"/>
      <c r="F28" s="172"/>
      <c r="G28" s="173"/>
      <c r="H28" s="174">
        <v>99</v>
      </c>
      <c r="I28" s="175"/>
      <c r="J28" s="176"/>
      <c r="K28" s="171"/>
      <c r="L28" s="172"/>
      <c r="M28" s="172"/>
      <c r="N28" s="172"/>
      <c r="O28" s="172"/>
      <c r="P28" s="173"/>
      <c r="Z28" s="11"/>
    </row>
    <row r="29" spans="1:26" ht="19.5" customHeight="1" x14ac:dyDescent="0.25">
      <c r="A29" s="9"/>
      <c r="B29" s="45">
        <v>5</v>
      </c>
      <c r="C29" s="171"/>
      <c r="D29" s="172"/>
      <c r="E29" s="172"/>
      <c r="F29" s="172"/>
      <c r="G29" s="173"/>
      <c r="H29" s="174">
        <v>97</v>
      </c>
      <c r="I29" s="175"/>
      <c r="J29" s="176"/>
      <c r="K29" s="171"/>
      <c r="L29" s="172"/>
      <c r="M29" s="172"/>
      <c r="N29" s="172"/>
      <c r="O29" s="172"/>
      <c r="P29" s="173"/>
      <c r="Z29" s="11"/>
    </row>
    <row r="30" spans="1:26" ht="19.5" customHeight="1" x14ac:dyDescent="0.25">
      <c r="A30" s="9"/>
      <c r="B30" s="45">
        <v>6</v>
      </c>
      <c r="C30" s="171"/>
      <c r="D30" s="172"/>
      <c r="E30" s="172"/>
      <c r="F30" s="172"/>
      <c r="G30" s="173"/>
      <c r="H30" s="174">
        <v>92</v>
      </c>
      <c r="I30" s="175"/>
      <c r="J30" s="176"/>
      <c r="K30" s="171"/>
      <c r="L30" s="172"/>
      <c r="M30" s="172"/>
      <c r="N30" s="172"/>
      <c r="O30" s="172"/>
      <c r="P30" s="173"/>
      <c r="Z30" s="11"/>
    </row>
    <row r="31" spans="1:26" ht="19.5" customHeight="1" x14ac:dyDescent="0.25">
      <c r="A31" s="9"/>
      <c r="B31" s="45">
        <v>7</v>
      </c>
      <c r="C31" s="171"/>
      <c r="D31" s="172"/>
      <c r="E31" s="172"/>
      <c r="F31" s="172"/>
      <c r="G31" s="173"/>
      <c r="H31" s="174">
        <v>100</v>
      </c>
      <c r="I31" s="175"/>
      <c r="J31" s="176"/>
      <c r="K31" s="171"/>
      <c r="L31" s="172"/>
      <c r="M31" s="172"/>
      <c r="N31" s="172"/>
      <c r="O31" s="172"/>
      <c r="P31" s="173"/>
      <c r="Z31" s="11"/>
    </row>
    <row r="32" spans="1:26" ht="19.5" customHeight="1" x14ac:dyDescent="0.25">
      <c r="A32" s="9"/>
      <c r="B32" s="45">
        <v>8</v>
      </c>
      <c r="C32" s="171"/>
      <c r="D32" s="172"/>
      <c r="E32" s="172"/>
      <c r="F32" s="172"/>
      <c r="G32" s="173"/>
      <c r="H32" s="174">
        <v>100</v>
      </c>
      <c r="I32" s="175"/>
      <c r="J32" s="176"/>
      <c r="K32" s="171"/>
      <c r="L32" s="172"/>
      <c r="M32" s="172"/>
      <c r="N32" s="172"/>
      <c r="O32" s="172"/>
      <c r="P32" s="173"/>
      <c r="Z32" s="11"/>
    </row>
    <row r="33" spans="1:26" ht="19.5" customHeight="1" x14ac:dyDescent="0.25">
      <c r="A33" s="9"/>
      <c r="B33" s="45">
        <v>9</v>
      </c>
      <c r="C33" s="171"/>
      <c r="D33" s="172"/>
      <c r="E33" s="172"/>
      <c r="F33" s="172"/>
      <c r="G33" s="173"/>
      <c r="H33" s="174">
        <v>103</v>
      </c>
      <c r="I33" s="175"/>
      <c r="J33" s="176"/>
      <c r="K33" s="171"/>
      <c r="L33" s="172"/>
      <c r="M33" s="172"/>
      <c r="N33" s="172"/>
      <c r="O33" s="172"/>
      <c r="P33" s="173"/>
      <c r="Z33" s="11"/>
    </row>
    <row r="34" spans="1:26" ht="19.5" customHeight="1" x14ac:dyDescent="0.25">
      <c r="A34" s="9"/>
      <c r="B34" s="45">
        <v>10</v>
      </c>
      <c r="C34" s="171"/>
      <c r="D34" s="172"/>
      <c r="E34" s="172"/>
      <c r="F34" s="172"/>
      <c r="G34" s="173"/>
      <c r="H34" s="174">
        <v>99</v>
      </c>
      <c r="I34" s="175"/>
      <c r="J34" s="176"/>
      <c r="K34" s="171"/>
      <c r="L34" s="172"/>
      <c r="M34" s="172"/>
      <c r="N34" s="172"/>
      <c r="O34" s="172"/>
      <c r="P34" s="173"/>
      <c r="Z34" s="11"/>
    </row>
    <row r="35" spans="1:26" ht="19.5" customHeight="1" x14ac:dyDescent="0.25">
      <c r="A35" s="9"/>
      <c r="B35" s="45">
        <v>11</v>
      </c>
      <c r="C35" s="171"/>
      <c r="D35" s="172"/>
      <c r="E35" s="172"/>
      <c r="F35" s="172"/>
      <c r="G35" s="173"/>
      <c r="H35" s="174">
        <v>90</v>
      </c>
      <c r="I35" s="175"/>
      <c r="J35" s="176"/>
      <c r="K35" s="171"/>
      <c r="L35" s="172"/>
      <c r="M35" s="172"/>
      <c r="N35" s="172"/>
      <c r="O35" s="172"/>
      <c r="P35" s="173"/>
      <c r="Z35" s="11"/>
    </row>
    <row r="36" spans="1:26" ht="19.5" customHeight="1" x14ac:dyDescent="0.25">
      <c r="A36" s="9"/>
      <c r="B36" s="45">
        <v>12</v>
      </c>
      <c r="C36" s="171"/>
      <c r="D36" s="172"/>
      <c r="E36" s="172"/>
      <c r="F36" s="172"/>
      <c r="G36" s="173"/>
      <c r="H36" s="174">
        <v>82</v>
      </c>
      <c r="I36" s="175"/>
      <c r="J36" s="176"/>
      <c r="K36" s="171"/>
      <c r="L36" s="172"/>
      <c r="M36" s="172"/>
      <c r="N36" s="172"/>
      <c r="O36" s="172"/>
      <c r="P36" s="173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444"/>
      <c r="D54" s="445"/>
      <c r="E54" s="445"/>
      <c r="F54" s="445"/>
      <c r="G54" s="446"/>
      <c r="H54" s="441"/>
      <c r="I54" s="442"/>
      <c r="J54" s="443"/>
      <c r="K54" s="444"/>
      <c r="L54" s="445"/>
      <c r="M54" s="445"/>
      <c r="N54" s="445"/>
      <c r="O54" s="445"/>
      <c r="P54" s="446"/>
      <c r="Z54" s="11"/>
    </row>
    <row r="55" spans="1:26" ht="15.75" customHeight="1" x14ac:dyDescent="0.25">
      <c r="A55" s="9"/>
      <c r="B55" s="259" t="s">
        <v>37</v>
      </c>
      <c r="C55" s="260"/>
      <c r="D55" s="260"/>
      <c r="E55" s="260"/>
      <c r="F55" s="260"/>
      <c r="G55" s="261"/>
      <c r="H55" s="211">
        <f>AVERAGE(H25:J54)</f>
        <v>96.166666666666671</v>
      </c>
      <c r="I55" s="212"/>
      <c r="J55" s="213"/>
      <c r="K55" s="222" t="s">
        <v>38</v>
      </c>
      <c r="L55" s="223"/>
      <c r="M55" s="217" t="s">
        <v>39</v>
      </c>
      <c r="N55" s="217"/>
      <c r="O55" s="217"/>
      <c r="P55" s="218"/>
      <c r="Z55" s="11"/>
    </row>
    <row r="56" spans="1:26" ht="15.75" customHeight="1" x14ac:dyDescent="0.25">
      <c r="A56" s="9"/>
      <c r="B56" s="253" t="s">
        <v>40</v>
      </c>
      <c r="C56" s="254"/>
      <c r="D56" s="254"/>
      <c r="E56" s="254"/>
      <c r="F56" s="254"/>
      <c r="G56" s="255"/>
      <c r="H56" s="214">
        <f>IF(COUNTIF(H25:J54,"*&lt;20*"),"&lt;20",MIN(H25:J54))</f>
        <v>82</v>
      </c>
      <c r="I56" s="215"/>
      <c r="J56" s="216"/>
      <c r="K56" s="224"/>
      <c r="L56" s="225"/>
      <c r="M56" s="177"/>
      <c r="N56" s="177"/>
      <c r="O56" s="177"/>
      <c r="P56" s="219"/>
      <c r="Z56" s="11"/>
    </row>
    <row r="57" spans="1:26" ht="15.75" customHeight="1" x14ac:dyDescent="0.25">
      <c r="A57" s="9"/>
      <c r="B57" s="256" t="s">
        <v>41</v>
      </c>
      <c r="C57" s="257"/>
      <c r="D57" s="257"/>
      <c r="E57" s="257"/>
      <c r="F57" s="257"/>
      <c r="G57" s="258"/>
      <c r="H57" s="208">
        <f>IF(COUNTIF(H25:J54,"*&gt;250*"),"&gt;250",MAX(H25:J54))</f>
        <v>103</v>
      </c>
      <c r="I57" s="209"/>
      <c r="J57" s="210"/>
      <c r="K57" s="226"/>
      <c r="L57" s="227"/>
      <c r="M57" s="220"/>
      <c r="N57" s="220"/>
      <c r="O57" s="220"/>
      <c r="P57" s="221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42</v>
      </c>
      <c r="B60" s="5" t="s">
        <v>43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42" t="s">
        <v>44</v>
      </c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4"/>
      <c r="R61" s="236" t="s">
        <v>45</v>
      </c>
      <c r="S61" s="237"/>
      <c r="T61" s="238"/>
      <c r="U61" s="193" t="s">
        <v>13</v>
      </c>
      <c r="V61" s="194"/>
      <c r="W61" s="194"/>
      <c r="X61" s="195"/>
      <c r="Y61" s="195"/>
      <c r="Z61" s="196"/>
    </row>
    <row r="62" spans="1:26" s="17" customFormat="1" ht="15.6" customHeight="1" x14ac:dyDescent="0.25">
      <c r="A62" s="245" t="s">
        <v>46</v>
      </c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7"/>
      <c r="R62" s="236" t="s">
        <v>47</v>
      </c>
      <c r="S62" s="237"/>
      <c r="T62" s="238"/>
      <c r="U62" s="197" t="s">
        <v>48</v>
      </c>
      <c r="V62" s="198"/>
      <c r="W62" s="198"/>
      <c r="X62" s="199"/>
      <c r="Y62" s="199"/>
      <c r="Z62" s="200"/>
    </row>
    <row r="63" spans="1:26" s="17" customFormat="1" ht="15.6" customHeight="1" x14ac:dyDescent="0.25">
      <c r="A63" s="248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50"/>
      <c r="R63" s="236"/>
      <c r="S63" s="237"/>
      <c r="T63" s="238"/>
      <c r="U63" s="201"/>
      <c r="V63" s="177"/>
      <c r="W63" s="177"/>
      <c r="X63" s="202"/>
      <c r="Y63" s="202"/>
      <c r="Z63" s="203"/>
    </row>
    <row r="64" spans="1:26" s="17" customFormat="1" ht="15.6" customHeight="1" x14ac:dyDescent="0.25">
      <c r="A64" s="55" t="s">
        <v>49</v>
      </c>
      <c r="B64" s="56" t="s">
        <v>50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36"/>
      <c r="S64" s="237"/>
      <c r="T64" s="238"/>
      <c r="U64" s="204"/>
      <c r="V64" s="205"/>
      <c r="W64" s="205"/>
      <c r="X64" s="206"/>
      <c r="Y64" s="206"/>
      <c r="Z64" s="207"/>
    </row>
    <row r="65" spans="1:26" s="17" customFormat="1" ht="15.6" customHeight="1" x14ac:dyDescent="0.25">
      <c r="A65" s="230"/>
      <c r="B65" s="231"/>
      <c r="C65" s="231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2"/>
      <c r="R65" s="236" t="s">
        <v>51</v>
      </c>
      <c r="S65" s="237"/>
      <c r="T65" s="238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230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2"/>
      <c r="R66" s="236"/>
      <c r="S66" s="237"/>
      <c r="T66" s="238"/>
      <c r="U66" s="61"/>
      <c r="V66" s="177"/>
      <c r="W66" s="177"/>
      <c r="X66" s="177"/>
      <c r="Y66" s="177"/>
      <c r="Z66" s="62"/>
    </row>
    <row r="67" spans="1:26" s="17" customFormat="1" ht="15.6" customHeight="1" x14ac:dyDescent="0.25">
      <c r="A67" s="230"/>
      <c r="B67" s="231"/>
      <c r="C67" s="231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2"/>
      <c r="R67" s="236"/>
      <c r="S67" s="237"/>
      <c r="T67" s="238"/>
      <c r="U67" s="61"/>
      <c r="V67" s="177"/>
      <c r="W67" s="177"/>
      <c r="X67" s="177"/>
      <c r="Y67" s="177"/>
      <c r="Z67" s="62"/>
    </row>
    <row r="68" spans="1:26" s="17" customFormat="1" ht="15.6" customHeight="1" x14ac:dyDescent="0.25">
      <c r="A68" s="233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5"/>
      <c r="R68" s="239"/>
      <c r="S68" s="240"/>
      <c r="T68" s="241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230226 AT Parking</vt:lpstr>
      <vt:lpstr>130226 Arase</vt:lpstr>
      <vt:lpstr>030226 AT Parking</vt:lpstr>
      <vt:lpstr>050825 CdF PF</vt:lpstr>
      <vt:lpstr>'030226 AT Parking'!Zone_d_impression</vt:lpstr>
      <vt:lpstr>'050825 CdF PF'!Zone_d_impression</vt:lpstr>
      <vt:lpstr>'130226 Arase'!Zone_d_impression</vt:lpstr>
      <vt:lpstr>'230226 AT Parking'!Zone_d_impression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2026-02-23T16:09:01Z</cp:lastPrinted>
  <dcterms:created xsi:type="dcterms:W3CDTF">2004-11-13T18:13:05Z</dcterms:created>
  <dcterms:modified xsi:type="dcterms:W3CDTF">2026-02-23T16:16:26Z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