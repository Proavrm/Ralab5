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S:\Labo\St Priest\Chantiers 2026\69\RA N67C Villeurbanne - Place Grandclément\Essais de laboratoire\Enrobés\"/>
    </mc:Choice>
  </mc:AlternateContent>
  <xr:revisionPtr revIDLastSave="0" documentId="13_ncr:1_{0F7613AA-5149-4B09-86C2-8568F48B95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20226 GB" sheetId="13" r:id="rId1"/>
    <sheet name="011225 BBSG 110" sheetId="11" r:id="rId2"/>
    <sheet name="011225 GB" sheetId="12" r:id="rId3"/>
    <sheet name="Nuit 24-250725 BBSG 116" sheetId="10" r:id="rId4"/>
    <sheet name="Nuit 22-230525 GB" sheetId="9" r:id="rId5"/>
  </sheets>
  <definedNames>
    <definedName name="_xlnm.Print_Area" localSheetId="1">'011225 BBSG 110'!$A$1:$Z$72</definedName>
    <definedName name="_xlnm.Print_Area" localSheetId="2">'011225 GB'!$A$1:$Z$70</definedName>
    <definedName name="_xlnm.Print_Area" localSheetId="0">'020226 GB'!$A$1:$Z$70</definedName>
    <definedName name="_xlnm.Print_Area" localSheetId="4">'Nuit 22-230525 GB'!$A$1:$Z$70</definedName>
    <definedName name="_xlnm.Print_Area" localSheetId="3">'Nuit 24-250725 BBSG 116'!$A$1:$Z$72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0" i="13" l="1"/>
  <c r="L60" i="13"/>
  <c r="J60" i="13"/>
  <c r="E60" i="13"/>
  <c r="W59" i="13"/>
  <c r="L59" i="13"/>
  <c r="J59" i="13"/>
  <c r="E59" i="13"/>
  <c r="AD58" i="13"/>
  <c r="AB58" i="13"/>
  <c r="W57" i="13"/>
  <c r="AB57" i="13" s="1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AD56" i="13"/>
  <c r="AE56" i="13" s="1"/>
  <c r="AD54" i="13"/>
  <c r="AB54" i="13"/>
  <c r="AE54" i="13" s="1"/>
  <c r="Y54" i="13"/>
  <c r="AD53" i="13"/>
  <c r="AB53" i="13"/>
  <c r="AE53" i="13" s="1"/>
  <c r="Y53" i="13"/>
  <c r="AD52" i="13"/>
  <c r="AB52" i="13"/>
  <c r="Y52" i="13"/>
  <c r="AD51" i="13"/>
  <c r="AB51" i="13"/>
  <c r="W60" i="12"/>
  <c r="L60" i="12"/>
  <c r="J60" i="12"/>
  <c r="E60" i="12"/>
  <c r="W59" i="12"/>
  <c r="L59" i="12"/>
  <c r="J59" i="12"/>
  <c r="E59" i="12"/>
  <c r="AD58" i="12"/>
  <c r="AB58" i="12"/>
  <c r="W57" i="12"/>
  <c r="AB57" i="12" s="1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AD56" i="12"/>
  <c r="AE56" i="12" s="1"/>
  <c r="AD54" i="12"/>
  <c r="AB54" i="12"/>
  <c r="Y54" i="12"/>
  <c r="AD53" i="12"/>
  <c r="AB53" i="12"/>
  <c r="Y53" i="12"/>
  <c r="AD52" i="12"/>
  <c r="AB52" i="12"/>
  <c r="Y52" i="12"/>
  <c r="AD51" i="12"/>
  <c r="AB51" i="12"/>
  <c r="W60" i="11"/>
  <c r="L60" i="11"/>
  <c r="J60" i="11"/>
  <c r="E60" i="11"/>
  <c r="W59" i="11"/>
  <c r="L59" i="11"/>
  <c r="J59" i="11"/>
  <c r="E59" i="11"/>
  <c r="AD58" i="11"/>
  <c r="AB58" i="11"/>
  <c r="W57" i="11"/>
  <c r="AB57" i="11" s="1"/>
  <c r="U57" i="11"/>
  <c r="T57" i="11"/>
  <c r="S57" i="11"/>
  <c r="O57" i="11"/>
  <c r="N57" i="11"/>
  <c r="M57" i="11"/>
  <c r="L57" i="11"/>
  <c r="K57" i="11"/>
  <c r="J57" i="11"/>
  <c r="I57" i="11"/>
  <c r="H57" i="11"/>
  <c r="G57" i="11"/>
  <c r="F57" i="11"/>
  <c r="E57" i="11"/>
  <c r="AD56" i="11"/>
  <c r="AE56" i="11" s="1"/>
  <c r="AD54" i="11"/>
  <c r="AB54" i="11"/>
  <c r="Y54" i="11"/>
  <c r="AD53" i="11"/>
  <c r="AB53" i="11"/>
  <c r="Y53" i="11"/>
  <c r="AD52" i="11"/>
  <c r="AB52" i="11"/>
  <c r="Y52" i="11"/>
  <c r="AD51" i="11"/>
  <c r="AB51" i="11"/>
  <c r="W60" i="10"/>
  <c r="L60" i="10"/>
  <c r="J60" i="10"/>
  <c r="E60" i="10"/>
  <c r="W59" i="10"/>
  <c r="L59" i="10"/>
  <c r="J59" i="10"/>
  <c r="E59" i="10"/>
  <c r="AD58" i="10"/>
  <c r="AB58" i="10"/>
  <c r="W57" i="10"/>
  <c r="AB57" i="10" s="1"/>
  <c r="U57" i="10"/>
  <c r="T57" i="10"/>
  <c r="S57" i="10"/>
  <c r="O57" i="10"/>
  <c r="N57" i="10"/>
  <c r="M57" i="10"/>
  <c r="L57" i="10"/>
  <c r="K57" i="10"/>
  <c r="J57" i="10"/>
  <c r="I57" i="10"/>
  <c r="H57" i="10"/>
  <c r="G57" i="10"/>
  <c r="F57" i="10"/>
  <c r="E57" i="10"/>
  <c r="AD56" i="10"/>
  <c r="AE56" i="10" s="1"/>
  <c r="AD54" i="10"/>
  <c r="AB54" i="10"/>
  <c r="Y54" i="10"/>
  <c r="AD53" i="10"/>
  <c r="AB53" i="10"/>
  <c r="Y53" i="10"/>
  <c r="AD52" i="10"/>
  <c r="AB52" i="10"/>
  <c r="Y52" i="10"/>
  <c r="AD51" i="10"/>
  <c r="AB51" i="10"/>
  <c r="AE51" i="13" l="1"/>
  <c r="Y51" i="13" s="1"/>
  <c r="Y57" i="13" s="1"/>
  <c r="AE58" i="13"/>
  <c r="Y58" i="13" s="1"/>
  <c r="AE52" i="13"/>
  <c r="AD57" i="13"/>
  <c r="AE57" i="13" s="1"/>
  <c r="AE52" i="12"/>
  <c r="AE53" i="10"/>
  <c r="AE53" i="12"/>
  <c r="AE58" i="12"/>
  <c r="Y58" i="12" s="1"/>
  <c r="AE51" i="12"/>
  <c r="Y51" i="12" s="1"/>
  <c r="Y57" i="12" s="1"/>
  <c r="AE54" i="12"/>
  <c r="AD57" i="12"/>
  <c r="AE57" i="12" s="1"/>
  <c r="AE54" i="11"/>
  <c r="AE58" i="11"/>
  <c r="Y58" i="11" s="1"/>
  <c r="AE53" i="11"/>
  <c r="AE54" i="10"/>
  <c r="AE58" i="10"/>
  <c r="Y58" i="10" s="1"/>
  <c r="AE51" i="11"/>
  <c r="Y51" i="11" s="1"/>
  <c r="Y57" i="11" s="1"/>
  <c r="AE52" i="11"/>
  <c r="AD57" i="11"/>
  <c r="AE57" i="11" s="1"/>
  <c r="AE52" i="10"/>
  <c r="AE51" i="10"/>
  <c r="Y51" i="10" s="1"/>
  <c r="Y57" i="10" s="1"/>
  <c r="AD57" i="10"/>
  <c r="AE57" i="10" s="1"/>
  <c r="Q57" i="9"/>
  <c r="R57" i="9"/>
  <c r="L59" i="9" l="1"/>
  <c r="L60" i="9"/>
  <c r="U57" i="9" l="1"/>
  <c r="W57" i="9"/>
  <c r="AD56" i="9" l="1"/>
  <c r="AE56" i="9" s="1"/>
  <c r="AD58" i="9"/>
  <c r="AD52" i="9"/>
  <c r="AD53" i="9"/>
  <c r="AD54" i="9"/>
  <c r="AD51" i="9"/>
  <c r="AB57" i="9" l="1"/>
  <c r="AB54" i="9"/>
  <c r="AE54" i="9" s="1"/>
  <c r="AB53" i="9"/>
  <c r="AE53" i="9" s="1"/>
  <c r="AB52" i="9"/>
  <c r="AE52" i="9" s="1"/>
  <c r="AB51" i="9"/>
  <c r="AB58" i="9"/>
  <c r="W60" i="9"/>
  <c r="W59" i="9"/>
  <c r="Y53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P57" i="9"/>
  <c r="E57" i="9"/>
  <c r="F57" i="9"/>
  <c r="G57" i="9"/>
  <c r="H57" i="9"/>
  <c r="I57" i="9"/>
  <c r="K57" i="9"/>
  <c r="L57" i="9"/>
  <c r="M57" i="9"/>
  <c r="N57" i="9"/>
  <c r="O57" i="9"/>
  <c r="S57" i="9"/>
  <c r="T57" i="9"/>
  <c r="AD57" i="9" l="1"/>
  <c r="AE57" i="9" s="1"/>
</calcChain>
</file>

<file path=xl/sharedStrings.xml><?xml version="1.0" encoding="utf-8"?>
<sst xmlns="http://schemas.openxmlformats.org/spreadsheetml/2006/main" count="323" uniqueCount="78">
  <si>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</si>
  <si>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</si>
  <si>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</si>
  <si>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</si>
  <si>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</si>
  <si>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</si>
  <si>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</si>
  <si>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</si>
  <si>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</si>
  <si>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</si>
  <si>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</si>
  <si>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</si>
  <si>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</si>
  <si>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</si>
  <si>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</si>
  <si>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</si>
  <si>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</si>
  <si>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</si>
  <si>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</si>
  <si>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</si>
  <si>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</si>
  <si>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</si>
  <si>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</si>
  <si>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</si>
  <si>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</si>
  <si>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</si>
  <si>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</si>
  <si>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</si>
  <si>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</si>
  <si>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</si>
  <si>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</si>
  <si>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</si>
  <si>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</si>
  <si>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</si>
  <si>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</si>
  <si>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</si>
  <si>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</si>
  <si>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</si>
  <si>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</si>
  <si>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</si>
  <si>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</si>
  <si>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</si>
  <si>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</si>
  <si>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</si>
  <si>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</si>
  <si>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</si>
  <si>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</si>
  <si>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</si>
  <si>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</si>
  <si>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</si>
  <si>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3/</t>
  </si>
  <si>
    <t>Fonction</t>
  </si>
  <si>
    <t>RA N67C</t>
  </si>
  <si>
    <t>Villeurbanne - Place Grandclement</t>
  </si>
  <si>
    <t>F. Montet</t>
  </si>
  <si>
    <t>Nuit 22-23/07/2025</t>
  </si>
  <si>
    <t>EB 14 ASSISE 50/70</t>
  </si>
  <si>
    <t>GB 0/14 Cl3</t>
  </si>
  <si>
    <t>P2R</t>
  </si>
  <si>
    <t>Place Grandclément - Villeurbanne</t>
  </si>
  <si>
    <t>Fondation / Base</t>
  </si>
  <si>
    <t>0H15</t>
  </si>
  <si>
    <t xml:space="preserve"> F. MONTET</t>
  </si>
  <si>
    <t>Technicien de laboratoire</t>
  </si>
  <si>
    <t>Conforme</t>
  </si>
  <si>
    <t>EB 10 ROUL 35/50 0,4% PrFlex</t>
  </si>
  <si>
    <t>Roulement</t>
  </si>
  <si>
    <t>BBSG 0/10 Cl3 10%AE</t>
  </si>
  <si>
    <t>F. MONTET</t>
  </si>
  <si>
    <t>Nuit 24-25/07/2025</t>
  </si>
  <si>
    <t>Rue Léon Blum</t>
  </si>
  <si>
    <t>23H25</t>
  </si>
  <si>
    <t xml:space="preserve">EB 10 ROUL 35/50 </t>
  </si>
  <si>
    <t>BBSG 0/10 Cl3 15%AE</t>
  </si>
  <si>
    <t>11:20</t>
  </si>
  <si>
    <t>09:40</t>
  </si>
  <si>
    <t>Place Grandclément entre Fournière et Perrin</t>
  </si>
  <si>
    <t>Place Grandclément entre Chirat et Leclerc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</si>
</sst>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4" fillId="0" borderId="0"/>
    <xf numFmtId="0" fontId="26" fillId="0" borderId="0"/>
  </cellStyleXfs>
  <cellXfs count="35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164" fontId="20" fillId="0" borderId="63" xfId="0" applyNumberFormat="1" applyFont="1" applyBorder="1" applyAlignment="1">
      <alignment horizontal="center" vertical="center" wrapText="1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164" fontId="20" fillId="0" borderId="63" xfId="0" applyNumberFormat="1" applyFont="1" applyBorder="1" applyAlignment="1" applyProtection="1">
      <alignment horizontal="center" vertical="center"/>
      <protection locked="0"/>
    </xf>
    <xf numFmtId="164" fontId="20" fillId="0" borderId="6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hidden="1"/>
    </xf>
    <xf numFmtId="164" fontId="22" fillId="0" borderId="63" xfId="0" applyNumberFormat="1" applyFont="1" applyBorder="1" applyAlignment="1">
      <alignment horizontal="center" vertical="center" wrapText="1"/>
    </xf>
    <xf numFmtId="164" fontId="22" fillId="0" borderId="62" xfId="0" applyNumberFormat="1" applyFont="1" applyBorder="1" applyAlignment="1" applyProtection="1">
      <alignment horizontal="center" vertical="center"/>
      <protection locked="0"/>
    </xf>
    <xf numFmtId="164" fontId="22" fillId="0" borderId="63" xfId="0" applyNumberFormat="1" applyFont="1" applyBorder="1" applyAlignment="1" applyProtection="1">
      <alignment horizontal="center" vertical="center"/>
      <protection locked="0"/>
    </xf>
    <xf numFmtId="164" fontId="22" fillId="0" borderId="6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1" fontId="20" fillId="0" borderId="63" xfId="0" applyNumberFormat="1" applyFont="1" applyBorder="1" applyAlignment="1" applyProtection="1">
      <alignment horizontal="center" vertical="center"/>
      <protection locked="0"/>
    </xf>
    <xf numFmtId="1" fontId="22" fillId="0" borderId="63" xfId="0" applyNumberFormat="1" applyFont="1" applyBorder="1" applyAlignment="1" applyProtection="1">
      <alignment horizontal="center" vertical="center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5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left" vertical="center"/>
      <protection hidden="1"/>
    </xf>
    <xf numFmtId="164" fontId="28" fillId="0" borderId="63" xfId="0" applyNumberFormat="1" applyFont="1" applyBorder="1" applyAlignment="1">
      <alignment horizontal="center" vertical="center" wrapText="1"/>
    </xf>
    <xf numFmtId="164" fontId="28" fillId="0" borderId="62" xfId="0" applyNumberFormat="1" applyFont="1" applyBorder="1" applyAlignment="1" applyProtection="1">
      <alignment horizontal="center" vertical="center"/>
      <protection locked="0"/>
    </xf>
    <xf numFmtId="164" fontId="28" fillId="0" borderId="63" xfId="0" applyNumberFormat="1" applyFont="1" applyBorder="1" applyAlignment="1" applyProtection="1">
      <alignment horizontal="center" vertical="center"/>
      <protection locked="0"/>
    </xf>
    <xf numFmtId="1" fontId="28" fillId="0" borderId="63" xfId="0" applyNumberFormat="1" applyFont="1" applyBorder="1" applyAlignment="1" applyProtection="1">
      <alignment horizontal="center" vertical="center"/>
      <protection locked="0"/>
    </xf>
    <xf numFmtId="164" fontId="28" fillId="0" borderId="60" xfId="0" applyNumberFormat="1" applyFont="1" applyBorder="1" applyAlignment="1" applyProtection="1">
      <alignment horizontal="center" vertical="center"/>
      <protection locked="0"/>
    </xf>
    <xf numFmtId="164" fontId="28" fillId="0" borderId="62" xfId="2" applyNumberFormat="1" applyFont="1" applyBorder="1" applyAlignment="1" applyProtection="1">
      <alignment horizontal="center" vertical="center"/>
      <protection locked="0"/>
    </xf>
    <xf numFmtId="1" fontId="28" fillId="0" borderId="63" xfId="2" applyNumberFormat="1" applyFont="1" applyBorder="1" applyAlignment="1" applyProtection="1">
      <alignment horizontal="center" vertical="center"/>
      <protection locked="0"/>
    </xf>
    <xf numFmtId="164" fontId="28" fillId="0" borderId="63" xfId="2" applyNumberFormat="1" applyFont="1" applyBorder="1" applyAlignment="1">
      <alignment horizontal="center" vertical="center" wrapText="1"/>
    </xf>
    <xf numFmtId="164" fontId="28" fillId="0" borderId="63" xfId="2" applyNumberFormat="1" applyFont="1" applyBorder="1" applyAlignment="1" applyProtection="1">
      <alignment horizontal="center" vertical="center"/>
      <protection locked="0"/>
    </xf>
    <xf numFmtId="164" fontId="28" fillId="0" borderId="60" xfId="2" applyNumberFormat="1" applyFont="1" applyBorder="1" applyAlignment="1" applyProtection="1">
      <alignment horizontal="center" vertical="center"/>
      <protection locked="0"/>
    </xf>
    <xf numFmtId="164" fontId="20" fillId="0" borderId="63" xfId="2" applyNumberFormat="1" applyFont="1" applyBorder="1" applyAlignment="1">
      <alignment horizontal="center" vertical="center" wrapText="1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164" fontId="20" fillId="0" borderId="63" xfId="2" applyNumberFormat="1" applyFont="1" applyBorder="1" applyAlignment="1" applyProtection="1">
      <alignment horizontal="center" vertical="center"/>
      <protection locked="0"/>
    </xf>
    <xf numFmtId="164" fontId="20" fillId="0" borderId="60" xfId="2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hidden="1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29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18" fillId="0" borderId="68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69" xfId="0" applyFont="1" applyBorder="1" applyAlignment="1" applyProtection="1">
      <alignment horizontal="center" vertical="center"/>
      <protection hidden="1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2" fontId="1" fillId="0" borderId="54" xfId="0" applyNumberFormat="1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164" fontId="28" fillId="0" borderId="64" xfId="0" applyNumberFormat="1" applyFont="1" applyBorder="1" applyAlignment="1" applyProtection="1">
      <alignment horizontal="center" vertical="center"/>
      <protection locked="0"/>
    </xf>
    <xf numFmtId="164" fontId="28" fillId="0" borderId="62" xfId="0" applyNumberFormat="1" applyFont="1" applyBorder="1" applyAlignment="1" applyProtection="1">
      <alignment horizontal="center" vertical="center"/>
      <protection locked="0"/>
    </xf>
    <xf numFmtId="2" fontId="28" fillId="0" borderId="60" xfId="0" applyNumberFormat="1" applyFont="1" applyBorder="1" applyAlignment="1" applyProtection="1">
      <alignment horizontal="center" vertical="center"/>
      <protection locked="0"/>
    </xf>
    <xf numFmtId="2" fontId="28" fillId="0" borderId="62" xfId="0" applyNumberFormat="1" applyFont="1" applyBorder="1" applyAlignment="1" applyProtection="1">
      <alignment horizontal="center" vertical="center"/>
      <protection locked="0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>
      <alignment horizontal="center" vertical="center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" fillId="0" borderId="36" xfId="0" applyNumberFormat="1" applyFont="1" applyBorder="1" applyAlignment="1" applyProtection="1">
      <alignment horizontal="center" vertical="center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164" fontId="20" fillId="0" borderId="64" xfId="0" applyNumberFormat="1" applyFont="1" applyBorder="1" applyAlignment="1" applyProtection="1">
      <alignment horizontal="center" vertical="center"/>
      <protection locked="0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2" fontId="20" fillId="0" borderId="60" xfId="0" applyNumberFormat="1" applyFont="1" applyBorder="1" applyAlignment="1" applyProtection="1">
      <alignment horizontal="center" vertical="center"/>
      <protection locked="0"/>
    </xf>
    <xf numFmtId="2" fontId="20" fillId="0" borderId="62" xfId="0" applyNumberFormat="1" applyFont="1" applyBorder="1" applyAlignment="1" applyProtection="1">
      <alignment horizontal="center" vertical="center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4" fontId="24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14" fontId="25" fillId="0" borderId="0" xfId="0" applyNumberFormat="1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3" fillId="0" borderId="65" xfId="0" applyFont="1" applyBorder="1" applyAlignment="1" applyProtection="1">
      <alignment horizontal="center" vertical="center" wrapText="1"/>
      <protection locked="0"/>
    </xf>
    <xf numFmtId="0" fontId="23" fillId="0" borderId="66" xfId="0" applyFont="1" applyBorder="1" applyAlignment="1" applyProtection="1">
      <alignment horizontal="center" vertical="center" wrapText="1"/>
      <protection locked="0"/>
    </xf>
    <xf numFmtId="0" fontId="23" fillId="0" borderId="67" xfId="0" applyFont="1" applyBorder="1" applyAlignment="1" applyProtection="1">
      <alignment horizontal="center" vertical="center" wrapText="1"/>
      <protection locked="0"/>
    </xf>
    <xf numFmtId="0" fontId="23" fillId="0" borderId="68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69" xfId="0" applyFont="1" applyBorder="1" applyAlignment="1" applyProtection="1">
      <alignment horizontal="center" vertical="center" wrapText="1"/>
      <protection locked="0"/>
    </xf>
    <xf numFmtId="0" fontId="23" fillId="0" borderId="60" xfId="0" applyFont="1" applyBorder="1" applyAlignment="1" applyProtection="1">
      <alignment horizontal="center" vertical="center" wrapText="1"/>
      <protection locked="0"/>
    </xf>
    <xf numFmtId="0" fontId="23" fillId="0" borderId="61" xfId="0" applyFont="1" applyBorder="1" applyAlignment="1" applyProtection="1">
      <alignment horizontal="center" vertical="center" wrapText="1"/>
      <protection locked="0"/>
    </xf>
    <xf numFmtId="0" fontId="23" fillId="0" borderId="62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164" fontId="20" fillId="0" borderId="64" xfId="2" applyNumberFormat="1" applyFont="1" applyBorder="1" applyAlignment="1" applyProtection="1">
      <alignment horizontal="center" vertical="center"/>
      <protection locked="0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2" fontId="20" fillId="0" borderId="60" xfId="2" applyNumberFormat="1" applyFont="1" applyBorder="1" applyAlignment="1" applyProtection="1">
      <alignment horizontal="center" vertical="center"/>
      <protection locked="0"/>
    </xf>
    <xf numFmtId="2" fontId="20" fillId="0" borderId="62" xfId="2" applyNumberFormat="1" applyFont="1" applyBorder="1" applyAlignment="1" applyProtection="1">
      <alignment horizontal="center" vertical="center"/>
      <protection locked="0"/>
    </xf>
    <xf numFmtId="0" fontId="19" fillId="0" borderId="60" xfId="2" applyFont="1" applyBorder="1" applyAlignment="1">
      <alignment horizontal="center" vertical="center" wrapText="1"/>
    </xf>
    <xf numFmtId="0" fontId="19" fillId="0" borderId="62" xfId="2" applyFont="1" applyBorder="1" applyAlignment="1">
      <alignment horizontal="center" vertical="center" wrapText="1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 wrapText="1"/>
    </xf>
    <xf numFmtId="164" fontId="22" fillId="0" borderId="64" xfId="0" applyNumberFormat="1" applyFont="1" applyBorder="1" applyAlignment="1" applyProtection="1">
      <alignment horizontal="center" vertical="center"/>
      <protection locked="0"/>
    </xf>
    <xf numFmtId="164" fontId="22" fillId="0" borderId="62" xfId="0" applyNumberFormat="1" applyFont="1" applyBorder="1" applyAlignment="1" applyProtection="1">
      <alignment horizontal="center" vertical="center"/>
      <protection locked="0"/>
    </xf>
    <xf numFmtId="2" fontId="22" fillId="0" borderId="60" xfId="0" applyNumberFormat="1" applyFont="1" applyBorder="1" applyAlignment="1" applyProtection="1">
      <alignment horizontal="center" vertical="center"/>
      <protection locked="0"/>
    </xf>
    <xf numFmtId="2" fontId="22" fillId="0" borderId="62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27" fillId="0" borderId="60" xfId="2" applyFont="1" applyBorder="1" applyAlignment="1">
      <alignment horizontal="center" vertical="center" wrapText="1"/>
    </xf>
    <xf numFmtId="0" fontId="27" fillId="0" borderId="62" xfId="2" applyFont="1" applyBorder="1" applyAlignment="1">
      <alignment horizontal="center" vertical="center" wrapText="1"/>
    </xf>
    <xf numFmtId="164" fontId="28" fillId="0" borderId="64" xfId="2" applyNumberFormat="1" applyFont="1" applyBorder="1" applyAlignment="1" applyProtection="1">
      <alignment horizontal="center" vertical="center"/>
      <protection locked="0"/>
    </xf>
    <xf numFmtId="164" fontId="28" fillId="0" borderId="62" xfId="2" applyNumberFormat="1" applyFont="1" applyBorder="1" applyAlignment="1" applyProtection="1">
      <alignment horizontal="center" vertical="center"/>
      <protection locked="0"/>
    </xf>
    <xf numFmtId="2" fontId="28" fillId="0" borderId="60" xfId="2" applyNumberFormat="1" applyFont="1" applyBorder="1" applyAlignment="1" applyProtection="1">
      <alignment horizontal="center" vertical="center"/>
      <protection locked="0"/>
    </xf>
    <xf numFmtId="2" fontId="28" fillId="0" borderId="62" xfId="2" applyNumberFormat="1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left" vertical="center"/>
      <protection hidden="1"/>
    </xf>
    <xf numFmtId="164" fontId="20" fillId="0" borderId="63" xfId="2" applyNumberFormat="1" applyFont="1" applyBorder="1" applyAlignment="1">
      <alignment horizontal="center" vertical="center" wrapText="1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164" fontId="20" fillId="0" borderId="63" xfId="2" applyNumberFormat="1" applyFont="1" applyBorder="1" applyAlignment="1" applyProtection="1">
      <alignment horizontal="center" vertical="center"/>
      <protection locked="0"/>
    </xf>
    <xf numFmtId="164" fontId="20" fillId="0" borderId="60" xfId="2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00000000-0005-0000-0000-000001000000}"/>
    <cellStyle name="Normal 5" xfId="2" xr:uid="{06941A43-A120-48C5-869B-E77796C115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'020226 GB'!$E$50:$Q$50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'020226 GB'!$E$57:$W$57</c:f>
              <c:numCache>
                <c:formatCode>0.0</c:formatCode>
                <c:ptCount val="19"/>
                <c:pt idx="0">
                  <c:v>8.4</c:v>
                </c:pt>
                <c:pt idx="1">
                  <c:v>10.5</c:v>
                </c:pt>
                <c:pt idx="2">
                  <c:v>13.3</c:v>
                </c:pt>
                <c:pt idx="3">
                  <c:v>16.5</c:v>
                </c:pt>
                <c:pt idx="4">
                  <c:v>21.9</c:v>
                </c:pt>
                <c:pt idx="5">
                  <c:v>30.5</c:v>
                </c:pt>
                <c:pt idx="6">
                  <c:v>45.1</c:v>
                </c:pt>
                <c:pt idx="7">
                  <c:v>60.3</c:v>
                </c:pt>
                <c:pt idx="8">
                  <c:v>71.599999999999994</c:v>
                </c:pt>
                <c:pt idx="9">
                  <c:v>84.8</c:v>
                </c:pt>
                <c:pt idx="10">
                  <c:v>91.3</c:v>
                </c:pt>
                <c:pt idx="11">
                  <c:v>96</c:v>
                </c:pt>
                <c:pt idx="12" formatCode="0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171</c:v>
                </c:pt>
                <c:pt idx="18" formatCode="0.00">
                  <c:v>4.71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B1-4608-9371-487E27DC710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'020226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'020226 GB'!$E$58:$W$58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B1-4608-9371-487E27DC710C}"/>
            </c:ext>
          </c:extLst>
        </c:ser>
        <c:ser>
          <c:idx val="2"/>
          <c:order val="2"/>
          <c:tx>
            <c:v>Valeur mini</c:v>
          </c:tx>
          <c:xVal>
            <c:numRef>
              <c:f>'Nuit 22-230525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22-230525 GB'!$E$56:$W$56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BB1-4608-9371-487E27DC710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'020226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'020226 GB'!$E$60:$W$60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B1-4608-9371-487E27DC710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'020226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'020226 GB'!$E$59:$W$59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B1-4608-9371-487E27DC7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'011225 BBSG 110'!$E$50:$W$50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110'!$E$57:$W$57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15.7</c:v>
                </c:pt>
                <c:pt idx="4">
                  <c:v>20.7</c:v>
                </c:pt>
                <c:pt idx="5">
                  <c:v>30.1</c:v>
                </c:pt>
                <c:pt idx="6">
                  <c:v>44.2</c:v>
                </c:pt>
                <c:pt idx="7">
                  <c:v>60.1</c:v>
                </c:pt>
                <c:pt idx="8">
                  <c:v>76.400000000000006</c:v>
                </c:pt>
                <c:pt idx="9">
                  <c:v>94.2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</c:v>
                </c:pt>
                <c:pt idx="18" formatCode="0.00">
                  <c:v>5.05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4D-4EE1-9C75-4C26AD24A83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'011225 BBSG 110'!$E$50:$W$50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110'!$E$58:$W$58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4D-4EE1-9C75-4C26AD24A836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BBSG 110'!$E$50:$W$50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110'!$E$60:$W$60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4D-4EE1-9C75-4C26AD24A836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BBSG 110'!$E$50:$W$50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110'!$E$59:$W$59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4D-4EE1-9C75-4C26AD24A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'011225 GB'!$E$50:$Q$50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'011225 GB'!$E$57:$W$57</c:f>
              <c:numCache>
                <c:formatCode>0.0</c:formatCode>
                <c:ptCount val="19"/>
                <c:pt idx="0">
                  <c:v>8.5</c:v>
                </c:pt>
                <c:pt idx="1">
                  <c:v>10.6</c:v>
                </c:pt>
                <c:pt idx="2">
                  <c:v>13.4</c:v>
                </c:pt>
                <c:pt idx="3">
                  <c:v>17.100000000000001</c:v>
                </c:pt>
                <c:pt idx="4">
                  <c:v>22.2</c:v>
                </c:pt>
                <c:pt idx="5">
                  <c:v>31.3</c:v>
                </c:pt>
                <c:pt idx="6">
                  <c:v>45.8</c:v>
                </c:pt>
                <c:pt idx="7">
                  <c:v>60.2</c:v>
                </c:pt>
                <c:pt idx="8">
                  <c:v>71.8</c:v>
                </c:pt>
                <c:pt idx="9">
                  <c:v>83.3</c:v>
                </c:pt>
                <c:pt idx="10">
                  <c:v>91.7</c:v>
                </c:pt>
                <c:pt idx="11">
                  <c:v>95.6</c:v>
                </c:pt>
                <c:pt idx="12" formatCode="0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4.51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4A-49AB-A901-3DBC4DB8FAB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'011225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GB'!$E$58:$W$58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4A-49AB-A901-3DBC4DB8FAB4}"/>
            </c:ext>
          </c:extLst>
        </c:ser>
        <c:ser>
          <c:idx val="2"/>
          <c:order val="2"/>
          <c:tx>
            <c:v>Valeur mini</c:v>
          </c:tx>
          <c:xVal>
            <c:numRef>
              <c:f>'Nuit 22-230525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22-230525 GB'!$E$56:$W$56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C4A-49AB-A901-3DBC4DB8FAB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GB'!$E$60:$W$60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4A-49AB-A901-3DBC4DB8FAB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GB'!$E$59:$W$59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4A-49AB-A901-3DBC4DB8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24-250725 BBSG 116'!$E$50:$W$50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24-250725 BBSG 116'!$E$57:$W$57</c:f>
              <c:numCache>
                <c:formatCode>0.0</c:formatCode>
                <c:ptCount val="19"/>
                <c:pt idx="0">
                  <c:v>7.3</c:v>
                </c:pt>
                <c:pt idx="1">
                  <c:v>9.6</c:v>
                </c:pt>
                <c:pt idx="2">
                  <c:v>12.5</c:v>
                </c:pt>
                <c:pt idx="3">
                  <c:v>16.2</c:v>
                </c:pt>
                <c:pt idx="4">
                  <c:v>21.6</c:v>
                </c:pt>
                <c:pt idx="5">
                  <c:v>32.4</c:v>
                </c:pt>
                <c:pt idx="6">
                  <c:v>47.3</c:v>
                </c:pt>
                <c:pt idx="7">
                  <c:v>67.3</c:v>
                </c:pt>
                <c:pt idx="8">
                  <c:v>83.1</c:v>
                </c:pt>
                <c:pt idx="9">
                  <c:v>95.8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B7-441E-B3FD-1ADB5D529F7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24-250725 BBSG 116'!$E$50:$W$50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24-250725 BBSG 116'!$E$58:$W$58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30</c:v>
                </c:pt>
                <c:pt idx="6">
                  <c:v>43</c:v>
                </c:pt>
                <c:pt idx="7">
                  <c:v>62</c:v>
                </c:pt>
                <c:pt idx="8">
                  <c:v>78</c:v>
                </c:pt>
                <c:pt idx="9">
                  <c:v>94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B7-441E-B3FD-1ADB5D529F7D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24-250725 BBSG 116'!$E$50:$W$50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24-250725 BBSG 116'!$E$60:$W$60</c:f>
              <c:numCache>
                <c:formatCode>0.0</c:formatCode>
                <c:ptCount val="19"/>
                <c:pt idx="0">
                  <c:v>5.0999999999999996</c:v>
                </c:pt>
                <c:pt idx="5">
                  <c:v>24</c:v>
                </c:pt>
                <c:pt idx="7">
                  <c:v>55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B7-441E-B3FD-1ADB5D529F7D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24-250725 BBSG 116'!$E$50:$W$50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24-250725 BBSG 116'!$E$59:$W$59</c:f>
              <c:numCache>
                <c:formatCode>0.0</c:formatCode>
                <c:ptCount val="19"/>
                <c:pt idx="0">
                  <c:v>9.1</c:v>
                </c:pt>
                <c:pt idx="5">
                  <c:v>36</c:v>
                </c:pt>
                <c:pt idx="7">
                  <c:v>69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B7-441E-B3FD-1ADB5D529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22-230525 GB'!$E$50:$Q$50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22-230525 GB'!$E$57:$W$57</c:f>
              <c:numCache>
                <c:formatCode>0.0</c:formatCode>
                <c:ptCount val="19"/>
                <c:pt idx="0">
                  <c:v>7.9</c:v>
                </c:pt>
                <c:pt idx="1">
                  <c:v>10.4</c:v>
                </c:pt>
                <c:pt idx="2">
                  <c:v>14</c:v>
                </c:pt>
                <c:pt idx="3">
                  <c:v>18.399999999999999</c:v>
                </c:pt>
                <c:pt idx="4">
                  <c:v>24.6</c:v>
                </c:pt>
                <c:pt idx="5">
                  <c:v>36.1</c:v>
                </c:pt>
                <c:pt idx="6">
                  <c:v>50.9</c:v>
                </c:pt>
                <c:pt idx="7">
                  <c:v>65.2</c:v>
                </c:pt>
                <c:pt idx="8">
                  <c:v>73.099999999999994</c:v>
                </c:pt>
                <c:pt idx="9">
                  <c:v>84.9</c:v>
                </c:pt>
                <c:pt idx="10">
                  <c:v>91.5</c:v>
                </c:pt>
                <c:pt idx="11">
                  <c:v>96.3</c:v>
                </c:pt>
                <c:pt idx="12" formatCode="0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165</c:v>
                </c:pt>
                <c:pt idx="18" formatCode="0.00">
                  <c:v>4.6399999999999997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22-230525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22-230525 GB'!$E$58:$W$58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'Nuit 22-230525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22-230525 GB'!$E$56:$W$56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22-230525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22-230525 GB'!$E$60:$W$60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22-230525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22-230525 GB'!$E$59:$W$59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4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FCD27E4-F063-4175-B74D-F6B3F5312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C133996-E0CB-4AB5-99BB-C009058B8B27}"/>
            </a:ext>
          </a:extLst>
        </xdr:cNvPr>
        <xdr:cNvSpPr>
          <a:spLocks noChangeShapeType="1"/>
        </xdr:cNvSpPr>
      </xdr:nvSpPr>
      <xdr:spPr bwMode="auto">
        <a:xfrm>
          <a:off x="8561070" y="121253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5CD55724-1985-4C26-AF68-31B2E9F47119}"/>
            </a:ext>
          </a:extLst>
        </xdr:cNvPr>
        <xdr:cNvSpPr txBox="1">
          <a:spLocks noChangeArrowheads="1"/>
        </xdr:cNvSpPr>
      </xdr:nvSpPr>
      <xdr:spPr bwMode="auto">
        <a:xfrm>
          <a:off x="8789670" y="8246745"/>
          <a:ext cx="3236595" cy="5886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12117839-E044-4590-AB7B-9D3E6538B344}"/>
            </a:ext>
          </a:extLst>
        </xdr:cNvPr>
        <xdr:cNvSpPr>
          <a:spLocks noChangeShapeType="1"/>
        </xdr:cNvSpPr>
      </xdr:nvSpPr>
      <xdr:spPr bwMode="auto">
        <a:xfrm>
          <a:off x="12037695" y="84467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2D31A92-35DB-474B-BE3C-8905D514F5F1}"/>
            </a:ext>
          </a:extLst>
        </xdr:cNvPr>
        <xdr:cNvSpPr>
          <a:spLocks noChangeShapeType="1"/>
        </xdr:cNvSpPr>
      </xdr:nvSpPr>
      <xdr:spPr bwMode="auto">
        <a:xfrm flipH="1">
          <a:off x="9088755" y="88468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6FCE8A7-B7CD-4248-9492-775734702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8B7D1CB-09DA-4FA1-B149-959DCFD89384}"/>
            </a:ext>
          </a:extLst>
        </xdr:cNvPr>
        <xdr:cNvSpPr txBox="1">
          <a:spLocks noChangeArrowheads="1"/>
        </xdr:cNvSpPr>
      </xdr:nvSpPr>
      <xdr:spPr bwMode="auto">
        <a:xfrm>
          <a:off x="11344275" y="122777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3AEB6462-6E9F-4C2A-9594-2A48B9BC5B05}"/>
            </a:ext>
          </a:extLst>
        </xdr:cNvPr>
        <xdr:cNvSpPr>
          <a:spLocks noChangeShapeType="1"/>
        </xdr:cNvSpPr>
      </xdr:nvSpPr>
      <xdr:spPr bwMode="auto">
        <a:xfrm flipH="1">
          <a:off x="20770215" y="210083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C96E58B-E1F7-4D8E-A08F-E6FCC7C4163A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7957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AA83EEF9-EAB0-48B4-86FD-658E0786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25C3EBE-AD17-4997-9387-B6CEC2F3D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95729A09-8CF8-42E4-AEC2-52B2463CE5FE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6423D0B-490E-4E71-A348-D1EB1204070C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CA19756-45BB-4E81-9CE4-AC788012E792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72A63A9-CAAE-4D2F-BA56-03C871E7352F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F855DD4-C534-4CDB-B005-CBA6C91ED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7DC6B7D-1E03-4E29-B86A-0100258B9FC5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AF246B0-DF64-4CDD-B06E-362D3B22E6F0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6DD5F845-8996-4183-AB44-79CAE088824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5A6BFF4-3CD0-4EDE-8122-7196811DB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20</xdr:col>
      <xdr:colOff>331470</xdr:colOff>
      <xdr:row>68</xdr:row>
      <xdr:rowOff>123825</xdr:rowOff>
    </xdr:from>
    <xdr:ext cx="1424940" cy="531495"/>
    <xdr:pic>
      <xdr:nvPicPr>
        <xdr:cNvPr id="13" name="Image 12">
          <a:extLst>
            <a:ext uri="{FF2B5EF4-FFF2-40B4-BE49-F238E27FC236}">
              <a16:creationId xmlns:a16="http://schemas.microsoft.com/office/drawing/2014/main" id="{F36365C9-4EBD-4F18-A687-44F5FE978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9970" y="12563475"/>
          <a:ext cx="1424940" cy="5314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8DE1667-1053-4227-AB8D-254A7D0EA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E1F280F-6DE3-435E-AD19-4A4DF5F51D8B}"/>
            </a:ext>
          </a:extLst>
        </xdr:cNvPr>
        <xdr:cNvSpPr>
          <a:spLocks noChangeShapeType="1"/>
        </xdr:cNvSpPr>
      </xdr:nvSpPr>
      <xdr:spPr bwMode="auto">
        <a:xfrm>
          <a:off x="8561070" y="121253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FD72E08-E3B5-4298-BB6A-66364DC4E929}"/>
            </a:ext>
          </a:extLst>
        </xdr:cNvPr>
        <xdr:cNvSpPr txBox="1">
          <a:spLocks noChangeArrowheads="1"/>
        </xdr:cNvSpPr>
      </xdr:nvSpPr>
      <xdr:spPr bwMode="auto">
        <a:xfrm>
          <a:off x="8789670" y="8246745"/>
          <a:ext cx="3236595" cy="5886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4D340F6-D6B6-4DF7-AE3F-C80A9D13B4AB}"/>
            </a:ext>
          </a:extLst>
        </xdr:cNvPr>
        <xdr:cNvSpPr>
          <a:spLocks noChangeShapeType="1"/>
        </xdr:cNvSpPr>
      </xdr:nvSpPr>
      <xdr:spPr bwMode="auto">
        <a:xfrm>
          <a:off x="12037695" y="84467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69246AD-E86B-42CF-B610-45A43FC56E4D}"/>
            </a:ext>
          </a:extLst>
        </xdr:cNvPr>
        <xdr:cNvSpPr>
          <a:spLocks noChangeShapeType="1"/>
        </xdr:cNvSpPr>
      </xdr:nvSpPr>
      <xdr:spPr bwMode="auto">
        <a:xfrm flipH="1">
          <a:off x="9088755" y="88468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1033F5B-F36F-4FFD-A540-82A92E8ED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2890261-485D-4ED7-9CA5-E01629DA24E0}"/>
            </a:ext>
          </a:extLst>
        </xdr:cNvPr>
        <xdr:cNvSpPr txBox="1">
          <a:spLocks noChangeArrowheads="1"/>
        </xdr:cNvSpPr>
      </xdr:nvSpPr>
      <xdr:spPr bwMode="auto">
        <a:xfrm>
          <a:off x="11344275" y="122777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D6A1313-59B0-4EE4-92D7-312A10F70951}"/>
            </a:ext>
          </a:extLst>
        </xdr:cNvPr>
        <xdr:cNvSpPr>
          <a:spLocks noChangeShapeType="1"/>
        </xdr:cNvSpPr>
      </xdr:nvSpPr>
      <xdr:spPr bwMode="auto">
        <a:xfrm flipH="1">
          <a:off x="20770215" y="210083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A8C3C62-E756-47E8-90AE-075D298E6F04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7957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7C842971-D3F2-4669-B086-25985E5A8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AE0B7CE-E658-44BE-96C1-64D7998B8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5D313F7-00E8-4E62-997D-339269CE7168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5DD5D7A-408D-4970-B6DF-27315C96BC68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4BC58E0-1E2F-4255-A7B6-4E8114E021D2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1176E13-DDA5-4EDA-87F9-D457B254F1BE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8D133CAB-CCA0-4C05-AADF-2E268A0B4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6296FDA-1F61-4F8F-BB5C-3A93A44F2535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1242C3D-D4E8-49E0-898F-328DEBB110F0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26A9AE8-3A0D-4461-A595-E29E62834128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9EAC71C-4CF3-4D74-A3A7-79CA17C3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6BE7-51F8-4073-B8B1-F9EB3F94C0BD}">
  <sheetPr>
    <pageSetUpPr fitToPage="1"/>
  </sheetPr>
  <dimension ref="A1:AN70"/>
  <sheetViews>
    <sheetView tabSelected="1" topLeftCell="A54" zoomScaleNormal="100" workbookViewId="0">
      <selection activeCell="W52" sqref="W52:X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95"/>
      <c r="B1" s="296"/>
      <c r="C1" s="296"/>
      <c r="D1" s="296"/>
      <c r="E1" s="296"/>
      <c r="F1" s="297"/>
      <c r="G1" s="304" t="s">
        <v>33</v>
      </c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6"/>
      <c r="U1" s="307" t="s">
        <v>53</v>
      </c>
      <c r="V1" s="308"/>
      <c r="W1" s="308"/>
      <c r="X1" s="308"/>
      <c r="Y1" s="308"/>
      <c r="Z1" s="309"/>
      <c r="AA1" s="78"/>
    </row>
    <row r="2" spans="1:36" ht="12.6" customHeight="1" x14ac:dyDescent="0.25">
      <c r="A2" s="298"/>
      <c r="B2" s="299"/>
      <c r="C2" s="299"/>
      <c r="D2" s="299"/>
      <c r="E2" s="299"/>
      <c r="F2" s="300"/>
      <c r="G2" s="316" t="s">
        <v>39</v>
      </c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8"/>
      <c r="U2" s="310"/>
      <c r="V2" s="311"/>
      <c r="W2" s="311"/>
      <c r="X2" s="311"/>
      <c r="Y2" s="311"/>
      <c r="Z2" s="312"/>
      <c r="AA2" s="78"/>
    </row>
    <row r="3" spans="1:36" ht="12.6" customHeight="1" x14ac:dyDescent="0.25">
      <c r="A3" s="298"/>
      <c r="B3" s="299"/>
      <c r="C3" s="299"/>
      <c r="D3" s="299"/>
      <c r="E3" s="299"/>
      <c r="F3" s="300"/>
      <c r="G3" s="319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8"/>
      <c r="U3" s="310"/>
      <c r="V3" s="311"/>
      <c r="W3" s="311"/>
      <c r="X3" s="311"/>
      <c r="Y3" s="311"/>
      <c r="Z3" s="312"/>
      <c r="AA3" s="78"/>
    </row>
    <row r="4" spans="1:36" ht="12.6" customHeight="1" x14ac:dyDescent="0.25">
      <c r="A4" s="298"/>
      <c r="B4" s="299"/>
      <c r="C4" s="299"/>
      <c r="D4" s="299"/>
      <c r="E4" s="299"/>
      <c r="F4" s="300"/>
      <c r="G4" s="319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8"/>
      <c r="U4" s="310"/>
      <c r="V4" s="311"/>
      <c r="W4" s="311"/>
      <c r="X4" s="311"/>
      <c r="Y4" s="311"/>
      <c r="Z4" s="312"/>
      <c r="AA4" s="78"/>
    </row>
    <row r="5" spans="1:36" ht="12.6" customHeight="1" x14ac:dyDescent="0.25">
      <c r="A5" s="298"/>
      <c r="B5" s="299"/>
      <c r="C5" s="299"/>
      <c r="D5" s="299"/>
      <c r="E5" s="299"/>
      <c r="F5" s="300"/>
      <c r="G5" s="319" t="s">
        <v>40</v>
      </c>
      <c r="H5" s="317"/>
      <c r="I5" s="2" t="s">
        <v>34</v>
      </c>
      <c r="J5" s="284">
        <v>5</v>
      </c>
      <c r="K5" s="320"/>
      <c r="L5" s="321" t="s">
        <v>52</v>
      </c>
      <c r="M5" s="284"/>
      <c r="N5" s="284"/>
      <c r="O5" s="320"/>
      <c r="P5" s="322">
        <v>46055</v>
      </c>
      <c r="Q5" s="323"/>
      <c r="R5" s="323"/>
      <c r="S5" s="323"/>
      <c r="T5" s="324"/>
      <c r="U5" s="310"/>
      <c r="V5" s="311"/>
      <c r="W5" s="311"/>
      <c r="X5" s="311"/>
      <c r="Y5" s="311"/>
      <c r="Z5" s="312"/>
      <c r="AA5" s="78"/>
    </row>
    <row r="6" spans="1:36" ht="12.6" customHeight="1" x14ac:dyDescent="0.25">
      <c r="A6" s="301"/>
      <c r="B6" s="302"/>
      <c r="C6" s="302"/>
      <c r="D6" s="302"/>
      <c r="E6" s="302"/>
      <c r="F6" s="303"/>
      <c r="G6" s="3"/>
      <c r="H6" s="4"/>
      <c r="I6" s="4"/>
      <c r="J6" s="289" t="s">
        <v>35</v>
      </c>
      <c r="K6" s="289"/>
      <c r="L6" s="289" t="s">
        <v>36</v>
      </c>
      <c r="M6" s="289"/>
      <c r="N6" s="289"/>
      <c r="O6" s="289"/>
      <c r="P6" s="289" t="s">
        <v>37</v>
      </c>
      <c r="Q6" s="289"/>
      <c r="R6" s="289"/>
      <c r="S6" s="289"/>
      <c r="T6" s="290"/>
      <c r="U6" s="313"/>
      <c r="V6" s="314"/>
      <c r="W6" s="314"/>
      <c r="X6" s="314"/>
      <c r="Y6" s="314"/>
      <c r="Z6" s="315"/>
      <c r="AA6" s="78"/>
    </row>
    <row r="7" spans="1:36" ht="36.6" customHeight="1" x14ac:dyDescent="0.25">
      <c r="A7" s="291" t="s">
        <v>38</v>
      </c>
      <c r="B7" s="291"/>
      <c r="C7" s="291"/>
      <c r="D7" s="291"/>
      <c r="E7" s="291"/>
      <c r="F7" s="291"/>
      <c r="G7" s="292" t="s">
        <v>32</v>
      </c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95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3" t="s">
        <v>27</v>
      </c>
      <c r="C10" s="283"/>
      <c r="D10" s="283"/>
      <c r="E10" s="283"/>
      <c r="F10" s="283"/>
      <c r="G10" s="287" t="s">
        <v>54</v>
      </c>
      <c r="H10" s="287"/>
      <c r="I10" s="287"/>
      <c r="J10" s="287"/>
      <c r="K10" s="287"/>
      <c r="L10" s="287"/>
      <c r="M10" s="283" t="s">
        <v>30</v>
      </c>
      <c r="N10" s="283"/>
      <c r="O10" s="283"/>
      <c r="P10" s="283"/>
      <c r="Q10" s="283"/>
      <c r="R10" s="283"/>
      <c r="S10" s="286" t="s">
        <v>58</v>
      </c>
      <c r="T10" s="286"/>
      <c r="U10" s="286"/>
      <c r="V10" s="286"/>
      <c r="W10" s="286"/>
      <c r="X10" s="286"/>
      <c r="Y10" s="286"/>
      <c r="Z10" s="17"/>
      <c r="AA10" s="75"/>
      <c r="AB10" s="12"/>
      <c r="AC10" s="12"/>
      <c r="AD10" s="12"/>
      <c r="AE10" s="117"/>
      <c r="AF10" s="117"/>
      <c r="AG10" s="117"/>
      <c r="AH10" s="117"/>
      <c r="AI10" s="117"/>
    </row>
    <row r="11" spans="1:36" ht="15.9" customHeight="1" x14ac:dyDescent="0.25">
      <c r="A11" s="13"/>
      <c r="B11" s="283" t="s">
        <v>6</v>
      </c>
      <c r="C11" s="283"/>
      <c r="D11" s="283"/>
      <c r="E11" s="283"/>
      <c r="F11" s="283"/>
      <c r="G11" s="287">
        <v>46055</v>
      </c>
      <c r="H11" s="287"/>
      <c r="I11" s="287"/>
      <c r="J11" s="287"/>
      <c r="K11" s="287"/>
      <c r="L11" s="287"/>
      <c r="M11" s="283" t="s">
        <v>44</v>
      </c>
      <c r="N11" s="283"/>
      <c r="O11" s="283"/>
      <c r="P11" s="283"/>
      <c r="Q11" s="283"/>
      <c r="R11" s="283"/>
      <c r="S11" s="146" t="s">
        <v>77</v>
      </c>
      <c r="T11" s="122"/>
      <c r="U11" s="122"/>
      <c r="V11" s="122"/>
      <c r="W11" s="122"/>
      <c r="X11" s="122"/>
      <c r="Y11" s="122"/>
      <c r="Z11" s="17"/>
      <c r="AA11" s="75"/>
      <c r="AB11" s="12"/>
      <c r="AC11" s="12"/>
      <c r="AD11" s="12"/>
      <c r="AE11" s="117"/>
      <c r="AF11" s="117"/>
      <c r="AG11" s="117"/>
      <c r="AH11" s="117"/>
      <c r="AI11" s="117"/>
    </row>
    <row r="12" spans="1:36" ht="15.9" customHeight="1" x14ac:dyDescent="0.25">
      <c r="A12" s="13"/>
      <c r="B12" s="283" t="s">
        <v>28</v>
      </c>
      <c r="C12" s="283"/>
      <c r="D12" s="283"/>
      <c r="E12" s="283"/>
      <c r="F12" s="283"/>
      <c r="G12" s="287">
        <v>46055</v>
      </c>
      <c r="H12" s="287"/>
      <c r="I12" s="287"/>
      <c r="J12" s="287"/>
      <c r="K12" s="287"/>
      <c r="L12" s="287"/>
      <c r="M12" s="288" t="s">
        <v>43</v>
      </c>
      <c r="N12" s="288"/>
      <c r="O12" s="288"/>
      <c r="P12" s="288"/>
      <c r="Q12" s="288"/>
      <c r="R12" s="288"/>
      <c r="S12" s="286">
        <v>157</v>
      </c>
      <c r="T12" s="286"/>
      <c r="U12" s="286"/>
      <c r="V12" s="286"/>
      <c r="W12" s="286"/>
      <c r="X12" s="286"/>
      <c r="Y12" s="286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45" t="s">
        <v>41</v>
      </c>
      <c r="C13" s="345"/>
      <c r="D13" s="345"/>
      <c r="E13" s="345"/>
      <c r="F13" s="345"/>
      <c r="G13" s="285" t="s">
        <v>56</v>
      </c>
      <c r="H13" s="285"/>
      <c r="I13" s="285"/>
      <c r="J13" s="285"/>
      <c r="K13" s="285"/>
      <c r="L13" s="285"/>
      <c r="M13" s="283" t="s">
        <v>29</v>
      </c>
      <c r="N13" s="283"/>
      <c r="O13" s="283"/>
      <c r="P13" s="283"/>
      <c r="Q13" s="283"/>
      <c r="R13" s="283"/>
      <c r="S13" s="285" t="s">
        <v>60</v>
      </c>
      <c r="T13" s="285"/>
      <c r="U13" s="285"/>
      <c r="V13" s="285"/>
      <c r="W13" s="285"/>
      <c r="X13" s="285"/>
      <c r="Y13" s="285"/>
      <c r="Z13" s="17"/>
      <c r="AA13" s="75"/>
      <c r="AB13" s="12"/>
      <c r="AC13" s="12"/>
      <c r="AD13" s="12"/>
      <c r="AE13" s="117"/>
      <c r="AF13" s="117"/>
      <c r="AG13" s="117"/>
      <c r="AH13" s="117"/>
      <c r="AI13" s="117"/>
      <c r="AJ13" s="117"/>
    </row>
    <row r="14" spans="1:36" ht="15.9" customHeight="1" x14ac:dyDescent="0.25">
      <c r="A14" s="18"/>
      <c r="B14" s="283" t="s">
        <v>42</v>
      </c>
      <c r="C14" s="283"/>
      <c r="D14" s="283"/>
      <c r="E14" s="283"/>
      <c r="F14" s="283"/>
      <c r="G14" s="285" t="s">
        <v>57</v>
      </c>
      <c r="H14" s="285"/>
      <c r="I14" s="285"/>
      <c r="J14" s="285"/>
      <c r="K14" s="285"/>
      <c r="L14" s="285"/>
      <c r="M14" s="286" t="s">
        <v>26</v>
      </c>
      <c r="N14" s="286"/>
      <c r="O14" s="286"/>
      <c r="P14" s="286"/>
      <c r="Q14" s="286"/>
      <c r="R14" s="286"/>
      <c r="S14" s="286" t="s">
        <v>49</v>
      </c>
      <c r="T14" s="286"/>
      <c r="U14" s="286"/>
      <c r="V14" s="286"/>
      <c r="W14" s="286"/>
      <c r="X14" s="286"/>
      <c r="Y14" s="286"/>
      <c r="Z14" s="19"/>
      <c r="AA14" s="12"/>
      <c r="AB14" s="12"/>
      <c r="AC14" s="12"/>
      <c r="AD14" s="12"/>
      <c r="AE14" s="117"/>
      <c r="AF14" s="117"/>
      <c r="AG14" s="117"/>
      <c r="AH14" s="117"/>
      <c r="AI14" s="117"/>
      <c r="AJ14" s="11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7"/>
      <c r="AF15" s="117"/>
      <c r="AG15" s="117"/>
      <c r="AH15" s="117"/>
      <c r="AI15" s="117"/>
      <c r="AJ15" s="11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7"/>
      <c r="AF16" s="117"/>
      <c r="AG16" s="117"/>
      <c r="AH16" s="117"/>
      <c r="AI16" s="117"/>
      <c r="AJ16" s="11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3" t="s">
        <v>19</v>
      </c>
      <c r="C19" s="283"/>
      <c r="D19" s="283"/>
      <c r="E19" s="283"/>
      <c r="F19" s="283"/>
      <c r="G19" s="283"/>
      <c r="H19" s="283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17"/>
      <c r="AA19" s="75"/>
      <c r="AE19" s="20"/>
      <c r="AI19" s="20"/>
    </row>
    <row r="20" spans="1:40" ht="15.9" customHeight="1" x14ac:dyDescent="0.25">
      <c r="A20" s="13"/>
      <c r="B20" s="283" t="s">
        <v>20</v>
      </c>
      <c r="C20" s="283"/>
      <c r="D20" s="283"/>
      <c r="E20" s="283"/>
      <c r="F20" s="283"/>
      <c r="G20" s="283"/>
      <c r="H20" s="283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8.600000000000001" customHeight="1" x14ac:dyDescent="0.25">
      <c r="A27" s="18"/>
      <c r="Z27" s="23"/>
    </row>
    <row r="28" spans="1:40" ht="18.600000000000001" customHeight="1" x14ac:dyDescent="0.25">
      <c r="A28" s="18"/>
      <c r="Z28" s="23"/>
    </row>
    <row r="29" spans="1:40" ht="18.600000000000001" customHeight="1" x14ac:dyDescent="0.25">
      <c r="A29" s="18"/>
      <c r="Z29" s="23"/>
    </row>
    <row r="30" spans="1:40" ht="18.600000000000001" customHeight="1" x14ac:dyDescent="0.25">
      <c r="A30" s="18"/>
      <c r="Z30" s="23"/>
    </row>
    <row r="31" spans="1:40" ht="18.600000000000001" customHeight="1" x14ac:dyDescent="0.25">
      <c r="A31" s="18"/>
      <c r="Z31" s="23"/>
    </row>
    <row r="32" spans="1:40" ht="18.600000000000001" customHeight="1" x14ac:dyDescent="0.25">
      <c r="A32" s="18"/>
      <c r="Z32" s="23"/>
    </row>
    <row r="33" spans="1:34" ht="18.600000000000001" customHeight="1" x14ac:dyDescent="0.25">
      <c r="A33" s="18"/>
      <c r="Z33" s="23"/>
    </row>
    <row r="34" spans="1:34" ht="18.600000000000001" customHeight="1" x14ac:dyDescent="0.25">
      <c r="A34" s="18"/>
      <c r="Z34" s="23"/>
    </row>
    <row r="35" spans="1:34" ht="18.600000000000001" customHeight="1" x14ac:dyDescent="0.25">
      <c r="A35" s="18"/>
      <c r="Z35" s="23"/>
    </row>
    <row r="36" spans="1:34" ht="18.600000000000001" customHeight="1" x14ac:dyDescent="0.25">
      <c r="A36" s="18"/>
      <c r="Z36" s="23"/>
    </row>
    <row r="37" spans="1:34" ht="18.600000000000001" customHeight="1" x14ac:dyDescent="0.25">
      <c r="A37" s="18"/>
      <c r="Z37" s="23"/>
    </row>
    <row r="38" spans="1:34" ht="18.600000000000001" customHeight="1" x14ac:dyDescent="0.25">
      <c r="A38" s="18"/>
      <c r="Z38" s="23"/>
    </row>
    <row r="39" spans="1:34" ht="18.600000000000001" customHeight="1" x14ac:dyDescent="0.25">
      <c r="A39" s="18"/>
      <c r="Z39" s="23"/>
    </row>
    <row r="40" spans="1:34" ht="18.600000000000001" customHeight="1" x14ac:dyDescent="0.25">
      <c r="A40" s="18"/>
      <c r="Z40" s="23"/>
    </row>
    <row r="41" spans="1:34" ht="18.600000000000001" customHeight="1" x14ac:dyDescent="0.25">
      <c r="A41" s="18"/>
      <c r="Z41" s="23"/>
    </row>
    <row r="42" spans="1:34" ht="18.600000000000001" customHeight="1" x14ac:dyDescent="0.25">
      <c r="A42" s="18"/>
      <c r="Z42" s="23"/>
    </row>
    <row r="43" spans="1:34" ht="18.600000000000001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2.6779999999999999</v>
      </c>
      <c r="AF47" s="250"/>
      <c r="AG47" s="267"/>
      <c r="AH47" s="39"/>
    </row>
    <row r="48" spans="1:34" ht="12.75" customHeight="1" thickBot="1" x14ac:dyDescent="0.3">
      <c r="A48" s="18"/>
      <c r="Z48" s="87"/>
      <c r="AD48" s="263"/>
      <c r="AE48" s="265"/>
      <c r="AF48" s="266"/>
      <c r="AG48" s="267"/>
    </row>
    <row r="49" spans="1:34" ht="18.75" customHeight="1" thickBot="1" x14ac:dyDescent="0.3">
      <c r="A49" s="18"/>
      <c r="E49" s="268" t="s">
        <v>11</v>
      </c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70" t="s">
        <v>47</v>
      </c>
      <c r="V49" s="271"/>
      <c r="W49" s="272" t="s">
        <v>12</v>
      </c>
      <c r="X49" s="271"/>
      <c r="Y49" s="273" t="s">
        <v>13</v>
      </c>
      <c r="Z49" s="274"/>
      <c r="AA49" s="82"/>
      <c r="AB49" s="277" t="s">
        <v>45</v>
      </c>
      <c r="AC49" s="278"/>
      <c r="AD49" s="281" t="s">
        <v>14</v>
      </c>
      <c r="AE49" s="248" t="s">
        <v>15</v>
      </c>
      <c r="AF49" s="250"/>
      <c r="AG49" s="250"/>
      <c r="AH49" s="40"/>
    </row>
    <row r="50" spans="1:34" ht="24.9" customHeight="1" thickBot="1" x14ac:dyDescent="0.3">
      <c r="A50" s="5"/>
      <c r="B50" s="41" t="s">
        <v>22</v>
      </c>
      <c r="C50" s="252" t="s">
        <v>10</v>
      </c>
      <c r="D50" s="253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0"/>
      <c r="V50" s="202"/>
      <c r="W50" s="201"/>
      <c r="X50" s="202"/>
      <c r="Y50" s="275"/>
      <c r="Z50" s="276"/>
      <c r="AA50" s="82"/>
      <c r="AB50" s="279"/>
      <c r="AC50" s="280"/>
      <c r="AD50" s="282"/>
      <c r="AE50" s="249"/>
      <c r="AF50" s="251"/>
      <c r="AG50" s="250"/>
    </row>
    <row r="51" spans="1:34" ht="24.9" customHeight="1" x14ac:dyDescent="0.25">
      <c r="A51" s="5"/>
      <c r="B51" s="43">
        <v>1</v>
      </c>
      <c r="C51" s="335" t="s">
        <v>75</v>
      </c>
      <c r="D51" s="336"/>
      <c r="E51" s="353">
        <v>8.4</v>
      </c>
      <c r="F51" s="354">
        <v>10.5</v>
      </c>
      <c r="G51" s="355">
        <v>13.3</v>
      </c>
      <c r="H51" s="355">
        <v>16.5</v>
      </c>
      <c r="I51" s="355">
        <v>21.9</v>
      </c>
      <c r="J51" s="355">
        <v>30.5</v>
      </c>
      <c r="K51" s="355">
        <v>45.1</v>
      </c>
      <c r="L51" s="355">
        <v>60.3</v>
      </c>
      <c r="M51" s="355">
        <v>71.599999999999994</v>
      </c>
      <c r="N51" s="355">
        <v>84.8</v>
      </c>
      <c r="O51" s="355">
        <v>91.3</v>
      </c>
      <c r="P51" s="355">
        <v>96</v>
      </c>
      <c r="Q51" s="355">
        <v>100</v>
      </c>
      <c r="R51" s="355"/>
      <c r="S51" s="356"/>
      <c r="T51" s="356"/>
      <c r="U51" s="331">
        <v>171</v>
      </c>
      <c r="V51" s="332"/>
      <c r="W51" s="333">
        <v>4.71</v>
      </c>
      <c r="X51" s="334"/>
      <c r="Y51" s="260">
        <f>IF(W51&lt;&gt;0,AE51,"")</f>
        <v>2.8941410922988577</v>
      </c>
      <c r="Z51" s="261"/>
      <c r="AA51" s="80"/>
      <c r="AB51" s="216">
        <f>(100*W51)/(100-W51)</f>
        <v>4.9428061706370023</v>
      </c>
      <c r="AC51" s="217"/>
      <c r="AD51" s="67">
        <f>(0.25*(100-O51)+2.3*(O51-H51)+12*(H51-E51)+150*(E51))/100</f>
        <v>15.31415</v>
      </c>
      <c r="AE51" s="68">
        <f>(AB51*$AE$47)/(2.65*(AD51)^(1/5))</f>
        <v>2.8941410922988577</v>
      </c>
      <c r="AF51" s="29"/>
      <c r="AG51" s="66"/>
    </row>
    <row r="52" spans="1:34" ht="24.9" customHeight="1" x14ac:dyDescent="0.25">
      <c r="A52" s="5"/>
      <c r="B52" s="44">
        <v>2</v>
      </c>
      <c r="C52" s="339"/>
      <c r="D52" s="340"/>
      <c r="E52" s="118"/>
      <c r="F52" s="119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4"/>
      <c r="R52" s="120"/>
      <c r="S52" s="121"/>
      <c r="T52" s="121"/>
      <c r="U52" s="341"/>
      <c r="V52" s="342"/>
      <c r="W52" s="343"/>
      <c r="X52" s="344"/>
      <c r="Y52" s="243" t="str">
        <f>IF(W52&lt;&gt;0,AE52,"")</f>
        <v/>
      </c>
      <c r="Z52" s="244"/>
      <c r="AA52" s="80"/>
      <c r="AB52" s="216">
        <f>(100*W52)/(100-W52)</f>
        <v>0</v>
      </c>
      <c r="AC52" s="217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4"/>
      <c r="D53" s="245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5"/>
      <c r="R53" s="92"/>
      <c r="S53" s="92"/>
      <c r="T53" s="93"/>
      <c r="U53" s="191"/>
      <c r="V53" s="192"/>
      <c r="W53" s="246"/>
      <c r="X53" s="247"/>
      <c r="Y53" s="243" t="str">
        <f t="shared" ref="Y53:Y54" si="2">IF(W53&lt;&gt;0,AE53,"")</f>
        <v/>
      </c>
      <c r="Z53" s="244"/>
      <c r="AA53" s="80"/>
      <c r="AB53" s="216">
        <f>(100*W53)/(100-W53)</f>
        <v>0</v>
      </c>
      <c r="AC53" s="21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6"/>
      <c r="D54" s="227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6"/>
      <c r="R54" s="96"/>
      <c r="S54" s="96"/>
      <c r="T54" s="97"/>
      <c r="U54" s="228"/>
      <c r="V54" s="229"/>
      <c r="W54" s="230"/>
      <c r="X54" s="231"/>
      <c r="Y54" s="232" t="str">
        <f t="shared" si="2"/>
        <v/>
      </c>
      <c r="Z54" s="233"/>
      <c r="AA54" s="80"/>
      <c r="AB54" s="216">
        <f>(100*W54)/(100-W54)</f>
        <v>0</v>
      </c>
      <c r="AC54" s="21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7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4" t="s">
        <v>8</v>
      </c>
      <c r="C56" s="235"/>
      <c r="D56" s="23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8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8" t="s">
        <v>7</v>
      </c>
      <c r="C57" s="209"/>
      <c r="D57" s="210"/>
      <c r="E57" s="98">
        <f t="shared" ref="E57:T57" si="3">IF(E51&lt;&gt;0,AVERAGE(E51:E54),"")</f>
        <v>8.4</v>
      </c>
      <c r="F57" s="98">
        <f t="shared" si="3"/>
        <v>10.5</v>
      </c>
      <c r="G57" s="98">
        <f t="shared" si="3"/>
        <v>13.3</v>
      </c>
      <c r="H57" s="98">
        <f t="shared" si="3"/>
        <v>16.5</v>
      </c>
      <c r="I57" s="98">
        <f t="shared" si="3"/>
        <v>21.9</v>
      </c>
      <c r="J57" s="98">
        <f t="shared" si="3"/>
        <v>30.5</v>
      </c>
      <c r="K57" s="98">
        <f t="shared" si="3"/>
        <v>45.1</v>
      </c>
      <c r="L57" s="98">
        <f t="shared" si="3"/>
        <v>60.3</v>
      </c>
      <c r="M57" s="98">
        <f t="shared" si="3"/>
        <v>71.599999999999994</v>
      </c>
      <c r="N57" s="98">
        <f t="shared" si="3"/>
        <v>84.8</v>
      </c>
      <c r="O57" s="98">
        <f t="shared" si="3"/>
        <v>91.3</v>
      </c>
      <c r="P57" s="98">
        <f t="shared" si="3"/>
        <v>96</v>
      </c>
      <c r="Q57" s="129">
        <f t="shared" si="3"/>
        <v>100</v>
      </c>
      <c r="R57" s="98" t="str">
        <f t="shared" si="3"/>
        <v/>
      </c>
      <c r="S57" s="98" t="str">
        <f t="shared" si="3"/>
        <v/>
      </c>
      <c r="T57" s="99" t="str">
        <f t="shared" si="3"/>
        <v/>
      </c>
      <c r="U57" s="211">
        <f>IF(U51&lt;&gt;0,AVERAGE(U51:V54),"")</f>
        <v>171</v>
      </c>
      <c r="V57" s="212"/>
      <c r="W57" s="213">
        <f>IF(W51&lt;&gt;0,AVERAGE(W51:X54),"")</f>
        <v>4.71</v>
      </c>
      <c r="X57" s="214"/>
      <c r="Y57" s="337">
        <f>IF(W51&lt;&gt;0,AVERAGE(Y51:Z54),"")</f>
        <v>2.8941410922988577</v>
      </c>
      <c r="Z57" s="338"/>
      <c r="AA57" s="66"/>
      <c r="AB57" s="216">
        <f>(100*W57)/(100-W57)</f>
        <v>4.9428061706370023</v>
      </c>
      <c r="AC57" s="217"/>
      <c r="AD57" s="67">
        <f t="shared" si="0"/>
        <v>15.31415</v>
      </c>
      <c r="AE57" s="68">
        <f t="shared" si="1"/>
        <v>2.8941410922988577</v>
      </c>
      <c r="AF57" s="29"/>
      <c r="AG57" s="66"/>
    </row>
    <row r="58" spans="1:34" ht="21" customHeight="1" x14ac:dyDescent="0.25">
      <c r="A58" s="5"/>
      <c r="B58" s="218" t="s">
        <v>9</v>
      </c>
      <c r="C58" s="219"/>
      <c r="D58" s="220"/>
      <c r="E58" s="100">
        <v>6.9</v>
      </c>
      <c r="F58" s="100">
        <v>9</v>
      </c>
      <c r="G58" s="100">
        <v>12</v>
      </c>
      <c r="H58" s="100">
        <v>16</v>
      </c>
      <c r="I58" s="100">
        <v>22</v>
      </c>
      <c r="J58" s="100">
        <v>32</v>
      </c>
      <c r="K58" s="100">
        <v>47</v>
      </c>
      <c r="L58" s="100">
        <v>61</v>
      </c>
      <c r="M58" s="100">
        <v>69</v>
      </c>
      <c r="N58" s="100">
        <v>80</v>
      </c>
      <c r="O58" s="100">
        <v>92</v>
      </c>
      <c r="P58" s="100">
        <v>98</v>
      </c>
      <c r="Q58" s="130">
        <v>100</v>
      </c>
      <c r="R58" s="100"/>
      <c r="S58" s="100"/>
      <c r="T58" s="101"/>
      <c r="U58" s="221"/>
      <c r="V58" s="222"/>
      <c r="W58" s="223">
        <v>4.4000000000000004</v>
      </c>
      <c r="X58" s="224"/>
      <c r="Y58" s="225">
        <f>AE58</f>
        <v>2.7757408663172658</v>
      </c>
      <c r="Z58" s="226"/>
      <c r="AA58" s="66"/>
      <c r="AB58" s="216">
        <f>(100*W58)/(100-W58)</f>
        <v>4.6025104602510467</v>
      </c>
      <c r="AC58" s="217"/>
      <c r="AD58" s="67">
        <f t="shared" si="0"/>
        <v>13.21</v>
      </c>
      <c r="AE58" s="68">
        <f t="shared" si="1"/>
        <v>2.7757408663172658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8.9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92"/>
      <c r="R59" s="92"/>
      <c r="S59" s="92"/>
      <c r="T59" s="93"/>
      <c r="U59" s="191"/>
      <c r="V59" s="192"/>
      <c r="W59" s="193">
        <f>W58+0.5</f>
        <v>4.9000000000000004</v>
      </c>
      <c r="X59" s="192"/>
      <c r="Y59" s="194"/>
      <c r="Z59" s="195"/>
      <c r="AA59" s="83"/>
      <c r="AB59" s="71"/>
      <c r="AC59" s="69"/>
      <c r="AD59" s="196"/>
      <c r="AE59" s="198" t="s">
        <v>46</v>
      </c>
      <c r="AF59" s="29"/>
      <c r="AG59" s="66"/>
    </row>
    <row r="60" spans="1:34" ht="13.5" customHeight="1" thickBot="1" x14ac:dyDescent="0.3">
      <c r="A60" s="5"/>
      <c r="B60" s="200" t="s">
        <v>24</v>
      </c>
      <c r="C60" s="201"/>
      <c r="D60" s="202"/>
      <c r="E60" s="102">
        <f>E58-2</f>
        <v>4.9000000000000004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203"/>
      <c r="V60" s="204"/>
      <c r="W60" s="205">
        <f>W58-0.5</f>
        <v>3.9000000000000004</v>
      </c>
      <c r="X60" s="204"/>
      <c r="Y60" s="206"/>
      <c r="Z60" s="207"/>
      <c r="AA60" s="84"/>
      <c r="AB60" s="72"/>
      <c r="AC60" s="73"/>
      <c r="AD60" s="197"/>
      <c r="AE60" s="199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8"/>
      <c r="V63" s="168"/>
      <c r="W63" s="168"/>
      <c r="X63" s="168"/>
      <c r="Y63" s="168"/>
      <c r="Z63" s="169"/>
      <c r="AA63" s="81"/>
      <c r="AB63" s="58"/>
      <c r="AC63" s="58"/>
      <c r="AD63" s="59"/>
    </row>
    <row r="64" spans="1:34" ht="26.4" customHeight="1" x14ac:dyDescent="0.25">
      <c r="A64" s="170" t="s">
        <v>48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2"/>
      <c r="R64" s="153" t="s">
        <v>31</v>
      </c>
      <c r="S64" s="154"/>
      <c r="T64" s="155"/>
      <c r="U64" s="173" t="s">
        <v>62</v>
      </c>
      <c r="V64" s="174"/>
      <c r="W64" s="174"/>
      <c r="X64" s="174"/>
      <c r="Y64" s="174"/>
      <c r="Z64" s="175"/>
      <c r="AA64" s="76"/>
      <c r="AB64" s="60"/>
      <c r="AC64" s="60"/>
      <c r="AD64" s="59"/>
    </row>
    <row r="65" spans="1:30" ht="26.4" customHeight="1" x14ac:dyDescent="0.25">
      <c r="A65" s="179" t="s">
        <v>64</v>
      </c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1"/>
      <c r="R65" s="153" t="s">
        <v>51</v>
      </c>
      <c r="S65" s="154"/>
      <c r="T65" s="155"/>
      <c r="U65" s="185" t="s">
        <v>63</v>
      </c>
      <c r="V65" s="186"/>
      <c r="W65" s="186"/>
      <c r="X65" s="186"/>
      <c r="Y65" s="186"/>
      <c r="Z65" s="187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3"/>
      <c r="S66" s="154"/>
      <c r="T66" s="155"/>
      <c r="U66" s="188"/>
      <c r="V66" s="189"/>
      <c r="W66" s="189"/>
      <c r="X66" s="189"/>
      <c r="Y66" s="189"/>
      <c r="Z66" s="190"/>
      <c r="AA66" s="76"/>
      <c r="AB66" s="60"/>
      <c r="AC66" s="60"/>
      <c r="AD66" s="59"/>
    </row>
    <row r="67" spans="1:30" ht="15.6" customHeight="1" x14ac:dyDescent="0.25">
      <c r="A67" s="325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7"/>
      <c r="R67" s="153" t="s">
        <v>25</v>
      </c>
      <c r="S67" s="154"/>
      <c r="T67" s="155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325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7"/>
      <c r="R68" s="153"/>
      <c r="S68" s="154"/>
      <c r="T68" s="155"/>
      <c r="U68" s="108"/>
      <c r="V68" s="163"/>
      <c r="W68" s="163"/>
      <c r="X68" s="163"/>
      <c r="Y68" s="163"/>
      <c r="Z68" s="109"/>
      <c r="AA68" s="77"/>
      <c r="AB68" s="65"/>
      <c r="AC68" s="65"/>
      <c r="AD68" s="59"/>
    </row>
    <row r="69" spans="1:30" ht="15.6" customHeight="1" x14ac:dyDescent="0.25">
      <c r="A69" s="325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7"/>
      <c r="R69" s="153"/>
      <c r="S69" s="154"/>
      <c r="T69" s="155"/>
      <c r="U69" s="108"/>
      <c r="V69" s="163"/>
      <c r="W69" s="163"/>
      <c r="X69" s="163"/>
      <c r="Y69" s="163"/>
      <c r="Z69" s="109"/>
      <c r="AA69" s="77"/>
      <c r="AB69" s="65"/>
      <c r="AC69" s="65"/>
      <c r="AD69" s="59"/>
    </row>
    <row r="70" spans="1:30" ht="15.6" customHeight="1" x14ac:dyDescent="0.25">
      <c r="A70" s="328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30"/>
      <c r="R70" s="156"/>
      <c r="S70" s="157"/>
      <c r="T70" s="158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0">
    <mergeCell ref="A67:Q70"/>
    <mergeCell ref="R67:T70"/>
    <mergeCell ref="V68:Y69"/>
    <mergeCell ref="U51:V51"/>
    <mergeCell ref="W51:X51"/>
    <mergeCell ref="C51:D51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G49:AG50"/>
    <mergeCell ref="C50:D50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B19:H19"/>
    <mergeCell ref="I19:Y19"/>
    <mergeCell ref="B20:H20"/>
    <mergeCell ref="I20:Y20"/>
    <mergeCell ref="AD47:AD48"/>
    <mergeCell ref="AE47:AE48"/>
    <mergeCell ref="S12:Y12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2079-5EC8-4A71-A11A-36A381B8D8F6}">
  <sheetPr>
    <pageSetUpPr fitToPage="1"/>
  </sheetPr>
  <dimension ref="A1:AN72"/>
  <sheetViews>
    <sheetView zoomScaleNormal="100" workbookViewId="0">
      <selection activeCell="S11" sqref="S1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5"/>
      <c r="B1" s="296"/>
      <c r="C1" s="296"/>
      <c r="D1" s="296"/>
      <c r="E1" s="296"/>
      <c r="F1" s="297"/>
      <c r="G1" s="304" t="s">
        <v>33</v>
      </c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6"/>
      <c r="U1" s="307" t="s">
        <v>53</v>
      </c>
      <c r="V1" s="308"/>
      <c r="W1" s="308"/>
      <c r="X1" s="308"/>
      <c r="Y1" s="308"/>
      <c r="Z1" s="309"/>
      <c r="AA1" s="78"/>
    </row>
    <row r="2" spans="1:36" ht="12.75" customHeight="1" x14ac:dyDescent="0.25">
      <c r="A2" s="298"/>
      <c r="B2" s="299"/>
      <c r="C2" s="299"/>
      <c r="D2" s="299"/>
      <c r="E2" s="299"/>
      <c r="F2" s="300"/>
      <c r="G2" s="316" t="s">
        <v>39</v>
      </c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8"/>
      <c r="U2" s="310"/>
      <c r="V2" s="311"/>
      <c r="W2" s="311"/>
      <c r="X2" s="311"/>
      <c r="Y2" s="311"/>
      <c r="Z2" s="312"/>
      <c r="AA2" s="78"/>
    </row>
    <row r="3" spans="1:36" ht="12.75" customHeight="1" x14ac:dyDescent="0.25">
      <c r="A3" s="298"/>
      <c r="B3" s="299"/>
      <c r="C3" s="299"/>
      <c r="D3" s="299"/>
      <c r="E3" s="299"/>
      <c r="F3" s="300"/>
      <c r="G3" s="319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8"/>
      <c r="U3" s="310"/>
      <c r="V3" s="311"/>
      <c r="W3" s="311"/>
      <c r="X3" s="311"/>
      <c r="Y3" s="311"/>
      <c r="Z3" s="312"/>
      <c r="AA3" s="78"/>
    </row>
    <row r="4" spans="1:36" ht="12.75" customHeight="1" x14ac:dyDescent="0.25">
      <c r="A4" s="298"/>
      <c r="B4" s="299"/>
      <c r="C4" s="299"/>
      <c r="D4" s="299"/>
      <c r="E4" s="299"/>
      <c r="F4" s="300"/>
      <c r="G4" s="319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8"/>
      <c r="U4" s="310"/>
      <c r="V4" s="311"/>
      <c r="W4" s="311"/>
      <c r="X4" s="311"/>
      <c r="Y4" s="311"/>
      <c r="Z4" s="312"/>
      <c r="AA4" s="78"/>
    </row>
    <row r="5" spans="1:36" ht="12.75" customHeight="1" x14ac:dyDescent="0.25">
      <c r="A5" s="298"/>
      <c r="B5" s="299"/>
      <c r="C5" s="299"/>
      <c r="D5" s="299"/>
      <c r="E5" s="299"/>
      <c r="F5" s="300"/>
      <c r="G5" s="319" t="s">
        <v>40</v>
      </c>
      <c r="H5" s="317"/>
      <c r="I5" s="2" t="s">
        <v>34</v>
      </c>
      <c r="J5" s="284">
        <v>4</v>
      </c>
      <c r="K5" s="320"/>
      <c r="L5" s="321" t="s">
        <v>52</v>
      </c>
      <c r="M5" s="284"/>
      <c r="N5" s="284"/>
      <c r="O5" s="320"/>
      <c r="P5" s="322">
        <v>45993</v>
      </c>
      <c r="Q5" s="323"/>
      <c r="R5" s="323"/>
      <c r="S5" s="323"/>
      <c r="T5" s="324"/>
      <c r="U5" s="310"/>
      <c r="V5" s="311"/>
      <c r="W5" s="311"/>
      <c r="X5" s="311"/>
      <c r="Y5" s="311"/>
      <c r="Z5" s="312"/>
      <c r="AA5" s="78"/>
    </row>
    <row r="6" spans="1:36" ht="12.75" customHeight="1" x14ac:dyDescent="0.25">
      <c r="A6" s="301"/>
      <c r="B6" s="302"/>
      <c r="C6" s="302"/>
      <c r="D6" s="302"/>
      <c r="E6" s="302"/>
      <c r="F6" s="303"/>
      <c r="G6" s="3"/>
      <c r="H6" s="4"/>
      <c r="I6" s="4"/>
      <c r="J6" s="289" t="s">
        <v>35</v>
      </c>
      <c r="K6" s="289"/>
      <c r="L6" s="289" t="s">
        <v>36</v>
      </c>
      <c r="M6" s="289"/>
      <c r="N6" s="289"/>
      <c r="O6" s="289"/>
      <c r="P6" s="289" t="s">
        <v>37</v>
      </c>
      <c r="Q6" s="289"/>
      <c r="R6" s="289"/>
      <c r="S6" s="289"/>
      <c r="T6" s="290"/>
      <c r="U6" s="313"/>
      <c r="V6" s="314"/>
      <c r="W6" s="314"/>
      <c r="X6" s="314"/>
      <c r="Y6" s="314"/>
      <c r="Z6" s="315"/>
      <c r="AA6" s="78"/>
    </row>
    <row r="7" spans="1:36" ht="37.5" customHeight="1" x14ac:dyDescent="0.25">
      <c r="A7" s="291" t="s">
        <v>38</v>
      </c>
      <c r="B7" s="291"/>
      <c r="C7" s="291"/>
      <c r="D7" s="291"/>
      <c r="E7" s="291"/>
      <c r="F7" s="291"/>
      <c r="G7" s="292" t="s">
        <v>32</v>
      </c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3" t="s">
        <v>27</v>
      </c>
      <c r="C10" s="283"/>
      <c r="D10" s="283"/>
      <c r="E10" s="283"/>
      <c r="F10" s="283"/>
      <c r="G10" s="293" t="s">
        <v>54</v>
      </c>
      <c r="H10" s="293"/>
      <c r="I10" s="293"/>
      <c r="J10" s="293"/>
      <c r="K10" s="293"/>
      <c r="L10" s="293"/>
      <c r="M10" s="283" t="s">
        <v>30</v>
      </c>
      <c r="N10" s="283"/>
      <c r="O10" s="283"/>
      <c r="P10" s="283"/>
      <c r="Q10" s="283"/>
      <c r="R10" s="283"/>
      <c r="S10" s="294" t="s">
        <v>58</v>
      </c>
      <c r="T10" s="294"/>
      <c r="U10" s="294"/>
      <c r="V10" s="294"/>
      <c r="W10" s="294"/>
      <c r="X10" s="294"/>
      <c r="Y10" s="294"/>
      <c r="Z10" s="17"/>
      <c r="AA10" s="75"/>
      <c r="AB10" s="12"/>
      <c r="AC10" s="12"/>
      <c r="AD10" s="12"/>
      <c r="AE10" s="283"/>
      <c r="AF10" s="283"/>
      <c r="AG10" s="283"/>
      <c r="AH10" s="283"/>
      <c r="AI10" s="283"/>
    </row>
    <row r="11" spans="1:36" ht="15.9" customHeight="1" x14ac:dyDescent="0.25">
      <c r="A11" s="13"/>
      <c r="B11" s="283" t="s">
        <v>6</v>
      </c>
      <c r="C11" s="283"/>
      <c r="D11" s="283"/>
      <c r="E11" s="283"/>
      <c r="F11" s="283"/>
      <c r="G11" s="287">
        <v>45993</v>
      </c>
      <c r="H11" s="287"/>
      <c r="I11" s="287"/>
      <c r="J11" s="287"/>
      <c r="K11" s="287"/>
      <c r="L11" s="287"/>
      <c r="M11" s="283" t="s">
        <v>44</v>
      </c>
      <c r="N11" s="283"/>
      <c r="O11" s="283"/>
      <c r="P11" s="283"/>
      <c r="Q11" s="283"/>
      <c r="R11" s="283"/>
      <c r="S11" s="146" t="s">
        <v>76</v>
      </c>
      <c r="T11" s="146"/>
      <c r="U11" s="146"/>
      <c r="V11" s="146"/>
      <c r="W11" s="146"/>
      <c r="X11" s="146"/>
      <c r="Y11" s="146"/>
      <c r="Z11" s="17"/>
      <c r="AA11" s="75"/>
      <c r="AB11" s="12"/>
      <c r="AC11" s="12"/>
      <c r="AD11" s="12"/>
      <c r="AE11" s="283"/>
      <c r="AF11" s="283"/>
      <c r="AG11" s="283"/>
      <c r="AH11" s="283"/>
      <c r="AI11" s="283"/>
    </row>
    <row r="12" spans="1:36" ht="15.9" customHeight="1" x14ac:dyDescent="0.25">
      <c r="A12" s="13"/>
      <c r="B12" s="283" t="s">
        <v>28</v>
      </c>
      <c r="C12" s="283"/>
      <c r="D12" s="283"/>
      <c r="E12" s="283"/>
      <c r="F12" s="283"/>
      <c r="G12" s="287">
        <v>45992</v>
      </c>
      <c r="H12" s="287"/>
      <c r="I12" s="287"/>
      <c r="J12" s="287"/>
      <c r="K12" s="287"/>
      <c r="L12" s="287"/>
      <c r="M12" s="288" t="s">
        <v>43</v>
      </c>
      <c r="N12" s="288"/>
      <c r="O12" s="288"/>
      <c r="P12" s="288"/>
      <c r="Q12" s="288"/>
      <c r="R12" s="288"/>
      <c r="S12" s="286">
        <v>110</v>
      </c>
      <c r="T12" s="286"/>
      <c r="U12" s="286"/>
      <c r="V12" s="286"/>
      <c r="W12" s="286"/>
      <c r="X12" s="286"/>
      <c r="Y12" s="286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31" t="s">
        <v>41</v>
      </c>
      <c r="C13" s="131"/>
      <c r="D13" s="131"/>
      <c r="E13" s="131"/>
      <c r="F13" s="131"/>
      <c r="G13" s="285" t="s">
        <v>72</v>
      </c>
      <c r="H13" s="285"/>
      <c r="I13" s="285"/>
      <c r="J13" s="285"/>
      <c r="K13" s="285"/>
      <c r="L13" s="285"/>
      <c r="M13" s="283" t="s">
        <v>29</v>
      </c>
      <c r="N13" s="283"/>
      <c r="O13" s="283"/>
      <c r="P13" s="283"/>
      <c r="Q13" s="283"/>
      <c r="R13" s="283"/>
      <c r="S13" s="285" t="s">
        <v>66</v>
      </c>
      <c r="T13" s="285"/>
      <c r="U13" s="285"/>
      <c r="V13" s="285"/>
      <c r="W13" s="285"/>
      <c r="X13" s="285"/>
      <c r="Y13" s="285"/>
      <c r="Z13" s="17"/>
      <c r="AA13" s="75"/>
      <c r="AB13" s="12"/>
      <c r="AC13" s="12"/>
      <c r="AD13" s="12"/>
      <c r="AE13" s="283"/>
      <c r="AF13" s="283"/>
      <c r="AG13" s="283"/>
      <c r="AH13" s="283"/>
      <c r="AI13" s="283"/>
      <c r="AJ13" s="283"/>
    </row>
    <row r="14" spans="1:36" ht="15.9" customHeight="1" x14ac:dyDescent="0.25">
      <c r="A14" s="18"/>
      <c r="B14" s="283" t="s">
        <v>42</v>
      </c>
      <c r="C14" s="283"/>
      <c r="D14" s="283"/>
      <c r="E14" s="283"/>
      <c r="F14" s="283"/>
      <c r="G14" s="285" t="s">
        <v>73</v>
      </c>
      <c r="H14" s="285"/>
      <c r="I14" s="285"/>
      <c r="J14" s="285"/>
      <c r="K14" s="285"/>
      <c r="L14" s="285"/>
      <c r="M14" s="286" t="s">
        <v>26</v>
      </c>
      <c r="N14" s="286"/>
      <c r="O14" s="286"/>
      <c r="P14" s="286"/>
      <c r="Q14" s="286"/>
      <c r="R14" s="286"/>
      <c r="S14" s="286" t="s">
        <v>49</v>
      </c>
      <c r="T14" s="286"/>
      <c r="U14" s="286"/>
      <c r="V14" s="286"/>
      <c r="W14" s="286"/>
      <c r="X14" s="286"/>
      <c r="Y14" s="286"/>
      <c r="Z14" s="19"/>
      <c r="AA14" s="12"/>
      <c r="AB14" s="12"/>
      <c r="AC14" s="12"/>
      <c r="AD14" s="12"/>
      <c r="AE14" s="283"/>
      <c r="AF14" s="283"/>
      <c r="AG14" s="283"/>
      <c r="AH14" s="283"/>
      <c r="AI14" s="283"/>
      <c r="AJ14" s="28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3"/>
      <c r="AF15" s="283"/>
      <c r="AG15" s="283"/>
      <c r="AH15" s="283"/>
      <c r="AI15" s="283"/>
      <c r="AJ15" s="28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3"/>
      <c r="AF16" s="283"/>
      <c r="AG16" s="283"/>
      <c r="AH16" s="283"/>
      <c r="AI16" s="283"/>
      <c r="AJ16" s="28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3" t="s">
        <v>19</v>
      </c>
      <c r="C19" s="283"/>
      <c r="D19" s="283"/>
      <c r="E19" s="283"/>
      <c r="F19" s="283"/>
      <c r="G19" s="283"/>
      <c r="H19" s="283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17"/>
      <c r="AA19" s="75"/>
      <c r="AE19" s="20"/>
      <c r="AI19" s="20"/>
    </row>
    <row r="20" spans="1:40" ht="15.9" customHeight="1" x14ac:dyDescent="0.25">
      <c r="A20" s="13"/>
      <c r="B20" s="283" t="s">
        <v>20</v>
      </c>
      <c r="C20" s="283"/>
      <c r="D20" s="283"/>
      <c r="E20" s="283"/>
      <c r="F20" s="283"/>
      <c r="G20" s="283"/>
      <c r="H20" s="283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2.6469999999999998</v>
      </c>
      <c r="AF47" s="250"/>
      <c r="AG47" s="267"/>
      <c r="AH47" s="39"/>
    </row>
    <row r="48" spans="1:34" ht="12.75" customHeight="1" thickBot="1" x14ac:dyDescent="0.3">
      <c r="A48" s="18"/>
      <c r="Z48" s="87"/>
      <c r="AD48" s="263"/>
      <c r="AE48" s="265"/>
      <c r="AF48" s="266"/>
      <c r="AG48" s="267"/>
    </row>
    <row r="49" spans="1:34" ht="18.75" customHeight="1" thickBot="1" x14ac:dyDescent="0.3">
      <c r="A49" s="18"/>
      <c r="E49" s="268" t="s">
        <v>11</v>
      </c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70" t="s">
        <v>47</v>
      </c>
      <c r="V49" s="271"/>
      <c r="W49" s="272" t="s">
        <v>12</v>
      </c>
      <c r="X49" s="271"/>
      <c r="Y49" s="273" t="s">
        <v>13</v>
      </c>
      <c r="Z49" s="274"/>
      <c r="AA49" s="82"/>
      <c r="AB49" s="277" t="s">
        <v>45</v>
      </c>
      <c r="AC49" s="278"/>
      <c r="AD49" s="281" t="s">
        <v>14</v>
      </c>
      <c r="AE49" s="248" t="s">
        <v>15</v>
      </c>
      <c r="AF49" s="250"/>
      <c r="AG49" s="250"/>
      <c r="AH49" s="40"/>
    </row>
    <row r="50" spans="1:34" ht="24.9" customHeight="1" thickBot="1" x14ac:dyDescent="0.3">
      <c r="A50" s="5"/>
      <c r="B50" s="41" t="s">
        <v>22</v>
      </c>
      <c r="C50" s="252" t="s">
        <v>10</v>
      </c>
      <c r="D50" s="253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0"/>
      <c r="V50" s="202"/>
      <c r="W50" s="201"/>
      <c r="X50" s="202"/>
      <c r="Y50" s="275"/>
      <c r="Z50" s="276"/>
      <c r="AA50" s="82"/>
      <c r="AB50" s="279"/>
      <c r="AC50" s="280"/>
      <c r="AD50" s="282"/>
      <c r="AE50" s="249"/>
      <c r="AF50" s="251"/>
      <c r="AG50" s="250"/>
    </row>
    <row r="51" spans="1:34" ht="24.9" customHeight="1" x14ac:dyDescent="0.25">
      <c r="A51" s="5"/>
      <c r="B51" s="43">
        <v>1</v>
      </c>
      <c r="C51" s="254" t="s">
        <v>74</v>
      </c>
      <c r="D51" s="255"/>
      <c r="E51" s="113">
        <v>7</v>
      </c>
      <c r="F51" s="114">
        <v>9</v>
      </c>
      <c r="G51" s="115">
        <v>12</v>
      </c>
      <c r="H51" s="115">
        <v>15.7</v>
      </c>
      <c r="I51" s="115">
        <v>20.7</v>
      </c>
      <c r="J51" s="115">
        <v>30.1</v>
      </c>
      <c r="K51" s="115">
        <v>44.2</v>
      </c>
      <c r="L51" s="115">
        <v>60.1</v>
      </c>
      <c r="M51" s="115">
        <v>76.400000000000006</v>
      </c>
      <c r="N51" s="115">
        <v>94.2</v>
      </c>
      <c r="O51" s="123">
        <v>100</v>
      </c>
      <c r="P51" s="115"/>
      <c r="Q51" s="115"/>
      <c r="R51" s="115"/>
      <c r="S51" s="116"/>
      <c r="T51" s="116"/>
      <c r="U51" s="256">
        <v>173</v>
      </c>
      <c r="V51" s="257"/>
      <c r="W51" s="258">
        <v>5.05</v>
      </c>
      <c r="X51" s="259"/>
      <c r="Y51" s="260">
        <f>IF(W51&lt;&gt;0,AE51,"")</f>
        <v>3.1575323861570359</v>
      </c>
      <c r="Z51" s="261"/>
      <c r="AA51" s="80"/>
      <c r="AB51" s="216">
        <f>(100*W51)/(100-W51)</f>
        <v>5.3185887309110056</v>
      </c>
      <c r="AC51" s="217"/>
      <c r="AD51" s="67">
        <f>(0.25*(100-O51)+2.3*(O51-H51)+12*(H51-E51)+150*(E51))/100</f>
        <v>13.482899999999999</v>
      </c>
      <c r="AE51" s="68">
        <f>(AB51*$AE$47)/(2.65*(AD51)^(1/5))</f>
        <v>3.1575323861570359</v>
      </c>
      <c r="AF51" s="29"/>
      <c r="AG51" s="66"/>
    </row>
    <row r="52" spans="1:34" ht="24.9" customHeight="1" x14ac:dyDescent="0.25">
      <c r="A52" s="5"/>
      <c r="B52" s="44">
        <v>2</v>
      </c>
      <c r="C52" s="237"/>
      <c r="D52" s="238"/>
      <c r="E52" s="132"/>
      <c r="F52" s="133"/>
      <c r="G52" s="134"/>
      <c r="H52" s="134"/>
      <c r="I52" s="134"/>
      <c r="J52" s="134"/>
      <c r="K52" s="134"/>
      <c r="L52" s="134"/>
      <c r="M52" s="134"/>
      <c r="N52" s="134"/>
      <c r="O52" s="135"/>
      <c r="P52" s="134"/>
      <c r="Q52" s="135"/>
      <c r="R52" s="134"/>
      <c r="S52" s="136"/>
      <c r="T52" s="136"/>
      <c r="U52" s="239"/>
      <c r="V52" s="240"/>
      <c r="W52" s="241"/>
      <c r="X52" s="242"/>
      <c r="Y52" s="243" t="str">
        <f>IF(W52&lt;&gt;0,AE52,"")</f>
        <v/>
      </c>
      <c r="Z52" s="244"/>
      <c r="AA52" s="80"/>
      <c r="AB52" s="216">
        <f>(100*W52)/(100-W52)</f>
        <v>0</v>
      </c>
      <c r="AC52" s="217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4"/>
      <c r="D53" s="245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5"/>
      <c r="P53" s="92"/>
      <c r="Q53" s="125"/>
      <c r="R53" s="92"/>
      <c r="S53" s="92"/>
      <c r="T53" s="93"/>
      <c r="U53" s="191"/>
      <c r="V53" s="192"/>
      <c r="W53" s="246"/>
      <c r="X53" s="247"/>
      <c r="Y53" s="243" t="str">
        <f t="shared" ref="Y53:Y54" si="2">IF(W53&lt;&gt;0,AE53,"")</f>
        <v/>
      </c>
      <c r="Z53" s="244"/>
      <c r="AA53" s="80"/>
      <c r="AB53" s="216">
        <f>(100*W53)/(100-W53)</f>
        <v>0</v>
      </c>
      <c r="AC53" s="21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6"/>
      <c r="D54" s="227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6"/>
      <c r="P54" s="96"/>
      <c r="Q54" s="126"/>
      <c r="R54" s="96"/>
      <c r="S54" s="96"/>
      <c r="T54" s="97"/>
      <c r="U54" s="228"/>
      <c r="V54" s="229"/>
      <c r="W54" s="230"/>
      <c r="X54" s="231"/>
      <c r="Y54" s="232" t="str">
        <f t="shared" si="2"/>
        <v/>
      </c>
      <c r="Z54" s="233"/>
      <c r="AA54" s="80"/>
      <c r="AB54" s="216">
        <f>(100*W54)/(100-W54)</f>
        <v>0</v>
      </c>
      <c r="AC54" s="21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7"/>
      <c r="P55" s="46"/>
      <c r="Q55" s="127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4" t="s">
        <v>8</v>
      </c>
      <c r="C56" s="235"/>
      <c r="D56" s="23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8"/>
      <c r="P56" s="47"/>
      <c r="Q56" s="128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8" t="s">
        <v>7</v>
      </c>
      <c r="C57" s="209"/>
      <c r="D57" s="210"/>
      <c r="E57" s="98">
        <f t="shared" ref="E57:T57" si="3">IF(E51&lt;&gt;0,AVERAGE(E51:E54),"")</f>
        <v>7</v>
      </c>
      <c r="F57" s="98">
        <f t="shared" si="3"/>
        <v>9</v>
      </c>
      <c r="G57" s="98">
        <f t="shared" si="3"/>
        <v>12</v>
      </c>
      <c r="H57" s="98">
        <f t="shared" si="3"/>
        <v>15.7</v>
      </c>
      <c r="I57" s="98">
        <f t="shared" si="3"/>
        <v>20.7</v>
      </c>
      <c r="J57" s="98">
        <f t="shared" si="3"/>
        <v>30.1</v>
      </c>
      <c r="K57" s="98">
        <f t="shared" si="3"/>
        <v>44.2</v>
      </c>
      <c r="L57" s="98">
        <f t="shared" si="3"/>
        <v>60.1</v>
      </c>
      <c r="M57" s="98">
        <f t="shared" si="3"/>
        <v>76.400000000000006</v>
      </c>
      <c r="N57" s="98">
        <f t="shared" si="3"/>
        <v>94.2</v>
      </c>
      <c r="O57" s="129">
        <f t="shared" si="3"/>
        <v>100</v>
      </c>
      <c r="P57" s="98"/>
      <c r="Q57" s="129"/>
      <c r="R57" s="98"/>
      <c r="S57" s="98" t="str">
        <f t="shared" si="3"/>
        <v/>
      </c>
      <c r="T57" s="99" t="str">
        <f t="shared" si="3"/>
        <v/>
      </c>
      <c r="U57" s="211">
        <f>IF(U51&lt;&gt;0,AVERAGE(U51:V54),"")</f>
        <v>173</v>
      </c>
      <c r="V57" s="212"/>
      <c r="W57" s="213">
        <f>IF(W51&lt;&gt;0,AVERAGE(W51:X54),"")</f>
        <v>5.05</v>
      </c>
      <c r="X57" s="214"/>
      <c r="Y57" s="213">
        <f>IF(W51&lt;&gt;0,AVERAGE(Y51:Z54),"")</f>
        <v>3.1575323861570359</v>
      </c>
      <c r="Z57" s="215"/>
      <c r="AA57" s="66"/>
      <c r="AB57" s="216">
        <f>(100*W57)/(100-W57)</f>
        <v>5.3185887309110056</v>
      </c>
      <c r="AC57" s="217"/>
      <c r="AD57" s="67">
        <f t="shared" si="0"/>
        <v>13.482899999999999</v>
      </c>
      <c r="AE57" s="68">
        <f t="shared" si="1"/>
        <v>3.1575323861570359</v>
      </c>
      <c r="AF57" s="29"/>
      <c r="AG57" s="66"/>
    </row>
    <row r="58" spans="1:34" ht="21" customHeight="1" x14ac:dyDescent="0.25">
      <c r="A58" s="5"/>
      <c r="B58" s="218" t="s">
        <v>9</v>
      </c>
      <c r="C58" s="219"/>
      <c r="D58" s="220"/>
      <c r="E58" s="100">
        <v>6.5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44</v>
      </c>
      <c r="L58" s="100">
        <v>60</v>
      </c>
      <c r="M58" s="100">
        <v>76</v>
      </c>
      <c r="N58" s="100">
        <v>95</v>
      </c>
      <c r="O58" s="130">
        <v>100</v>
      </c>
      <c r="P58" s="100"/>
      <c r="Q58" s="130"/>
      <c r="R58" s="100"/>
      <c r="S58" s="100"/>
      <c r="T58" s="101"/>
      <c r="U58" s="221"/>
      <c r="V58" s="222"/>
      <c r="W58" s="223">
        <v>5.4</v>
      </c>
      <c r="X58" s="224"/>
      <c r="Y58" s="225">
        <f>AE58</f>
        <v>3.4230996041984052</v>
      </c>
      <c r="Z58" s="226"/>
      <c r="AA58" s="66"/>
      <c r="AB58" s="216">
        <f>(100*W58)/(100-W58)</f>
        <v>5.7082452431289648</v>
      </c>
      <c r="AC58" s="217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36</v>
      </c>
      <c r="K59" s="92"/>
      <c r="L59" s="92">
        <f>L58+7</f>
        <v>67</v>
      </c>
      <c r="M59" s="92"/>
      <c r="N59" s="92"/>
      <c r="O59" s="92"/>
      <c r="P59" s="92"/>
      <c r="Q59" s="92"/>
      <c r="R59" s="92"/>
      <c r="S59" s="92"/>
      <c r="T59" s="93"/>
      <c r="U59" s="191"/>
      <c r="V59" s="192"/>
      <c r="W59" s="193">
        <f>W58+0.5</f>
        <v>5.9</v>
      </c>
      <c r="X59" s="192"/>
      <c r="Y59" s="194"/>
      <c r="Z59" s="195"/>
      <c r="AA59" s="83"/>
      <c r="AB59" s="71"/>
      <c r="AC59" s="69"/>
      <c r="AD59" s="196"/>
      <c r="AE59" s="198" t="s">
        <v>46</v>
      </c>
      <c r="AF59" s="29"/>
      <c r="AG59" s="66"/>
    </row>
    <row r="60" spans="1:34" ht="13.5" customHeight="1" thickBot="1" x14ac:dyDescent="0.3">
      <c r="A60" s="5"/>
      <c r="B60" s="200" t="s">
        <v>24</v>
      </c>
      <c r="C60" s="201"/>
      <c r="D60" s="202"/>
      <c r="E60" s="102">
        <f>E58-2</f>
        <v>4.5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53</v>
      </c>
      <c r="M60" s="102"/>
      <c r="N60" s="103"/>
      <c r="O60" s="103"/>
      <c r="P60" s="103"/>
      <c r="Q60" s="102"/>
      <c r="R60" s="103"/>
      <c r="S60" s="103"/>
      <c r="T60" s="104"/>
      <c r="U60" s="203"/>
      <c r="V60" s="204"/>
      <c r="W60" s="205">
        <f>W58-0.5</f>
        <v>4.9000000000000004</v>
      </c>
      <c r="X60" s="204"/>
      <c r="Y60" s="206"/>
      <c r="Z60" s="207"/>
      <c r="AA60" s="84"/>
      <c r="AB60" s="72"/>
      <c r="AC60" s="73"/>
      <c r="AD60" s="197"/>
      <c r="AE60" s="199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8"/>
      <c r="V63" s="168"/>
      <c r="W63" s="168"/>
      <c r="X63" s="168"/>
      <c r="Y63" s="168"/>
      <c r="Z63" s="169"/>
      <c r="AA63" s="81"/>
      <c r="AB63" s="58"/>
      <c r="AC63" s="58"/>
      <c r="AD63" s="59"/>
    </row>
    <row r="64" spans="1:34" ht="27" customHeight="1" x14ac:dyDescent="0.25">
      <c r="A64" s="170" t="s">
        <v>48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2"/>
      <c r="R64" s="153" t="s">
        <v>31</v>
      </c>
      <c r="S64" s="154"/>
      <c r="T64" s="155"/>
      <c r="U64" s="173" t="s">
        <v>68</v>
      </c>
      <c r="V64" s="174"/>
      <c r="W64" s="174"/>
      <c r="X64" s="174"/>
      <c r="Y64" s="174"/>
      <c r="Z64" s="175"/>
      <c r="AA64" s="76"/>
      <c r="AB64" s="60"/>
      <c r="AC64" s="60"/>
      <c r="AD64" s="59"/>
    </row>
    <row r="65" spans="1:30" ht="15.75" customHeight="1" x14ac:dyDescent="0.25">
      <c r="A65" s="176" t="s">
        <v>64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8"/>
      <c r="R65" s="153" t="s">
        <v>51</v>
      </c>
      <c r="S65" s="154"/>
      <c r="T65" s="155"/>
      <c r="U65" s="182" t="s">
        <v>63</v>
      </c>
      <c r="V65" s="183"/>
      <c r="W65" s="183"/>
      <c r="X65" s="183"/>
      <c r="Y65" s="183"/>
      <c r="Z65" s="184"/>
      <c r="AA65" s="76"/>
      <c r="AB65" s="60"/>
      <c r="AC65" s="60"/>
      <c r="AD65" s="59"/>
    </row>
    <row r="66" spans="1:30" ht="9" customHeight="1" x14ac:dyDescent="0.25">
      <c r="A66" s="176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8"/>
      <c r="R66" s="153"/>
      <c r="S66" s="154"/>
      <c r="T66" s="155"/>
      <c r="U66" s="185"/>
      <c r="V66" s="186"/>
      <c r="W66" s="186"/>
      <c r="X66" s="186"/>
      <c r="Y66" s="186"/>
      <c r="Z66" s="187"/>
      <c r="AA66" s="76"/>
      <c r="AB66" s="60"/>
      <c r="AC66" s="60"/>
      <c r="AD66" s="59"/>
    </row>
    <row r="67" spans="1:30" ht="15.9" customHeight="1" x14ac:dyDescent="0.25">
      <c r="A67" s="179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1"/>
      <c r="R67" s="153"/>
      <c r="S67" s="154"/>
      <c r="T67" s="155"/>
      <c r="U67" s="185"/>
      <c r="V67" s="186"/>
      <c r="W67" s="186"/>
      <c r="X67" s="186"/>
      <c r="Y67" s="186"/>
      <c r="Z67" s="187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3"/>
      <c r="S68" s="154"/>
      <c r="T68" s="155"/>
      <c r="U68" s="188"/>
      <c r="V68" s="189"/>
      <c r="W68" s="189"/>
      <c r="X68" s="189"/>
      <c r="Y68" s="189"/>
      <c r="Z68" s="190"/>
      <c r="AA68" s="76"/>
      <c r="AB68" s="60"/>
      <c r="AC68" s="60"/>
      <c r="AD68" s="59"/>
    </row>
    <row r="69" spans="1:30" ht="15.75" customHeight="1" x14ac:dyDescent="0.25">
      <c r="A69" s="147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9"/>
      <c r="R69" s="153" t="s">
        <v>25</v>
      </c>
      <c r="S69" s="154"/>
      <c r="T69" s="155"/>
      <c r="U69" s="159"/>
      <c r="V69" s="160"/>
      <c r="W69" s="160"/>
      <c r="X69" s="160"/>
      <c r="Y69" s="160"/>
      <c r="Z69" s="161"/>
      <c r="AA69" s="77"/>
      <c r="AB69" s="65"/>
      <c r="AC69" s="65"/>
      <c r="AD69" s="59"/>
    </row>
    <row r="70" spans="1:30" ht="15.9" customHeight="1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  <c r="R70" s="153"/>
      <c r="S70" s="154"/>
      <c r="T70" s="155"/>
      <c r="U70" s="162"/>
      <c r="V70" s="163"/>
      <c r="W70" s="163"/>
      <c r="X70" s="163"/>
      <c r="Y70" s="163"/>
      <c r="Z70" s="164"/>
      <c r="AA70" s="77"/>
      <c r="AB70" s="65"/>
      <c r="AC70" s="65"/>
      <c r="AD70" s="59"/>
    </row>
    <row r="71" spans="1:30" ht="15.9" customHeight="1" x14ac:dyDescent="0.25">
      <c r="A71" s="147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9"/>
      <c r="R71" s="153"/>
      <c r="S71" s="154"/>
      <c r="T71" s="155"/>
      <c r="U71" s="162"/>
      <c r="V71" s="163"/>
      <c r="W71" s="163"/>
      <c r="X71" s="163"/>
      <c r="Y71" s="163"/>
      <c r="Z71" s="164"/>
      <c r="AA71" s="77"/>
      <c r="AB71" s="65"/>
      <c r="AC71" s="65"/>
      <c r="AD71" s="59"/>
    </row>
    <row r="72" spans="1:30" ht="15.75" customHeight="1" x14ac:dyDescent="0.25">
      <c r="A72" s="150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2"/>
      <c r="R72" s="156"/>
      <c r="S72" s="157"/>
      <c r="T72" s="158"/>
      <c r="U72" s="165"/>
      <c r="V72" s="166"/>
      <c r="W72" s="166"/>
      <c r="X72" s="166"/>
      <c r="Y72" s="166"/>
      <c r="Z72" s="167"/>
      <c r="AA72" s="77"/>
      <c r="AB72" s="65"/>
      <c r="AC72" s="65"/>
      <c r="AD72" s="59"/>
    </row>
  </sheetData>
  <mergeCells count="105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F50E-190D-4F80-A52B-8CA816241C30}">
  <sheetPr>
    <pageSetUpPr fitToPage="1"/>
  </sheetPr>
  <dimension ref="A1:AN70"/>
  <sheetViews>
    <sheetView topLeftCell="A41" zoomScaleNormal="100" workbookViewId="0">
      <selection activeCell="AD66" sqref="AD6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95"/>
      <c r="B1" s="296"/>
      <c r="C1" s="296"/>
      <c r="D1" s="296"/>
      <c r="E1" s="296"/>
      <c r="F1" s="297"/>
      <c r="G1" s="304" t="s">
        <v>33</v>
      </c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6"/>
      <c r="U1" s="307" t="s">
        <v>53</v>
      </c>
      <c r="V1" s="308"/>
      <c r="W1" s="308"/>
      <c r="X1" s="308"/>
      <c r="Y1" s="308"/>
      <c r="Z1" s="309"/>
      <c r="AA1" s="78"/>
    </row>
    <row r="2" spans="1:36" ht="12.6" customHeight="1" x14ac:dyDescent="0.25">
      <c r="A2" s="298"/>
      <c r="B2" s="299"/>
      <c r="C2" s="299"/>
      <c r="D2" s="299"/>
      <c r="E2" s="299"/>
      <c r="F2" s="300"/>
      <c r="G2" s="316" t="s">
        <v>39</v>
      </c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8"/>
      <c r="U2" s="310"/>
      <c r="V2" s="311"/>
      <c r="W2" s="311"/>
      <c r="X2" s="311"/>
      <c r="Y2" s="311"/>
      <c r="Z2" s="312"/>
      <c r="AA2" s="78"/>
    </row>
    <row r="3" spans="1:36" ht="12.6" customHeight="1" x14ac:dyDescent="0.25">
      <c r="A3" s="298"/>
      <c r="B3" s="299"/>
      <c r="C3" s="299"/>
      <c r="D3" s="299"/>
      <c r="E3" s="299"/>
      <c r="F3" s="300"/>
      <c r="G3" s="319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8"/>
      <c r="U3" s="310"/>
      <c r="V3" s="311"/>
      <c r="W3" s="311"/>
      <c r="X3" s="311"/>
      <c r="Y3" s="311"/>
      <c r="Z3" s="312"/>
      <c r="AA3" s="78"/>
    </row>
    <row r="4" spans="1:36" ht="12.6" customHeight="1" x14ac:dyDescent="0.25">
      <c r="A4" s="298"/>
      <c r="B4" s="299"/>
      <c r="C4" s="299"/>
      <c r="D4" s="299"/>
      <c r="E4" s="299"/>
      <c r="F4" s="300"/>
      <c r="G4" s="319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8"/>
      <c r="U4" s="310"/>
      <c r="V4" s="311"/>
      <c r="W4" s="311"/>
      <c r="X4" s="311"/>
      <c r="Y4" s="311"/>
      <c r="Z4" s="312"/>
      <c r="AA4" s="78"/>
    </row>
    <row r="5" spans="1:36" ht="12.6" customHeight="1" x14ac:dyDescent="0.25">
      <c r="A5" s="298"/>
      <c r="B5" s="299"/>
      <c r="C5" s="299"/>
      <c r="D5" s="299"/>
      <c r="E5" s="299"/>
      <c r="F5" s="300"/>
      <c r="G5" s="319" t="s">
        <v>40</v>
      </c>
      <c r="H5" s="317"/>
      <c r="I5" s="2" t="s">
        <v>34</v>
      </c>
      <c r="J5" s="284">
        <v>3</v>
      </c>
      <c r="K5" s="320"/>
      <c r="L5" s="321" t="s">
        <v>52</v>
      </c>
      <c r="M5" s="284"/>
      <c r="N5" s="284"/>
      <c r="O5" s="320"/>
      <c r="P5" s="322">
        <v>45993</v>
      </c>
      <c r="Q5" s="323"/>
      <c r="R5" s="323"/>
      <c r="S5" s="323"/>
      <c r="T5" s="324"/>
      <c r="U5" s="310"/>
      <c r="V5" s="311"/>
      <c r="W5" s="311"/>
      <c r="X5" s="311"/>
      <c r="Y5" s="311"/>
      <c r="Z5" s="312"/>
      <c r="AA5" s="78"/>
    </row>
    <row r="6" spans="1:36" ht="12.6" customHeight="1" x14ac:dyDescent="0.25">
      <c r="A6" s="301"/>
      <c r="B6" s="302"/>
      <c r="C6" s="302"/>
      <c r="D6" s="302"/>
      <c r="E6" s="302"/>
      <c r="F6" s="303"/>
      <c r="G6" s="3"/>
      <c r="H6" s="4"/>
      <c r="I6" s="4"/>
      <c r="J6" s="289" t="s">
        <v>35</v>
      </c>
      <c r="K6" s="289"/>
      <c r="L6" s="289" t="s">
        <v>36</v>
      </c>
      <c r="M6" s="289"/>
      <c r="N6" s="289"/>
      <c r="O6" s="289"/>
      <c r="P6" s="289" t="s">
        <v>37</v>
      </c>
      <c r="Q6" s="289"/>
      <c r="R6" s="289"/>
      <c r="S6" s="289"/>
      <c r="T6" s="290"/>
      <c r="U6" s="313"/>
      <c r="V6" s="314"/>
      <c r="W6" s="314"/>
      <c r="X6" s="314"/>
      <c r="Y6" s="314"/>
      <c r="Z6" s="315"/>
      <c r="AA6" s="78"/>
    </row>
    <row r="7" spans="1:36" ht="36.6" customHeight="1" x14ac:dyDescent="0.25">
      <c r="A7" s="291" t="s">
        <v>38</v>
      </c>
      <c r="B7" s="291"/>
      <c r="C7" s="291"/>
      <c r="D7" s="291"/>
      <c r="E7" s="291"/>
      <c r="F7" s="291"/>
      <c r="G7" s="292" t="s">
        <v>32</v>
      </c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95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3" t="s">
        <v>27</v>
      </c>
      <c r="C10" s="283"/>
      <c r="D10" s="283"/>
      <c r="E10" s="283"/>
      <c r="F10" s="283"/>
      <c r="G10" s="287" t="s">
        <v>54</v>
      </c>
      <c r="H10" s="287"/>
      <c r="I10" s="287"/>
      <c r="J10" s="287"/>
      <c r="K10" s="287"/>
      <c r="L10" s="287"/>
      <c r="M10" s="283" t="s">
        <v>30</v>
      </c>
      <c r="N10" s="283"/>
      <c r="O10" s="283"/>
      <c r="P10" s="283"/>
      <c r="Q10" s="283"/>
      <c r="R10" s="283"/>
      <c r="S10" s="286" t="s">
        <v>58</v>
      </c>
      <c r="T10" s="286"/>
      <c r="U10" s="286"/>
      <c r="V10" s="286"/>
      <c r="W10" s="286"/>
      <c r="X10" s="286"/>
      <c r="Y10" s="286"/>
      <c r="Z10" s="17"/>
      <c r="AA10" s="75"/>
      <c r="AB10" s="12"/>
      <c r="AC10" s="12"/>
      <c r="AD10" s="12"/>
      <c r="AE10" s="117"/>
      <c r="AF10" s="117"/>
      <c r="AG10" s="117"/>
      <c r="AH10" s="117"/>
      <c r="AI10" s="117"/>
    </row>
    <row r="11" spans="1:36" ht="15.9" customHeight="1" x14ac:dyDescent="0.25">
      <c r="A11" s="13"/>
      <c r="B11" s="283" t="s">
        <v>6</v>
      </c>
      <c r="C11" s="283"/>
      <c r="D11" s="283"/>
      <c r="E11" s="283"/>
      <c r="F11" s="283"/>
      <c r="G11" s="287">
        <v>45993</v>
      </c>
      <c r="H11" s="287"/>
      <c r="I11" s="287"/>
      <c r="J11" s="287"/>
      <c r="K11" s="287"/>
      <c r="L11" s="287"/>
      <c r="M11" s="283" t="s">
        <v>44</v>
      </c>
      <c r="N11" s="283"/>
      <c r="O11" s="283"/>
      <c r="P11" s="283"/>
      <c r="Q11" s="283"/>
      <c r="R11" s="283"/>
      <c r="S11" s="146" t="s">
        <v>76</v>
      </c>
      <c r="T11" s="122"/>
      <c r="U11" s="122"/>
      <c r="V11" s="122"/>
      <c r="W11" s="122"/>
      <c r="X11" s="122"/>
      <c r="Y11" s="122"/>
      <c r="Z11" s="17"/>
      <c r="AA11" s="75"/>
      <c r="AB11" s="12"/>
      <c r="AC11" s="12"/>
      <c r="AD11" s="12"/>
      <c r="AE11" s="117"/>
      <c r="AF11" s="117"/>
      <c r="AG11" s="117"/>
      <c r="AH11" s="117"/>
      <c r="AI11" s="117"/>
    </row>
    <row r="12" spans="1:36" ht="15.9" customHeight="1" x14ac:dyDescent="0.25">
      <c r="A12" s="13"/>
      <c r="B12" s="283" t="s">
        <v>28</v>
      </c>
      <c r="C12" s="283"/>
      <c r="D12" s="283"/>
      <c r="E12" s="283"/>
      <c r="F12" s="283"/>
      <c r="G12" s="287">
        <v>45992</v>
      </c>
      <c r="H12" s="287"/>
      <c r="I12" s="287"/>
      <c r="J12" s="287"/>
      <c r="K12" s="287"/>
      <c r="L12" s="287"/>
      <c r="M12" s="288" t="s">
        <v>43</v>
      </c>
      <c r="N12" s="288"/>
      <c r="O12" s="288"/>
      <c r="P12" s="288"/>
      <c r="Q12" s="288"/>
      <c r="R12" s="288"/>
      <c r="S12" s="286">
        <v>157</v>
      </c>
      <c r="T12" s="286"/>
      <c r="U12" s="286"/>
      <c r="V12" s="286"/>
      <c r="W12" s="286"/>
      <c r="X12" s="286"/>
      <c r="Y12" s="286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45" t="s">
        <v>41</v>
      </c>
      <c r="C13" s="345"/>
      <c r="D13" s="345"/>
      <c r="E13" s="345"/>
      <c r="F13" s="345"/>
      <c r="G13" s="285" t="s">
        <v>56</v>
      </c>
      <c r="H13" s="285"/>
      <c r="I13" s="285"/>
      <c r="J13" s="285"/>
      <c r="K13" s="285"/>
      <c r="L13" s="285"/>
      <c r="M13" s="283" t="s">
        <v>29</v>
      </c>
      <c r="N13" s="283"/>
      <c r="O13" s="283"/>
      <c r="P13" s="283"/>
      <c r="Q13" s="283"/>
      <c r="R13" s="283"/>
      <c r="S13" s="285" t="s">
        <v>60</v>
      </c>
      <c r="T13" s="285"/>
      <c r="U13" s="285"/>
      <c r="V13" s="285"/>
      <c r="W13" s="285"/>
      <c r="X13" s="285"/>
      <c r="Y13" s="285"/>
      <c r="Z13" s="17"/>
      <c r="AA13" s="75"/>
      <c r="AB13" s="12"/>
      <c r="AC13" s="12"/>
      <c r="AD13" s="12"/>
      <c r="AE13" s="117"/>
      <c r="AF13" s="117"/>
      <c r="AG13" s="117"/>
      <c r="AH13" s="117"/>
      <c r="AI13" s="117"/>
      <c r="AJ13" s="117"/>
    </row>
    <row r="14" spans="1:36" ht="15.9" customHeight="1" x14ac:dyDescent="0.25">
      <c r="A14" s="18"/>
      <c r="B14" s="283" t="s">
        <v>42</v>
      </c>
      <c r="C14" s="283"/>
      <c r="D14" s="283"/>
      <c r="E14" s="283"/>
      <c r="F14" s="283"/>
      <c r="G14" s="285" t="s">
        <v>57</v>
      </c>
      <c r="H14" s="285"/>
      <c r="I14" s="285"/>
      <c r="J14" s="285"/>
      <c r="K14" s="285"/>
      <c r="L14" s="285"/>
      <c r="M14" s="286" t="s">
        <v>26</v>
      </c>
      <c r="N14" s="286"/>
      <c r="O14" s="286"/>
      <c r="P14" s="286"/>
      <c r="Q14" s="286"/>
      <c r="R14" s="286"/>
      <c r="S14" s="286" t="s">
        <v>49</v>
      </c>
      <c r="T14" s="286"/>
      <c r="U14" s="286"/>
      <c r="V14" s="286"/>
      <c r="W14" s="286"/>
      <c r="X14" s="286"/>
      <c r="Y14" s="286"/>
      <c r="Z14" s="19"/>
      <c r="AA14" s="12"/>
      <c r="AB14" s="12"/>
      <c r="AC14" s="12"/>
      <c r="AD14" s="12"/>
      <c r="AE14" s="117"/>
      <c r="AF14" s="117"/>
      <c r="AG14" s="117"/>
      <c r="AH14" s="117"/>
      <c r="AI14" s="117"/>
      <c r="AJ14" s="11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7"/>
      <c r="AF15" s="117"/>
      <c r="AG15" s="117"/>
      <c r="AH15" s="117"/>
      <c r="AI15" s="117"/>
      <c r="AJ15" s="11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7"/>
      <c r="AF16" s="117"/>
      <c r="AG16" s="117"/>
      <c r="AH16" s="117"/>
      <c r="AI16" s="117"/>
      <c r="AJ16" s="11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3" t="s">
        <v>19</v>
      </c>
      <c r="C19" s="283"/>
      <c r="D19" s="283"/>
      <c r="E19" s="283"/>
      <c r="F19" s="283"/>
      <c r="G19" s="283"/>
      <c r="H19" s="283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17"/>
      <c r="AA19" s="75"/>
      <c r="AE19" s="20"/>
      <c r="AI19" s="20"/>
    </row>
    <row r="20" spans="1:40" ht="15.9" customHeight="1" x14ac:dyDescent="0.25">
      <c r="A20" s="13"/>
      <c r="B20" s="283" t="s">
        <v>20</v>
      </c>
      <c r="C20" s="283"/>
      <c r="D20" s="283"/>
      <c r="E20" s="283"/>
      <c r="F20" s="283"/>
      <c r="G20" s="283"/>
      <c r="H20" s="283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8.600000000000001" customHeight="1" x14ac:dyDescent="0.25">
      <c r="A27" s="18"/>
      <c r="Z27" s="23"/>
    </row>
    <row r="28" spans="1:40" ht="18.600000000000001" customHeight="1" x14ac:dyDescent="0.25">
      <c r="A28" s="18"/>
      <c r="Z28" s="23"/>
    </row>
    <row r="29" spans="1:40" ht="18.600000000000001" customHeight="1" x14ac:dyDescent="0.25">
      <c r="A29" s="18"/>
      <c r="Z29" s="23"/>
    </row>
    <row r="30" spans="1:40" ht="18.600000000000001" customHeight="1" x14ac:dyDescent="0.25">
      <c r="A30" s="18"/>
      <c r="Z30" s="23"/>
    </row>
    <row r="31" spans="1:40" ht="18.600000000000001" customHeight="1" x14ac:dyDescent="0.25">
      <c r="A31" s="18"/>
      <c r="Z31" s="23"/>
    </row>
    <row r="32" spans="1:40" ht="18.600000000000001" customHeight="1" x14ac:dyDescent="0.25">
      <c r="A32" s="18"/>
      <c r="Z32" s="23"/>
    </row>
    <row r="33" spans="1:34" ht="18.600000000000001" customHeight="1" x14ac:dyDescent="0.25">
      <c r="A33" s="18"/>
      <c r="Z33" s="23"/>
    </row>
    <row r="34" spans="1:34" ht="18.600000000000001" customHeight="1" x14ac:dyDescent="0.25">
      <c r="A34" s="18"/>
      <c r="Z34" s="23"/>
    </row>
    <row r="35" spans="1:34" ht="18.600000000000001" customHeight="1" x14ac:dyDescent="0.25">
      <c r="A35" s="18"/>
      <c r="Z35" s="23"/>
    </row>
    <row r="36" spans="1:34" ht="18.600000000000001" customHeight="1" x14ac:dyDescent="0.25">
      <c r="A36" s="18"/>
      <c r="Z36" s="23"/>
    </row>
    <row r="37" spans="1:34" ht="18.600000000000001" customHeight="1" x14ac:dyDescent="0.25">
      <c r="A37" s="18"/>
      <c r="Z37" s="23"/>
    </row>
    <row r="38" spans="1:34" ht="18.600000000000001" customHeight="1" x14ac:dyDescent="0.25">
      <c r="A38" s="18"/>
      <c r="Z38" s="23"/>
    </row>
    <row r="39" spans="1:34" ht="18.600000000000001" customHeight="1" x14ac:dyDescent="0.25">
      <c r="A39" s="18"/>
      <c r="Z39" s="23"/>
    </row>
    <row r="40" spans="1:34" ht="18.600000000000001" customHeight="1" x14ac:dyDescent="0.25">
      <c r="A40" s="18"/>
      <c r="Z40" s="23"/>
    </row>
    <row r="41" spans="1:34" ht="18.600000000000001" customHeight="1" x14ac:dyDescent="0.25">
      <c r="A41" s="18"/>
      <c r="Z41" s="23"/>
    </row>
    <row r="42" spans="1:34" ht="18.600000000000001" customHeight="1" x14ac:dyDescent="0.25">
      <c r="A42" s="18"/>
      <c r="Z42" s="23"/>
    </row>
    <row r="43" spans="1:34" ht="18.600000000000001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2.6779999999999999</v>
      </c>
      <c r="AF47" s="250"/>
      <c r="AG47" s="267"/>
      <c r="AH47" s="39"/>
    </row>
    <row r="48" spans="1:34" ht="12.75" customHeight="1" thickBot="1" x14ac:dyDescent="0.3">
      <c r="A48" s="18"/>
      <c r="Z48" s="87"/>
      <c r="AD48" s="263"/>
      <c r="AE48" s="265"/>
      <c r="AF48" s="266"/>
      <c r="AG48" s="267"/>
    </row>
    <row r="49" spans="1:34" ht="18.75" customHeight="1" thickBot="1" x14ac:dyDescent="0.3">
      <c r="A49" s="18"/>
      <c r="E49" s="268" t="s">
        <v>11</v>
      </c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70" t="s">
        <v>47</v>
      </c>
      <c r="V49" s="271"/>
      <c r="W49" s="272" t="s">
        <v>12</v>
      </c>
      <c r="X49" s="271"/>
      <c r="Y49" s="273" t="s">
        <v>13</v>
      </c>
      <c r="Z49" s="274"/>
      <c r="AA49" s="82"/>
      <c r="AB49" s="277" t="s">
        <v>45</v>
      </c>
      <c r="AC49" s="278"/>
      <c r="AD49" s="281" t="s">
        <v>14</v>
      </c>
      <c r="AE49" s="248" t="s">
        <v>15</v>
      </c>
      <c r="AF49" s="250"/>
      <c r="AG49" s="250"/>
      <c r="AH49" s="40"/>
    </row>
    <row r="50" spans="1:34" ht="24.9" customHeight="1" thickBot="1" x14ac:dyDescent="0.3">
      <c r="A50" s="5"/>
      <c r="B50" s="41" t="s">
        <v>22</v>
      </c>
      <c r="C50" s="252" t="s">
        <v>10</v>
      </c>
      <c r="D50" s="253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0"/>
      <c r="V50" s="202"/>
      <c r="W50" s="201"/>
      <c r="X50" s="202"/>
      <c r="Y50" s="275"/>
      <c r="Z50" s="276"/>
      <c r="AA50" s="82"/>
      <c r="AB50" s="279"/>
      <c r="AC50" s="280"/>
      <c r="AD50" s="282"/>
      <c r="AE50" s="249"/>
      <c r="AF50" s="251"/>
      <c r="AG50" s="250"/>
    </row>
    <row r="51" spans="1:34" ht="24.9" customHeight="1" x14ac:dyDescent="0.25">
      <c r="A51" s="5"/>
      <c r="B51" s="43">
        <v>1</v>
      </c>
      <c r="C51" s="335" t="s">
        <v>75</v>
      </c>
      <c r="D51" s="336"/>
      <c r="E51" s="142">
        <v>8.5</v>
      </c>
      <c r="F51" s="143">
        <v>10.6</v>
      </c>
      <c r="G51" s="144">
        <v>13.4</v>
      </c>
      <c r="H51" s="144">
        <v>17.100000000000001</v>
      </c>
      <c r="I51" s="144">
        <v>22.2</v>
      </c>
      <c r="J51" s="144">
        <v>31.3</v>
      </c>
      <c r="K51" s="144">
        <v>45.8</v>
      </c>
      <c r="L51" s="144">
        <v>60.2</v>
      </c>
      <c r="M51" s="144">
        <v>71.8</v>
      </c>
      <c r="N51" s="144">
        <v>83.3</v>
      </c>
      <c r="O51" s="144">
        <v>91.7</v>
      </c>
      <c r="P51" s="144">
        <v>95.6</v>
      </c>
      <c r="Q51" s="144">
        <v>100</v>
      </c>
      <c r="R51" s="144"/>
      <c r="S51" s="145"/>
      <c r="T51" s="145"/>
      <c r="U51" s="331">
        <v>172</v>
      </c>
      <c r="V51" s="332"/>
      <c r="W51" s="333">
        <v>4.51</v>
      </c>
      <c r="X51" s="334"/>
      <c r="Y51" s="260">
        <f>IF(W51&lt;&gt;0,AE51,"")</f>
        <v>2.7581197575227985</v>
      </c>
      <c r="Z51" s="261"/>
      <c r="AA51" s="80"/>
      <c r="AB51" s="216">
        <f>(100*W51)/(100-W51)</f>
        <v>4.7230076447795586</v>
      </c>
      <c r="AC51" s="217"/>
      <c r="AD51" s="67">
        <f>(0.25*(100-O51)+2.3*(O51-H51)+12*(H51-E51)+150*(E51))/100</f>
        <v>15.518549999999999</v>
      </c>
      <c r="AE51" s="68">
        <f>(AB51*$AE$47)/(2.65*(AD51)^(1/5))</f>
        <v>2.7581197575227985</v>
      </c>
      <c r="AF51" s="29"/>
      <c r="AG51" s="66"/>
    </row>
    <row r="52" spans="1:34" ht="24.9" customHeight="1" x14ac:dyDescent="0.25">
      <c r="A52" s="5"/>
      <c r="B52" s="44">
        <v>2</v>
      </c>
      <c r="C52" s="339"/>
      <c r="D52" s="340"/>
      <c r="E52" s="118"/>
      <c r="F52" s="119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4"/>
      <c r="R52" s="120"/>
      <c r="S52" s="121"/>
      <c r="T52" s="121"/>
      <c r="U52" s="341"/>
      <c r="V52" s="342"/>
      <c r="W52" s="343"/>
      <c r="X52" s="344"/>
      <c r="Y52" s="243" t="str">
        <f>IF(W52&lt;&gt;0,AE52,"")</f>
        <v/>
      </c>
      <c r="Z52" s="244"/>
      <c r="AA52" s="80"/>
      <c r="AB52" s="216">
        <f>(100*W52)/(100-W52)</f>
        <v>0</v>
      </c>
      <c r="AC52" s="217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4"/>
      <c r="D53" s="245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5"/>
      <c r="R53" s="92"/>
      <c r="S53" s="92"/>
      <c r="T53" s="93"/>
      <c r="U53" s="191"/>
      <c r="V53" s="192"/>
      <c r="W53" s="246"/>
      <c r="X53" s="247"/>
      <c r="Y53" s="243" t="str">
        <f t="shared" ref="Y53:Y54" si="2">IF(W53&lt;&gt;0,AE53,"")</f>
        <v/>
      </c>
      <c r="Z53" s="244"/>
      <c r="AA53" s="80"/>
      <c r="AB53" s="216">
        <f>(100*W53)/(100-W53)</f>
        <v>0</v>
      </c>
      <c r="AC53" s="21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6"/>
      <c r="D54" s="227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6"/>
      <c r="R54" s="96"/>
      <c r="S54" s="96"/>
      <c r="T54" s="97"/>
      <c r="U54" s="228"/>
      <c r="V54" s="229"/>
      <c r="W54" s="230"/>
      <c r="X54" s="231"/>
      <c r="Y54" s="232" t="str">
        <f t="shared" si="2"/>
        <v/>
      </c>
      <c r="Z54" s="233"/>
      <c r="AA54" s="80"/>
      <c r="AB54" s="216">
        <f>(100*W54)/(100-W54)</f>
        <v>0</v>
      </c>
      <c r="AC54" s="21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7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4" t="s">
        <v>8</v>
      </c>
      <c r="C56" s="235"/>
      <c r="D56" s="23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8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8" t="s">
        <v>7</v>
      </c>
      <c r="C57" s="209"/>
      <c r="D57" s="210"/>
      <c r="E57" s="98">
        <f t="shared" ref="E57:T57" si="3">IF(E51&lt;&gt;0,AVERAGE(E51:E54),"")</f>
        <v>8.5</v>
      </c>
      <c r="F57" s="98">
        <f t="shared" si="3"/>
        <v>10.6</v>
      </c>
      <c r="G57" s="98">
        <f t="shared" si="3"/>
        <v>13.4</v>
      </c>
      <c r="H57" s="98">
        <f t="shared" si="3"/>
        <v>17.100000000000001</v>
      </c>
      <c r="I57" s="98">
        <f t="shared" si="3"/>
        <v>22.2</v>
      </c>
      <c r="J57" s="98">
        <f t="shared" si="3"/>
        <v>31.3</v>
      </c>
      <c r="K57" s="98">
        <f t="shared" si="3"/>
        <v>45.8</v>
      </c>
      <c r="L57" s="98">
        <f t="shared" si="3"/>
        <v>60.2</v>
      </c>
      <c r="M57" s="98">
        <f t="shared" si="3"/>
        <v>71.8</v>
      </c>
      <c r="N57" s="98">
        <f t="shared" si="3"/>
        <v>83.3</v>
      </c>
      <c r="O57" s="98">
        <f t="shared" si="3"/>
        <v>91.7</v>
      </c>
      <c r="P57" s="98">
        <f t="shared" si="3"/>
        <v>95.6</v>
      </c>
      <c r="Q57" s="129">
        <f t="shared" si="3"/>
        <v>100</v>
      </c>
      <c r="R57" s="98" t="str">
        <f t="shared" si="3"/>
        <v/>
      </c>
      <c r="S57" s="98" t="str">
        <f t="shared" si="3"/>
        <v/>
      </c>
      <c r="T57" s="99" t="str">
        <f t="shared" si="3"/>
        <v/>
      </c>
      <c r="U57" s="211">
        <f>IF(U51&lt;&gt;0,AVERAGE(U51:V54),"")</f>
        <v>172</v>
      </c>
      <c r="V57" s="212"/>
      <c r="W57" s="213">
        <f>IF(W51&lt;&gt;0,AVERAGE(W51:X54),"")</f>
        <v>4.51</v>
      </c>
      <c r="X57" s="214"/>
      <c r="Y57" s="337">
        <f>IF(W51&lt;&gt;0,AVERAGE(Y51:Z54),"")</f>
        <v>2.7581197575227985</v>
      </c>
      <c r="Z57" s="338"/>
      <c r="AA57" s="66"/>
      <c r="AB57" s="216">
        <f>(100*W57)/(100-W57)</f>
        <v>4.7230076447795586</v>
      </c>
      <c r="AC57" s="217"/>
      <c r="AD57" s="67">
        <f t="shared" si="0"/>
        <v>15.518549999999999</v>
      </c>
      <c r="AE57" s="68">
        <f t="shared" si="1"/>
        <v>2.7581197575227985</v>
      </c>
      <c r="AF57" s="29"/>
      <c r="AG57" s="66"/>
    </row>
    <row r="58" spans="1:34" ht="21" customHeight="1" x14ac:dyDescent="0.25">
      <c r="A58" s="5"/>
      <c r="B58" s="218" t="s">
        <v>9</v>
      </c>
      <c r="C58" s="219"/>
      <c r="D58" s="220"/>
      <c r="E58" s="100">
        <v>6.9</v>
      </c>
      <c r="F58" s="100">
        <v>9</v>
      </c>
      <c r="G58" s="100">
        <v>12</v>
      </c>
      <c r="H58" s="100">
        <v>16</v>
      </c>
      <c r="I58" s="100">
        <v>22</v>
      </c>
      <c r="J58" s="100">
        <v>32</v>
      </c>
      <c r="K58" s="100">
        <v>47</v>
      </c>
      <c r="L58" s="100">
        <v>61</v>
      </c>
      <c r="M58" s="100">
        <v>69</v>
      </c>
      <c r="N58" s="100">
        <v>80</v>
      </c>
      <c r="O58" s="100">
        <v>92</v>
      </c>
      <c r="P58" s="100">
        <v>98</v>
      </c>
      <c r="Q58" s="130">
        <v>100</v>
      </c>
      <c r="R58" s="100"/>
      <c r="S58" s="100"/>
      <c r="T58" s="101"/>
      <c r="U58" s="221"/>
      <c r="V58" s="222"/>
      <c r="W58" s="223">
        <v>4.4000000000000004</v>
      </c>
      <c r="X58" s="224"/>
      <c r="Y58" s="225">
        <f>AE58</f>
        <v>2.7757408663172658</v>
      </c>
      <c r="Z58" s="226"/>
      <c r="AA58" s="66"/>
      <c r="AB58" s="216">
        <f>(100*W58)/(100-W58)</f>
        <v>4.6025104602510467</v>
      </c>
      <c r="AC58" s="217"/>
      <c r="AD58" s="67">
        <f t="shared" si="0"/>
        <v>13.21</v>
      </c>
      <c r="AE58" s="68">
        <f t="shared" si="1"/>
        <v>2.7757408663172658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8.9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92"/>
      <c r="R59" s="92"/>
      <c r="S59" s="92"/>
      <c r="T59" s="93"/>
      <c r="U59" s="191"/>
      <c r="V59" s="192"/>
      <c r="W59" s="193">
        <f>W58+0.5</f>
        <v>4.9000000000000004</v>
      </c>
      <c r="X59" s="192"/>
      <c r="Y59" s="194"/>
      <c r="Z59" s="195"/>
      <c r="AA59" s="83"/>
      <c r="AB59" s="71"/>
      <c r="AC59" s="69"/>
      <c r="AD59" s="196"/>
      <c r="AE59" s="198" t="s">
        <v>46</v>
      </c>
      <c r="AF59" s="29"/>
      <c r="AG59" s="66"/>
    </row>
    <row r="60" spans="1:34" ht="13.5" customHeight="1" thickBot="1" x14ac:dyDescent="0.3">
      <c r="A60" s="5"/>
      <c r="B60" s="200" t="s">
        <v>24</v>
      </c>
      <c r="C60" s="201"/>
      <c r="D60" s="202"/>
      <c r="E60" s="102">
        <f>E58-2</f>
        <v>4.9000000000000004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203"/>
      <c r="V60" s="204"/>
      <c r="W60" s="205">
        <f>W58-0.5</f>
        <v>3.9000000000000004</v>
      </c>
      <c r="X60" s="204"/>
      <c r="Y60" s="206"/>
      <c r="Z60" s="207"/>
      <c r="AA60" s="84"/>
      <c r="AB60" s="72"/>
      <c r="AC60" s="73"/>
      <c r="AD60" s="197"/>
      <c r="AE60" s="199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8"/>
      <c r="V63" s="168"/>
      <c r="W63" s="168"/>
      <c r="X63" s="168"/>
      <c r="Y63" s="168"/>
      <c r="Z63" s="169"/>
      <c r="AA63" s="81"/>
      <c r="AB63" s="58"/>
      <c r="AC63" s="58"/>
      <c r="AD63" s="59"/>
    </row>
    <row r="64" spans="1:34" ht="26.4" customHeight="1" x14ac:dyDescent="0.25">
      <c r="A64" s="170" t="s">
        <v>48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2"/>
      <c r="R64" s="153" t="s">
        <v>31</v>
      </c>
      <c r="S64" s="154"/>
      <c r="T64" s="155"/>
      <c r="U64" s="173" t="s">
        <v>62</v>
      </c>
      <c r="V64" s="174"/>
      <c r="W64" s="174"/>
      <c r="X64" s="174"/>
      <c r="Y64" s="174"/>
      <c r="Z64" s="175"/>
      <c r="AA64" s="76"/>
      <c r="AB64" s="60"/>
      <c r="AC64" s="60"/>
      <c r="AD64" s="59"/>
    </row>
    <row r="65" spans="1:30" ht="26.4" customHeight="1" x14ac:dyDescent="0.25">
      <c r="A65" s="179" t="s">
        <v>64</v>
      </c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1"/>
      <c r="R65" s="153" t="s">
        <v>51</v>
      </c>
      <c r="S65" s="154"/>
      <c r="T65" s="155"/>
      <c r="U65" s="185" t="s">
        <v>63</v>
      </c>
      <c r="V65" s="186"/>
      <c r="W65" s="186"/>
      <c r="X65" s="186"/>
      <c r="Y65" s="186"/>
      <c r="Z65" s="187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3"/>
      <c r="S66" s="154"/>
      <c r="T66" s="155"/>
      <c r="U66" s="188"/>
      <c r="V66" s="189"/>
      <c r="W66" s="189"/>
      <c r="X66" s="189"/>
      <c r="Y66" s="189"/>
      <c r="Z66" s="190"/>
      <c r="AA66" s="76"/>
      <c r="AB66" s="60"/>
      <c r="AC66" s="60"/>
      <c r="AD66" s="59"/>
    </row>
    <row r="67" spans="1:30" ht="15.6" customHeight="1" x14ac:dyDescent="0.25">
      <c r="A67" s="325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7"/>
      <c r="R67" s="153" t="s">
        <v>25</v>
      </c>
      <c r="S67" s="154"/>
      <c r="T67" s="155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325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7"/>
      <c r="R68" s="153"/>
      <c r="S68" s="154"/>
      <c r="T68" s="155"/>
      <c r="U68" s="108"/>
      <c r="V68" s="163"/>
      <c r="W68" s="163"/>
      <c r="X68" s="163"/>
      <c r="Y68" s="163"/>
      <c r="Z68" s="109"/>
      <c r="AA68" s="77"/>
      <c r="AB68" s="65"/>
      <c r="AC68" s="65"/>
      <c r="AD68" s="59"/>
    </row>
    <row r="69" spans="1:30" ht="15.6" customHeight="1" x14ac:dyDescent="0.25">
      <c r="A69" s="325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7"/>
      <c r="R69" s="153"/>
      <c r="S69" s="154"/>
      <c r="T69" s="155"/>
      <c r="U69" s="108"/>
      <c r="V69" s="163"/>
      <c r="W69" s="163"/>
      <c r="X69" s="163"/>
      <c r="Y69" s="163"/>
      <c r="Z69" s="109"/>
      <c r="AA69" s="77"/>
      <c r="AB69" s="65"/>
      <c r="AC69" s="65"/>
      <c r="AD69" s="59"/>
    </row>
    <row r="70" spans="1:30" ht="15.6" customHeight="1" x14ac:dyDescent="0.25">
      <c r="A70" s="328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30"/>
      <c r="R70" s="156"/>
      <c r="S70" s="157"/>
      <c r="T70" s="158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0">
    <mergeCell ref="L6:O6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B13:F13"/>
    <mergeCell ref="G13:L13"/>
    <mergeCell ref="M13:R13"/>
    <mergeCell ref="S13:Y13"/>
    <mergeCell ref="B19:H19"/>
    <mergeCell ref="I19:Y19"/>
    <mergeCell ref="B20:H20"/>
    <mergeCell ref="I20:Y20"/>
    <mergeCell ref="AD47:AD48"/>
    <mergeCell ref="AG49:AG50"/>
    <mergeCell ref="C50:D50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E47:AE48"/>
    <mergeCell ref="AB52:AC52"/>
    <mergeCell ref="C53:D53"/>
    <mergeCell ref="U53:V53"/>
    <mergeCell ref="W53:X53"/>
    <mergeCell ref="Y53:Z53"/>
    <mergeCell ref="AB53:AC53"/>
    <mergeCell ref="B56:D56"/>
    <mergeCell ref="C52:D52"/>
    <mergeCell ref="U52:V52"/>
    <mergeCell ref="W52:X52"/>
    <mergeCell ref="Y52:Z52"/>
    <mergeCell ref="C54:D54"/>
    <mergeCell ref="U54:V54"/>
    <mergeCell ref="W54:X54"/>
    <mergeCell ref="Y54:Z54"/>
    <mergeCell ref="AB54:AC54"/>
    <mergeCell ref="B58:D58"/>
    <mergeCell ref="U58:V58"/>
    <mergeCell ref="W58:X58"/>
    <mergeCell ref="Y58:Z58"/>
    <mergeCell ref="AB58:AC58"/>
    <mergeCell ref="B57:D57"/>
    <mergeCell ref="U57:V57"/>
    <mergeCell ref="W57:X57"/>
    <mergeCell ref="Y57:Z57"/>
    <mergeCell ref="AB57:AC57"/>
    <mergeCell ref="AD59:AD60"/>
    <mergeCell ref="AE59:AE60"/>
    <mergeCell ref="B60:D60"/>
    <mergeCell ref="U60:V60"/>
    <mergeCell ref="W60:X60"/>
    <mergeCell ref="Y60:Z60"/>
    <mergeCell ref="A67:Q70"/>
    <mergeCell ref="R67:T70"/>
    <mergeCell ref="V68:Y69"/>
    <mergeCell ref="U51:V51"/>
    <mergeCell ref="W51:X51"/>
    <mergeCell ref="C51:D51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7F9B-4304-47B2-98A6-F90B7504F0D9}">
  <sheetPr>
    <pageSetUpPr fitToPage="1"/>
  </sheetPr>
  <dimension ref="A1:AN72"/>
  <sheetViews>
    <sheetView topLeftCell="A63" zoomScaleNormal="100" workbookViewId="0">
      <selection activeCell="L51" sqref="L5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95"/>
      <c r="B1" s="296"/>
      <c r="C1" s="296"/>
      <c r="D1" s="296"/>
      <c r="E1" s="296"/>
      <c r="F1" s="297"/>
      <c r="G1" s="304" t="s">
        <v>33</v>
      </c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6"/>
      <c r="U1" s="307" t="s">
        <v>53</v>
      </c>
      <c r="V1" s="308"/>
      <c r="W1" s="308"/>
      <c r="X1" s="308"/>
      <c r="Y1" s="308"/>
      <c r="Z1" s="309"/>
      <c r="AA1" s="78"/>
    </row>
    <row r="2" spans="1:36" ht="12.75" customHeight="1" x14ac:dyDescent="0.25">
      <c r="A2" s="298"/>
      <c r="B2" s="299"/>
      <c r="C2" s="299"/>
      <c r="D2" s="299"/>
      <c r="E2" s="299"/>
      <c r="F2" s="300"/>
      <c r="G2" s="316" t="s">
        <v>39</v>
      </c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8"/>
      <c r="U2" s="310"/>
      <c r="V2" s="311"/>
      <c r="W2" s="311"/>
      <c r="X2" s="311"/>
      <c r="Y2" s="311"/>
      <c r="Z2" s="312"/>
      <c r="AA2" s="78"/>
    </row>
    <row r="3" spans="1:36" ht="12.75" customHeight="1" x14ac:dyDescent="0.25">
      <c r="A3" s="298"/>
      <c r="B3" s="299"/>
      <c r="C3" s="299"/>
      <c r="D3" s="299"/>
      <c r="E3" s="299"/>
      <c r="F3" s="300"/>
      <c r="G3" s="319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8"/>
      <c r="U3" s="310"/>
      <c r="V3" s="311"/>
      <c r="W3" s="311"/>
      <c r="X3" s="311"/>
      <c r="Y3" s="311"/>
      <c r="Z3" s="312"/>
      <c r="AA3" s="78"/>
    </row>
    <row r="4" spans="1:36" ht="12.75" customHeight="1" x14ac:dyDescent="0.25">
      <c r="A4" s="298"/>
      <c r="B4" s="299"/>
      <c r="C4" s="299"/>
      <c r="D4" s="299"/>
      <c r="E4" s="299"/>
      <c r="F4" s="300"/>
      <c r="G4" s="319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8"/>
      <c r="U4" s="310"/>
      <c r="V4" s="311"/>
      <c r="W4" s="311"/>
      <c r="X4" s="311"/>
      <c r="Y4" s="311"/>
      <c r="Z4" s="312"/>
      <c r="AA4" s="78"/>
    </row>
    <row r="5" spans="1:36" ht="12.75" customHeight="1" x14ac:dyDescent="0.25">
      <c r="A5" s="298"/>
      <c r="B5" s="299"/>
      <c r="C5" s="299"/>
      <c r="D5" s="299"/>
      <c r="E5" s="299"/>
      <c r="F5" s="300"/>
      <c r="G5" s="319" t="s">
        <v>40</v>
      </c>
      <c r="H5" s="317"/>
      <c r="I5" s="2" t="s">
        <v>34</v>
      </c>
      <c r="J5" s="284">
        <v>2</v>
      </c>
      <c r="K5" s="320"/>
      <c r="L5" s="321" t="s">
        <v>52</v>
      </c>
      <c r="M5" s="284"/>
      <c r="N5" s="284"/>
      <c r="O5" s="320"/>
      <c r="P5" s="322">
        <v>45863</v>
      </c>
      <c r="Q5" s="323"/>
      <c r="R5" s="323"/>
      <c r="S5" s="323"/>
      <c r="T5" s="324"/>
      <c r="U5" s="310"/>
      <c r="V5" s="311"/>
      <c r="W5" s="311"/>
      <c r="X5" s="311"/>
      <c r="Y5" s="311"/>
      <c r="Z5" s="312"/>
      <c r="AA5" s="78"/>
    </row>
    <row r="6" spans="1:36" ht="12.75" customHeight="1" x14ac:dyDescent="0.25">
      <c r="A6" s="301"/>
      <c r="B6" s="302"/>
      <c r="C6" s="302"/>
      <c r="D6" s="302"/>
      <c r="E6" s="302"/>
      <c r="F6" s="303"/>
      <c r="G6" s="3"/>
      <c r="H6" s="4"/>
      <c r="I6" s="4"/>
      <c r="J6" s="289" t="s">
        <v>35</v>
      </c>
      <c r="K6" s="289"/>
      <c r="L6" s="289" t="s">
        <v>36</v>
      </c>
      <c r="M6" s="289"/>
      <c r="N6" s="289"/>
      <c r="O6" s="289"/>
      <c r="P6" s="289" t="s">
        <v>37</v>
      </c>
      <c r="Q6" s="289"/>
      <c r="R6" s="289"/>
      <c r="S6" s="289"/>
      <c r="T6" s="290"/>
      <c r="U6" s="313"/>
      <c r="V6" s="314"/>
      <c r="W6" s="314"/>
      <c r="X6" s="314"/>
      <c r="Y6" s="314"/>
      <c r="Z6" s="315"/>
      <c r="AA6" s="78"/>
    </row>
    <row r="7" spans="1:36" ht="37.5" customHeight="1" x14ac:dyDescent="0.25">
      <c r="A7" s="291" t="s">
        <v>38</v>
      </c>
      <c r="B7" s="291"/>
      <c r="C7" s="291"/>
      <c r="D7" s="291"/>
      <c r="E7" s="291"/>
      <c r="F7" s="291"/>
      <c r="G7" s="292" t="s">
        <v>32</v>
      </c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3" t="s">
        <v>27</v>
      </c>
      <c r="C10" s="283"/>
      <c r="D10" s="283"/>
      <c r="E10" s="283"/>
      <c r="F10" s="283"/>
      <c r="G10" s="293" t="s">
        <v>54</v>
      </c>
      <c r="H10" s="293"/>
      <c r="I10" s="293"/>
      <c r="J10" s="293"/>
      <c r="K10" s="293"/>
      <c r="L10" s="293"/>
      <c r="M10" s="283" t="s">
        <v>30</v>
      </c>
      <c r="N10" s="283"/>
      <c r="O10" s="283"/>
      <c r="P10" s="283"/>
      <c r="Q10" s="283"/>
      <c r="R10" s="283"/>
      <c r="S10" s="294" t="s">
        <v>58</v>
      </c>
      <c r="T10" s="294"/>
      <c r="U10" s="294"/>
      <c r="V10" s="294"/>
      <c r="W10" s="294"/>
      <c r="X10" s="294"/>
      <c r="Y10" s="294"/>
      <c r="Z10" s="17"/>
      <c r="AA10" s="75"/>
      <c r="AB10" s="12"/>
      <c r="AC10" s="12"/>
      <c r="AD10" s="12"/>
      <c r="AE10" s="283"/>
      <c r="AF10" s="283"/>
      <c r="AG10" s="283"/>
      <c r="AH10" s="283"/>
      <c r="AI10" s="283"/>
    </row>
    <row r="11" spans="1:36" ht="15.9" customHeight="1" x14ac:dyDescent="0.25">
      <c r="A11" s="13"/>
      <c r="B11" s="283" t="s">
        <v>6</v>
      </c>
      <c r="C11" s="283"/>
      <c r="D11" s="283"/>
      <c r="E11" s="283"/>
      <c r="F11" s="283"/>
      <c r="G11" s="287">
        <v>45863</v>
      </c>
      <c r="H11" s="287"/>
      <c r="I11" s="287"/>
      <c r="J11" s="287"/>
      <c r="K11" s="287"/>
      <c r="L11" s="287"/>
      <c r="M11" s="283" t="s">
        <v>44</v>
      </c>
      <c r="N11" s="283"/>
      <c r="O11" s="283"/>
      <c r="P11" s="283"/>
      <c r="Q11" s="283"/>
      <c r="R11" s="283"/>
      <c r="S11" s="352" t="s">
        <v>70</v>
      </c>
      <c r="T11" s="352"/>
      <c r="U11" s="352"/>
      <c r="V11" s="352"/>
      <c r="W11" s="352"/>
      <c r="X11" s="352"/>
      <c r="Y11" s="352"/>
      <c r="Z11" s="17"/>
      <c r="AA11" s="75"/>
      <c r="AB11" s="12"/>
      <c r="AC11" s="12"/>
      <c r="AD11" s="12"/>
      <c r="AE11" s="283"/>
      <c r="AF11" s="283"/>
      <c r="AG11" s="283"/>
      <c r="AH11" s="283"/>
      <c r="AI11" s="283"/>
    </row>
    <row r="12" spans="1:36" ht="15.9" customHeight="1" x14ac:dyDescent="0.25">
      <c r="A12" s="13"/>
      <c r="B12" s="283" t="s">
        <v>28</v>
      </c>
      <c r="C12" s="283"/>
      <c r="D12" s="283"/>
      <c r="E12" s="283"/>
      <c r="F12" s="283"/>
      <c r="G12" s="287" t="s">
        <v>69</v>
      </c>
      <c r="H12" s="287"/>
      <c r="I12" s="287"/>
      <c r="J12" s="287"/>
      <c r="K12" s="287"/>
      <c r="L12" s="287"/>
      <c r="M12" s="288" t="s">
        <v>43</v>
      </c>
      <c r="N12" s="288"/>
      <c r="O12" s="288"/>
      <c r="P12" s="288"/>
      <c r="Q12" s="288"/>
      <c r="R12" s="288"/>
      <c r="S12" s="286">
        <v>116</v>
      </c>
      <c r="T12" s="286"/>
      <c r="U12" s="286"/>
      <c r="V12" s="286"/>
      <c r="W12" s="286"/>
      <c r="X12" s="286"/>
      <c r="Y12" s="286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31" t="s">
        <v>41</v>
      </c>
      <c r="C13" s="131"/>
      <c r="D13" s="131"/>
      <c r="E13" s="131"/>
      <c r="F13" s="131"/>
      <c r="G13" s="285" t="s">
        <v>65</v>
      </c>
      <c r="H13" s="285"/>
      <c r="I13" s="285"/>
      <c r="J13" s="285"/>
      <c r="K13" s="285"/>
      <c r="L13" s="285"/>
      <c r="M13" s="283" t="s">
        <v>29</v>
      </c>
      <c r="N13" s="283"/>
      <c r="O13" s="283"/>
      <c r="P13" s="283"/>
      <c r="Q13" s="283"/>
      <c r="R13" s="283"/>
      <c r="S13" s="285" t="s">
        <v>66</v>
      </c>
      <c r="T13" s="285"/>
      <c r="U13" s="285"/>
      <c r="V13" s="285"/>
      <c r="W13" s="285"/>
      <c r="X13" s="285"/>
      <c r="Y13" s="285"/>
      <c r="Z13" s="17"/>
      <c r="AA13" s="75"/>
      <c r="AB13" s="12"/>
      <c r="AC13" s="12"/>
      <c r="AD13" s="12"/>
      <c r="AE13" s="283"/>
      <c r="AF13" s="283"/>
      <c r="AG13" s="283"/>
      <c r="AH13" s="283"/>
      <c r="AI13" s="283"/>
      <c r="AJ13" s="283"/>
    </row>
    <row r="14" spans="1:36" ht="15.9" customHeight="1" x14ac:dyDescent="0.25">
      <c r="A14" s="18"/>
      <c r="B14" s="283" t="s">
        <v>42</v>
      </c>
      <c r="C14" s="283"/>
      <c r="D14" s="283"/>
      <c r="E14" s="283"/>
      <c r="F14" s="283"/>
      <c r="G14" s="285" t="s">
        <v>67</v>
      </c>
      <c r="H14" s="285"/>
      <c r="I14" s="285"/>
      <c r="J14" s="285"/>
      <c r="K14" s="285"/>
      <c r="L14" s="285"/>
      <c r="M14" s="286" t="s">
        <v>26</v>
      </c>
      <c r="N14" s="286"/>
      <c r="O14" s="286"/>
      <c r="P14" s="286"/>
      <c r="Q14" s="286"/>
      <c r="R14" s="286"/>
      <c r="S14" s="286" t="s">
        <v>49</v>
      </c>
      <c r="T14" s="286"/>
      <c r="U14" s="286"/>
      <c r="V14" s="286"/>
      <c r="W14" s="286"/>
      <c r="X14" s="286"/>
      <c r="Y14" s="286"/>
      <c r="Z14" s="19"/>
      <c r="AA14" s="12"/>
      <c r="AB14" s="12"/>
      <c r="AC14" s="12"/>
      <c r="AD14" s="12"/>
      <c r="AE14" s="283"/>
      <c r="AF14" s="283"/>
      <c r="AG14" s="283"/>
      <c r="AH14" s="283"/>
      <c r="AI14" s="283"/>
      <c r="AJ14" s="28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83"/>
      <c r="AF15" s="283"/>
      <c r="AG15" s="283"/>
      <c r="AH15" s="283"/>
      <c r="AI15" s="283"/>
      <c r="AJ15" s="28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83"/>
      <c r="AF16" s="283"/>
      <c r="AG16" s="283"/>
      <c r="AH16" s="283"/>
      <c r="AI16" s="283"/>
      <c r="AJ16" s="28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3" t="s">
        <v>19</v>
      </c>
      <c r="C19" s="283"/>
      <c r="D19" s="283"/>
      <c r="E19" s="283"/>
      <c r="F19" s="283"/>
      <c r="G19" s="283"/>
      <c r="H19" s="283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17"/>
      <c r="AA19" s="75"/>
      <c r="AE19" s="20"/>
      <c r="AI19" s="20"/>
    </row>
    <row r="20" spans="1:40" ht="15.9" customHeight="1" x14ac:dyDescent="0.25">
      <c r="A20" s="13"/>
      <c r="B20" s="283" t="s">
        <v>20</v>
      </c>
      <c r="C20" s="283"/>
      <c r="D20" s="283"/>
      <c r="E20" s="283"/>
      <c r="F20" s="283"/>
      <c r="G20" s="283"/>
      <c r="H20" s="283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2.758</v>
      </c>
      <c r="AF47" s="250"/>
      <c r="AG47" s="267"/>
      <c r="AH47" s="39"/>
    </row>
    <row r="48" spans="1:34" ht="12.75" customHeight="1" thickBot="1" x14ac:dyDescent="0.3">
      <c r="A48" s="18"/>
      <c r="Z48" s="87"/>
      <c r="AD48" s="263"/>
      <c r="AE48" s="265"/>
      <c r="AF48" s="266"/>
      <c r="AG48" s="267"/>
    </row>
    <row r="49" spans="1:34" ht="18.75" customHeight="1" thickBot="1" x14ac:dyDescent="0.3">
      <c r="A49" s="18"/>
      <c r="E49" s="268" t="s">
        <v>11</v>
      </c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70" t="s">
        <v>47</v>
      </c>
      <c r="V49" s="271"/>
      <c r="W49" s="272" t="s">
        <v>12</v>
      </c>
      <c r="X49" s="271"/>
      <c r="Y49" s="273" t="s">
        <v>13</v>
      </c>
      <c r="Z49" s="274"/>
      <c r="AA49" s="82"/>
      <c r="AB49" s="277" t="s">
        <v>45</v>
      </c>
      <c r="AC49" s="278"/>
      <c r="AD49" s="281" t="s">
        <v>14</v>
      </c>
      <c r="AE49" s="248" t="s">
        <v>15</v>
      </c>
      <c r="AF49" s="250"/>
      <c r="AG49" s="250"/>
      <c r="AH49" s="40"/>
    </row>
    <row r="50" spans="1:34" ht="24.9" customHeight="1" thickBot="1" x14ac:dyDescent="0.3">
      <c r="A50" s="5"/>
      <c r="B50" s="41" t="s">
        <v>22</v>
      </c>
      <c r="C50" s="252" t="s">
        <v>10</v>
      </c>
      <c r="D50" s="253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0"/>
      <c r="V50" s="202"/>
      <c r="W50" s="201"/>
      <c r="X50" s="202"/>
      <c r="Y50" s="275"/>
      <c r="Z50" s="276"/>
      <c r="AA50" s="82"/>
      <c r="AB50" s="279"/>
      <c r="AC50" s="280"/>
      <c r="AD50" s="282"/>
      <c r="AE50" s="249"/>
      <c r="AF50" s="251"/>
      <c r="AG50" s="250"/>
    </row>
    <row r="51" spans="1:34" ht="24.9" customHeight="1" x14ac:dyDescent="0.25">
      <c r="A51" s="5"/>
      <c r="B51" s="43">
        <v>1</v>
      </c>
      <c r="C51" s="346" t="s">
        <v>71</v>
      </c>
      <c r="D51" s="347"/>
      <c r="E51" s="139">
        <v>7.3</v>
      </c>
      <c r="F51" s="137">
        <v>9.6</v>
      </c>
      <c r="G51" s="140">
        <v>12.5</v>
      </c>
      <c r="H51" s="140">
        <v>16.2</v>
      </c>
      <c r="I51" s="140">
        <v>21.6</v>
      </c>
      <c r="J51" s="140">
        <v>32.4</v>
      </c>
      <c r="K51" s="140">
        <v>47.3</v>
      </c>
      <c r="L51" s="140">
        <v>67.3</v>
      </c>
      <c r="M51" s="140">
        <v>83.1</v>
      </c>
      <c r="N51" s="140">
        <v>95.8</v>
      </c>
      <c r="O51" s="138">
        <v>100</v>
      </c>
      <c r="P51" s="140"/>
      <c r="Q51" s="140"/>
      <c r="R51" s="140"/>
      <c r="S51" s="141"/>
      <c r="T51" s="141"/>
      <c r="U51" s="348">
        <v>168</v>
      </c>
      <c r="V51" s="349"/>
      <c r="W51" s="350">
        <v>5.2</v>
      </c>
      <c r="X51" s="351"/>
      <c r="Y51" s="260">
        <f>IF(W51&lt;&gt;0,AE51,"")</f>
        <v>3.3702118326120694</v>
      </c>
      <c r="Z51" s="261"/>
      <c r="AA51" s="80"/>
      <c r="AB51" s="216">
        <f>(100*W51)/(100-W51)</f>
        <v>5.485232067510549</v>
      </c>
      <c r="AC51" s="217"/>
      <c r="AD51" s="67">
        <f>(0.25*(100-O51)+2.3*(O51-H51)+12*(H51-E51)+150*(E51))/100</f>
        <v>13.945399999999999</v>
      </c>
      <c r="AE51" s="68">
        <f>(AB51*$AE$47)/(2.65*(AD51)^(1/5))</f>
        <v>3.3702118326120694</v>
      </c>
      <c r="AF51" s="29"/>
      <c r="AG51" s="66"/>
    </row>
    <row r="52" spans="1:34" ht="24.9" customHeight="1" x14ac:dyDescent="0.25">
      <c r="A52" s="5"/>
      <c r="B52" s="44">
        <v>2</v>
      </c>
      <c r="C52" s="237"/>
      <c r="D52" s="238"/>
      <c r="E52" s="132"/>
      <c r="F52" s="133"/>
      <c r="G52" s="134"/>
      <c r="H52" s="134"/>
      <c r="I52" s="134"/>
      <c r="J52" s="134"/>
      <c r="K52" s="134"/>
      <c r="L52" s="134"/>
      <c r="M52" s="134"/>
      <c r="N52" s="134"/>
      <c r="O52" s="135"/>
      <c r="P52" s="134"/>
      <c r="Q52" s="135"/>
      <c r="R52" s="134"/>
      <c r="S52" s="136"/>
      <c r="T52" s="136"/>
      <c r="U52" s="239"/>
      <c r="V52" s="240"/>
      <c r="W52" s="241"/>
      <c r="X52" s="242"/>
      <c r="Y52" s="243" t="str">
        <f>IF(W52&lt;&gt;0,AE52,"")</f>
        <v/>
      </c>
      <c r="Z52" s="244"/>
      <c r="AA52" s="80"/>
      <c r="AB52" s="216">
        <f>(100*W52)/(100-W52)</f>
        <v>0</v>
      </c>
      <c r="AC52" s="217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4"/>
      <c r="D53" s="245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5"/>
      <c r="P53" s="92"/>
      <c r="Q53" s="125"/>
      <c r="R53" s="92"/>
      <c r="S53" s="92"/>
      <c r="T53" s="93"/>
      <c r="U53" s="191"/>
      <c r="V53" s="192"/>
      <c r="W53" s="246"/>
      <c r="X53" s="247"/>
      <c r="Y53" s="243" t="str">
        <f t="shared" ref="Y53:Y54" si="2">IF(W53&lt;&gt;0,AE53,"")</f>
        <v/>
      </c>
      <c r="Z53" s="244"/>
      <c r="AA53" s="80"/>
      <c r="AB53" s="216">
        <f>(100*W53)/(100-W53)</f>
        <v>0</v>
      </c>
      <c r="AC53" s="21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6"/>
      <c r="D54" s="227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6"/>
      <c r="P54" s="96"/>
      <c r="Q54" s="126"/>
      <c r="R54" s="96"/>
      <c r="S54" s="96"/>
      <c r="T54" s="97"/>
      <c r="U54" s="228"/>
      <c r="V54" s="229"/>
      <c r="W54" s="230"/>
      <c r="X54" s="231"/>
      <c r="Y54" s="232" t="str">
        <f t="shared" si="2"/>
        <v/>
      </c>
      <c r="Z54" s="233"/>
      <c r="AA54" s="80"/>
      <c r="AB54" s="216">
        <f>(100*W54)/(100-W54)</f>
        <v>0</v>
      </c>
      <c r="AC54" s="21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7"/>
      <c r="P55" s="46"/>
      <c r="Q55" s="127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4" t="s">
        <v>8</v>
      </c>
      <c r="C56" s="235"/>
      <c r="D56" s="23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8"/>
      <c r="P56" s="47"/>
      <c r="Q56" s="128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8" t="s">
        <v>7</v>
      </c>
      <c r="C57" s="209"/>
      <c r="D57" s="210"/>
      <c r="E57" s="98">
        <f t="shared" ref="E57:T57" si="3">IF(E51&lt;&gt;0,AVERAGE(E51:E54),"")</f>
        <v>7.3</v>
      </c>
      <c r="F57" s="98">
        <f t="shared" si="3"/>
        <v>9.6</v>
      </c>
      <c r="G57" s="98">
        <f t="shared" si="3"/>
        <v>12.5</v>
      </c>
      <c r="H57" s="98">
        <f t="shared" si="3"/>
        <v>16.2</v>
      </c>
      <c r="I57" s="98">
        <f t="shared" si="3"/>
        <v>21.6</v>
      </c>
      <c r="J57" s="98">
        <f t="shared" si="3"/>
        <v>32.4</v>
      </c>
      <c r="K57" s="98">
        <f t="shared" si="3"/>
        <v>47.3</v>
      </c>
      <c r="L57" s="98">
        <f t="shared" si="3"/>
        <v>67.3</v>
      </c>
      <c r="M57" s="98">
        <f t="shared" si="3"/>
        <v>83.1</v>
      </c>
      <c r="N57" s="98">
        <f t="shared" si="3"/>
        <v>95.8</v>
      </c>
      <c r="O57" s="129">
        <f t="shared" si="3"/>
        <v>100</v>
      </c>
      <c r="P57" s="98"/>
      <c r="Q57" s="129"/>
      <c r="R57" s="98"/>
      <c r="S57" s="98" t="str">
        <f t="shared" si="3"/>
        <v/>
      </c>
      <c r="T57" s="99" t="str">
        <f t="shared" si="3"/>
        <v/>
      </c>
      <c r="U57" s="211">
        <f>IF(U51&lt;&gt;0,AVERAGE(U51:V54),"")</f>
        <v>168</v>
      </c>
      <c r="V57" s="212"/>
      <c r="W57" s="213">
        <f>IF(W51&lt;&gt;0,AVERAGE(W51:X54),"")</f>
        <v>5.2</v>
      </c>
      <c r="X57" s="214"/>
      <c r="Y57" s="213">
        <f>IF(W51&lt;&gt;0,AVERAGE(Y51:Z54),"")</f>
        <v>3.3702118326120694</v>
      </c>
      <c r="Z57" s="215"/>
      <c r="AA57" s="66"/>
      <c r="AB57" s="216">
        <f>(100*W57)/(100-W57)</f>
        <v>5.485232067510549</v>
      </c>
      <c r="AC57" s="217"/>
      <c r="AD57" s="67">
        <f t="shared" si="0"/>
        <v>13.945399999999999</v>
      </c>
      <c r="AE57" s="68">
        <f t="shared" si="1"/>
        <v>3.3702118326120694</v>
      </c>
      <c r="AF57" s="29"/>
      <c r="AG57" s="66"/>
    </row>
    <row r="58" spans="1:34" ht="21" customHeight="1" x14ac:dyDescent="0.25">
      <c r="A58" s="5"/>
      <c r="B58" s="218" t="s">
        <v>9</v>
      </c>
      <c r="C58" s="219"/>
      <c r="D58" s="220"/>
      <c r="E58" s="100">
        <v>7.1</v>
      </c>
      <c r="F58" s="100">
        <v>9</v>
      </c>
      <c r="G58" s="100">
        <v>11</v>
      </c>
      <c r="H58" s="100">
        <v>14</v>
      </c>
      <c r="I58" s="100">
        <v>20</v>
      </c>
      <c r="J58" s="100">
        <v>30</v>
      </c>
      <c r="K58" s="100">
        <v>43</v>
      </c>
      <c r="L58" s="100">
        <v>62</v>
      </c>
      <c r="M58" s="100">
        <v>78</v>
      </c>
      <c r="N58" s="100">
        <v>94</v>
      </c>
      <c r="O58" s="130">
        <v>100</v>
      </c>
      <c r="P58" s="100"/>
      <c r="Q58" s="130"/>
      <c r="R58" s="100"/>
      <c r="S58" s="100"/>
      <c r="T58" s="101"/>
      <c r="U58" s="221"/>
      <c r="V58" s="222"/>
      <c r="W58" s="223">
        <v>5.4</v>
      </c>
      <c r="X58" s="224"/>
      <c r="Y58" s="225">
        <f>AE58</f>
        <v>3.5323832409736107</v>
      </c>
      <c r="Z58" s="226"/>
      <c r="AA58" s="66"/>
      <c r="AB58" s="216">
        <f>(100*W58)/(100-W58)</f>
        <v>5.7082452431289648</v>
      </c>
      <c r="AC58" s="217"/>
      <c r="AD58" s="67">
        <f t="shared" si="0"/>
        <v>13.456</v>
      </c>
      <c r="AE58" s="68">
        <f t="shared" si="1"/>
        <v>3.5323832409736107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9.1</v>
      </c>
      <c r="F59" s="92"/>
      <c r="G59" s="92"/>
      <c r="H59" s="92"/>
      <c r="I59" s="92"/>
      <c r="J59" s="92">
        <f>J58+6</f>
        <v>36</v>
      </c>
      <c r="K59" s="92"/>
      <c r="L59" s="92">
        <f>L58+7</f>
        <v>69</v>
      </c>
      <c r="M59" s="92"/>
      <c r="N59" s="92"/>
      <c r="O59" s="92"/>
      <c r="P59" s="92"/>
      <c r="Q59" s="92"/>
      <c r="R59" s="92"/>
      <c r="S59" s="92"/>
      <c r="T59" s="93"/>
      <c r="U59" s="191"/>
      <c r="V59" s="192"/>
      <c r="W59" s="193">
        <f>W58+0.5</f>
        <v>5.9</v>
      </c>
      <c r="X59" s="192"/>
      <c r="Y59" s="194"/>
      <c r="Z59" s="195"/>
      <c r="AA59" s="83"/>
      <c r="AB59" s="71"/>
      <c r="AC59" s="69"/>
      <c r="AD59" s="196"/>
      <c r="AE59" s="198" t="s">
        <v>46</v>
      </c>
      <c r="AF59" s="29"/>
      <c r="AG59" s="66"/>
    </row>
    <row r="60" spans="1:34" ht="13.5" customHeight="1" thickBot="1" x14ac:dyDescent="0.3">
      <c r="A60" s="5"/>
      <c r="B60" s="200" t="s">
        <v>24</v>
      </c>
      <c r="C60" s="201"/>
      <c r="D60" s="202"/>
      <c r="E60" s="102">
        <f>E58-2</f>
        <v>5.0999999999999996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55</v>
      </c>
      <c r="M60" s="102"/>
      <c r="N60" s="103"/>
      <c r="O60" s="103"/>
      <c r="P60" s="103"/>
      <c r="Q60" s="102"/>
      <c r="R60" s="103"/>
      <c r="S60" s="103"/>
      <c r="T60" s="104"/>
      <c r="U60" s="203"/>
      <c r="V60" s="204"/>
      <c r="W60" s="205">
        <f>W58-0.5</f>
        <v>4.9000000000000004</v>
      </c>
      <c r="X60" s="204"/>
      <c r="Y60" s="206"/>
      <c r="Z60" s="207"/>
      <c r="AA60" s="84"/>
      <c r="AB60" s="72"/>
      <c r="AC60" s="73"/>
      <c r="AD60" s="197"/>
      <c r="AE60" s="199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8"/>
      <c r="V63" s="168"/>
      <c r="W63" s="168"/>
      <c r="X63" s="168"/>
      <c r="Y63" s="168"/>
      <c r="Z63" s="169"/>
      <c r="AA63" s="81"/>
      <c r="AB63" s="58"/>
      <c r="AC63" s="58"/>
      <c r="AD63" s="59"/>
    </row>
    <row r="64" spans="1:34" ht="27" customHeight="1" x14ac:dyDescent="0.25">
      <c r="A64" s="170" t="s">
        <v>48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2"/>
      <c r="R64" s="153" t="s">
        <v>31</v>
      </c>
      <c r="S64" s="154"/>
      <c r="T64" s="155"/>
      <c r="U64" s="173" t="s">
        <v>68</v>
      </c>
      <c r="V64" s="174"/>
      <c r="W64" s="174"/>
      <c r="X64" s="174"/>
      <c r="Y64" s="174"/>
      <c r="Z64" s="175"/>
      <c r="AA64" s="76"/>
      <c r="AB64" s="60"/>
      <c r="AC64" s="60"/>
      <c r="AD64" s="59"/>
    </row>
    <row r="65" spans="1:30" ht="15.75" customHeight="1" x14ac:dyDescent="0.25">
      <c r="A65" s="176" t="s">
        <v>64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8"/>
      <c r="R65" s="153" t="s">
        <v>51</v>
      </c>
      <c r="S65" s="154"/>
      <c r="T65" s="155"/>
      <c r="U65" s="182" t="s">
        <v>63</v>
      </c>
      <c r="V65" s="183"/>
      <c r="W65" s="183"/>
      <c r="X65" s="183"/>
      <c r="Y65" s="183"/>
      <c r="Z65" s="184"/>
      <c r="AA65" s="76"/>
      <c r="AB65" s="60"/>
      <c r="AC65" s="60"/>
      <c r="AD65" s="59"/>
    </row>
    <row r="66" spans="1:30" ht="9" customHeight="1" x14ac:dyDescent="0.25">
      <c r="A66" s="176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8"/>
      <c r="R66" s="153"/>
      <c r="S66" s="154"/>
      <c r="T66" s="155"/>
      <c r="U66" s="185"/>
      <c r="V66" s="186"/>
      <c r="W66" s="186"/>
      <c r="X66" s="186"/>
      <c r="Y66" s="186"/>
      <c r="Z66" s="187"/>
      <c r="AA66" s="76"/>
      <c r="AB66" s="60"/>
      <c r="AC66" s="60"/>
      <c r="AD66" s="59"/>
    </row>
    <row r="67" spans="1:30" ht="15.9" customHeight="1" x14ac:dyDescent="0.25">
      <c r="A67" s="179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1"/>
      <c r="R67" s="153"/>
      <c r="S67" s="154"/>
      <c r="T67" s="155"/>
      <c r="U67" s="185"/>
      <c r="V67" s="186"/>
      <c r="W67" s="186"/>
      <c r="X67" s="186"/>
      <c r="Y67" s="186"/>
      <c r="Z67" s="187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3"/>
      <c r="S68" s="154"/>
      <c r="T68" s="155"/>
      <c r="U68" s="188"/>
      <c r="V68" s="189"/>
      <c r="W68" s="189"/>
      <c r="X68" s="189"/>
      <c r="Y68" s="189"/>
      <c r="Z68" s="190"/>
      <c r="AA68" s="76"/>
      <c r="AB68" s="60"/>
      <c r="AC68" s="60"/>
      <c r="AD68" s="59"/>
    </row>
    <row r="69" spans="1:30" ht="15.75" customHeight="1" x14ac:dyDescent="0.25">
      <c r="A69" s="147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9"/>
      <c r="R69" s="153" t="s">
        <v>25</v>
      </c>
      <c r="S69" s="154"/>
      <c r="T69" s="155"/>
      <c r="U69" s="159"/>
      <c r="V69" s="160"/>
      <c r="W69" s="160"/>
      <c r="X69" s="160"/>
      <c r="Y69" s="160"/>
      <c r="Z69" s="161"/>
      <c r="AA69" s="77"/>
      <c r="AB69" s="65"/>
      <c r="AC69" s="65"/>
      <c r="AD69" s="59"/>
    </row>
    <row r="70" spans="1:30" ht="15.9" customHeight="1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  <c r="R70" s="153"/>
      <c r="S70" s="154"/>
      <c r="T70" s="155"/>
      <c r="U70" s="162"/>
      <c r="V70" s="163"/>
      <c r="W70" s="163"/>
      <c r="X70" s="163"/>
      <c r="Y70" s="163"/>
      <c r="Z70" s="164"/>
      <c r="AA70" s="77"/>
      <c r="AB70" s="65"/>
      <c r="AC70" s="65"/>
      <c r="AD70" s="59"/>
    </row>
    <row r="71" spans="1:30" ht="15.9" customHeight="1" x14ac:dyDescent="0.25">
      <c r="A71" s="147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9"/>
      <c r="R71" s="153"/>
      <c r="S71" s="154"/>
      <c r="T71" s="155"/>
      <c r="U71" s="162"/>
      <c r="V71" s="163"/>
      <c r="W71" s="163"/>
      <c r="X71" s="163"/>
      <c r="Y71" s="163"/>
      <c r="Z71" s="164"/>
      <c r="AA71" s="77"/>
      <c r="AB71" s="65"/>
      <c r="AC71" s="65"/>
      <c r="AD71" s="59"/>
    </row>
    <row r="72" spans="1:30" ht="15.75" customHeight="1" x14ac:dyDescent="0.25">
      <c r="A72" s="150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2"/>
      <c r="R72" s="156"/>
      <c r="S72" s="157"/>
      <c r="T72" s="158"/>
      <c r="U72" s="165"/>
      <c r="V72" s="166"/>
      <c r="W72" s="166"/>
      <c r="X72" s="166"/>
      <c r="Y72" s="166"/>
      <c r="Z72" s="167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C51:D51"/>
    <mergeCell ref="Y51:Z51"/>
    <mergeCell ref="AB51:AC51"/>
    <mergeCell ref="U51:V51"/>
    <mergeCell ref="W51:X51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U69:Z72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5" orientation="portrait" horizontalDpi="300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0"/>
  <sheetViews>
    <sheetView topLeftCell="C1" zoomScaleNormal="100" workbookViewId="0">
      <selection activeCell="G11" sqref="G11:L1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95"/>
      <c r="B1" s="296"/>
      <c r="C1" s="296"/>
      <c r="D1" s="296"/>
      <c r="E1" s="296"/>
      <c r="F1" s="297"/>
      <c r="G1" s="304" t="s">
        <v>33</v>
      </c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6"/>
      <c r="U1" s="307" t="s">
        <v>53</v>
      </c>
      <c r="V1" s="308"/>
      <c r="W1" s="308"/>
      <c r="X1" s="308"/>
      <c r="Y1" s="308"/>
      <c r="Z1" s="309"/>
      <c r="AA1" s="78"/>
    </row>
    <row r="2" spans="1:36" ht="12.6" customHeight="1" x14ac:dyDescent="0.25">
      <c r="A2" s="298"/>
      <c r="B2" s="299"/>
      <c r="C2" s="299"/>
      <c r="D2" s="299"/>
      <c r="E2" s="299"/>
      <c r="F2" s="300"/>
      <c r="G2" s="316" t="s">
        <v>39</v>
      </c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8"/>
      <c r="U2" s="310"/>
      <c r="V2" s="311"/>
      <c r="W2" s="311"/>
      <c r="X2" s="311"/>
      <c r="Y2" s="311"/>
      <c r="Z2" s="312"/>
      <c r="AA2" s="78"/>
    </row>
    <row r="3" spans="1:36" ht="12.6" customHeight="1" x14ac:dyDescent="0.25">
      <c r="A3" s="298"/>
      <c r="B3" s="299"/>
      <c r="C3" s="299"/>
      <c r="D3" s="299"/>
      <c r="E3" s="299"/>
      <c r="F3" s="300"/>
      <c r="G3" s="319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8"/>
      <c r="U3" s="310"/>
      <c r="V3" s="311"/>
      <c r="W3" s="311"/>
      <c r="X3" s="311"/>
      <c r="Y3" s="311"/>
      <c r="Z3" s="312"/>
      <c r="AA3" s="78"/>
    </row>
    <row r="4" spans="1:36" ht="12.6" customHeight="1" x14ac:dyDescent="0.25">
      <c r="A4" s="298"/>
      <c r="B4" s="299"/>
      <c r="C4" s="299"/>
      <c r="D4" s="299"/>
      <c r="E4" s="299"/>
      <c r="F4" s="300"/>
      <c r="G4" s="319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8"/>
      <c r="U4" s="310"/>
      <c r="V4" s="311"/>
      <c r="W4" s="311"/>
      <c r="X4" s="311"/>
      <c r="Y4" s="311"/>
      <c r="Z4" s="312"/>
      <c r="AA4" s="78"/>
    </row>
    <row r="5" spans="1:36" ht="12.6" customHeight="1" x14ac:dyDescent="0.25">
      <c r="A5" s="298"/>
      <c r="B5" s="299"/>
      <c r="C5" s="299"/>
      <c r="D5" s="299"/>
      <c r="E5" s="299"/>
      <c r="F5" s="300"/>
      <c r="G5" s="319" t="s">
        <v>40</v>
      </c>
      <c r="H5" s="317"/>
      <c r="I5" s="2" t="s">
        <v>34</v>
      </c>
      <c r="J5" s="284">
        <v>1</v>
      </c>
      <c r="K5" s="320"/>
      <c r="L5" s="321" t="s">
        <v>52</v>
      </c>
      <c r="M5" s="284"/>
      <c r="N5" s="284"/>
      <c r="O5" s="320"/>
      <c r="P5" s="322">
        <v>45861</v>
      </c>
      <c r="Q5" s="323"/>
      <c r="R5" s="323"/>
      <c r="S5" s="323"/>
      <c r="T5" s="324"/>
      <c r="U5" s="310"/>
      <c r="V5" s="311"/>
      <c r="W5" s="311"/>
      <c r="X5" s="311"/>
      <c r="Y5" s="311"/>
      <c r="Z5" s="312"/>
      <c r="AA5" s="78"/>
    </row>
    <row r="6" spans="1:36" ht="12.6" customHeight="1" x14ac:dyDescent="0.25">
      <c r="A6" s="301"/>
      <c r="B6" s="302"/>
      <c r="C6" s="302"/>
      <c r="D6" s="302"/>
      <c r="E6" s="302"/>
      <c r="F6" s="303"/>
      <c r="G6" s="3"/>
      <c r="H6" s="4"/>
      <c r="I6" s="4"/>
      <c r="J6" s="289" t="s">
        <v>35</v>
      </c>
      <c r="K6" s="289"/>
      <c r="L6" s="289" t="s">
        <v>36</v>
      </c>
      <c r="M6" s="289"/>
      <c r="N6" s="289"/>
      <c r="O6" s="289"/>
      <c r="P6" s="289" t="s">
        <v>37</v>
      </c>
      <c r="Q6" s="289"/>
      <c r="R6" s="289"/>
      <c r="S6" s="289"/>
      <c r="T6" s="290"/>
      <c r="U6" s="313"/>
      <c r="V6" s="314"/>
      <c r="W6" s="314"/>
      <c r="X6" s="314"/>
      <c r="Y6" s="314"/>
      <c r="Z6" s="315"/>
      <c r="AA6" s="78"/>
    </row>
    <row r="7" spans="1:36" ht="36.6" customHeight="1" x14ac:dyDescent="0.25">
      <c r="A7" s="291" t="s">
        <v>38</v>
      </c>
      <c r="B7" s="291"/>
      <c r="C7" s="291"/>
      <c r="D7" s="291"/>
      <c r="E7" s="291"/>
      <c r="F7" s="291"/>
      <c r="G7" s="292" t="s">
        <v>32</v>
      </c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95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83" t="s">
        <v>27</v>
      </c>
      <c r="C10" s="283"/>
      <c r="D10" s="283"/>
      <c r="E10" s="283"/>
      <c r="F10" s="283"/>
      <c r="G10" s="287" t="s">
        <v>54</v>
      </c>
      <c r="H10" s="287"/>
      <c r="I10" s="287"/>
      <c r="J10" s="287"/>
      <c r="K10" s="287"/>
      <c r="L10" s="287"/>
      <c r="M10" s="283" t="s">
        <v>30</v>
      </c>
      <c r="N10" s="283"/>
      <c r="O10" s="283"/>
      <c r="P10" s="283"/>
      <c r="Q10" s="283"/>
      <c r="R10" s="283"/>
      <c r="S10" s="286" t="s">
        <v>58</v>
      </c>
      <c r="T10" s="286"/>
      <c r="U10" s="286"/>
      <c r="V10" s="286"/>
      <c r="W10" s="286"/>
      <c r="X10" s="286"/>
      <c r="Y10" s="286"/>
      <c r="Z10" s="17"/>
      <c r="AA10" s="75"/>
      <c r="AB10" s="12"/>
      <c r="AC10" s="12"/>
      <c r="AD10" s="12"/>
      <c r="AE10" s="117"/>
      <c r="AF10" s="117"/>
      <c r="AG10" s="117"/>
      <c r="AH10" s="117"/>
      <c r="AI10" s="117"/>
    </row>
    <row r="11" spans="1:36" ht="15.9" customHeight="1" x14ac:dyDescent="0.25">
      <c r="A11" s="13"/>
      <c r="B11" s="283" t="s">
        <v>6</v>
      </c>
      <c r="C11" s="283"/>
      <c r="D11" s="283"/>
      <c r="E11" s="283"/>
      <c r="F11" s="283"/>
      <c r="G11" s="287" t="s">
        <v>55</v>
      </c>
      <c r="H11" s="287"/>
      <c r="I11" s="287"/>
      <c r="J11" s="287"/>
      <c r="K11" s="287"/>
      <c r="L11" s="287"/>
      <c r="M11" s="283" t="s">
        <v>44</v>
      </c>
      <c r="N11" s="283"/>
      <c r="O11" s="283"/>
      <c r="P11" s="283"/>
      <c r="Q11" s="283"/>
      <c r="R11" s="283"/>
      <c r="S11" s="122" t="s">
        <v>59</v>
      </c>
      <c r="T11" s="122"/>
      <c r="U11" s="122"/>
      <c r="V11" s="122"/>
      <c r="W11" s="122"/>
      <c r="X11" s="122"/>
      <c r="Y11" s="122"/>
      <c r="Z11" s="17"/>
      <c r="AA11" s="75"/>
      <c r="AB11" s="12"/>
      <c r="AC11" s="12"/>
      <c r="AD11" s="12"/>
      <c r="AE11" s="117"/>
      <c r="AF11" s="117"/>
      <c r="AG11" s="117"/>
      <c r="AH11" s="117"/>
      <c r="AI11" s="117"/>
    </row>
    <row r="12" spans="1:36" ht="15.9" customHeight="1" x14ac:dyDescent="0.25">
      <c r="A12" s="13"/>
      <c r="B12" s="283" t="s">
        <v>28</v>
      </c>
      <c r="C12" s="283"/>
      <c r="D12" s="283"/>
      <c r="E12" s="283"/>
      <c r="F12" s="283"/>
      <c r="G12" s="287" t="s">
        <v>55</v>
      </c>
      <c r="H12" s="287"/>
      <c r="I12" s="287"/>
      <c r="J12" s="287"/>
      <c r="K12" s="287"/>
      <c r="L12" s="287"/>
      <c r="M12" s="288" t="s">
        <v>43</v>
      </c>
      <c r="N12" s="288"/>
      <c r="O12" s="288"/>
      <c r="P12" s="288"/>
      <c r="Q12" s="288"/>
      <c r="R12" s="288"/>
      <c r="S12" s="286">
        <v>157</v>
      </c>
      <c r="T12" s="286"/>
      <c r="U12" s="286"/>
      <c r="V12" s="286"/>
      <c r="W12" s="286"/>
      <c r="X12" s="286"/>
      <c r="Y12" s="286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45" t="s">
        <v>41</v>
      </c>
      <c r="C13" s="345"/>
      <c r="D13" s="345"/>
      <c r="E13" s="345"/>
      <c r="F13" s="345"/>
      <c r="G13" s="285" t="s">
        <v>56</v>
      </c>
      <c r="H13" s="285"/>
      <c r="I13" s="285"/>
      <c r="J13" s="285"/>
      <c r="K13" s="285"/>
      <c r="L13" s="285"/>
      <c r="M13" s="283" t="s">
        <v>29</v>
      </c>
      <c r="N13" s="283"/>
      <c r="O13" s="283"/>
      <c r="P13" s="283"/>
      <c r="Q13" s="283"/>
      <c r="R13" s="283"/>
      <c r="S13" s="285" t="s">
        <v>60</v>
      </c>
      <c r="T13" s="285"/>
      <c r="U13" s="285"/>
      <c r="V13" s="285"/>
      <c r="W13" s="285"/>
      <c r="X13" s="285"/>
      <c r="Y13" s="285"/>
      <c r="Z13" s="17"/>
      <c r="AA13" s="75"/>
      <c r="AB13" s="12"/>
      <c r="AC13" s="12"/>
      <c r="AD13" s="12"/>
      <c r="AE13" s="117"/>
      <c r="AF13" s="117"/>
      <c r="AG13" s="117"/>
      <c r="AH13" s="117"/>
      <c r="AI13" s="117"/>
      <c r="AJ13" s="117"/>
    </row>
    <row r="14" spans="1:36" ht="15.9" customHeight="1" x14ac:dyDescent="0.25">
      <c r="A14" s="18"/>
      <c r="B14" s="283" t="s">
        <v>42</v>
      </c>
      <c r="C14" s="283"/>
      <c r="D14" s="283"/>
      <c r="E14" s="283"/>
      <c r="F14" s="283"/>
      <c r="G14" s="285" t="s">
        <v>57</v>
      </c>
      <c r="H14" s="285"/>
      <c r="I14" s="285"/>
      <c r="J14" s="285"/>
      <c r="K14" s="285"/>
      <c r="L14" s="285"/>
      <c r="M14" s="286" t="s">
        <v>26</v>
      </c>
      <c r="N14" s="286"/>
      <c r="O14" s="286"/>
      <c r="P14" s="286"/>
      <c r="Q14" s="286"/>
      <c r="R14" s="286"/>
      <c r="S14" s="286" t="s">
        <v>49</v>
      </c>
      <c r="T14" s="286"/>
      <c r="U14" s="286"/>
      <c r="V14" s="286"/>
      <c r="W14" s="286"/>
      <c r="X14" s="286"/>
      <c r="Y14" s="286"/>
      <c r="Z14" s="19"/>
      <c r="AA14" s="12"/>
      <c r="AB14" s="12"/>
      <c r="AC14" s="12"/>
      <c r="AD14" s="12"/>
      <c r="AE14" s="117"/>
      <c r="AF14" s="117"/>
      <c r="AG14" s="117"/>
      <c r="AH14" s="117"/>
      <c r="AI14" s="117"/>
      <c r="AJ14" s="11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7"/>
      <c r="AF15" s="117"/>
      <c r="AG15" s="117"/>
      <c r="AH15" s="117"/>
      <c r="AI15" s="117"/>
      <c r="AJ15" s="11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7"/>
      <c r="AF16" s="117"/>
      <c r="AG16" s="117"/>
      <c r="AH16" s="117"/>
      <c r="AI16" s="117"/>
      <c r="AJ16" s="11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83" t="s">
        <v>19</v>
      </c>
      <c r="C19" s="283"/>
      <c r="D19" s="283"/>
      <c r="E19" s="283"/>
      <c r="F19" s="283"/>
      <c r="G19" s="283"/>
      <c r="H19" s="283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17"/>
      <c r="AA19" s="75"/>
      <c r="AE19" s="20"/>
      <c r="AI19" s="20"/>
    </row>
    <row r="20" spans="1:40" ht="15.9" customHeight="1" x14ac:dyDescent="0.25">
      <c r="A20" s="13"/>
      <c r="B20" s="283" t="s">
        <v>20</v>
      </c>
      <c r="C20" s="283"/>
      <c r="D20" s="283"/>
      <c r="E20" s="283"/>
      <c r="F20" s="283"/>
      <c r="G20" s="283"/>
      <c r="H20" s="283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8.600000000000001" customHeight="1" x14ac:dyDescent="0.25">
      <c r="A27" s="18"/>
      <c r="Z27" s="23"/>
    </row>
    <row r="28" spans="1:40" ht="18.600000000000001" customHeight="1" x14ac:dyDescent="0.25">
      <c r="A28" s="18"/>
      <c r="Z28" s="23"/>
    </row>
    <row r="29" spans="1:40" ht="18.600000000000001" customHeight="1" x14ac:dyDescent="0.25">
      <c r="A29" s="18"/>
      <c r="Z29" s="23"/>
    </row>
    <row r="30" spans="1:40" ht="18.600000000000001" customHeight="1" x14ac:dyDescent="0.25">
      <c r="A30" s="18"/>
      <c r="Z30" s="23"/>
    </row>
    <row r="31" spans="1:40" ht="18.600000000000001" customHeight="1" x14ac:dyDescent="0.25">
      <c r="A31" s="18"/>
      <c r="Z31" s="23"/>
    </row>
    <row r="32" spans="1:40" ht="18.600000000000001" customHeight="1" x14ac:dyDescent="0.25">
      <c r="A32" s="18"/>
      <c r="Z32" s="23"/>
    </row>
    <row r="33" spans="1:34" ht="18.600000000000001" customHeight="1" x14ac:dyDescent="0.25">
      <c r="A33" s="18"/>
      <c r="Z33" s="23"/>
    </row>
    <row r="34" spans="1:34" ht="18.600000000000001" customHeight="1" x14ac:dyDescent="0.25">
      <c r="A34" s="18"/>
      <c r="Z34" s="23"/>
    </row>
    <row r="35" spans="1:34" ht="18.600000000000001" customHeight="1" x14ac:dyDescent="0.25">
      <c r="A35" s="18"/>
      <c r="Z35" s="23"/>
    </row>
    <row r="36" spans="1:34" ht="18.600000000000001" customHeight="1" x14ac:dyDescent="0.25">
      <c r="A36" s="18"/>
      <c r="Z36" s="23"/>
    </row>
    <row r="37" spans="1:34" ht="18.600000000000001" customHeight="1" x14ac:dyDescent="0.25">
      <c r="A37" s="18"/>
      <c r="Z37" s="23"/>
    </row>
    <row r="38" spans="1:34" ht="18.600000000000001" customHeight="1" x14ac:dyDescent="0.25">
      <c r="A38" s="18"/>
      <c r="Z38" s="23"/>
    </row>
    <row r="39" spans="1:34" ht="18.600000000000001" customHeight="1" x14ac:dyDescent="0.25">
      <c r="A39" s="18"/>
      <c r="Z39" s="23"/>
    </row>
    <row r="40" spans="1:34" ht="18.600000000000001" customHeight="1" x14ac:dyDescent="0.25">
      <c r="A40" s="18"/>
      <c r="Z40" s="23"/>
    </row>
    <row r="41" spans="1:34" ht="18.600000000000001" customHeight="1" x14ac:dyDescent="0.25">
      <c r="A41" s="18"/>
      <c r="Z41" s="23"/>
    </row>
    <row r="42" spans="1:34" ht="18.600000000000001" customHeight="1" x14ac:dyDescent="0.25">
      <c r="A42" s="18"/>
      <c r="Z42" s="23"/>
    </row>
    <row r="43" spans="1:34" ht="18.600000000000001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2.6779999999999999</v>
      </c>
      <c r="AF47" s="250"/>
      <c r="AG47" s="267"/>
      <c r="AH47" s="39"/>
    </row>
    <row r="48" spans="1:34" ht="12.75" customHeight="1" thickBot="1" x14ac:dyDescent="0.3">
      <c r="A48" s="18"/>
      <c r="Z48" s="87"/>
      <c r="AD48" s="263"/>
      <c r="AE48" s="265"/>
      <c r="AF48" s="266"/>
      <c r="AG48" s="267"/>
    </row>
    <row r="49" spans="1:34" ht="18.75" customHeight="1" thickBot="1" x14ac:dyDescent="0.3">
      <c r="A49" s="18"/>
      <c r="E49" s="268" t="s">
        <v>11</v>
      </c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70" t="s">
        <v>47</v>
      </c>
      <c r="V49" s="271"/>
      <c r="W49" s="272" t="s">
        <v>12</v>
      </c>
      <c r="X49" s="271"/>
      <c r="Y49" s="273" t="s">
        <v>13</v>
      </c>
      <c r="Z49" s="274"/>
      <c r="AA49" s="82"/>
      <c r="AB49" s="277" t="s">
        <v>45</v>
      </c>
      <c r="AC49" s="278"/>
      <c r="AD49" s="281" t="s">
        <v>14</v>
      </c>
      <c r="AE49" s="248" t="s">
        <v>15</v>
      </c>
      <c r="AF49" s="250"/>
      <c r="AG49" s="250"/>
      <c r="AH49" s="40"/>
    </row>
    <row r="50" spans="1:34" ht="24.9" customHeight="1" thickBot="1" x14ac:dyDescent="0.3">
      <c r="A50" s="5"/>
      <c r="B50" s="41" t="s">
        <v>22</v>
      </c>
      <c r="C50" s="252" t="s">
        <v>10</v>
      </c>
      <c r="D50" s="253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00"/>
      <c r="V50" s="202"/>
      <c r="W50" s="201"/>
      <c r="X50" s="202"/>
      <c r="Y50" s="275"/>
      <c r="Z50" s="276"/>
      <c r="AA50" s="82"/>
      <c r="AB50" s="279"/>
      <c r="AC50" s="280"/>
      <c r="AD50" s="282"/>
      <c r="AE50" s="249"/>
      <c r="AF50" s="251"/>
      <c r="AG50" s="250"/>
    </row>
    <row r="51" spans="1:34" ht="24.9" customHeight="1" x14ac:dyDescent="0.25">
      <c r="A51" s="5"/>
      <c r="B51" s="43">
        <v>1</v>
      </c>
      <c r="C51" s="254" t="s">
        <v>61</v>
      </c>
      <c r="D51" s="255"/>
      <c r="E51" s="113">
        <v>7.9</v>
      </c>
      <c r="F51" s="114">
        <v>10.4</v>
      </c>
      <c r="G51" s="115">
        <v>14</v>
      </c>
      <c r="H51" s="115">
        <v>18.399999999999999</v>
      </c>
      <c r="I51" s="115">
        <v>24.6</v>
      </c>
      <c r="J51" s="115">
        <v>36.1</v>
      </c>
      <c r="K51" s="115">
        <v>50.9</v>
      </c>
      <c r="L51" s="115">
        <v>65.2</v>
      </c>
      <c r="M51" s="115">
        <v>73.099999999999994</v>
      </c>
      <c r="N51" s="115">
        <v>84.9</v>
      </c>
      <c r="O51" s="115">
        <v>91.5</v>
      </c>
      <c r="P51" s="115">
        <v>96.3</v>
      </c>
      <c r="Q51" s="123">
        <v>100</v>
      </c>
      <c r="R51" s="115"/>
      <c r="S51" s="116"/>
      <c r="T51" s="116"/>
      <c r="U51" s="256">
        <v>165</v>
      </c>
      <c r="V51" s="257"/>
      <c r="W51" s="258">
        <v>4.6399999999999997</v>
      </c>
      <c r="X51" s="259"/>
      <c r="Y51" s="260">
        <f>IF(W51&lt;&gt;0,AE51,"")</f>
        <v>2.8680747828109632</v>
      </c>
      <c r="Z51" s="261"/>
      <c r="AA51" s="80"/>
      <c r="AB51" s="216">
        <f>(100*W51)/(100-W51)</f>
        <v>4.8657718120805367</v>
      </c>
      <c r="AC51" s="217"/>
      <c r="AD51" s="67">
        <f>(0.25*(100-O51)+2.3*(O51-H51)+12*(H51-E51)+150*(E51))/100</f>
        <v>14.812549999999998</v>
      </c>
      <c r="AE51" s="68">
        <f>(AB51*$AE$47)/(2.65*(AD51)^(1/5))</f>
        <v>2.8680747828109632</v>
      </c>
      <c r="AF51" s="29"/>
      <c r="AG51" s="66"/>
    </row>
    <row r="52" spans="1:34" ht="24.9" customHeight="1" x14ac:dyDescent="0.25">
      <c r="A52" s="5"/>
      <c r="B52" s="44">
        <v>2</v>
      </c>
      <c r="C52" s="339"/>
      <c r="D52" s="340"/>
      <c r="E52" s="118"/>
      <c r="F52" s="119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4"/>
      <c r="R52" s="120"/>
      <c r="S52" s="121"/>
      <c r="T52" s="121"/>
      <c r="U52" s="341"/>
      <c r="V52" s="342"/>
      <c r="W52" s="343"/>
      <c r="X52" s="344"/>
      <c r="Y52" s="243" t="str">
        <f>IF(W52&lt;&gt;0,AE52,"")</f>
        <v/>
      </c>
      <c r="Z52" s="244"/>
      <c r="AA52" s="80"/>
      <c r="AB52" s="216">
        <f>(100*W52)/(100-W52)</f>
        <v>0</v>
      </c>
      <c r="AC52" s="217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4"/>
      <c r="D53" s="245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5"/>
      <c r="R53" s="92"/>
      <c r="S53" s="92"/>
      <c r="T53" s="93"/>
      <c r="U53" s="191"/>
      <c r="V53" s="192"/>
      <c r="W53" s="246"/>
      <c r="X53" s="247"/>
      <c r="Y53" s="243" t="str">
        <f t="shared" ref="Y53:Y54" si="2">IF(W53&lt;&gt;0,AE53,"")</f>
        <v/>
      </c>
      <c r="Z53" s="244"/>
      <c r="AA53" s="80"/>
      <c r="AB53" s="216">
        <f>(100*W53)/(100-W53)</f>
        <v>0</v>
      </c>
      <c r="AC53" s="21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6"/>
      <c r="D54" s="227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6"/>
      <c r="R54" s="96"/>
      <c r="S54" s="96"/>
      <c r="T54" s="97"/>
      <c r="U54" s="228"/>
      <c r="V54" s="229"/>
      <c r="W54" s="230"/>
      <c r="X54" s="231"/>
      <c r="Y54" s="232" t="str">
        <f t="shared" si="2"/>
        <v/>
      </c>
      <c r="Z54" s="233"/>
      <c r="AA54" s="80"/>
      <c r="AB54" s="216">
        <f>(100*W54)/(100-W54)</f>
        <v>0</v>
      </c>
      <c r="AC54" s="21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7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4" t="s">
        <v>8</v>
      </c>
      <c r="C56" s="235"/>
      <c r="D56" s="23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8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8" t="s">
        <v>7</v>
      </c>
      <c r="C57" s="209"/>
      <c r="D57" s="210"/>
      <c r="E57" s="98">
        <f t="shared" ref="E57:T57" si="3">IF(E51&lt;&gt;0,AVERAGE(E51:E54),"")</f>
        <v>7.9</v>
      </c>
      <c r="F57" s="98">
        <f t="shared" si="3"/>
        <v>10.4</v>
      </c>
      <c r="G57" s="98">
        <f t="shared" si="3"/>
        <v>14</v>
      </c>
      <c r="H57" s="98">
        <f t="shared" si="3"/>
        <v>18.399999999999999</v>
      </c>
      <c r="I57" s="98">
        <f t="shared" si="3"/>
        <v>24.6</v>
      </c>
      <c r="J57" s="98">
        <f t="shared" si="3"/>
        <v>36.1</v>
      </c>
      <c r="K57" s="98">
        <f t="shared" si="3"/>
        <v>50.9</v>
      </c>
      <c r="L57" s="98">
        <f t="shared" si="3"/>
        <v>65.2</v>
      </c>
      <c r="M57" s="98">
        <f t="shared" si="3"/>
        <v>73.099999999999994</v>
      </c>
      <c r="N57" s="98">
        <f t="shared" si="3"/>
        <v>84.9</v>
      </c>
      <c r="O57" s="98">
        <f t="shared" si="3"/>
        <v>91.5</v>
      </c>
      <c r="P57" s="98">
        <f t="shared" si="3"/>
        <v>96.3</v>
      </c>
      <c r="Q57" s="129">
        <f t="shared" si="3"/>
        <v>100</v>
      </c>
      <c r="R57" s="98" t="str">
        <f t="shared" si="3"/>
        <v/>
      </c>
      <c r="S57" s="98" t="str">
        <f t="shared" si="3"/>
        <v/>
      </c>
      <c r="T57" s="99" t="str">
        <f t="shared" si="3"/>
        <v/>
      </c>
      <c r="U57" s="211">
        <f>IF(U51&lt;&gt;0,AVERAGE(U51:V54),"")</f>
        <v>165</v>
      </c>
      <c r="V57" s="212"/>
      <c r="W57" s="213">
        <f>IF(W51&lt;&gt;0,AVERAGE(W51:X54),"")</f>
        <v>4.6399999999999997</v>
      </c>
      <c r="X57" s="214"/>
      <c r="Y57" s="337">
        <f>IF(W51&lt;&gt;0,AVERAGE(Y51:Z54),"")</f>
        <v>2.8680747828109632</v>
      </c>
      <c r="Z57" s="338"/>
      <c r="AA57" s="66"/>
      <c r="AB57" s="216">
        <f>(100*W57)/(100-W57)</f>
        <v>4.8657718120805367</v>
      </c>
      <c r="AC57" s="217"/>
      <c r="AD57" s="67">
        <f t="shared" si="0"/>
        <v>14.812549999999998</v>
      </c>
      <c r="AE57" s="68">
        <f t="shared" si="1"/>
        <v>2.8680747828109632</v>
      </c>
      <c r="AF57" s="29"/>
      <c r="AG57" s="66"/>
    </row>
    <row r="58" spans="1:34" ht="21" customHeight="1" x14ac:dyDescent="0.25">
      <c r="A58" s="5"/>
      <c r="B58" s="218" t="s">
        <v>9</v>
      </c>
      <c r="C58" s="219"/>
      <c r="D58" s="220"/>
      <c r="E58" s="100">
        <v>6.9</v>
      </c>
      <c r="F58" s="100">
        <v>9</v>
      </c>
      <c r="G58" s="100">
        <v>12</v>
      </c>
      <c r="H58" s="100">
        <v>16</v>
      </c>
      <c r="I58" s="100">
        <v>22</v>
      </c>
      <c r="J58" s="100">
        <v>32</v>
      </c>
      <c r="K58" s="100">
        <v>47</v>
      </c>
      <c r="L58" s="100">
        <v>61</v>
      </c>
      <c r="M58" s="100">
        <v>69</v>
      </c>
      <c r="N58" s="100">
        <v>80</v>
      </c>
      <c r="O58" s="100">
        <v>92</v>
      </c>
      <c r="P58" s="100">
        <v>98</v>
      </c>
      <c r="Q58" s="130">
        <v>100</v>
      </c>
      <c r="R58" s="100"/>
      <c r="S58" s="100"/>
      <c r="T58" s="101"/>
      <c r="U58" s="221"/>
      <c r="V58" s="222"/>
      <c r="W58" s="223">
        <v>4.4000000000000004</v>
      </c>
      <c r="X58" s="224"/>
      <c r="Y58" s="225">
        <f>AE58</f>
        <v>2.7757408663172658</v>
      </c>
      <c r="Z58" s="226"/>
      <c r="AA58" s="66"/>
      <c r="AB58" s="216">
        <f>(100*W58)/(100-W58)</f>
        <v>4.6025104602510467</v>
      </c>
      <c r="AC58" s="217"/>
      <c r="AD58" s="67">
        <f t="shared" si="0"/>
        <v>13.21</v>
      </c>
      <c r="AE58" s="68">
        <f t="shared" si="1"/>
        <v>2.7757408663172658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8.9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92"/>
      <c r="R59" s="92"/>
      <c r="S59" s="92"/>
      <c r="T59" s="93"/>
      <c r="U59" s="191"/>
      <c r="V59" s="192"/>
      <c r="W59" s="193">
        <f>W58+0.5</f>
        <v>4.9000000000000004</v>
      </c>
      <c r="X59" s="192"/>
      <c r="Y59" s="194"/>
      <c r="Z59" s="195"/>
      <c r="AA59" s="83"/>
      <c r="AB59" s="71"/>
      <c r="AC59" s="69"/>
      <c r="AD59" s="196"/>
      <c r="AE59" s="198" t="s">
        <v>46</v>
      </c>
      <c r="AF59" s="29"/>
      <c r="AG59" s="66"/>
    </row>
    <row r="60" spans="1:34" ht="13.5" customHeight="1" thickBot="1" x14ac:dyDescent="0.3">
      <c r="A60" s="5"/>
      <c r="B60" s="200" t="s">
        <v>24</v>
      </c>
      <c r="C60" s="201"/>
      <c r="D60" s="202"/>
      <c r="E60" s="102">
        <f>E58-2</f>
        <v>4.9000000000000004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203"/>
      <c r="V60" s="204"/>
      <c r="W60" s="205">
        <f>W58-0.5</f>
        <v>3.9000000000000004</v>
      </c>
      <c r="X60" s="204"/>
      <c r="Y60" s="206"/>
      <c r="Z60" s="207"/>
      <c r="AA60" s="84"/>
      <c r="AB60" s="72"/>
      <c r="AC60" s="73"/>
      <c r="AD60" s="197"/>
      <c r="AE60" s="199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8"/>
      <c r="V63" s="168"/>
      <c r="W63" s="168"/>
      <c r="X63" s="168"/>
      <c r="Y63" s="168"/>
      <c r="Z63" s="169"/>
      <c r="AA63" s="81"/>
      <c r="AB63" s="58"/>
      <c r="AC63" s="58"/>
      <c r="AD63" s="59"/>
    </row>
    <row r="64" spans="1:34" ht="26.4" customHeight="1" x14ac:dyDescent="0.25">
      <c r="A64" s="170" t="s">
        <v>48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2"/>
      <c r="R64" s="153" t="s">
        <v>31</v>
      </c>
      <c r="S64" s="154"/>
      <c r="T64" s="155"/>
      <c r="U64" s="173" t="s">
        <v>62</v>
      </c>
      <c r="V64" s="174"/>
      <c r="W64" s="174"/>
      <c r="X64" s="174"/>
      <c r="Y64" s="174"/>
      <c r="Z64" s="175"/>
      <c r="AA64" s="76"/>
      <c r="AB64" s="60"/>
      <c r="AC64" s="60"/>
      <c r="AD64" s="59"/>
    </row>
    <row r="65" spans="1:30" ht="26.4" customHeight="1" x14ac:dyDescent="0.25">
      <c r="A65" s="179" t="s">
        <v>64</v>
      </c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1"/>
      <c r="R65" s="153" t="s">
        <v>51</v>
      </c>
      <c r="S65" s="154"/>
      <c r="T65" s="155"/>
      <c r="U65" s="185" t="s">
        <v>63</v>
      </c>
      <c r="V65" s="186"/>
      <c r="W65" s="186"/>
      <c r="X65" s="186"/>
      <c r="Y65" s="186"/>
      <c r="Z65" s="187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3"/>
      <c r="S66" s="154"/>
      <c r="T66" s="155"/>
      <c r="U66" s="188"/>
      <c r="V66" s="189"/>
      <c r="W66" s="189"/>
      <c r="X66" s="189"/>
      <c r="Y66" s="189"/>
      <c r="Z66" s="190"/>
      <c r="AA66" s="76"/>
      <c r="AB66" s="60"/>
      <c r="AC66" s="60"/>
      <c r="AD66" s="59"/>
    </row>
    <row r="67" spans="1:30" ht="15.6" customHeight="1" x14ac:dyDescent="0.25">
      <c r="A67" s="325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7"/>
      <c r="R67" s="153" t="s">
        <v>25</v>
      </c>
      <c r="S67" s="154"/>
      <c r="T67" s="155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325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7"/>
      <c r="R68" s="153"/>
      <c r="S68" s="154"/>
      <c r="T68" s="155"/>
      <c r="U68" s="108"/>
      <c r="V68" s="163"/>
      <c r="W68" s="163"/>
      <c r="X68" s="163"/>
      <c r="Y68" s="163"/>
      <c r="Z68" s="109"/>
      <c r="AA68" s="77"/>
      <c r="AB68" s="65"/>
      <c r="AC68" s="65"/>
      <c r="AD68" s="59"/>
    </row>
    <row r="69" spans="1:30" ht="15.6" customHeight="1" x14ac:dyDescent="0.25">
      <c r="A69" s="325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7"/>
      <c r="R69" s="153"/>
      <c r="S69" s="154"/>
      <c r="T69" s="155"/>
      <c r="U69" s="108"/>
      <c r="V69" s="163"/>
      <c r="W69" s="163"/>
      <c r="X69" s="163"/>
      <c r="Y69" s="163"/>
      <c r="Z69" s="109"/>
      <c r="AA69" s="77"/>
      <c r="AB69" s="65"/>
      <c r="AC69" s="65"/>
      <c r="AD69" s="59"/>
    </row>
    <row r="70" spans="1:30" ht="15.6" customHeight="1" x14ac:dyDescent="0.25">
      <c r="A70" s="328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30"/>
      <c r="R70" s="156"/>
      <c r="S70" s="157"/>
      <c r="T70" s="158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0">
    <mergeCell ref="M10:R10"/>
    <mergeCell ref="B20:H20"/>
    <mergeCell ref="B14:F14"/>
    <mergeCell ref="M11:R11"/>
    <mergeCell ref="B12:F12"/>
    <mergeCell ref="G11:L11"/>
    <mergeCell ref="B11:F11"/>
    <mergeCell ref="G12:L12"/>
    <mergeCell ref="G13:L13"/>
    <mergeCell ref="G14:L14"/>
    <mergeCell ref="B13:F13"/>
    <mergeCell ref="B19:H19"/>
    <mergeCell ref="I19:Y19"/>
    <mergeCell ref="I20:Y2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R67:T70"/>
    <mergeCell ref="U65:Z66"/>
    <mergeCell ref="A67:Q70"/>
    <mergeCell ref="R65:T66"/>
    <mergeCell ref="E49:T49"/>
    <mergeCell ref="U49:V50"/>
    <mergeCell ref="W49:X50"/>
    <mergeCell ref="Y49:Z50"/>
    <mergeCell ref="Y57:Z57"/>
    <mergeCell ref="C51:D51"/>
    <mergeCell ref="C50:D50"/>
    <mergeCell ref="B56:D56"/>
    <mergeCell ref="Y51:Z51"/>
    <mergeCell ref="Y52:Z52"/>
    <mergeCell ref="Y53:Z53"/>
    <mergeCell ref="Y54:Z54"/>
    <mergeCell ref="AB49:AC50"/>
    <mergeCell ref="AG47:AG48"/>
    <mergeCell ref="AF49:AF50"/>
    <mergeCell ref="AG49:AG50"/>
    <mergeCell ref="AF47:AF48"/>
    <mergeCell ref="AD49:AD50"/>
    <mergeCell ref="AE49:AE50"/>
    <mergeCell ref="AD47:AD48"/>
    <mergeCell ref="AE47:AE48"/>
    <mergeCell ref="C53:D53"/>
    <mergeCell ref="C54:D54"/>
    <mergeCell ref="B57:D57"/>
    <mergeCell ref="AB57:AC57"/>
    <mergeCell ref="AB58:AC58"/>
    <mergeCell ref="U53:V53"/>
    <mergeCell ref="U54:V54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U51:V51"/>
    <mergeCell ref="U52:V52"/>
    <mergeCell ref="W51:X51"/>
    <mergeCell ref="U63:Z63"/>
    <mergeCell ref="U64:Z64"/>
    <mergeCell ref="B58:D58"/>
    <mergeCell ref="R64:T64"/>
    <mergeCell ref="B60:D60"/>
    <mergeCell ref="A64:Q64"/>
    <mergeCell ref="V68:Y69"/>
    <mergeCell ref="A65:Q65"/>
    <mergeCell ref="W52:X52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C52:D52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5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020226 GB</vt:lpstr>
      <vt:lpstr>011225 BBSG 110</vt:lpstr>
      <vt:lpstr>011225 GB</vt:lpstr>
      <vt:lpstr>Nuit 24-250725 BBSG 116</vt:lpstr>
      <vt:lpstr>Nuit 22-230525 GB</vt:lpstr>
      <vt:lpstr>'011225 BBSG 110'!Zone_d_impression</vt:lpstr>
      <vt:lpstr>'011225 GB'!Zone_d_impression</vt:lpstr>
      <vt:lpstr>'020226 GB'!Zone_d_impression</vt:lpstr>
      <vt:lpstr>'Nuit 22-230525 GB'!Zone_d_impression</vt:lpstr>
      <vt:lpstr>'Nuit 24-250725 BBSG 116'!Zone_d_impression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Frédéric</cp:lastModifiedBy>
  <cp:lastPrinted>2026-02-02T14:35:33Z</cp:lastPrinted>
  <dcterms:created xsi:type="dcterms:W3CDTF">2004-11-13T18:13:05Z</dcterms:created>
  <dcterms:modified xsi:type="dcterms:W3CDTF">2026-02-02T14:35:42Z</dcterms:modified>
</cp:coreProperties>
</file>