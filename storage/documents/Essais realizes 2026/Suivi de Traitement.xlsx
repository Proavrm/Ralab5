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 La Balme Les Grottes - Biomérieux TWINS Lot 1\Essais de Laboratoire\Traitement\"/>
    </mc:Choice>
  </mc:AlternateContent>
  <xr:revisionPtr revIDLastSave="0" documentId="13_ncr:1_{32C99886-DA64-417E-9642-42CCE59CFDB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91225 B5_C1B5 CaO" sheetId="1" r:id="rId1"/>
  </sheets>
  <definedNames>
    <definedName name="_xlnm.Print_Area" localSheetId="0">'091225 B5_C1B5 CaO'!$A$1:$Z$68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1" i="1" l="1"/>
  <c r="R51" i="1"/>
  <c r="P51" i="1"/>
  <c r="F51" i="1"/>
  <c r="D51" i="1"/>
  <c r="B51" i="1"/>
  <c r="K33" i="1"/>
  <c r="K30" i="1"/>
  <c r="M30" i="1" s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7" authorId="0" shapeId="0" xr:uid="{00000000-0006-0000-0000-000001000000}">
      <text>
        <r>
          <rPr>
            <b/>
            <sz val="8"/>
            <color rgb="FFFF0000"/>
            <rFont val="Tahoma"/>
          </rPr>
          <t>GOEDDE:
MERCI DE BIEN VOULOIR VERIFIER VOS RESULTATS EN LES CALCULANT A LA MAIN</t>
        </r>
      </text>
    </comment>
    <comment ref="M30" authorId="0" shapeId="0" xr:uid="{00000000-0006-0000-0000-000002000000}">
      <text>
        <r>
          <rPr>
            <b/>
            <sz val="8"/>
            <color rgb="FFFF0000"/>
            <rFont val="Tahoma"/>
          </rPr>
          <t>GOEDDE:
MERCI DE BIEN VOULOIR VERIFIER VOS RESULTATS EN LES CALCULANT A LA MAIN</t>
        </r>
      </text>
    </comment>
  </commentList>
</comments>
</file>

<file path=xl/sharedStrings.xml><?xml version="1.0" encoding="utf-8"?>
<sst xmlns="http://schemas.openxmlformats.org/spreadsheetml/2006/main" count="82" uniqueCount="73">
  <si>
    <t>COMPTE RENDU D'ESSAIS</t>
  </si>
  <si>
    <t>La Balme Les Grottes Biomerieux</t>
  </si>
  <si>
    <t>SUIVI DE TRAITEMENT
(GTS 2000)</t>
  </si>
  <si>
    <t>STS</t>
  </si>
  <si>
    <t>n°</t>
  </si>
  <si>
    <t>RA P99A</t>
  </si>
  <si>
    <t>09/12/2025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</si>
  <si>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</si>
  <si>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</si>
  <si>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</si>
  <si>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</si>
  <si>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</si>
  <si>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</si>
  <si>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</si>
  <si>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</si>
  <si>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</si>
  <si>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</si>
  <si>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Limons graveleux B5 / C1B5</t>
  </si>
  <si>
    <t>Date de(s) essai(s) :</t>
  </si>
  <si>
    <t>Provenance :</t>
  </si>
  <si>
    <t>In situ</t>
  </si>
  <si>
    <t>Ouvrage :</t>
  </si>
  <si>
    <t>Localisation / Profil :</t>
  </si>
  <si>
    <t>Météo :</t>
  </si>
  <si>
    <t>Beau</t>
  </si>
  <si>
    <t>Nature du liant :</t>
  </si>
  <si>
    <t>CaO Optivive 90 CR</t>
  </si>
  <si>
    <t>Atelier de traitement :</t>
  </si>
  <si>
    <t>Streumaster RW8000S</t>
  </si>
  <si>
    <t>Fournisseur :</t>
  </si>
  <si>
    <t>St Hilaire St Savin</t>
  </si>
  <si>
    <t>Epaisseur de traitement :</t>
  </si>
  <si>
    <t>m</t>
  </si>
  <si>
    <t>2/</t>
  </si>
  <si>
    <t>SUIVI DE TRAITEMENT</t>
  </si>
  <si>
    <t xml:space="preserve"> Références  OPN</t>
  </si>
  <si>
    <t>Dosage Théorique :</t>
  </si>
  <si>
    <t>%</t>
  </si>
  <si>
    <t>Profondeur malaxage mesurée (en m)</t>
  </si>
  <si>
    <t>Matériau après malaxage</t>
  </si>
  <si>
    <t>Réactivité  de la Chaux</t>
  </si>
  <si>
    <t xml:space="preserve">Ds OPN  (t/m3 ) = </t>
  </si>
  <si>
    <r>
      <t>Quantité à épandre en kg/m</t>
    </r>
    <r>
      <rPr>
        <vertAlign val="superscript"/>
        <sz val="10"/>
        <color rgb="FF000000"/>
        <rFont val="Century Gothic"/>
      </rPr>
      <t>²</t>
    </r>
    <r>
      <rPr>
        <sz val="10"/>
        <color rgb="FF000000"/>
        <rFont val="Century Gothic"/>
      </rPr>
      <t xml:space="preserve"> :</t>
    </r>
  </si>
  <si>
    <t>Dosage effectif %</t>
  </si>
  <si>
    <t xml:space="preserve">W OPN  (%) = </t>
  </si>
  <si>
    <t>Etat Naturel</t>
  </si>
  <si>
    <t>W%  Après</t>
  </si>
  <si>
    <t>Surface bâche (m²):</t>
  </si>
  <si>
    <t>(T=60°C en 25mn max)</t>
  </si>
  <si>
    <t>Wnat%</t>
  </si>
  <si>
    <t>IPI</t>
  </si>
  <si>
    <t>arrosage</t>
  </si>
  <si>
    <t>Pesées bâches</t>
  </si>
  <si>
    <t>Moyenne</t>
  </si>
  <si>
    <t>W%</t>
  </si>
  <si>
    <t>T°C</t>
  </si>
  <si>
    <t>Tps</t>
  </si>
  <si>
    <t>Ecart-type</t>
  </si>
  <si>
    <t>CV</t>
  </si>
  <si>
    <t>Exactitude</t>
  </si>
  <si>
    <t>3/</t>
  </si>
  <si>
    <t>CONCLUSIONS</t>
  </si>
  <si>
    <t>Contrôle</t>
  </si>
  <si>
    <t>Nom</t>
  </si>
  <si>
    <t>Fonction</t>
  </si>
  <si>
    <t>Chef de section laboratoire</t>
  </si>
  <si>
    <t>4/</t>
  </si>
  <si>
    <t>COMMENTAIRES</t>
  </si>
  <si>
    <t>Visa</t>
  </si>
  <si>
    <t>Ds OPN et W% OPN estimées.</t>
  </si>
  <si>
    <t>PF base vie/parking provisoire</t>
  </si>
  <si>
    <t>Wirtgen WS250</t>
  </si>
  <si>
    <t>Pour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</si>
</sst>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19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vertAlign val="superscript"/>
      <sz val="10"/>
      <color rgb="FF000000"/>
      <name val="Century Gothic"/>
    </font>
    <font>
      <b/>
      <sz val="8"/>
      <color rgb="FFFF0000"/>
      <name val="Tahoma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14" fontId="5" fillId="0" borderId="0" xfId="0" applyNumberFormat="1" applyFont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6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7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vertical="center"/>
      <protection hidden="1"/>
    </xf>
    <xf numFmtId="164" fontId="5" fillId="0" borderId="10" xfId="0" applyNumberFormat="1" applyFont="1" applyBorder="1" applyAlignment="1" applyProtection="1">
      <alignment horizontal="center" vertical="center"/>
      <protection locked="0"/>
    </xf>
    <xf numFmtId="164" fontId="5" fillId="0" borderId="11" xfId="0" applyNumberFormat="1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164" fontId="5" fillId="0" borderId="12" xfId="0" applyNumberFormat="1" applyFont="1" applyBorder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164" fontId="5" fillId="0" borderId="14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hidden="1"/>
    </xf>
    <xf numFmtId="164" fontId="10" fillId="0" borderId="0" xfId="0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" vertical="center"/>
      <protection hidden="1"/>
    </xf>
    <xf numFmtId="2" fontId="10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1" fillId="0" borderId="16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52" xfId="0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0" fillId="0" borderId="29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32" xfId="0" applyFont="1" applyBorder="1" applyAlignment="1" applyProtection="1">
      <alignment horizontal="center" vertical="center"/>
      <protection hidden="1"/>
    </xf>
    <xf numFmtId="0" fontId="1" fillId="0" borderId="35" xfId="0" applyFont="1" applyBorder="1" applyAlignment="1" applyProtection="1">
      <alignment horizontal="center" vertical="center"/>
      <protection hidden="1"/>
    </xf>
    <xf numFmtId="0" fontId="1" fillId="0" borderId="45" xfId="0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164" fontId="5" fillId="0" borderId="25" xfId="0" applyNumberFormat="1" applyFont="1" applyBorder="1" applyAlignment="1" applyProtection="1">
      <alignment horizontal="center" vertical="center"/>
      <protection locked="0"/>
    </xf>
    <xf numFmtId="164" fontId="5" fillId="0" borderId="22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2" fillId="0" borderId="52" xfId="0" applyFont="1" applyBorder="1" applyAlignment="1" applyProtection="1">
      <alignment horizontal="center" vertical="center"/>
      <protection hidden="1"/>
    </xf>
    <xf numFmtId="0" fontId="12" fillId="0" borderId="34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164" fontId="5" fillId="0" borderId="60" xfId="0" applyNumberFormat="1" applyFont="1" applyBorder="1" applyAlignment="1" applyProtection="1">
      <alignment horizontal="center" vertical="center"/>
      <protection locked="0"/>
    </xf>
    <xf numFmtId="164" fontId="5" fillId="0" borderId="61" xfId="0" applyNumberFormat="1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6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5" fillId="0" borderId="21" xfId="0" applyNumberFormat="1" applyFont="1" applyBorder="1" applyAlignment="1" applyProtection="1">
      <alignment horizontal="center" vertical="center"/>
      <protection locked="0"/>
    </xf>
    <xf numFmtId="2" fontId="5" fillId="0" borderId="22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hidden="1"/>
    </xf>
    <xf numFmtId="0" fontId="1" fillId="0" borderId="51" xfId="0" applyFont="1" applyBorder="1" applyAlignment="1" applyProtection="1">
      <alignment horizontal="center" vertical="center"/>
      <protection hidden="1"/>
    </xf>
    <xf numFmtId="164" fontId="5" fillId="0" borderId="14" xfId="0" applyNumberFormat="1" applyFont="1" applyBorder="1" applyAlignment="1" applyProtection="1">
      <alignment horizontal="center" vertical="center"/>
      <protection locked="0"/>
    </xf>
    <xf numFmtId="164" fontId="5" fillId="0" borderId="23" xfId="0" applyNumberFormat="1" applyFont="1" applyBorder="1" applyAlignment="1" applyProtection="1">
      <alignment horizontal="center" vertical="center"/>
      <protection locked="0"/>
    </xf>
    <xf numFmtId="164" fontId="5" fillId="0" borderId="56" xfId="0" applyNumberFormat="1" applyFont="1" applyBorder="1" applyAlignment="1" applyProtection="1">
      <alignment horizontal="center" vertical="center"/>
      <protection locked="0"/>
    </xf>
    <xf numFmtId="164" fontId="5" fillId="0" borderId="58" xfId="0" applyNumberFormat="1" applyFont="1" applyBorder="1" applyAlignment="1" applyProtection="1">
      <alignment horizontal="center" vertical="center"/>
      <protection locked="0"/>
    </xf>
    <xf numFmtId="164" fontId="5" fillId="0" borderId="59" xfId="0" applyNumberFormat="1" applyFont="1" applyBorder="1" applyAlignment="1" applyProtection="1">
      <alignment horizontal="center" vertical="center"/>
      <protection locked="0"/>
    </xf>
    <xf numFmtId="164" fontId="5" fillId="0" borderId="57" xfId="0" applyNumberFormat="1" applyFont="1" applyBorder="1" applyAlignment="1" applyProtection="1">
      <alignment horizontal="center" vertical="center"/>
      <protection locked="0"/>
    </xf>
    <xf numFmtId="2" fontId="5" fillId="0" borderId="53" xfId="0" applyNumberFormat="1" applyFont="1" applyBorder="1" applyAlignment="1" applyProtection="1">
      <alignment horizontal="center" vertical="center"/>
      <protection locked="0"/>
    </xf>
    <xf numFmtId="2" fontId="5" fillId="0" borderId="54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hidden="1"/>
    </xf>
    <xf numFmtId="14" fontId="5" fillId="0" borderId="0" xfId="0" applyNumberFormat="1" applyFont="1" applyAlignment="1" applyProtection="1">
      <alignment horizontal="left" vertical="center"/>
      <protection locked="0"/>
    </xf>
    <xf numFmtId="0" fontId="12" fillId="0" borderId="17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55" xfId="0" applyFont="1" applyBorder="1" applyAlignment="1" applyProtection="1">
      <alignment horizontal="center" vertical="center"/>
      <protection hidden="1"/>
    </xf>
    <xf numFmtId="0" fontId="1" fillId="0" borderId="49" xfId="0" applyFont="1" applyBorder="1" applyAlignment="1" applyProtection="1">
      <alignment horizontal="left" vertical="center"/>
      <protection hidden="1"/>
    </xf>
    <xf numFmtId="0" fontId="1" fillId="0" borderId="39" xfId="0" applyFont="1" applyBorder="1" applyAlignment="1" applyProtection="1">
      <alignment horizontal="left" vertical="center"/>
      <protection hidden="1"/>
    </xf>
    <xf numFmtId="0" fontId="9" fillId="0" borderId="49" xfId="0" applyFont="1" applyBorder="1" applyAlignment="1" applyProtection="1">
      <alignment horizontal="center" vertical="center"/>
      <protection hidden="1"/>
    </xf>
    <xf numFmtId="0" fontId="9" fillId="0" borderId="39" xfId="0" applyFont="1" applyBorder="1" applyAlignment="1" applyProtection="1">
      <alignment horizontal="center" vertical="center"/>
      <protection hidden="1"/>
    </xf>
    <xf numFmtId="0" fontId="9" fillId="0" borderId="4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32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55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1" fontId="7" fillId="0" borderId="29" xfId="0" applyNumberFormat="1" applyFont="1" applyBorder="1" applyAlignment="1" applyProtection="1">
      <alignment horizontal="center" vertical="center"/>
      <protection hidden="1"/>
    </xf>
    <xf numFmtId="1" fontId="7" fillId="0" borderId="0" xfId="0" applyNumberFormat="1" applyFont="1" applyAlignment="1" applyProtection="1">
      <alignment horizontal="center" vertical="center"/>
      <protection hidden="1"/>
    </xf>
    <xf numFmtId="1" fontId="7" fillId="0" borderId="7" xfId="0" applyNumberFormat="1" applyFont="1" applyBorder="1" applyAlignment="1" applyProtection="1">
      <alignment horizontal="center" vertical="center"/>
      <protection hidden="1"/>
    </xf>
    <xf numFmtId="0" fontId="5" fillId="0" borderId="56" xfId="0" applyFont="1" applyBorder="1" applyAlignment="1" applyProtection="1">
      <alignment horizontal="center" vertical="center"/>
      <protection locked="0"/>
    </xf>
    <xf numFmtId="0" fontId="5" fillId="0" borderId="57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164" fontId="7" fillId="0" borderId="3" xfId="0" applyNumberFormat="1" applyFont="1" applyBorder="1" applyAlignment="1" applyProtection="1">
      <alignment horizontal="center" vertical="center"/>
      <protection hidden="1"/>
    </xf>
    <xf numFmtId="164" fontId="7" fillId="0" borderId="5" xfId="0" applyNumberFormat="1" applyFont="1" applyBorder="1" applyAlignment="1" applyProtection="1">
      <alignment horizontal="center" vertical="center"/>
      <protection hidden="1"/>
    </xf>
    <xf numFmtId="164" fontId="7" fillId="0" borderId="41" xfId="0" applyNumberFormat="1" applyFont="1" applyBorder="1" applyAlignment="1" applyProtection="1">
      <alignment horizontal="center" vertical="center"/>
      <protection hidden="1"/>
    </xf>
    <xf numFmtId="164" fontId="7" fillId="0" borderId="42" xfId="0" applyNumberFormat="1" applyFont="1" applyBorder="1" applyAlignment="1" applyProtection="1">
      <alignment horizontal="center" vertical="center"/>
      <protection hidden="1"/>
    </xf>
    <xf numFmtId="164" fontId="7" fillId="0" borderId="19" xfId="0" applyNumberFormat="1" applyFont="1" applyBorder="1" applyAlignment="1" applyProtection="1">
      <alignment horizontal="center" vertical="center"/>
      <protection hidden="1"/>
    </xf>
    <xf numFmtId="164" fontId="7" fillId="0" borderId="30" xfId="0" applyNumberFormat="1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30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164" fontId="7" fillId="0" borderId="24" xfId="0" applyNumberFormat="1" applyFont="1" applyBorder="1" applyAlignment="1" applyProtection="1">
      <alignment horizontal="center" vertical="center"/>
      <protection hidden="1"/>
    </xf>
    <xf numFmtId="164" fontId="7" fillId="0" borderId="33" xfId="0" applyNumberFormat="1" applyFont="1" applyBorder="1" applyAlignment="1" applyProtection="1">
      <alignment horizontal="center" vertical="center"/>
      <protection hidden="1"/>
    </xf>
    <xf numFmtId="164" fontId="9" fillId="0" borderId="17" xfId="0" applyNumberFormat="1" applyFont="1" applyBorder="1" applyAlignment="1" applyProtection="1">
      <alignment horizontal="center" vertical="center"/>
      <protection hidden="1"/>
    </xf>
    <xf numFmtId="164" fontId="9" fillId="0" borderId="51" xfId="0" applyNumberFormat="1" applyFont="1" applyBorder="1" applyAlignment="1" applyProtection="1">
      <alignment horizontal="center" vertical="center"/>
      <protection hidden="1"/>
    </xf>
    <xf numFmtId="164" fontId="9" fillId="0" borderId="52" xfId="0" applyNumberFormat="1" applyFont="1" applyBorder="1" applyAlignment="1" applyProtection="1">
      <alignment horizontal="center" vertical="center"/>
      <protection hidden="1"/>
    </xf>
    <xf numFmtId="164" fontId="9" fillId="0" borderId="18" xfId="0" applyNumberFormat="1" applyFont="1" applyBorder="1" applyAlignment="1" applyProtection="1">
      <alignment horizontal="center" vertical="center"/>
      <protection hidden="1"/>
    </xf>
    <xf numFmtId="2" fontId="9" fillId="0" borderId="18" xfId="0" applyNumberFormat="1" applyFont="1" applyBorder="1" applyAlignment="1" applyProtection="1">
      <alignment horizontal="center" vertical="center"/>
      <protection hidden="1"/>
    </xf>
    <xf numFmtId="2" fontId="9" fillId="0" borderId="35" xfId="0" applyNumberFormat="1" applyFont="1" applyBorder="1" applyAlignment="1" applyProtection="1">
      <alignment horizontal="center" vertical="center"/>
      <protection hidden="1"/>
    </xf>
    <xf numFmtId="164" fontId="7" fillId="0" borderId="1" xfId="0" applyNumberFormat="1" applyFont="1" applyBorder="1" applyAlignment="1" applyProtection="1">
      <alignment horizontal="center" vertical="center"/>
      <protection hidden="1"/>
    </xf>
    <xf numFmtId="164" fontId="7" fillId="0" borderId="8" xfId="0" applyNumberFormat="1" applyFont="1" applyBorder="1" applyAlignment="1" applyProtection="1">
      <alignment horizontal="center" vertical="center"/>
      <protection hidden="1"/>
    </xf>
    <xf numFmtId="2" fontId="5" fillId="0" borderId="0" xfId="0" applyNumberFormat="1" applyFont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hidden="1"/>
    </xf>
    <xf numFmtId="164" fontId="7" fillId="0" borderId="6" xfId="0" applyNumberFormat="1" applyFont="1" applyBorder="1" applyAlignment="1" applyProtection="1">
      <alignment horizontal="center" vertical="center"/>
      <protection hidden="1"/>
    </xf>
    <xf numFmtId="164" fontId="7" fillId="0" borderId="0" xfId="0" applyNumberFormat="1" applyFont="1" applyAlignment="1" applyProtection="1">
      <alignment horizontal="center" vertical="center"/>
      <protection hidden="1"/>
    </xf>
    <xf numFmtId="164" fontId="7" fillId="0" borderId="32" xfId="0" applyNumberFormat="1" applyFont="1" applyBorder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1" fillId="0" borderId="47" xfId="0" applyFont="1" applyBorder="1" applyAlignment="1" applyProtection="1">
      <alignment horizontal="center" vertical="center" wrapText="1"/>
      <protection hidden="1"/>
    </xf>
    <xf numFmtId="0" fontId="1" fillId="0" borderId="39" xfId="0" applyFont="1" applyBorder="1" applyAlignment="1" applyProtection="1">
      <alignment horizontal="center" vertical="center" wrapText="1"/>
      <protection hidden="1"/>
    </xf>
    <xf numFmtId="0" fontId="1" fillId="0" borderId="48" xfId="0" applyFont="1" applyBorder="1" applyAlignment="1" applyProtection="1">
      <alignment horizontal="center" vertical="center" wrapText="1"/>
      <protection hidden="1"/>
    </xf>
    <xf numFmtId="0" fontId="1" fillId="0" borderId="49" xfId="0" applyFont="1" applyBorder="1" applyAlignment="1" applyProtection="1">
      <alignment horizontal="center" vertical="center"/>
      <protection hidden="1"/>
    </xf>
    <xf numFmtId="0" fontId="1" fillId="0" borderId="39" xfId="0" applyFont="1" applyBorder="1" applyAlignment="1" applyProtection="1">
      <alignment horizontal="center" vertical="center"/>
      <protection hidden="1"/>
    </xf>
    <xf numFmtId="0" fontId="1" fillId="0" borderId="48" xfId="0" applyFont="1" applyBorder="1" applyAlignment="1" applyProtection="1">
      <alignment horizontal="center" vertical="center"/>
      <protection hidden="1"/>
    </xf>
    <xf numFmtId="0" fontId="1" fillId="0" borderId="32" xfId="0" applyFont="1" applyBorder="1" applyAlignment="1" applyProtection="1">
      <alignment horizontal="center" vertical="center"/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0" fontId="9" fillId="0" borderId="45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4" fillId="0" borderId="3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14" fontId="2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164" fontId="7" fillId="0" borderId="7" xfId="0" applyNumberFormat="1" applyFont="1" applyBorder="1" applyAlignment="1" applyProtection="1">
      <alignment horizontal="center" vertical="center"/>
      <protection hidden="1"/>
    </xf>
    <xf numFmtId="2" fontId="5" fillId="0" borderId="36" xfId="0" applyNumberFormat="1" applyFont="1" applyBorder="1" applyAlignment="1" applyProtection="1">
      <alignment horizontal="center" vertical="center"/>
      <protection locked="0"/>
    </xf>
    <xf numFmtId="2" fontId="5" fillId="0" borderId="37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2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30" xfId="0" applyFont="1" applyBorder="1" applyAlignment="1" applyProtection="1">
      <alignment horizontal="center" vertical="center"/>
      <protection hidden="1"/>
    </xf>
    <xf numFmtId="0" fontId="5" fillId="0" borderId="42" xfId="0" applyFont="1" applyBorder="1" applyAlignment="1" applyProtection="1">
      <alignment horizontal="center" vertical="center"/>
      <protection hidden="1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0" borderId="4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2" fillId="0" borderId="26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32" xfId="0" applyFont="1" applyBorder="1" applyAlignment="1" applyProtection="1">
      <alignment horizontal="center" vertical="center"/>
      <protection hidden="1"/>
    </xf>
    <xf numFmtId="0" fontId="7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 wrapText="1"/>
      <protection hidden="1"/>
    </xf>
    <xf numFmtId="0" fontId="1" fillId="0" borderId="34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1" fillId="0" borderId="34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164" fontId="7" fillId="0" borderId="31" xfId="0" applyNumberFormat="1" applyFont="1" applyBorder="1" applyAlignment="1" applyProtection="1">
      <alignment horizontal="center" vertical="center"/>
      <protection hidden="1"/>
    </xf>
    <xf numFmtId="164" fontId="9" fillId="0" borderId="4" xfId="0" applyNumberFormat="1" applyFont="1" applyBorder="1" applyAlignment="1" applyProtection="1">
      <alignment horizontal="center" vertical="center"/>
      <protection hidden="1"/>
    </xf>
    <xf numFmtId="164" fontId="9" fillId="0" borderId="24" xfId="0" applyNumberFormat="1" applyFont="1" applyBorder="1" applyAlignment="1" applyProtection="1">
      <alignment horizontal="center" vertical="center"/>
      <protection hidden="1"/>
    </xf>
    <xf numFmtId="164" fontId="9" fillId="0" borderId="3" xfId="0" applyNumberFormat="1" applyFont="1" applyBorder="1" applyAlignment="1" applyProtection="1">
      <alignment horizontal="center" vertical="center"/>
      <protection hidden="1"/>
    </xf>
    <xf numFmtId="164" fontId="9" fillId="0" borderId="5" xfId="0" applyNumberFormat="1" applyFont="1" applyBorder="1" applyAlignment="1" applyProtection="1">
      <alignment horizontal="center" vertical="center"/>
      <protection hidden="1"/>
    </xf>
    <xf numFmtId="164" fontId="9" fillId="0" borderId="6" xfId="0" applyNumberFormat="1" applyFont="1" applyBorder="1" applyAlignment="1" applyProtection="1">
      <alignment horizontal="center" vertical="center"/>
      <protection hidden="1"/>
    </xf>
    <xf numFmtId="164" fontId="9" fillId="0" borderId="7" xfId="0" applyNumberFormat="1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9" fillId="0" borderId="19" xfId="0" applyNumberFormat="1" applyFont="1" applyBorder="1" applyAlignment="1" applyProtection="1">
      <alignment horizontal="center" vertical="center"/>
      <protection hidden="1"/>
    </xf>
    <xf numFmtId="14" fontId="15" fillId="0" borderId="0" xfId="0" applyNumberFormat="1" applyFont="1" applyAlignment="1" applyProtection="1">
      <alignment horizontal="left" vertical="center"/>
      <protection locked="0"/>
    </xf>
    <xf numFmtId="14" fontId="16" fillId="0" borderId="0" xfId="0" applyNumberFormat="1" applyFont="1" applyAlignment="1" applyProtection="1">
      <alignment horizontal="left" vertical="center"/>
      <protection locked="0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16" fillId="0" borderId="17" xfId="0" applyFont="1" applyBorder="1" applyAlignment="1" applyProtection="1">
      <alignment horizontal="center" vertical="center" wrapText="1"/>
      <protection locked="0"/>
    </xf>
    <xf numFmtId="0" fontId="18" fillId="0" borderId="39" xfId="0" applyFont="1" applyBorder="1" applyAlignment="1" applyProtection="1">
      <alignment horizontal="center" vertical="center" wrapText="1"/>
      <protection hidden="1"/>
    </xf>
    <xf numFmtId="0" fontId="18" fillId="0" borderId="40" xfId="0" applyFont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center" vertical="center" wrapText="1"/>
      <protection hidden="1"/>
    </xf>
    <xf numFmtId="0" fontId="18" fillId="0" borderId="7" xfId="0" applyFont="1" applyBorder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5" fillId="0" borderId="20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133350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87630</xdr:colOff>
      <xdr:row>63</xdr:row>
      <xdr:rowOff>102869</xdr:rowOff>
    </xdr:from>
    <xdr:to>
      <xdr:col>25</xdr:col>
      <xdr:colOff>250380</xdr:colOff>
      <xdr:row>67</xdr:row>
      <xdr:rowOff>57149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A2DDEE7-0B94-8B2B-5F31-A987CF0A7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6130" y="12694919"/>
          <a:ext cx="1932495" cy="763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8"/>
  <sheetViews>
    <sheetView tabSelected="1" topLeftCell="A18" workbookViewId="0">
      <selection activeCell="AB20" sqref="AB20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11.44140625" style="1"/>
  </cols>
  <sheetData>
    <row r="1" spans="1:26" ht="12.75" customHeight="1" x14ac:dyDescent="0.25">
      <c r="A1" s="117"/>
      <c r="B1" s="118"/>
      <c r="C1" s="118"/>
      <c r="D1" s="118"/>
      <c r="E1" s="118"/>
      <c r="F1" s="180"/>
      <c r="G1" s="183" t="s">
        <v>0</v>
      </c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5"/>
      <c r="U1" s="196" t="s">
        <v>1</v>
      </c>
      <c r="V1" s="197"/>
      <c r="W1" s="197"/>
      <c r="X1" s="197"/>
      <c r="Y1" s="197"/>
      <c r="Z1" s="198"/>
    </row>
    <row r="2" spans="1:26" ht="12.75" customHeight="1" x14ac:dyDescent="0.25">
      <c r="A2" s="120"/>
      <c r="B2" s="121"/>
      <c r="C2" s="121"/>
      <c r="D2" s="121"/>
      <c r="E2" s="121"/>
      <c r="F2" s="181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99"/>
      <c r="V2" s="200"/>
      <c r="W2" s="200"/>
      <c r="X2" s="200"/>
      <c r="Y2" s="200"/>
      <c r="Z2" s="201"/>
    </row>
    <row r="3" spans="1:26" ht="12.75" customHeight="1" x14ac:dyDescent="0.25">
      <c r="A3" s="120"/>
      <c r="B3" s="121"/>
      <c r="C3" s="121"/>
      <c r="D3" s="121"/>
      <c r="E3" s="121"/>
      <c r="F3" s="181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99"/>
      <c r="V3" s="200"/>
      <c r="W3" s="200"/>
      <c r="X3" s="200"/>
      <c r="Y3" s="200"/>
      <c r="Z3" s="201"/>
    </row>
    <row r="4" spans="1:26" ht="12.75" customHeight="1" x14ac:dyDescent="0.25">
      <c r="A4" s="120"/>
      <c r="B4" s="121"/>
      <c r="C4" s="121"/>
      <c r="D4" s="121"/>
      <c r="E4" s="121"/>
      <c r="F4" s="181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99"/>
      <c r="V4" s="200"/>
      <c r="W4" s="200"/>
      <c r="X4" s="200"/>
      <c r="Y4" s="200"/>
      <c r="Z4" s="201"/>
    </row>
    <row r="5" spans="1:26" ht="12.75" customHeight="1" x14ac:dyDescent="0.25">
      <c r="A5" s="120"/>
      <c r="B5" s="121"/>
      <c r="C5" s="121"/>
      <c r="D5" s="121"/>
      <c r="E5" s="121"/>
      <c r="F5" s="181"/>
      <c r="G5" s="176" t="s">
        <v>3</v>
      </c>
      <c r="H5" s="177"/>
      <c r="I5" s="2" t="s">
        <v>4</v>
      </c>
      <c r="J5" s="186">
        <v>1</v>
      </c>
      <c r="K5" s="187"/>
      <c r="L5" s="188" t="s">
        <v>5</v>
      </c>
      <c r="M5" s="189"/>
      <c r="N5" s="189"/>
      <c r="O5" s="190"/>
      <c r="P5" s="191" t="s">
        <v>6</v>
      </c>
      <c r="Q5" s="192"/>
      <c r="R5" s="192"/>
      <c r="S5" s="192"/>
      <c r="T5" s="193"/>
      <c r="U5" s="199"/>
      <c r="V5" s="200"/>
      <c r="W5" s="200"/>
      <c r="X5" s="200"/>
      <c r="Y5" s="200"/>
      <c r="Z5" s="201"/>
    </row>
    <row r="6" spans="1:26" ht="12.75" customHeight="1" x14ac:dyDescent="0.25">
      <c r="A6" s="123"/>
      <c r="B6" s="124"/>
      <c r="C6" s="124"/>
      <c r="D6" s="124"/>
      <c r="E6" s="124"/>
      <c r="F6" s="182"/>
      <c r="G6" s="3"/>
      <c r="H6" s="4"/>
      <c r="I6" s="4"/>
      <c r="J6" s="194" t="s">
        <v>7</v>
      </c>
      <c r="K6" s="194"/>
      <c r="L6" s="194" t="s">
        <v>8</v>
      </c>
      <c r="M6" s="194"/>
      <c r="N6" s="194"/>
      <c r="O6" s="194"/>
      <c r="P6" s="194" t="s">
        <v>9</v>
      </c>
      <c r="Q6" s="194"/>
      <c r="R6" s="194"/>
      <c r="S6" s="194"/>
      <c r="T6" s="195"/>
      <c r="U6" s="202"/>
      <c r="V6" s="203"/>
      <c r="W6" s="203"/>
      <c r="X6" s="203"/>
      <c r="Y6" s="203"/>
      <c r="Z6" s="204"/>
    </row>
    <row r="7" spans="1:26" ht="37.5" customHeight="1" x14ac:dyDescent="0.25">
      <c r="A7" s="178" t="s">
        <v>10</v>
      </c>
      <c r="B7" s="178"/>
      <c r="C7" s="178"/>
      <c r="D7" s="178"/>
      <c r="E7" s="178"/>
      <c r="F7" s="178"/>
      <c r="G7" s="179" t="s">
        <v>11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spans="1:26" ht="15.9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07" t="s">
        <v>14</v>
      </c>
      <c r="C10" s="107"/>
      <c r="D10" s="107"/>
      <c r="E10" s="107"/>
      <c r="F10" s="107"/>
      <c r="G10" s="107"/>
      <c r="H10" s="108" t="s">
        <v>15</v>
      </c>
      <c r="I10" s="108"/>
      <c r="J10" s="108"/>
      <c r="K10" s="108"/>
      <c r="L10" s="108"/>
      <c r="M10" s="108"/>
      <c r="N10" s="107" t="s">
        <v>16</v>
      </c>
      <c r="O10" s="107"/>
      <c r="P10" s="107"/>
      <c r="Q10" s="107"/>
      <c r="R10" s="107"/>
      <c r="S10" s="172" t="s">
        <v>17</v>
      </c>
      <c r="T10" s="172"/>
      <c r="U10" s="172"/>
      <c r="V10" s="172"/>
      <c r="W10" s="172"/>
      <c r="X10" s="172"/>
      <c r="Y10" s="172"/>
      <c r="Z10" s="13"/>
    </row>
    <row r="11" spans="1:26" ht="15.9" customHeight="1" x14ac:dyDescent="0.25">
      <c r="A11" s="10"/>
      <c r="B11" s="107" t="s">
        <v>18</v>
      </c>
      <c r="C11" s="107"/>
      <c r="D11" s="107"/>
      <c r="E11" s="107"/>
      <c r="F11" s="107"/>
      <c r="G11" s="107"/>
      <c r="H11" s="108" t="s">
        <v>6</v>
      </c>
      <c r="I11" s="108"/>
      <c r="J11" s="108"/>
      <c r="K11" s="108"/>
      <c r="L11" s="108"/>
      <c r="M11" s="108"/>
      <c r="N11" s="107" t="s">
        <v>19</v>
      </c>
      <c r="O11" s="107"/>
      <c r="P11" s="107"/>
      <c r="Q11" s="107"/>
      <c r="R11" s="107"/>
      <c r="S11" s="172" t="s">
        <v>20</v>
      </c>
      <c r="T11" s="172"/>
      <c r="U11" s="172"/>
      <c r="V11" s="172"/>
      <c r="W11" s="172"/>
      <c r="X11" s="172"/>
      <c r="Y11" s="172"/>
      <c r="Z11" s="13"/>
    </row>
    <row r="12" spans="1:26" ht="15.9" customHeight="1" x14ac:dyDescent="0.25">
      <c r="A12" s="10"/>
      <c r="B12" s="14"/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3"/>
    </row>
    <row r="13" spans="1:26" ht="15.9" customHeight="1" x14ac:dyDescent="0.25">
      <c r="A13" s="10"/>
      <c r="B13" s="107" t="s">
        <v>21</v>
      </c>
      <c r="C13" s="107"/>
      <c r="D13" s="107"/>
      <c r="E13" s="107"/>
      <c r="F13" s="107"/>
      <c r="G13" s="107"/>
      <c r="H13" s="277" t="s">
        <v>70</v>
      </c>
      <c r="I13" s="277"/>
      <c r="J13" s="277"/>
      <c r="K13" s="277"/>
      <c r="L13" s="277"/>
      <c r="M13" s="277"/>
      <c r="N13" s="107" t="s">
        <v>22</v>
      </c>
      <c r="O13" s="107"/>
      <c r="P13" s="107"/>
      <c r="Q13" s="107"/>
      <c r="R13" s="107"/>
      <c r="S13" s="172"/>
      <c r="T13" s="172"/>
      <c r="U13" s="172"/>
      <c r="V13" s="172"/>
      <c r="W13" s="172"/>
      <c r="X13" s="172"/>
      <c r="Y13" s="172"/>
      <c r="Z13" s="13"/>
    </row>
    <row r="14" spans="1:26" ht="15.9" customHeight="1" x14ac:dyDescent="0.25">
      <c r="A14" s="10"/>
      <c r="B14" s="14"/>
      <c r="C14" s="14"/>
      <c r="D14" s="14"/>
      <c r="E14" s="14"/>
      <c r="F14" s="14"/>
      <c r="G14" s="14"/>
      <c r="H14" s="15"/>
      <c r="I14" s="15"/>
      <c r="J14" s="15"/>
      <c r="K14" s="15"/>
      <c r="L14" s="15"/>
      <c r="M14" s="1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3"/>
    </row>
    <row r="15" spans="1:26" ht="15.9" customHeight="1" x14ac:dyDescent="0.25">
      <c r="A15" s="10"/>
      <c r="B15" s="107" t="s">
        <v>23</v>
      </c>
      <c r="C15" s="107"/>
      <c r="D15" s="107"/>
      <c r="E15" s="107"/>
      <c r="F15" s="107"/>
      <c r="G15" s="107"/>
      <c r="H15" s="108" t="s">
        <v>24</v>
      </c>
      <c r="I15" s="108"/>
      <c r="J15" s="108"/>
      <c r="K15" s="108"/>
      <c r="L15" s="108"/>
      <c r="M15" s="108"/>
      <c r="N15" s="107" t="s">
        <v>25</v>
      </c>
      <c r="O15" s="107"/>
      <c r="P15" s="107"/>
      <c r="Q15" s="107"/>
      <c r="R15" s="107"/>
      <c r="S15" s="172" t="s">
        <v>26</v>
      </c>
      <c r="T15" s="172"/>
      <c r="U15" s="172"/>
      <c r="V15" s="172"/>
      <c r="W15" s="172"/>
      <c r="X15" s="172"/>
      <c r="Y15" s="172"/>
      <c r="Z15" s="13"/>
    </row>
    <row r="16" spans="1:26" ht="15.9" customHeight="1" x14ac:dyDescent="0.25">
      <c r="A16" s="10"/>
      <c r="B16" s="107" t="s">
        <v>27</v>
      </c>
      <c r="C16" s="107"/>
      <c r="D16" s="107"/>
      <c r="E16" s="107"/>
      <c r="F16" s="107"/>
      <c r="G16" s="107"/>
      <c r="H16" s="108" t="s">
        <v>28</v>
      </c>
      <c r="I16" s="108"/>
      <c r="J16" s="108"/>
      <c r="K16" s="108"/>
      <c r="L16" s="108"/>
      <c r="M16" s="108"/>
      <c r="N16" s="107" t="s">
        <v>29</v>
      </c>
      <c r="O16" s="107"/>
      <c r="P16" s="107"/>
      <c r="Q16" s="107"/>
      <c r="R16" s="107"/>
      <c r="S16" s="172" t="s">
        <v>30</v>
      </c>
      <c r="T16" s="172"/>
      <c r="U16" s="172"/>
      <c r="V16" s="172"/>
      <c r="W16" s="172"/>
      <c r="X16" s="172"/>
      <c r="Y16" s="172"/>
      <c r="Z16" s="13"/>
    </row>
    <row r="17" spans="1:29" ht="15.9" customHeight="1" x14ac:dyDescent="0.25">
      <c r="A17" s="10"/>
      <c r="B17" s="107"/>
      <c r="C17" s="107"/>
      <c r="D17" s="107"/>
      <c r="E17" s="107"/>
      <c r="F17" s="107"/>
      <c r="G17" s="107"/>
      <c r="H17" s="278" t="s">
        <v>71</v>
      </c>
      <c r="I17" s="108"/>
      <c r="J17" s="108"/>
      <c r="K17" s="108"/>
      <c r="L17" s="108"/>
      <c r="M17" s="108"/>
      <c r="N17" s="107" t="s">
        <v>31</v>
      </c>
      <c r="O17" s="107"/>
      <c r="P17" s="107"/>
      <c r="Q17" s="107"/>
      <c r="R17" s="107"/>
      <c r="S17" s="157">
        <v>0.4</v>
      </c>
      <c r="T17" s="157"/>
      <c r="U17" s="157"/>
      <c r="V17" s="157"/>
      <c r="W17" s="157"/>
      <c r="X17" s="157" t="s">
        <v>32</v>
      </c>
      <c r="Y17" s="157"/>
      <c r="Z17" s="13"/>
    </row>
    <row r="18" spans="1:29" ht="8.25" customHeight="1" x14ac:dyDescent="0.25">
      <c r="A18" s="16"/>
      <c r="B18" s="4"/>
      <c r="C18" s="4"/>
      <c r="D18" s="17"/>
      <c r="E18" s="17"/>
      <c r="F18" s="17"/>
      <c r="G18" s="17"/>
      <c r="H18" s="4"/>
      <c r="I18" s="4"/>
      <c r="J18" s="4"/>
      <c r="K18" s="4"/>
      <c r="L18" s="4"/>
      <c r="M18" s="4"/>
      <c r="N18" s="1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19"/>
    </row>
    <row r="19" spans="1:29" s="20" customFormat="1" ht="15" customHeight="1" x14ac:dyDescent="0.25">
      <c r="B19" s="21"/>
      <c r="C19" s="21"/>
      <c r="K19" s="22"/>
      <c r="L19" s="21"/>
      <c r="M19" s="23"/>
    </row>
    <row r="20" spans="1:29" ht="15.9" customHeight="1" x14ac:dyDescent="0.25">
      <c r="A20" s="5" t="s">
        <v>33</v>
      </c>
      <c r="B20" s="24" t="s">
        <v>34</v>
      </c>
      <c r="C20" s="25"/>
      <c r="D20" s="26"/>
      <c r="E20" s="26"/>
      <c r="F20" s="26"/>
      <c r="G20" s="26"/>
      <c r="H20" s="25"/>
      <c r="I20" s="25"/>
      <c r="J20" s="25"/>
      <c r="K20" s="25"/>
      <c r="L20" s="2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</row>
    <row r="21" spans="1:29" ht="15.9" customHeight="1" x14ac:dyDescent="0.25">
      <c r="A21" s="27"/>
      <c r="B21" s="28"/>
      <c r="C21" s="29"/>
      <c r="D21" s="30"/>
      <c r="E21" s="30"/>
      <c r="F21" s="30"/>
      <c r="G21" s="30"/>
      <c r="H21" s="29"/>
      <c r="I21" s="29"/>
      <c r="J21" s="29"/>
      <c r="K21" s="29"/>
      <c r="L21" s="29"/>
      <c r="Z21" s="12"/>
    </row>
    <row r="22" spans="1:29" ht="15.9" customHeight="1" x14ac:dyDescent="0.25">
      <c r="A22" s="27"/>
      <c r="B22" s="28"/>
      <c r="C22" s="29"/>
      <c r="D22" s="30"/>
      <c r="E22" s="30"/>
      <c r="F22" s="30"/>
      <c r="G22" s="30"/>
      <c r="H22" s="29"/>
      <c r="I22" s="29"/>
      <c r="J22" s="29"/>
      <c r="K22" s="29"/>
      <c r="L22" s="29"/>
      <c r="Z22" s="12"/>
    </row>
    <row r="23" spans="1:29" ht="15.75" customHeight="1" x14ac:dyDescent="0.25">
      <c r="A23" s="27"/>
      <c r="B23" s="28"/>
      <c r="C23" s="29"/>
      <c r="D23" s="30"/>
      <c r="E23" s="30"/>
      <c r="F23" s="30"/>
      <c r="G23" s="30"/>
      <c r="H23" s="29"/>
      <c r="I23" s="29"/>
      <c r="J23" s="29"/>
      <c r="K23" s="29"/>
      <c r="L23" s="29"/>
      <c r="Z23" s="12"/>
    </row>
    <row r="24" spans="1:29" ht="15.75" customHeight="1" x14ac:dyDescent="0.25">
      <c r="A24" s="10"/>
      <c r="Z24" s="12"/>
    </row>
    <row r="25" spans="1:29" ht="15.75" customHeight="1" x14ac:dyDescent="0.25">
      <c r="A25" s="10"/>
      <c r="B25" s="114" t="s">
        <v>35</v>
      </c>
      <c r="C25" s="115"/>
      <c r="D25" s="115"/>
      <c r="E25" s="115"/>
      <c r="F25" s="115"/>
      <c r="G25" s="116"/>
      <c r="H25" s="112" t="s">
        <v>36</v>
      </c>
      <c r="I25" s="113"/>
      <c r="J25" s="113"/>
      <c r="K25" s="113"/>
      <c r="L25" s="113"/>
      <c r="M25" s="162">
        <v>1</v>
      </c>
      <c r="N25" s="162"/>
      <c r="O25" s="31" t="s">
        <v>37</v>
      </c>
      <c r="P25" s="281" t="s">
        <v>38</v>
      </c>
      <c r="Q25" s="282"/>
      <c r="R25" s="163" t="s">
        <v>39</v>
      </c>
      <c r="S25" s="164"/>
      <c r="T25" s="164"/>
      <c r="U25" s="165"/>
      <c r="V25" s="166" t="s">
        <v>40</v>
      </c>
      <c r="W25" s="167"/>
      <c r="X25" s="167"/>
      <c r="Y25" s="168"/>
      <c r="Z25" s="12"/>
    </row>
    <row r="26" spans="1:29" ht="15.75" customHeight="1" x14ac:dyDescent="0.25">
      <c r="A26" s="10"/>
      <c r="B26" s="68" t="s">
        <v>41</v>
      </c>
      <c r="C26" s="69"/>
      <c r="D26" s="69"/>
      <c r="E26" s="69"/>
      <c r="F26" s="70">
        <v>1.94</v>
      </c>
      <c r="G26" s="71"/>
      <c r="H26" s="126" t="s">
        <v>42</v>
      </c>
      <c r="I26" s="127"/>
      <c r="J26" s="127"/>
      <c r="K26" s="127"/>
      <c r="L26" s="128"/>
      <c r="M26" s="117" t="s">
        <v>43</v>
      </c>
      <c r="N26" s="118"/>
      <c r="O26" s="119"/>
      <c r="P26" s="283"/>
      <c r="Q26" s="284"/>
      <c r="R26" s="120"/>
      <c r="S26" s="121"/>
      <c r="T26" s="121"/>
      <c r="U26" s="122"/>
      <c r="V26" s="126"/>
      <c r="W26" s="127"/>
      <c r="X26" s="127"/>
      <c r="Y26" s="169"/>
      <c r="Z26" s="12"/>
    </row>
    <row r="27" spans="1:29" ht="15.75" customHeight="1" x14ac:dyDescent="0.25">
      <c r="A27" s="10"/>
      <c r="B27" s="72" t="s">
        <v>44</v>
      </c>
      <c r="C27" s="73"/>
      <c r="D27" s="73"/>
      <c r="E27" s="73"/>
      <c r="F27" s="74">
        <v>11</v>
      </c>
      <c r="G27" s="75"/>
      <c r="H27" s="129">
        <f>IF(M25&lt;&gt;"",(F26*S17*M25*1000/(100-M25)),"")</f>
        <v>7.8383838383838382</v>
      </c>
      <c r="I27" s="130"/>
      <c r="J27" s="130"/>
      <c r="K27" s="130"/>
      <c r="L27" s="131"/>
      <c r="M27" s="120"/>
      <c r="N27" s="121"/>
      <c r="O27" s="122"/>
      <c r="P27" s="283"/>
      <c r="Q27" s="284"/>
      <c r="R27" s="120"/>
      <c r="S27" s="121"/>
      <c r="T27" s="121"/>
      <c r="U27" s="122"/>
      <c r="V27" s="126"/>
      <c r="W27" s="127"/>
      <c r="X27" s="127"/>
      <c r="Y27" s="169"/>
      <c r="Z27" s="12"/>
    </row>
    <row r="28" spans="1:29" ht="15.75" customHeight="1" x14ac:dyDescent="0.25">
      <c r="A28" s="10"/>
      <c r="B28" s="82" t="s">
        <v>45</v>
      </c>
      <c r="C28" s="83"/>
      <c r="D28" s="83"/>
      <c r="E28" s="84"/>
      <c r="F28" s="80" t="s">
        <v>46</v>
      </c>
      <c r="G28" s="81"/>
      <c r="H28" s="208" t="s">
        <v>47</v>
      </c>
      <c r="I28" s="209"/>
      <c r="J28" s="209"/>
      <c r="K28" s="209"/>
      <c r="L28" s="11">
        <v>1</v>
      </c>
      <c r="M28" s="120"/>
      <c r="N28" s="121"/>
      <c r="O28" s="122"/>
      <c r="P28" s="283"/>
      <c r="Q28" s="284"/>
      <c r="R28" s="120"/>
      <c r="S28" s="121"/>
      <c r="T28" s="121"/>
      <c r="U28" s="122"/>
      <c r="V28" s="63" t="s">
        <v>48</v>
      </c>
      <c r="W28" s="64"/>
      <c r="X28" s="64"/>
      <c r="Y28" s="65"/>
      <c r="Z28" s="12"/>
    </row>
    <row r="29" spans="1:29" ht="15.75" customHeight="1" x14ac:dyDescent="0.25">
      <c r="A29" s="10"/>
      <c r="B29" s="82" t="s">
        <v>49</v>
      </c>
      <c r="C29" s="84"/>
      <c r="D29" s="109" t="s">
        <v>50</v>
      </c>
      <c r="E29" s="84"/>
      <c r="F29" s="110" t="s">
        <v>51</v>
      </c>
      <c r="G29" s="111"/>
      <c r="H29" s="61" t="s">
        <v>52</v>
      </c>
      <c r="I29" s="90"/>
      <c r="J29" s="62"/>
      <c r="K29" s="92" t="s">
        <v>53</v>
      </c>
      <c r="L29" s="93"/>
      <c r="M29" s="123"/>
      <c r="N29" s="124"/>
      <c r="O29" s="125"/>
      <c r="P29" s="285"/>
      <c r="Q29" s="286"/>
      <c r="R29" s="66" t="s">
        <v>54</v>
      </c>
      <c r="S29" s="66"/>
      <c r="T29" s="66" t="s">
        <v>50</v>
      </c>
      <c r="U29" s="67"/>
      <c r="V29" s="61" t="s">
        <v>55</v>
      </c>
      <c r="W29" s="62"/>
      <c r="X29" s="97" t="s">
        <v>56</v>
      </c>
      <c r="Y29" s="98"/>
      <c r="Z29" s="12"/>
      <c r="AB29" s="32"/>
    </row>
    <row r="30" spans="1:29" ht="15.75" customHeight="1" x14ac:dyDescent="0.25">
      <c r="A30" s="10"/>
      <c r="B30" s="85">
        <v>13.1</v>
      </c>
      <c r="C30" s="86"/>
      <c r="D30" s="87"/>
      <c r="E30" s="88"/>
      <c r="F30" s="87">
        <v>3</v>
      </c>
      <c r="G30" s="89"/>
      <c r="H30" s="33">
        <v>6</v>
      </c>
      <c r="I30" s="34">
        <v>6</v>
      </c>
      <c r="J30" s="35">
        <v>6</v>
      </c>
      <c r="K30" s="137">
        <f>IF(H30&lt;&gt;"",AVERAGE(H30:J49),"")</f>
        <v>6</v>
      </c>
      <c r="L30" s="138"/>
      <c r="M30" s="137">
        <f>IF(K30&lt;&gt;"",(K30/((P30*1000*F26)+K30))*100,"")</f>
        <v>0.76726342710997442</v>
      </c>
      <c r="N30" s="158"/>
      <c r="O30" s="147"/>
      <c r="P30" s="206">
        <v>0.4</v>
      </c>
      <c r="Q30" s="207"/>
      <c r="R30" s="134">
        <v>9.1</v>
      </c>
      <c r="S30" s="134"/>
      <c r="T30" s="134">
        <v>33</v>
      </c>
      <c r="U30" s="135"/>
      <c r="V30" s="214"/>
      <c r="W30" s="215"/>
      <c r="X30" s="210"/>
      <c r="Y30" s="211"/>
      <c r="Z30" s="12"/>
      <c r="AB30" s="70"/>
      <c r="AC30" s="70"/>
    </row>
    <row r="31" spans="1:29" ht="15.75" customHeight="1" x14ac:dyDescent="0.25">
      <c r="A31" s="10"/>
      <c r="B31" s="78">
        <v>11.4</v>
      </c>
      <c r="C31" s="79"/>
      <c r="D31" s="76"/>
      <c r="E31" s="77"/>
      <c r="F31" s="99"/>
      <c r="G31" s="100"/>
      <c r="H31" s="36">
        <v>6</v>
      </c>
      <c r="I31" s="37">
        <v>6</v>
      </c>
      <c r="J31" s="38">
        <v>6</v>
      </c>
      <c r="K31" s="155"/>
      <c r="L31" s="156"/>
      <c r="M31" s="159"/>
      <c r="N31" s="160"/>
      <c r="O31" s="161"/>
      <c r="P31" s="95"/>
      <c r="Q31" s="96"/>
      <c r="R31" s="91">
        <v>10.1</v>
      </c>
      <c r="S31" s="91"/>
      <c r="T31" s="91">
        <v>26</v>
      </c>
      <c r="U31" s="136"/>
      <c r="V31" s="214"/>
      <c r="W31" s="215"/>
      <c r="X31" s="210"/>
      <c r="Y31" s="211"/>
      <c r="Z31" s="12"/>
      <c r="AB31" s="70"/>
      <c r="AC31" s="70"/>
    </row>
    <row r="32" spans="1:29" ht="15.75" customHeight="1" x14ac:dyDescent="0.25">
      <c r="A32" s="10"/>
      <c r="B32" s="78">
        <v>13.9</v>
      </c>
      <c r="C32" s="79"/>
      <c r="D32" s="76"/>
      <c r="E32" s="77"/>
      <c r="F32" s="99"/>
      <c r="G32" s="100"/>
      <c r="H32" s="36"/>
      <c r="I32" s="37"/>
      <c r="J32" s="38"/>
      <c r="K32" s="92" t="s">
        <v>57</v>
      </c>
      <c r="L32" s="93"/>
      <c r="M32" s="159"/>
      <c r="N32" s="160"/>
      <c r="O32" s="161"/>
      <c r="P32" s="95"/>
      <c r="Q32" s="96"/>
      <c r="R32" s="91">
        <v>9.1</v>
      </c>
      <c r="S32" s="91"/>
      <c r="T32" s="91">
        <v>28</v>
      </c>
      <c r="U32" s="136"/>
      <c r="V32" s="214"/>
      <c r="W32" s="215"/>
      <c r="X32" s="210"/>
      <c r="Y32" s="211"/>
      <c r="Z32" s="12"/>
      <c r="AB32" s="70"/>
      <c r="AC32" s="70"/>
    </row>
    <row r="33" spans="1:29" ht="15.75" customHeight="1" x14ac:dyDescent="0.25">
      <c r="A33" s="10"/>
      <c r="B33" s="78">
        <v>13.6</v>
      </c>
      <c r="C33" s="79"/>
      <c r="D33" s="76"/>
      <c r="E33" s="77"/>
      <c r="F33" s="99"/>
      <c r="G33" s="100"/>
      <c r="H33" s="36"/>
      <c r="I33" s="37"/>
      <c r="J33" s="38"/>
      <c r="K33" s="137">
        <f>IF(H30&lt;&gt;"",STDEV(H30:J49),"")</f>
        <v>0</v>
      </c>
      <c r="L33" s="138"/>
      <c r="M33" s="159"/>
      <c r="N33" s="160"/>
      <c r="O33" s="161"/>
      <c r="P33" s="95"/>
      <c r="Q33" s="96"/>
      <c r="R33" s="94">
        <v>8.6999999999999993</v>
      </c>
      <c r="S33" s="94"/>
      <c r="T33" s="287">
        <v>28</v>
      </c>
      <c r="U33" s="288"/>
      <c r="V33" s="214"/>
      <c r="W33" s="215"/>
      <c r="X33" s="210"/>
      <c r="Y33" s="211"/>
      <c r="Z33" s="12"/>
      <c r="AB33" s="275"/>
      <c r="AC33" s="275"/>
    </row>
    <row r="34" spans="1:29" ht="15.75" customHeight="1" x14ac:dyDescent="0.25">
      <c r="A34" s="10"/>
      <c r="B34" s="78"/>
      <c r="C34" s="79"/>
      <c r="D34" s="76"/>
      <c r="E34" s="77"/>
      <c r="F34" s="99"/>
      <c r="G34" s="100"/>
      <c r="H34" s="36"/>
      <c r="I34" s="37"/>
      <c r="J34" s="38"/>
      <c r="K34" s="155"/>
      <c r="L34" s="156"/>
      <c r="M34" s="159"/>
      <c r="N34" s="160"/>
      <c r="O34" s="161"/>
      <c r="P34" s="95"/>
      <c r="Q34" s="96"/>
      <c r="R34" s="91"/>
      <c r="S34" s="91"/>
      <c r="T34" s="91"/>
      <c r="U34" s="136"/>
      <c r="V34" s="214"/>
      <c r="W34" s="215"/>
      <c r="X34" s="210"/>
      <c r="Y34" s="211"/>
      <c r="Z34" s="12"/>
    </row>
    <row r="35" spans="1:29" ht="15.75" customHeight="1" x14ac:dyDescent="0.25">
      <c r="A35" s="10"/>
      <c r="B35" s="78"/>
      <c r="C35" s="79"/>
      <c r="D35" s="76"/>
      <c r="E35" s="77"/>
      <c r="F35" s="99"/>
      <c r="G35" s="100"/>
      <c r="H35" s="36"/>
      <c r="I35" s="37"/>
      <c r="J35" s="38"/>
      <c r="K35" s="92" t="s">
        <v>58</v>
      </c>
      <c r="L35" s="93"/>
      <c r="M35" s="159"/>
      <c r="N35" s="160"/>
      <c r="O35" s="161"/>
      <c r="P35" s="95"/>
      <c r="Q35" s="96"/>
      <c r="R35" s="91"/>
      <c r="S35" s="91"/>
      <c r="T35" s="91"/>
      <c r="U35" s="136"/>
      <c r="V35" s="214"/>
      <c r="W35" s="215"/>
      <c r="X35" s="210"/>
      <c r="Y35" s="211"/>
      <c r="Z35" s="12"/>
    </row>
    <row r="36" spans="1:29" ht="15.75" customHeight="1" x14ac:dyDescent="0.25">
      <c r="A36" s="10"/>
      <c r="B36" s="78"/>
      <c r="C36" s="79"/>
      <c r="D36" s="76"/>
      <c r="E36" s="77"/>
      <c r="F36" s="99"/>
      <c r="G36" s="100"/>
      <c r="H36" s="36"/>
      <c r="I36" s="37"/>
      <c r="J36" s="38"/>
      <c r="K36" s="137"/>
      <c r="L36" s="138"/>
      <c r="M36" s="159"/>
      <c r="N36" s="160"/>
      <c r="O36" s="161"/>
      <c r="P36" s="95"/>
      <c r="Q36" s="96"/>
      <c r="R36" s="91"/>
      <c r="S36" s="91"/>
      <c r="T36" s="91"/>
      <c r="U36" s="136"/>
      <c r="V36" s="214"/>
      <c r="W36" s="215"/>
      <c r="X36" s="210"/>
      <c r="Y36" s="211"/>
      <c r="Z36" s="12"/>
    </row>
    <row r="37" spans="1:29" ht="15.75" customHeight="1" x14ac:dyDescent="0.25">
      <c r="A37" s="10"/>
      <c r="B37" s="78"/>
      <c r="C37" s="79"/>
      <c r="D37" s="76"/>
      <c r="E37" s="77"/>
      <c r="F37" s="99"/>
      <c r="G37" s="100"/>
      <c r="H37" s="36"/>
      <c r="I37" s="37"/>
      <c r="J37" s="38"/>
      <c r="K37" s="159"/>
      <c r="L37" s="205"/>
      <c r="M37" s="159"/>
      <c r="N37" s="160"/>
      <c r="O37" s="161"/>
      <c r="P37" s="95"/>
      <c r="Q37" s="96"/>
      <c r="R37" s="91"/>
      <c r="S37" s="91"/>
      <c r="T37" s="91"/>
      <c r="U37" s="136"/>
      <c r="V37" s="214"/>
      <c r="W37" s="215"/>
      <c r="X37" s="210"/>
      <c r="Y37" s="211"/>
      <c r="Z37" s="12"/>
    </row>
    <row r="38" spans="1:29" ht="15.75" customHeight="1" x14ac:dyDescent="0.25">
      <c r="A38" s="10"/>
      <c r="B38" s="78"/>
      <c r="C38" s="79"/>
      <c r="D38" s="76"/>
      <c r="E38" s="77"/>
      <c r="F38" s="99"/>
      <c r="G38" s="100"/>
      <c r="H38" s="36"/>
      <c r="I38" s="37"/>
      <c r="J38" s="38"/>
      <c r="K38" s="92" t="s">
        <v>59</v>
      </c>
      <c r="L38" s="93"/>
      <c r="M38" s="159"/>
      <c r="N38" s="160"/>
      <c r="O38" s="161"/>
      <c r="P38" s="95"/>
      <c r="Q38" s="96"/>
      <c r="R38" s="91"/>
      <c r="S38" s="91"/>
      <c r="T38" s="91"/>
      <c r="U38" s="136"/>
      <c r="V38" s="214"/>
      <c r="W38" s="215"/>
      <c r="X38" s="210"/>
      <c r="Y38" s="211"/>
      <c r="Z38" s="12"/>
    </row>
    <row r="39" spans="1:29" ht="15.75" customHeight="1" x14ac:dyDescent="0.25">
      <c r="A39" s="10"/>
      <c r="B39" s="78"/>
      <c r="C39" s="79"/>
      <c r="D39" s="76"/>
      <c r="E39" s="77"/>
      <c r="F39" s="99"/>
      <c r="G39" s="100"/>
      <c r="H39" s="36"/>
      <c r="I39" s="37"/>
      <c r="J39" s="38"/>
      <c r="K39" s="271"/>
      <c r="L39" s="272"/>
      <c r="M39" s="159"/>
      <c r="N39" s="160"/>
      <c r="O39" s="161"/>
      <c r="P39" s="95"/>
      <c r="Q39" s="96"/>
      <c r="R39" s="91"/>
      <c r="S39" s="91"/>
      <c r="T39" s="91"/>
      <c r="U39" s="136"/>
      <c r="V39" s="214"/>
      <c r="W39" s="215"/>
      <c r="X39" s="210"/>
      <c r="Y39" s="211"/>
      <c r="Z39" s="12"/>
    </row>
    <row r="40" spans="1:29" ht="15.75" customHeight="1" x14ac:dyDescent="0.25">
      <c r="A40" s="10"/>
      <c r="B40" s="78"/>
      <c r="C40" s="79"/>
      <c r="D40" s="76"/>
      <c r="E40" s="77"/>
      <c r="F40" s="99"/>
      <c r="G40" s="100"/>
      <c r="H40" s="36"/>
      <c r="I40" s="37"/>
      <c r="J40" s="38"/>
      <c r="K40" s="273"/>
      <c r="L40" s="274"/>
      <c r="M40" s="159"/>
      <c r="N40" s="160"/>
      <c r="O40" s="161"/>
      <c r="P40" s="95"/>
      <c r="Q40" s="96"/>
      <c r="R40" s="91"/>
      <c r="S40" s="91"/>
      <c r="T40" s="91"/>
      <c r="U40" s="136"/>
      <c r="V40" s="214"/>
      <c r="W40" s="215"/>
      <c r="X40" s="210"/>
      <c r="Y40" s="211"/>
      <c r="Z40" s="12"/>
    </row>
    <row r="41" spans="1:29" ht="15.75" customHeight="1" x14ac:dyDescent="0.25">
      <c r="A41" s="10"/>
      <c r="B41" s="78"/>
      <c r="C41" s="79"/>
      <c r="D41" s="76"/>
      <c r="E41" s="77"/>
      <c r="F41" s="99"/>
      <c r="G41" s="100"/>
      <c r="H41" s="36"/>
      <c r="I41" s="37"/>
      <c r="J41" s="38"/>
      <c r="K41" s="267"/>
      <c r="L41" s="268"/>
      <c r="M41" s="159"/>
      <c r="N41" s="160"/>
      <c r="O41" s="161"/>
      <c r="P41" s="95"/>
      <c r="Q41" s="96"/>
      <c r="R41" s="91"/>
      <c r="S41" s="91"/>
      <c r="T41" s="91"/>
      <c r="U41" s="136"/>
      <c r="V41" s="214"/>
      <c r="W41" s="215"/>
      <c r="X41" s="210"/>
      <c r="Y41" s="211"/>
      <c r="Z41" s="12"/>
    </row>
    <row r="42" spans="1:29" ht="15.75" customHeight="1" x14ac:dyDescent="0.25">
      <c r="A42" s="10"/>
      <c r="B42" s="78"/>
      <c r="C42" s="79"/>
      <c r="D42" s="76"/>
      <c r="E42" s="77"/>
      <c r="F42" s="99"/>
      <c r="G42" s="100"/>
      <c r="H42" s="36"/>
      <c r="I42" s="37"/>
      <c r="J42" s="38"/>
      <c r="K42" s="269"/>
      <c r="L42" s="270"/>
      <c r="M42" s="159"/>
      <c r="N42" s="160"/>
      <c r="O42" s="161"/>
      <c r="P42" s="95"/>
      <c r="Q42" s="96"/>
      <c r="R42" s="91"/>
      <c r="S42" s="91"/>
      <c r="T42" s="91"/>
      <c r="U42" s="136"/>
      <c r="V42" s="214"/>
      <c r="W42" s="215"/>
      <c r="X42" s="210"/>
      <c r="Y42" s="211"/>
      <c r="Z42" s="12"/>
    </row>
    <row r="43" spans="1:29" ht="15.75" customHeight="1" x14ac:dyDescent="0.25">
      <c r="A43" s="10"/>
      <c r="B43" s="78"/>
      <c r="C43" s="79"/>
      <c r="D43" s="76"/>
      <c r="E43" s="77"/>
      <c r="F43" s="99"/>
      <c r="G43" s="100"/>
      <c r="H43" s="36"/>
      <c r="I43" s="37"/>
      <c r="J43" s="38"/>
      <c r="K43" s="269"/>
      <c r="L43" s="270"/>
      <c r="M43" s="159"/>
      <c r="N43" s="160"/>
      <c r="O43" s="161"/>
      <c r="P43" s="95"/>
      <c r="Q43" s="96"/>
      <c r="R43" s="91"/>
      <c r="S43" s="91"/>
      <c r="T43" s="91"/>
      <c r="U43" s="136"/>
      <c r="V43" s="214"/>
      <c r="W43" s="215"/>
      <c r="X43" s="210"/>
      <c r="Y43" s="211"/>
      <c r="Z43" s="12"/>
    </row>
    <row r="44" spans="1:29" ht="15.75" customHeight="1" x14ac:dyDescent="0.25">
      <c r="A44" s="10"/>
      <c r="B44" s="78"/>
      <c r="C44" s="79"/>
      <c r="D44" s="76"/>
      <c r="E44" s="77"/>
      <c r="F44" s="99"/>
      <c r="G44" s="100"/>
      <c r="H44" s="36"/>
      <c r="I44" s="37"/>
      <c r="J44" s="38"/>
      <c r="K44" s="269"/>
      <c r="L44" s="270"/>
      <c r="M44" s="159"/>
      <c r="N44" s="160"/>
      <c r="O44" s="161"/>
      <c r="P44" s="95"/>
      <c r="Q44" s="96"/>
      <c r="R44" s="91"/>
      <c r="S44" s="91"/>
      <c r="T44" s="91"/>
      <c r="U44" s="136"/>
      <c r="V44" s="214"/>
      <c r="W44" s="215"/>
      <c r="X44" s="210"/>
      <c r="Y44" s="211"/>
      <c r="Z44" s="12"/>
    </row>
    <row r="45" spans="1:29" ht="15.75" customHeight="1" x14ac:dyDescent="0.25">
      <c r="A45" s="10"/>
      <c r="B45" s="78"/>
      <c r="C45" s="79"/>
      <c r="D45" s="76"/>
      <c r="E45" s="77"/>
      <c r="F45" s="99"/>
      <c r="G45" s="100"/>
      <c r="H45" s="36"/>
      <c r="I45" s="37"/>
      <c r="J45" s="38"/>
      <c r="K45" s="269"/>
      <c r="L45" s="270"/>
      <c r="M45" s="159"/>
      <c r="N45" s="160"/>
      <c r="O45" s="161"/>
      <c r="P45" s="95"/>
      <c r="Q45" s="96"/>
      <c r="R45" s="91"/>
      <c r="S45" s="91"/>
      <c r="T45" s="91"/>
      <c r="U45" s="136"/>
      <c r="V45" s="214"/>
      <c r="W45" s="215"/>
      <c r="X45" s="210"/>
      <c r="Y45" s="211"/>
      <c r="Z45" s="12"/>
    </row>
    <row r="46" spans="1:29" ht="15.75" customHeight="1" x14ac:dyDescent="0.25">
      <c r="A46" s="10"/>
      <c r="B46" s="78"/>
      <c r="C46" s="79"/>
      <c r="D46" s="76"/>
      <c r="E46" s="77"/>
      <c r="F46" s="99"/>
      <c r="G46" s="100"/>
      <c r="H46" s="36"/>
      <c r="I46" s="37"/>
      <c r="J46" s="38"/>
      <c r="K46" s="269"/>
      <c r="L46" s="270"/>
      <c r="M46" s="159"/>
      <c r="N46" s="160"/>
      <c r="O46" s="161"/>
      <c r="P46" s="95"/>
      <c r="Q46" s="96"/>
      <c r="R46" s="91"/>
      <c r="S46" s="91"/>
      <c r="T46" s="91"/>
      <c r="U46" s="136"/>
      <c r="V46" s="214"/>
      <c r="W46" s="215"/>
      <c r="X46" s="210"/>
      <c r="Y46" s="211"/>
      <c r="Z46" s="12"/>
    </row>
    <row r="47" spans="1:29" ht="15.75" customHeight="1" x14ac:dyDescent="0.25">
      <c r="A47" s="10"/>
      <c r="B47" s="78"/>
      <c r="C47" s="79"/>
      <c r="D47" s="76"/>
      <c r="E47" s="77"/>
      <c r="F47" s="99"/>
      <c r="G47" s="100"/>
      <c r="H47" s="36"/>
      <c r="I47" s="37"/>
      <c r="J47" s="38"/>
      <c r="K47" s="269"/>
      <c r="L47" s="270"/>
      <c r="M47" s="159"/>
      <c r="N47" s="160"/>
      <c r="O47" s="161"/>
      <c r="P47" s="95"/>
      <c r="Q47" s="96"/>
      <c r="R47" s="91"/>
      <c r="S47" s="91"/>
      <c r="T47" s="91"/>
      <c r="U47" s="136"/>
      <c r="V47" s="214"/>
      <c r="W47" s="215"/>
      <c r="X47" s="210"/>
      <c r="Y47" s="211"/>
      <c r="Z47" s="12"/>
    </row>
    <row r="48" spans="1:29" ht="15.75" customHeight="1" x14ac:dyDescent="0.25">
      <c r="A48" s="10"/>
      <c r="B48" s="78"/>
      <c r="C48" s="79"/>
      <c r="D48" s="76"/>
      <c r="E48" s="77"/>
      <c r="F48" s="99"/>
      <c r="G48" s="100"/>
      <c r="H48" s="36"/>
      <c r="I48" s="37"/>
      <c r="J48" s="38"/>
      <c r="K48" s="269"/>
      <c r="L48" s="270"/>
      <c r="M48" s="159"/>
      <c r="N48" s="160"/>
      <c r="O48" s="161"/>
      <c r="P48" s="95"/>
      <c r="Q48" s="96"/>
      <c r="R48" s="91"/>
      <c r="S48" s="91"/>
      <c r="T48" s="91"/>
      <c r="U48" s="136"/>
      <c r="V48" s="214"/>
      <c r="W48" s="215"/>
      <c r="X48" s="210"/>
      <c r="Y48" s="211"/>
      <c r="Z48" s="12"/>
    </row>
    <row r="49" spans="1:26" ht="15.75" customHeight="1" x14ac:dyDescent="0.25">
      <c r="A49" s="10"/>
      <c r="B49" s="103"/>
      <c r="C49" s="104"/>
      <c r="D49" s="132"/>
      <c r="E49" s="133"/>
      <c r="F49" s="101"/>
      <c r="G49" s="102"/>
      <c r="H49" s="36"/>
      <c r="I49" s="37"/>
      <c r="J49" s="38"/>
      <c r="K49" s="269"/>
      <c r="L49" s="270"/>
      <c r="M49" s="159"/>
      <c r="N49" s="160"/>
      <c r="O49" s="161"/>
      <c r="P49" s="105"/>
      <c r="Q49" s="106"/>
      <c r="R49" s="218"/>
      <c r="S49" s="218"/>
      <c r="T49" s="218"/>
      <c r="U49" s="219"/>
      <c r="V49" s="214"/>
      <c r="W49" s="215"/>
      <c r="X49" s="210"/>
      <c r="Y49" s="211"/>
      <c r="Z49" s="12"/>
    </row>
    <row r="50" spans="1:26" ht="15.75" customHeight="1" x14ac:dyDescent="0.25">
      <c r="A50" s="10"/>
      <c r="B50" s="151" t="s">
        <v>53</v>
      </c>
      <c r="C50" s="152"/>
      <c r="D50" s="149" t="s">
        <v>53</v>
      </c>
      <c r="E50" s="152"/>
      <c r="F50" s="149" t="s">
        <v>53</v>
      </c>
      <c r="G50" s="150"/>
      <c r="H50" s="276"/>
      <c r="I50" s="265"/>
      <c r="J50" s="265"/>
      <c r="K50" s="265"/>
      <c r="L50" s="265"/>
      <c r="M50" s="265"/>
      <c r="N50" s="265"/>
      <c r="O50" s="266"/>
      <c r="P50" s="153" t="s">
        <v>53</v>
      </c>
      <c r="Q50" s="154"/>
      <c r="R50" s="170" t="s">
        <v>53</v>
      </c>
      <c r="S50" s="170"/>
      <c r="T50" s="170" t="s">
        <v>53</v>
      </c>
      <c r="U50" s="171"/>
      <c r="V50" s="214"/>
      <c r="W50" s="215"/>
      <c r="X50" s="210"/>
      <c r="Y50" s="211"/>
      <c r="Z50" s="12"/>
    </row>
    <row r="51" spans="1:26" ht="15.75" customHeight="1" x14ac:dyDescent="0.25">
      <c r="A51" s="10"/>
      <c r="B51" s="141">
        <f>IF(B30&lt;&gt;"",AVERAGE(B30:C49),"")</f>
        <v>13</v>
      </c>
      <c r="C51" s="138"/>
      <c r="D51" s="137" t="str">
        <f>IF(D30&lt;&gt;"",AVERAGE(D30:E49),"")</f>
        <v/>
      </c>
      <c r="E51" s="138"/>
      <c r="F51" s="137">
        <f>IF(F30&lt;&gt;"",AVERAGE(F30:G49),"")</f>
        <v>3</v>
      </c>
      <c r="G51" s="147"/>
      <c r="H51" s="253"/>
      <c r="I51" s="254"/>
      <c r="J51" s="254"/>
      <c r="K51" s="254"/>
      <c r="L51" s="254"/>
      <c r="M51" s="254"/>
      <c r="N51" s="254"/>
      <c r="O51" s="256"/>
      <c r="P51" s="143">
        <f>IF(P30&lt;&gt;"",AVERAGE(P30:Q49),"")</f>
        <v>0.4</v>
      </c>
      <c r="Q51" s="144"/>
      <c r="R51" s="137">
        <f>IF(R30&lt;&gt;"",AVERAGE(R30:S49),"")</f>
        <v>9.25</v>
      </c>
      <c r="S51" s="138"/>
      <c r="T51" s="158">
        <f>IF(T30&lt;&gt;"",AVERAGE(T30:U49),"")</f>
        <v>28.75</v>
      </c>
      <c r="U51" s="147"/>
      <c r="V51" s="214"/>
      <c r="W51" s="215"/>
      <c r="X51" s="210"/>
      <c r="Y51" s="211"/>
      <c r="Z51" s="12"/>
    </row>
    <row r="52" spans="1:26" ht="15.75" customHeight="1" x14ac:dyDescent="0.25">
      <c r="A52" s="10"/>
      <c r="B52" s="142"/>
      <c r="C52" s="140"/>
      <c r="D52" s="139"/>
      <c r="E52" s="140"/>
      <c r="F52" s="139"/>
      <c r="G52" s="148"/>
      <c r="H52" s="145"/>
      <c r="I52" s="255"/>
      <c r="J52" s="255"/>
      <c r="K52" s="255"/>
      <c r="L52" s="255"/>
      <c r="M52" s="255"/>
      <c r="N52" s="255"/>
      <c r="O52" s="257"/>
      <c r="P52" s="145"/>
      <c r="Q52" s="146"/>
      <c r="R52" s="139"/>
      <c r="S52" s="140"/>
      <c r="T52" s="264"/>
      <c r="U52" s="148"/>
      <c r="V52" s="216"/>
      <c r="W52" s="217"/>
      <c r="X52" s="212"/>
      <c r="Y52" s="213"/>
      <c r="Z52" s="12"/>
    </row>
    <row r="53" spans="1:26" ht="15.75" customHeight="1" x14ac:dyDescent="0.25">
      <c r="A53" s="10"/>
      <c r="C53" s="39"/>
      <c r="D53" s="39"/>
      <c r="E53" s="39"/>
      <c r="F53" s="39"/>
      <c r="G53" s="39"/>
      <c r="H53" s="39"/>
      <c r="I53" s="40"/>
      <c r="J53" s="40"/>
      <c r="K53" s="40"/>
      <c r="L53" s="11"/>
      <c r="M53" s="11"/>
      <c r="N53" s="41"/>
      <c r="O53" s="41"/>
      <c r="P53" s="42"/>
      <c r="Q53" s="42"/>
      <c r="R53" s="43"/>
      <c r="S53" s="43"/>
      <c r="T53" s="43"/>
      <c r="U53" s="43"/>
      <c r="V53" s="11"/>
      <c r="W53" s="11"/>
      <c r="X53" s="11"/>
      <c r="Y53" s="11"/>
      <c r="Z53" s="12"/>
    </row>
    <row r="54" spans="1:26" ht="15.75" customHeight="1" x14ac:dyDescent="0.25">
      <c r="A54" s="10"/>
      <c r="C54" s="39"/>
      <c r="D54" s="39"/>
      <c r="E54" s="39"/>
      <c r="F54" s="39"/>
      <c r="G54" s="39"/>
      <c r="H54" s="39"/>
      <c r="I54" s="40"/>
      <c r="J54" s="40"/>
      <c r="K54" s="40"/>
      <c r="L54" s="11"/>
      <c r="M54" s="11"/>
      <c r="N54" s="41"/>
      <c r="O54" s="41"/>
      <c r="P54" s="42"/>
      <c r="Q54" s="42"/>
      <c r="R54" s="43"/>
      <c r="S54" s="43"/>
      <c r="T54" s="43"/>
      <c r="U54" s="43"/>
      <c r="V54" s="11"/>
      <c r="W54" s="11"/>
      <c r="X54" s="11"/>
      <c r="Y54" s="11"/>
      <c r="Z54" s="12"/>
    </row>
    <row r="55" spans="1:26" ht="15.75" customHeight="1" x14ac:dyDescent="0.25">
      <c r="A55" s="10"/>
      <c r="C55" s="39"/>
      <c r="D55" s="39"/>
      <c r="E55" s="39"/>
      <c r="F55" s="39"/>
      <c r="G55" s="39"/>
      <c r="H55" s="39"/>
      <c r="I55" s="40"/>
      <c r="J55" s="40"/>
      <c r="K55" s="40"/>
      <c r="L55" s="11"/>
      <c r="M55" s="11"/>
      <c r="N55" s="41"/>
      <c r="O55" s="41"/>
      <c r="P55" s="42"/>
      <c r="Q55" s="42"/>
      <c r="R55" s="43"/>
      <c r="S55" s="43"/>
      <c r="T55" s="43"/>
      <c r="U55" s="43"/>
      <c r="V55" s="11"/>
      <c r="W55" s="11"/>
      <c r="X55" s="11"/>
      <c r="Y55" s="11"/>
      <c r="Z55" s="12"/>
    </row>
    <row r="56" spans="1:26" ht="15.9" customHeight="1" x14ac:dyDescent="0.25">
      <c r="A56" s="44"/>
      <c r="B56" s="4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19"/>
    </row>
    <row r="57" spans="1:26" ht="12.75" customHeight="1" x14ac:dyDescent="0.25">
      <c r="A57" s="39"/>
      <c r="B57" s="43"/>
    </row>
    <row r="58" spans="1:26" s="20" customFormat="1" ht="30.75" customHeight="1" x14ac:dyDescent="0.25">
      <c r="A58" s="46" t="s">
        <v>60</v>
      </c>
      <c r="B58" s="47" t="s">
        <v>61</v>
      </c>
      <c r="C58" s="48"/>
      <c r="D58" s="48"/>
      <c r="E58" s="48"/>
      <c r="F58" s="49"/>
      <c r="G58" s="49"/>
      <c r="H58" s="49"/>
      <c r="I58" s="7"/>
      <c r="J58" s="7"/>
      <c r="K58" s="7"/>
      <c r="L58" s="7"/>
      <c r="M58" s="7"/>
      <c r="N58" s="7"/>
      <c r="O58" s="7"/>
      <c r="P58" s="7"/>
      <c r="Q58" s="49"/>
      <c r="R58" s="7"/>
      <c r="S58" s="7"/>
      <c r="T58" s="7"/>
      <c r="U58" s="258"/>
      <c r="V58" s="258"/>
      <c r="W58" s="258"/>
      <c r="X58" s="259"/>
      <c r="Y58" s="259"/>
      <c r="Z58" s="260"/>
    </row>
    <row r="59" spans="1:26" s="20" customFormat="1" ht="28.5" customHeight="1" x14ac:dyDescent="0.25">
      <c r="A59" s="244" t="s">
        <v>62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6"/>
      <c r="R59" s="222" t="s">
        <v>63</v>
      </c>
      <c r="S59" s="220"/>
      <c r="T59" s="221"/>
      <c r="U59" s="280" t="s">
        <v>15</v>
      </c>
      <c r="V59" s="261"/>
      <c r="W59" s="261"/>
      <c r="X59" s="262"/>
      <c r="Y59" s="262"/>
      <c r="Z59" s="263"/>
    </row>
    <row r="60" spans="1:26" s="20" customFormat="1" ht="14.25" customHeight="1" x14ac:dyDescent="0.25">
      <c r="A60" s="279" t="s">
        <v>72</v>
      </c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8"/>
      <c r="R60" s="220" t="s">
        <v>64</v>
      </c>
      <c r="S60" s="220"/>
      <c r="T60" s="221"/>
      <c r="U60" s="226" t="s">
        <v>65</v>
      </c>
      <c r="V60" s="227"/>
      <c r="W60" s="227"/>
      <c r="X60" s="228"/>
      <c r="Y60" s="228"/>
      <c r="Z60" s="229"/>
    </row>
    <row r="61" spans="1:26" s="20" customFormat="1" ht="9" customHeight="1" x14ac:dyDescent="0.25">
      <c r="A61" s="249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0"/>
      <c r="S61" s="220"/>
      <c r="T61" s="221"/>
      <c r="U61" s="230"/>
      <c r="V61" s="231"/>
      <c r="W61" s="231"/>
      <c r="X61" s="232"/>
      <c r="Y61" s="232"/>
      <c r="Z61" s="233"/>
    </row>
    <row r="62" spans="1:26" s="20" customFormat="1" ht="12.75" customHeight="1" x14ac:dyDescent="0.25">
      <c r="A62" s="250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2"/>
      <c r="R62" s="220"/>
      <c r="S62" s="220"/>
      <c r="T62" s="221"/>
      <c r="U62" s="230"/>
      <c r="V62" s="231"/>
      <c r="W62" s="231"/>
      <c r="X62" s="232"/>
      <c r="Y62" s="232"/>
      <c r="Z62" s="233"/>
    </row>
    <row r="63" spans="1:26" s="20" customFormat="1" ht="15.75" customHeight="1" x14ac:dyDescent="0.25">
      <c r="A63" s="27" t="s">
        <v>66</v>
      </c>
      <c r="B63" s="50" t="s">
        <v>67</v>
      </c>
      <c r="C63" s="1"/>
      <c r="D63" s="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2"/>
      <c r="R63" s="222"/>
      <c r="S63" s="220"/>
      <c r="T63" s="221"/>
      <c r="U63" s="234"/>
      <c r="V63" s="235"/>
      <c r="W63" s="235"/>
      <c r="X63" s="236"/>
      <c r="Y63" s="236"/>
      <c r="Z63" s="237"/>
    </row>
    <row r="64" spans="1:26" s="20" customFormat="1" ht="15.75" customHeight="1" x14ac:dyDescent="0.25">
      <c r="A64" s="238" t="s">
        <v>69</v>
      </c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40"/>
      <c r="R64" s="222" t="s">
        <v>68</v>
      </c>
      <c r="S64" s="220"/>
      <c r="T64" s="221"/>
      <c r="U64" s="53"/>
      <c r="V64" s="54"/>
      <c r="W64" s="54"/>
      <c r="X64" s="54"/>
      <c r="Y64" s="54"/>
      <c r="Z64" s="55"/>
    </row>
    <row r="65" spans="1:26" s="20" customFormat="1" ht="15.75" customHeight="1" x14ac:dyDescent="0.25">
      <c r="A65" s="238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40"/>
      <c r="R65" s="222"/>
      <c r="S65" s="220"/>
      <c r="T65" s="221"/>
      <c r="U65" s="56"/>
      <c r="V65" s="232"/>
      <c r="W65" s="232"/>
      <c r="X65" s="232"/>
      <c r="Y65" s="232"/>
      <c r="Z65" s="57"/>
    </row>
    <row r="66" spans="1:26" s="20" customFormat="1" ht="15.75" customHeight="1" x14ac:dyDescent="0.25">
      <c r="A66" s="238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40"/>
      <c r="R66" s="222"/>
      <c r="S66" s="220"/>
      <c r="T66" s="221"/>
      <c r="U66" s="56"/>
      <c r="V66" s="232"/>
      <c r="W66" s="232"/>
      <c r="X66" s="232"/>
      <c r="Y66" s="232"/>
      <c r="Z66" s="57"/>
    </row>
    <row r="67" spans="1:26" s="20" customFormat="1" ht="15.75" customHeight="1" x14ac:dyDescent="0.25">
      <c r="A67" s="238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40"/>
      <c r="R67" s="222"/>
      <c r="S67" s="220"/>
      <c r="T67" s="221"/>
      <c r="U67" s="56"/>
      <c r="V67" s="232"/>
      <c r="W67" s="232"/>
      <c r="X67" s="232"/>
      <c r="Y67" s="232"/>
      <c r="Z67" s="57"/>
    </row>
    <row r="68" spans="1:26" s="20" customFormat="1" ht="15.75" customHeight="1" x14ac:dyDescent="0.25">
      <c r="A68" s="241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3"/>
      <c r="R68" s="223"/>
      <c r="S68" s="224"/>
      <c r="T68" s="225"/>
      <c r="U68" s="58"/>
      <c r="V68" s="59"/>
      <c r="W68" s="59"/>
      <c r="X68" s="59"/>
      <c r="Y68" s="59"/>
      <c r="Z68" s="60"/>
    </row>
  </sheetData>
  <sheetProtection formatCells="0" formatColumns="0" formatRows="0" insertColumns="0" insertRows="0" insertHyperlinks="0" deleteColumns="0" deleteRows="0" selectLockedCells="1" sort="0" autoFilter="0" pivotTables="0"/>
  <mergeCells count="229">
    <mergeCell ref="P43:Q43"/>
    <mergeCell ref="R43:S43"/>
    <mergeCell ref="T43:U43"/>
    <mergeCell ref="R38:S38"/>
    <mergeCell ref="R39:S39"/>
    <mergeCell ref="R40:S40"/>
    <mergeCell ref="R41:S41"/>
    <mergeCell ref="T41:U41"/>
    <mergeCell ref="P38:Q38"/>
    <mergeCell ref="K39:L40"/>
    <mergeCell ref="K38:L38"/>
    <mergeCell ref="AB30:AC30"/>
    <mergeCell ref="AB31:AC31"/>
    <mergeCell ref="AB32:AC32"/>
    <mergeCell ref="AB33:AC33"/>
    <mergeCell ref="N50:O50"/>
    <mergeCell ref="K41:L49"/>
    <mergeCell ref="B42:C42"/>
    <mergeCell ref="D42:E42"/>
    <mergeCell ref="F42:G42"/>
    <mergeCell ref="B43:C43"/>
    <mergeCell ref="D43:E43"/>
    <mergeCell ref="B48:C48"/>
    <mergeCell ref="D48:E48"/>
    <mergeCell ref="F48:G48"/>
    <mergeCell ref="F47:G47"/>
    <mergeCell ref="D47:E47"/>
    <mergeCell ref="B44:C44"/>
    <mergeCell ref="H50:I50"/>
    <mergeCell ref="J50:K50"/>
    <mergeCell ref="L50:M50"/>
    <mergeCell ref="H51:I52"/>
    <mergeCell ref="J51:K52"/>
    <mergeCell ref="L51:M52"/>
    <mergeCell ref="N51:O52"/>
    <mergeCell ref="U58:Z58"/>
    <mergeCell ref="T51:U52"/>
    <mergeCell ref="R60:T63"/>
    <mergeCell ref="R64:T68"/>
    <mergeCell ref="U60:Z63"/>
    <mergeCell ref="A64:Q68"/>
    <mergeCell ref="R59:T59"/>
    <mergeCell ref="A59:Q59"/>
    <mergeCell ref="A60:Q62"/>
    <mergeCell ref="V65:Y67"/>
    <mergeCell ref="U59:Z59"/>
    <mergeCell ref="N11:R11"/>
    <mergeCell ref="U1:Z6"/>
    <mergeCell ref="K36:L37"/>
    <mergeCell ref="R37:S37"/>
    <mergeCell ref="P37:Q37"/>
    <mergeCell ref="P30:Q30"/>
    <mergeCell ref="K29:L29"/>
    <mergeCell ref="H28:K28"/>
    <mergeCell ref="P25:Q29"/>
    <mergeCell ref="K30:L31"/>
    <mergeCell ref="X17:Y17"/>
    <mergeCell ref="N16:R16"/>
    <mergeCell ref="S16:Y16"/>
    <mergeCell ref="X30:Y52"/>
    <mergeCell ref="V30:W52"/>
    <mergeCell ref="T36:U36"/>
    <mergeCell ref="G2:T4"/>
    <mergeCell ref="G5:H5"/>
    <mergeCell ref="A7:F7"/>
    <mergeCell ref="G7:Z7"/>
    <mergeCell ref="A1:F6"/>
    <mergeCell ref="G1:T1"/>
    <mergeCell ref="J5:K5"/>
    <mergeCell ref="L5:O5"/>
    <mergeCell ref="P5:T5"/>
    <mergeCell ref="J6:K6"/>
    <mergeCell ref="L6:O6"/>
    <mergeCell ref="P6:T6"/>
    <mergeCell ref="P39:Q39"/>
    <mergeCell ref="B11:G11"/>
    <mergeCell ref="S13:Y13"/>
    <mergeCell ref="B10:G10"/>
    <mergeCell ref="B17:G17"/>
    <mergeCell ref="H17:M17"/>
    <mergeCell ref="H10:M10"/>
    <mergeCell ref="H11:M11"/>
    <mergeCell ref="H15:M15"/>
    <mergeCell ref="S11:Y11"/>
    <mergeCell ref="S15:Y15"/>
    <mergeCell ref="N15:R15"/>
    <mergeCell ref="N13:R13"/>
    <mergeCell ref="S10:Y10"/>
    <mergeCell ref="N10:R10"/>
    <mergeCell ref="N17:R17"/>
    <mergeCell ref="T50:U50"/>
    <mergeCell ref="R50:S50"/>
    <mergeCell ref="T35:U35"/>
    <mergeCell ref="T34:U34"/>
    <mergeCell ref="T38:U38"/>
    <mergeCell ref="T39:U39"/>
    <mergeCell ref="T40:U40"/>
    <mergeCell ref="R49:S49"/>
    <mergeCell ref="T49:U49"/>
    <mergeCell ref="R42:S42"/>
    <mergeCell ref="T42:U42"/>
    <mergeCell ref="R47:S47"/>
    <mergeCell ref="T47:U47"/>
    <mergeCell ref="R48:S48"/>
    <mergeCell ref="T48:U48"/>
    <mergeCell ref="S17:W17"/>
    <mergeCell ref="M30:O49"/>
    <mergeCell ref="M25:N25"/>
    <mergeCell ref="P44:Q44"/>
    <mergeCell ref="R44:S44"/>
    <mergeCell ref="T44:U44"/>
    <mergeCell ref="P45:Q45"/>
    <mergeCell ref="R45:S45"/>
    <mergeCell ref="T45:U45"/>
    <mergeCell ref="P46:Q46"/>
    <mergeCell ref="R46:S46"/>
    <mergeCell ref="T46:U46"/>
    <mergeCell ref="P31:Q31"/>
    <mergeCell ref="P32:Q32"/>
    <mergeCell ref="P33:Q33"/>
    <mergeCell ref="P34:Q34"/>
    <mergeCell ref="B51:C52"/>
    <mergeCell ref="D51:E52"/>
    <mergeCell ref="P51:Q52"/>
    <mergeCell ref="F34:G34"/>
    <mergeCell ref="F35:G35"/>
    <mergeCell ref="F51:G52"/>
    <mergeCell ref="F50:G50"/>
    <mergeCell ref="D45:E45"/>
    <mergeCell ref="B50:C50"/>
    <mergeCell ref="D50:E50"/>
    <mergeCell ref="P50:Q50"/>
    <mergeCell ref="D39:E39"/>
    <mergeCell ref="B40:C40"/>
    <mergeCell ref="D40:E40"/>
    <mergeCell ref="B41:C41"/>
    <mergeCell ref="D41:E41"/>
    <mergeCell ref="F31:G31"/>
    <mergeCell ref="D31:E31"/>
    <mergeCell ref="T30:U30"/>
    <mergeCell ref="T32:U32"/>
    <mergeCell ref="R51:S52"/>
    <mergeCell ref="K33:L34"/>
    <mergeCell ref="K35:L35"/>
    <mergeCell ref="P35:Q35"/>
    <mergeCell ref="F33:G33"/>
    <mergeCell ref="P47:Q47"/>
    <mergeCell ref="P48:Q48"/>
    <mergeCell ref="P42:Q42"/>
    <mergeCell ref="P40:Q40"/>
    <mergeCell ref="P41:Q41"/>
    <mergeCell ref="T37:U37"/>
    <mergeCell ref="R31:S31"/>
    <mergeCell ref="P49:Q49"/>
    <mergeCell ref="B13:G13"/>
    <mergeCell ref="H13:M13"/>
    <mergeCell ref="B29:C29"/>
    <mergeCell ref="D29:E29"/>
    <mergeCell ref="F29:G29"/>
    <mergeCell ref="H25:L25"/>
    <mergeCell ref="B16:G16"/>
    <mergeCell ref="H16:M16"/>
    <mergeCell ref="B15:G15"/>
    <mergeCell ref="B25:G25"/>
    <mergeCell ref="M26:O29"/>
    <mergeCell ref="H26:L26"/>
    <mergeCell ref="H27:L27"/>
    <mergeCell ref="D49:E49"/>
    <mergeCell ref="B35:C35"/>
    <mergeCell ref="F49:G49"/>
    <mergeCell ref="B37:C37"/>
    <mergeCell ref="D37:E37"/>
    <mergeCell ref="F37:G37"/>
    <mergeCell ref="B38:C38"/>
    <mergeCell ref="F45:G45"/>
    <mergeCell ref="B49:C49"/>
    <mergeCell ref="D38:E38"/>
    <mergeCell ref="F38:G38"/>
    <mergeCell ref="B39:C39"/>
    <mergeCell ref="B47:C47"/>
    <mergeCell ref="F43:G43"/>
    <mergeCell ref="B45:C45"/>
    <mergeCell ref="B46:C46"/>
    <mergeCell ref="D46:E46"/>
    <mergeCell ref="F46:G46"/>
    <mergeCell ref="F36:G36"/>
    <mergeCell ref="F39:G39"/>
    <mergeCell ref="F40:G40"/>
    <mergeCell ref="F41:G41"/>
    <mergeCell ref="D44:E44"/>
    <mergeCell ref="F44:G44"/>
    <mergeCell ref="R32:S32"/>
    <mergeCell ref="K32:L32"/>
    <mergeCell ref="R33:S33"/>
    <mergeCell ref="P36:Q36"/>
    <mergeCell ref="X29:Y29"/>
    <mergeCell ref="R35:S35"/>
    <mergeCell ref="T31:U31"/>
    <mergeCell ref="R36:S36"/>
    <mergeCell ref="T33:U33"/>
    <mergeCell ref="R34:S34"/>
    <mergeCell ref="R29:S29"/>
    <mergeCell ref="R30:S30"/>
    <mergeCell ref="D34:E34"/>
    <mergeCell ref="B36:C36"/>
    <mergeCell ref="B34:C34"/>
    <mergeCell ref="F28:G28"/>
    <mergeCell ref="B28:E28"/>
    <mergeCell ref="B30:C30"/>
    <mergeCell ref="D35:E35"/>
    <mergeCell ref="D36:E36"/>
    <mergeCell ref="D30:E30"/>
    <mergeCell ref="F30:G30"/>
    <mergeCell ref="F32:G32"/>
    <mergeCell ref="B31:C31"/>
    <mergeCell ref="B32:C32"/>
    <mergeCell ref="B33:C33"/>
    <mergeCell ref="D32:E32"/>
    <mergeCell ref="D33:E33"/>
    <mergeCell ref="V29:W29"/>
    <mergeCell ref="V28:Y28"/>
    <mergeCell ref="T29:U29"/>
    <mergeCell ref="B26:E26"/>
    <mergeCell ref="F26:G26"/>
    <mergeCell ref="B27:E27"/>
    <mergeCell ref="F27:G27"/>
    <mergeCell ref="H29:J29"/>
    <mergeCell ref="R25:U28"/>
    <mergeCell ref="V25:Y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STS du 06/04/2011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091225 B5_C1B5 CaO</vt:lpstr>
      <vt:lpstr>'091225 B5_C1B5 CaO'!Zone_d_impression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2025-12-15T10:21:27Z</cp:lastPrinted>
  <dcterms:created xsi:type="dcterms:W3CDTF">2004-11-13T18:13:05Z</dcterms:created>
  <dcterms:modified xsi:type="dcterms:W3CDTF">2025-12-15T10:21:47Z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