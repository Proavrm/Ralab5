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P00J  Villeurbanne - Traversée T3 Dalkia\"/>
    </mc:Choice>
  </mc:AlternateContent>
  <xr:revisionPtr revIDLastSave="0" documentId="13_ncr:1_{2B87A77F-DBDA-4489-98E4-1C99DE537ED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130325 Traversée Tram" sheetId="1" r:id="rId1"/>
  </sheets>
  <definedNames>
    <definedName name="_xlnm.Print_Area" localSheetId="0">'130325 Traversée Tram'!$A$1:$Z$69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<sst xmlns="http://schemas.openxmlformats.org/spreadsheetml/2006/main" count="57" uniqueCount="55">
  <si>
    <t>COMPTE RENDU D'ESSAIS</t>
  </si>
  <si>
    <t>PORTANCES DES PLATES-FORMES DYNAPLAQUE 
(NF P 94-117-2 d'octobre 2004)</t>
  </si>
  <si>
    <t>PLD N°</t>
  </si>
  <si>
    <t>RA P00J</t>
  </si>
  <si>
    <t>13/03/2025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</si>
  <si>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</si>
  <si>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</si>
  <si>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</si>
  <si>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</si>
  <si>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</si>
  <si>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</si>
  <si>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</si>
  <si>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</si>
  <si>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</si>
  <si>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</si>
  <si>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Date de(s) essai(s) :</t>
  </si>
  <si>
    <t>Météo :</t>
  </si>
  <si>
    <t>Couvert</t>
  </si>
  <si>
    <t>Partie de l'ouvrage :</t>
  </si>
  <si>
    <t>Plan de situation :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</si>
  <si>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</si>
  <si>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</si>
  <si>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</si>
  <si>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</si>
  <si>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</si>
  <si>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</si>
  <si>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</si>
  <si>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</si>
  <si>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</si>
  <si>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</si>
  <si>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</si>
  <si>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</si>
  <si>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</si>
  <si>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</si>
  <si>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</si>
  <si>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</si>
  <si>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</si>
  <si>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</si>
  <si>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</si>
  <si>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</si>
  <si>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</si>
  <si>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</si>
  <si>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</si>
  <si>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</si>
  <si>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</si>
  <si>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</si>
  <si>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</si>
  <si>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</si>
  <si>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</si>
  <si>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Villeurbanne
Traversée T3 Dalkia</t>
  </si>
  <si>
    <t>Traversée RCU Tram</t>
  </si>
  <si>
    <t>In situ</t>
  </si>
  <si>
    <t>Non</t>
  </si>
  <si>
    <t>Côté voie pietonne</t>
  </si>
  <si>
    <t>Côté piste cyclable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</si>
</sst>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190500</xdr:colOff>
      <xdr:row>64</xdr:row>
      <xdr:rowOff>47626</xdr:rowOff>
    </xdr:from>
    <xdr:to>
      <xdr:col>25</xdr:col>
      <xdr:colOff>162291</xdr:colOff>
      <xdr:row>67</xdr:row>
      <xdr:rowOff>135256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EFD2042-2CF0-78CE-2EF1-F09FF0507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4087476"/>
          <a:ext cx="1733916" cy="687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topLeftCell="A7" workbookViewId="0">
      <selection activeCell="M27" sqref="M2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7"/>
      <c r="B1" s="138"/>
      <c r="C1" s="138"/>
      <c r="D1" s="138"/>
      <c r="E1" s="138"/>
      <c r="F1" s="139"/>
      <c r="G1" s="146" t="s">
        <v>0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8"/>
      <c r="U1" s="99" t="s">
        <v>49</v>
      </c>
      <c r="V1" s="100"/>
      <c r="W1" s="100"/>
      <c r="X1" s="100"/>
      <c r="Y1" s="100"/>
      <c r="Z1" s="101"/>
    </row>
    <row r="2" spans="1:26" ht="12.75" customHeight="1" x14ac:dyDescent="0.25">
      <c r="A2" s="140"/>
      <c r="B2" s="141"/>
      <c r="C2" s="141"/>
      <c r="D2" s="141"/>
      <c r="E2" s="141"/>
      <c r="F2" s="142"/>
      <c r="G2" s="150" t="s">
        <v>1</v>
      </c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2"/>
      <c r="U2" s="102"/>
      <c r="V2" s="103"/>
      <c r="W2" s="103"/>
      <c r="X2" s="103"/>
      <c r="Y2" s="103"/>
      <c r="Z2" s="104"/>
    </row>
    <row r="3" spans="1:26" ht="12.75" customHeight="1" x14ac:dyDescent="0.25">
      <c r="A3" s="140"/>
      <c r="B3" s="141"/>
      <c r="C3" s="141"/>
      <c r="D3" s="141"/>
      <c r="E3" s="141"/>
      <c r="F3" s="142"/>
      <c r="G3" s="150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2"/>
      <c r="U3" s="102"/>
      <c r="V3" s="103"/>
      <c r="W3" s="103"/>
      <c r="X3" s="103"/>
      <c r="Y3" s="103"/>
      <c r="Z3" s="104"/>
    </row>
    <row r="4" spans="1:26" ht="12.75" customHeight="1" x14ac:dyDescent="0.25">
      <c r="A4" s="140"/>
      <c r="B4" s="141"/>
      <c r="C4" s="141"/>
      <c r="D4" s="141"/>
      <c r="E4" s="141"/>
      <c r="F4" s="142"/>
      <c r="G4" s="150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02"/>
      <c r="V4" s="103"/>
      <c r="W4" s="103"/>
      <c r="X4" s="103"/>
      <c r="Y4" s="103"/>
      <c r="Z4" s="104"/>
    </row>
    <row r="5" spans="1:26" ht="12.75" customHeight="1" x14ac:dyDescent="0.25">
      <c r="A5" s="140"/>
      <c r="B5" s="141"/>
      <c r="C5" s="141"/>
      <c r="D5" s="141"/>
      <c r="E5" s="141"/>
      <c r="F5" s="142"/>
      <c r="G5" s="153" t="s">
        <v>2</v>
      </c>
      <c r="H5" s="154"/>
      <c r="I5" s="158">
        <v>1</v>
      </c>
      <c r="J5" s="158"/>
      <c r="K5" s="159"/>
      <c r="L5" s="161" t="s">
        <v>3</v>
      </c>
      <c r="M5" s="162"/>
      <c r="N5" s="162"/>
      <c r="O5" s="163"/>
      <c r="P5" s="164" t="s">
        <v>4</v>
      </c>
      <c r="Q5" s="165"/>
      <c r="R5" s="165"/>
      <c r="S5" s="165"/>
      <c r="T5" s="166"/>
      <c r="U5" s="102"/>
      <c r="V5" s="103"/>
      <c r="W5" s="103"/>
      <c r="X5" s="103"/>
      <c r="Y5" s="103"/>
      <c r="Z5" s="104"/>
    </row>
    <row r="6" spans="1:26" ht="12.75" customHeight="1" x14ac:dyDescent="0.25">
      <c r="A6" s="143"/>
      <c r="B6" s="144"/>
      <c r="C6" s="144"/>
      <c r="D6" s="144"/>
      <c r="E6" s="144"/>
      <c r="F6" s="145"/>
      <c r="G6" s="2"/>
      <c r="H6" s="3"/>
      <c r="I6" s="160" t="s">
        <v>5</v>
      </c>
      <c r="J6" s="160"/>
      <c r="K6" s="160"/>
      <c r="L6" s="160" t="s">
        <v>6</v>
      </c>
      <c r="M6" s="160"/>
      <c r="N6" s="160"/>
      <c r="O6" s="160"/>
      <c r="P6" s="160" t="s">
        <v>7</v>
      </c>
      <c r="Q6" s="160"/>
      <c r="R6" s="160"/>
      <c r="S6" s="160"/>
      <c r="T6" s="167"/>
      <c r="U6" s="105"/>
      <c r="V6" s="106"/>
      <c r="W6" s="106"/>
      <c r="X6" s="106"/>
      <c r="Y6" s="106"/>
      <c r="Z6" s="107"/>
    </row>
    <row r="7" spans="1:26" ht="36.6" customHeight="1" x14ac:dyDescent="0.25">
      <c r="A7" s="155" t="s">
        <v>8</v>
      </c>
      <c r="B7" s="155"/>
      <c r="C7" s="155"/>
      <c r="D7" s="155"/>
      <c r="E7" s="155"/>
      <c r="F7" s="155"/>
      <c r="G7" s="156" t="s">
        <v>9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49" t="s">
        <v>12</v>
      </c>
      <c r="C10" s="149"/>
      <c r="D10" s="149"/>
      <c r="E10" s="149"/>
      <c r="F10" s="149"/>
      <c r="G10" s="149"/>
      <c r="H10" s="157" t="s">
        <v>13</v>
      </c>
      <c r="I10" s="157"/>
      <c r="J10" s="157"/>
      <c r="K10" s="157"/>
      <c r="L10" s="157"/>
      <c r="M10" s="157"/>
      <c r="N10" s="149" t="s">
        <v>14</v>
      </c>
      <c r="O10" s="149"/>
      <c r="P10" s="149"/>
      <c r="Q10" s="149"/>
      <c r="R10" s="149"/>
      <c r="S10" s="122" t="s">
        <v>51</v>
      </c>
      <c r="T10" s="122"/>
      <c r="U10" s="122"/>
      <c r="V10" s="122"/>
      <c r="W10" s="122"/>
      <c r="X10" s="122"/>
      <c r="Y10" s="122"/>
      <c r="Z10" s="12"/>
    </row>
    <row r="11" spans="1:26" ht="15.9" customHeight="1" x14ac:dyDescent="0.25">
      <c r="A11" s="9"/>
      <c r="B11" s="149" t="s">
        <v>15</v>
      </c>
      <c r="C11" s="149"/>
      <c r="D11" s="149"/>
      <c r="E11" s="149"/>
      <c r="F11" s="149"/>
      <c r="G11" s="149"/>
      <c r="H11" s="157" t="s">
        <v>4</v>
      </c>
      <c r="I11" s="157"/>
      <c r="J11" s="157"/>
      <c r="K11" s="157"/>
      <c r="L11" s="157"/>
      <c r="M11" s="157"/>
      <c r="N11" s="149" t="s">
        <v>16</v>
      </c>
      <c r="O11" s="149"/>
      <c r="P11" s="149"/>
      <c r="Q11" s="149"/>
      <c r="R11" s="149"/>
      <c r="S11" s="122" t="s">
        <v>17</v>
      </c>
      <c r="T11" s="122"/>
      <c r="U11" s="122"/>
      <c r="V11" s="122"/>
      <c r="W11" s="122"/>
      <c r="X11" s="122"/>
      <c r="Y11" s="122"/>
      <c r="Z11" s="12"/>
    </row>
    <row r="12" spans="1:26" ht="15.9" customHeight="1" x14ac:dyDescent="0.25">
      <c r="A12" s="9"/>
      <c r="B12" s="149" t="s">
        <v>18</v>
      </c>
      <c r="C12" s="149"/>
      <c r="D12" s="149"/>
      <c r="E12" s="149"/>
      <c r="F12" s="149"/>
      <c r="G12" s="149"/>
      <c r="H12" s="157" t="s">
        <v>50</v>
      </c>
      <c r="I12" s="157"/>
      <c r="J12" s="157"/>
      <c r="K12" s="157"/>
      <c r="L12" s="157"/>
      <c r="M12" s="157"/>
      <c r="N12" s="149" t="s">
        <v>19</v>
      </c>
      <c r="O12" s="149"/>
      <c r="P12" s="149"/>
      <c r="Q12" s="149"/>
      <c r="R12" s="149"/>
      <c r="S12" s="122" t="s">
        <v>52</v>
      </c>
      <c r="T12" s="122"/>
      <c r="U12" s="122"/>
      <c r="V12" s="122"/>
      <c r="W12" s="122"/>
      <c r="X12" s="122"/>
      <c r="Y12" s="12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68" t="s">
        <v>22</v>
      </c>
      <c r="C17" s="168"/>
      <c r="D17" s="168"/>
      <c r="E17" s="168"/>
      <c r="F17" s="168"/>
      <c r="G17" s="168"/>
      <c r="H17" s="168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28"/>
    </row>
    <row r="18" spans="1:26" s="17" customFormat="1" ht="15" customHeight="1" x14ac:dyDescent="0.25">
      <c r="A18" s="24"/>
      <c r="B18" s="168" t="s">
        <v>23</v>
      </c>
      <c r="C18" s="168"/>
      <c r="D18" s="168"/>
      <c r="E18" s="168"/>
      <c r="F18" s="168"/>
      <c r="G18" s="168"/>
      <c r="H18" s="168"/>
      <c r="I18" s="178" t="s">
        <v>24</v>
      </c>
      <c r="J18" s="178"/>
      <c r="K18" s="27">
        <v>35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190" t="s">
        <v>28</v>
      </c>
      <c r="K21" s="190"/>
      <c r="L21" s="190"/>
      <c r="M21" s="190"/>
      <c r="N21" s="190"/>
      <c r="O21" s="190"/>
      <c r="P21" s="190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88" t="s">
        <v>29</v>
      </c>
      <c r="C23" s="123" t="s">
        <v>30</v>
      </c>
      <c r="D23" s="123"/>
      <c r="E23" s="123"/>
      <c r="F23" s="123"/>
      <c r="G23" s="124"/>
      <c r="H23" s="185" t="s">
        <v>31</v>
      </c>
      <c r="I23" s="186"/>
      <c r="J23" s="187"/>
      <c r="K23" s="123" t="s">
        <v>32</v>
      </c>
      <c r="L23" s="123"/>
      <c r="M23" s="123"/>
      <c r="N23" s="123"/>
      <c r="O23" s="123"/>
      <c r="P23" s="124"/>
      <c r="Z23" s="11"/>
    </row>
    <row r="24" spans="1:26" ht="15.75" customHeight="1" x14ac:dyDescent="0.25">
      <c r="A24" s="9"/>
      <c r="B24" s="189"/>
      <c r="C24" s="125"/>
      <c r="D24" s="125"/>
      <c r="E24" s="125"/>
      <c r="F24" s="125"/>
      <c r="G24" s="126"/>
      <c r="H24" s="182" t="s">
        <v>33</v>
      </c>
      <c r="I24" s="183"/>
      <c r="J24" s="184"/>
      <c r="K24" s="125"/>
      <c r="L24" s="125"/>
      <c r="M24" s="125"/>
      <c r="N24" s="125"/>
      <c r="O24" s="125"/>
      <c r="P24" s="126"/>
      <c r="Z24" s="11"/>
    </row>
    <row r="25" spans="1:26" ht="19.5" customHeight="1" x14ac:dyDescent="0.25">
      <c r="A25" s="9"/>
      <c r="B25" s="45">
        <v>1</v>
      </c>
      <c r="C25" s="208" t="s">
        <v>53</v>
      </c>
      <c r="D25" s="109"/>
      <c r="E25" s="109"/>
      <c r="F25" s="109"/>
      <c r="G25" s="110"/>
      <c r="H25" s="179">
        <v>96</v>
      </c>
      <c r="I25" s="180"/>
      <c r="J25" s="181"/>
      <c r="K25" s="108"/>
      <c r="L25" s="109"/>
      <c r="M25" s="109"/>
      <c r="N25" s="109"/>
      <c r="O25" s="109"/>
      <c r="P25" s="110"/>
      <c r="Z25" s="11"/>
    </row>
    <row r="26" spans="1:26" ht="19.5" customHeight="1" x14ac:dyDescent="0.25">
      <c r="A26" s="9"/>
      <c r="B26" s="45">
        <v>2</v>
      </c>
      <c r="C26" s="208" t="s">
        <v>54</v>
      </c>
      <c r="D26" s="109"/>
      <c r="E26" s="109"/>
      <c r="F26" s="109"/>
      <c r="G26" s="110"/>
      <c r="H26" s="179">
        <v>86</v>
      </c>
      <c r="I26" s="180"/>
      <c r="J26" s="181"/>
      <c r="K26" s="108"/>
      <c r="L26" s="109"/>
      <c r="M26" s="109"/>
      <c r="N26" s="109"/>
      <c r="O26" s="109"/>
      <c r="P26" s="110"/>
      <c r="Z26" s="11"/>
    </row>
    <row r="27" spans="1:26" ht="19.5" customHeight="1" x14ac:dyDescent="0.25">
      <c r="A27" s="9"/>
      <c r="B27" s="200"/>
      <c r="C27" s="69"/>
      <c r="D27" s="70"/>
      <c r="E27" s="70"/>
      <c r="F27" s="70"/>
      <c r="G27" s="71"/>
      <c r="H27" s="66"/>
      <c r="I27" s="67"/>
      <c r="J27" s="68"/>
      <c r="K27" s="69"/>
      <c r="L27" s="70"/>
      <c r="M27" s="70"/>
      <c r="N27" s="70"/>
      <c r="O27" s="70"/>
      <c r="P27" s="71"/>
      <c r="Z27" s="11"/>
    </row>
    <row r="28" spans="1:26" ht="19.5" customHeight="1" x14ac:dyDescent="0.25">
      <c r="A28" s="9"/>
      <c r="B28" s="200"/>
      <c r="C28" s="69"/>
      <c r="D28" s="70"/>
      <c r="E28" s="70"/>
      <c r="F28" s="70"/>
      <c r="G28" s="71"/>
      <c r="H28" s="66"/>
      <c r="I28" s="67"/>
      <c r="J28" s="68"/>
      <c r="K28" s="69"/>
      <c r="L28" s="70"/>
      <c r="M28" s="70"/>
      <c r="N28" s="70"/>
      <c r="O28" s="70"/>
      <c r="P28" s="71"/>
      <c r="Z28" s="11"/>
    </row>
    <row r="29" spans="1:26" ht="19.5" customHeight="1" x14ac:dyDescent="0.25">
      <c r="A29" s="9"/>
      <c r="B29" s="200"/>
      <c r="C29" s="69"/>
      <c r="D29" s="70"/>
      <c r="E29" s="70"/>
      <c r="F29" s="70"/>
      <c r="G29" s="71"/>
      <c r="H29" s="66"/>
      <c r="I29" s="67"/>
      <c r="J29" s="68"/>
      <c r="K29" s="69"/>
      <c r="L29" s="70"/>
      <c r="M29" s="70"/>
      <c r="N29" s="70"/>
      <c r="O29" s="70"/>
      <c r="P29" s="71"/>
      <c r="Z29" s="11"/>
    </row>
    <row r="30" spans="1:26" ht="19.5" customHeight="1" x14ac:dyDescent="0.25">
      <c r="A30" s="9"/>
      <c r="B30" s="200"/>
      <c r="C30" s="69"/>
      <c r="D30" s="70"/>
      <c r="E30" s="70"/>
      <c r="F30" s="70"/>
      <c r="G30" s="71"/>
      <c r="H30" s="66"/>
      <c r="I30" s="67"/>
      <c r="J30" s="68"/>
      <c r="K30" s="69"/>
      <c r="L30" s="70"/>
      <c r="M30" s="70"/>
      <c r="N30" s="70"/>
      <c r="O30" s="70"/>
      <c r="P30" s="71"/>
      <c r="Z30" s="11"/>
    </row>
    <row r="31" spans="1:26" ht="19.5" customHeight="1" x14ac:dyDescent="0.25">
      <c r="A31" s="9"/>
      <c r="B31" s="200"/>
      <c r="C31" s="69"/>
      <c r="D31" s="70"/>
      <c r="E31" s="70"/>
      <c r="F31" s="70"/>
      <c r="G31" s="71"/>
      <c r="H31" s="66"/>
      <c r="I31" s="67"/>
      <c r="J31" s="68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200"/>
      <c r="C32" s="69"/>
      <c r="D32" s="70"/>
      <c r="E32" s="70"/>
      <c r="F32" s="70"/>
      <c r="G32" s="71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200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200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200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200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200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200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200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200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200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200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200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200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200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200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200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200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200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200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200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200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200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201"/>
      <c r="D54" s="202"/>
      <c r="E54" s="202"/>
      <c r="F54" s="202"/>
      <c r="G54" s="203"/>
      <c r="H54" s="204"/>
      <c r="I54" s="205"/>
      <c r="J54" s="206"/>
      <c r="K54" s="201"/>
      <c r="L54" s="202"/>
      <c r="M54" s="202"/>
      <c r="N54" s="202"/>
      <c r="O54" s="202"/>
      <c r="P54" s="203"/>
      <c r="Z54" s="11"/>
    </row>
    <row r="55" spans="1:26" ht="15.75" customHeight="1" x14ac:dyDescent="0.25">
      <c r="A55" s="9"/>
      <c r="B55" s="197" t="s">
        <v>34</v>
      </c>
      <c r="C55" s="198"/>
      <c r="D55" s="198"/>
      <c r="E55" s="198"/>
      <c r="F55" s="198"/>
      <c r="G55" s="199"/>
      <c r="H55" s="131">
        <f>AVERAGE(H25:J54)</f>
        <v>91</v>
      </c>
      <c r="I55" s="132"/>
      <c r="J55" s="133"/>
      <c r="K55" s="116" t="s">
        <v>35</v>
      </c>
      <c r="L55" s="117"/>
      <c r="M55" s="111" t="s">
        <v>36</v>
      </c>
      <c r="N55" s="111"/>
      <c r="O55" s="111"/>
      <c r="P55" s="112"/>
      <c r="Z55" s="11"/>
    </row>
    <row r="56" spans="1:26" ht="15.75" customHeight="1" x14ac:dyDescent="0.25">
      <c r="A56" s="9"/>
      <c r="B56" s="191" t="s">
        <v>37</v>
      </c>
      <c r="C56" s="192"/>
      <c r="D56" s="192"/>
      <c r="E56" s="192"/>
      <c r="F56" s="192"/>
      <c r="G56" s="193"/>
      <c r="H56" s="134">
        <f>IF(COUNTIF(H25:J54,"*&lt;20*"),"&lt;20",MIN(H25:J54))</f>
        <v>86</v>
      </c>
      <c r="I56" s="135"/>
      <c r="J56" s="136"/>
      <c r="K56" s="118"/>
      <c r="L56" s="119"/>
      <c r="M56" s="92"/>
      <c r="N56" s="92"/>
      <c r="O56" s="92"/>
      <c r="P56" s="113"/>
      <c r="Z56" s="11"/>
    </row>
    <row r="57" spans="1:26" ht="15.75" customHeight="1" x14ac:dyDescent="0.25">
      <c r="A57" s="9"/>
      <c r="B57" s="194" t="s">
        <v>38</v>
      </c>
      <c r="C57" s="195"/>
      <c r="D57" s="195"/>
      <c r="E57" s="195"/>
      <c r="F57" s="195"/>
      <c r="G57" s="196"/>
      <c r="H57" s="128">
        <f>IF(COUNTIF(H25:J54,"*&gt;250*"),"&gt;250",MAX(H25:J54))</f>
        <v>96</v>
      </c>
      <c r="I57" s="129"/>
      <c r="J57" s="130"/>
      <c r="K57" s="120"/>
      <c r="L57" s="121"/>
      <c r="M57" s="114"/>
      <c r="N57" s="114"/>
      <c r="O57" s="114"/>
      <c r="P57" s="115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39</v>
      </c>
      <c r="B60" s="5" t="s">
        <v>40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72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5" t="s">
        <v>42</v>
      </c>
      <c r="S61" s="76"/>
      <c r="T61" s="77"/>
      <c r="U61" s="207" t="s">
        <v>13</v>
      </c>
      <c r="V61" s="78"/>
      <c r="W61" s="78"/>
      <c r="X61" s="79"/>
      <c r="Y61" s="79"/>
      <c r="Z61" s="80"/>
    </row>
    <row r="62" spans="1:26" s="17" customFormat="1" ht="15.6" customHeight="1" x14ac:dyDescent="0.25">
      <c r="A62" s="81" t="s">
        <v>43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3"/>
      <c r="R62" s="75" t="s">
        <v>44</v>
      </c>
      <c r="S62" s="76"/>
      <c r="T62" s="77"/>
      <c r="U62" s="87" t="s">
        <v>45</v>
      </c>
      <c r="V62" s="88"/>
      <c r="W62" s="88"/>
      <c r="X62" s="89"/>
      <c r="Y62" s="89"/>
      <c r="Z62" s="90"/>
    </row>
    <row r="63" spans="1:26" s="17" customFormat="1" ht="15.6" customHeight="1" x14ac:dyDescent="0.25">
      <c r="A63" s="84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6"/>
      <c r="R63" s="75"/>
      <c r="S63" s="76"/>
      <c r="T63" s="77"/>
      <c r="U63" s="91"/>
      <c r="V63" s="92"/>
      <c r="W63" s="92"/>
      <c r="X63" s="93"/>
      <c r="Y63" s="93"/>
      <c r="Z63" s="94"/>
    </row>
    <row r="64" spans="1:26" s="17" customFormat="1" ht="15.6" customHeight="1" x14ac:dyDescent="0.25">
      <c r="A64" s="55" t="s">
        <v>46</v>
      </c>
      <c r="B64" s="56" t="s">
        <v>47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75"/>
      <c r="S64" s="76"/>
      <c r="T64" s="77"/>
      <c r="U64" s="95"/>
      <c r="V64" s="96"/>
      <c r="W64" s="96"/>
      <c r="X64" s="97"/>
      <c r="Y64" s="97"/>
      <c r="Z64" s="98"/>
    </row>
    <row r="65" spans="1:26" s="17" customFormat="1" ht="15.6" customHeight="1" x14ac:dyDescent="0.25">
      <c r="A65" s="169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1"/>
      <c r="R65" s="75" t="s">
        <v>48</v>
      </c>
      <c r="S65" s="76"/>
      <c r="T65" s="77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69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1"/>
      <c r="R66" s="75"/>
      <c r="S66" s="76"/>
      <c r="T66" s="77"/>
      <c r="U66" s="61"/>
      <c r="V66" s="92"/>
      <c r="W66" s="92"/>
      <c r="X66" s="92"/>
      <c r="Y66" s="92"/>
      <c r="Z66" s="62"/>
    </row>
    <row r="67" spans="1:26" s="17" customFormat="1" ht="15.6" customHeight="1" x14ac:dyDescent="0.25">
      <c r="A67" s="169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1"/>
      <c r="R67" s="75"/>
      <c r="S67" s="76"/>
      <c r="T67" s="77"/>
      <c r="U67" s="61"/>
      <c r="V67" s="92"/>
      <c r="W67" s="92"/>
      <c r="X67" s="92"/>
      <c r="Y67" s="92"/>
      <c r="Z67" s="62"/>
    </row>
    <row r="68" spans="1:26" s="17" customFormat="1" ht="15.6" customHeight="1" x14ac:dyDescent="0.25">
      <c r="A68" s="172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4"/>
      <c r="R68" s="175"/>
      <c r="S68" s="176"/>
      <c r="T68" s="17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C26:G26"/>
    <mergeCell ref="H26:J26"/>
    <mergeCell ref="N12:R12"/>
    <mergeCell ref="H12:M12"/>
    <mergeCell ref="H11:M11"/>
    <mergeCell ref="N11:R11"/>
    <mergeCell ref="A65:Q68"/>
    <mergeCell ref="R65:T68"/>
    <mergeCell ref="K26:P2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130325 Traversée Tram</vt:lpstr>
      <vt:lpstr>'130325 Traversée Tram'!Zone_d_impression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2025-03-13T10:29:27Z</cp:lastPrinted>
  <dcterms:created xsi:type="dcterms:W3CDTF">2004-11-13T18:13:05Z</dcterms:created>
  <dcterms:modified xsi:type="dcterms:W3CDTF">2025-03-13T10:29:42Z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