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4\01\RA O60A  Oyonnax - IDEX\Essais de laboratoire\Enrobés\"/>
    </mc:Choice>
  </mc:AlternateContent>
  <xr:revisionPtr revIDLastSave="0" documentId="13_ncr:1_{B653719E-336A-4596-A693-227844F60D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90824 BBSG" sheetId="10" r:id="rId1"/>
    <sheet name="290824 GB" sheetId="9" r:id="rId2"/>
  </sheets>
  <definedNames>
    <definedName name="_xlnm.Print_Area" localSheetId="0">'290824 BBSG'!$A$1:$Z$70</definedName>
    <definedName name="_xlnm.Print_Area" localSheetId="1">'290824 GB'!$A$1:$Z$70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10" l="1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Y52" i="10"/>
  <c r="AD51" i="10"/>
  <c r="AB51" i="10"/>
  <c r="Q57" i="9"/>
  <c r="AE52" i="10" l="1"/>
  <c r="AE53" i="10"/>
  <c r="AD57" i="10"/>
  <c r="AE57" i="10" s="1"/>
  <c r="AE54" i="10"/>
  <c r="AE51" i="10"/>
  <c r="Y51" i="10" s="1"/>
  <c r="Y57" i="10" s="1"/>
  <c r="AE58" i="10"/>
  <c r="Y58" i="10" s="1"/>
  <c r="L59" i="9"/>
  <c r="L60" i="9"/>
  <c r="U57" i="9" l="1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<sst xmlns="http://schemas.openxmlformats.org/spreadsheetml/2006/main" count="132" uniqueCount="71">
  <si>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</si>
  <si>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</si>
  <si>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</si>
  <si>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</si>
  <si>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</si>
  <si>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</si>
  <si>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</si>
  <si>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</si>
  <si>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</si>
  <si>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</si>
  <si>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</si>
  <si>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</si>
  <si>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</si>
  <si>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</si>
  <si>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</si>
  <si>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</si>
  <si>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</si>
  <si>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</si>
  <si>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</si>
  <si>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</si>
  <si>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</si>
  <si>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</si>
  <si>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</si>
  <si>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</si>
  <si>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</si>
  <si>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</si>
  <si>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</si>
  <si>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</si>
  <si>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</si>
  <si>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</si>
  <si>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</si>
  <si>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</si>
  <si>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</si>
  <si>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</si>
  <si>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</si>
  <si>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</si>
  <si>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</si>
  <si>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</si>
  <si>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</si>
  <si>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</si>
  <si>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</si>
  <si>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</si>
  <si>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</si>
  <si>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</si>
  <si>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</si>
  <si>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</si>
  <si>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</si>
  <si>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</si>
  <si>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</si>
  <si>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</si>
  <si>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</si>
  <si>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</si>
  <si>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Conforme</t>
  </si>
  <si>
    <t>IDEX - Oyonnax</t>
  </si>
  <si>
    <t>RA O60A</t>
  </si>
  <si>
    <t>F. Montet</t>
  </si>
  <si>
    <t>29/08/2024</t>
  </si>
  <si>
    <t>GB 0/14 Classe 3</t>
  </si>
  <si>
    <t>EB 14 ASSISE 50/70</t>
  </si>
  <si>
    <t>SEG</t>
  </si>
  <si>
    <t>Route de la forge</t>
  </si>
  <si>
    <t>143PA30</t>
  </si>
  <si>
    <t>Roulement provisoire</t>
  </si>
  <si>
    <t>F. MONTET</t>
  </si>
  <si>
    <t>Technicien de laboratoire</t>
  </si>
  <si>
    <t>EB 10 ROUL 50/70</t>
  </si>
  <si>
    <t>Rue du capitaine Montréal</t>
  </si>
  <si>
    <t>100PA20</t>
  </si>
  <si>
    <t>BBSG 0/10 Classe 3 R20</t>
  </si>
  <si>
    <t>9H00</t>
  </si>
  <si>
    <t>14H00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</si>
</sst>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b/>
      <sz val="10"/>
      <color theme="0"/>
      <name val="Century Gothic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4" fillId="0" borderId="0"/>
    <xf numFmtId="0" fontId="27" fillId="0" borderId="0"/>
  </cellStyleXfs>
  <cellXfs count="30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2" fillId="0" borderId="63" xfId="0" applyNumberFormat="1" applyFont="1" applyBorder="1" applyAlignment="1">
      <alignment horizontal="center" vertical="center" wrapText="1"/>
    </xf>
    <xf numFmtId="164" fontId="22" fillId="0" borderId="62" xfId="0" applyNumberFormat="1" applyFont="1" applyBorder="1" applyAlignment="1" applyProtection="1">
      <alignment horizontal="center" vertical="center"/>
      <protection locked="0"/>
    </xf>
    <xf numFmtId="164" fontId="22" fillId="0" borderId="63" xfId="0" applyNumberFormat="1" applyFont="1" applyBorder="1" applyAlignment="1" applyProtection="1">
      <alignment horizontal="center" vertical="center"/>
      <protection locked="0"/>
    </xf>
    <xf numFmtId="164" fontId="22" fillId="0" borderId="60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164" fontId="22" fillId="0" borderId="64" xfId="0" applyNumberFormat="1" applyFont="1" applyBorder="1" applyAlignment="1" applyProtection="1">
      <alignment horizontal="center" vertical="center"/>
      <protection locked="0"/>
    </xf>
    <xf numFmtId="164" fontId="22" fillId="0" borderId="62" xfId="0" applyNumberFormat="1" applyFont="1" applyBorder="1" applyAlignment="1" applyProtection="1">
      <alignment horizontal="center" vertical="center"/>
      <protection locked="0"/>
    </xf>
    <xf numFmtId="2" fontId="22" fillId="0" borderId="60" xfId="0" applyNumberFormat="1" applyFont="1" applyBorder="1" applyAlignment="1" applyProtection="1">
      <alignment horizontal="center" vertical="center"/>
      <protection locked="0"/>
    </xf>
    <xf numFmtId="2" fontId="22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5" fillId="0" borderId="0" xfId="0" applyNumberFormat="1" applyFont="1" applyAlignment="1" applyProtection="1">
      <alignment horizontal="left" vertical="center" wrapText="1"/>
      <protection locked="0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3" fillId="0" borderId="65" xfId="0" applyFont="1" applyBorder="1" applyAlignment="1" applyProtection="1">
      <alignment horizontal="center" vertical="center" wrapText="1"/>
      <protection locked="0"/>
    </xf>
    <xf numFmtId="0" fontId="23" fillId="0" borderId="66" xfId="0" applyFont="1" applyBorder="1" applyAlignment="1" applyProtection="1">
      <alignment horizontal="center" vertical="center" wrapText="1"/>
      <protection locked="0"/>
    </xf>
    <xf numFmtId="0" fontId="23" fillId="0" borderId="67" xfId="0" applyFont="1" applyBorder="1" applyAlignment="1" applyProtection="1">
      <alignment horizontal="center" vertical="center" wrapText="1"/>
      <protection locked="0"/>
    </xf>
    <xf numFmtId="0" fontId="23" fillId="0" borderId="68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69" xfId="0" applyFont="1" applyBorder="1" applyAlignment="1" applyProtection="1">
      <alignment horizontal="center" vertical="center" wrapText="1"/>
      <protection locked="0"/>
    </xf>
    <xf numFmtId="0" fontId="23" fillId="0" borderId="60" xfId="0" applyFont="1" applyBorder="1" applyAlignment="1" applyProtection="1">
      <alignment horizontal="center" vertical="center" wrapText="1"/>
      <protection locked="0"/>
    </xf>
    <xf numFmtId="0" fontId="23" fillId="0" borderId="61" xfId="0" applyFont="1" applyBorder="1" applyAlignment="1" applyProtection="1">
      <alignment horizontal="center" vertical="center" wrapText="1"/>
      <protection locked="0"/>
    </xf>
    <xf numFmtId="0" fontId="23" fillId="0" borderId="6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24" fillId="0" borderId="68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69" xfId="0" applyFont="1" applyBorder="1" applyAlignment="1" applyProtection="1">
      <alignment horizontal="center" vertical="center"/>
      <protection locked="0"/>
    </xf>
    <xf numFmtId="14" fontId="24" fillId="0" borderId="68" xfId="0" applyNumberFormat="1" applyFont="1" applyBorder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14" fontId="24" fillId="0" borderId="69" xfId="0" applyNumberFormat="1" applyFont="1" applyBorder="1" applyAlignment="1" applyProtection="1">
      <alignment horizontal="center" vertical="center"/>
      <protection locked="0"/>
    </xf>
    <xf numFmtId="1" fontId="20" fillId="0" borderId="63" xfId="0" applyNumberFormat="1" applyFont="1" applyBorder="1" applyAlignment="1" applyProtection="1">
      <alignment horizontal="center" vertical="center"/>
      <protection locked="0"/>
    </xf>
    <xf numFmtId="1" fontId="22" fillId="0" borderId="63" xfId="0" applyNumberFormat="1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64" fontId="26" fillId="0" borderId="23" xfId="0" applyNumberFormat="1" applyFont="1" applyBorder="1" applyAlignment="1">
      <alignment horizontal="center" vertical="center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  <xf numFmtId="0" fontId="19" fillId="0" borderId="60" xfId="2" applyFont="1" applyBorder="1" applyAlignment="1">
      <alignment horizontal="center" vertical="center" wrapText="1"/>
    </xf>
    <xf numFmtId="0" fontId="19" fillId="0" borderId="62" xfId="2" applyFont="1" applyBorder="1" applyAlignment="1">
      <alignment horizontal="center" vertical="center" wrapText="1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0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1" fontId="20" fillId="0" borderId="63" xfId="2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FCCA7935-096C-4ECE-8467-34F4835D0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'290824 BBSG'!$E$50:$Q$50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'290824 BBSG'!$E$57:$W$57</c:f>
              <c:numCache>
                <c:formatCode>0.0</c:formatCode>
                <c:ptCount val="19"/>
                <c:pt idx="0">
                  <c:v>7.5</c:v>
                </c:pt>
                <c:pt idx="1">
                  <c:v>9.6999999999999993</c:v>
                </c:pt>
                <c:pt idx="2">
                  <c:v>12.7</c:v>
                </c:pt>
                <c:pt idx="3">
                  <c:v>16.399999999999999</c:v>
                </c:pt>
                <c:pt idx="4">
                  <c:v>21.6</c:v>
                </c:pt>
                <c:pt idx="5">
                  <c:v>31.5</c:v>
                </c:pt>
                <c:pt idx="6">
                  <c:v>46.5</c:v>
                </c:pt>
                <c:pt idx="7">
                  <c:v>64.2</c:v>
                </c:pt>
                <c:pt idx="8">
                  <c:v>80.5</c:v>
                </c:pt>
                <c:pt idx="9">
                  <c:v>97.6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9B-4B55-8CBF-D1739B7C31E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'290824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BBSG'!$E$58:$W$58</c:f>
              <c:numCache>
                <c:formatCode>0.0</c:formatCode>
                <c:ptCount val="19"/>
                <c:pt idx="0">
                  <c:v>7.1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46</c:v>
                </c:pt>
                <c:pt idx="7">
                  <c:v>64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9B-4B55-8CBF-D1739B7C31E2}"/>
            </c:ext>
          </c:extLst>
        </c:ser>
        <c:ser>
          <c:idx val="2"/>
          <c:order val="2"/>
          <c:tx>
            <c:v>Valeur mini</c:v>
          </c:tx>
          <c:xVal>
            <c:numRef>
              <c:f>'290824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GB'!$E$56:$W$56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89B-4B55-8CBF-D1739B7C31E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'290824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BBSG'!$E$60:$W$60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26</c:v>
                </c:pt>
                <c:pt idx="7">
                  <c:v>57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9B-4B55-8CBF-D1739B7C31E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'290824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BBSG'!$E$59:$W$59</c:f>
              <c:numCache>
                <c:formatCode>0.0</c:formatCode>
                <c:ptCount val="19"/>
                <c:pt idx="0">
                  <c:v>9.1</c:v>
                </c:pt>
                <c:pt idx="5">
                  <c:v>38</c:v>
                </c:pt>
                <c:pt idx="7">
                  <c:v>71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9B-4B55-8CBF-D1739B7C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'290824 GB'!$E$50:$Q$50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'290824 GB'!$E$57:$W$57</c:f>
              <c:numCache>
                <c:formatCode>0.0</c:formatCode>
                <c:ptCount val="19"/>
                <c:pt idx="0">
                  <c:v>8.6</c:v>
                </c:pt>
                <c:pt idx="1">
                  <c:v>10.9</c:v>
                </c:pt>
                <c:pt idx="2">
                  <c:v>13.9</c:v>
                </c:pt>
                <c:pt idx="3">
                  <c:v>17.7</c:v>
                </c:pt>
                <c:pt idx="4">
                  <c:v>23.2</c:v>
                </c:pt>
                <c:pt idx="5">
                  <c:v>33.1</c:v>
                </c:pt>
                <c:pt idx="6">
                  <c:v>48.6</c:v>
                </c:pt>
                <c:pt idx="7">
                  <c:v>67</c:v>
                </c:pt>
                <c:pt idx="8">
                  <c:v>77.599999999999994</c:v>
                </c:pt>
                <c:pt idx="9">
                  <c:v>88.8</c:v>
                </c:pt>
                <c:pt idx="10">
                  <c:v>95</c:v>
                </c:pt>
                <c:pt idx="11">
                  <c:v>98.4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4.4800000000000004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'290824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GB'!$E$58:$W$58</c:f>
              <c:numCache>
                <c:formatCode>0.0</c:formatCode>
                <c:ptCount val="19"/>
                <c:pt idx="0">
                  <c:v>8.4</c:v>
                </c:pt>
                <c:pt idx="1">
                  <c:v>#N/A</c:v>
                </c:pt>
                <c:pt idx="2">
                  <c:v>14</c:v>
                </c:pt>
                <c:pt idx="3">
                  <c:v>17</c:v>
                </c:pt>
                <c:pt idx="4">
                  <c:v>23</c:v>
                </c:pt>
                <c:pt idx="5">
                  <c:v>32</c:v>
                </c:pt>
                <c:pt idx="6">
                  <c:v>46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>
                  <c:v>92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'290824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GB'!$E$56:$W$56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'290824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GB'!$E$60:$W$60</c:f>
              <c:numCache>
                <c:formatCode>0.0</c:formatCode>
                <c:ptCount val="19"/>
                <c:pt idx="0">
                  <c:v>6.4</c:v>
                </c:pt>
                <c:pt idx="5">
                  <c:v>26</c:v>
                </c:pt>
                <c:pt idx="7">
                  <c:v>54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'290824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'290824 GB'!$E$59:$W$59</c:f>
              <c:numCache>
                <c:formatCode>0.0</c:formatCode>
                <c:ptCount val="19"/>
                <c:pt idx="0">
                  <c:v>10.4</c:v>
                </c:pt>
                <c:pt idx="5">
                  <c:v>38</c:v>
                </c:pt>
                <c:pt idx="7">
                  <c:v>68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6EA1F0-32C5-480F-9B3F-7A8420DEB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859B7BD-31C6-43BB-9CFC-B7DB7E624032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9D07887-9657-4525-9FAD-5B75B097E065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9D3DF00-D6E7-4592-B956-BE01E9195BD8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00BD344-F9E7-4366-A286-BC9891F94EF9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B952037-1AC8-4CA3-B398-7BA26D99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5273434-3F76-446C-93B6-01F68C3048B7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2BDA592-0093-4E06-A8C4-80A48F668071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DD94882-F7E0-4E32-AE9B-807A27D2359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8AEA321-7E5B-4F12-8DBA-9A06070B9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DE5C-1D98-4B08-B734-E3204D9C1DDA}">
  <sheetPr>
    <pageSetUpPr fitToPage="1"/>
  </sheetPr>
  <dimension ref="A1:AN70"/>
  <sheetViews>
    <sheetView tabSelected="1" topLeftCell="A50" zoomScaleNormal="100" workbookViewId="0">
      <selection activeCell="T51" sqref="T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7"/>
      <c r="B1" s="258"/>
      <c r="C1" s="258"/>
      <c r="D1" s="258"/>
      <c r="E1" s="258"/>
      <c r="F1" s="259"/>
      <c r="G1" s="266" t="s">
        <v>33</v>
      </c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8"/>
      <c r="U1" s="269" t="s">
        <v>53</v>
      </c>
      <c r="V1" s="270"/>
      <c r="W1" s="270"/>
      <c r="X1" s="270"/>
      <c r="Y1" s="270"/>
      <c r="Z1" s="271"/>
      <c r="AA1" s="78"/>
    </row>
    <row r="2" spans="1:36" ht="12.6" customHeight="1" x14ac:dyDescent="0.25">
      <c r="A2" s="260"/>
      <c r="B2" s="261"/>
      <c r="C2" s="261"/>
      <c r="D2" s="261"/>
      <c r="E2" s="261"/>
      <c r="F2" s="262"/>
      <c r="G2" s="278" t="s">
        <v>39</v>
      </c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80"/>
      <c r="U2" s="272"/>
      <c r="V2" s="273"/>
      <c r="W2" s="273"/>
      <c r="X2" s="273"/>
      <c r="Y2" s="273"/>
      <c r="Z2" s="274"/>
      <c r="AA2" s="78"/>
    </row>
    <row r="3" spans="1:36" ht="12.6" customHeight="1" x14ac:dyDescent="0.25">
      <c r="A3" s="260"/>
      <c r="B3" s="261"/>
      <c r="C3" s="261"/>
      <c r="D3" s="261"/>
      <c r="E3" s="261"/>
      <c r="F3" s="262"/>
      <c r="G3" s="281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80"/>
      <c r="U3" s="272"/>
      <c r="V3" s="273"/>
      <c r="W3" s="273"/>
      <c r="X3" s="273"/>
      <c r="Y3" s="273"/>
      <c r="Z3" s="274"/>
      <c r="AA3" s="78"/>
    </row>
    <row r="4" spans="1:36" ht="12.6" customHeight="1" x14ac:dyDescent="0.25">
      <c r="A4" s="260"/>
      <c r="B4" s="261"/>
      <c r="C4" s="261"/>
      <c r="D4" s="261"/>
      <c r="E4" s="261"/>
      <c r="F4" s="262"/>
      <c r="G4" s="281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272"/>
      <c r="V4" s="273"/>
      <c r="W4" s="273"/>
      <c r="X4" s="273"/>
      <c r="Y4" s="273"/>
      <c r="Z4" s="274"/>
      <c r="AA4" s="78"/>
    </row>
    <row r="5" spans="1:36" ht="12.6" customHeight="1" x14ac:dyDescent="0.25">
      <c r="A5" s="260"/>
      <c r="B5" s="261"/>
      <c r="C5" s="261"/>
      <c r="D5" s="261"/>
      <c r="E5" s="261"/>
      <c r="F5" s="262"/>
      <c r="G5" s="281" t="s">
        <v>40</v>
      </c>
      <c r="H5" s="279"/>
      <c r="I5" s="2" t="s">
        <v>34</v>
      </c>
      <c r="J5" s="242">
        <v>2</v>
      </c>
      <c r="K5" s="282"/>
      <c r="L5" s="283" t="s">
        <v>54</v>
      </c>
      <c r="M5" s="284"/>
      <c r="N5" s="284"/>
      <c r="O5" s="285"/>
      <c r="P5" s="286">
        <v>45537</v>
      </c>
      <c r="Q5" s="287"/>
      <c r="R5" s="287"/>
      <c r="S5" s="287"/>
      <c r="T5" s="288"/>
      <c r="U5" s="272"/>
      <c r="V5" s="273"/>
      <c r="W5" s="273"/>
      <c r="X5" s="273"/>
      <c r="Y5" s="273"/>
      <c r="Z5" s="274"/>
      <c r="AA5" s="78"/>
    </row>
    <row r="6" spans="1:36" ht="12.6" customHeight="1" x14ac:dyDescent="0.25">
      <c r="A6" s="263"/>
      <c r="B6" s="264"/>
      <c r="C6" s="264"/>
      <c r="D6" s="264"/>
      <c r="E6" s="264"/>
      <c r="F6" s="265"/>
      <c r="G6" s="3"/>
      <c r="H6" s="4"/>
      <c r="I6" s="4"/>
      <c r="J6" s="253" t="s">
        <v>35</v>
      </c>
      <c r="K6" s="253"/>
      <c r="L6" s="253" t="s">
        <v>36</v>
      </c>
      <c r="M6" s="253"/>
      <c r="N6" s="253"/>
      <c r="O6" s="253"/>
      <c r="P6" s="253" t="s">
        <v>37</v>
      </c>
      <c r="Q6" s="253"/>
      <c r="R6" s="253"/>
      <c r="S6" s="253"/>
      <c r="T6" s="254"/>
      <c r="U6" s="275"/>
      <c r="V6" s="276"/>
      <c r="W6" s="276"/>
      <c r="X6" s="276"/>
      <c r="Y6" s="276"/>
      <c r="Z6" s="277"/>
      <c r="AA6" s="78"/>
    </row>
    <row r="7" spans="1:36" ht="36.6" customHeight="1" x14ac:dyDescent="0.25">
      <c r="A7" s="255" t="s">
        <v>38</v>
      </c>
      <c r="B7" s="255"/>
      <c r="C7" s="255"/>
      <c r="D7" s="255"/>
      <c r="E7" s="255"/>
      <c r="F7" s="255"/>
      <c r="G7" s="256" t="s">
        <v>32</v>
      </c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1" t="s">
        <v>27</v>
      </c>
      <c r="C10" s="241"/>
      <c r="D10" s="241"/>
      <c r="E10" s="241"/>
      <c r="F10" s="241"/>
      <c r="G10" s="251" t="s">
        <v>55</v>
      </c>
      <c r="H10" s="251"/>
      <c r="I10" s="251"/>
      <c r="J10" s="251"/>
      <c r="K10" s="251"/>
      <c r="L10" s="251"/>
      <c r="M10" s="241" t="s">
        <v>30</v>
      </c>
      <c r="N10" s="241"/>
      <c r="O10" s="241"/>
      <c r="P10" s="241"/>
      <c r="Q10" s="241"/>
      <c r="R10" s="241"/>
      <c r="S10" s="249" t="s">
        <v>59</v>
      </c>
      <c r="T10" s="249"/>
      <c r="U10" s="249"/>
      <c r="V10" s="249"/>
      <c r="W10" s="249"/>
      <c r="X10" s="249"/>
      <c r="Y10" s="249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241" t="s">
        <v>6</v>
      </c>
      <c r="C11" s="241"/>
      <c r="D11" s="241"/>
      <c r="E11" s="241"/>
      <c r="F11" s="241"/>
      <c r="G11" s="250">
        <v>45537</v>
      </c>
      <c r="H11" s="251"/>
      <c r="I11" s="251"/>
      <c r="J11" s="251"/>
      <c r="K11" s="251"/>
      <c r="L11" s="251"/>
      <c r="M11" s="241" t="s">
        <v>44</v>
      </c>
      <c r="N11" s="241"/>
      <c r="O11" s="241"/>
      <c r="P11" s="241"/>
      <c r="Q11" s="241"/>
      <c r="R11" s="241"/>
      <c r="S11" s="249" t="s">
        <v>66</v>
      </c>
      <c r="T11" s="249"/>
      <c r="U11" s="249"/>
      <c r="V11" s="249"/>
      <c r="W11" s="249"/>
      <c r="X11" s="249"/>
      <c r="Y11" s="249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241" t="s">
        <v>28</v>
      </c>
      <c r="C12" s="241"/>
      <c r="D12" s="241"/>
      <c r="E12" s="241"/>
      <c r="F12" s="241"/>
      <c r="G12" s="250" t="s">
        <v>56</v>
      </c>
      <c r="H12" s="251"/>
      <c r="I12" s="251"/>
      <c r="J12" s="251"/>
      <c r="K12" s="251"/>
      <c r="L12" s="251"/>
      <c r="M12" s="252" t="s">
        <v>43</v>
      </c>
      <c r="N12" s="252"/>
      <c r="O12" s="252"/>
      <c r="P12" s="252"/>
      <c r="Q12" s="252"/>
      <c r="R12" s="252"/>
      <c r="S12" s="249" t="s">
        <v>67</v>
      </c>
      <c r="T12" s="249"/>
      <c r="U12" s="249"/>
      <c r="V12" s="249"/>
      <c r="W12" s="249"/>
      <c r="X12" s="249"/>
      <c r="Y12" s="24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47" t="s">
        <v>41</v>
      </c>
      <c r="C13" s="247"/>
      <c r="D13" s="247"/>
      <c r="E13" s="247"/>
      <c r="F13" s="247"/>
      <c r="G13" s="248" t="s">
        <v>65</v>
      </c>
      <c r="H13" s="248"/>
      <c r="I13" s="248"/>
      <c r="J13" s="248"/>
      <c r="K13" s="248"/>
      <c r="L13" s="248"/>
      <c r="M13" s="241" t="s">
        <v>29</v>
      </c>
      <c r="N13" s="241"/>
      <c r="O13" s="241"/>
      <c r="P13" s="241"/>
      <c r="Q13" s="241"/>
      <c r="R13" s="241"/>
      <c r="S13" s="248" t="s">
        <v>62</v>
      </c>
      <c r="T13" s="248"/>
      <c r="U13" s="248"/>
      <c r="V13" s="248"/>
      <c r="W13" s="248"/>
      <c r="X13" s="248"/>
      <c r="Y13" s="248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241" t="s">
        <v>42</v>
      </c>
      <c r="C14" s="241"/>
      <c r="D14" s="241"/>
      <c r="E14" s="241"/>
      <c r="F14" s="241"/>
      <c r="G14" s="248" t="s">
        <v>68</v>
      </c>
      <c r="H14" s="248"/>
      <c r="I14" s="248"/>
      <c r="J14" s="248"/>
      <c r="K14" s="248"/>
      <c r="L14" s="248"/>
      <c r="M14" s="249" t="s">
        <v>26</v>
      </c>
      <c r="N14" s="249"/>
      <c r="O14" s="249"/>
      <c r="P14" s="249"/>
      <c r="Q14" s="249"/>
      <c r="R14" s="249"/>
      <c r="S14" s="249" t="s">
        <v>49</v>
      </c>
      <c r="T14" s="249"/>
      <c r="U14" s="249"/>
      <c r="V14" s="249"/>
      <c r="W14" s="249"/>
      <c r="X14" s="249"/>
      <c r="Y14" s="249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1" t="s">
        <v>19</v>
      </c>
      <c r="C19" s="241"/>
      <c r="D19" s="241"/>
      <c r="E19" s="241"/>
      <c r="F19" s="241"/>
      <c r="G19" s="241"/>
      <c r="H19" s="241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17"/>
      <c r="AA19" s="75"/>
      <c r="AE19" s="20"/>
      <c r="AI19" s="20"/>
    </row>
    <row r="20" spans="1:40" ht="15.9" customHeight="1" x14ac:dyDescent="0.25">
      <c r="A20" s="13"/>
      <c r="B20" s="241" t="s">
        <v>20</v>
      </c>
      <c r="C20" s="241"/>
      <c r="D20" s="241"/>
      <c r="E20" s="241"/>
      <c r="F20" s="241"/>
      <c r="G20" s="241"/>
      <c r="H20" s="241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3" t="s">
        <v>16</v>
      </c>
      <c r="AE47" s="245">
        <v>2.6930000000000001</v>
      </c>
      <c r="AF47" s="210"/>
      <c r="AG47" s="222"/>
      <c r="AH47" s="39"/>
    </row>
    <row r="48" spans="1:34" ht="12.75" customHeight="1" thickBot="1" x14ac:dyDescent="0.3">
      <c r="A48" s="18"/>
      <c r="Z48" s="87"/>
      <c r="AD48" s="244"/>
      <c r="AE48" s="246"/>
      <c r="AF48" s="221"/>
      <c r="AG48" s="222"/>
    </row>
    <row r="49" spans="1:34" ht="18.75" customHeight="1" thickBot="1" x14ac:dyDescent="0.3">
      <c r="A49" s="18"/>
      <c r="E49" s="223" t="s">
        <v>11</v>
      </c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5" t="s">
        <v>47</v>
      </c>
      <c r="V49" s="226"/>
      <c r="W49" s="227" t="s">
        <v>12</v>
      </c>
      <c r="X49" s="226"/>
      <c r="Y49" s="228" t="s">
        <v>13</v>
      </c>
      <c r="Z49" s="229"/>
      <c r="AA49" s="82"/>
      <c r="AB49" s="232" t="s">
        <v>45</v>
      </c>
      <c r="AC49" s="233"/>
      <c r="AD49" s="236" t="s">
        <v>14</v>
      </c>
      <c r="AE49" s="238" t="s">
        <v>15</v>
      </c>
      <c r="AF49" s="210"/>
      <c r="AG49" s="210"/>
      <c r="AH49" s="40"/>
    </row>
    <row r="50" spans="1:34" ht="24.9" customHeight="1" thickBot="1" x14ac:dyDescent="0.3">
      <c r="A50" s="5"/>
      <c r="B50" s="41" t="s">
        <v>22</v>
      </c>
      <c r="C50" s="211" t="s">
        <v>10</v>
      </c>
      <c r="D50" s="21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61"/>
      <c r="V50" s="163"/>
      <c r="W50" s="162"/>
      <c r="X50" s="163"/>
      <c r="Y50" s="230"/>
      <c r="Z50" s="231"/>
      <c r="AA50" s="82"/>
      <c r="AB50" s="234"/>
      <c r="AC50" s="235"/>
      <c r="AD50" s="237"/>
      <c r="AE50" s="239"/>
      <c r="AF50" s="240"/>
      <c r="AG50" s="210"/>
    </row>
    <row r="51" spans="1:34" ht="24.9" customHeight="1" x14ac:dyDescent="0.25">
      <c r="A51" s="5"/>
      <c r="B51" s="43">
        <v>1</v>
      </c>
      <c r="C51" s="302" t="s">
        <v>70</v>
      </c>
      <c r="D51" s="303"/>
      <c r="E51" s="298">
        <v>7.5</v>
      </c>
      <c r="F51" s="299">
        <v>9.6999999999999993</v>
      </c>
      <c r="G51" s="300">
        <v>12.7</v>
      </c>
      <c r="H51" s="300">
        <v>16.399999999999999</v>
      </c>
      <c r="I51" s="300">
        <v>21.6</v>
      </c>
      <c r="J51" s="300">
        <v>31.5</v>
      </c>
      <c r="K51" s="300">
        <v>46.5</v>
      </c>
      <c r="L51" s="300">
        <v>64.2</v>
      </c>
      <c r="M51" s="300">
        <v>80.5</v>
      </c>
      <c r="N51" s="300">
        <v>97.6</v>
      </c>
      <c r="O51" s="308">
        <v>100</v>
      </c>
      <c r="P51" s="300"/>
      <c r="Q51" s="300"/>
      <c r="R51" s="300"/>
      <c r="S51" s="301"/>
      <c r="T51" s="301"/>
      <c r="U51" s="304">
        <v>172</v>
      </c>
      <c r="V51" s="305"/>
      <c r="W51" s="306">
        <v>5.17</v>
      </c>
      <c r="X51" s="307"/>
      <c r="Y51" s="219">
        <f>IF(W51&lt;&gt;0,AE51,"")</f>
        <v>3.2570797659288231</v>
      </c>
      <c r="Z51" s="220"/>
      <c r="AA51" s="80"/>
      <c r="AB51" s="178">
        <f>(100*W51)/(100-W51)</f>
        <v>5.4518612253506271</v>
      </c>
      <c r="AC51" s="179"/>
      <c r="AD51" s="67">
        <f>(0.25*(100-O51)+2.3*(O51-H51)+12*(H51-E51)+150*(E51))/100</f>
        <v>14.2408</v>
      </c>
      <c r="AE51" s="68">
        <f>(AB51*$AE$47)/(2.65*(AD51)^(1/5))</f>
        <v>3.2570797659288231</v>
      </c>
      <c r="AF51" s="29"/>
      <c r="AG51" s="66"/>
    </row>
    <row r="52" spans="1:34" ht="24.9" customHeight="1" x14ac:dyDescent="0.25">
      <c r="A52" s="5"/>
      <c r="B52" s="44">
        <v>2</v>
      </c>
      <c r="C52" s="199"/>
      <c r="D52" s="200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290"/>
      <c r="P52" s="120"/>
      <c r="Q52" s="120"/>
      <c r="R52" s="120"/>
      <c r="S52" s="121"/>
      <c r="T52" s="121"/>
      <c r="U52" s="201"/>
      <c r="V52" s="202"/>
      <c r="W52" s="203"/>
      <c r="X52" s="204"/>
      <c r="Y52" s="205" t="str">
        <f>IF(W52&lt;&gt;0,AE52,"")</f>
        <v/>
      </c>
      <c r="Z52" s="206"/>
      <c r="AA52" s="80"/>
      <c r="AB52" s="178">
        <f>(100*W52)/(100-W52)</f>
        <v>0</v>
      </c>
      <c r="AC52" s="179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55"/>
      <c r="D53" s="20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291"/>
      <c r="P53" s="92"/>
      <c r="Q53" s="92"/>
      <c r="R53" s="92"/>
      <c r="S53" s="92"/>
      <c r="T53" s="93"/>
      <c r="U53" s="152"/>
      <c r="V53" s="153"/>
      <c r="W53" s="208"/>
      <c r="X53" s="209"/>
      <c r="Y53" s="205" t="str">
        <f t="shared" ref="Y53:Y54" si="2">IF(W53&lt;&gt;0,AE53,"")</f>
        <v/>
      </c>
      <c r="Z53" s="206"/>
      <c r="AA53" s="80"/>
      <c r="AB53" s="178">
        <f>(100*W53)/(100-W53)</f>
        <v>0</v>
      </c>
      <c r="AC53" s="17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67"/>
      <c r="D54" s="18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292"/>
      <c r="P54" s="96"/>
      <c r="Q54" s="96"/>
      <c r="R54" s="96"/>
      <c r="S54" s="96"/>
      <c r="T54" s="97"/>
      <c r="U54" s="190"/>
      <c r="V54" s="191"/>
      <c r="W54" s="192"/>
      <c r="X54" s="193"/>
      <c r="Y54" s="194" t="str">
        <f t="shared" si="2"/>
        <v/>
      </c>
      <c r="Z54" s="195"/>
      <c r="AA54" s="80"/>
      <c r="AB54" s="178">
        <f>(100*W54)/(100-W54)</f>
        <v>0</v>
      </c>
      <c r="AC54" s="17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293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196" t="s">
        <v>8</v>
      </c>
      <c r="C56" s="197"/>
      <c r="D56" s="19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294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69" t="s">
        <v>7</v>
      </c>
      <c r="C57" s="170"/>
      <c r="D57" s="171"/>
      <c r="E57" s="98">
        <f t="shared" ref="E57:T57" si="3">IF(E51&lt;&gt;0,AVERAGE(E51:E54),"")</f>
        <v>7.5</v>
      </c>
      <c r="F57" s="98">
        <f t="shared" si="3"/>
        <v>9.6999999999999993</v>
      </c>
      <c r="G57" s="98">
        <f t="shared" si="3"/>
        <v>12.7</v>
      </c>
      <c r="H57" s="98">
        <f t="shared" si="3"/>
        <v>16.399999999999999</v>
      </c>
      <c r="I57" s="98">
        <f t="shared" si="3"/>
        <v>21.6</v>
      </c>
      <c r="J57" s="98">
        <f t="shared" si="3"/>
        <v>31.5</v>
      </c>
      <c r="K57" s="98">
        <f t="shared" si="3"/>
        <v>46.5</v>
      </c>
      <c r="L57" s="98">
        <f t="shared" si="3"/>
        <v>64.2</v>
      </c>
      <c r="M57" s="98">
        <f t="shared" si="3"/>
        <v>80.5</v>
      </c>
      <c r="N57" s="98">
        <f t="shared" si="3"/>
        <v>97.6</v>
      </c>
      <c r="O57" s="295">
        <f t="shared" si="3"/>
        <v>100</v>
      </c>
      <c r="P57" s="98"/>
      <c r="Q57" s="98"/>
      <c r="R57" s="98"/>
      <c r="S57" s="98" t="str">
        <f t="shared" si="3"/>
        <v/>
      </c>
      <c r="T57" s="99" t="str">
        <f t="shared" si="3"/>
        <v/>
      </c>
      <c r="U57" s="172">
        <f>IF(U51&lt;&gt;0,AVERAGE(U51:V54),"")</f>
        <v>172</v>
      </c>
      <c r="V57" s="173"/>
      <c r="W57" s="174">
        <f>IF(W51&lt;&gt;0,AVERAGE(W51:X54),"")</f>
        <v>5.17</v>
      </c>
      <c r="X57" s="175"/>
      <c r="Y57" s="176">
        <f>IF(W51&lt;&gt;0,AVERAGE(Y51:Z54),"")</f>
        <v>3.2570797659288231</v>
      </c>
      <c r="Z57" s="177"/>
      <c r="AA57" s="66"/>
      <c r="AB57" s="178">
        <f>(100*W57)/(100-W57)</f>
        <v>5.4518612253506271</v>
      </c>
      <c r="AC57" s="179"/>
      <c r="AD57" s="67">
        <f t="shared" si="0"/>
        <v>14.2408</v>
      </c>
      <c r="AE57" s="68">
        <f t="shared" si="1"/>
        <v>3.2570797659288231</v>
      </c>
      <c r="AF57" s="29"/>
      <c r="AG57" s="66"/>
    </row>
    <row r="58" spans="1:34" ht="21" customHeight="1" x14ac:dyDescent="0.25">
      <c r="A58" s="5"/>
      <c r="B58" s="180" t="s">
        <v>9</v>
      </c>
      <c r="C58" s="181"/>
      <c r="D58" s="182"/>
      <c r="E58" s="100">
        <v>7.1</v>
      </c>
      <c r="F58" s="297" t="e">
        <v>#N/A</v>
      </c>
      <c r="G58" s="100">
        <v>12</v>
      </c>
      <c r="H58" s="100">
        <v>16</v>
      </c>
      <c r="I58" s="100">
        <v>22</v>
      </c>
      <c r="J58" s="100">
        <v>32</v>
      </c>
      <c r="K58" s="100">
        <v>46</v>
      </c>
      <c r="L58" s="100">
        <v>64</v>
      </c>
      <c r="M58" s="100">
        <v>80</v>
      </c>
      <c r="N58" s="100">
        <v>95</v>
      </c>
      <c r="O58" s="296">
        <v>100</v>
      </c>
      <c r="P58" s="100"/>
      <c r="Q58" s="100"/>
      <c r="R58" s="100"/>
      <c r="S58" s="100"/>
      <c r="T58" s="101"/>
      <c r="U58" s="183"/>
      <c r="V58" s="184"/>
      <c r="W58" s="185">
        <v>5.4</v>
      </c>
      <c r="X58" s="186"/>
      <c r="Y58" s="187">
        <f>AE58</f>
        <v>3.4392723849358631</v>
      </c>
      <c r="Z58" s="188"/>
      <c r="AA58" s="66"/>
      <c r="AB58" s="178">
        <f>(100*W58)/(100-W58)</f>
        <v>5.7082452431289648</v>
      </c>
      <c r="AC58" s="179"/>
      <c r="AD58" s="67">
        <f t="shared" si="0"/>
        <v>13.65</v>
      </c>
      <c r="AE58" s="68">
        <f t="shared" si="1"/>
        <v>3.4392723849358631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</v>
      </c>
      <c r="F59" s="92"/>
      <c r="G59" s="92"/>
      <c r="H59" s="92"/>
      <c r="I59" s="92"/>
      <c r="J59" s="92">
        <f>J58+6</f>
        <v>38</v>
      </c>
      <c r="K59" s="92"/>
      <c r="L59" s="92">
        <f>L58+7</f>
        <v>71</v>
      </c>
      <c r="M59" s="92"/>
      <c r="N59" s="92"/>
      <c r="O59" s="92"/>
      <c r="P59" s="92"/>
      <c r="Q59" s="92"/>
      <c r="R59" s="92"/>
      <c r="S59" s="92"/>
      <c r="T59" s="93"/>
      <c r="U59" s="152"/>
      <c r="V59" s="153"/>
      <c r="W59" s="154">
        <f>W58+0.5</f>
        <v>5.9</v>
      </c>
      <c r="X59" s="153"/>
      <c r="Y59" s="155"/>
      <c r="Z59" s="156"/>
      <c r="AA59" s="83"/>
      <c r="AB59" s="71"/>
      <c r="AC59" s="69"/>
      <c r="AD59" s="157"/>
      <c r="AE59" s="159" t="s">
        <v>46</v>
      </c>
      <c r="AF59" s="29"/>
      <c r="AG59" s="66"/>
    </row>
    <row r="60" spans="1:34" ht="13.5" customHeight="1" thickBot="1" x14ac:dyDescent="0.3">
      <c r="A60" s="5"/>
      <c r="B60" s="161" t="s">
        <v>24</v>
      </c>
      <c r="C60" s="162"/>
      <c r="D60" s="163"/>
      <c r="E60" s="102">
        <f>E58-2</f>
        <v>5.0999999999999996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57</v>
      </c>
      <c r="M60" s="102"/>
      <c r="N60" s="103"/>
      <c r="O60" s="103"/>
      <c r="P60" s="103"/>
      <c r="Q60" s="102"/>
      <c r="R60" s="103"/>
      <c r="S60" s="103"/>
      <c r="T60" s="104"/>
      <c r="U60" s="164"/>
      <c r="V60" s="165"/>
      <c r="W60" s="166">
        <f>W58-0.5</f>
        <v>4.9000000000000004</v>
      </c>
      <c r="X60" s="165"/>
      <c r="Y60" s="167"/>
      <c r="Z60" s="168"/>
      <c r="AA60" s="84"/>
      <c r="AB60" s="72"/>
      <c r="AC60" s="73"/>
      <c r="AD60" s="158"/>
      <c r="AE60" s="16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35"/>
      <c r="V63" s="135"/>
      <c r="W63" s="135"/>
      <c r="X63" s="135"/>
      <c r="Y63" s="135"/>
      <c r="Z63" s="136"/>
      <c r="AA63" s="81"/>
      <c r="AB63" s="58"/>
      <c r="AC63" s="58"/>
      <c r="AD63" s="59"/>
    </row>
    <row r="64" spans="1:34" ht="26.4" customHeight="1" x14ac:dyDescent="0.25">
      <c r="A64" s="137" t="s">
        <v>48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9"/>
      <c r="R64" s="128" t="s">
        <v>31</v>
      </c>
      <c r="S64" s="129"/>
      <c r="T64" s="130"/>
      <c r="U64" s="140" t="s">
        <v>63</v>
      </c>
      <c r="V64" s="141"/>
      <c r="W64" s="141"/>
      <c r="X64" s="141"/>
      <c r="Y64" s="141"/>
      <c r="Z64" s="142"/>
      <c r="AA64" s="76"/>
      <c r="AB64" s="60"/>
      <c r="AC64" s="60"/>
      <c r="AD64" s="59"/>
    </row>
    <row r="65" spans="1:30" ht="26.4" customHeight="1" x14ac:dyDescent="0.25">
      <c r="A65" s="143" t="s">
        <v>52</v>
      </c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5"/>
      <c r="R65" s="128" t="s">
        <v>51</v>
      </c>
      <c r="S65" s="129"/>
      <c r="T65" s="130"/>
      <c r="U65" s="146" t="s">
        <v>64</v>
      </c>
      <c r="V65" s="147"/>
      <c r="W65" s="147"/>
      <c r="X65" s="147"/>
      <c r="Y65" s="147"/>
      <c r="Z65" s="14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28"/>
      <c r="S66" s="129"/>
      <c r="T66" s="130"/>
      <c r="U66" s="149"/>
      <c r="V66" s="150"/>
      <c r="W66" s="150"/>
      <c r="X66" s="150"/>
      <c r="Y66" s="150"/>
      <c r="Z66" s="151"/>
      <c r="AA66" s="76"/>
      <c r="AB66" s="60"/>
      <c r="AC66" s="60"/>
      <c r="AD66" s="59"/>
    </row>
    <row r="67" spans="1:30" ht="15.6" customHeight="1" x14ac:dyDescent="0.25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4"/>
      <c r="R67" s="128" t="s">
        <v>25</v>
      </c>
      <c r="S67" s="129"/>
      <c r="T67" s="13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4"/>
      <c r="R68" s="128"/>
      <c r="S68" s="129"/>
      <c r="T68" s="130"/>
      <c r="U68" s="108"/>
      <c r="V68" s="134"/>
      <c r="W68" s="134"/>
      <c r="X68" s="134"/>
      <c r="Y68" s="134"/>
      <c r="Z68" s="109"/>
      <c r="AA68" s="77"/>
      <c r="AB68" s="65"/>
      <c r="AC68" s="65"/>
      <c r="AD68" s="59"/>
    </row>
    <row r="69" spans="1:30" ht="15.6" customHeight="1" x14ac:dyDescent="0.25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4"/>
      <c r="R69" s="128"/>
      <c r="S69" s="129"/>
      <c r="T69" s="130"/>
      <c r="U69" s="108"/>
      <c r="V69" s="134"/>
      <c r="W69" s="134"/>
      <c r="X69" s="134"/>
      <c r="Y69" s="134"/>
      <c r="Z69" s="109"/>
      <c r="AA69" s="77"/>
      <c r="AB69" s="65"/>
      <c r="AC69" s="65"/>
      <c r="AD69" s="59"/>
    </row>
    <row r="70" spans="1:30" ht="15.6" customHeight="1" x14ac:dyDescent="0.25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7"/>
      <c r="R70" s="131"/>
      <c r="S70" s="132"/>
      <c r="T70" s="13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L6:O6"/>
    <mergeCell ref="C51:D51"/>
    <mergeCell ref="U51:V51"/>
    <mergeCell ref="W51:X51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AB68" sqref="AB6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57"/>
      <c r="B1" s="258"/>
      <c r="C1" s="258"/>
      <c r="D1" s="258"/>
      <c r="E1" s="258"/>
      <c r="F1" s="259"/>
      <c r="G1" s="266" t="s">
        <v>33</v>
      </c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8"/>
      <c r="U1" s="269" t="s">
        <v>53</v>
      </c>
      <c r="V1" s="270"/>
      <c r="W1" s="270"/>
      <c r="X1" s="270"/>
      <c r="Y1" s="270"/>
      <c r="Z1" s="271"/>
      <c r="AA1" s="78"/>
    </row>
    <row r="2" spans="1:36" ht="12.6" customHeight="1" x14ac:dyDescent="0.25">
      <c r="A2" s="260"/>
      <c r="B2" s="261"/>
      <c r="C2" s="261"/>
      <c r="D2" s="261"/>
      <c r="E2" s="261"/>
      <c r="F2" s="262"/>
      <c r="G2" s="278" t="s">
        <v>39</v>
      </c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80"/>
      <c r="U2" s="272"/>
      <c r="V2" s="273"/>
      <c r="W2" s="273"/>
      <c r="X2" s="273"/>
      <c r="Y2" s="273"/>
      <c r="Z2" s="274"/>
      <c r="AA2" s="78"/>
    </row>
    <row r="3" spans="1:36" ht="12.6" customHeight="1" x14ac:dyDescent="0.25">
      <c r="A3" s="260"/>
      <c r="B3" s="261"/>
      <c r="C3" s="261"/>
      <c r="D3" s="261"/>
      <c r="E3" s="261"/>
      <c r="F3" s="262"/>
      <c r="G3" s="281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80"/>
      <c r="U3" s="272"/>
      <c r="V3" s="273"/>
      <c r="W3" s="273"/>
      <c r="X3" s="273"/>
      <c r="Y3" s="273"/>
      <c r="Z3" s="274"/>
      <c r="AA3" s="78"/>
    </row>
    <row r="4" spans="1:36" ht="12.6" customHeight="1" x14ac:dyDescent="0.25">
      <c r="A4" s="260"/>
      <c r="B4" s="261"/>
      <c r="C4" s="261"/>
      <c r="D4" s="261"/>
      <c r="E4" s="261"/>
      <c r="F4" s="262"/>
      <c r="G4" s="281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272"/>
      <c r="V4" s="273"/>
      <c r="W4" s="273"/>
      <c r="X4" s="273"/>
      <c r="Y4" s="273"/>
      <c r="Z4" s="274"/>
      <c r="AA4" s="78"/>
    </row>
    <row r="5" spans="1:36" ht="12.6" customHeight="1" x14ac:dyDescent="0.25">
      <c r="A5" s="260"/>
      <c r="B5" s="261"/>
      <c r="C5" s="261"/>
      <c r="D5" s="261"/>
      <c r="E5" s="261"/>
      <c r="F5" s="262"/>
      <c r="G5" s="281" t="s">
        <v>40</v>
      </c>
      <c r="H5" s="279"/>
      <c r="I5" s="2" t="s">
        <v>34</v>
      </c>
      <c r="J5" s="242">
        <v>1</v>
      </c>
      <c r="K5" s="282"/>
      <c r="L5" s="283" t="s">
        <v>54</v>
      </c>
      <c r="M5" s="284"/>
      <c r="N5" s="284"/>
      <c r="O5" s="285"/>
      <c r="P5" s="286">
        <v>45537</v>
      </c>
      <c r="Q5" s="287"/>
      <c r="R5" s="287"/>
      <c r="S5" s="287"/>
      <c r="T5" s="288"/>
      <c r="U5" s="272"/>
      <c r="V5" s="273"/>
      <c r="W5" s="273"/>
      <c r="X5" s="273"/>
      <c r="Y5" s="273"/>
      <c r="Z5" s="274"/>
      <c r="AA5" s="78"/>
    </row>
    <row r="6" spans="1:36" ht="12.6" customHeight="1" x14ac:dyDescent="0.25">
      <c r="A6" s="263"/>
      <c r="B6" s="264"/>
      <c r="C6" s="264"/>
      <c r="D6" s="264"/>
      <c r="E6" s="264"/>
      <c r="F6" s="265"/>
      <c r="G6" s="3"/>
      <c r="H6" s="4"/>
      <c r="I6" s="4"/>
      <c r="J6" s="253" t="s">
        <v>35</v>
      </c>
      <c r="K6" s="253"/>
      <c r="L6" s="253" t="s">
        <v>36</v>
      </c>
      <c r="M6" s="253"/>
      <c r="N6" s="253"/>
      <c r="O6" s="253"/>
      <c r="P6" s="253" t="s">
        <v>37</v>
      </c>
      <c r="Q6" s="253"/>
      <c r="R6" s="253"/>
      <c r="S6" s="253"/>
      <c r="T6" s="254"/>
      <c r="U6" s="275"/>
      <c r="V6" s="276"/>
      <c r="W6" s="276"/>
      <c r="X6" s="276"/>
      <c r="Y6" s="276"/>
      <c r="Z6" s="277"/>
      <c r="AA6" s="78"/>
    </row>
    <row r="7" spans="1:36" ht="36.6" customHeight="1" x14ac:dyDescent="0.25">
      <c r="A7" s="255" t="s">
        <v>38</v>
      </c>
      <c r="B7" s="255"/>
      <c r="C7" s="255"/>
      <c r="D7" s="255"/>
      <c r="E7" s="255"/>
      <c r="F7" s="255"/>
      <c r="G7" s="256" t="s">
        <v>32</v>
      </c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41" t="s">
        <v>27</v>
      </c>
      <c r="C10" s="241"/>
      <c r="D10" s="241"/>
      <c r="E10" s="241"/>
      <c r="F10" s="241"/>
      <c r="G10" s="251" t="s">
        <v>55</v>
      </c>
      <c r="H10" s="251"/>
      <c r="I10" s="251"/>
      <c r="J10" s="251"/>
      <c r="K10" s="251"/>
      <c r="L10" s="251"/>
      <c r="M10" s="241" t="s">
        <v>30</v>
      </c>
      <c r="N10" s="241"/>
      <c r="O10" s="241"/>
      <c r="P10" s="241"/>
      <c r="Q10" s="241"/>
      <c r="R10" s="241"/>
      <c r="S10" s="249" t="s">
        <v>59</v>
      </c>
      <c r="T10" s="249"/>
      <c r="U10" s="249"/>
      <c r="V10" s="249"/>
      <c r="W10" s="249"/>
      <c r="X10" s="249"/>
      <c r="Y10" s="249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241" t="s">
        <v>6</v>
      </c>
      <c r="C11" s="241"/>
      <c r="D11" s="241"/>
      <c r="E11" s="241"/>
      <c r="F11" s="241"/>
      <c r="G11" s="250">
        <v>45537</v>
      </c>
      <c r="H11" s="251"/>
      <c r="I11" s="251"/>
      <c r="J11" s="251"/>
      <c r="K11" s="251"/>
      <c r="L11" s="251"/>
      <c r="M11" s="241" t="s">
        <v>44</v>
      </c>
      <c r="N11" s="241"/>
      <c r="O11" s="241"/>
      <c r="P11" s="241"/>
      <c r="Q11" s="241"/>
      <c r="R11" s="241"/>
      <c r="S11" s="249" t="s">
        <v>60</v>
      </c>
      <c r="T11" s="249"/>
      <c r="U11" s="249"/>
      <c r="V11" s="249"/>
      <c r="W11" s="249"/>
      <c r="X11" s="249"/>
      <c r="Y11" s="249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241" t="s">
        <v>28</v>
      </c>
      <c r="C12" s="241"/>
      <c r="D12" s="241"/>
      <c r="E12" s="241"/>
      <c r="F12" s="241"/>
      <c r="G12" s="250" t="s">
        <v>56</v>
      </c>
      <c r="H12" s="251"/>
      <c r="I12" s="251"/>
      <c r="J12" s="251"/>
      <c r="K12" s="251"/>
      <c r="L12" s="251"/>
      <c r="M12" s="252" t="s">
        <v>43</v>
      </c>
      <c r="N12" s="252"/>
      <c r="O12" s="252"/>
      <c r="P12" s="252"/>
      <c r="Q12" s="252"/>
      <c r="R12" s="252"/>
      <c r="S12" s="249" t="s">
        <v>61</v>
      </c>
      <c r="T12" s="249"/>
      <c r="U12" s="249"/>
      <c r="V12" s="249"/>
      <c r="W12" s="249"/>
      <c r="X12" s="249"/>
      <c r="Y12" s="24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47" t="s">
        <v>41</v>
      </c>
      <c r="C13" s="247"/>
      <c r="D13" s="247"/>
      <c r="E13" s="247"/>
      <c r="F13" s="247"/>
      <c r="G13" s="248" t="s">
        <v>58</v>
      </c>
      <c r="H13" s="248"/>
      <c r="I13" s="248"/>
      <c r="J13" s="248"/>
      <c r="K13" s="248"/>
      <c r="L13" s="248"/>
      <c r="M13" s="241" t="s">
        <v>29</v>
      </c>
      <c r="N13" s="241"/>
      <c r="O13" s="241"/>
      <c r="P13" s="241"/>
      <c r="Q13" s="241"/>
      <c r="R13" s="241"/>
      <c r="S13" s="248" t="s">
        <v>62</v>
      </c>
      <c r="T13" s="248"/>
      <c r="U13" s="248"/>
      <c r="V13" s="248"/>
      <c r="W13" s="248"/>
      <c r="X13" s="248"/>
      <c r="Y13" s="248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241" t="s">
        <v>42</v>
      </c>
      <c r="C14" s="241"/>
      <c r="D14" s="241"/>
      <c r="E14" s="241"/>
      <c r="F14" s="241"/>
      <c r="G14" s="248" t="s">
        <v>57</v>
      </c>
      <c r="H14" s="248"/>
      <c r="I14" s="248"/>
      <c r="J14" s="248"/>
      <c r="K14" s="248"/>
      <c r="L14" s="248"/>
      <c r="M14" s="249" t="s">
        <v>26</v>
      </c>
      <c r="N14" s="249"/>
      <c r="O14" s="249"/>
      <c r="P14" s="249"/>
      <c r="Q14" s="249"/>
      <c r="R14" s="249"/>
      <c r="S14" s="249" t="s">
        <v>49</v>
      </c>
      <c r="T14" s="249"/>
      <c r="U14" s="249"/>
      <c r="V14" s="249"/>
      <c r="W14" s="249"/>
      <c r="X14" s="249"/>
      <c r="Y14" s="249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41" t="s">
        <v>19</v>
      </c>
      <c r="C19" s="241"/>
      <c r="D19" s="241"/>
      <c r="E19" s="241"/>
      <c r="F19" s="241"/>
      <c r="G19" s="241"/>
      <c r="H19" s="241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17"/>
      <c r="AA19" s="75"/>
      <c r="AE19" s="20"/>
      <c r="AI19" s="20"/>
    </row>
    <row r="20" spans="1:40" ht="15.9" customHeight="1" x14ac:dyDescent="0.25">
      <c r="A20" s="13"/>
      <c r="B20" s="241" t="s">
        <v>20</v>
      </c>
      <c r="C20" s="241"/>
      <c r="D20" s="241"/>
      <c r="E20" s="241"/>
      <c r="F20" s="241"/>
      <c r="G20" s="241"/>
      <c r="H20" s="241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43" t="s">
        <v>16</v>
      </c>
      <c r="AE47" s="245">
        <v>2.6680000000000001</v>
      </c>
      <c r="AF47" s="210"/>
      <c r="AG47" s="222"/>
      <c r="AH47" s="39"/>
    </row>
    <row r="48" spans="1:34" ht="12.75" customHeight="1" thickBot="1" x14ac:dyDescent="0.3">
      <c r="A48" s="18"/>
      <c r="Z48" s="87"/>
      <c r="AD48" s="244"/>
      <c r="AE48" s="246"/>
      <c r="AF48" s="221"/>
      <c r="AG48" s="222"/>
    </row>
    <row r="49" spans="1:34" ht="18.75" customHeight="1" thickBot="1" x14ac:dyDescent="0.3">
      <c r="A49" s="18"/>
      <c r="E49" s="223" t="s">
        <v>11</v>
      </c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5" t="s">
        <v>47</v>
      </c>
      <c r="V49" s="226"/>
      <c r="W49" s="227" t="s">
        <v>12</v>
      </c>
      <c r="X49" s="226"/>
      <c r="Y49" s="228" t="s">
        <v>13</v>
      </c>
      <c r="Z49" s="229"/>
      <c r="AA49" s="82"/>
      <c r="AB49" s="232" t="s">
        <v>45</v>
      </c>
      <c r="AC49" s="233"/>
      <c r="AD49" s="236" t="s">
        <v>14</v>
      </c>
      <c r="AE49" s="238" t="s">
        <v>15</v>
      </c>
      <c r="AF49" s="210"/>
      <c r="AG49" s="210"/>
      <c r="AH49" s="40"/>
    </row>
    <row r="50" spans="1:34" ht="24.9" customHeight="1" thickBot="1" x14ac:dyDescent="0.3">
      <c r="A50" s="5"/>
      <c r="B50" s="41" t="s">
        <v>22</v>
      </c>
      <c r="C50" s="211" t="s">
        <v>10</v>
      </c>
      <c r="D50" s="21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61"/>
      <c r="V50" s="163"/>
      <c r="W50" s="162"/>
      <c r="X50" s="163"/>
      <c r="Y50" s="230"/>
      <c r="Z50" s="231"/>
      <c r="AA50" s="82"/>
      <c r="AB50" s="234"/>
      <c r="AC50" s="235"/>
      <c r="AD50" s="237"/>
      <c r="AE50" s="239"/>
      <c r="AF50" s="240"/>
      <c r="AG50" s="210"/>
    </row>
    <row r="51" spans="1:34" ht="24.9" customHeight="1" x14ac:dyDescent="0.25">
      <c r="A51" s="5"/>
      <c r="B51" s="43">
        <v>1</v>
      </c>
      <c r="C51" s="213" t="s">
        <v>69</v>
      </c>
      <c r="D51" s="214"/>
      <c r="E51" s="113">
        <v>8.6</v>
      </c>
      <c r="F51" s="114">
        <v>10.9</v>
      </c>
      <c r="G51" s="115">
        <v>13.9</v>
      </c>
      <c r="H51" s="115">
        <v>17.7</v>
      </c>
      <c r="I51" s="115">
        <v>23.2</v>
      </c>
      <c r="J51" s="115">
        <v>33.1</v>
      </c>
      <c r="K51" s="115">
        <v>48.6</v>
      </c>
      <c r="L51" s="115">
        <v>67</v>
      </c>
      <c r="M51" s="115">
        <v>77.599999999999994</v>
      </c>
      <c r="N51" s="115">
        <v>88.8</v>
      </c>
      <c r="O51" s="115">
        <v>95</v>
      </c>
      <c r="P51" s="115">
        <v>98.4</v>
      </c>
      <c r="Q51" s="289">
        <v>100</v>
      </c>
      <c r="R51" s="115"/>
      <c r="S51" s="116"/>
      <c r="T51" s="116"/>
      <c r="U51" s="215"/>
      <c r="V51" s="216"/>
      <c r="W51" s="217">
        <v>4.4800000000000004</v>
      </c>
      <c r="X51" s="218"/>
      <c r="Y51" s="219">
        <f>IF(W51&lt;&gt;0,AE51,"")</f>
        <v>2.7194998692559769</v>
      </c>
      <c r="Z51" s="220"/>
      <c r="AA51" s="80"/>
      <c r="AB51" s="178">
        <f>(100*W51)/(100-W51)</f>
        <v>4.6901172529313238</v>
      </c>
      <c r="AC51" s="179"/>
      <c r="AD51" s="67">
        <f>(0.25*(100-O51)+2.3*(O51-H51)+12*(H51-E51)+150*(E51))/100</f>
        <v>15.782400000000001</v>
      </c>
      <c r="AE51" s="68">
        <f>(AB51*$AE$47)/(2.65*(AD51)^(1/5))</f>
        <v>2.7194998692559769</v>
      </c>
      <c r="AF51" s="29"/>
      <c r="AG51" s="66"/>
    </row>
    <row r="52" spans="1:34" ht="24.9" customHeight="1" x14ac:dyDescent="0.25">
      <c r="A52" s="5"/>
      <c r="B52" s="44">
        <v>2</v>
      </c>
      <c r="C52" s="199"/>
      <c r="D52" s="200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290"/>
      <c r="R52" s="120"/>
      <c r="S52" s="121"/>
      <c r="T52" s="121"/>
      <c r="U52" s="201"/>
      <c r="V52" s="202"/>
      <c r="W52" s="203"/>
      <c r="X52" s="204"/>
      <c r="Y52" s="205" t="str">
        <f>IF(W52&lt;&gt;0,AE52,"")</f>
        <v/>
      </c>
      <c r="Z52" s="206"/>
      <c r="AA52" s="80"/>
      <c r="AB52" s="178">
        <f>(100*W52)/(100-W52)</f>
        <v>0</v>
      </c>
      <c r="AC52" s="179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55"/>
      <c r="D53" s="207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291"/>
      <c r="R53" s="92"/>
      <c r="S53" s="92"/>
      <c r="T53" s="93"/>
      <c r="U53" s="152"/>
      <c r="V53" s="153"/>
      <c r="W53" s="208"/>
      <c r="X53" s="209"/>
      <c r="Y53" s="205" t="str">
        <f t="shared" ref="Y53:Y54" si="2">IF(W53&lt;&gt;0,AE53,"")</f>
        <v/>
      </c>
      <c r="Z53" s="206"/>
      <c r="AA53" s="80"/>
      <c r="AB53" s="178">
        <f>(100*W53)/(100-W53)</f>
        <v>0</v>
      </c>
      <c r="AC53" s="17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67"/>
      <c r="D54" s="189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292"/>
      <c r="R54" s="96"/>
      <c r="S54" s="96"/>
      <c r="T54" s="97"/>
      <c r="U54" s="190"/>
      <c r="V54" s="191"/>
      <c r="W54" s="192"/>
      <c r="X54" s="193"/>
      <c r="Y54" s="194" t="str">
        <f t="shared" si="2"/>
        <v/>
      </c>
      <c r="Z54" s="195"/>
      <c r="AA54" s="80"/>
      <c r="AB54" s="178">
        <f>(100*W54)/(100-W54)</f>
        <v>0</v>
      </c>
      <c r="AC54" s="17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293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196" t="s">
        <v>8</v>
      </c>
      <c r="C56" s="197"/>
      <c r="D56" s="198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294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69" t="s">
        <v>7</v>
      </c>
      <c r="C57" s="170"/>
      <c r="D57" s="171"/>
      <c r="E57" s="98">
        <f t="shared" ref="E57:T57" si="3">IF(E51&lt;&gt;0,AVERAGE(E51:E54),"")</f>
        <v>8.6</v>
      </c>
      <c r="F57" s="98">
        <f t="shared" si="3"/>
        <v>10.9</v>
      </c>
      <c r="G57" s="98">
        <f t="shared" si="3"/>
        <v>13.9</v>
      </c>
      <c r="H57" s="98">
        <f t="shared" si="3"/>
        <v>17.7</v>
      </c>
      <c r="I57" s="98">
        <f t="shared" si="3"/>
        <v>23.2</v>
      </c>
      <c r="J57" s="98">
        <f t="shared" si="3"/>
        <v>33.1</v>
      </c>
      <c r="K57" s="98">
        <f t="shared" si="3"/>
        <v>48.6</v>
      </c>
      <c r="L57" s="98">
        <f t="shared" si="3"/>
        <v>67</v>
      </c>
      <c r="M57" s="98">
        <f t="shared" si="3"/>
        <v>77.599999999999994</v>
      </c>
      <c r="N57" s="98">
        <f t="shared" si="3"/>
        <v>88.8</v>
      </c>
      <c r="O57" s="98">
        <f t="shared" si="3"/>
        <v>95</v>
      </c>
      <c r="P57" s="98">
        <f t="shared" si="3"/>
        <v>98.4</v>
      </c>
      <c r="Q57" s="295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172" t="str">
        <f>IF(U51&lt;&gt;0,AVERAGE(U51:V54),"")</f>
        <v/>
      </c>
      <c r="V57" s="173"/>
      <c r="W57" s="174">
        <f>IF(W51&lt;&gt;0,AVERAGE(W51:X54),"")</f>
        <v>4.4800000000000004</v>
      </c>
      <c r="X57" s="175"/>
      <c r="Y57" s="176">
        <f>IF(W51&lt;&gt;0,AVERAGE(Y51:Z54),"")</f>
        <v>2.7194998692559769</v>
      </c>
      <c r="Z57" s="177"/>
      <c r="AA57" s="66"/>
      <c r="AB57" s="178">
        <f>(100*W57)/(100-W57)</f>
        <v>4.6901172529313238</v>
      </c>
      <c r="AC57" s="179"/>
      <c r="AD57" s="67">
        <f t="shared" si="0"/>
        <v>15.782400000000001</v>
      </c>
      <c r="AE57" s="68">
        <f t="shared" si="1"/>
        <v>2.7194998692559769</v>
      </c>
      <c r="AF57" s="29"/>
      <c r="AG57" s="66"/>
    </row>
    <row r="58" spans="1:34" ht="21" customHeight="1" x14ac:dyDescent="0.25">
      <c r="A58" s="5"/>
      <c r="B58" s="180" t="s">
        <v>9</v>
      </c>
      <c r="C58" s="181"/>
      <c r="D58" s="182"/>
      <c r="E58" s="100">
        <v>8.4</v>
      </c>
      <c r="F58" s="297" t="e">
        <v>#N/A</v>
      </c>
      <c r="G58" s="100">
        <v>14</v>
      </c>
      <c r="H58" s="100">
        <v>17</v>
      </c>
      <c r="I58" s="100">
        <v>23</v>
      </c>
      <c r="J58" s="100">
        <v>32</v>
      </c>
      <c r="K58" s="100">
        <v>46</v>
      </c>
      <c r="L58" s="100">
        <v>61</v>
      </c>
      <c r="M58" s="100">
        <v>70</v>
      </c>
      <c r="N58" s="100">
        <v>79</v>
      </c>
      <c r="O58" s="100">
        <v>92</v>
      </c>
      <c r="P58" s="100">
        <v>97</v>
      </c>
      <c r="Q58" s="296">
        <v>100</v>
      </c>
      <c r="R58" s="100"/>
      <c r="S58" s="100"/>
      <c r="T58" s="101"/>
      <c r="U58" s="183"/>
      <c r="V58" s="184"/>
      <c r="W58" s="185">
        <v>4.3</v>
      </c>
      <c r="X58" s="186"/>
      <c r="Y58" s="187">
        <f>AE58</f>
        <v>2.6189194812656598</v>
      </c>
      <c r="Z58" s="188"/>
      <c r="AA58" s="66"/>
      <c r="AB58" s="178">
        <f>(100*W58)/(100-W58)</f>
        <v>4.4932079414838038</v>
      </c>
      <c r="AC58" s="179"/>
      <c r="AD58" s="67">
        <f t="shared" si="0"/>
        <v>15.377000000000001</v>
      </c>
      <c r="AE58" s="68">
        <f t="shared" si="1"/>
        <v>2.6189194812656598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10.4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52"/>
      <c r="V59" s="153"/>
      <c r="W59" s="154">
        <f>W58+0.5</f>
        <v>4.8</v>
      </c>
      <c r="X59" s="153"/>
      <c r="Y59" s="155"/>
      <c r="Z59" s="156"/>
      <c r="AA59" s="83"/>
      <c r="AB59" s="71"/>
      <c r="AC59" s="69"/>
      <c r="AD59" s="157"/>
      <c r="AE59" s="159" t="s">
        <v>46</v>
      </c>
      <c r="AF59" s="29"/>
      <c r="AG59" s="66"/>
    </row>
    <row r="60" spans="1:34" ht="13.5" customHeight="1" thickBot="1" x14ac:dyDescent="0.3">
      <c r="A60" s="5"/>
      <c r="B60" s="161" t="s">
        <v>24</v>
      </c>
      <c r="C60" s="162"/>
      <c r="D60" s="163"/>
      <c r="E60" s="102">
        <f>E58-2</f>
        <v>6.4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164"/>
      <c r="V60" s="165"/>
      <c r="W60" s="166">
        <f>W58-0.5</f>
        <v>3.8</v>
      </c>
      <c r="X60" s="165"/>
      <c r="Y60" s="167"/>
      <c r="Z60" s="168"/>
      <c r="AA60" s="84"/>
      <c r="AB60" s="72"/>
      <c r="AC60" s="73"/>
      <c r="AD60" s="158"/>
      <c r="AE60" s="16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35"/>
      <c r="V63" s="135"/>
      <c r="W63" s="135"/>
      <c r="X63" s="135"/>
      <c r="Y63" s="135"/>
      <c r="Z63" s="136"/>
      <c r="AA63" s="81"/>
      <c r="AB63" s="58"/>
      <c r="AC63" s="58"/>
      <c r="AD63" s="59"/>
    </row>
    <row r="64" spans="1:34" ht="26.4" customHeight="1" x14ac:dyDescent="0.25">
      <c r="A64" s="137" t="s">
        <v>48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9"/>
      <c r="R64" s="128" t="s">
        <v>31</v>
      </c>
      <c r="S64" s="129"/>
      <c r="T64" s="130"/>
      <c r="U64" s="140" t="s">
        <v>63</v>
      </c>
      <c r="V64" s="141"/>
      <c r="W64" s="141"/>
      <c r="X64" s="141"/>
      <c r="Y64" s="141"/>
      <c r="Z64" s="142"/>
      <c r="AA64" s="76"/>
      <c r="AB64" s="60"/>
      <c r="AC64" s="60"/>
      <c r="AD64" s="59"/>
    </row>
    <row r="65" spans="1:30" ht="26.4" customHeight="1" x14ac:dyDescent="0.25">
      <c r="A65" s="143" t="s">
        <v>52</v>
      </c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5"/>
      <c r="R65" s="128" t="s">
        <v>51</v>
      </c>
      <c r="S65" s="129"/>
      <c r="T65" s="130"/>
      <c r="U65" s="146" t="s">
        <v>64</v>
      </c>
      <c r="V65" s="147"/>
      <c r="W65" s="147"/>
      <c r="X65" s="147"/>
      <c r="Y65" s="147"/>
      <c r="Z65" s="14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28"/>
      <c r="S66" s="129"/>
      <c r="T66" s="130"/>
      <c r="U66" s="149"/>
      <c r="V66" s="150"/>
      <c r="W66" s="150"/>
      <c r="X66" s="150"/>
      <c r="Y66" s="150"/>
      <c r="Z66" s="151"/>
      <c r="AA66" s="76"/>
      <c r="AB66" s="60"/>
      <c r="AC66" s="60"/>
      <c r="AD66" s="59"/>
    </row>
    <row r="67" spans="1:30" ht="15.6" customHeight="1" x14ac:dyDescent="0.25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4"/>
      <c r="R67" s="128" t="s">
        <v>25</v>
      </c>
      <c r="S67" s="129"/>
      <c r="T67" s="130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4"/>
      <c r="R68" s="128"/>
      <c r="S68" s="129"/>
      <c r="T68" s="130"/>
      <c r="U68" s="108"/>
      <c r="V68" s="134"/>
      <c r="W68" s="134"/>
      <c r="X68" s="134"/>
      <c r="Y68" s="134"/>
      <c r="Z68" s="109"/>
      <c r="AA68" s="77"/>
      <c r="AB68" s="65"/>
      <c r="AC68" s="65"/>
      <c r="AD68" s="59"/>
    </row>
    <row r="69" spans="1:30" ht="15.6" customHeight="1" x14ac:dyDescent="0.25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4"/>
      <c r="R69" s="128"/>
      <c r="S69" s="129"/>
      <c r="T69" s="130"/>
      <c r="U69" s="108"/>
      <c r="V69" s="134"/>
      <c r="W69" s="134"/>
      <c r="X69" s="134"/>
      <c r="Y69" s="134"/>
      <c r="Z69" s="109"/>
      <c r="AA69" s="77"/>
      <c r="AB69" s="65"/>
      <c r="AC69" s="65"/>
      <c r="AD69" s="59"/>
    </row>
    <row r="70" spans="1:30" ht="15.6" customHeight="1" x14ac:dyDescent="0.25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7"/>
      <c r="R70" s="131"/>
      <c r="S70" s="132"/>
      <c r="T70" s="133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R67:T70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C51:D51"/>
    <mergeCell ref="C50:D50"/>
    <mergeCell ref="B56:D56"/>
    <mergeCell ref="Y51:Z51"/>
    <mergeCell ref="Y52:Z52"/>
    <mergeCell ref="Y53:Z53"/>
    <mergeCell ref="Y54:Z54"/>
    <mergeCell ref="U51:V51"/>
    <mergeCell ref="U52:V52"/>
    <mergeCell ref="U53:V53"/>
    <mergeCell ref="U54:V54"/>
    <mergeCell ref="W51:X51"/>
    <mergeCell ref="C53:D53"/>
    <mergeCell ref="C54:D54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V68:Y69"/>
    <mergeCell ref="A65:Q65"/>
    <mergeCell ref="W52:X52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C52:D52"/>
    <mergeCell ref="U63:Z63"/>
    <mergeCell ref="U64:Z64"/>
    <mergeCell ref="B58:D58"/>
    <mergeCell ref="R64:T64"/>
    <mergeCell ref="B60:D60"/>
    <mergeCell ref="A64:Q64"/>
    <mergeCell ref="B57:D57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290824 BBSG</vt:lpstr>
      <vt:lpstr>290824 GB</vt:lpstr>
      <vt:lpstr>'290824 BBSG'!Zone_d_impression</vt:lpstr>
      <vt:lpstr>'290824 GB'!Zone_d_impression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LABO ST PRIEST</cp:lastModifiedBy>
  <cp:lastPrinted>2024-09-02T09:57:02Z</cp:lastPrinted>
  <dcterms:created xsi:type="dcterms:W3CDTF">2004-11-13T18:13:05Z</dcterms:created>
  <dcterms:modified xsi:type="dcterms:W3CDTF">2024-09-02T09:57:08Z</dcterms:modified>
</cp:coreProperties>
</file>