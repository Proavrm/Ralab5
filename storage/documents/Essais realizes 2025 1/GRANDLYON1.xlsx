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ustomProperty18.bin" ContentType="application/vnd.openxmlformats-officedocument.spreadsheetml.customProperty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Etudes RA\RLM\2018\11 NOVEMBRE\18-11-12 VAULX EN VELIN - Esplanade TASE\2 - SPIGAO\"/>
    </mc:Choice>
  </mc:AlternateContent>
  <bookViews>
    <workbookView xWindow="120" yWindow="240" windowWidth="20736" windowHeight="11640"/>
  </bookViews>
  <sheets>
    <sheet name="Spigao" sheetId="1" r:id="rId1"/>
    <sheet name="SPECIFICITE" sheetId="3" r:id="rId2"/>
    <sheet name="Styles" sheetId="2" state="hidden" r:id="rId3"/>
  </sheets>
  <definedNames>
    <definedName name="_xlnm._FilterDatabase" localSheetId="0" hidden="1">Spigao!$B$3:$J$4</definedName>
    <definedName name="cell_CoefGeneral">Spigao!$G$3</definedName>
    <definedName name="cell_Title">Spigao!$C$1</definedName>
    <definedName name="cell_Total_HT">Spigao!$I$3</definedName>
    <definedName name="col_Coef">Spigao!$G:$G</definedName>
    <definedName name="col_Designation">Spigao!$C:$C</definedName>
    <definedName name="col_ID">Spigao!$A:$A</definedName>
    <definedName name="col_Max">Spigao!$J:$J</definedName>
    <definedName name="col_Min">Spigao!$B:$B</definedName>
    <definedName name="col_PriceNumber">Spigao!$B:$B</definedName>
    <definedName name="col_PriceStrength">Spigao!$J:$J</definedName>
    <definedName name="col_Quantity">Spigao!$E:$E</definedName>
    <definedName name="col_report_MT">Spigao!$K:$K</definedName>
    <definedName name="col_TotalPrice">Spigao!$I:$I</definedName>
    <definedName name="col_Unit">Spigao!$D:$D</definedName>
    <definedName name="col_UnitPrice">Spigao!$H:$H</definedName>
    <definedName name="col_UnitPriceWithoutCoef">Spigao!$F:$F</definedName>
    <definedName name="EURO">6.55957</definedName>
    <definedName name="_xlnm.Print_Titles" localSheetId="0">Spigao!$1:$4</definedName>
    <definedName name="row_Start">Spigao!$5:$5</definedName>
    <definedName name="row_Title">Spigao!$4:$4</definedName>
    <definedName name="rowImportantRule">SPECIFICITE!$33:$33</definedName>
    <definedName name="rowInfosGenerales">SPECIFICITE!$13:$13</definedName>
    <definedName name="TVA">0.2</definedName>
    <definedName name="_xlnm.Print_Area" localSheetId="0">Spigao!$B:$I</definedName>
  </definedNames>
  <calcPr calcId="162913"/>
</workbook>
</file>

<file path=xl/calcChain.xml><?xml version="1.0" encoding="utf-8"?>
<calcChain xmlns="http://schemas.openxmlformats.org/spreadsheetml/2006/main">
  <c r="H396" i="1" l="1"/>
  <c r="H395" i="1"/>
  <c r="H394" i="1"/>
  <c r="H393" i="1"/>
  <c r="I393" i="1" s="1"/>
  <c r="H392" i="1"/>
  <c r="H391" i="1"/>
  <c r="H390" i="1"/>
  <c r="H389" i="1"/>
  <c r="I389" i="1" s="1"/>
  <c r="K389" i="1" s="1"/>
  <c r="H388" i="1"/>
  <c r="H387" i="1"/>
  <c r="H386" i="1"/>
  <c r="H385" i="1"/>
  <c r="I385" i="1" s="1"/>
  <c r="H326" i="1"/>
  <c r="H325" i="1"/>
  <c r="H320" i="1"/>
  <c r="H319" i="1"/>
  <c r="I319" i="1" s="1"/>
  <c r="H318" i="1"/>
  <c r="H317" i="1"/>
  <c r="H316" i="1"/>
  <c r="H315" i="1"/>
  <c r="I315" i="1" s="1"/>
  <c r="H314" i="1"/>
  <c r="H313" i="1"/>
  <c r="H312" i="1"/>
  <c r="H311" i="1"/>
  <c r="I311" i="1" s="1"/>
  <c r="H310" i="1"/>
  <c r="H309" i="1"/>
  <c r="H250" i="1"/>
  <c r="H249" i="1"/>
  <c r="I249" i="1" s="1"/>
  <c r="H244" i="1"/>
  <c r="H243" i="1"/>
  <c r="H242" i="1"/>
  <c r="H241" i="1"/>
  <c r="I241" i="1" s="1"/>
  <c r="K241" i="1" s="1"/>
  <c r="H240" i="1"/>
  <c r="H239" i="1"/>
  <c r="H238" i="1"/>
  <c r="H237" i="1"/>
  <c r="I237" i="1" s="1"/>
  <c r="K237" i="1" s="1"/>
  <c r="H236" i="1"/>
  <c r="H235" i="1"/>
  <c r="H234" i="1"/>
  <c r="H233" i="1"/>
  <c r="I233" i="1" s="1"/>
  <c r="H174" i="1"/>
  <c r="H173" i="1"/>
  <c r="H168" i="1"/>
  <c r="H167" i="1"/>
  <c r="I167" i="1" s="1"/>
  <c r="H166" i="1"/>
  <c r="H165" i="1"/>
  <c r="H164" i="1"/>
  <c r="H163" i="1"/>
  <c r="I163" i="1" s="1"/>
  <c r="H162" i="1"/>
  <c r="H161" i="1"/>
  <c r="H160" i="1"/>
  <c r="H159" i="1"/>
  <c r="I159" i="1" s="1"/>
  <c r="H158" i="1"/>
  <c r="H157" i="1"/>
  <c r="H98" i="1"/>
  <c r="H97" i="1"/>
  <c r="I97" i="1" s="1"/>
  <c r="H92" i="1"/>
  <c r="H91" i="1"/>
  <c r="H90" i="1"/>
  <c r="H89" i="1"/>
  <c r="I89" i="1" s="1"/>
  <c r="H88" i="1"/>
  <c r="H87" i="1"/>
  <c r="H86" i="1"/>
  <c r="H85" i="1"/>
  <c r="I85" i="1" s="1"/>
  <c r="H84" i="1"/>
  <c r="H83" i="1"/>
  <c r="H82" i="1"/>
  <c r="H81" i="1"/>
  <c r="I81" i="1" s="1"/>
  <c r="H22" i="1"/>
  <c r="H2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396" i="1"/>
  <c r="I395" i="1"/>
  <c r="I394" i="1"/>
  <c r="I392" i="1"/>
  <c r="I391" i="1"/>
  <c r="I390" i="1"/>
  <c r="I388" i="1"/>
  <c r="I387" i="1"/>
  <c r="I386" i="1"/>
  <c r="I382" i="1"/>
  <c r="H382" i="1"/>
  <c r="H381" i="1"/>
  <c r="I381" i="1" s="1"/>
  <c r="I380" i="1"/>
  <c r="H380" i="1"/>
  <c r="I378" i="1"/>
  <c r="K378" i="1" s="1"/>
  <c r="H378" i="1"/>
  <c r="H377" i="1"/>
  <c r="I377" i="1" s="1"/>
  <c r="I376" i="1"/>
  <c r="H376" i="1"/>
  <c r="H375" i="1"/>
  <c r="I375" i="1" s="1"/>
  <c r="I373" i="1"/>
  <c r="H373" i="1"/>
  <c r="H372" i="1"/>
  <c r="I372" i="1" s="1"/>
  <c r="I371" i="1"/>
  <c r="H371" i="1"/>
  <c r="I369" i="1"/>
  <c r="H369" i="1"/>
  <c r="H367" i="1"/>
  <c r="I367" i="1" s="1"/>
  <c r="I366" i="1"/>
  <c r="H366" i="1"/>
  <c r="I364" i="1"/>
  <c r="H364" i="1"/>
  <c r="H363" i="1"/>
  <c r="I363" i="1" s="1"/>
  <c r="I361" i="1"/>
  <c r="H361" i="1"/>
  <c r="H360" i="1"/>
  <c r="I360" i="1" s="1"/>
  <c r="I359" i="1"/>
  <c r="H359" i="1"/>
  <c r="I357" i="1"/>
  <c r="H357" i="1"/>
  <c r="H355" i="1"/>
  <c r="I355" i="1" s="1"/>
  <c r="K355" i="1" s="1"/>
  <c r="I354" i="1"/>
  <c r="H354" i="1"/>
  <c r="I352" i="1"/>
  <c r="H352" i="1"/>
  <c r="H351" i="1"/>
  <c r="I351" i="1" s="1"/>
  <c r="I349" i="1"/>
  <c r="H349" i="1"/>
  <c r="H348" i="1"/>
  <c r="I348" i="1" s="1"/>
  <c r="H346" i="1"/>
  <c r="I346" i="1" s="1"/>
  <c r="I345" i="1"/>
  <c r="H345" i="1"/>
  <c r="H343" i="1"/>
  <c r="I343" i="1" s="1"/>
  <c r="H341" i="1"/>
  <c r="I341" i="1" s="1"/>
  <c r="I339" i="1"/>
  <c r="H339" i="1"/>
  <c r="H338" i="1"/>
  <c r="I338" i="1" s="1"/>
  <c r="H336" i="1"/>
  <c r="I336" i="1" s="1"/>
  <c r="I335" i="1"/>
  <c r="H335" i="1"/>
  <c r="H333" i="1"/>
  <c r="I333" i="1" s="1"/>
  <c r="I332" i="1"/>
  <c r="H332" i="1"/>
  <c r="H331" i="1"/>
  <c r="I331" i="1" s="1"/>
  <c r="I330" i="1"/>
  <c r="H330" i="1"/>
  <c r="I327" i="1"/>
  <c r="I326" i="1"/>
  <c r="I325" i="1"/>
  <c r="I320" i="1"/>
  <c r="I318" i="1"/>
  <c r="I317" i="1"/>
  <c r="I316" i="1"/>
  <c r="I314" i="1"/>
  <c r="I313" i="1"/>
  <c r="I312" i="1"/>
  <c r="I310" i="1"/>
  <c r="I309" i="1"/>
  <c r="H306" i="1"/>
  <c r="I306" i="1" s="1"/>
  <c r="I305" i="1"/>
  <c r="H305" i="1"/>
  <c r="H304" i="1"/>
  <c r="I304" i="1" s="1"/>
  <c r="I302" i="1"/>
  <c r="H302" i="1"/>
  <c r="H301" i="1"/>
  <c r="I301" i="1" s="1"/>
  <c r="I300" i="1"/>
  <c r="H300" i="1"/>
  <c r="H299" i="1"/>
  <c r="I299" i="1" s="1"/>
  <c r="H297" i="1"/>
  <c r="I297" i="1" s="1"/>
  <c r="I296" i="1"/>
  <c r="H296" i="1"/>
  <c r="I295" i="1"/>
  <c r="H295" i="1"/>
  <c r="I293" i="1"/>
  <c r="H293" i="1"/>
  <c r="I291" i="1"/>
  <c r="H291" i="1"/>
  <c r="I290" i="1"/>
  <c r="H290" i="1"/>
  <c r="I288" i="1"/>
  <c r="H288" i="1"/>
  <c r="H287" i="1"/>
  <c r="I287" i="1" s="1"/>
  <c r="H285" i="1"/>
  <c r="I285" i="1" s="1"/>
  <c r="I284" i="1"/>
  <c r="H284" i="1"/>
  <c r="I283" i="1"/>
  <c r="H283" i="1"/>
  <c r="I281" i="1"/>
  <c r="H281" i="1"/>
  <c r="I279" i="1"/>
  <c r="H279" i="1"/>
  <c r="I278" i="1"/>
  <c r="H278" i="1"/>
  <c r="I276" i="1"/>
  <c r="H276" i="1"/>
  <c r="H275" i="1"/>
  <c r="I275" i="1" s="1"/>
  <c r="I273" i="1"/>
  <c r="H273" i="1"/>
  <c r="I272" i="1"/>
  <c r="H272" i="1"/>
  <c r="H270" i="1"/>
  <c r="I270" i="1" s="1"/>
  <c r="I269" i="1"/>
  <c r="H269" i="1"/>
  <c r="I267" i="1"/>
  <c r="H267" i="1"/>
  <c r="H265" i="1"/>
  <c r="I265" i="1" s="1"/>
  <c r="I263" i="1"/>
  <c r="H263" i="1"/>
  <c r="I262" i="1"/>
  <c r="H262" i="1"/>
  <c r="H260" i="1"/>
  <c r="I260" i="1" s="1"/>
  <c r="I259" i="1"/>
  <c r="H259" i="1"/>
  <c r="I257" i="1"/>
  <c r="H257" i="1"/>
  <c r="I256" i="1"/>
  <c r="H256" i="1"/>
  <c r="I255" i="1"/>
  <c r="H255" i="1"/>
  <c r="I254" i="1"/>
  <c r="H254" i="1"/>
  <c r="I250" i="1"/>
  <c r="I244" i="1"/>
  <c r="I243" i="1"/>
  <c r="I242" i="1"/>
  <c r="I240" i="1"/>
  <c r="I239" i="1"/>
  <c r="I238" i="1"/>
  <c r="I236" i="1"/>
  <c r="I235" i="1"/>
  <c r="I234" i="1"/>
  <c r="H230" i="1"/>
  <c r="I230" i="1" s="1"/>
  <c r="I229" i="1"/>
  <c r="H229" i="1"/>
  <c r="H228" i="1"/>
  <c r="I228" i="1" s="1"/>
  <c r="I226" i="1"/>
  <c r="H226" i="1"/>
  <c r="I225" i="1"/>
  <c r="H225" i="1"/>
  <c r="I224" i="1"/>
  <c r="H224" i="1"/>
  <c r="I223" i="1"/>
  <c r="H223" i="1"/>
  <c r="H221" i="1"/>
  <c r="I221" i="1" s="1"/>
  <c r="I220" i="1"/>
  <c r="H220" i="1"/>
  <c r="H219" i="1"/>
  <c r="I219" i="1" s="1"/>
  <c r="I217" i="1"/>
  <c r="H217" i="1"/>
  <c r="I215" i="1"/>
  <c r="H215" i="1"/>
  <c r="H214" i="1"/>
  <c r="I214" i="1" s="1"/>
  <c r="I212" i="1"/>
  <c r="H212" i="1"/>
  <c r="I211" i="1"/>
  <c r="H211" i="1"/>
  <c r="H209" i="1"/>
  <c r="I209" i="1" s="1"/>
  <c r="I208" i="1"/>
  <c r="H208" i="1"/>
  <c r="H207" i="1"/>
  <c r="I207" i="1" s="1"/>
  <c r="I205" i="1"/>
  <c r="H205" i="1"/>
  <c r="I203" i="1"/>
  <c r="H203" i="1"/>
  <c r="H202" i="1"/>
  <c r="I202" i="1" s="1"/>
  <c r="I200" i="1"/>
  <c r="H200" i="1"/>
  <c r="I199" i="1"/>
  <c r="H199" i="1"/>
  <c r="H197" i="1"/>
  <c r="I197" i="1" s="1"/>
  <c r="I196" i="1"/>
  <c r="H196" i="1"/>
  <c r="I194" i="1"/>
  <c r="H194" i="1"/>
  <c r="I193" i="1"/>
  <c r="H193" i="1"/>
  <c r="I191" i="1"/>
  <c r="H191" i="1"/>
  <c r="I189" i="1"/>
  <c r="H189" i="1"/>
  <c r="H187" i="1"/>
  <c r="I187" i="1" s="1"/>
  <c r="I186" i="1"/>
  <c r="H186" i="1"/>
  <c r="I184" i="1"/>
  <c r="H184" i="1"/>
  <c r="I183" i="1"/>
  <c r="H183" i="1"/>
  <c r="I181" i="1"/>
  <c r="H181" i="1"/>
  <c r="H180" i="1"/>
  <c r="I180" i="1" s="1"/>
  <c r="I179" i="1"/>
  <c r="H179" i="1"/>
  <c r="H178" i="1"/>
  <c r="I178" i="1" s="1"/>
  <c r="I174" i="1"/>
  <c r="I173" i="1"/>
  <c r="I175" i="1" s="1"/>
  <c r="I168" i="1"/>
  <c r="I166" i="1"/>
  <c r="I165" i="1"/>
  <c r="I164" i="1"/>
  <c r="I162" i="1"/>
  <c r="I161" i="1"/>
  <c r="I160" i="1"/>
  <c r="I158" i="1"/>
  <c r="I157" i="1"/>
  <c r="I154" i="1"/>
  <c r="H154" i="1"/>
  <c r="I153" i="1"/>
  <c r="H153" i="1"/>
  <c r="I152" i="1"/>
  <c r="H152" i="1"/>
  <c r="H150" i="1"/>
  <c r="I150" i="1" s="1"/>
  <c r="I149" i="1"/>
  <c r="H149" i="1"/>
  <c r="H148" i="1"/>
  <c r="I148" i="1" s="1"/>
  <c r="I147" i="1"/>
  <c r="H147" i="1"/>
  <c r="I145" i="1"/>
  <c r="H145" i="1"/>
  <c r="I144" i="1"/>
  <c r="H144" i="1"/>
  <c r="I143" i="1"/>
  <c r="H143" i="1"/>
  <c r="H141" i="1"/>
  <c r="I141" i="1" s="1"/>
  <c r="I139" i="1"/>
  <c r="H139" i="1"/>
  <c r="I138" i="1"/>
  <c r="H138" i="1"/>
  <c r="H136" i="1"/>
  <c r="I136" i="1" s="1"/>
  <c r="I135" i="1"/>
  <c r="H135" i="1"/>
  <c r="I133" i="1"/>
  <c r="H133" i="1"/>
  <c r="I132" i="1"/>
  <c r="H132" i="1"/>
  <c r="I131" i="1"/>
  <c r="H131" i="1"/>
  <c r="H129" i="1"/>
  <c r="I129" i="1" s="1"/>
  <c r="I127" i="1"/>
  <c r="H127" i="1"/>
  <c r="I126" i="1"/>
  <c r="H126" i="1"/>
  <c r="H124" i="1"/>
  <c r="I124" i="1" s="1"/>
  <c r="I123" i="1"/>
  <c r="H123" i="1"/>
  <c r="I121" i="1"/>
  <c r="H121" i="1"/>
  <c r="I120" i="1"/>
  <c r="H120" i="1"/>
  <c r="I118" i="1"/>
  <c r="H118" i="1"/>
  <c r="H117" i="1"/>
  <c r="I117" i="1" s="1"/>
  <c r="I115" i="1"/>
  <c r="H115" i="1"/>
  <c r="I113" i="1"/>
  <c r="H113" i="1"/>
  <c r="I111" i="1"/>
  <c r="H111" i="1"/>
  <c r="I110" i="1"/>
  <c r="H110" i="1"/>
  <c r="I108" i="1"/>
  <c r="H108" i="1"/>
  <c r="H107" i="1"/>
  <c r="I107" i="1" s="1"/>
  <c r="I105" i="1"/>
  <c r="H105" i="1"/>
  <c r="I104" i="1"/>
  <c r="H104" i="1"/>
  <c r="I103" i="1"/>
  <c r="H103" i="1"/>
  <c r="I102" i="1"/>
  <c r="H102" i="1"/>
  <c r="I98" i="1"/>
  <c r="I92" i="1"/>
  <c r="I91" i="1"/>
  <c r="I90" i="1"/>
  <c r="I88" i="1"/>
  <c r="I87" i="1"/>
  <c r="I86" i="1"/>
  <c r="I84" i="1"/>
  <c r="I83" i="1"/>
  <c r="I82" i="1"/>
  <c r="I78" i="1"/>
  <c r="I77" i="1"/>
  <c r="I76" i="1"/>
  <c r="I74" i="1"/>
  <c r="I73" i="1"/>
  <c r="I72" i="1"/>
  <c r="I71" i="1"/>
  <c r="I69" i="1"/>
  <c r="I68" i="1"/>
  <c r="I67" i="1"/>
  <c r="I65" i="1"/>
  <c r="I63" i="1"/>
  <c r="I62" i="1"/>
  <c r="I60" i="1"/>
  <c r="I59" i="1"/>
  <c r="I57" i="1"/>
  <c r="I56" i="1"/>
  <c r="I55" i="1"/>
  <c r="I53" i="1"/>
  <c r="I51" i="1"/>
  <c r="I50" i="1"/>
  <c r="I48" i="1"/>
  <c r="I47" i="1"/>
  <c r="I45" i="1"/>
  <c r="I44" i="1"/>
  <c r="I42" i="1"/>
  <c r="I41" i="1"/>
  <c r="I39" i="1"/>
  <c r="I37" i="1"/>
  <c r="I35" i="1"/>
  <c r="I34" i="1"/>
  <c r="I32" i="1"/>
  <c r="I31" i="1"/>
  <c r="I29" i="1"/>
  <c r="I28" i="1"/>
  <c r="I27" i="1"/>
  <c r="I26" i="1"/>
  <c r="I23" i="1"/>
  <c r="I22" i="1"/>
  <c r="I21" i="1"/>
  <c r="I17" i="1"/>
  <c r="I16" i="1"/>
  <c r="I15" i="1"/>
  <c r="I14" i="1"/>
  <c r="I13" i="1"/>
  <c r="I12" i="1"/>
  <c r="I10" i="1"/>
  <c r="I9" i="1"/>
  <c r="G640" i="1"/>
  <c r="K639" i="1"/>
  <c r="G639" i="1"/>
  <c r="K638" i="1"/>
  <c r="G638" i="1"/>
  <c r="K637" i="1"/>
  <c r="G637" i="1"/>
  <c r="G636" i="1"/>
  <c r="K635" i="1"/>
  <c r="G635" i="1"/>
  <c r="K634" i="1"/>
  <c r="G634" i="1"/>
  <c r="K633" i="1"/>
  <c r="G633" i="1"/>
  <c r="G632" i="1"/>
  <c r="K631" i="1"/>
  <c r="G631" i="1"/>
  <c r="K630" i="1"/>
  <c r="G630" i="1"/>
  <c r="K629" i="1"/>
  <c r="G629" i="1"/>
  <c r="K628" i="1"/>
  <c r="G628" i="1"/>
  <c r="K627" i="1"/>
  <c r="G627" i="1"/>
  <c r="K626" i="1"/>
  <c r="G626" i="1"/>
  <c r="K625" i="1"/>
  <c r="G625" i="1"/>
  <c r="K624" i="1"/>
  <c r="G624" i="1"/>
  <c r="K623" i="1"/>
  <c r="G623" i="1"/>
  <c r="K622" i="1"/>
  <c r="G622" i="1"/>
  <c r="K621" i="1"/>
  <c r="G621" i="1"/>
  <c r="K620" i="1"/>
  <c r="G620" i="1"/>
  <c r="K619" i="1"/>
  <c r="G619" i="1"/>
  <c r="K618" i="1"/>
  <c r="G618" i="1"/>
  <c r="K617" i="1"/>
  <c r="G617" i="1"/>
  <c r="K616" i="1"/>
  <c r="G616" i="1"/>
  <c r="K615" i="1"/>
  <c r="G615" i="1"/>
  <c r="K614" i="1"/>
  <c r="G614" i="1"/>
  <c r="K613" i="1"/>
  <c r="G613" i="1"/>
  <c r="K612" i="1"/>
  <c r="G612" i="1"/>
  <c r="K611" i="1"/>
  <c r="G611" i="1"/>
  <c r="K610" i="1"/>
  <c r="G610" i="1"/>
  <c r="K609" i="1"/>
  <c r="G609" i="1"/>
  <c r="K608" i="1"/>
  <c r="G608" i="1"/>
  <c r="K607" i="1"/>
  <c r="G607" i="1"/>
  <c r="K606" i="1"/>
  <c r="G606" i="1"/>
  <c r="K605" i="1"/>
  <c r="G605" i="1"/>
  <c r="K604" i="1"/>
  <c r="G604" i="1"/>
  <c r="K603" i="1"/>
  <c r="G603" i="1"/>
  <c r="K602" i="1"/>
  <c r="G602" i="1"/>
  <c r="K601" i="1"/>
  <c r="G601" i="1"/>
  <c r="K600" i="1"/>
  <c r="G600" i="1"/>
  <c r="K599" i="1"/>
  <c r="G599" i="1"/>
  <c r="K598" i="1"/>
  <c r="G598" i="1"/>
  <c r="K597" i="1"/>
  <c r="G597" i="1"/>
  <c r="K596" i="1"/>
  <c r="G596" i="1"/>
  <c r="K595" i="1"/>
  <c r="G595" i="1"/>
  <c r="K594" i="1"/>
  <c r="G594" i="1"/>
  <c r="K593" i="1"/>
  <c r="G593" i="1"/>
  <c r="K592" i="1"/>
  <c r="G592" i="1"/>
  <c r="K591" i="1"/>
  <c r="G591" i="1"/>
  <c r="K590" i="1"/>
  <c r="G590" i="1"/>
  <c r="K589" i="1"/>
  <c r="G589" i="1"/>
  <c r="K588" i="1"/>
  <c r="G588" i="1"/>
  <c r="K587" i="1"/>
  <c r="G587" i="1"/>
  <c r="K586" i="1"/>
  <c r="G586" i="1"/>
  <c r="K585" i="1"/>
  <c r="G585" i="1"/>
  <c r="K584" i="1"/>
  <c r="G584" i="1"/>
  <c r="K583" i="1"/>
  <c r="G583" i="1"/>
  <c r="K582" i="1"/>
  <c r="G582" i="1"/>
  <c r="K581" i="1"/>
  <c r="G581" i="1"/>
  <c r="K580" i="1"/>
  <c r="G580" i="1"/>
  <c r="K579" i="1"/>
  <c r="G579" i="1"/>
  <c r="K578" i="1"/>
  <c r="G578" i="1"/>
  <c r="K577" i="1"/>
  <c r="G577" i="1"/>
  <c r="K576" i="1"/>
  <c r="G576" i="1"/>
  <c r="K575" i="1"/>
  <c r="G575" i="1"/>
  <c r="K574" i="1"/>
  <c r="G574" i="1"/>
  <c r="K573" i="1"/>
  <c r="G573" i="1"/>
  <c r="K572" i="1"/>
  <c r="G572" i="1"/>
  <c r="K571" i="1"/>
  <c r="G571" i="1"/>
  <c r="K570" i="1"/>
  <c r="G570" i="1"/>
  <c r="K569" i="1"/>
  <c r="G569" i="1"/>
  <c r="K568" i="1"/>
  <c r="G568" i="1"/>
  <c r="K567" i="1"/>
  <c r="G567" i="1"/>
  <c r="K566" i="1"/>
  <c r="G566" i="1"/>
  <c r="K565" i="1"/>
  <c r="G565" i="1"/>
  <c r="K564" i="1"/>
  <c r="G564" i="1"/>
  <c r="K563" i="1"/>
  <c r="G563" i="1"/>
  <c r="K562" i="1"/>
  <c r="G562" i="1"/>
  <c r="K561" i="1"/>
  <c r="G561" i="1"/>
  <c r="K560" i="1"/>
  <c r="G560" i="1"/>
  <c r="K559" i="1"/>
  <c r="G559" i="1"/>
  <c r="K558" i="1"/>
  <c r="G558" i="1"/>
  <c r="K557" i="1"/>
  <c r="G557" i="1"/>
  <c r="K556" i="1"/>
  <c r="G556" i="1"/>
  <c r="K555" i="1"/>
  <c r="G555" i="1"/>
  <c r="K554" i="1"/>
  <c r="G554" i="1"/>
  <c r="K553" i="1"/>
  <c r="G553" i="1"/>
  <c r="K552" i="1"/>
  <c r="G552" i="1"/>
  <c r="K551" i="1"/>
  <c r="G551" i="1"/>
  <c r="K550" i="1"/>
  <c r="G550" i="1"/>
  <c r="K549" i="1"/>
  <c r="G549" i="1"/>
  <c r="K548" i="1"/>
  <c r="G548" i="1"/>
  <c r="K547" i="1"/>
  <c r="G547" i="1"/>
  <c r="K546" i="1"/>
  <c r="G546" i="1"/>
  <c r="K545" i="1"/>
  <c r="G545" i="1"/>
  <c r="K544" i="1"/>
  <c r="G544" i="1"/>
  <c r="K543" i="1"/>
  <c r="G543" i="1"/>
  <c r="K542" i="1"/>
  <c r="G542" i="1"/>
  <c r="K541" i="1"/>
  <c r="G541" i="1"/>
  <c r="K540" i="1"/>
  <c r="G540" i="1"/>
  <c r="K539" i="1"/>
  <c r="G539" i="1"/>
  <c r="K538" i="1"/>
  <c r="G538" i="1"/>
  <c r="K537" i="1"/>
  <c r="G537" i="1"/>
  <c r="K536" i="1"/>
  <c r="G536" i="1"/>
  <c r="K535" i="1"/>
  <c r="G535" i="1"/>
  <c r="K534" i="1"/>
  <c r="G534" i="1"/>
  <c r="K533" i="1"/>
  <c r="G533" i="1"/>
  <c r="K532" i="1"/>
  <c r="G532" i="1"/>
  <c r="K531" i="1"/>
  <c r="G531" i="1"/>
  <c r="K530" i="1"/>
  <c r="G530" i="1"/>
  <c r="K529" i="1"/>
  <c r="G529" i="1"/>
  <c r="K528" i="1"/>
  <c r="G528" i="1"/>
  <c r="K527" i="1"/>
  <c r="G527" i="1"/>
  <c r="K526" i="1"/>
  <c r="G526" i="1"/>
  <c r="K525" i="1"/>
  <c r="G525" i="1"/>
  <c r="K524" i="1"/>
  <c r="G524" i="1"/>
  <c r="K523" i="1"/>
  <c r="G523" i="1"/>
  <c r="K522" i="1"/>
  <c r="G522" i="1"/>
  <c r="K521" i="1"/>
  <c r="G521" i="1"/>
  <c r="K520" i="1"/>
  <c r="G520" i="1"/>
  <c r="K519" i="1"/>
  <c r="G519" i="1"/>
  <c r="K518" i="1"/>
  <c r="G518" i="1"/>
  <c r="K517" i="1"/>
  <c r="G517" i="1"/>
  <c r="K516" i="1"/>
  <c r="G516" i="1"/>
  <c r="K515" i="1"/>
  <c r="G515" i="1"/>
  <c r="K514" i="1"/>
  <c r="G514" i="1"/>
  <c r="K513" i="1"/>
  <c r="G513" i="1"/>
  <c r="K512" i="1"/>
  <c r="G512" i="1"/>
  <c r="K511" i="1"/>
  <c r="G511" i="1"/>
  <c r="K510" i="1"/>
  <c r="G510" i="1"/>
  <c r="K509" i="1"/>
  <c r="G509" i="1"/>
  <c r="K508" i="1"/>
  <c r="G508" i="1"/>
  <c r="K507" i="1"/>
  <c r="G507" i="1"/>
  <c r="K506" i="1"/>
  <c r="G506" i="1"/>
  <c r="K505" i="1"/>
  <c r="G505" i="1"/>
  <c r="K504" i="1"/>
  <c r="G504" i="1"/>
  <c r="K503" i="1"/>
  <c r="G503" i="1"/>
  <c r="K502" i="1"/>
  <c r="G502" i="1"/>
  <c r="K501" i="1"/>
  <c r="G501" i="1"/>
  <c r="K500" i="1"/>
  <c r="G500" i="1"/>
  <c r="K499" i="1"/>
  <c r="G499" i="1"/>
  <c r="K498" i="1"/>
  <c r="G498" i="1"/>
  <c r="K497" i="1"/>
  <c r="G497" i="1"/>
  <c r="K496" i="1"/>
  <c r="G496" i="1"/>
  <c r="K495" i="1"/>
  <c r="G495" i="1"/>
  <c r="K494" i="1"/>
  <c r="G494" i="1"/>
  <c r="K493" i="1"/>
  <c r="G493" i="1"/>
  <c r="K492" i="1"/>
  <c r="G492" i="1"/>
  <c r="K491" i="1"/>
  <c r="G491" i="1"/>
  <c r="K490" i="1"/>
  <c r="G490" i="1"/>
  <c r="K489" i="1"/>
  <c r="G489" i="1"/>
  <c r="K488" i="1"/>
  <c r="G488" i="1"/>
  <c r="K487" i="1"/>
  <c r="G487" i="1"/>
  <c r="K486" i="1"/>
  <c r="G486" i="1"/>
  <c r="K485" i="1"/>
  <c r="G485" i="1"/>
  <c r="K484" i="1"/>
  <c r="G484" i="1"/>
  <c r="K483" i="1"/>
  <c r="G483" i="1"/>
  <c r="K482" i="1"/>
  <c r="G482" i="1"/>
  <c r="K481" i="1"/>
  <c r="G481" i="1"/>
  <c r="K480" i="1"/>
  <c r="G480" i="1"/>
  <c r="K479" i="1"/>
  <c r="G479" i="1"/>
  <c r="K478" i="1"/>
  <c r="G478" i="1"/>
  <c r="K477" i="1"/>
  <c r="G477" i="1"/>
  <c r="K476" i="1"/>
  <c r="G476" i="1"/>
  <c r="K475" i="1"/>
  <c r="G475" i="1"/>
  <c r="K474" i="1"/>
  <c r="G474" i="1"/>
  <c r="K473" i="1"/>
  <c r="G473" i="1"/>
  <c r="K472" i="1"/>
  <c r="G472" i="1"/>
  <c r="K471" i="1"/>
  <c r="G471" i="1"/>
  <c r="K470" i="1"/>
  <c r="G470" i="1"/>
  <c r="K469" i="1"/>
  <c r="G469" i="1"/>
  <c r="K468" i="1"/>
  <c r="G468" i="1"/>
  <c r="K467" i="1"/>
  <c r="G467" i="1"/>
  <c r="K466" i="1"/>
  <c r="G466" i="1"/>
  <c r="K465" i="1"/>
  <c r="G465" i="1"/>
  <c r="K464" i="1"/>
  <c r="G464" i="1"/>
  <c r="K463" i="1"/>
  <c r="G463" i="1"/>
  <c r="K462" i="1"/>
  <c r="G462" i="1"/>
  <c r="K461" i="1"/>
  <c r="G461" i="1"/>
  <c r="K460" i="1"/>
  <c r="G460" i="1"/>
  <c r="K459" i="1"/>
  <c r="G459" i="1"/>
  <c r="K458" i="1"/>
  <c r="G458" i="1"/>
  <c r="K457" i="1"/>
  <c r="G457" i="1"/>
  <c r="K456" i="1"/>
  <c r="G456" i="1"/>
  <c r="K455" i="1"/>
  <c r="G455" i="1"/>
  <c r="K454" i="1"/>
  <c r="G454" i="1"/>
  <c r="K453" i="1"/>
  <c r="G453" i="1"/>
  <c r="K452" i="1"/>
  <c r="G452" i="1"/>
  <c r="K451" i="1"/>
  <c r="G451" i="1"/>
  <c r="K450" i="1"/>
  <c r="G450" i="1"/>
  <c r="K449" i="1"/>
  <c r="G449" i="1"/>
  <c r="K448" i="1"/>
  <c r="G448" i="1"/>
  <c r="K447" i="1"/>
  <c r="G447" i="1"/>
  <c r="K446" i="1"/>
  <c r="G446" i="1"/>
  <c r="K445" i="1"/>
  <c r="G445" i="1"/>
  <c r="K444" i="1"/>
  <c r="G444" i="1"/>
  <c r="K443" i="1"/>
  <c r="G443" i="1"/>
  <c r="K442" i="1"/>
  <c r="G442" i="1"/>
  <c r="K441" i="1"/>
  <c r="G441" i="1"/>
  <c r="K440" i="1"/>
  <c r="G440" i="1"/>
  <c r="K439" i="1"/>
  <c r="G439" i="1"/>
  <c r="K438" i="1"/>
  <c r="G438" i="1"/>
  <c r="K437" i="1"/>
  <c r="G437" i="1"/>
  <c r="K436" i="1"/>
  <c r="G436" i="1"/>
  <c r="K435" i="1"/>
  <c r="G435" i="1"/>
  <c r="K434" i="1"/>
  <c r="G434" i="1"/>
  <c r="K433" i="1"/>
  <c r="G433" i="1"/>
  <c r="K432" i="1"/>
  <c r="G432" i="1"/>
  <c r="K431" i="1"/>
  <c r="G431" i="1"/>
  <c r="K430" i="1"/>
  <c r="G430" i="1"/>
  <c r="K429" i="1"/>
  <c r="G429" i="1"/>
  <c r="K428" i="1"/>
  <c r="G428" i="1"/>
  <c r="K427" i="1"/>
  <c r="G427" i="1"/>
  <c r="K426" i="1"/>
  <c r="G426" i="1"/>
  <c r="K425" i="1"/>
  <c r="G425" i="1"/>
  <c r="K424" i="1"/>
  <c r="G424" i="1"/>
  <c r="K423" i="1"/>
  <c r="G423" i="1"/>
  <c r="K422" i="1"/>
  <c r="G422" i="1"/>
  <c r="K421" i="1"/>
  <c r="G421" i="1"/>
  <c r="K420" i="1"/>
  <c r="G420" i="1"/>
  <c r="K419" i="1"/>
  <c r="G419" i="1"/>
  <c r="K418" i="1"/>
  <c r="G418" i="1"/>
  <c r="K417" i="1"/>
  <c r="G417" i="1"/>
  <c r="K416" i="1"/>
  <c r="G416" i="1"/>
  <c r="K415" i="1"/>
  <c r="G415" i="1"/>
  <c r="K414" i="1"/>
  <c r="G414" i="1"/>
  <c r="K413" i="1"/>
  <c r="G413" i="1"/>
  <c r="K412" i="1"/>
  <c r="G412" i="1"/>
  <c r="K411" i="1"/>
  <c r="G411" i="1"/>
  <c r="K410" i="1"/>
  <c r="G410" i="1"/>
  <c r="K409" i="1"/>
  <c r="G409" i="1"/>
  <c r="K408" i="1"/>
  <c r="G408" i="1"/>
  <c r="K407" i="1"/>
  <c r="G407" i="1"/>
  <c r="K406" i="1"/>
  <c r="G406" i="1"/>
  <c r="K405" i="1"/>
  <c r="G405" i="1"/>
  <c r="K396" i="1"/>
  <c r="G396" i="1"/>
  <c r="K395" i="1"/>
  <c r="G395" i="1"/>
  <c r="K394" i="1"/>
  <c r="G394" i="1"/>
  <c r="G393" i="1"/>
  <c r="K392" i="1"/>
  <c r="G392" i="1"/>
  <c r="K391" i="1"/>
  <c r="G391" i="1"/>
  <c r="K390" i="1"/>
  <c r="G390" i="1"/>
  <c r="G389" i="1"/>
  <c r="K388" i="1"/>
  <c r="G388" i="1"/>
  <c r="K387" i="1"/>
  <c r="G387" i="1"/>
  <c r="K386" i="1"/>
  <c r="G386" i="1"/>
  <c r="G385" i="1"/>
  <c r="K382" i="1"/>
  <c r="G382" i="1"/>
  <c r="K381" i="1"/>
  <c r="G381" i="1"/>
  <c r="K380" i="1"/>
  <c r="I379" i="1" s="1"/>
  <c r="G380" i="1"/>
  <c r="G378" i="1"/>
  <c r="K377" i="1"/>
  <c r="G377" i="1"/>
  <c r="K376" i="1"/>
  <c r="G376" i="1"/>
  <c r="K375" i="1"/>
  <c r="I374" i="1" s="1"/>
  <c r="G375" i="1"/>
  <c r="K373" i="1"/>
  <c r="G373" i="1"/>
  <c r="K372" i="1"/>
  <c r="G372" i="1"/>
  <c r="K371" i="1"/>
  <c r="I370" i="1" s="1"/>
  <c r="G371" i="1"/>
  <c r="K369" i="1"/>
  <c r="I368" i="1" s="1"/>
  <c r="G369" i="1"/>
  <c r="K367" i="1"/>
  <c r="G367" i="1"/>
  <c r="K366" i="1"/>
  <c r="G366" i="1"/>
  <c r="K364" i="1"/>
  <c r="G364" i="1"/>
  <c r="K363" i="1"/>
  <c r="I362" i="1" s="1"/>
  <c r="G363" i="1"/>
  <c r="K361" i="1"/>
  <c r="G361" i="1"/>
  <c r="K360" i="1"/>
  <c r="G360" i="1"/>
  <c r="K359" i="1"/>
  <c r="I358" i="1" s="1"/>
  <c r="G359" i="1"/>
  <c r="K357" i="1"/>
  <c r="I356" i="1" s="1"/>
  <c r="G357" i="1"/>
  <c r="G355" i="1"/>
  <c r="K354" i="1"/>
  <c r="G354" i="1"/>
  <c r="K352" i="1"/>
  <c r="G352" i="1"/>
  <c r="K351" i="1"/>
  <c r="I350" i="1" s="1"/>
  <c r="G351" i="1"/>
  <c r="K349" i="1"/>
  <c r="G349" i="1"/>
  <c r="K348" i="1"/>
  <c r="G348" i="1"/>
  <c r="K346" i="1"/>
  <c r="G346" i="1"/>
  <c r="K345" i="1"/>
  <c r="G345" i="1"/>
  <c r="K343" i="1"/>
  <c r="I342" i="1" s="1"/>
  <c r="G343" i="1"/>
  <c r="K341" i="1"/>
  <c r="I340" i="1" s="1"/>
  <c r="G341" i="1"/>
  <c r="K339" i="1"/>
  <c r="G339" i="1"/>
  <c r="K338" i="1"/>
  <c r="G338" i="1"/>
  <c r="K336" i="1"/>
  <c r="G336" i="1"/>
  <c r="K335" i="1"/>
  <c r="I334" i="1" s="1"/>
  <c r="G335" i="1"/>
  <c r="K333" i="1"/>
  <c r="G333" i="1"/>
  <c r="K332" i="1"/>
  <c r="G332" i="1"/>
  <c r="K331" i="1"/>
  <c r="G331" i="1"/>
  <c r="K330" i="1"/>
  <c r="G330" i="1"/>
  <c r="K326" i="1"/>
  <c r="G326" i="1"/>
  <c r="K325" i="1"/>
  <c r="I324" i="1" s="1"/>
  <c r="G325" i="1"/>
  <c r="K320" i="1"/>
  <c r="G320" i="1"/>
  <c r="G319" i="1"/>
  <c r="K318" i="1"/>
  <c r="G318" i="1"/>
  <c r="K317" i="1"/>
  <c r="G317" i="1"/>
  <c r="K316" i="1"/>
  <c r="G316" i="1"/>
  <c r="G315" i="1"/>
  <c r="K314" i="1"/>
  <c r="G314" i="1"/>
  <c r="K313" i="1"/>
  <c r="G313" i="1"/>
  <c r="K312" i="1"/>
  <c r="G312" i="1"/>
  <c r="K311" i="1"/>
  <c r="G311" i="1"/>
  <c r="K310" i="1"/>
  <c r="G310" i="1"/>
  <c r="K309" i="1"/>
  <c r="G309" i="1"/>
  <c r="K306" i="1"/>
  <c r="G306" i="1"/>
  <c r="K305" i="1"/>
  <c r="G305" i="1"/>
  <c r="K304" i="1"/>
  <c r="G304" i="1"/>
  <c r="K302" i="1"/>
  <c r="G302" i="1"/>
  <c r="K301" i="1"/>
  <c r="G301" i="1"/>
  <c r="K300" i="1"/>
  <c r="G300" i="1"/>
  <c r="K299" i="1"/>
  <c r="G299" i="1"/>
  <c r="K297" i="1"/>
  <c r="G297" i="1"/>
  <c r="K296" i="1"/>
  <c r="G296" i="1"/>
  <c r="K295" i="1"/>
  <c r="I294" i="1" s="1"/>
  <c r="G295" i="1"/>
  <c r="K293" i="1"/>
  <c r="I292" i="1" s="1"/>
  <c r="G293" i="1"/>
  <c r="K291" i="1"/>
  <c r="G291" i="1"/>
  <c r="K290" i="1"/>
  <c r="G290" i="1"/>
  <c r="K288" i="1"/>
  <c r="G288" i="1"/>
  <c r="K287" i="1"/>
  <c r="G287" i="1"/>
  <c r="K285" i="1"/>
  <c r="G285" i="1"/>
  <c r="K284" i="1"/>
  <c r="G284" i="1"/>
  <c r="K283" i="1"/>
  <c r="I282" i="1" s="1"/>
  <c r="G283" i="1"/>
  <c r="K281" i="1"/>
  <c r="I280" i="1" s="1"/>
  <c r="G281" i="1"/>
  <c r="K279" i="1"/>
  <c r="G279" i="1"/>
  <c r="K278" i="1"/>
  <c r="G278" i="1"/>
  <c r="K276" i="1"/>
  <c r="G276" i="1"/>
  <c r="K275" i="1"/>
  <c r="G275" i="1"/>
  <c r="K273" i="1"/>
  <c r="G273" i="1"/>
  <c r="K272" i="1"/>
  <c r="G272" i="1"/>
  <c r="K270" i="1"/>
  <c r="G270" i="1"/>
  <c r="K269" i="1"/>
  <c r="G269" i="1"/>
  <c r="K267" i="1"/>
  <c r="I266" i="1" s="1"/>
  <c r="G267" i="1"/>
  <c r="K265" i="1"/>
  <c r="I264" i="1" s="1"/>
  <c r="G265" i="1"/>
  <c r="K263" i="1"/>
  <c r="G263" i="1"/>
  <c r="K262" i="1"/>
  <c r="G262" i="1"/>
  <c r="K260" i="1"/>
  <c r="G260" i="1"/>
  <c r="K259" i="1"/>
  <c r="G259" i="1"/>
  <c r="K257" i="1"/>
  <c r="G257" i="1"/>
  <c r="K256" i="1"/>
  <c r="G256" i="1"/>
  <c r="K255" i="1"/>
  <c r="G255" i="1"/>
  <c r="K254" i="1"/>
  <c r="G254" i="1"/>
  <c r="K250" i="1"/>
  <c r="G250" i="1"/>
  <c r="G249" i="1"/>
  <c r="K244" i="1"/>
  <c r="G244" i="1"/>
  <c r="K243" i="1"/>
  <c r="G243" i="1"/>
  <c r="K242" i="1"/>
  <c r="G242" i="1"/>
  <c r="G241" i="1"/>
  <c r="K240" i="1"/>
  <c r="G240" i="1"/>
  <c r="K239" i="1"/>
  <c r="G239" i="1"/>
  <c r="K238" i="1"/>
  <c r="G238" i="1"/>
  <c r="G237" i="1"/>
  <c r="K236" i="1"/>
  <c r="G236" i="1"/>
  <c r="K235" i="1"/>
  <c r="G235" i="1"/>
  <c r="K234" i="1"/>
  <c r="G234" i="1"/>
  <c r="G233" i="1"/>
  <c r="K230" i="1"/>
  <c r="G230" i="1"/>
  <c r="K229" i="1"/>
  <c r="G229" i="1"/>
  <c r="K228" i="1"/>
  <c r="I227" i="1" s="1"/>
  <c r="G228" i="1"/>
  <c r="K226" i="1"/>
  <c r="G226" i="1"/>
  <c r="K225" i="1"/>
  <c r="G225" i="1"/>
  <c r="K224" i="1"/>
  <c r="G224" i="1"/>
  <c r="K223" i="1"/>
  <c r="I222" i="1" s="1"/>
  <c r="G223" i="1"/>
  <c r="K221" i="1"/>
  <c r="G221" i="1"/>
  <c r="K220" i="1"/>
  <c r="G220" i="1"/>
  <c r="K219" i="1"/>
  <c r="G219" i="1"/>
  <c r="K217" i="1"/>
  <c r="I216" i="1" s="1"/>
  <c r="G217" i="1"/>
  <c r="K215" i="1"/>
  <c r="G215" i="1"/>
  <c r="K214" i="1"/>
  <c r="G214" i="1"/>
  <c r="K212" i="1"/>
  <c r="G212" i="1"/>
  <c r="K211" i="1"/>
  <c r="I210" i="1" s="1"/>
  <c r="G211" i="1"/>
  <c r="K209" i="1"/>
  <c r="G209" i="1"/>
  <c r="K208" i="1"/>
  <c r="G208" i="1"/>
  <c r="K207" i="1"/>
  <c r="G207" i="1"/>
  <c r="K205" i="1"/>
  <c r="I204" i="1" s="1"/>
  <c r="G205" i="1"/>
  <c r="K203" i="1"/>
  <c r="G203" i="1"/>
  <c r="K202" i="1"/>
  <c r="G202" i="1"/>
  <c r="K200" i="1"/>
  <c r="G200" i="1"/>
  <c r="K199" i="1"/>
  <c r="I198" i="1" s="1"/>
  <c r="G199" i="1"/>
  <c r="K197" i="1"/>
  <c r="G197" i="1"/>
  <c r="K196" i="1"/>
  <c r="G196" i="1"/>
  <c r="K194" i="1"/>
  <c r="G194" i="1"/>
  <c r="K193" i="1"/>
  <c r="I192" i="1" s="1"/>
  <c r="G193" i="1"/>
  <c r="K191" i="1"/>
  <c r="I190" i="1" s="1"/>
  <c r="G191" i="1"/>
  <c r="K189" i="1"/>
  <c r="I188" i="1" s="1"/>
  <c r="G189" i="1"/>
  <c r="K187" i="1"/>
  <c r="G187" i="1"/>
  <c r="K186" i="1"/>
  <c r="I185" i="1" s="1"/>
  <c r="G186" i="1"/>
  <c r="K184" i="1"/>
  <c r="G184" i="1"/>
  <c r="K183" i="1"/>
  <c r="G183" i="1"/>
  <c r="K181" i="1"/>
  <c r="G181" i="1"/>
  <c r="K180" i="1"/>
  <c r="G180" i="1"/>
  <c r="K179" i="1"/>
  <c r="G179" i="1"/>
  <c r="K178" i="1"/>
  <c r="G178" i="1"/>
  <c r="K174" i="1"/>
  <c r="G174" i="1"/>
  <c r="K173" i="1"/>
  <c r="G173" i="1"/>
  <c r="K168" i="1"/>
  <c r="G168" i="1"/>
  <c r="G167" i="1"/>
  <c r="K166" i="1"/>
  <c r="G166" i="1"/>
  <c r="K165" i="1"/>
  <c r="G165" i="1"/>
  <c r="K164" i="1"/>
  <c r="G164" i="1"/>
  <c r="G163" i="1"/>
  <c r="K162" i="1"/>
  <c r="G162" i="1"/>
  <c r="K161" i="1"/>
  <c r="G161" i="1"/>
  <c r="K160" i="1"/>
  <c r="G160" i="1"/>
  <c r="G159" i="1"/>
  <c r="K158" i="1"/>
  <c r="G158" i="1"/>
  <c r="K157" i="1"/>
  <c r="G157" i="1"/>
  <c r="K154" i="1"/>
  <c r="G154" i="1"/>
  <c r="K153" i="1"/>
  <c r="G153" i="1"/>
  <c r="K152" i="1"/>
  <c r="G152" i="1"/>
  <c r="K150" i="1"/>
  <c r="G150" i="1"/>
  <c r="K149" i="1"/>
  <c r="G149" i="1"/>
  <c r="K148" i="1"/>
  <c r="G148" i="1"/>
  <c r="K147" i="1"/>
  <c r="G147" i="1"/>
  <c r="K145" i="1"/>
  <c r="G145" i="1"/>
  <c r="K144" i="1"/>
  <c r="G144" i="1"/>
  <c r="K143" i="1"/>
  <c r="G143" i="1"/>
  <c r="K141" i="1"/>
  <c r="I140" i="1" s="1"/>
  <c r="G141" i="1"/>
  <c r="K139" i="1"/>
  <c r="G139" i="1"/>
  <c r="K138" i="1"/>
  <c r="G138" i="1"/>
  <c r="K136" i="1"/>
  <c r="G136" i="1"/>
  <c r="K135" i="1"/>
  <c r="I134" i="1" s="1"/>
  <c r="G135" i="1"/>
  <c r="K133" i="1"/>
  <c r="G133" i="1"/>
  <c r="K132" i="1"/>
  <c r="G132" i="1"/>
  <c r="K131" i="1"/>
  <c r="G131" i="1"/>
  <c r="K129" i="1"/>
  <c r="I128" i="1" s="1"/>
  <c r="G129" i="1"/>
  <c r="K127" i="1"/>
  <c r="G127" i="1"/>
  <c r="K126" i="1"/>
  <c r="G126" i="1"/>
  <c r="K124" i="1"/>
  <c r="G124" i="1"/>
  <c r="K123" i="1"/>
  <c r="I122" i="1" s="1"/>
  <c r="G123" i="1"/>
  <c r="K121" i="1"/>
  <c r="G121" i="1"/>
  <c r="K120" i="1"/>
  <c r="G120" i="1"/>
  <c r="K118" i="1"/>
  <c r="G118" i="1"/>
  <c r="K117" i="1"/>
  <c r="I116" i="1" s="1"/>
  <c r="G117" i="1"/>
  <c r="K115" i="1"/>
  <c r="I114" i="1" s="1"/>
  <c r="G115" i="1"/>
  <c r="K113" i="1"/>
  <c r="I112" i="1" s="1"/>
  <c r="G113" i="1"/>
  <c r="K111" i="1"/>
  <c r="G111" i="1"/>
  <c r="K110" i="1"/>
  <c r="I109" i="1" s="1"/>
  <c r="G110" i="1"/>
  <c r="K108" i="1"/>
  <c r="G108" i="1"/>
  <c r="K107" i="1"/>
  <c r="G107" i="1"/>
  <c r="K105" i="1"/>
  <c r="G105" i="1"/>
  <c r="K104" i="1"/>
  <c r="G104" i="1"/>
  <c r="K103" i="1"/>
  <c r="G103" i="1"/>
  <c r="K102" i="1"/>
  <c r="G102" i="1"/>
  <c r="K98" i="1"/>
  <c r="G98" i="1"/>
  <c r="G97" i="1"/>
  <c r="K92" i="1"/>
  <c r="G92" i="1"/>
  <c r="K91" i="1"/>
  <c r="G91" i="1"/>
  <c r="K90" i="1"/>
  <c r="G90" i="1"/>
  <c r="G89" i="1"/>
  <c r="K88" i="1"/>
  <c r="G88" i="1"/>
  <c r="K87" i="1"/>
  <c r="G87" i="1"/>
  <c r="K86" i="1"/>
  <c r="G86" i="1"/>
  <c r="G85" i="1"/>
  <c r="K84" i="1"/>
  <c r="G84" i="1"/>
  <c r="K83" i="1"/>
  <c r="G83" i="1"/>
  <c r="K82" i="1"/>
  <c r="G82" i="1"/>
  <c r="G81" i="1"/>
  <c r="K78" i="1"/>
  <c r="G78" i="1"/>
  <c r="K77" i="1"/>
  <c r="G77" i="1"/>
  <c r="K76" i="1"/>
  <c r="G76" i="1"/>
  <c r="K74" i="1"/>
  <c r="G74" i="1"/>
  <c r="K73" i="1"/>
  <c r="G73" i="1"/>
  <c r="K72" i="1"/>
  <c r="G72" i="1"/>
  <c r="K71" i="1"/>
  <c r="G71" i="1"/>
  <c r="K69" i="1"/>
  <c r="G69" i="1"/>
  <c r="K68" i="1"/>
  <c r="G68" i="1"/>
  <c r="K67" i="1"/>
  <c r="G67" i="1"/>
  <c r="K65" i="1"/>
  <c r="I64" i="1" s="1"/>
  <c r="G65" i="1"/>
  <c r="K63" i="1"/>
  <c r="G63" i="1"/>
  <c r="K62" i="1"/>
  <c r="I61" i="1" s="1"/>
  <c r="G62" i="1"/>
  <c r="K60" i="1"/>
  <c r="G60" i="1"/>
  <c r="K59" i="1"/>
  <c r="G59" i="1"/>
  <c r="K57" i="1"/>
  <c r="G57" i="1"/>
  <c r="K56" i="1"/>
  <c r="G56" i="1"/>
  <c r="K55" i="1"/>
  <c r="G55" i="1"/>
  <c r="K53" i="1"/>
  <c r="I52" i="1" s="1"/>
  <c r="G53" i="1"/>
  <c r="K51" i="1"/>
  <c r="G51" i="1"/>
  <c r="K50" i="1"/>
  <c r="I49" i="1" s="1"/>
  <c r="G50" i="1"/>
  <c r="K48" i="1"/>
  <c r="G48" i="1"/>
  <c r="K47" i="1"/>
  <c r="G47" i="1"/>
  <c r="K45" i="1"/>
  <c r="G45" i="1"/>
  <c r="K44" i="1"/>
  <c r="I43" i="1" s="1"/>
  <c r="G44" i="1"/>
  <c r="K42" i="1"/>
  <c r="G42" i="1"/>
  <c r="K41" i="1"/>
  <c r="G41" i="1"/>
  <c r="K39" i="1"/>
  <c r="I38" i="1" s="1"/>
  <c r="G39" i="1"/>
  <c r="K37" i="1"/>
  <c r="I36" i="1" s="1"/>
  <c r="G37" i="1"/>
  <c r="K35" i="1"/>
  <c r="G35" i="1"/>
  <c r="K34" i="1"/>
  <c r="G34" i="1"/>
  <c r="K32" i="1"/>
  <c r="G32" i="1"/>
  <c r="K31" i="1"/>
  <c r="I30" i="1" s="1"/>
  <c r="G31" i="1"/>
  <c r="K29" i="1"/>
  <c r="G29" i="1"/>
  <c r="K28" i="1"/>
  <c r="G28" i="1"/>
  <c r="K27" i="1"/>
  <c r="G27" i="1"/>
  <c r="K26" i="1"/>
  <c r="G26" i="1"/>
  <c r="K22" i="1"/>
  <c r="G22" i="1"/>
  <c r="K21" i="1"/>
  <c r="G21" i="1"/>
  <c r="K17" i="1"/>
  <c r="G17" i="1"/>
  <c r="K16" i="1"/>
  <c r="G16" i="1"/>
  <c r="K15" i="1"/>
  <c r="G15" i="1"/>
  <c r="K14" i="1"/>
  <c r="G14" i="1"/>
  <c r="K13" i="1"/>
  <c r="G13" i="1"/>
  <c r="K12" i="1"/>
  <c r="G12" i="1"/>
  <c r="K10" i="1"/>
  <c r="G10" i="1"/>
  <c r="K9" i="1"/>
  <c r="G9" i="1"/>
  <c r="I93" i="1" l="1"/>
  <c r="K81" i="1"/>
  <c r="K89" i="1"/>
  <c r="I6" i="1" s="1"/>
  <c r="K159" i="1"/>
  <c r="K167" i="1"/>
  <c r="I251" i="1"/>
  <c r="K249" i="1"/>
  <c r="I172" i="1"/>
  <c r="K315" i="1"/>
  <c r="I308" i="1" s="1"/>
  <c r="I25" i="1"/>
  <c r="I24" i="1"/>
  <c r="K85" i="1"/>
  <c r="I99" i="1"/>
  <c r="K97" i="1"/>
  <c r="K163" i="1"/>
  <c r="I156" i="1" s="1"/>
  <c r="K393" i="1"/>
  <c r="I323" i="1" s="1"/>
  <c r="I8" i="1"/>
  <c r="I7" i="1"/>
  <c r="K319" i="1"/>
  <c r="I245" i="1"/>
  <c r="K233" i="1"/>
  <c r="I232" i="1" s="1"/>
  <c r="I397" i="1"/>
  <c r="K385" i="1"/>
  <c r="I329" i="1"/>
  <c r="I328" i="1"/>
  <c r="I54" i="1"/>
  <c r="I66" i="1"/>
  <c r="I101" i="1"/>
  <c r="I100" i="1"/>
  <c r="I106" i="1"/>
  <c r="I119" i="1"/>
  <c r="I155" i="1" s="1"/>
  <c r="I125" i="1"/>
  <c r="I137" i="1"/>
  <c r="I261" i="1"/>
  <c r="I268" i="1"/>
  <c r="I274" i="1"/>
  <c r="I286" i="1"/>
  <c r="I298" i="1"/>
  <c r="I303" i="1"/>
  <c r="I20" i="1"/>
  <c r="I33" i="1"/>
  <c r="I79" i="1" s="1"/>
  <c r="I94" i="1" s="1"/>
  <c r="I40" i="1"/>
  <c r="I46" i="1"/>
  <c r="I58" i="1"/>
  <c r="I70" i="1"/>
  <c r="I75" i="1"/>
  <c r="I130" i="1"/>
  <c r="I142" i="1"/>
  <c r="I177" i="1"/>
  <c r="I176" i="1"/>
  <c r="I182" i="1"/>
  <c r="I195" i="1"/>
  <c r="I231" i="1" s="1"/>
  <c r="I246" i="1" s="1"/>
  <c r="I201" i="1"/>
  <c r="I213" i="1"/>
  <c r="I337" i="1"/>
  <c r="I383" i="1" s="1"/>
  <c r="I398" i="1" s="1"/>
  <c r="I344" i="1"/>
  <c r="I169" i="1"/>
  <c r="I146" i="1"/>
  <c r="I151" i="1"/>
  <c r="I206" i="1"/>
  <c r="I218" i="1"/>
  <c r="I252" i="1"/>
  <c r="I253" i="1"/>
  <c r="I258" i="1"/>
  <c r="I307" i="1" s="1"/>
  <c r="I271" i="1"/>
  <c r="I277" i="1"/>
  <c r="I289" i="1"/>
  <c r="I403" i="1"/>
  <c r="K632" i="1"/>
  <c r="K636" i="1"/>
  <c r="K640" i="1"/>
  <c r="I347" i="1"/>
  <c r="I353" i="1"/>
  <c r="I365" i="1"/>
  <c r="I18" i="1"/>
  <c r="I321" i="1"/>
  <c r="I384" i="1" l="1"/>
  <c r="I3" i="1"/>
  <c r="I171" i="1"/>
  <c r="I248" i="1"/>
  <c r="I247" i="1"/>
  <c r="I19" i="1"/>
  <c r="I96" i="1"/>
  <c r="I95" i="1"/>
  <c r="I322" i="1"/>
  <c r="I80" i="1"/>
  <c r="I170" i="1"/>
  <c r="I399" i="1" s="1"/>
  <c r="I402" i="1" l="1"/>
  <c r="I400" i="1"/>
  <c r="I401" i="1" s="1"/>
  <c r="J639" i="1"/>
  <c r="J635" i="1"/>
  <c r="J637" i="1"/>
  <c r="J633" i="1"/>
  <c r="J629" i="1"/>
  <c r="J625" i="1"/>
  <c r="J621" i="1"/>
  <c r="J617" i="1"/>
  <c r="J613" i="1"/>
  <c r="J609" i="1"/>
  <c r="J605" i="1"/>
  <c r="J601" i="1"/>
  <c r="J631" i="1"/>
  <c r="J623" i="1"/>
  <c r="J615" i="1"/>
  <c r="J607" i="1"/>
  <c r="J599" i="1"/>
  <c r="J595" i="1"/>
  <c r="J591" i="1"/>
  <c r="J587" i="1"/>
  <c r="J583" i="1"/>
  <c r="J579" i="1"/>
  <c r="J575" i="1"/>
  <c r="J571" i="1"/>
  <c r="J567" i="1"/>
  <c r="J563" i="1"/>
  <c r="J559" i="1"/>
  <c r="J555" i="1"/>
  <c r="J551" i="1"/>
  <c r="J547" i="1"/>
  <c r="J543" i="1"/>
  <c r="J539" i="1"/>
  <c r="J535" i="1"/>
  <c r="J531" i="1"/>
  <c r="J527" i="1"/>
  <c r="J523" i="1"/>
  <c r="J519" i="1"/>
  <c r="J515" i="1"/>
  <c r="J511" i="1"/>
  <c r="J507" i="1"/>
  <c r="J503" i="1"/>
  <c r="J499" i="1"/>
  <c r="J495" i="1"/>
  <c r="J491" i="1"/>
  <c r="J487" i="1"/>
  <c r="J483" i="1"/>
  <c r="J479" i="1"/>
  <c r="J475" i="1"/>
  <c r="J471" i="1"/>
  <c r="J467" i="1"/>
  <c r="J463" i="1"/>
  <c r="J459" i="1"/>
  <c r="J455" i="1"/>
  <c r="J451" i="1"/>
  <c r="J447" i="1"/>
  <c r="J443" i="1"/>
  <c r="J439" i="1"/>
  <c r="J435" i="1"/>
  <c r="J431" i="1"/>
  <c r="J427" i="1"/>
  <c r="J423" i="1"/>
  <c r="J419" i="1"/>
  <c r="J415" i="1"/>
  <c r="J411" i="1"/>
  <c r="J407" i="1"/>
  <c r="J395" i="1"/>
  <c r="J391" i="1"/>
  <c r="J381" i="1"/>
  <c r="J376" i="1"/>
  <c r="J371" i="1"/>
  <c r="J364" i="1"/>
  <c r="J359" i="1"/>
  <c r="J352" i="1"/>
  <c r="J346" i="1"/>
  <c r="J626" i="1"/>
  <c r="J618" i="1"/>
  <c r="J610" i="1"/>
  <c r="J602" i="1"/>
  <c r="J596" i="1"/>
  <c r="J592" i="1"/>
  <c r="J588" i="1"/>
  <c r="J584" i="1"/>
  <c r="J580" i="1"/>
  <c r="J576" i="1"/>
  <c r="J572" i="1"/>
  <c r="J568" i="1"/>
  <c r="J564" i="1"/>
  <c r="J560" i="1"/>
  <c r="J556" i="1"/>
  <c r="J552" i="1"/>
  <c r="J548" i="1"/>
  <c r="J544" i="1"/>
  <c r="J540" i="1"/>
  <c r="J536" i="1"/>
  <c r="J532" i="1"/>
  <c r="J528" i="1"/>
  <c r="J524" i="1"/>
  <c r="J520" i="1"/>
  <c r="J516" i="1"/>
  <c r="J512" i="1"/>
  <c r="J508" i="1"/>
  <c r="J504" i="1"/>
  <c r="J500" i="1"/>
  <c r="J496" i="1"/>
  <c r="J492" i="1"/>
  <c r="J488" i="1"/>
  <c r="J484" i="1"/>
  <c r="J480" i="1"/>
  <c r="J476" i="1"/>
  <c r="J472" i="1"/>
  <c r="J468" i="1"/>
  <c r="J464" i="1"/>
  <c r="J460" i="1"/>
  <c r="J456" i="1"/>
  <c r="J452" i="1"/>
  <c r="J448" i="1"/>
  <c r="J444" i="1"/>
  <c r="J440" i="1"/>
  <c r="J436" i="1"/>
  <c r="J432" i="1"/>
  <c r="J428" i="1"/>
  <c r="J424" i="1"/>
  <c r="J420" i="1"/>
  <c r="J416" i="1"/>
  <c r="J412" i="1"/>
  <c r="J408" i="1"/>
  <c r="J396" i="1"/>
  <c r="J392" i="1"/>
  <c r="J388" i="1"/>
  <c r="J382" i="1"/>
  <c r="J377" i="1"/>
  <c r="J372" i="1"/>
  <c r="J366" i="1"/>
  <c r="J360" i="1"/>
  <c r="J354" i="1"/>
  <c r="J638" i="1"/>
  <c r="J634" i="1"/>
  <c r="J627" i="1"/>
  <c r="J619" i="1"/>
  <c r="J611" i="1"/>
  <c r="J603" i="1"/>
  <c r="J597" i="1"/>
  <c r="J593" i="1"/>
  <c r="J589" i="1"/>
  <c r="J585" i="1"/>
  <c r="J581" i="1"/>
  <c r="J577" i="1"/>
  <c r="J573" i="1"/>
  <c r="J569" i="1"/>
  <c r="J565" i="1"/>
  <c r="J561" i="1"/>
  <c r="J557" i="1"/>
  <c r="J553" i="1"/>
  <c r="J549" i="1"/>
  <c r="J545" i="1"/>
  <c r="J541" i="1"/>
  <c r="J537" i="1"/>
  <c r="J533" i="1"/>
  <c r="J529" i="1"/>
  <c r="J525" i="1"/>
  <c r="J521" i="1"/>
  <c r="J517" i="1"/>
  <c r="J513" i="1"/>
  <c r="J509" i="1"/>
  <c r="J505" i="1"/>
  <c r="J501" i="1"/>
  <c r="J497" i="1"/>
  <c r="J493" i="1"/>
  <c r="J489" i="1"/>
  <c r="J485" i="1"/>
  <c r="J481" i="1"/>
  <c r="J477" i="1"/>
  <c r="J473" i="1"/>
  <c r="J469" i="1"/>
  <c r="J465" i="1"/>
  <c r="J461" i="1"/>
  <c r="J457" i="1"/>
  <c r="J453" i="1"/>
  <c r="J449" i="1"/>
  <c r="J445" i="1"/>
  <c r="J441" i="1"/>
  <c r="J437" i="1"/>
  <c r="J433" i="1"/>
  <c r="J429" i="1"/>
  <c r="J606" i="1"/>
  <c r="J586" i="1"/>
  <c r="J570" i="1"/>
  <c r="J554" i="1"/>
  <c r="J538" i="1"/>
  <c r="J522" i="1"/>
  <c r="J506" i="1"/>
  <c r="J490" i="1"/>
  <c r="J474" i="1"/>
  <c r="J458" i="1"/>
  <c r="J442" i="1"/>
  <c r="J426" i="1"/>
  <c r="J418" i="1"/>
  <c r="J410" i="1"/>
  <c r="J394" i="1"/>
  <c r="J375" i="1"/>
  <c r="J363" i="1"/>
  <c r="J355" i="1"/>
  <c r="J341" i="1"/>
  <c r="J335" i="1"/>
  <c r="J330" i="1"/>
  <c r="J305" i="1"/>
  <c r="J300" i="1"/>
  <c r="J295" i="1"/>
  <c r="J288" i="1"/>
  <c r="J283" i="1"/>
  <c r="J276" i="1"/>
  <c r="J270" i="1"/>
  <c r="J263" i="1"/>
  <c r="J257" i="1"/>
  <c r="J250" i="1"/>
  <c r="J242" i="1"/>
  <c r="J238" i="1"/>
  <c r="J234" i="1"/>
  <c r="J228" i="1"/>
  <c r="J223" i="1"/>
  <c r="J217" i="1"/>
  <c r="J211" i="1"/>
  <c r="J205" i="1"/>
  <c r="J199" i="1"/>
  <c r="J193" i="1"/>
  <c r="J186" i="1"/>
  <c r="J180" i="1"/>
  <c r="J173" i="1"/>
  <c r="J165" i="1"/>
  <c r="J161" i="1"/>
  <c r="J157" i="1"/>
  <c r="J150" i="1"/>
  <c r="J145" i="1"/>
  <c r="J139" i="1"/>
  <c r="J133" i="1"/>
  <c r="J127" i="1"/>
  <c r="J121" i="1"/>
  <c r="J115" i="1"/>
  <c r="J108" i="1"/>
  <c r="J103" i="1"/>
  <c r="J92" i="1"/>
  <c r="J88" i="1"/>
  <c r="J84" i="1"/>
  <c r="J78" i="1"/>
  <c r="J73" i="1"/>
  <c r="J68" i="1"/>
  <c r="J62" i="1"/>
  <c r="J56" i="1"/>
  <c r="J50" i="1"/>
  <c r="J44" i="1"/>
  <c r="J37" i="1"/>
  <c r="J630" i="1"/>
  <c r="J598" i="1"/>
  <c r="J582" i="1"/>
  <c r="J566" i="1"/>
  <c r="J550" i="1"/>
  <c r="J534" i="1"/>
  <c r="J518" i="1"/>
  <c r="J502" i="1"/>
  <c r="J486" i="1"/>
  <c r="J470" i="1"/>
  <c r="J454" i="1"/>
  <c r="J438" i="1"/>
  <c r="J421" i="1"/>
  <c r="J413" i="1"/>
  <c r="J405" i="1"/>
  <c r="J390" i="1"/>
  <c r="J378" i="1"/>
  <c r="J367" i="1"/>
  <c r="J348" i="1"/>
  <c r="J343" i="1"/>
  <c r="J336" i="1"/>
  <c r="J331" i="1"/>
  <c r="J320" i="1"/>
  <c r="J316" i="1"/>
  <c r="J312" i="1"/>
  <c r="J306" i="1"/>
  <c r="J301" i="1"/>
  <c r="J296" i="1"/>
  <c r="J290" i="1"/>
  <c r="J284" i="1"/>
  <c r="J278" i="1"/>
  <c r="J272" i="1"/>
  <c r="J265" i="1"/>
  <c r="J259" i="1"/>
  <c r="J254" i="1"/>
  <c r="J243" i="1"/>
  <c r="J239" i="1"/>
  <c r="J235" i="1"/>
  <c r="J229" i="1"/>
  <c r="J224" i="1"/>
  <c r="J219" i="1"/>
  <c r="J212" i="1"/>
  <c r="J207" i="1"/>
  <c r="J200" i="1"/>
  <c r="J194" i="1"/>
  <c r="J187" i="1"/>
  <c r="J181" i="1"/>
  <c r="J174" i="1"/>
  <c r="J166" i="1"/>
  <c r="J162" i="1"/>
  <c r="J158" i="1"/>
  <c r="J152" i="1"/>
  <c r="J147" i="1"/>
  <c r="J141" i="1"/>
  <c r="J135" i="1"/>
  <c r="J129" i="1"/>
  <c r="J123" i="1"/>
  <c r="J117" i="1"/>
  <c r="J110" i="1"/>
  <c r="J104" i="1"/>
  <c r="J74" i="1"/>
  <c r="J69" i="1"/>
  <c r="J63" i="1"/>
  <c r="J57" i="1"/>
  <c r="J51" i="1"/>
  <c r="J45" i="1"/>
  <c r="J39" i="1"/>
  <c r="J32" i="1"/>
  <c r="J27" i="1"/>
  <c r="J622" i="1"/>
  <c r="J594" i="1"/>
  <c r="J578" i="1"/>
  <c r="J562" i="1"/>
  <c r="J546" i="1"/>
  <c r="J530" i="1"/>
  <c r="J514" i="1"/>
  <c r="J498" i="1"/>
  <c r="J482" i="1"/>
  <c r="J466" i="1"/>
  <c r="J450" i="1"/>
  <c r="J434" i="1"/>
  <c r="J422" i="1"/>
  <c r="J414" i="1"/>
  <c r="J406" i="1"/>
  <c r="J386" i="1"/>
  <c r="J369" i="1"/>
  <c r="J357" i="1"/>
  <c r="J349" i="1"/>
  <c r="J345" i="1"/>
  <c r="J338" i="1"/>
  <c r="J332" i="1"/>
  <c r="J325" i="1"/>
  <c r="J317" i="1"/>
  <c r="J313" i="1"/>
  <c r="J309" i="1"/>
  <c r="J302" i="1"/>
  <c r="J297" i="1"/>
  <c r="J291" i="1"/>
  <c r="J285" i="1"/>
  <c r="J279" i="1"/>
  <c r="J273" i="1"/>
  <c r="J267" i="1"/>
  <c r="J260" i="1"/>
  <c r="J255" i="1"/>
  <c r="J244" i="1"/>
  <c r="J240" i="1"/>
  <c r="J236" i="1"/>
  <c r="J230" i="1"/>
  <c r="J225" i="1"/>
  <c r="J220" i="1"/>
  <c r="J214" i="1"/>
  <c r="J208" i="1"/>
  <c r="J202" i="1"/>
  <c r="J196" i="1"/>
  <c r="J189" i="1"/>
  <c r="J183" i="1"/>
  <c r="J178" i="1"/>
  <c r="J153" i="1"/>
  <c r="J148" i="1"/>
  <c r="J143" i="1"/>
  <c r="J136" i="1"/>
  <c r="J131" i="1"/>
  <c r="J124" i="1"/>
  <c r="J118" i="1"/>
  <c r="J111" i="1"/>
  <c r="J105" i="1"/>
  <c r="J98" i="1"/>
  <c r="J90" i="1"/>
  <c r="J86" i="1"/>
  <c r="J82" i="1"/>
  <c r="J76" i="1"/>
  <c r="J71" i="1"/>
  <c r="J65" i="1"/>
  <c r="J59" i="1"/>
  <c r="J53" i="1"/>
  <c r="J47" i="1"/>
  <c r="J41" i="1"/>
  <c r="J614" i="1"/>
  <c r="J542" i="1"/>
  <c r="J478" i="1"/>
  <c r="J409" i="1"/>
  <c r="J361" i="1"/>
  <c r="J318" i="1"/>
  <c r="J299" i="1"/>
  <c r="J275" i="1"/>
  <c r="J226" i="1"/>
  <c r="J203" i="1"/>
  <c r="J179" i="1"/>
  <c r="J138" i="1"/>
  <c r="J113" i="1"/>
  <c r="J67" i="1"/>
  <c r="J42" i="1"/>
  <c r="J34" i="1"/>
  <c r="J29" i="1"/>
  <c r="J26" i="1"/>
  <c r="J16" i="1"/>
  <c r="J12" i="1"/>
  <c r="J389" i="1"/>
  <c r="J373" i="1"/>
  <c r="J326" i="1"/>
  <c r="J281" i="1"/>
  <c r="J237" i="1"/>
  <c r="J209" i="1"/>
  <c r="J120" i="1"/>
  <c r="J48" i="1"/>
  <c r="J22" i="1"/>
  <c r="J15" i="1"/>
  <c r="J10" i="1"/>
  <c r="J590" i="1"/>
  <c r="J526" i="1"/>
  <c r="J462" i="1"/>
  <c r="J380" i="1"/>
  <c r="J339" i="1"/>
  <c r="J314" i="1"/>
  <c r="J293" i="1"/>
  <c r="J269" i="1"/>
  <c r="J221" i="1"/>
  <c r="J197" i="1"/>
  <c r="J168" i="1"/>
  <c r="J164" i="1"/>
  <c r="J160" i="1"/>
  <c r="J154" i="1"/>
  <c r="J132" i="1"/>
  <c r="J107" i="1"/>
  <c r="J60" i="1"/>
  <c r="J35" i="1"/>
  <c r="J31" i="1"/>
  <c r="J17" i="1"/>
  <c r="J13" i="1"/>
  <c r="J558" i="1"/>
  <c r="J494" i="1"/>
  <c r="J430" i="1"/>
  <c r="J417" i="1"/>
  <c r="J304" i="1"/>
  <c r="J256" i="1"/>
  <c r="J241" i="1"/>
  <c r="J184" i="1"/>
  <c r="J144" i="1"/>
  <c r="J72" i="1"/>
  <c r="J574" i="1"/>
  <c r="J510" i="1"/>
  <c r="J446" i="1"/>
  <c r="J425" i="1"/>
  <c r="J351" i="1"/>
  <c r="J333" i="1"/>
  <c r="J310" i="1"/>
  <c r="J287" i="1"/>
  <c r="J262" i="1"/>
  <c r="J215" i="1"/>
  <c r="J191" i="1"/>
  <c r="J149" i="1"/>
  <c r="J126" i="1"/>
  <c r="J102" i="1"/>
  <c r="J91" i="1"/>
  <c r="J87" i="1"/>
  <c r="J83" i="1"/>
  <c r="J77" i="1"/>
  <c r="J55" i="1"/>
  <c r="J21" i="1"/>
  <c r="J14" i="1"/>
  <c r="J9" i="1"/>
  <c r="J249" i="1"/>
  <c r="J233" i="1"/>
  <c r="J28" i="1"/>
  <c r="J89" i="1"/>
  <c r="J167" i="1"/>
  <c r="J163" i="1"/>
  <c r="J393" i="1"/>
  <c r="J600" i="1"/>
  <c r="J616" i="1"/>
  <c r="J604" i="1"/>
  <c r="J620" i="1"/>
  <c r="J632" i="1"/>
  <c r="J385" i="1"/>
  <c r="J311" i="1"/>
  <c r="J640" i="1"/>
  <c r="J315" i="1"/>
  <c r="J628" i="1"/>
  <c r="J636" i="1"/>
  <c r="J81" i="1"/>
  <c r="J159" i="1"/>
  <c r="J97" i="1"/>
  <c r="J319" i="1"/>
  <c r="J608" i="1"/>
  <c r="J624" i="1"/>
  <c r="J85" i="1"/>
  <c r="J387" i="1"/>
  <c r="J612" i="1"/>
</calcChain>
</file>

<file path=xl/comments1.xml><?xml version="1.0" encoding="utf-8"?>
<comments xmlns="http://schemas.openxmlformats.org/spreadsheetml/2006/main">
  <authors>
    <author>Utilisateur Windows</author>
  </authors>
  <commentList>
    <comment ref="H21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22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81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82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83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84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85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86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87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88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89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90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91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92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97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98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102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103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104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105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107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108" authorId="0" shapeId="0">
      <text>
        <r>
          <rPr>
            <sz val="9"/>
            <color indexed="81"/>
            <rFont val="Tahoma"/>
            <charset val="1"/>
          </rPr>
          <t>Ouvrage identique à 4.2.2</t>
        </r>
      </text>
    </comment>
    <comment ref="H110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111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113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115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117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118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120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121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123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124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126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127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129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131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132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133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135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136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138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139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141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143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144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145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147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148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149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150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152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153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154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157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158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159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160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161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162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163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164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165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166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167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168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173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174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178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179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180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181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183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184" authorId="0" shapeId="0">
      <text>
        <r>
          <rPr>
            <sz val="9"/>
            <color indexed="81"/>
            <rFont val="Tahoma"/>
            <charset val="1"/>
          </rPr>
          <t>Ouvrage identique à 4.2.2</t>
        </r>
      </text>
    </comment>
    <comment ref="H186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187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189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191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193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194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196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197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199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200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202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203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205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207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208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209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211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212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214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215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217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219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220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221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223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224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225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226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228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229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230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233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234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235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236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237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238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239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240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241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242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243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244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249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250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254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255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256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257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259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260" authorId="0" shapeId="0">
      <text>
        <r>
          <rPr>
            <sz val="9"/>
            <color indexed="81"/>
            <rFont val="Tahoma"/>
            <charset val="1"/>
          </rPr>
          <t>Ouvrage identique à 4.2.2</t>
        </r>
      </text>
    </comment>
    <comment ref="H262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263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265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267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269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270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272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273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275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276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278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279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281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283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284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285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287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288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290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291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293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295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296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297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299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300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301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302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304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305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306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309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10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11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12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13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14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15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16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17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18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19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20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25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26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30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331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332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333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335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336" authorId="0" shapeId="0">
      <text>
        <r>
          <rPr>
            <sz val="9"/>
            <color indexed="81"/>
            <rFont val="Tahoma"/>
            <charset val="1"/>
          </rPr>
          <t>Ouvrage identique à 4.2.2</t>
        </r>
      </text>
    </comment>
    <comment ref="H338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339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341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343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345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346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348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349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351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352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354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355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357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359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360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361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363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364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366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367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369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371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372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373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375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376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377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378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380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381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382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385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86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87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88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89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90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91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92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93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94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95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  <comment ref="H396" authorId="0" shapeId="0">
      <text>
        <r>
          <rPr>
            <sz val="9"/>
            <color indexed="81"/>
            <rFont val="Tahoma"/>
            <charset val="1"/>
          </rPr>
          <t>Prix fixé : 0</t>
        </r>
      </text>
    </comment>
  </commentList>
</comments>
</file>

<file path=xl/sharedStrings.xml><?xml version="1.0" encoding="utf-8"?>
<sst xmlns="http://schemas.openxmlformats.org/spreadsheetml/2006/main" count="2711" uniqueCount="1338">
  <si>
    <t>En savoir plus</t>
  </si>
  <si>
    <t xml:space="preserve">Coefficient </t>
  </si>
  <si>
    <t>Total HT</t>
  </si>
  <si>
    <t>N° Prix</t>
  </si>
  <si>
    <t>Désignation</t>
  </si>
  <si>
    <t>Unité</t>
  </si>
  <si>
    <t>Quantité</t>
  </si>
  <si>
    <t>Pu Sec</t>
  </si>
  <si>
    <t>Coefficient</t>
  </si>
  <si>
    <t>Prix Unitaire</t>
  </si>
  <si>
    <t>Montant</t>
  </si>
  <si>
    <t>Titre 1</t>
  </si>
  <si>
    <t>Titre 2</t>
  </si>
  <si>
    <t>Titre 3</t>
  </si>
  <si>
    <t>Titre 6</t>
  </si>
  <si>
    <t>Titre 7</t>
  </si>
  <si>
    <t>Titre</t>
  </si>
  <si>
    <t>En-tête</t>
  </si>
  <si>
    <t>Commentaire</t>
  </si>
  <si>
    <t>Normal</t>
  </si>
  <si>
    <t>%</t>
  </si>
  <si>
    <t>Doublon</t>
  </si>
  <si>
    <t>PM</t>
  </si>
  <si>
    <t>Prix fixé</t>
  </si>
  <si>
    <t>Recap</t>
  </si>
  <si>
    <t>Sous-total</t>
  </si>
  <si>
    <t>Total général</t>
  </si>
  <si>
    <t>Accédez au devis en cliquant ici</t>
  </si>
  <si>
    <t>Interlocuteurs</t>
  </si>
  <si>
    <t>Maîtrise d'ouvrage :</t>
  </si>
  <si>
    <t>Maîtrise d'oeuvre :</t>
  </si>
  <si>
    <t>Architecte :</t>
  </si>
  <si>
    <t>SPIGAO</t>
  </si>
  <si>
    <t>disponible sur spigao 3.0</t>
  </si>
  <si>
    <t>Informations générales</t>
  </si>
  <si>
    <t>Historique des versions</t>
  </si>
  <si>
    <t>Lieu d'éxécution :</t>
  </si>
  <si>
    <t>Date limite de réponse :</t>
  </si>
  <si>
    <t>Format de réponse :</t>
  </si>
  <si>
    <t xml:space="preserve">Mode de passation : </t>
  </si>
  <si>
    <t>Nombre de pages DQE</t>
  </si>
  <si>
    <t>Nombre de pages BPU</t>
  </si>
  <si>
    <t>Revue de contrat</t>
  </si>
  <si>
    <t>disponibilité sur spigao 3.0</t>
  </si>
  <si>
    <t>variante autorisée (oui/non) :</t>
  </si>
  <si>
    <t>visite chantier :</t>
  </si>
  <si>
    <t xml:space="preserve">prix ferme/variable/actualisable : </t>
  </si>
  <si>
    <t>qualification exigée :</t>
  </si>
  <si>
    <t>critère de jugement des offres :</t>
  </si>
  <si>
    <t>durée et date de démarrage :</t>
  </si>
  <si>
    <t>Rapport de production SPIGAO</t>
  </si>
  <si>
    <t>Information(s) importante(s)</t>
  </si>
  <si>
    <t>Information(s) complémentaire(s)</t>
  </si>
  <si>
    <t>Point(s) de vigilance</t>
  </si>
  <si>
    <t>test</t>
  </si>
  <si>
    <t>ST2</t>
  </si>
  <si>
    <t>ST3</t>
  </si>
  <si>
    <t>TVA</t>
  </si>
  <si>
    <t>CARRE DE SOIE VAULX EN VELIN - TRAVAUX D'AMENAGEMENT DE L'ESPLANADE TASE - Lot 1 : Voirie et réseaux divers (2654046)</t>
  </si>
  <si>
    <t>C@2</t>
  </si>
  <si>
    <t/>
  </si>
  <si>
    <t xml:space="preserve">CARRE DE SOIE VAULX EN VELIN - TRAVAUX D'AMENAGEMENT DE L'ESPLANADE TASE - Lot 1: Voirie et réseaux divers      </t>
  </si>
  <si>
    <t>C@3</t>
  </si>
  <si>
    <t>Partie absent des localisation mais inclus dans les totaux</t>
  </si>
  <si>
    <t>C@4</t>
  </si>
  <si>
    <t>1</t>
  </si>
  <si>
    <t>Prix généraux</t>
  </si>
  <si>
    <t>P@1.1</t>
  </si>
  <si>
    <t>1.1</t>
  </si>
  <si>
    <t>Installations et repliement de chantier</t>
  </si>
  <si>
    <t>MOIS</t>
  </si>
  <si>
    <t>P@1.2</t>
  </si>
  <si>
    <t>1.2</t>
  </si>
  <si>
    <t>Signalisation de chantier</t>
  </si>
  <si>
    <t>L@5</t>
  </si>
  <si>
    <t>1.3</t>
  </si>
  <si>
    <t>Clôtures de chantier spécifiques</t>
  </si>
  <si>
    <t>P@1.4</t>
  </si>
  <si>
    <t>1.4</t>
  </si>
  <si>
    <t>Etudes EXE</t>
  </si>
  <si>
    <t>FT</t>
  </si>
  <si>
    <t>P@1.5</t>
  </si>
  <si>
    <t>1.5</t>
  </si>
  <si>
    <t>PAQ</t>
  </si>
  <si>
    <t>P@1.6</t>
  </si>
  <si>
    <t>1.6</t>
  </si>
  <si>
    <t>SOGED</t>
  </si>
  <si>
    <t>P@1.7</t>
  </si>
  <si>
    <t>1.7</t>
  </si>
  <si>
    <t>Dossier des ouvrages Executés</t>
  </si>
  <si>
    <t>P@1.8</t>
  </si>
  <si>
    <t>1.8</t>
  </si>
  <si>
    <t>Organisation de visites pédagogiques</t>
  </si>
  <si>
    <t>1/2 JOURNÉE</t>
  </si>
  <si>
    <t>P@1.9</t>
  </si>
  <si>
    <t>1.9</t>
  </si>
  <si>
    <t>Constats d'huissier</t>
  </si>
  <si>
    <t>ST@ST01</t>
  </si>
  <si>
    <t>Total Prix généraux</t>
  </si>
  <si>
    <t>C@6</t>
  </si>
  <si>
    <t>ESPLANADE</t>
  </si>
  <si>
    <t>C@7</t>
  </si>
  <si>
    <t>MONTANT A RENSEIGNER</t>
  </si>
  <si>
    <t>P@2</t>
  </si>
  <si>
    <t>2</t>
  </si>
  <si>
    <t>Sous-total Travaux préparatoires et démolitions</t>
  </si>
  <si>
    <t>X</t>
  </si>
  <si>
    <t>P@3</t>
  </si>
  <si>
    <t>3</t>
  </si>
  <si>
    <t xml:space="preserve">Sous-total Terrassements </t>
  </si>
  <si>
    <t>ST@ST03</t>
  </si>
  <si>
    <t>Total MONTANT A RENSEIGNER</t>
  </si>
  <si>
    <t>C@8</t>
  </si>
  <si>
    <t>4</t>
  </si>
  <si>
    <t>Structures et revêtements</t>
  </si>
  <si>
    <t>C@9</t>
  </si>
  <si>
    <t>4.1</t>
  </si>
  <si>
    <t>Chaussée circulée : voie nouvelle et réfection de l'allée du textile</t>
  </si>
  <si>
    <t>P@4.1.1</t>
  </si>
  <si>
    <t>4.1.1</t>
  </si>
  <si>
    <t>Couche d'imprégnation (600g/m²)</t>
  </si>
  <si>
    <t>M2</t>
  </si>
  <si>
    <t>P@4.1.2</t>
  </si>
  <si>
    <t>4.1.2</t>
  </si>
  <si>
    <t>EB 14 assise classe 35/50 pour couche d'assise – GB 0/14 silico-calcaire, classe 3, ép. 8cm</t>
  </si>
  <si>
    <t>T</t>
  </si>
  <si>
    <t>P@4.1.3</t>
  </si>
  <si>
    <t>4.1.3</t>
  </si>
  <si>
    <t>Couche d'accrochage (400g/m²)</t>
  </si>
  <si>
    <t>P@4.1.4</t>
  </si>
  <si>
    <t>4.1.4</t>
  </si>
  <si>
    <t>EB 10 roulement, classe 35/50 – BBSG 0/10 granitique classe 2, ép. 6cm</t>
  </si>
  <si>
    <t>C@10</t>
  </si>
  <si>
    <t>4.2</t>
  </si>
  <si>
    <t>Stationnement</t>
  </si>
  <si>
    <t>P@4.2.1</t>
  </si>
  <si>
    <t>4.2.1</t>
  </si>
  <si>
    <t>P@4.2.2</t>
  </si>
  <si>
    <t>4.2.2</t>
  </si>
  <si>
    <t>EB 10 roulement, classe 35/50 – BBSG 0/10 classe 2, ép. 6cm</t>
  </si>
  <si>
    <t>C@11</t>
  </si>
  <si>
    <t>4.3</t>
  </si>
  <si>
    <t>Voie pompier en béton de sol sur plateforme nouvelle (esplanade)</t>
  </si>
  <si>
    <t>P@4.3.1</t>
  </si>
  <si>
    <t>4.3.1</t>
  </si>
  <si>
    <t>Dalles en béton sablé  –  ép. 15 cm</t>
  </si>
  <si>
    <t>P@4.3.2</t>
  </si>
  <si>
    <t>4.3.2</t>
  </si>
  <si>
    <t>Caniveau 30xm x 2cm Dalles en béton sablé  –  ép. 15 cm</t>
  </si>
  <si>
    <t>ML</t>
  </si>
  <si>
    <t>C@12</t>
  </si>
  <si>
    <t>4.4</t>
  </si>
  <si>
    <t>Voie pompier en béton de sol sur plateforme récupérée (rue Nelli existante)</t>
  </si>
  <si>
    <t>P@4.4.1</t>
  </si>
  <si>
    <t>4.4.1</t>
  </si>
  <si>
    <t>C@13</t>
  </si>
  <si>
    <t>4.5</t>
  </si>
  <si>
    <t>Cheminement piéton en béton de sol sur plateforme nouvelle</t>
  </si>
  <si>
    <t>P@4.5.1</t>
  </si>
  <si>
    <t>4.5.1</t>
  </si>
  <si>
    <t>Dalles en béton sablé  –  ép. 12 cm</t>
  </si>
  <si>
    <t>C@14</t>
  </si>
  <si>
    <t>4.6</t>
  </si>
  <si>
    <t>Cheminement piéton en stabilisé - Type 3 fin</t>
  </si>
  <si>
    <t>P@4.6.1</t>
  </si>
  <si>
    <t>4.6.1</t>
  </si>
  <si>
    <t>Fourniture et mise en œuvre mécanique concassé 0/20mm  Sault Brenaz pour couche de fondation, ép. 10cm</t>
  </si>
  <si>
    <t>M3</t>
  </si>
  <si>
    <t>P@4.6.2</t>
  </si>
  <si>
    <t>4.6.2</t>
  </si>
  <si>
    <t>Stabilisé –  5cm de 0/6,3  Sault Brenaz en surface</t>
  </si>
  <si>
    <t>C@15</t>
  </si>
  <si>
    <t>4.7</t>
  </si>
  <si>
    <t>Pied d'arbre en stabilisé - Type 2 grossier</t>
  </si>
  <si>
    <t>P@4.7.1</t>
  </si>
  <si>
    <t>4.7.1</t>
  </si>
  <si>
    <t>P@4.7.2</t>
  </si>
  <si>
    <t>4.7.2</t>
  </si>
  <si>
    <t>Stabilisé –  5cm de 6,3/12,5  Sault Brenaz en surface</t>
  </si>
  <si>
    <t>C@16</t>
  </si>
  <si>
    <t>4.8</t>
  </si>
  <si>
    <t>Abords des espaces verts en stabilisé - Type 1 ensemmencé</t>
  </si>
  <si>
    <t>P@4.8.1</t>
  </si>
  <si>
    <t>4.8.1</t>
  </si>
  <si>
    <t>Fourniture et mise en œuvre mécanique de mélange terre-pierre fin (40% TV et 60% Sault Brenatz 20/40), ép. 10cm</t>
  </si>
  <si>
    <t>P@4.8.2</t>
  </si>
  <si>
    <t>4.8.2</t>
  </si>
  <si>
    <t>Stabilisé –  5cm de 4/6,3 Sault Brennaz en surface</t>
  </si>
  <si>
    <t>C@17</t>
  </si>
  <si>
    <t>4.9</t>
  </si>
  <si>
    <t>Trottoir en enrobé</t>
  </si>
  <si>
    <t>P@4.9.1</t>
  </si>
  <si>
    <t>4.9.1</t>
  </si>
  <si>
    <t>P@4.9.2</t>
  </si>
  <si>
    <t>4.9.2</t>
  </si>
  <si>
    <t>BB 0/6 sur une épaisseur de 0,04 m pour les trottoirs</t>
  </si>
  <si>
    <t>C@18</t>
  </si>
  <si>
    <t>4.10</t>
  </si>
  <si>
    <t>Réglage de l'aire de jeux</t>
  </si>
  <si>
    <t>P@4.10.1</t>
  </si>
  <si>
    <t>4.10.1</t>
  </si>
  <si>
    <t>Fourniture et mise en œuvre mécanique de grave de deconstruction de type GDNT 2 ou 3, pour couche de réglage et fondation, ép. 20cm</t>
  </si>
  <si>
    <t>C@19</t>
  </si>
  <si>
    <t>4.11</t>
  </si>
  <si>
    <t>Revêtement de la fontaine en éléments modulaires béton</t>
  </si>
  <si>
    <t>P@4.11.1</t>
  </si>
  <si>
    <t>4.11.1</t>
  </si>
  <si>
    <t>Fourniture et mise en œuvre de dallage béton 25x25x12 y compris jointoiement et lit de pose en mortier</t>
  </si>
  <si>
    <t>P@4.11.2</t>
  </si>
  <si>
    <t>4.11.2</t>
  </si>
  <si>
    <t>Fourniture et mise en œuvre de dallage béton 50x50x12 y compris jointoiement et lit de pose en mortier</t>
  </si>
  <si>
    <t>P@4.11.3</t>
  </si>
  <si>
    <t>4.11.3</t>
  </si>
  <si>
    <t>Fourniture et mise en œuvre de dallage béton 50x100x12 pour caniveau y compris jointoiement et lit de pose en mortier</t>
  </si>
  <si>
    <t>C@20</t>
  </si>
  <si>
    <t>4.12</t>
  </si>
  <si>
    <t>Revêtement des pieds de façade</t>
  </si>
  <si>
    <t>P@4.12.1</t>
  </si>
  <si>
    <t>4.12.1</t>
  </si>
  <si>
    <t>Fourniture et mise en œuvre mécanique de grave de déconstruction de type GDNT 2 ou 3, pour couche de réglage et fondation ep.=20cm</t>
  </si>
  <si>
    <t>P@4.12.2</t>
  </si>
  <si>
    <t>4.12.2</t>
  </si>
  <si>
    <t>Fourniture et mise en œuvre de dallage béton 60x60x12 y compris jointoiement et lit de pose en sable</t>
  </si>
  <si>
    <t>C@21</t>
  </si>
  <si>
    <t>4.13</t>
  </si>
  <si>
    <t>Résines</t>
  </si>
  <si>
    <t>P@4.13.1</t>
  </si>
  <si>
    <t>4.13.1</t>
  </si>
  <si>
    <t>Fourniture et mise en œuvre de résine à froid avec cailloux de 1,5 à 2,5mm, sous le porche piéton</t>
  </si>
  <si>
    <t>P@4.13.2</t>
  </si>
  <si>
    <t>4.13.2</t>
  </si>
  <si>
    <t>Fourniture et mise en œuvre de résine à froid 2 à 5mm sur enrobé, sur voirie</t>
  </si>
  <si>
    <t>C@22</t>
  </si>
  <si>
    <t>4.14</t>
  </si>
  <si>
    <t>Accès en mulch</t>
  </si>
  <si>
    <t>P@4.14.1</t>
  </si>
  <si>
    <t>4.14.1</t>
  </si>
  <si>
    <t>Fourniture et mise en place de paillage végétal type BRF ou plaquette de bois ep. 10cm</t>
  </si>
  <si>
    <t>C@23</t>
  </si>
  <si>
    <t>4.15</t>
  </si>
  <si>
    <t>Trottoir en asphalte</t>
  </si>
  <si>
    <t>P@4.15.1</t>
  </si>
  <si>
    <t>4.15.1</t>
  </si>
  <si>
    <t xml:space="preserve"> Fourniture et mise en œuvre mécanique de grave de déconstruction de type GDNT 2 ou 3, pour couche de réglage et fondation ep.=15cm sur trottoir</t>
  </si>
  <si>
    <t>P@4.15.2</t>
  </si>
  <si>
    <t>4.15.2</t>
  </si>
  <si>
    <t>Structure béton pour trottoir en asphalte, épaisseur 10cm</t>
  </si>
  <si>
    <t>P@4.15.3</t>
  </si>
  <si>
    <t>4.15.3</t>
  </si>
  <si>
    <t>Fourniture et mise en œuvre d'asphalte sur trottoir type AC1 noir, ép. 3cm</t>
  </si>
  <si>
    <t>C@24</t>
  </si>
  <si>
    <t>4.16</t>
  </si>
  <si>
    <t>Revêtements provisoires</t>
  </si>
  <si>
    <t>P@4.16.1</t>
  </si>
  <si>
    <t>4.16.1</t>
  </si>
  <si>
    <t>Cheminement piéton provisoire</t>
  </si>
  <si>
    <t>P@4.16.2</t>
  </si>
  <si>
    <t>4.16.2</t>
  </si>
  <si>
    <t>Démolition Cheminement piéton provisoire</t>
  </si>
  <si>
    <t>P@4.16.3</t>
  </si>
  <si>
    <t>4.16.3</t>
  </si>
  <si>
    <t>Chaussée provisoire</t>
  </si>
  <si>
    <t>P@4.16.4</t>
  </si>
  <si>
    <t>4.16.4</t>
  </si>
  <si>
    <t>Démolition chaussée provisoire</t>
  </si>
  <si>
    <t>C@25</t>
  </si>
  <si>
    <t>4.17</t>
  </si>
  <si>
    <t>Planches d'essais</t>
  </si>
  <si>
    <t>P@4.17.1</t>
  </si>
  <si>
    <t>4.17.1</t>
  </si>
  <si>
    <t>4.17 - Revêtements sablés 1 à 5</t>
  </si>
  <si>
    <t>P@4.17.2</t>
  </si>
  <si>
    <t>4.17.2</t>
  </si>
  <si>
    <t>4.17 - Revêtements Béton</t>
  </si>
  <si>
    <t>P@4.17.3</t>
  </si>
  <si>
    <t>4.17.3</t>
  </si>
  <si>
    <t>4.17 - Revêtements Résines</t>
  </si>
  <si>
    <t>ST@ST04</t>
  </si>
  <si>
    <t>Total Structures et revêtements</t>
  </si>
  <si>
    <t>C@26</t>
  </si>
  <si>
    <t>P@5</t>
  </si>
  <si>
    <t>5</t>
  </si>
  <si>
    <t>Sous-total Bordures</t>
  </si>
  <si>
    <t>P@6</t>
  </si>
  <si>
    <t>6</t>
  </si>
  <si>
    <t>Sous-total Travaux communs des réseaux</t>
  </si>
  <si>
    <t>P@7</t>
  </si>
  <si>
    <t>7</t>
  </si>
  <si>
    <t>Sous-total Réseau d'assainissement unitaire</t>
  </si>
  <si>
    <t>P@8</t>
  </si>
  <si>
    <t>8</t>
  </si>
  <si>
    <t>Sous-total Réseau d'assainissement des eaux pluviales</t>
  </si>
  <si>
    <t>P@9</t>
  </si>
  <si>
    <t>9</t>
  </si>
  <si>
    <t>Sous-total Réseau d'AEP</t>
  </si>
  <si>
    <t>P@10</t>
  </si>
  <si>
    <t>10</t>
  </si>
  <si>
    <t>Sous-total GC Réseaux secs - RMT</t>
  </si>
  <si>
    <t>P@11</t>
  </si>
  <si>
    <t>11</t>
  </si>
  <si>
    <t>Sous-total GC Réseaux secs - Eclairage Public</t>
  </si>
  <si>
    <t>P@12</t>
  </si>
  <si>
    <t>12</t>
  </si>
  <si>
    <t>Sous-total GC Réseaux secs - Attentes pour ENEDIS</t>
  </si>
  <si>
    <t>P@13</t>
  </si>
  <si>
    <t>13</t>
  </si>
  <si>
    <t>Sous-total GC Réseaux secs - Fontaine</t>
  </si>
  <si>
    <t>P@14</t>
  </si>
  <si>
    <t>14</t>
  </si>
  <si>
    <t>Sous-total Signalisations horizontale et verticale</t>
  </si>
  <si>
    <t>P@15</t>
  </si>
  <si>
    <t>15</t>
  </si>
  <si>
    <t>Sous-total Ouvrages Divers</t>
  </si>
  <si>
    <t>P@16</t>
  </si>
  <si>
    <t>16</t>
  </si>
  <si>
    <t>Sous-total Mobilier urbain</t>
  </si>
  <si>
    <t>ST@ST05</t>
  </si>
  <si>
    <t>ST@ST06</t>
  </si>
  <si>
    <t>Total ESPLANADE</t>
  </si>
  <si>
    <t>C@27</t>
  </si>
  <si>
    <t>RUE NELLI</t>
  </si>
  <si>
    <t>C@28</t>
  </si>
  <si>
    <t>P@z1x2</t>
  </si>
  <si>
    <t>P@z1x3</t>
  </si>
  <si>
    <t>ST@ST07</t>
  </si>
  <si>
    <t>C@29</t>
  </si>
  <si>
    <t>C@30</t>
  </si>
  <si>
    <t>P@z1x4.1.1</t>
  </si>
  <si>
    <t>P@z1x4.1.2</t>
  </si>
  <si>
    <t>P@z1x4.1.3</t>
  </si>
  <si>
    <t>P@z1x4.1.4</t>
  </si>
  <si>
    <t>C@31</t>
  </si>
  <si>
    <t>P@z1x4.2.1</t>
  </si>
  <si>
    <t>P@z1x4.2.2</t>
  </si>
  <si>
    <t>C@32</t>
  </si>
  <si>
    <t>P@z1x4.3.1</t>
  </si>
  <si>
    <t>P@z1x4.3.2</t>
  </si>
  <si>
    <t>C@33</t>
  </si>
  <si>
    <t>P@z1x4.4.1</t>
  </si>
  <si>
    <t>C@34</t>
  </si>
  <si>
    <t>P@z1x4.5.1</t>
  </si>
  <si>
    <t>C@35</t>
  </si>
  <si>
    <t>P@z1x4.6.1</t>
  </si>
  <si>
    <t>P@z1x4.6.2</t>
  </si>
  <si>
    <t>C@36</t>
  </si>
  <si>
    <t>P@z1x4.7.1</t>
  </si>
  <si>
    <t>P@z1x4.7.2</t>
  </si>
  <si>
    <t>C@37</t>
  </si>
  <si>
    <t>P@z1x4.8.1</t>
  </si>
  <si>
    <t>P@z1x4.8.2</t>
  </si>
  <si>
    <t>C@38</t>
  </si>
  <si>
    <t>P@z1x4.9.1</t>
  </si>
  <si>
    <t>P@z1x4.9.2</t>
  </si>
  <si>
    <t>C@39</t>
  </si>
  <si>
    <t>P@z1x4.10.1</t>
  </si>
  <si>
    <t>C@40</t>
  </si>
  <si>
    <t>P@z1x4.11.1</t>
  </si>
  <si>
    <t>P@z1x4.11.2</t>
  </si>
  <si>
    <t>P@z1x4.11.3</t>
  </si>
  <si>
    <t>C@41</t>
  </si>
  <si>
    <t>P@z1x4.12.1</t>
  </si>
  <si>
    <t>P@z1x4.12.2</t>
  </si>
  <si>
    <t>C@42</t>
  </si>
  <si>
    <t>P@z1x4.13.1</t>
  </si>
  <si>
    <t>P@z1x4.13.2</t>
  </si>
  <si>
    <t>C@43</t>
  </si>
  <si>
    <t>P@z1x4.14.1</t>
  </si>
  <si>
    <t>C@44</t>
  </si>
  <si>
    <t>P@z1x4.15.1</t>
  </si>
  <si>
    <t>P@z1x4.15.2</t>
  </si>
  <si>
    <t>P@z1x4.15.3</t>
  </si>
  <si>
    <t>C@45</t>
  </si>
  <si>
    <t>P@z1x4.16.1</t>
  </si>
  <si>
    <t>P@z1x4.16.2</t>
  </si>
  <si>
    <t>P@z1x4.16.3</t>
  </si>
  <si>
    <t>P@z1x4.16.4</t>
  </si>
  <si>
    <t>C@46</t>
  </si>
  <si>
    <t>P@z1x4.17.1</t>
  </si>
  <si>
    <t>P@z1x4.17.2</t>
  </si>
  <si>
    <t>P@z1x4.17.3</t>
  </si>
  <si>
    <t>ST@ST08</t>
  </si>
  <si>
    <t>C@47</t>
  </si>
  <si>
    <t>P@z1x5</t>
  </si>
  <si>
    <t>P@z1x6</t>
  </si>
  <si>
    <t>P@z1x7</t>
  </si>
  <si>
    <t>P@z1x8</t>
  </si>
  <si>
    <t>P@z1x9</t>
  </si>
  <si>
    <t>P@z1x10</t>
  </si>
  <si>
    <t>P@z1x11</t>
  </si>
  <si>
    <t>P@z1x12</t>
  </si>
  <si>
    <t>P@z1x13</t>
  </si>
  <si>
    <t>P@z1x14</t>
  </si>
  <si>
    <t>P@z1x15</t>
  </si>
  <si>
    <t>P@z1x16</t>
  </si>
  <si>
    <t>ST@ST09</t>
  </si>
  <si>
    <t>ST@ST10</t>
  </si>
  <si>
    <t>Total RUE NELLI</t>
  </si>
  <si>
    <t>C@48</t>
  </si>
  <si>
    <t>ALLEE DU TEXTILE</t>
  </si>
  <si>
    <t>C@49</t>
  </si>
  <si>
    <t>P@z2x2</t>
  </si>
  <si>
    <t>P@z2x3</t>
  </si>
  <si>
    <t>ST@ST11</t>
  </si>
  <si>
    <t>C@50</t>
  </si>
  <si>
    <t>C@51</t>
  </si>
  <si>
    <t>P@z2x4.1.1</t>
  </si>
  <si>
    <t>P@z2x4.1.2</t>
  </si>
  <si>
    <t>P@z2x4.1.3</t>
  </si>
  <si>
    <t>P@z2x4.1.4</t>
  </si>
  <si>
    <t>C@52</t>
  </si>
  <si>
    <t>P@z2x4.2.1</t>
  </si>
  <si>
    <t>P@z2x4.2.2</t>
  </si>
  <si>
    <t>C@53</t>
  </si>
  <si>
    <t>P@z2x4.3.1</t>
  </si>
  <si>
    <t>P@z2x4.3.2</t>
  </si>
  <si>
    <t>C@54</t>
  </si>
  <si>
    <t>P@z2x4.4.1</t>
  </si>
  <si>
    <t>C@55</t>
  </si>
  <si>
    <t>P@z2x4.5.1</t>
  </si>
  <si>
    <t>C@56</t>
  </si>
  <si>
    <t>P@z2x4.6.1</t>
  </si>
  <si>
    <t>P@z2x4.6.2</t>
  </si>
  <si>
    <t>C@57</t>
  </si>
  <si>
    <t>P@z2x4.7.1</t>
  </si>
  <si>
    <t>P@z2x4.7.2</t>
  </si>
  <si>
    <t>C@58</t>
  </si>
  <si>
    <t>P@z2x4.8.1</t>
  </si>
  <si>
    <t>P@z2x4.8.2</t>
  </si>
  <si>
    <t>C@59</t>
  </si>
  <si>
    <t>P@z2x4.9.1</t>
  </si>
  <si>
    <t>P@z2x4.9.2</t>
  </si>
  <si>
    <t>C@60</t>
  </si>
  <si>
    <t>P@z2x4.10.1</t>
  </si>
  <si>
    <t>C@61</t>
  </si>
  <si>
    <t>P@z2x4.11.1</t>
  </si>
  <si>
    <t>P@z2x4.11.2</t>
  </si>
  <si>
    <t>P@z2x4.11.3</t>
  </si>
  <si>
    <t>C@62</t>
  </si>
  <si>
    <t>P@z2x4.12.1</t>
  </si>
  <si>
    <t>P@z2x4.12.2</t>
  </si>
  <si>
    <t>C@63</t>
  </si>
  <si>
    <t>P@z2x4.13.1</t>
  </si>
  <si>
    <t>P@z2x4.13.2</t>
  </si>
  <si>
    <t>C@64</t>
  </si>
  <si>
    <t>P@z2x4.14.1</t>
  </si>
  <si>
    <t>C@65</t>
  </si>
  <si>
    <t>P@z2x4.15.1</t>
  </si>
  <si>
    <t>P@z2x4.15.2</t>
  </si>
  <si>
    <t>P@z2x4.15.3</t>
  </si>
  <si>
    <t>C@66</t>
  </si>
  <si>
    <t>P@z2x4.16.1</t>
  </si>
  <si>
    <t>P@z2x4.16.2</t>
  </si>
  <si>
    <t>P@z2x4.16.3</t>
  </si>
  <si>
    <t>P@z2x4.16.4</t>
  </si>
  <si>
    <t>C@67</t>
  </si>
  <si>
    <t>P@z2x4.17.1</t>
  </si>
  <si>
    <t>P@z2x4.17.2</t>
  </si>
  <si>
    <t>P@z2x4.17.3</t>
  </si>
  <si>
    <t>ST@ST12</t>
  </si>
  <si>
    <t>C@68</t>
  </si>
  <si>
    <t>P@z2x5</t>
  </si>
  <si>
    <t>P@z2x6</t>
  </si>
  <si>
    <t>P@z2x7</t>
  </si>
  <si>
    <t>P@z2x8</t>
  </si>
  <si>
    <t>P@z2x9</t>
  </si>
  <si>
    <t>P@z2x10</t>
  </si>
  <si>
    <t>P@z2x11</t>
  </si>
  <si>
    <t>P@z2x12</t>
  </si>
  <si>
    <t>P@z2x13</t>
  </si>
  <si>
    <t>P@z2x14</t>
  </si>
  <si>
    <t>P@z2x15</t>
  </si>
  <si>
    <t>P@z2x16</t>
  </si>
  <si>
    <t>ST@ST13</t>
  </si>
  <si>
    <t>ST@ST14</t>
  </si>
  <si>
    <t>Total ALLEE DU TEXTILE</t>
  </si>
  <si>
    <t>C@69</t>
  </si>
  <si>
    <t>ALLEE MOISSIONNIER</t>
  </si>
  <si>
    <t>C@70</t>
  </si>
  <si>
    <t>P@z3x2</t>
  </si>
  <si>
    <t>P@z3x3</t>
  </si>
  <si>
    <t>ST@ST15</t>
  </si>
  <si>
    <t>C@71</t>
  </si>
  <si>
    <t>C@72</t>
  </si>
  <si>
    <t>P@z3x4.1.1</t>
  </si>
  <si>
    <t>P@z3x4.1.2</t>
  </si>
  <si>
    <t>P@z3x4.1.3</t>
  </si>
  <si>
    <t>P@z3x4.1.4</t>
  </si>
  <si>
    <t>C@73</t>
  </si>
  <si>
    <t>P@z3x4.2.1</t>
  </si>
  <si>
    <t>P@z3x4.2.2</t>
  </si>
  <si>
    <t>C@74</t>
  </si>
  <si>
    <t>P@z3x4.3.1</t>
  </si>
  <si>
    <t>P@z3x4.3.2</t>
  </si>
  <si>
    <t>C@75</t>
  </si>
  <si>
    <t>P@z3x4.4.1</t>
  </si>
  <si>
    <t>C@76</t>
  </si>
  <si>
    <t>P@z3x4.5.1</t>
  </si>
  <si>
    <t>C@77</t>
  </si>
  <si>
    <t>P@z3x4.6.1</t>
  </si>
  <si>
    <t>P@z3x4.6.2</t>
  </si>
  <si>
    <t>C@78</t>
  </si>
  <si>
    <t>P@z3x4.7.1</t>
  </si>
  <si>
    <t>P@z3x4.7.2</t>
  </si>
  <si>
    <t>C@79</t>
  </si>
  <si>
    <t>P@z3x4.8.1</t>
  </si>
  <si>
    <t>P@z3x4.8.2</t>
  </si>
  <si>
    <t>C@80</t>
  </si>
  <si>
    <t>P@z3x4.9.1</t>
  </si>
  <si>
    <t>P@z3x4.9.2</t>
  </si>
  <si>
    <t>C@81</t>
  </si>
  <si>
    <t>P@z3x4.10.1</t>
  </si>
  <si>
    <t>C@82</t>
  </si>
  <si>
    <t>P@z3x4.11.1</t>
  </si>
  <si>
    <t>P@z3x4.11.2</t>
  </si>
  <si>
    <t>P@z3x4.11.3</t>
  </si>
  <si>
    <t>C@83</t>
  </si>
  <si>
    <t>P@z3x4.12.1</t>
  </si>
  <si>
    <t>P@z3x4.12.2</t>
  </si>
  <si>
    <t>C@84</t>
  </si>
  <si>
    <t>P@z3x4.13.1</t>
  </si>
  <si>
    <t>P@z3x4.13.2</t>
  </si>
  <si>
    <t>C@85</t>
  </si>
  <si>
    <t>P@z3x4.14.1</t>
  </si>
  <si>
    <t>C@86</t>
  </si>
  <si>
    <t>P@z3x4.15.1</t>
  </si>
  <si>
    <t>P@z3x4.15.2</t>
  </si>
  <si>
    <t>P@z3x4.15.3</t>
  </si>
  <si>
    <t>C@87</t>
  </si>
  <si>
    <t>P@z3x4.16.1</t>
  </si>
  <si>
    <t>P@z3x4.16.2</t>
  </si>
  <si>
    <t>P@z3x4.16.3</t>
  </si>
  <si>
    <t>P@z3x4.16.4</t>
  </si>
  <si>
    <t>C@88</t>
  </si>
  <si>
    <t>P@z3x4.17.1</t>
  </si>
  <si>
    <t>P@z3x4.17.2</t>
  </si>
  <si>
    <t>P@z3x4.17.3</t>
  </si>
  <si>
    <t>ST@ST16</t>
  </si>
  <si>
    <t>C@89</t>
  </si>
  <si>
    <t>P@z3x5</t>
  </si>
  <si>
    <t>P@z3x6</t>
  </si>
  <si>
    <t>P@z3x7</t>
  </si>
  <si>
    <t>P@z3x8</t>
  </si>
  <si>
    <t>P@z3x9</t>
  </si>
  <si>
    <t>P@z3x10</t>
  </si>
  <si>
    <t>P@z3x11</t>
  </si>
  <si>
    <t>P@z3x12</t>
  </si>
  <si>
    <t>P@z3x13</t>
  </si>
  <si>
    <t>P@z3x14</t>
  </si>
  <si>
    <t>P@z3x15</t>
  </si>
  <si>
    <t>P@z3x16</t>
  </si>
  <si>
    <t>ST@ST17</t>
  </si>
  <si>
    <t>ST@ST18</t>
  </si>
  <si>
    <t>Total ALLEE MOISSIONNIER</t>
  </si>
  <si>
    <t>C@90</t>
  </si>
  <si>
    <t>ALLEE DES ECOLIERS</t>
  </si>
  <si>
    <t>C@91</t>
  </si>
  <si>
    <t>P@z4x2</t>
  </si>
  <si>
    <t>P@z4x3</t>
  </si>
  <si>
    <t>ST@ST19</t>
  </si>
  <si>
    <t>C@92</t>
  </si>
  <si>
    <t>C@93</t>
  </si>
  <si>
    <t>P@z4x4.1.1</t>
  </si>
  <si>
    <t>P@z4x4.1.2</t>
  </si>
  <si>
    <t>P@z4x4.1.3</t>
  </si>
  <si>
    <t>P@z4x4.1.4</t>
  </si>
  <si>
    <t>C@94</t>
  </si>
  <si>
    <t>P@z4x4.2.1</t>
  </si>
  <si>
    <t>P@z4x4.2.2</t>
  </si>
  <si>
    <t>C@95</t>
  </si>
  <si>
    <t>P@z4x4.3.1</t>
  </si>
  <si>
    <t>P@z4x4.3.2</t>
  </si>
  <si>
    <t>C@96</t>
  </si>
  <si>
    <t>P@z4x4.4.1</t>
  </si>
  <si>
    <t>C@97</t>
  </si>
  <si>
    <t>P@z4x4.5.1</t>
  </si>
  <si>
    <t>C@98</t>
  </si>
  <si>
    <t>P@z4x4.6.1</t>
  </si>
  <si>
    <t>P@z4x4.6.2</t>
  </si>
  <si>
    <t>C@99</t>
  </si>
  <si>
    <t>P@z4x4.7.1</t>
  </si>
  <si>
    <t>P@z4x4.7.2</t>
  </si>
  <si>
    <t>C@100</t>
  </si>
  <si>
    <t>P@z4x4.8.1</t>
  </si>
  <si>
    <t>P@z4x4.8.2</t>
  </si>
  <si>
    <t>C@101</t>
  </si>
  <si>
    <t>P@z4x4.9.1</t>
  </si>
  <si>
    <t>P@z4x4.9.2</t>
  </si>
  <si>
    <t>C@102</t>
  </si>
  <si>
    <t>P@z4x4.10.1</t>
  </si>
  <si>
    <t>C@103</t>
  </si>
  <si>
    <t>P@z4x4.11.1</t>
  </si>
  <si>
    <t>P@z4x4.11.2</t>
  </si>
  <si>
    <t>P@z4x4.11.3</t>
  </si>
  <si>
    <t>C@104</t>
  </si>
  <si>
    <t>P@z4x4.12.1</t>
  </si>
  <si>
    <t>P@z4x4.12.2</t>
  </si>
  <si>
    <t>C@105</t>
  </si>
  <si>
    <t>P@z4x4.13.1</t>
  </si>
  <si>
    <t>P@z4x4.13.2</t>
  </si>
  <si>
    <t>C@106</t>
  </si>
  <si>
    <t>P@z4x4.14.1</t>
  </si>
  <si>
    <t>C@107</t>
  </si>
  <si>
    <t>P@z4x4.15.1</t>
  </si>
  <si>
    <t>P@z4x4.15.2</t>
  </si>
  <si>
    <t>P@z4x4.15.3</t>
  </si>
  <si>
    <t>C@108</t>
  </si>
  <si>
    <t>P@z4x4.16.1</t>
  </si>
  <si>
    <t>P@z4x4.16.2</t>
  </si>
  <si>
    <t>P@z4x4.16.3</t>
  </si>
  <si>
    <t>P@z4x4.16.4</t>
  </si>
  <si>
    <t>C@109</t>
  </si>
  <si>
    <t>P@z4x4.17.1</t>
  </si>
  <si>
    <t>P@z4x4.17.2</t>
  </si>
  <si>
    <t>P@z4x4.17.3</t>
  </si>
  <si>
    <t>ST@ST20</t>
  </si>
  <si>
    <t>C@110</t>
  </si>
  <si>
    <t>P@z4x5</t>
  </si>
  <si>
    <t>P@z4x6</t>
  </si>
  <si>
    <t>P@z4x7</t>
  </si>
  <si>
    <t>P@z4x8</t>
  </si>
  <si>
    <t>P@z4x9</t>
  </si>
  <si>
    <t>P@z4x10</t>
  </si>
  <si>
    <t>P@z4x11</t>
  </si>
  <si>
    <t>P@z4x12</t>
  </si>
  <si>
    <t>P@z4x13</t>
  </si>
  <si>
    <t>P@z4x14</t>
  </si>
  <si>
    <t>P@z4x15</t>
  </si>
  <si>
    <t>P@z4x16</t>
  </si>
  <si>
    <t>ST@ST21</t>
  </si>
  <si>
    <t>ST@ST22</t>
  </si>
  <si>
    <t>Total ALLEE DES ECOLIERS</t>
  </si>
  <si>
    <t>HT@HT01</t>
  </si>
  <si>
    <t>Total CARRE DE SOIE VAULX EN VELIN - TRAVAUX D'AMENAGEMENT DE L'ESPLANADE TASE - Lot 1: Voirie et réseaux divers</t>
  </si>
  <si>
    <t>TVA@TVA01</t>
  </si>
  <si>
    <t>T.V.A. 20 %</t>
  </si>
  <si>
    <t>TTC@TTC01</t>
  </si>
  <si>
    <t>Montant T.T.C.</t>
  </si>
  <si>
    <t>HT@HT02</t>
  </si>
  <si>
    <t>Montant de l'offre H.T.</t>
  </si>
  <si>
    <t>C@level0</t>
  </si>
  <si>
    <t>Prix absents du DQE</t>
  </si>
  <si>
    <t>L@111</t>
  </si>
  <si>
    <t>Prix présents dans le bordereau mais absents du détail</t>
  </si>
  <si>
    <t>P@1.3.1</t>
  </si>
  <si>
    <t>1.3.1</t>
  </si>
  <si>
    <t>Fourniture et pose clôture rigide en bardage</t>
  </si>
  <si>
    <t>P@1.3.2</t>
  </si>
  <si>
    <t>1.3.2</t>
  </si>
  <si>
    <t>Dépose clôture rigide en bardage</t>
  </si>
  <si>
    <t>P@1.3.3</t>
  </si>
  <si>
    <t>1.3.3</t>
  </si>
  <si>
    <t>Fourniture et pose Clôture pour la communication</t>
  </si>
  <si>
    <t>P@1.3.4</t>
  </si>
  <si>
    <t>1.3.4</t>
  </si>
  <si>
    <t>Dépose Clôture pour la communication</t>
  </si>
  <si>
    <t>P@2.1.1</t>
  </si>
  <si>
    <t>2.1.1</t>
  </si>
  <si>
    <t>Arrachage d'arbre y compris dessouchage</t>
  </si>
  <si>
    <t>U</t>
  </si>
  <si>
    <t>P@2.1.2</t>
  </si>
  <si>
    <t>2.1.2</t>
  </si>
  <si>
    <t>Protection d'arbre</t>
  </si>
  <si>
    <t>P@2.1.3</t>
  </si>
  <si>
    <t>2.1.3</t>
  </si>
  <si>
    <t>Débroussaillage et arrachage de haies</t>
  </si>
  <si>
    <t>M²</t>
  </si>
  <si>
    <t>P@2.2</t>
  </si>
  <si>
    <t>2.2</t>
  </si>
  <si>
    <t>Dépose de bordure ou de caniveau en béton</t>
  </si>
  <si>
    <t>P@2.3</t>
  </si>
  <si>
    <t>2.3</t>
  </si>
  <si>
    <t>Reconnaissance réseaux sans fouilles</t>
  </si>
  <si>
    <t>P@2.4.1</t>
  </si>
  <si>
    <t>2.4.1</t>
  </si>
  <si>
    <t>Sondage de reconnaissance à l'aspiratrice (inférieur ou égal à 2,00m de profondeur) y compris report</t>
  </si>
  <si>
    <t>P@2.4.2</t>
  </si>
  <si>
    <t>2.4.2</t>
  </si>
  <si>
    <t>Sondage de la pelle mécanique (inférieur ou égal à 2,00m de profondeur) y compris report</t>
  </si>
  <si>
    <t>P@2.4.3</t>
  </si>
  <si>
    <t>2.4.3</t>
  </si>
  <si>
    <t>Sondage manuel (inférieur ou égal à 2,00m de profondeur) y compris report</t>
  </si>
  <si>
    <t>P@2.5.1</t>
  </si>
  <si>
    <t>2.5.1</t>
  </si>
  <si>
    <t>Démolition de chaussée bitumineuse</t>
  </si>
  <si>
    <t>P@2.5.2</t>
  </si>
  <si>
    <t>2.5.2</t>
  </si>
  <si>
    <t>Démolition de trottoir en enrobé</t>
  </si>
  <si>
    <t>P@2.5.3</t>
  </si>
  <si>
    <t>2.5.3</t>
  </si>
  <si>
    <t>Démolition de trottoir en béton ou asphalte</t>
  </si>
  <si>
    <t>P@2.6</t>
  </si>
  <si>
    <t>2.6</t>
  </si>
  <si>
    <t>Nettoyage des emprises</t>
  </si>
  <si>
    <t>P@2.7.1</t>
  </si>
  <si>
    <t>2.7.1</t>
  </si>
  <si>
    <t xml:space="preserve">Démolition de dallage </t>
  </si>
  <si>
    <t>P@2.7.2</t>
  </si>
  <si>
    <t>2.7.2</t>
  </si>
  <si>
    <t>Démolition longrine</t>
  </si>
  <si>
    <t>P@2.7.3</t>
  </si>
  <si>
    <t>2.7.3</t>
  </si>
  <si>
    <t>Démolition de massifs ou ouvrages ponctuels</t>
  </si>
  <si>
    <t>P@2.7.4</t>
  </si>
  <si>
    <t>2.7.4</t>
  </si>
  <si>
    <t>Démolition de mur clôture en béton</t>
  </si>
  <si>
    <t>P@2.7.5</t>
  </si>
  <si>
    <t>2.7.5</t>
  </si>
  <si>
    <t>Démolition de muret clôture</t>
  </si>
  <si>
    <t>P@2.8.1</t>
  </si>
  <si>
    <t>2.8.1</t>
  </si>
  <si>
    <t>Plot acier anti franchissement</t>
  </si>
  <si>
    <t>P@2.8.2</t>
  </si>
  <si>
    <t>2.8.2</t>
  </si>
  <si>
    <t>Arceau de protection de poteau incendie</t>
  </si>
  <si>
    <t>P@2.8.3</t>
  </si>
  <si>
    <t>2.8.3</t>
  </si>
  <si>
    <t>Enrochement</t>
  </si>
  <si>
    <t>P@2.8.4</t>
  </si>
  <si>
    <t>2.8.4</t>
  </si>
  <si>
    <t>Ensemble de panneau y compris supports</t>
  </si>
  <si>
    <t>P@2.8.5</t>
  </si>
  <si>
    <t>2.8.5</t>
  </si>
  <si>
    <t>Cloture grillagée simple ou en panneau rigide</t>
  </si>
  <si>
    <t>P@2.8.6</t>
  </si>
  <si>
    <t>2.8.6</t>
  </si>
  <si>
    <t>Portail</t>
  </si>
  <si>
    <t>P@2.8.7</t>
  </si>
  <si>
    <t>2.8.7</t>
  </si>
  <si>
    <t>Potelet</t>
  </si>
  <si>
    <t>P@2.8.8</t>
  </si>
  <si>
    <t>2.8.8</t>
  </si>
  <si>
    <t>Barrière</t>
  </si>
  <si>
    <t>P@2.9</t>
  </si>
  <si>
    <t>2.9</t>
  </si>
  <si>
    <t>Dépose soignée des grilles du porche et mise en dépôt dans le périmètre de l'opération</t>
  </si>
  <si>
    <t>P@2.10.1</t>
  </si>
  <si>
    <t>2.10.1</t>
  </si>
  <si>
    <t>Dépose soignée du jardin partagé</t>
  </si>
  <si>
    <t>P@2.10.2</t>
  </si>
  <si>
    <t>2.10.2</t>
  </si>
  <si>
    <t>Repose soignée du jardin partagé</t>
  </si>
  <si>
    <t>P@2.11</t>
  </si>
  <si>
    <t>2.11</t>
  </si>
  <si>
    <t>Dépose et remise en état platelage bois</t>
  </si>
  <si>
    <t>P@2.12.1</t>
  </si>
  <si>
    <t>2.12.1</t>
  </si>
  <si>
    <t>Forage carotté sur chaussée existante diamètre = 100mm, profondeur = 0.50 m de profondeur</t>
  </si>
  <si>
    <t>P@2.12.2</t>
  </si>
  <si>
    <t>2.12.2</t>
  </si>
  <si>
    <t xml:space="preserve"> Reconnaissance qualitative HAP</t>
  </si>
  <si>
    <t>P@3.1</t>
  </si>
  <si>
    <t>3.1</t>
  </si>
  <si>
    <t xml:space="preserve">Aménagement et gestion de la plateforme de dépôt tri, criblage et concassage </t>
  </si>
  <si>
    <t>P@3.2</t>
  </si>
  <si>
    <t>3.2</t>
  </si>
  <si>
    <t>Terrassements de toute nature, mise en stock sur plateforme de gestion des déblais</t>
  </si>
  <si>
    <t>P@3.3</t>
  </si>
  <si>
    <t>3.3</t>
  </si>
  <si>
    <t>Criblage des déblais  pour fabrication de 0/40 et 40/80 et mise en stock pour réutilisation</t>
  </si>
  <si>
    <t>P@3.4</t>
  </si>
  <si>
    <t>3.4</t>
  </si>
  <si>
    <t>Reprise sur stock des déblais et mise en œuvre pour merlons</t>
  </si>
  <si>
    <t>P@3.5</t>
  </si>
  <si>
    <t>3.5</t>
  </si>
  <si>
    <t>Reprise sur stock des déblais et mise en œuvre pour remblai du hot spot PCB</t>
  </si>
  <si>
    <t>P@3.6</t>
  </si>
  <si>
    <t>3.6</t>
  </si>
  <si>
    <t>Reprise sur stock des déblais et mise en œuvre pour remblai courant</t>
  </si>
  <si>
    <t>P@3.7</t>
  </si>
  <si>
    <t>3.7</t>
  </si>
  <si>
    <t>Reprise sur stock des déblais et mise en œuvre pour couche de forme 0/40</t>
  </si>
  <si>
    <t>P@3.8</t>
  </si>
  <si>
    <t>3.8</t>
  </si>
  <si>
    <t>Gestion du stock en TV pour réutilisation par le marché 2</t>
  </si>
  <si>
    <t>P@3.9.1</t>
  </si>
  <si>
    <t>3.9.1</t>
  </si>
  <si>
    <t xml:space="preserve">Déblais évacués en Installation de Stockage de Déchets Inertes (ISDI) </t>
  </si>
  <si>
    <t>P@3.9.2</t>
  </si>
  <si>
    <t>3.9.2</t>
  </si>
  <si>
    <t xml:space="preserve">Déblais évacués en Installation de Stockage de Déchets Non Inertes (ISDI+) </t>
  </si>
  <si>
    <t>P@3.9.3</t>
  </si>
  <si>
    <t>3.9.3</t>
  </si>
  <si>
    <t xml:space="preserve">Déblais évacués en Installation de Stockage de Déchets Non Dangereux (ISDND) </t>
  </si>
  <si>
    <t>P@3.9.4</t>
  </si>
  <si>
    <t>3.9.4</t>
  </si>
  <si>
    <t xml:space="preserve">Déblais évacués en Installation de Stockage de Déchets Dangereux (ISDD) </t>
  </si>
  <si>
    <t>P@3.9.5</t>
  </si>
  <si>
    <t>3.9.5</t>
  </si>
  <si>
    <t xml:space="preserve">Déblais évacués en filière de type Biocentre </t>
  </si>
  <si>
    <t>P@3.10</t>
  </si>
  <si>
    <t>3.10</t>
  </si>
  <si>
    <t>Décompacatge des fonds de fosse de plantation(H=50cm)</t>
  </si>
  <si>
    <t>P@3.11</t>
  </si>
  <si>
    <t>3.11</t>
  </si>
  <si>
    <t>Confection de la couche de forme de chaussée en GDNT1 0/63 fabriquée sur site</t>
  </si>
  <si>
    <t>P@3.12</t>
  </si>
  <si>
    <t>3.12</t>
  </si>
  <si>
    <t>Evacuation des excédents de béton non concassé</t>
  </si>
  <si>
    <t>P@3.13</t>
  </si>
  <si>
    <t>3.13</t>
  </si>
  <si>
    <t>3.12 - Confection de la couche de forme de chaussée en GDNT1 0/63 d'apport</t>
  </si>
  <si>
    <t>P@3.14</t>
  </si>
  <si>
    <t>3.14</t>
  </si>
  <si>
    <t>3.13 - Fourniture et mise en œuvre mécanique de grave de déconstruction de type GDNT 2 ou 3  0/31.5, pour couche de réglage</t>
  </si>
  <si>
    <t>P@3.15</t>
  </si>
  <si>
    <t>3.15</t>
  </si>
  <si>
    <t>3.14 - Suivi et Essais sur les matériaux non inertes (1u/100m3)</t>
  </si>
  <si>
    <t>P@5.1.1</t>
  </si>
  <si>
    <t>5.1.1</t>
  </si>
  <si>
    <t>Bordure 10  x 20  droite</t>
  </si>
  <si>
    <t>P@5.1.2</t>
  </si>
  <si>
    <t>5.1.2</t>
  </si>
  <si>
    <t>Bordure 20  x 20  droite - vue de 0 cm à vue de 6 cm</t>
  </si>
  <si>
    <t>P@5.1.3</t>
  </si>
  <si>
    <t>5.1.3</t>
  </si>
  <si>
    <t>Bordure 20  x 30  droite - vue de 10 cm à 16 cm</t>
  </si>
  <si>
    <t>P@5.1.4</t>
  </si>
  <si>
    <t>5.1.4</t>
  </si>
  <si>
    <t>Bordure 20 x 20 courbe R = 6 m</t>
  </si>
  <si>
    <t>P@5.1.5</t>
  </si>
  <si>
    <t>5.1.5</t>
  </si>
  <si>
    <t>Bordure 20 x 30 courbe R = 6 m</t>
  </si>
  <si>
    <t>P@5.1.6</t>
  </si>
  <si>
    <t>5.1.6</t>
  </si>
  <si>
    <t>Abaissé de bordure droit</t>
  </si>
  <si>
    <t>P@5.1.7</t>
  </si>
  <si>
    <t>5.1.7</t>
  </si>
  <si>
    <t>Abaissé de bordure gauche</t>
  </si>
  <si>
    <t>P@5.1.8</t>
  </si>
  <si>
    <t>5.1.8</t>
  </si>
  <si>
    <t>Bordure spéciale 20x30 angle massif planté</t>
  </si>
  <si>
    <t>P@5.1.9</t>
  </si>
  <si>
    <t>5.1.9</t>
  </si>
  <si>
    <t xml:space="preserve"> Bordure spéciale 20x30 ajouré au droit massif planté</t>
  </si>
  <si>
    <t>P@5.1.10</t>
  </si>
  <si>
    <t>5.1.10</t>
  </si>
  <si>
    <t>Caniveau type CC1</t>
  </si>
  <si>
    <t>P@5.2</t>
  </si>
  <si>
    <t>5.2</t>
  </si>
  <si>
    <t>Réalisation de longrine en béton armé avec coffrage autour des espaces verts</t>
  </si>
  <si>
    <t>P@5.3</t>
  </si>
  <si>
    <t>5.3</t>
  </si>
  <si>
    <t>Coffrage soigné du calage de bordures dans les massifs de plantations</t>
  </si>
  <si>
    <t>P@5.4</t>
  </si>
  <si>
    <t>5.4</t>
  </si>
  <si>
    <t>Construction de caniveau béton coulé en place de 0,33 m de largeur et de 0,30 m d'épaisseur</t>
  </si>
  <si>
    <t>P@5.5</t>
  </si>
  <si>
    <t>5.5</t>
  </si>
  <si>
    <t>Asphaltage du caniveau</t>
  </si>
  <si>
    <t>P@5.6</t>
  </si>
  <si>
    <t>5.6</t>
  </si>
  <si>
    <t>Fourniture et pose de volige en acier plat 100/10mm  à la tige d'accroche 250/80/10mm</t>
  </si>
  <si>
    <t>P@5.7</t>
  </si>
  <si>
    <t>5.7</t>
  </si>
  <si>
    <t xml:space="preserve"> FOURNITURE ET POSE DE VOLIGES BOIS EN PEUPLIER RECTIFIE, LARG : 35MM</t>
  </si>
  <si>
    <t>P@5.8.1</t>
  </si>
  <si>
    <t>5.8.1</t>
  </si>
  <si>
    <t>Emmarchement type M1</t>
  </si>
  <si>
    <t>P@5.8.2</t>
  </si>
  <si>
    <t>5.8.2</t>
  </si>
  <si>
    <t>Emmarchement type M2</t>
  </si>
  <si>
    <t>P@5.8.3</t>
  </si>
  <si>
    <t>5.8.3</t>
  </si>
  <si>
    <t>Emmarchement type M3</t>
  </si>
  <si>
    <t>P@5.8.4</t>
  </si>
  <si>
    <t>5.8.4</t>
  </si>
  <si>
    <t>Emmarchement type M4</t>
  </si>
  <si>
    <t>P@5.8.5</t>
  </si>
  <si>
    <t>5.8.5</t>
  </si>
  <si>
    <t>Elément modulaire pour caniveau</t>
  </si>
  <si>
    <t>P@5.9.1</t>
  </si>
  <si>
    <t>5.9.1</t>
  </si>
  <si>
    <t>Bordure type T2</t>
  </si>
  <si>
    <t>P@6.1</t>
  </si>
  <si>
    <t>6.1</t>
  </si>
  <si>
    <t>Mise à niveau d'une bouche à clé d'eau potable</t>
  </si>
  <si>
    <t>P@6.2</t>
  </si>
  <si>
    <t>6.2</t>
  </si>
  <si>
    <t>Mise à niveau d'une bouche à clé de gaz</t>
  </si>
  <si>
    <t>P@6.3.1</t>
  </si>
  <si>
    <t>6.3.1</t>
  </si>
  <si>
    <t>Dimensions inférieures ou égales à 500mm de diam ou 500x500mm</t>
  </si>
  <si>
    <t>P@6.3.2</t>
  </si>
  <si>
    <t>6.3.2</t>
  </si>
  <si>
    <t>Dimensions supérieures à 500mm de diam ou 500x500 mm</t>
  </si>
  <si>
    <t>P@6.4.1</t>
  </si>
  <si>
    <t>6.4.1</t>
  </si>
  <si>
    <t>Démolition de regard avaloir et/ou à grille</t>
  </si>
  <si>
    <t>P@6.4.2</t>
  </si>
  <si>
    <t>6.4.2</t>
  </si>
  <si>
    <t>P@6.4.3</t>
  </si>
  <si>
    <t>6.4.3</t>
  </si>
  <si>
    <t>P@6.5.1</t>
  </si>
  <si>
    <t>6.5.1</t>
  </si>
  <si>
    <t>classe C250KN</t>
  </si>
  <si>
    <t>P@6.5.2</t>
  </si>
  <si>
    <t>6.5.2</t>
  </si>
  <si>
    <t>classe D400KN</t>
  </si>
  <si>
    <t>P@6.6</t>
  </si>
  <si>
    <t>6.6</t>
  </si>
  <si>
    <t>Démolition de multitubulaire bétonnée</t>
  </si>
  <si>
    <t>P@6.7</t>
  </si>
  <si>
    <t>6.7</t>
  </si>
  <si>
    <t>Protection béton pour réseau (dalle ép. 20cm)</t>
  </si>
  <si>
    <t>P@7.1</t>
  </si>
  <si>
    <t>7.1</t>
  </si>
  <si>
    <t>Fouilles en tranchée y compris remblaiement H = 2,30 m</t>
  </si>
  <si>
    <t>P@7.2.1</t>
  </si>
  <si>
    <t>7.2.1</t>
  </si>
  <si>
    <t>PVC CR8 Ø160mm</t>
  </si>
  <si>
    <t>P@7.2.2</t>
  </si>
  <si>
    <t>7.2.2</t>
  </si>
  <si>
    <t>BA 165A Ø400mm</t>
  </si>
  <si>
    <t>P@7.2.3</t>
  </si>
  <si>
    <t>7.2.3</t>
  </si>
  <si>
    <t>BA 165A Ø500mm</t>
  </si>
  <si>
    <t>P@7.3.1</t>
  </si>
  <si>
    <t>7.3.1</t>
  </si>
  <si>
    <t>Construction d'un regard 40 x40cm de branchement préfabriqué  de profondeur = 1,50m avec tampon 50 x50, classe C250KN</t>
  </si>
  <si>
    <t>P@7.3.2</t>
  </si>
  <si>
    <t>7.3.2</t>
  </si>
  <si>
    <t>Construction d'un regard de visite circulaire de diamètre 1000mm préfabriqué  de profondeur = 2,00m avec tampon circulaire 850mm, classe C400KN</t>
  </si>
  <si>
    <t>P@7.4</t>
  </si>
  <si>
    <t>7.4</t>
  </si>
  <si>
    <t>Raccordement sur regard de visite existant</t>
  </si>
  <si>
    <t>P@7.5</t>
  </si>
  <si>
    <t>7.5</t>
  </si>
  <si>
    <t>Raccordement sur canalisation circulaire existante</t>
  </si>
  <si>
    <t>P@7.6</t>
  </si>
  <si>
    <t>7.6</t>
  </si>
  <si>
    <t xml:space="preserve">Hydrocurage et inspection télévisée des réseaux </t>
  </si>
  <si>
    <t>P@7.7</t>
  </si>
  <si>
    <t>7.7</t>
  </si>
  <si>
    <t>Essai d'étanchéité</t>
  </si>
  <si>
    <t>P@8.1</t>
  </si>
  <si>
    <t>8.1</t>
  </si>
  <si>
    <t>P@8.2.1</t>
  </si>
  <si>
    <t>8.2.1</t>
  </si>
  <si>
    <t>Géotextile</t>
  </si>
  <si>
    <t>P@8.2.2</t>
  </si>
  <si>
    <t>8.2.2</t>
  </si>
  <si>
    <t>Reprise sur stock de fraction grossière de matériaux inertes et mise en œuvre pour complexe drainant 40/80</t>
  </si>
  <si>
    <t>P@8.2.3</t>
  </si>
  <si>
    <t>8.2.3</t>
  </si>
  <si>
    <t>Fourniture et mise en œuvre mécanique de grave non traitée GNT 31.5/50 silico calcaire de type 2, pour massif de diffusion sur massif terre-pierre</t>
  </si>
  <si>
    <t>P@8.3.1</t>
  </si>
  <si>
    <t>8.3.1</t>
  </si>
  <si>
    <t>P@8.3.2</t>
  </si>
  <si>
    <t>8.3.2</t>
  </si>
  <si>
    <t>PVC CR8 Ø200mm</t>
  </si>
  <si>
    <t>P@8.3.3</t>
  </si>
  <si>
    <t>8.3.3</t>
  </si>
  <si>
    <t>Drain routier PVC  Ø250mm</t>
  </si>
  <si>
    <t>P@8.4.1</t>
  </si>
  <si>
    <t>8.4.1</t>
  </si>
  <si>
    <t>Construction d'un regard de profondeur = 1,50, section 0,80m x 0,80m avec une grille  fonte rectangulaire 750 x 300mm, classe D400KN</t>
  </si>
  <si>
    <t>P@8.4.2</t>
  </si>
  <si>
    <t>8.4.2</t>
  </si>
  <si>
    <t>Construction d'un regard de profondeur = 1,50, section 0,80m x 0,80m avec une grille  fonte carrée concave 400 x 400mm, classe C250KN</t>
  </si>
  <si>
    <t>P@8.4.3</t>
  </si>
  <si>
    <t>8.4.3</t>
  </si>
  <si>
    <t>Construction d'un regard de visite circulaire de diamètre 1000mm préfabriqué  de profondeur = 1,50m avec tampon circulaire 850mm, classe C250KN</t>
  </si>
  <si>
    <t>P@8.4.4</t>
  </si>
  <si>
    <t>8.4.4</t>
  </si>
  <si>
    <t>Construction d'un regard de descente d'eau pluviale "brise énergie" de profondeur = 1,50, section 0,40m x 0,40m avec tampon fonte carrée 500 x 500mm, classe B125KN</t>
  </si>
  <si>
    <t>P@8.4.5</t>
  </si>
  <si>
    <t>8.4.5</t>
  </si>
  <si>
    <t>Construction d'un regard  de dispersion de profondeur = 2,00m, section 0,80m x 0,80m, remplissage par galets, grille fonte carrée 600x600 plate, C250KN</t>
  </si>
  <si>
    <t>P@8.4.6</t>
  </si>
  <si>
    <t>8.4.6</t>
  </si>
  <si>
    <t>Construction d'un regard  de dispersion de profondeur = 2,00m, section 0,80m x 0,80m, remplissage par galets, grille fonte carrée 600x600 plate, C250KN, avec seuil de 20cm</t>
  </si>
  <si>
    <t>P@8.4.7</t>
  </si>
  <si>
    <t>8.4.7</t>
  </si>
  <si>
    <t>Construction d'un regard  de dispersion de profondeur = 2,00m, section 0,80m x 0,80m, remplissage par galets, grille fonte carrée 400x400 concave, C250KN</t>
  </si>
  <si>
    <t>P@8.4.8</t>
  </si>
  <si>
    <t>8.4.8</t>
  </si>
  <si>
    <t>Construction d'un regard  de dispersion de profondeur = 2,00m, section 0,60m x 0,70m, remplissage par galets, grille fonte rectangulaire 750 x 300mm, classe D400KN</t>
  </si>
  <si>
    <t>P@8.4.9</t>
  </si>
  <si>
    <t>8.4.9</t>
  </si>
  <si>
    <t>Construction d'un regard  de dispersion de profondeur = 2,00m, section 0,60m x 0,70m, remplissage par galets, grille fonte rectangulaire 750 x 300mm, classe D400KN avec caillebotis vetical</t>
  </si>
  <si>
    <t>P@8.4.10</t>
  </si>
  <si>
    <t>8.4.10</t>
  </si>
  <si>
    <t>Transformation d'un regard avaloir ou à grille en un regard de visite circulaire de diamètre 1000mm préfabriqué sur collecteur, avec tampon circulaire 850mm, classe C250KN</t>
  </si>
  <si>
    <t>P@8.4.11</t>
  </si>
  <si>
    <t>8.4.11</t>
  </si>
  <si>
    <t>Réalisation d'un regard sur réseau assainissement en fonctionnement</t>
  </si>
  <si>
    <t>P@8.4.12</t>
  </si>
  <si>
    <t>8.4.12</t>
  </si>
  <si>
    <t>Transformation d'un regard avaloir en un regard à grille fonte rectangulaire 750 x 300mm, classe D400KN</t>
  </si>
  <si>
    <t>P@8.5.1</t>
  </si>
  <si>
    <t>8.5.1</t>
  </si>
  <si>
    <t>P@8.5.2</t>
  </si>
  <si>
    <t>8.5.2</t>
  </si>
  <si>
    <t>P@8.5.3</t>
  </si>
  <si>
    <t>8.5.3</t>
  </si>
  <si>
    <t>Piquage en chandelle sur ovoïde existant</t>
  </si>
  <si>
    <t>P@8.6</t>
  </si>
  <si>
    <t>8.6</t>
  </si>
  <si>
    <t>P@8.7</t>
  </si>
  <si>
    <t>8.7</t>
  </si>
  <si>
    <t>P@9.1.1</t>
  </si>
  <si>
    <t>9.1.1</t>
  </si>
  <si>
    <t>Pour PEHD DN 18/25 ou DN32 sous trottoir</t>
  </si>
  <si>
    <t>P@9.1.2</t>
  </si>
  <si>
    <t>9.1.2</t>
  </si>
  <si>
    <t>Pour PEHD DN 18/25 ou DN32 sous chaussée</t>
  </si>
  <si>
    <t>P@9.1.3</t>
  </si>
  <si>
    <t>9.1.3</t>
  </si>
  <si>
    <t>pour Fonte DN 150 mm sous chaussée</t>
  </si>
  <si>
    <t>P@9.2.1</t>
  </si>
  <si>
    <t>9.2.1</t>
  </si>
  <si>
    <t>PEHD DN 18/25</t>
  </si>
  <si>
    <t>P@9.2.2</t>
  </si>
  <si>
    <t>9.2.2</t>
  </si>
  <si>
    <t>PEHD DN 32/40</t>
  </si>
  <si>
    <t>P@9.2.3.1</t>
  </si>
  <si>
    <t>9.2.3.1</t>
  </si>
  <si>
    <t>Fonte DN 150 mm</t>
  </si>
  <si>
    <t>P@9.2.3</t>
  </si>
  <si>
    <t>9.2.3</t>
  </si>
  <si>
    <t>TPC bleu DN63mm</t>
  </si>
  <si>
    <t>P@9.3.1</t>
  </si>
  <si>
    <t>9.3.1</t>
  </si>
  <si>
    <t>Plaque pleine + vidange</t>
  </si>
  <si>
    <t>P@9.4.1</t>
  </si>
  <si>
    <t>9.4.1</t>
  </si>
  <si>
    <t>Regard de comptage pour fontaine tampon 1 000 x 1 000  (avec un fond drainé) avec disconnecteur contrôlable de marque Socla ou Bayard</t>
  </si>
  <si>
    <t>P@9.4.2</t>
  </si>
  <si>
    <t>9.4.2</t>
  </si>
  <si>
    <t>Regard de comptage compact de type SGB</t>
  </si>
  <si>
    <t>P@9.5</t>
  </si>
  <si>
    <t>9.5</t>
  </si>
  <si>
    <t>Fourniture et pose borne Fontaine</t>
  </si>
  <si>
    <t>P@9.6</t>
  </si>
  <si>
    <t>9.6</t>
  </si>
  <si>
    <t>Fourniture et pose bouche d'arrosage</t>
  </si>
  <si>
    <t>P@9.7</t>
  </si>
  <si>
    <t>9.7</t>
  </si>
  <si>
    <t>Dépose branchement en attente</t>
  </si>
  <si>
    <t>P@9.8.1</t>
  </si>
  <si>
    <t>9.8.1</t>
  </si>
  <si>
    <t>RV DN 150 mm</t>
  </si>
  <si>
    <t>P@9.8.2</t>
  </si>
  <si>
    <t>9.8.2</t>
  </si>
  <si>
    <t>RV DN 40 mm</t>
  </si>
  <si>
    <t>P@9.8.3</t>
  </si>
  <si>
    <t>9.8.3</t>
  </si>
  <si>
    <t>RV DN 20 mm</t>
  </si>
  <si>
    <t>P@9.9</t>
  </si>
  <si>
    <t>9.9</t>
  </si>
  <si>
    <t>Réfection de chaussée</t>
  </si>
  <si>
    <t>P@9.10</t>
  </si>
  <si>
    <t>9.10</t>
  </si>
  <si>
    <t>Désinfection de la conduite et vérification de la potabilité</t>
  </si>
  <si>
    <t>P@10.1.1</t>
  </si>
  <si>
    <t>10.1.1</t>
  </si>
  <si>
    <t>Tranchée sous chaussée</t>
  </si>
  <si>
    <t>P@10.1.2</t>
  </si>
  <si>
    <t>10.1.2</t>
  </si>
  <si>
    <t>Tranchée sous trottoir</t>
  </si>
  <si>
    <t>P@10.2.1</t>
  </si>
  <si>
    <t>10.2.1</t>
  </si>
  <si>
    <t>Gaine PVC 45mm</t>
  </si>
  <si>
    <t>P@10.2.2</t>
  </si>
  <si>
    <t>10.2.2</t>
  </si>
  <si>
    <t>Gaine PVC 80mm</t>
  </si>
  <si>
    <t>P@10.3</t>
  </si>
  <si>
    <t>10.3</t>
  </si>
  <si>
    <t>Enrobage béton</t>
  </si>
  <si>
    <t>P@10.4.1</t>
  </si>
  <si>
    <t>10.4.1</t>
  </si>
  <si>
    <t xml:space="preserve">Chambre de tirage type L1T </t>
  </si>
  <si>
    <t>P@10.4.2</t>
  </si>
  <si>
    <t>10.4.2</t>
  </si>
  <si>
    <t xml:space="preserve">Chambre de tirage type L2T </t>
  </si>
  <si>
    <t>P@10.4.3</t>
  </si>
  <si>
    <t>10.4.3</t>
  </si>
  <si>
    <t xml:space="preserve">Chambre de tirage type L3T </t>
  </si>
  <si>
    <t>P@10.5</t>
  </si>
  <si>
    <t>10.5</t>
  </si>
  <si>
    <t>P@10.6</t>
  </si>
  <si>
    <t>10.6</t>
  </si>
  <si>
    <t>Perçage d'une chambre existante et réfection du masque</t>
  </si>
  <si>
    <t>P@11.1.1</t>
  </si>
  <si>
    <t>11.1.1</t>
  </si>
  <si>
    <t>P@11.1.2</t>
  </si>
  <si>
    <t>11.1.2</t>
  </si>
  <si>
    <t>P@11.1.3</t>
  </si>
  <si>
    <t>11.1.3</t>
  </si>
  <si>
    <t>Tranchée sous radier enrobé porche et remblaiement béton</t>
  </si>
  <si>
    <t>P@11.2.1</t>
  </si>
  <si>
    <t>11.2.1</t>
  </si>
  <si>
    <t>Gaine PVC 40mm renforcée pour ECP</t>
  </si>
  <si>
    <t>P@11.2.2</t>
  </si>
  <si>
    <t>11.2.2</t>
  </si>
  <si>
    <t>Gaine TPC 63mm pour ECP</t>
  </si>
  <si>
    <t>P@11.2.3</t>
  </si>
  <si>
    <t>11.2.3</t>
  </si>
  <si>
    <t>Gaine TPC 90mm pour ECP</t>
  </si>
  <si>
    <t>P@11.2.4</t>
  </si>
  <si>
    <t>11.2.4</t>
  </si>
  <si>
    <t>Gaine TPC 110mm pour ECP</t>
  </si>
  <si>
    <t>P@11.3</t>
  </si>
  <si>
    <t>11.3</t>
  </si>
  <si>
    <t xml:space="preserve">Fourniture et pose en fond de fouille de câblette de terre cuivre nu 25mm2 </t>
  </si>
  <si>
    <t>P@11.4.1</t>
  </si>
  <si>
    <t>11.4.1</t>
  </si>
  <si>
    <t>Regard 40cm x 40cm</t>
  </si>
  <si>
    <t>P@11.4.2</t>
  </si>
  <si>
    <t>11.4.2</t>
  </si>
  <si>
    <t>Regard 50cm x 50cm</t>
  </si>
  <si>
    <t>P@11.4.3</t>
  </si>
  <si>
    <t>11.4.3</t>
  </si>
  <si>
    <t>P@11.5</t>
  </si>
  <si>
    <t>11.5</t>
  </si>
  <si>
    <t>Attente pour remontée aérosouterraine</t>
  </si>
  <si>
    <t>P@11.6</t>
  </si>
  <si>
    <t>11.6</t>
  </si>
  <si>
    <t>Raccordement</t>
  </si>
  <si>
    <t>P@11.7.1</t>
  </si>
  <si>
    <t>11.7.1</t>
  </si>
  <si>
    <t>Massif pour mât H=5m</t>
  </si>
  <si>
    <t>P@11.7.2</t>
  </si>
  <si>
    <t>11.7.2</t>
  </si>
  <si>
    <t>Massif pour mât H=7m</t>
  </si>
  <si>
    <t>P@11.7.3</t>
  </si>
  <si>
    <t>11.7.3</t>
  </si>
  <si>
    <t>Massif pour mât H=12m</t>
  </si>
  <si>
    <t>P@11.8</t>
  </si>
  <si>
    <t>11.8</t>
  </si>
  <si>
    <t>P@11.9</t>
  </si>
  <si>
    <t>11.9</t>
  </si>
  <si>
    <t>Essais</t>
  </si>
  <si>
    <t>P@12.1.1</t>
  </si>
  <si>
    <t>12.1.1</t>
  </si>
  <si>
    <t>pour 6 TPC 160 sous chaussée</t>
  </si>
  <si>
    <t>P@12.1.2</t>
  </si>
  <si>
    <t>12.1.2</t>
  </si>
  <si>
    <t>12.1.1 - pour 6 TPC 160 sous trottoir</t>
  </si>
  <si>
    <t>P@12.2.1</t>
  </si>
  <si>
    <t>12.2.1</t>
  </si>
  <si>
    <t>Gaine TPC 160mm pour ENEDIS</t>
  </si>
  <si>
    <t>P@12.3</t>
  </si>
  <si>
    <t>12.3</t>
  </si>
  <si>
    <t>Enrobage béton pour 6 TPC160</t>
  </si>
  <si>
    <t>P@13.1.1</t>
  </si>
  <si>
    <t>13.1.1</t>
  </si>
  <si>
    <t>P@13.2.1</t>
  </si>
  <si>
    <t>13.2.1</t>
  </si>
  <si>
    <t>Gaine TPC 60mm</t>
  </si>
  <si>
    <t>P@13.2.2</t>
  </si>
  <si>
    <t>13.2.2</t>
  </si>
  <si>
    <t>Gaine TPC 160mm</t>
  </si>
  <si>
    <t>P@13.3</t>
  </si>
  <si>
    <t>13.3</t>
  </si>
  <si>
    <t>P@13.4</t>
  </si>
  <si>
    <t>13.4</t>
  </si>
  <si>
    <t>P@14.1.1</t>
  </si>
  <si>
    <t>14.1.1</t>
  </si>
  <si>
    <t>Effaçage de signalisation surfacique</t>
  </si>
  <si>
    <t>P@14.1.2</t>
  </si>
  <si>
    <t>14.1.2</t>
  </si>
  <si>
    <t>Effaçage de signalisation linéaire</t>
  </si>
  <si>
    <t>P@14.2.1</t>
  </si>
  <si>
    <t>14.2.1</t>
  </si>
  <si>
    <t>Tracé de ligne blanche discontinue, 50cm pour marquage CEDEZ LE PASSAGE</t>
  </si>
  <si>
    <t>P@14.2.2</t>
  </si>
  <si>
    <t>14.2.2</t>
  </si>
  <si>
    <t>Tracé de ligne blanche continue, 2u 0.10 m pour délimitation de stationnement</t>
  </si>
  <si>
    <t>P@14.2.3</t>
  </si>
  <si>
    <t>14.2.3</t>
  </si>
  <si>
    <t>Tracé de ligne blanche T1, 2u 0.10 m pour délimitation de voie</t>
  </si>
  <si>
    <t>P@14.2.4</t>
  </si>
  <si>
    <t>14.2.4</t>
  </si>
  <si>
    <t>Tracé de bande podotactile 0,50m en résine</t>
  </si>
  <si>
    <t>P@14.2.5</t>
  </si>
  <si>
    <t>14.2.5</t>
  </si>
  <si>
    <t>Tracé de ligne jaune continue, 2u 0,10 m pour arrêt bus type ZIGZAG</t>
  </si>
  <si>
    <t>P@14.2.6</t>
  </si>
  <si>
    <t>14.2.6</t>
  </si>
  <si>
    <t xml:space="preserve">Tracé de bande blanche pour passage piétons, largeur 0,50 m </t>
  </si>
  <si>
    <t>P@14.2.7</t>
  </si>
  <si>
    <t>14.2.7</t>
  </si>
  <si>
    <t>Flèche simple</t>
  </si>
  <si>
    <t>P@14.2.8</t>
  </si>
  <si>
    <t>14.2.8</t>
  </si>
  <si>
    <t>Pictogramme CYCLE</t>
  </si>
  <si>
    <t>P@14.2.9</t>
  </si>
  <si>
    <t>14.2.9</t>
  </si>
  <si>
    <t>Pictogramme Piéton</t>
  </si>
  <si>
    <t>P@14.2.10</t>
  </si>
  <si>
    <t>14.2.10</t>
  </si>
  <si>
    <t xml:space="preserve">Pictogramme PMR </t>
  </si>
  <si>
    <t>P@14.2.11</t>
  </si>
  <si>
    <t>14.2.11</t>
  </si>
  <si>
    <t>Lettrines BUS</t>
  </si>
  <si>
    <t>P@14.3.1.1</t>
  </si>
  <si>
    <t>14.3.1.1</t>
  </si>
  <si>
    <t>Support type mât de signalisation verticale de police</t>
  </si>
  <si>
    <t>P@14.3.2.1</t>
  </si>
  <si>
    <t>14.3.2.1</t>
  </si>
  <si>
    <t xml:space="preserve">Ensemble panneau "Voie pompier" </t>
  </si>
  <si>
    <t>P@14.3.2.2</t>
  </si>
  <si>
    <t>14.3.2.2</t>
  </si>
  <si>
    <t>Ensemble Panneau "Interdiction de stationner",  gamme petite, classe 2</t>
  </si>
  <si>
    <t>P@14.3.2.3</t>
  </si>
  <si>
    <t>14.3.2.3</t>
  </si>
  <si>
    <t xml:space="preserve">Ensemble panneau "Arrêt interdit" B6d + panonceau M6a + Panonceau M6b + Panonceau M8 (stationnement PMR), gamme petite, classe 2 </t>
  </si>
  <si>
    <t>P@14.3.2.4</t>
  </si>
  <si>
    <t>14.3.2.4</t>
  </si>
  <si>
    <t>Panneau "CEDEZ LE PASSAGE" AB3a  + M9c gamme petite, classe 2</t>
  </si>
  <si>
    <t>P@14.3.2.5</t>
  </si>
  <si>
    <t>14.3.2.5</t>
  </si>
  <si>
    <t>Panneau "sortie d'Ecole" gamme petite, classe 2</t>
  </si>
  <si>
    <t>P@14.3.2.6</t>
  </si>
  <si>
    <t>14.3.2.6</t>
  </si>
  <si>
    <t>Panneau aire de jeux de dimensions environ : H 400 x L 600 mm.</t>
  </si>
  <si>
    <t>P@14.3.2.7</t>
  </si>
  <si>
    <t>14.3.2.7</t>
  </si>
  <si>
    <t>Panneau "stationnement vélo" Id1a, gamme petite, classe 2</t>
  </si>
  <si>
    <t>P@14.3.2.8</t>
  </si>
  <si>
    <t>14.3.2.8</t>
  </si>
  <si>
    <t>Panneau "Fin de zone 30" B51, gamme petite, classe 2</t>
  </si>
  <si>
    <t>P@14.3.2.9</t>
  </si>
  <si>
    <t>14.3.2.9</t>
  </si>
  <si>
    <t>Panneau "Zone 30" B30, gamme petite, classe 2</t>
  </si>
  <si>
    <t>P@14.3.2.10</t>
  </si>
  <si>
    <t>14.3.2.10</t>
  </si>
  <si>
    <t>Panneau "Aire piétonne", B54, classe 2</t>
  </si>
  <si>
    <t>P@14.3.2.11</t>
  </si>
  <si>
    <t>14.3.2.11</t>
  </si>
  <si>
    <t>Panneau "Fin aire piétonne", B55, classe 2</t>
  </si>
  <si>
    <t>P@15.1</t>
  </si>
  <si>
    <t>15.1</t>
  </si>
  <si>
    <t>Etude géotechnique pour dimensionnement fondations et massifs</t>
  </si>
  <si>
    <t>P@15.2.1</t>
  </si>
  <si>
    <t>15.2.1</t>
  </si>
  <si>
    <t>Fouilles pour fondations en terrains ordinaires</t>
  </si>
  <si>
    <t>P@15.2.2</t>
  </si>
  <si>
    <t>15.2.2</t>
  </si>
  <si>
    <t>Remblais de fouilles</t>
  </si>
  <si>
    <t>P@15.2.3</t>
  </si>
  <si>
    <t>15.2.3</t>
  </si>
  <si>
    <t>Coffrages plans pour parements simples</t>
  </si>
  <si>
    <t>P@15.2.4</t>
  </si>
  <si>
    <t>15.2.4</t>
  </si>
  <si>
    <t>Coffrages plans pour parements fins</t>
  </si>
  <si>
    <t>P@15.2.5</t>
  </si>
  <si>
    <t>15.2.5</t>
  </si>
  <si>
    <t>plus value pour parement ouvrage (inscription lettrage dans le béton - 20 lettres - H=60cm)</t>
  </si>
  <si>
    <t>P@15.2.6</t>
  </si>
  <si>
    <t>15.2.6</t>
  </si>
  <si>
    <t>Coffrage perdu pour joint</t>
  </si>
  <si>
    <t>P@15.2.7</t>
  </si>
  <si>
    <t>15.2.7</t>
  </si>
  <si>
    <t>Béton de propreté</t>
  </si>
  <si>
    <t>P@15.2.8</t>
  </si>
  <si>
    <t>15.2.8</t>
  </si>
  <si>
    <t>Béton c30/37 (y.c cure)</t>
  </si>
  <si>
    <t>P@15.2.9</t>
  </si>
  <si>
    <t>15.2.9</t>
  </si>
  <si>
    <t>plus value béton pour teinte dans la masse</t>
  </si>
  <si>
    <t>P@15.2.10</t>
  </si>
  <si>
    <t>15.2.10</t>
  </si>
  <si>
    <t>Armatures pour béton armé</t>
  </si>
  <si>
    <t>KG</t>
  </si>
  <si>
    <t>P@15.2.11</t>
  </si>
  <si>
    <t>15.2.11</t>
  </si>
  <si>
    <t>Réglage et finition des surfaces non coffrées</t>
  </si>
  <si>
    <t>P@15.2.12</t>
  </si>
  <si>
    <t>15.2.12</t>
  </si>
  <si>
    <t>Badigeonnage des surfaces en contact avec la terre</t>
  </si>
  <si>
    <t>P@15.2.13</t>
  </si>
  <si>
    <t>15.2.13</t>
  </si>
  <si>
    <t>Assise unités Fourniture et pose lattes bois en chêne et construction en acier galvanisé 3,790m avec dossier</t>
  </si>
  <si>
    <t>P@15.2.14</t>
  </si>
  <si>
    <t>15.2.14</t>
  </si>
  <si>
    <t xml:space="preserve">Assise Fourniture et pose lattes bois en chêne et construction en acier galvanisé 5,950m avec dossier </t>
  </si>
  <si>
    <t>P@15.3.1</t>
  </si>
  <si>
    <t>15.3.1</t>
  </si>
  <si>
    <t>P@15.3.2</t>
  </si>
  <si>
    <t>15.3.2</t>
  </si>
  <si>
    <t>P@15.3.3</t>
  </si>
  <si>
    <t>15.3.3</t>
  </si>
  <si>
    <t>Joints de retrait</t>
  </si>
  <si>
    <t>P@15.3.4</t>
  </si>
  <si>
    <t>15.3.4</t>
  </si>
  <si>
    <t>P@15.3.5</t>
  </si>
  <si>
    <t>15.3.5</t>
  </si>
  <si>
    <t>P@15.3.6</t>
  </si>
  <si>
    <t>15.3.6</t>
  </si>
  <si>
    <t>P@15.3.7</t>
  </si>
  <si>
    <t>15.3.7</t>
  </si>
  <si>
    <t>P@15.3.8</t>
  </si>
  <si>
    <t>15.3.8</t>
  </si>
  <si>
    <t>P@15.3.9</t>
  </si>
  <si>
    <t>15.3.9</t>
  </si>
  <si>
    <t>ETANCHEITE TYPE SEL SUR DALLE ASSISE FONTAINE</t>
  </si>
  <si>
    <t>P@15.4.1</t>
  </si>
  <si>
    <t>15.4.1</t>
  </si>
  <si>
    <t>Peinture des murs et piliers intérieurs et plafond du porche</t>
  </si>
  <si>
    <t>P@15.4.2</t>
  </si>
  <si>
    <t>15.4.2</t>
  </si>
  <si>
    <t>Peinture du muret banc avenue des Canuts</t>
  </si>
  <si>
    <t>P@16.1.1</t>
  </si>
  <si>
    <t>16.1.1</t>
  </si>
  <si>
    <t>Fourniture et pose de potelet fixe h:90 gamme fontaine  grand Lyon</t>
  </si>
  <si>
    <t>P@16.1.2</t>
  </si>
  <si>
    <t>16.1.2</t>
  </si>
  <si>
    <t>Fourniture et pose de potelet fixe h:120 - tête blanche gamme fontaine grand lyon</t>
  </si>
  <si>
    <t>P@16.1.3</t>
  </si>
  <si>
    <t>16.1.3</t>
  </si>
  <si>
    <t>Fourniture et pose de barrière sans crosse gamme fontaine grand lyon</t>
  </si>
  <si>
    <t>P@16.1.4</t>
  </si>
  <si>
    <t>16.1.4</t>
  </si>
  <si>
    <t>Fourniture et pose de corbeille gamme fontaine grand lyon</t>
  </si>
  <si>
    <t>P@16.1.5</t>
  </si>
  <si>
    <t>16.1.5</t>
  </si>
  <si>
    <t>Fourniture et pose d'appuis-vélo gamme fontaine grand lyon</t>
  </si>
  <si>
    <t>P@16.1.6</t>
  </si>
  <si>
    <t>16.1.6</t>
  </si>
  <si>
    <t xml:space="preserve">Fourniture et pose de portail pompier </t>
  </si>
  <si>
    <t>P@16.1.7</t>
  </si>
  <si>
    <t>16.1.7</t>
  </si>
  <si>
    <t>Fourniture et pose plots anti-béliers</t>
  </si>
  <si>
    <t>P@16.1.8</t>
  </si>
  <si>
    <t>16.1.8</t>
  </si>
  <si>
    <t>Fourniture et pose d'un ensemble de barrière à accès selectif piéton</t>
  </si>
  <si>
    <t>P@16.1.9</t>
  </si>
  <si>
    <t>16.1.9</t>
  </si>
  <si>
    <t>Fourniture et pose d'un ensemble de barrière à accès selectif vélo</t>
  </si>
  <si>
    <t>Référence spigao : 2654046</t>
  </si>
  <si>
    <t>lyon@edisys.eu</t>
  </si>
  <si>
    <t>PDF</t>
  </si>
  <si>
    <t>1 information importante</t>
  </si>
  <si>
    <t>Les prix présents uniquement dans le bordereau ont été rajoutés dans un chapitre spécial dans le détail estimatif: veuillez les saisir si vous souhaitez les compléter dans le bordereau.</t>
  </si>
  <si>
    <t>1 information complémentaire</t>
  </si>
  <si>
    <t>Le dossier  contient plusieurs colonnes de quantités et/ou de prix unitaires.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</si>
</sst>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theme="9" tint="-0.249977111117893"/>
      <name val="Calibri"/>
      <family val="2"/>
    </font>
    <font>
      <b/>
      <sz val="9"/>
      <color theme="0"/>
      <name val="Arial"/>
      <family val="2"/>
    </font>
    <font>
      <sz val="11"/>
      <color rgb="FFFFFFFF"/>
      <name val="Calibri"/>
      <family val="2"/>
      <scheme val="minor"/>
    </font>
    <font>
      <b/>
      <sz val="12"/>
      <color rgb="FF272727"/>
      <name val="Arial"/>
      <family val="2"/>
    </font>
    <font>
      <b/>
      <sz val="10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i/>
      <sz val="9"/>
      <color theme="2" tint="-0.499984740745262"/>
      <name val="Arial"/>
      <family val="2"/>
    </font>
    <font>
      <u/>
      <sz val="11"/>
      <color theme="0"/>
      <name val="Calibr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14996795556505021"/>
      <name val="Calibri"/>
      <family val="2"/>
      <scheme val="minor"/>
    </font>
    <font>
      <b/>
      <i/>
      <sz val="9"/>
      <color indexed="6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A9A9A9"/>
      <name val="Calibri"/>
      <family val="2"/>
      <scheme val="minor"/>
    </font>
    <font>
      <u/>
      <sz val="11"/>
      <color rgb="FFFF8C00"/>
      <name val="Calibri"/>
      <family val="2"/>
      <scheme val="minor"/>
    </font>
    <font>
      <sz val="11"/>
      <color rgb="FFFF8C00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1"/>
      <color rgb="FFFFA500"/>
      <name val="Calibri"/>
      <family val="2"/>
      <scheme val="minor"/>
    </font>
    <font>
      <b/>
      <sz val="11"/>
      <color rgb="FF32CD3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0"/>
      <color theme="0"/>
      <name val="Arial"/>
      <family val="2"/>
    </font>
    <font>
      <b/>
      <i/>
      <sz val="9"/>
      <name val="Arial"/>
      <family val="2"/>
    </font>
    <font>
      <b/>
      <i/>
      <sz val="9"/>
      <color theme="0"/>
      <name val="Arial"/>
      <family val="2"/>
    </font>
    <font>
      <b/>
      <sz val="12"/>
      <color rgb="FFFABF8F"/>
      <name val="Arial"/>
      <family val="2"/>
    </font>
    <font>
      <b/>
      <sz val="10"/>
      <color rgb="FFFCD5B4"/>
      <name val="Arial"/>
      <family val="2"/>
    </font>
    <font>
      <b/>
      <sz val="9"/>
      <color rgb="FFFFFFCC"/>
      <name val="Arial"/>
      <family val="2"/>
    </font>
    <font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theme="4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medium">
        <color theme="1" tint="0.14996795556505021"/>
      </bottom>
      <diagonal/>
    </border>
    <border>
      <left/>
      <right/>
      <top/>
      <bottom style="thin">
        <color theme="1" tint="0.14996795556505021"/>
      </bottom>
      <diagonal/>
    </border>
    <border>
      <left/>
      <right/>
      <top style="double">
        <color auto="1"/>
      </top>
      <bottom style="dotted">
        <color auto="1"/>
      </bottom>
      <diagonal/>
    </border>
  </borders>
  <cellStyleXfs count="23">
    <xf numFmtId="0" fontId="0" fillId="0" borderId="0">
      <alignment horizontal="left"/>
    </xf>
    <xf numFmtId="0" fontId="13" fillId="2" borderId="0" applyNumberFormat="0" applyProtection="0">
      <alignment horizontal="center" vertical="center" wrapText="1"/>
    </xf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49" fontId="5" fillId="6" borderId="0" applyNumberFormat="0" applyProtection="0">
      <alignment horizontal="center" vertical="top" wrapText="1"/>
    </xf>
    <xf numFmtId="0" fontId="7" fillId="7" borderId="1" applyNumberFormat="0" applyProtection="0">
      <alignment horizontal="left"/>
    </xf>
    <xf numFmtId="0" fontId="8" fillId="8" borderId="2" applyNumberFormat="0" applyProtection="0">
      <alignment horizontal="left"/>
    </xf>
    <xf numFmtId="0" fontId="9" fillId="9" borderId="3" applyNumberFormat="0" applyProtection="0">
      <alignment horizontal="left"/>
    </xf>
    <xf numFmtId="0" fontId="10" fillId="0" borderId="0">
      <alignment horizontal="left"/>
    </xf>
    <xf numFmtId="0" fontId="17" fillId="10" borderId="0" applyNumberFormat="0" applyFont="0" applyBorder="0" applyAlignment="0" applyProtection="0"/>
    <xf numFmtId="0" fontId="19" fillId="0" borderId="0" applyNumberFormat="0" applyFill="0" applyBorder="0" applyAlignment="0" applyProtection="0"/>
    <xf numFmtId="0" fontId="18" fillId="11" borderId="0" applyNumberFormat="0" applyBorder="0" applyAlignment="0" applyProtection="0"/>
    <xf numFmtId="4" fontId="35" fillId="5" borderId="4" applyNumberFormat="0" applyProtection="0">
      <alignment horizontal="right" vertical="top" wrapText="1" shrinkToFit="1"/>
    </xf>
    <xf numFmtId="4" fontId="21" fillId="12" borderId="0" applyNumberFormat="0" applyProtection="0">
      <alignment horizontal="right" vertical="top" wrapText="1" shrinkToFit="1"/>
    </xf>
    <xf numFmtId="4" fontId="20" fillId="0" borderId="0" applyNumberFormat="0" applyProtection="0">
      <alignment horizontal="right" vertical="top" wrapText="1" shrinkToFit="1"/>
    </xf>
    <xf numFmtId="0" fontId="23" fillId="0" borderId="0" applyNumberFormat="0" applyFill="0" applyBorder="0" applyAlignment="0" applyProtection="0"/>
    <xf numFmtId="0" fontId="17" fillId="0" borderId="0"/>
    <xf numFmtId="0" fontId="3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4" fontId="34" fillId="16" borderId="4" applyNumberFormat="0" applyProtection="0">
      <alignment horizontal="right" vertical="top" wrapText="1" shrinkToFit="1"/>
    </xf>
    <xf numFmtId="4" fontId="34" fillId="17" borderId="4" applyNumberFormat="0" applyProtection="0">
      <alignment horizontal="right" vertical="top" wrapText="1" shrinkToFit="1"/>
    </xf>
    <xf numFmtId="4" fontId="5" fillId="18" borderId="0" applyNumberFormat="0" applyProtection="0">
      <alignment horizontal="right" vertical="top" wrapText="1" shrinkToFit="1"/>
    </xf>
  </cellStyleXfs>
  <cellXfs count="136">
    <xf numFmtId="0" fontId="0" fillId="0" borderId="0" xfId="0">
      <alignment horizontal="left"/>
    </xf>
    <xf numFmtId="49" fontId="1" fillId="2" borderId="0" xfId="1" applyNumberFormat="1" applyFont="1">
      <alignment horizontal="center" vertical="center" wrapText="1"/>
    </xf>
    <xf numFmtId="0" fontId="2" fillId="2" borderId="0" xfId="2" applyFont="1" applyFill="1"/>
    <xf numFmtId="0" fontId="1" fillId="0" borderId="0" xfId="2"/>
    <xf numFmtId="49" fontId="4" fillId="3" borderId="0" xfId="3" applyNumberFormat="1" applyFont="1" applyFill="1" applyBorder="1" applyAlignment="1" applyProtection="1">
      <alignment horizontal="left" vertical="center"/>
    </xf>
    <xf numFmtId="49" fontId="5" fillId="6" borderId="0" xfId="4" applyNumberFormat="1" applyAlignment="1">
      <alignment horizontal="center" vertical="center" wrapText="1"/>
    </xf>
    <xf numFmtId="4" fontId="5" fillId="6" borderId="0" xfId="4" applyNumberFormat="1" applyAlignment="1">
      <alignment horizontal="center" vertical="center" wrapText="1"/>
    </xf>
    <xf numFmtId="0" fontId="7" fillId="7" borderId="1" xfId="5">
      <alignment horizontal="left"/>
    </xf>
    <xf numFmtId="0" fontId="8" fillId="8" borderId="2" xfId="6">
      <alignment horizontal="left"/>
    </xf>
    <xf numFmtId="0" fontId="9" fillId="9" borderId="3" xfId="7">
      <alignment horizontal="left"/>
    </xf>
    <xf numFmtId="0" fontId="0" fillId="0" borderId="0" xfId="0" quotePrefix="1">
      <alignment horizontal="left"/>
    </xf>
    <xf numFmtId="0" fontId="5" fillId="6" borderId="0" xfId="4" applyNumberFormat="1">
      <alignment horizontal="center" vertical="top" wrapText="1"/>
    </xf>
    <xf numFmtId="0" fontId="0" fillId="2" borderId="0" xfId="1" applyFont="1">
      <alignment horizontal="center" vertical="center" wrapText="1"/>
    </xf>
    <xf numFmtId="0" fontId="10" fillId="0" borderId="0" xfId="8">
      <alignment horizontal="left"/>
    </xf>
    <xf numFmtId="0" fontId="11" fillId="2" borderId="0" xfId="3" applyFont="1" applyFill="1" applyAlignment="1" applyProtection="1">
      <alignment horizontal="center" vertical="center" wrapText="1"/>
    </xf>
    <xf numFmtId="0" fontId="12" fillId="4" borderId="0" xfId="2" applyFont="1" applyFill="1" applyBorder="1" applyAlignment="1">
      <alignment horizontal="left" vertical="center"/>
    </xf>
    <xf numFmtId="0" fontId="13" fillId="4" borderId="0" xfId="2" applyFont="1" applyFill="1" applyBorder="1" applyAlignment="1">
      <alignment horizontal="left" vertical="center"/>
    </xf>
    <xf numFmtId="0" fontId="13" fillId="4" borderId="0" xfId="2" applyNumberFormat="1" applyFont="1" applyFill="1" applyBorder="1" applyAlignment="1">
      <alignment horizontal="right" vertical="center"/>
    </xf>
    <xf numFmtId="0" fontId="12" fillId="4" borderId="0" xfId="2" applyNumberFormat="1" applyFont="1" applyFill="1" applyBorder="1" applyAlignment="1">
      <alignment vertical="center"/>
    </xf>
    <xf numFmtId="0" fontId="14" fillId="4" borderId="0" xfId="2" applyNumberFormat="1" applyFont="1" applyFill="1" applyBorder="1" applyAlignment="1">
      <alignment horizontal="right" vertical="center"/>
    </xf>
    <xf numFmtId="2" fontId="13" fillId="4" borderId="0" xfId="2" applyNumberFormat="1" applyFont="1" applyFill="1" applyBorder="1" applyAlignment="1">
      <alignment vertical="center"/>
    </xf>
    <xf numFmtId="4" fontId="13" fillId="5" borderId="0" xfId="2" applyNumberFormat="1" applyFont="1" applyFill="1" applyAlignment="1">
      <alignment horizontal="right" vertical="center"/>
    </xf>
    <xf numFmtId="0" fontId="15" fillId="5" borderId="0" xfId="2" applyFont="1" applyFill="1" applyBorder="1" applyAlignment="1">
      <alignment vertical="center"/>
    </xf>
    <xf numFmtId="0" fontId="16" fillId="0" borderId="0" xfId="2" applyFont="1" applyAlignment="1">
      <alignment vertical="center"/>
    </xf>
    <xf numFmtId="0" fontId="0" fillId="10" borderId="0" xfId="9" applyFont="1"/>
    <xf numFmtId="0" fontId="19" fillId="0" borderId="0" xfId="10"/>
    <xf numFmtId="0" fontId="18" fillId="11" borderId="0" xfId="11"/>
    <xf numFmtId="4" fontId="35" fillId="5" borderId="4" xfId="12" applyNumberFormat="1">
      <alignment horizontal="right" vertical="top" wrapText="1" shrinkToFit="1"/>
    </xf>
    <xf numFmtId="4" fontId="21" fillId="12" borderId="0" xfId="13" applyNumberFormat="1">
      <alignment horizontal="right" vertical="top" wrapText="1" shrinkToFit="1"/>
    </xf>
    <xf numFmtId="4" fontId="20" fillId="0" borderId="0" xfId="14" applyNumberFormat="1">
      <alignment horizontal="right" vertical="top" wrapText="1" shrinkToFit="1"/>
    </xf>
    <xf numFmtId="0" fontId="23" fillId="0" borderId="0" xfId="15" applyFont="1" applyAlignment="1">
      <alignment horizontal="center" vertical="center" wrapText="1"/>
    </xf>
    <xf numFmtId="0" fontId="0" fillId="0" borderId="0" xfId="16" applyFont="1"/>
    <xf numFmtId="0" fontId="17" fillId="0" borderId="0" xfId="16"/>
    <xf numFmtId="0" fontId="25" fillId="15" borderId="0" xfId="16" applyFont="1" applyFill="1"/>
    <xf numFmtId="0" fontId="22" fillId="0" borderId="0" xfId="16" applyFont="1" applyAlignment="1">
      <alignment horizontal="center"/>
    </xf>
    <xf numFmtId="0" fontId="0" fillId="0" borderId="0" xfId="16" applyFont="1" applyAlignment="1">
      <alignment horizontal="center"/>
    </xf>
    <xf numFmtId="0" fontId="26" fillId="0" borderId="0" xfId="16" applyFont="1" applyAlignment="1">
      <alignment horizontal="center"/>
    </xf>
    <xf numFmtId="0" fontId="27" fillId="0" borderId="0" xfId="15" applyFont="1" applyAlignment="1">
      <alignment horizontal="center"/>
    </xf>
    <xf numFmtId="0" fontId="28" fillId="0" borderId="0" xfId="16" applyFont="1" applyAlignment="1">
      <alignment horizontal="center"/>
    </xf>
    <xf numFmtId="49" fontId="0" fillId="0" borderId="0" xfId="16" applyNumberFormat="1" applyFont="1"/>
    <xf numFmtId="0" fontId="0" fillId="0" borderId="0" xfId="16" applyFont="1" applyAlignment="1">
      <alignment horizontal="left"/>
    </xf>
    <xf numFmtId="0" fontId="29" fillId="15" borderId="0" xfId="16" applyFont="1" applyFill="1" applyAlignment="1"/>
    <xf numFmtId="0" fontId="26" fillId="0" borderId="0" xfId="16" applyFont="1"/>
    <xf numFmtId="0" fontId="31" fillId="0" borderId="0" xfId="16" applyFont="1"/>
    <xf numFmtId="0" fontId="0" fillId="0" borderId="0" xfId="0" applyAlignment="1">
      <alignment horizontal="center"/>
    </xf>
    <xf numFmtId="0" fontId="32" fillId="0" borderId="0" xfId="0" applyFont="1" applyAlignment="1"/>
    <xf numFmtId="0" fontId="30" fillId="0" borderId="0" xfId="17" applyAlignment="1">
      <alignment horizontal="left"/>
    </xf>
    <xf numFmtId="0" fontId="32" fillId="0" borderId="0" xfId="18" applyAlignment="1">
      <alignment horizontal="left"/>
    </xf>
    <xf numFmtId="0" fontId="31" fillId="0" borderId="0" xfId="19"/>
    <xf numFmtId="0" fontId="30" fillId="0" borderId="0" xfId="17"/>
    <xf numFmtId="4" fontId="34" fillId="16" borderId="4" xfId="20" applyNumberFormat="1">
      <alignment horizontal="right" vertical="top" wrapText="1" shrinkToFit="1"/>
    </xf>
    <xf numFmtId="4" fontId="34" fillId="17" borderId="4" xfId="21" applyNumberFormat="1">
      <alignment horizontal="right" vertical="top" wrapText="1" shrinkToFit="1"/>
    </xf>
    <xf numFmtId="4" fontId="5" fillId="18" borderId="0" xfId="22" applyNumberFormat="1">
      <alignment horizontal="right" vertical="top" wrapText="1" shrinkToFit="1"/>
    </xf>
    <xf numFmtId="0" fontId="0" fillId="0" borderId="0" xfId="16" applyFont="1" applyAlignment="1">
      <alignment wrapText="1"/>
    </xf>
    <xf numFmtId="0" fontId="13" fillId="2" borderId="0" xfId="1" applyFont="1">
      <alignment horizontal="center" vertical="center" wrapText="1"/>
    </xf>
    <xf numFmtId="0" fontId="33" fillId="2" borderId="0" xfId="1" applyFont="1">
      <alignment horizontal="center" vertical="center" wrapText="1"/>
    </xf>
    <xf numFmtId="0" fontId="24" fillId="13" borderId="0" xfId="16" applyFont="1" applyFill="1" applyAlignment="1">
      <alignment horizontal="center" vertical="center" wrapText="1"/>
    </xf>
    <xf numFmtId="0" fontId="3" fillId="14" borderId="0" xfId="3" applyFill="1" applyAlignment="1" applyProtection="1">
      <alignment horizontal="center"/>
    </xf>
    <xf numFmtId="0" fontId="0" fillId="0" borderId="0" xfId="16" applyFont="1" applyAlignment="1">
      <alignment wrapText="1"/>
    </xf>
    <xf numFmtId="0" fontId="7" fillId="7" borderId="1" xfId="5" quotePrefix="1">
      <alignment horizontal="left"/>
    </xf>
    <xf numFmtId="0" fontId="7" fillId="7" borderId="1" xfId="5" quotePrefix="1" applyAlignment="1">
      <alignment horizontal="left" wrapText="1"/>
    </xf>
    <xf numFmtId="0" fontId="8" fillId="8" borderId="2" xfId="6" quotePrefix="1">
      <alignment horizontal="left"/>
    </xf>
    <xf numFmtId="0" fontId="8" fillId="8" borderId="2" xfId="6" quotePrefix="1" applyAlignment="1">
      <alignment horizontal="left" wrapText="1" indent="1"/>
    </xf>
    <xf numFmtId="0" fontId="9" fillId="9" borderId="3" xfId="7" quotePrefix="1">
      <alignment horizontal="left"/>
    </xf>
    <xf numFmtId="0" fontId="9" fillId="9" borderId="3" xfId="7" quotePrefix="1" applyAlignment="1">
      <alignment horizontal="left" wrapText="1" indent="2"/>
    </xf>
    <xf numFmtId="0" fontId="0" fillId="0" borderId="0" xfId="0" quotePrefix="1" applyAlignment="1">
      <alignment horizontal="left" wrapText="1"/>
    </xf>
    <xf numFmtId="0" fontId="10" fillId="0" borderId="0" xfId="8" quotePrefix="1">
      <alignment horizontal="left"/>
    </xf>
    <xf numFmtId="0" fontId="10" fillId="0" borderId="0" xfId="8" quotePrefix="1" applyAlignment="1">
      <alignment horizontal="left" wrapText="1"/>
    </xf>
    <xf numFmtId="0" fontId="34" fillId="17" borderId="4" xfId="21" quotePrefix="1" applyNumberFormat="1">
      <alignment horizontal="right" vertical="top" wrapText="1" shrinkToFit="1"/>
    </xf>
    <xf numFmtId="0" fontId="34" fillId="17" borderId="4" xfId="21" quotePrefix="1" applyNumberFormat="1" applyAlignment="1">
      <alignment horizontal="right" vertical="top" wrapText="1" indent="3" shrinkToFit="1"/>
    </xf>
    <xf numFmtId="0" fontId="8" fillId="8" borderId="2" xfId="6" quotePrefix="1" applyNumberFormat="1">
      <alignment horizontal="left"/>
    </xf>
    <xf numFmtId="0" fontId="8" fillId="8" borderId="2" xfId="6" quotePrefix="1" applyNumberFormat="1" applyAlignment="1">
      <alignment horizontal="left" wrapText="1" indent="1"/>
    </xf>
    <xf numFmtId="0" fontId="9" fillId="9" borderId="3" xfId="7" quotePrefix="1" applyNumberFormat="1">
      <alignment horizontal="left"/>
    </xf>
    <xf numFmtId="0" fontId="9" fillId="9" borderId="3" xfId="7" quotePrefix="1" applyNumberFormat="1" applyAlignment="1">
      <alignment horizontal="left" wrapText="1" indent="2"/>
    </xf>
    <xf numFmtId="0" fontId="9" fillId="9" borderId="3" xfId="7" quotePrefix="1" applyNumberFormat="1" applyAlignment="1">
      <alignment horizontal="left" wrapText="1" indent="3"/>
    </xf>
    <xf numFmtId="0" fontId="9" fillId="9" borderId="3" xfId="7" quotePrefix="1" applyAlignment="1">
      <alignment horizontal="left" wrapText="1" indent="3"/>
    </xf>
    <xf numFmtId="0" fontId="34" fillId="16" borderId="4" xfId="20" quotePrefix="1" applyNumberFormat="1">
      <alignment horizontal="right" vertical="top" wrapText="1" shrinkToFit="1"/>
    </xf>
    <xf numFmtId="0" fontId="34" fillId="16" borderId="4" xfId="20" quotePrefix="1" applyNumberFormat="1" applyAlignment="1">
      <alignment horizontal="right" vertical="top" wrapText="1" indent="2" shrinkToFit="1"/>
    </xf>
    <xf numFmtId="0" fontId="21" fillId="12" borderId="0" xfId="13" quotePrefix="1" applyNumberFormat="1">
      <alignment horizontal="right" vertical="top" wrapText="1" shrinkToFit="1"/>
    </xf>
    <xf numFmtId="0" fontId="21" fillId="12" borderId="0" xfId="13" quotePrefix="1" applyNumberFormat="1" applyAlignment="1">
      <alignment horizontal="right" vertical="top" wrapText="1" indent="1" shrinkToFit="1"/>
    </xf>
    <xf numFmtId="0" fontId="5" fillId="18" borderId="0" xfId="22" quotePrefix="1" applyNumberFormat="1">
      <alignment horizontal="right" vertical="top" wrapText="1" shrinkToFit="1"/>
    </xf>
    <xf numFmtId="0" fontId="5" fillId="18" borderId="0" xfId="22" quotePrefix="1" applyNumberFormat="1" applyAlignment="1">
      <alignment horizontal="right" vertical="top" wrapText="1" indent="1" shrinkToFit="1"/>
    </xf>
    <xf numFmtId="0" fontId="21" fillId="12" borderId="0" xfId="13" quotePrefix="1" applyNumberFormat="1" applyAlignment="1">
      <alignment horizontal="right" vertical="top" wrapText="1" shrinkToFit="1"/>
    </xf>
    <xf numFmtId="0" fontId="7" fillId="7" borderId="1" xfId="5" quotePrefix="1" applyNumberFormat="1">
      <alignment horizontal="left"/>
    </xf>
    <xf numFmtId="0" fontId="7" fillId="7" borderId="1" xfId="5" quotePrefix="1" applyNumberFormat="1" applyAlignment="1">
      <alignment horizontal="left" wrapText="1"/>
    </xf>
    <xf numFmtId="49" fontId="1" fillId="2" borderId="0" xfId="1" applyNumberFormat="1" applyFont="1" applyAlignment="1">
      <alignment horizontal="center" vertical="center"/>
    </xf>
    <xf numFmtId="0" fontId="1" fillId="3" borderId="0" xfId="2" applyFill="1" applyAlignment="1"/>
    <xf numFmtId="49" fontId="5" fillId="6" borderId="0" xfId="4" applyNumberFormat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0" xfId="2" applyAlignment="1"/>
    <xf numFmtId="4" fontId="0" fillId="0" borderId="0" xfId="0" applyNumberFormat="1" applyAlignment="1">
      <alignment horizontal="right"/>
    </xf>
    <xf numFmtId="4" fontId="7" fillId="7" borderId="1" xfId="5" applyNumberFormat="1" applyAlignment="1">
      <alignment horizontal="right"/>
    </xf>
    <xf numFmtId="4" fontId="8" fillId="8" borderId="2" xfId="6" applyNumberFormat="1" applyAlignment="1">
      <alignment horizontal="right"/>
    </xf>
    <xf numFmtId="4" fontId="9" fillId="9" borderId="3" xfId="7" applyNumberFormat="1" applyAlignment="1">
      <alignment horizontal="right"/>
    </xf>
    <xf numFmtId="4" fontId="10" fillId="0" borderId="0" xfId="8" applyNumberFormat="1" applyAlignment="1">
      <alignment horizontal="right"/>
    </xf>
    <xf numFmtId="4" fontId="34" fillId="17" borderId="4" xfId="21" applyNumberFormat="1" applyAlignment="1">
      <alignment horizontal="right" vertical="top" wrapText="1" shrinkToFit="1"/>
    </xf>
    <xf numFmtId="4" fontId="34" fillId="16" borderId="4" xfId="20" applyNumberFormat="1" applyAlignment="1">
      <alignment horizontal="right" vertical="top" wrapText="1" shrinkToFit="1"/>
    </xf>
    <xf numFmtId="4" fontId="21" fillId="12" borderId="0" xfId="13" applyNumberFormat="1" applyAlignment="1">
      <alignment horizontal="right" vertical="top" wrapText="1" shrinkToFit="1"/>
    </xf>
    <xf numFmtId="4" fontId="5" fillId="18" borderId="0" xfId="22" applyNumberFormat="1" applyAlignment="1">
      <alignment horizontal="right" vertical="top" wrapText="1" shrinkToFit="1"/>
    </xf>
    <xf numFmtId="4" fontId="19" fillId="0" borderId="0" xfId="10" applyNumberFormat="1" applyAlignment="1">
      <alignment horizontal="right"/>
    </xf>
    <xf numFmtId="4" fontId="18" fillId="11" borderId="0" xfId="11" applyNumberFormat="1" applyAlignment="1">
      <alignment horizontal="right"/>
    </xf>
    <xf numFmtId="4" fontId="0" fillId="10" borderId="0" xfId="9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7" fillId="7" borderId="1" xfId="5" applyNumberFormat="1" applyAlignment="1">
      <alignment horizontal="right"/>
    </xf>
    <xf numFmtId="2" fontId="8" fillId="8" borderId="2" xfId="6" applyNumberFormat="1" applyAlignment="1">
      <alignment horizontal="right"/>
    </xf>
    <xf numFmtId="2" fontId="9" fillId="9" borderId="3" xfId="7" applyNumberFormat="1" applyAlignment="1">
      <alignment horizontal="right"/>
    </xf>
    <xf numFmtId="2" fontId="10" fillId="0" borderId="0" xfId="8" applyNumberFormat="1" applyAlignment="1">
      <alignment horizontal="right"/>
    </xf>
    <xf numFmtId="2" fontId="34" fillId="17" borderId="4" xfId="21" applyNumberFormat="1" applyAlignment="1">
      <alignment horizontal="right" vertical="top" wrapText="1" shrinkToFit="1"/>
    </xf>
    <xf numFmtId="2" fontId="34" fillId="16" borderId="4" xfId="20" applyNumberFormat="1" applyAlignment="1">
      <alignment horizontal="right" vertical="top" wrapText="1" shrinkToFit="1"/>
    </xf>
    <xf numFmtId="2" fontId="21" fillId="12" borderId="0" xfId="13" applyNumberFormat="1" applyAlignment="1">
      <alignment horizontal="right" vertical="top" wrapText="1" shrinkToFit="1"/>
    </xf>
    <xf numFmtId="2" fontId="5" fillId="18" borderId="0" xfId="22" applyNumberFormat="1" applyAlignment="1">
      <alignment horizontal="right" vertical="top" wrapText="1" shrinkToFit="1"/>
    </xf>
    <xf numFmtId="4" fontId="36" fillId="7" borderId="1" xfId="5" applyNumberFormat="1" applyFont="1" applyAlignment="1">
      <alignment horizontal="right"/>
    </xf>
    <xf numFmtId="4" fontId="37" fillId="8" borderId="2" xfId="6" applyNumberFormat="1" applyFont="1" applyAlignment="1">
      <alignment horizontal="right"/>
    </xf>
    <xf numFmtId="4" fontId="38" fillId="9" borderId="3" xfId="7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7" fillId="7" borderId="1" xfId="5" applyNumberFormat="1" applyAlignment="1">
      <alignment horizontal="right"/>
    </xf>
    <xf numFmtId="164" fontId="8" fillId="8" borderId="2" xfId="6" applyNumberFormat="1" applyAlignment="1">
      <alignment horizontal="right"/>
    </xf>
    <xf numFmtId="164" fontId="9" fillId="9" borderId="3" xfId="7" applyNumberFormat="1" applyAlignment="1">
      <alignment horizontal="right"/>
    </xf>
    <xf numFmtId="164" fontId="10" fillId="0" borderId="0" xfId="8" applyNumberFormat="1" applyAlignment="1">
      <alignment horizontal="right"/>
    </xf>
    <xf numFmtId="164" fontId="34" fillId="17" borderId="4" xfId="21" applyNumberFormat="1" applyAlignment="1">
      <alignment horizontal="right" vertical="top" wrapText="1" shrinkToFit="1"/>
    </xf>
    <xf numFmtId="164" fontId="34" fillId="16" borderId="4" xfId="20" applyNumberFormat="1" applyAlignment="1">
      <alignment horizontal="right" vertical="top" wrapText="1" shrinkToFit="1"/>
    </xf>
    <xf numFmtId="164" fontId="21" fillId="12" borderId="0" xfId="13" applyNumberFormat="1" applyAlignment="1">
      <alignment horizontal="right" vertical="top" wrapText="1" shrinkToFit="1"/>
    </xf>
    <xf numFmtId="164" fontId="5" fillId="18" borderId="0" xfId="22" applyNumberFormat="1" applyAlignment="1">
      <alignment horizontal="right" vertical="top" wrapText="1" shrinkToFit="1"/>
    </xf>
    <xf numFmtId="0" fontId="7" fillId="7" borderId="1" xfId="5" applyAlignment="1">
      <alignment horizontal="center"/>
    </xf>
    <xf numFmtId="0" fontId="8" fillId="8" borderId="2" xfId="6" applyAlignment="1">
      <alignment horizontal="center"/>
    </xf>
    <xf numFmtId="0" fontId="9" fillId="9" borderId="3" xfId="7" applyAlignment="1">
      <alignment horizontal="center"/>
    </xf>
    <xf numFmtId="0" fontId="10" fillId="0" borderId="0" xfId="8" applyAlignment="1">
      <alignment horizontal="center"/>
    </xf>
    <xf numFmtId="0" fontId="34" fillId="17" borderId="4" xfId="21" applyNumberFormat="1" applyAlignment="1">
      <alignment horizontal="center" vertical="top" wrapText="1" shrinkToFit="1"/>
    </xf>
    <xf numFmtId="0" fontId="8" fillId="8" borderId="2" xfId="6" applyNumberFormat="1" applyAlignment="1">
      <alignment horizontal="center"/>
    </xf>
    <xf numFmtId="0" fontId="9" fillId="9" borderId="3" xfId="7" applyNumberFormat="1" applyAlignment="1">
      <alignment horizontal="center"/>
    </xf>
    <xf numFmtId="0" fontId="34" fillId="16" borderId="4" xfId="20" applyNumberFormat="1" applyAlignment="1">
      <alignment horizontal="center" vertical="top" wrapText="1" shrinkToFit="1"/>
    </xf>
    <xf numFmtId="0" fontId="21" fillId="12" borderId="0" xfId="13" applyNumberFormat="1" applyAlignment="1">
      <alignment horizontal="center" vertical="top" wrapText="1" shrinkToFit="1"/>
    </xf>
    <xf numFmtId="0" fontId="5" fillId="18" borderId="0" xfId="22" applyNumberFormat="1" applyAlignment="1">
      <alignment horizontal="center" vertical="top" wrapText="1" shrinkToFit="1"/>
    </xf>
    <xf numFmtId="0" fontId="7" fillId="7" borderId="1" xfId="5" applyNumberFormat="1" applyAlignment="1">
      <alignment horizontal="center"/>
    </xf>
    <xf numFmtId="0" fontId="30" fillId="0" borderId="0" xfId="17" applyAlignment="1">
      <alignment wrapText="1"/>
    </xf>
    <xf numFmtId="0" fontId="0" fillId="0" borderId="0" xfId="0" applyAlignment="1">
      <alignment horizontal="left" wrapText="1"/>
    </xf>
  </cellXfs>
  <cellStyles count="23">
    <cellStyle name="Lien hypertexte" xfId="3" builtinId="8"/>
    <cellStyle name="Lien hypertexte 2" xfId="15"/>
    <cellStyle name="Normal" xfId="0" builtinId="0" customBuiltin="1"/>
    <cellStyle name="Normal 2" xfId="2"/>
    <cellStyle name="Normal 3" xfId="16"/>
    <cellStyle name="SPIGAO_CarComplement" xfId="19"/>
    <cellStyle name="SPIGAO_CarImportant" xfId="17"/>
    <cellStyle name="SPIGAO_CarVigilance" xfId="18"/>
    <cellStyle name="SPIGAO_Comment" xfId="8"/>
    <cellStyle name="SPIGAO_Doublon" xfId="9"/>
    <cellStyle name="SPIGAO_MT" xfId="13"/>
    <cellStyle name="SPIGAO_PF" xfId="11"/>
    <cellStyle name="SPIGAO_PM" xfId="10"/>
    <cellStyle name="SPIGAO_Recap" xfId="14"/>
    <cellStyle name="SPIGAO_ST" xfId="12"/>
    <cellStyle name="SPIGAO_ST2" xfId="20"/>
    <cellStyle name="SPIGAO_ST3" xfId="21"/>
    <cellStyle name="SPIGAO_Titre_1" xfId="5"/>
    <cellStyle name="SPIGAO_Titre_2" xfId="6"/>
    <cellStyle name="SPIGAO_Titre_3" xfId="7"/>
    <cellStyle name="SPIGAO_Titre_Cols" xfId="4"/>
    <cellStyle name="SPIGAO_Titre_P" xfId="1"/>
    <cellStyle name="SPIGAO_TVA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spigao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15291</xdr:rowOff>
    </xdr:from>
    <xdr:to>
      <xdr:col>1</xdr:col>
      <xdr:colOff>345948</xdr:colOff>
      <xdr:row>0</xdr:row>
      <xdr:rowOff>415268</xdr:rowOff>
    </xdr:to>
    <xdr:pic>
      <xdr:nvPicPr>
        <xdr:cNvPr id="2" name="Image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5291"/>
          <a:ext cx="307848" cy="3999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0</xdr:row>
      <xdr:rowOff>9525</xdr:rowOff>
    </xdr:from>
    <xdr:to>
      <xdr:col>3</xdr:col>
      <xdr:colOff>2219325</xdr:colOff>
      <xdr:row>0</xdr:row>
      <xdr:rowOff>504825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5" y="9525"/>
          <a:ext cx="20955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6.bin"/><Relationship Id="rId13" Type="http://schemas.openxmlformats.org/officeDocument/2006/relationships/customProperty" Target="../customProperty11.bin"/><Relationship Id="rId18" Type="http://schemas.openxmlformats.org/officeDocument/2006/relationships/customProperty" Target="../customProperty16.bin"/><Relationship Id="rId3" Type="http://schemas.openxmlformats.org/officeDocument/2006/relationships/customProperty" Target="../customProperty1.bin"/><Relationship Id="rId21" Type="http://schemas.openxmlformats.org/officeDocument/2006/relationships/vmlDrawing" Target="../drawings/vmlDrawing1.vml"/><Relationship Id="rId7" Type="http://schemas.openxmlformats.org/officeDocument/2006/relationships/customProperty" Target="../customProperty5.bin"/><Relationship Id="rId12" Type="http://schemas.openxmlformats.org/officeDocument/2006/relationships/customProperty" Target="../customProperty10.bin"/><Relationship Id="rId17" Type="http://schemas.openxmlformats.org/officeDocument/2006/relationships/customProperty" Target="../customProperty15.bin"/><Relationship Id="rId2" Type="http://schemas.openxmlformats.org/officeDocument/2006/relationships/printerSettings" Target="../printerSettings/printerSettings1.bin"/><Relationship Id="rId16" Type="http://schemas.openxmlformats.org/officeDocument/2006/relationships/customProperty" Target="../customProperty14.bin"/><Relationship Id="rId20" Type="http://schemas.openxmlformats.org/officeDocument/2006/relationships/drawing" Target="../drawings/drawing1.xml"/><Relationship Id="rId1" Type="http://schemas.openxmlformats.org/officeDocument/2006/relationships/hyperlink" Target="http://www.spigao.com/" TargetMode="External"/><Relationship Id="rId6" Type="http://schemas.openxmlformats.org/officeDocument/2006/relationships/customProperty" Target="../customProperty4.bin"/><Relationship Id="rId11" Type="http://schemas.openxmlformats.org/officeDocument/2006/relationships/customProperty" Target="../customProperty9.bin"/><Relationship Id="rId5" Type="http://schemas.openxmlformats.org/officeDocument/2006/relationships/customProperty" Target="../customProperty3.bin"/><Relationship Id="rId15" Type="http://schemas.openxmlformats.org/officeDocument/2006/relationships/customProperty" Target="../customProperty13.bin"/><Relationship Id="rId10" Type="http://schemas.openxmlformats.org/officeDocument/2006/relationships/customProperty" Target="../customProperty8.bin"/><Relationship Id="rId19" Type="http://schemas.openxmlformats.org/officeDocument/2006/relationships/customProperty" Target="../customProperty17.bin"/><Relationship Id="rId4" Type="http://schemas.openxmlformats.org/officeDocument/2006/relationships/customProperty" Target="../customProperty2.bin"/><Relationship Id="rId9" Type="http://schemas.openxmlformats.org/officeDocument/2006/relationships/customProperty" Target="../customProperty7.bin"/><Relationship Id="rId14" Type="http://schemas.openxmlformats.org/officeDocument/2006/relationships/customProperty" Target="../customProperty12.bin"/><Relationship Id="rId2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>
    <outlinePr summaryBelow="0"/>
    <pageSetUpPr fitToPage="1"/>
  </sheetPr>
  <dimension ref="A1:T640"/>
  <sheetViews>
    <sheetView tabSelected="1" topLeftCell="B1" workbookViewId="0">
      <pane ySplit="4" topLeftCell="A5" activePane="bottomLeft" state="frozen"/>
      <selection pane="bottomLeft" activeCell="C7" sqref="C7"/>
    </sheetView>
  </sheetViews>
  <sheetFormatPr baseColWidth="10" defaultColWidth="11.44140625" defaultRowHeight="14.4" outlineLevelRow="4" x14ac:dyDescent="0.3"/>
  <cols>
    <col min="1" max="1" width="5.44140625" style="89" hidden="1" customWidth="1"/>
    <col min="2" max="2" width="12.6640625" customWidth="1"/>
    <col min="3" max="3" width="70.6640625" customWidth="1"/>
    <col min="4" max="4" width="9.5546875" customWidth="1"/>
    <col min="5" max="5" width="12.77734375" customWidth="1"/>
    <col min="6" max="6" width="7.6640625" hidden="1" customWidth="1"/>
    <col min="7" max="7" width="18" hidden="1" customWidth="1"/>
    <col min="8" max="8" width="14.77734375" customWidth="1"/>
    <col min="9" max="9" width="13.5546875" customWidth="1"/>
    <col min="10" max="10" width="3.109375" style="3" hidden="1" customWidth="1"/>
    <col min="11" max="11" width="0" style="3" hidden="1" customWidth="1"/>
    <col min="12" max="16384" width="11.44140625" style="3"/>
  </cols>
  <sheetData>
    <row r="1" spans="1:20" ht="35.1" customHeight="1" x14ac:dyDescent="0.2">
      <c r="A1" s="85"/>
      <c r="B1" s="1"/>
      <c r="C1" s="54" t="s">
        <v>58</v>
      </c>
      <c r="D1" s="55"/>
      <c r="E1" s="55"/>
      <c r="F1" s="55"/>
      <c r="G1" s="55"/>
      <c r="H1" s="55"/>
      <c r="I1" s="14" t="s">
        <v>0</v>
      </c>
      <c r="J1" s="2"/>
    </row>
    <row r="2" spans="1:20" ht="5.0999999999999996" customHeight="1" x14ac:dyDescent="0.2">
      <c r="A2" s="86"/>
      <c r="B2" s="4"/>
      <c r="C2" s="4"/>
      <c r="D2" s="4"/>
      <c r="E2" s="4"/>
      <c r="F2" s="4"/>
      <c r="G2" s="4"/>
      <c r="H2" s="4"/>
      <c r="I2" s="4"/>
      <c r="J2" s="4"/>
    </row>
    <row r="3" spans="1:20" s="23" customFormat="1" ht="15" customHeight="1" x14ac:dyDescent="0.3">
      <c r="A3" s="15"/>
      <c r="B3" s="16"/>
      <c r="C3" s="17"/>
      <c r="D3" s="15"/>
      <c r="E3" s="18"/>
      <c r="F3" s="19" t="s">
        <v>1</v>
      </c>
      <c r="G3" s="20">
        <v>1</v>
      </c>
      <c r="H3" s="17" t="s">
        <v>2</v>
      </c>
      <c r="I3" s="21">
        <f>SUBTOTAL(9,K5:K640)</f>
        <v>0</v>
      </c>
      <c r="J3" s="22"/>
    </row>
    <row r="4" spans="1:20" ht="15" customHeight="1" x14ac:dyDescent="0.2">
      <c r="A4" s="87"/>
      <c r="B4" s="5" t="s">
        <v>3</v>
      </c>
      <c r="C4" s="6" t="s">
        <v>4</v>
      </c>
      <c r="D4" s="5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20</v>
      </c>
    </row>
    <row r="5" spans="1:20" x14ac:dyDescent="0.3">
      <c r="A5" s="88"/>
      <c r="B5" s="10"/>
      <c r="D5" s="44"/>
      <c r="E5" s="90"/>
      <c r="F5" s="90"/>
      <c r="G5" s="102"/>
      <c r="H5" s="90"/>
      <c r="I5" s="90"/>
      <c r="J5" s="114"/>
      <c r="K5"/>
      <c r="L5"/>
      <c r="M5"/>
      <c r="N5"/>
      <c r="O5"/>
      <c r="P5"/>
      <c r="Q5"/>
      <c r="R5"/>
      <c r="S5"/>
      <c r="T5"/>
    </row>
    <row r="6" spans="1:20" ht="31.8" thickBot="1" x14ac:dyDescent="0.35">
      <c r="A6" s="88" t="s">
        <v>59</v>
      </c>
      <c r="B6" s="59" t="s">
        <v>60</v>
      </c>
      <c r="C6" s="60" t="s">
        <v>61</v>
      </c>
      <c r="D6" s="123"/>
      <c r="E6" s="91"/>
      <c r="F6" s="91"/>
      <c r="G6" s="103"/>
      <c r="H6" s="91"/>
      <c r="I6" s="111">
        <f>SUBTOTAL(9,K7:K396)</f>
        <v>0</v>
      </c>
      <c r="J6" s="115"/>
      <c r="K6"/>
      <c r="L6"/>
      <c r="M6"/>
      <c r="N6"/>
      <c r="O6"/>
      <c r="P6"/>
      <c r="Q6"/>
      <c r="R6"/>
      <c r="S6"/>
      <c r="T6"/>
    </row>
    <row r="7" spans="1:20" ht="15.6" outlineLevel="1" thickTop="1" thickBot="1" x14ac:dyDescent="0.35">
      <c r="A7" s="88" t="s">
        <v>62</v>
      </c>
      <c r="B7" s="61" t="s">
        <v>60</v>
      </c>
      <c r="C7" s="62" t="s">
        <v>63</v>
      </c>
      <c r="D7" s="124"/>
      <c r="E7" s="92"/>
      <c r="F7" s="92"/>
      <c r="G7" s="104"/>
      <c r="H7" s="92"/>
      <c r="I7" s="112">
        <f>SUBTOTAL(9,K8:K17)</f>
        <v>0</v>
      </c>
      <c r="J7" s="116"/>
      <c r="K7"/>
      <c r="L7"/>
      <c r="M7"/>
      <c r="N7"/>
      <c r="O7"/>
      <c r="P7"/>
      <c r="Q7"/>
      <c r="R7"/>
      <c r="S7"/>
      <c r="T7"/>
    </row>
    <row r="8" spans="1:20" outlineLevel="2" x14ac:dyDescent="0.3">
      <c r="A8" s="88" t="s">
        <v>64</v>
      </c>
      <c r="B8" s="63" t="s">
        <v>65</v>
      </c>
      <c r="C8" s="64" t="s">
        <v>66</v>
      </c>
      <c r="D8" s="125"/>
      <c r="E8" s="93"/>
      <c r="F8" s="93"/>
      <c r="G8" s="105"/>
      <c r="H8" s="93"/>
      <c r="I8" s="113">
        <f>SUBTOTAL(9,K9:K17)</f>
        <v>0</v>
      </c>
      <c r="J8" s="117"/>
      <c r="K8"/>
      <c r="L8"/>
      <c r="M8"/>
      <c r="N8"/>
      <c r="O8"/>
      <c r="P8"/>
      <c r="Q8"/>
      <c r="R8"/>
      <c r="S8"/>
      <c r="T8"/>
    </row>
    <row r="9" spans="1:20" outlineLevel="3" x14ac:dyDescent="0.3">
      <c r="A9" s="88" t="s">
        <v>67</v>
      </c>
      <c r="B9" s="10" t="s">
        <v>68</v>
      </c>
      <c r="C9" s="65" t="s">
        <v>69</v>
      </c>
      <c r="D9" s="44" t="s">
        <v>70</v>
      </c>
      <c r="E9" s="90">
        <v>20</v>
      </c>
      <c r="F9" s="90"/>
      <c r="G9" s="102">
        <f>cell_CoefGeneral</f>
        <v>1</v>
      </c>
      <c r="H9" s="90">
        <v>0</v>
      </c>
      <c r="I9" s="90">
        <f>IFERROR(ROUND(E9*H9,2),"-")</f>
        <v>0</v>
      </c>
      <c r="J9" s="114" t="str">
        <f>IFERROR(I9/cell_Total_HT,"-")</f>
        <v>-</v>
      </c>
      <c r="K9">
        <f>I9</f>
        <v>0</v>
      </c>
      <c r="L9"/>
      <c r="M9"/>
      <c r="N9"/>
      <c r="O9"/>
      <c r="P9"/>
      <c r="Q9"/>
      <c r="R9"/>
      <c r="S9"/>
      <c r="T9"/>
    </row>
    <row r="10" spans="1:20" outlineLevel="3" x14ac:dyDescent="0.3">
      <c r="A10" s="88" t="s">
        <v>71</v>
      </c>
      <c r="B10" s="10" t="s">
        <v>72</v>
      </c>
      <c r="C10" s="65" t="s">
        <v>73</v>
      </c>
      <c r="D10" s="44" t="s">
        <v>70</v>
      </c>
      <c r="E10" s="90">
        <v>20</v>
      </c>
      <c r="F10" s="90"/>
      <c r="G10" s="102">
        <f>cell_CoefGeneral</f>
        <v>1</v>
      </c>
      <c r="H10" s="90">
        <v>0</v>
      </c>
      <c r="I10" s="90">
        <f>IFERROR(ROUND(E10*H10,2),"-")</f>
        <v>0</v>
      </c>
      <c r="J10" s="114" t="str">
        <f>IFERROR(I10/cell_Total_HT,"-")</f>
        <v>-</v>
      </c>
      <c r="K10">
        <f>I10</f>
        <v>0</v>
      </c>
      <c r="L10"/>
      <c r="M10"/>
      <c r="N10"/>
      <c r="O10"/>
      <c r="P10"/>
      <c r="Q10"/>
      <c r="R10"/>
      <c r="S10"/>
      <c r="T10"/>
    </row>
    <row r="11" spans="1:20" outlineLevel="3" x14ac:dyDescent="0.3">
      <c r="A11" s="88" t="s">
        <v>74</v>
      </c>
      <c r="B11" s="66" t="s">
        <v>75</v>
      </c>
      <c r="C11" s="67" t="s">
        <v>76</v>
      </c>
      <c r="D11" s="126"/>
      <c r="E11" s="94"/>
      <c r="F11" s="94"/>
      <c r="G11" s="106"/>
      <c r="H11" s="94"/>
      <c r="I11" s="94"/>
      <c r="J11" s="118"/>
      <c r="K11"/>
      <c r="L11"/>
      <c r="M11"/>
      <c r="N11"/>
      <c r="O11"/>
      <c r="P11"/>
      <c r="Q11"/>
      <c r="R11"/>
      <c r="S11"/>
      <c r="T11"/>
    </row>
    <row r="12" spans="1:20" outlineLevel="3" x14ac:dyDescent="0.3">
      <c r="A12" s="88" t="s">
        <v>77</v>
      </c>
      <c r="B12" s="10" t="s">
        <v>78</v>
      </c>
      <c r="C12" s="65" t="s">
        <v>79</v>
      </c>
      <c r="D12" s="44" t="s">
        <v>80</v>
      </c>
      <c r="E12" s="90">
        <v>1</v>
      </c>
      <c r="F12" s="90"/>
      <c r="G12" s="102">
        <f>cell_CoefGeneral</f>
        <v>1</v>
      </c>
      <c r="H12" s="90">
        <v>0</v>
      </c>
      <c r="I12" s="90">
        <f>IFERROR(ROUND(E12*H12,2),"-")</f>
        <v>0</v>
      </c>
      <c r="J12" s="114" t="str">
        <f>IFERROR(I12/cell_Total_HT,"-")</f>
        <v>-</v>
      </c>
      <c r="K12">
        <f>I12</f>
        <v>0</v>
      </c>
      <c r="L12"/>
      <c r="M12"/>
      <c r="N12"/>
      <c r="O12"/>
      <c r="P12"/>
      <c r="Q12"/>
      <c r="R12"/>
      <c r="S12"/>
      <c r="T12"/>
    </row>
    <row r="13" spans="1:20" outlineLevel="3" x14ac:dyDescent="0.3">
      <c r="A13" s="88" t="s">
        <v>81</v>
      </c>
      <c r="B13" s="10" t="s">
        <v>82</v>
      </c>
      <c r="C13" s="65" t="s">
        <v>83</v>
      </c>
      <c r="D13" s="44" t="s">
        <v>80</v>
      </c>
      <c r="E13" s="90">
        <v>1</v>
      </c>
      <c r="F13" s="90"/>
      <c r="G13" s="102">
        <f>cell_CoefGeneral</f>
        <v>1</v>
      </c>
      <c r="H13" s="90">
        <v>0</v>
      </c>
      <c r="I13" s="90">
        <f>IFERROR(ROUND(E13*H13,2),"-")</f>
        <v>0</v>
      </c>
      <c r="J13" s="114" t="str">
        <f>IFERROR(I13/cell_Total_HT,"-")</f>
        <v>-</v>
      </c>
      <c r="K13">
        <f>I13</f>
        <v>0</v>
      </c>
      <c r="L13"/>
      <c r="M13"/>
      <c r="N13"/>
      <c r="O13"/>
      <c r="P13"/>
      <c r="Q13"/>
      <c r="R13"/>
      <c r="S13"/>
      <c r="T13"/>
    </row>
    <row r="14" spans="1:20" outlineLevel="3" x14ac:dyDescent="0.3">
      <c r="A14" s="88" t="s">
        <v>84</v>
      </c>
      <c r="B14" s="10" t="s">
        <v>85</v>
      </c>
      <c r="C14" s="65" t="s">
        <v>86</v>
      </c>
      <c r="D14" s="44" t="s">
        <v>80</v>
      </c>
      <c r="E14" s="90">
        <v>1</v>
      </c>
      <c r="F14" s="90"/>
      <c r="G14" s="102">
        <f>cell_CoefGeneral</f>
        <v>1</v>
      </c>
      <c r="H14" s="90">
        <v>0</v>
      </c>
      <c r="I14" s="90">
        <f>IFERROR(ROUND(E14*H14,2),"-")</f>
        <v>0</v>
      </c>
      <c r="J14" s="114" t="str">
        <f>IFERROR(I14/cell_Total_HT,"-")</f>
        <v>-</v>
      </c>
      <c r="K14">
        <f>I14</f>
        <v>0</v>
      </c>
      <c r="L14"/>
      <c r="M14"/>
      <c r="N14"/>
      <c r="O14"/>
      <c r="P14"/>
      <c r="Q14"/>
      <c r="R14"/>
      <c r="S14"/>
      <c r="T14"/>
    </row>
    <row r="15" spans="1:20" outlineLevel="3" x14ac:dyDescent="0.3">
      <c r="A15" s="88" t="s">
        <v>87</v>
      </c>
      <c r="B15" s="10" t="s">
        <v>88</v>
      </c>
      <c r="C15" s="65" t="s">
        <v>89</v>
      </c>
      <c r="D15" s="44" t="s">
        <v>80</v>
      </c>
      <c r="E15" s="90">
        <v>1</v>
      </c>
      <c r="F15" s="90"/>
      <c r="G15" s="102">
        <f>cell_CoefGeneral</f>
        <v>1</v>
      </c>
      <c r="H15" s="90">
        <v>0</v>
      </c>
      <c r="I15" s="90">
        <f>IFERROR(ROUND(E15*H15,2),"-")</f>
        <v>0</v>
      </c>
      <c r="J15" s="114" t="str">
        <f>IFERROR(I15/cell_Total_HT,"-")</f>
        <v>-</v>
      </c>
      <c r="K15">
        <f>I15</f>
        <v>0</v>
      </c>
      <c r="L15"/>
      <c r="M15"/>
      <c r="N15"/>
      <c r="O15"/>
      <c r="P15"/>
      <c r="Q15"/>
      <c r="R15"/>
      <c r="S15"/>
      <c r="T15"/>
    </row>
    <row r="16" spans="1:20" outlineLevel="3" x14ac:dyDescent="0.3">
      <c r="A16" s="88" t="s">
        <v>90</v>
      </c>
      <c r="B16" s="10" t="s">
        <v>91</v>
      </c>
      <c r="C16" s="65" t="s">
        <v>92</v>
      </c>
      <c r="D16" s="44" t="s">
        <v>93</v>
      </c>
      <c r="E16" s="90">
        <v>10</v>
      </c>
      <c r="F16" s="90"/>
      <c r="G16" s="102">
        <f>cell_CoefGeneral</f>
        <v>1</v>
      </c>
      <c r="H16" s="90">
        <v>0</v>
      </c>
      <c r="I16" s="90">
        <f>IFERROR(ROUND(E16*H16,2),"-")</f>
        <v>0</v>
      </c>
      <c r="J16" s="114" t="str">
        <f>IFERROR(I16/cell_Total_HT,"-")</f>
        <v>-</v>
      </c>
      <c r="K16">
        <f>I16</f>
        <v>0</v>
      </c>
      <c r="L16"/>
      <c r="M16"/>
      <c r="N16"/>
      <c r="O16"/>
      <c r="P16"/>
      <c r="Q16"/>
      <c r="R16"/>
      <c r="S16"/>
      <c r="T16"/>
    </row>
    <row r="17" spans="1:20" ht="15" outlineLevel="3" thickBot="1" x14ac:dyDescent="0.35">
      <c r="A17" s="88" t="s">
        <v>94</v>
      </c>
      <c r="B17" s="10" t="s">
        <v>95</v>
      </c>
      <c r="C17" s="65" t="s">
        <v>96</v>
      </c>
      <c r="D17" s="44" t="s">
        <v>80</v>
      </c>
      <c r="E17" s="90">
        <v>1</v>
      </c>
      <c r="F17" s="90"/>
      <c r="G17" s="102">
        <f>cell_CoefGeneral</f>
        <v>1</v>
      </c>
      <c r="H17" s="90">
        <v>0</v>
      </c>
      <c r="I17" s="90">
        <f>IFERROR(ROUND(E17*H17,2),"-")</f>
        <v>0</v>
      </c>
      <c r="J17" s="114" t="str">
        <f>IFERROR(I17/cell_Total_HT,"-")</f>
        <v>-</v>
      </c>
      <c r="K17">
        <f>I17</f>
        <v>0</v>
      </c>
      <c r="L17"/>
      <c r="M17"/>
      <c r="N17"/>
      <c r="O17"/>
      <c r="P17"/>
      <c r="Q17"/>
      <c r="R17"/>
      <c r="S17"/>
      <c r="T17"/>
    </row>
    <row r="18" spans="1:20" ht="15" outlineLevel="2" thickTop="1" x14ac:dyDescent="0.3">
      <c r="A18" s="88" t="s">
        <v>97</v>
      </c>
      <c r="B18" s="68" t="s">
        <v>60</v>
      </c>
      <c r="C18" s="69" t="s">
        <v>98</v>
      </c>
      <c r="D18" s="127"/>
      <c r="E18" s="95"/>
      <c r="F18" s="95"/>
      <c r="G18" s="107"/>
      <c r="H18" s="95"/>
      <c r="I18" s="95">
        <f>SUBTOTAL(9,I9:I17)</f>
        <v>0</v>
      </c>
      <c r="J18" s="119"/>
      <c r="K18"/>
      <c r="L18"/>
      <c r="M18"/>
      <c r="N18"/>
      <c r="O18"/>
      <c r="P18"/>
      <c r="Q18"/>
      <c r="R18"/>
      <c r="S18"/>
      <c r="T18"/>
    </row>
    <row r="19" spans="1:20" ht="15" outlineLevel="1" thickBot="1" x14ac:dyDescent="0.35">
      <c r="A19" s="88" t="s">
        <v>99</v>
      </c>
      <c r="B19" s="70" t="s">
        <v>60</v>
      </c>
      <c r="C19" s="71" t="s">
        <v>100</v>
      </c>
      <c r="D19" s="128"/>
      <c r="E19" s="92"/>
      <c r="F19" s="92"/>
      <c r="G19" s="104"/>
      <c r="H19" s="92"/>
      <c r="I19" s="112">
        <f>SUBTOTAL(9,K20:K92)</f>
        <v>0</v>
      </c>
      <c r="J19" s="116"/>
      <c r="K19"/>
      <c r="L19"/>
      <c r="M19"/>
      <c r="N19"/>
      <c r="O19"/>
      <c r="P19"/>
      <c r="Q19"/>
      <c r="R19"/>
      <c r="S19"/>
      <c r="T19"/>
    </row>
    <row r="20" spans="1:20" outlineLevel="2" x14ac:dyDescent="0.3">
      <c r="A20" s="88" t="s">
        <v>101</v>
      </c>
      <c r="B20" s="72" t="s">
        <v>60</v>
      </c>
      <c r="C20" s="73" t="s">
        <v>102</v>
      </c>
      <c r="D20" s="129"/>
      <c r="E20" s="93"/>
      <c r="F20" s="93"/>
      <c r="G20" s="105"/>
      <c r="H20" s="93"/>
      <c r="I20" s="113">
        <f>SUBTOTAL(9,K21:K22)</f>
        <v>0</v>
      </c>
      <c r="J20" s="117"/>
      <c r="K20"/>
      <c r="L20"/>
      <c r="M20"/>
      <c r="N20"/>
      <c r="O20"/>
      <c r="P20"/>
      <c r="Q20"/>
      <c r="R20"/>
      <c r="S20"/>
      <c r="T20"/>
    </row>
    <row r="21" spans="1:20" outlineLevel="3" x14ac:dyDescent="0.3">
      <c r="A21" s="88" t="s">
        <v>103</v>
      </c>
      <c r="B21" s="10" t="s">
        <v>104</v>
      </c>
      <c r="C21" s="65" t="s">
        <v>105</v>
      </c>
      <c r="D21" s="44" t="s">
        <v>106</v>
      </c>
      <c r="E21" s="90">
        <v>1</v>
      </c>
      <c r="F21" s="90"/>
      <c r="G21" s="102">
        <f>cell_CoefGeneral</f>
        <v>1</v>
      </c>
      <c r="H21" s="100">
        <f>0</f>
        <v>0</v>
      </c>
      <c r="I21" s="90">
        <f>IFERROR(ROUND(E21*H21,2),"-")</f>
        <v>0</v>
      </c>
      <c r="J21" s="114" t="str">
        <f>IFERROR(I21/cell_Total_HT,"-")</f>
        <v>-</v>
      </c>
      <c r="K21">
        <f>I21</f>
        <v>0</v>
      </c>
      <c r="L21"/>
      <c r="M21"/>
      <c r="N21"/>
      <c r="O21"/>
      <c r="P21"/>
      <c r="Q21"/>
      <c r="R21"/>
      <c r="S21"/>
      <c r="T21"/>
    </row>
    <row r="22" spans="1:20" ht="15" outlineLevel="3" thickBot="1" x14ac:dyDescent="0.35">
      <c r="A22" s="88" t="s">
        <v>107</v>
      </c>
      <c r="B22" s="10" t="s">
        <v>108</v>
      </c>
      <c r="C22" s="65" t="s">
        <v>109</v>
      </c>
      <c r="D22" s="44" t="s">
        <v>106</v>
      </c>
      <c r="E22" s="90">
        <v>1</v>
      </c>
      <c r="F22" s="90"/>
      <c r="G22" s="102">
        <f>cell_CoefGeneral</f>
        <v>1</v>
      </c>
      <c r="H22" s="100">
        <f>0</f>
        <v>0</v>
      </c>
      <c r="I22" s="90">
        <f>IFERROR(ROUND(E22*H22,2),"-")</f>
        <v>0</v>
      </c>
      <c r="J22" s="114" t="str">
        <f>IFERROR(I22/cell_Total_HT,"-")</f>
        <v>-</v>
      </c>
      <c r="K22">
        <f>I22</f>
        <v>0</v>
      </c>
      <c r="L22"/>
      <c r="M22"/>
      <c r="N22"/>
      <c r="O22"/>
      <c r="P22"/>
      <c r="Q22"/>
      <c r="R22"/>
      <c r="S22"/>
      <c r="T22"/>
    </row>
    <row r="23" spans="1:20" ht="15" outlineLevel="2" thickTop="1" x14ac:dyDescent="0.3">
      <c r="A23" s="88" t="s">
        <v>110</v>
      </c>
      <c r="B23" s="68" t="s">
        <v>60</v>
      </c>
      <c r="C23" s="69" t="s">
        <v>111</v>
      </c>
      <c r="D23" s="127"/>
      <c r="E23" s="95"/>
      <c r="F23" s="95"/>
      <c r="G23" s="107"/>
      <c r="H23" s="95"/>
      <c r="I23" s="95">
        <f>SUBTOTAL(9,I21:I22)</f>
        <v>0</v>
      </c>
      <c r="J23" s="119"/>
      <c r="K23"/>
      <c r="L23"/>
      <c r="M23"/>
      <c r="N23"/>
      <c r="O23"/>
      <c r="P23"/>
      <c r="Q23"/>
      <c r="R23"/>
      <c r="S23"/>
      <c r="T23"/>
    </row>
    <row r="24" spans="1:20" outlineLevel="2" x14ac:dyDescent="0.3">
      <c r="A24" s="88" t="s">
        <v>112</v>
      </c>
      <c r="B24" s="72" t="s">
        <v>113</v>
      </c>
      <c r="C24" s="73" t="s">
        <v>114</v>
      </c>
      <c r="D24" s="129"/>
      <c r="E24" s="93"/>
      <c r="F24" s="93"/>
      <c r="G24" s="105"/>
      <c r="H24" s="93"/>
      <c r="I24" s="113">
        <f>SUBTOTAL(9,K25:K78)</f>
        <v>0</v>
      </c>
      <c r="J24" s="117"/>
      <c r="K24"/>
      <c r="L24"/>
      <c r="M24"/>
      <c r="N24"/>
      <c r="O24"/>
      <c r="P24"/>
      <c r="Q24"/>
      <c r="R24"/>
      <c r="S24"/>
      <c r="T24"/>
    </row>
    <row r="25" spans="1:20" outlineLevel="3" x14ac:dyDescent="0.3">
      <c r="A25" s="88" t="s">
        <v>115</v>
      </c>
      <c r="B25" s="72" t="s">
        <v>116</v>
      </c>
      <c r="C25" s="74" t="s">
        <v>117</v>
      </c>
      <c r="D25" s="129"/>
      <c r="E25" s="93"/>
      <c r="F25" s="93"/>
      <c r="G25" s="105"/>
      <c r="H25" s="93"/>
      <c r="I25" s="113">
        <f>SUBTOTAL(9,K26:K29)</f>
        <v>0</v>
      </c>
      <c r="J25" s="117"/>
      <c r="K25"/>
      <c r="L25"/>
      <c r="M25"/>
      <c r="N25"/>
      <c r="O25"/>
      <c r="P25"/>
      <c r="Q25"/>
      <c r="R25"/>
      <c r="S25"/>
      <c r="T25"/>
    </row>
    <row r="26" spans="1:20" outlineLevel="4" x14ac:dyDescent="0.3">
      <c r="A26" s="88" t="s">
        <v>118</v>
      </c>
      <c r="B26" s="10" t="s">
        <v>119</v>
      </c>
      <c r="C26" s="65" t="s">
        <v>120</v>
      </c>
      <c r="D26" s="44" t="s">
        <v>121</v>
      </c>
      <c r="E26" s="90">
        <v>0</v>
      </c>
      <c r="F26" s="90"/>
      <c r="G26" s="102">
        <f>cell_CoefGeneral</f>
        <v>1</v>
      </c>
      <c r="H26" s="90">
        <v>0</v>
      </c>
      <c r="I26" s="90">
        <f>IFERROR(ROUND(E26*H26,2),"-")</f>
        <v>0</v>
      </c>
      <c r="J26" s="114" t="str">
        <f>IFERROR(I26/cell_Total_HT,"-")</f>
        <v>-</v>
      </c>
      <c r="K26">
        <f>I26</f>
        <v>0</v>
      </c>
      <c r="L26"/>
      <c r="M26"/>
      <c r="N26"/>
      <c r="O26"/>
      <c r="P26"/>
      <c r="Q26"/>
      <c r="R26"/>
      <c r="S26"/>
      <c r="T26"/>
    </row>
    <row r="27" spans="1:20" ht="28.8" outlineLevel="4" x14ac:dyDescent="0.3">
      <c r="A27" s="88" t="s">
        <v>122</v>
      </c>
      <c r="B27" s="10" t="s">
        <v>123</v>
      </c>
      <c r="C27" s="65" t="s">
        <v>124</v>
      </c>
      <c r="D27" s="44" t="s">
        <v>125</v>
      </c>
      <c r="E27" s="90">
        <v>0</v>
      </c>
      <c r="F27" s="90"/>
      <c r="G27" s="102">
        <f>cell_CoefGeneral</f>
        <v>1</v>
      </c>
      <c r="H27" s="90">
        <v>0</v>
      </c>
      <c r="I27" s="90">
        <f>IFERROR(ROUND(E27*H27,2),"-")</f>
        <v>0</v>
      </c>
      <c r="J27" s="114" t="str">
        <f>IFERROR(I27/cell_Total_HT,"-")</f>
        <v>-</v>
      </c>
      <c r="K27">
        <f>I27</f>
        <v>0</v>
      </c>
      <c r="L27"/>
      <c r="M27"/>
      <c r="N27"/>
      <c r="O27"/>
      <c r="P27"/>
      <c r="Q27"/>
      <c r="R27"/>
      <c r="S27"/>
      <c r="T27"/>
    </row>
    <row r="28" spans="1:20" outlineLevel="4" x14ac:dyDescent="0.3">
      <c r="A28" s="88" t="s">
        <v>126</v>
      </c>
      <c r="B28" s="10" t="s">
        <v>127</v>
      </c>
      <c r="C28" s="65" t="s">
        <v>128</v>
      </c>
      <c r="D28" s="44" t="s">
        <v>121</v>
      </c>
      <c r="E28" s="90">
        <v>0</v>
      </c>
      <c r="F28" s="90"/>
      <c r="G28" s="102">
        <f>cell_CoefGeneral</f>
        <v>1</v>
      </c>
      <c r="H28" s="90">
        <v>0</v>
      </c>
      <c r="I28" s="90">
        <f>IFERROR(ROUND(E28*H28,2),"-")</f>
        <v>0</v>
      </c>
      <c r="J28" s="114" t="str">
        <f>IFERROR(I28/cell_Total_HT,"-")</f>
        <v>-</v>
      </c>
      <c r="K28">
        <f>I28</f>
        <v>0</v>
      </c>
      <c r="L28"/>
      <c r="M28"/>
      <c r="N28"/>
      <c r="O28"/>
      <c r="P28"/>
      <c r="Q28"/>
      <c r="R28"/>
      <c r="S28"/>
      <c r="T28"/>
    </row>
    <row r="29" spans="1:20" outlineLevel="4" x14ac:dyDescent="0.3">
      <c r="A29" s="88" t="s">
        <v>129</v>
      </c>
      <c r="B29" s="10" t="s">
        <v>130</v>
      </c>
      <c r="C29" s="65" t="s">
        <v>131</v>
      </c>
      <c r="D29" s="44" t="s">
        <v>125</v>
      </c>
      <c r="E29" s="90">
        <v>0</v>
      </c>
      <c r="F29" s="90"/>
      <c r="G29" s="102">
        <f>cell_CoefGeneral</f>
        <v>1</v>
      </c>
      <c r="H29" s="90">
        <v>0</v>
      </c>
      <c r="I29" s="90">
        <f>IFERROR(ROUND(E29*H29,2),"-")</f>
        <v>0</v>
      </c>
      <c r="J29" s="114" t="str">
        <f>IFERROR(I29/cell_Total_HT,"-")</f>
        <v>-</v>
      </c>
      <c r="K29">
        <f>I29</f>
        <v>0</v>
      </c>
      <c r="L29"/>
      <c r="M29"/>
      <c r="N29"/>
      <c r="O29"/>
      <c r="P29"/>
      <c r="Q29"/>
      <c r="R29"/>
      <c r="S29"/>
      <c r="T29"/>
    </row>
    <row r="30" spans="1:20" outlineLevel="3" x14ac:dyDescent="0.3">
      <c r="A30" s="88" t="s">
        <v>132</v>
      </c>
      <c r="B30" s="63" t="s">
        <v>133</v>
      </c>
      <c r="C30" s="75" t="s">
        <v>134</v>
      </c>
      <c r="D30" s="125"/>
      <c r="E30" s="93"/>
      <c r="F30" s="93"/>
      <c r="G30" s="105"/>
      <c r="H30" s="93"/>
      <c r="I30" s="113">
        <f>SUBTOTAL(9,K31:K32)</f>
        <v>0</v>
      </c>
      <c r="J30" s="117"/>
      <c r="K30"/>
      <c r="L30"/>
      <c r="M30"/>
      <c r="N30"/>
      <c r="O30"/>
      <c r="P30"/>
      <c r="Q30"/>
      <c r="R30"/>
      <c r="S30"/>
      <c r="T30"/>
    </row>
    <row r="31" spans="1:20" outlineLevel="4" x14ac:dyDescent="0.3">
      <c r="A31" s="88" t="s">
        <v>135</v>
      </c>
      <c r="B31" s="10" t="s">
        <v>136</v>
      </c>
      <c r="C31" s="65" t="s">
        <v>120</v>
      </c>
      <c r="D31" s="44" t="s">
        <v>121</v>
      </c>
      <c r="E31" s="90">
        <v>0</v>
      </c>
      <c r="F31" s="90"/>
      <c r="G31" s="102">
        <f>cell_CoefGeneral</f>
        <v>1</v>
      </c>
      <c r="H31" s="90">
        <v>0</v>
      </c>
      <c r="I31" s="90">
        <f>IFERROR(ROUND(E31*H31,2),"-")</f>
        <v>0</v>
      </c>
      <c r="J31" s="114" t="str">
        <f>IFERROR(I31/cell_Total_HT,"-")</f>
        <v>-</v>
      </c>
      <c r="K31">
        <f>I31</f>
        <v>0</v>
      </c>
      <c r="L31"/>
      <c r="M31"/>
      <c r="N31"/>
      <c r="O31"/>
      <c r="P31"/>
      <c r="Q31"/>
      <c r="R31"/>
      <c r="S31"/>
      <c r="T31"/>
    </row>
    <row r="32" spans="1:20" outlineLevel="4" x14ac:dyDescent="0.3">
      <c r="A32" s="88" t="s">
        <v>137</v>
      </c>
      <c r="B32" s="10" t="s">
        <v>138</v>
      </c>
      <c r="C32" s="65" t="s">
        <v>139</v>
      </c>
      <c r="D32" s="44" t="s">
        <v>125</v>
      </c>
      <c r="E32" s="90">
        <v>0</v>
      </c>
      <c r="F32" s="90"/>
      <c r="G32" s="102">
        <f>cell_CoefGeneral</f>
        <v>1</v>
      </c>
      <c r="H32" s="90">
        <v>0</v>
      </c>
      <c r="I32" s="90">
        <f>IFERROR(ROUND(E32*H32,2),"-")</f>
        <v>0</v>
      </c>
      <c r="J32" s="114" t="str">
        <f>IFERROR(I32/cell_Total_HT,"-")</f>
        <v>-</v>
      </c>
      <c r="K32">
        <f>I32</f>
        <v>0</v>
      </c>
      <c r="L32"/>
      <c r="M32"/>
      <c r="N32"/>
      <c r="O32"/>
      <c r="P32"/>
      <c r="Q32"/>
      <c r="R32"/>
      <c r="S32"/>
      <c r="T32"/>
    </row>
    <row r="33" spans="1:20" outlineLevel="3" x14ac:dyDescent="0.3">
      <c r="A33" s="88" t="s">
        <v>140</v>
      </c>
      <c r="B33" s="63" t="s">
        <v>141</v>
      </c>
      <c r="C33" s="75" t="s">
        <v>142</v>
      </c>
      <c r="D33" s="125"/>
      <c r="E33" s="93"/>
      <c r="F33" s="93"/>
      <c r="G33" s="105"/>
      <c r="H33" s="93"/>
      <c r="I33" s="113">
        <f>SUBTOTAL(9,K34:K35)</f>
        <v>0</v>
      </c>
      <c r="J33" s="117"/>
      <c r="K33"/>
      <c r="L33"/>
      <c r="M33"/>
      <c r="N33"/>
      <c r="O33"/>
      <c r="P33"/>
      <c r="Q33"/>
      <c r="R33"/>
      <c r="S33"/>
      <c r="T33"/>
    </row>
    <row r="34" spans="1:20" outlineLevel="4" x14ac:dyDescent="0.3">
      <c r="A34" s="88" t="s">
        <v>143</v>
      </c>
      <c r="B34" s="10" t="s">
        <v>144</v>
      </c>
      <c r="C34" s="65" t="s">
        <v>145</v>
      </c>
      <c r="D34" s="44" t="s">
        <v>121</v>
      </c>
      <c r="E34" s="90">
        <v>1283</v>
      </c>
      <c r="F34" s="90"/>
      <c r="G34" s="102">
        <f>cell_CoefGeneral</f>
        <v>1</v>
      </c>
      <c r="H34" s="90">
        <v>0</v>
      </c>
      <c r="I34" s="90">
        <f>IFERROR(ROUND(E34*H34,2),"-")</f>
        <v>0</v>
      </c>
      <c r="J34" s="114" t="str">
        <f>IFERROR(I34/cell_Total_HT,"-")</f>
        <v>-</v>
      </c>
      <c r="K34">
        <f>I34</f>
        <v>0</v>
      </c>
      <c r="L34"/>
      <c r="M34"/>
      <c r="N34"/>
      <c r="O34"/>
      <c r="P34"/>
      <c r="Q34"/>
      <c r="R34"/>
      <c r="S34"/>
      <c r="T34"/>
    </row>
    <row r="35" spans="1:20" outlineLevel="4" x14ac:dyDescent="0.3">
      <c r="A35" s="88" t="s">
        <v>146</v>
      </c>
      <c r="B35" s="10" t="s">
        <v>147</v>
      </c>
      <c r="C35" s="65" t="s">
        <v>148</v>
      </c>
      <c r="D35" s="44" t="s">
        <v>149</v>
      </c>
      <c r="E35" s="90">
        <v>176</v>
      </c>
      <c r="F35" s="90"/>
      <c r="G35" s="102">
        <f>cell_CoefGeneral</f>
        <v>1</v>
      </c>
      <c r="H35" s="90">
        <v>0</v>
      </c>
      <c r="I35" s="90">
        <f>IFERROR(ROUND(E35*H35,2),"-")</f>
        <v>0</v>
      </c>
      <c r="J35" s="114" t="str">
        <f>IFERROR(I35/cell_Total_HT,"-")</f>
        <v>-</v>
      </c>
      <c r="K35">
        <f>I35</f>
        <v>0</v>
      </c>
      <c r="L35"/>
      <c r="M35"/>
      <c r="N35"/>
      <c r="O35"/>
      <c r="P35"/>
      <c r="Q35"/>
      <c r="R35"/>
      <c r="S35"/>
      <c r="T35"/>
    </row>
    <row r="36" spans="1:20" outlineLevel="3" x14ac:dyDescent="0.3">
      <c r="A36" s="88" t="s">
        <v>150</v>
      </c>
      <c r="B36" s="63" t="s">
        <v>151</v>
      </c>
      <c r="C36" s="75" t="s">
        <v>152</v>
      </c>
      <c r="D36" s="125"/>
      <c r="E36" s="93"/>
      <c r="F36" s="93"/>
      <c r="G36" s="105"/>
      <c r="H36" s="93"/>
      <c r="I36" s="113">
        <f>SUBTOTAL(9,K37:K37)</f>
        <v>0</v>
      </c>
      <c r="J36" s="117"/>
      <c r="K36"/>
      <c r="L36"/>
      <c r="M36"/>
      <c r="N36"/>
      <c r="O36"/>
      <c r="P36"/>
      <c r="Q36"/>
      <c r="R36"/>
      <c r="S36"/>
      <c r="T36"/>
    </row>
    <row r="37" spans="1:20" outlineLevel="4" x14ac:dyDescent="0.3">
      <c r="A37" s="88" t="s">
        <v>153</v>
      </c>
      <c r="B37" s="10" t="s">
        <v>154</v>
      </c>
      <c r="C37" s="65" t="s">
        <v>145</v>
      </c>
      <c r="D37" s="44" t="s">
        <v>121</v>
      </c>
      <c r="E37" s="90">
        <v>0</v>
      </c>
      <c r="F37" s="90"/>
      <c r="G37" s="102">
        <f>cell_CoefGeneral</f>
        <v>1</v>
      </c>
      <c r="H37" s="90">
        <v>0</v>
      </c>
      <c r="I37" s="90">
        <f>IFERROR(ROUND(E37*H37,2),"-")</f>
        <v>0</v>
      </c>
      <c r="J37" s="114" t="str">
        <f>IFERROR(I37/cell_Total_HT,"-")</f>
        <v>-</v>
      </c>
      <c r="K37">
        <f>I37</f>
        <v>0</v>
      </c>
      <c r="L37"/>
      <c r="M37"/>
      <c r="N37"/>
      <c r="O37"/>
      <c r="P37"/>
      <c r="Q37"/>
      <c r="R37"/>
      <c r="S37"/>
      <c r="T37"/>
    </row>
    <row r="38" spans="1:20" outlineLevel="3" x14ac:dyDescent="0.3">
      <c r="A38" s="88" t="s">
        <v>155</v>
      </c>
      <c r="B38" s="63" t="s">
        <v>156</v>
      </c>
      <c r="C38" s="75" t="s">
        <v>157</v>
      </c>
      <c r="D38" s="125"/>
      <c r="E38" s="93"/>
      <c r="F38" s="93"/>
      <c r="G38" s="105"/>
      <c r="H38" s="93"/>
      <c r="I38" s="113">
        <f>SUBTOTAL(9,K39:K39)</f>
        <v>0</v>
      </c>
      <c r="J38" s="117"/>
      <c r="K38"/>
      <c r="L38"/>
      <c r="M38"/>
      <c r="N38"/>
      <c r="O38"/>
      <c r="P38"/>
      <c r="Q38"/>
      <c r="R38"/>
      <c r="S38"/>
      <c r="T38"/>
    </row>
    <row r="39" spans="1:20" outlineLevel="4" x14ac:dyDescent="0.3">
      <c r="A39" s="88" t="s">
        <v>158</v>
      </c>
      <c r="B39" s="10" t="s">
        <v>159</v>
      </c>
      <c r="C39" s="65" t="s">
        <v>160</v>
      </c>
      <c r="D39" s="44" t="s">
        <v>121</v>
      </c>
      <c r="E39" s="90">
        <v>2349</v>
      </c>
      <c r="F39" s="90"/>
      <c r="G39" s="102">
        <f>cell_CoefGeneral</f>
        <v>1</v>
      </c>
      <c r="H39" s="90">
        <v>0</v>
      </c>
      <c r="I39" s="90">
        <f>IFERROR(ROUND(E39*H39,2),"-")</f>
        <v>0</v>
      </c>
      <c r="J39" s="114" t="str">
        <f>IFERROR(I39/cell_Total_HT,"-")</f>
        <v>-</v>
      </c>
      <c r="K39">
        <f>I39</f>
        <v>0</v>
      </c>
      <c r="L39"/>
      <c r="M39"/>
      <c r="N39"/>
      <c r="O39"/>
      <c r="P39"/>
      <c r="Q39"/>
      <c r="R39"/>
      <c r="S39"/>
      <c r="T39"/>
    </row>
    <row r="40" spans="1:20" outlineLevel="3" x14ac:dyDescent="0.3">
      <c r="A40" s="88" t="s">
        <v>161</v>
      </c>
      <c r="B40" s="63" t="s">
        <v>162</v>
      </c>
      <c r="C40" s="75" t="s">
        <v>163</v>
      </c>
      <c r="D40" s="125"/>
      <c r="E40" s="93"/>
      <c r="F40" s="93"/>
      <c r="G40" s="105"/>
      <c r="H40" s="93"/>
      <c r="I40" s="113">
        <f>SUBTOTAL(9,K41:K42)</f>
        <v>0</v>
      </c>
      <c r="J40" s="117"/>
      <c r="K40"/>
      <c r="L40"/>
      <c r="M40"/>
      <c r="N40"/>
      <c r="O40"/>
      <c r="P40"/>
      <c r="Q40"/>
      <c r="R40"/>
      <c r="S40"/>
      <c r="T40"/>
    </row>
    <row r="41" spans="1:20" ht="28.8" outlineLevel="4" x14ac:dyDescent="0.3">
      <c r="A41" s="88" t="s">
        <v>164</v>
      </c>
      <c r="B41" s="10" t="s">
        <v>165</v>
      </c>
      <c r="C41" s="65" t="s">
        <v>166</v>
      </c>
      <c r="D41" s="44" t="s">
        <v>167</v>
      </c>
      <c r="E41" s="90">
        <v>362</v>
      </c>
      <c r="F41" s="90"/>
      <c r="G41" s="102">
        <f>cell_CoefGeneral</f>
        <v>1</v>
      </c>
      <c r="H41" s="90">
        <v>0</v>
      </c>
      <c r="I41" s="90">
        <f>IFERROR(ROUND(E41*H41,2),"-")</f>
        <v>0</v>
      </c>
      <c r="J41" s="114" t="str">
        <f>IFERROR(I41/cell_Total_HT,"-")</f>
        <v>-</v>
      </c>
      <c r="K41">
        <f>I41</f>
        <v>0</v>
      </c>
      <c r="L41"/>
      <c r="M41"/>
      <c r="N41"/>
      <c r="O41"/>
      <c r="P41"/>
      <c r="Q41"/>
      <c r="R41"/>
      <c r="S41"/>
      <c r="T41"/>
    </row>
    <row r="42" spans="1:20" outlineLevel="4" x14ac:dyDescent="0.3">
      <c r="A42" s="88" t="s">
        <v>168</v>
      </c>
      <c r="B42" s="10" t="s">
        <v>169</v>
      </c>
      <c r="C42" s="65" t="s">
        <v>170</v>
      </c>
      <c r="D42" s="44" t="s">
        <v>121</v>
      </c>
      <c r="E42" s="90">
        <v>3621</v>
      </c>
      <c r="F42" s="90"/>
      <c r="G42" s="102">
        <f>cell_CoefGeneral</f>
        <v>1</v>
      </c>
      <c r="H42" s="90">
        <v>0</v>
      </c>
      <c r="I42" s="90">
        <f>IFERROR(ROUND(E42*H42,2),"-")</f>
        <v>0</v>
      </c>
      <c r="J42" s="114" t="str">
        <f>IFERROR(I42/cell_Total_HT,"-")</f>
        <v>-</v>
      </c>
      <c r="K42">
        <f>I42</f>
        <v>0</v>
      </c>
      <c r="L42"/>
      <c r="M42"/>
      <c r="N42"/>
      <c r="O42"/>
      <c r="P42"/>
      <c r="Q42"/>
      <c r="R42"/>
      <c r="S42"/>
      <c r="T42"/>
    </row>
    <row r="43" spans="1:20" outlineLevel="3" x14ac:dyDescent="0.3">
      <c r="A43" s="88" t="s">
        <v>171</v>
      </c>
      <c r="B43" s="63" t="s">
        <v>172</v>
      </c>
      <c r="C43" s="75" t="s">
        <v>173</v>
      </c>
      <c r="D43" s="125"/>
      <c r="E43" s="93"/>
      <c r="F43" s="93"/>
      <c r="G43" s="105"/>
      <c r="H43" s="93"/>
      <c r="I43" s="113">
        <f>SUBTOTAL(9,K44:K45)</f>
        <v>0</v>
      </c>
      <c r="J43" s="117"/>
      <c r="K43"/>
      <c r="L43"/>
      <c r="M43"/>
      <c r="N43"/>
      <c r="O43"/>
      <c r="P43"/>
      <c r="Q43"/>
      <c r="R43"/>
      <c r="S43"/>
      <c r="T43"/>
    </row>
    <row r="44" spans="1:20" ht="28.8" outlineLevel="4" x14ac:dyDescent="0.3">
      <c r="A44" s="88" t="s">
        <v>174</v>
      </c>
      <c r="B44" s="10" t="s">
        <v>175</v>
      </c>
      <c r="C44" s="65" t="s">
        <v>166</v>
      </c>
      <c r="D44" s="44" t="s">
        <v>167</v>
      </c>
      <c r="E44" s="90">
        <v>16</v>
      </c>
      <c r="F44" s="90"/>
      <c r="G44" s="102">
        <f>cell_CoefGeneral</f>
        <v>1</v>
      </c>
      <c r="H44" s="90">
        <v>0</v>
      </c>
      <c r="I44" s="90">
        <f>IFERROR(ROUND(E44*H44,2),"-")</f>
        <v>0</v>
      </c>
      <c r="J44" s="114" t="str">
        <f>IFERROR(I44/cell_Total_HT,"-")</f>
        <v>-</v>
      </c>
      <c r="K44">
        <f>I44</f>
        <v>0</v>
      </c>
      <c r="L44"/>
      <c r="M44"/>
      <c r="N44"/>
      <c r="O44"/>
      <c r="P44"/>
      <c r="Q44"/>
      <c r="R44"/>
      <c r="S44"/>
      <c r="T44"/>
    </row>
    <row r="45" spans="1:20" outlineLevel="4" x14ac:dyDescent="0.3">
      <c r="A45" s="88" t="s">
        <v>176</v>
      </c>
      <c r="B45" s="10" t="s">
        <v>177</v>
      </c>
      <c r="C45" s="65" t="s">
        <v>178</v>
      </c>
      <c r="D45" s="44" t="s">
        <v>121</v>
      </c>
      <c r="E45" s="90">
        <v>158</v>
      </c>
      <c r="F45" s="90"/>
      <c r="G45" s="102">
        <f>cell_CoefGeneral</f>
        <v>1</v>
      </c>
      <c r="H45" s="90">
        <v>0</v>
      </c>
      <c r="I45" s="90">
        <f>IFERROR(ROUND(E45*H45,2),"-")</f>
        <v>0</v>
      </c>
      <c r="J45" s="114" t="str">
        <f>IFERROR(I45/cell_Total_HT,"-")</f>
        <v>-</v>
      </c>
      <c r="K45">
        <f>I45</f>
        <v>0</v>
      </c>
      <c r="L45"/>
      <c r="M45"/>
      <c r="N45"/>
      <c r="O45"/>
      <c r="P45"/>
      <c r="Q45"/>
      <c r="R45"/>
      <c r="S45"/>
      <c r="T45"/>
    </row>
    <row r="46" spans="1:20" outlineLevel="3" x14ac:dyDescent="0.3">
      <c r="A46" s="88" t="s">
        <v>179</v>
      </c>
      <c r="B46" s="63" t="s">
        <v>180</v>
      </c>
      <c r="C46" s="75" t="s">
        <v>181</v>
      </c>
      <c r="D46" s="125"/>
      <c r="E46" s="93"/>
      <c r="F46" s="93"/>
      <c r="G46" s="105"/>
      <c r="H46" s="93"/>
      <c r="I46" s="113">
        <f>SUBTOTAL(9,K47:K48)</f>
        <v>0</v>
      </c>
      <c r="J46" s="117"/>
      <c r="K46"/>
      <c r="L46"/>
      <c r="M46"/>
      <c r="N46"/>
      <c r="O46"/>
      <c r="P46"/>
      <c r="Q46"/>
      <c r="R46"/>
      <c r="S46"/>
      <c r="T46"/>
    </row>
    <row r="47" spans="1:20" ht="28.8" outlineLevel="4" x14ac:dyDescent="0.3">
      <c r="A47" s="88" t="s">
        <v>182</v>
      </c>
      <c r="B47" s="10" t="s">
        <v>183</v>
      </c>
      <c r="C47" s="65" t="s">
        <v>184</v>
      </c>
      <c r="D47" s="44" t="s">
        <v>167</v>
      </c>
      <c r="E47" s="90">
        <v>41</v>
      </c>
      <c r="F47" s="90"/>
      <c r="G47" s="102">
        <f>cell_CoefGeneral</f>
        <v>1</v>
      </c>
      <c r="H47" s="90">
        <v>0</v>
      </c>
      <c r="I47" s="90">
        <f>IFERROR(ROUND(E47*H47,2),"-")</f>
        <v>0</v>
      </c>
      <c r="J47" s="114" t="str">
        <f>IFERROR(I47/cell_Total_HT,"-")</f>
        <v>-</v>
      </c>
      <c r="K47">
        <f>I47</f>
        <v>0</v>
      </c>
      <c r="L47"/>
      <c r="M47"/>
      <c r="N47"/>
      <c r="O47"/>
      <c r="P47"/>
      <c r="Q47"/>
      <c r="R47"/>
      <c r="S47"/>
      <c r="T47"/>
    </row>
    <row r="48" spans="1:20" outlineLevel="4" x14ac:dyDescent="0.3">
      <c r="A48" s="88" t="s">
        <v>185</v>
      </c>
      <c r="B48" s="10" t="s">
        <v>186</v>
      </c>
      <c r="C48" s="65" t="s">
        <v>187</v>
      </c>
      <c r="D48" s="44" t="s">
        <v>121</v>
      </c>
      <c r="E48" s="90">
        <v>414</v>
      </c>
      <c r="F48" s="90"/>
      <c r="G48" s="102">
        <f>cell_CoefGeneral</f>
        <v>1</v>
      </c>
      <c r="H48" s="90">
        <v>0</v>
      </c>
      <c r="I48" s="90">
        <f>IFERROR(ROUND(E48*H48,2),"-")</f>
        <v>0</v>
      </c>
      <c r="J48" s="114" t="str">
        <f>IFERROR(I48/cell_Total_HT,"-")</f>
        <v>-</v>
      </c>
      <c r="K48">
        <f>I48</f>
        <v>0</v>
      </c>
      <c r="L48"/>
      <c r="M48"/>
      <c r="N48"/>
      <c r="O48"/>
      <c r="P48"/>
      <c r="Q48"/>
      <c r="R48"/>
      <c r="S48"/>
      <c r="T48"/>
    </row>
    <row r="49" spans="1:20" outlineLevel="3" x14ac:dyDescent="0.3">
      <c r="A49" s="88" t="s">
        <v>188</v>
      </c>
      <c r="B49" s="63" t="s">
        <v>189</v>
      </c>
      <c r="C49" s="75" t="s">
        <v>190</v>
      </c>
      <c r="D49" s="125"/>
      <c r="E49" s="93"/>
      <c r="F49" s="93"/>
      <c r="G49" s="105"/>
      <c r="H49" s="93"/>
      <c r="I49" s="113">
        <f>SUBTOTAL(9,K50:K51)</f>
        <v>0</v>
      </c>
      <c r="J49" s="117"/>
      <c r="K49"/>
      <c r="L49"/>
      <c r="M49"/>
      <c r="N49"/>
      <c r="O49"/>
      <c r="P49"/>
      <c r="Q49"/>
      <c r="R49"/>
      <c r="S49"/>
      <c r="T49"/>
    </row>
    <row r="50" spans="1:20" outlineLevel="4" x14ac:dyDescent="0.3">
      <c r="A50" s="88" t="s">
        <v>191</v>
      </c>
      <c r="B50" s="10" t="s">
        <v>192</v>
      </c>
      <c r="C50" s="65" t="s">
        <v>120</v>
      </c>
      <c r="D50" s="44" t="s">
        <v>121</v>
      </c>
      <c r="E50" s="90">
        <v>583</v>
      </c>
      <c r="F50" s="90"/>
      <c r="G50" s="102">
        <f>cell_CoefGeneral</f>
        <v>1</v>
      </c>
      <c r="H50" s="90">
        <v>0</v>
      </c>
      <c r="I50" s="90">
        <f>IFERROR(ROUND(E50*H50,2),"-")</f>
        <v>0</v>
      </c>
      <c r="J50" s="114" t="str">
        <f>IFERROR(I50/cell_Total_HT,"-")</f>
        <v>-</v>
      </c>
      <c r="K50">
        <f>I50</f>
        <v>0</v>
      </c>
      <c r="L50"/>
      <c r="M50"/>
      <c r="N50"/>
      <c r="O50"/>
      <c r="P50"/>
      <c r="Q50"/>
      <c r="R50"/>
      <c r="S50"/>
      <c r="T50"/>
    </row>
    <row r="51" spans="1:20" outlineLevel="4" x14ac:dyDescent="0.3">
      <c r="A51" s="88" t="s">
        <v>193</v>
      </c>
      <c r="B51" s="10" t="s">
        <v>194</v>
      </c>
      <c r="C51" s="65" t="s">
        <v>195</v>
      </c>
      <c r="D51" s="44" t="s">
        <v>125</v>
      </c>
      <c r="E51" s="90">
        <v>56</v>
      </c>
      <c r="F51" s="90"/>
      <c r="G51" s="102">
        <f>cell_CoefGeneral</f>
        <v>1</v>
      </c>
      <c r="H51" s="90">
        <v>0</v>
      </c>
      <c r="I51" s="90">
        <f>IFERROR(ROUND(E51*H51,2),"-")</f>
        <v>0</v>
      </c>
      <c r="J51" s="114" t="str">
        <f>IFERROR(I51/cell_Total_HT,"-")</f>
        <v>-</v>
      </c>
      <c r="K51">
        <f>I51</f>
        <v>0</v>
      </c>
      <c r="L51"/>
      <c r="M51"/>
      <c r="N51"/>
      <c r="O51"/>
      <c r="P51"/>
      <c r="Q51"/>
      <c r="R51"/>
      <c r="S51"/>
      <c r="T51"/>
    </row>
    <row r="52" spans="1:20" outlineLevel="3" x14ac:dyDescent="0.3">
      <c r="A52" s="88" t="s">
        <v>196</v>
      </c>
      <c r="B52" s="63" t="s">
        <v>197</v>
      </c>
      <c r="C52" s="75" t="s">
        <v>198</v>
      </c>
      <c r="D52" s="125"/>
      <c r="E52" s="93"/>
      <c r="F52" s="93"/>
      <c r="G52" s="105"/>
      <c r="H52" s="93"/>
      <c r="I52" s="113">
        <f>SUBTOTAL(9,K53:K53)</f>
        <v>0</v>
      </c>
      <c r="J52" s="117"/>
      <c r="K52"/>
      <c r="L52"/>
      <c r="M52"/>
      <c r="N52"/>
      <c r="O52"/>
      <c r="P52"/>
      <c r="Q52"/>
      <c r="R52"/>
      <c r="S52"/>
      <c r="T52"/>
    </row>
    <row r="53" spans="1:20" ht="28.8" outlineLevel="4" x14ac:dyDescent="0.3">
      <c r="A53" s="88" t="s">
        <v>199</v>
      </c>
      <c r="B53" s="10" t="s">
        <v>200</v>
      </c>
      <c r="C53" s="65" t="s">
        <v>201</v>
      </c>
      <c r="D53" s="44" t="s">
        <v>167</v>
      </c>
      <c r="E53" s="90">
        <v>115</v>
      </c>
      <c r="F53" s="90"/>
      <c r="G53" s="102">
        <f>cell_CoefGeneral</f>
        <v>1</v>
      </c>
      <c r="H53" s="90">
        <v>0</v>
      </c>
      <c r="I53" s="90">
        <f>IFERROR(ROUND(E53*H53,2),"-")</f>
        <v>0</v>
      </c>
      <c r="J53" s="114" t="str">
        <f>IFERROR(I53/cell_Total_HT,"-")</f>
        <v>-</v>
      </c>
      <c r="K53">
        <f>I53</f>
        <v>0</v>
      </c>
      <c r="L53"/>
      <c r="M53"/>
      <c r="N53"/>
      <c r="O53"/>
      <c r="P53"/>
      <c r="Q53"/>
      <c r="R53"/>
      <c r="S53"/>
      <c r="T53"/>
    </row>
    <row r="54" spans="1:20" outlineLevel="3" x14ac:dyDescent="0.3">
      <c r="A54" s="88" t="s">
        <v>202</v>
      </c>
      <c r="B54" s="63" t="s">
        <v>203</v>
      </c>
      <c r="C54" s="75" t="s">
        <v>204</v>
      </c>
      <c r="D54" s="125"/>
      <c r="E54" s="93"/>
      <c r="F54" s="93"/>
      <c r="G54" s="105"/>
      <c r="H54" s="93"/>
      <c r="I54" s="113">
        <f>SUBTOTAL(9,K55:K57)</f>
        <v>0</v>
      </c>
      <c r="J54" s="117"/>
      <c r="K54"/>
      <c r="L54"/>
      <c r="M54"/>
      <c r="N54"/>
      <c r="O54"/>
      <c r="P54"/>
      <c r="Q54"/>
      <c r="R54"/>
      <c r="S54"/>
      <c r="T54"/>
    </row>
    <row r="55" spans="1:20" ht="28.8" outlineLevel="4" x14ac:dyDescent="0.3">
      <c r="A55" s="88" t="s">
        <v>205</v>
      </c>
      <c r="B55" s="10" t="s">
        <v>206</v>
      </c>
      <c r="C55" s="65" t="s">
        <v>207</v>
      </c>
      <c r="D55" s="44" t="s">
        <v>121</v>
      </c>
      <c r="E55" s="90">
        <v>90</v>
      </c>
      <c r="F55" s="90"/>
      <c r="G55" s="102">
        <f>cell_CoefGeneral</f>
        <v>1</v>
      </c>
      <c r="H55" s="90">
        <v>0</v>
      </c>
      <c r="I55" s="90">
        <f>IFERROR(ROUND(E55*H55,2),"-")</f>
        <v>0</v>
      </c>
      <c r="J55" s="114" t="str">
        <f>IFERROR(I55/cell_Total_HT,"-")</f>
        <v>-</v>
      </c>
      <c r="K55">
        <f>I55</f>
        <v>0</v>
      </c>
      <c r="L55"/>
      <c r="M55"/>
      <c r="N55"/>
      <c r="O55"/>
      <c r="P55"/>
      <c r="Q55"/>
      <c r="R55"/>
      <c r="S55"/>
      <c r="T55"/>
    </row>
    <row r="56" spans="1:20" ht="28.8" outlineLevel="4" x14ac:dyDescent="0.3">
      <c r="A56" s="88" t="s">
        <v>208</v>
      </c>
      <c r="B56" s="10" t="s">
        <v>209</v>
      </c>
      <c r="C56" s="65" t="s">
        <v>210</v>
      </c>
      <c r="D56" s="44" t="s">
        <v>121</v>
      </c>
      <c r="E56" s="90">
        <v>211</v>
      </c>
      <c r="F56" s="90"/>
      <c r="G56" s="102">
        <f>cell_CoefGeneral</f>
        <v>1</v>
      </c>
      <c r="H56" s="90">
        <v>0</v>
      </c>
      <c r="I56" s="90">
        <f>IFERROR(ROUND(E56*H56,2),"-")</f>
        <v>0</v>
      </c>
      <c r="J56" s="114" t="str">
        <f>IFERROR(I56/cell_Total_HT,"-")</f>
        <v>-</v>
      </c>
      <c r="K56">
        <f>I56</f>
        <v>0</v>
      </c>
      <c r="L56"/>
      <c r="M56"/>
      <c r="N56"/>
      <c r="O56"/>
      <c r="P56"/>
      <c r="Q56"/>
      <c r="R56"/>
      <c r="S56"/>
      <c r="T56"/>
    </row>
    <row r="57" spans="1:20" ht="28.8" outlineLevel="4" x14ac:dyDescent="0.3">
      <c r="A57" s="88" t="s">
        <v>211</v>
      </c>
      <c r="B57" s="10" t="s">
        <v>212</v>
      </c>
      <c r="C57" s="65" t="s">
        <v>213</v>
      </c>
      <c r="D57" s="44" t="s">
        <v>149</v>
      </c>
      <c r="E57" s="90">
        <v>22</v>
      </c>
      <c r="F57" s="90"/>
      <c r="G57" s="102">
        <f>cell_CoefGeneral</f>
        <v>1</v>
      </c>
      <c r="H57" s="90">
        <v>0</v>
      </c>
      <c r="I57" s="90">
        <f>IFERROR(ROUND(E57*H57,2),"-")</f>
        <v>0</v>
      </c>
      <c r="J57" s="114" t="str">
        <f>IFERROR(I57/cell_Total_HT,"-")</f>
        <v>-</v>
      </c>
      <c r="K57">
        <f>I57</f>
        <v>0</v>
      </c>
      <c r="L57"/>
      <c r="M57"/>
      <c r="N57"/>
      <c r="O57"/>
      <c r="P57"/>
      <c r="Q57"/>
      <c r="R57"/>
      <c r="S57"/>
      <c r="T57"/>
    </row>
    <row r="58" spans="1:20" outlineLevel="3" x14ac:dyDescent="0.3">
      <c r="A58" s="88" t="s">
        <v>214</v>
      </c>
      <c r="B58" s="63" t="s">
        <v>215</v>
      </c>
      <c r="C58" s="75" t="s">
        <v>216</v>
      </c>
      <c r="D58" s="125"/>
      <c r="E58" s="93"/>
      <c r="F58" s="93"/>
      <c r="G58" s="105"/>
      <c r="H58" s="93"/>
      <c r="I58" s="113">
        <f>SUBTOTAL(9,K59:K60)</f>
        <v>0</v>
      </c>
      <c r="J58" s="117"/>
      <c r="K58"/>
      <c r="L58"/>
      <c r="M58"/>
      <c r="N58"/>
      <c r="O58"/>
      <c r="P58"/>
      <c r="Q58"/>
      <c r="R58"/>
      <c r="S58"/>
      <c r="T58"/>
    </row>
    <row r="59" spans="1:20" ht="28.8" outlineLevel="4" x14ac:dyDescent="0.3">
      <c r="A59" s="88" t="s">
        <v>217</v>
      </c>
      <c r="B59" s="10" t="s">
        <v>218</v>
      </c>
      <c r="C59" s="65" t="s">
        <v>219</v>
      </c>
      <c r="D59" s="44" t="s">
        <v>167</v>
      </c>
      <c r="E59" s="90">
        <v>23</v>
      </c>
      <c r="F59" s="90"/>
      <c r="G59" s="102">
        <f>cell_CoefGeneral</f>
        <v>1</v>
      </c>
      <c r="H59" s="90">
        <v>0</v>
      </c>
      <c r="I59" s="90">
        <f>IFERROR(ROUND(E59*H59,2),"-")</f>
        <v>0</v>
      </c>
      <c r="J59" s="114" t="str">
        <f>IFERROR(I59/cell_Total_HT,"-")</f>
        <v>-</v>
      </c>
      <c r="K59">
        <f>I59</f>
        <v>0</v>
      </c>
      <c r="L59"/>
      <c r="M59"/>
      <c r="N59"/>
      <c r="O59"/>
      <c r="P59"/>
      <c r="Q59"/>
      <c r="R59"/>
      <c r="S59"/>
      <c r="T59"/>
    </row>
    <row r="60" spans="1:20" ht="28.8" outlineLevel="4" x14ac:dyDescent="0.3">
      <c r="A60" s="88" t="s">
        <v>220</v>
      </c>
      <c r="B60" s="10" t="s">
        <v>221</v>
      </c>
      <c r="C60" s="65" t="s">
        <v>222</v>
      </c>
      <c r="D60" s="44" t="s">
        <v>121</v>
      </c>
      <c r="E60" s="90">
        <v>117</v>
      </c>
      <c r="F60" s="90"/>
      <c r="G60" s="102">
        <f>cell_CoefGeneral</f>
        <v>1</v>
      </c>
      <c r="H60" s="90">
        <v>0</v>
      </c>
      <c r="I60" s="90">
        <f>IFERROR(ROUND(E60*H60,2),"-")</f>
        <v>0</v>
      </c>
      <c r="J60" s="114" t="str">
        <f>IFERROR(I60/cell_Total_HT,"-")</f>
        <v>-</v>
      </c>
      <c r="K60">
        <f>I60</f>
        <v>0</v>
      </c>
      <c r="L60"/>
      <c r="M60"/>
      <c r="N60"/>
      <c r="O60"/>
      <c r="P60"/>
      <c r="Q60"/>
      <c r="R60"/>
      <c r="S60"/>
      <c r="T60"/>
    </row>
    <row r="61" spans="1:20" outlineLevel="3" x14ac:dyDescent="0.3">
      <c r="A61" s="88" t="s">
        <v>223</v>
      </c>
      <c r="B61" s="63" t="s">
        <v>224</v>
      </c>
      <c r="C61" s="75" t="s">
        <v>225</v>
      </c>
      <c r="D61" s="125"/>
      <c r="E61" s="93"/>
      <c r="F61" s="93"/>
      <c r="G61" s="105"/>
      <c r="H61" s="93"/>
      <c r="I61" s="113">
        <f>SUBTOTAL(9,K62:K63)</f>
        <v>0</v>
      </c>
      <c r="J61" s="117"/>
      <c r="K61"/>
      <c r="L61"/>
      <c r="M61"/>
      <c r="N61"/>
      <c r="O61"/>
      <c r="P61"/>
      <c r="Q61"/>
      <c r="R61"/>
      <c r="S61"/>
      <c r="T61"/>
    </row>
    <row r="62" spans="1:20" ht="28.8" outlineLevel="4" x14ac:dyDescent="0.3">
      <c r="A62" s="88" t="s">
        <v>226</v>
      </c>
      <c r="B62" s="10" t="s">
        <v>227</v>
      </c>
      <c r="C62" s="65" t="s">
        <v>228</v>
      </c>
      <c r="D62" s="44" t="s">
        <v>121</v>
      </c>
      <c r="E62" s="90">
        <v>411</v>
      </c>
      <c r="F62" s="90"/>
      <c r="G62" s="102">
        <f>cell_CoefGeneral</f>
        <v>1</v>
      </c>
      <c r="H62" s="90">
        <v>0</v>
      </c>
      <c r="I62" s="90">
        <f>IFERROR(ROUND(E62*H62,2),"-")</f>
        <v>0</v>
      </c>
      <c r="J62" s="114" t="str">
        <f>IFERROR(I62/cell_Total_HT,"-")</f>
        <v>-</v>
      </c>
      <c r="K62">
        <f>I62</f>
        <v>0</v>
      </c>
      <c r="L62"/>
      <c r="M62"/>
      <c r="N62"/>
      <c r="O62"/>
      <c r="P62"/>
      <c r="Q62"/>
      <c r="R62"/>
      <c r="S62"/>
      <c r="T62"/>
    </row>
    <row r="63" spans="1:20" outlineLevel="4" x14ac:dyDescent="0.3">
      <c r="A63" s="88" t="s">
        <v>229</v>
      </c>
      <c r="B63" s="10" t="s">
        <v>230</v>
      </c>
      <c r="C63" s="65" t="s">
        <v>231</v>
      </c>
      <c r="D63" s="44" t="s">
        <v>121</v>
      </c>
      <c r="E63" s="90">
        <v>0</v>
      </c>
      <c r="F63" s="90"/>
      <c r="G63" s="102">
        <f>cell_CoefGeneral</f>
        <v>1</v>
      </c>
      <c r="H63" s="90">
        <v>0</v>
      </c>
      <c r="I63" s="90">
        <f>IFERROR(ROUND(E63*H63,2),"-")</f>
        <v>0</v>
      </c>
      <c r="J63" s="114" t="str">
        <f>IFERROR(I63/cell_Total_HT,"-")</f>
        <v>-</v>
      </c>
      <c r="K63">
        <f>I63</f>
        <v>0</v>
      </c>
      <c r="L63"/>
      <c r="M63"/>
      <c r="N63"/>
      <c r="O63"/>
      <c r="P63"/>
      <c r="Q63"/>
      <c r="R63"/>
      <c r="S63"/>
      <c r="T63"/>
    </row>
    <row r="64" spans="1:20" outlineLevel="3" x14ac:dyDescent="0.3">
      <c r="A64" s="88" t="s">
        <v>232</v>
      </c>
      <c r="B64" s="63" t="s">
        <v>233</v>
      </c>
      <c r="C64" s="75" t="s">
        <v>234</v>
      </c>
      <c r="D64" s="125"/>
      <c r="E64" s="93"/>
      <c r="F64" s="93"/>
      <c r="G64" s="105"/>
      <c r="H64" s="93"/>
      <c r="I64" s="113">
        <f>SUBTOTAL(9,K65:K65)</f>
        <v>0</v>
      </c>
      <c r="J64" s="117"/>
      <c r="K64"/>
      <c r="L64"/>
      <c r="M64"/>
      <c r="N64"/>
      <c r="O64"/>
      <c r="P64"/>
      <c r="Q64"/>
      <c r="R64"/>
      <c r="S64"/>
      <c r="T64"/>
    </row>
    <row r="65" spans="1:20" ht="28.8" outlineLevel="4" x14ac:dyDescent="0.3">
      <c r="A65" s="88" t="s">
        <v>235</v>
      </c>
      <c r="B65" s="10" t="s">
        <v>236</v>
      </c>
      <c r="C65" s="65" t="s">
        <v>237</v>
      </c>
      <c r="D65" s="44" t="s">
        <v>121</v>
      </c>
      <c r="E65" s="90">
        <v>28</v>
      </c>
      <c r="F65" s="90"/>
      <c r="G65" s="102">
        <f>cell_CoefGeneral</f>
        <v>1</v>
      </c>
      <c r="H65" s="90">
        <v>0</v>
      </c>
      <c r="I65" s="90">
        <f>IFERROR(ROUND(E65*H65,2),"-")</f>
        <v>0</v>
      </c>
      <c r="J65" s="114" t="str">
        <f>IFERROR(I65/cell_Total_HT,"-")</f>
        <v>-</v>
      </c>
      <c r="K65">
        <f>I65</f>
        <v>0</v>
      </c>
      <c r="L65"/>
      <c r="M65"/>
      <c r="N65"/>
      <c r="O65"/>
      <c r="P65"/>
      <c r="Q65"/>
      <c r="R65"/>
      <c r="S65"/>
      <c r="T65"/>
    </row>
    <row r="66" spans="1:20" outlineLevel="3" x14ac:dyDescent="0.3">
      <c r="A66" s="88" t="s">
        <v>238</v>
      </c>
      <c r="B66" s="63" t="s">
        <v>239</v>
      </c>
      <c r="C66" s="75" t="s">
        <v>240</v>
      </c>
      <c r="D66" s="125"/>
      <c r="E66" s="93"/>
      <c r="F66" s="93"/>
      <c r="G66" s="105"/>
      <c r="H66" s="93"/>
      <c r="I66" s="113">
        <f>SUBTOTAL(9,K67:K69)</f>
        <v>0</v>
      </c>
      <c r="J66" s="117"/>
      <c r="K66"/>
      <c r="L66"/>
      <c r="M66"/>
      <c r="N66"/>
      <c r="O66"/>
      <c r="P66"/>
      <c r="Q66"/>
      <c r="R66"/>
      <c r="S66"/>
      <c r="T66"/>
    </row>
    <row r="67" spans="1:20" ht="28.8" outlineLevel="4" x14ac:dyDescent="0.3">
      <c r="A67" s="88" t="s">
        <v>241</v>
      </c>
      <c r="B67" s="10" t="s">
        <v>242</v>
      </c>
      <c r="C67" s="65" t="s">
        <v>243</v>
      </c>
      <c r="D67" s="44" t="s">
        <v>167</v>
      </c>
      <c r="E67" s="90">
        <v>0</v>
      </c>
      <c r="F67" s="90"/>
      <c r="G67" s="102">
        <f>cell_CoefGeneral</f>
        <v>1</v>
      </c>
      <c r="H67" s="90">
        <v>0</v>
      </c>
      <c r="I67" s="90">
        <f>IFERROR(ROUND(E67*H67,2),"-")</f>
        <v>0</v>
      </c>
      <c r="J67" s="114" t="str">
        <f>IFERROR(I67/cell_Total_HT,"-")</f>
        <v>-</v>
      </c>
      <c r="K67">
        <f>I67</f>
        <v>0</v>
      </c>
      <c r="L67"/>
      <c r="M67"/>
      <c r="N67"/>
      <c r="O67"/>
      <c r="P67"/>
      <c r="Q67"/>
      <c r="R67"/>
      <c r="S67"/>
      <c r="T67"/>
    </row>
    <row r="68" spans="1:20" outlineLevel="4" x14ac:dyDescent="0.3">
      <c r="A68" s="88" t="s">
        <v>244</v>
      </c>
      <c r="B68" s="10" t="s">
        <v>245</v>
      </c>
      <c r="C68" s="65" t="s">
        <v>246</v>
      </c>
      <c r="D68" s="44" t="s">
        <v>121</v>
      </c>
      <c r="E68" s="90">
        <v>0</v>
      </c>
      <c r="F68" s="90"/>
      <c r="G68" s="102">
        <f>cell_CoefGeneral</f>
        <v>1</v>
      </c>
      <c r="H68" s="90">
        <v>0</v>
      </c>
      <c r="I68" s="90">
        <f>IFERROR(ROUND(E68*H68,2),"-")</f>
        <v>0</v>
      </c>
      <c r="J68" s="114" t="str">
        <f>IFERROR(I68/cell_Total_HT,"-")</f>
        <v>-</v>
      </c>
      <c r="K68">
        <f>I68</f>
        <v>0</v>
      </c>
      <c r="L68"/>
      <c r="M68"/>
      <c r="N68"/>
      <c r="O68"/>
      <c r="P68"/>
      <c r="Q68"/>
      <c r="R68"/>
      <c r="S68"/>
      <c r="T68"/>
    </row>
    <row r="69" spans="1:20" outlineLevel="4" x14ac:dyDescent="0.3">
      <c r="A69" s="88" t="s">
        <v>247</v>
      </c>
      <c r="B69" s="10" t="s">
        <v>248</v>
      </c>
      <c r="C69" s="65" t="s">
        <v>249</v>
      </c>
      <c r="D69" s="44" t="s">
        <v>121</v>
      </c>
      <c r="E69" s="90">
        <v>0</v>
      </c>
      <c r="F69" s="90"/>
      <c r="G69" s="102">
        <f>cell_CoefGeneral</f>
        <v>1</v>
      </c>
      <c r="H69" s="90">
        <v>0</v>
      </c>
      <c r="I69" s="90">
        <f>IFERROR(ROUND(E69*H69,2),"-")</f>
        <v>0</v>
      </c>
      <c r="J69" s="114" t="str">
        <f>IFERROR(I69/cell_Total_HT,"-")</f>
        <v>-</v>
      </c>
      <c r="K69">
        <f>I69</f>
        <v>0</v>
      </c>
      <c r="L69"/>
      <c r="M69"/>
      <c r="N69"/>
      <c r="O69"/>
      <c r="P69"/>
      <c r="Q69"/>
      <c r="R69"/>
      <c r="S69"/>
      <c r="T69"/>
    </row>
    <row r="70" spans="1:20" outlineLevel="3" x14ac:dyDescent="0.3">
      <c r="A70" s="88" t="s">
        <v>250</v>
      </c>
      <c r="B70" s="63" t="s">
        <v>251</v>
      </c>
      <c r="C70" s="75" t="s">
        <v>252</v>
      </c>
      <c r="D70" s="125"/>
      <c r="E70" s="93"/>
      <c r="F70" s="93"/>
      <c r="G70" s="105"/>
      <c r="H70" s="93"/>
      <c r="I70" s="113">
        <f>SUBTOTAL(9,K71:K74)</f>
        <v>0</v>
      </c>
      <c r="J70" s="117"/>
      <c r="K70"/>
      <c r="L70"/>
      <c r="M70"/>
      <c r="N70"/>
      <c r="O70"/>
      <c r="P70"/>
      <c r="Q70"/>
      <c r="R70"/>
      <c r="S70"/>
      <c r="T70"/>
    </row>
    <row r="71" spans="1:20" outlineLevel="4" x14ac:dyDescent="0.3">
      <c r="A71" s="88" t="s">
        <v>253</v>
      </c>
      <c r="B71" s="10" t="s">
        <v>254</v>
      </c>
      <c r="C71" s="65" t="s">
        <v>255</v>
      </c>
      <c r="D71" s="44" t="s">
        <v>121</v>
      </c>
      <c r="E71" s="90">
        <v>0</v>
      </c>
      <c r="F71" s="90"/>
      <c r="G71" s="102">
        <f>cell_CoefGeneral</f>
        <v>1</v>
      </c>
      <c r="H71" s="90">
        <v>0</v>
      </c>
      <c r="I71" s="90">
        <f>IFERROR(ROUND(E71*H71,2),"-")</f>
        <v>0</v>
      </c>
      <c r="J71" s="114" t="str">
        <f>IFERROR(I71/cell_Total_HT,"-")</f>
        <v>-</v>
      </c>
      <c r="K71">
        <f>I71</f>
        <v>0</v>
      </c>
      <c r="L71"/>
      <c r="M71"/>
      <c r="N71"/>
      <c r="O71"/>
      <c r="P71"/>
      <c r="Q71"/>
      <c r="R71"/>
      <c r="S71"/>
      <c r="T71"/>
    </row>
    <row r="72" spans="1:20" outlineLevel="4" x14ac:dyDescent="0.3">
      <c r="A72" s="88" t="s">
        <v>256</v>
      </c>
      <c r="B72" s="10" t="s">
        <v>257</v>
      </c>
      <c r="C72" s="65" t="s">
        <v>258</v>
      </c>
      <c r="D72" s="44" t="s">
        <v>121</v>
      </c>
      <c r="E72" s="90">
        <v>0</v>
      </c>
      <c r="F72" s="90"/>
      <c r="G72" s="102">
        <f>cell_CoefGeneral</f>
        <v>1</v>
      </c>
      <c r="H72" s="90">
        <v>0</v>
      </c>
      <c r="I72" s="90">
        <f>IFERROR(ROUND(E72*H72,2),"-")</f>
        <v>0</v>
      </c>
      <c r="J72" s="114" t="str">
        <f>IFERROR(I72/cell_Total_HT,"-")</f>
        <v>-</v>
      </c>
      <c r="K72">
        <f>I72</f>
        <v>0</v>
      </c>
      <c r="L72"/>
      <c r="M72"/>
      <c r="N72"/>
      <c r="O72"/>
      <c r="P72"/>
      <c r="Q72"/>
      <c r="R72"/>
      <c r="S72"/>
      <c r="T72"/>
    </row>
    <row r="73" spans="1:20" outlineLevel="4" x14ac:dyDescent="0.3">
      <c r="A73" s="88" t="s">
        <v>259</v>
      </c>
      <c r="B73" s="10" t="s">
        <v>260</v>
      </c>
      <c r="C73" s="65" t="s">
        <v>261</v>
      </c>
      <c r="D73" s="44" t="s">
        <v>121</v>
      </c>
      <c r="E73" s="90">
        <v>110</v>
      </c>
      <c r="F73" s="90"/>
      <c r="G73" s="102">
        <f>cell_CoefGeneral</f>
        <v>1</v>
      </c>
      <c r="H73" s="90">
        <v>0</v>
      </c>
      <c r="I73" s="90">
        <f>IFERROR(ROUND(E73*H73,2),"-")</f>
        <v>0</v>
      </c>
      <c r="J73" s="114" t="str">
        <f>IFERROR(I73/cell_Total_HT,"-")</f>
        <v>-</v>
      </c>
      <c r="K73">
        <f>I73</f>
        <v>0</v>
      </c>
      <c r="L73"/>
      <c r="M73"/>
      <c r="N73"/>
      <c r="O73"/>
      <c r="P73"/>
      <c r="Q73"/>
      <c r="R73"/>
      <c r="S73"/>
      <c r="T73"/>
    </row>
    <row r="74" spans="1:20" outlineLevel="4" x14ac:dyDescent="0.3">
      <c r="A74" s="88" t="s">
        <v>262</v>
      </c>
      <c r="B74" s="10" t="s">
        <v>263</v>
      </c>
      <c r="C74" s="65" t="s">
        <v>264</v>
      </c>
      <c r="D74" s="44" t="s">
        <v>121</v>
      </c>
      <c r="E74" s="90">
        <v>110</v>
      </c>
      <c r="F74" s="90"/>
      <c r="G74" s="102">
        <f>cell_CoefGeneral</f>
        <v>1</v>
      </c>
      <c r="H74" s="90">
        <v>0</v>
      </c>
      <c r="I74" s="90">
        <f>IFERROR(ROUND(E74*H74,2),"-")</f>
        <v>0</v>
      </c>
      <c r="J74" s="114" t="str">
        <f>IFERROR(I74/cell_Total_HT,"-")</f>
        <v>-</v>
      </c>
      <c r="K74">
        <f>I74</f>
        <v>0</v>
      </c>
      <c r="L74"/>
      <c r="M74"/>
      <c r="N74"/>
      <c r="O74"/>
      <c r="P74"/>
      <c r="Q74"/>
      <c r="R74"/>
      <c r="S74"/>
      <c r="T74"/>
    </row>
    <row r="75" spans="1:20" outlineLevel="3" x14ac:dyDescent="0.3">
      <c r="A75" s="88" t="s">
        <v>265</v>
      </c>
      <c r="B75" s="63" t="s">
        <v>266</v>
      </c>
      <c r="C75" s="75" t="s">
        <v>267</v>
      </c>
      <c r="D75" s="125"/>
      <c r="E75" s="93"/>
      <c r="F75" s="93"/>
      <c r="G75" s="105"/>
      <c r="H75" s="93"/>
      <c r="I75" s="113">
        <f>SUBTOTAL(9,K76:K78)</f>
        <v>0</v>
      </c>
      <c r="J75" s="117"/>
      <c r="K75"/>
      <c r="L75"/>
      <c r="M75"/>
      <c r="N75"/>
      <c r="O75"/>
      <c r="P75"/>
      <c r="Q75"/>
      <c r="R75"/>
      <c r="S75"/>
      <c r="T75"/>
    </row>
    <row r="76" spans="1:20" outlineLevel="4" x14ac:dyDescent="0.3">
      <c r="A76" s="88" t="s">
        <v>268</v>
      </c>
      <c r="B76" s="10" t="s">
        <v>269</v>
      </c>
      <c r="C76" s="65" t="s">
        <v>270</v>
      </c>
      <c r="D76" s="44" t="s">
        <v>121</v>
      </c>
      <c r="E76" s="90">
        <v>66</v>
      </c>
      <c r="F76" s="90"/>
      <c r="G76" s="102">
        <f>cell_CoefGeneral</f>
        <v>1</v>
      </c>
      <c r="H76" s="90">
        <v>0</v>
      </c>
      <c r="I76" s="90">
        <f>IFERROR(ROUND(E76*H76,2),"-")</f>
        <v>0</v>
      </c>
      <c r="J76" s="114" t="str">
        <f>IFERROR(I76/cell_Total_HT,"-")</f>
        <v>-</v>
      </c>
      <c r="K76">
        <f>I76</f>
        <v>0</v>
      </c>
      <c r="L76"/>
      <c r="M76"/>
      <c r="N76"/>
      <c r="O76"/>
      <c r="P76"/>
      <c r="Q76"/>
      <c r="R76"/>
      <c r="S76"/>
      <c r="T76"/>
    </row>
    <row r="77" spans="1:20" outlineLevel="4" x14ac:dyDescent="0.3">
      <c r="A77" s="88" t="s">
        <v>271</v>
      </c>
      <c r="B77" s="10" t="s">
        <v>272</v>
      </c>
      <c r="C77" s="65" t="s">
        <v>273</v>
      </c>
      <c r="D77" s="44" t="s">
        <v>121</v>
      </c>
      <c r="E77" s="90">
        <v>55</v>
      </c>
      <c r="F77" s="90"/>
      <c r="G77" s="102">
        <f>cell_CoefGeneral</f>
        <v>1</v>
      </c>
      <c r="H77" s="90">
        <v>0</v>
      </c>
      <c r="I77" s="90">
        <f>IFERROR(ROUND(E77*H77,2),"-")</f>
        <v>0</v>
      </c>
      <c r="J77" s="114" t="str">
        <f>IFERROR(I77/cell_Total_HT,"-")</f>
        <v>-</v>
      </c>
      <c r="K77">
        <f>I77</f>
        <v>0</v>
      </c>
      <c r="L77"/>
      <c r="M77"/>
      <c r="N77"/>
      <c r="O77"/>
      <c r="P77"/>
      <c r="Q77"/>
      <c r="R77"/>
      <c r="S77"/>
      <c r="T77"/>
    </row>
    <row r="78" spans="1:20" ht="15" outlineLevel="4" thickBot="1" x14ac:dyDescent="0.35">
      <c r="A78" s="88" t="s">
        <v>274</v>
      </c>
      <c r="B78" s="10" t="s">
        <v>275</v>
      </c>
      <c r="C78" s="65" t="s">
        <v>276</v>
      </c>
      <c r="D78" s="44" t="s">
        <v>121</v>
      </c>
      <c r="E78" s="90">
        <v>22</v>
      </c>
      <c r="F78" s="90"/>
      <c r="G78" s="102">
        <f>cell_CoefGeneral</f>
        <v>1</v>
      </c>
      <c r="H78" s="90">
        <v>0</v>
      </c>
      <c r="I78" s="90">
        <f>IFERROR(ROUND(E78*H78,2),"-")</f>
        <v>0</v>
      </c>
      <c r="J78" s="114" t="str">
        <f>IFERROR(I78/cell_Total_HT,"-")</f>
        <v>-</v>
      </c>
      <c r="K78">
        <f>I78</f>
        <v>0</v>
      </c>
      <c r="L78"/>
      <c r="M78"/>
      <c r="N78"/>
      <c r="O78"/>
      <c r="P78"/>
      <c r="Q78"/>
      <c r="R78"/>
      <c r="S78"/>
      <c r="T78"/>
    </row>
    <row r="79" spans="1:20" ht="15" outlineLevel="2" thickTop="1" x14ac:dyDescent="0.3">
      <c r="A79" s="88" t="s">
        <v>277</v>
      </c>
      <c r="B79" s="68" t="s">
        <v>60</v>
      </c>
      <c r="C79" s="69" t="s">
        <v>278</v>
      </c>
      <c r="D79" s="127"/>
      <c r="E79" s="95"/>
      <c r="F79" s="95"/>
      <c r="G79" s="107"/>
      <c r="H79" s="95"/>
      <c r="I79" s="95">
        <f>SUBTOTAL(9,I26:I78)</f>
        <v>0</v>
      </c>
      <c r="J79" s="119"/>
      <c r="K79"/>
      <c r="L79"/>
      <c r="M79"/>
      <c r="N79"/>
      <c r="O79"/>
      <c r="P79"/>
      <c r="Q79"/>
      <c r="R79"/>
      <c r="S79"/>
      <c r="T79"/>
    </row>
    <row r="80" spans="1:20" outlineLevel="2" x14ac:dyDescent="0.3">
      <c r="A80" s="88" t="s">
        <v>279</v>
      </c>
      <c r="B80" s="72" t="s">
        <v>60</v>
      </c>
      <c r="C80" s="73" t="s">
        <v>102</v>
      </c>
      <c r="D80" s="129"/>
      <c r="E80" s="93"/>
      <c r="F80" s="93"/>
      <c r="G80" s="105"/>
      <c r="H80" s="93"/>
      <c r="I80" s="113">
        <f>SUBTOTAL(9,K81:K92)</f>
        <v>0</v>
      </c>
      <c r="J80" s="117"/>
      <c r="K80"/>
      <c r="L80"/>
      <c r="M80"/>
      <c r="N80"/>
      <c r="O80"/>
      <c r="P80"/>
      <c r="Q80"/>
      <c r="R80"/>
      <c r="S80"/>
      <c r="T80"/>
    </row>
    <row r="81" spans="1:20" outlineLevel="3" x14ac:dyDescent="0.3">
      <c r="A81" s="88" t="s">
        <v>280</v>
      </c>
      <c r="B81" s="10" t="s">
        <v>281</v>
      </c>
      <c r="C81" s="65" t="s">
        <v>282</v>
      </c>
      <c r="D81" s="44" t="s">
        <v>106</v>
      </c>
      <c r="E81" s="90">
        <v>1</v>
      </c>
      <c r="F81" s="90"/>
      <c r="G81" s="102">
        <f>cell_CoefGeneral</f>
        <v>1</v>
      </c>
      <c r="H81" s="100">
        <f>0</f>
        <v>0</v>
      </c>
      <c r="I81" s="90">
        <f>IFERROR(ROUND(E81*H81,2),"-")</f>
        <v>0</v>
      </c>
      <c r="J81" s="114" t="str">
        <f>IFERROR(I81/cell_Total_HT,"-")</f>
        <v>-</v>
      </c>
      <c r="K81">
        <f>I81</f>
        <v>0</v>
      </c>
      <c r="L81"/>
      <c r="M81"/>
      <c r="N81"/>
      <c r="O81"/>
      <c r="P81"/>
      <c r="Q81"/>
      <c r="R81"/>
      <c r="S81"/>
      <c r="T81"/>
    </row>
    <row r="82" spans="1:20" outlineLevel="3" x14ac:dyDescent="0.3">
      <c r="A82" s="88" t="s">
        <v>283</v>
      </c>
      <c r="B82" s="10" t="s">
        <v>284</v>
      </c>
      <c r="C82" s="65" t="s">
        <v>285</v>
      </c>
      <c r="D82" s="44" t="s">
        <v>106</v>
      </c>
      <c r="E82" s="90">
        <v>1</v>
      </c>
      <c r="F82" s="90"/>
      <c r="G82" s="102">
        <f>cell_CoefGeneral</f>
        <v>1</v>
      </c>
      <c r="H82" s="100">
        <f>0</f>
        <v>0</v>
      </c>
      <c r="I82" s="90">
        <f>IFERROR(ROUND(E82*H82,2),"-")</f>
        <v>0</v>
      </c>
      <c r="J82" s="114" t="str">
        <f>IFERROR(I82/cell_Total_HT,"-")</f>
        <v>-</v>
      </c>
      <c r="K82">
        <f>I82</f>
        <v>0</v>
      </c>
      <c r="L82"/>
      <c r="M82"/>
      <c r="N82"/>
      <c r="O82"/>
      <c r="P82"/>
      <c r="Q82"/>
      <c r="R82"/>
      <c r="S82"/>
      <c r="T82"/>
    </row>
    <row r="83" spans="1:20" outlineLevel="3" x14ac:dyDescent="0.3">
      <c r="A83" s="88" t="s">
        <v>286</v>
      </c>
      <c r="B83" s="10" t="s">
        <v>287</v>
      </c>
      <c r="C83" s="65" t="s">
        <v>288</v>
      </c>
      <c r="D83" s="44" t="s">
        <v>106</v>
      </c>
      <c r="E83" s="90">
        <v>1</v>
      </c>
      <c r="F83" s="90"/>
      <c r="G83" s="102">
        <f>cell_CoefGeneral</f>
        <v>1</v>
      </c>
      <c r="H83" s="100">
        <f>0</f>
        <v>0</v>
      </c>
      <c r="I83" s="90">
        <f>IFERROR(ROUND(E83*H83,2),"-")</f>
        <v>0</v>
      </c>
      <c r="J83" s="114" t="str">
        <f>IFERROR(I83/cell_Total_HT,"-")</f>
        <v>-</v>
      </c>
      <c r="K83">
        <f>I83</f>
        <v>0</v>
      </c>
      <c r="L83"/>
      <c r="M83"/>
      <c r="N83"/>
      <c r="O83"/>
      <c r="P83"/>
      <c r="Q83"/>
      <c r="R83"/>
      <c r="S83"/>
      <c r="T83"/>
    </row>
    <row r="84" spans="1:20" outlineLevel="3" x14ac:dyDescent="0.3">
      <c r="A84" s="88" t="s">
        <v>289</v>
      </c>
      <c r="B84" s="10" t="s">
        <v>290</v>
      </c>
      <c r="C84" s="65" t="s">
        <v>291</v>
      </c>
      <c r="D84" s="44" t="s">
        <v>106</v>
      </c>
      <c r="E84" s="90">
        <v>1</v>
      </c>
      <c r="F84" s="90"/>
      <c r="G84" s="102">
        <f>cell_CoefGeneral</f>
        <v>1</v>
      </c>
      <c r="H84" s="100">
        <f>0</f>
        <v>0</v>
      </c>
      <c r="I84" s="90">
        <f>IFERROR(ROUND(E84*H84,2),"-")</f>
        <v>0</v>
      </c>
      <c r="J84" s="114" t="str">
        <f>IFERROR(I84/cell_Total_HT,"-")</f>
        <v>-</v>
      </c>
      <c r="K84">
        <f>I84</f>
        <v>0</v>
      </c>
      <c r="L84"/>
      <c r="M84"/>
      <c r="N84"/>
      <c r="O84"/>
      <c r="P84"/>
      <c r="Q84"/>
      <c r="R84"/>
      <c r="S84"/>
      <c r="T84"/>
    </row>
    <row r="85" spans="1:20" outlineLevel="3" x14ac:dyDescent="0.3">
      <c r="A85" s="88" t="s">
        <v>292</v>
      </c>
      <c r="B85" s="10" t="s">
        <v>293</v>
      </c>
      <c r="C85" s="65" t="s">
        <v>294</v>
      </c>
      <c r="D85" s="44" t="s">
        <v>106</v>
      </c>
      <c r="E85" s="90">
        <v>1</v>
      </c>
      <c r="F85" s="90"/>
      <c r="G85" s="102">
        <f>cell_CoefGeneral</f>
        <v>1</v>
      </c>
      <c r="H85" s="100">
        <f>0</f>
        <v>0</v>
      </c>
      <c r="I85" s="90">
        <f>IFERROR(ROUND(E85*H85,2),"-")</f>
        <v>0</v>
      </c>
      <c r="J85" s="114" t="str">
        <f>IFERROR(I85/cell_Total_HT,"-")</f>
        <v>-</v>
      </c>
      <c r="K85">
        <f>I85</f>
        <v>0</v>
      </c>
      <c r="L85"/>
      <c r="M85"/>
      <c r="N85"/>
      <c r="O85"/>
      <c r="P85"/>
      <c r="Q85"/>
      <c r="R85"/>
      <c r="S85"/>
      <c r="T85"/>
    </row>
    <row r="86" spans="1:20" outlineLevel="3" x14ac:dyDescent="0.3">
      <c r="A86" s="88" t="s">
        <v>295</v>
      </c>
      <c r="B86" s="10" t="s">
        <v>296</v>
      </c>
      <c r="C86" s="65" t="s">
        <v>297</v>
      </c>
      <c r="D86" s="44" t="s">
        <v>106</v>
      </c>
      <c r="E86" s="90">
        <v>1</v>
      </c>
      <c r="F86" s="90"/>
      <c r="G86" s="102">
        <f>cell_CoefGeneral</f>
        <v>1</v>
      </c>
      <c r="H86" s="100">
        <f>0</f>
        <v>0</v>
      </c>
      <c r="I86" s="90">
        <f>IFERROR(ROUND(E86*H86,2),"-")</f>
        <v>0</v>
      </c>
      <c r="J86" s="114" t="str">
        <f>IFERROR(I86/cell_Total_HT,"-")</f>
        <v>-</v>
      </c>
      <c r="K86">
        <f>I86</f>
        <v>0</v>
      </c>
      <c r="L86"/>
      <c r="M86"/>
      <c r="N86"/>
      <c r="O86"/>
      <c r="P86"/>
      <c r="Q86"/>
      <c r="R86"/>
      <c r="S86"/>
      <c r="T86"/>
    </row>
    <row r="87" spans="1:20" outlineLevel="3" x14ac:dyDescent="0.3">
      <c r="A87" s="88" t="s">
        <v>298</v>
      </c>
      <c r="B87" s="10" t="s">
        <v>299</v>
      </c>
      <c r="C87" s="65" t="s">
        <v>300</v>
      </c>
      <c r="D87" s="44" t="s">
        <v>106</v>
      </c>
      <c r="E87" s="90">
        <v>1</v>
      </c>
      <c r="F87" s="90"/>
      <c r="G87" s="102">
        <f>cell_CoefGeneral</f>
        <v>1</v>
      </c>
      <c r="H87" s="100">
        <f>0</f>
        <v>0</v>
      </c>
      <c r="I87" s="90">
        <f>IFERROR(ROUND(E87*H87,2),"-")</f>
        <v>0</v>
      </c>
      <c r="J87" s="114" t="str">
        <f>IFERROR(I87/cell_Total_HT,"-")</f>
        <v>-</v>
      </c>
      <c r="K87">
        <f>I87</f>
        <v>0</v>
      </c>
      <c r="L87"/>
      <c r="M87"/>
      <c r="N87"/>
      <c r="O87"/>
      <c r="P87"/>
      <c r="Q87"/>
      <c r="R87"/>
      <c r="S87"/>
      <c r="T87"/>
    </row>
    <row r="88" spans="1:20" outlineLevel="3" x14ac:dyDescent="0.3">
      <c r="A88" s="88" t="s">
        <v>301</v>
      </c>
      <c r="B88" s="10" t="s">
        <v>302</v>
      </c>
      <c r="C88" s="65" t="s">
        <v>303</v>
      </c>
      <c r="D88" s="44" t="s">
        <v>106</v>
      </c>
      <c r="E88" s="90">
        <v>1</v>
      </c>
      <c r="F88" s="90"/>
      <c r="G88" s="102">
        <f>cell_CoefGeneral</f>
        <v>1</v>
      </c>
      <c r="H88" s="100">
        <f>0</f>
        <v>0</v>
      </c>
      <c r="I88" s="90">
        <f>IFERROR(ROUND(E88*H88,2),"-")</f>
        <v>0</v>
      </c>
      <c r="J88" s="114" t="str">
        <f>IFERROR(I88/cell_Total_HT,"-")</f>
        <v>-</v>
      </c>
      <c r="K88">
        <f>I88</f>
        <v>0</v>
      </c>
      <c r="L88"/>
      <c r="M88"/>
      <c r="N88"/>
      <c r="O88"/>
      <c r="P88"/>
      <c r="Q88"/>
      <c r="R88"/>
      <c r="S88"/>
      <c r="T88"/>
    </row>
    <row r="89" spans="1:20" outlineLevel="3" x14ac:dyDescent="0.3">
      <c r="A89" s="88" t="s">
        <v>304</v>
      </c>
      <c r="B89" s="10" t="s">
        <v>305</v>
      </c>
      <c r="C89" s="65" t="s">
        <v>306</v>
      </c>
      <c r="D89" s="44" t="s">
        <v>106</v>
      </c>
      <c r="E89" s="90">
        <v>1</v>
      </c>
      <c r="F89" s="90"/>
      <c r="G89" s="102">
        <f>cell_CoefGeneral</f>
        <v>1</v>
      </c>
      <c r="H89" s="100">
        <f>0</f>
        <v>0</v>
      </c>
      <c r="I89" s="90">
        <f>IFERROR(ROUND(E89*H89,2),"-")</f>
        <v>0</v>
      </c>
      <c r="J89" s="114" t="str">
        <f>IFERROR(I89/cell_Total_HT,"-")</f>
        <v>-</v>
      </c>
      <c r="K89">
        <f>I89</f>
        <v>0</v>
      </c>
      <c r="L89"/>
      <c r="M89"/>
      <c r="N89"/>
      <c r="O89"/>
      <c r="P89"/>
      <c r="Q89"/>
      <c r="R89"/>
      <c r="S89"/>
      <c r="T89"/>
    </row>
    <row r="90" spans="1:20" outlineLevel="3" x14ac:dyDescent="0.3">
      <c r="A90" s="88" t="s">
        <v>307</v>
      </c>
      <c r="B90" s="10" t="s">
        <v>308</v>
      </c>
      <c r="C90" s="65" t="s">
        <v>309</v>
      </c>
      <c r="D90" s="44" t="s">
        <v>106</v>
      </c>
      <c r="E90" s="90">
        <v>1</v>
      </c>
      <c r="F90" s="90"/>
      <c r="G90" s="102">
        <f>cell_CoefGeneral</f>
        <v>1</v>
      </c>
      <c r="H90" s="100">
        <f>0</f>
        <v>0</v>
      </c>
      <c r="I90" s="90">
        <f>IFERROR(ROUND(E90*H90,2),"-")</f>
        <v>0</v>
      </c>
      <c r="J90" s="114" t="str">
        <f>IFERROR(I90/cell_Total_HT,"-")</f>
        <v>-</v>
      </c>
      <c r="K90">
        <f>I90</f>
        <v>0</v>
      </c>
      <c r="L90"/>
      <c r="M90"/>
      <c r="N90"/>
      <c r="O90"/>
      <c r="P90"/>
      <c r="Q90"/>
      <c r="R90"/>
      <c r="S90"/>
      <c r="T90"/>
    </row>
    <row r="91" spans="1:20" outlineLevel="3" x14ac:dyDescent="0.3">
      <c r="A91" s="88" t="s">
        <v>310</v>
      </c>
      <c r="B91" s="10" t="s">
        <v>311</v>
      </c>
      <c r="C91" s="65" t="s">
        <v>312</v>
      </c>
      <c r="D91" s="44" t="s">
        <v>106</v>
      </c>
      <c r="E91" s="90">
        <v>1</v>
      </c>
      <c r="F91" s="90"/>
      <c r="G91" s="102">
        <f>cell_CoefGeneral</f>
        <v>1</v>
      </c>
      <c r="H91" s="100">
        <f>0</f>
        <v>0</v>
      </c>
      <c r="I91" s="90">
        <f>IFERROR(ROUND(E91*H91,2),"-")</f>
        <v>0</v>
      </c>
      <c r="J91" s="114" t="str">
        <f>IFERROR(I91/cell_Total_HT,"-")</f>
        <v>-</v>
      </c>
      <c r="K91">
        <f>I91</f>
        <v>0</v>
      </c>
      <c r="L91"/>
      <c r="M91"/>
      <c r="N91"/>
      <c r="O91"/>
      <c r="P91"/>
      <c r="Q91"/>
      <c r="R91"/>
      <c r="S91"/>
      <c r="T91"/>
    </row>
    <row r="92" spans="1:20" ht="15" outlineLevel="3" thickBot="1" x14ac:dyDescent="0.35">
      <c r="A92" s="88" t="s">
        <v>313</v>
      </c>
      <c r="B92" s="10" t="s">
        <v>314</v>
      </c>
      <c r="C92" s="65" t="s">
        <v>315</v>
      </c>
      <c r="D92" s="44" t="s">
        <v>106</v>
      </c>
      <c r="E92" s="90">
        <v>1</v>
      </c>
      <c r="F92" s="90"/>
      <c r="G92" s="102">
        <f>cell_CoefGeneral</f>
        <v>1</v>
      </c>
      <c r="H92" s="100">
        <f>0</f>
        <v>0</v>
      </c>
      <c r="I92" s="90">
        <f>IFERROR(ROUND(E92*H92,2),"-")</f>
        <v>0</v>
      </c>
      <c r="J92" s="114" t="str">
        <f>IFERROR(I92/cell_Total_HT,"-")</f>
        <v>-</v>
      </c>
      <c r="K92">
        <f>I92</f>
        <v>0</v>
      </c>
      <c r="L92"/>
      <c r="M92"/>
      <c r="N92"/>
      <c r="O92"/>
      <c r="P92"/>
      <c r="Q92"/>
      <c r="R92"/>
      <c r="S92"/>
      <c r="T92"/>
    </row>
    <row r="93" spans="1:20" ht="15.6" outlineLevel="2" thickTop="1" thickBot="1" x14ac:dyDescent="0.35">
      <c r="A93" s="88" t="s">
        <v>316</v>
      </c>
      <c r="B93" s="68" t="s">
        <v>60</v>
      </c>
      <c r="C93" s="69" t="s">
        <v>111</v>
      </c>
      <c r="D93" s="127"/>
      <c r="E93" s="95"/>
      <c r="F93" s="95"/>
      <c r="G93" s="107"/>
      <c r="H93" s="95"/>
      <c r="I93" s="95">
        <f>SUBTOTAL(9,I81:I92)</f>
        <v>0</v>
      </c>
      <c r="J93" s="119"/>
      <c r="K93"/>
      <c r="L93"/>
      <c r="M93"/>
      <c r="N93"/>
      <c r="O93"/>
      <c r="P93"/>
      <c r="Q93"/>
      <c r="R93"/>
      <c r="S93"/>
      <c r="T93"/>
    </row>
    <row r="94" spans="1:20" ht="15" outlineLevel="1" thickTop="1" x14ac:dyDescent="0.3">
      <c r="A94" s="88" t="s">
        <v>317</v>
      </c>
      <c r="B94" s="76" t="s">
        <v>60</v>
      </c>
      <c r="C94" s="77" t="s">
        <v>318</v>
      </c>
      <c r="D94" s="130"/>
      <c r="E94" s="96"/>
      <c r="F94" s="96"/>
      <c r="G94" s="108"/>
      <c r="H94" s="96"/>
      <c r="I94" s="96">
        <f>ROUND(I23+I79+I93,2)</f>
        <v>0</v>
      </c>
      <c r="J94" s="120"/>
      <c r="K94"/>
      <c r="L94"/>
      <c r="M94"/>
      <c r="N94"/>
      <c r="O94"/>
      <c r="P94"/>
      <c r="Q94"/>
      <c r="R94"/>
      <c r="S94"/>
      <c r="T94"/>
    </row>
    <row r="95" spans="1:20" ht="15" outlineLevel="1" thickBot="1" x14ac:dyDescent="0.35">
      <c r="A95" s="88" t="s">
        <v>319</v>
      </c>
      <c r="B95" s="70" t="s">
        <v>60</v>
      </c>
      <c r="C95" s="71" t="s">
        <v>320</v>
      </c>
      <c r="D95" s="128"/>
      <c r="E95" s="92"/>
      <c r="F95" s="92"/>
      <c r="G95" s="104"/>
      <c r="H95" s="92"/>
      <c r="I95" s="112">
        <f>SUBTOTAL(9,K96:K168)</f>
        <v>0</v>
      </c>
      <c r="J95" s="116"/>
      <c r="K95"/>
      <c r="L95"/>
      <c r="M95"/>
      <c r="N95"/>
      <c r="O95"/>
      <c r="P95"/>
      <c r="Q95"/>
      <c r="R95"/>
      <c r="S95"/>
      <c r="T95"/>
    </row>
    <row r="96" spans="1:20" outlineLevel="2" x14ac:dyDescent="0.3">
      <c r="A96" s="88" t="s">
        <v>321</v>
      </c>
      <c r="B96" s="72" t="s">
        <v>60</v>
      </c>
      <c r="C96" s="73" t="s">
        <v>102</v>
      </c>
      <c r="D96" s="129"/>
      <c r="E96" s="93"/>
      <c r="F96" s="93"/>
      <c r="G96" s="105"/>
      <c r="H96" s="93"/>
      <c r="I96" s="113">
        <f>SUBTOTAL(9,K97:K98)</f>
        <v>0</v>
      </c>
      <c r="J96" s="117"/>
      <c r="K96"/>
      <c r="L96"/>
      <c r="M96"/>
      <c r="N96"/>
      <c r="O96"/>
      <c r="P96"/>
      <c r="Q96"/>
      <c r="R96"/>
      <c r="S96"/>
      <c r="T96"/>
    </row>
    <row r="97" spans="1:20" outlineLevel="3" x14ac:dyDescent="0.3">
      <c r="A97" s="88" t="s">
        <v>322</v>
      </c>
      <c r="B97" s="10" t="s">
        <v>104</v>
      </c>
      <c r="C97" s="65" t="s">
        <v>105</v>
      </c>
      <c r="D97" s="44" t="s">
        <v>106</v>
      </c>
      <c r="E97" s="90">
        <v>1</v>
      </c>
      <c r="F97" s="90"/>
      <c r="G97" s="102">
        <f>cell_CoefGeneral</f>
        <v>1</v>
      </c>
      <c r="H97" s="100">
        <f>0</f>
        <v>0</v>
      </c>
      <c r="I97" s="90">
        <f>IFERROR(ROUND(E97*H97,2),"-")</f>
        <v>0</v>
      </c>
      <c r="J97" s="114" t="str">
        <f>IFERROR(I97/cell_Total_HT,"-")</f>
        <v>-</v>
      </c>
      <c r="K97">
        <f>I97</f>
        <v>0</v>
      </c>
      <c r="L97"/>
      <c r="M97"/>
      <c r="N97"/>
      <c r="O97"/>
      <c r="P97"/>
      <c r="Q97"/>
      <c r="R97"/>
      <c r="S97"/>
      <c r="T97"/>
    </row>
    <row r="98" spans="1:20" ht="15" outlineLevel="3" thickBot="1" x14ac:dyDescent="0.35">
      <c r="A98" s="88" t="s">
        <v>323</v>
      </c>
      <c r="B98" s="10" t="s">
        <v>108</v>
      </c>
      <c r="C98" s="65" t="s">
        <v>109</v>
      </c>
      <c r="D98" s="44" t="s">
        <v>106</v>
      </c>
      <c r="E98" s="90">
        <v>1</v>
      </c>
      <c r="F98" s="90"/>
      <c r="G98" s="102">
        <f>cell_CoefGeneral</f>
        <v>1</v>
      </c>
      <c r="H98" s="100">
        <f>0</f>
        <v>0</v>
      </c>
      <c r="I98" s="90">
        <f>IFERROR(ROUND(E98*H98,2),"-")</f>
        <v>0</v>
      </c>
      <c r="J98" s="114" t="str">
        <f>IFERROR(I98/cell_Total_HT,"-")</f>
        <v>-</v>
      </c>
      <c r="K98">
        <f>I98</f>
        <v>0</v>
      </c>
      <c r="L98"/>
      <c r="M98"/>
      <c r="N98"/>
      <c r="O98"/>
      <c r="P98"/>
      <c r="Q98"/>
      <c r="R98"/>
      <c r="S98"/>
      <c r="T98"/>
    </row>
    <row r="99" spans="1:20" ht="15" outlineLevel="2" thickTop="1" x14ac:dyDescent="0.3">
      <c r="A99" s="88" t="s">
        <v>324</v>
      </c>
      <c r="B99" s="68" t="s">
        <v>60</v>
      </c>
      <c r="C99" s="69" t="s">
        <v>111</v>
      </c>
      <c r="D99" s="127"/>
      <c r="E99" s="95"/>
      <c r="F99" s="95"/>
      <c r="G99" s="107"/>
      <c r="H99" s="95"/>
      <c r="I99" s="95">
        <f>SUBTOTAL(9,I97:I98)</f>
        <v>0</v>
      </c>
      <c r="J99" s="119"/>
      <c r="K99"/>
      <c r="L99"/>
      <c r="M99"/>
      <c r="N99"/>
      <c r="O99"/>
      <c r="P99"/>
      <c r="Q99"/>
      <c r="R99"/>
      <c r="S99"/>
      <c r="T99"/>
    </row>
    <row r="100" spans="1:20" outlineLevel="2" x14ac:dyDescent="0.3">
      <c r="A100" s="88" t="s">
        <v>325</v>
      </c>
      <c r="B100" s="72" t="s">
        <v>113</v>
      </c>
      <c r="C100" s="73" t="s">
        <v>114</v>
      </c>
      <c r="D100" s="129"/>
      <c r="E100" s="93"/>
      <c r="F100" s="93"/>
      <c r="G100" s="105"/>
      <c r="H100" s="93"/>
      <c r="I100" s="113">
        <f>SUBTOTAL(9,K101:K154)</f>
        <v>0</v>
      </c>
      <c r="J100" s="117"/>
      <c r="K100"/>
      <c r="L100"/>
      <c r="M100"/>
      <c r="N100"/>
      <c r="O100"/>
      <c r="P100"/>
      <c r="Q100"/>
      <c r="R100"/>
      <c r="S100"/>
      <c r="T100"/>
    </row>
    <row r="101" spans="1:20" outlineLevel="3" x14ac:dyDescent="0.3">
      <c r="A101" s="88" t="s">
        <v>326</v>
      </c>
      <c r="B101" s="72" t="s">
        <v>116</v>
      </c>
      <c r="C101" s="74" t="s">
        <v>117</v>
      </c>
      <c r="D101" s="129"/>
      <c r="E101" s="93"/>
      <c r="F101" s="93"/>
      <c r="G101" s="105"/>
      <c r="H101" s="93"/>
      <c r="I101" s="113">
        <f>SUBTOTAL(9,K102:K105)</f>
        <v>0</v>
      </c>
      <c r="J101" s="117"/>
      <c r="K101"/>
      <c r="L101"/>
      <c r="M101"/>
      <c r="N101"/>
      <c r="O101"/>
      <c r="P101"/>
      <c r="Q101"/>
      <c r="R101"/>
      <c r="S101"/>
      <c r="T101"/>
    </row>
    <row r="102" spans="1:20" outlineLevel="4" x14ac:dyDescent="0.3">
      <c r="A102" s="88" t="s">
        <v>327</v>
      </c>
      <c r="B102" s="10" t="s">
        <v>119</v>
      </c>
      <c r="C102" s="65" t="s">
        <v>120</v>
      </c>
      <c r="D102" s="44" t="s">
        <v>121</v>
      </c>
      <c r="E102" s="90">
        <v>1070</v>
      </c>
      <c r="F102" s="90"/>
      <c r="G102" s="102">
        <f>cell_CoefGeneral</f>
        <v>1</v>
      </c>
      <c r="H102" s="101">
        <f>H26</f>
        <v>0</v>
      </c>
      <c r="I102" s="90">
        <f>IFERROR(ROUND(E102*H102,2),"-")</f>
        <v>0</v>
      </c>
      <c r="J102" s="114" t="str">
        <f>IFERROR(I102/cell_Total_HT,"-")</f>
        <v>-</v>
      </c>
      <c r="K102">
        <f>I102</f>
        <v>0</v>
      </c>
      <c r="L102"/>
      <c r="M102"/>
      <c r="N102"/>
      <c r="O102"/>
      <c r="P102"/>
      <c r="Q102"/>
      <c r="R102"/>
      <c r="S102"/>
      <c r="T102"/>
    </row>
    <row r="103" spans="1:20" ht="28.8" outlineLevel="4" x14ac:dyDescent="0.3">
      <c r="A103" s="88" t="s">
        <v>328</v>
      </c>
      <c r="B103" s="10" t="s">
        <v>123</v>
      </c>
      <c r="C103" s="65" t="s">
        <v>124</v>
      </c>
      <c r="D103" s="44" t="s">
        <v>125</v>
      </c>
      <c r="E103" s="90">
        <v>308</v>
      </c>
      <c r="F103" s="90"/>
      <c r="G103" s="102">
        <f>cell_CoefGeneral</f>
        <v>1</v>
      </c>
      <c r="H103" s="101">
        <f>H27</f>
        <v>0</v>
      </c>
      <c r="I103" s="90">
        <f>IFERROR(ROUND(E103*H103,2),"-")</f>
        <v>0</v>
      </c>
      <c r="J103" s="114" t="str">
        <f>IFERROR(I103/cell_Total_HT,"-")</f>
        <v>-</v>
      </c>
      <c r="K103">
        <f>I103</f>
        <v>0</v>
      </c>
      <c r="L103"/>
      <c r="M103"/>
      <c r="N103"/>
      <c r="O103"/>
      <c r="P103"/>
      <c r="Q103"/>
      <c r="R103"/>
      <c r="S103"/>
      <c r="T103"/>
    </row>
    <row r="104" spans="1:20" outlineLevel="4" x14ac:dyDescent="0.3">
      <c r="A104" s="88" t="s">
        <v>329</v>
      </c>
      <c r="B104" s="10" t="s">
        <v>127</v>
      </c>
      <c r="C104" s="65" t="s">
        <v>128</v>
      </c>
      <c r="D104" s="44" t="s">
        <v>121</v>
      </c>
      <c r="E104" s="90">
        <v>1070</v>
      </c>
      <c r="F104" s="90"/>
      <c r="G104" s="102">
        <f>cell_CoefGeneral</f>
        <v>1</v>
      </c>
      <c r="H104" s="101">
        <f>H28</f>
        <v>0</v>
      </c>
      <c r="I104" s="90">
        <f>IFERROR(ROUND(E104*H104,2),"-")</f>
        <v>0</v>
      </c>
      <c r="J104" s="114" t="str">
        <f>IFERROR(I104/cell_Total_HT,"-")</f>
        <v>-</v>
      </c>
      <c r="K104">
        <f>I104</f>
        <v>0</v>
      </c>
      <c r="L104"/>
      <c r="M104"/>
      <c r="N104"/>
      <c r="O104"/>
      <c r="P104"/>
      <c r="Q104"/>
      <c r="R104"/>
      <c r="S104"/>
      <c r="T104"/>
    </row>
    <row r="105" spans="1:20" outlineLevel="4" x14ac:dyDescent="0.3">
      <c r="A105" s="88" t="s">
        <v>330</v>
      </c>
      <c r="B105" s="10" t="s">
        <v>130</v>
      </c>
      <c r="C105" s="65" t="s">
        <v>131</v>
      </c>
      <c r="D105" s="44" t="s">
        <v>125</v>
      </c>
      <c r="E105" s="90">
        <v>154</v>
      </c>
      <c r="F105" s="90"/>
      <c r="G105" s="102">
        <f>cell_CoefGeneral</f>
        <v>1</v>
      </c>
      <c r="H105" s="101">
        <f>H29</f>
        <v>0</v>
      </c>
      <c r="I105" s="90">
        <f>IFERROR(ROUND(E105*H105,2),"-")</f>
        <v>0</v>
      </c>
      <c r="J105" s="114" t="str">
        <f>IFERROR(I105/cell_Total_HT,"-")</f>
        <v>-</v>
      </c>
      <c r="K105">
        <f>I105</f>
        <v>0</v>
      </c>
      <c r="L105"/>
      <c r="M105"/>
      <c r="N105"/>
      <c r="O105"/>
      <c r="P105"/>
      <c r="Q105"/>
      <c r="R105"/>
      <c r="S105"/>
      <c r="T105"/>
    </row>
    <row r="106" spans="1:20" outlineLevel="3" x14ac:dyDescent="0.3">
      <c r="A106" s="88" t="s">
        <v>331</v>
      </c>
      <c r="B106" s="63" t="s">
        <v>133</v>
      </c>
      <c r="C106" s="75" t="s">
        <v>134</v>
      </c>
      <c r="D106" s="125"/>
      <c r="E106" s="93"/>
      <c r="F106" s="93"/>
      <c r="G106" s="105"/>
      <c r="H106" s="93"/>
      <c r="I106" s="113">
        <f>SUBTOTAL(9,K107:K108)</f>
        <v>0</v>
      </c>
      <c r="J106" s="117"/>
      <c r="K106"/>
      <c r="L106"/>
      <c r="M106"/>
      <c r="N106"/>
      <c r="O106"/>
      <c r="P106"/>
      <c r="Q106"/>
      <c r="R106"/>
      <c r="S106"/>
      <c r="T106"/>
    </row>
    <row r="107" spans="1:20" outlineLevel="4" x14ac:dyDescent="0.3">
      <c r="A107" s="88" t="s">
        <v>332</v>
      </c>
      <c r="B107" s="10" t="s">
        <v>136</v>
      </c>
      <c r="C107" s="65" t="s">
        <v>120</v>
      </c>
      <c r="D107" s="44" t="s">
        <v>121</v>
      </c>
      <c r="E107" s="90">
        <v>305</v>
      </c>
      <c r="F107" s="90"/>
      <c r="G107" s="102">
        <f>cell_CoefGeneral</f>
        <v>1</v>
      </c>
      <c r="H107" s="101">
        <f>H31</f>
        <v>0</v>
      </c>
      <c r="I107" s="90">
        <f>IFERROR(ROUND(E107*H107,2),"-")</f>
        <v>0</v>
      </c>
      <c r="J107" s="114" t="str">
        <f>IFERROR(I107/cell_Total_HT,"-")</f>
        <v>-</v>
      </c>
      <c r="K107">
        <f>I107</f>
        <v>0</v>
      </c>
      <c r="L107"/>
      <c r="M107"/>
      <c r="N107"/>
      <c r="O107"/>
      <c r="P107"/>
      <c r="Q107"/>
      <c r="R107"/>
      <c r="S107"/>
      <c r="T107"/>
    </row>
    <row r="108" spans="1:20" outlineLevel="4" x14ac:dyDescent="0.3">
      <c r="A108" s="88" t="s">
        <v>333</v>
      </c>
      <c r="B108" s="10" t="s">
        <v>138</v>
      </c>
      <c r="C108" s="65" t="s">
        <v>139</v>
      </c>
      <c r="D108" s="44" t="s">
        <v>125</v>
      </c>
      <c r="E108" s="90">
        <v>44</v>
      </c>
      <c r="F108" s="90"/>
      <c r="G108" s="102">
        <f>cell_CoefGeneral</f>
        <v>1</v>
      </c>
      <c r="H108" s="101">
        <f>H32</f>
        <v>0</v>
      </c>
      <c r="I108" s="90">
        <f>IFERROR(ROUND(E108*H108,2),"-")</f>
        <v>0</v>
      </c>
      <c r="J108" s="114" t="str">
        <f>IFERROR(I108/cell_Total_HT,"-")</f>
        <v>-</v>
      </c>
      <c r="K108">
        <f>I108</f>
        <v>0</v>
      </c>
      <c r="L108"/>
      <c r="M108"/>
      <c r="N108"/>
      <c r="O108"/>
      <c r="P108"/>
      <c r="Q108"/>
      <c r="R108"/>
      <c r="S108"/>
      <c r="T108"/>
    </row>
    <row r="109" spans="1:20" outlineLevel="3" x14ac:dyDescent="0.3">
      <c r="A109" s="88" t="s">
        <v>334</v>
      </c>
      <c r="B109" s="63" t="s">
        <v>141</v>
      </c>
      <c r="C109" s="75" t="s">
        <v>142</v>
      </c>
      <c r="D109" s="125"/>
      <c r="E109" s="93"/>
      <c r="F109" s="93"/>
      <c r="G109" s="105"/>
      <c r="H109" s="93"/>
      <c r="I109" s="113">
        <f>SUBTOTAL(9,K110:K111)</f>
        <v>0</v>
      </c>
      <c r="J109" s="117"/>
      <c r="K109"/>
      <c r="L109"/>
      <c r="M109"/>
      <c r="N109"/>
      <c r="O109"/>
      <c r="P109"/>
      <c r="Q109"/>
      <c r="R109"/>
      <c r="S109"/>
      <c r="T109"/>
    </row>
    <row r="110" spans="1:20" outlineLevel="4" x14ac:dyDescent="0.3">
      <c r="A110" s="88" t="s">
        <v>335</v>
      </c>
      <c r="B110" s="10" t="s">
        <v>144</v>
      </c>
      <c r="C110" s="65" t="s">
        <v>145</v>
      </c>
      <c r="D110" s="44" t="s">
        <v>121</v>
      </c>
      <c r="E110" s="90">
        <v>66</v>
      </c>
      <c r="F110" s="90"/>
      <c r="G110" s="102">
        <f>cell_CoefGeneral</f>
        <v>1</v>
      </c>
      <c r="H110" s="101">
        <f>H34</f>
        <v>0</v>
      </c>
      <c r="I110" s="90">
        <f>IFERROR(ROUND(E110*H110,2),"-")</f>
        <v>0</v>
      </c>
      <c r="J110" s="114" t="str">
        <f>IFERROR(I110/cell_Total_HT,"-")</f>
        <v>-</v>
      </c>
      <c r="K110">
        <f>I110</f>
        <v>0</v>
      </c>
      <c r="L110"/>
      <c r="M110"/>
      <c r="N110"/>
      <c r="O110"/>
      <c r="P110"/>
      <c r="Q110"/>
      <c r="R110"/>
      <c r="S110"/>
      <c r="T110"/>
    </row>
    <row r="111" spans="1:20" outlineLevel="4" x14ac:dyDescent="0.3">
      <c r="A111" s="88" t="s">
        <v>336</v>
      </c>
      <c r="B111" s="10" t="s">
        <v>147</v>
      </c>
      <c r="C111" s="65" t="s">
        <v>148</v>
      </c>
      <c r="D111" s="44" t="s">
        <v>149</v>
      </c>
      <c r="E111" s="90">
        <v>0</v>
      </c>
      <c r="F111" s="90"/>
      <c r="G111" s="102">
        <f>cell_CoefGeneral</f>
        <v>1</v>
      </c>
      <c r="H111" s="101">
        <f>H35</f>
        <v>0</v>
      </c>
      <c r="I111" s="90">
        <f>IFERROR(ROUND(E111*H111,2),"-")</f>
        <v>0</v>
      </c>
      <c r="J111" s="114" t="str">
        <f>IFERROR(I111/cell_Total_HT,"-")</f>
        <v>-</v>
      </c>
      <c r="K111">
        <f>I111</f>
        <v>0</v>
      </c>
      <c r="L111"/>
      <c r="M111"/>
      <c r="N111"/>
      <c r="O111"/>
      <c r="P111"/>
      <c r="Q111"/>
      <c r="R111"/>
      <c r="S111"/>
      <c r="T111"/>
    </row>
    <row r="112" spans="1:20" outlineLevel="3" x14ac:dyDescent="0.3">
      <c r="A112" s="88" t="s">
        <v>337</v>
      </c>
      <c r="B112" s="63" t="s">
        <v>151</v>
      </c>
      <c r="C112" s="75" t="s">
        <v>152</v>
      </c>
      <c r="D112" s="125"/>
      <c r="E112" s="93"/>
      <c r="F112" s="93"/>
      <c r="G112" s="105"/>
      <c r="H112" s="93"/>
      <c r="I112" s="113">
        <f>SUBTOTAL(9,K113:K113)</f>
        <v>0</v>
      </c>
      <c r="J112" s="117"/>
      <c r="K112"/>
      <c r="L112"/>
      <c r="M112"/>
      <c r="N112"/>
      <c r="O112"/>
      <c r="P112"/>
      <c r="Q112"/>
      <c r="R112"/>
      <c r="S112"/>
      <c r="T112"/>
    </row>
    <row r="113" spans="1:20" outlineLevel="4" x14ac:dyDescent="0.3">
      <c r="A113" s="88" t="s">
        <v>338</v>
      </c>
      <c r="B113" s="10" t="s">
        <v>154</v>
      </c>
      <c r="C113" s="65" t="s">
        <v>145</v>
      </c>
      <c r="D113" s="44" t="s">
        <v>121</v>
      </c>
      <c r="E113" s="90">
        <v>1375</v>
      </c>
      <c r="F113" s="90"/>
      <c r="G113" s="102">
        <f>cell_CoefGeneral</f>
        <v>1</v>
      </c>
      <c r="H113" s="101">
        <f>H37</f>
        <v>0</v>
      </c>
      <c r="I113" s="90">
        <f>IFERROR(ROUND(E113*H113,2),"-")</f>
        <v>0</v>
      </c>
      <c r="J113" s="114" t="str">
        <f>IFERROR(I113/cell_Total_HT,"-")</f>
        <v>-</v>
      </c>
      <c r="K113">
        <f>I113</f>
        <v>0</v>
      </c>
      <c r="L113"/>
      <c r="M113"/>
      <c r="N113"/>
      <c r="O113"/>
      <c r="P113"/>
      <c r="Q113"/>
      <c r="R113"/>
      <c r="S113"/>
      <c r="T113"/>
    </row>
    <row r="114" spans="1:20" outlineLevel="3" x14ac:dyDescent="0.3">
      <c r="A114" s="88" t="s">
        <v>339</v>
      </c>
      <c r="B114" s="63" t="s">
        <v>156</v>
      </c>
      <c r="C114" s="75" t="s">
        <v>157</v>
      </c>
      <c r="D114" s="125"/>
      <c r="E114" s="93"/>
      <c r="F114" s="93"/>
      <c r="G114" s="105"/>
      <c r="H114" s="93"/>
      <c r="I114" s="113">
        <f>SUBTOTAL(9,K115:K115)</f>
        <v>0</v>
      </c>
      <c r="J114" s="117"/>
      <c r="K114"/>
      <c r="L114"/>
      <c r="M114"/>
      <c r="N114"/>
      <c r="O114"/>
      <c r="P114"/>
      <c r="Q114"/>
      <c r="R114"/>
      <c r="S114"/>
      <c r="T114"/>
    </row>
    <row r="115" spans="1:20" outlineLevel="4" x14ac:dyDescent="0.3">
      <c r="A115" s="88" t="s">
        <v>340</v>
      </c>
      <c r="B115" s="10" t="s">
        <v>159</v>
      </c>
      <c r="C115" s="65" t="s">
        <v>160</v>
      </c>
      <c r="D115" s="44" t="s">
        <v>121</v>
      </c>
      <c r="E115" s="90">
        <v>541</v>
      </c>
      <c r="F115" s="90"/>
      <c r="G115" s="102">
        <f>cell_CoefGeneral</f>
        <v>1</v>
      </c>
      <c r="H115" s="101">
        <f>H39</f>
        <v>0</v>
      </c>
      <c r="I115" s="90">
        <f>IFERROR(ROUND(E115*H115,2),"-")</f>
        <v>0</v>
      </c>
      <c r="J115" s="114" t="str">
        <f>IFERROR(I115/cell_Total_HT,"-")</f>
        <v>-</v>
      </c>
      <c r="K115">
        <f>I115</f>
        <v>0</v>
      </c>
      <c r="L115"/>
      <c r="M115"/>
      <c r="N115"/>
      <c r="O115"/>
      <c r="P115"/>
      <c r="Q115"/>
      <c r="R115"/>
      <c r="S115"/>
      <c r="T115"/>
    </row>
    <row r="116" spans="1:20" outlineLevel="3" x14ac:dyDescent="0.3">
      <c r="A116" s="88" t="s">
        <v>341</v>
      </c>
      <c r="B116" s="63" t="s">
        <v>162</v>
      </c>
      <c r="C116" s="75" t="s">
        <v>163</v>
      </c>
      <c r="D116" s="125"/>
      <c r="E116" s="93"/>
      <c r="F116" s="93"/>
      <c r="G116" s="105"/>
      <c r="H116" s="93"/>
      <c r="I116" s="113">
        <f>SUBTOTAL(9,K117:K118)</f>
        <v>0</v>
      </c>
      <c r="J116" s="117"/>
      <c r="K116"/>
      <c r="L116"/>
      <c r="M116"/>
      <c r="N116"/>
      <c r="O116"/>
      <c r="P116"/>
      <c r="Q116"/>
      <c r="R116"/>
      <c r="S116"/>
      <c r="T116"/>
    </row>
    <row r="117" spans="1:20" ht="28.8" outlineLevel="4" x14ac:dyDescent="0.3">
      <c r="A117" s="88" t="s">
        <v>342</v>
      </c>
      <c r="B117" s="10" t="s">
        <v>165</v>
      </c>
      <c r="C117" s="65" t="s">
        <v>166</v>
      </c>
      <c r="D117" s="44" t="s">
        <v>167</v>
      </c>
      <c r="E117" s="90">
        <v>0</v>
      </c>
      <c r="F117" s="90"/>
      <c r="G117" s="102">
        <f>cell_CoefGeneral</f>
        <v>1</v>
      </c>
      <c r="H117" s="101">
        <f>H41</f>
        <v>0</v>
      </c>
      <c r="I117" s="90">
        <f>IFERROR(ROUND(E117*H117,2),"-")</f>
        <v>0</v>
      </c>
      <c r="J117" s="114" t="str">
        <f>IFERROR(I117/cell_Total_HT,"-")</f>
        <v>-</v>
      </c>
      <c r="K117">
        <f>I117</f>
        <v>0</v>
      </c>
      <c r="L117"/>
      <c r="M117"/>
      <c r="N117"/>
      <c r="O117"/>
      <c r="P117"/>
      <c r="Q117"/>
      <c r="R117"/>
      <c r="S117"/>
      <c r="T117"/>
    </row>
    <row r="118" spans="1:20" outlineLevel="4" x14ac:dyDescent="0.3">
      <c r="A118" s="88" t="s">
        <v>343</v>
      </c>
      <c r="B118" s="10" t="s">
        <v>169</v>
      </c>
      <c r="C118" s="65" t="s">
        <v>170</v>
      </c>
      <c r="D118" s="44" t="s">
        <v>121</v>
      </c>
      <c r="E118" s="90">
        <v>0</v>
      </c>
      <c r="F118" s="90"/>
      <c r="G118" s="102">
        <f>cell_CoefGeneral</f>
        <v>1</v>
      </c>
      <c r="H118" s="101">
        <f>H42</f>
        <v>0</v>
      </c>
      <c r="I118" s="90">
        <f>IFERROR(ROUND(E118*H118,2),"-")</f>
        <v>0</v>
      </c>
      <c r="J118" s="114" t="str">
        <f>IFERROR(I118/cell_Total_HT,"-")</f>
        <v>-</v>
      </c>
      <c r="K118">
        <f>I118</f>
        <v>0</v>
      </c>
      <c r="L118"/>
      <c r="M118"/>
      <c r="N118"/>
      <c r="O118"/>
      <c r="P118"/>
      <c r="Q118"/>
      <c r="R118"/>
      <c r="S118"/>
      <c r="T118"/>
    </row>
    <row r="119" spans="1:20" outlineLevel="3" x14ac:dyDescent="0.3">
      <c r="A119" s="88" t="s">
        <v>344</v>
      </c>
      <c r="B119" s="63" t="s">
        <v>172</v>
      </c>
      <c r="C119" s="75" t="s">
        <v>173</v>
      </c>
      <c r="D119" s="125"/>
      <c r="E119" s="93"/>
      <c r="F119" s="93"/>
      <c r="G119" s="105"/>
      <c r="H119" s="93"/>
      <c r="I119" s="113">
        <f>SUBTOTAL(9,K120:K121)</f>
        <v>0</v>
      </c>
      <c r="J119" s="117"/>
      <c r="K119"/>
      <c r="L119"/>
      <c r="M119"/>
      <c r="N119"/>
      <c r="O119"/>
      <c r="P119"/>
      <c r="Q119"/>
      <c r="R119"/>
      <c r="S119"/>
      <c r="T119"/>
    </row>
    <row r="120" spans="1:20" ht="28.8" outlineLevel="4" x14ac:dyDescent="0.3">
      <c r="A120" s="88" t="s">
        <v>345</v>
      </c>
      <c r="B120" s="10" t="s">
        <v>175</v>
      </c>
      <c r="C120" s="65" t="s">
        <v>166</v>
      </c>
      <c r="D120" s="44" t="s">
        <v>167</v>
      </c>
      <c r="E120" s="90">
        <v>0</v>
      </c>
      <c r="F120" s="90"/>
      <c r="G120" s="102">
        <f>cell_CoefGeneral</f>
        <v>1</v>
      </c>
      <c r="H120" s="101">
        <f>H44</f>
        <v>0</v>
      </c>
      <c r="I120" s="90">
        <f>IFERROR(ROUND(E120*H120,2),"-")</f>
        <v>0</v>
      </c>
      <c r="J120" s="114" t="str">
        <f>IFERROR(I120/cell_Total_HT,"-")</f>
        <v>-</v>
      </c>
      <c r="K120">
        <f>I120</f>
        <v>0</v>
      </c>
      <c r="L120"/>
      <c r="M120"/>
      <c r="N120"/>
      <c r="O120"/>
      <c r="P120"/>
      <c r="Q120"/>
      <c r="R120"/>
      <c r="S120"/>
      <c r="T120"/>
    </row>
    <row r="121" spans="1:20" outlineLevel="4" x14ac:dyDescent="0.3">
      <c r="A121" s="88" t="s">
        <v>346</v>
      </c>
      <c r="B121" s="10" t="s">
        <v>177</v>
      </c>
      <c r="C121" s="65" t="s">
        <v>178</v>
      </c>
      <c r="D121" s="44" t="s">
        <v>121</v>
      </c>
      <c r="E121" s="90">
        <v>0</v>
      </c>
      <c r="F121" s="90"/>
      <c r="G121" s="102">
        <f>cell_CoefGeneral</f>
        <v>1</v>
      </c>
      <c r="H121" s="101">
        <f>H45</f>
        <v>0</v>
      </c>
      <c r="I121" s="90">
        <f>IFERROR(ROUND(E121*H121,2),"-")</f>
        <v>0</v>
      </c>
      <c r="J121" s="114" t="str">
        <f>IFERROR(I121/cell_Total_HT,"-")</f>
        <v>-</v>
      </c>
      <c r="K121">
        <f>I121</f>
        <v>0</v>
      </c>
      <c r="L121"/>
      <c r="M121"/>
      <c r="N121"/>
      <c r="O121"/>
      <c r="P121"/>
      <c r="Q121"/>
      <c r="R121"/>
      <c r="S121"/>
      <c r="T121"/>
    </row>
    <row r="122" spans="1:20" outlineLevel="3" x14ac:dyDescent="0.3">
      <c r="A122" s="88" t="s">
        <v>347</v>
      </c>
      <c r="B122" s="63" t="s">
        <v>180</v>
      </c>
      <c r="C122" s="75" t="s">
        <v>181</v>
      </c>
      <c r="D122" s="125"/>
      <c r="E122" s="93"/>
      <c r="F122" s="93"/>
      <c r="G122" s="105"/>
      <c r="H122" s="93"/>
      <c r="I122" s="113">
        <f>SUBTOTAL(9,K123:K124)</f>
        <v>0</v>
      </c>
      <c r="J122" s="117"/>
      <c r="K122"/>
      <c r="L122"/>
      <c r="M122"/>
      <c r="N122"/>
      <c r="O122"/>
      <c r="P122"/>
      <c r="Q122"/>
      <c r="R122"/>
      <c r="S122"/>
      <c r="T122"/>
    </row>
    <row r="123" spans="1:20" ht="28.8" outlineLevel="4" x14ac:dyDescent="0.3">
      <c r="A123" s="88" t="s">
        <v>348</v>
      </c>
      <c r="B123" s="10" t="s">
        <v>183</v>
      </c>
      <c r="C123" s="65" t="s">
        <v>184</v>
      </c>
      <c r="D123" s="44" t="s">
        <v>167</v>
      </c>
      <c r="E123" s="90">
        <v>25</v>
      </c>
      <c r="F123" s="90"/>
      <c r="G123" s="102">
        <f>cell_CoefGeneral</f>
        <v>1</v>
      </c>
      <c r="H123" s="101">
        <f>H47</f>
        <v>0</v>
      </c>
      <c r="I123" s="90">
        <f>IFERROR(ROUND(E123*H123,2),"-")</f>
        <v>0</v>
      </c>
      <c r="J123" s="114" t="str">
        <f>IFERROR(I123/cell_Total_HT,"-")</f>
        <v>-</v>
      </c>
      <c r="K123">
        <f>I123</f>
        <v>0</v>
      </c>
      <c r="L123"/>
      <c r="M123"/>
      <c r="N123"/>
      <c r="O123"/>
      <c r="P123"/>
      <c r="Q123"/>
      <c r="R123"/>
      <c r="S123"/>
      <c r="T123"/>
    </row>
    <row r="124" spans="1:20" outlineLevel="4" x14ac:dyDescent="0.3">
      <c r="A124" s="88" t="s">
        <v>349</v>
      </c>
      <c r="B124" s="10" t="s">
        <v>186</v>
      </c>
      <c r="C124" s="65" t="s">
        <v>187</v>
      </c>
      <c r="D124" s="44" t="s">
        <v>121</v>
      </c>
      <c r="E124" s="90">
        <v>246</v>
      </c>
      <c r="F124" s="90"/>
      <c r="G124" s="102">
        <f>cell_CoefGeneral</f>
        <v>1</v>
      </c>
      <c r="H124" s="101">
        <f>H48</f>
        <v>0</v>
      </c>
      <c r="I124" s="90">
        <f>IFERROR(ROUND(E124*H124,2),"-")</f>
        <v>0</v>
      </c>
      <c r="J124" s="114" t="str">
        <f>IFERROR(I124/cell_Total_HT,"-")</f>
        <v>-</v>
      </c>
      <c r="K124">
        <f>I124</f>
        <v>0</v>
      </c>
      <c r="L124"/>
      <c r="M124"/>
      <c r="N124"/>
      <c r="O124"/>
      <c r="P124"/>
      <c r="Q124"/>
      <c r="R124"/>
      <c r="S124"/>
      <c r="T124"/>
    </row>
    <row r="125" spans="1:20" outlineLevel="3" x14ac:dyDescent="0.3">
      <c r="A125" s="88" t="s">
        <v>350</v>
      </c>
      <c r="B125" s="63" t="s">
        <v>189</v>
      </c>
      <c r="C125" s="75" t="s">
        <v>190</v>
      </c>
      <c r="D125" s="125"/>
      <c r="E125" s="93"/>
      <c r="F125" s="93"/>
      <c r="G125" s="105"/>
      <c r="H125" s="93"/>
      <c r="I125" s="113">
        <f>SUBTOTAL(9,K126:K127)</f>
        <v>0</v>
      </c>
      <c r="J125" s="117"/>
      <c r="K125"/>
      <c r="L125"/>
      <c r="M125"/>
      <c r="N125"/>
      <c r="O125"/>
      <c r="P125"/>
      <c r="Q125"/>
      <c r="R125"/>
      <c r="S125"/>
      <c r="T125"/>
    </row>
    <row r="126" spans="1:20" outlineLevel="4" x14ac:dyDescent="0.3">
      <c r="A126" s="88" t="s">
        <v>351</v>
      </c>
      <c r="B126" s="10" t="s">
        <v>192</v>
      </c>
      <c r="C126" s="65" t="s">
        <v>120</v>
      </c>
      <c r="D126" s="44" t="s">
        <v>121</v>
      </c>
      <c r="E126" s="90">
        <v>1161</v>
      </c>
      <c r="F126" s="90"/>
      <c r="G126" s="102">
        <f>cell_CoefGeneral</f>
        <v>1</v>
      </c>
      <c r="H126" s="101">
        <f>H50</f>
        <v>0</v>
      </c>
      <c r="I126" s="90">
        <f>IFERROR(ROUND(E126*H126,2),"-")</f>
        <v>0</v>
      </c>
      <c r="J126" s="114" t="str">
        <f>IFERROR(I126/cell_Total_HT,"-")</f>
        <v>-</v>
      </c>
      <c r="K126">
        <f>I126</f>
        <v>0</v>
      </c>
      <c r="L126"/>
      <c r="M126"/>
      <c r="N126"/>
      <c r="O126"/>
      <c r="P126"/>
      <c r="Q126"/>
      <c r="R126"/>
      <c r="S126"/>
      <c r="T126"/>
    </row>
    <row r="127" spans="1:20" outlineLevel="4" x14ac:dyDescent="0.3">
      <c r="A127" s="88" t="s">
        <v>352</v>
      </c>
      <c r="B127" s="10" t="s">
        <v>194</v>
      </c>
      <c r="C127" s="65" t="s">
        <v>195</v>
      </c>
      <c r="D127" s="44" t="s">
        <v>125</v>
      </c>
      <c r="E127" s="90">
        <v>111</v>
      </c>
      <c r="F127" s="90"/>
      <c r="G127" s="102">
        <f>cell_CoefGeneral</f>
        <v>1</v>
      </c>
      <c r="H127" s="101">
        <f>H51</f>
        <v>0</v>
      </c>
      <c r="I127" s="90">
        <f>IFERROR(ROUND(E127*H127,2),"-")</f>
        <v>0</v>
      </c>
      <c r="J127" s="114" t="str">
        <f>IFERROR(I127/cell_Total_HT,"-")</f>
        <v>-</v>
      </c>
      <c r="K127">
        <f>I127</f>
        <v>0</v>
      </c>
      <c r="L127"/>
      <c r="M127"/>
      <c r="N127"/>
      <c r="O127"/>
      <c r="P127"/>
      <c r="Q127"/>
      <c r="R127"/>
      <c r="S127"/>
      <c r="T127"/>
    </row>
    <row r="128" spans="1:20" outlineLevel="3" x14ac:dyDescent="0.3">
      <c r="A128" s="88" t="s">
        <v>353</v>
      </c>
      <c r="B128" s="63" t="s">
        <v>197</v>
      </c>
      <c r="C128" s="75" t="s">
        <v>198</v>
      </c>
      <c r="D128" s="125"/>
      <c r="E128" s="93"/>
      <c r="F128" s="93"/>
      <c r="G128" s="105"/>
      <c r="H128" s="93"/>
      <c r="I128" s="113">
        <f>SUBTOTAL(9,K129:K129)</f>
        <v>0</v>
      </c>
      <c r="J128" s="117"/>
      <c r="K128"/>
      <c r="L128"/>
      <c r="M128"/>
      <c r="N128"/>
      <c r="O128"/>
      <c r="P128"/>
      <c r="Q128"/>
      <c r="R128"/>
      <c r="S128"/>
      <c r="T128"/>
    </row>
    <row r="129" spans="1:20" ht="28.8" outlineLevel="4" x14ac:dyDescent="0.3">
      <c r="A129" s="88" t="s">
        <v>354</v>
      </c>
      <c r="B129" s="10" t="s">
        <v>200</v>
      </c>
      <c r="C129" s="65" t="s">
        <v>201</v>
      </c>
      <c r="D129" s="44" t="s">
        <v>167</v>
      </c>
      <c r="E129" s="90">
        <v>0</v>
      </c>
      <c r="F129" s="90"/>
      <c r="G129" s="102">
        <f>cell_CoefGeneral</f>
        <v>1</v>
      </c>
      <c r="H129" s="101">
        <f>H53</f>
        <v>0</v>
      </c>
      <c r="I129" s="90">
        <f>IFERROR(ROUND(E129*H129,2),"-")</f>
        <v>0</v>
      </c>
      <c r="J129" s="114" t="str">
        <f>IFERROR(I129/cell_Total_HT,"-")</f>
        <v>-</v>
      </c>
      <c r="K129">
        <f>I129</f>
        <v>0</v>
      </c>
      <c r="L129"/>
      <c r="M129"/>
      <c r="N129"/>
      <c r="O129"/>
      <c r="P129"/>
      <c r="Q129"/>
      <c r="R129"/>
      <c r="S129"/>
      <c r="T129"/>
    </row>
    <row r="130" spans="1:20" outlineLevel="3" x14ac:dyDescent="0.3">
      <c r="A130" s="88" t="s">
        <v>355</v>
      </c>
      <c r="B130" s="63" t="s">
        <v>203</v>
      </c>
      <c r="C130" s="75" t="s">
        <v>204</v>
      </c>
      <c r="D130" s="125"/>
      <c r="E130" s="93"/>
      <c r="F130" s="93"/>
      <c r="G130" s="105"/>
      <c r="H130" s="93"/>
      <c r="I130" s="113">
        <f>SUBTOTAL(9,K131:K133)</f>
        <v>0</v>
      </c>
      <c r="J130" s="117"/>
      <c r="K130"/>
      <c r="L130"/>
      <c r="M130"/>
      <c r="N130"/>
      <c r="O130"/>
      <c r="P130"/>
      <c r="Q130"/>
      <c r="R130"/>
      <c r="S130"/>
      <c r="T130"/>
    </row>
    <row r="131" spans="1:20" ht="28.8" outlineLevel="4" x14ac:dyDescent="0.3">
      <c r="A131" s="88" t="s">
        <v>356</v>
      </c>
      <c r="B131" s="10" t="s">
        <v>206</v>
      </c>
      <c r="C131" s="65" t="s">
        <v>207</v>
      </c>
      <c r="D131" s="44" t="s">
        <v>121</v>
      </c>
      <c r="E131" s="90">
        <v>0</v>
      </c>
      <c r="F131" s="90"/>
      <c r="G131" s="102">
        <f>cell_CoefGeneral</f>
        <v>1</v>
      </c>
      <c r="H131" s="101">
        <f>H55</f>
        <v>0</v>
      </c>
      <c r="I131" s="90">
        <f>IFERROR(ROUND(E131*H131,2),"-")</f>
        <v>0</v>
      </c>
      <c r="J131" s="114" t="str">
        <f>IFERROR(I131/cell_Total_HT,"-")</f>
        <v>-</v>
      </c>
      <c r="K131">
        <f>I131</f>
        <v>0</v>
      </c>
      <c r="L131"/>
      <c r="M131"/>
      <c r="N131"/>
      <c r="O131"/>
      <c r="P131"/>
      <c r="Q131"/>
      <c r="R131"/>
      <c r="S131"/>
      <c r="T131"/>
    </row>
    <row r="132" spans="1:20" ht="28.8" outlineLevel="4" x14ac:dyDescent="0.3">
      <c r="A132" s="88" t="s">
        <v>357</v>
      </c>
      <c r="B132" s="10" t="s">
        <v>209</v>
      </c>
      <c r="C132" s="65" t="s">
        <v>210</v>
      </c>
      <c r="D132" s="44" t="s">
        <v>121</v>
      </c>
      <c r="E132" s="90">
        <v>0</v>
      </c>
      <c r="F132" s="90"/>
      <c r="G132" s="102">
        <f>cell_CoefGeneral</f>
        <v>1</v>
      </c>
      <c r="H132" s="101">
        <f>H56</f>
        <v>0</v>
      </c>
      <c r="I132" s="90">
        <f>IFERROR(ROUND(E132*H132,2),"-")</f>
        <v>0</v>
      </c>
      <c r="J132" s="114" t="str">
        <f>IFERROR(I132/cell_Total_HT,"-")</f>
        <v>-</v>
      </c>
      <c r="K132">
        <f>I132</f>
        <v>0</v>
      </c>
      <c r="L132"/>
      <c r="M132"/>
      <c r="N132"/>
      <c r="O132"/>
      <c r="P132"/>
      <c r="Q132"/>
      <c r="R132"/>
      <c r="S132"/>
      <c r="T132"/>
    </row>
    <row r="133" spans="1:20" ht="28.8" outlineLevel="4" x14ac:dyDescent="0.3">
      <c r="A133" s="88" t="s">
        <v>358</v>
      </c>
      <c r="B133" s="10" t="s">
        <v>212</v>
      </c>
      <c r="C133" s="65" t="s">
        <v>213</v>
      </c>
      <c r="D133" s="44" t="s">
        <v>149</v>
      </c>
      <c r="E133" s="90">
        <v>0</v>
      </c>
      <c r="F133" s="90"/>
      <c r="G133" s="102">
        <f>cell_CoefGeneral</f>
        <v>1</v>
      </c>
      <c r="H133" s="101">
        <f>H57</f>
        <v>0</v>
      </c>
      <c r="I133" s="90">
        <f>IFERROR(ROUND(E133*H133,2),"-")</f>
        <v>0</v>
      </c>
      <c r="J133" s="114" t="str">
        <f>IFERROR(I133/cell_Total_HT,"-")</f>
        <v>-</v>
      </c>
      <c r="K133">
        <f>I133</f>
        <v>0</v>
      </c>
      <c r="L133"/>
      <c r="M133"/>
      <c r="N133"/>
      <c r="O133"/>
      <c r="P133"/>
      <c r="Q133"/>
      <c r="R133"/>
      <c r="S133"/>
      <c r="T133"/>
    </row>
    <row r="134" spans="1:20" outlineLevel="3" x14ac:dyDescent="0.3">
      <c r="A134" s="88" t="s">
        <v>359</v>
      </c>
      <c r="B134" s="63" t="s">
        <v>215</v>
      </c>
      <c r="C134" s="75" t="s">
        <v>216</v>
      </c>
      <c r="D134" s="125"/>
      <c r="E134" s="93"/>
      <c r="F134" s="93"/>
      <c r="G134" s="105"/>
      <c r="H134" s="93"/>
      <c r="I134" s="113">
        <f>SUBTOTAL(9,K135:K136)</f>
        <v>0</v>
      </c>
      <c r="J134" s="117"/>
      <c r="K134"/>
      <c r="L134"/>
      <c r="M134"/>
      <c r="N134"/>
      <c r="O134"/>
      <c r="P134"/>
      <c r="Q134"/>
      <c r="R134"/>
      <c r="S134"/>
      <c r="T134"/>
    </row>
    <row r="135" spans="1:20" ht="28.8" outlineLevel="4" x14ac:dyDescent="0.3">
      <c r="A135" s="88" t="s">
        <v>360</v>
      </c>
      <c r="B135" s="10" t="s">
        <v>218</v>
      </c>
      <c r="C135" s="65" t="s">
        <v>219</v>
      </c>
      <c r="D135" s="44" t="s">
        <v>167</v>
      </c>
      <c r="E135" s="90">
        <v>0</v>
      </c>
      <c r="F135" s="90"/>
      <c r="G135" s="102">
        <f>cell_CoefGeneral</f>
        <v>1</v>
      </c>
      <c r="H135" s="101">
        <f>H59</f>
        <v>0</v>
      </c>
      <c r="I135" s="90">
        <f>IFERROR(ROUND(E135*H135,2),"-")</f>
        <v>0</v>
      </c>
      <c r="J135" s="114" t="str">
        <f>IFERROR(I135/cell_Total_HT,"-")</f>
        <v>-</v>
      </c>
      <c r="K135">
        <f>I135</f>
        <v>0</v>
      </c>
      <c r="L135"/>
      <c r="M135"/>
      <c r="N135"/>
      <c r="O135"/>
      <c r="P135"/>
      <c r="Q135"/>
      <c r="R135"/>
      <c r="S135"/>
      <c r="T135"/>
    </row>
    <row r="136" spans="1:20" ht="28.8" outlineLevel="4" x14ac:dyDescent="0.3">
      <c r="A136" s="88" t="s">
        <v>361</v>
      </c>
      <c r="B136" s="10" t="s">
        <v>221</v>
      </c>
      <c r="C136" s="65" t="s">
        <v>222</v>
      </c>
      <c r="D136" s="44" t="s">
        <v>121</v>
      </c>
      <c r="E136" s="90">
        <v>0</v>
      </c>
      <c r="F136" s="90"/>
      <c r="G136" s="102">
        <f>cell_CoefGeneral</f>
        <v>1</v>
      </c>
      <c r="H136" s="101">
        <f>H60</f>
        <v>0</v>
      </c>
      <c r="I136" s="90">
        <f>IFERROR(ROUND(E136*H136,2),"-")</f>
        <v>0</v>
      </c>
      <c r="J136" s="114" t="str">
        <f>IFERROR(I136/cell_Total_HT,"-")</f>
        <v>-</v>
      </c>
      <c r="K136">
        <f>I136</f>
        <v>0</v>
      </c>
      <c r="L136"/>
      <c r="M136"/>
      <c r="N136"/>
      <c r="O136"/>
      <c r="P136"/>
      <c r="Q136"/>
      <c r="R136"/>
      <c r="S136"/>
      <c r="T136"/>
    </row>
    <row r="137" spans="1:20" outlineLevel="3" x14ac:dyDescent="0.3">
      <c r="A137" s="88" t="s">
        <v>362</v>
      </c>
      <c r="B137" s="63" t="s">
        <v>224</v>
      </c>
      <c r="C137" s="75" t="s">
        <v>225</v>
      </c>
      <c r="D137" s="125"/>
      <c r="E137" s="93"/>
      <c r="F137" s="93"/>
      <c r="G137" s="105"/>
      <c r="H137" s="93"/>
      <c r="I137" s="113">
        <f>SUBTOTAL(9,K138:K139)</f>
        <v>0</v>
      </c>
      <c r="J137" s="117"/>
      <c r="K137"/>
      <c r="L137"/>
      <c r="M137"/>
      <c r="N137"/>
      <c r="O137"/>
      <c r="P137"/>
      <c r="Q137"/>
      <c r="R137"/>
      <c r="S137"/>
      <c r="T137"/>
    </row>
    <row r="138" spans="1:20" ht="28.8" outlineLevel="4" x14ac:dyDescent="0.3">
      <c r="A138" s="88" t="s">
        <v>363</v>
      </c>
      <c r="B138" s="10" t="s">
        <v>227</v>
      </c>
      <c r="C138" s="65" t="s">
        <v>228</v>
      </c>
      <c r="D138" s="44" t="s">
        <v>121</v>
      </c>
      <c r="E138" s="90">
        <v>0</v>
      </c>
      <c r="F138" s="90"/>
      <c r="G138" s="102">
        <f>cell_CoefGeneral</f>
        <v>1</v>
      </c>
      <c r="H138" s="101">
        <f>H62</f>
        <v>0</v>
      </c>
      <c r="I138" s="90">
        <f>IFERROR(ROUND(E138*H138,2),"-")</f>
        <v>0</v>
      </c>
      <c r="J138" s="114" t="str">
        <f>IFERROR(I138/cell_Total_HT,"-")</f>
        <v>-</v>
      </c>
      <c r="K138">
        <f>I138</f>
        <v>0</v>
      </c>
      <c r="L138"/>
      <c r="M138"/>
      <c r="N138"/>
      <c r="O138"/>
      <c r="P138"/>
      <c r="Q138"/>
      <c r="R138"/>
      <c r="S138"/>
      <c r="T138"/>
    </row>
    <row r="139" spans="1:20" outlineLevel="4" x14ac:dyDescent="0.3">
      <c r="A139" s="88" t="s">
        <v>364</v>
      </c>
      <c r="B139" s="10" t="s">
        <v>230</v>
      </c>
      <c r="C139" s="65" t="s">
        <v>231</v>
      </c>
      <c r="D139" s="44" t="s">
        <v>121</v>
      </c>
      <c r="E139" s="90">
        <v>17</v>
      </c>
      <c r="F139" s="90"/>
      <c r="G139" s="102">
        <f>cell_CoefGeneral</f>
        <v>1</v>
      </c>
      <c r="H139" s="101">
        <f>H63</f>
        <v>0</v>
      </c>
      <c r="I139" s="90">
        <f>IFERROR(ROUND(E139*H139,2),"-")</f>
        <v>0</v>
      </c>
      <c r="J139" s="114" t="str">
        <f>IFERROR(I139/cell_Total_HT,"-")</f>
        <v>-</v>
      </c>
      <c r="K139">
        <f>I139</f>
        <v>0</v>
      </c>
      <c r="L139"/>
      <c r="M139"/>
      <c r="N139"/>
      <c r="O139"/>
      <c r="P139"/>
      <c r="Q139"/>
      <c r="R139"/>
      <c r="S139"/>
      <c r="T139"/>
    </row>
    <row r="140" spans="1:20" outlineLevel="3" x14ac:dyDescent="0.3">
      <c r="A140" s="88" t="s">
        <v>365</v>
      </c>
      <c r="B140" s="63" t="s">
        <v>233</v>
      </c>
      <c r="C140" s="75" t="s">
        <v>234</v>
      </c>
      <c r="D140" s="125"/>
      <c r="E140" s="93"/>
      <c r="F140" s="93"/>
      <c r="G140" s="105"/>
      <c r="H140" s="93"/>
      <c r="I140" s="113">
        <f>SUBTOTAL(9,K141:K141)</f>
        <v>0</v>
      </c>
      <c r="J140" s="117"/>
      <c r="K140"/>
      <c r="L140"/>
      <c r="M140"/>
      <c r="N140"/>
      <c r="O140"/>
      <c r="P140"/>
      <c r="Q140"/>
      <c r="R140"/>
      <c r="S140"/>
      <c r="T140"/>
    </row>
    <row r="141" spans="1:20" ht="28.8" outlineLevel="4" x14ac:dyDescent="0.3">
      <c r="A141" s="88" t="s">
        <v>366</v>
      </c>
      <c r="B141" s="10" t="s">
        <v>236</v>
      </c>
      <c r="C141" s="65" t="s">
        <v>237</v>
      </c>
      <c r="D141" s="44" t="s">
        <v>121</v>
      </c>
      <c r="E141" s="90">
        <v>0</v>
      </c>
      <c r="F141" s="90"/>
      <c r="G141" s="102">
        <f>cell_CoefGeneral</f>
        <v>1</v>
      </c>
      <c r="H141" s="101">
        <f>H65</f>
        <v>0</v>
      </c>
      <c r="I141" s="90">
        <f>IFERROR(ROUND(E141*H141,2),"-")</f>
        <v>0</v>
      </c>
      <c r="J141" s="114" t="str">
        <f>IFERROR(I141/cell_Total_HT,"-")</f>
        <v>-</v>
      </c>
      <c r="K141">
        <f>I141</f>
        <v>0</v>
      </c>
      <c r="L141"/>
      <c r="M141"/>
      <c r="N141"/>
      <c r="O141"/>
      <c r="P141"/>
      <c r="Q141"/>
      <c r="R141"/>
      <c r="S141"/>
      <c r="T141"/>
    </row>
    <row r="142" spans="1:20" outlineLevel="3" x14ac:dyDescent="0.3">
      <c r="A142" s="88" t="s">
        <v>367</v>
      </c>
      <c r="B142" s="63" t="s">
        <v>239</v>
      </c>
      <c r="C142" s="75" t="s">
        <v>240</v>
      </c>
      <c r="D142" s="125"/>
      <c r="E142" s="93"/>
      <c r="F142" s="93"/>
      <c r="G142" s="105"/>
      <c r="H142" s="93"/>
      <c r="I142" s="113">
        <f>SUBTOTAL(9,K143:K145)</f>
        <v>0</v>
      </c>
      <c r="J142" s="117"/>
      <c r="K142"/>
      <c r="L142"/>
      <c r="M142"/>
      <c r="N142"/>
      <c r="O142"/>
      <c r="P142"/>
      <c r="Q142"/>
      <c r="R142"/>
      <c r="S142"/>
      <c r="T142"/>
    </row>
    <row r="143" spans="1:20" ht="28.8" outlineLevel="4" x14ac:dyDescent="0.3">
      <c r="A143" s="88" t="s">
        <v>368</v>
      </c>
      <c r="B143" s="10" t="s">
        <v>242</v>
      </c>
      <c r="C143" s="65" t="s">
        <v>243</v>
      </c>
      <c r="D143" s="44" t="s">
        <v>167</v>
      </c>
      <c r="E143" s="90">
        <v>2</v>
      </c>
      <c r="F143" s="90"/>
      <c r="G143" s="102">
        <f>cell_CoefGeneral</f>
        <v>1</v>
      </c>
      <c r="H143" s="101">
        <f>H67</f>
        <v>0</v>
      </c>
      <c r="I143" s="90">
        <f>IFERROR(ROUND(E143*H143,2),"-")</f>
        <v>0</v>
      </c>
      <c r="J143" s="114" t="str">
        <f>IFERROR(I143/cell_Total_HT,"-")</f>
        <v>-</v>
      </c>
      <c r="K143">
        <f>I143</f>
        <v>0</v>
      </c>
      <c r="L143"/>
      <c r="M143"/>
      <c r="N143"/>
      <c r="O143"/>
      <c r="P143"/>
      <c r="Q143"/>
      <c r="R143"/>
      <c r="S143"/>
      <c r="T143"/>
    </row>
    <row r="144" spans="1:20" outlineLevel="4" x14ac:dyDescent="0.3">
      <c r="A144" s="88" t="s">
        <v>369</v>
      </c>
      <c r="B144" s="10" t="s">
        <v>245</v>
      </c>
      <c r="C144" s="65" t="s">
        <v>246</v>
      </c>
      <c r="D144" s="44" t="s">
        <v>121</v>
      </c>
      <c r="E144" s="90">
        <v>17</v>
      </c>
      <c r="F144" s="90"/>
      <c r="G144" s="102">
        <f>cell_CoefGeneral</f>
        <v>1</v>
      </c>
      <c r="H144" s="101">
        <f>H68</f>
        <v>0</v>
      </c>
      <c r="I144" s="90">
        <f>IFERROR(ROUND(E144*H144,2),"-")</f>
        <v>0</v>
      </c>
      <c r="J144" s="114" t="str">
        <f>IFERROR(I144/cell_Total_HT,"-")</f>
        <v>-</v>
      </c>
      <c r="K144">
        <f>I144</f>
        <v>0</v>
      </c>
      <c r="L144"/>
      <c r="M144"/>
      <c r="N144"/>
      <c r="O144"/>
      <c r="P144"/>
      <c r="Q144"/>
      <c r="R144"/>
      <c r="S144"/>
      <c r="T144"/>
    </row>
    <row r="145" spans="1:20" outlineLevel="4" x14ac:dyDescent="0.3">
      <c r="A145" s="88" t="s">
        <v>370</v>
      </c>
      <c r="B145" s="10" t="s">
        <v>248</v>
      </c>
      <c r="C145" s="65" t="s">
        <v>249</v>
      </c>
      <c r="D145" s="44" t="s">
        <v>121</v>
      </c>
      <c r="E145" s="90">
        <v>17</v>
      </c>
      <c r="F145" s="90"/>
      <c r="G145" s="102">
        <f>cell_CoefGeneral</f>
        <v>1</v>
      </c>
      <c r="H145" s="101">
        <f>H69</f>
        <v>0</v>
      </c>
      <c r="I145" s="90">
        <f>IFERROR(ROUND(E145*H145,2),"-")</f>
        <v>0</v>
      </c>
      <c r="J145" s="114" t="str">
        <f>IFERROR(I145/cell_Total_HT,"-")</f>
        <v>-</v>
      </c>
      <c r="K145">
        <f>I145</f>
        <v>0</v>
      </c>
      <c r="L145"/>
      <c r="M145"/>
      <c r="N145"/>
      <c r="O145"/>
      <c r="P145"/>
      <c r="Q145"/>
      <c r="R145"/>
      <c r="S145"/>
      <c r="T145"/>
    </row>
    <row r="146" spans="1:20" outlineLevel="3" x14ac:dyDescent="0.3">
      <c r="A146" s="88" t="s">
        <v>371</v>
      </c>
      <c r="B146" s="63" t="s">
        <v>251</v>
      </c>
      <c r="C146" s="75" t="s">
        <v>252</v>
      </c>
      <c r="D146" s="125"/>
      <c r="E146" s="93"/>
      <c r="F146" s="93"/>
      <c r="G146" s="105"/>
      <c r="H146" s="93"/>
      <c r="I146" s="113">
        <f>SUBTOTAL(9,K147:K150)</f>
        <v>0</v>
      </c>
      <c r="J146" s="117"/>
      <c r="K146"/>
      <c r="L146"/>
      <c r="M146"/>
      <c r="N146"/>
      <c r="O146"/>
      <c r="P146"/>
      <c r="Q146"/>
      <c r="R146"/>
      <c r="S146"/>
      <c r="T146"/>
    </row>
    <row r="147" spans="1:20" outlineLevel="4" x14ac:dyDescent="0.3">
      <c r="A147" s="88" t="s">
        <v>372</v>
      </c>
      <c r="B147" s="10" t="s">
        <v>254</v>
      </c>
      <c r="C147" s="65" t="s">
        <v>255</v>
      </c>
      <c r="D147" s="44" t="s">
        <v>121</v>
      </c>
      <c r="E147" s="90">
        <v>132</v>
      </c>
      <c r="F147" s="90"/>
      <c r="G147" s="102">
        <f>cell_CoefGeneral</f>
        <v>1</v>
      </c>
      <c r="H147" s="101">
        <f>H71</f>
        <v>0</v>
      </c>
      <c r="I147" s="90">
        <f>IFERROR(ROUND(E147*H147,2),"-")</f>
        <v>0</v>
      </c>
      <c r="J147" s="114" t="str">
        <f>IFERROR(I147/cell_Total_HT,"-")</f>
        <v>-</v>
      </c>
      <c r="K147">
        <f>I147</f>
        <v>0</v>
      </c>
      <c r="L147"/>
      <c r="M147"/>
      <c r="N147"/>
      <c r="O147"/>
      <c r="P147"/>
      <c r="Q147"/>
      <c r="R147"/>
      <c r="S147"/>
      <c r="T147"/>
    </row>
    <row r="148" spans="1:20" outlineLevel="4" x14ac:dyDescent="0.3">
      <c r="A148" s="88" t="s">
        <v>373</v>
      </c>
      <c r="B148" s="10" t="s">
        <v>257</v>
      </c>
      <c r="C148" s="65" t="s">
        <v>258</v>
      </c>
      <c r="D148" s="44" t="s">
        <v>121</v>
      </c>
      <c r="E148" s="90">
        <v>132</v>
      </c>
      <c r="F148" s="90"/>
      <c r="G148" s="102">
        <f>cell_CoefGeneral</f>
        <v>1</v>
      </c>
      <c r="H148" s="101">
        <f>H72</f>
        <v>0</v>
      </c>
      <c r="I148" s="90">
        <f>IFERROR(ROUND(E148*H148,2),"-")</f>
        <v>0</v>
      </c>
      <c r="J148" s="114" t="str">
        <f>IFERROR(I148/cell_Total_HT,"-")</f>
        <v>-</v>
      </c>
      <c r="K148">
        <f>I148</f>
        <v>0</v>
      </c>
      <c r="L148"/>
      <c r="M148"/>
      <c r="N148"/>
      <c r="O148"/>
      <c r="P148"/>
      <c r="Q148"/>
      <c r="R148"/>
      <c r="S148"/>
      <c r="T148"/>
    </row>
    <row r="149" spans="1:20" outlineLevel="4" x14ac:dyDescent="0.3">
      <c r="A149" s="88" t="s">
        <v>374</v>
      </c>
      <c r="B149" s="10" t="s">
        <v>260</v>
      </c>
      <c r="C149" s="65" t="s">
        <v>261</v>
      </c>
      <c r="D149" s="44" t="s">
        <v>121</v>
      </c>
      <c r="E149" s="90">
        <v>1100</v>
      </c>
      <c r="F149" s="90"/>
      <c r="G149" s="102">
        <f>cell_CoefGeneral</f>
        <v>1</v>
      </c>
      <c r="H149" s="101">
        <f>H73</f>
        <v>0</v>
      </c>
      <c r="I149" s="90">
        <f>IFERROR(ROUND(E149*H149,2),"-")</f>
        <v>0</v>
      </c>
      <c r="J149" s="114" t="str">
        <f>IFERROR(I149/cell_Total_HT,"-")</f>
        <v>-</v>
      </c>
      <c r="K149">
        <f>I149</f>
        <v>0</v>
      </c>
      <c r="L149"/>
      <c r="M149"/>
      <c r="N149"/>
      <c r="O149"/>
      <c r="P149"/>
      <c r="Q149"/>
      <c r="R149"/>
      <c r="S149"/>
      <c r="T149"/>
    </row>
    <row r="150" spans="1:20" outlineLevel="4" x14ac:dyDescent="0.3">
      <c r="A150" s="88" t="s">
        <v>375</v>
      </c>
      <c r="B150" s="10" t="s">
        <v>263</v>
      </c>
      <c r="C150" s="65" t="s">
        <v>264</v>
      </c>
      <c r="D150" s="44" t="s">
        <v>121</v>
      </c>
      <c r="E150" s="90">
        <v>1100</v>
      </c>
      <c r="F150" s="90"/>
      <c r="G150" s="102">
        <f>cell_CoefGeneral</f>
        <v>1</v>
      </c>
      <c r="H150" s="101">
        <f>H74</f>
        <v>0</v>
      </c>
      <c r="I150" s="90">
        <f>IFERROR(ROUND(E150*H150,2),"-")</f>
        <v>0</v>
      </c>
      <c r="J150" s="114" t="str">
        <f>IFERROR(I150/cell_Total_HT,"-")</f>
        <v>-</v>
      </c>
      <c r="K150">
        <f>I150</f>
        <v>0</v>
      </c>
      <c r="L150"/>
      <c r="M150"/>
      <c r="N150"/>
      <c r="O150"/>
      <c r="P150"/>
      <c r="Q150"/>
      <c r="R150"/>
      <c r="S150"/>
      <c r="T150"/>
    </row>
    <row r="151" spans="1:20" outlineLevel="3" x14ac:dyDescent="0.3">
      <c r="A151" s="88" t="s">
        <v>376</v>
      </c>
      <c r="B151" s="63" t="s">
        <v>266</v>
      </c>
      <c r="C151" s="75" t="s">
        <v>267</v>
      </c>
      <c r="D151" s="125"/>
      <c r="E151" s="93"/>
      <c r="F151" s="93"/>
      <c r="G151" s="105"/>
      <c r="H151" s="93"/>
      <c r="I151" s="113">
        <f>SUBTOTAL(9,K152:K154)</f>
        <v>0</v>
      </c>
      <c r="J151" s="117"/>
      <c r="K151"/>
      <c r="L151"/>
      <c r="M151"/>
      <c r="N151"/>
      <c r="O151"/>
      <c r="P151"/>
      <c r="Q151"/>
      <c r="R151"/>
      <c r="S151"/>
      <c r="T151"/>
    </row>
    <row r="152" spans="1:20" outlineLevel="4" x14ac:dyDescent="0.3">
      <c r="A152" s="88" t="s">
        <v>377</v>
      </c>
      <c r="B152" s="10" t="s">
        <v>269</v>
      </c>
      <c r="C152" s="65" t="s">
        <v>270</v>
      </c>
      <c r="D152" s="44" t="s">
        <v>121</v>
      </c>
      <c r="E152" s="90">
        <v>0</v>
      </c>
      <c r="F152" s="90"/>
      <c r="G152" s="102">
        <f>cell_CoefGeneral</f>
        <v>1</v>
      </c>
      <c r="H152" s="101">
        <f>H76</f>
        <v>0</v>
      </c>
      <c r="I152" s="90">
        <f>IFERROR(ROUND(E152*H152,2),"-")</f>
        <v>0</v>
      </c>
      <c r="J152" s="114" t="str">
        <f>IFERROR(I152/cell_Total_HT,"-")</f>
        <v>-</v>
      </c>
      <c r="K152">
        <f>I152</f>
        <v>0</v>
      </c>
      <c r="L152"/>
      <c r="M152"/>
      <c r="N152"/>
      <c r="O152"/>
      <c r="P152"/>
      <c r="Q152"/>
      <c r="R152"/>
      <c r="S152"/>
      <c r="T152"/>
    </row>
    <row r="153" spans="1:20" outlineLevel="4" x14ac:dyDescent="0.3">
      <c r="A153" s="88" t="s">
        <v>378</v>
      </c>
      <c r="B153" s="10" t="s">
        <v>272</v>
      </c>
      <c r="C153" s="65" t="s">
        <v>273</v>
      </c>
      <c r="D153" s="44" t="s">
        <v>121</v>
      </c>
      <c r="E153" s="90">
        <v>0</v>
      </c>
      <c r="F153" s="90"/>
      <c r="G153" s="102">
        <f>cell_CoefGeneral</f>
        <v>1</v>
      </c>
      <c r="H153" s="101">
        <f>H77</f>
        <v>0</v>
      </c>
      <c r="I153" s="90">
        <f>IFERROR(ROUND(E153*H153,2),"-")</f>
        <v>0</v>
      </c>
      <c r="J153" s="114" t="str">
        <f>IFERROR(I153/cell_Total_HT,"-")</f>
        <v>-</v>
      </c>
      <c r="K153">
        <f>I153</f>
        <v>0</v>
      </c>
      <c r="L153"/>
      <c r="M153"/>
      <c r="N153"/>
      <c r="O153"/>
      <c r="P153"/>
      <c r="Q153"/>
      <c r="R153"/>
      <c r="S153"/>
      <c r="T153"/>
    </row>
    <row r="154" spans="1:20" ht="15" outlineLevel="4" thickBot="1" x14ac:dyDescent="0.35">
      <c r="A154" s="88" t="s">
        <v>379</v>
      </c>
      <c r="B154" s="10" t="s">
        <v>275</v>
      </c>
      <c r="C154" s="65" t="s">
        <v>276</v>
      </c>
      <c r="D154" s="44" t="s">
        <v>121</v>
      </c>
      <c r="E154" s="90">
        <v>0</v>
      </c>
      <c r="F154" s="90"/>
      <c r="G154" s="102">
        <f>cell_CoefGeneral</f>
        <v>1</v>
      </c>
      <c r="H154" s="101">
        <f>H78</f>
        <v>0</v>
      </c>
      <c r="I154" s="90">
        <f>IFERROR(ROUND(E154*H154,2),"-")</f>
        <v>0</v>
      </c>
      <c r="J154" s="114" t="str">
        <f>IFERROR(I154/cell_Total_HT,"-")</f>
        <v>-</v>
      </c>
      <c r="K154">
        <f>I154</f>
        <v>0</v>
      </c>
      <c r="L154"/>
      <c r="M154"/>
      <c r="N154"/>
      <c r="O154"/>
      <c r="P154"/>
      <c r="Q154"/>
      <c r="R154"/>
      <c r="S154"/>
      <c r="T154"/>
    </row>
    <row r="155" spans="1:20" ht="15" outlineLevel="2" thickTop="1" x14ac:dyDescent="0.3">
      <c r="A155" s="88" t="s">
        <v>380</v>
      </c>
      <c r="B155" s="68" t="s">
        <v>60</v>
      </c>
      <c r="C155" s="69" t="s">
        <v>278</v>
      </c>
      <c r="D155" s="127"/>
      <c r="E155" s="95"/>
      <c r="F155" s="95"/>
      <c r="G155" s="107"/>
      <c r="H155" s="95"/>
      <c r="I155" s="95">
        <f>SUBTOTAL(9,I102:I154)</f>
        <v>0</v>
      </c>
      <c r="J155" s="119"/>
      <c r="K155"/>
      <c r="L155"/>
      <c r="M155"/>
      <c r="N155"/>
      <c r="O155"/>
      <c r="P155"/>
      <c r="Q155"/>
      <c r="R155"/>
      <c r="S155"/>
      <c r="T155"/>
    </row>
    <row r="156" spans="1:20" outlineLevel="2" x14ac:dyDescent="0.3">
      <c r="A156" s="88" t="s">
        <v>381</v>
      </c>
      <c r="B156" s="72" t="s">
        <v>60</v>
      </c>
      <c r="C156" s="73" t="s">
        <v>102</v>
      </c>
      <c r="D156" s="129"/>
      <c r="E156" s="93"/>
      <c r="F156" s="93"/>
      <c r="G156" s="105"/>
      <c r="H156" s="93"/>
      <c r="I156" s="113">
        <f>SUBTOTAL(9,K157:K168)</f>
        <v>0</v>
      </c>
      <c r="J156" s="117"/>
      <c r="K156"/>
      <c r="L156"/>
      <c r="M156"/>
      <c r="N156"/>
      <c r="O156"/>
      <c r="P156"/>
      <c r="Q156"/>
      <c r="R156"/>
      <c r="S156"/>
      <c r="T156"/>
    </row>
    <row r="157" spans="1:20" outlineLevel="3" x14ac:dyDescent="0.3">
      <c r="A157" s="88" t="s">
        <v>382</v>
      </c>
      <c r="B157" s="10" t="s">
        <v>281</v>
      </c>
      <c r="C157" s="65" t="s">
        <v>282</v>
      </c>
      <c r="D157" s="44" t="s">
        <v>106</v>
      </c>
      <c r="E157" s="90">
        <v>1</v>
      </c>
      <c r="F157" s="90"/>
      <c r="G157" s="102">
        <f>cell_CoefGeneral</f>
        <v>1</v>
      </c>
      <c r="H157" s="100">
        <f>0</f>
        <v>0</v>
      </c>
      <c r="I157" s="90">
        <f>IFERROR(ROUND(E157*H157,2),"-")</f>
        <v>0</v>
      </c>
      <c r="J157" s="114" t="str">
        <f>IFERROR(I157/cell_Total_HT,"-")</f>
        <v>-</v>
      </c>
      <c r="K157">
        <f>I157</f>
        <v>0</v>
      </c>
      <c r="L157"/>
      <c r="M157"/>
      <c r="N157"/>
      <c r="O157"/>
      <c r="P157"/>
      <c r="Q157"/>
      <c r="R157"/>
      <c r="S157"/>
      <c r="T157"/>
    </row>
    <row r="158" spans="1:20" outlineLevel="3" x14ac:dyDescent="0.3">
      <c r="A158" s="88" t="s">
        <v>383</v>
      </c>
      <c r="B158" s="10" t="s">
        <v>284</v>
      </c>
      <c r="C158" s="65" t="s">
        <v>285</v>
      </c>
      <c r="D158" s="44" t="s">
        <v>106</v>
      </c>
      <c r="E158" s="90">
        <v>1</v>
      </c>
      <c r="F158" s="90"/>
      <c r="G158" s="102">
        <f>cell_CoefGeneral</f>
        <v>1</v>
      </c>
      <c r="H158" s="100">
        <f>0</f>
        <v>0</v>
      </c>
      <c r="I158" s="90">
        <f>IFERROR(ROUND(E158*H158,2),"-")</f>
        <v>0</v>
      </c>
      <c r="J158" s="114" t="str">
        <f>IFERROR(I158/cell_Total_HT,"-")</f>
        <v>-</v>
      </c>
      <c r="K158">
        <f>I158</f>
        <v>0</v>
      </c>
      <c r="L158"/>
      <c r="M158"/>
      <c r="N158"/>
      <c r="O158"/>
      <c r="P158"/>
      <c r="Q158"/>
      <c r="R158"/>
      <c r="S158"/>
      <c r="T158"/>
    </row>
    <row r="159" spans="1:20" outlineLevel="3" x14ac:dyDescent="0.3">
      <c r="A159" s="88" t="s">
        <v>384</v>
      </c>
      <c r="B159" s="10" t="s">
        <v>287</v>
      </c>
      <c r="C159" s="65" t="s">
        <v>288</v>
      </c>
      <c r="D159" s="44" t="s">
        <v>106</v>
      </c>
      <c r="E159" s="90">
        <v>1</v>
      </c>
      <c r="F159" s="90"/>
      <c r="G159" s="102">
        <f>cell_CoefGeneral</f>
        <v>1</v>
      </c>
      <c r="H159" s="100">
        <f>0</f>
        <v>0</v>
      </c>
      <c r="I159" s="90">
        <f>IFERROR(ROUND(E159*H159,2),"-")</f>
        <v>0</v>
      </c>
      <c r="J159" s="114" t="str">
        <f>IFERROR(I159/cell_Total_HT,"-")</f>
        <v>-</v>
      </c>
      <c r="K159">
        <f>I159</f>
        <v>0</v>
      </c>
      <c r="L159"/>
      <c r="M159"/>
      <c r="N159"/>
      <c r="O159"/>
      <c r="P159"/>
      <c r="Q159"/>
      <c r="R159"/>
      <c r="S159"/>
      <c r="T159"/>
    </row>
    <row r="160" spans="1:20" outlineLevel="3" x14ac:dyDescent="0.3">
      <c r="A160" s="88" t="s">
        <v>385</v>
      </c>
      <c r="B160" s="10" t="s">
        <v>290</v>
      </c>
      <c r="C160" s="65" t="s">
        <v>291</v>
      </c>
      <c r="D160" s="44" t="s">
        <v>106</v>
      </c>
      <c r="E160" s="90">
        <v>1</v>
      </c>
      <c r="F160" s="90"/>
      <c r="G160" s="102">
        <f>cell_CoefGeneral</f>
        <v>1</v>
      </c>
      <c r="H160" s="100">
        <f>0</f>
        <v>0</v>
      </c>
      <c r="I160" s="90">
        <f>IFERROR(ROUND(E160*H160,2),"-")</f>
        <v>0</v>
      </c>
      <c r="J160" s="114" t="str">
        <f>IFERROR(I160/cell_Total_HT,"-")</f>
        <v>-</v>
      </c>
      <c r="K160">
        <f>I160</f>
        <v>0</v>
      </c>
      <c r="L160"/>
      <c r="M160"/>
      <c r="N160"/>
      <c r="O160"/>
      <c r="P160"/>
      <c r="Q160"/>
      <c r="R160"/>
      <c r="S160"/>
      <c r="T160"/>
    </row>
    <row r="161" spans="1:20" outlineLevel="3" x14ac:dyDescent="0.3">
      <c r="A161" s="88" t="s">
        <v>386</v>
      </c>
      <c r="B161" s="10" t="s">
        <v>293</v>
      </c>
      <c r="C161" s="65" t="s">
        <v>294</v>
      </c>
      <c r="D161" s="44" t="s">
        <v>106</v>
      </c>
      <c r="E161" s="90">
        <v>1</v>
      </c>
      <c r="F161" s="90"/>
      <c r="G161" s="102">
        <f>cell_CoefGeneral</f>
        <v>1</v>
      </c>
      <c r="H161" s="100">
        <f>0</f>
        <v>0</v>
      </c>
      <c r="I161" s="90">
        <f>IFERROR(ROUND(E161*H161,2),"-")</f>
        <v>0</v>
      </c>
      <c r="J161" s="114" t="str">
        <f>IFERROR(I161/cell_Total_HT,"-")</f>
        <v>-</v>
      </c>
      <c r="K161">
        <f>I161</f>
        <v>0</v>
      </c>
      <c r="L161"/>
      <c r="M161"/>
      <c r="N161"/>
      <c r="O161"/>
      <c r="P161"/>
      <c r="Q161"/>
      <c r="R161"/>
      <c r="S161"/>
      <c r="T161"/>
    </row>
    <row r="162" spans="1:20" outlineLevel="3" x14ac:dyDescent="0.3">
      <c r="A162" s="88" t="s">
        <v>387</v>
      </c>
      <c r="B162" s="10" t="s">
        <v>296</v>
      </c>
      <c r="C162" s="65" t="s">
        <v>297</v>
      </c>
      <c r="D162" s="44" t="s">
        <v>106</v>
      </c>
      <c r="E162" s="90">
        <v>1</v>
      </c>
      <c r="F162" s="90"/>
      <c r="G162" s="102">
        <f>cell_CoefGeneral</f>
        <v>1</v>
      </c>
      <c r="H162" s="100">
        <f>0</f>
        <v>0</v>
      </c>
      <c r="I162" s="90">
        <f>IFERROR(ROUND(E162*H162,2),"-")</f>
        <v>0</v>
      </c>
      <c r="J162" s="114" t="str">
        <f>IFERROR(I162/cell_Total_HT,"-")</f>
        <v>-</v>
      </c>
      <c r="K162">
        <f>I162</f>
        <v>0</v>
      </c>
      <c r="L162"/>
      <c r="M162"/>
      <c r="N162"/>
      <c r="O162"/>
      <c r="P162"/>
      <c r="Q162"/>
      <c r="R162"/>
      <c r="S162"/>
      <c r="T162"/>
    </row>
    <row r="163" spans="1:20" outlineLevel="3" x14ac:dyDescent="0.3">
      <c r="A163" s="88" t="s">
        <v>388</v>
      </c>
      <c r="B163" s="10" t="s">
        <v>299</v>
      </c>
      <c r="C163" s="65" t="s">
        <v>300</v>
      </c>
      <c r="D163" s="44" t="s">
        <v>106</v>
      </c>
      <c r="E163" s="90">
        <v>1</v>
      </c>
      <c r="F163" s="90"/>
      <c r="G163" s="102">
        <f>cell_CoefGeneral</f>
        <v>1</v>
      </c>
      <c r="H163" s="100">
        <f>0</f>
        <v>0</v>
      </c>
      <c r="I163" s="90">
        <f>IFERROR(ROUND(E163*H163,2),"-")</f>
        <v>0</v>
      </c>
      <c r="J163" s="114" t="str">
        <f>IFERROR(I163/cell_Total_HT,"-")</f>
        <v>-</v>
      </c>
      <c r="K163">
        <f>I163</f>
        <v>0</v>
      </c>
      <c r="L163"/>
      <c r="M163"/>
      <c r="N163"/>
      <c r="O163"/>
      <c r="P163"/>
      <c r="Q163"/>
      <c r="R163"/>
      <c r="S163"/>
      <c r="T163"/>
    </row>
    <row r="164" spans="1:20" outlineLevel="3" x14ac:dyDescent="0.3">
      <c r="A164" s="88" t="s">
        <v>389</v>
      </c>
      <c r="B164" s="10" t="s">
        <v>302</v>
      </c>
      <c r="C164" s="65" t="s">
        <v>303</v>
      </c>
      <c r="D164" s="44" t="s">
        <v>106</v>
      </c>
      <c r="E164" s="90">
        <v>1</v>
      </c>
      <c r="F164" s="90"/>
      <c r="G164" s="102">
        <f>cell_CoefGeneral</f>
        <v>1</v>
      </c>
      <c r="H164" s="100">
        <f>0</f>
        <v>0</v>
      </c>
      <c r="I164" s="90">
        <f>IFERROR(ROUND(E164*H164,2),"-")</f>
        <v>0</v>
      </c>
      <c r="J164" s="114" t="str">
        <f>IFERROR(I164/cell_Total_HT,"-")</f>
        <v>-</v>
      </c>
      <c r="K164">
        <f>I164</f>
        <v>0</v>
      </c>
      <c r="L164"/>
      <c r="M164"/>
      <c r="N164"/>
      <c r="O164"/>
      <c r="P164"/>
      <c r="Q164"/>
      <c r="R164"/>
      <c r="S164"/>
      <c r="T164"/>
    </row>
    <row r="165" spans="1:20" outlineLevel="3" x14ac:dyDescent="0.3">
      <c r="A165" s="88" t="s">
        <v>390</v>
      </c>
      <c r="B165" s="10" t="s">
        <v>305</v>
      </c>
      <c r="C165" s="65" t="s">
        <v>306</v>
      </c>
      <c r="D165" s="44" t="s">
        <v>106</v>
      </c>
      <c r="E165" s="90">
        <v>1</v>
      </c>
      <c r="F165" s="90"/>
      <c r="G165" s="102">
        <f>cell_CoefGeneral</f>
        <v>1</v>
      </c>
      <c r="H165" s="100">
        <f>0</f>
        <v>0</v>
      </c>
      <c r="I165" s="90">
        <f>IFERROR(ROUND(E165*H165,2),"-")</f>
        <v>0</v>
      </c>
      <c r="J165" s="114" t="str">
        <f>IFERROR(I165/cell_Total_HT,"-")</f>
        <v>-</v>
      </c>
      <c r="K165">
        <f>I165</f>
        <v>0</v>
      </c>
      <c r="L165"/>
      <c r="M165"/>
      <c r="N165"/>
      <c r="O165"/>
      <c r="P165"/>
      <c r="Q165"/>
      <c r="R165"/>
      <c r="S165"/>
      <c r="T165"/>
    </row>
    <row r="166" spans="1:20" outlineLevel="3" x14ac:dyDescent="0.3">
      <c r="A166" s="88" t="s">
        <v>391</v>
      </c>
      <c r="B166" s="10" t="s">
        <v>308</v>
      </c>
      <c r="C166" s="65" t="s">
        <v>309</v>
      </c>
      <c r="D166" s="44" t="s">
        <v>106</v>
      </c>
      <c r="E166" s="90">
        <v>1</v>
      </c>
      <c r="F166" s="90"/>
      <c r="G166" s="102">
        <f>cell_CoefGeneral</f>
        <v>1</v>
      </c>
      <c r="H166" s="100">
        <f>0</f>
        <v>0</v>
      </c>
      <c r="I166" s="90">
        <f>IFERROR(ROUND(E166*H166,2),"-")</f>
        <v>0</v>
      </c>
      <c r="J166" s="114" t="str">
        <f>IFERROR(I166/cell_Total_HT,"-")</f>
        <v>-</v>
      </c>
      <c r="K166">
        <f>I166</f>
        <v>0</v>
      </c>
      <c r="L166"/>
      <c r="M166"/>
      <c r="N166"/>
      <c r="O166"/>
      <c r="P166"/>
      <c r="Q166"/>
      <c r="R166"/>
      <c r="S166"/>
      <c r="T166"/>
    </row>
    <row r="167" spans="1:20" outlineLevel="3" x14ac:dyDescent="0.3">
      <c r="A167" s="88" t="s">
        <v>392</v>
      </c>
      <c r="B167" s="10" t="s">
        <v>311</v>
      </c>
      <c r="C167" s="65" t="s">
        <v>312</v>
      </c>
      <c r="D167" s="44" t="s">
        <v>106</v>
      </c>
      <c r="E167" s="90">
        <v>1</v>
      </c>
      <c r="F167" s="90"/>
      <c r="G167" s="102">
        <f>cell_CoefGeneral</f>
        <v>1</v>
      </c>
      <c r="H167" s="100">
        <f>0</f>
        <v>0</v>
      </c>
      <c r="I167" s="90">
        <f>IFERROR(ROUND(E167*H167,2),"-")</f>
        <v>0</v>
      </c>
      <c r="J167" s="114" t="str">
        <f>IFERROR(I167/cell_Total_HT,"-")</f>
        <v>-</v>
      </c>
      <c r="K167">
        <f>I167</f>
        <v>0</v>
      </c>
      <c r="L167"/>
      <c r="M167"/>
      <c r="N167"/>
      <c r="O167"/>
      <c r="P167"/>
      <c r="Q167"/>
      <c r="R167"/>
      <c r="S167"/>
      <c r="T167"/>
    </row>
    <row r="168" spans="1:20" ht="15" outlineLevel="3" thickBot="1" x14ac:dyDescent="0.35">
      <c r="A168" s="88" t="s">
        <v>393</v>
      </c>
      <c r="B168" s="10" t="s">
        <v>314</v>
      </c>
      <c r="C168" s="65" t="s">
        <v>315</v>
      </c>
      <c r="D168" s="44" t="s">
        <v>106</v>
      </c>
      <c r="E168" s="90">
        <v>1</v>
      </c>
      <c r="F168" s="90"/>
      <c r="G168" s="102">
        <f>cell_CoefGeneral</f>
        <v>1</v>
      </c>
      <c r="H168" s="100">
        <f>0</f>
        <v>0</v>
      </c>
      <c r="I168" s="90">
        <f>IFERROR(ROUND(E168*H168,2),"-")</f>
        <v>0</v>
      </c>
      <c r="J168" s="114" t="str">
        <f>IFERROR(I168/cell_Total_HT,"-")</f>
        <v>-</v>
      </c>
      <c r="K168">
        <f>I168</f>
        <v>0</v>
      </c>
      <c r="L168"/>
      <c r="M168"/>
      <c r="N168"/>
      <c r="O168"/>
      <c r="P168"/>
      <c r="Q168"/>
      <c r="R168"/>
      <c r="S168"/>
      <c r="T168"/>
    </row>
    <row r="169" spans="1:20" ht="15.6" outlineLevel="2" thickTop="1" thickBot="1" x14ac:dyDescent="0.35">
      <c r="A169" s="88" t="s">
        <v>394</v>
      </c>
      <c r="B169" s="68" t="s">
        <v>60</v>
      </c>
      <c r="C169" s="69" t="s">
        <v>111</v>
      </c>
      <c r="D169" s="127"/>
      <c r="E169" s="95"/>
      <c r="F169" s="95"/>
      <c r="G169" s="107"/>
      <c r="H169" s="95"/>
      <c r="I169" s="95">
        <f>SUBTOTAL(9,I157:I168)</f>
        <v>0</v>
      </c>
      <c r="J169" s="119"/>
      <c r="K169"/>
      <c r="L169"/>
      <c r="M169"/>
      <c r="N169"/>
      <c r="O169"/>
      <c r="P169"/>
      <c r="Q169"/>
      <c r="R169"/>
      <c r="S169"/>
      <c r="T169"/>
    </row>
    <row r="170" spans="1:20" ht="15" outlineLevel="1" thickTop="1" x14ac:dyDescent="0.3">
      <c r="A170" s="88" t="s">
        <v>395</v>
      </c>
      <c r="B170" s="76" t="s">
        <v>60</v>
      </c>
      <c r="C170" s="77" t="s">
        <v>396</v>
      </c>
      <c r="D170" s="130"/>
      <c r="E170" s="96"/>
      <c r="F170" s="96"/>
      <c r="G170" s="108"/>
      <c r="H170" s="96"/>
      <c r="I170" s="96">
        <f>ROUND(I99+I155+I169,2)</f>
        <v>0</v>
      </c>
      <c r="J170" s="120"/>
      <c r="K170"/>
      <c r="L170"/>
      <c r="M170"/>
      <c r="N170"/>
      <c r="O170"/>
      <c r="P170"/>
      <c r="Q170"/>
      <c r="R170"/>
      <c r="S170"/>
      <c r="T170"/>
    </row>
    <row r="171" spans="1:20" ht="15" outlineLevel="1" thickBot="1" x14ac:dyDescent="0.35">
      <c r="A171" s="88" t="s">
        <v>397</v>
      </c>
      <c r="B171" s="70" t="s">
        <v>60</v>
      </c>
      <c r="C171" s="71" t="s">
        <v>398</v>
      </c>
      <c r="D171" s="128"/>
      <c r="E171" s="92"/>
      <c r="F171" s="92"/>
      <c r="G171" s="104"/>
      <c r="H171" s="92"/>
      <c r="I171" s="112">
        <f>SUBTOTAL(9,K172:K244)</f>
        <v>0</v>
      </c>
      <c r="J171" s="116"/>
      <c r="K171"/>
      <c r="L171"/>
      <c r="M171"/>
      <c r="N171"/>
      <c r="O171"/>
      <c r="P171"/>
      <c r="Q171"/>
      <c r="R171"/>
      <c r="S171"/>
      <c r="T171"/>
    </row>
    <row r="172" spans="1:20" outlineLevel="2" x14ac:dyDescent="0.3">
      <c r="A172" s="88" t="s">
        <v>399</v>
      </c>
      <c r="B172" s="72" t="s">
        <v>60</v>
      </c>
      <c r="C172" s="73" t="s">
        <v>102</v>
      </c>
      <c r="D172" s="129"/>
      <c r="E172" s="93"/>
      <c r="F172" s="93"/>
      <c r="G172" s="105"/>
      <c r="H172" s="93"/>
      <c r="I172" s="113">
        <f>SUBTOTAL(9,K173:K174)</f>
        <v>0</v>
      </c>
      <c r="J172" s="117"/>
      <c r="K172"/>
      <c r="L172"/>
      <c r="M172"/>
      <c r="N172"/>
      <c r="O172"/>
      <c r="P172"/>
      <c r="Q172"/>
      <c r="R172"/>
      <c r="S172"/>
      <c r="T172"/>
    </row>
    <row r="173" spans="1:20" outlineLevel="3" x14ac:dyDescent="0.3">
      <c r="A173" s="88" t="s">
        <v>400</v>
      </c>
      <c r="B173" s="10" t="s">
        <v>104</v>
      </c>
      <c r="C173" s="65" t="s">
        <v>105</v>
      </c>
      <c r="D173" s="44" t="s">
        <v>106</v>
      </c>
      <c r="E173" s="90">
        <v>1</v>
      </c>
      <c r="F173" s="90"/>
      <c r="G173" s="102">
        <f>cell_CoefGeneral</f>
        <v>1</v>
      </c>
      <c r="H173" s="100">
        <f>0</f>
        <v>0</v>
      </c>
      <c r="I173" s="90">
        <f>IFERROR(ROUND(E173*H173,2),"-")</f>
        <v>0</v>
      </c>
      <c r="J173" s="114" t="str">
        <f>IFERROR(I173/cell_Total_HT,"-")</f>
        <v>-</v>
      </c>
      <c r="K173">
        <f>I173</f>
        <v>0</v>
      </c>
      <c r="L173"/>
      <c r="M173"/>
      <c r="N173"/>
      <c r="O173"/>
      <c r="P173"/>
      <c r="Q173"/>
      <c r="R173"/>
      <c r="S173"/>
      <c r="T173"/>
    </row>
    <row r="174" spans="1:20" ht="15" outlineLevel="3" thickBot="1" x14ac:dyDescent="0.35">
      <c r="A174" s="88" t="s">
        <v>401</v>
      </c>
      <c r="B174" s="10" t="s">
        <v>108</v>
      </c>
      <c r="C174" s="65" t="s">
        <v>109</v>
      </c>
      <c r="D174" s="44" t="s">
        <v>106</v>
      </c>
      <c r="E174" s="90">
        <v>1</v>
      </c>
      <c r="F174" s="90"/>
      <c r="G174" s="102">
        <f>cell_CoefGeneral</f>
        <v>1</v>
      </c>
      <c r="H174" s="100">
        <f>0</f>
        <v>0</v>
      </c>
      <c r="I174" s="90">
        <f>IFERROR(ROUND(E174*H174,2),"-")</f>
        <v>0</v>
      </c>
      <c r="J174" s="114" t="str">
        <f>IFERROR(I174/cell_Total_HT,"-")</f>
        <v>-</v>
      </c>
      <c r="K174">
        <f>I174</f>
        <v>0</v>
      </c>
      <c r="L174"/>
      <c r="M174"/>
      <c r="N174"/>
      <c r="O174"/>
      <c r="P174"/>
      <c r="Q174"/>
      <c r="R174"/>
      <c r="S174"/>
      <c r="T174"/>
    </row>
    <row r="175" spans="1:20" ht="15" outlineLevel="2" thickTop="1" x14ac:dyDescent="0.3">
      <c r="A175" s="88" t="s">
        <v>402</v>
      </c>
      <c r="B175" s="68" t="s">
        <v>60</v>
      </c>
      <c r="C175" s="69" t="s">
        <v>111</v>
      </c>
      <c r="D175" s="127"/>
      <c r="E175" s="95"/>
      <c r="F175" s="95"/>
      <c r="G175" s="107"/>
      <c r="H175" s="95"/>
      <c r="I175" s="95">
        <f>SUBTOTAL(9,I173:I174)</f>
        <v>0</v>
      </c>
      <c r="J175" s="119"/>
      <c r="K175"/>
      <c r="L175"/>
      <c r="M175"/>
      <c r="N175"/>
      <c r="O175"/>
      <c r="P175"/>
      <c r="Q175"/>
      <c r="R175"/>
      <c r="S175"/>
      <c r="T175"/>
    </row>
    <row r="176" spans="1:20" outlineLevel="2" x14ac:dyDescent="0.3">
      <c r="A176" s="88" t="s">
        <v>403</v>
      </c>
      <c r="B176" s="72" t="s">
        <v>113</v>
      </c>
      <c r="C176" s="73" t="s">
        <v>114</v>
      </c>
      <c r="D176" s="129"/>
      <c r="E176" s="93"/>
      <c r="F176" s="93"/>
      <c r="G176" s="105"/>
      <c r="H176" s="93"/>
      <c r="I176" s="113">
        <f>SUBTOTAL(9,K177:K230)</f>
        <v>0</v>
      </c>
      <c r="J176" s="117"/>
      <c r="K176"/>
      <c r="L176"/>
      <c r="M176"/>
      <c r="N176"/>
      <c r="O176"/>
      <c r="P176"/>
      <c r="Q176"/>
      <c r="R176"/>
      <c r="S176"/>
      <c r="T176"/>
    </row>
    <row r="177" spans="1:20" outlineLevel="3" x14ac:dyDescent="0.3">
      <c r="A177" s="88" t="s">
        <v>404</v>
      </c>
      <c r="B177" s="72" t="s">
        <v>116</v>
      </c>
      <c r="C177" s="74" t="s">
        <v>117</v>
      </c>
      <c r="D177" s="129"/>
      <c r="E177" s="93"/>
      <c r="F177" s="93"/>
      <c r="G177" s="105"/>
      <c r="H177" s="93"/>
      <c r="I177" s="113">
        <f>SUBTOTAL(9,K178:K181)</f>
        <v>0</v>
      </c>
      <c r="J177" s="117"/>
      <c r="K177"/>
      <c r="L177"/>
      <c r="M177"/>
      <c r="N177"/>
      <c r="O177"/>
      <c r="P177"/>
      <c r="Q177"/>
      <c r="R177"/>
      <c r="S177"/>
      <c r="T177"/>
    </row>
    <row r="178" spans="1:20" outlineLevel="4" x14ac:dyDescent="0.3">
      <c r="A178" s="88" t="s">
        <v>405</v>
      </c>
      <c r="B178" s="10" t="s">
        <v>119</v>
      </c>
      <c r="C178" s="65" t="s">
        <v>120</v>
      </c>
      <c r="D178" s="44" t="s">
        <v>121</v>
      </c>
      <c r="E178" s="90">
        <v>1901</v>
      </c>
      <c r="F178" s="90"/>
      <c r="G178" s="102">
        <f>cell_CoefGeneral</f>
        <v>1</v>
      </c>
      <c r="H178" s="101">
        <f>H26</f>
        <v>0</v>
      </c>
      <c r="I178" s="90">
        <f>IFERROR(ROUND(E178*H178,2),"-")</f>
        <v>0</v>
      </c>
      <c r="J178" s="114" t="str">
        <f>IFERROR(I178/cell_Total_HT,"-")</f>
        <v>-</v>
      </c>
      <c r="K178">
        <f>I178</f>
        <v>0</v>
      </c>
      <c r="L178"/>
      <c r="M178"/>
      <c r="N178"/>
      <c r="O178"/>
      <c r="P178"/>
      <c r="Q178"/>
      <c r="R178"/>
      <c r="S178"/>
      <c r="T178"/>
    </row>
    <row r="179" spans="1:20" ht="28.8" outlineLevel="4" x14ac:dyDescent="0.3">
      <c r="A179" s="88" t="s">
        <v>406</v>
      </c>
      <c r="B179" s="10" t="s">
        <v>123</v>
      </c>
      <c r="C179" s="65" t="s">
        <v>124</v>
      </c>
      <c r="D179" s="44" t="s">
        <v>125</v>
      </c>
      <c r="E179" s="90">
        <v>547</v>
      </c>
      <c r="F179" s="90"/>
      <c r="G179" s="102">
        <f>cell_CoefGeneral</f>
        <v>1</v>
      </c>
      <c r="H179" s="101">
        <f>H27</f>
        <v>0</v>
      </c>
      <c r="I179" s="90">
        <f>IFERROR(ROUND(E179*H179,2),"-")</f>
        <v>0</v>
      </c>
      <c r="J179" s="114" t="str">
        <f>IFERROR(I179/cell_Total_HT,"-")</f>
        <v>-</v>
      </c>
      <c r="K179">
        <f>I179</f>
        <v>0</v>
      </c>
      <c r="L179"/>
      <c r="M179"/>
      <c r="N179"/>
      <c r="O179"/>
      <c r="P179"/>
      <c r="Q179"/>
      <c r="R179"/>
      <c r="S179"/>
      <c r="T179"/>
    </row>
    <row r="180" spans="1:20" outlineLevel="4" x14ac:dyDescent="0.3">
      <c r="A180" s="88" t="s">
        <v>407</v>
      </c>
      <c r="B180" s="10" t="s">
        <v>127</v>
      </c>
      <c r="C180" s="65" t="s">
        <v>128</v>
      </c>
      <c r="D180" s="44" t="s">
        <v>121</v>
      </c>
      <c r="E180" s="90">
        <v>1901</v>
      </c>
      <c r="F180" s="90"/>
      <c r="G180" s="102">
        <f>cell_CoefGeneral</f>
        <v>1</v>
      </c>
      <c r="H180" s="101">
        <f>H28</f>
        <v>0</v>
      </c>
      <c r="I180" s="90">
        <f>IFERROR(ROUND(E180*H180,2),"-")</f>
        <v>0</v>
      </c>
      <c r="J180" s="114" t="str">
        <f>IFERROR(I180/cell_Total_HT,"-")</f>
        <v>-</v>
      </c>
      <c r="K180">
        <f>I180</f>
        <v>0</v>
      </c>
      <c r="L180"/>
      <c r="M180"/>
      <c r="N180"/>
      <c r="O180"/>
      <c r="P180"/>
      <c r="Q180"/>
      <c r="R180"/>
      <c r="S180"/>
      <c r="T180"/>
    </row>
    <row r="181" spans="1:20" outlineLevel="4" x14ac:dyDescent="0.3">
      <c r="A181" s="88" t="s">
        <v>408</v>
      </c>
      <c r="B181" s="10" t="s">
        <v>130</v>
      </c>
      <c r="C181" s="65" t="s">
        <v>131</v>
      </c>
      <c r="D181" s="44" t="s">
        <v>125</v>
      </c>
      <c r="E181" s="90">
        <v>274</v>
      </c>
      <c r="F181" s="90"/>
      <c r="G181" s="102">
        <f>cell_CoefGeneral</f>
        <v>1</v>
      </c>
      <c r="H181" s="101">
        <f>H29</f>
        <v>0</v>
      </c>
      <c r="I181" s="90">
        <f>IFERROR(ROUND(E181*H181,2),"-")</f>
        <v>0</v>
      </c>
      <c r="J181" s="114" t="str">
        <f>IFERROR(I181/cell_Total_HT,"-")</f>
        <v>-</v>
      </c>
      <c r="K181">
        <f>I181</f>
        <v>0</v>
      </c>
      <c r="L181"/>
      <c r="M181"/>
      <c r="N181"/>
      <c r="O181"/>
      <c r="P181"/>
      <c r="Q181"/>
      <c r="R181"/>
      <c r="S181"/>
      <c r="T181"/>
    </row>
    <row r="182" spans="1:20" outlineLevel="3" x14ac:dyDescent="0.3">
      <c r="A182" s="88" t="s">
        <v>409</v>
      </c>
      <c r="B182" s="63" t="s">
        <v>133</v>
      </c>
      <c r="C182" s="75" t="s">
        <v>134</v>
      </c>
      <c r="D182" s="125"/>
      <c r="E182" s="93"/>
      <c r="F182" s="93"/>
      <c r="G182" s="105"/>
      <c r="H182" s="93"/>
      <c r="I182" s="113">
        <f>SUBTOTAL(9,K183:K184)</f>
        <v>0</v>
      </c>
      <c r="J182" s="117"/>
      <c r="K182"/>
      <c r="L182"/>
      <c r="M182"/>
      <c r="N182"/>
      <c r="O182"/>
      <c r="P182"/>
      <c r="Q182"/>
      <c r="R182"/>
      <c r="S182"/>
      <c r="T182"/>
    </row>
    <row r="183" spans="1:20" outlineLevel="4" x14ac:dyDescent="0.3">
      <c r="A183" s="88" t="s">
        <v>410</v>
      </c>
      <c r="B183" s="10" t="s">
        <v>136</v>
      </c>
      <c r="C183" s="65" t="s">
        <v>120</v>
      </c>
      <c r="D183" s="44" t="s">
        <v>121</v>
      </c>
      <c r="E183" s="90">
        <v>392</v>
      </c>
      <c r="F183" s="90"/>
      <c r="G183" s="102">
        <f>cell_CoefGeneral</f>
        <v>1</v>
      </c>
      <c r="H183" s="101">
        <f>H31</f>
        <v>0</v>
      </c>
      <c r="I183" s="90">
        <f>IFERROR(ROUND(E183*H183,2),"-")</f>
        <v>0</v>
      </c>
      <c r="J183" s="114" t="str">
        <f>IFERROR(I183/cell_Total_HT,"-")</f>
        <v>-</v>
      </c>
      <c r="K183">
        <f>I183</f>
        <v>0</v>
      </c>
      <c r="L183"/>
      <c r="M183"/>
      <c r="N183"/>
      <c r="O183"/>
      <c r="P183"/>
      <c r="Q183"/>
      <c r="R183"/>
      <c r="S183"/>
      <c r="T183"/>
    </row>
    <row r="184" spans="1:20" outlineLevel="4" x14ac:dyDescent="0.3">
      <c r="A184" s="88" t="s">
        <v>411</v>
      </c>
      <c r="B184" s="10" t="s">
        <v>138</v>
      </c>
      <c r="C184" s="65" t="s">
        <v>139</v>
      </c>
      <c r="D184" s="44" t="s">
        <v>125</v>
      </c>
      <c r="E184" s="90">
        <v>56</v>
      </c>
      <c r="F184" s="90"/>
      <c r="G184" s="102">
        <f>cell_CoefGeneral</f>
        <v>1</v>
      </c>
      <c r="H184" s="101">
        <f>H32</f>
        <v>0</v>
      </c>
      <c r="I184" s="90">
        <f>IFERROR(ROUND(E184*H184,2),"-")</f>
        <v>0</v>
      </c>
      <c r="J184" s="114" t="str">
        <f>IFERROR(I184/cell_Total_HT,"-")</f>
        <v>-</v>
      </c>
      <c r="K184">
        <f>I184</f>
        <v>0</v>
      </c>
      <c r="L184"/>
      <c r="M184"/>
      <c r="N184"/>
      <c r="O184"/>
      <c r="P184"/>
      <c r="Q184"/>
      <c r="R184"/>
      <c r="S184"/>
      <c r="T184"/>
    </row>
    <row r="185" spans="1:20" outlineLevel="3" x14ac:dyDescent="0.3">
      <c r="A185" s="88" t="s">
        <v>412</v>
      </c>
      <c r="B185" s="63" t="s">
        <v>141</v>
      </c>
      <c r="C185" s="75" t="s">
        <v>142</v>
      </c>
      <c r="D185" s="125"/>
      <c r="E185" s="93"/>
      <c r="F185" s="93"/>
      <c r="G185" s="105"/>
      <c r="H185" s="93"/>
      <c r="I185" s="113">
        <f>SUBTOTAL(9,K186:K187)</f>
        <v>0</v>
      </c>
      <c r="J185" s="117"/>
      <c r="K185"/>
      <c r="L185"/>
      <c r="M185"/>
      <c r="N185"/>
      <c r="O185"/>
      <c r="P185"/>
      <c r="Q185"/>
      <c r="R185"/>
      <c r="S185"/>
      <c r="T185"/>
    </row>
    <row r="186" spans="1:20" outlineLevel="4" x14ac:dyDescent="0.3">
      <c r="A186" s="88" t="s">
        <v>413</v>
      </c>
      <c r="B186" s="10" t="s">
        <v>144</v>
      </c>
      <c r="C186" s="65" t="s">
        <v>145</v>
      </c>
      <c r="D186" s="44" t="s">
        <v>121</v>
      </c>
      <c r="E186" s="90">
        <v>0</v>
      </c>
      <c r="F186" s="90"/>
      <c r="G186" s="102">
        <f>cell_CoefGeneral</f>
        <v>1</v>
      </c>
      <c r="H186" s="101">
        <f>H34</f>
        <v>0</v>
      </c>
      <c r="I186" s="90">
        <f>IFERROR(ROUND(E186*H186,2),"-")</f>
        <v>0</v>
      </c>
      <c r="J186" s="114" t="str">
        <f>IFERROR(I186/cell_Total_HT,"-")</f>
        <v>-</v>
      </c>
      <c r="K186">
        <f>I186</f>
        <v>0</v>
      </c>
      <c r="L186"/>
      <c r="M186"/>
      <c r="N186"/>
      <c r="O186"/>
      <c r="P186"/>
      <c r="Q186"/>
      <c r="R186"/>
      <c r="S186"/>
      <c r="T186"/>
    </row>
    <row r="187" spans="1:20" outlineLevel="4" x14ac:dyDescent="0.3">
      <c r="A187" s="88" t="s">
        <v>414</v>
      </c>
      <c r="B187" s="10" t="s">
        <v>147</v>
      </c>
      <c r="C187" s="65" t="s">
        <v>148</v>
      </c>
      <c r="D187" s="44" t="s">
        <v>149</v>
      </c>
      <c r="E187" s="90">
        <v>0</v>
      </c>
      <c r="F187" s="90"/>
      <c r="G187" s="102">
        <f>cell_CoefGeneral</f>
        <v>1</v>
      </c>
      <c r="H187" s="101">
        <f>H35</f>
        <v>0</v>
      </c>
      <c r="I187" s="90">
        <f>IFERROR(ROUND(E187*H187,2),"-")</f>
        <v>0</v>
      </c>
      <c r="J187" s="114" t="str">
        <f>IFERROR(I187/cell_Total_HT,"-")</f>
        <v>-</v>
      </c>
      <c r="K187">
        <f>I187</f>
        <v>0</v>
      </c>
      <c r="L187"/>
      <c r="M187"/>
      <c r="N187"/>
      <c r="O187"/>
      <c r="P187"/>
      <c r="Q187"/>
      <c r="R187"/>
      <c r="S187"/>
      <c r="T187"/>
    </row>
    <row r="188" spans="1:20" outlineLevel="3" x14ac:dyDescent="0.3">
      <c r="A188" s="88" t="s">
        <v>415</v>
      </c>
      <c r="B188" s="63" t="s">
        <v>151</v>
      </c>
      <c r="C188" s="75" t="s">
        <v>152</v>
      </c>
      <c r="D188" s="125"/>
      <c r="E188" s="93"/>
      <c r="F188" s="93"/>
      <c r="G188" s="105"/>
      <c r="H188" s="93"/>
      <c r="I188" s="113">
        <f>SUBTOTAL(9,K189:K189)</f>
        <v>0</v>
      </c>
      <c r="J188" s="117"/>
      <c r="K188"/>
      <c r="L188"/>
      <c r="M188"/>
      <c r="N188"/>
      <c r="O188"/>
      <c r="P188"/>
      <c r="Q188"/>
      <c r="R188"/>
      <c r="S188"/>
      <c r="T188"/>
    </row>
    <row r="189" spans="1:20" outlineLevel="4" x14ac:dyDescent="0.3">
      <c r="A189" s="88" t="s">
        <v>416</v>
      </c>
      <c r="B189" s="10" t="s">
        <v>154</v>
      </c>
      <c r="C189" s="65" t="s">
        <v>145</v>
      </c>
      <c r="D189" s="44" t="s">
        <v>121</v>
      </c>
      <c r="E189" s="90">
        <v>33</v>
      </c>
      <c r="F189" s="90"/>
      <c r="G189" s="102">
        <f>cell_CoefGeneral</f>
        <v>1</v>
      </c>
      <c r="H189" s="101">
        <f>H37</f>
        <v>0</v>
      </c>
      <c r="I189" s="90">
        <f>IFERROR(ROUND(E189*H189,2),"-")</f>
        <v>0</v>
      </c>
      <c r="J189" s="114" t="str">
        <f>IFERROR(I189/cell_Total_HT,"-")</f>
        <v>-</v>
      </c>
      <c r="K189">
        <f>I189</f>
        <v>0</v>
      </c>
      <c r="L189"/>
      <c r="M189"/>
      <c r="N189"/>
      <c r="O189"/>
      <c r="P189"/>
      <c r="Q189"/>
      <c r="R189"/>
      <c r="S189"/>
      <c r="T189"/>
    </row>
    <row r="190" spans="1:20" outlineLevel="3" x14ac:dyDescent="0.3">
      <c r="A190" s="88" t="s">
        <v>417</v>
      </c>
      <c r="B190" s="63" t="s">
        <v>156</v>
      </c>
      <c r="C190" s="75" t="s">
        <v>157</v>
      </c>
      <c r="D190" s="125"/>
      <c r="E190" s="93"/>
      <c r="F190" s="93"/>
      <c r="G190" s="105"/>
      <c r="H190" s="93"/>
      <c r="I190" s="113">
        <f>SUBTOTAL(9,K191:K191)</f>
        <v>0</v>
      </c>
      <c r="J190" s="117"/>
      <c r="K190"/>
      <c r="L190"/>
      <c r="M190"/>
      <c r="N190"/>
      <c r="O190"/>
      <c r="P190"/>
      <c r="Q190"/>
      <c r="R190"/>
      <c r="S190"/>
      <c r="T190"/>
    </row>
    <row r="191" spans="1:20" outlineLevel="4" x14ac:dyDescent="0.3">
      <c r="A191" s="88" t="s">
        <v>418</v>
      </c>
      <c r="B191" s="10" t="s">
        <v>159</v>
      </c>
      <c r="C191" s="65" t="s">
        <v>160</v>
      </c>
      <c r="D191" s="44" t="s">
        <v>121</v>
      </c>
      <c r="E191" s="90">
        <v>47</v>
      </c>
      <c r="F191" s="90"/>
      <c r="G191" s="102">
        <f>cell_CoefGeneral</f>
        <v>1</v>
      </c>
      <c r="H191" s="101">
        <f>H39</f>
        <v>0</v>
      </c>
      <c r="I191" s="90">
        <f>IFERROR(ROUND(E191*H191,2),"-")</f>
        <v>0</v>
      </c>
      <c r="J191" s="114" t="str">
        <f>IFERROR(I191/cell_Total_HT,"-")</f>
        <v>-</v>
      </c>
      <c r="K191">
        <f>I191</f>
        <v>0</v>
      </c>
      <c r="L191"/>
      <c r="M191"/>
      <c r="N191"/>
      <c r="O191"/>
      <c r="P191"/>
      <c r="Q191"/>
      <c r="R191"/>
      <c r="S191"/>
      <c r="T191"/>
    </row>
    <row r="192" spans="1:20" outlineLevel="3" x14ac:dyDescent="0.3">
      <c r="A192" s="88" t="s">
        <v>419</v>
      </c>
      <c r="B192" s="63" t="s">
        <v>162</v>
      </c>
      <c r="C192" s="75" t="s">
        <v>163</v>
      </c>
      <c r="D192" s="125"/>
      <c r="E192" s="93"/>
      <c r="F192" s="93"/>
      <c r="G192" s="105"/>
      <c r="H192" s="93"/>
      <c r="I192" s="113">
        <f>SUBTOTAL(9,K193:K194)</f>
        <v>0</v>
      </c>
      <c r="J192" s="117"/>
      <c r="K192"/>
      <c r="L192"/>
      <c r="M192"/>
      <c r="N192"/>
      <c r="O192"/>
      <c r="P192"/>
      <c r="Q192"/>
      <c r="R192"/>
      <c r="S192"/>
      <c r="T192"/>
    </row>
    <row r="193" spans="1:20" ht="28.8" outlineLevel="4" x14ac:dyDescent="0.3">
      <c r="A193" s="88" t="s">
        <v>420</v>
      </c>
      <c r="B193" s="10" t="s">
        <v>165</v>
      </c>
      <c r="C193" s="65" t="s">
        <v>166</v>
      </c>
      <c r="D193" s="44" t="s">
        <v>167</v>
      </c>
      <c r="E193" s="90">
        <v>0</v>
      </c>
      <c r="F193" s="90"/>
      <c r="G193" s="102">
        <f>cell_CoefGeneral</f>
        <v>1</v>
      </c>
      <c r="H193" s="101">
        <f>H41</f>
        <v>0</v>
      </c>
      <c r="I193" s="90">
        <f>IFERROR(ROUND(E193*H193,2),"-")</f>
        <v>0</v>
      </c>
      <c r="J193" s="114" t="str">
        <f>IFERROR(I193/cell_Total_HT,"-")</f>
        <v>-</v>
      </c>
      <c r="K193">
        <f>I193</f>
        <v>0</v>
      </c>
      <c r="L193"/>
      <c r="M193"/>
      <c r="N193"/>
      <c r="O193"/>
      <c r="P193"/>
      <c r="Q193"/>
      <c r="R193"/>
      <c r="S193"/>
      <c r="T193"/>
    </row>
    <row r="194" spans="1:20" outlineLevel="4" x14ac:dyDescent="0.3">
      <c r="A194" s="88" t="s">
        <v>421</v>
      </c>
      <c r="B194" s="10" t="s">
        <v>169</v>
      </c>
      <c r="C194" s="65" t="s">
        <v>170</v>
      </c>
      <c r="D194" s="44" t="s">
        <v>121</v>
      </c>
      <c r="E194" s="90">
        <v>0</v>
      </c>
      <c r="F194" s="90"/>
      <c r="G194" s="102">
        <f>cell_CoefGeneral</f>
        <v>1</v>
      </c>
      <c r="H194" s="101">
        <f>H42</f>
        <v>0</v>
      </c>
      <c r="I194" s="90">
        <f>IFERROR(ROUND(E194*H194,2),"-")</f>
        <v>0</v>
      </c>
      <c r="J194" s="114" t="str">
        <f>IFERROR(I194/cell_Total_HT,"-")</f>
        <v>-</v>
      </c>
      <c r="K194">
        <f>I194</f>
        <v>0</v>
      </c>
      <c r="L194"/>
      <c r="M194"/>
      <c r="N194"/>
      <c r="O194"/>
      <c r="P194"/>
      <c r="Q194"/>
      <c r="R194"/>
      <c r="S194"/>
      <c r="T194"/>
    </row>
    <row r="195" spans="1:20" outlineLevel="3" x14ac:dyDescent="0.3">
      <c r="A195" s="88" t="s">
        <v>422</v>
      </c>
      <c r="B195" s="63" t="s">
        <v>172</v>
      </c>
      <c r="C195" s="75" t="s">
        <v>173</v>
      </c>
      <c r="D195" s="125"/>
      <c r="E195" s="93"/>
      <c r="F195" s="93"/>
      <c r="G195" s="105"/>
      <c r="H195" s="93"/>
      <c r="I195" s="113">
        <f>SUBTOTAL(9,K196:K197)</f>
        <v>0</v>
      </c>
      <c r="J195" s="117"/>
      <c r="K195"/>
      <c r="L195"/>
      <c r="M195"/>
      <c r="N195"/>
      <c r="O195"/>
      <c r="P195"/>
      <c r="Q195"/>
      <c r="R195"/>
      <c r="S195"/>
      <c r="T195"/>
    </row>
    <row r="196" spans="1:20" ht="28.8" outlineLevel="4" x14ac:dyDescent="0.3">
      <c r="A196" s="88" t="s">
        <v>423</v>
      </c>
      <c r="B196" s="10" t="s">
        <v>175</v>
      </c>
      <c r="C196" s="65" t="s">
        <v>166</v>
      </c>
      <c r="D196" s="44" t="s">
        <v>167</v>
      </c>
      <c r="E196" s="90">
        <v>0</v>
      </c>
      <c r="F196" s="90"/>
      <c r="G196" s="102">
        <f>cell_CoefGeneral</f>
        <v>1</v>
      </c>
      <c r="H196" s="101">
        <f>H44</f>
        <v>0</v>
      </c>
      <c r="I196" s="90">
        <f>IFERROR(ROUND(E196*H196,2),"-")</f>
        <v>0</v>
      </c>
      <c r="J196" s="114" t="str">
        <f>IFERROR(I196/cell_Total_HT,"-")</f>
        <v>-</v>
      </c>
      <c r="K196">
        <f>I196</f>
        <v>0</v>
      </c>
      <c r="L196"/>
      <c r="M196"/>
      <c r="N196"/>
      <c r="O196"/>
      <c r="P196"/>
      <c r="Q196"/>
      <c r="R196"/>
      <c r="S196"/>
      <c r="T196"/>
    </row>
    <row r="197" spans="1:20" outlineLevel="4" x14ac:dyDescent="0.3">
      <c r="A197" s="88" t="s">
        <v>424</v>
      </c>
      <c r="B197" s="10" t="s">
        <v>177</v>
      </c>
      <c r="C197" s="65" t="s">
        <v>178</v>
      </c>
      <c r="D197" s="44" t="s">
        <v>121</v>
      </c>
      <c r="E197" s="90">
        <v>0</v>
      </c>
      <c r="F197" s="90"/>
      <c r="G197" s="102">
        <f>cell_CoefGeneral</f>
        <v>1</v>
      </c>
      <c r="H197" s="101">
        <f>H45</f>
        <v>0</v>
      </c>
      <c r="I197" s="90">
        <f>IFERROR(ROUND(E197*H197,2),"-")</f>
        <v>0</v>
      </c>
      <c r="J197" s="114" t="str">
        <f>IFERROR(I197/cell_Total_HT,"-")</f>
        <v>-</v>
      </c>
      <c r="K197">
        <f>I197</f>
        <v>0</v>
      </c>
      <c r="L197"/>
      <c r="M197"/>
      <c r="N197"/>
      <c r="O197"/>
      <c r="P197"/>
      <c r="Q197"/>
      <c r="R197"/>
      <c r="S197"/>
      <c r="T197"/>
    </row>
    <row r="198" spans="1:20" outlineLevel="3" x14ac:dyDescent="0.3">
      <c r="A198" s="88" t="s">
        <v>425</v>
      </c>
      <c r="B198" s="63" t="s">
        <v>180</v>
      </c>
      <c r="C198" s="75" t="s">
        <v>181</v>
      </c>
      <c r="D198" s="125"/>
      <c r="E198" s="93"/>
      <c r="F198" s="93"/>
      <c r="G198" s="105"/>
      <c r="H198" s="93"/>
      <c r="I198" s="113">
        <f>SUBTOTAL(9,K199:K200)</f>
        <v>0</v>
      </c>
      <c r="J198" s="117"/>
      <c r="K198"/>
      <c r="L198"/>
      <c r="M198"/>
      <c r="N198"/>
      <c r="O198"/>
      <c r="P198"/>
      <c r="Q198"/>
      <c r="R198"/>
      <c r="S198"/>
      <c r="T198"/>
    </row>
    <row r="199" spans="1:20" ht="28.8" outlineLevel="4" x14ac:dyDescent="0.3">
      <c r="A199" s="88" t="s">
        <v>426</v>
      </c>
      <c r="B199" s="10" t="s">
        <v>183</v>
      </c>
      <c r="C199" s="65" t="s">
        <v>184</v>
      </c>
      <c r="D199" s="44" t="s">
        <v>167</v>
      </c>
      <c r="E199" s="90">
        <v>0</v>
      </c>
      <c r="F199" s="90"/>
      <c r="G199" s="102">
        <f>cell_CoefGeneral</f>
        <v>1</v>
      </c>
      <c r="H199" s="101">
        <f>H47</f>
        <v>0</v>
      </c>
      <c r="I199" s="90">
        <f>IFERROR(ROUND(E199*H199,2),"-")</f>
        <v>0</v>
      </c>
      <c r="J199" s="114" t="str">
        <f>IFERROR(I199/cell_Total_HT,"-")</f>
        <v>-</v>
      </c>
      <c r="K199">
        <f>I199</f>
        <v>0</v>
      </c>
      <c r="L199"/>
      <c r="M199"/>
      <c r="N199"/>
      <c r="O199"/>
      <c r="P199"/>
      <c r="Q199"/>
      <c r="R199"/>
      <c r="S199"/>
      <c r="T199"/>
    </row>
    <row r="200" spans="1:20" outlineLevel="4" x14ac:dyDescent="0.3">
      <c r="A200" s="88" t="s">
        <v>427</v>
      </c>
      <c r="B200" s="10" t="s">
        <v>186</v>
      </c>
      <c r="C200" s="65" t="s">
        <v>187</v>
      </c>
      <c r="D200" s="44" t="s">
        <v>121</v>
      </c>
      <c r="E200" s="90">
        <v>0</v>
      </c>
      <c r="F200" s="90"/>
      <c r="G200" s="102">
        <f>cell_CoefGeneral</f>
        <v>1</v>
      </c>
      <c r="H200" s="101">
        <f>H48</f>
        <v>0</v>
      </c>
      <c r="I200" s="90">
        <f>IFERROR(ROUND(E200*H200,2),"-")</f>
        <v>0</v>
      </c>
      <c r="J200" s="114" t="str">
        <f>IFERROR(I200/cell_Total_HT,"-")</f>
        <v>-</v>
      </c>
      <c r="K200">
        <f>I200</f>
        <v>0</v>
      </c>
      <c r="L200"/>
      <c r="M200"/>
      <c r="N200"/>
      <c r="O200"/>
      <c r="P200"/>
      <c r="Q200"/>
      <c r="R200"/>
      <c r="S200"/>
      <c r="T200"/>
    </row>
    <row r="201" spans="1:20" outlineLevel="3" x14ac:dyDescent="0.3">
      <c r="A201" s="88" t="s">
        <v>428</v>
      </c>
      <c r="B201" s="63" t="s">
        <v>189</v>
      </c>
      <c r="C201" s="75" t="s">
        <v>190</v>
      </c>
      <c r="D201" s="125"/>
      <c r="E201" s="93"/>
      <c r="F201" s="93"/>
      <c r="G201" s="105"/>
      <c r="H201" s="93"/>
      <c r="I201" s="113">
        <f>SUBTOTAL(9,K202:K203)</f>
        <v>0</v>
      </c>
      <c r="J201" s="117"/>
      <c r="K201"/>
      <c r="L201"/>
      <c r="M201"/>
      <c r="N201"/>
      <c r="O201"/>
      <c r="P201"/>
      <c r="Q201"/>
      <c r="R201"/>
      <c r="S201"/>
      <c r="T201"/>
    </row>
    <row r="202" spans="1:20" outlineLevel="4" x14ac:dyDescent="0.3">
      <c r="A202" s="88" t="s">
        <v>429</v>
      </c>
      <c r="B202" s="10" t="s">
        <v>192</v>
      </c>
      <c r="C202" s="65" t="s">
        <v>120</v>
      </c>
      <c r="D202" s="44" t="s">
        <v>121</v>
      </c>
      <c r="E202" s="90">
        <v>2223</v>
      </c>
      <c r="F202" s="90"/>
      <c r="G202" s="102">
        <f>cell_CoefGeneral</f>
        <v>1</v>
      </c>
      <c r="H202" s="101">
        <f>H50</f>
        <v>0</v>
      </c>
      <c r="I202" s="90">
        <f>IFERROR(ROUND(E202*H202,2),"-")</f>
        <v>0</v>
      </c>
      <c r="J202" s="114" t="str">
        <f>IFERROR(I202/cell_Total_HT,"-")</f>
        <v>-</v>
      </c>
      <c r="K202">
        <f>I202</f>
        <v>0</v>
      </c>
      <c r="L202"/>
      <c r="M202"/>
      <c r="N202"/>
      <c r="O202"/>
      <c r="P202"/>
      <c r="Q202"/>
      <c r="R202"/>
      <c r="S202"/>
      <c r="T202"/>
    </row>
    <row r="203" spans="1:20" outlineLevel="4" x14ac:dyDescent="0.3">
      <c r="A203" s="88" t="s">
        <v>430</v>
      </c>
      <c r="B203" s="10" t="s">
        <v>194</v>
      </c>
      <c r="C203" s="65" t="s">
        <v>195</v>
      </c>
      <c r="D203" s="44" t="s">
        <v>125</v>
      </c>
      <c r="E203" s="90">
        <v>213</v>
      </c>
      <c r="F203" s="90"/>
      <c r="G203" s="102">
        <f>cell_CoefGeneral</f>
        <v>1</v>
      </c>
      <c r="H203" s="101">
        <f>H51</f>
        <v>0</v>
      </c>
      <c r="I203" s="90">
        <f>IFERROR(ROUND(E203*H203,2),"-")</f>
        <v>0</v>
      </c>
      <c r="J203" s="114" t="str">
        <f>IFERROR(I203/cell_Total_HT,"-")</f>
        <v>-</v>
      </c>
      <c r="K203">
        <f>I203</f>
        <v>0</v>
      </c>
      <c r="L203"/>
      <c r="M203"/>
      <c r="N203"/>
      <c r="O203"/>
      <c r="P203"/>
      <c r="Q203"/>
      <c r="R203"/>
      <c r="S203"/>
      <c r="T203"/>
    </row>
    <row r="204" spans="1:20" outlineLevel="3" x14ac:dyDescent="0.3">
      <c r="A204" s="88" t="s">
        <v>431</v>
      </c>
      <c r="B204" s="63" t="s">
        <v>197</v>
      </c>
      <c r="C204" s="75" t="s">
        <v>198</v>
      </c>
      <c r="D204" s="125"/>
      <c r="E204" s="93"/>
      <c r="F204" s="93"/>
      <c r="G204" s="105"/>
      <c r="H204" s="93"/>
      <c r="I204" s="113">
        <f>SUBTOTAL(9,K205:K205)</f>
        <v>0</v>
      </c>
      <c r="J204" s="117"/>
      <c r="K204"/>
      <c r="L204"/>
      <c r="M204"/>
      <c r="N204"/>
      <c r="O204"/>
      <c r="P204"/>
      <c r="Q204"/>
      <c r="R204"/>
      <c r="S204"/>
      <c r="T204"/>
    </row>
    <row r="205" spans="1:20" ht="28.8" outlineLevel="4" x14ac:dyDescent="0.3">
      <c r="A205" s="88" t="s">
        <v>432</v>
      </c>
      <c r="B205" s="10" t="s">
        <v>200</v>
      </c>
      <c r="C205" s="65" t="s">
        <v>201</v>
      </c>
      <c r="D205" s="44" t="s">
        <v>167</v>
      </c>
      <c r="E205" s="90">
        <v>0</v>
      </c>
      <c r="F205" s="90"/>
      <c r="G205" s="102">
        <f>cell_CoefGeneral</f>
        <v>1</v>
      </c>
      <c r="H205" s="101">
        <f>H53</f>
        <v>0</v>
      </c>
      <c r="I205" s="90">
        <f>IFERROR(ROUND(E205*H205,2),"-")</f>
        <v>0</v>
      </c>
      <c r="J205" s="114" t="str">
        <f>IFERROR(I205/cell_Total_HT,"-")</f>
        <v>-</v>
      </c>
      <c r="K205">
        <f>I205</f>
        <v>0</v>
      </c>
      <c r="L205"/>
      <c r="M205"/>
      <c r="N205"/>
      <c r="O205"/>
      <c r="P205"/>
      <c r="Q205"/>
      <c r="R205"/>
      <c r="S205"/>
      <c r="T205"/>
    </row>
    <row r="206" spans="1:20" outlineLevel="3" x14ac:dyDescent="0.3">
      <c r="A206" s="88" t="s">
        <v>433</v>
      </c>
      <c r="B206" s="63" t="s">
        <v>203</v>
      </c>
      <c r="C206" s="75" t="s">
        <v>204</v>
      </c>
      <c r="D206" s="125"/>
      <c r="E206" s="93"/>
      <c r="F206" s="93"/>
      <c r="G206" s="105"/>
      <c r="H206" s="93"/>
      <c r="I206" s="113">
        <f>SUBTOTAL(9,K207:K209)</f>
        <v>0</v>
      </c>
      <c r="J206" s="117"/>
      <c r="K206"/>
      <c r="L206"/>
      <c r="M206"/>
      <c r="N206"/>
      <c r="O206"/>
      <c r="P206"/>
      <c r="Q206"/>
      <c r="R206"/>
      <c r="S206"/>
      <c r="T206"/>
    </row>
    <row r="207" spans="1:20" ht="28.8" outlineLevel="4" x14ac:dyDescent="0.3">
      <c r="A207" s="88" t="s">
        <v>434</v>
      </c>
      <c r="B207" s="10" t="s">
        <v>206</v>
      </c>
      <c r="C207" s="65" t="s">
        <v>207</v>
      </c>
      <c r="D207" s="44" t="s">
        <v>121</v>
      </c>
      <c r="E207" s="90">
        <v>0</v>
      </c>
      <c r="F207" s="90"/>
      <c r="G207" s="102">
        <f>cell_CoefGeneral</f>
        <v>1</v>
      </c>
      <c r="H207" s="101">
        <f>H55</f>
        <v>0</v>
      </c>
      <c r="I207" s="90">
        <f>IFERROR(ROUND(E207*H207,2),"-")</f>
        <v>0</v>
      </c>
      <c r="J207" s="114" t="str">
        <f>IFERROR(I207/cell_Total_HT,"-")</f>
        <v>-</v>
      </c>
      <c r="K207">
        <f>I207</f>
        <v>0</v>
      </c>
      <c r="L207"/>
      <c r="M207"/>
      <c r="N207"/>
      <c r="O207"/>
      <c r="P207"/>
      <c r="Q207"/>
      <c r="R207"/>
      <c r="S207"/>
      <c r="T207"/>
    </row>
    <row r="208" spans="1:20" ht="28.8" outlineLevel="4" x14ac:dyDescent="0.3">
      <c r="A208" s="88" t="s">
        <v>435</v>
      </c>
      <c r="B208" s="10" t="s">
        <v>209</v>
      </c>
      <c r="C208" s="65" t="s">
        <v>210</v>
      </c>
      <c r="D208" s="44" t="s">
        <v>121</v>
      </c>
      <c r="E208" s="90">
        <v>0</v>
      </c>
      <c r="F208" s="90"/>
      <c r="G208" s="102">
        <f>cell_CoefGeneral</f>
        <v>1</v>
      </c>
      <c r="H208" s="101">
        <f>H56</f>
        <v>0</v>
      </c>
      <c r="I208" s="90">
        <f>IFERROR(ROUND(E208*H208,2),"-")</f>
        <v>0</v>
      </c>
      <c r="J208" s="114" t="str">
        <f>IFERROR(I208/cell_Total_HT,"-")</f>
        <v>-</v>
      </c>
      <c r="K208">
        <f>I208</f>
        <v>0</v>
      </c>
      <c r="L208"/>
      <c r="M208"/>
      <c r="N208"/>
      <c r="O208"/>
      <c r="P208"/>
      <c r="Q208"/>
      <c r="R208"/>
      <c r="S208"/>
      <c r="T208"/>
    </row>
    <row r="209" spans="1:20" ht="28.8" outlineLevel="4" x14ac:dyDescent="0.3">
      <c r="A209" s="88" t="s">
        <v>436</v>
      </c>
      <c r="B209" s="10" t="s">
        <v>212</v>
      </c>
      <c r="C209" s="65" t="s">
        <v>213</v>
      </c>
      <c r="D209" s="44" t="s">
        <v>149</v>
      </c>
      <c r="E209" s="90">
        <v>0</v>
      </c>
      <c r="F209" s="90"/>
      <c r="G209" s="102">
        <f>cell_CoefGeneral</f>
        <v>1</v>
      </c>
      <c r="H209" s="101">
        <f>H57</f>
        <v>0</v>
      </c>
      <c r="I209" s="90">
        <f>IFERROR(ROUND(E209*H209,2),"-")</f>
        <v>0</v>
      </c>
      <c r="J209" s="114" t="str">
        <f>IFERROR(I209/cell_Total_HT,"-")</f>
        <v>-</v>
      </c>
      <c r="K209">
        <f>I209</f>
        <v>0</v>
      </c>
      <c r="L209"/>
      <c r="M209"/>
      <c r="N209"/>
      <c r="O209"/>
      <c r="P209"/>
      <c r="Q209"/>
      <c r="R209"/>
      <c r="S209"/>
      <c r="T209"/>
    </row>
    <row r="210" spans="1:20" outlineLevel="3" x14ac:dyDescent="0.3">
      <c r="A210" s="88" t="s">
        <v>437</v>
      </c>
      <c r="B210" s="63" t="s">
        <v>215</v>
      </c>
      <c r="C210" s="75" t="s">
        <v>216</v>
      </c>
      <c r="D210" s="125"/>
      <c r="E210" s="93"/>
      <c r="F210" s="93"/>
      <c r="G210" s="105"/>
      <c r="H210" s="93"/>
      <c r="I210" s="113">
        <f>SUBTOTAL(9,K211:K212)</f>
        <v>0</v>
      </c>
      <c r="J210" s="117"/>
      <c r="K210"/>
      <c r="L210"/>
      <c r="M210"/>
      <c r="N210"/>
      <c r="O210"/>
      <c r="P210"/>
      <c r="Q210"/>
      <c r="R210"/>
      <c r="S210"/>
      <c r="T210"/>
    </row>
    <row r="211" spans="1:20" ht="28.8" outlineLevel="4" x14ac:dyDescent="0.3">
      <c r="A211" s="88" t="s">
        <v>438</v>
      </c>
      <c r="B211" s="10" t="s">
        <v>218</v>
      </c>
      <c r="C211" s="65" t="s">
        <v>219</v>
      </c>
      <c r="D211" s="44" t="s">
        <v>167</v>
      </c>
      <c r="E211" s="90">
        <v>0</v>
      </c>
      <c r="F211" s="90"/>
      <c r="G211" s="102">
        <f>cell_CoefGeneral</f>
        <v>1</v>
      </c>
      <c r="H211" s="101">
        <f>H59</f>
        <v>0</v>
      </c>
      <c r="I211" s="90">
        <f>IFERROR(ROUND(E211*H211,2),"-")</f>
        <v>0</v>
      </c>
      <c r="J211" s="114" t="str">
        <f>IFERROR(I211/cell_Total_HT,"-")</f>
        <v>-</v>
      </c>
      <c r="K211">
        <f>I211</f>
        <v>0</v>
      </c>
      <c r="L211"/>
      <c r="M211"/>
      <c r="N211"/>
      <c r="O211"/>
      <c r="P211"/>
      <c r="Q211"/>
      <c r="R211"/>
      <c r="S211"/>
      <c r="T211"/>
    </row>
    <row r="212" spans="1:20" ht="28.8" outlineLevel="4" x14ac:dyDescent="0.3">
      <c r="A212" s="88" t="s">
        <v>439</v>
      </c>
      <c r="B212" s="10" t="s">
        <v>221</v>
      </c>
      <c r="C212" s="65" t="s">
        <v>222</v>
      </c>
      <c r="D212" s="44" t="s">
        <v>121</v>
      </c>
      <c r="E212" s="90">
        <v>0</v>
      </c>
      <c r="F212" s="90"/>
      <c r="G212" s="102">
        <f>cell_CoefGeneral</f>
        <v>1</v>
      </c>
      <c r="H212" s="101">
        <f>H60</f>
        <v>0</v>
      </c>
      <c r="I212" s="90">
        <f>IFERROR(ROUND(E212*H212,2),"-")</f>
        <v>0</v>
      </c>
      <c r="J212" s="114" t="str">
        <f>IFERROR(I212/cell_Total_HT,"-")</f>
        <v>-</v>
      </c>
      <c r="K212">
        <f>I212</f>
        <v>0</v>
      </c>
      <c r="L212"/>
      <c r="M212"/>
      <c r="N212"/>
      <c r="O212"/>
      <c r="P212"/>
      <c r="Q212"/>
      <c r="R212"/>
      <c r="S212"/>
      <c r="T212"/>
    </row>
    <row r="213" spans="1:20" outlineLevel="3" x14ac:dyDescent="0.3">
      <c r="A213" s="88" t="s">
        <v>440</v>
      </c>
      <c r="B213" s="63" t="s">
        <v>224</v>
      </c>
      <c r="C213" s="75" t="s">
        <v>225</v>
      </c>
      <c r="D213" s="125"/>
      <c r="E213" s="93"/>
      <c r="F213" s="93"/>
      <c r="G213" s="105"/>
      <c r="H213" s="93"/>
      <c r="I213" s="113">
        <f>SUBTOTAL(9,K214:K215)</f>
        <v>0</v>
      </c>
      <c r="J213" s="117"/>
      <c r="K213"/>
      <c r="L213"/>
      <c r="M213"/>
      <c r="N213"/>
      <c r="O213"/>
      <c r="P213"/>
      <c r="Q213"/>
      <c r="R213"/>
      <c r="S213"/>
      <c r="T213"/>
    </row>
    <row r="214" spans="1:20" ht="28.8" outlineLevel="4" x14ac:dyDescent="0.3">
      <c r="A214" s="88" t="s">
        <v>441</v>
      </c>
      <c r="B214" s="10" t="s">
        <v>227</v>
      </c>
      <c r="C214" s="65" t="s">
        <v>228</v>
      </c>
      <c r="D214" s="44" t="s">
        <v>121</v>
      </c>
      <c r="E214" s="90">
        <v>0</v>
      </c>
      <c r="F214" s="90"/>
      <c r="G214" s="102">
        <f>cell_CoefGeneral</f>
        <v>1</v>
      </c>
      <c r="H214" s="101">
        <f>H62</f>
        <v>0</v>
      </c>
      <c r="I214" s="90">
        <f>IFERROR(ROUND(E214*H214,2),"-")</f>
        <v>0</v>
      </c>
      <c r="J214" s="114" t="str">
        <f>IFERROR(I214/cell_Total_HT,"-")</f>
        <v>-</v>
      </c>
      <c r="K214">
        <f>I214</f>
        <v>0</v>
      </c>
      <c r="L214"/>
      <c r="M214"/>
      <c r="N214"/>
      <c r="O214"/>
      <c r="P214"/>
      <c r="Q214"/>
      <c r="R214"/>
      <c r="S214"/>
      <c r="T214"/>
    </row>
    <row r="215" spans="1:20" outlineLevel="4" x14ac:dyDescent="0.3">
      <c r="A215" s="88" t="s">
        <v>442</v>
      </c>
      <c r="B215" s="10" t="s">
        <v>230</v>
      </c>
      <c r="C215" s="65" t="s">
        <v>231</v>
      </c>
      <c r="D215" s="44" t="s">
        <v>121</v>
      </c>
      <c r="E215" s="90">
        <v>17</v>
      </c>
      <c r="F215" s="90"/>
      <c r="G215" s="102">
        <f>cell_CoefGeneral</f>
        <v>1</v>
      </c>
      <c r="H215" s="101">
        <f>H63</f>
        <v>0</v>
      </c>
      <c r="I215" s="90">
        <f>IFERROR(ROUND(E215*H215,2),"-")</f>
        <v>0</v>
      </c>
      <c r="J215" s="114" t="str">
        <f>IFERROR(I215/cell_Total_HT,"-")</f>
        <v>-</v>
      </c>
      <c r="K215">
        <f>I215</f>
        <v>0</v>
      </c>
      <c r="L215"/>
      <c r="M215"/>
      <c r="N215"/>
      <c r="O215"/>
      <c r="P215"/>
      <c r="Q215"/>
      <c r="R215"/>
      <c r="S215"/>
      <c r="T215"/>
    </row>
    <row r="216" spans="1:20" outlineLevel="3" x14ac:dyDescent="0.3">
      <c r="A216" s="88" t="s">
        <v>443</v>
      </c>
      <c r="B216" s="63" t="s">
        <v>233</v>
      </c>
      <c r="C216" s="75" t="s">
        <v>234</v>
      </c>
      <c r="D216" s="125"/>
      <c r="E216" s="93"/>
      <c r="F216" s="93"/>
      <c r="G216" s="105"/>
      <c r="H216" s="93"/>
      <c r="I216" s="113">
        <f>SUBTOTAL(9,K217:K217)</f>
        <v>0</v>
      </c>
      <c r="J216" s="117"/>
      <c r="K216"/>
      <c r="L216"/>
      <c r="M216"/>
      <c r="N216"/>
      <c r="O216"/>
      <c r="P216"/>
      <c r="Q216"/>
      <c r="R216"/>
      <c r="S216"/>
      <c r="T216"/>
    </row>
    <row r="217" spans="1:20" ht="28.8" outlineLevel="4" x14ac:dyDescent="0.3">
      <c r="A217" s="88" t="s">
        <v>444</v>
      </c>
      <c r="B217" s="10" t="s">
        <v>236</v>
      </c>
      <c r="C217" s="65" t="s">
        <v>237</v>
      </c>
      <c r="D217" s="44" t="s">
        <v>121</v>
      </c>
      <c r="E217" s="90">
        <v>0</v>
      </c>
      <c r="F217" s="90"/>
      <c r="G217" s="102">
        <f>cell_CoefGeneral</f>
        <v>1</v>
      </c>
      <c r="H217" s="101">
        <f>H65</f>
        <v>0</v>
      </c>
      <c r="I217" s="90">
        <f>IFERROR(ROUND(E217*H217,2),"-")</f>
        <v>0</v>
      </c>
      <c r="J217" s="114" t="str">
        <f>IFERROR(I217/cell_Total_HT,"-")</f>
        <v>-</v>
      </c>
      <c r="K217">
        <f>I217</f>
        <v>0</v>
      </c>
      <c r="L217"/>
      <c r="M217"/>
      <c r="N217"/>
      <c r="O217"/>
      <c r="P217"/>
      <c r="Q217"/>
      <c r="R217"/>
      <c r="S217"/>
      <c r="T217"/>
    </row>
    <row r="218" spans="1:20" outlineLevel="3" x14ac:dyDescent="0.3">
      <c r="A218" s="88" t="s">
        <v>445</v>
      </c>
      <c r="B218" s="63" t="s">
        <v>239</v>
      </c>
      <c r="C218" s="75" t="s">
        <v>240</v>
      </c>
      <c r="D218" s="125"/>
      <c r="E218" s="93"/>
      <c r="F218" s="93"/>
      <c r="G218" s="105"/>
      <c r="H218" s="93"/>
      <c r="I218" s="113">
        <f>SUBTOTAL(9,K219:K221)</f>
        <v>0</v>
      </c>
      <c r="J218" s="117"/>
      <c r="K218"/>
      <c r="L218"/>
      <c r="M218"/>
      <c r="N218"/>
      <c r="O218"/>
      <c r="P218"/>
      <c r="Q218"/>
      <c r="R218"/>
      <c r="S218"/>
      <c r="T218"/>
    </row>
    <row r="219" spans="1:20" ht="28.8" outlineLevel="4" x14ac:dyDescent="0.3">
      <c r="A219" s="88" t="s">
        <v>446</v>
      </c>
      <c r="B219" s="10" t="s">
        <v>242</v>
      </c>
      <c r="C219" s="65" t="s">
        <v>243</v>
      </c>
      <c r="D219" s="44" t="s">
        <v>167</v>
      </c>
      <c r="E219" s="90">
        <v>0</v>
      </c>
      <c r="F219" s="90"/>
      <c r="G219" s="102">
        <f>cell_CoefGeneral</f>
        <v>1</v>
      </c>
      <c r="H219" s="101">
        <f>H67</f>
        <v>0</v>
      </c>
      <c r="I219" s="90">
        <f>IFERROR(ROUND(E219*H219,2),"-")</f>
        <v>0</v>
      </c>
      <c r="J219" s="114" t="str">
        <f>IFERROR(I219/cell_Total_HT,"-")</f>
        <v>-</v>
      </c>
      <c r="K219">
        <f>I219</f>
        <v>0</v>
      </c>
      <c r="L219"/>
      <c r="M219"/>
      <c r="N219"/>
      <c r="O219"/>
      <c r="P219"/>
      <c r="Q219"/>
      <c r="R219"/>
      <c r="S219"/>
      <c r="T219"/>
    </row>
    <row r="220" spans="1:20" outlineLevel="4" x14ac:dyDescent="0.3">
      <c r="A220" s="88" t="s">
        <v>447</v>
      </c>
      <c r="B220" s="10" t="s">
        <v>245</v>
      </c>
      <c r="C220" s="65" t="s">
        <v>246</v>
      </c>
      <c r="D220" s="44" t="s">
        <v>121</v>
      </c>
      <c r="E220" s="90">
        <v>0</v>
      </c>
      <c r="F220" s="90"/>
      <c r="G220" s="102">
        <f>cell_CoefGeneral</f>
        <v>1</v>
      </c>
      <c r="H220" s="101">
        <f>H68</f>
        <v>0</v>
      </c>
      <c r="I220" s="90">
        <f>IFERROR(ROUND(E220*H220,2),"-")</f>
        <v>0</v>
      </c>
      <c r="J220" s="114" t="str">
        <f>IFERROR(I220/cell_Total_HT,"-")</f>
        <v>-</v>
      </c>
      <c r="K220">
        <f>I220</f>
        <v>0</v>
      </c>
      <c r="L220"/>
      <c r="M220"/>
      <c r="N220"/>
      <c r="O220"/>
      <c r="P220"/>
      <c r="Q220"/>
      <c r="R220"/>
      <c r="S220"/>
      <c r="T220"/>
    </row>
    <row r="221" spans="1:20" outlineLevel="4" x14ac:dyDescent="0.3">
      <c r="A221" s="88" t="s">
        <v>448</v>
      </c>
      <c r="B221" s="10" t="s">
        <v>248</v>
      </c>
      <c r="C221" s="65" t="s">
        <v>249</v>
      </c>
      <c r="D221" s="44" t="s">
        <v>121</v>
      </c>
      <c r="E221" s="90">
        <v>0</v>
      </c>
      <c r="F221" s="90"/>
      <c r="G221" s="102">
        <f>cell_CoefGeneral</f>
        <v>1</v>
      </c>
      <c r="H221" s="101">
        <f>H69</f>
        <v>0</v>
      </c>
      <c r="I221" s="90">
        <f>IFERROR(ROUND(E221*H221,2),"-")</f>
        <v>0</v>
      </c>
      <c r="J221" s="114" t="str">
        <f>IFERROR(I221/cell_Total_HT,"-")</f>
        <v>-</v>
      </c>
      <c r="K221">
        <f>I221</f>
        <v>0</v>
      </c>
      <c r="L221"/>
      <c r="M221"/>
      <c r="N221"/>
      <c r="O221"/>
      <c r="P221"/>
      <c r="Q221"/>
      <c r="R221"/>
      <c r="S221"/>
      <c r="T221"/>
    </row>
    <row r="222" spans="1:20" outlineLevel="3" x14ac:dyDescent="0.3">
      <c r="A222" s="88" t="s">
        <v>449</v>
      </c>
      <c r="B222" s="63" t="s">
        <v>251</v>
      </c>
      <c r="C222" s="75" t="s">
        <v>252</v>
      </c>
      <c r="D222" s="125"/>
      <c r="E222" s="93"/>
      <c r="F222" s="93"/>
      <c r="G222" s="105"/>
      <c r="H222" s="93"/>
      <c r="I222" s="113">
        <f>SUBTOTAL(9,K223:K226)</f>
        <v>0</v>
      </c>
      <c r="J222" s="117"/>
      <c r="K222"/>
      <c r="L222"/>
      <c r="M222"/>
      <c r="N222"/>
      <c r="O222"/>
      <c r="P222"/>
      <c r="Q222"/>
      <c r="R222"/>
      <c r="S222"/>
      <c r="T222"/>
    </row>
    <row r="223" spans="1:20" outlineLevel="4" x14ac:dyDescent="0.3">
      <c r="A223" s="88" t="s">
        <v>450</v>
      </c>
      <c r="B223" s="10" t="s">
        <v>254</v>
      </c>
      <c r="C223" s="65" t="s">
        <v>255</v>
      </c>
      <c r="D223" s="44" t="s">
        <v>121</v>
      </c>
      <c r="E223" s="90">
        <v>0</v>
      </c>
      <c r="F223" s="90"/>
      <c r="G223" s="102">
        <f>cell_CoefGeneral</f>
        <v>1</v>
      </c>
      <c r="H223" s="101">
        <f>H71</f>
        <v>0</v>
      </c>
      <c r="I223" s="90">
        <f>IFERROR(ROUND(E223*H223,2),"-")</f>
        <v>0</v>
      </c>
      <c r="J223" s="114" t="str">
        <f>IFERROR(I223/cell_Total_HT,"-")</f>
        <v>-</v>
      </c>
      <c r="K223">
        <f>I223</f>
        <v>0</v>
      </c>
      <c r="L223"/>
      <c r="M223"/>
      <c r="N223"/>
      <c r="O223"/>
      <c r="P223"/>
      <c r="Q223"/>
      <c r="R223"/>
      <c r="S223"/>
      <c r="T223"/>
    </row>
    <row r="224" spans="1:20" outlineLevel="4" x14ac:dyDescent="0.3">
      <c r="A224" s="88" t="s">
        <v>451</v>
      </c>
      <c r="B224" s="10" t="s">
        <v>257</v>
      </c>
      <c r="C224" s="65" t="s">
        <v>258</v>
      </c>
      <c r="D224" s="44" t="s">
        <v>121</v>
      </c>
      <c r="E224" s="90">
        <v>0</v>
      </c>
      <c r="F224" s="90"/>
      <c r="G224" s="102">
        <f>cell_CoefGeneral</f>
        <v>1</v>
      </c>
      <c r="H224" s="101">
        <f>H72</f>
        <v>0</v>
      </c>
      <c r="I224" s="90">
        <f>IFERROR(ROUND(E224*H224,2),"-")</f>
        <v>0</v>
      </c>
      <c r="J224" s="114" t="str">
        <f>IFERROR(I224/cell_Total_HT,"-")</f>
        <v>-</v>
      </c>
      <c r="K224">
        <f>I224</f>
        <v>0</v>
      </c>
      <c r="L224"/>
      <c r="M224"/>
      <c r="N224"/>
      <c r="O224"/>
      <c r="P224"/>
      <c r="Q224"/>
      <c r="R224"/>
      <c r="S224"/>
      <c r="T224"/>
    </row>
    <row r="225" spans="1:20" outlineLevel="4" x14ac:dyDescent="0.3">
      <c r="A225" s="88" t="s">
        <v>452</v>
      </c>
      <c r="B225" s="10" t="s">
        <v>260</v>
      </c>
      <c r="C225" s="65" t="s">
        <v>261</v>
      </c>
      <c r="D225" s="44" t="s">
        <v>121</v>
      </c>
      <c r="E225" s="90">
        <v>110</v>
      </c>
      <c r="F225" s="90"/>
      <c r="G225" s="102">
        <f>cell_CoefGeneral</f>
        <v>1</v>
      </c>
      <c r="H225" s="101">
        <f>H73</f>
        <v>0</v>
      </c>
      <c r="I225" s="90">
        <f>IFERROR(ROUND(E225*H225,2),"-")</f>
        <v>0</v>
      </c>
      <c r="J225" s="114" t="str">
        <f>IFERROR(I225/cell_Total_HT,"-")</f>
        <v>-</v>
      </c>
      <c r="K225">
        <f>I225</f>
        <v>0</v>
      </c>
      <c r="L225"/>
      <c r="M225"/>
      <c r="N225"/>
      <c r="O225"/>
      <c r="P225"/>
      <c r="Q225"/>
      <c r="R225"/>
      <c r="S225"/>
      <c r="T225"/>
    </row>
    <row r="226" spans="1:20" outlineLevel="4" x14ac:dyDescent="0.3">
      <c r="A226" s="88" t="s">
        <v>453</v>
      </c>
      <c r="B226" s="10" t="s">
        <v>263</v>
      </c>
      <c r="C226" s="65" t="s">
        <v>264</v>
      </c>
      <c r="D226" s="44" t="s">
        <v>121</v>
      </c>
      <c r="E226" s="90">
        <v>110</v>
      </c>
      <c r="F226" s="90"/>
      <c r="G226" s="102">
        <f>cell_CoefGeneral</f>
        <v>1</v>
      </c>
      <c r="H226" s="101">
        <f>H74</f>
        <v>0</v>
      </c>
      <c r="I226" s="90">
        <f>IFERROR(ROUND(E226*H226,2),"-")</f>
        <v>0</v>
      </c>
      <c r="J226" s="114" t="str">
        <f>IFERROR(I226/cell_Total_HT,"-")</f>
        <v>-</v>
      </c>
      <c r="K226">
        <f>I226</f>
        <v>0</v>
      </c>
      <c r="L226"/>
      <c r="M226"/>
      <c r="N226"/>
      <c r="O226"/>
      <c r="P226"/>
      <c r="Q226"/>
      <c r="R226"/>
      <c r="S226"/>
      <c r="T226"/>
    </row>
    <row r="227" spans="1:20" outlineLevel="3" x14ac:dyDescent="0.3">
      <c r="A227" s="88" t="s">
        <v>454</v>
      </c>
      <c r="B227" s="63" t="s">
        <v>266</v>
      </c>
      <c r="C227" s="75" t="s">
        <v>267</v>
      </c>
      <c r="D227" s="125"/>
      <c r="E227" s="93"/>
      <c r="F227" s="93"/>
      <c r="G227" s="105"/>
      <c r="H227" s="93"/>
      <c r="I227" s="113">
        <f>SUBTOTAL(9,K228:K230)</f>
        <v>0</v>
      </c>
      <c r="J227" s="117"/>
      <c r="K227"/>
      <c r="L227"/>
      <c r="M227"/>
      <c r="N227"/>
      <c r="O227"/>
      <c r="P227"/>
      <c r="Q227"/>
      <c r="R227"/>
      <c r="S227"/>
      <c r="T227"/>
    </row>
    <row r="228" spans="1:20" outlineLevel="4" x14ac:dyDescent="0.3">
      <c r="A228" s="88" t="s">
        <v>455</v>
      </c>
      <c r="B228" s="10" t="s">
        <v>269</v>
      </c>
      <c r="C228" s="65" t="s">
        <v>270</v>
      </c>
      <c r="D228" s="44" t="s">
        <v>121</v>
      </c>
      <c r="E228" s="90">
        <v>0</v>
      </c>
      <c r="F228" s="90"/>
      <c r="G228" s="102">
        <f>cell_CoefGeneral</f>
        <v>1</v>
      </c>
      <c r="H228" s="101">
        <f>H76</f>
        <v>0</v>
      </c>
      <c r="I228" s="90">
        <f>IFERROR(ROUND(E228*H228,2),"-")</f>
        <v>0</v>
      </c>
      <c r="J228" s="114" t="str">
        <f>IFERROR(I228/cell_Total_HT,"-")</f>
        <v>-</v>
      </c>
      <c r="K228">
        <f>I228</f>
        <v>0</v>
      </c>
      <c r="L228"/>
      <c r="M228"/>
      <c r="N228"/>
      <c r="O228"/>
      <c r="P228"/>
      <c r="Q228"/>
      <c r="R228"/>
      <c r="S228"/>
      <c r="T228"/>
    </row>
    <row r="229" spans="1:20" outlineLevel="4" x14ac:dyDescent="0.3">
      <c r="A229" s="88" t="s">
        <v>456</v>
      </c>
      <c r="B229" s="10" t="s">
        <v>272</v>
      </c>
      <c r="C229" s="65" t="s">
        <v>273</v>
      </c>
      <c r="D229" s="44" t="s">
        <v>121</v>
      </c>
      <c r="E229" s="90">
        <v>0</v>
      </c>
      <c r="F229" s="90"/>
      <c r="G229" s="102">
        <f>cell_CoefGeneral</f>
        <v>1</v>
      </c>
      <c r="H229" s="101">
        <f>H77</f>
        <v>0</v>
      </c>
      <c r="I229" s="90">
        <f>IFERROR(ROUND(E229*H229,2),"-")</f>
        <v>0</v>
      </c>
      <c r="J229" s="114" t="str">
        <f>IFERROR(I229/cell_Total_HT,"-")</f>
        <v>-</v>
      </c>
      <c r="K229">
        <f>I229</f>
        <v>0</v>
      </c>
      <c r="L229"/>
      <c r="M229"/>
      <c r="N229"/>
      <c r="O229"/>
      <c r="P229"/>
      <c r="Q229"/>
      <c r="R229"/>
      <c r="S229"/>
      <c r="T229"/>
    </row>
    <row r="230" spans="1:20" ht="15" outlineLevel="4" thickBot="1" x14ac:dyDescent="0.35">
      <c r="A230" s="88" t="s">
        <v>457</v>
      </c>
      <c r="B230" s="10" t="s">
        <v>275</v>
      </c>
      <c r="C230" s="65" t="s">
        <v>276</v>
      </c>
      <c r="D230" s="44" t="s">
        <v>121</v>
      </c>
      <c r="E230" s="90">
        <v>0</v>
      </c>
      <c r="F230" s="90"/>
      <c r="G230" s="102">
        <f>cell_CoefGeneral</f>
        <v>1</v>
      </c>
      <c r="H230" s="101">
        <f>H78</f>
        <v>0</v>
      </c>
      <c r="I230" s="90">
        <f>IFERROR(ROUND(E230*H230,2),"-")</f>
        <v>0</v>
      </c>
      <c r="J230" s="114" t="str">
        <f>IFERROR(I230/cell_Total_HT,"-")</f>
        <v>-</v>
      </c>
      <c r="K230">
        <f>I230</f>
        <v>0</v>
      </c>
      <c r="L230"/>
      <c r="M230"/>
      <c r="N230"/>
      <c r="O230"/>
      <c r="P230"/>
      <c r="Q230"/>
      <c r="R230"/>
      <c r="S230"/>
      <c r="T230"/>
    </row>
    <row r="231" spans="1:20" ht="15" outlineLevel="2" thickTop="1" x14ac:dyDescent="0.3">
      <c r="A231" s="88" t="s">
        <v>458</v>
      </c>
      <c r="B231" s="68" t="s">
        <v>60</v>
      </c>
      <c r="C231" s="69" t="s">
        <v>278</v>
      </c>
      <c r="D231" s="127"/>
      <c r="E231" s="95"/>
      <c r="F231" s="95"/>
      <c r="G231" s="107"/>
      <c r="H231" s="95"/>
      <c r="I231" s="95">
        <f>SUBTOTAL(9,I178:I230)</f>
        <v>0</v>
      </c>
      <c r="J231" s="119"/>
      <c r="K231"/>
      <c r="L231"/>
      <c r="M231"/>
      <c r="N231"/>
      <c r="O231"/>
      <c r="P231"/>
      <c r="Q231"/>
      <c r="R231"/>
      <c r="S231"/>
      <c r="T231"/>
    </row>
    <row r="232" spans="1:20" outlineLevel="2" x14ac:dyDescent="0.3">
      <c r="A232" s="88" t="s">
        <v>459</v>
      </c>
      <c r="B232" s="72" t="s">
        <v>60</v>
      </c>
      <c r="C232" s="73" t="s">
        <v>102</v>
      </c>
      <c r="D232" s="129"/>
      <c r="E232" s="93"/>
      <c r="F232" s="93"/>
      <c r="G232" s="105"/>
      <c r="H232" s="93"/>
      <c r="I232" s="113">
        <f>SUBTOTAL(9,K233:K244)</f>
        <v>0</v>
      </c>
      <c r="J232" s="117"/>
      <c r="K232"/>
      <c r="L232"/>
      <c r="M232"/>
      <c r="N232"/>
      <c r="O232"/>
      <c r="P232"/>
      <c r="Q232"/>
      <c r="R232"/>
      <c r="S232"/>
      <c r="T232"/>
    </row>
    <row r="233" spans="1:20" outlineLevel="3" x14ac:dyDescent="0.3">
      <c r="A233" s="88" t="s">
        <v>460</v>
      </c>
      <c r="B233" s="10" t="s">
        <v>281</v>
      </c>
      <c r="C233" s="65" t="s">
        <v>282</v>
      </c>
      <c r="D233" s="44" t="s">
        <v>106</v>
      </c>
      <c r="E233" s="90">
        <v>1</v>
      </c>
      <c r="F233" s="90"/>
      <c r="G233" s="102">
        <f>cell_CoefGeneral</f>
        <v>1</v>
      </c>
      <c r="H233" s="100">
        <f>0</f>
        <v>0</v>
      </c>
      <c r="I233" s="90">
        <f>IFERROR(ROUND(E233*H233,2),"-")</f>
        <v>0</v>
      </c>
      <c r="J233" s="114" t="str">
        <f>IFERROR(I233/cell_Total_HT,"-")</f>
        <v>-</v>
      </c>
      <c r="K233">
        <f>I233</f>
        <v>0</v>
      </c>
      <c r="L233"/>
      <c r="M233"/>
      <c r="N233"/>
      <c r="O233"/>
      <c r="P233"/>
      <c r="Q233"/>
      <c r="R233"/>
      <c r="S233"/>
      <c r="T233"/>
    </row>
    <row r="234" spans="1:20" outlineLevel="3" x14ac:dyDescent="0.3">
      <c r="A234" s="88" t="s">
        <v>461</v>
      </c>
      <c r="B234" s="10" t="s">
        <v>284</v>
      </c>
      <c r="C234" s="65" t="s">
        <v>285</v>
      </c>
      <c r="D234" s="44" t="s">
        <v>106</v>
      </c>
      <c r="E234" s="90">
        <v>1</v>
      </c>
      <c r="F234" s="90"/>
      <c r="G234" s="102">
        <f>cell_CoefGeneral</f>
        <v>1</v>
      </c>
      <c r="H234" s="100">
        <f>0</f>
        <v>0</v>
      </c>
      <c r="I234" s="90">
        <f>IFERROR(ROUND(E234*H234,2),"-")</f>
        <v>0</v>
      </c>
      <c r="J234" s="114" t="str">
        <f>IFERROR(I234/cell_Total_HT,"-")</f>
        <v>-</v>
      </c>
      <c r="K234">
        <f>I234</f>
        <v>0</v>
      </c>
      <c r="L234"/>
      <c r="M234"/>
      <c r="N234"/>
      <c r="O234"/>
      <c r="P234"/>
      <c r="Q234"/>
      <c r="R234"/>
      <c r="S234"/>
      <c r="T234"/>
    </row>
    <row r="235" spans="1:20" outlineLevel="3" x14ac:dyDescent="0.3">
      <c r="A235" s="88" t="s">
        <v>462</v>
      </c>
      <c r="B235" s="10" t="s">
        <v>287</v>
      </c>
      <c r="C235" s="65" t="s">
        <v>288</v>
      </c>
      <c r="D235" s="44" t="s">
        <v>106</v>
      </c>
      <c r="E235" s="90">
        <v>1</v>
      </c>
      <c r="F235" s="90"/>
      <c r="G235" s="102">
        <f>cell_CoefGeneral</f>
        <v>1</v>
      </c>
      <c r="H235" s="100">
        <f>0</f>
        <v>0</v>
      </c>
      <c r="I235" s="90">
        <f>IFERROR(ROUND(E235*H235,2),"-")</f>
        <v>0</v>
      </c>
      <c r="J235" s="114" t="str">
        <f>IFERROR(I235/cell_Total_HT,"-")</f>
        <v>-</v>
      </c>
      <c r="K235">
        <f>I235</f>
        <v>0</v>
      </c>
      <c r="L235"/>
      <c r="M235"/>
      <c r="N235"/>
      <c r="O235"/>
      <c r="P235"/>
      <c r="Q235"/>
      <c r="R235"/>
      <c r="S235"/>
      <c r="T235"/>
    </row>
    <row r="236" spans="1:20" outlineLevel="3" x14ac:dyDescent="0.3">
      <c r="A236" s="88" t="s">
        <v>463</v>
      </c>
      <c r="B236" s="10" t="s">
        <v>290</v>
      </c>
      <c r="C236" s="65" t="s">
        <v>291</v>
      </c>
      <c r="D236" s="44" t="s">
        <v>106</v>
      </c>
      <c r="E236" s="90">
        <v>1</v>
      </c>
      <c r="F236" s="90"/>
      <c r="G236" s="102">
        <f>cell_CoefGeneral</f>
        <v>1</v>
      </c>
      <c r="H236" s="100">
        <f>0</f>
        <v>0</v>
      </c>
      <c r="I236" s="90">
        <f>IFERROR(ROUND(E236*H236,2),"-")</f>
        <v>0</v>
      </c>
      <c r="J236" s="114" t="str">
        <f>IFERROR(I236/cell_Total_HT,"-")</f>
        <v>-</v>
      </c>
      <c r="K236">
        <f>I236</f>
        <v>0</v>
      </c>
      <c r="L236"/>
      <c r="M236"/>
      <c r="N236"/>
      <c r="O236"/>
      <c r="P236"/>
      <c r="Q236"/>
      <c r="R236"/>
      <c r="S236"/>
      <c r="T236"/>
    </row>
    <row r="237" spans="1:20" outlineLevel="3" x14ac:dyDescent="0.3">
      <c r="A237" s="88" t="s">
        <v>464</v>
      </c>
      <c r="B237" s="10" t="s">
        <v>293</v>
      </c>
      <c r="C237" s="65" t="s">
        <v>294</v>
      </c>
      <c r="D237" s="44" t="s">
        <v>106</v>
      </c>
      <c r="E237" s="90">
        <v>1</v>
      </c>
      <c r="F237" s="90"/>
      <c r="G237" s="102">
        <f>cell_CoefGeneral</f>
        <v>1</v>
      </c>
      <c r="H237" s="100">
        <f>0</f>
        <v>0</v>
      </c>
      <c r="I237" s="90">
        <f>IFERROR(ROUND(E237*H237,2),"-")</f>
        <v>0</v>
      </c>
      <c r="J237" s="114" t="str">
        <f>IFERROR(I237/cell_Total_HT,"-")</f>
        <v>-</v>
      </c>
      <c r="K237">
        <f>I237</f>
        <v>0</v>
      </c>
      <c r="L237"/>
      <c r="M237"/>
      <c r="N237"/>
      <c r="O237"/>
      <c r="P237"/>
      <c r="Q237"/>
      <c r="R237"/>
      <c r="S237"/>
      <c r="T237"/>
    </row>
    <row r="238" spans="1:20" outlineLevel="3" x14ac:dyDescent="0.3">
      <c r="A238" s="88" t="s">
        <v>465</v>
      </c>
      <c r="B238" s="10" t="s">
        <v>296</v>
      </c>
      <c r="C238" s="65" t="s">
        <v>297</v>
      </c>
      <c r="D238" s="44" t="s">
        <v>106</v>
      </c>
      <c r="E238" s="90">
        <v>1</v>
      </c>
      <c r="F238" s="90"/>
      <c r="G238" s="102">
        <f>cell_CoefGeneral</f>
        <v>1</v>
      </c>
      <c r="H238" s="100">
        <f>0</f>
        <v>0</v>
      </c>
      <c r="I238" s="90">
        <f>IFERROR(ROUND(E238*H238,2),"-")</f>
        <v>0</v>
      </c>
      <c r="J238" s="114" t="str">
        <f>IFERROR(I238/cell_Total_HT,"-")</f>
        <v>-</v>
      </c>
      <c r="K238">
        <f>I238</f>
        <v>0</v>
      </c>
      <c r="L238"/>
      <c r="M238"/>
      <c r="N238"/>
      <c r="O238"/>
      <c r="P238"/>
      <c r="Q238"/>
      <c r="R238"/>
      <c r="S238"/>
      <c r="T238"/>
    </row>
    <row r="239" spans="1:20" outlineLevel="3" x14ac:dyDescent="0.3">
      <c r="A239" s="88" t="s">
        <v>466</v>
      </c>
      <c r="B239" s="10" t="s">
        <v>299</v>
      </c>
      <c r="C239" s="65" t="s">
        <v>300</v>
      </c>
      <c r="D239" s="44" t="s">
        <v>106</v>
      </c>
      <c r="E239" s="90">
        <v>1</v>
      </c>
      <c r="F239" s="90"/>
      <c r="G239" s="102">
        <f>cell_CoefGeneral</f>
        <v>1</v>
      </c>
      <c r="H239" s="100">
        <f>0</f>
        <v>0</v>
      </c>
      <c r="I239" s="90">
        <f>IFERROR(ROUND(E239*H239,2),"-")</f>
        <v>0</v>
      </c>
      <c r="J239" s="114" t="str">
        <f>IFERROR(I239/cell_Total_HT,"-")</f>
        <v>-</v>
      </c>
      <c r="K239">
        <f>I239</f>
        <v>0</v>
      </c>
      <c r="L239"/>
      <c r="M239"/>
      <c r="N239"/>
      <c r="O239"/>
      <c r="P239"/>
      <c r="Q239"/>
      <c r="R239"/>
      <c r="S239"/>
      <c r="T239"/>
    </row>
    <row r="240" spans="1:20" outlineLevel="3" x14ac:dyDescent="0.3">
      <c r="A240" s="88" t="s">
        <v>467</v>
      </c>
      <c r="B240" s="10" t="s">
        <v>302</v>
      </c>
      <c r="C240" s="65" t="s">
        <v>303</v>
      </c>
      <c r="D240" s="44" t="s">
        <v>106</v>
      </c>
      <c r="E240" s="90">
        <v>1</v>
      </c>
      <c r="F240" s="90"/>
      <c r="G240" s="102">
        <f>cell_CoefGeneral</f>
        <v>1</v>
      </c>
      <c r="H240" s="100">
        <f>0</f>
        <v>0</v>
      </c>
      <c r="I240" s="90">
        <f>IFERROR(ROUND(E240*H240,2),"-")</f>
        <v>0</v>
      </c>
      <c r="J240" s="114" t="str">
        <f>IFERROR(I240/cell_Total_HT,"-")</f>
        <v>-</v>
      </c>
      <c r="K240">
        <f>I240</f>
        <v>0</v>
      </c>
      <c r="L240"/>
      <c r="M240"/>
      <c r="N240"/>
      <c r="O240"/>
      <c r="P240"/>
      <c r="Q240"/>
      <c r="R240"/>
      <c r="S240"/>
      <c r="T240"/>
    </row>
    <row r="241" spans="1:20" outlineLevel="3" x14ac:dyDescent="0.3">
      <c r="A241" s="88" t="s">
        <v>468</v>
      </c>
      <c r="B241" s="10" t="s">
        <v>305</v>
      </c>
      <c r="C241" s="65" t="s">
        <v>306</v>
      </c>
      <c r="D241" s="44" t="s">
        <v>106</v>
      </c>
      <c r="E241" s="90">
        <v>1</v>
      </c>
      <c r="F241" s="90"/>
      <c r="G241" s="102">
        <f>cell_CoefGeneral</f>
        <v>1</v>
      </c>
      <c r="H241" s="100">
        <f>0</f>
        <v>0</v>
      </c>
      <c r="I241" s="90">
        <f>IFERROR(ROUND(E241*H241,2),"-")</f>
        <v>0</v>
      </c>
      <c r="J241" s="114" t="str">
        <f>IFERROR(I241/cell_Total_HT,"-")</f>
        <v>-</v>
      </c>
      <c r="K241">
        <f>I241</f>
        <v>0</v>
      </c>
      <c r="L241"/>
      <c r="M241"/>
      <c r="N241"/>
      <c r="O241"/>
      <c r="P241"/>
      <c r="Q241"/>
      <c r="R241"/>
      <c r="S241"/>
      <c r="T241"/>
    </row>
    <row r="242" spans="1:20" outlineLevel="3" x14ac:dyDescent="0.3">
      <c r="A242" s="88" t="s">
        <v>469</v>
      </c>
      <c r="B242" s="10" t="s">
        <v>308</v>
      </c>
      <c r="C242" s="65" t="s">
        <v>309</v>
      </c>
      <c r="D242" s="44" t="s">
        <v>106</v>
      </c>
      <c r="E242" s="90">
        <v>1</v>
      </c>
      <c r="F242" s="90"/>
      <c r="G242" s="102">
        <f>cell_CoefGeneral</f>
        <v>1</v>
      </c>
      <c r="H242" s="100">
        <f>0</f>
        <v>0</v>
      </c>
      <c r="I242" s="90">
        <f>IFERROR(ROUND(E242*H242,2),"-")</f>
        <v>0</v>
      </c>
      <c r="J242" s="114" t="str">
        <f>IFERROR(I242/cell_Total_HT,"-")</f>
        <v>-</v>
      </c>
      <c r="K242">
        <f>I242</f>
        <v>0</v>
      </c>
      <c r="L242"/>
      <c r="M242"/>
      <c r="N242"/>
      <c r="O242"/>
      <c r="P242"/>
      <c r="Q242"/>
      <c r="R242"/>
      <c r="S242"/>
      <c r="T242"/>
    </row>
    <row r="243" spans="1:20" outlineLevel="3" x14ac:dyDescent="0.3">
      <c r="A243" s="88" t="s">
        <v>470</v>
      </c>
      <c r="B243" s="10" t="s">
        <v>311</v>
      </c>
      <c r="C243" s="65" t="s">
        <v>312</v>
      </c>
      <c r="D243" s="44" t="s">
        <v>106</v>
      </c>
      <c r="E243" s="90">
        <v>1</v>
      </c>
      <c r="F243" s="90"/>
      <c r="G243" s="102">
        <f>cell_CoefGeneral</f>
        <v>1</v>
      </c>
      <c r="H243" s="100">
        <f>0</f>
        <v>0</v>
      </c>
      <c r="I243" s="90">
        <f>IFERROR(ROUND(E243*H243,2),"-")</f>
        <v>0</v>
      </c>
      <c r="J243" s="114" t="str">
        <f>IFERROR(I243/cell_Total_HT,"-")</f>
        <v>-</v>
      </c>
      <c r="K243">
        <f>I243</f>
        <v>0</v>
      </c>
      <c r="L243"/>
      <c r="M243"/>
      <c r="N243"/>
      <c r="O243"/>
      <c r="P243"/>
      <c r="Q243"/>
      <c r="R243"/>
      <c r="S243"/>
      <c r="T243"/>
    </row>
    <row r="244" spans="1:20" ht="15" outlineLevel="3" thickBot="1" x14ac:dyDescent="0.35">
      <c r="A244" s="88" t="s">
        <v>471</v>
      </c>
      <c r="B244" s="10" t="s">
        <v>314</v>
      </c>
      <c r="C244" s="65" t="s">
        <v>315</v>
      </c>
      <c r="D244" s="44" t="s">
        <v>106</v>
      </c>
      <c r="E244" s="90">
        <v>1</v>
      </c>
      <c r="F244" s="90"/>
      <c r="G244" s="102">
        <f>cell_CoefGeneral</f>
        <v>1</v>
      </c>
      <c r="H244" s="100">
        <f>0</f>
        <v>0</v>
      </c>
      <c r="I244" s="90">
        <f>IFERROR(ROUND(E244*H244,2),"-")</f>
        <v>0</v>
      </c>
      <c r="J244" s="114" t="str">
        <f>IFERROR(I244/cell_Total_HT,"-")</f>
        <v>-</v>
      </c>
      <c r="K244">
        <f>I244</f>
        <v>0</v>
      </c>
      <c r="L244"/>
      <c r="M244"/>
      <c r="N244"/>
      <c r="O244"/>
      <c r="P244"/>
      <c r="Q244"/>
      <c r="R244"/>
      <c r="S244"/>
      <c r="T244"/>
    </row>
    <row r="245" spans="1:20" ht="15.6" outlineLevel="2" thickTop="1" thickBot="1" x14ac:dyDescent="0.35">
      <c r="A245" s="88" t="s">
        <v>472</v>
      </c>
      <c r="B245" s="68" t="s">
        <v>60</v>
      </c>
      <c r="C245" s="69" t="s">
        <v>111</v>
      </c>
      <c r="D245" s="127"/>
      <c r="E245" s="95"/>
      <c r="F245" s="95"/>
      <c r="G245" s="107"/>
      <c r="H245" s="95"/>
      <c r="I245" s="95">
        <f>SUBTOTAL(9,I233:I244)</f>
        <v>0</v>
      </c>
      <c r="J245" s="119"/>
      <c r="K245"/>
      <c r="L245"/>
      <c r="M245"/>
      <c r="N245"/>
      <c r="O245"/>
      <c r="P245"/>
      <c r="Q245"/>
      <c r="R245"/>
      <c r="S245"/>
      <c r="T245"/>
    </row>
    <row r="246" spans="1:20" ht="15" outlineLevel="1" thickTop="1" x14ac:dyDescent="0.3">
      <c r="A246" s="88" t="s">
        <v>473</v>
      </c>
      <c r="B246" s="76" t="s">
        <v>60</v>
      </c>
      <c r="C246" s="77" t="s">
        <v>474</v>
      </c>
      <c r="D246" s="130"/>
      <c r="E246" s="96"/>
      <c r="F246" s="96"/>
      <c r="G246" s="108"/>
      <c r="H246" s="96"/>
      <c r="I246" s="96">
        <f>ROUND(I175+I231+I245,2)</f>
        <v>0</v>
      </c>
      <c r="J246" s="120"/>
      <c r="K246"/>
      <c r="L246"/>
      <c r="M246"/>
      <c r="N246"/>
      <c r="O246"/>
      <c r="P246"/>
      <c r="Q246"/>
      <c r="R246"/>
      <c r="S246"/>
      <c r="T246"/>
    </row>
    <row r="247" spans="1:20" ht="15" outlineLevel="1" thickBot="1" x14ac:dyDescent="0.35">
      <c r="A247" s="88" t="s">
        <v>475</v>
      </c>
      <c r="B247" s="70" t="s">
        <v>60</v>
      </c>
      <c r="C247" s="71" t="s">
        <v>476</v>
      </c>
      <c r="D247" s="128"/>
      <c r="E247" s="92"/>
      <c r="F247" s="92"/>
      <c r="G247" s="104"/>
      <c r="H247" s="92"/>
      <c r="I247" s="112">
        <f>SUBTOTAL(9,K248:K320)</f>
        <v>0</v>
      </c>
      <c r="J247" s="116"/>
      <c r="K247"/>
      <c r="L247"/>
      <c r="M247"/>
      <c r="N247"/>
      <c r="O247"/>
      <c r="P247"/>
      <c r="Q247"/>
      <c r="R247"/>
      <c r="S247"/>
      <c r="T247"/>
    </row>
    <row r="248" spans="1:20" outlineLevel="2" x14ac:dyDescent="0.3">
      <c r="A248" s="88" t="s">
        <v>477</v>
      </c>
      <c r="B248" s="72" t="s">
        <v>60</v>
      </c>
      <c r="C248" s="73" t="s">
        <v>102</v>
      </c>
      <c r="D248" s="129"/>
      <c r="E248" s="93"/>
      <c r="F248" s="93"/>
      <c r="G248" s="105"/>
      <c r="H248" s="93"/>
      <c r="I248" s="113">
        <f>SUBTOTAL(9,K249:K250)</f>
        <v>0</v>
      </c>
      <c r="J248" s="117"/>
      <c r="K248"/>
      <c r="L248"/>
      <c r="M248"/>
      <c r="N248"/>
      <c r="O248"/>
      <c r="P248"/>
      <c r="Q248"/>
      <c r="R248"/>
      <c r="S248"/>
      <c r="T248"/>
    </row>
    <row r="249" spans="1:20" outlineLevel="3" x14ac:dyDescent="0.3">
      <c r="A249" s="88" t="s">
        <v>478</v>
      </c>
      <c r="B249" s="10" t="s">
        <v>104</v>
      </c>
      <c r="C249" s="65" t="s">
        <v>105</v>
      </c>
      <c r="D249" s="44" t="s">
        <v>106</v>
      </c>
      <c r="E249" s="90">
        <v>1</v>
      </c>
      <c r="F249" s="90"/>
      <c r="G249" s="102">
        <f>cell_CoefGeneral</f>
        <v>1</v>
      </c>
      <c r="H249" s="100">
        <f>0</f>
        <v>0</v>
      </c>
      <c r="I249" s="90">
        <f>IFERROR(ROUND(E249*H249,2),"-")</f>
        <v>0</v>
      </c>
      <c r="J249" s="114" t="str">
        <f>IFERROR(I249/cell_Total_HT,"-")</f>
        <v>-</v>
      </c>
      <c r="K249">
        <f>I249</f>
        <v>0</v>
      </c>
      <c r="L249"/>
      <c r="M249"/>
      <c r="N249"/>
      <c r="O249"/>
      <c r="P249"/>
      <c r="Q249"/>
      <c r="R249"/>
      <c r="S249"/>
      <c r="T249"/>
    </row>
    <row r="250" spans="1:20" ht="15" outlineLevel="3" thickBot="1" x14ac:dyDescent="0.35">
      <c r="A250" s="88" t="s">
        <v>479</v>
      </c>
      <c r="B250" s="10" t="s">
        <v>108</v>
      </c>
      <c r="C250" s="65" t="s">
        <v>109</v>
      </c>
      <c r="D250" s="44" t="s">
        <v>106</v>
      </c>
      <c r="E250" s="90">
        <v>1</v>
      </c>
      <c r="F250" s="90"/>
      <c r="G250" s="102">
        <f>cell_CoefGeneral</f>
        <v>1</v>
      </c>
      <c r="H250" s="100">
        <f>0</f>
        <v>0</v>
      </c>
      <c r="I250" s="90">
        <f>IFERROR(ROUND(E250*H250,2),"-")</f>
        <v>0</v>
      </c>
      <c r="J250" s="114" t="str">
        <f>IFERROR(I250/cell_Total_HT,"-")</f>
        <v>-</v>
      </c>
      <c r="K250">
        <f>I250</f>
        <v>0</v>
      </c>
      <c r="L250"/>
      <c r="M250"/>
      <c r="N250"/>
      <c r="O250"/>
      <c r="P250"/>
      <c r="Q250"/>
      <c r="R250"/>
      <c r="S250"/>
      <c r="T250"/>
    </row>
    <row r="251" spans="1:20" ht="15" outlineLevel="2" thickTop="1" x14ac:dyDescent="0.3">
      <c r="A251" s="88" t="s">
        <v>480</v>
      </c>
      <c r="B251" s="68" t="s">
        <v>60</v>
      </c>
      <c r="C251" s="69" t="s">
        <v>111</v>
      </c>
      <c r="D251" s="127"/>
      <c r="E251" s="95"/>
      <c r="F251" s="95"/>
      <c r="G251" s="107"/>
      <c r="H251" s="95"/>
      <c r="I251" s="95">
        <f>SUBTOTAL(9,I249:I250)</f>
        <v>0</v>
      </c>
      <c r="J251" s="119"/>
      <c r="K251"/>
      <c r="L251"/>
      <c r="M251"/>
      <c r="N251"/>
      <c r="O251"/>
      <c r="P251"/>
      <c r="Q251"/>
      <c r="R251"/>
      <c r="S251"/>
      <c r="T251"/>
    </row>
    <row r="252" spans="1:20" outlineLevel="2" x14ac:dyDescent="0.3">
      <c r="A252" s="88" t="s">
        <v>481</v>
      </c>
      <c r="B252" s="72" t="s">
        <v>113</v>
      </c>
      <c r="C252" s="73" t="s">
        <v>114</v>
      </c>
      <c r="D252" s="129"/>
      <c r="E252" s="93"/>
      <c r="F252" s="93"/>
      <c r="G252" s="105"/>
      <c r="H252" s="93"/>
      <c r="I252" s="113">
        <f>SUBTOTAL(9,K253:K306)</f>
        <v>0</v>
      </c>
      <c r="J252" s="117"/>
      <c r="K252"/>
      <c r="L252"/>
      <c r="M252"/>
      <c r="N252"/>
      <c r="O252"/>
      <c r="P252"/>
      <c r="Q252"/>
      <c r="R252"/>
      <c r="S252"/>
      <c r="T252"/>
    </row>
    <row r="253" spans="1:20" outlineLevel="3" x14ac:dyDescent="0.3">
      <c r="A253" s="88" t="s">
        <v>482</v>
      </c>
      <c r="B253" s="72" t="s">
        <v>116</v>
      </c>
      <c r="C253" s="74" t="s">
        <v>117</v>
      </c>
      <c r="D253" s="129"/>
      <c r="E253" s="93"/>
      <c r="F253" s="93"/>
      <c r="G253" s="105"/>
      <c r="H253" s="93"/>
      <c r="I253" s="113">
        <f>SUBTOTAL(9,K254:K257)</f>
        <v>0</v>
      </c>
      <c r="J253" s="117"/>
      <c r="K253"/>
      <c r="L253"/>
      <c r="M253"/>
      <c r="N253"/>
      <c r="O253"/>
      <c r="P253"/>
      <c r="Q253"/>
      <c r="R253"/>
      <c r="S253"/>
      <c r="T253"/>
    </row>
    <row r="254" spans="1:20" outlineLevel="4" x14ac:dyDescent="0.3">
      <c r="A254" s="88" t="s">
        <v>483</v>
      </c>
      <c r="B254" s="10" t="s">
        <v>119</v>
      </c>
      <c r="C254" s="65" t="s">
        <v>120</v>
      </c>
      <c r="D254" s="44" t="s">
        <v>121</v>
      </c>
      <c r="E254" s="90">
        <v>0</v>
      </c>
      <c r="F254" s="90"/>
      <c r="G254" s="102">
        <f>cell_CoefGeneral</f>
        <v>1</v>
      </c>
      <c r="H254" s="101">
        <f>H26</f>
        <v>0</v>
      </c>
      <c r="I254" s="90">
        <f>IFERROR(ROUND(E254*H254,2),"-")</f>
        <v>0</v>
      </c>
      <c r="J254" s="114" t="str">
        <f>IFERROR(I254/cell_Total_HT,"-")</f>
        <v>-</v>
      </c>
      <c r="K254">
        <f>I254</f>
        <v>0</v>
      </c>
      <c r="L254"/>
      <c r="M254"/>
      <c r="N254"/>
      <c r="O254"/>
      <c r="P254"/>
      <c r="Q254"/>
      <c r="R254"/>
      <c r="S254"/>
      <c r="T254"/>
    </row>
    <row r="255" spans="1:20" ht="28.8" outlineLevel="4" x14ac:dyDescent="0.3">
      <c r="A255" s="88" t="s">
        <v>484</v>
      </c>
      <c r="B255" s="10" t="s">
        <v>123</v>
      </c>
      <c r="C255" s="65" t="s">
        <v>124</v>
      </c>
      <c r="D255" s="44" t="s">
        <v>125</v>
      </c>
      <c r="E255" s="90">
        <v>0</v>
      </c>
      <c r="F255" s="90"/>
      <c r="G255" s="102">
        <f>cell_CoefGeneral</f>
        <v>1</v>
      </c>
      <c r="H255" s="101">
        <f>H27</f>
        <v>0</v>
      </c>
      <c r="I255" s="90">
        <f>IFERROR(ROUND(E255*H255,2),"-")</f>
        <v>0</v>
      </c>
      <c r="J255" s="114" t="str">
        <f>IFERROR(I255/cell_Total_HT,"-")</f>
        <v>-</v>
      </c>
      <c r="K255">
        <f>I255</f>
        <v>0</v>
      </c>
      <c r="L255"/>
      <c r="M255"/>
      <c r="N255"/>
      <c r="O255"/>
      <c r="P255"/>
      <c r="Q255"/>
      <c r="R255"/>
      <c r="S255"/>
      <c r="T255"/>
    </row>
    <row r="256" spans="1:20" outlineLevel="4" x14ac:dyDescent="0.3">
      <c r="A256" s="88" t="s">
        <v>485</v>
      </c>
      <c r="B256" s="10" t="s">
        <v>127</v>
      </c>
      <c r="C256" s="65" t="s">
        <v>128</v>
      </c>
      <c r="D256" s="44" t="s">
        <v>121</v>
      </c>
      <c r="E256" s="90">
        <v>0</v>
      </c>
      <c r="F256" s="90"/>
      <c r="G256" s="102">
        <f>cell_CoefGeneral</f>
        <v>1</v>
      </c>
      <c r="H256" s="101">
        <f>H28</f>
        <v>0</v>
      </c>
      <c r="I256" s="90">
        <f>IFERROR(ROUND(E256*H256,2),"-")</f>
        <v>0</v>
      </c>
      <c r="J256" s="114" t="str">
        <f>IFERROR(I256/cell_Total_HT,"-")</f>
        <v>-</v>
      </c>
      <c r="K256">
        <f>I256</f>
        <v>0</v>
      </c>
      <c r="L256"/>
      <c r="M256"/>
      <c r="N256"/>
      <c r="O256"/>
      <c r="P256"/>
      <c r="Q256"/>
      <c r="R256"/>
      <c r="S256"/>
      <c r="T256"/>
    </row>
    <row r="257" spans="1:20" outlineLevel="4" x14ac:dyDescent="0.3">
      <c r="A257" s="88" t="s">
        <v>486</v>
      </c>
      <c r="B257" s="10" t="s">
        <v>130</v>
      </c>
      <c r="C257" s="65" t="s">
        <v>131</v>
      </c>
      <c r="D257" s="44" t="s">
        <v>125</v>
      </c>
      <c r="E257" s="90">
        <v>0</v>
      </c>
      <c r="F257" s="90"/>
      <c r="G257" s="102">
        <f>cell_CoefGeneral</f>
        <v>1</v>
      </c>
      <c r="H257" s="101">
        <f>H29</f>
        <v>0</v>
      </c>
      <c r="I257" s="90">
        <f>IFERROR(ROUND(E257*H257,2),"-")</f>
        <v>0</v>
      </c>
      <c r="J257" s="114" t="str">
        <f>IFERROR(I257/cell_Total_HT,"-")</f>
        <v>-</v>
      </c>
      <c r="K257">
        <f>I257</f>
        <v>0</v>
      </c>
      <c r="L257"/>
      <c r="M257"/>
      <c r="N257"/>
      <c r="O257"/>
      <c r="P257"/>
      <c r="Q257"/>
      <c r="R257"/>
      <c r="S257"/>
      <c r="T257"/>
    </row>
    <row r="258" spans="1:20" outlineLevel="3" x14ac:dyDescent="0.3">
      <c r="A258" s="88" t="s">
        <v>487</v>
      </c>
      <c r="B258" s="63" t="s">
        <v>133</v>
      </c>
      <c r="C258" s="75" t="s">
        <v>134</v>
      </c>
      <c r="D258" s="125"/>
      <c r="E258" s="93"/>
      <c r="F258" s="93"/>
      <c r="G258" s="105"/>
      <c r="H258" s="93"/>
      <c r="I258" s="113">
        <f>SUBTOTAL(9,K259:K260)</f>
        <v>0</v>
      </c>
      <c r="J258" s="117"/>
      <c r="K258"/>
      <c r="L258"/>
      <c r="M258"/>
      <c r="N258"/>
      <c r="O258"/>
      <c r="P258"/>
      <c r="Q258"/>
      <c r="R258"/>
      <c r="S258"/>
      <c r="T258"/>
    </row>
    <row r="259" spans="1:20" outlineLevel="4" x14ac:dyDescent="0.3">
      <c r="A259" s="88" t="s">
        <v>488</v>
      </c>
      <c r="B259" s="10" t="s">
        <v>136</v>
      </c>
      <c r="C259" s="65" t="s">
        <v>120</v>
      </c>
      <c r="D259" s="44" t="s">
        <v>121</v>
      </c>
      <c r="E259" s="90">
        <v>0</v>
      </c>
      <c r="F259" s="90"/>
      <c r="G259" s="102">
        <f>cell_CoefGeneral</f>
        <v>1</v>
      </c>
      <c r="H259" s="101">
        <f>H31</f>
        <v>0</v>
      </c>
      <c r="I259" s="90">
        <f>IFERROR(ROUND(E259*H259,2),"-")</f>
        <v>0</v>
      </c>
      <c r="J259" s="114" t="str">
        <f>IFERROR(I259/cell_Total_HT,"-")</f>
        <v>-</v>
      </c>
      <c r="K259">
        <f>I259</f>
        <v>0</v>
      </c>
      <c r="L259"/>
      <c r="M259"/>
      <c r="N259"/>
      <c r="O259"/>
      <c r="P259"/>
      <c r="Q259"/>
      <c r="R259"/>
      <c r="S259"/>
      <c r="T259"/>
    </row>
    <row r="260" spans="1:20" outlineLevel="4" x14ac:dyDescent="0.3">
      <c r="A260" s="88" t="s">
        <v>489</v>
      </c>
      <c r="B260" s="10" t="s">
        <v>138</v>
      </c>
      <c r="C260" s="65" t="s">
        <v>139</v>
      </c>
      <c r="D260" s="44" t="s">
        <v>125</v>
      </c>
      <c r="E260" s="90">
        <v>0</v>
      </c>
      <c r="F260" s="90"/>
      <c r="G260" s="102">
        <f>cell_CoefGeneral</f>
        <v>1</v>
      </c>
      <c r="H260" s="101">
        <f>H32</f>
        <v>0</v>
      </c>
      <c r="I260" s="90">
        <f>IFERROR(ROUND(E260*H260,2),"-")</f>
        <v>0</v>
      </c>
      <c r="J260" s="114" t="str">
        <f>IFERROR(I260/cell_Total_HT,"-")</f>
        <v>-</v>
      </c>
      <c r="K260">
        <f>I260</f>
        <v>0</v>
      </c>
      <c r="L260"/>
      <c r="M260"/>
      <c r="N260"/>
      <c r="O260"/>
      <c r="P260"/>
      <c r="Q260"/>
      <c r="R260"/>
      <c r="S260"/>
      <c r="T260"/>
    </row>
    <row r="261" spans="1:20" outlineLevel="3" x14ac:dyDescent="0.3">
      <c r="A261" s="88" t="s">
        <v>490</v>
      </c>
      <c r="B261" s="63" t="s">
        <v>141</v>
      </c>
      <c r="C261" s="75" t="s">
        <v>142</v>
      </c>
      <c r="D261" s="125"/>
      <c r="E261" s="93"/>
      <c r="F261" s="93"/>
      <c r="G261" s="105"/>
      <c r="H261" s="93"/>
      <c r="I261" s="113">
        <f>SUBTOTAL(9,K262:K263)</f>
        <v>0</v>
      </c>
      <c r="J261" s="117"/>
      <c r="K261"/>
      <c r="L261"/>
      <c r="M261"/>
      <c r="N261"/>
      <c r="O261"/>
      <c r="P261"/>
      <c r="Q261"/>
      <c r="R261"/>
      <c r="S261"/>
      <c r="T261"/>
    </row>
    <row r="262" spans="1:20" outlineLevel="4" x14ac:dyDescent="0.3">
      <c r="A262" s="88" t="s">
        <v>491</v>
      </c>
      <c r="B262" s="10" t="s">
        <v>144</v>
      </c>
      <c r="C262" s="65" t="s">
        <v>145</v>
      </c>
      <c r="D262" s="44" t="s">
        <v>121</v>
      </c>
      <c r="E262" s="90">
        <v>0</v>
      </c>
      <c r="F262" s="90"/>
      <c r="G262" s="102">
        <f>cell_CoefGeneral</f>
        <v>1</v>
      </c>
      <c r="H262" s="101">
        <f>H34</f>
        <v>0</v>
      </c>
      <c r="I262" s="90">
        <f>IFERROR(ROUND(E262*H262,2),"-")</f>
        <v>0</v>
      </c>
      <c r="J262" s="114" t="str">
        <f>IFERROR(I262/cell_Total_HT,"-")</f>
        <v>-</v>
      </c>
      <c r="K262">
        <f>I262</f>
        <v>0</v>
      </c>
      <c r="L262"/>
      <c r="M262"/>
      <c r="N262"/>
      <c r="O262"/>
      <c r="P262"/>
      <c r="Q262"/>
      <c r="R262"/>
      <c r="S262"/>
      <c r="T262"/>
    </row>
    <row r="263" spans="1:20" outlineLevel="4" x14ac:dyDescent="0.3">
      <c r="A263" s="88" t="s">
        <v>492</v>
      </c>
      <c r="B263" s="10" t="s">
        <v>147</v>
      </c>
      <c r="C263" s="65" t="s">
        <v>148</v>
      </c>
      <c r="D263" s="44" t="s">
        <v>149</v>
      </c>
      <c r="E263" s="90">
        <v>0</v>
      </c>
      <c r="F263" s="90"/>
      <c r="G263" s="102">
        <f>cell_CoefGeneral</f>
        <v>1</v>
      </c>
      <c r="H263" s="101">
        <f>H35</f>
        <v>0</v>
      </c>
      <c r="I263" s="90">
        <f>IFERROR(ROUND(E263*H263,2),"-")</f>
        <v>0</v>
      </c>
      <c r="J263" s="114" t="str">
        <f>IFERROR(I263/cell_Total_HT,"-")</f>
        <v>-</v>
      </c>
      <c r="K263">
        <f>I263</f>
        <v>0</v>
      </c>
      <c r="L263"/>
      <c r="M263"/>
      <c r="N263"/>
      <c r="O263"/>
      <c r="P263"/>
      <c r="Q263"/>
      <c r="R263"/>
      <c r="S263"/>
      <c r="T263"/>
    </row>
    <row r="264" spans="1:20" outlineLevel="3" x14ac:dyDescent="0.3">
      <c r="A264" s="88" t="s">
        <v>493</v>
      </c>
      <c r="B264" s="63" t="s">
        <v>151</v>
      </c>
      <c r="C264" s="75" t="s">
        <v>152</v>
      </c>
      <c r="D264" s="125"/>
      <c r="E264" s="93"/>
      <c r="F264" s="93"/>
      <c r="G264" s="105"/>
      <c r="H264" s="93"/>
      <c r="I264" s="113">
        <f>SUBTOTAL(9,K265:K265)</f>
        <v>0</v>
      </c>
      <c r="J264" s="117"/>
      <c r="K264"/>
      <c r="L264"/>
      <c r="M264"/>
      <c r="N264"/>
      <c r="O264"/>
      <c r="P264"/>
      <c r="Q264"/>
      <c r="R264"/>
      <c r="S264"/>
      <c r="T264"/>
    </row>
    <row r="265" spans="1:20" outlineLevel="4" x14ac:dyDescent="0.3">
      <c r="A265" s="88" t="s">
        <v>494</v>
      </c>
      <c r="B265" s="10" t="s">
        <v>154</v>
      </c>
      <c r="C265" s="65" t="s">
        <v>145</v>
      </c>
      <c r="D265" s="44" t="s">
        <v>121</v>
      </c>
      <c r="E265" s="90">
        <v>0</v>
      </c>
      <c r="F265" s="90"/>
      <c r="G265" s="102">
        <f>cell_CoefGeneral</f>
        <v>1</v>
      </c>
      <c r="H265" s="101">
        <f>H37</f>
        <v>0</v>
      </c>
      <c r="I265" s="90">
        <f>IFERROR(ROUND(E265*H265,2),"-")</f>
        <v>0</v>
      </c>
      <c r="J265" s="114" t="str">
        <f>IFERROR(I265/cell_Total_HT,"-")</f>
        <v>-</v>
      </c>
      <c r="K265">
        <f>I265</f>
        <v>0</v>
      </c>
      <c r="L265"/>
      <c r="M265"/>
      <c r="N265"/>
      <c r="O265"/>
      <c r="P265"/>
      <c r="Q265"/>
      <c r="R265"/>
      <c r="S265"/>
      <c r="T265"/>
    </row>
    <row r="266" spans="1:20" outlineLevel="3" x14ac:dyDescent="0.3">
      <c r="A266" s="88" t="s">
        <v>495</v>
      </c>
      <c r="B266" s="63" t="s">
        <v>156</v>
      </c>
      <c r="C266" s="75" t="s">
        <v>157</v>
      </c>
      <c r="D266" s="125"/>
      <c r="E266" s="93"/>
      <c r="F266" s="93"/>
      <c r="G266" s="105"/>
      <c r="H266" s="93"/>
      <c r="I266" s="113">
        <f>SUBTOTAL(9,K267:K267)</f>
        <v>0</v>
      </c>
      <c r="J266" s="117"/>
      <c r="K266"/>
      <c r="L266"/>
      <c r="M266"/>
      <c r="N266"/>
      <c r="O266"/>
      <c r="P266"/>
      <c r="Q266"/>
      <c r="R266"/>
      <c r="S266"/>
      <c r="T266"/>
    </row>
    <row r="267" spans="1:20" outlineLevel="4" x14ac:dyDescent="0.3">
      <c r="A267" s="88" t="s">
        <v>496</v>
      </c>
      <c r="B267" s="10" t="s">
        <v>159</v>
      </c>
      <c r="C267" s="65" t="s">
        <v>160</v>
      </c>
      <c r="D267" s="44" t="s">
        <v>121</v>
      </c>
      <c r="E267" s="90">
        <v>222</v>
      </c>
      <c r="F267" s="90"/>
      <c r="G267" s="102">
        <f>cell_CoefGeneral</f>
        <v>1</v>
      </c>
      <c r="H267" s="101">
        <f>H39</f>
        <v>0</v>
      </c>
      <c r="I267" s="90">
        <f>IFERROR(ROUND(E267*H267,2),"-")</f>
        <v>0</v>
      </c>
      <c r="J267" s="114" t="str">
        <f>IFERROR(I267/cell_Total_HT,"-")</f>
        <v>-</v>
      </c>
      <c r="K267">
        <f>I267</f>
        <v>0</v>
      </c>
      <c r="L267"/>
      <c r="M267"/>
      <c r="N267"/>
      <c r="O267"/>
      <c r="P267"/>
      <c r="Q267"/>
      <c r="R267"/>
      <c r="S267"/>
      <c r="T267"/>
    </row>
    <row r="268" spans="1:20" outlineLevel="3" x14ac:dyDescent="0.3">
      <c r="A268" s="88" t="s">
        <v>497</v>
      </c>
      <c r="B268" s="63" t="s">
        <v>162</v>
      </c>
      <c r="C268" s="75" t="s">
        <v>163</v>
      </c>
      <c r="D268" s="125"/>
      <c r="E268" s="93"/>
      <c r="F268" s="93"/>
      <c r="G268" s="105"/>
      <c r="H268" s="93"/>
      <c r="I268" s="113">
        <f>SUBTOTAL(9,K269:K270)</f>
        <v>0</v>
      </c>
      <c r="J268" s="117"/>
      <c r="K268"/>
      <c r="L268"/>
      <c r="M268"/>
      <c r="N268"/>
      <c r="O268"/>
      <c r="P268"/>
      <c r="Q268"/>
      <c r="R268"/>
      <c r="S268"/>
      <c r="T268"/>
    </row>
    <row r="269" spans="1:20" ht="28.8" outlineLevel="4" x14ac:dyDescent="0.3">
      <c r="A269" s="88" t="s">
        <v>498</v>
      </c>
      <c r="B269" s="10" t="s">
        <v>165</v>
      </c>
      <c r="C269" s="65" t="s">
        <v>166</v>
      </c>
      <c r="D269" s="44" t="s">
        <v>167</v>
      </c>
      <c r="E269" s="90">
        <v>0</v>
      </c>
      <c r="F269" s="90"/>
      <c r="G269" s="102">
        <f>cell_CoefGeneral</f>
        <v>1</v>
      </c>
      <c r="H269" s="101">
        <f>H41</f>
        <v>0</v>
      </c>
      <c r="I269" s="90">
        <f>IFERROR(ROUND(E269*H269,2),"-")</f>
        <v>0</v>
      </c>
      <c r="J269" s="114" t="str">
        <f>IFERROR(I269/cell_Total_HT,"-")</f>
        <v>-</v>
      </c>
      <c r="K269">
        <f>I269</f>
        <v>0</v>
      </c>
      <c r="L269"/>
      <c r="M269"/>
      <c r="N269"/>
      <c r="O269"/>
      <c r="P269"/>
      <c r="Q269"/>
      <c r="R269"/>
      <c r="S269"/>
      <c r="T269"/>
    </row>
    <row r="270" spans="1:20" outlineLevel="4" x14ac:dyDescent="0.3">
      <c r="A270" s="88" t="s">
        <v>499</v>
      </c>
      <c r="B270" s="10" t="s">
        <v>169</v>
      </c>
      <c r="C270" s="65" t="s">
        <v>170</v>
      </c>
      <c r="D270" s="44" t="s">
        <v>121</v>
      </c>
      <c r="E270" s="90">
        <v>0</v>
      </c>
      <c r="F270" s="90"/>
      <c r="G270" s="102">
        <f>cell_CoefGeneral</f>
        <v>1</v>
      </c>
      <c r="H270" s="101">
        <f>H42</f>
        <v>0</v>
      </c>
      <c r="I270" s="90">
        <f>IFERROR(ROUND(E270*H270,2),"-")</f>
        <v>0</v>
      </c>
      <c r="J270" s="114" t="str">
        <f>IFERROR(I270/cell_Total_HT,"-")</f>
        <v>-</v>
      </c>
      <c r="K270">
        <f>I270</f>
        <v>0</v>
      </c>
      <c r="L270"/>
      <c r="M270"/>
      <c r="N270"/>
      <c r="O270"/>
      <c r="P270"/>
      <c r="Q270"/>
      <c r="R270"/>
      <c r="S270"/>
      <c r="T270"/>
    </row>
    <row r="271" spans="1:20" outlineLevel="3" x14ac:dyDescent="0.3">
      <c r="A271" s="88" t="s">
        <v>500</v>
      </c>
      <c r="B271" s="63" t="s">
        <v>172</v>
      </c>
      <c r="C271" s="75" t="s">
        <v>173</v>
      </c>
      <c r="D271" s="125"/>
      <c r="E271" s="93"/>
      <c r="F271" s="93"/>
      <c r="G271" s="105"/>
      <c r="H271" s="93"/>
      <c r="I271" s="113">
        <f>SUBTOTAL(9,K272:K273)</f>
        <v>0</v>
      </c>
      <c r="J271" s="117"/>
      <c r="K271"/>
      <c r="L271"/>
      <c r="M271"/>
      <c r="N271"/>
      <c r="O271"/>
      <c r="P271"/>
      <c r="Q271"/>
      <c r="R271"/>
      <c r="S271"/>
      <c r="T271"/>
    </row>
    <row r="272" spans="1:20" ht="28.8" outlineLevel="4" x14ac:dyDescent="0.3">
      <c r="A272" s="88" t="s">
        <v>501</v>
      </c>
      <c r="B272" s="10" t="s">
        <v>175</v>
      </c>
      <c r="C272" s="65" t="s">
        <v>166</v>
      </c>
      <c r="D272" s="44" t="s">
        <v>167</v>
      </c>
      <c r="E272" s="90">
        <v>0</v>
      </c>
      <c r="F272" s="90"/>
      <c r="G272" s="102">
        <f>cell_CoefGeneral</f>
        <v>1</v>
      </c>
      <c r="H272" s="101">
        <f>H44</f>
        <v>0</v>
      </c>
      <c r="I272" s="90">
        <f>IFERROR(ROUND(E272*H272,2),"-")</f>
        <v>0</v>
      </c>
      <c r="J272" s="114" t="str">
        <f>IFERROR(I272/cell_Total_HT,"-")</f>
        <v>-</v>
      </c>
      <c r="K272">
        <f>I272</f>
        <v>0</v>
      </c>
      <c r="L272"/>
      <c r="M272"/>
      <c r="N272"/>
      <c r="O272"/>
      <c r="P272"/>
      <c r="Q272"/>
      <c r="R272"/>
      <c r="S272"/>
      <c r="T272"/>
    </row>
    <row r="273" spans="1:20" outlineLevel="4" x14ac:dyDescent="0.3">
      <c r="A273" s="88" t="s">
        <v>502</v>
      </c>
      <c r="B273" s="10" t="s">
        <v>177</v>
      </c>
      <c r="C273" s="65" t="s">
        <v>178</v>
      </c>
      <c r="D273" s="44" t="s">
        <v>121</v>
      </c>
      <c r="E273" s="90">
        <v>0</v>
      </c>
      <c r="F273" s="90"/>
      <c r="G273" s="102">
        <f>cell_CoefGeneral</f>
        <v>1</v>
      </c>
      <c r="H273" s="101">
        <f>H45</f>
        <v>0</v>
      </c>
      <c r="I273" s="90">
        <f>IFERROR(ROUND(E273*H273,2),"-")</f>
        <v>0</v>
      </c>
      <c r="J273" s="114" t="str">
        <f>IFERROR(I273/cell_Total_HT,"-")</f>
        <v>-</v>
      </c>
      <c r="K273">
        <f>I273</f>
        <v>0</v>
      </c>
      <c r="L273"/>
      <c r="M273"/>
      <c r="N273"/>
      <c r="O273"/>
      <c r="P273"/>
      <c r="Q273"/>
      <c r="R273"/>
      <c r="S273"/>
      <c r="T273"/>
    </row>
    <row r="274" spans="1:20" outlineLevel="3" x14ac:dyDescent="0.3">
      <c r="A274" s="88" t="s">
        <v>503</v>
      </c>
      <c r="B274" s="63" t="s">
        <v>180</v>
      </c>
      <c r="C274" s="75" t="s">
        <v>181</v>
      </c>
      <c r="D274" s="125"/>
      <c r="E274" s="93"/>
      <c r="F274" s="93"/>
      <c r="G274" s="105"/>
      <c r="H274" s="93"/>
      <c r="I274" s="113">
        <f>SUBTOTAL(9,K275:K276)</f>
        <v>0</v>
      </c>
      <c r="J274" s="117"/>
      <c r="K274"/>
      <c r="L274"/>
      <c r="M274"/>
      <c r="N274"/>
      <c r="O274"/>
      <c r="P274"/>
      <c r="Q274"/>
      <c r="R274"/>
      <c r="S274"/>
      <c r="T274"/>
    </row>
    <row r="275" spans="1:20" ht="28.8" outlineLevel="4" x14ac:dyDescent="0.3">
      <c r="A275" s="88" t="s">
        <v>504</v>
      </c>
      <c r="B275" s="10" t="s">
        <v>183</v>
      </c>
      <c r="C275" s="65" t="s">
        <v>184</v>
      </c>
      <c r="D275" s="44" t="s">
        <v>167</v>
      </c>
      <c r="E275" s="90">
        <v>0</v>
      </c>
      <c r="F275" s="90"/>
      <c r="G275" s="102">
        <f>cell_CoefGeneral</f>
        <v>1</v>
      </c>
      <c r="H275" s="101">
        <f>H47</f>
        <v>0</v>
      </c>
      <c r="I275" s="90">
        <f>IFERROR(ROUND(E275*H275,2),"-")</f>
        <v>0</v>
      </c>
      <c r="J275" s="114" t="str">
        <f>IFERROR(I275/cell_Total_HT,"-")</f>
        <v>-</v>
      </c>
      <c r="K275">
        <f>I275</f>
        <v>0</v>
      </c>
      <c r="L275"/>
      <c r="M275"/>
      <c r="N275"/>
      <c r="O275"/>
      <c r="P275"/>
      <c r="Q275"/>
      <c r="R275"/>
      <c r="S275"/>
      <c r="T275"/>
    </row>
    <row r="276" spans="1:20" outlineLevel="4" x14ac:dyDescent="0.3">
      <c r="A276" s="88" t="s">
        <v>505</v>
      </c>
      <c r="B276" s="10" t="s">
        <v>186</v>
      </c>
      <c r="C276" s="65" t="s">
        <v>187</v>
      </c>
      <c r="D276" s="44" t="s">
        <v>121</v>
      </c>
      <c r="E276" s="90">
        <v>0</v>
      </c>
      <c r="F276" s="90"/>
      <c r="G276" s="102">
        <f>cell_CoefGeneral</f>
        <v>1</v>
      </c>
      <c r="H276" s="101">
        <f>H48</f>
        <v>0</v>
      </c>
      <c r="I276" s="90">
        <f>IFERROR(ROUND(E276*H276,2),"-")</f>
        <v>0</v>
      </c>
      <c r="J276" s="114" t="str">
        <f>IFERROR(I276/cell_Total_HT,"-")</f>
        <v>-</v>
      </c>
      <c r="K276">
        <f>I276</f>
        <v>0</v>
      </c>
      <c r="L276"/>
      <c r="M276"/>
      <c r="N276"/>
      <c r="O276"/>
      <c r="P276"/>
      <c r="Q276"/>
      <c r="R276"/>
      <c r="S276"/>
      <c r="T276"/>
    </row>
    <row r="277" spans="1:20" outlineLevel="3" x14ac:dyDescent="0.3">
      <c r="A277" s="88" t="s">
        <v>506</v>
      </c>
      <c r="B277" s="63" t="s">
        <v>189</v>
      </c>
      <c r="C277" s="75" t="s">
        <v>190</v>
      </c>
      <c r="D277" s="125"/>
      <c r="E277" s="93"/>
      <c r="F277" s="93"/>
      <c r="G277" s="105"/>
      <c r="H277" s="93"/>
      <c r="I277" s="113">
        <f>SUBTOTAL(9,K278:K279)</f>
        <v>0</v>
      </c>
      <c r="J277" s="117"/>
      <c r="K277"/>
      <c r="L277"/>
      <c r="M277"/>
      <c r="N277"/>
      <c r="O277"/>
      <c r="P277"/>
      <c r="Q277"/>
      <c r="R277"/>
      <c r="S277"/>
      <c r="T277"/>
    </row>
    <row r="278" spans="1:20" outlineLevel="4" x14ac:dyDescent="0.3">
      <c r="A278" s="88" t="s">
        <v>507</v>
      </c>
      <c r="B278" s="10" t="s">
        <v>192</v>
      </c>
      <c r="C278" s="65" t="s">
        <v>120</v>
      </c>
      <c r="D278" s="44" t="s">
        <v>121</v>
      </c>
      <c r="E278" s="90">
        <v>0</v>
      </c>
      <c r="F278" s="90"/>
      <c r="G278" s="102">
        <f>cell_CoefGeneral</f>
        <v>1</v>
      </c>
      <c r="H278" s="101">
        <f>H50</f>
        <v>0</v>
      </c>
      <c r="I278" s="90">
        <f>IFERROR(ROUND(E278*H278,2),"-")</f>
        <v>0</v>
      </c>
      <c r="J278" s="114" t="str">
        <f>IFERROR(I278/cell_Total_HT,"-")</f>
        <v>-</v>
      </c>
      <c r="K278">
        <f>I278</f>
        <v>0</v>
      </c>
      <c r="L278"/>
      <c r="M278"/>
      <c r="N278"/>
      <c r="O278"/>
      <c r="P278"/>
      <c r="Q278"/>
      <c r="R278"/>
      <c r="S278"/>
      <c r="T278"/>
    </row>
    <row r="279" spans="1:20" outlineLevel="4" x14ac:dyDescent="0.3">
      <c r="A279" s="88" t="s">
        <v>508</v>
      </c>
      <c r="B279" s="10" t="s">
        <v>194</v>
      </c>
      <c r="C279" s="65" t="s">
        <v>195</v>
      </c>
      <c r="D279" s="44" t="s">
        <v>125</v>
      </c>
      <c r="E279" s="90">
        <v>0</v>
      </c>
      <c r="F279" s="90"/>
      <c r="G279" s="102">
        <f>cell_CoefGeneral</f>
        <v>1</v>
      </c>
      <c r="H279" s="101">
        <f>H51</f>
        <v>0</v>
      </c>
      <c r="I279" s="90">
        <f>IFERROR(ROUND(E279*H279,2),"-")</f>
        <v>0</v>
      </c>
      <c r="J279" s="114" t="str">
        <f>IFERROR(I279/cell_Total_HT,"-")</f>
        <v>-</v>
      </c>
      <c r="K279">
        <f>I279</f>
        <v>0</v>
      </c>
      <c r="L279"/>
      <c r="M279"/>
      <c r="N279"/>
      <c r="O279"/>
      <c r="P279"/>
      <c r="Q279"/>
      <c r="R279"/>
      <c r="S279"/>
      <c r="T279"/>
    </row>
    <row r="280" spans="1:20" outlineLevel="3" x14ac:dyDescent="0.3">
      <c r="A280" s="88" t="s">
        <v>509</v>
      </c>
      <c r="B280" s="63" t="s">
        <v>197</v>
      </c>
      <c r="C280" s="75" t="s">
        <v>198</v>
      </c>
      <c r="D280" s="125"/>
      <c r="E280" s="93"/>
      <c r="F280" s="93"/>
      <c r="G280" s="105"/>
      <c r="H280" s="93"/>
      <c r="I280" s="113">
        <f>SUBTOTAL(9,K281:K281)</f>
        <v>0</v>
      </c>
      <c r="J280" s="117"/>
      <c r="K280"/>
      <c r="L280"/>
      <c r="M280"/>
      <c r="N280"/>
      <c r="O280"/>
      <c r="P280"/>
      <c r="Q280"/>
      <c r="R280"/>
      <c r="S280"/>
      <c r="T280"/>
    </row>
    <row r="281" spans="1:20" ht="28.8" outlineLevel="4" x14ac:dyDescent="0.3">
      <c r="A281" s="88" t="s">
        <v>510</v>
      </c>
      <c r="B281" s="10" t="s">
        <v>200</v>
      </c>
      <c r="C281" s="65" t="s">
        <v>201</v>
      </c>
      <c r="D281" s="44" t="s">
        <v>167</v>
      </c>
      <c r="E281" s="90">
        <v>0</v>
      </c>
      <c r="F281" s="90"/>
      <c r="G281" s="102">
        <f>cell_CoefGeneral</f>
        <v>1</v>
      </c>
      <c r="H281" s="101">
        <f>H53</f>
        <v>0</v>
      </c>
      <c r="I281" s="90">
        <f>IFERROR(ROUND(E281*H281,2),"-")</f>
        <v>0</v>
      </c>
      <c r="J281" s="114" t="str">
        <f>IFERROR(I281/cell_Total_HT,"-")</f>
        <v>-</v>
      </c>
      <c r="K281">
        <f>I281</f>
        <v>0</v>
      </c>
      <c r="L281"/>
      <c r="M281"/>
      <c r="N281"/>
      <c r="O281"/>
      <c r="P281"/>
      <c r="Q281"/>
      <c r="R281"/>
      <c r="S281"/>
      <c r="T281"/>
    </row>
    <row r="282" spans="1:20" outlineLevel="3" x14ac:dyDescent="0.3">
      <c r="A282" s="88" t="s">
        <v>511</v>
      </c>
      <c r="B282" s="63" t="s">
        <v>203</v>
      </c>
      <c r="C282" s="75" t="s">
        <v>204</v>
      </c>
      <c r="D282" s="125"/>
      <c r="E282" s="93"/>
      <c r="F282" s="93"/>
      <c r="G282" s="105"/>
      <c r="H282" s="93"/>
      <c r="I282" s="113">
        <f>SUBTOTAL(9,K283:K285)</f>
        <v>0</v>
      </c>
      <c r="J282" s="117"/>
      <c r="K282"/>
      <c r="L282"/>
      <c r="M282"/>
      <c r="N282"/>
      <c r="O282"/>
      <c r="P282"/>
      <c r="Q282"/>
      <c r="R282"/>
      <c r="S282"/>
      <c r="T282"/>
    </row>
    <row r="283" spans="1:20" ht="28.8" outlineLevel="4" x14ac:dyDescent="0.3">
      <c r="A283" s="88" t="s">
        <v>512</v>
      </c>
      <c r="B283" s="10" t="s">
        <v>206</v>
      </c>
      <c r="C283" s="65" t="s">
        <v>207</v>
      </c>
      <c r="D283" s="44" t="s">
        <v>121</v>
      </c>
      <c r="E283" s="90">
        <v>0</v>
      </c>
      <c r="F283" s="90"/>
      <c r="G283" s="102">
        <f>cell_CoefGeneral</f>
        <v>1</v>
      </c>
      <c r="H283" s="101">
        <f>H55</f>
        <v>0</v>
      </c>
      <c r="I283" s="90">
        <f>IFERROR(ROUND(E283*H283,2),"-")</f>
        <v>0</v>
      </c>
      <c r="J283" s="114" t="str">
        <f>IFERROR(I283/cell_Total_HT,"-")</f>
        <v>-</v>
      </c>
      <c r="K283">
        <f>I283</f>
        <v>0</v>
      </c>
      <c r="L283"/>
      <c r="M283"/>
      <c r="N283"/>
      <c r="O283"/>
      <c r="P283"/>
      <c r="Q283"/>
      <c r="R283"/>
      <c r="S283"/>
      <c r="T283"/>
    </row>
    <row r="284" spans="1:20" ht="28.8" outlineLevel="4" x14ac:dyDescent="0.3">
      <c r="A284" s="88" t="s">
        <v>513</v>
      </c>
      <c r="B284" s="10" t="s">
        <v>209</v>
      </c>
      <c r="C284" s="65" t="s">
        <v>210</v>
      </c>
      <c r="D284" s="44" t="s">
        <v>121</v>
      </c>
      <c r="E284" s="90">
        <v>0</v>
      </c>
      <c r="F284" s="90"/>
      <c r="G284" s="102">
        <f>cell_CoefGeneral</f>
        <v>1</v>
      </c>
      <c r="H284" s="101">
        <f>H56</f>
        <v>0</v>
      </c>
      <c r="I284" s="90">
        <f>IFERROR(ROUND(E284*H284,2),"-")</f>
        <v>0</v>
      </c>
      <c r="J284" s="114" t="str">
        <f>IFERROR(I284/cell_Total_HT,"-")</f>
        <v>-</v>
      </c>
      <c r="K284">
        <f>I284</f>
        <v>0</v>
      </c>
      <c r="L284"/>
      <c r="M284"/>
      <c r="N284"/>
      <c r="O284"/>
      <c r="P284"/>
      <c r="Q284"/>
      <c r="R284"/>
      <c r="S284"/>
      <c r="T284"/>
    </row>
    <row r="285" spans="1:20" ht="28.8" outlineLevel="4" x14ac:dyDescent="0.3">
      <c r="A285" s="88" t="s">
        <v>514</v>
      </c>
      <c r="B285" s="10" t="s">
        <v>212</v>
      </c>
      <c r="C285" s="65" t="s">
        <v>213</v>
      </c>
      <c r="D285" s="44" t="s">
        <v>149</v>
      </c>
      <c r="E285" s="90">
        <v>0</v>
      </c>
      <c r="F285" s="90"/>
      <c r="G285" s="102">
        <f>cell_CoefGeneral</f>
        <v>1</v>
      </c>
      <c r="H285" s="101">
        <f>H57</f>
        <v>0</v>
      </c>
      <c r="I285" s="90">
        <f>IFERROR(ROUND(E285*H285,2),"-")</f>
        <v>0</v>
      </c>
      <c r="J285" s="114" t="str">
        <f>IFERROR(I285/cell_Total_HT,"-")</f>
        <v>-</v>
      </c>
      <c r="K285">
        <f>I285</f>
        <v>0</v>
      </c>
      <c r="L285"/>
      <c r="M285"/>
      <c r="N285"/>
      <c r="O285"/>
      <c r="P285"/>
      <c r="Q285"/>
      <c r="R285"/>
      <c r="S285"/>
      <c r="T285"/>
    </row>
    <row r="286" spans="1:20" outlineLevel="3" x14ac:dyDescent="0.3">
      <c r="A286" s="88" t="s">
        <v>515</v>
      </c>
      <c r="B286" s="63" t="s">
        <v>215</v>
      </c>
      <c r="C286" s="75" t="s">
        <v>216</v>
      </c>
      <c r="D286" s="125"/>
      <c r="E286" s="93"/>
      <c r="F286" s="93"/>
      <c r="G286" s="105"/>
      <c r="H286" s="93"/>
      <c r="I286" s="113">
        <f>SUBTOTAL(9,K287:K288)</f>
        <v>0</v>
      </c>
      <c r="J286" s="117"/>
      <c r="K286"/>
      <c r="L286"/>
      <c r="M286"/>
      <c r="N286"/>
      <c r="O286"/>
      <c r="P286"/>
      <c r="Q286"/>
      <c r="R286"/>
      <c r="S286"/>
      <c r="T286"/>
    </row>
    <row r="287" spans="1:20" ht="28.8" outlineLevel="4" x14ac:dyDescent="0.3">
      <c r="A287" s="88" t="s">
        <v>516</v>
      </c>
      <c r="B287" s="10" t="s">
        <v>218</v>
      </c>
      <c r="C287" s="65" t="s">
        <v>219</v>
      </c>
      <c r="D287" s="44" t="s">
        <v>167</v>
      </c>
      <c r="E287" s="90">
        <v>0</v>
      </c>
      <c r="F287" s="90"/>
      <c r="G287" s="102">
        <f>cell_CoefGeneral</f>
        <v>1</v>
      </c>
      <c r="H287" s="101">
        <f>H59</f>
        <v>0</v>
      </c>
      <c r="I287" s="90">
        <f>IFERROR(ROUND(E287*H287,2),"-")</f>
        <v>0</v>
      </c>
      <c r="J287" s="114" t="str">
        <f>IFERROR(I287/cell_Total_HT,"-")</f>
        <v>-</v>
      </c>
      <c r="K287">
        <f>I287</f>
        <v>0</v>
      </c>
      <c r="L287"/>
      <c r="M287"/>
      <c r="N287"/>
      <c r="O287"/>
      <c r="P287"/>
      <c r="Q287"/>
      <c r="R287"/>
      <c r="S287"/>
      <c r="T287"/>
    </row>
    <row r="288" spans="1:20" ht="28.8" outlineLevel="4" x14ac:dyDescent="0.3">
      <c r="A288" s="88" t="s">
        <v>517</v>
      </c>
      <c r="B288" s="10" t="s">
        <v>221</v>
      </c>
      <c r="C288" s="65" t="s">
        <v>222</v>
      </c>
      <c r="D288" s="44" t="s">
        <v>121</v>
      </c>
      <c r="E288" s="90">
        <v>0</v>
      </c>
      <c r="F288" s="90"/>
      <c r="G288" s="102">
        <f>cell_CoefGeneral</f>
        <v>1</v>
      </c>
      <c r="H288" s="101">
        <f>H60</f>
        <v>0</v>
      </c>
      <c r="I288" s="90">
        <f>IFERROR(ROUND(E288*H288,2),"-")</f>
        <v>0</v>
      </c>
      <c r="J288" s="114" t="str">
        <f>IFERROR(I288/cell_Total_HT,"-")</f>
        <v>-</v>
      </c>
      <c r="K288">
        <f>I288</f>
        <v>0</v>
      </c>
      <c r="L288"/>
      <c r="M288"/>
      <c r="N288"/>
      <c r="O288"/>
      <c r="P288"/>
      <c r="Q288"/>
      <c r="R288"/>
      <c r="S288"/>
      <c r="T288"/>
    </row>
    <row r="289" spans="1:20" outlineLevel="3" x14ac:dyDescent="0.3">
      <c r="A289" s="88" t="s">
        <v>518</v>
      </c>
      <c r="B289" s="63" t="s">
        <v>224</v>
      </c>
      <c r="C289" s="75" t="s">
        <v>225</v>
      </c>
      <c r="D289" s="125"/>
      <c r="E289" s="93"/>
      <c r="F289" s="93"/>
      <c r="G289" s="105"/>
      <c r="H289" s="93"/>
      <c r="I289" s="113">
        <f>SUBTOTAL(9,K290:K291)</f>
        <v>0</v>
      </c>
      <c r="J289" s="117"/>
      <c r="K289"/>
      <c r="L289"/>
      <c r="M289"/>
      <c r="N289"/>
      <c r="O289"/>
      <c r="P289"/>
      <c r="Q289"/>
      <c r="R289"/>
      <c r="S289"/>
      <c r="T289"/>
    </row>
    <row r="290" spans="1:20" ht="28.8" outlineLevel="4" x14ac:dyDescent="0.3">
      <c r="A290" s="88" t="s">
        <v>519</v>
      </c>
      <c r="B290" s="10" t="s">
        <v>227</v>
      </c>
      <c r="C290" s="65" t="s">
        <v>228</v>
      </c>
      <c r="D290" s="44" t="s">
        <v>121</v>
      </c>
      <c r="E290" s="90">
        <v>0</v>
      </c>
      <c r="F290" s="90"/>
      <c r="G290" s="102">
        <f>cell_CoefGeneral</f>
        <v>1</v>
      </c>
      <c r="H290" s="101">
        <f>H62</f>
        <v>0</v>
      </c>
      <c r="I290" s="90">
        <f>IFERROR(ROUND(E290*H290,2),"-")</f>
        <v>0</v>
      </c>
      <c r="J290" s="114" t="str">
        <f>IFERROR(I290/cell_Total_HT,"-")</f>
        <v>-</v>
      </c>
      <c r="K290">
        <f>I290</f>
        <v>0</v>
      </c>
      <c r="L290"/>
      <c r="M290"/>
      <c r="N290"/>
      <c r="O290"/>
      <c r="P290"/>
      <c r="Q290"/>
      <c r="R290"/>
      <c r="S290"/>
      <c r="T290"/>
    </row>
    <row r="291" spans="1:20" outlineLevel="4" x14ac:dyDescent="0.3">
      <c r="A291" s="88" t="s">
        <v>520</v>
      </c>
      <c r="B291" s="10" t="s">
        <v>230</v>
      </c>
      <c r="C291" s="65" t="s">
        <v>231</v>
      </c>
      <c r="D291" s="44" t="s">
        <v>121</v>
      </c>
      <c r="E291" s="90">
        <v>0</v>
      </c>
      <c r="F291" s="90"/>
      <c r="G291" s="102">
        <f>cell_CoefGeneral</f>
        <v>1</v>
      </c>
      <c r="H291" s="101">
        <f>H63</f>
        <v>0</v>
      </c>
      <c r="I291" s="90">
        <f>IFERROR(ROUND(E291*H291,2),"-")</f>
        <v>0</v>
      </c>
      <c r="J291" s="114" t="str">
        <f>IFERROR(I291/cell_Total_HT,"-")</f>
        <v>-</v>
      </c>
      <c r="K291">
        <f>I291</f>
        <v>0</v>
      </c>
      <c r="L291"/>
      <c r="M291"/>
      <c r="N291"/>
      <c r="O291"/>
      <c r="P291"/>
      <c r="Q291"/>
      <c r="R291"/>
      <c r="S291"/>
      <c r="T291"/>
    </row>
    <row r="292" spans="1:20" outlineLevel="3" x14ac:dyDescent="0.3">
      <c r="A292" s="88" t="s">
        <v>521</v>
      </c>
      <c r="B292" s="63" t="s">
        <v>233</v>
      </c>
      <c r="C292" s="75" t="s">
        <v>234</v>
      </c>
      <c r="D292" s="125"/>
      <c r="E292" s="93"/>
      <c r="F292" s="93"/>
      <c r="G292" s="105"/>
      <c r="H292" s="93"/>
      <c r="I292" s="113">
        <f>SUBTOTAL(9,K293:K293)</f>
        <v>0</v>
      </c>
      <c r="J292" s="117"/>
      <c r="K292"/>
      <c r="L292"/>
      <c r="M292"/>
      <c r="N292"/>
      <c r="O292"/>
      <c r="P292"/>
      <c r="Q292"/>
      <c r="R292"/>
      <c r="S292"/>
      <c r="T292"/>
    </row>
    <row r="293" spans="1:20" ht="28.8" outlineLevel="4" x14ac:dyDescent="0.3">
      <c r="A293" s="88" t="s">
        <v>522</v>
      </c>
      <c r="B293" s="10" t="s">
        <v>236</v>
      </c>
      <c r="C293" s="65" t="s">
        <v>237</v>
      </c>
      <c r="D293" s="44" t="s">
        <v>121</v>
      </c>
      <c r="E293" s="90">
        <v>0</v>
      </c>
      <c r="F293" s="90"/>
      <c r="G293" s="102">
        <f>cell_CoefGeneral</f>
        <v>1</v>
      </c>
      <c r="H293" s="101">
        <f>H65</f>
        <v>0</v>
      </c>
      <c r="I293" s="90">
        <f>IFERROR(ROUND(E293*H293,2),"-")</f>
        <v>0</v>
      </c>
      <c r="J293" s="114" t="str">
        <f>IFERROR(I293/cell_Total_HT,"-")</f>
        <v>-</v>
      </c>
      <c r="K293">
        <f>I293</f>
        <v>0</v>
      </c>
      <c r="L293"/>
      <c r="M293"/>
      <c r="N293"/>
      <c r="O293"/>
      <c r="P293"/>
      <c r="Q293"/>
      <c r="R293"/>
      <c r="S293"/>
      <c r="T293"/>
    </row>
    <row r="294" spans="1:20" outlineLevel="3" x14ac:dyDescent="0.3">
      <c r="A294" s="88" t="s">
        <v>523</v>
      </c>
      <c r="B294" s="63" t="s">
        <v>239</v>
      </c>
      <c r="C294" s="75" t="s">
        <v>240</v>
      </c>
      <c r="D294" s="125"/>
      <c r="E294" s="93"/>
      <c r="F294" s="93"/>
      <c r="G294" s="105"/>
      <c r="H294" s="93"/>
      <c r="I294" s="113">
        <f>SUBTOTAL(9,K295:K297)</f>
        <v>0</v>
      </c>
      <c r="J294" s="117"/>
      <c r="K294"/>
      <c r="L294"/>
      <c r="M294"/>
      <c r="N294"/>
      <c r="O294"/>
      <c r="P294"/>
      <c r="Q294"/>
      <c r="R294"/>
      <c r="S294"/>
      <c r="T294"/>
    </row>
    <row r="295" spans="1:20" ht="28.8" outlineLevel="4" x14ac:dyDescent="0.3">
      <c r="A295" s="88" t="s">
        <v>524</v>
      </c>
      <c r="B295" s="10" t="s">
        <v>242</v>
      </c>
      <c r="C295" s="65" t="s">
        <v>243</v>
      </c>
      <c r="D295" s="44" t="s">
        <v>167</v>
      </c>
      <c r="E295" s="90">
        <v>2</v>
      </c>
      <c r="F295" s="90"/>
      <c r="G295" s="102">
        <f>cell_CoefGeneral</f>
        <v>1</v>
      </c>
      <c r="H295" s="101">
        <f>H67</f>
        <v>0</v>
      </c>
      <c r="I295" s="90">
        <f>IFERROR(ROUND(E295*H295,2),"-")</f>
        <v>0</v>
      </c>
      <c r="J295" s="114" t="str">
        <f>IFERROR(I295/cell_Total_HT,"-")</f>
        <v>-</v>
      </c>
      <c r="K295">
        <f>I295</f>
        <v>0</v>
      </c>
      <c r="L295"/>
      <c r="M295"/>
      <c r="N295"/>
      <c r="O295"/>
      <c r="P295"/>
      <c r="Q295"/>
      <c r="R295"/>
      <c r="S295"/>
      <c r="T295"/>
    </row>
    <row r="296" spans="1:20" outlineLevel="4" x14ac:dyDescent="0.3">
      <c r="A296" s="88" t="s">
        <v>525</v>
      </c>
      <c r="B296" s="10" t="s">
        <v>245</v>
      </c>
      <c r="C296" s="65" t="s">
        <v>246</v>
      </c>
      <c r="D296" s="44" t="s">
        <v>121</v>
      </c>
      <c r="E296" s="90">
        <v>17</v>
      </c>
      <c r="F296" s="90"/>
      <c r="G296" s="102">
        <f>cell_CoefGeneral</f>
        <v>1</v>
      </c>
      <c r="H296" s="101">
        <f>H68</f>
        <v>0</v>
      </c>
      <c r="I296" s="90">
        <f>IFERROR(ROUND(E296*H296,2),"-")</f>
        <v>0</v>
      </c>
      <c r="J296" s="114" t="str">
        <f>IFERROR(I296/cell_Total_HT,"-")</f>
        <v>-</v>
      </c>
      <c r="K296">
        <f>I296</f>
        <v>0</v>
      </c>
      <c r="L296"/>
      <c r="M296"/>
      <c r="N296"/>
      <c r="O296"/>
      <c r="P296"/>
      <c r="Q296"/>
      <c r="R296"/>
      <c r="S296"/>
      <c r="T296"/>
    </row>
    <row r="297" spans="1:20" outlineLevel="4" x14ac:dyDescent="0.3">
      <c r="A297" s="88" t="s">
        <v>526</v>
      </c>
      <c r="B297" s="10" t="s">
        <v>248</v>
      </c>
      <c r="C297" s="65" t="s">
        <v>249</v>
      </c>
      <c r="D297" s="44" t="s">
        <v>121</v>
      </c>
      <c r="E297" s="90">
        <v>17</v>
      </c>
      <c r="F297" s="90"/>
      <c r="G297" s="102">
        <f>cell_CoefGeneral</f>
        <v>1</v>
      </c>
      <c r="H297" s="101">
        <f>H69</f>
        <v>0</v>
      </c>
      <c r="I297" s="90">
        <f>IFERROR(ROUND(E297*H297,2),"-")</f>
        <v>0</v>
      </c>
      <c r="J297" s="114" t="str">
        <f>IFERROR(I297/cell_Total_HT,"-")</f>
        <v>-</v>
      </c>
      <c r="K297">
        <f>I297</f>
        <v>0</v>
      </c>
      <c r="L297"/>
      <c r="M297"/>
      <c r="N297"/>
      <c r="O297"/>
      <c r="P297"/>
      <c r="Q297"/>
      <c r="R297"/>
      <c r="S297"/>
      <c r="T297"/>
    </row>
    <row r="298" spans="1:20" outlineLevel="3" x14ac:dyDescent="0.3">
      <c r="A298" s="88" t="s">
        <v>527</v>
      </c>
      <c r="B298" s="63" t="s">
        <v>251</v>
      </c>
      <c r="C298" s="75" t="s">
        <v>252</v>
      </c>
      <c r="D298" s="125"/>
      <c r="E298" s="93"/>
      <c r="F298" s="93"/>
      <c r="G298" s="105"/>
      <c r="H298" s="93"/>
      <c r="I298" s="113">
        <f>SUBTOTAL(9,K299:K302)</f>
        <v>0</v>
      </c>
      <c r="J298" s="117"/>
      <c r="K298"/>
      <c r="L298"/>
      <c r="M298"/>
      <c r="N298"/>
      <c r="O298"/>
      <c r="P298"/>
      <c r="Q298"/>
      <c r="R298"/>
      <c r="S298"/>
      <c r="T298"/>
    </row>
    <row r="299" spans="1:20" outlineLevel="4" x14ac:dyDescent="0.3">
      <c r="A299" s="88" t="s">
        <v>528</v>
      </c>
      <c r="B299" s="10" t="s">
        <v>254</v>
      </c>
      <c r="C299" s="65" t="s">
        <v>255</v>
      </c>
      <c r="D299" s="44" t="s">
        <v>121</v>
      </c>
      <c r="E299" s="90">
        <v>0</v>
      </c>
      <c r="F299" s="90"/>
      <c r="G299" s="102">
        <f>cell_CoefGeneral</f>
        <v>1</v>
      </c>
      <c r="H299" s="101">
        <f>H71</f>
        <v>0</v>
      </c>
      <c r="I299" s="90">
        <f>IFERROR(ROUND(E299*H299,2),"-")</f>
        <v>0</v>
      </c>
      <c r="J299" s="114" t="str">
        <f>IFERROR(I299/cell_Total_HT,"-")</f>
        <v>-</v>
      </c>
      <c r="K299">
        <f>I299</f>
        <v>0</v>
      </c>
      <c r="L299"/>
      <c r="M299"/>
      <c r="N299"/>
      <c r="O299"/>
      <c r="P299"/>
      <c r="Q299"/>
      <c r="R299"/>
      <c r="S299"/>
      <c r="T299"/>
    </row>
    <row r="300" spans="1:20" outlineLevel="4" x14ac:dyDescent="0.3">
      <c r="A300" s="88" t="s">
        <v>529</v>
      </c>
      <c r="B300" s="10" t="s">
        <v>257</v>
      </c>
      <c r="C300" s="65" t="s">
        <v>258</v>
      </c>
      <c r="D300" s="44" t="s">
        <v>121</v>
      </c>
      <c r="E300" s="90">
        <v>0</v>
      </c>
      <c r="F300" s="90"/>
      <c r="G300" s="102">
        <f>cell_CoefGeneral</f>
        <v>1</v>
      </c>
      <c r="H300" s="101">
        <f>H72</f>
        <v>0</v>
      </c>
      <c r="I300" s="90">
        <f>IFERROR(ROUND(E300*H300,2),"-")</f>
        <v>0</v>
      </c>
      <c r="J300" s="114" t="str">
        <f>IFERROR(I300/cell_Total_HT,"-")</f>
        <v>-</v>
      </c>
      <c r="K300">
        <f>I300</f>
        <v>0</v>
      </c>
      <c r="L300"/>
      <c r="M300"/>
      <c r="N300"/>
      <c r="O300"/>
      <c r="P300"/>
      <c r="Q300"/>
      <c r="R300"/>
      <c r="S300"/>
      <c r="T300"/>
    </row>
    <row r="301" spans="1:20" outlineLevel="4" x14ac:dyDescent="0.3">
      <c r="A301" s="88" t="s">
        <v>530</v>
      </c>
      <c r="B301" s="10" t="s">
        <v>260</v>
      </c>
      <c r="C301" s="65" t="s">
        <v>261</v>
      </c>
      <c r="D301" s="44" t="s">
        <v>121</v>
      </c>
      <c r="E301" s="90">
        <v>0</v>
      </c>
      <c r="F301" s="90"/>
      <c r="G301" s="102">
        <f>cell_CoefGeneral</f>
        <v>1</v>
      </c>
      <c r="H301" s="101">
        <f>H73</f>
        <v>0</v>
      </c>
      <c r="I301" s="90">
        <f>IFERROR(ROUND(E301*H301,2),"-")</f>
        <v>0</v>
      </c>
      <c r="J301" s="114" t="str">
        <f>IFERROR(I301/cell_Total_HT,"-")</f>
        <v>-</v>
      </c>
      <c r="K301">
        <f>I301</f>
        <v>0</v>
      </c>
      <c r="L301"/>
      <c r="M301"/>
      <c r="N301"/>
      <c r="O301"/>
      <c r="P301"/>
      <c r="Q301"/>
      <c r="R301"/>
      <c r="S301"/>
      <c r="T301"/>
    </row>
    <row r="302" spans="1:20" outlineLevel="4" x14ac:dyDescent="0.3">
      <c r="A302" s="88" t="s">
        <v>531</v>
      </c>
      <c r="B302" s="10" t="s">
        <v>263</v>
      </c>
      <c r="C302" s="65" t="s">
        <v>264</v>
      </c>
      <c r="D302" s="44" t="s">
        <v>121</v>
      </c>
      <c r="E302" s="90">
        <v>0</v>
      </c>
      <c r="F302" s="90"/>
      <c r="G302" s="102">
        <f>cell_CoefGeneral</f>
        <v>1</v>
      </c>
      <c r="H302" s="101">
        <f>H74</f>
        <v>0</v>
      </c>
      <c r="I302" s="90">
        <f>IFERROR(ROUND(E302*H302,2),"-")</f>
        <v>0</v>
      </c>
      <c r="J302" s="114" t="str">
        <f>IFERROR(I302/cell_Total_HT,"-")</f>
        <v>-</v>
      </c>
      <c r="K302">
        <f>I302</f>
        <v>0</v>
      </c>
      <c r="L302"/>
      <c r="M302"/>
      <c r="N302"/>
      <c r="O302"/>
      <c r="P302"/>
      <c r="Q302"/>
      <c r="R302"/>
      <c r="S302"/>
      <c r="T302"/>
    </row>
    <row r="303" spans="1:20" outlineLevel="3" x14ac:dyDescent="0.3">
      <c r="A303" s="88" t="s">
        <v>532</v>
      </c>
      <c r="B303" s="63" t="s">
        <v>266</v>
      </c>
      <c r="C303" s="75" t="s">
        <v>267</v>
      </c>
      <c r="D303" s="125"/>
      <c r="E303" s="93"/>
      <c r="F303" s="93"/>
      <c r="G303" s="105"/>
      <c r="H303" s="93"/>
      <c r="I303" s="113">
        <f>SUBTOTAL(9,K304:K306)</f>
        <v>0</v>
      </c>
      <c r="J303" s="117"/>
      <c r="K303"/>
      <c r="L303"/>
      <c r="M303"/>
      <c r="N303"/>
      <c r="O303"/>
      <c r="P303"/>
      <c r="Q303"/>
      <c r="R303"/>
      <c r="S303"/>
      <c r="T303"/>
    </row>
    <row r="304" spans="1:20" outlineLevel="4" x14ac:dyDescent="0.3">
      <c r="A304" s="88" t="s">
        <v>533</v>
      </c>
      <c r="B304" s="10" t="s">
        <v>269</v>
      </c>
      <c r="C304" s="65" t="s">
        <v>270</v>
      </c>
      <c r="D304" s="44" t="s">
        <v>121</v>
      </c>
      <c r="E304" s="90">
        <v>0</v>
      </c>
      <c r="F304" s="90"/>
      <c r="G304" s="102">
        <f>cell_CoefGeneral</f>
        <v>1</v>
      </c>
      <c r="H304" s="101">
        <f>H76</f>
        <v>0</v>
      </c>
      <c r="I304" s="90">
        <f>IFERROR(ROUND(E304*H304,2),"-")</f>
        <v>0</v>
      </c>
      <c r="J304" s="114" t="str">
        <f>IFERROR(I304/cell_Total_HT,"-")</f>
        <v>-</v>
      </c>
      <c r="K304">
        <f>I304</f>
        <v>0</v>
      </c>
      <c r="L304"/>
      <c r="M304"/>
      <c r="N304"/>
      <c r="O304"/>
      <c r="P304"/>
      <c r="Q304"/>
      <c r="R304"/>
      <c r="S304"/>
      <c r="T304"/>
    </row>
    <row r="305" spans="1:20" outlineLevel="4" x14ac:dyDescent="0.3">
      <c r="A305" s="88" t="s">
        <v>534</v>
      </c>
      <c r="B305" s="10" t="s">
        <v>272</v>
      </c>
      <c r="C305" s="65" t="s">
        <v>273</v>
      </c>
      <c r="D305" s="44" t="s">
        <v>121</v>
      </c>
      <c r="E305" s="90">
        <v>0</v>
      </c>
      <c r="F305" s="90"/>
      <c r="G305" s="102">
        <f>cell_CoefGeneral</f>
        <v>1</v>
      </c>
      <c r="H305" s="101">
        <f>H77</f>
        <v>0</v>
      </c>
      <c r="I305" s="90">
        <f>IFERROR(ROUND(E305*H305,2),"-")</f>
        <v>0</v>
      </c>
      <c r="J305" s="114" t="str">
        <f>IFERROR(I305/cell_Total_HT,"-")</f>
        <v>-</v>
      </c>
      <c r="K305">
        <f>I305</f>
        <v>0</v>
      </c>
      <c r="L305"/>
      <c r="M305"/>
      <c r="N305"/>
      <c r="O305"/>
      <c r="P305"/>
      <c r="Q305"/>
      <c r="R305"/>
      <c r="S305"/>
      <c r="T305"/>
    </row>
    <row r="306" spans="1:20" ht="15" outlineLevel="4" thickBot="1" x14ac:dyDescent="0.35">
      <c r="A306" s="88" t="s">
        <v>535</v>
      </c>
      <c r="B306" s="10" t="s">
        <v>275</v>
      </c>
      <c r="C306" s="65" t="s">
        <v>276</v>
      </c>
      <c r="D306" s="44" t="s">
        <v>121</v>
      </c>
      <c r="E306" s="90">
        <v>0</v>
      </c>
      <c r="F306" s="90"/>
      <c r="G306" s="102">
        <f>cell_CoefGeneral</f>
        <v>1</v>
      </c>
      <c r="H306" s="101">
        <f>H78</f>
        <v>0</v>
      </c>
      <c r="I306" s="90">
        <f>IFERROR(ROUND(E306*H306,2),"-")</f>
        <v>0</v>
      </c>
      <c r="J306" s="114" t="str">
        <f>IFERROR(I306/cell_Total_HT,"-")</f>
        <v>-</v>
      </c>
      <c r="K306">
        <f>I306</f>
        <v>0</v>
      </c>
      <c r="L306"/>
      <c r="M306"/>
      <c r="N306"/>
      <c r="O306"/>
      <c r="P306"/>
      <c r="Q306"/>
      <c r="R306"/>
      <c r="S306"/>
      <c r="T306"/>
    </row>
    <row r="307" spans="1:20" ht="15" outlineLevel="2" thickTop="1" x14ac:dyDescent="0.3">
      <c r="A307" s="88" t="s">
        <v>536</v>
      </c>
      <c r="B307" s="68" t="s">
        <v>60</v>
      </c>
      <c r="C307" s="69" t="s">
        <v>278</v>
      </c>
      <c r="D307" s="127"/>
      <c r="E307" s="95"/>
      <c r="F307" s="95"/>
      <c r="G307" s="107"/>
      <c r="H307" s="95"/>
      <c r="I307" s="95">
        <f>SUBTOTAL(9,I254:I306)</f>
        <v>0</v>
      </c>
      <c r="J307" s="119"/>
      <c r="K307"/>
      <c r="L307"/>
      <c r="M307"/>
      <c r="N307"/>
      <c r="O307"/>
      <c r="P307"/>
      <c r="Q307"/>
      <c r="R307"/>
      <c r="S307"/>
      <c r="T307"/>
    </row>
    <row r="308" spans="1:20" outlineLevel="2" x14ac:dyDescent="0.3">
      <c r="A308" s="88" t="s">
        <v>537</v>
      </c>
      <c r="B308" s="72" t="s">
        <v>60</v>
      </c>
      <c r="C308" s="73" t="s">
        <v>102</v>
      </c>
      <c r="D308" s="129"/>
      <c r="E308" s="93"/>
      <c r="F308" s="93"/>
      <c r="G308" s="105"/>
      <c r="H308" s="93"/>
      <c r="I308" s="113">
        <f>SUBTOTAL(9,K309:K320)</f>
        <v>0</v>
      </c>
      <c r="J308" s="117"/>
      <c r="K308"/>
      <c r="L308"/>
      <c r="M308"/>
      <c r="N308"/>
      <c r="O308"/>
      <c r="P308"/>
      <c r="Q308"/>
      <c r="R308"/>
      <c r="S308"/>
      <c r="T308"/>
    </row>
    <row r="309" spans="1:20" outlineLevel="3" x14ac:dyDescent="0.3">
      <c r="A309" s="88" t="s">
        <v>538</v>
      </c>
      <c r="B309" s="10" t="s">
        <v>281</v>
      </c>
      <c r="C309" s="65" t="s">
        <v>282</v>
      </c>
      <c r="D309" s="44" t="s">
        <v>106</v>
      </c>
      <c r="E309" s="90">
        <v>1</v>
      </c>
      <c r="F309" s="90"/>
      <c r="G309" s="102">
        <f>cell_CoefGeneral</f>
        <v>1</v>
      </c>
      <c r="H309" s="100">
        <f>0</f>
        <v>0</v>
      </c>
      <c r="I309" s="90">
        <f>IFERROR(ROUND(E309*H309,2),"-")</f>
        <v>0</v>
      </c>
      <c r="J309" s="114" t="str">
        <f>IFERROR(I309/cell_Total_HT,"-")</f>
        <v>-</v>
      </c>
      <c r="K309">
        <f>I309</f>
        <v>0</v>
      </c>
      <c r="L309"/>
      <c r="M309"/>
      <c r="N309"/>
      <c r="O309"/>
      <c r="P309"/>
      <c r="Q309"/>
      <c r="R309"/>
      <c r="S309"/>
      <c r="T309"/>
    </row>
    <row r="310" spans="1:20" outlineLevel="3" x14ac:dyDescent="0.3">
      <c r="A310" s="88" t="s">
        <v>539</v>
      </c>
      <c r="B310" s="10" t="s">
        <v>284</v>
      </c>
      <c r="C310" s="65" t="s">
        <v>285</v>
      </c>
      <c r="D310" s="44" t="s">
        <v>106</v>
      </c>
      <c r="E310" s="90">
        <v>1</v>
      </c>
      <c r="F310" s="90"/>
      <c r="G310" s="102">
        <f>cell_CoefGeneral</f>
        <v>1</v>
      </c>
      <c r="H310" s="100">
        <f>0</f>
        <v>0</v>
      </c>
      <c r="I310" s="90">
        <f>IFERROR(ROUND(E310*H310,2),"-")</f>
        <v>0</v>
      </c>
      <c r="J310" s="114" t="str">
        <f>IFERROR(I310/cell_Total_HT,"-")</f>
        <v>-</v>
      </c>
      <c r="K310">
        <f>I310</f>
        <v>0</v>
      </c>
      <c r="L310"/>
      <c r="M310"/>
      <c r="N310"/>
      <c r="O310"/>
      <c r="P310"/>
      <c r="Q310"/>
      <c r="R310"/>
      <c r="S310"/>
      <c r="T310"/>
    </row>
    <row r="311" spans="1:20" outlineLevel="3" x14ac:dyDescent="0.3">
      <c r="A311" s="88" t="s">
        <v>540</v>
      </c>
      <c r="B311" s="10" t="s">
        <v>287</v>
      </c>
      <c r="C311" s="65" t="s">
        <v>288</v>
      </c>
      <c r="D311" s="44" t="s">
        <v>106</v>
      </c>
      <c r="E311" s="90">
        <v>1</v>
      </c>
      <c r="F311" s="90"/>
      <c r="G311" s="102">
        <f>cell_CoefGeneral</f>
        <v>1</v>
      </c>
      <c r="H311" s="100">
        <f>0</f>
        <v>0</v>
      </c>
      <c r="I311" s="90">
        <f>IFERROR(ROUND(E311*H311,2),"-")</f>
        <v>0</v>
      </c>
      <c r="J311" s="114" t="str">
        <f>IFERROR(I311/cell_Total_HT,"-")</f>
        <v>-</v>
      </c>
      <c r="K311">
        <f>I311</f>
        <v>0</v>
      </c>
      <c r="L311"/>
      <c r="M311"/>
      <c r="N311"/>
      <c r="O311"/>
      <c r="P311"/>
      <c r="Q311"/>
      <c r="R311"/>
      <c r="S311"/>
      <c r="T311"/>
    </row>
    <row r="312" spans="1:20" outlineLevel="3" x14ac:dyDescent="0.3">
      <c r="A312" s="88" t="s">
        <v>541</v>
      </c>
      <c r="B312" s="10" t="s">
        <v>290</v>
      </c>
      <c r="C312" s="65" t="s">
        <v>291</v>
      </c>
      <c r="D312" s="44" t="s">
        <v>106</v>
      </c>
      <c r="E312" s="90">
        <v>1</v>
      </c>
      <c r="F312" s="90"/>
      <c r="G312" s="102">
        <f>cell_CoefGeneral</f>
        <v>1</v>
      </c>
      <c r="H312" s="100">
        <f>0</f>
        <v>0</v>
      </c>
      <c r="I312" s="90">
        <f>IFERROR(ROUND(E312*H312,2),"-")</f>
        <v>0</v>
      </c>
      <c r="J312" s="114" t="str">
        <f>IFERROR(I312/cell_Total_HT,"-")</f>
        <v>-</v>
      </c>
      <c r="K312">
        <f>I312</f>
        <v>0</v>
      </c>
      <c r="L312"/>
      <c r="M312"/>
      <c r="N312"/>
      <c r="O312"/>
      <c r="P312"/>
      <c r="Q312"/>
      <c r="R312"/>
      <c r="S312"/>
      <c r="T312"/>
    </row>
    <row r="313" spans="1:20" outlineLevel="3" x14ac:dyDescent="0.3">
      <c r="A313" s="88" t="s">
        <v>542</v>
      </c>
      <c r="B313" s="10" t="s">
        <v>293</v>
      </c>
      <c r="C313" s="65" t="s">
        <v>294</v>
      </c>
      <c r="D313" s="44" t="s">
        <v>106</v>
      </c>
      <c r="E313" s="90">
        <v>1</v>
      </c>
      <c r="F313" s="90"/>
      <c r="G313" s="102">
        <f>cell_CoefGeneral</f>
        <v>1</v>
      </c>
      <c r="H313" s="100">
        <f>0</f>
        <v>0</v>
      </c>
      <c r="I313" s="90">
        <f>IFERROR(ROUND(E313*H313,2),"-")</f>
        <v>0</v>
      </c>
      <c r="J313" s="114" t="str">
        <f>IFERROR(I313/cell_Total_HT,"-")</f>
        <v>-</v>
      </c>
      <c r="K313">
        <f>I313</f>
        <v>0</v>
      </c>
      <c r="L313"/>
      <c r="M313"/>
      <c r="N313"/>
      <c r="O313"/>
      <c r="P313"/>
      <c r="Q313"/>
      <c r="R313"/>
      <c r="S313"/>
      <c r="T313"/>
    </row>
    <row r="314" spans="1:20" outlineLevel="3" x14ac:dyDescent="0.3">
      <c r="A314" s="88" t="s">
        <v>543</v>
      </c>
      <c r="B314" s="10" t="s">
        <v>296</v>
      </c>
      <c r="C314" s="65" t="s">
        <v>297</v>
      </c>
      <c r="D314" s="44" t="s">
        <v>106</v>
      </c>
      <c r="E314" s="90">
        <v>1</v>
      </c>
      <c r="F314" s="90"/>
      <c r="G314" s="102">
        <f>cell_CoefGeneral</f>
        <v>1</v>
      </c>
      <c r="H314" s="100">
        <f>0</f>
        <v>0</v>
      </c>
      <c r="I314" s="90">
        <f>IFERROR(ROUND(E314*H314,2),"-")</f>
        <v>0</v>
      </c>
      <c r="J314" s="114" t="str">
        <f>IFERROR(I314/cell_Total_HT,"-")</f>
        <v>-</v>
      </c>
      <c r="K314">
        <f>I314</f>
        <v>0</v>
      </c>
      <c r="L314"/>
      <c r="M314"/>
      <c r="N314"/>
      <c r="O314"/>
      <c r="P314"/>
      <c r="Q314"/>
      <c r="R314"/>
      <c r="S314"/>
      <c r="T314"/>
    </row>
    <row r="315" spans="1:20" outlineLevel="3" x14ac:dyDescent="0.3">
      <c r="A315" s="88" t="s">
        <v>544</v>
      </c>
      <c r="B315" s="10" t="s">
        <v>299</v>
      </c>
      <c r="C315" s="65" t="s">
        <v>300</v>
      </c>
      <c r="D315" s="44" t="s">
        <v>106</v>
      </c>
      <c r="E315" s="90">
        <v>1</v>
      </c>
      <c r="F315" s="90"/>
      <c r="G315" s="102">
        <f>cell_CoefGeneral</f>
        <v>1</v>
      </c>
      <c r="H315" s="100">
        <f>0</f>
        <v>0</v>
      </c>
      <c r="I315" s="90">
        <f>IFERROR(ROUND(E315*H315,2),"-")</f>
        <v>0</v>
      </c>
      <c r="J315" s="114" t="str">
        <f>IFERROR(I315/cell_Total_HT,"-")</f>
        <v>-</v>
      </c>
      <c r="K315">
        <f>I315</f>
        <v>0</v>
      </c>
      <c r="L315"/>
      <c r="M315"/>
      <c r="N315"/>
      <c r="O315"/>
      <c r="P315"/>
      <c r="Q315"/>
      <c r="R315"/>
      <c r="S315"/>
      <c r="T315"/>
    </row>
    <row r="316" spans="1:20" outlineLevel="3" x14ac:dyDescent="0.3">
      <c r="A316" s="88" t="s">
        <v>545</v>
      </c>
      <c r="B316" s="10" t="s">
        <v>302</v>
      </c>
      <c r="C316" s="65" t="s">
        <v>303</v>
      </c>
      <c r="D316" s="44" t="s">
        <v>106</v>
      </c>
      <c r="E316" s="90">
        <v>1</v>
      </c>
      <c r="F316" s="90"/>
      <c r="G316" s="102">
        <f>cell_CoefGeneral</f>
        <v>1</v>
      </c>
      <c r="H316" s="100">
        <f>0</f>
        <v>0</v>
      </c>
      <c r="I316" s="90">
        <f>IFERROR(ROUND(E316*H316,2),"-")</f>
        <v>0</v>
      </c>
      <c r="J316" s="114" t="str">
        <f>IFERROR(I316/cell_Total_HT,"-")</f>
        <v>-</v>
      </c>
      <c r="K316">
        <f>I316</f>
        <v>0</v>
      </c>
      <c r="L316"/>
      <c r="M316"/>
      <c r="N316"/>
      <c r="O316"/>
      <c r="P316"/>
      <c r="Q316"/>
      <c r="R316"/>
      <c r="S316"/>
      <c r="T316"/>
    </row>
    <row r="317" spans="1:20" outlineLevel="3" x14ac:dyDescent="0.3">
      <c r="A317" s="88" t="s">
        <v>546</v>
      </c>
      <c r="B317" s="10" t="s">
        <v>305</v>
      </c>
      <c r="C317" s="65" t="s">
        <v>306</v>
      </c>
      <c r="D317" s="44" t="s">
        <v>106</v>
      </c>
      <c r="E317" s="90">
        <v>1</v>
      </c>
      <c r="F317" s="90"/>
      <c r="G317" s="102">
        <f>cell_CoefGeneral</f>
        <v>1</v>
      </c>
      <c r="H317" s="100">
        <f>0</f>
        <v>0</v>
      </c>
      <c r="I317" s="90">
        <f>IFERROR(ROUND(E317*H317,2),"-")</f>
        <v>0</v>
      </c>
      <c r="J317" s="114" t="str">
        <f>IFERROR(I317/cell_Total_HT,"-")</f>
        <v>-</v>
      </c>
      <c r="K317">
        <f>I317</f>
        <v>0</v>
      </c>
      <c r="L317"/>
      <c r="M317"/>
      <c r="N317"/>
      <c r="O317"/>
      <c r="P317"/>
      <c r="Q317"/>
      <c r="R317"/>
      <c r="S317"/>
      <c r="T317"/>
    </row>
    <row r="318" spans="1:20" outlineLevel="3" x14ac:dyDescent="0.3">
      <c r="A318" s="88" t="s">
        <v>547</v>
      </c>
      <c r="B318" s="10" t="s">
        <v>308</v>
      </c>
      <c r="C318" s="65" t="s">
        <v>309</v>
      </c>
      <c r="D318" s="44" t="s">
        <v>106</v>
      </c>
      <c r="E318" s="90">
        <v>1</v>
      </c>
      <c r="F318" s="90"/>
      <c r="G318" s="102">
        <f>cell_CoefGeneral</f>
        <v>1</v>
      </c>
      <c r="H318" s="100">
        <f>0</f>
        <v>0</v>
      </c>
      <c r="I318" s="90">
        <f>IFERROR(ROUND(E318*H318,2),"-")</f>
        <v>0</v>
      </c>
      <c r="J318" s="114" t="str">
        <f>IFERROR(I318/cell_Total_HT,"-")</f>
        <v>-</v>
      </c>
      <c r="K318">
        <f>I318</f>
        <v>0</v>
      </c>
      <c r="L318"/>
      <c r="M318"/>
      <c r="N318"/>
      <c r="O318"/>
      <c r="P318"/>
      <c r="Q318"/>
      <c r="R318"/>
      <c r="S318"/>
      <c r="T318"/>
    </row>
    <row r="319" spans="1:20" outlineLevel="3" x14ac:dyDescent="0.3">
      <c r="A319" s="88" t="s">
        <v>548</v>
      </c>
      <c r="B319" s="10" t="s">
        <v>311</v>
      </c>
      <c r="C319" s="65" t="s">
        <v>312</v>
      </c>
      <c r="D319" s="44" t="s">
        <v>106</v>
      </c>
      <c r="E319" s="90">
        <v>1</v>
      </c>
      <c r="F319" s="90"/>
      <c r="G319" s="102">
        <f>cell_CoefGeneral</f>
        <v>1</v>
      </c>
      <c r="H319" s="100">
        <f>0</f>
        <v>0</v>
      </c>
      <c r="I319" s="90">
        <f>IFERROR(ROUND(E319*H319,2),"-")</f>
        <v>0</v>
      </c>
      <c r="J319" s="114" t="str">
        <f>IFERROR(I319/cell_Total_HT,"-")</f>
        <v>-</v>
      </c>
      <c r="K319">
        <f>I319</f>
        <v>0</v>
      </c>
      <c r="L319"/>
      <c r="M319"/>
      <c r="N319"/>
      <c r="O319"/>
      <c r="P319"/>
      <c r="Q319"/>
      <c r="R319"/>
      <c r="S319"/>
      <c r="T319"/>
    </row>
    <row r="320" spans="1:20" ht="15" outlineLevel="3" thickBot="1" x14ac:dyDescent="0.35">
      <c r="A320" s="88" t="s">
        <v>549</v>
      </c>
      <c r="B320" s="10" t="s">
        <v>314</v>
      </c>
      <c r="C320" s="65" t="s">
        <v>315</v>
      </c>
      <c r="D320" s="44" t="s">
        <v>106</v>
      </c>
      <c r="E320" s="90">
        <v>1</v>
      </c>
      <c r="F320" s="90"/>
      <c r="G320" s="102">
        <f>cell_CoefGeneral</f>
        <v>1</v>
      </c>
      <c r="H320" s="100">
        <f>0</f>
        <v>0</v>
      </c>
      <c r="I320" s="90">
        <f>IFERROR(ROUND(E320*H320,2),"-")</f>
        <v>0</v>
      </c>
      <c r="J320" s="114" t="str">
        <f>IFERROR(I320/cell_Total_HT,"-")</f>
        <v>-</v>
      </c>
      <c r="K320">
        <f>I320</f>
        <v>0</v>
      </c>
      <c r="L320"/>
      <c r="M320"/>
      <c r="N320"/>
      <c r="O320"/>
      <c r="P320"/>
      <c r="Q320"/>
      <c r="R320"/>
      <c r="S320"/>
      <c r="T320"/>
    </row>
    <row r="321" spans="1:20" ht="15.6" outlineLevel="2" thickTop="1" thickBot="1" x14ac:dyDescent="0.35">
      <c r="A321" s="88" t="s">
        <v>550</v>
      </c>
      <c r="B321" s="68" t="s">
        <v>60</v>
      </c>
      <c r="C321" s="69" t="s">
        <v>111</v>
      </c>
      <c r="D321" s="127"/>
      <c r="E321" s="95"/>
      <c r="F321" s="95"/>
      <c r="G321" s="107"/>
      <c r="H321" s="95"/>
      <c r="I321" s="95">
        <f>SUBTOTAL(9,I309:I320)</f>
        <v>0</v>
      </c>
      <c r="J321" s="119"/>
      <c r="K321"/>
      <c r="L321"/>
      <c r="M321"/>
      <c r="N321"/>
      <c r="O321"/>
      <c r="P321"/>
      <c r="Q321"/>
      <c r="R321"/>
      <c r="S321"/>
      <c r="T321"/>
    </row>
    <row r="322" spans="1:20" ht="15" outlineLevel="1" thickTop="1" x14ac:dyDescent="0.3">
      <c r="A322" s="88" t="s">
        <v>551</v>
      </c>
      <c r="B322" s="76" t="s">
        <v>60</v>
      </c>
      <c r="C322" s="77" t="s">
        <v>552</v>
      </c>
      <c r="D322" s="130"/>
      <c r="E322" s="96"/>
      <c r="F322" s="96"/>
      <c r="G322" s="108"/>
      <c r="H322" s="96"/>
      <c r="I322" s="96">
        <f>ROUND(I251+I307+I321,2)</f>
        <v>0</v>
      </c>
      <c r="J322" s="120"/>
      <c r="K322"/>
      <c r="L322"/>
      <c r="M322"/>
      <c r="N322"/>
      <c r="O322"/>
      <c r="P322"/>
      <c r="Q322"/>
      <c r="R322"/>
      <c r="S322"/>
      <c r="T322"/>
    </row>
    <row r="323" spans="1:20" ht="15" outlineLevel="1" thickBot="1" x14ac:dyDescent="0.35">
      <c r="A323" s="88" t="s">
        <v>553</v>
      </c>
      <c r="B323" s="70" t="s">
        <v>60</v>
      </c>
      <c r="C323" s="71" t="s">
        <v>554</v>
      </c>
      <c r="D323" s="128"/>
      <c r="E323" s="92"/>
      <c r="F323" s="92"/>
      <c r="G323" s="104"/>
      <c r="H323" s="92"/>
      <c r="I323" s="112">
        <f>SUBTOTAL(9,K324:K396)</f>
        <v>0</v>
      </c>
      <c r="J323" s="116"/>
      <c r="K323"/>
      <c r="L323"/>
      <c r="M323"/>
      <c r="N323"/>
      <c r="O323"/>
      <c r="P323"/>
      <c r="Q323"/>
      <c r="R323"/>
      <c r="S323"/>
      <c r="T323"/>
    </row>
    <row r="324" spans="1:20" outlineLevel="2" x14ac:dyDescent="0.3">
      <c r="A324" s="88" t="s">
        <v>555</v>
      </c>
      <c r="B324" s="72" t="s">
        <v>60</v>
      </c>
      <c r="C324" s="73" t="s">
        <v>102</v>
      </c>
      <c r="D324" s="129"/>
      <c r="E324" s="93"/>
      <c r="F324" s="93"/>
      <c r="G324" s="105"/>
      <c r="H324" s="93"/>
      <c r="I324" s="113">
        <f>SUBTOTAL(9,K325:K326)</f>
        <v>0</v>
      </c>
      <c r="J324" s="117"/>
      <c r="K324"/>
      <c r="L324"/>
      <c r="M324"/>
      <c r="N324"/>
      <c r="O324"/>
      <c r="P324"/>
      <c r="Q324"/>
      <c r="R324"/>
      <c r="S324"/>
      <c r="T324"/>
    </row>
    <row r="325" spans="1:20" outlineLevel="3" x14ac:dyDescent="0.3">
      <c r="A325" s="88" t="s">
        <v>556</v>
      </c>
      <c r="B325" s="10" t="s">
        <v>104</v>
      </c>
      <c r="C325" s="65" t="s">
        <v>105</v>
      </c>
      <c r="D325" s="44" t="s">
        <v>106</v>
      </c>
      <c r="E325" s="90">
        <v>1</v>
      </c>
      <c r="F325" s="90"/>
      <c r="G325" s="102">
        <f>cell_CoefGeneral</f>
        <v>1</v>
      </c>
      <c r="H325" s="100">
        <f>0</f>
        <v>0</v>
      </c>
      <c r="I325" s="90">
        <f>IFERROR(ROUND(E325*H325,2),"-")</f>
        <v>0</v>
      </c>
      <c r="J325" s="114" t="str">
        <f>IFERROR(I325/cell_Total_HT,"-")</f>
        <v>-</v>
      </c>
      <c r="K325">
        <f>I325</f>
        <v>0</v>
      </c>
      <c r="L325"/>
      <c r="M325"/>
      <c r="N325"/>
      <c r="O325"/>
      <c r="P325"/>
      <c r="Q325"/>
      <c r="R325"/>
      <c r="S325"/>
      <c r="T325"/>
    </row>
    <row r="326" spans="1:20" ht="15" outlineLevel="3" thickBot="1" x14ac:dyDescent="0.35">
      <c r="A326" s="88" t="s">
        <v>557</v>
      </c>
      <c r="B326" s="10" t="s">
        <v>108</v>
      </c>
      <c r="C326" s="65" t="s">
        <v>109</v>
      </c>
      <c r="D326" s="44" t="s">
        <v>106</v>
      </c>
      <c r="E326" s="90">
        <v>1</v>
      </c>
      <c r="F326" s="90"/>
      <c r="G326" s="102">
        <f>cell_CoefGeneral</f>
        <v>1</v>
      </c>
      <c r="H326" s="100">
        <f>0</f>
        <v>0</v>
      </c>
      <c r="I326" s="90">
        <f>IFERROR(ROUND(E326*H326,2),"-")</f>
        <v>0</v>
      </c>
      <c r="J326" s="114" t="str">
        <f>IFERROR(I326/cell_Total_HT,"-")</f>
        <v>-</v>
      </c>
      <c r="K326">
        <f>I326</f>
        <v>0</v>
      </c>
      <c r="L326"/>
      <c r="M326"/>
      <c r="N326"/>
      <c r="O326"/>
      <c r="P326"/>
      <c r="Q326"/>
      <c r="R326"/>
      <c r="S326"/>
      <c r="T326"/>
    </row>
    <row r="327" spans="1:20" ht="15" outlineLevel="2" thickTop="1" x14ac:dyDescent="0.3">
      <c r="A327" s="88" t="s">
        <v>558</v>
      </c>
      <c r="B327" s="68" t="s">
        <v>60</v>
      </c>
      <c r="C327" s="69" t="s">
        <v>111</v>
      </c>
      <c r="D327" s="127"/>
      <c r="E327" s="95"/>
      <c r="F327" s="95"/>
      <c r="G327" s="107"/>
      <c r="H327" s="95"/>
      <c r="I327" s="95">
        <f>SUBTOTAL(9,I325:I326)</f>
        <v>0</v>
      </c>
      <c r="J327" s="119"/>
      <c r="K327"/>
      <c r="L327"/>
      <c r="M327"/>
      <c r="N327"/>
      <c r="O327"/>
      <c r="P327"/>
      <c r="Q327"/>
      <c r="R327"/>
      <c r="S327"/>
      <c r="T327"/>
    </row>
    <row r="328" spans="1:20" outlineLevel="2" x14ac:dyDescent="0.3">
      <c r="A328" s="88" t="s">
        <v>559</v>
      </c>
      <c r="B328" s="72" t="s">
        <v>113</v>
      </c>
      <c r="C328" s="73" t="s">
        <v>114</v>
      </c>
      <c r="D328" s="129"/>
      <c r="E328" s="93"/>
      <c r="F328" s="93"/>
      <c r="G328" s="105"/>
      <c r="H328" s="93"/>
      <c r="I328" s="113">
        <f>SUBTOTAL(9,K329:K382)</f>
        <v>0</v>
      </c>
      <c r="J328" s="117"/>
      <c r="K328"/>
      <c r="L328"/>
      <c r="M328"/>
      <c r="N328"/>
      <c r="O328"/>
      <c r="P328"/>
      <c r="Q328"/>
      <c r="R328"/>
      <c r="S328"/>
      <c r="T328"/>
    </row>
    <row r="329" spans="1:20" outlineLevel="3" x14ac:dyDescent="0.3">
      <c r="A329" s="88" t="s">
        <v>560</v>
      </c>
      <c r="B329" s="72" t="s">
        <v>116</v>
      </c>
      <c r="C329" s="74" t="s">
        <v>117</v>
      </c>
      <c r="D329" s="129"/>
      <c r="E329" s="93"/>
      <c r="F329" s="93"/>
      <c r="G329" s="105"/>
      <c r="H329" s="93"/>
      <c r="I329" s="113">
        <f>SUBTOTAL(9,K330:K333)</f>
        <v>0</v>
      </c>
      <c r="J329" s="117"/>
      <c r="K329"/>
      <c r="L329"/>
      <c r="M329"/>
      <c r="N329"/>
      <c r="O329"/>
      <c r="P329"/>
      <c r="Q329"/>
      <c r="R329"/>
      <c r="S329"/>
      <c r="T329"/>
    </row>
    <row r="330" spans="1:20" outlineLevel="4" x14ac:dyDescent="0.3">
      <c r="A330" s="88" t="s">
        <v>561</v>
      </c>
      <c r="B330" s="10" t="s">
        <v>119</v>
      </c>
      <c r="C330" s="65" t="s">
        <v>120</v>
      </c>
      <c r="D330" s="44" t="s">
        <v>121</v>
      </c>
      <c r="E330" s="90">
        <v>0</v>
      </c>
      <c r="F330" s="90"/>
      <c r="G330" s="102">
        <f>cell_CoefGeneral</f>
        <v>1</v>
      </c>
      <c r="H330" s="101">
        <f>H26</f>
        <v>0</v>
      </c>
      <c r="I330" s="90">
        <f>IFERROR(ROUND(E330*H330,2),"-")</f>
        <v>0</v>
      </c>
      <c r="J330" s="114" t="str">
        <f>IFERROR(I330/cell_Total_HT,"-")</f>
        <v>-</v>
      </c>
      <c r="K330">
        <f>I330</f>
        <v>0</v>
      </c>
      <c r="L330"/>
      <c r="M330"/>
      <c r="N330"/>
      <c r="O330"/>
      <c r="P330"/>
      <c r="Q330"/>
      <c r="R330"/>
      <c r="S330"/>
      <c r="T330"/>
    </row>
    <row r="331" spans="1:20" ht="28.8" outlineLevel="4" x14ac:dyDescent="0.3">
      <c r="A331" s="88" t="s">
        <v>562</v>
      </c>
      <c r="B331" s="10" t="s">
        <v>123</v>
      </c>
      <c r="C331" s="65" t="s">
        <v>124</v>
      </c>
      <c r="D331" s="44" t="s">
        <v>125</v>
      </c>
      <c r="E331" s="90">
        <v>0</v>
      </c>
      <c r="F331" s="90"/>
      <c r="G331" s="102">
        <f>cell_CoefGeneral</f>
        <v>1</v>
      </c>
      <c r="H331" s="101">
        <f>H27</f>
        <v>0</v>
      </c>
      <c r="I331" s="90">
        <f>IFERROR(ROUND(E331*H331,2),"-")</f>
        <v>0</v>
      </c>
      <c r="J331" s="114" t="str">
        <f>IFERROR(I331/cell_Total_HT,"-")</f>
        <v>-</v>
      </c>
      <c r="K331">
        <f>I331</f>
        <v>0</v>
      </c>
      <c r="L331"/>
      <c r="M331"/>
      <c r="N331"/>
      <c r="O331"/>
      <c r="P331"/>
      <c r="Q331"/>
      <c r="R331"/>
      <c r="S331"/>
      <c r="T331"/>
    </row>
    <row r="332" spans="1:20" outlineLevel="4" x14ac:dyDescent="0.3">
      <c r="A332" s="88" t="s">
        <v>563</v>
      </c>
      <c r="B332" s="10" t="s">
        <v>127</v>
      </c>
      <c r="C332" s="65" t="s">
        <v>128</v>
      </c>
      <c r="D332" s="44" t="s">
        <v>121</v>
      </c>
      <c r="E332" s="90">
        <v>0</v>
      </c>
      <c r="F332" s="90"/>
      <c r="G332" s="102">
        <f>cell_CoefGeneral</f>
        <v>1</v>
      </c>
      <c r="H332" s="101">
        <f>H28</f>
        <v>0</v>
      </c>
      <c r="I332" s="90">
        <f>IFERROR(ROUND(E332*H332,2),"-")</f>
        <v>0</v>
      </c>
      <c r="J332" s="114" t="str">
        <f>IFERROR(I332/cell_Total_HT,"-")</f>
        <v>-</v>
      </c>
      <c r="K332">
        <f>I332</f>
        <v>0</v>
      </c>
      <c r="L332"/>
      <c r="M332"/>
      <c r="N332"/>
      <c r="O332"/>
      <c r="P332"/>
      <c r="Q332"/>
      <c r="R332"/>
      <c r="S332"/>
      <c r="T332"/>
    </row>
    <row r="333" spans="1:20" outlineLevel="4" x14ac:dyDescent="0.3">
      <c r="A333" s="88" t="s">
        <v>564</v>
      </c>
      <c r="B333" s="10" t="s">
        <v>130</v>
      </c>
      <c r="C333" s="65" t="s">
        <v>131</v>
      </c>
      <c r="D333" s="44" t="s">
        <v>125</v>
      </c>
      <c r="E333" s="90">
        <v>0</v>
      </c>
      <c r="F333" s="90"/>
      <c r="G333" s="102">
        <f>cell_CoefGeneral</f>
        <v>1</v>
      </c>
      <c r="H333" s="101">
        <f>H29</f>
        <v>0</v>
      </c>
      <c r="I333" s="90">
        <f>IFERROR(ROUND(E333*H333,2),"-")</f>
        <v>0</v>
      </c>
      <c r="J333" s="114" t="str">
        <f>IFERROR(I333/cell_Total_HT,"-")</f>
        <v>-</v>
      </c>
      <c r="K333">
        <f>I333</f>
        <v>0</v>
      </c>
      <c r="L333"/>
      <c r="M333"/>
      <c r="N333"/>
      <c r="O333"/>
      <c r="P333"/>
      <c r="Q333"/>
      <c r="R333"/>
      <c r="S333"/>
      <c r="T333"/>
    </row>
    <row r="334" spans="1:20" outlineLevel="3" x14ac:dyDescent="0.3">
      <c r="A334" s="88" t="s">
        <v>565</v>
      </c>
      <c r="B334" s="63" t="s">
        <v>133</v>
      </c>
      <c r="C334" s="75" t="s">
        <v>134</v>
      </c>
      <c r="D334" s="125"/>
      <c r="E334" s="93"/>
      <c r="F334" s="93"/>
      <c r="G334" s="105"/>
      <c r="H334" s="93"/>
      <c r="I334" s="113">
        <f>SUBTOTAL(9,K335:K336)</f>
        <v>0</v>
      </c>
      <c r="J334" s="117"/>
      <c r="K334"/>
      <c r="L334"/>
      <c r="M334"/>
      <c r="N334"/>
      <c r="O334"/>
      <c r="P334"/>
      <c r="Q334"/>
      <c r="R334"/>
      <c r="S334"/>
      <c r="T334"/>
    </row>
    <row r="335" spans="1:20" outlineLevel="4" x14ac:dyDescent="0.3">
      <c r="A335" s="88" t="s">
        <v>566</v>
      </c>
      <c r="B335" s="10" t="s">
        <v>136</v>
      </c>
      <c r="C335" s="65" t="s">
        <v>120</v>
      </c>
      <c r="D335" s="44" t="s">
        <v>121</v>
      </c>
      <c r="E335" s="90">
        <v>0</v>
      </c>
      <c r="F335" s="90"/>
      <c r="G335" s="102">
        <f>cell_CoefGeneral</f>
        <v>1</v>
      </c>
      <c r="H335" s="101">
        <f>H31</f>
        <v>0</v>
      </c>
      <c r="I335" s="90">
        <f>IFERROR(ROUND(E335*H335,2),"-")</f>
        <v>0</v>
      </c>
      <c r="J335" s="114" t="str">
        <f>IFERROR(I335/cell_Total_HT,"-")</f>
        <v>-</v>
      </c>
      <c r="K335">
        <f>I335</f>
        <v>0</v>
      </c>
      <c r="L335"/>
      <c r="M335"/>
      <c r="N335"/>
      <c r="O335"/>
      <c r="P335"/>
      <c r="Q335"/>
      <c r="R335"/>
      <c r="S335"/>
      <c r="T335"/>
    </row>
    <row r="336" spans="1:20" outlineLevel="4" x14ac:dyDescent="0.3">
      <c r="A336" s="88" t="s">
        <v>567</v>
      </c>
      <c r="B336" s="10" t="s">
        <v>138</v>
      </c>
      <c r="C336" s="65" t="s">
        <v>139</v>
      </c>
      <c r="D336" s="44" t="s">
        <v>125</v>
      </c>
      <c r="E336" s="90">
        <v>0</v>
      </c>
      <c r="F336" s="90"/>
      <c r="G336" s="102">
        <f>cell_CoefGeneral</f>
        <v>1</v>
      </c>
      <c r="H336" s="101">
        <f>H32</f>
        <v>0</v>
      </c>
      <c r="I336" s="90">
        <f>IFERROR(ROUND(E336*H336,2),"-")</f>
        <v>0</v>
      </c>
      <c r="J336" s="114" t="str">
        <f>IFERROR(I336/cell_Total_HT,"-")</f>
        <v>-</v>
      </c>
      <c r="K336">
        <f>I336</f>
        <v>0</v>
      </c>
      <c r="L336"/>
      <c r="M336"/>
      <c r="N336"/>
      <c r="O336"/>
      <c r="P336"/>
      <c r="Q336"/>
      <c r="R336"/>
      <c r="S336"/>
      <c r="T336"/>
    </row>
    <row r="337" spans="1:20" outlineLevel="3" x14ac:dyDescent="0.3">
      <c r="A337" s="88" t="s">
        <v>568</v>
      </c>
      <c r="B337" s="63" t="s">
        <v>141</v>
      </c>
      <c r="C337" s="75" t="s">
        <v>142</v>
      </c>
      <c r="D337" s="125"/>
      <c r="E337" s="93"/>
      <c r="F337" s="93"/>
      <c r="G337" s="105"/>
      <c r="H337" s="93"/>
      <c r="I337" s="113">
        <f>SUBTOTAL(9,K338:K339)</f>
        <v>0</v>
      </c>
      <c r="J337" s="117"/>
      <c r="K337"/>
      <c r="L337"/>
      <c r="M337"/>
      <c r="N337"/>
      <c r="O337"/>
      <c r="P337"/>
      <c r="Q337"/>
      <c r="R337"/>
      <c r="S337"/>
      <c r="T337"/>
    </row>
    <row r="338" spans="1:20" outlineLevel="4" x14ac:dyDescent="0.3">
      <c r="A338" s="88" t="s">
        <v>569</v>
      </c>
      <c r="B338" s="10" t="s">
        <v>144</v>
      </c>
      <c r="C338" s="65" t="s">
        <v>145</v>
      </c>
      <c r="D338" s="44" t="s">
        <v>121</v>
      </c>
      <c r="E338" s="90">
        <v>0</v>
      </c>
      <c r="F338" s="90"/>
      <c r="G338" s="102">
        <f>cell_CoefGeneral</f>
        <v>1</v>
      </c>
      <c r="H338" s="101">
        <f>H34</f>
        <v>0</v>
      </c>
      <c r="I338" s="90">
        <f>IFERROR(ROUND(E338*H338,2),"-")</f>
        <v>0</v>
      </c>
      <c r="J338" s="114" t="str">
        <f>IFERROR(I338/cell_Total_HT,"-")</f>
        <v>-</v>
      </c>
      <c r="K338">
        <f>I338</f>
        <v>0</v>
      </c>
      <c r="L338"/>
      <c r="M338"/>
      <c r="N338"/>
      <c r="O338"/>
      <c r="P338"/>
      <c r="Q338"/>
      <c r="R338"/>
      <c r="S338"/>
      <c r="T338"/>
    </row>
    <row r="339" spans="1:20" outlineLevel="4" x14ac:dyDescent="0.3">
      <c r="A339" s="88" t="s">
        <v>570</v>
      </c>
      <c r="B339" s="10" t="s">
        <v>147</v>
      </c>
      <c r="C339" s="65" t="s">
        <v>148</v>
      </c>
      <c r="D339" s="44" t="s">
        <v>149</v>
      </c>
      <c r="E339" s="90">
        <v>0</v>
      </c>
      <c r="F339" s="90"/>
      <c r="G339" s="102">
        <f>cell_CoefGeneral</f>
        <v>1</v>
      </c>
      <c r="H339" s="101">
        <f>H35</f>
        <v>0</v>
      </c>
      <c r="I339" s="90">
        <f>IFERROR(ROUND(E339*H339,2),"-")</f>
        <v>0</v>
      </c>
      <c r="J339" s="114" t="str">
        <f>IFERROR(I339/cell_Total_HT,"-")</f>
        <v>-</v>
      </c>
      <c r="K339">
        <f>I339</f>
        <v>0</v>
      </c>
      <c r="L339"/>
      <c r="M339"/>
      <c r="N339"/>
      <c r="O339"/>
      <c r="P339"/>
      <c r="Q339"/>
      <c r="R339"/>
      <c r="S339"/>
      <c r="T339"/>
    </row>
    <row r="340" spans="1:20" outlineLevel="3" x14ac:dyDescent="0.3">
      <c r="A340" s="88" t="s">
        <v>571</v>
      </c>
      <c r="B340" s="63" t="s">
        <v>151</v>
      </c>
      <c r="C340" s="75" t="s">
        <v>152</v>
      </c>
      <c r="D340" s="125"/>
      <c r="E340" s="93"/>
      <c r="F340" s="93"/>
      <c r="G340" s="105"/>
      <c r="H340" s="93"/>
      <c r="I340" s="113">
        <f>SUBTOTAL(9,K341:K341)</f>
        <v>0</v>
      </c>
      <c r="J340" s="117"/>
      <c r="K340"/>
      <c r="L340"/>
      <c r="M340"/>
      <c r="N340"/>
      <c r="O340"/>
      <c r="P340"/>
      <c r="Q340"/>
      <c r="R340"/>
      <c r="S340"/>
      <c r="T340"/>
    </row>
    <row r="341" spans="1:20" outlineLevel="4" x14ac:dyDescent="0.3">
      <c r="A341" s="88" t="s">
        <v>572</v>
      </c>
      <c r="B341" s="10" t="s">
        <v>154</v>
      </c>
      <c r="C341" s="65" t="s">
        <v>145</v>
      </c>
      <c r="D341" s="44" t="s">
        <v>121</v>
      </c>
      <c r="E341" s="90">
        <v>0</v>
      </c>
      <c r="F341" s="90"/>
      <c r="G341" s="102">
        <f>cell_CoefGeneral</f>
        <v>1</v>
      </c>
      <c r="H341" s="101">
        <f>H37</f>
        <v>0</v>
      </c>
      <c r="I341" s="90">
        <f>IFERROR(ROUND(E341*H341,2),"-")</f>
        <v>0</v>
      </c>
      <c r="J341" s="114" t="str">
        <f>IFERROR(I341/cell_Total_HT,"-")</f>
        <v>-</v>
      </c>
      <c r="K341">
        <f>I341</f>
        <v>0</v>
      </c>
      <c r="L341"/>
      <c r="M341"/>
      <c r="N341"/>
      <c r="O341"/>
      <c r="P341"/>
      <c r="Q341"/>
      <c r="R341"/>
      <c r="S341"/>
      <c r="T341"/>
    </row>
    <row r="342" spans="1:20" outlineLevel="3" x14ac:dyDescent="0.3">
      <c r="A342" s="88" t="s">
        <v>573</v>
      </c>
      <c r="B342" s="63" t="s">
        <v>156</v>
      </c>
      <c r="C342" s="75" t="s">
        <v>157</v>
      </c>
      <c r="D342" s="125"/>
      <c r="E342" s="93"/>
      <c r="F342" s="93"/>
      <c r="G342" s="105"/>
      <c r="H342" s="93"/>
      <c r="I342" s="113">
        <f>SUBTOTAL(9,K343:K343)</f>
        <v>0</v>
      </c>
      <c r="J342" s="117"/>
      <c r="K342"/>
      <c r="L342"/>
      <c r="M342"/>
      <c r="N342"/>
      <c r="O342"/>
      <c r="P342"/>
      <c r="Q342"/>
      <c r="R342"/>
      <c r="S342"/>
      <c r="T342"/>
    </row>
    <row r="343" spans="1:20" outlineLevel="4" x14ac:dyDescent="0.3">
      <c r="A343" s="88" t="s">
        <v>574</v>
      </c>
      <c r="B343" s="10" t="s">
        <v>159</v>
      </c>
      <c r="C343" s="65" t="s">
        <v>160</v>
      </c>
      <c r="D343" s="44" t="s">
        <v>121</v>
      </c>
      <c r="E343" s="90">
        <v>385</v>
      </c>
      <c r="F343" s="90"/>
      <c r="G343" s="102">
        <f>cell_CoefGeneral</f>
        <v>1</v>
      </c>
      <c r="H343" s="101">
        <f>H39</f>
        <v>0</v>
      </c>
      <c r="I343" s="90">
        <f>IFERROR(ROUND(E343*H343,2),"-")</f>
        <v>0</v>
      </c>
      <c r="J343" s="114" t="str">
        <f>IFERROR(I343/cell_Total_HT,"-")</f>
        <v>-</v>
      </c>
      <c r="K343">
        <f>I343</f>
        <v>0</v>
      </c>
      <c r="L343"/>
      <c r="M343"/>
      <c r="N343"/>
      <c r="O343"/>
      <c r="P343"/>
      <c r="Q343"/>
      <c r="R343"/>
      <c r="S343"/>
      <c r="T343"/>
    </row>
    <row r="344" spans="1:20" outlineLevel="3" x14ac:dyDescent="0.3">
      <c r="A344" s="88" t="s">
        <v>575</v>
      </c>
      <c r="B344" s="63" t="s">
        <v>162</v>
      </c>
      <c r="C344" s="75" t="s">
        <v>163</v>
      </c>
      <c r="D344" s="125"/>
      <c r="E344" s="93"/>
      <c r="F344" s="93"/>
      <c r="G344" s="105"/>
      <c r="H344" s="93"/>
      <c r="I344" s="113">
        <f>SUBTOTAL(9,K345:K346)</f>
        <v>0</v>
      </c>
      <c r="J344" s="117"/>
      <c r="K344"/>
      <c r="L344"/>
      <c r="M344"/>
      <c r="N344"/>
      <c r="O344"/>
      <c r="P344"/>
      <c r="Q344"/>
      <c r="R344"/>
      <c r="S344"/>
      <c r="T344"/>
    </row>
    <row r="345" spans="1:20" ht="28.8" outlineLevel="4" x14ac:dyDescent="0.3">
      <c r="A345" s="88" t="s">
        <v>576</v>
      </c>
      <c r="B345" s="10" t="s">
        <v>165</v>
      </c>
      <c r="C345" s="65" t="s">
        <v>166</v>
      </c>
      <c r="D345" s="44" t="s">
        <v>167</v>
      </c>
      <c r="E345" s="90">
        <v>0</v>
      </c>
      <c r="F345" s="90"/>
      <c r="G345" s="102">
        <f>cell_CoefGeneral</f>
        <v>1</v>
      </c>
      <c r="H345" s="101">
        <f>H41</f>
        <v>0</v>
      </c>
      <c r="I345" s="90">
        <f>IFERROR(ROUND(E345*H345,2),"-")</f>
        <v>0</v>
      </c>
      <c r="J345" s="114" t="str">
        <f>IFERROR(I345/cell_Total_HT,"-")</f>
        <v>-</v>
      </c>
      <c r="K345">
        <f>I345</f>
        <v>0</v>
      </c>
      <c r="L345"/>
      <c r="M345"/>
      <c r="N345"/>
      <c r="O345"/>
      <c r="P345"/>
      <c r="Q345"/>
      <c r="R345"/>
      <c r="S345"/>
      <c r="T345"/>
    </row>
    <row r="346" spans="1:20" outlineLevel="4" x14ac:dyDescent="0.3">
      <c r="A346" s="88" t="s">
        <v>577</v>
      </c>
      <c r="B346" s="10" t="s">
        <v>169</v>
      </c>
      <c r="C346" s="65" t="s">
        <v>170</v>
      </c>
      <c r="D346" s="44" t="s">
        <v>121</v>
      </c>
      <c r="E346" s="90">
        <v>0</v>
      </c>
      <c r="F346" s="90"/>
      <c r="G346" s="102">
        <f>cell_CoefGeneral</f>
        <v>1</v>
      </c>
      <c r="H346" s="101">
        <f>H42</f>
        <v>0</v>
      </c>
      <c r="I346" s="90">
        <f>IFERROR(ROUND(E346*H346,2),"-")</f>
        <v>0</v>
      </c>
      <c r="J346" s="114" t="str">
        <f>IFERROR(I346/cell_Total_HT,"-")</f>
        <v>-</v>
      </c>
      <c r="K346">
        <f>I346</f>
        <v>0</v>
      </c>
      <c r="L346"/>
      <c r="M346"/>
      <c r="N346"/>
      <c r="O346"/>
      <c r="P346"/>
      <c r="Q346"/>
      <c r="R346"/>
      <c r="S346"/>
      <c r="T346"/>
    </row>
    <row r="347" spans="1:20" outlineLevel="3" x14ac:dyDescent="0.3">
      <c r="A347" s="88" t="s">
        <v>578</v>
      </c>
      <c r="B347" s="63" t="s">
        <v>172</v>
      </c>
      <c r="C347" s="75" t="s">
        <v>173</v>
      </c>
      <c r="D347" s="125"/>
      <c r="E347" s="93"/>
      <c r="F347" s="93"/>
      <c r="G347" s="105"/>
      <c r="H347" s="93"/>
      <c r="I347" s="113">
        <f>SUBTOTAL(9,K348:K349)</f>
        <v>0</v>
      </c>
      <c r="J347" s="117"/>
      <c r="K347"/>
      <c r="L347"/>
      <c r="M347"/>
      <c r="N347"/>
      <c r="O347"/>
      <c r="P347"/>
      <c r="Q347"/>
      <c r="R347"/>
      <c r="S347"/>
      <c r="T347"/>
    </row>
    <row r="348" spans="1:20" ht="28.8" outlineLevel="4" x14ac:dyDescent="0.3">
      <c r="A348" s="88" t="s">
        <v>579</v>
      </c>
      <c r="B348" s="10" t="s">
        <v>175</v>
      </c>
      <c r="C348" s="65" t="s">
        <v>166</v>
      </c>
      <c r="D348" s="44" t="s">
        <v>167</v>
      </c>
      <c r="E348" s="90">
        <v>0</v>
      </c>
      <c r="F348" s="90"/>
      <c r="G348" s="102">
        <f>cell_CoefGeneral</f>
        <v>1</v>
      </c>
      <c r="H348" s="101">
        <f>H44</f>
        <v>0</v>
      </c>
      <c r="I348" s="90">
        <f>IFERROR(ROUND(E348*H348,2),"-")</f>
        <v>0</v>
      </c>
      <c r="J348" s="114" t="str">
        <f>IFERROR(I348/cell_Total_HT,"-")</f>
        <v>-</v>
      </c>
      <c r="K348">
        <f>I348</f>
        <v>0</v>
      </c>
      <c r="L348"/>
      <c r="M348"/>
      <c r="N348"/>
      <c r="O348"/>
      <c r="P348"/>
      <c r="Q348"/>
      <c r="R348"/>
      <c r="S348"/>
      <c r="T348"/>
    </row>
    <row r="349" spans="1:20" outlineLevel="4" x14ac:dyDescent="0.3">
      <c r="A349" s="88" t="s">
        <v>580</v>
      </c>
      <c r="B349" s="10" t="s">
        <v>177</v>
      </c>
      <c r="C349" s="65" t="s">
        <v>178</v>
      </c>
      <c r="D349" s="44" t="s">
        <v>121</v>
      </c>
      <c r="E349" s="90">
        <v>0</v>
      </c>
      <c r="F349" s="90"/>
      <c r="G349" s="102">
        <f>cell_CoefGeneral</f>
        <v>1</v>
      </c>
      <c r="H349" s="101">
        <f>H45</f>
        <v>0</v>
      </c>
      <c r="I349" s="90">
        <f>IFERROR(ROUND(E349*H349,2),"-")</f>
        <v>0</v>
      </c>
      <c r="J349" s="114" t="str">
        <f>IFERROR(I349/cell_Total_HT,"-")</f>
        <v>-</v>
      </c>
      <c r="K349">
        <f>I349</f>
        <v>0</v>
      </c>
      <c r="L349"/>
      <c r="M349"/>
      <c r="N349"/>
      <c r="O349"/>
      <c r="P349"/>
      <c r="Q349"/>
      <c r="R349"/>
      <c r="S349"/>
      <c r="T349"/>
    </row>
    <row r="350" spans="1:20" outlineLevel="3" x14ac:dyDescent="0.3">
      <c r="A350" s="88" t="s">
        <v>581</v>
      </c>
      <c r="B350" s="63" t="s">
        <v>180</v>
      </c>
      <c r="C350" s="75" t="s">
        <v>181</v>
      </c>
      <c r="D350" s="125"/>
      <c r="E350" s="93"/>
      <c r="F350" s="93"/>
      <c r="G350" s="105"/>
      <c r="H350" s="93"/>
      <c r="I350" s="113">
        <f>SUBTOTAL(9,K351:K352)</f>
        <v>0</v>
      </c>
      <c r="J350" s="117"/>
      <c r="K350"/>
      <c r="L350"/>
      <c r="M350"/>
      <c r="N350"/>
      <c r="O350"/>
      <c r="P350"/>
      <c r="Q350"/>
      <c r="R350"/>
      <c r="S350"/>
      <c r="T350"/>
    </row>
    <row r="351" spans="1:20" ht="28.8" outlineLevel="4" x14ac:dyDescent="0.3">
      <c r="A351" s="88" t="s">
        <v>582</v>
      </c>
      <c r="B351" s="10" t="s">
        <v>183</v>
      </c>
      <c r="C351" s="65" t="s">
        <v>184</v>
      </c>
      <c r="D351" s="44" t="s">
        <v>167</v>
      </c>
      <c r="E351" s="90">
        <v>0</v>
      </c>
      <c r="F351" s="90"/>
      <c r="G351" s="102">
        <f>cell_CoefGeneral</f>
        <v>1</v>
      </c>
      <c r="H351" s="101">
        <f>H47</f>
        <v>0</v>
      </c>
      <c r="I351" s="90">
        <f>IFERROR(ROUND(E351*H351,2),"-")</f>
        <v>0</v>
      </c>
      <c r="J351" s="114" t="str">
        <f>IFERROR(I351/cell_Total_HT,"-")</f>
        <v>-</v>
      </c>
      <c r="K351">
        <f>I351</f>
        <v>0</v>
      </c>
      <c r="L351"/>
      <c r="M351"/>
      <c r="N351"/>
      <c r="O351"/>
      <c r="P351"/>
      <c r="Q351"/>
      <c r="R351"/>
      <c r="S351"/>
      <c r="T351"/>
    </row>
    <row r="352" spans="1:20" outlineLevel="4" x14ac:dyDescent="0.3">
      <c r="A352" s="88" t="s">
        <v>583</v>
      </c>
      <c r="B352" s="10" t="s">
        <v>186</v>
      </c>
      <c r="C352" s="65" t="s">
        <v>187</v>
      </c>
      <c r="D352" s="44" t="s">
        <v>121</v>
      </c>
      <c r="E352" s="90">
        <v>0</v>
      </c>
      <c r="F352" s="90"/>
      <c r="G352" s="102">
        <f>cell_CoefGeneral</f>
        <v>1</v>
      </c>
      <c r="H352" s="101">
        <f>H48</f>
        <v>0</v>
      </c>
      <c r="I352" s="90">
        <f>IFERROR(ROUND(E352*H352,2),"-")</f>
        <v>0</v>
      </c>
      <c r="J352" s="114" t="str">
        <f>IFERROR(I352/cell_Total_HT,"-")</f>
        <v>-</v>
      </c>
      <c r="K352">
        <f>I352</f>
        <v>0</v>
      </c>
      <c r="L352"/>
      <c r="M352"/>
      <c r="N352"/>
      <c r="O352"/>
      <c r="P352"/>
      <c r="Q352"/>
      <c r="R352"/>
      <c r="S352"/>
      <c r="T352"/>
    </row>
    <row r="353" spans="1:20" outlineLevel="3" x14ac:dyDescent="0.3">
      <c r="A353" s="88" t="s">
        <v>584</v>
      </c>
      <c r="B353" s="63" t="s">
        <v>189</v>
      </c>
      <c r="C353" s="75" t="s">
        <v>190</v>
      </c>
      <c r="D353" s="125"/>
      <c r="E353" s="93"/>
      <c r="F353" s="93"/>
      <c r="G353" s="105"/>
      <c r="H353" s="93"/>
      <c r="I353" s="113">
        <f>SUBTOTAL(9,K354:K355)</f>
        <v>0</v>
      </c>
      <c r="J353" s="117"/>
      <c r="K353"/>
      <c r="L353"/>
      <c r="M353"/>
      <c r="N353"/>
      <c r="O353"/>
      <c r="P353"/>
      <c r="Q353"/>
      <c r="R353"/>
      <c r="S353"/>
      <c r="T353"/>
    </row>
    <row r="354" spans="1:20" outlineLevel="4" x14ac:dyDescent="0.3">
      <c r="A354" s="88" t="s">
        <v>585</v>
      </c>
      <c r="B354" s="10" t="s">
        <v>192</v>
      </c>
      <c r="C354" s="65" t="s">
        <v>120</v>
      </c>
      <c r="D354" s="44" t="s">
        <v>121</v>
      </c>
      <c r="E354" s="90">
        <v>0</v>
      </c>
      <c r="F354" s="90"/>
      <c r="G354" s="102">
        <f>cell_CoefGeneral</f>
        <v>1</v>
      </c>
      <c r="H354" s="101">
        <f>H50</f>
        <v>0</v>
      </c>
      <c r="I354" s="90">
        <f>IFERROR(ROUND(E354*H354,2),"-")</f>
        <v>0</v>
      </c>
      <c r="J354" s="114" t="str">
        <f>IFERROR(I354/cell_Total_HT,"-")</f>
        <v>-</v>
      </c>
      <c r="K354">
        <f>I354</f>
        <v>0</v>
      </c>
      <c r="L354"/>
      <c r="M354"/>
      <c r="N354"/>
      <c r="O354"/>
      <c r="P354"/>
      <c r="Q354"/>
      <c r="R354"/>
      <c r="S354"/>
      <c r="T354"/>
    </row>
    <row r="355" spans="1:20" outlineLevel="4" x14ac:dyDescent="0.3">
      <c r="A355" s="88" t="s">
        <v>586</v>
      </c>
      <c r="B355" s="10" t="s">
        <v>194</v>
      </c>
      <c r="C355" s="65" t="s">
        <v>195</v>
      </c>
      <c r="D355" s="44" t="s">
        <v>125</v>
      </c>
      <c r="E355" s="90">
        <v>0</v>
      </c>
      <c r="F355" s="90"/>
      <c r="G355" s="102">
        <f>cell_CoefGeneral</f>
        <v>1</v>
      </c>
      <c r="H355" s="101">
        <f>H51</f>
        <v>0</v>
      </c>
      <c r="I355" s="90">
        <f>IFERROR(ROUND(E355*H355,2),"-")</f>
        <v>0</v>
      </c>
      <c r="J355" s="114" t="str">
        <f>IFERROR(I355/cell_Total_HT,"-")</f>
        <v>-</v>
      </c>
      <c r="K355">
        <f>I355</f>
        <v>0</v>
      </c>
      <c r="L355"/>
      <c r="M355"/>
      <c r="N355"/>
      <c r="O355"/>
      <c r="P355"/>
      <c r="Q355"/>
      <c r="R355"/>
      <c r="S355"/>
      <c r="T355"/>
    </row>
    <row r="356" spans="1:20" outlineLevel="3" x14ac:dyDescent="0.3">
      <c r="A356" s="88" t="s">
        <v>587</v>
      </c>
      <c r="B356" s="63" t="s">
        <v>197</v>
      </c>
      <c r="C356" s="75" t="s">
        <v>198</v>
      </c>
      <c r="D356" s="125"/>
      <c r="E356" s="93"/>
      <c r="F356" s="93"/>
      <c r="G356" s="105"/>
      <c r="H356" s="93"/>
      <c r="I356" s="113">
        <f>SUBTOTAL(9,K357:K357)</f>
        <v>0</v>
      </c>
      <c r="J356" s="117"/>
      <c r="K356"/>
      <c r="L356"/>
      <c r="M356"/>
      <c r="N356"/>
      <c r="O356"/>
      <c r="P356"/>
      <c r="Q356"/>
      <c r="R356"/>
      <c r="S356"/>
      <c r="T356"/>
    </row>
    <row r="357" spans="1:20" ht="28.8" outlineLevel="4" x14ac:dyDescent="0.3">
      <c r="A357" s="88" t="s">
        <v>588</v>
      </c>
      <c r="B357" s="10" t="s">
        <v>200</v>
      </c>
      <c r="C357" s="65" t="s">
        <v>201</v>
      </c>
      <c r="D357" s="44" t="s">
        <v>167</v>
      </c>
      <c r="E357" s="90">
        <v>0</v>
      </c>
      <c r="F357" s="90"/>
      <c r="G357" s="102">
        <f>cell_CoefGeneral</f>
        <v>1</v>
      </c>
      <c r="H357" s="101">
        <f>H53</f>
        <v>0</v>
      </c>
      <c r="I357" s="90">
        <f>IFERROR(ROUND(E357*H357,2),"-")</f>
        <v>0</v>
      </c>
      <c r="J357" s="114" t="str">
        <f>IFERROR(I357/cell_Total_HT,"-")</f>
        <v>-</v>
      </c>
      <c r="K357">
        <f>I357</f>
        <v>0</v>
      </c>
      <c r="L357"/>
      <c r="M357"/>
      <c r="N357"/>
      <c r="O357"/>
      <c r="P357"/>
      <c r="Q357"/>
      <c r="R357"/>
      <c r="S357"/>
      <c r="T357"/>
    </row>
    <row r="358" spans="1:20" outlineLevel="3" x14ac:dyDescent="0.3">
      <c r="A358" s="88" t="s">
        <v>589</v>
      </c>
      <c r="B358" s="63" t="s">
        <v>203</v>
      </c>
      <c r="C358" s="75" t="s">
        <v>204</v>
      </c>
      <c r="D358" s="125"/>
      <c r="E358" s="93"/>
      <c r="F358" s="93"/>
      <c r="G358" s="105"/>
      <c r="H358" s="93"/>
      <c r="I358" s="113">
        <f>SUBTOTAL(9,K359:K361)</f>
        <v>0</v>
      </c>
      <c r="J358" s="117"/>
      <c r="K358"/>
      <c r="L358"/>
      <c r="M358"/>
      <c r="N358"/>
      <c r="O358"/>
      <c r="P358"/>
      <c r="Q358"/>
      <c r="R358"/>
      <c r="S358"/>
      <c r="T358"/>
    </row>
    <row r="359" spans="1:20" ht="28.8" outlineLevel="4" x14ac:dyDescent="0.3">
      <c r="A359" s="88" t="s">
        <v>590</v>
      </c>
      <c r="B359" s="10" t="s">
        <v>206</v>
      </c>
      <c r="C359" s="65" t="s">
        <v>207</v>
      </c>
      <c r="D359" s="44" t="s">
        <v>121</v>
      </c>
      <c r="E359" s="90">
        <v>0</v>
      </c>
      <c r="F359" s="90"/>
      <c r="G359" s="102">
        <f>cell_CoefGeneral</f>
        <v>1</v>
      </c>
      <c r="H359" s="101">
        <f>H55</f>
        <v>0</v>
      </c>
      <c r="I359" s="90">
        <f>IFERROR(ROUND(E359*H359,2),"-")</f>
        <v>0</v>
      </c>
      <c r="J359" s="114" t="str">
        <f>IFERROR(I359/cell_Total_HT,"-")</f>
        <v>-</v>
      </c>
      <c r="K359">
        <f>I359</f>
        <v>0</v>
      </c>
      <c r="L359"/>
      <c r="M359"/>
      <c r="N359"/>
      <c r="O359"/>
      <c r="P359"/>
      <c r="Q359"/>
      <c r="R359"/>
      <c r="S359"/>
      <c r="T359"/>
    </row>
    <row r="360" spans="1:20" ht="28.8" outlineLevel="4" x14ac:dyDescent="0.3">
      <c r="A360" s="88" t="s">
        <v>591</v>
      </c>
      <c r="B360" s="10" t="s">
        <v>209</v>
      </c>
      <c r="C360" s="65" t="s">
        <v>210</v>
      </c>
      <c r="D360" s="44" t="s">
        <v>121</v>
      </c>
      <c r="E360" s="90">
        <v>0</v>
      </c>
      <c r="F360" s="90"/>
      <c r="G360" s="102">
        <f>cell_CoefGeneral</f>
        <v>1</v>
      </c>
      <c r="H360" s="101">
        <f>H56</f>
        <v>0</v>
      </c>
      <c r="I360" s="90">
        <f>IFERROR(ROUND(E360*H360,2),"-")</f>
        <v>0</v>
      </c>
      <c r="J360" s="114" t="str">
        <f>IFERROR(I360/cell_Total_HT,"-")</f>
        <v>-</v>
      </c>
      <c r="K360">
        <f>I360</f>
        <v>0</v>
      </c>
      <c r="L360"/>
      <c r="M360"/>
      <c r="N360"/>
      <c r="O360"/>
      <c r="P360"/>
      <c r="Q360"/>
      <c r="R360"/>
      <c r="S360"/>
      <c r="T360"/>
    </row>
    <row r="361" spans="1:20" ht="28.8" outlineLevel="4" x14ac:dyDescent="0.3">
      <c r="A361" s="88" t="s">
        <v>592</v>
      </c>
      <c r="B361" s="10" t="s">
        <v>212</v>
      </c>
      <c r="C361" s="65" t="s">
        <v>213</v>
      </c>
      <c r="D361" s="44" t="s">
        <v>149</v>
      </c>
      <c r="E361" s="90">
        <v>0</v>
      </c>
      <c r="F361" s="90"/>
      <c r="G361" s="102">
        <f>cell_CoefGeneral</f>
        <v>1</v>
      </c>
      <c r="H361" s="101">
        <f>H57</f>
        <v>0</v>
      </c>
      <c r="I361" s="90">
        <f>IFERROR(ROUND(E361*H361,2),"-")</f>
        <v>0</v>
      </c>
      <c r="J361" s="114" t="str">
        <f>IFERROR(I361/cell_Total_HT,"-")</f>
        <v>-</v>
      </c>
      <c r="K361">
        <f>I361</f>
        <v>0</v>
      </c>
      <c r="L361"/>
      <c r="M361"/>
      <c r="N361"/>
      <c r="O361"/>
      <c r="P361"/>
      <c r="Q361"/>
      <c r="R361"/>
      <c r="S361"/>
      <c r="T361"/>
    </row>
    <row r="362" spans="1:20" outlineLevel="3" x14ac:dyDescent="0.3">
      <c r="A362" s="88" t="s">
        <v>593</v>
      </c>
      <c r="B362" s="63" t="s">
        <v>215</v>
      </c>
      <c r="C362" s="75" t="s">
        <v>216</v>
      </c>
      <c r="D362" s="125"/>
      <c r="E362" s="93"/>
      <c r="F362" s="93"/>
      <c r="G362" s="105"/>
      <c r="H362" s="93"/>
      <c r="I362" s="113">
        <f>SUBTOTAL(9,K363:K364)</f>
        <v>0</v>
      </c>
      <c r="J362" s="117"/>
      <c r="K362"/>
      <c r="L362"/>
      <c r="M362"/>
      <c r="N362"/>
      <c r="O362"/>
      <c r="P362"/>
      <c r="Q362"/>
      <c r="R362"/>
      <c r="S362"/>
      <c r="T362"/>
    </row>
    <row r="363" spans="1:20" ht="28.8" outlineLevel="4" x14ac:dyDescent="0.3">
      <c r="A363" s="88" t="s">
        <v>594</v>
      </c>
      <c r="B363" s="10" t="s">
        <v>218</v>
      </c>
      <c r="C363" s="65" t="s">
        <v>219</v>
      </c>
      <c r="D363" s="44" t="s">
        <v>167</v>
      </c>
      <c r="E363" s="90">
        <v>0</v>
      </c>
      <c r="F363" s="90"/>
      <c r="G363" s="102">
        <f>cell_CoefGeneral</f>
        <v>1</v>
      </c>
      <c r="H363" s="101">
        <f>H59</f>
        <v>0</v>
      </c>
      <c r="I363" s="90">
        <f>IFERROR(ROUND(E363*H363,2),"-")</f>
        <v>0</v>
      </c>
      <c r="J363" s="114" t="str">
        <f>IFERROR(I363/cell_Total_HT,"-")</f>
        <v>-</v>
      </c>
      <c r="K363">
        <f>I363</f>
        <v>0</v>
      </c>
      <c r="L363"/>
      <c r="M363"/>
      <c r="N363"/>
      <c r="O363"/>
      <c r="P363"/>
      <c r="Q363"/>
      <c r="R363"/>
      <c r="S363"/>
      <c r="T363"/>
    </row>
    <row r="364" spans="1:20" ht="28.8" outlineLevel="4" x14ac:dyDescent="0.3">
      <c r="A364" s="88" t="s">
        <v>595</v>
      </c>
      <c r="B364" s="10" t="s">
        <v>221</v>
      </c>
      <c r="C364" s="65" t="s">
        <v>222</v>
      </c>
      <c r="D364" s="44" t="s">
        <v>121</v>
      </c>
      <c r="E364" s="90">
        <v>0</v>
      </c>
      <c r="F364" s="90"/>
      <c r="G364" s="102">
        <f>cell_CoefGeneral</f>
        <v>1</v>
      </c>
      <c r="H364" s="101">
        <f>H60</f>
        <v>0</v>
      </c>
      <c r="I364" s="90">
        <f>IFERROR(ROUND(E364*H364,2),"-")</f>
        <v>0</v>
      </c>
      <c r="J364" s="114" t="str">
        <f>IFERROR(I364/cell_Total_HT,"-")</f>
        <v>-</v>
      </c>
      <c r="K364">
        <f>I364</f>
        <v>0</v>
      </c>
      <c r="L364"/>
      <c r="M364"/>
      <c r="N364"/>
      <c r="O364"/>
      <c r="P364"/>
      <c r="Q364"/>
      <c r="R364"/>
      <c r="S364"/>
      <c r="T364"/>
    </row>
    <row r="365" spans="1:20" outlineLevel="3" x14ac:dyDescent="0.3">
      <c r="A365" s="88" t="s">
        <v>596</v>
      </c>
      <c r="B365" s="63" t="s">
        <v>224</v>
      </c>
      <c r="C365" s="75" t="s">
        <v>225</v>
      </c>
      <c r="D365" s="125"/>
      <c r="E365" s="93"/>
      <c r="F365" s="93"/>
      <c r="G365" s="105"/>
      <c r="H365" s="93"/>
      <c r="I365" s="113">
        <f>SUBTOTAL(9,K366:K367)</f>
        <v>0</v>
      </c>
      <c r="J365" s="117"/>
      <c r="K365"/>
      <c r="L365"/>
      <c r="M365"/>
      <c r="N365"/>
      <c r="O365"/>
      <c r="P365"/>
      <c r="Q365"/>
      <c r="R365"/>
      <c r="S365"/>
      <c r="T365"/>
    </row>
    <row r="366" spans="1:20" ht="28.8" outlineLevel="4" x14ac:dyDescent="0.3">
      <c r="A366" s="88" t="s">
        <v>597</v>
      </c>
      <c r="B366" s="10" t="s">
        <v>227</v>
      </c>
      <c r="C366" s="65" t="s">
        <v>228</v>
      </c>
      <c r="D366" s="44" t="s">
        <v>121</v>
      </c>
      <c r="E366" s="90">
        <v>0</v>
      </c>
      <c r="F366" s="90"/>
      <c r="G366" s="102">
        <f>cell_CoefGeneral</f>
        <v>1</v>
      </c>
      <c r="H366" s="101">
        <f>H62</f>
        <v>0</v>
      </c>
      <c r="I366" s="90">
        <f>IFERROR(ROUND(E366*H366,2),"-")</f>
        <v>0</v>
      </c>
      <c r="J366" s="114" t="str">
        <f>IFERROR(I366/cell_Total_HT,"-")</f>
        <v>-</v>
      </c>
      <c r="K366">
        <f>I366</f>
        <v>0</v>
      </c>
      <c r="L366"/>
      <c r="M366"/>
      <c r="N366"/>
      <c r="O366"/>
      <c r="P366"/>
      <c r="Q366"/>
      <c r="R366"/>
      <c r="S366"/>
      <c r="T366"/>
    </row>
    <row r="367" spans="1:20" outlineLevel="4" x14ac:dyDescent="0.3">
      <c r="A367" s="88" t="s">
        <v>598</v>
      </c>
      <c r="B367" s="10" t="s">
        <v>230</v>
      </c>
      <c r="C367" s="65" t="s">
        <v>231</v>
      </c>
      <c r="D367" s="44" t="s">
        <v>121</v>
      </c>
      <c r="E367" s="90">
        <v>0</v>
      </c>
      <c r="F367" s="90"/>
      <c r="G367" s="102">
        <f>cell_CoefGeneral</f>
        <v>1</v>
      </c>
      <c r="H367" s="101">
        <f>H63</f>
        <v>0</v>
      </c>
      <c r="I367" s="90">
        <f>IFERROR(ROUND(E367*H367,2),"-")</f>
        <v>0</v>
      </c>
      <c r="J367" s="114" t="str">
        <f>IFERROR(I367/cell_Total_HT,"-")</f>
        <v>-</v>
      </c>
      <c r="K367">
        <f>I367</f>
        <v>0</v>
      </c>
      <c r="L367"/>
      <c r="M367"/>
      <c r="N367"/>
      <c r="O367"/>
      <c r="P367"/>
      <c r="Q367"/>
      <c r="R367"/>
      <c r="S367"/>
      <c r="T367"/>
    </row>
    <row r="368" spans="1:20" outlineLevel="3" x14ac:dyDescent="0.3">
      <c r="A368" s="88" t="s">
        <v>599</v>
      </c>
      <c r="B368" s="63" t="s">
        <v>233</v>
      </c>
      <c r="C368" s="75" t="s">
        <v>234</v>
      </c>
      <c r="D368" s="125"/>
      <c r="E368" s="93"/>
      <c r="F368" s="93"/>
      <c r="G368" s="105"/>
      <c r="H368" s="93"/>
      <c r="I368" s="113">
        <f>SUBTOTAL(9,K369:K369)</f>
        <v>0</v>
      </c>
      <c r="J368" s="117"/>
      <c r="K368"/>
      <c r="L368"/>
      <c r="M368"/>
      <c r="N368"/>
      <c r="O368"/>
      <c r="P368"/>
      <c r="Q368"/>
      <c r="R368"/>
      <c r="S368"/>
      <c r="T368"/>
    </row>
    <row r="369" spans="1:20" ht="28.8" outlineLevel="4" x14ac:dyDescent="0.3">
      <c r="A369" s="88" t="s">
        <v>600</v>
      </c>
      <c r="B369" s="10" t="s">
        <v>236</v>
      </c>
      <c r="C369" s="65" t="s">
        <v>237</v>
      </c>
      <c r="D369" s="44" t="s">
        <v>121</v>
      </c>
      <c r="E369" s="90">
        <v>0</v>
      </c>
      <c r="F369" s="90"/>
      <c r="G369" s="102">
        <f>cell_CoefGeneral</f>
        <v>1</v>
      </c>
      <c r="H369" s="101">
        <f>H65</f>
        <v>0</v>
      </c>
      <c r="I369" s="90">
        <f>IFERROR(ROUND(E369*H369,2),"-")</f>
        <v>0</v>
      </c>
      <c r="J369" s="114" t="str">
        <f>IFERROR(I369/cell_Total_HT,"-")</f>
        <v>-</v>
      </c>
      <c r="K369">
        <f>I369</f>
        <v>0</v>
      </c>
      <c r="L369"/>
      <c r="M369"/>
      <c r="N369"/>
      <c r="O369"/>
      <c r="P369"/>
      <c r="Q369"/>
      <c r="R369"/>
      <c r="S369"/>
      <c r="T369"/>
    </row>
    <row r="370" spans="1:20" outlineLevel="3" x14ac:dyDescent="0.3">
      <c r="A370" s="88" t="s">
        <v>601</v>
      </c>
      <c r="B370" s="63" t="s">
        <v>239</v>
      </c>
      <c r="C370" s="75" t="s">
        <v>240</v>
      </c>
      <c r="D370" s="125"/>
      <c r="E370" s="93"/>
      <c r="F370" s="93"/>
      <c r="G370" s="105"/>
      <c r="H370" s="93"/>
      <c r="I370" s="113">
        <f>SUBTOTAL(9,K371:K373)</f>
        <v>0</v>
      </c>
      <c r="J370" s="117"/>
      <c r="K370"/>
      <c r="L370"/>
      <c r="M370"/>
      <c r="N370"/>
      <c r="O370"/>
      <c r="P370"/>
      <c r="Q370"/>
      <c r="R370"/>
      <c r="S370"/>
      <c r="T370"/>
    </row>
    <row r="371" spans="1:20" ht="28.8" outlineLevel="4" x14ac:dyDescent="0.3">
      <c r="A371" s="88" t="s">
        <v>602</v>
      </c>
      <c r="B371" s="10" t="s">
        <v>242</v>
      </c>
      <c r="C371" s="65" t="s">
        <v>243</v>
      </c>
      <c r="D371" s="44" t="s">
        <v>167</v>
      </c>
      <c r="E371" s="90">
        <v>2</v>
      </c>
      <c r="F371" s="90"/>
      <c r="G371" s="102">
        <f>cell_CoefGeneral</f>
        <v>1</v>
      </c>
      <c r="H371" s="101">
        <f>H67</f>
        <v>0</v>
      </c>
      <c r="I371" s="90">
        <f>IFERROR(ROUND(E371*H371,2),"-")</f>
        <v>0</v>
      </c>
      <c r="J371" s="114" t="str">
        <f>IFERROR(I371/cell_Total_HT,"-")</f>
        <v>-</v>
      </c>
      <c r="K371">
        <f>I371</f>
        <v>0</v>
      </c>
      <c r="L371"/>
      <c r="M371"/>
      <c r="N371"/>
      <c r="O371"/>
      <c r="P371"/>
      <c r="Q371"/>
      <c r="R371"/>
      <c r="S371"/>
      <c r="T371"/>
    </row>
    <row r="372" spans="1:20" outlineLevel="4" x14ac:dyDescent="0.3">
      <c r="A372" s="88" t="s">
        <v>603</v>
      </c>
      <c r="B372" s="10" t="s">
        <v>245</v>
      </c>
      <c r="C372" s="65" t="s">
        <v>246</v>
      </c>
      <c r="D372" s="44" t="s">
        <v>121</v>
      </c>
      <c r="E372" s="90">
        <v>17</v>
      </c>
      <c r="F372" s="90"/>
      <c r="G372" s="102">
        <f>cell_CoefGeneral</f>
        <v>1</v>
      </c>
      <c r="H372" s="101">
        <f>H68</f>
        <v>0</v>
      </c>
      <c r="I372" s="90">
        <f>IFERROR(ROUND(E372*H372,2),"-")</f>
        <v>0</v>
      </c>
      <c r="J372" s="114" t="str">
        <f>IFERROR(I372/cell_Total_HT,"-")</f>
        <v>-</v>
      </c>
      <c r="K372">
        <f>I372</f>
        <v>0</v>
      </c>
      <c r="L372"/>
      <c r="M372"/>
      <c r="N372"/>
      <c r="O372"/>
      <c r="P372"/>
      <c r="Q372"/>
      <c r="R372"/>
      <c r="S372"/>
      <c r="T372"/>
    </row>
    <row r="373" spans="1:20" outlineLevel="4" x14ac:dyDescent="0.3">
      <c r="A373" s="88" t="s">
        <v>604</v>
      </c>
      <c r="B373" s="10" t="s">
        <v>248</v>
      </c>
      <c r="C373" s="65" t="s">
        <v>249</v>
      </c>
      <c r="D373" s="44" t="s">
        <v>121</v>
      </c>
      <c r="E373" s="90">
        <v>17</v>
      </c>
      <c r="F373" s="90"/>
      <c r="G373" s="102">
        <f>cell_CoefGeneral</f>
        <v>1</v>
      </c>
      <c r="H373" s="101">
        <f>H69</f>
        <v>0</v>
      </c>
      <c r="I373" s="90">
        <f>IFERROR(ROUND(E373*H373,2),"-")</f>
        <v>0</v>
      </c>
      <c r="J373" s="114" t="str">
        <f>IFERROR(I373/cell_Total_HT,"-")</f>
        <v>-</v>
      </c>
      <c r="K373">
        <f>I373</f>
        <v>0</v>
      </c>
      <c r="L373"/>
      <c r="M373"/>
      <c r="N373"/>
      <c r="O373"/>
      <c r="P373"/>
      <c r="Q373"/>
      <c r="R373"/>
      <c r="S373"/>
      <c r="T373"/>
    </row>
    <row r="374" spans="1:20" outlineLevel="3" x14ac:dyDescent="0.3">
      <c r="A374" s="88" t="s">
        <v>605</v>
      </c>
      <c r="B374" s="63" t="s">
        <v>251</v>
      </c>
      <c r="C374" s="75" t="s">
        <v>252</v>
      </c>
      <c r="D374" s="125"/>
      <c r="E374" s="93"/>
      <c r="F374" s="93"/>
      <c r="G374" s="105"/>
      <c r="H374" s="93"/>
      <c r="I374" s="113">
        <f>SUBTOTAL(9,K375:K378)</f>
        <v>0</v>
      </c>
      <c r="J374" s="117"/>
      <c r="K374"/>
      <c r="L374"/>
      <c r="M374"/>
      <c r="N374"/>
      <c r="O374"/>
      <c r="P374"/>
      <c r="Q374"/>
      <c r="R374"/>
      <c r="S374"/>
      <c r="T374"/>
    </row>
    <row r="375" spans="1:20" outlineLevel="4" x14ac:dyDescent="0.3">
      <c r="A375" s="88" t="s">
        <v>606</v>
      </c>
      <c r="B375" s="10" t="s">
        <v>254</v>
      </c>
      <c r="C375" s="65" t="s">
        <v>255</v>
      </c>
      <c r="D375" s="44" t="s">
        <v>121</v>
      </c>
      <c r="E375" s="90">
        <v>0</v>
      </c>
      <c r="F375" s="90"/>
      <c r="G375" s="102">
        <f>cell_CoefGeneral</f>
        <v>1</v>
      </c>
      <c r="H375" s="101">
        <f>H71</f>
        <v>0</v>
      </c>
      <c r="I375" s="90">
        <f>IFERROR(ROUND(E375*H375,2),"-")</f>
        <v>0</v>
      </c>
      <c r="J375" s="114" t="str">
        <f>IFERROR(I375/cell_Total_HT,"-")</f>
        <v>-</v>
      </c>
      <c r="K375">
        <f>I375</f>
        <v>0</v>
      </c>
      <c r="L375"/>
      <c r="M375"/>
      <c r="N375"/>
      <c r="O375"/>
      <c r="P375"/>
      <c r="Q375"/>
      <c r="R375"/>
      <c r="S375"/>
      <c r="T375"/>
    </row>
    <row r="376" spans="1:20" outlineLevel="4" x14ac:dyDescent="0.3">
      <c r="A376" s="88" t="s">
        <v>607</v>
      </c>
      <c r="B376" s="10" t="s">
        <v>257</v>
      </c>
      <c r="C376" s="65" t="s">
        <v>258</v>
      </c>
      <c r="D376" s="44" t="s">
        <v>121</v>
      </c>
      <c r="E376" s="90">
        <v>0</v>
      </c>
      <c r="F376" s="90"/>
      <c r="G376" s="102">
        <f>cell_CoefGeneral</f>
        <v>1</v>
      </c>
      <c r="H376" s="101">
        <f>H72</f>
        <v>0</v>
      </c>
      <c r="I376" s="90">
        <f>IFERROR(ROUND(E376*H376,2),"-")</f>
        <v>0</v>
      </c>
      <c r="J376" s="114" t="str">
        <f>IFERROR(I376/cell_Total_HT,"-")</f>
        <v>-</v>
      </c>
      <c r="K376">
        <f>I376</f>
        <v>0</v>
      </c>
      <c r="L376"/>
      <c r="M376"/>
      <c r="N376"/>
      <c r="O376"/>
      <c r="P376"/>
      <c r="Q376"/>
      <c r="R376"/>
      <c r="S376"/>
      <c r="T376"/>
    </row>
    <row r="377" spans="1:20" outlineLevel="4" x14ac:dyDescent="0.3">
      <c r="A377" s="88" t="s">
        <v>608</v>
      </c>
      <c r="B377" s="10" t="s">
        <v>260</v>
      </c>
      <c r="C377" s="65" t="s">
        <v>261</v>
      </c>
      <c r="D377" s="44" t="s">
        <v>121</v>
      </c>
      <c r="E377" s="90">
        <v>0</v>
      </c>
      <c r="F377" s="90"/>
      <c r="G377" s="102">
        <f>cell_CoefGeneral</f>
        <v>1</v>
      </c>
      <c r="H377" s="101">
        <f>H73</f>
        <v>0</v>
      </c>
      <c r="I377" s="90">
        <f>IFERROR(ROUND(E377*H377,2),"-")</f>
        <v>0</v>
      </c>
      <c r="J377" s="114" t="str">
        <f>IFERROR(I377/cell_Total_HT,"-")</f>
        <v>-</v>
      </c>
      <c r="K377">
        <f>I377</f>
        <v>0</v>
      </c>
      <c r="L377"/>
      <c r="M377"/>
      <c r="N377"/>
      <c r="O377"/>
      <c r="P377"/>
      <c r="Q377"/>
      <c r="R377"/>
      <c r="S377"/>
      <c r="T377"/>
    </row>
    <row r="378" spans="1:20" outlineLevel="4" x14ac:dyDescent="0.3">
      <c r="A378" s="88" t="s">
        <v>609</v>
      </c>
      <c r="B378" s="10" t="s">
        <v>263</v>
      </c>
      <c r="C378" s="65" t="s">
        <v>264</v>
      </c>
      <c r="D378" s="44" t="s">
        <v>121</v>
      </c>
      <c r="E378" s="90">
        <v>0</v>
      </c>
      <c r="F378" s="90"/>
      <c r="G378" s="102">
        <f>cell_CoefGeneral</f>
        <v>1</v>
      </c>
      <c r="H378" s="101">
        <f>H74</f>
        <v>0</v>
      </c>
      <c r="I378" s="90">
        <f>IFERROR(ROUND(E378*H378,2),"-")</f>
        <v>0</v>
      </c>
      <c r="J378" s="114" t="str">
        <f>IFERROR(I378/cell_Total_HT,"-")</f>
        <v>-</v>
      </c>
      <c r="K378">
        <f>I378</f>
        <v>0</v>
      </c>
      <c r="L378"/>
      <c r="M378"/>
      <c r="N378"/>
      <c r="O378"/>
      <c r="P378"/>
      <c r="Q378"/>
      <c r="R378"/>
      <c r="S378"/>
      <c r="T378"/>
    </row>
    <row r="379" spans="1:20" outlineLevel="3" x14ac:dyDescent="0.3">
      <c r="A379" s="88" t="s">
        <v>610</v>
      </c>
      <c r="B379" s="63" t="s">
        <v>266</v>
      </c>
      <c r="C379" s="75" t="s">
        <v>267</v>
      </c>
      <c r="D379" s="125"/>
      <c r="E379" s="93"/>
      <c r="F379" s="93"/>
      <c r="G379" s="105"/>
      <c r="H379" s="93"/>
      <c r="I379" s="113">
        <f>SUBTOTAL(9,K380:K382)</f>
        <v>0</v>
      </c>
      <c r="J379" s="117"/>
      <c r="K379"/>
      <c r="L379"/>
      <c r="M379"/>
      <c r="N379"/>
      <c r="O379"/>
      <c r="P379"/>
      <c r="Q379"/>
      <c r="R379"/>
      <c r="S379"/>
      <c r="T379"/>
    </row>
    <row r="380" spans="1:20" outlineLevel="4" x14ac:dyDescent="0.3">
      <c r="A380" s="88" t="s">
        <v>611</v>
      </c>
      <c r="B380" s="10" t="s">
        <v>269</v>
      </c>
      <c r="C380" s="65" t="s">
        <v>270</v>
      </c>
      <c r="D380" s="44" t="s">
        <v>121</v>
      </c>
      <c r="E380" s="90">
        <v>0</v>
      </c>
      <c r="F380" s="90"/>
      <c r="G380" s="102">
        <f>cell_CoefGeneral</f>
        <v>1</v>
      </c>
      <c r="H380" s="101">
        <f>H76</f>
        <v>0</v>
      </c>
      <c r="I380" s="90">
        <f>IFERROR(ROUND(E380*H380,2),"-")</f>
        <v>0</v>
      </c>
      <c r="J380" s="114" t="str">
        <f>IFERROR(I380/cell_Total_HT,"-")</f>
        <v>-</v>
      </c>
      <c r="K380">
        <f>I380</f>
        <v>0</v>
      </c>
      <c r="L380"/>
      <c r="M380"/>
      <c r="N380"/>
      <c r="O380"/>
      <c r="P380"/>
      <c r="Q380"/>
      <c r="R380"/>
      <c r="S380"/>
      <c r="T380"/>
    </row>
    <row r="381" spans="1:20" outlineLevel="4" x14ac:dyDescent="0.3">
      <c r="A381" s="88" t="s">
        <v>612</v>
      </c>
      <c r="B381" s="10" t="s">
        <v>272</v>
      </c>
      <c r="C381" s="65" t="s">
        <v>273</v>
      </c>
      <c r="D381" s="44" t="s">
        <v>121</v>
      </c>
      <c r="E381" s="90">
        <v>0</v>
      </c>
      <c r="F381" s="90"/>
      <c r="G381" s="102">
        <f>cell_CoefGeneral</f>
        <v>1</v>
      </c>
      <c r="H381" s="101">
        <f>H77</f>
        <v>0</v>
      </c>
      <c r="I381" s="90">
        <f>IFERROR(ROUND(E381*H381,2),"-")</f>
        <v>0</v>
      </c>
      <c r="J381" s="114" t="str">
        <f>IFERROR(I381/cell_Total_HT,"-")</f>
        <v>-</v>
      </c>
      <c r="K381">
        <f>I381</f>
        <v>0</v>
      </c>
      <c r="L381"/>
      <c r="M381"/>
      <c r="N381"/>
      <c r="O381"/>
      <c r="P381"/>
      <c r="Q381"/>
      <c r="R381"/>
      <c r="S381"/>
      <c r="T381"/>
    </row>
    <row r="382" spans="1:20" ht="15" outlineLevel="4" thickBot="1" x14ac:dyDescent="0.35">
      <c r="A382" s="88" t="s">
        <v>613</v>
      </c>
      <c r="B382" s="10" t="s">
        <v>275</v>
      </c>
      <c r="C382" s="65" t="s">
        <v>276</v>
      </c>
      <c r="D382" s="44" t="s">
        <v>121</v>
      </c>
      <c r="E382" s="90">
        <v>0</v>
      </c>
      <c r="F382" s="90"/>
      <c r="G382" s="102">
        <f>cell_CoefGeneral</f>
        <v>1</v>
      </c>
      <c r="H382" s="101">
        <f>H78</f>
        <v>0</v>
      </c>
      <c r="I382" s="90">
        <f>IFERROR(ROUND(E382*H382,2),"-")</f>
        <v>0</v>
      </c>
      <c r="J382" s="114" t="str">
        <f>IFERROR(I382/cell_Total_HT,"-")</f>
        <v>-</v>
      </c>
      <c r="K382">
        <f>I382</f>
        <v>0</v>
      </c>
      <c r="L382"/>
      <c r="M382"/>
      <c r="N382"/>
      <c r="O382"/>
      <c r="P382"/>
      <c r="Q382"/>
      <c r="R382"/>
      <c r="S382"/>
      <c r="T382"/>
    </row>
    <row r="383" spans="1:20" ht="15" outlineLevel="2" thickTop="1" x14ac:dyDescent="0.3">
      <c r="A383" s="88" t="s">
        <v>614</v>
      </c>
      <c r="B383" s="68" t="s">
        <v>60</v>
      </c>
      <c r="C383" s="69" t="s">
        <v>278</v>
      </c>
      <c r="D383" s="127"/>
      <c r="E383" s="95"/>
      <c r="F383" s="95"/>
      <c r="G383" s="107"/>
      <c r="H383" s="95"/>
      <c r="I383" s="95">
        <f>SUBTOTAL(9,I330:I382)</f>
        <v>0</v>
      </c>
      <c r="J383" s="119"/>
      <c r="K383"/>
      <c r="L383"/>
      <c r="M383"/>
      <c r="N383"/>
      <c r="O383"/>
      <c r="P383"/>
      <c r="Q383"/>
      <c r="R383"/>
      <c r="S383"/>
      <c r="T383"/>
    </row>
    <row r="384" spans="1:20" outlineLevel="2" x14ac:dyDescent="0.3">
      <c r="A384" s="88" t="s">
        <v>615</v>
      </c>
      <c r="B384" s="72" t="s">
        <v>60</v>
      </c>
      <c r="C384" s="73" t="s">
        <v>102</v>
      </c>
      <c r="D384" s="129"/>
      <c r="E384" s="93"/>
      <c r="F384" s="93"/>
      <c r="G384" s="105"/>
      <c r="H384" s="93"/>
      <c r="I384" s="113">
        <f>SUBTOTAL(9,K385:K396)</f>
        <v>0</v>
      </c>
      <c r="J384" s="117"/>
      <c r="K384"/>
      <c r="L384"/>
      <c r="M384"/>
      <c r="N384"/>
      <c r="O384"/>
      <c r="P384"/>
      <c r="Q384"/>
      <c r="R384"/>
      <c r="S384"/>
      <c r="T384"/>
    </row>
    <row r="385" spans="1:20" outlineLevel="3" x14ac:dyDescent="0.3">
      <c r="A385" s="88" t="s">
        <v>616</v>
      </c>
      <c r="B385" s="10" t="s">
        <v>281</v>
      </c>
      <c r="C385" s="65" t="s">
        <v>282</v>
      </c>
      <c r="D385" s="44" t="s">
        <v>106</v>
      </c>
      <c r="E385" s="90">
        <v>1</v>
      </c>
      <c r="F385" s="90"/>
      <c r="G385" s="102">
        <f>cell_CoefGeneral</f>
        <v>1</v>
      </c>
      <c r="H385" s="100">
        <f>0</f>
        <v>0</v>
      </c>
      <c r="I385" s="90">
        <f>IFERROR(ROUND(E385*H385,2),"-")</f>
        <v>0</v>
      </c>
      <c r="J385" s="114" t="str">
        <f>IFERROR(I385/cell_Total_HT,"-")</f>
        <v>-</v>
      </c>
      <c r="K385">
        <f>I385</f>
        <v>0</v>
      </c>
      <c r="L385"/>
      <c r="M385"/>
      <c r="N385"/>
      <c r="O385"/>
      <c r="P385"/>
      <c r="Q385"/>
      <c r="R385"/>
      <c r="S385"/>
      <c r="T385"/>
    </row>
    <row r="386" spans="1:20" outlineLevel="3" x14ac:dyDescent="0.3">
      <c r="A386" s="88" t="s">
        <v>617</v>
      </c>
      <c r="B386" s="10" t="s">
        <v>284</v>
      </c>
      <c r="C386" s="65" t="s">
        <v>285</v>
      </c>
      <c r="D386" s="44" t="s">
        <v>106</v>
      </c>
      <c r="E386" s="90">
        <v>1</v>
      </c>
      <c r="F386" s="90"/>
      <c r="G386" s="102">
        <f>cell_CoefGeneral</f>
        <v>1</v>
      </c>
      <c r="H386" s="100">
        <f>0</f>
        <v>0</v>
      </c>
      <c r="I386" s="90">
        <f>IFERROR(ROUND(E386*H386,2),"-")</f>
        <v>0</v>
      </c>
      <c r="J386" s="114" t="str">
        <f>IFERROR(I386/cell_Total_HT,"-")</f>
        <v>-</v>
      </c>
      <c r="K386">
        <f>I386</f>
        <v>0</v>
      </c>
      <c r="L386"/>
      <c r="M386"/>
      <c r="N386"/>
      <c r="O386"/>
      <c r="P386"/>
      <c r="Q386"/>
      <c r="R386"/>
      <c r="S386"/>
      <c r="T386"/>
    </row>
    <row r="387" spans="1:20" outlineLevel="3" x14ac:dyDescent="0.3">
      <c r="A387" s="88" t="s">
        <v>618</v>
      </c>
      <c r="B387" s="10" t="s">
        <v>287</v>
      </c>
      <c r="C387" s="65" t="s">
        <v>288</v>
      </c>
      <c r="D387" s="44" t="s">
        <v>106</v>
      </c>
      <c r="E387" s="90">
        <v>1</v>
      </c>
      <c r="F387" s="90"/>
      <c r="G387" s="102">
        <f>cell_CoefGeneral</f>
        <v>1</v>
      </c>
      <c r="H387" s="100">
        <f>0</f>
        <v>0</v>
      </c>
      <c r="I387" s="90">
        <f>IFERROR(ROUND(E387*H387,2),"-")</f>
        <v>0</v>
      </c>
      <c r="J387" s="114" t="str">
        <f>IFERROR(I387/cell_Total_HT,"-")</f>
        <v>-</v>
      </c>
      <c r="K387">
        <f>I387</f>
        <v>0</v>
      </c>
      <c r="L387"/>
      <c r="M387"/>
      <c r="N387"/>
      <c r="O387"/>
      <c r="P387"/>
      <c r="Q387"/>
      <c r="R387"/>
      <c r="S387"/>
      <c r="T387"/>
    </row>
    <row r="388" spans="1:20" outlineLevel="3" x14ac:dyDescent="0.3">
      <c r="A388" s="88" t="s">
        <v>619</v>
      </c>
      <c r="B388" s="10" t="s">
        <v>290</v>
      </c>
      <c r="C388" s="65" t="s">
        <v>291</v>
      </c>
      <c r="D388" s="44" t="s">
        <v>106</v>
      </c>
      <c r="E388" s="90">
        <v>1</v>
      </c>
      <c r="F388" s="90"/>
      <c r="G388" s="102">
        <f>cell_CoefGeneral</f>
        <v>1</v>
      </c>
      <c r="H388" s="100">
        <f>0</f>
        <v>0</v>
      </c>
      <c r="I388" s="90">
        <f>IFERROR(ROUND(E388*H388,2),"-")</f>
        <v>0</v>
      </c>
      <c r="J388" s="114" t="str">
        <f>IFERROR(I388/cell_Total_HT,"-")</f>
        <v>-</v>
      </c>
      <c r="K388">
        <f>I388</f>
        <v>0</v>
      </c>
      <c r="L388"/>
      <c r="M388"/>
      <c r="N388"/>
      <c r="O388"/>
      <c r="P388"/>
      <c r="Q388"/>
      <c r="R388"/>
      <c r="S388"/>
      <c r="T388"/>
    </row>
    <row r="389" spans="1:20" outlineLevel="3" x14ac:dyDescent="0.3">
      <c r="A389" s="88" t="s">
        <v>620</v>
      </c>
      <c r="B389" s="10" t="s">
        <v>293</v>
      </c>
      <c r="C389" s="65" t="s">
        <v>294</v>
      </c>
      <c r="D389" s="44" t="s">
        <v>106</v>
      </c>
      <c r="E389" s="90">
        <v>1</v>
      </c>
      <c r="F389" s="90"/>
      <c r="G389" s="102">
        <f>cell_CoefGeneral</f>
        <v>1</v>
      </c>
      <c r="H389" s="100">
        <f>0</f>
        <v>0</v>
      </c>
      <c r="I389" s="90">
        <f>IFERROR(ROUND(E389*H389,2),"-")</f>
        <v>0</v>
      </c>
      <c r="J389" s="114" t="str">
        <f>IFERROR(I389/cell_Total_HT,"-")</f>
        <v>-</v>
      </c>
      <c r="K389">
        <f>I389</f>
        <v>0</v>
      </c>
      <c r="L389"/>
      <c r="M389"/>
      <c r="N389"/>
      <c r="O389"/>
      <c r="P389"/>
      <c r="Q389"/>
      <c r="R389"/>
      <c r="S389"/>
      <c r="T389"/>
    </row>
    <row r="390" spans="1:20" outlineLevel="3" x14ac:dyDescent="0.3">
      <c r="A390" s="88" t="s">
        <v>621</v>
      </c>
      <c r="B390" s="10" t="s">
        <v>296</v>
      </c>
      <c r="C390" s="65" t="s">
        <v>297</v>
      </c>
      <c r="D390" s="44" t="s">
        <v>106</v>
      </c>
      <c r="E390" s="90">
        <v>1</v>
      </c>
      <c r="F390" s="90"/>
      <c r="G390" s="102">
        <f>cell_CoefGeneral</f>
        <v>1</v>
      </c>
      <c r="H390" s="100">
        <f>0</f>
        <v>0</v>
      </c>
      <c r="I390" s="90">
        <f>IFERROR(ROUND(E390*H390,2),"-")</f>
        <v>0</v>
      </c>
      <c r="J390" s="114" t="str">
        <f>IFERROR(I390/cell_Total_HT,"-")</f>
        <v>-</v>
      </c>
      <c r="K390">
        <f>I390</f>
        <v>0</v>
      </c>
      <c r="L390"/>
      <c r="M390"/>
      <c r="N390"/>
      <c r="O390"/>
      <c r="P390"/>
      <c r="Q390"/>
      <c r="R390"/>
      <c r="S390"/>
      <c r="T390"/>
    </row>
    <row r="391" spans="1:20" outlineLevel="3" x14ac:dyDescent="0.3">
      <c r="A391" s="88" t="s">
        <v>622</v>
      </c>
      <c r="B391" s="10" t="s">
        <v>299</v>
      </c>
      <c r="C391" s="65" t="s">
        <v>300</v>
      </c>
      <c r="D391" s="44" t="s">
        <v>106</v>
      </c>
      <c r="E391" s="90">
        <v>1</v>
      </c>
      <c r="F391" s="90"/>
      <c r="G391" s="102">
        <f>cell_CoefGeneral</f>
        <v>1</v>
      </c>
      <c r="H391" s="100">
        <f>0</f>
        <v>0</v>
      </c>
      <c r="I391" s="90">
        <f>IFERROR(ROUND(E391*H391,2),"-")</f>
        <v>0</v>
      </c>
      <c r="J391" s="114" t="str">
        <f>IFERROR(I391/cell_Total_HT,"-")</f>
        <v>-</v>
      </c>
      <c r="K391">
        <f>I391</f>
        <v>0</v>
      </c>
      <c r="L391"/>
      <c r="M391"/>
      <c r="N391"/>
      <c r="O391"/>
      <c r="P391"/>
      <c r="Q391"/>
      <c r="R391"/>
      <c r="S391"/>
      <c r="T391"/>
    </row>
    <row r="392" spans="1:20" outlineLevel="3" x14ac:dyDescent="0.3">
      <c r="A392" s="88" t="s">
        <v>623</v>
      </c>
      <c r="B392" s="10" t="s">
        <v>302</v>
      </c>
      <c r="C392" s="65" t="s">
        <v>303</v>
      </c>
      <c r="D392" s="44" t="s">
        <v>106</v>
      </c>
      <c r="E392" s="90">
        <v>1</v>
      </c>
      <c r="F392" s="90"/>
      <c r="G392" s="102">
        <f>cell_CoefGeneral</f>
        <v>1</v>
      </c>
      <c r="H392" s="100">
        <f>0</f>
        <v>0</v>
      </c>
      <c r="I392" s="90">
        <f>IFERROR(ROUND(E392*H392,2),"-")</f>
        <v>0</v>
      </c>
      <c r="J392" s="114" t="str">
        <f>IFERROR(I392/cell_Total_HT,"-")</f>
        <v>-</v>
      </c>
      <c r="K392">
        <f>I392</f>
        <v>0</v>
      </c>
      <c r="L392"/>
      <c r="M392"/>
      <c r="N392"/>
      <c r="O392"/>
      <c r="P392"/>
      <c r="Q392"/>
      <c r="R392"/>
      <c r="S392"/>
      <c r="T392"/>
    </row>
    <row r="393" spans="1:20" outlineLevel="3" x14ac:dyDescent="0.3">
      <c r="A393" s="88" t="s">
        <v>624</v>
      </c>
      <c r="B393" s="10" t="s">
        <v>305</v>
      </c>
      <c r="C393" s="65" t="s">
        <v>306</v>
      </c>
      <c r="D393" s="44" t="s">
        <v>106</v>
      </c>
      <c r="E393" s="90">
        <v>1</v>
      </c>
      <c r="F393" s="90"/>
      <c r="G393" s="102">
        <f>cell_CoefGeneral</f>
        <v>1</v>
      </c>
      <c r="H393" s="100">
        <f>0</f>
        <v>0</v>
      </c>
      <c r="I393" s="90">
        <f>IFERROR(ROUND(E393*H393,2),"-")</f>
        <v>0</v>
      </c>
      <c r="J393" s="114" t="str">
        <f>IFERROR(I393/cell_Total_HT,"-")</f>
        <v>-</v>
      </c>
      <c r="K393">
        <f>I393</f>
        <v>0</v>
      </c>
      <c r="L393"/>
      <c r="M393"/>
      <c r="N393"/>
      <c r="O393"/>
      <c r="P393"/>
      <c r="Q393"/>
      <c r="R393"/>
      <c r="S393"/>
      <c r="T393"/>
    </row>
    <row r="394" spans="1:20" outlineLevel="3" x14ac:dyDescent="0.3">
      <c r="A394" s="88" t="s">
        <v>625</v>
      </c>
      <c r="B394" s="10" t="s">
        <v>308</v>
      </c>
      <c r="C394" s="65" t="s">
        <v>309</v>
      </c>
      <c r="D394" s="44" t="s">
        <v>106</v>
      </c>
      <c r="E394" s="90">
        <v>1</v>
      </c>
      <c r="F394" s="90"/>
      <c r="G394" s="102">
        <f>cell_CoefGeneral</f>
        <v>1</v>
      </c>
      <c r="H394" s="100">
        <f>0</f>
        <v>0</v>
      </c>
      <c r="I394" s="90">
        <f>IFERROR(ROUND(E394*H394,2),"-")</f>
        <v>0</v>
      </c>
      <c r="J394" s="114" t="str">
        <f>IFERROR(I394/cell_Total_HT,"-")</f>
        <v>-</v>
      </c>
      <c r="K394">
        <f>I394</f>
        <v>0</v>
      </c>
      <c r="L394"/>
      <c r="M394"/>
      <c r="N394"/>
      <c r="O394"/>
      <c r="P394"/>
      <c r="Q394"/>
      <c r="R394"/>
      <c r="S394"/>
      <c r="T394"/>
    </row>
    <row r="395" spans="1:20" outlineLevel="3" x14ac:dyDescent="0.3">
      <c r="A395" s="88" t="s">
        <v>626</v>
      </c>
      <c r="B395" s="10" t="s">
        <v>311</v>
      </c>
      <c r="C395" s="65" t="s">
        <v>312</v>
      </c>
      <c r="D395" s="44" t="s">
        <v>106</v>
      </c>
      <c r="E395" s="90">
        <v>1</v>
      </c>
      <c r="F395" s="90"/>
      <c r="G395" s="102">
        <f>cell_CoefGeneral</f>
        <v>1</v>
      </c>
      <c r="H395" s="100">
        <f>0</f>
        <v>0</v>
      </c>
      <c r="I395" s="90">
        <f>IFERROR(ROUND(E395*H395,2),"-")</f>
        <v>0</v>
      </c>
      <c r="J395" s="114" t="str">
        <f>IFERROR(I395/cell_Total_HT,"-")</f>
        <v>-</v>
      </c>
      <c r="K395">
        <f>I395</f>
        <v>0</v>
      </c>
      <c r="L395"/>
      <c r="M395"/>
      <c r="N395"/>
      <c r="O395"/>
      <c r="P395"/>
      <c r="Q395"/>
      <c r="R395"/>
      <c r="S395"/>
      <c r="T395"/>
    </row>
    <row r="396" spans="1:20" ht="15" outlineLevel="3" thickBot="1" x14ac:dyDescent="0.35">
      <c r="A396" s="88" t="s">
        <v>627</v>
      </c>
      <c r="B396" s="10" t="s">
        <v>314</v>
      </c>
      <c r="C396" s="65" t="s">
        <v>315</v>
      </c>
      <c r="D396" s="44" t="s">
        <v>106</v>
      </c>
      <c r="E396" s="90">
        <v>1</v>
      </c>
      <c r="F396" s="90"/>
      <c r="G396" s="102">
        <f>cell_CoefGeneral</f>
        <v>1</v>
      </c>
      <c r="H396" s="100">
        <f>0</f>
        <v>0</v>
      </c>
      <c r="I396" s="90">
        <f>IFERROR(ROUND(E396*H396,2),"-")</f>
        <v>0</v>
      </c>
      <c r="J396" s="114" t="str">
        <f>IFERROR(I396/cell_Total_HT,"-")</f>
        <v>-</v>
      </c>
      <c r="K396">
        <f>I396</f>
        <v>0</v>
      </c>
      <c r="L396"/>
      <c r="M396"/>
      <c r="N396"/>
      <c r="O396"/>
      <c r="P396"/>
      <c r="Q396"/>
      <c r="R396"/>
      <c r="S396"/>
      <c r="T396"/>
    </row>
    <row r="397" spans="1:20" ht="15.6" outlineLevel="2" thickTop="1" thickBot="1" x14ac:dyDescent="0.35">
      <c r="A397" s="88" t="s">
        <v>628</v>
      </c>
      <c r="B397" s="68" t="s">
        <v>60</v>
      </c>
      <c r="C397" s="69" t="s">
        <v>111</v>
      </c>
      <c r="D397" s="127"/>
      <c r="E397" s="95"/>
      <c r="F397" s="95"/>
      <c r="G397" s="107"/>
      <c r="H397" s="95"/>
      <c r="I397" s="95">
        <f>SUBTOTAL(9,I385:I396)</f>
        <v>0</v>
      </c>
      <c r="J397" s="119"/>
      <c r="K397"/>
      <c r="L397"/>
      <c r="M397"/>
      <c r="N397"/>
      <c r="O397"/>
      <c r="P397"/>
      <c r="Q397"/>
      <c r="R397"/>
      <c r="S397"/>
      <c r="T397"/>
    </row>
    <row r="398" spans="1:20" ht="15" outlineLevel="1" thickTop="1" x14ac:dyDescent="0.3">
      <c r="A398" s="88" t="s">
        <v>629</v>
      </c>
      <c r="B398" s="76" t="s">
        <v>60</v>
      </c>
      <c r="C398" s="77" t="s">
        <v>630</v>
      </c>
      <c r="D398" s="130"/>
      <c r="E398" s="96"/>
      <c r="F398" s="96"/>
      <c r="G398" s="108"/>
      <c r="H398" s="96"/>
      <c r="I398" s="96">
        <f>ROUND(I327+I383+I397,2)</f>
        <v>0</v>
      </c>
      <c r="J398" s="120"/>
      <c r="K398"/>
      <c r="L398"/>
      <c r="M398"/>
      <c r="N398"/>
      <c r="O398"/>
      <c r="P398"/>
      <c r="Q398"/>
      <c r="R398"/>
      <c r="S398"/>
      <c r="T398"/>
    </row>
    <row r="399" spans="1:20" ht="24" x14ac:dyDescent="0.3">
      <c r="A399" s="88" t="s">
        <v>631</v>
      </c>
      <c r="B399" s="78" t="s">
        <v>60</v>
      </c>
      <c r="C399" s="79" t="s">
        <v>632</v>
      </c>
      <c r="D399" s="131"/>
      <c r="E399" s="97"/>
      <c r="F399" s="97"/>
      <c r="G399" s="109"/>
      <c r="H399" s="97"/>
      <c r="I399" s="97">
        <f>ROUND(I18+I23+I94+I170+I246+I322+I398,2)</f>
        <v>0</v>
      </c>
      <c r="J399" s="121"/>
      <c r="K399"/>
      <c r="L399"/>
      <c r="M399"/>
      <c r="N399"/>
      <c r="O399"/>
      <c r="P399"/>
      <c r="Q399"/>
      <c r="R399"/>
      <c r="S399"/>
      <c r="T399"/>
    </row>
    <row r="400" spans="1:20" hidden="1" x14ac:dyDescent="0.3">
      <c r="A400" s="88" t="s">
        <v>633</v>
      </c>
      <c r="B400" s="80" t="s">
        <v>60</v>
      </c>
      <c r="C400" s="81" t="s">
        <v>634</v>
      </c>
      <c r="D400" s="132"/>
      <c r="E400" s="98"/>
      <c r="F400" s="98"/>
      <c r="G400" s="110"/>
      <c r="H400" s="98"/>
      <c r="I400" s="98">
        <f>ROUND(I399*TVA,2)</f>
        <v>0</v>
      </c>
      <c r="J400" s="122"/>
      <c r="K400"/>
      <c r="L400"/>
      <c r="M400"/>
      <c r="N400"/>
      <c r="O400"/>
      <c r="P400"/>
      <c r="Q400"/>
      <c r="R400"/>
      <c r="S400"/>
      <c r="T400"/>
    </row>
    <row r="401" spans="1:20" hidden="1" x14ac:dyDescent="0.3">
      <c r="A401" s="88" t="s">
        <v>635</v>
      </c>
      <c r="B401" s="80" t="s">
        <v>60</v>
      </c>
      <c r="C401" s="81" t="s">
        <v>636</v>
      </c>
      <c r="D401" s="132"/>
      <c r="E401" s="98"/>
      <c r="F401" s="98"/>
      <c r="G401" s="110"/>
      <c r="H401" s="98"/>
      <c r="I401" s="98">
        <f>ROUND(I399+I400,2)</f>
        <v>0</v>
      </c>
      <c r="J401" s="122"/>
      <c r="K401"/>
      <c r="L401"/>
      <c r="M401"/>
      <c r="N401"/>
      <c r="O401"/>
      <c r="P401"/>
      <c r="Q401"/>
      <c r="R401"/>
      <c r="S401"/>
      <c r="T401"/>
    </row>
    <row r="402" spans="1:20" x14ac:dyDescent="0.3">
      <c r="A402" s="88" t="s">
        <v>637</v>
      </c>
      <c r="B402" s="78" t="s">
        <v>60</v>
      </c>
      <c r="C402" s="82" t="s">
        <v>638</v>
      </c>
      <c r="D402" s="131"/>
      <c r="E402" s="97"/>
      <c r="F402" s="97"/>
      <c r="G402" s="109"/>
      <c r="H402" s="97"/>
      <c r="I402" s="97">
        <f>ROUND(I399,2)</f>
        <v>0</v>
      </c>
      <c r="J402" s="121"/>
      <c r="K402"/>
      <c r="L402"/>
      <c r="M402"/>
      <c r="N402"/>
      <c r="O402"/>
      <c r="P402"/>
      <c r="Q402"/>
      <c r="R402"/>
      <c r="S402"/>
      <c r="T402"/>
    </row>
    <row r="403" spans="1:20" ht="16.2" thickBot="1" x14ac:dyDescent="0.35">
      <c r="A403" s="88" t="s">
        <v>639</v>
      </c>
      <c r="B403" s="83" t="s">
        <v>60</v>
      </c>
      <c r="C403" s="84" t="s">
        <v>640</v>
      </c>
      <c r="D403" s="133"/>
      <c r="E403" s="91"/>
      <c r="F403" s="91"/>
      <c r="G403" s="103"/>
      <c r="H403" s="91"/>
      <c r="I403" s="111">
        <f>SUBTOTAL(9,K404:K640)</f>
        <v>0</v>
      </c>
      <c r="J403" s="115"/>
      <c r="K403"/>
      <c r="L403"/>
      <c r="M403"/>
      <c r="N403"/>
      <c r="O403"/>
      <c r="P403"/>
      <c r="Q403"/>
      <c r="R403"/>
      <c r="S403"/>
      <c r="T403"/>
    </row>
    <row r="404" spans="1:20" ht="15" outlineLevel="1" thickTop="1" x14ac:dyDescent="0.3">
      <c r="A404" s="88" t="s">
        <v>641</v>
      </c>
      <c r="B404" s="66" t="s">
        <v>60</v>
      </c>
      <c r="C404" s="67" t="s">
        <v>642</v>
      </c>
      <c r="D404" s="126"/>
      <c r="E404" s="94"/>
      <c r="F404" s="94"/>
      <c r="G404" s="106"/>
      <c r="H404" s="94"/>
      <c r="I404" s="94"/>
      <c r="J404" s="118"/>
      <c r="K404"/>
      <c r="L404"/>
      <c r="M404"/>
      <c r="N404"/>
      <c r="O404"/>
      <c r="P404"/>
      <c r="Q404"/>
      <c r="R404"/>
      <c r="S404"/>
      <c r="T404"/>
    </row>
    <row r="405" spans="1:20" outlineLevel="1" x14ac:dyDescent="0.3">
      <c r="A405" s="88" t="s">
        <v>643</v>
      </c>
      <c r="B405" s="10" t="s">
        <v>644</v>
      </c>
      <c r="C405" s="65" t="s">
        <v>645</v>
      </c>
      <c r="D405" s="44" t="s">
        <v>149</v>
      </c>
      <c r="E405" s="99" t="s">
        <v>22</v>
      </c>
      <c r="F405" s="90"/>
      <c r="G405" s="102">
        <f>cell_CoefGeneral</f>
        <v>1</v>
      </c>
      <c r="H405" s="90">
        <v>0</v>
      </c>
      <c r="I405" s="90">
        <f>IF(ISNUMBER(E405),ROUND(E405*H405,2),0)</f>
        <v>0</v>
      </c>
      <c r="J405" s="114" t="str">
        <f>IFERROR(I405/cell_Total_HT,"-")</f>
        <v>-</v>
      </c>
      <c r="K405">
        <f>I405</f>
        <v>0</v>
      </c>
      <c r="L405"/>
      <c r="M405"/>
      <c r="N405"/>
      <c r="O405"/>
      <c r="P405"/>
      <c r="Q405"/>
      <c r="R405"/>
      <c r="S405"/>
      <c r="T405"/>
    </row>
    <row r="406" spans="1:20" outlineLevel="1" x14ac:dyDescent="0.3">
      <c r="A406" s="88" t="s">
        <v>646</v>
      </c>
      <c r="B406" s="10" t="s">
        <v>647</v>
      </c>
      <c r="C406" s="65" t="s">
        <v>648</v>
      </c>
      <c r="D406" s="44" t="s">
        <v>149</v>
      </c>
      <c r="E406" s="99" t="s">
        <v>22</v>
      </c>
      <c r="F406" s="90"/>
      <c r="G406" s="102">
        <f>cell_CoefGeneral</f>
        <v>1</v>
      </c>
      <c r="H406" s="90">
        <v>0</v>
      </c>
      <c r="I406" s="90">
        <f>IF(ISNUMBER(E406),ROUND(E406*H406,2),0)</f>
        <v>0</v>
      </c>
      <c r="J406" s="114" t="str">
        <f>IFERROR(I406/cell_Total_HT,"-")</f>
        <v>-</v>
      </c>
      <c r="K406">
        <f>I406</f>
        <v>0</v>
      </c>
      <c r="L406"/>
      <c r="M406"/>
      <c r="N406"/>
      <c r="O406"/>
      <c r="P406"/>
      <c r="Q406"/>
      <c r="R406"/>
      <c r="S406"/>
      <c r="T406"/>
    </row>
    <row r="407" spans="1:20" outlineLevel="1" x14ac:dyDescent="0.3">
      <c r="A407" s="88" t="s">
        <v>649</v>
      </c>
      <c r="B407" s="10" t="s">
        <v>650</v>
      </c>
      <c r="C407" s="65" t="s">
        <v>651</v>
      </c>
      <c r="D407" s="44" t="s">
        <v>149</v>
      </c>
      <c r="E407" s="99" t="s">
        <v>22</v>
      </c>
      <c r="F407" s="90"/>
      <c r="G407" s="102">
        <f>cell_CoefGeneral</f>
        <v>1</v>
      </c>
      <c r="H407" s="90">
        <v>0</v>
      </c>
      <c r="I407" s="90">
        <f>IF(ISNUMBER(E407),ROUND(E407*H407,2),0)</f>
        <v>0</v>
      </c>
      <c r="J407" s="114" t="str">
        <f>IFERROR(I407/cell_Total_HT,"-")</f>
        <v>-</v>
      </c>
      <c r="K407">
        <f>I407</f>
        <v>0</v>
      </c>
      <c r="L407"/>
      <c r="M407"/>
      <c r="N407"/>
      <c r="O407"/>
      <c r="P407"/>
      <c r="Q407"/>
      <c r="R407"/>
      <c r="S407"/>
      <c r="T407"/>
    </row>
    <row r="408" spans="1:20" outlineLevel="1" x14ac:dyDescent="0.3">
      <c r="A408" s="88" t="s">
        <v>652</v>
      </c>
      <c r="B408" s="10" t="s">
        <v>653</v>
      </c>
      <c r="C408" s="65" t="s">
        <v>654</v>
      </c>
      <c r="D408" s="44" t="s">
        <v>149</v>
      </c>
      <c r="E408" s="99" t="s">
        <v>22</v>
      </c>
      <c r="F408" s="90"/>
      <c r="G408" s="102">
        <f>cell_CoefGeneral</f>
        <v>1</v>
      </c>
      <c r="H408" s="90">
        <v>0</v>
      </c>
      <c r="I408" s="90">
        <f>IF(ISNUMBER(E408),ROUND(E408*H408,2),0)</f>
        <v>0</v>
      </c>
      <c r="J408" s="114" t="str">
        <f>IFERROR(I408/cell_Total_HT,"-")</f>
        <v>-</v>
      </c>
      <c r="K408">
        <f>I408</f>
        <v>0</v>
      </c>
      <c r="L408"/>
      <c r="M408"/>
      <c r="N408"/>
      <c r="O408"/>
      <c r="P408"/>
      <c r="Q408"/>
      <c r="R408"/>
      <c r="S408"/>
      <c r="T408"/>
    </row>
    <row r="409" spans="1:20" outlineLevel="1" x14ac:dyDescent="0.3">
      <c r="A409" s="88" t="s">
        <v>655</v>
      </c>
      <c r="B409" s="10" t="s">
        <v>656</v>
      </c>
      <c r="C409" s="65" t="s">
        <v>657</v>
      </c>
      <c r="D409" s="44" t="s">
        <v>658</v>
      </c>
      <c r="E409" s="99" t="s">
        <v>22</v>
      </c>
      <c r="F409" s="90"/>
      <c r="G409" s="102">
        <f>cell_CoefGeneral</f>
        <v>1</v>
      </c>
      <c r="H409" s="90">
        <v>0</v>
      </c>
      <c r="I409" s="90">
        <f>IF(ISNUMBER(E409),ROUND(E409*H409,2),0)</f>
        <v>0</v>
      </c>
      <c r="J409" s="114" t="str">
        <f>IFERROR(I409/cell_Total_HT,"-")</f>
        <v>-</v>
      </c>
      <c r="K409">
        <f>I409</f>
        <v>0</v>
      </c>
      <c r="L409"/>
      <c r="M409"/>
      <c r="N409"/>
      <c r="O409"/>
      <c r="P409"/>
      <c r="Q409"/>
      <c r="R409"/>
      <c r="S409"/>
      <c r="T409"/>
    </row>
    <row r="410" spans="1:20" outlineLevel="1" x14ac:dyDescent="0.3">
      <c r="A410" s="88" t="s">
        <v>659</v>
      </c>
      <c r="B410" s="10" t="s">
        <v>660</v>
      </c>
      <c r="C410" s="65" t="s">
        <v>661</v>
      </c>
      <c r="D410" s="44" t="s">
        <v>658</v>
      </c>
      <c r="E410" s="99" t="s">
        <v>22</v>
      </c>
      <c r="F410" s="90"/>
      <c r="G410" s="102">
        <f>cell_CoefGeneral</f>
        <v>1</v>
      </c>
      <c r="H410" s="90">
        <v>0</v>
      </c>
      <c r="I410" s="90">
        <f>IF(ISNUMBER(E410),ROUND(E410*H410,2),0)</f>
        <v>0</v>
      </c>
      <c r="J410" s="114" t="str">
        <f>IFERROR(I410/cell_Total_HT,"-")</f>
        <v>-</v>
      </c>
      <c r="K410">
        <f>I410</f>
        <v>0</v>
      </c>
      <c r="L410"/>
      <c r="M410"/>
      <c r="N410"/>
      <c r="O410"/>
      <c r="P410"/>
      <c r="Q410"/>
      <c r="R410"/>
      <c r="S410"/>
      <c r="T410"/>
    </row>
    <row r="411" spans="1:20" outlineLevel="1" x14ac:dyDescent="0.3">
      <c r="A411" s="88" t="s">
        <v>662</v>
      </c>
      <c r="B411" s="10" t="s">
        <v>663</v>
      </c>
      <c r="C411" s="65" t="s">
        <v>664</v>
      </c>
      <c r="D411" s="44" t="s">
        <v>665</v>
      </c>
      <c r="E411" s="99" t="s">
        <v>22</v>
      </c>
      <c r="F411" s="90"/>
      <c r="G411" s="102">
        <f>cell_CoefGeneral</f>
        <v>1</v>
      </c>
      <c r="H411" s="90">
        <v>0</v>
      </c>
      <c r="I411" s="90">
        <f>IF(ISNUMBER(E411),ROUND(E411*H411,2),0)</f>
        <v>0</v>
      </c>
      <c r="J411" s="114" t="str">
        <f>IFERROR(I411/cell_Total_HT,"-")</f>
        <v>-</v>
      </c>
      <c r="K411">
        <f>I411</f>
        <v>0</v>
      </c>
      <c r="L411"/>
      <c r="M411"/>
      <c r="N411"/>
      <c r="O411"/>
      <c r="P411"/>
      <c r="Q411"/>
      <c r="R411"/>
      <c r="S411"/>
      <c r="T411"/>
    </row>
    <row r="412" spans="1:20" outlineLevel="1" x14ac:dyDescent="0.3">
      <c r="A412" s="88" t="s">
        <v>666</v>
      </c>
      <c r="B412" s="10" t="s">
        <v>667</v>
      </c>
      <c r="C412" s="65" t="s">
        <v>668</v>
      </c>
      <c r="D412" s="44" t="s">
        <v>149</v>
      </c>
      <c r="E412" s="99" t="s">
        <v>22</v>
      </c>
      <c r="F412" s="90"/>
      <c r="G412" s="102">
        <f>cell_CoefGeneral</f>
        <v>1</v>
      </c>
      <c r="H412" s="90">
        <v>0</v>
      </c>
      <c r="I412" s="90">
        <f>IF(ISNUMBER(E412),ROUND(E412*H412,2),0)</f>
        <v>0</v>
      </c>
      <c r="J412" s="114" t="str">
        <f>IFERROR(I412/cell_Total_HT,"-")</f>
        <v>-</v>
      </c>
      <c r="K412">
        <f>I412</f>
        <v>0</v>
      </c>
      <c r="L412"/>
      <c r="M412"/>
      <c r="N412"/>
      <c r="O412"/>
      <c r="P412"/>
      <c r="Q412"/>
      <c r="R412"/>
      <c r="S412"/>
      <c r="T412"/>
    </row>
    <row r="413" spans="1:20" outlineLevel="1" x14ac:dyDescent="0.3">
      <c r="A413" s="88" t="s">
        <v>669</v>
      </c>
      <c r="B413" s="10" t="s">
        <v>670</v>
      </c>
      <c r="C413" s="65" t="s">
        <v>671</v>
      </c>
      <c r="D413" s="44" t="s">
        <v>80</v>
      </c>
      <c r="E413" s="99" t="s">
        <v>22</v>
      </c>
      <c r="F413" s="90"/>
      <c r="G413" s="102">
        <f>cell_CoefGeneral</f>
        <v>1</v>
      </c>
      <c r="H413" s="90">
        <v>0</v>
      </c>
      <c r="I413" s="90">
        <f>IF(ISNUMBER(E413),ROUND(E413*H413,2),0)</f>
        <v>0</v>
      </c>
      <c r="J413" s="114" t="str">
        <f>IFERROR(I413/cell_Total_HT,"-")</f>
        <v>-</v>
      </c>
      <c r="K413">
        <f>I413</f>
        <v>0</v>
      </c>
      <c r="L413"/>
      <c r="M413"/>
      <c r="N413"/>
      <c r="O413"/>
      <c r="P413"/>
      <c r="Q413"/>
      <c r="R413"/>
      <c r="S413"/>
      <c r="T413"/>
    </row>
    <row r="414" spans="1:20" ht="28.8" outlineLevel="1" x14ac:dyDescent="0.3">
      <c r="A414" s="88" t="s">
        <v>672</v>
      </c>
      <c r="B414" s="10" t="s">
        <v>673</v>
      </c>
      <c r="C414" s="65" t="s">
        <v>674</v>
      </c>
      <c r="D414" s="44" t="s">
        <v>167</v>
      </c>
      <c r="E414" s="99" t="s">
        <v>22</v>
      </c>
      <c r="F414" s="90"/>
      <c r="G414" s="102">
        <f>cell_CoefGeneral</f>
        <v>1</v>
      </c>
      <c r="H414" s="90">
        <v>0</v>
      </c>
      <c r="I414" s="90">
        <f>IF(ISNUMBER(E414),ROUND(E414*H414,2),0)</f>
        <v>0</v>
      </c>
      <c r="J414" s="114" t="str">
        <f>IFERROR(I414/cell_Total_HT,"-")</f>
        <v>-</v>
      </c>
      <c r="K414">
        <f>I414</f>
        <v>0</v>
      </c>
      <c r="L414"/>
      <c r="M414"/>
      <c r="N414"/>
      <c r="O414"/>
      <c r="P414"/>
      <c r="Q414"/>
      <c r="R414"/>
      <c r="S414"/>
      <c r="T414"/>
    </row>
    <row r="415" spans="1:20" ht="28.8" outlineLevel="1" x14ac:dyDescent="0.3">
      <c r="A415" s="88" t="s">
        <v>675</v>
      </c>
      <c r="B415" s="10" t="s">
        <v>676</v>
      </c>
      <c r="C415" s="65" t="s">
        <v>677</v>
      </c>
      <c r="D415" s="44" t="s">
        <v>167</v>
      </c>
      <c r="E415" s="99" t="s">
        <v>22</v>
      </c>
      <c r="F415" s="90"/>
      <c r="G415" s="102">
        <f>cell_CoefGeneral</f>
        <v>1</v>
      </c>
      <c r="H415" s="90">
        <v>0</v>
      </c>
      <c r="I415" s="90">
        <f>IF(ISNUMBER(E415),ROUND(E415*H415,2),0)</f>
        <v>0</v>
      </c>
      <c r="J415" s="114" t="str">
        <f>IFERROR(I415/cell_Total_HT,"-")</f>
        <v>-</v>
      </c>
      <c r="K415">
        <f>I415</f>
        <v>0</v>
      </c>
      <c r="L415"/>
      <c r="M415"/>
      <c r="N415"/>
      <c r="O415"/>
      <c r="P415"/>
      <c r="Q415"/>
      <c r="R415"/>
      <c r="S415"/>
      <c r="T415"/>
    </row>
    <row r="416" spans="1:20" outlineLevel="1" x14ac:dyDescent="0.3">
      <c r="A416" s="88" t="s">
        <v>678</v>
      </c>
      <c r="B416" s="10" t="s">
        <v>679</v>
      </c>
      <c r="C416" s="65" t="s">
        <v>680</v>
      </c>
      <c r="D416" s="44" t="s">
        <v>167</v>
      </c>
      <c r="E416" s="99" t="s">
        <v>22</v>
      </c>
      <c r="F416" s="90"/>
      <c r="G416" s="102">
        <f>cell_CoefGeneral</f>
        <v>1</v>
      </c>
      <c r="H416" s="90">
        <v>0</v>
      </c>
      <c r="I416" s="90">
        <f>IF(ISNUMBER(E416),ROUND(E416*H416,2),0)</f>
        <v>0</v>
      </c>
      <c r="J416" s="114" t="str">
        <f>IFERROR(I416/cell_Total_HT,"-")</f>
        <v>-</v>
      </c>
      <c r="K416">
        <f>I416</f>
        <v>0</v>
      </c>
      <c r="L416"/>
      <c r="M416"/>
      <c r="N416"/>
      <c r="O416"/>
      <c r="P416"/>
      <c r="Q416"/>
      <c r="R416"/>
      <c r="S416"/>
      <c r="T416"/>
    </row>
    <row r="417" spans="1:20" outlineLevel="1" x14ac:dyDescent="0.3">
      <c r="A417" s="88" t="s">
        <v>681</v>
      </c>
      <c r="B417" s="10" t="s">
        <v>682</v>
      </c>
      <c r="C417" s="65" t="s">
        <v>683</v>
      </c>
      <c r="D417" s="44" t="s">
        <v>121</v>
      </c>
      <c r="E417" s="99" t="s">
        <v>22</v>
      </c>
      <c r="F417" s="90"/>
      <c r="G417" s="102">
        <f>cell_CoefGeneral</f>
        <v>1</v>
      </c>
      <c r="H417" s="90">
        <v>0</v>
      </c>
      <c r="I417" s="90">
        <f>IF(ISNUMBER(E417),ROUND(E417*H417,2),0)</f>
        <v>0</v>
      </c>
      <c r="J417" s="114" t="str">
        <f>IFERROR(I417/cell_Total_HT,"-")</f>
        <v>-</v>
      </c>
      <c r="K417">
        <f>I417</f>
        <v>0</v>
      </c>
      <c r="L417"/>
      <c r="M417"/>
      <c r="N417"/>
      <c r="O417"/>
      <c r="P417"/>
      <c r="Q417"/>
      <c r="R417"/>
      <c r="S417"/>
      <c r="T417"/>
    </row>
    <row r="418" spans="1:20" outlineLevel="1" x14ac:dyDescent="0.3">
      <c r="A418" s="88" t="s">
        <v>684</v>
      </c>
      <c r="B418" s="10" t="s">
        <v>685</v>
      </c>
      <c r="C418" s="65" t="s">
        <v>686</v>
      </c>
      <c r="D418" s="44" t="s">
        <v>121</v>
      </c>
      <c r="E418" s="99" t="s">
        <v>22</v>
      </c>
      <c r="F418" s="90"/>
      <c r="G418" s="102">
        <f>cell_CoefGeneral</f>
        <v>1</v>
      </c>
      <c r="H418" s="90">
        <v>0</v>
      </c>
      <c r="I418" s="90">
        <f>IF(ISNUMBER(E418),ROUND(E418*H418,2),0)</f>
        <v>0</v>
      </c>
      <c r="J418" s="114" t="str">
        <f>IFERROR(I418/cell_Total_HT,"-")</f>
        <v>-</v>
      </c>
      <c r="K418">
        <f>I418</f>
        <v>0</v>
      </c>
      <c r="L418"/>
      <c r="M418"/>
      <c r="N418"/>
      <c r="O418"/>
      <c r="P418"/>
      <c r="Q418"/>
      <c r="R418"/>
      <c r="S418"/>
      <c r="T418"/>
    </row>
    <row r="419" spans="1:20" outlineLevel="1" x14ac:dyDescent="0.3">
      <c r="A419" s="88" t="s">
        <v>687</v>
      </c>
      <c r="B419" s="10" t="s">
        <v>688</v>
      </c>
      <c r="C419" s="65" t="s">
        <v>689</v>
      </c>
      <c r="D419" s="44" t="s">
        <v>121</v>
      </c>
      <c r="E419" s="99" t="s">
        <v>22</v>
      </c>
      <c r="F419" s="90"/>
      <c r="G419" s="102">
        <f>cell_CoefGeneral</f>
        <v>1</v>
      </c>
      <c r="H419" s="90">
        <v>0</v>
      </c>
      <c r="I419" s="90">
        <f>IF(ISNUMBER(E419),ROUND(E419*H419,2),0)</f>
        <v>0</v>
      </c>
      <c r="J419" s="114" t="str">
        <f>IFERROR(I419/cell_Total_HT,"-")</f>
        <v>-</v>
      </c>
      <c r="K419">
        <f>I419</f>
        <v>0</v>
      </c>
      <c r="L419"/>
      <c r="M419"/>
      <c r="N419"/>
      <c r="O419"/>
      <c r="P419"/>
      <c r="Q419"/>
      <c r="R419"/>
      <c r="S419"/>
      <c r="T419"/>
    </row>
    <row r="420" spans="1:20" outlineLevel="1" x14ac:dyDescent="0.3">
      <c r="A420" s="88" t="s">
        <v>690</v>
      </c>
      <c r="B420" s="10" t="s">
        <v>691</v>
      </c>
      <c r="C420" s="65" t="s">
        <v>692</v>
      </c>
      <c r="D420" s="44" t="s">
        <v>167</v>
      </c>
      <c r="E420" s="99" t="s">
        <v>22</v>
      </c>
      <c r="F420" s="90"/>
      <c r="G420" s="102">
        <f>cell_CoefGeneral</f>
        <v>1</v>
      </c>
      <c r="H420" s="90">
        <v>0</v>
      </c>
      <c r="I420" s="90">
        <f>IF(ISNUMBER(E420),ROUND(E420*H420,2),0)</f>
        <v>0</v>
      </c>
      <c r="J420" s="114" t="str">
        <f>IFERROR(I420/cell_Total_HT,"-")</f>
        <v>-</v>
      </c>
      <c r="K420">
        <f>I420</f>
        <v>0</v>
      </c>
      <c r="L420"/>
      <c r="M420"/>
      <c r="N420"/>
      <c r="O420"/>
      <c r="P420"/>
      <c r="Q420"/>
      <c r="R420"/>
      <c r="S420"/>
      <c r="T420"/>
    </row>
    <row r="421" spans="1:20" outlineLevel="1" x14ac:dyDescent="0.3">
      <c r="A421" s="88" t="s">
        <v>693</v>
      </c>
      <c r="B421" s="10" t="s">
        <v>694</v>
      </c>
      <c r="C421" s="65" t="s">
        <v>695</v>
      </c>
      <c r="D421" s="44" t="s">
        <v>167</v>
      </c>
      <c r="E421" s="99" t="s">
        <v>22</v>
      </c>
      <c r="F421" s="90"/>
      <c r="G421" s="102">
        <f>cell_CoefGeneral</f>
        <v>1</v>
      </c>
      <c r="H421" s="90">
        <v>0</v>
      </c>
      <c r="I421" s="90">
        <f>IF(ISNUMBER(E421),ROUND(E421*H421,2),0)</f>
        <v>0</v>
      </c>
      <c r="J421" s="114" t="str">
        <f>IFERROR(I421/cell_Total_HT,"-")</f>
        <v>-</v>
      </c>
      <c r="K421">
        <f>I421</f>
        <v>0</v>
      </c>
      <c r="L421"/>
      <c r="M421"/>
      <c r="N421"/>
      <c r="O421"/>
      <c r="P421"/>
      <c r="Q421"/>
      <c r="R421"/>
      <c r="S421"/>
      <c r="T421"/>
    </row>
    <row r="422" spans="1:20" outlineLevel="1" x14ac:dyDescent="0.3">
      <c r="A422" s="88" t="s">
        <v>696</v>
      </c>
      <c r="B422" s="10" t="s">
        <v>697</v>
      </c>
      <c r="C422" s="65" t="s">
        <v>698</v>
      </c>
      <c r="D422" s="44" t="s">
        <v>167</v>
      </c>
      <c r="E422" s="99" t="s">
        <v>22</v>
      </c>
      <c r="F422" s="90"/>
      <c r="G422" s="102">
        <f>cell_CoefGeneral</f>
        <v>1</v>
      </c>
      <c r="H422" s="90">
        <v>0</v>
      </c>
      <c r="I422" s="90">
        <f>IF(ISNUMBER(E422),ROUND(E422*H422,2),0)</f>
        <v>0</v>
      </c>
      <c r="J422" s="114" t="str">
        <f>IFERROR(I422/cell_Total_HT,"-")</f>
        <v>-</v>
      </c>
      <c r="K422">
        <f>I422</f>
        <v>0</v>
      </c>
      <c r="L422"/>
      <c r="M422"/>
      <c r="N422"/>
      <c r="O422"/>
      <c r="P422"/>
      <c r="Q422"/>
      <c r="R422"/>
      <c r="S422"/>
      <c r="T422"/>
    </row>
    <row r="423" spans="1:20" outlineLevel="1" x14ac:dyDescent="0.3">
      <c r="A423" s="88" t="s">
        <v>699</v>
      </c>
      <c r="B423" s="10" t="s">
        <v>700</v>
      </c>
      <c r="C423" s="65" t="s">
        <v>701</v>
      </c>
      <c r="D423" s="44" t="s">
        <v>167</v>
      </c>
      <c r="E423" s="99" t="s">
        <v>22</v>
      </c>
      <c r="F423" s="90"/>
      <c r="G423" s="102">
        <f>cell_CoefGeneral</f>
        <v>1</v>
      </c>
      <c r="H423" s="90">
        <v>0</v>
      </c>
      <c r="I423" s="90">
        <f>IF(ISNUMBER(E423),ROUND(E423*H423,2),0)</f>
        <v>0</v>
      </c>
      <c r="J423" s="114" t="str">
        <f>IFERROR(I423/cell_Total_HT,"-")</f>
        <v>-</v>
      </c>
      <c r="K423">
        <f>I423</f>
        <v>0</v>
      </c>
      <c r="L423"/>
      <c r="M423"/>
      <c r="N423"/>
      <c r="O423"/>
      <c r="P423"/>
      <c r="Q423"/>
      <c r="R423"/>
      <c r="S423"/>
      <c r="T423"/>
    </row>
    <row r="424" spans="1:20" outlineLevel="1" x14ac:dyDescent="0.3">
      <c r="A424" s="88" t="s">
        <v>702</v>
      </c>
      <c r="B424" s="10" t="s">
        <v>703</v>
      </c>
      <c r="C424" s="65" t="s">
        <v>704</v>
      </c>
      <c r="D424" s="44" t="s">
        <v>167</v>
      </c>
      <c r="E424" s="99" t="s">
        <v>22</v>
      </c>
      <c r="F424" s="90"/>
      <c r="G424" s="102">
        <f>cell_CoefGeneral</f>
        <v>1</v>
      </c>
      <c r="H424" s="90">
        <v>0</v>
      </c>
      <c r="I424" s="90">
        <f>IF(ISNUMBER(E424),ROUND(E424*H424,2),0)</f>
        <v>0</v>
      </c>
      <c r="J424" s="114" t="str">
        <f>IFERROR(I424/cell_Total_HT,"-")</f>
        <v>-</v>
      </c>
      <c r="K424">
        <f>I424</f>
        <v>0</v>
      </c>
      <c r="L424"/>
      <c r="M424"/>
      <c r="N424"/>
      <c r="O424"/>
      <c r="P424"/>
      <c r="Q424"/>
      <c r="R424"/>
      <c r="S424"/>
      <c r="T424"/>
    </row>
    <row r="425" spans="1:20" outlineLevel="1" x14ac:dyDescent="0.3">
      <c r="A425" s="88" t="s">
        <v>705</v>
      </c>
      <c r="B425" s="10" t="s">
        <v>706</v>
      </c>
      <c r="C425" s="65" t="s">
        <v>707</v>
      </c>
      <c r="D425" s="44" t="s">
        <v>167</v>
      </c>
      <c r="E425" s="99" t="s">
        <v>22</v>
      </c>
      <c r="F425" s="90"/>
      <c r="G425" s="102">
        <f>cell_CoefGeneral</f>
        <v>1</v>
      </c>
      <c r="H425" s="90">
        <v>0</v>
      </c>
      <c r="I425" s="90">
        <f>IF(ISNUMBER(E425),ROUND(E425*H425,2),0)</f>
        <v>0</v>
      </c>
      <c r="J425" s="114" t="str">
        <f>IFERROR(I425/cell_Total_HT,"-")</f>
        <v>-</v>
      </c>
      <c r="K425">
        <f>I425</f>
        <v>0</v>
      </c>
      <c r="L425"/>
      <c r="M425"/>
      <c r="N425"/>
      <c r="O425"/>
      <c r="P425"/>
      <c r="Q425"/>
      <c r="R425"/>
      <c r="S425"/>
      <c r="T425"/>
    </row>
    <row r="426" spans="1:20" outlineLevel="1" x14ac:dyDescent="0.3">
      <c r="A426" s="88" t="s">
        <v>708</v>
      </c>
      <c r="B426" s="10" t="s">
        <v>709</v>
      </c>
      <c r="C426" s="65" t="s">
        <v>710</v>
      </c>
      <c r="D426" s="44" t="s">
        <v>658</v>
      </c>
      <c r="E426" s="99" t="s">
        <v>22</v>
      </c>
      <c r="F426" s="90"/>
      <c r="G426" s="102">
        <f>cell_CoefGeneral</f>
        <v>1</v>
      </c>
      <c r="H426" s="90">
        <v>0</v>
      </c>
      <c r="I426" s="90">
        <f>IF(ISNUMBER(E426),ROUND(E426*H426,2),0)</f>
        <v>0</v>
      </c>
      <c r="J426" s="114" t="str">
        <f>IFERROR(I426/cell_Total_HT,"-")</f>
        <v>-</v>
      </c>
      <c r="K426">
        <f>I426</f>
        <v>0</v>
      </c>
      <c r="L426"/>
      <c r="M426"/>
      <c r="N426"/>
      <c r="O426"/>
      <c r="P426"/>
      <c r="Q426"/>
      <c r="R426"/>
      <c r="S426"/>
      <c r="T426"/>
    </row>
    <row r="427" spans="1:20" outlineLevel="1" x14ac:dyDescent="0.3">
      <c r="A427" s="88" t="s">
        <v>711</v>
      </c>
      <c r="B427" s="10" t="s">
        <v>712</v>
      </c>
      <c r="C427" s="65" t="s">
        <v>713</v>
      </c>
      <c r="D427" s="44" t="s">
        <v>658</v>
      </c>
      <c r="E427" s="99" t="s">
        <v>22</v>
      </c>
      <c r="F427" s="90"/>
      <c r="G427" s="102">
        <f>cell_CoefGeneral</f>
        <v>1</v>
      </c>
      <c r="H427" s="90">
        <v>0</v>
      </c>
      <c r="I427" s="90">
        <f>IF(ISNUMBER(E427),ROUND(E427*H427,2),0)</f>
        <v>0</v>
      </c>
      <c r="J427" s="114" t="str">
        <f>IFERROR(I427/cell_Total_HT,"-")</f>
        <v>-</v>
      </c>
      <c r="K427">
        <f>I427</f>
        <v>0</v>
      </c>
      <c r="L427"/>
      <c r="M427"/>
      <c r="N427"/>
      <c r="O427"/>
      <c r="P427"/>
      <c r="Q427"/>
      <c r="R427"/>
      <c r="S427"/>
      <c r="T427"/>
    </row>
    <row r="428" spans="1:20" outlineLevel="1" x14ac:dyDescent="0.3">
      <c r="A428" s="88" t="s">
        <v>714</v>
      </c>
      <c r="B428" s="10" t="s">
        <v>715</v>
      </c>
      <c r="C428" s="65" t="s">
        <v>716</v>
      </c>
      <c r="D428" s="44" t="s">
        <v>658</v>
      </c>
      <c r="E428" s="99" t="s">
        <v>22</v>
      </c>
      <c r="F428" s="90"/>
      <c r="G428" s="102">
        <f>cell_CoefGeneral</f>
        <v>1</v>
      </c>
      <c r="H428" s="90">
        <v>0</v>
      </c>
      <c r="I428" s="90">
        <f>IF(ISNUMBER(E428),ROUND(E428*H428,2),0)</f>
        <v>0</v>
      </c>
      <c r="J428" s="114" t="str">
        <f>IFERROR(I428/cell_Total_HT,"-")</f>
        <v>-</v>
      </c>
      <c r="K428">
        <f>I428</f>
        <v>0</v>
      </c>
      <c r="L428"/>
      <c r="M428"/>
      <c r="N428"/>
      <c r="O428"/>
      <c r="P428"/>
      <c r="Q428"/>
      <c r="R428"/>
      <c r="S428"/>
      <c r="T428"/>
    </row>
    <row r="429" spans="1:20" outlineLevel="1" x14ac:dyDescent="0.3">
      <c r="A429" s="88" t="s">
        <v>717</v>
      </c>
      <c r="B429" s="10" t="s">
        <v>718</v>
      </c>
      <c r="C429" s="65" t="s">
        <v>719</v>
      </c>
      <c r="D429" s="44" t="s">
        <v>658</v>
      </c>
      <c r="E429" s="99" t="s">
        <v>22</v>
      </c>
      <c r="F429" s="90"/>
      <c r="G429" s="102">
        <f>cell_CoefGeneral</f>
        <v>1</v>
      </c>
      <c r="H429" s="90">
        <v>0</v>
      </c>
      <c r="I429" s="90">
        <f>IF(ISNUMBER(E429),ROUND(E429*H429,2),0)</f>
        <v>0</v>
      </c>
      <c r="J429" s="114" t="str">
        <f>IFERROR(I429/cell_Total_HT,"-")</f>
        <v>-</v>
      </c>
      <c r="K429">
        <f>I429</f>
        <v>0</v>
      </c>
      <c r="L429"/>
      <c r="M429"/>
      <c r="N429"/>
      <c r="O429"/>
      <c r="P429"/>
      <c r="Q429"/>
      <c r="R429"/>
      <c r="S429"/>
      <c r="T429"/>
    </row>
    <row r="430" spans="1:20" outlineLevel="1" x14ac:dyDescent="0.3">
      <c r="A430" s="88" t="s">
        <v>720</v>
      </c>
      <c r="B430" s="10" t="s">
        <v>721</v>
      </c>
      <c r="C430" s="65" t="s">
        <v>722</v>
      </c>
      <c r="D430" s="44" t="s">
        <v>149</v>
      </c>
      <c r="E430" s="99" t="s">
        <v>22</v>
      </c>
      <c r="F430" s="90"/>
      <c r="G430" s="102">
        <f>cell_CoefGeneral</f>
        <v>1</v>
      </c>
      <c r="H430" s="90">
        <v>0</v>
      </c>
      <c r="I430" s="90">
        <f>IF(ISNUMBER(E430),ROUND(E430*H430,2),0)</f>
        <v>0</v>
      </c>
      <c r="J430" s="114" t="str">
        <f>IFERROR(I430/cell_Total_HT,"-")</f>
        <v>-</v>
      </c>
      <c r="K430">
        <f>I430</f>
        <v>0</v>
      </c>
      <c r="L430"/>
      <c r="M430"/>
      <c r="N430"/>
      <c r="O430"/>
      <c r="P430"/>
      <c r="Q430"/>
      <c r="R430"/>
      <c r="S430"/>
      <c r="T430"/>
    </row>
    <row r="431" spans="1:20" outlineLevel="1" x14ac:dyDescent="0.3">
      <c r="A431" s="88" t="s">
        <v>723</v>
      </c>
      <c r="B431" s="10" t="s">
        <v>724</v>
      </c>
      <c r="C431" s="65" t="s">
        <v>725</v>
      </c>
      <c r="D431" s="44" t="s">
        <v>658</v>
      </c>
      <c r="E431" s="99" t="s">
        <v>22</v>
      </c>
      <c r="F431" s="90"/>
      <c r="G431" s="102">
        <f>cell_CoefGeneral</f>
        <v>1</v>
      </c>
      <c r="H431" s="90">
        <v>0</v>
      </c>
      <c r="I431" s="90">
        <f>IF(ISNUMBER(E431),ROUND(E431*H431,2),0)</f>
        <v>0</v>
      </c>
      <c r="J431" s="114" t="str">
        <f>IFERROR(I431/cell_Total_HT,"-")</f>
        <v>-</v>
      </c>
      <c r="K431">
        <f>I431</f>
        <v>0</v>
      </c>
      <c r="L431"/>
      <c r="M431"/>
      <c r="N431"/>
      <c r="O431"/>
      <c r="P431"/>
      <c r="Q431"/>
      <c r="R431"/>
      <c r="S431"/>
      <c r="T431"/>
    </row>
    <row r="432" spans="1:20" outlineLevel="1" x14ac:dyDescent="0.3">
      <c r="A432" s="88" t="s">
        <v>726</v>
      </c>
      <c r="B432" s="10" t="s">
        <v>727</v>
      </c>
      <c r="C432" s="65" t="s">
        <v>728</v>
      </c>
      <c r="D432" s="44" t="s">
        <v>658</v>
      </c>
      <c r="E432" s="99" t="s">
        <v>22</v>
      </c>
      <c r="F432" s="90"/>
      <c r="G432" s="102">
        <f>cell_CoefGeneral</f>
        <v>1</v>
      </c>
      <c r="H432" s="90">
        <v>0</v>
      </c>
      <c r="I432" s="90">
        <f>IF(ISNUMBER(E432),ROUND(E432*H432,2),0)</f>
        <v>0</v>
      </c>
      <c r="J432" s="114" t="str">
        <f>IFERROR(I432/cell_Total_HT,"-")</f>
        <v>-</v>
      </c>
      <c r="K432">
        <f>I432</f>
        <v>0</v>
      </c>
      <c r="L432"/>
      <c r="M432"/>
      <c r="N432"/>
      <c r="O432"/>
      <c r="P432"/>
      <c r="Q432"/>
      <c r="R432"/>
      <c r="S432"/>
      <c r="T432"/>
    </row>
    <row r="433" spans="1:20" outlineLevel="1" x14ac:dyDescent="0.3">
      <c r="A433" s="88" t="s">
        <v>729</v>
      </c>
      <c r="B433" s="10" t="s">
        <v>730</v>
      </c>
      <c r="C433" s="65" t="s">
        <v>731</v>
      </c>
      <c r="D433" s="44" t="s">
        <v>658</v>
      </c>
      <c r="E433" s="99" t="s">
        <v>22</v>
      </c>
      <c r="F433" s="90"/>
      <c r="G433" s="102">
        <f>cell_CoefGeneral</f>
        <v>1</v>
      </c>
      <c r="H433" s="90">
        <v>0</v>
      </c>
      <c r="I433" s="90">
        <f>IF(ISNUMBER(E433),ROUND(E433*H433,2),0)</f>
        <v>0</v>
      </c>
      <c r="J433" s="114" t="str">
        <f>IFERROR(I433/cell_Total_HT,"-")</f>
        <v>-</v>
      </c>
      <c r="K433">
        <f>I433</f>
        <v>0</v>
      </c>
      <c r="L433"/>
      <c r="M433"/>
      <c r="N433"/>
      <c r="O433"/>
      <c r="P433"/>
      <c r="Q433"/>
      <c r="R433"/>
      <c r="S433"/>
      <c r="T433"/>
    </row>
    <row r="434" spans="1:20" ht="28.8" outlineLevel="1" x14ac:dyDescent="0.3">
      <c r="A434" s="88" t="s">
        <v>732</v>
      </c>
      <c r="B434" s="10" t="s">
        <v>733</v>
      </c>
      <c r="C434" s="65" t="s">
        <v>734</v>
      </c>
      <c r="D434" s="44" t="s">
        <v>80</v>
      </c>
      <c r="E434" s="99" t="s">
        <v>22</v>
      </c>
      <c r="F434" s="90"/>
      <c r="G434" s="102">
        <f>cell_CoefGeneral</f>
        <v>1</v>
      </c>
      <c r="H434" s="90">
        <v>0</v>
      </c>
      <c r="I434" s="90">
        <f>IF(ISNUMBER(E434),ROUND(E434*H434,2),0)</f>
        <v>0</v>
      </c>
      <c r="J434" s="114" t="str">
        <f>IFERROR(I434/cell_Total_HT,"-")</f>
        <v>-</v>
      </c>
      <c r="K434">
        <f>I434</f>
        <v>0</v>
      </c>
      <c r="L434"/>
      <c r="M434"/>
      <c r="N434"/>
      <c r="O434"/>
      <c r="P434"/>
      <c r="Q434"/>
      <c r="R434"/>
      <c r="S434"/>
      <c r="T434"/>
    </row>
    <row r="435" spans="1:20" outlineLevel="1" x14ac:dyDescent="0.3">
      <c r="A435" s="88" t="s">
        <v>735</v>
      </c>
      <c r="B435" s="10" t="s">
        <v>736</v>
      </c>
      <c r="C435" s="65" t="s">
        <v>737</v>
      </c>
      <c r="D435" s="44" t="s">
        <v>80</v>
      </c>
      <c r="E435" s="99" t="s">
        <v>22</v>
      </c>
      <c r="F435" s="90"/>
      <c r="G435" s="102">
        <f>cell_CoefGeneral</f>
        <v>1</v>
      </c>
      <c r="H435" s="90">
        <v>0</v>
      </c>
      <c r="I435" s="90">
        <f>IF(ISNUMBER(E435),ROUND(E435*H435,2),0)</f>
        <v>0</v>
      </c>
      <c r="J435" s="114" t="str">
        <f>IFERROR(I435/cell_Total_HT,"-")</f>
        <v>-</v>
      </c>
      <c r="K435">
        <f>I435</f>
        <v>0</v>
      </c>
      <c r="L435"/>
      <c r="M435"/>
      <c r="N435"/>
      <c r="O435"/>
      <c r="P435"/>
      <c r="Q435"/>
      <c r="R435"/>
      <c r="S435"/>
      <c r="T435"/>
    </row>
    <row r="436" spans="1:20" outlineLevel="1" x14ac:dyDescent="0.3">
      <c r="A436" s="88" t="s">
        <v>738</v>
      </c>
      <c r="B436" s="10" t="s">
        <v>739</v>
      </c>
      <c r="C436" s="65" t="s">
        <v>740</v>
      </c>
      <c r="D436" s="44" t="s">
        <v>80</v>
      </c>
      <c r="E436" s="99" t="s">
        <v>22</v>
      </c>
      <c r="F436" s="90"/>
      <c r="G436" s="102">
        <f>cell_CoefGeneral</f>
        <v>1</v>
      </c>
      <c r="H436" s="90">
        <v>0</v>
      </c>
      <c r="I436" s="90">
        <f>IF(ISNUMBER(E436),ROUND(E436*H436,2),0)</f>
        <v>0</v>
      </c>
      <c r="J436" s="114" t="str">
        <f>IFERROR(I436/cell_Total_HT,"-")</f>
        <v>-</v>
      </c>
      <c r="K436">
        <f>I436</f>
        <v>0</v>
      </c>
      <c r="L436"/>
      <c r="M436"/>
      <c r="N436"/>
      <c r="O436"/>
      <c r="P436"/>
      <c r="Q436"/>
      <c r="R436"/>
      <c r="S436"/>
      <c r="T436"/>
    </row>
    <row r="437" spans="1:20" outlineLevel="1" x14ac:dyDescent="0.3">
      <c r="A437" s="88" t="s">
        <v>741</v>
      </c>
      <c r="B437" s="10" t="s">
        <v>742</v>
      </c>
      <c r="C437" s="65" t="s">
        <v>743</v>
      </c>
      <c r="D437" s="44" t="s">
        <v>121</v>
      </c>
      <c r="E437" s="99" t="s">
        <v>22</v>
      </c>
      <c r="F437" s="90"/>
      <c r="G437" s="102">
        <f>cell_CoefGeneral</f>
        <v>1</v>
      </c>
      <c r="H437" s="90">
        <v>0</v>
      </c>
      <c r="I437" s="90">
        <f>IF(ISNUMBER(E437),ROUND(E437*H437,2),0)</f>
        <v>0</v>
      </c>
      <c r="J437" s="114" t="str">
        <f>IFERROR(I437/cell_Total_HT,"-")</f>
        <v>-</v>
      </c>
      <c r="K437">
        <f>I437</f>
        <v>0</v>
      </c>
      <c r="L437"/>
      <c r="M437"/>
      <c r="N437"/>
      <c r="O437"/>
      <c r="P437"/>
      <c r="Q437"/>
      <c r="R437"/>
      <c r="S437"/>
      <c r="T437"/>
    </row>
    <row r="438" spans="1:20" ht="28.8" outlineLevel="1" x14ac:dyDescent="0.3">
      <c r="A438" s="88" t="s">
        <v>744</v>
      </c>
      <c r="B438" s="10" t="s">
        <v>745</v>
      </c>
      <c r="C438" s="65" t="s">
        <v>746</v>
      </c>
      <c r="D438" s="44" t="s">
        <v>658</v>
      </c>
      <c r="E438" s="99" t="s">
        <v>22</v>
      </c>
      <c r="F438" s="90"/>
      <c r="G438" s="102">
        <f>cell_CoefGeneral</f>
        <v>1</v>
      </c>
      <c r="H438" s="90">
        <v>0</v>
      </c>
      <c r="I438" s="90">
        <f>IF(ISNUMBER(E438),ROUND(E438*H438,2),0)</f>
        <v>0</v>
      </c>
      <c r="J438" s="114" t="str">
        <f>IFERROR(I438/cell_Total_HT,"-")</f>
        <v>-</v>
      </c>
      <c r="K438">
        <f>I438</f>
        <v>0</v>
      </c>
      <c r="L438"/>
      <c r="M438"/>
      <c r="N438"/>
      <c r="O438"/>
      <c r="P438"/>
      <c r="Q438"/>
      <c r="R438"/>
      <c r="S438"/>
      <c r="T438"/>
    </row>
    <row r="439" spans="1:20" outlineLevel="1" x14ac:dyDescent="0.3">
      <c r="A439" s="88" t="s">
        <v>747</v>
      </c>
      <c r="B439" s="10" t="s">
        <v>748</v>
      </c>
      <c r="C439" s="65" t="s">
        <v>749</v>
      </c>
      <c r="D439" s="44" t="s">
        <v>658</v>
      </c>
      <c r="E439" s="99" t="s">
        <v>22</v>
      </c>
      <c r="F439" s="90"/>
      <c r="G439" s="102">
        <f>cell_CoefGeneral</f>
        <v>1</v>
      </c>
      <c r="H439" s="90">
        <v>0</v>
      </c>
      <c r="I439" s="90">
        <f>IF(ISNUMBER(E439),ROUND(E439*H439,2),0)</f>
        <v>0</v>
      </c>
      <c r="J439" s="114" t="str">
        <f>IFERROR(I439/cell_Total_HT,"-")</f>
        <v>-</v>
      </c>
      <c r="K439">
        <f>I439</f>
        <v>0</v>
      </c>
      <c r="L439"/>
      <c r="M439"/>
      <c r="N439"/>
      <c r="O439"/>
      <c r="P439"/>
      <c r="Q439"/>
      <c r="R439"/>
      <c r="S439"/>
      <c r="T439"/>
    </row>
    <row r="440" spans="1:20" outlineLevel="1" x14ac:dyDescent="0.3">
      <c r="A440" s="88" t="s">
        <v>750</v>
      </c>
      <c r="B440" s="10" t="s">
        <v>751</v>
      </c>
      <c r="C440" s="65" t="s">
        <v>752</v>
      </c>
      <c r="D440" s="44" t="s">
        <v>80</v>
      </c>
      <c r="E440" s="99" t="s">
        <v>22</v>
      </c>
      <c r="F440" s="90"/>
      <c r="G440" s="102">
        <f>cell_CoefGeneral</f>
        <v>1</v>
      </c>
      <c r="H440" s="90">
        <v>0</v>
      </c>
      <c r="I440" s="90">
        <f>IF(ISNUMBER(E440),ROUND(E440*H440,2),0)</f>
        <v>0</v>
      </c>
      <c r="J440" s="114" t="str">
        <f>IFERROR(I440/cell_Total_HT,"-")</f>
        <v>-</v>
      </c>
      <c r="K440">
        <f>I440</f>
        <v>0</v>
      </c>
      <c r="L440"/>
      <c r="M440"/>
      <c r="N440"/>
      <c r="O440"/>
      <c r="P440"/>
      <c r="Q440"/>
      <c r="R440"/>
      <c r="S440"/>
      <c r="T440"/>
    </row>
    <row r="441" spans="1:20" outlineLevel="1" x14ac:dyDescent="0.3">
      <c r="A441" s="88" t="s">
        <v>753</v>
      </c>
      <c r="B441" s="10" t="s">
        <v>754</v>
      </c>
      <c r="C441" s="65" t="s">
        <v>755</v>
      </c>
      <c r="D441" s="44" t="s">
        <v>167</v>
      </c>
      <c r="E441" s="99" t="s">
        <v>22</v>
      </c>
      <c r="F441" s="90"/>
      <c r="G441" s="102">
        <f>cell_CoefGeneral</f>
        <v>1</v>
      </c>
      <c r="H441" s="90">
        <v>0</v>
      </c>
      <c r="I441" s="90">
        <f>IF(ISNUMBER(E441),ROUND(E441*H441,2),0)</f>
        <v>0</v>
      </c>
      <c r="J441" s="114" t="str">
        <f>IFERROR(I441/cell_Total_HT,"-")</f>
        <v>-</v>
      </c>
      <c r="K441">
        <f>I441</f>
        <v>0</v>
      </c>
      <c r="L441"/>
      <c r="M441"/>
      <c r="N441"/>
      <c r="O441"/>
      <c r="P441"/>
      <c r="Q441"/>
      <c r="R441"/>
      <c r="S441"/>
      <c r="T441"/>
    </row>
    <row r="442" spans="1:20" ht="28.8" outlineLevel="1" x14ac:dyDescent="0.3">
      <c r="A442" s="88" t="s">
        <v>756</v>
      </c>
      <c r="B442" s="10" t="s">
        <v>757</v>
      </c>
      <c r="C442" s="65" t="s">
        <v>758</v>
      </c>
      <c r="D442" s="44" t="s">
        <v>167</v>
      </c>
      <c r="E442" s="99" t="s">
        <v>22</v>
      </c>
      <c r="F442" s="90"/>
      <c r="G442" s="102">
        <f>cell_CoefGeneral</f>
        <v>1</v>
      </c>
      <c r="H442" s="90">
        <v>0</v>
      </c>
      <c r="I442" s="90">
        <f>IF(ISNUMBER(E442),ROUND(E442*H442,2),0)</f>
        <v>0</v>
      </c>
      <c r="J442" s="114" t="str">
        <f>IFERROR(I442/cell_Total_HT,"-")</f>
        <v>-</v>
      </c>
      <c r="K442">
        <f>I442</f>
        <v>0</v>
      </c>
      <c r="L442"/>
      <c r="M442"/>
      <c r="N442"/>
      <c r="O442"/>
      <c r="P442"/>
      <c r="Q442"/>
      <c r="R442"/>
      <c r="S442"/>
      <c r="T442"/>
    </row>
    <row r="443" spans="1:20" outlineLevel="1" x14ac:dyDescent="0.3">
      <c r="A443" s="88" t="s">
        <v>759</v>
      </c>
      <c r="B443" s="10" t="s">
        <v>760</v>
      </c>
      <c r="C443" s="65" t="s">
        <v>761</v>
      </c>
      <c r="D443" s="44" t="s">
        <v>167</v>
      </c>
      <c r="E443" s="99" t="s">
        <v>22</v>
      </c>
      <c r="F443" s="90"/>
      <c r="G443" s="102">
        <f>cell_CoefGeneral</f>
        <v>1</v>
      </c>
      <c r="H443" s="90">
        <v>0</v>
      </c>
      <c r="I443" s="90">
        <f>IF(ISNUMBER(E443),ROUND(E443*H443,2),0)</f>
        <v>0</v>
      </c>
      <c r="J443" s="114" t="str">
        <f>IFERROR(I443/cell_Total_HT,"-")</f>
        <v>-</v>
      </c>
      <c r="K443">
        <f>I443</f>
        <v>0</v>
      </c>
      <c r="L443"/>
      <c r="M443"/>
      <c r="N443"/>
      <c r="O443"/>
      <c r="P443"/>
      <c r="Q443"/>
      <c r="R443"/>
      <c r="S443"/>
      <c r="T443"/>
    </row>
    <row r="444" spans="1:20" outlineLevel="1" x14ac:dyDescent="0.3">
      <c r="A444" s="88" t="s">
        <v>762</v>
      </c>
      <c r="B444" s="10" t="s">
        <v>763</v>
      </c>
      <c r="C444" s="65" t="s">
        <v>764</v>
      </c>
      <c r="D444" s="44" t="s">
        <v>167</v>
      </c>
      <c r="E444" s="99" t="s">
        <v>22</v>
      </c>
      <c r="F444" s="90"/>
      <c r="G444" s="102">
        <f>cell_CoefGeneral</f>
        <v>1</v>
      </c>
      <c r="H444" s="90">
        <v>0</v>
      </c>
      <c r="I444" s="90">
        <f>IF(ISNUMBER(E444),ROUND(E444*H444,2),0)</f>
        <v>0</v>
      </c>
      <c r="J444" s="114" t="str">
        <f>IFERROR(I444/cell_Total_HT,"-")</f>
        <v>-</v>
      </c>
      <c r="K444">
        <f>I444</f>
        <v>0</v>
      </c>
      <c r="L444"/>
      <c r="M444"/>
      <c r="N444"/>
      <c r="O444"/>
      <c r="P444"/>
      <c r="Q444"/>
      <c r="R444"/>
      <c r="S444"/>
      <c r="T444"/>
    </row>
    <row r="445" spans="1:20" outlineLevel="1" x14ac:dyDescent="0.3">
      <c r="A445" s="88" t="s">
        <v>765</v>
      </c>
      <c r="B445" s="10" t="s">
        <v>766</v>
      </c>
      <c r="C445" s="65" t="s">
        <v>767</v>
      </c>
      <c r="D445" s="44" t="s">
        <v>167</v>
      </c>
      <c r="E445" s="99" t="s">
        <v>22</v>
      </c>
      <c r="F445" s="90"/>
      <c r="G445" s="102">
        <f>cell_CoefGeneral</f>
        <v>1</v>
      </c>
      <c r="H445" s="90">
        <v>0</v>
      </c>
      <c r="I445" s="90">
        <f>IF(ISNUMBER(E445),ROUND(E445*H445,2),0)</f>
        <v>0</v>
      </c>
      <c r="J445" s="114" t="str">
        <f>IFERROR(I445/cell_Total_HT,"-")</f>
        <v>-</v>
      </c>
      <c r="K445">
        <f>I445</f>
        <v>0</v>
      </c>
      <c r="L445"/>
      <c r="M445"/>
      <c r="N445"/>
      <c r="O445"/>
      <c r="P445"/>
      <c r="Q445"/>
      <c r="R445"/>
      <c r="S445"/>
      <c r="T445"/>
    </row>
    <row r="446" spans="1:20" outlineLevel="1" x14ac:dyDescent="0.3">
      <c r="A446" s="88" t="s">
        <v>768</v>
      </c>
      <c r="B446" s="10" t="s">
        <v>769</v>
      </c>
      <c r="C446" s="65" t="s">
        <v>770</v>
      </c>
      <c r="D446" s="44" t="s">
        <v>167</v>
      </c>
      <c r="E446" s="99" t="s">
        <v>22</v>
      </c>
      <c r="F446" s="90"/>
      <c r="G446" s="102">
        <f>cell_CoefGeneral</f>
        <v>1</v>
      </c>
      <c r="H446" s="90">
        <v>0</v>
      </c>
      <c r="I446" s="90">
        <f>IF(ISNUMBER(E446),ROUND(E446*H446,2),0)</f>
        <v>0</v>
      </c>
      <c r="J446" s="114" t="str">
        <f>IFERROR(I446/cell_Total_HT,"-")</f>
        <v>-</v>
      </c>
      <c r="K446">
        <f>I446</f>
        <v>0</v>
      </c>
      <c r="L446"/>
      <c r="M446"/>
      <c r="N446"/>
      <c r="O446"/>
      <c r="P446"/>
      <c r="Q446"/>
      <c r="R446"/>
      <c r="S446"/>
      <c r="T446"/>
    </row>
    <row r="447" spans="1:20" outlineLevel="1" x14ac:dyDescent="0.3">
      <c r="A447" s="88" t="s">
        <v>771</v>
      </c>
      <c r="B447" s="10" t="s">
        <v>772</v>
      </c>
      <c r="C447" s="65" t="s">
        <v>773</v>
      </c>
      <c r="D447" s="44" t="s">
        <v>167</v>
      </c>
      <c r="E447" s="99" t="s">
        <v>22</v>
      </c>
      <c r="F447" s="90"/>
      <c r="G447" s="102">
        <f>cell_CoefGeneral</f>
        <v>1</v>
      </c>
      <c r="H447" s="90">
        <v>0</v>
      </c>
      <c r="I447" s="90">
        <f>IF(ISNUMBER(E447),ROUND(E447*H447,2),0)</f>
        <v>0</v>
      </c>
      <c r="J447" s="114" t="str">
        <f>IFERROR(I447/cell_Total_HT,"-")</f>
        <v>-</v>
      </c>
      <c r="K447">
        <f>I447</f>
        <v>0</v>
      </c>
      <c r="L447"/>
      <c r="M447"/>
      <c r="N447"/>
      <c r="O447"/>
      <c r="P447"/>
      <c r="Q447"/>
      <c r="R447"/>
      <c r="S447"/>
      <c r="T447"/>
    </row>
    <row r="448" spans="1:20" outlineLevel="1" x14ac:dyDescent="0.3">
      <c r="A448" s="88" t="s">
        <v>774</v>
      </c>
      <c r="B448" s="10" t="s">
        <v>775</v>
      </c>
      <c r="C448" s="65" t="s">
        <v>776</v>
      </c>
      <c r="D448" s="44" t="s">
        <v>125</v>
      </c>
      <c r="E448" s="99" t="s">
        <v>22</v>
      </c>
      <c r="F448" s="90"/>
      <c r="G448" s="102">
        <f>cell_CoefGeneral</f>
        <v>1</v>
      </c>
      <c r="H448" s="90">
        <v>0</v>
      </c>
      <c r="I448" s="90">
        <f>IF(ISNUMBER(E448),ROUND(E448*H448,2),0)</f>
        <v>0</v>
      </c>
      <c r="J448" s="114" t="str">
        <f>IFERROR(I448/cell_Total_HT,"-")</f>
        <v>-</v>
      </c>
      <c r="K448">
        <f>I448</f>
        <v>0</v>
      </c>
      <c r="L448"/>
      <c r="M448"/>
      <c r="N448"/>
      <c r="O448"/>
      <c r="P448"/>
      <c r="Q448"/>
      <c r="R448"/>
      <c r="S448"/>
      <c r="T448"/>
    </row>
    <row r="449" spans="1:20" outlineLevel="1" x14ac:dyDescent="0.3">
      <c r="A449" s="88" t="s">
        <v>777</v>
      </c>
      <c r="B449" s="10" t="s">
        <v>778</v>
      </c>
      <c r="C449" s="65" t="s">
        <v>779</v>
      </c>
      <c r="D449" s="44" t="s">
        <v>125</v>
      </c>
      <c r="E449" s="99" t="s">
        <v>22</v>
      </c>
      <c r="F449" s="90"/>
      <c r="G449" s="102">
        <f>cell_CoefGeneral</f>
        <v>1</v>
      </c>
      <c r="H449" s="90">
        <v>0</v>
      </c>
      <c r="I449" s="90">
        <f>IF(ISNUMBER(E449),ROUND(E449*H449,2),0)</f>
        <v>0</v>
      </c>
      <c r="J449" s="114" t="str">
        <f>IFERROR(I449/cell_Total_HT,"-")</f>
        <v>-</v>
      </c>
      <c r="K449">
        <f>I449</f>
        <v>0</v>
      </c>
      <c r="L449"/>
      <c r="M449"/>
      <c r="N449"/>
      <c r="O449"/>
      <c r="P449"/>
      <c r="Q449"/>
      <c r="R449"/>
      <c r="S449"/>
      <c r="T449"/>
    </row>
    <row r="450" spans="1:20" outlineLevel="1" x14ac:dyDescent="0.3">
      <c r="A450" s="88" t="s">
        <v>780</v>
      </c>
      <c r="B450" s="10" t="s">
        <v>781</v>
      </c>
      <c r="C450" s="65" t="s">
        <v>782</v>
      </c>
      <c r="D450" s="44" t="s">
        <v>125</v>
      </c>
      <c r="E450" s="99" t="s">
        <v>22</v>
      </c>
      <c r="F450" s="90"/>
      <c r="G450" s="102">
        <f>cell_CoefGeneral</f>
        <v>1</v>
      </c>
      <c r="H450" s="90">
        <v>0</v>
      </c>
      <c r="I450" s="90">
        <f>IF(ISNUMBER(E450),ROUND(E450*H450,2),0)</f>
        <v>0</v>
      </c>
      <c r="J450" s="114" t="str">
        <f>IFERROR(I450/cell_Total_HT,"-")</f>
        <v>-</v>
      </c>
      <c r="K450">
        <f>I450</f>
        <v>0</v>
      </c>
      <c r="L450"/>
      <c r="M450"/>
      <c r="N450"/>
      <c r="O450"/>
      <c r="P450"/>
      <c r="Q450"/>
      <c r="R450"/>
      <c r="S450"/>
      <c r="T450"/>
    </row>
    <row r="451" spans="1:20" outlineLevel="1" x14ac:dyDescent="0.3">
      <c r="A451" s="88" t="s">
        <v>783</v>
      </c>
      <c r="B451" s="10" t="s">
        <v>784</v>
      </c>
      <c r="C451" s="65" t="s">
        <v>785</v>
      </c>
      <c r="D451" s="44" t="s">
        <v>125</v>
      </c>
      <c r="E451" s="99" t="s">
        <v>22</v>
      </c>
      <c r="F451" s="90"/>
      <c r="G451" s="102">
        <f>cell_CoefGeneral</f>
        <v>1</v>
      </c>
      <c r="H451" s="90">
        <v>0</v>
      </c>
      <c r="I451" s="90">
        <f>IF(ISNUMBER(E451),ROUND(E451*H451,2),0)</f>
        <v>0</v>
      </c>
      <c r="J451" s="114" t="str">
        <f>IFERROR(I451/cell_Total_HT,"-")</f>
        <v>-</v>
      </c>
      <c r="K451">
        <f>I451</f>
        <v>0</v>
      </c>
      <c r="L451"/>
      <c r="M451"/>
      <c r="N451"/>
      <c r="O451"/>
      <c r="P451"/>
      <c r="Q451"/>
      <c r="R451"/>
      <c r="S451"/>
      <c r="T451"/>
    </row>
    <row r="452" spans="1:20" outlineLevel="1" x14ac:dyDescent="0.3">
      <c r="A452" s="88" t="s">
        <v>786</v>
      </c>
      <c r="B452" s="10" t="s">
        <v>787</v>
      </c>
      <c r="C452" s="65" t="s">
        <v>788</v>
      </c>
      <c r="D452" s="44" t="s">
        <v>125</v>
      </c>
      <c r="E452" s="99" t="s">
        <v>22</v>
      </c>
      <c r="F452" s="90"/>
      <c r="G452" s="102">
        <f>cell_CoefGeneral</f>
        <v>1</v>
      </c>
      <c r="H452" s="90">
        <v>0</v>
      </c>
      <c r="I452" s="90">
        <f>IF(ISNUMBER(E452),ROUND(E452*H452,2),0)</f>
        <v>0</v>
      </c>
      <c r="J452" s="114" t="str">
        <f>IFERROR(I452/cell_Total_HT,"-")</f>
        <v>-</v>
      </c>
      <c r="K452">
        <f>I452</f>
        <v>0</v>
      </c>
      <c r="L452"/>
      <c r="M452"/>
      <c r="N452"/>
      <c r="O452"/>
      <c r="P452"/>
      <c r="Q452"/>
      <c r="R452"/>
      <c r="S452"/>
      <c r="T452"/>
    </row>
    <row r="453" spans="1:20" outlineLevel="1" x14ac:dyDescent="0.3">
      <c r="A453" s="88" t="s">
        <v>789</v>
      </c>
      <c r="B453" s="10" t="s">
        <v>790</v>
      </c>
      <c r="C453" s="65" t="s">
        <v>791</v>
      </c>
      <c r="D453" s="44" t="s">
        <v>665</v>
      </c>
      <c r="E453" s="99" t="s">
        <v>22</v>
      </c>
      <c r="F453" s="90"/>
      <c r="G453" s="102">
        <f>cell_CoefGeneral</f>
        <v>1</v>
      </c>
      <c r="H453" s="90">
        <v>0</v>
      </c>
      <c r="I453" s="90">
        <f>IF(ISNUMBER(E453),ROUND(E453*H453,2),0)</f>
        <v>0</v>
      </c>
      <c r="J453" s="114" t="str">
        <f>IFERROR(I453/cell_Total_HT,"-")</f>
        <v>-</v>
      </c>
      <c r="K453">
        <f>I453</f>
        <v>0</v>
      </c>
      <c r="L453"/>
      <c r="M453"/>
      <c r="N453"/>
      <c r="O453"/>
      <c r="P453"/>
      <c r="Q453"/>
      <c r="R453"/>
      <c r="S453"/>
      <c r="T453"/>
    </row>
    <row r="454" spans="1:20" outlineLevel="1" x14ac:dyDescent="0.3">
      <c r="A454" s="88" t="s">
        <v>792</v>
      </c>
      <c r="B454" s="10" t="s">
        <v>793</v>
      </c>
      <c r="C454" s="65" t="s">
        <v>794</v>
      </c>
      <c r="D454" s="44" t="s">
        <v>167</v>
      </c>
      <c r="E454" s="99" t="s">
        <v>22</v>
      </c>
      <c r="F454" s="90"/>
      <c r="G454" s="102">
        <f>cell_CoefGeneral</f>
        <v>1</v>
      </c>
      <c r="H454" s="90">
        <v>0</v>
      </c>
      <c r="I454" s="90">
        <f>IF(ISNUMBER(E454),ROUND(E454*H454,2),0)</f>
        <v>0</v>
      </c>
      <c r="J454" s="114" t="str">
        <f>IFERROR(I454/cell_Total_HT,"-")</f>
        <v>-</v>
      </c>
      <c r="K454">
        <f>I454</f>
        <v>0</v>
      </c>
      <c r="L454"/>
      <c r="M454"/>
      <c r="N454"/>
      <c r="O454"/>
      <c r="P454"/>
      <c r="Q454"/>
      <c r="R454"/>
      <c r="S454"/>
      <c r="T454"/>
    </row>
    <row r="455" spans="1:20" outlineLevel="1" x14ac:dyDescent="0.3">
      <c r="A455" s="88" t="s">
        <v>795</v>
      </c>
      <c r="B455" s="10" t="s">
        <v>796</v>
      </c>
      <c r="C455" s="65" t="s">
        <v>797</v>
      </c>
      <c r="D455" s="44" t="s">
        <v>167</v>
      </c>
      <c r="E455" s="99" t="s">
        <v>22</v>
      </c>
      <c r="F455" s="90"/>
      <c r="G455" s="102">
        <f>cell_CoefGeneral</f>
        <v>1</v>
      </c>
      <c r="H455" s="90">
        <v>0</v>
      </c>
      <c r="I455" s="90">
        <f>IF(ISNUMBER(E455),ROUND(E455*H455,2),0)</f>
        <v>0</v>
      </c>
      <c r="J455" s="114" t="str">
        <f>IFERROR(I455/cell_Total_HT,"-")</f>
        <v>-</v>
      </c>
      <c r="K455">
        <f>I455</f>
        <v>0</v>
      </c>
      <c r="L455"/>
      <c r="M455"/>
      <c r="N455"/>
      <c r="O455"/>
      <c r="P455"/>
      <c r="Q455"/>
      <c r="R455"/>
      <c r="S455"/>
      <c r="T455"/>
    </row>
    <row r="456" spans="1:20" outlineLevel="1" x14ac:dyDescent="0.3">
      <c r="A456" s="88" t="s">
        <v>798</v>
      </c>
      <c r="B456" s="10" t="s">
        <v>799</v>
      </c>
      <c r="C456" s="65" t="s">
        <v>800</v>
      </c>
      <c r="D456" s="44" t="s">
        <v>167</v>
      </c>
      <c r="E456" s="99" t="s">
        <v>22</v>
      </c>
      <c r="F456" s="90"/>
      <c r="G456" s="102">
        <f>cell_CoefGeneral</f>
        <v>1</v>
      </c>
      <c r="H456" s="90">
        <v>0</v>
      </c>
      <c r="I456" s="90">
        <f>IF(ISNUMBER(E456),ROUND(E456*H456,2),0)</f>
        <v>0</v>
      </c>
      <c r="J456" s="114" t="str">
        <f>IFERROR(I456/cell_Total_HT,"-")</f>
        <v>-</v>
      </c>
      <c r="K456">
        <f>I456</f>
        <v>0</v>
      </c>
      <c r="L456"/>
      <c r="M456"/>
      <c r="N456"/>
      <c r="O456"/>
      <c r="P456"/>
      <c r="Q456"/>
      <c r="R456"/>
      <c r="S456"/>
      <c r="T456"/>
    </row>
    <row r="457" spans="1:20" ht="28.8" outlineLevel="1" x14ac:dyDescent="0.3">
      <c r="A457" s="88" t="s">
        <v>801</v>
      </c>
      <c r="B457" s="10" t="s">
        <v>802</v>
      </c>
      <c r="C457" s="65" t="s">
        <v>803</v>
      </c>
      <c r="D457" s="44" t="s">
        <v>167</v>
      </c>
      <c r="E457" s="99" t="s">
        <v>22</v>
      </c>
      <c r="F457" s="90"/>
      <c r="G457" s="102">
        <f>cell_CoefGeneral</f>
        <v>1</v>
      </c>
      <c r="H457" s="90">
        <v>0</v>
      </c>
      <c r="I457" s="90">
        <f>IF(ISNUMBER(E457),ROUND(E457*H457,2),0)</f>
        <v>0</v>
      </c>
      <c r="J457" s="114" t="str">
        <f>IFERROR(I457/cell_Total_HT,"-")</f>
        <v>-</v>
      </c>
      <c r="K457">
        <f>I457</f>
        <v>0</v>
      </c>
      <c r="L457"/>
      <c r="M457"/>
      <c r="N457"/>
      <c r="O457"/>
      <c r="P457"/>
      <c r="Q457"/>
      <c r="R457"/>
      <c r="S457"/>
      <c r="T457"/>
    </row>
    <row r="458" spans="1:20" outlineLevel="1" x14ac:dyDescent="0.3">
      <c r="A458" s="88" t="s">
        <v>804</v>
      </c>
      <c r="B458" s="10" t="s">
        <v>805</v>
      </c>
      <c r="C458" s="65" t="s">
        <v>806</v>
      </c>
      <c r="D458" s="44" t="s">
        <v>658</v>
      </c>
      <c r="E458" s="99" t="s">
        <v>22</v>
      </c>
      <c r="F458" s="90"/>
      <c r="G458" s="102">
        <f>cell_CoefGeneral</f>
        <v>1</v>
      </c>
      <c r="H458" s="90">
        <v>0</v>
      </c>
      <c r="I458" s="90">
        <f>IF(ISNUMBER(E458),ROUND(E458*H458,2),0)</f>
        <v>0</v>
      </c>
      <c r="J458" s="114" t="str">
        <f>IFERROR(I458/cell_Total_HT,"-")</f>
        <v>-</v>
      </c>
      <c r="K458">
        <f>I458</f>
        <v>0</v>
      </c>
      <c r="L458"/>
      <c r="M458"/>
      <c r="N458"/>
      <c r="O458"/>
      <c r="P458"/>
      <c r="Q458"/>
      <c r="R458"/>
      <c r="S458"/>
      <c r="T458"/>
    </row>
    <row r="459" spans="1:20" outlineLevel="1" x14ac:dyDescent="0.3">
      <c r="A459" s="88" t="s">
        <v>807</v>
      </c>
      <c r="B459" s="10" t="s">
        <v>808</v>
      </c>
      <c r="C459" s="65" t="s">
        <v>809</v>
      </c>
      <c r="D459" s="44" t="s">
        <v>149</v>
      </c>
      <c r="E459" s="99" t="s">
        <v>22</v>
      </c>
      <c r="F459" s="90"/>
      <c r="G459" s="102">
        <f>cell_CoefGeneral</f>
        <v>1</v>
      </c>
      <c r="H459" s="90">
        <v>0</v>
      </c>
      <c r="I459" s="90">
        <f>IF(ISNUMBER(E459),ROUND(E459*H459,2),0)</f>
        <v>0</v>
      </c>
      <c r="J459" s="114" t="str">
        <f>IFERROR(I459/cell_Total_HT,"-")</f>
        <v>-</v>
      </c>
      <c r="K459">
        <f>I459</f>
        <v>0</v>
      </c>
      <c r="L459"/>
      <c r="M459"/>
      <c r="N459"/>
      <c r="O459"/>
      <c r="P459"/>
      <c r="Q459"/>
      <c r="R459"/>
      <c r="S459"/>
      <c r="T459"/>
    </row>
    <row r="460" spans="1:20" outlineLevel="1" x14ac:dyDescent="0.3">
      <c r="A460" s="88" t="s">
        <v>810</v>
      </c>
      <c r="B460" s="10" t="s">
        <v>811</v>
      </c>
      <c r="C460" s="65" t="s">
        <v>812</v>
      </c>
      <c r="D460" s="44" t="s">
        <v>149</v>
      </c>
      <c r="E460" s="99" t="s">
        <v>22</v>
      </c>
      <c r="F460" s="90"/>
      <c r="G460" s="102">
        <f>cell_CoefGeneral</f>
        <v>1</v>
      </c>
      <c r="H460" s="90">
        <v>0</v>
      </c>
      <c r="I460" s="90">
        <f>IF(ISNUMBER(E460),ROUND(E460*H460,2),0)</f>
        <v>0</v>
      </c>
      <c r="J460" s="114" t="str">
        <f>IFERROR(I460/cell_Total_HT,"-")</f>
        <v>-</v>
      </c>
      <c r="K460">
        <f>I460</f>
        <v>0</v>
      </c>
      <c r="L460"/>
      <c r="M460"/>
      <c r="N460"/>
      <c r="O460"/>
      <c r="P460"/>
      <c r="Q460"/>
      <c r="R460"/>
      <c r="S460"/>
      <c r="T460"/>
    </row>
    <row r="461" spans="1:20" outlineLevel="1" x14ac:dyDescent="0.3">
      <c r="A461" s="88" t="s">
        <v>813</v>
      </c>
      <c r="B461" s="10" t="s">
        <v>814</v>
      </c>
      <c r="C461" s="65" t="s">
        <v>815</v>
      </c>
      <c r="D461" s="44" t="s">
        <v>149</v>
      </c>
      <c r="E461" s="99" t="s">
        <v>22</v>
      </c>
      <c r="F461" s="90"/>
      <c r="G461" s="102">
        <f>cell_CoefGeneral</f>
        <v>1</v>
      </c>
      <c r="H461" s="90">
        <v>0</v>
      </c>
      <c r="I461" s="90">
        <f>IF(ISNUMBER(E461),ROUND(E461*H461,2),0)</f>
        <v>0</v>
      </c>
      <c r="J461" s="114" t="str">
        <f>IFERROR(I461/cell_Total_HT,"-")</f>
        <v>-</v>
      </c>
      <c r="K461">
        <f>I461</f>
        <v>0</v>
      </c>
      <c r="L461"/>
      <c r="M461"/>
      <c r="N461"/>
      <c r="O461"/>
      <c r="P461"/>
      <c r="Q461"/>
      <c r="R461"/>
      <c r="S461"/>
      <c r="T461"/>
    </row>
    <row r="462" spans="1:20" outlineLevel="1" x14ac:dyDescent="0.3">
      <c r="A462" s="88" t="s">
        <v>816</v>
      </c>
      <c r="B462" s="10" t="s">
        <v>817</v>
      </c>
      <c r="C462" s="65" t="s">
        <v>818</v>
      </c>
      <c r="D462" s="44" t="s">
        <v>149</v>
      </c>
      <c r="E462" s="99" t="s">
        <v>22</v>
      </c>
      <c r="F462" s="90"/>
      <c r="G462" s="102">
        <f>cell_CoefGeneral</f>
        <v>1</v>
      </c>
      <c r="H462" s="90">
        <v>0</v>
      </c>
      <c r="I462" s="90">
        <f>IF(ISNUMBER(E462),ROUND(E462*H462,2),0)</f>
        <v>0</v>
      </c>
      <c r="J462" s="114" t="str">
        <f>IFERROR(I462/cell_Total_HT,"-")</f>
        <v>-</v>
      </c>
      <c r="K462">
        <f>I462</f>
        <v>0</v>
      </c>
      <c r="L462"/>
      <c r="M462"/>
      <c r="N462"/>
      <c r="O462"/>
      <c r="P462"/>
      <c r="Q462"/>
      <c r="R462"/>
      <c r="S462"/>
      <c r="T462"/>
    </row>
    <row r="463" spans="1:20" outlineLevel="1" x14ac:dyDescent="0.3">
      <c r="A463" s="88" t="s">
        <v>819</v>
      </c>
      <c r="B463" s="10" t="s">
        <v>820</v>
      </c>
      <c r="C463" s="65" t="s">
        <v>821</v>
      </c>
      <c r="D463" s="44" t="s">
        <v>149</v>
      </c>
      <c r="E463" s="99" t="s">
        <v>22</v>
      </c>
      <c r="F463" s="90"/>
      <c r="G463" s="102">
        <f>cell_CoefGeneral</f>
        <v>1</v>
      </c>
      <c r="H463" s="90">
        <v>0</v>
      </c>
      <c r="I463" s="90">
        <f>IF(ISNUMBER(E463),ROUND(E463*H463,2),0)</f>
        <v>0</v>
      </c>
      <c r="J463" s="114" t="str">
        <f>IFERROR(I463/cell_Total_HT,"-")</f>
        <v>-</v>
      </c>
      <c r="K463">
        <f>I463</f>
        <v>0</v>
      </c>
      <c r="L463"/>
      <c r="M463"/>
      <c r="N463"/>
      <c r="O463"/>
      <c r="P463"/>
      <c r="Q463"/>
      <c r="R463"/>
      <c r="S463"/>
      <c r="T463"/>
    </row>
    <row r="464" spans="1:20" outlineLevel="1" x14ac:dyDescent="0.3">
      <c r="A464" s="88" t="s">
        <v>822</v>
      </c>
      <c r="B464" s="10" t="s">
        <v>823</v>
      </c>
      <c r="C464" s="65" t="s">
        <v>824</v>
      </c>
      <c r="D464" s="44" t="s">
        <v>658</v>
      </c>
      <c r="E464" s="99" t="s">
        <v>22</v>
      </c>
      <c r="F464" s="90"/>
      <c r="G464" s="102">
        <f>cell_CoefGeneral</f>
        <v>1</v>
      </c>
      <c r="H464" s="90">
        <v>0</v>
      </c>
      <c r="I464" s="90">
        <f>IF(ISNUMBER(E464),ROUND(E464*H464,2),0)</f>
        <v>0</v>
      </c>
      <c r="J464" s="114" t="str">
        <f>IFERROR(I464/cell_Total_HT,"-")</f>
        <v>-</v>
      </c>
      <c r="K464">
        <f>I464</f>
        <v>0</v>
      </c>
      <c r="L464"/>
      <c r="M464"/>
      <c r="N464"/>
      <c r="O464"/>
      <c r="P464"/>
      <c r="Q464"/>
      <c r="R464"/>
      <c r="S464"/>
      <c r="T464"/>
    </row>
    <row r="465" spans="1:20" outlineLevel="1" x14ac:dyDescent="0.3">
      <c r="A465" s="88" t="s">
        <v>825</v>
      </c>
      <c r="B465" s="10" t="s">
        <v>826</v>
      </c>
      <c r="C465" s="65" t="s">
        <v>827</v>
      </c>
      <c r="D465" s="44" t="s">
        <v>658</v>
      </c>
      <c r="E465" s="99" t="s">
        <v>22</v>
      </c>
      <c r="F465" s="90"/>
      <c r="G465" s="102">
        <f>cell_CoefGeneral</f>
        <v>1</v>
      </c>
      <c r="H465" s="90">
        <v>0</v>
      </c>
      <c r="I465" s="90">
        <f>IF(ISNUMBER(E465),ROUND(E465*H465,2),0)</f>
        <v>0</v>
      </c>
      <c r="J465" s="114" t="str">
        <f>IFERROR(I465/cell_Total_HT,"-")</f>
        <v>-</v>
      </c>
      <c r="K465">
        <f>I465</f>
        <v>0</v>
      </c>
      <c r="L465"/>
      <c r="M465"/>
      <c r="N465"/>
      <c r="O465"/>
      <c r="P465"/>
      <c r="Q465"/>
      <c r="R465"/>
      <c r="S465"/>
      <c r="T465"/>
    </row>
    <row r="466" spans="1:20" outlineLevel="1" x14ac:dyDescent="0.3">
      <c r="A466" s="88" t="s">
        <v>828</v>
      </c>
      <c r="B466" s="10" t="s">
        <v>829</v>
      </c>
      <c r="C466" s="65" t="s">
        <v>830</v>
      </c>
      <c r="D466" s="44" t="s">
        <v>658</v>
      </c>
      <c r="E466" s="99" t="s">
        <v>22</v>
      </c>
      <c r="F466" s="90"/>
      <c r="G466" s="102">
        <f>cell_CoefGeneral</f>
        <v>1</v>
      </c>
      <c r="H466" s="90">
        <v>0</v>
      </c>
      <c r="I466" s="90">
        <f>IF(ISNUMBER(E466),ROUND(E466*H466,2),0)</f>
        <v>0</v>
      </c>
      <c r="J466" s="114" t="str">
        <f>IFERROR(I466/cell_Total_HT,"-")</f>
        <v>-</v>
      </c>
      <c r="K466">
        <f>I466</f>
        <v>0</v>
      </c>
      <c r="L466"/>
      <c r="M466"/>
      <c r="N466"/>
      <c r="O466"/>
      <c r="P466"/>
      <c r="Q466"/>
      <c r="R466"/>
      <c r="S466"/>
      <c r="T466"/>
    </row>
    <row r="467" spans="1:20" outlineLevel="1" x14ac:dyDescent="0.3">
      <c r="A467" s="88" t="s">
        <v>831</v>
      </c>
      <c r="B467" s="10" t="s">
        <v>832</v>
      </c>
      <c r="C467" s="65" t="s">
        <v>833</v>
      </c>
      <c r="D467" s="44" t="s">
        <v>658</v>
      </c>
      <c r="E467" s="99" t="s">
        <v>22</v>
      </c>
      <c r="F467" s="90"/>
      <c r="G467" s="102">
        <f>cell_CoefGeneral</f>
        <v>1</v>
      </c>
      <c r="H467" s="90">
        <v>0</v>
      </c>
      <c r="I467" s="90">
        <f>IF(ISNUMBER(E467),ROUND(E467*H467,2),0)</f>
        <v>0</v>
      </c>
      <c r="J467" s="114" t="str">
        <f>IFERROR(I467/cell_Total_HT,"-")</f>
        <v>-</v>
      </c>
      <c r="K467">
        <f>I467</f>
        <v>0</v>
      </c>
      <c r="L467"/>
      <c r="M467"/>
      <c r="N467"/>
      <c r="O467"/>
      <c r="P467"/>
      <c r="Q467"/>
      <c r="R467"/>
      <c r="S467"/>
      <c r="T467"/>
    </row>
    <row r="468" spans="1:20" outlineLevel="1" x14ac:dyDescent="0.3">
      <c r="A468" s="88" t="s">
        <v>834</v>
      </c>
      <c r="B468" s="10" t="s">
        <v>835</v>
      </c>
      <c r="C468" s="65" t="s">
        <v>836</v>
      </c>
      <c r="D468" s="44" t="s">
        <v>149</v>
      </c>
      <c r="E468" s="99" t="s">
        <v>22</v>
      </c>
      <c r="F468" s="90"/>
      <c r="G468" s="102">
        <f>cell_CoefGeneral</f>
        <v>1</v>
      </c>
      <c r="H468" s="90">
        <v>0</v>
      </c>
      <c r="I468" s="90">
        <f>IF(ISNUMBER(E468),ROUND(E468*H468,2),0)</f>
        <v>0</v>
      </c>
      <c r="J468" s="114" t="str">
        <f>IFERROR(I468/cell_Total_HT,"-")</f>
        <v>-</v>
      </c>
      <c r="K468">
        <f>I468</f>
        <v>0</v>
      </c>
      <c r="L468"/>
      <c r="M468"/>
      <c r="N468"/>
      <c r="O468"/>
      <c r="P468"/>
      <c r="Q468"/>
      <c r="R468"/>
      <c r="S468"/>
      <c r="T468"/>
    </row>
    <row r="469" spans="1:20" outlineLevel="1" x14ac:dyDescent="0.3">
      <c r="A469" s="88" t="s">
        <v>837</v>
      </c>
      <c r="B469" s="10" t="s">
        <v>838</v>
      </c>
      <c r="C469" s="65" t="s">
        <v>839</v>
      </c>
      <c r="D469" s="44" t="s">
        <v>149</v>
      </c>
      <c r="E469" s="99" t="s">
        <v>22</v>
      </c>
      <c r="F469" s="90"/>
      <c r="G469" s="102">
        <f>cell_CoefGeneral</f>
        <v>1</v>
      </c>
      <c r="H469" s="90">
        <v>0</v>
      </c>
      <c r="I469" s="90">
        <f>IF(ISNUMBER(E469),ROUND(E469*H469,2),0)</f>
        <v>0</v>
      </c>
      <c r="J469" s="114" t="str">
        <f>IFERROR(I469/cell_Total_HT,"-")</f>
        <v>-</v>
      </c>
      <c r="K469">
        <f>I469</f>
        <v>0</v>
      </c>
      <c r="L469"/>
      <c r="M469"/>
      <c r="N469"/>
      <c r="O469"/>
      <c r="P469"/>
      <c r="Q469"/>
      <c r="R469"/>
      <c r="S469"/>
      <c r="T469"/>
    </row>
    <row r="470" spans="1:20" outlineLevel="1" x14ac:dyDescent="0.3">
      <c r="A470" s="88" t="s">
        <v>840</v>
      </c>
      <c r="B470" s="10" t="s">
        <v>841</v>
      </c>
      <c r="C470" s="65" t="s">
        <v>842</v>
      </c>
      <c r="D470" s="44" t="s">
        <v>149</v>
      </c>
      <c r="E470" s="99" t="s">
        <v>22</v>
      </c>
      <c r="F470" s="90"/>
      <c r="G470" s="102">
        <f>cell_CoefGeneral</f>
        <v>1</v>
      </c>
      <c r="H470" s="90">
        <v>0</v>
      </c>
      <c r="I470" s="90">
        <f>IF(ISNUMBER(E470),ROUND(E470*H470,2),0)</f>
        <v>0</v>
      </c>
      <c r="J470" s="114" t="str">
        <f>IFERROR(I470/cell_Total_HT,"-")</f>
        <v>-</v>
      </c>
      <c r="K470">
        <f>I470</f>
        <v>0</v>
      </c>
      <c r="L470"/>
      <c r="M470"/>
      <c r="N470"/>
      <c r="O470"/>
      <c r="P470"/>
      <c r="Q470"/>
      <c r="R470"/>
      <c r="S470"/>
      <c r="T470"/>
    </row>
    <row r="471" spans="1:20" ht="28.8" outlineLevel="1" x14ac:dyDescent="0.3">
      <c r="A471" s="88" t="s">
        <v>843</v>
      </c>
      <c r="B471" s="10" t="s">
        <v>844</v>
      </c>
      <c r="C471" s="65" t="s">
        <v>845</v>
      </c>
      <c r="D471" s="44" t="s">
        <v>149</v>
      </c>
      <c r="E471" s="99" t="s">
        <v>22</v>
      </c>
      <c r="F471" s="90"/>
      <c r="G471" s="102">
        <f>cell_CoefGeneral</f>
        <v>1</v>
      </c>
      <c r="H471" s="90">
        <v>0</v>
      </c>
      <c r="I471" s="90">
        <f>IF(ISNUMBER(E471),ROUND(E471*H471,2),0)</f>
        <v>0</v>
      </c>
      <c r="J471" s="114" t="str">
        <f>IFERROR(I471/cell_Total_HT,"-")</f>
        <v>-</v>
      </c>
      <c r="K471">
        <f>I471</f>
        <v>0</v>
      </c>
      <c r="L471"/>
      <c r="M471"/>
      <c r="N471"/>
      <c r="O471"/>
      <c r="P471"/>
      <c r="Q471"/>
      <c r="R471"/>
      <c r="S471"/>
      <c r="T471"/>
    </row>
    <row r="472" spans="1:20" outlineLevel="1" x14ac:dyDescent="0.3">
      <c r="A472" s="88" t="s">
        <v>846</v>
      </c>
      <c r="B472" s="10" t="s">
        <v>847</v>
      </c>
      <c r="C472" s="65" t="s">
        <v>848</v>
      </c>
      <c r="D472" s="44" t="s">
        <v>149</v>
      </c>
      <c r="E472" s="99" t="s">
        <v>22</v>
      </c>
      <c r="F472" s="90"/>
      <c r="G472" s="102">
        <f>cell_CoefGeneral</f>
        <v>1</v>
      </c>
      <c r="H472" s="90">
        <v>0</v>
      </c>
      <c r="I472" s="90">
        <f>IF(ISNUMBER(E472),ROUND(E472*H472,2),0)</f>
        <v>0</v>
      </c>
      <c r="J472" s="114" t="str">
        <f>IFERROR(I472/cell_Total_HT,"-")</f>
        <v>-</v>
      </c>
      <c r="K472">
        <f>I472</f>
        <v>0</v>
      </c>
      <c r="L472"/>
      <c r="M472"/>
      <c r="N472"/>
      <c r="O472"/>
      <c r="P472"/>
      <c r="Q472"/>
      <c r="R472"/>
      <c r="S472"/>
      <c r="T472"/>
    </row>
    <row r="473" spans="1:20" ht="28.8" outlineLevel="1" x14ac:dyDescent="0.3">
      <c r="A473" s="88" t="s">
        <v>849</v>
      </c>
      <c r="B473" s="10" t="s">
        <v>850</v>
      </c>
      <c r="C473" s="65" t="s">
        <v>851</v>
      </c>
      <c r="D473" s="44" t="s">
        <v>149</v>
      </c>
      <c r="E473" s="99" t="s">
        <v>22</v>
      </c>
      <c r="F473" s="90"/>
      <c r="G473" s="102">
        <f>cell_CoefGeneral</f>
        <v>1</v>
      </c>
      <c r="H473" s="90">
        <v>0</v>
      </c>
      <c r="I473" s="90">
        <f>IF(ISNUMBER(E473),ROUND(E473*H473,2),0)</f>
        <v>0</v>
      </c>
      <c r="J473" s="114" t="str">
        <f>IFERROR(I473/cell_Total_HT,"-")</f>
        <v>-</v>
      </c>
      <c r="K473">
        <f>I473</f>
        <v>0</v>
      </c>
      <c r="L473"/>
      <c r="M473"/>
      <c r="N473"/>
      <c r="O473"/>
      <c r="P473"/>
      <c r="Q473"/>
      <c r="R473"/>
      <c r="S473"/>
      <c r="T473"/>
    </row>
    <row r="474" spans="1:20" outlineLevel="1" x14ac:dyDescent="0.3">
      <c r="A474" s="88" t="s">
        <v>852</v>
      </c>
      <c r="B474" s="10" t="s">
        <v>853</v>
      </c>
      <c r="C474" s="65" t="s">
        <v>854</v>
      </c>
      <c r="D474" s="44" t="s">
        <v>149</v>
      </c>
      <c r="E474" s="99" t="s">
        <v>22</v>
      </c>
      <c r="F474" s="90"/>
      <c r="G474" s="102">
        <f>cell_CoefGeneral</f>
        <v>1</v>
      </c>
      <c r="H474" s="90">
        <v>0</v>
      </c>
      <c r="I474" s="90">
        <f>IF(ISNUMBER(E474),ROUND(E474*H474,2),0)</f>
        <v>0</v>
      </c>
      <c r="J474" s="114" t="str">
        <f>IFERROR(I474/cell_Total_HT,"-")</f>
        <v>-</v>
      </c>
      <c r="K474">
        <f>I474</f>
        <v>0</v>
      </c>
      <c r="L474"/>
      <c r="M474"/>
      <c r="N474"/>
      <c r="O474"/>
      <c r="P474"/>
      <c r="Q474"/>
      <c r="R474"/>
      <c r="S474"/>
      <c r="T474"/>
    </row>
    <row r="475" spans="1:20" outlineLevel="1" x14ac:dyDescent="0.3">
      <c r="A475" s="88" t="s">
        <v>855</v>
      </c>
      <c r="B475" s="10" t="s">
        <v>856</v>
      </c>
      <c r="C475" s="65" t="s">
        <v>857</v>
      </c>
      <c r="D475" s="44" t="s">
        <v>658</v>
      </c>
      <c r="E475" s="99" t="s">
        <v>22</v>
      </c>
      <c r="F475" s="90"/>
      <c r="G475" s="102">
        <f>cell_CoefGeneral</f>
        <v>1</v>
      </c>
      <c r="H475" s="90">
        <v>0</v>
      </c>
      <c r="I475" s="90">
        <f>IF(ISNUMBER(E475),ROUND(E475*H475,2),0)</f>
        <v>0</v>
      </c>
      <c r="J475" s="114" t="str">
        <f>IFERROR(I475/cell_Total_HT,"-")</f>
        <v>-</v>
      </c>
      <c r="K475">
        <f>I475</f>
        <v>0</v>
      </c>
      <c r="L475"/>
      <c r="M475"/>
      <c r="N475"/>
      <c r="O475"/>
      <c r="P475"/>
      <c r="Q475"/>
      <c r="R475"/>
      <c r="S475"/>
      <c r="T475"/>
    </row>
    <row r="476" spans="1:20" outlineLevel="1" x14ac:dyDescent="0.3">
      <c r="A476" s="88" t="s">
        <v>858</v>
      </c>
      <c r="B476" s="10" t="s">
        <v>859</v>
      </c>
      <c r="C476" s="65" t="s">
        <v>860</v>
      </c>
      <c r="D476" s="44" t="s">
        <v>658</v>
      </c>
      <c r="E476" s="99" t="s">
        <v>22</v>
      </c>
      <c r="F476" s="90"/>
      <c r="G476" s="102">
        <f>cell_CoefGeneral</f>
        <v>1</v>
      </c>
      <c r="H476" s="90">
        <v>0</v>
      </c>
      <c r="I476" s="90">
        <f>IF(ISNUMBER(E476),ROUND(E476*H476,2),0)</f>
        <v>0</v>
      </c>
      <c r="J476" s="114" t="str">
        <f>IFERROR(I476/cell_Total_HT,"-")</f>
        <v>-</v>
      </c>
      <c r="K476">
        <f>I476</f>
        <v>0</v>
      </c>
      <c r="L476"/>
      <c r="M476"/>
      <c r="N476"/>
      <c r="O476"/>
      <c r="P476"/>
      <c r="Q476"/>
      <c r="R476"/>
      <c r="S476"/>
      <c r="T476"/>
    </row>
    <row r="477" spans="1:20" outlineLevel="1" x14ac:dyDescent="0.3">
      <c r="A477" s="88" t="s">
        <v>861</v>
      </c>
      <c r="B477" s="10" t="s">
        <v>862</v>
      </c>
      <c r="C477" s="65" t="s">
        <v>863</v>
      </c>
      <c r="D477" s="44" t="s">
        <v>658</v>
      </c>
      <c r="E477" s="99" t="s">
        <v>22</v>
      </c>
      <c r="F477" s="90"/>
      <c r="G477" s="102">
        <f>cell_CoefGeneral</f>
        <v>1</v>
      </c>
      <c r="H477" s="90">
        <v>0</v>
      </c>
      <c r="I477" s="90">
        <f>IF(ISNUMBER(E477),ROUND(E477*H477,2),0)</f>
        <v>0</v>
      </c>
      <c r="J477" s="114" t="str">
        <f>IFERROR(I477/cell_Total_HT,"-")</f>
        <v>-</v>
      </c>
      <c r="K477">
        <f>I477</f>
        <v>0</v>
      </c>
      <c r="L477"/>
      <c r="M477"/>
      <c r="N477"/>
      <c r="O477"/>
      <c r="P477"/>
      <c r="Q477"/>
      <c r="R477"/>
      <c r="S477"/>
      <c r="T477"/>
    </row>
    <row r="478" spans="1:20" outlineLevel="1" x14ac:dyDescent="0.3">
      <c r="A478" s="88" t="s">
        <v>864</v>
      </c>
      <c r="B478" s="10" t="s">
        <v>865</v>
      </c>
      <c r="C478" s="65" t="s">
        <v>866</v>
      </c>
      <c r="D478" s="44" t="s">
        <v>658</v>
      </c>
      <c r="E478" s="99" t="s">
        <v>22</v>
      </c>
      <c r="F478" s="90"/>
      <c r="G478" s="102">
        <f>cell_CoefGeneral</f>
        <v>1</v>
      </c>
      <c r="H478" s="90">
        <v>0</v>
      </c>
      <c r="I478" s="90">
        <f>IF(ISNUMBER(E478),ROUND(E478*H478,2),0)</f>
        <v>0</v>
      </c>
      <c r="J478" s="114" t="str">
        <f>IFERROR(I478/cell_Total_HT,"-")</f>
        <v>-</v>
      </c>
      <c r="K478">
        <f>I478</f>
        <v>0</v>
      </c>
      <c r="L478"/>
      <c r="M478"/>
      <c r="N478"/>
      <c r="O478"/>
      <c r="P478"/>
      <c r="Q478"/>
      <c r="R478"/>
      <c r="S478"/>
      <c r="T478"/>
    </row>
    <row r="479" spans="1:20" outlineLevel="1" x14ac:dyDescent="0.3">
      <c r="A479" s="88" t="s">
        <v>867</v>
      </c>
      <c r="B479" s="10" t="s">
        <v>868</v>
      </c>
      <c r="C479" s="65" t="s">
        <v>869</v>
      </c>
      <c r="D479" s="44" t="s">
        <v>149</v>
      </c>
      <c r="E479" s="99" t="s">
        <v>22</v>
      </c>
      <c r="F479" s="90"/>
      <c r="G479" s="102">
        <f>cell_CoefGeneral</f>
        <v>1</v>
      </c>
      <c r="H479" s="90">
        <v>0</v>
      </c>
      <c r="I479" s="90">
        <f>IF(ISNUMBER(E479),ROUND(E479*H479,2),0)</f>
        <v>0</v>
      </c>
      <c r="J479" s="114" t="str">
        <f>IFERROR(I479/cell_Total_HT,"-")</f>
        <v>-</v>
      </c>
      <c r="K479">
        <f>I479</f>
        <v>0</v>
      </c>
      <c r="L479"/>
      <c r="M479"/>
      <c r="N479"/>
      <c r="O479"/>
      <c r="P479"/>
      <c r="Q479"/>
      <c r="R479"/>
      <c r="S479"/>
      <c r="T479"/>
    </row>
    <row r="480" spans="1:20" outlineLevel="1" x14ac:dyDescent="0.3">
      <c r="A480" s="88" t="s">
        <v>870</v>
      </c>
      <c r="B480" s="10" t="s">
        <v>871</v>
      </c>
      <c r="C480" s="65" t="s">
        <v>872</v>
      </c>
      <c r="D480" s="44" t="s">
        <v>149</v>
      </c>
      <c r="E480" s="99" t="s">
        <v>22</v>
      </c>
      <c r="F480" s="90"/>
      <c r="G480" s="102">
        <f>cell_CoefGeneral</f>
        <v>1</v>
      </c>
      <c r="H480" s="90">
        <v>0</v>
      </c>
      <c r="I480" s="90">
        <f>IF(ISNUMBER(E480),ROUND(E480*H480,2),0)</f>
        <v>0</v>
      </c>
      <c r="J480" s="114" t="str">
        <f>IFERROR(I480/cell_Total_HT,"-")</f>
        <v>-</v>
      </c>
      <c r="K480">
        <f>I480</f>
        <v>0</v>
      </c>
      <c r="L480"/>
      <c r="M480"/>
      <c r="N480"/>
      <c r="O480"/>
      <c r="P480"/>
      <c r="Q480"/>
      <c r="R480"/>
      <c r="S480"/>
      <c r="T480"/>
    </row>
    <row r="481" spans="1:20" outlineLevel="1" x14ac:dyDescent="0.3">
      <c r="A481" s="88" t="s">
        <v>873</v>
      </c>
      <c r="B481" s="10" t="s">
        <v>874</v>
      </c>
      <c r="C481" s="65" t="s">
        <v>875</v>
      </c>
      <c r="D481" s="44" t="s">
        <v>658</v>
      </c>
      <c r="E481" s="99" t="s">
        <v>22</v>
      </c>
      <c r="F481" s="90"/>
      <c r="G481" s="102">
        <f>cell_CoefGeneral</f>
        <v>1</v>
      </c>
      <c r="H481" s="90">
        <v>0</v>
      </c>
      <c r="I481" s="90">
        <f>IF(ISNUMBER(E481),ROUND(E481*H481,2),0)</f>
        <v>0</v>
      </c>
      <c r="J481" s="114" t="str">
        <f>IFERROR(I481/cell_Total_HT,"-")</f>
        <v>-</v>
      </c>
      <c r="K481">
        <f>I481</f>
        <v>0</v>
      </c>
      <c r="L481"/>
      <c r="M481"/>
      <c r="N481"/>
      <c r="O481"/>
      <c r="P481"/>
      <c r="Q481"/>
      <c r="R481"/>
      <c r="S481"/>
      <c r="T481"/>
    </row>
    <row r="482" spans="1:20" outlineLevel="1" x14ac:dyDescent="0.3">
      <c r="A482" s="88" t="s">
        <v>876</v>
      </c>
      <c r="B482" s="10" t="s">
        <v>877</v>
      </c>
      <c r="C482" s="65" t="s">
        <v>878</v>
      </c>
      <c r="D482" s="44" t="s">
        <v>658</v>
      </c>
      <c r="E482" s="99" t="s">
        <v>22</v>
      </c>
      <c r="F482" s="90"/>
      <c r="G482" s="102">
        <f>cell_CoefGeneral</f>
        <v>1</v>
      </c>
      <c r="H482" s="90">
        <v>0</v>
      </c>
      <c r="I482" s="90">
        <f>IF(ISNUMBER(E482),ROUND(E482*H482,2),0)</f>
        <v>0</v>
      </c>
      <c r="J482" s="114" t="str">
        <f>IFERROR(I482/cell_Total_HT,"-")</f>
        <v>-</v>
      </c>
      <c r="K482">
        <f>I482</f>
        <v>0</v>
      </c>
      <c r="L482"/>
      <c r="M482"/>
      <c r="N482"/>
      <c r="O482"/>
      <c r="P482"/>
      <c r="Q482"/>
      <c r="R482"/>
      <c r="S482"/>
      <c r="T482"/>
    </row>
    <row r="483" spans="1:20" outlineLevel="1" x14ac:dyDescent="0.3">
      <c r="A483" s="88" t="s">
        <v>879</v>
      </c>
      <c r="B483" s="10" t="s">
        <v>880</v>
      </c>
      <c r="C483" s="65" t="s">
        <v>881</v>
      </c>
      <c r="D483" s="44" t="s">
        <v>658</v>
      </c>
      <c r="E483" s="99" t="s">
        <v>22</v>
      </c>
      <c r="F483" s="90"/>
      <c r="G483" s="102">
        <f>cell_CoefGeneral</f>
        <v>1</v>
      </c>
      <c r="H483" s="90">
        <v>0</v>
      </c>
      <c r="I483" s="90">
        <f>IF(ISNUMBER(E483),ROUND(E483*H483,2),0)</f>
        <v>0</v>
      </c>
      <c r="J483" s="114" t="str">
        <f>IFERROR(I483/cell_Total_HT,"-")</f>
        <v>-</v>
      </c>
      <c r="K483">
        <f>I483</f>
        <v>0</v>
      </c>
      <c r="L483"/>
      <c r="M483"/>
      <c r="N483"/>
      <c r="O483"/>
      <c r="P483"/>
      <c r="Q483"/>
      <c r="R483"/>
      <c r="S483"/>
      <c r="T483"/>
    </row>
    <row r="484" spans="1:20" outlineLevel="1" x14ac:dyDescent="0.3">
      <c r="A484" s="88" t="s">
        <v>882</v>
      </c>
      <c r="B484" s="10" t="s">
        <v>883</v>
      </c>
      <c r="C484" s="65" t="s">
        <v>884</v>
      </c>
      <c r="D484" s="44" t="s">
        <v>658</v>
      </c>
      <c r="E484" s="99" t="s">
        <v>22</v>
      </c>
      <c r="F484" s="90"/>
      <c r="G484" s="102">
        <f>cell_CoefGeneral</f>
        <v>1</v>
      </c>
      <c r="H484" s="90">
        <v>0</v>
      </c>
      <c r="I484" s="90">
        <f>IF(ISNUMBER(E484),ROUND(E484*H484,2),0)</f>
        <v>0</v>
      </c>
      <c r="J484" s="114" t="str">
        <f>IFERROR(I484/cell_Total_HT,"-")</f>
        <v>-</v>
      </c>
      <c r="K484">
        <f>I484</f>
        <v>0</v>
      </c>
      <c r="L484"/>
      <c r="M484"/>
      <c r="N484"/>
      <c r="O484"/>
      <c r="P484"/>
      <c r="Q484"/>
      <c r="R484"/>
      <c r="S484"/>
      <c r="T484"/>
    </row>
    <row r="485" spans="1:20" outlineLevel="1" x14ac:dyDescent="0.3">
      <c r="A485" s="88" t="s">
        <v>885</v>
      </c>
      <c r="B485" s="10" t="s">
        <v>886</v>
      </c>
      <c r="C485" s="65" t="s">
        <v>887</v>
      </c>
      <c r="D485" s="44" t="s">
        <v>658</v>
      </c>
      <c r="E485" s="99" t="s">
        <v>22</v>
      </c>
      <c r="F485" s="90"/>
      <c r="G485" s="102">
        <f>cell_CoefGeneral</f>
        <v>1</v>
      </c>
      <c r="H485" s="90">
        <v>0</v>
      </c>
      <c r="I485" s="90">
        <f>IF(ISNUMBER(E485),ROUND(E485*H485,2),0)</f>
        <v>0</v>
      </c>
      <c r="J485" s="114" t="str">
        <f>IFERROR(I485/cell_Total_HT,"-")</f>
        <v>-</v>
      </c>
      <c r="K485">
        <f>I485</f>
        <v>0</v>
      </c>
      <c r="L485"/>
      <c r="M485"/>
      <c r="N485"/>
      <c r="O485"/>
      <c r="P485"/>
      <c r="Q485"/>
      <c r="R485"/>
      <c r="S485"/>
      <c r="T485"/>
    </row>
    <row r="486" spans="1:20" outlineLevel="1" x14ac:dyDescent="0.3">
      <c r="A486" s="88" t="s">
        <v>888</v>
      </c>
      <c r="B486" s="10" t="s">
        <v>889</v>
      </c>
      <c r="C486" s="65" t="s">
        <v>881</v>
      </c>
      <c r="D486" s="44" t="s">
        <v>658</v>
      </c>
      <c r="E486" s="99" t="s">
        <v>22</v>
      </c>
      <c r="F486" s="90"/>
      <c r="G486" s="102">
        <f>cell_CoefGeneral</f>
        <v>1</v>
      </c>
      <c r="H486" s="90">
        <v>0</v>
      </c>
      <c r="I486" s="90">
        <f>IF(ISNUMBER(E486),ROUND(E486*H486,2),0)</f>
        <v>0</v>
      </c>
      <c r="J486" s="114" t="str">
        <f>IFERROR(I486/cell_Total_HT,"-")</f>
        <v>-</v>
      </c>
      <c r="K486">
        <f>I486</f>
        <v>0</v>
      </c>
      <c r="L486"/>
      <c r="M486"/>
      <c r="N486"/>
      <c r="O486"/>
      <c r="P486"/>
      <c r="Q486"/>
      <c r="R486"/>
      <c r="S486"/>
      <c r="T486"/>
    </row>
    <row r="487" spans="1:20" outlineLevel="1" x14ac:dyDescent="0.3">
      <c r="A487" s="88" t="s">
        <v>890</v>
      </c>
      <c r="B487" s="10" t="s">
        <v>891</v>
      </c>
      <c r="C487" s="65" t="s">
        <v>884</v>
      </c>
      <c r="D487" s="44" t="s">
        <v>658</v>
      </c>
      <c r="E487" s="99" t="s">
        <v>22</v>
      </c>
      <c r="F487" s="90"/>
      <c r="G487" s="102">
        <f>cell_CoefGeneral</f>
        <v>1</v>
      </c>
      <c r="H487" s="90">
        <v>0</v>
      </c>
      <c r="I487" s="90">
        <f>IF(ISNUMBER(E487),ROUND(E487*H487,2),0)</f>
        <v>0</v>
      </c>
      <c r="J487" s="114" t="str">
        <f>IFERROR(I487/cell_Total_HT,"-")</f>
        <v>-</v>
      </c>
      <c r="K487">
        <f>I487</f>
        <v>0</v>
      </c>
      <c r="L487"/>
      <c r="M487"/>
      <c r="N487"/>
      <c r="O487"/>
      <c r="P487"/>
      <c r="Q487"/>
      <c r="R487"/>
      <c r="S487"/>
      <c r="T487"/>
    </row>
    <row r="488" spans="1:20" outlineLevel="1" x14ac:dyDescent="0.3">
      <c r="A488" s="88" t="s">
        <v>892</v>
      </c>
      <c r="B488" s="10" t="s">
        <v>893</v>
      </c>
      <c r="C488" s="65" t="s">
        <v>894</v>
      </c>
      <c r="D488" s="44" t="s">
        <v>658</v>
      </c>
      <c r="E488" s="99" t="s">
        <v>22</v>
      </c>
      <c r="F488" s="90"/>
      <c r="G488" s="102">
        <f>cell_CoefGeneral</f>
        <v>1</v>
      </c>
      <c r="H488" s="90">
        <v>0</v>
      </c>
      <c r="I488" s="90">
        <f>IF(ISNUMBER(E488),ROUND(E488*H488,2),0)</f>
        <v>0</v>
      </c>
      <c r="J488" s="114" t="str">
        <f>IFERROR(I488/cell_Total_HT,"-")</f>
        <v>-</v>
      </c>
      <c r="K488">
        <f>I488</f>
        <v>0</v>
      </c>
      <c r="L488"/>
      <c r="M488"/>
      <c r="N488"/>
      <c r="O488"/>
      <c r="P488"/>
      <c r="Q488"/>
      <c r="R488"/>
      <c r="S488"/>
      <c r="T488"/>
    </row>
    <row r="489" spans="1:20" outlineLevel="1" x14ac:dyDescent="0.3">
      <c r="A489" s="88" t="s">
        <v>895</v>
      </c>
      <c r="B489" s="10" t="s">
        <v>896</v>
      </c>
      <c r="C489" s="65" t="s">
        <v>897</v>
      </c>
      <c r="D489" s="44" t="s">
        <v>658</v>
      </c>
      <c r="E489" s="99" t="s">
        <v>22</v>
      </c>
      <c r="F489" s="90"/>
      <c r="G489" s="102">
        <f>cell_CoefGeneral</f>
        <v>1</v>
      </c>
      <c r="H489" s="90">
        <v>0</v>
      </c>
      <c r="I489" s="90">
        <f>IF(ISNUMBER(E489),ROUND(E489*H489,2),0)</f>
        <v>0</v>
      </c>
      <c r="J489" s="114" t="str">
        <f>IFERROR(I489/cell_Total_HT,"-")</f>
        <v>-</v>
      </c>
      <c r="K489">
        <f>I489</f>
        <v>0</v>
      </c>
      <c r="L489"/>
      <c r="M489"/>
      <c r="N489"/>
      <c r="O489"/>
      <c r="P489"/>
      <c r="Q489"/>
      <c r="R489"/>
      <c r="S489"/>
      <c r="T489"/>
    </row>
    <row r="490" spans="1:20" outlineLevel="1" x14ac:dyDescent="0.3">
      <c r="A490" s="88" t="s">
        <v>898</v>
      </c>
      <c r="B490" s="10" t="s">
        <v>899</v>
      </c>
      <c r="C490" s="65" t="s">
        <v>900</v>
      </c>
      <c r="D490" s="44" t="s">
        <v>149</v>
      </c>
      <c r="E490" s="99" t="s">
        <v>22</v>
      </c>
      <c r="F490" s="90"/>
      <c r="G490" s="102">
        <f>cell_CoefGeneral</f>
        <v>1</v>
      </c>
      <c r="H490" s="90">
        <v>0</v>
      </c>
      <c r="I490" s="90">
        <f>IF(ISNUMBER(E490),ROUND(E490*H490,2),0)</f>
        <v>0</v>
      </c>
      <c r="J490" s="114" t="str">
        <f>IFERROR(I490/cell_Total_HT,"-")</f>
        <v>-</v>
      </c>
      <c r="K490">
        <f>I490</f>
        <v>0</v>
      </c>
      <c r="L490"/>
      <c r="M490"/>
      <c r="N490"/>
      <c r="O490"/>
      <c r="P490"/>
      <c r="Q490"/>
      <c r="R490"/>
      <c r="S490"/>
      <c r="T490"/>
    </row>
    <row r="491" spans="1:20" outlineLevel="1" x14ac:dyDescent="0.3">
      <c r="A491" s="88" t="s">
        <v>901</v>
      </c>
      <c r="B491" s="10" t="s">
        <v>902</v>
      </c>
      <c r="C491" s="65" t="s">
        <v>903</v>
      </c>
      <c r="D491" s="44" t="s">
        <v>121</v>
      </c>
      <c r="E491" s="99" t="s">
        <v>22</v>
      </c>
      <c r="F491" s="90"/>
      <c r="G491" s="102">
        <f>cell_CoefGeneral</f>
        <v>1</v>
      </c>
      <c r="H491" s="90">
        <v>0</v>
      </c>
      <c r="I491" s="90">
        <f>IF(ISNUMBER(E491),ROUND(E491*H491,2),0)</f>
        <v>0</v>
      </c>
      <c r="J491" s="114" t="str">
        <f>IFERROR(I491/cell_Total_HT,"-")</f>
        <v>-</v>
      </c>
      <c r="K491">
        <f>I491</f>
        <v>0</v>
      </c>
      <c r="L491"/>
      <c r="M491"/>
      <c r="N491"/>
      <c r="O491"/>
      <c r="P491"/>
      <c r="Q491"/>
      <c r="R491"/>
      <c r="S491"/>
      <c r="T491"/>
    </row>
    <row r="492" spans="1:20" outlineLevel="1" x14ac:dyDescent="0.3">
      <c r="A492" s="88" t="s">
        <v>904</v>
      </c>
      <c r="B492" s="10" t="s">
        <v>905</v>
      </c>
      <c r="C492" s="65" t="s">
        <v>906</v>
      </c>
      <c r="D492" s="44" t="s">
        <v>149</v>
      </c>
      <c r="E492" s="99" t="s">
        <v>22</v>
      </c>
      <c r="F492" s="90"/>
      <c r="G492" s="102">
        <f>cell_CoefGeneral</f>
        <v>1</v>
      </c>
      <c r="H492" s="90">
        <v>0</v>
      </c>
      <c r="I492" s="90">
        <f>IF(ISNUMBER(E492),ROUND(E492*H492,2),0)</f>
        <v>0</v>
      </c>
      <c r="J492" s="114" t="str">
        <f>IFERROR(I492/cell_Total_HT,"-")</f>
        <v>-</v>
      </c>
      <c r="K492">
        <f>I492</f>
        <v>0</v>
      </c>
      <c r="L492"/>
      <c r="M492"/>
      <c r="N492"/>
      <c r="O492"/>
      <c r="P492"/>
      <c r="Q492"/>
      <c r="R492"/>
      <c r="S492"/>
      <c r="T492"/>
    </row>
    <row r="493" spans="1:20" outlineLevel="1" x14ac:dyDescent="0.3">
      <c r="A493" s="88" t="s">
        <v>907</v>
      </c>
      <c r="B493" s="10" t="s">
        <v>908</v>
      </c>
      <c r="C493" s="65" t="s">
        <v>909</v>
      </c>
      <c r="D493" s="44" t="s">
        <v>658</v>
      </c>
      <c r="E493" s="99" t="s">
        <v>22</v>
      </c>
      <c r="F493" s="90"/>
      <c r="G493" s="102">
        <f>cell_CoefGeneral</f>
        <v>1</v>
      </c>
      <c r="H493" s="90">
        <v>0</v>
      </c>
      <c r="I493" s="90">
        <f>IF(ISNUMBER(E493),ROUND(E493*H493,2),0)</f>
        <v>0</v>
      </c>
      <c r="J493" s="114" t="str">
        <f>IFERROR(I493/cell_Total_HT,"-")</f>
        <v>-</v>
      </c>
      <c r="K493">
        <f>I493</f>
        <v>0</v>
      </c>
      <c r="L493"/>
      <c r="M493"/>
      <c r="N493"/>
      <c r="O493"/>
      <c r="P493"/>
      <c r="Q493"/>
      <c r="R493"/>
      <c r="S493"/>
      <c r="T493"/>
    </row>
    <row r="494" spans="1:20" outlineLevel="1" x14ac:dyDescent="0.3">
      <c r="A494" s="88" t="s">
        <v>910</v>
      </c>
      <c r="B494" s="10" t="s">
        <v>911</v>
      </c>
      <c r="C494" s="65" t="s">
        <v>912</v>
      </c>
      <c r="D494" s="44" t="s">
        <v>658</v>
      </c>
      <c r="E494" s="99" t="s">
        <v>22</v>
      </c>
      <c r="F494" s="90"/>
      <c r="G494" s="102">
        <f>cell_CoefGeneral</f>
        <v>1</v>
      </c>
      <c r="H494" s="90">
        <v>0</v>
      </c>
      <c r="I494" s="90">
        <f>IF(ISNUMBER(E494),ROUND(E494*H494,2),0)</f>
        <v>0</v>
      </c>
      <c r="J494" s="114" t="str">
        <f>IFERROR(I494/cell_Total_HT,"-")</f>
        <v>-</v>
      </c>
      <c r="K494">
        <f>I494</f>
        <v>0</v>
      </c>
      <c r="L494"/>
      <c r="M494"/>
      <c r="N494"/>
      <c r="O494"/>
      <c r="P494"/>
      <c r="Q494"/>
      <c r="R494"/>
      <c r="S494"/>
      <c r="T494"/>
    </row>
    <row r="495" spans="1:20" outlineLevel="1" x14ac:dyDescent="0.3">
      <c r="A495" s="88" t="s">
        <v>913</v>
      </c>
      <c r="B495" s="10" t="s">
        <v>914</v>
      </c>
      <c r="C495" s="65" t="s">
        <v>915</v>
      </c>
      <c r="D495" s="44" t="s">
        <v>658</v>
      </c>
      <c r="E495" s="99" t="s">
        <v>22</v>
      </c>
      <c r="F495" s="90"/>
      <c r="G495" s="102">
        <f>cell_CoefGeneral</f>
        <v>1</v>
      </c>
      <c r="H495" s="90">
        <v>0</v>
      </c>
      <c r="I495" s="90">
        <f>IF(ISNUMBER(E495),ROUND(E495*H495,2),0)</f>
        <v>0</v>
      </c>
      <c r="J495" s="114" t="str">
        <f>IFERROR(I495/cell_Total_HT,"-")</f>
        <v>-</v>
      </c>
      <c r="K495">
        <f>I495</f>
        <v>0</v>
      </c>
      <c r="L495"/>
      <c r="M495"/>
      <c r="N495"/>
      <c r="O495"/>
      <c r="P495"/>
      <c r="Q495"/>
      <c r="R495"/>
      <c r="S495"/>
      <c r="T495"/>
    </row>
    <row r="496" spans="1:20" ht="28.8" outlineLevel="1" x14ac:dyDescent="0.3">
      <c r="A496" s="88" t="s">
        <v>916</v>
      </c>
      <c r="B496" s="10" t="s">
        <v>917</v>
      </c>
      <c r="C496" s="65" t="s">
        <v>918</v>
      </c>
      <c r="D496" s="44" t="s">
        <v>658</v>
      </c>
      <c r="E496" s="99" t="s">
        <v>22</v>
      </c>
      <c r="F496" s="90"/>
      <c r="G496" s="102">
        <f>cell_CoefGeneral</f>
        <v>1</v>
      </c>
      <c r="H496" s="90">
        <v>0</v>
      </c>
      <c r="I496" s="90">
        <f>IF(ISNUMBER(E496),ROUND(E496*H496,2),0)</f>
        <v>0</v>
      </c>
      <c r="J496" s="114" t="str">
        <f>IFERROR(I496/cell_Total_HT,"-")</f>
        <v>-</v>
      </c>
      <c r="K496">
        <f>I496</f>
        <v>0</v>
      </c>
      <c r="L496"/>
      <c r="M496"/>
      <c r="N496"/>
      <c r="O496"/>
      <c r="P496"/>
      <c r="Q496"/>
      <c r="R496"/>
      <c r="S496"/>
      <c r="T496"/>
    </row>
    <row r="497" spans="1:20" ht="28.8" outlineLevel="1" x14ac:dyDescent="0.3">
      <c r="A497" s="88" t="s">
        <v>919</v>
      </c>
      <c r="B497" s="10" t="s">
        <v>920</v>
      </c>
      <c r="C497" s="65" t="s">
        <v>921</v>
      </c>
      <c r="D497" s="44" t="s">
        <v>658</v>
      </c>
      <c r="E497" s="99" t="s">
        <v>22</v>
      </c>
      <c r="F497" s="90"/>
      <c r="G497" s="102">
        <f>cell_CoefGeneral</f>
        <v>1</v>
      </c>
      <c r="H497" s="90">
        <v>0</v>
      </c>
      <c r="I497" s="90">
        <f>IF(ISNUMBER(E497),ROUND(E497*H497,2),0)</f>
        <v>0</v>
      </c>
      <c r="J497" s="114" t="str">
        <f>IFERROR(I497/cell_Total_HT,"-")</f>
        <v>-</v>
      </c>
      <c r="K497">
        <f>I497</f>
        <v>0</v>
      </c>
      <c r="L497"/>
      <c r="M497"/>
      <c r="N497"/>
      <c r="O497"/>
      <c r="P497"/>
      <c r="Q497"/>
      <c r="R497"/>
      <c r="S497"/>
      <c r="T497"/>
    </row>
    <row r="498" spans="1:20" outlineLevel="1" x14ac:dyDescent="0.3">
      <c r="A498" s="88" t="s">
        <v>922</v>
      </c>
      <c r="B498" s="10" t="s">
        <v>923</v>
      </c>
      <c r="C498" s="65" t="s">
        <v>924</v>
      </c>
      <c r="D498" s="44" t="s">
        <v>658</v>
      </c>
      <c r="E498" s="99" t="s">
        <v>22</v>
      </c>
      <c r="F498" s="90"/>
      <c r="G498" s="102">
        <f>cell_CoefGeneral</f>
        <v>1</v>
      </c>
      <c r="H498" s="90">
        <v>0</v>
      </c>
      <c r="I498" s="90">
        <f>IF(ISNUMBER(E498),ROUND(E498*H498,2),0)</f>
        <v>0</v>
      </c>
      <c r="J498" s="114" t="str">
        <f>IFERROR(I498/cell_Total_HT,"-")</f>
        <v>-</v>
      </c>
      <c r="K498">
        <f>I498</f>
        <v>0</v>
      </c>
      <c r="L498"/>
      <c r="M498"/>
      <c r="N498"/>
      <c r="O498"/>
      <c r="P498"/>
      <c r="Q498"/>
      <c r="R498"/>
      <c r="S498"/>
      <c r="T498"/>
    </row>
    <row r="499" spans="1:20" outlineLevel="1" x14ac:dyDescent="0.3">
      <c r="A499" s="88" t="s">
        <v>925</v>
      </c>
      <c r="B499" s="10" t="s">
        <v>926</v>
      </c>
      <c r="C499" s="65" t="s">
        <v>927</v>
      </c>
      <c r="D499" s="44" t="s">
        <v>658</v>
      </c>
      <c r="E499" s="99" t="s">
        <v>22</v>
      </c>
      <c r="F499" s="90"/>
      <c r="G499" s="102">
        <f>cell_CoefGeneral</f>
        <v>1</v>
      </c>
      <c r="H499" s="90">
        <v>0</v>
      </c>
      <c r="I499" s="90">
        <f>IF(ISNUMBER(E499),ROUND(E499*H499,2),0)</f>
        <v>0</v>
      </c>
      <c r="J499" s="114" t="str">
        <f>IFERROR(I499/cell_Total_HT,"-")</f>
        <v>-</v>
      </c>
      <c r="K499">
        <f>I499</f>
        <v>0</v>
      </c>
      <c r="L499"/>
      <c r="M499"/>
      <c r="N499"/>
      <c r="O499"/>
      <c r="P499"/>
      <c r="Q499"/>
      <c r="R499"/>
      <c r="S499"/>
      <c r="T499"/>
    </row>
    <row r="500" spans="1:20" outlineLevel="1" x14ac:dyDescent="0.3">
      <c r="A500" s="88" t="s">
        <v>928</v>
      </c>
      <c r="B500" s="10" t="s">
        <v>929</v>
      </c>
      <c r="C500" s="65" t="s">
        <v>930</v>
      </c>
      <c r="D500" s="44" t="s">
        <v>149</v>
      </c>
      <c r="E500" s="99" t="s">
        <v>22</v>
      </c>
      <c r="F500" s="90"/>
      <c r="G500" s="102">
        <f>cell_CoefGeneral</f>
        <v>1</v>
      </c>
      <c r="H500" s="90">
        <v>0</v>
      </c>
      <c r="I500" s="90">
        <f>IF(ISNUMBER(E500),ROUND(E500*H500,2),0)</f>
        <v>0</v>
      </c>
      <c r="J500" s="114" t="str">
        <f>IFERROR(I500/cell_Total_HT,"-")</f>
        <v>-</v>
      </c>
      <c r="K500">
        <f>I500</f>
        <v>0</v>
      </c>
      <c r="L500"/>
      <c r="M500"/>
      <c r="N500"/>
      <c r="O500"/>
      <c r="P500"/>
      <c r="Q500"/>
      <c r="R500"/>
      <c r="S500"/>
      <c r="T500"/>
    </row>
    <row r="501" spans="1:20" outlineLevel="1" x14ac:dyDescent="0.3">
      <c r="A501" s="88" t="s">
        <v>931</v>
      </c>
      <c r="B501" s="10" t="s">
        <v>932</v>
      </c>
      <c r="C501" s="65" t="s">
        <v>933</v>
      </c>
      <c r="D501" s="44" t="s">
        <v>80</v>
      </c>
      <c r="E501" s="99" t="s">
        <v>22</v>
      </c>
      <c r="F501" s="90"/>
      <c r="G501" s="102">
        <f>cell_CoefGeneral</f>
        <v>1</v>
      </c>
      <c r="H501" s="90">
        <v>0</v>
      </c>
      <c r="I501" s="90">
        <f>IF(ISNUMBER(E501),ROUND(E501*H501,2),0)</f>
        <v>0</v>
      </c>
      <c r="J501" s="114" t="str">
        <f>IFERROR(I501/cell_Total_HT,"-")</f>
        <v>-</v>
      </c>
      <c r="K501">
        <f>I501</f>
        <v>0</v>
      </c>
      <c r="L501"/>
      <c r="M501"/>
      <c r="N501"/>
      <c r="O501"/>
      <c r="P501"/>
      <c r="Q501"/>
      <c r="R501"/>
      <c r="S501"/>
      <c r="T501"/>
    </row>
    <row r="502" spans="1:20" outlineLevel="1" x14ac:dyDescent="0.3">
      <c r="A502" s="88" t="s">
        <v>934</v>
      </c>
      <c r="B502" s="10" t="s">
        <v>935</v>
      </c>
      <c r="C502" s="65" t="s">
        <v>906</v>
      </c>
      <c r="D502" s="44" t="s">
        <v>149</v>
      </c>
      <c r="E502" s="99" t="s">
        <v>22</v>
      </c>
      <c r="F502" s="90"/>
      <c r="G502" s="102">
        <f>cell_CoefGeneral</f>
        <v>1</v>
      </c>
      <c r="H502" s="90">
        <v>0</v>
      </c>
      <c r="I502" s="90">
        <f>IF(ISNUMBER(E502),ROUND(E502*H502,2),0)</f>
        <v>0</v>
      </c>
      <c r="J502" s="114" t="str">
        <f>IFERROR(I502/cell_Total_HT,"-")</f>
        <v>-</v>
      </c>
      <c r="K502">
        <f>I502</f>
        <v>0</v>
      </c>
      <c r="L502"/>
      <c r="M502"/>
      <c r="N502"/>
      <c r="O502"/>
      <c r="P502"/>
      <c r="Q502"/>
      <c r="R502"/>
      <c r="S502"/>
      <c r="T502"/>
    </row>
    <row r="503" spans="1:20" outlineLevel="1" x14ac:dyDescent="0.3">
      <c r="A503" s="88" t="s">
        <v>936</v>
      </c>
      <c r="B503" s="10" t="s">
        <v>937</v>
      </c>
      <c r="C503" s="65" t="s">
        <v>938</v>
      </c>
      <c r="D503" s="44" t="s">
        <v>121</v>
      </c>
      <c r="E503" s="99" t="s">
        <v>22</v>
      </c>
      <c r="F503" s="90"/>
      <c r="G503" s="102">
        <f>cell_CoefGeneral</f>
        <v>1</v>
      </c>
      <c r="H503" s="90">
        <v>0</v>
      </c>
      <c r="I503" s="90">
        <f>IF(ISNUMBER(E503),ROUND(E503*H503,2),0)</f>
        <v>0</v>
      </c>
      <c r="J503" s="114" t="str">
        <f>IFERROR(I503/cell_Total_HT,"-")</f>
        <v>-</v>
      </c>
      <c r="K503">
        <f>I503</f>
        <v>0</v>
      </c>
      <c r="L503"/>
      <c r="M503"/>
      <c r="N503"/>
      <c r="O503"/>
      <c r="P503"/>
      <c r="Q503"/>
      <c r="R503"/>
      <c r="S503"/>
      <c r="T503"/>
    </row>
    <row r="504" spans="1:20" ht="28.8" outlineLevel="1" x14ac:dyDescent="0.3">
      <c r="A504" s="88" t="s">
        <v>939</v>
      </c>
      <c r="B504" s="10" t="s">
        <v>940</v>
      </c>
      <c r="C504" s="65" t="s">
        <v>941</v>
      </c>
      <c r="D504" s="44" t="s">
        <v>167</v>
      </c>
      <c r="E504" s="99" t="s">
        <v>22</v>
      </c>
      <c r="F504" s="90"/>
      <c r="G504" s="102">
        <f>cell_CoefGeneral</f>
        <v>1</v>
      </c>
      <c r="H504" s="90">
        <v>0</v>
      </c>
      <c r="I504" s="90">
        <f>IF(ISNUMBER(E504),ROUND(E504*H504,2),0)</f>
        <v>0</v>
      </c>
      <c r="J504" s="114" t="str">
        <f>IFERROR(I504/cell_Total_HT,"-")</f>
        <v>-</v>
      </c>
      <c r="K504">
        <f>I504</f>
        <v>0</v>
      </c>
      <c r="L504"/>
      <c r="M504"/>
      <c r="N504"/>
      <c r="O504"/>
      <c r="P504"/>
      <c r="Q504"/>
      <c r="R504"/>
      <c r="S504"/>
      <c r="T504"/>
    </row>
    <row r="505" spans="1:20" ht="28.8" outlineLevel="1" x14ac:dyDescent="0.3">
      <c r="A505" s="88" t="s">
        <v>942</v>
      </c>
      <c r="B505" s="10" t="s">
        <v>943</v>
      </c>
      <c r="C505" s="65" t="s">
        <v>944</v>
      </c>
      <c r="D505" s="44" t="s">
        <v>167</v>
      </c>
      <c r="E505" s="99" t="s">
        <v>22</v>
      </c>
      <c r="F505" s="90"/>
      <c r="G505" s="102">
        <f>cell_CoefGeneral</f>
        <v>1</v>
      </c>
      <c r="H505" s="90">
        <v>0</v>
      </c>
      <c r="I505" s="90">
        <f>IF(ISNUMBER(E505),ROUND(E505*H505,2),0)</f>
        <v>0</v>
      </c>
      <c r="J505" s="114" t="str">
        <f>IFERROR(I505/cell_Total_HT,"-")</f>
        <v>-</v>
      </c>
      <c r="K505">
        <f>I505</f>
        <v>0</v>
      </c>
      <c r="L505"/>
      <c r="M505"/>
      <c r="N505"/>
      <c r="O505"/>
      <c r="P505"/>
      <c r="Q505"/>
      <c r="R505"/>
      <c r="S505"/>
      <c r="T505"/>
    </row>
    <row r="506" spans="1:20" outlineLevel="1" x14ac:dyDescent="0.3">
      <c r="A506" s="88" t="s">
        <v>945</v>
      </c>
      <c r="B506" s="10" t="s">
        <v>946</v>
      </c>
      <c r="C506" s="65" t="s">
        <v>909</v>
      </c>
      <c r="D506" s="44" t="s">
        <v>658</v>
      </c>
      <c r="E506" s="99" t="s">
        <v>22</v>
      </c>
      <c r="F506" s="90"/>
      <c r="G506" s="102">
        <f>cell_CoefGeneral</f>
        <v>1</v>
      </c>
      <c r="H506" s="90">
        <v>0</v>
      </c>
      <c r="I506" s="90">
        <f>IF(ISNUMBER(E506),ROUND(E506*H506,2),0)</f>
        <v>0</v>
      </c>
      <c r="J506" s="114" t="str">
        <f>IFERROR(I506/cell_Total_HT,"-")</f>
        <v>-</v>
      </c>
      <c r="K506">
        <f>I506</f>
        <v>0</v>
      </c>
      <c r="L506"/>
      <c r="M506"/>
      <c r="N506"/>
      <c r="O506"/>
      <c r="P506"/>
      <c r="Q506"/>
      <c r="R506"/>
      <c r="S506"/>
      <c r="T506"/>
    </row>
    <row r="507" spans="1:20" outlineLevel="1" x14ac:dyDescent="0.3">
      <c r="A507" s="88" t="s">
        <v>947</v>
      </c>
      <c r="B507" s="10" t="s">
        <v>948</v>
      </c>
      <c r="C507" s="65" t="s">
        <v>949</v>
      </c>
      <c r="D507" s="44" t="s">
        <v>658</v>
      </c>
      <c r="E507" s="99" t="s">
        <v>22</v>
      </c>
      <c r="F507" s="90"/>
      <c r="G507" s="102">
        <f>cell_CoefGeneral</f>
        <v>1</v>
      </c>
      <c r="H507" s="90">
        <v>0</v>
      </c>
      <c r="I507" s="90">
        <f>IF(ISNUMBER(E507),ROUND(E507*H507,2),0)</f>
        <v>0</v>
      </c>
      <c r="J507" s="114" t="str">
        <f>IFERROR(I507/cell_Total_HT,"-")</f>
        <v>-</v>
      </c>
      <c r="K507">
        <f>I507</f>
        <v>0</v>
      </c>
      <c r="L507"/>
      <c r="M507"/>
      <c r="N507"/>
      <c r="O507"/>
      <c r="P507"/>
      <c r="Q507"/>
      <c r="R507"/>
      <c r="S507"/>
      <c r="T507"/>
    </row>
    <row r="508" spans="1:20" outlineLevel="1" x14ac:dyDescent="0.3">
      <c r="A508" s="88" t="s">
        <v>950</v>
      </c>
      <c r="B508" s="10" t="s">
        <v>951</v>
      </c>
      <c r="C508" s="65" t="s">
        <v>952</v>
      </c>
      <c r="D508" s="44" t="s">
        <v>658</v>
      </c>
      <c r="E508" s="99" t="s">
        <v>22</v>
      </c>
      <c r="F508" s="90"/>
      <c r="G508" s="102">
        <f>cell_CoefGeneral</f>
        <v>1</v>
      </c>
      <c r="H508" s="90">
        <v>0</v>
      </c>
      <c r="I508" s="90">
        <f>IF(ISNUMBER(E508),ROUND(E508*H508,2),0)</f>
        <v>0</v>
      </c>
      <c r="J508" s="114" t="str">
        <f>IFERROR(I508/cell_Total_HT,"-")</f>
        <v>-</v>
      </c>
      <c r="K508">
        <f>I508</f>
        <v>0</v>
      </c>
      <c r="L508"/>
      <c r="M508"/>
      <c r="N508"/>
      <c r="O508"/>
      <c r="P508"/>
      <c r="Q508"/>
      <c r="R508"/>
      <c r="S508"/>
      <c r="T508"/>
    </row>
    <row r="509" spans="1:20" ht="28.8" outlineLevel="1" x14ac:dyDescent="0.3">
      <c r="A509" s="88" t="s">
        <v>953</v>
      </c>
      <c r="B509" s="10" t="s">
        <v>954</v>
      </c>
      <c r="C509" s="65" t="s">
        <v>955</v>
      </c>
      <c r="D509" s="44" t="s">
        <v>658</v>
      </c>
      <c r="E509" s="99" t="s">
        <v>22</v>
      </c>
      <c r="F509" s="90"/>
      <c r="G509" s="102">
        <f>cell_CoefGeneral</f>
        <v>1</v>
      </c>
      <c r="H509" s="90">
        <v>0</v>
      </c>
      <c r="I509" s="90">
        <f>IF(ISNUMBER(E509),ROUND(E509*H509,2),0)</f>
        <v>0</v>
      </c>
      <c r="J509" s="114" t="str">
        <f>IFERROR(I509/cell_Total_HT,"-")</f>
        <v>-</v>
      </c>
      <c r="K509">
        <f>I509</f>
        <v>0</v>
      </c>
      <c r="L509"/>
      <c r="M509"/>
      <c r="N509"/>
      <c r="O509"/>
      <c r="P509"/>
      <c r="Q509"/>
      <c r="R509"/>
      <c r="S509"/>
      <c r="T509"/>
    </row>
    <row r="510" spans="1:20" ht="28.8" outlineLevel="1" x14ac:dyDescent="0.3">
      <c r="A510" s="88" t="s">
        <v>956</v>
      </c>
      <c r="B510" s="10" t="s">
        <v>957</v>
      </c>
      <c r="C510" s="65" t="s">
        <v>958</v>
      </c>
      <c r="D510" s="44" t="s">
        <v>658</v>
      </c>
      <c r="E510" s="99" t="s">
        <v>22</v>
      </c>
      <c r="F510" s="90"/>
      <c r="G510" s="102">
        <f>cell_CoefGeneral</f>
        <v>1</v>
      </c>
      <c r="H510" s="90">
        <v>0</v>
      </c>
      <c r="I510" s="90">
        <f>IF(ISNUMBER(E510),ROUND(E510*H510,2),0)</f>
        <v>0</v>
      </c>
      <c r="J510" s="114" t="str">
        <f>IFERROR(I510/cell_Total_HT,"-")</f>
        <v>-</v>
      </c>
      <c r="K510">
        <f>I510</f>
        <v>0</v>
      </c>
      <c r="L510"/>
      <c r="M510"/>
      <c r="N510"/>
      <c r="O510"/>
      <c r="P510"/>
      <c r="Q510"/>
      <c r="R510"/>
      <c r="S510"/>
      <c r="T510"/>
    </row>
    <row r="511" spans="1:20" ht="28.8" outlineLevel="1" x14ac:dyDescent="0.3">
      <c r="A511" s="88" t="s">
        <v>959</v>
      </c>
      <c r="B511" s="10" t="s">
        <v>960</v>
      </c>
      <c r="C511" s="65" t="s">
        <v>961</v>
      </c>
      <c r="D511" s="44" t="s">
        <v>658</v>
      </c>
      <c r="E511" s="99" t="s">
        <v>22</v>
      </c>
      <c r="F511" s="90"/>
      <c r="G511" s="102">
        <f>cell_CoefGeneral</f>
        <v>1</v>
      </c>
      <c r="H511" s="90">
        <v>0</v>
      </c>
      <c r="I511" s="90">
        <f>IF(ISNUMBER(E511),ROUND(E511*H511,2),0)</f>
        <v>0</v>
      </c>
      <c r="J511" s="114" t="str">
        <f>IFERROR(I511/cell_Total_HT,"-")</f>
        <v>-</v>
      </c>
      <c r="K511">
        <f>I511</f>
        <v>0</v>
      </c>
      <c r="L511"/>
      <c r="M511"/>
      <c r="N511"/>
      <c r="O511"/>
      <c r="P511"/>
      <c r="Q511"/>
      <c r="R511"/>
      <c r="S511"/>
      <c r="T511"/>
    </row>
    <row r="512" spans="1:20" ht="28.8" outlineLevel="1" x14ac:dyDescent="0.3">
      <c r="A512" s="88" t="s">
        <v>962</v>
      </c>
      <c r="B512" s="10" t="s">
        <v>963</v>
      </c>
      <c r="C512" s="65" t="s">
        <v>964</v>
      </c>
      <c r="D512" s="44" t="s">
        <v>658</v>
      </c>
      <c r="E512" s="99" t="s">
        <v>22</v>
      </c>
      <c r="F512" s="90"/>
      <c r="G512" s="102">
        <f>cell_CoefGeneral</f>
        <v>1</v>
      </c>
      <c r="H512" s="90">
        <v>0</v>
      </c>
      <c r="I512" s="90">
        <f>IF(ISNUMBER(E512),ROUND(E512*H512,2),0)</f>
        <v>0</v>
      </c>
      <c r="J512" s="114" t="str">
        <f>IFERROR(I512/cell_Total_HT,"-")</f>
        <v>-</v>
      </c>
      <c r="K512">
        <f>I512</f>
        <v>0</v>
      </c>
      <c r="L512"/>
      <c r="M512"/>
      <c r="N512"/>
      <c r="O512"/>
      <c r="P512"/>
      <c r="Q512"/>
      <c r="R512"/>
      <c r="S512"/>
      <c r="T512"/>
    </row>
    <row r="513" spans="1:20" ht="28.8" outlineLevel="1" x14ac:dyDescent="0.3">
      <c r="A513" s="88" t="s">
        <v>965</v>
      </c>
      <c r="B513" s="10" t="s">
        <v>966</v>
      </c>
      <c r="C513" s="65" t="s">
        <v>967</v>
      </c>
      <c r="D513" s="44" t="s">
        <v>658</v>
      </c>
      <c r="E513" s="99" t="s">
        <v>22</v>
      </c>
      <c r="F513" s="90"/>
      <c r="G513" s="102">
        <f>cell_CoefGeneral</f>
        <v>1</v>
      </c>
      <c r="H513" s="90">
        <v>0</v>
      </c>
      <c r="I513" s="90">
        <f>IF(ISNUMBER(E513),ROUND(E513*H513,2),0)</f>
        <v>0</v>
      </c>
      <c r="J513" s="114" t="str">
        <f>IFERROR(I513/cell_Total_HT,"-")</f>
        <v>-</v>
      </c>
      <c r="K513">
        <f>I513</f>
        <v>0</v>
      </c>
      <c r="L513"/>
      <c r="M513"/>
      <c r="N513"/>
      <c r="O513"/>
      <c r="P513"/>
      <c r="Q513"/>
      <c r="R513"/>
      <c r="S513"/>
      <c r="T513"/>
    </row>
    <row r="514" spans="1:20" ht="43.2" outlineLevel="1" x14ac:dyDescent="0.3">
      <c r="A514" s="88" t="s">
        <v>968</v>
      </c>
      <c r="B514" s="10" t="s">
        <v>969</v>
      </c>
      <c r="C514" s="65" t="s">
        <v>970</v>
      </c>
      <c r="D514" s="44" t="s">
        <v>658</v>
      </c>
      <c r="E514" s="99" t="s">
        <v>22</v>
      </c>
      <c r="F514" s="90"/>
      <c r="G514" s="102">
        <f>cell_CoefGeneral</f>
        <v>1</v>
      </c>
      <c r="H514" s="90">
        <v>0</v>
      </c>
      <c r="I514" s="90">
        <f>IF(ISNUMBER(E514),ROUND(E514*H514,2),0)</f>
        <v>0</v>
      </c>
      <c r="J514" s="114" t="str">
        <f>IFERROR(I514/cell_Total_HT,"-")</f>
        <v>-</v>
      </c>
      <c r="K514">
        <f>I514</f>
        <v>0</v>
      </c>
      <c r="L514"/>
      <c r="M514"/>
      <c r="N514"/>
      <c r="O514"/>
      <c r="P514"/>
      <c r="Q514"/>
      <c r="R514"/>
      <c r="S514"/>
      <c r="T514"/>
    </row>
    <row r="515" spans="1:20" ht="28.8" outlineLevel="1" x14ac:dyDescent="0.3">
      <c r="A515" s="88" t="s">
        <v>971</v>
      </c>
      <c r="B515" s="10" t="s">
        <v>972</v>
      </c>
      <c r="C515" s="65" t="s">
        <v>973</v>
      </c>
      <c r="D515" s="44" t="s">
        <v>658</v>
      </c>
      <c r="E515" s="99" t="s">
        <v>22</v>
      </c>
      <c r="F515" s="90"/>
      <c r="G515" s="102">
        <f>cell_CoefGeneral</f>
        <v>1</v>
      </c>
      <c r="H515" s="90">
        <v>0</v>
      </c>
      <c r="I515" s="90">
        <f>IF(ISNUMBER(E515),ROUND(E515*H515,2),0)</f>
        <v>0</v>
      </c>
      <c r="J515" s="114" t="str">
        <f>IFERROR(I515/cell_Total_HT,"-")</f>
        <v>-</v>
      </c>
      <c r="K515">
        <f>I515</f>
        <v>0</v>
      </c>
      <c r="L515"/>
      <c r="M515"/>
      <c r="N515"/>
      <c r="O515"/>
      <c r="P515"/>
      <c r="Q515"/>
      <c r="R515"/>
      <c r="S515"/>
      <c r="T515"/>
    </row>
    <row r="516" spans="1:20" ht="43.2" outlineLevel="1" x14ac:dyDescent="0.3">
      <c r="A516" s="88" t="s">
        <v>974</v>
      </c>
      <c r="B516" s="10" t="s">
        <v>975</v>
      </c>
      <c r="C516" s="65" t="s">
        <v>976</v>
      </c>
      <c r="D516" s="44" t="s">
        <v>658</v>
      </c>
      <c r="E516" s="99" t="s">
        <v>22</v>
      </c>
      <c r="F516" s="90"/>
      <c r="G516" s="102">
        <f>cell_CoefGeneral</f>
        <v>1</v>
      </c>
      <c r="H516" s="90">
        <v>0</v>
      </c>
      <c r="I516" s="90">
        <f>IF(ISNUMBER(E516),ROUND(E516*H516,2),0)</f>
        <v>0</v>
      </c>
      <c r="J516" s="114" t="str">
        <f>IFERROR(I516/cell_Total_HT,"-")</f>
        <v>-</v>
      </c>
      <c r="K516">
        <f>I516</f>
        <v>0</v>
      </c>
      <c r="L516"/>
      <c r="M516"/>
      <c r="N516"/>
      <c r="O516"/>
      <c r="P516"/>
      <c r="Q516"/>
      <c r="R516"/>
      <c r="S516"/>
      <c r="T516"/>
    </row>
    <row r="517" spans="1:20" ht="43.2" outlineLevel="1" x14ac:dyDescent="0.3">
      <c r="A517" s="88" t="s">
        <v>977</v>
      </c>
      <c r="B517" s="10" t="s">
        <v>978</v>
      </c>
      <c r="C517" s="65" t="s">
        <v>979</v>
      </c>
      <c r="D517" s="44" t="s">
        <v>658</v>
      </c>
      <c r="E517" s="99" t="s">
        <v>22</v>
      </c>
      <c r="F517" s="90"/>
      <c r="G517" s="102">
        <f>cell_CoefGeneral</f>
        <v>1</v>
      </c>
      <c r="H517" s="90">
        <v>0</v>
      </c>
      <c r="I517" s="90">
        <f>IF(ISNUMBER(E517),ROUND(E517*H517,2),0)</f>
        <v>0</v>
      </c>
      <c r="J517" s="114" t="str">
        <f>IFERROR(I517/cell_Total_HT,"-")</f>
        <v>-</v>
      </c>
      <c r="K517">
        <f>I517</f>
        <v>0</v>
      </c>
      <c r="L517"/>
      <c r="M517"/>
      <c r="N517"/>
      <c r="O517"/>
      <c r="P517"/>
      <c r="Q517"/>
      <c r="R517"/>
      <c r="S517"/>
      <c r="T517"/>
    </row>
    <row r="518" spans="1:20" ht="43.2" outlineLevel="1" x14ac:dyDescent="0.3">
      <c r="A518" s="88" t="s">
        <v>980</v>
      </c>
      <c r="B518" s="10" t="s">
        <v>981</v>
      </c>
      <c r="C518" s="65" t="s">
        <v>982</v>
      </c>
      <c r="D518" s="44" t="s">
        <v>658</v>
      </c>
      <c r="E518" s="99" t="s">
        <v>22</v>
      </c>
      <c r="F518" s="90"/>
      <c r="G518" s="102">
        <f>cell_CoefGeneral</f>
        <v>1</v>
      </c>
      <c r="H518" s="90">
        <v>0</v>
      </c>
      <c r="I518" s="90">
        <f>IF(ISNUMBER(E518),ROUND(E518*H518,2),0)</f>
        <v>0</v>
      </c>
      <c r="J518" s="114" t="str">
        <f>IFERROR(I518/cell_Total_HT,"-")</f>
        <v>-</v>
      </c>
      <c r="K518">
        <f>I518</f>
        <v>0</v>
      </c>
      <c r="L518"/>
      <c r="M518"/>
      <c r="N518"/>
      <c r="O518"/>
      <c r="P518"/>
      <c r="Q518"/>
      <c r="R518"/>
      <c r="S518"/>
      <c r="T518"/>
    </row>
    <row r="519" spans="1:20" outlineLevel="1" x14ac:dyDescent="0.3">
      <c r="A519" s="88" t="s">
        <v>983</v>
      </c>
      <c r="B519" s="10" t="s">
        <v>984</v>
      </c>
      <c r="C519" s="65" t="s">
        <v>985</v>
      </c>
      <c r="D519" s="44" t="s">
        <v>658</v>
      </c>
      <c r="E519" s="99" t="s">
        <v>22</v>
      </c>
      <c r="F519" s="90"/>
      <c r="G519" s="102">
        <f>cell_CoefGeneral</f>
        <v>1</v>
      </c>
      <c r="H519" s="90">
        <v>0</v>
      </c>
      <c r="I519" s="90">
        <f>IF(ISNUMBER(E519),ROUND(E519*H519,2),0)</f>
        <v>0</v>
      </c>
      <c r="J519" s="114" t="str">
        <f>IFERROR(I519/cell_Total_HT,"-")</f>
        <v>-</v>
      </c>
      <c r="K519">
        <f>I519</f>
        <v>0</v>
      </c>
      <c r="L519"/>
      <c r="M519"/>
      <c r="N519"/>
      <c r="O519"/>
      <c r="P519"/>
      <c r="Q519"/>
      <c r="R519"/>
      <c r="S519"/>
      <c r="T519"/>
    </row>
    <row r="520" spans="1:20" ht="28.8" outlineLevel="1" x14ac:dyDescent="0.3">
      <c r="A520" s="88" t="s">
        <v>986</v>
      </c>
      <c r="B520" s="10" t="s">
        <v>987</v>
      </c>
      <c r="C520" s="65" t="s">
        <v>988</v>
      </c>
      <c r="D520" s="44" t="s">
        <v>658</v>
      </c>
      <c r="E520" s="99" t="s">
        <v>22</v>
      </c>
      <c r="F520" s="90"/>
      <c r="G520" s="102">
        <f>cell_CoefGeneral</f>
        <v>1</v>
      </c>
      <c r="H520" s="90">
        <v>0</v>
      </c>
      <c r="I520" s="90">
        <f>IF(ISNUMBER(E520),ROUND(E520*H520,2),0)</f>
        <v>0</v>
      </c>
      <c r="J520" s="114" t="str">
        <f>IFERROR(I520/cell_Total_HT,"-")</f>
        <v>-</v>
      </c>
      <c r="K520">
        <f>I520</f>
        <v>0</v>
      </c>
      <c r="L520"/>
      <c r="M520"/>
      <c r="N520"/>
      <c r="O520"/>
      <c r="P520"/>
      <c r="Q520"/>
      <c r="R520"/>
      <c r="S520"/>
      <c r="T520"/>
    </row>
    <row r="521" spans="1:20" outlineLevel="1" x14ac:dyDescent="0.3">
      <c r="A521" s="88" t="s">
        <v>989</v>
      </c>
      <c r="B521" s="10" t="s">
        <v>990</v>
      </c>
      <c r="C521" s="65" t="s">
        <v>924</v>
      </c>
      <c r="D521" s="44" t="s">
        <v>658</v>
      </c>
      <c r="E521" s="99" t="s">
        <v>22</v>
      </c>
      <c r="F521" s="90"/>
      <c r="G521" s="102">
        <f>cell_CoefGeneral</f>
        <v>1</v>
      </c>
      <c r="H521" s="90">
        <v>0</v>
      </c>
      <c r="I521" s="90">
        <f>IF(ISNUMBER(E521),ROUND(E521*H521,2),0)</f>
        <v>0</v>
      </c>
      <c r="J521" s="114" t="str">
        <f>IFERROR(I521/cell_Total_HT,"-")</f>
        <v>-</v>
      </c>
      <c r="K521">
        <f>I521</f>
        <v>0</v>
      </c>
      <c r="L521"/>
      <c r="M521"/>
      <c r="N521"/>
      <c r="O521"/>
      <c r="P521"/>
      <c r="Q521"/>
      <c r="R521"/>
      <c r="S521"/>
      <c r="T521"/>
    </row>
    <row r="522" spans="1:20" outlineLevel="1" x14ac:dyDescent="0.3">
      <c r="A522" s="88" t="s">
        <v>991</v>
      </c>
      <c r="B522" s="10" t="s">
        <v>992</v>
      </c>
      <c r="C522" s="65" t="s">
        <v>927</v>
      </c>
      <c r="D522" s="44" t="s">
        <v>658</v>
      </c>
      <c r="E522" s="99" t="s">
        <v>22</v>
      </c>
      <c r="F522" s="90"/>
      <c r="G522" s="102">
        <f>cell_CoefGeneral</f>
        <v>1</v>
      </c>
      <c r="H522" s="90">
        <v>0</v>
      </c>
      <c r="I522" s="90">
        <f>IF(ISNUMBER(E522),ROUND(E522*H522,2),0)</f>
        <v>0</v>
      </c>
      <c r="J522" s="114" t="str">
        <f>IFERROR(I522/cell_Total_HT,"-")</f>
        <v>-</v>
      </c>
      <c r="K522">
        <f>I522</f>
        <v>0</v>
      </c>
      <c r="L522"/>
      <c r="M522"/>
      <c r="N522"/>
      <c r="O522"/>
      <c r="P522"/>
      <c r="Q522"/>
      <c r="R522"/>
      <c r="S522"/>
      <c r="T522"/>
    </row>
    <row r="523" spans="1:20" outlineLevel="1" x14ac:dyDescent="0.3">
      <c r="A523" s="88" t="s">
        <v>993</v>
      </c>
      <c r="B523" s="10" t="s">
        <v>994</v>
      </c>
      <c r="C523" s="65" t="s">
        <v>995</v>
      </c>
      <c r="D523" s="44" t="s">
        <v>658</v>
      </c>
      <c r="E523" s="99" t="s">
        <v>22</v>
      </c>
      <c r="F523" s="90"/>
      <c r="G523" s="102">
        <f>cell_CoefGeneral</f>
        <v>1</v>
      </c>
      <c r="H523" s="90">
        <v>0</v>
      </c>
      <c r="I523" s="90">
        <f>IF(ISNUMBER(E523),ROUND(E523*H523,2),0)</f>
        <v>0</v>
      </c>
      <c r="J523" s="114" t="str">
        <f>IFERROR(I523/cell_Total_HT,"-")</f>
        <v>-</v>
      </c>
      <c r="K523">
        <f>I523</f>
        <v>0</v>
      </c>
      <c r="L523"/>
      <c r="M523"/>
      <c r="N523"/>
      <c r="O523"/>
      <c r="P523"/>
      <c r="Q523"/>
      <c r="R523"/>
      <c r="S523"/>
      <c r="T523"/>
    </row>
    <row r="524" spans="1:20" outlineLevel="1" x14ac:dyDescent="0.3">
      <c r="A524" s="88" t="s">
        <v>996</v>
      </c>
      <c r="B524" s="10" t="s">
        <v>997</v>
      </c>
      <c r="C524" s="65" t="s">
        <v>930</v>
      </c>
      <c r="D524" s="44" t="s">
        <v>149</v>
      </c>
      <c r="E524" s="99" t="s">
        <v>22</v>
      </c>
      <c r="F524" s="90"/>
      <c r="G524" s="102">
        <f>cell_CoefGeneral</f>
        <v>1</v>
      </c>
      <c r="H524" s="90">
        <v>0</v>
      </c>
      <c r="I524" s="90">
        <f>IF(ISNUMBER(E524),ROUND(E524*H524,2),0)</f>
        <v>0</v>
      </c>
      <c r="J524" s="114" t="str">
        <f>IFERROR(I524/cell_Total_HT,"-")</f>
        <v>-</v>
      </c>
      <c r="K524">
        <f>I524</f>
        <v>0</v>
      </c>
      <c r="L524"/>
      <c r="M524"/>
      <c r="N524"/>
      <c r="O524"/>
      <c r="P524"/>
      <c r="Q524"/>
      <c r="R524"/>
      <c r="S524"/>
      <c r="T524"/>
    </row>
    <row r="525" spans="1:20" outlineLevel="1" x14ac:dyDescent="0.3">
      <c r="A525" s="88" t="s">
        <v>998</v>
      </c>
      <c r="B525" s="10" t="s">
        <v>999</v>
      </c>
      <c r="C525" s="65" t="s">
        <v>933</v>
      </c>
      <c r="D525" s="44" t="s">
        <v>80</v>
      </c>
      <c r="E525" s="99" t="s">
        <v>22</v>
      </c>
      <c r="F525" s="90"/>
      <c r="G525" s="102">
        <f>cell_CoefGeneral</f>
        <v>1</v>
      </c>
      <c r="H525" s="90">
        <v>0</v>
      </c>
      <c r="I525" s="90">
        <f>IF(ISNUMBER(E525),ROUND(E525*H525,2),0)</f>
        <v>0</v>
      </c>
      <c r="J525" s="114" t="str">
        <f>IFERROR(I525/cell_Total_HT,"-")</f>
        <v>-</v>
      </c>
      <c r="K525">
        <f>I525</f>
        <v>0</v>
      </c>
      <c r="L525"/>
      <c r="M525"/>
      <c r="N525"/>
      <c r="O525"/>
      <c r="P525"/>
      <c r="Q525"/>
      <c r="R525"/>
      <c r="S525"/>
      <c r="T525"/>
    </row>
    <row r="526" spans="1:20" outlineLevel="1" x14ac:dyDescent="0.3">
      <c r="A526" s="88" t="s">
        <v>1000</v>
      </c>
      <c r="B526" s="10" t="s">
        <v>1001</v>
      </c>
      <c r="C526" s="65" t="s">
        <v>1002</v>
      </c>
      <c r="D526" s="44" t="s">
        <v>149</v>
      </c>
      <c r="E526" s="99" t="s">
        <v>22</v>
      </c>
      <c r="F526" s="90"/>
      <c r="G526" s="102">
        <f>cell_CoefGeneral</f>
        <v>1</v>
      </c>
      <c r="H526" s="90">
        <v>0</v>
      </c>
      <c r="I526" s="90">
        <f>IF(ISNUMBER(E526),ROUND(E526*H526,2),0)</f>
        <v>0</v>
      </c>
      <c r="J526" s="114" t="str">
        <f>IFERROR(I526/cell_Total_HT,"-")</f>
        <v>-</v>
      </c>
      <c r="K526">
        <f>I526</f>
        <v>0</v>
      </c>
      <c r="L526"/>
      <c r="M526"/>
      <c r="N526"/>
      <c r="O526"/>
      <c r="P526"/>
      <c r="Q526"/>
      <c r="R526"/>
      <c r="S526"/>
      <c r="T526"/>
    </row>
    <row r="527" spans="1:20" outlineLevel="1" x14ac:dyDescent="0.3">
      <c r="A527" s="88" t="s">
        <v>1003</v>
      </c>
      <c r="B527" s="10" t="s">
        <v>1004</v>
      </c>
      <c r="C527" s="65" t="s">
        <v>1005</v>
      </c>
      <c r="D527" s="44" t="s">
        <v>149</v>
      </c>
      <c r="E527" s="99" t="s">
        <v>22</v>
      </c>
      <c r="F527" s="90"/>
      <c r="G527" s="102">
        <f>cell_CoefGeneral</f>
        <v>1</v>
      </c>
      <c r="H527" s="90">
        <v>0</v>
      </c>
      <c r="I527" s="90">
        <f>IF(ISNUMBER(E527),ROUND(E527*H527,2),0)</f>
        <v>0</v>
      </c>
      <c r="J527" s="114" t="str">
        <f>IFERROR(I527/cell_Total_HT,"-")</f>
        <v>-</v>
      </c>
      <c r="K527">
        <f>I527</f>
        <v>0</v>
      </c>
      <c r="L527"/>
      <c r="M527"/>
      <c r="N527"/>
      <c r="O527"/>
      <c r="P527"/>
      <c r="Q527"/>
      <c r="R527"/>
      <c r="S527"/>
      <c r="T527"/>
    </row>
    <row r="528" spans="1:20" outlineLevel="1" x14ac:dyDescent="0.3">
      <c r="A528" s="88" t="s">
        <v>1006</v>
      </c>
      <c r="B528" s="10" t="s">
        <v>1007</v>
      </c>
      <c r="C528" s="65" t="s">
        <v>1008</v>
      </c>
      <c r="D528" s="44" t="s">
        <v>149</v>
      </c>
      <c r="E528" s="99" t="s">
        <v>22</v>
      </c>
      <c r="F528" s="90"/>
      <c r="G528" s="102">
        <f>cell_CoefGeneral</f>
        <v>1</v>
      </c>
      <c r="H528" s="90">
        <v>0</v>
      </c>
      <c r="I528" s="90">
        <f>IF(ISNUMBER(E528),ROUND(E528*H528,2),0)</f>
        <v>0</v>
      </c>
      <c r="J528" s="114" t="str">
        <f>IFERROR(I528/cell_Total_HT,"-")</f>
        <v>-</v>
      </c>
      <c r="K528">
        <f>I528</f>
        <v>0</v>
      </c>
      <c r="L528"/>
      <c r="M528"/>
      <c r="N528"/>
      <c r="O528"/>
      <c r="P528"/>
      <c r="Q528"/>
      <c r="R528"/>
      <c r="S528"/>
      <c r="T528"/>
    </row>
    <row r="529" spans="1:20" outlineLevel="1" x14ac:dyDescent="0.3">
      <c r="A529" s="88" t="s">
        <v>1009</v>
      </c>
      <c r="B529" s="10" t="s">
        <v>1010</v>
      </c>
      <c r="C529" s="65" t="s">
        <v>1011</v>
      </c>
      <c r="D529" s="44" t="s">
        <v>149</v>
      </c>
      <c r="E529" s="99" t="s">
        <v>22</v>
      </c>
      <c r="F529" s="90"/>
      <c r="G529" s="102">
        <f>cell_CoefGeneral</f>
        <v>1</v>
      </c>
      <c r="H529" s="90">
        <v>0</v>
      </c>
      <c r="I529" s="90">
        <f>IF(ISNUMBER(E529),ROUND(E529*H529,2),0)</f>
        <v>0</v>
      </c>
      <c r="J529" s="114" t="str">
        <f>IFERROR(I529/cell_Total_HT,"-")</f>
        <v>-</v>
      </c>
      <c r="K529">
        <f>I529</f>
        <v>0</v>
      </c>
      <c r="L529"/>
      <c r="M529"/>
      <c r="N529"/>
      <c r="O529"/>
      <c r="P529"/>
      <c r="Q529"/>
      <c r="R529"/>
      <c r="S529"/>
      <c r="T529"/>
    </row>
    <row r="530" spans="1:20" outlineLevel="1" x14ac:dyDescent="0.3">
      <c r="A530" s="88" t="s">
        <v>1012</v>
      </c>
      <c r="B530" s="10" t="s">
        <v>1013</v>
      </c>
      <c r="C530" s="65" t="s">
        <v>1014</v>
      </c>
      <c r="D530" s="44" t="s">
        <v>149</v>
      </c>
      <c r="E530" s="99" t="s">
        <v>22</v>
      </c>
      <c r="F530" s="90"/>
      <c r="G530" s="102">
        <f>cell_CoefGeneral</f>
        <v>1</v>
      </c>
      <c r="H530" s="90">
        <v>0</v>
      </c>
      <c r="I530" s="90">
        <f>IF(ISNUMBER(E530),ROUND(E530*H530,2),0)</f>
        <v>0</v>
      </c>
      <c r="J530" s="114" t="str">
        <f>IFERROR(I530/cell_Total_HT,"-")</f>
        <v>-</v>
      </c>
      <c r="K530">
        <f>I530</f>
        <v>0</v>
      </c>
      <c r="L530"/>
      <c r="M530"/>
      <c r="N530"/>
      <c r="O530"/>
      <c r="P530"/>
      <c r="Q530"/>
      <c r="R530"/>
      <c r="S530"/>
      <c r="T530"/>
    </row>
    <row r="531" spans="1:20" outlineLevel="1" x14ac:dyDescent="0.3">
      <c r="A531" s="88" t="s">
        <v>1015</v>
      </c>
      <c r="B531" s="10" t="s">
        <v>1016</v>
      </c>
      <c r="C531" s="65" t="s">
        <v>1017</v>
      </c>
      <c r="D531" s="44" t="s">
        <v>149</v>
      </c>
      <c r="E531" s="99" t="s">
        <v>22</v>
      </c>
      <c r="F531" s="90"/>
      <c r="G531" s="102">
        <f>cell_CoefGeneral</f>
        <v>1</v>
      </c>
      <c r="H531" s="90">
        <v>0</v>
      </c>
      <c r="I531" s="90">
        <f>IF(ISNUMBER(E531),ROUND(E531*H531,2),0)</f>
        <v>0</v>
      </c>
      <c r="J531" s="114" t="str">
        <f>IFERROR(I531/cell_Total_HT,"-")</f>
        <v>-</v>
      </c>
      <c r="K531">
        <f>I531</f>
        <v>0</v>
      </c>
      <c r="L531"/>
      <c r="M531"/>
      <c r="N531"/>
      <c r="O531"/>
      <c r="P531"/>
      <c r="Q531"/>
      <c r="R531"/>
      <c r="S531"/>
      <c r="T531"/>
    </row>
    <row r="532" spans="1:20" outlineLevel="1" x14ac:dyDescent="0.3">
      <c r="A532" s="88" t="s">
        <v>1018</v>
      </c>
      <c r="B532" s="10" t="s">
        <v>1019</v>
      </c>
      <c r="C532" s="65" t="s">
        <v>1020</v>
      </c>
      <c r="D532" s="44" t="s">
        <v>149</v>
      </c>
      <c r="E532" s="99" t="s">
        <v>22</v>
      </c>
      <c r="F532" s="90"/>
      <c r="G532" s="102">
        <f>cell_CoefGeneral</f>
        <v>1</v>
      </c>
      <c r="H532" s="90">
        <v>0</v>
      </c>
      <c r="I532" s="90">
        <f>IF(ISNUMBER(E532),ROUND(E532*H532,2),0)</f>
        <v>0</v>
      </c>
      <c r="J532" s="114" t="str">
        <f>IFERROR(I532/cell_Total_HT,"-")</f>
        <v>-</v>
      </c>
      <c r="K532">
        <f>I532</f>
        <v>0</v>
      </c>
      <c r="L532"/>
      <c r="M532"/>
      <c r="N532"/>
      <c r="O532"/>
      <c r="P532"/>
      <c r="Q532"/>
      <c r="R532"/>
      <c r="S532"/>
      <c r="T532"/>
    </row>
    <row r="533" spans="1:20" outlineLevel="1" x14ac:dyDescent="0.3">
      <c r="A533" s="88" t="s">
        <v>1021</v>
      </c>
      <c r="B533" s="10" t="s">
        <v>1022</v>
      </c>
      <c r="C533" s="65" t="s">
        <v>1023</v>
      </c>
      <c r="D533" s="44" t="s">
        <v>658</v>
      </c>
      <c r="E533" s="99" t="s">
        <v>22</v>
      </c>
      <c r="F533" s="90"/>
      <c r="G533" s="102">
        <f>cell_CoefGeneral</f>
        <v>1</v>
      </c>
      <c r="H533" s="90">
        <v>0</v>
      </c>
      <c r="I533" s="90">
        <f>IF(ISNUMBER(E533),ROUND(E533*H533,2),0)</f>
        <v>0</v>
      </c>
      <c r="J533" s="114" t="str">
        <f>IFERROR(I533/cell_Total_HT,"-")</f>
        <v>-</v>
      </c>
      <c r="K533">
        <f>I533</f>
        <v>0</v>
      </c>
      <c r="L533"/>
      <c r="M533"/>
      <c r="N533"/>
      <c r="O533"/>
      <c r="P533"/>
      <c r="Q533"/>
      <c r="R533"/>
      <c r="S533"/>
      <c r="T533"/>
    </row>
    <row r="534" spans="1:20" ht="28.8" outlineLevel="1" x14ac:dyDescent="0.3">
      <c r="A534" s="88" t="s">
        <v>1024</v>
      </c>
      <c r="B534" s="10" t="s">
        <v>1025</v>
      </c>
      <c r="C534" s="65" t="s">
        <v>1026</v>
      </c>
      <c r="D534" s="44" t="s">
        <v>658</v>
      </c>
      <c r="E534" s="99" t="s">
        <v>22</v>
      </c>
      <c r="F534" s="90"/>
      <c r="G534" s="102">
        <f>cell_CoefGeneral</f>
        <v>1</v>
      </c>
      <c r="H534" s="90">
        <v>0</v>
      </c>
      <c r="I534" s="90">
        <f>IF(ISNUMBER(E534),ROUND(E534*H534,2),0)</f>
        <v>0</v>
      </c>
      <c r="J534" s="114" t="str">
        <f>IFERROR(I534/cell_Total_HT,"-")</f>
        <v>-</v>
      </c>
      <c r="K534">
        <f>I534</f>
        <v>0</v>
      </c>
      <c r="L534"/>
      <c r="M534"/>
      <c r="N534"/>
      <c r="O534"/>
      <c r="P534"/>
      <c r="Q534"/>
      <c r="R534"/>
      <c r="S534"/>
      <c r="T534"/>
    </row>
    <row r="535" spans="1:20" outlineLevel="1" x14ac:dyDescent="0.3">
      <c r="A535" s="88" t="s">
        <v>1027</v>
      </c>
      <c r="B535" s="10" t="s">
        <v>1028</v>
      </c>
      <c r="C535" s="65" t="s">
        <v>1029</v>
      </c>
      <c r="D535" s="44" t="s">
        <v>658</v>
      </c>
      <c r="E535" s="99" t="s">
        <v>22</v>
      </c>
      <c r="F535" s="90"/>
      <c r="G535" s="102">
        <f>cell_CoefGeneral</f>
        <v>1</v>
      </c>
      <c r="H535" s="90">
        <v>0</v>
      </c>
      <c r="I535" s="90">
        <f>IF(ISNUMBER(E535),ROUND(E535*H535,2),0)</f>
        <v>0</v>
      </c>
      <c r="J535" s="114" t="str">
        <f>IFERROR(I535/cell_Total_HT,"-")</f>
        <v>-</v>
      </c>
      <c r="K535">
        <f>I535</f>
        <v>0</v>
      </c>
      <c r="L535"/>
      <c r="M535"/>
      <c r="N535"/>
      <c r="O535"/>
      <c r="P535"/>
      <c r="Q535"/>
      <c r="R535"/>
      <c r="S535"/>
      <c r="T535"/>
    </row>
    <row r="536" spans="1:20" outlineLevel="1" x14ac:dyDescent="0.3">
      <c r="A536" s="88" t="s">
        <v>1030</v>
      </c>
      <c r="B536" s="10" t="s">
        <v>1031</v>
      </c>
      <c r="C536" s="65" t="s">
        <v>1032</v>
      </c>
      <c r="D536" s="44" t="s">
        <v>658</v>
      </c>
      <c r="E536" s="99" t="s">
        <v>22</v>
      </c>
      <c r="F536" s="90"/>
      <c r="G536" s="102">
        <f>cell_CoefGeneral</f>
        <v>1</v>
      </c>
      <c r="H536" s="90">
        <v>0</v>
      </c>
      <c r="I536" s="90">
        <f>IF(ISNUMBER(E536),ROUND(E536*H536,2),0)</f>
        <v>0</v>
      </c>
      <c r="J536" s="114" t="str">
        <f>IFERROR(I536/cell_Total_HT,"-")</f>
        <v>-</v>
      </c>
      <c r="K536">
        <f>I536</f>
        <v>0</v>
      </c>
      <c r="L536"/>
      <c r="M536"/>
      <c r="N536"/>
      <c r="O536"/>
      <c r="P536"/>
      <c r="Q536"/>
      <c r="R536"/>
      <c r="S536"/>
      <c r="T536"/>
    </row>
    <row r="537" spans="1:20" outlineLevel="1" x14ac:dyDescent="0.3">
      <c r="A537" s="88" t="s">
        <v>1033</v>
      </c>
      <c r="B537" s="10" t="s">
        <v>1034</v>
      </c>
      <c r="C537" s="65" t="s">
        <v>1035</v>
      </c>
      <c r="D537" s="44" t="s">
        <v>658</v>
      </c>
      <c r="E537" s="99" t="s">
        <v>22</v>
      </c>
      <c r="F537" s="90"/>
      <c r="G537" s="102">
        <f>cell_CoefGeneral</f>
        <v>1</v>
      </c>
      <c r="H537" s="90">
        <v>0</v>
      </c>
      <c r="I537" s="90">
        <f>IF(ISNUMBER(E537),ROUND(E537*H537,2),0)</f>
        <v>0</v>
      </c>
      <c r="J537" s="114" t="str">
        <f>IFERROR(I537/cell_Total_HT,"-")</f>
        <v>-</v>
      </c>
      <c r="K537">
        <f>I537</f>
        <v>0</v>
      </c>
      <c r="L537"/>
      <c r="M537"/>
      <c r="N537"/>
      <c r="O537"/>
      <c r="P537"/>
      <c r="Q537"/>
      <c r="R537"/>
      <c r="S537"/>
      <c r="T537"/>
    </row>
    <row r="538" spans="1:20" outlineLevel="1" x14ac:dyDescent="0.3">
      <c r="A538" s="88" t="s">
        <v>1036</v>
      </c>
      <c r="B538" s="10" t="s">
        <v>1037</v>
      </c>
      <c r="C538" s="65" t="s">
        <v>1038</v>
      </c>
      <c r="D538" s="44" t="s">
        <v>80</v>
      </c>
      <c r="E538" s="99" t="s">
        <v>22</v>
      </c>
      <c r="F538" s="90"/>
      <c r="G538" s="102">
        <f>cell_CoefGeneral</f>
        <v>1</v>
      </c>
      <c r="H538" s="90">
        <v>0</v>
      </c>
      <c r="I538" s="90">
        <f>IF(ISNUMBER(E538),ROUND(E538*H538,2),0)</f>
        <v>0</v>
      </c>
      <c r="J538" s="114" t="str">
        <f>IFERROR(I538/cell_Total_HT,"-")</f>
        <v>-</v>
      </c>
      <c r="K538">
        <f>I538</f>
        <v>0</v>
      </c>
      <c r="L538"/>
      <c r="M538"/>
      <c r="N538"/>
      <c r="O538"/>
      <c r="P538"/>
      <c r="Q538"/>
      <c r="R538"/>
      <c r="S538"/>
      <c r="T538"/>
    </row>
    <row r="539" spans="1:20" outlineLevel="1" x14ac:dyDescent="0.3">
      <c r="A539" s="88" t="s">
        <v>1039</v>
      </c>
      <c r="B539" s="10" t="s">
        <v>1040</v>
      </c>
      <c r="C539" s="65" t="s">
        <v>1041</v>
      </c>
      <c r="D539" s="44" t="s">
        <v>658</v>
      </c>
      <c r="E539" s="99" t="s">
        <v>22</v>
      </c>
      <c r="F539" s="90"/>
      <c r="G539" s="102">
        <f>cell_CoefGeneral</f>
        <v>1</v>
      </c>
      <c r="H539" s="90">
        <v>0</v>
      </c>
      <c r="I539" s="90">
        <f>IF(ISNUMBER(E539),ROUND(E539*H539,2),0)</f>
        <v>0</v>
      </c>
      <c r="J539" s="114" t="str">
        <f>IFERROR(I539/cell_Total_HT,"-")</f>
        <v>-</v>
      </c>
      <c r="K539">
        <f>I539</f>
        <v>0</v>
      </c>
      <c r="L539"/>
      <c r="M539"/>
      <c r="N539"/>
      <c r="O539"/>
      <c r="P539"/>
      <c r="Q539"/>
      <c r="R539"/>
      <c r="S539"/>
      <c r="T539"/>
    </row>
    <row r="540" spans="1:20" outlineLevel="1" x14ac:dyDescent="0.3">
      <c r="A540" s="88" t="s">
        <v>1042</v>
      </c>
      <c r="B540" s="10" t="s">
        <v>1043</v>
      </c>
      <c r="C540" s="65" t="s">
        <v>1044</v>
      </c>
      <c r="D540" s="44" t="s">
        <v>658</v>
      </c>
      <c r="E540" s="99" t="s">
        <v>22</v>
      </c>
      <c r="F540" s="90"/>
      <c r="G540" s="102">
        <f>cell_CoefGeneral</f>
        <v>1</v>
      </c>
      <c r="H540" s="90">
        <v>0</v>
      </c>
      <c r="I540" s="90">
        <f>IF(ISNUMBER(E540),ROUND(E540*H540,2),0)</f>
        <v>0</v>
      </c>
      <c r="J540" s="114" t="str">
        <f>IFERROR(I540/cell_Total_HT,"-")</f>
        <v>-</v>
      </c>
      <c r="K540">
        <f>I540</f>
        <v>0</v>
      </c>
      <c r="L540"/>
      <c r="M540"/>
      <c r="N540"/>
      <c r="O540"/>
      <c r="P540"/>
      <c r="Q540"/>
      <c r="R540"/>
      <c r="S540"/>
      <c r="T540"/>
    </row>
    <row r="541" spans="1:20" outlineLevel="1" x14ac:dyDescent="0.3">
      <c r="A541" s="88" t="s">
        <v>1045</v>
      </c>
      <c r="B541" s="10" t="s">
        <v>1046</v>
      </c>
      <c r="C541" s="65" t="s">
        <v>1047</v>
      </c>
      <c r="D541" s="44" t="s">
        <v>658</v>
      </c>
      <c r="E541" s="99" t="s">
        <v>22</v>
      </c>
      <c r="F541" s="90"/>
      <c r="G541" s="102">
        <f>cell_CoefGeneral</f>
        <v>1</v>
      </c>
      <c r="H541" s="90">
        <v>0</v>
      </c>
      <c r="I541" s="90">
        <f>IF(ISNUMBER(E541),ROUND(E541*H541,2),0)</f>
        <v>0</v>
      </c>
      <c r="J541" s="114" t="str">
        <f>IFERROR(I541/cell_Total_HT,"-")</f>
        <v>-</v>
      </c>
      <c r="K541">
        <f>I541</f>
        <v>0</v>
      </c>
      <c r="L541"/>
      <c r="M541"/>
      <c r="N541"/>
      <c r="O541"/>
      <c r="P541"/>
      <c r="Q541"/>
      <c r="R541"/>
      <c r="S541"/>
      <c r="T541"/>
    </row>
    <row r="542" spans="1:20" outlineLevel="1" x14ac:dyDescent="0.3">
      <c r="A542" s="88" t="s">
        <v>1048</v>
      </c>
      <c r="B542" s="10" t="s">
        <v>1049</v>
      </c>
      <c r="C542" s="65" t="s">
        <v>1050</v>
      </c>
      <c r="D542" s="44" t="s">
        <v>149</v>
      </c>
      <c r="E542" s="99" t="s">
        <v>22</v>
      </c>
      <c r="F542" s="90"/>
      <c r="G542" s="102">
        <f>cell_CoefGeneral</f>
        <v>1</v>
      </c>
      <c r="H542" s="90">
        <v>0</v>
      </c>
      <c r="I542" s="90">
        <f>IF(ISNUMBER(E542),ROUND(E542*H542,2),0)</f>
        <v>0</v>
      </c>
      <c r="J542" s="114" t="str">
        <f>IFERROR(I542/cell_Total_HT,"-")</f>
        <v>-</v>
      </c>
      <c r="K542">
        <f>I542</f>
        <v>0</v>
      </c>
      <c r="L542"/>
      <c r="M542"/>
      <c r="N542"/>
      <c r="O542"/>
      <c r="P542"/>
      <c r="Q542"/>
      <c r="R542"/>
      <c r="S542"/>
      <c r="T542"/>
    </row>
    <row r="543" spans="1:20" outlineLevel="1" x14ac:dyDescent="0.3">
      <c r="A543" s="88" t="s">
        <v>1051</v>
      </c>
      <c r="B543" s="10" t="s">
        <v>1052</v>
      </c>
      <c r="C543" s="65" t="s">
        <v>1053</v>
      </c>
      <c r="D543" s="44" t="s">
        <v>658</v>
      </c>
      <c r="E543" s="99" t="s">
        <v>22</v>
      </c>
      <c r="F543" s="90"/>
      <c r="G543" s="102">
        <f>cell_CoefGeneral</f>
        <v>1</v>
      </c>
      <c r="H543" s="90">
        <v>0</v>
      </c>
      <c r="I543" s="90">
        <f>IF(ISNUMBER(E543),ROUND(E543*H543,2),0)</f>
        <v>0</v>
      </c>
      <c r="J543" s="114" t="str">
        <f>IFERROR(I543/cell_Total_HT,"-")</f>
        <v>-</v>
      </c>
      <c r="K543">
        <f>I543</f>
        <v>0</v>
      </c>
      <c r="L543"/>
      <c r="M543"/>
      <c r="N543"/>
      <c r="O543"/>
      <c r="P543"/>
      <c r="Q543"/>
      <c r="R543"/>
      <c r="S543"/>
      <c r="T543"/>
    </row>
    <row r="544" spans="1:20" outlineLevel="1" x14ac:dyDescent="0.3">
      <c r="A544" s="88" t="s">
        <v>1054</v>
      </c>
      <c r="B544" s="10" t="s">
        <v>1055</v>
      </c>
      <c r="C544" s="65" t="s">
        <v>1056</v>
      </c>
      <c r="D544" s="44" t="s">
        <v>149</v>
      </c>
      <c r="E544" s="99" t="s">
        <v>22</v>
      </c>
      <c r="F544" s="90"/>
      <c r="G544" s="102">
        <f>cell_CoefGeneral</f>
        <v>1</v>
      </c>
      <c r="H544" s="90">
        <v>0</v>
      </c>
      <c r="I544" s="90">
        <f>IF(ISNUMBER(E544),ROUND(E544*H544,2),0)</f>
        <v>0</v>
      </c>
      <c r="J544" s="114" t="str">
        <f>IFERROR(I544/cell_Total_HT,"-")</f>
        <v>-</v>
      </c>
      <c r="K544">
        <f>I544</f>
        <v>0</v>
      </c>
      <c r="L544"/>
      <c r="M544"/>
      <c r="N544"/>
      <c r="O544"/>
      <c r="P544"/>
      <c r="Q544"/>
      <c r="R544"/>
      <c r="S544"/>
      <c r="T544"/>
    </row>
    <row r="545" spans="1:20" outlineLevel="1" x14ac:dyDescent="0.3">
      <c r="A545" s="88" t="s">
        <v>1057</v>
      </c>
      <c r="B545" s="10" t="s">
        <v>1058</v>
      </c>
      <c r="C545" s="65" t="s">
        <v>1059</v>
      </c>
      <c r="D545" s="44" t="s">
        <v>149</v>
      </c>
      <c r="E545" s="99" t="s">
        <v>22</v>
      </c>
      <c r="F545" s="90"/>
      <c r="G545" s="102">
        <f>cell_CoefGeneral</f>
        <v>1</v>
      </c>
      <c r="H545" s="90">
        <v>0</v>
      </c>
      <c r="I545" s="90">
        <f>IF(ISNUMBER(E545),ROUND(E545*H545,2),0)</f>
        <v>0</v>
      </c>
      <c r="J545" s="114" t="str">
        <f>IFERROR(I545/cell_Total_HT,"-")</f>
        <v>-</v>
      </c>
      <c r="K545">
        <f>I545</f>
        <v>0</v>
      </c>
      <c r="L545"/>
      <c r="M545"/>
      <c r="N545"/>
      <c r="O545"/>
      <c r="P545"/>
      <c r="Q545"/>
      <c r="R545"/>
      <c r="S545"/>
      <c r="T545"/>
    </row>
    <row r="546" spans="1:20" outlineLevel="1" x14ac:dyDescent="0.3">
      <c r="A546" s="88" t="s">
        <v>1060</v>
      </c>
      <c r="B546" s="10" t="s">
        <v>1061</v>
      </c>
      <c r="C546" s="65" t="s">
        <v>1062</v>
      </c>
      <c r="D546" s="44" t="s">
        <v>149</v>
      </c>
      <c r="E546" s="99" t="s">
        <v>22</v>
      </c>
      <c r="F546" s="90"/>
      <c r="G546" s="102">
        <f>cell_CoefGeneral</f>
        <v>1</v>
      </c>
      <c r="H546" s="90">
        <v>0</v>
      </c>
      <c r="I546" s="90">
        <f>IF(ISNUMBER(E546),ROUND(E546*H546,2),0)</f>
        <v>0</v>
      </c>
      <c r="J546" s="114" t="str">
        <f>IFERROR(I546/cell_Total_HT,"-")</f>
        <v>-</v>
      </c>
      <c r="K546">
        <f>I546</f>
        <v>0</v>
      </c>
      <c r="L546"/>
      <c r="M546"/>
      <c r="N546"/>
      <c r="O546"/>
      <c r="P546"/>
      <c r="Q546"/>
      <c r="R546"/>
      <c r="S546"/>
      <c r="T546"/>
    </row>
    <row r="547" spans="1:20" outlineLevel="1" x14ac:dyDescent="0.3">
      <c r="A547" s="88" t="s">
        <v>1063</v>
      </c>
      <c r="B547" s="10" t="s">
        <v>1064</v>
      </c>
      <c r="C547" s="65" t="s">
        <v>1065</v>
      </c>
      <c r="D547" s="44" t="s">
        <v>149</v>
      </c>
      <c r="E547" s="99" t="s">
        <v>22</v>
      </c>
      <c r="F547" s="90"/>
      <c r="G547" s="102">
        <f>cell_CoefGeneral</f>
        <v>1</v>
      </c>
      <c r="H547" s="90">
        <v>0</v>
      </c>
      <c r="I547" s="90">
        <f>IF(ISNUMBER(E547),ROUND(E547*H547,2),0)</f>
        <v>0</v>
      </c>
      <c r="J547" s="114" t="str">
        <f>IFERROR(I547/cell_Total_HT,"-")</f>
        <v>-</v>
      </c>
      <c r="K547">
        <f>I547</f>
        <v>0</v>
      </c>
      <c r="L547"/>
      <c r="M547"/>
      <c r="N547"/>
      <c r="O547"/>
      <c r="P547"/>
      <c r="Q547"/>
      <c r="R547"/>
      <c r="S547"/>
      <c r="T547"/>
    </row>
    <row r="548" spans="1:20" outlineLevel="1" x14ac:dyDescent="0.3">
      <c r="A548" s="88" t="s">
        <v>1066</v>
      </c>
      <c r="B548" s="10" t="s">
        <v>1067</v>
      </c>
      <c r="C548" s="65" t="s">
        <v>1068</v>
      </c>
      <c r="D548" s="44" t="s">
        <v>149</v>
      </c>
      <c r="E548" s="99" t="s">
        <v>22</v>
      </c>
      <c r="F548" s="90"/>
      <c r="G548" s="102">
        <f>cell_CoefGeneral</f>
        <v>1</v>
      </c>
      <c r="H548" s="90">
        <v>0</v>
      </c>
      <c r="I548" s="90">
        <f>IF(ISNUMBER(E548),ROUND(E548*H548,2),0)</f>
        <v>0</v>
      </c>
      <c r="J548" s="114" t="str">
        <f>IFERROR(I548/cell_Total_HT,"-")</f>
        <v>-</v>
      </c>
      <c r="K548">
        <f>I548</f>
        <v>0</v>
      </c>
      <c r="L548"/>
      <c r="M548"/>
      <c r="N548"/>
      <c r="O548"/>
      <c r="P548"/>
      <c r="Q548"/>
      <c r="R548"/>
      <c r="S548"/>
      <c r="T548"/>
    </row>
    <row r="549" spans="1:20" outlineLevel="1" x14ac:dyDescent="0.3">
      <c r="A549" s="88" t="s">
        <v>1069</v>
      </c>
      <c r="B549" s="10" t="s">
        <v>1070</v>
      </c>
      <c r="C549" s="65" t="s">
        <v>1071</v>
      </c>
      <c r="D549" s="44" t="s">
        <v>658</v>
      </c>
      <c r="E549" s="99" t="s">
        <v>22</v>
      </c>
      <c r="F549" s="90"/>
      <c r="G549" s="102">
        <f>cell_CoefGeneral</f>
        <v>1</v>
      </c>
      <c r="H549" s="90">
        <v>0</v>
      </c>
      <c r="I549" s="90">
        <f>IF(ISNUMBER(E549),ROUND(E549*H549,2),0)</f>
        <v>0</v>
      </c>
      <c r="J549" s="114" t="str">
        <f>IFERROR(I549/cell_Total_HT,"-")</f>
        <v>-</v>
      </c>
      <c r="K549">
        <f>I549</f>
        <v>0</v>
      </c>
      <c r="L549"/>
      <c r="M549"/>
      <c r="N549"/>
      <c r="O549"/>
      <c r="P549"/>
      <c r="Q549"/>
      <c r="R549"/>
      <c r="S549"/>
      <c r="T549"/>
    </row>
    <row r="550" spans="1:20" outlineLevel="1" x14ac:dyDescent="0.3">
      <c r="A550" s="88" t="s">
        <v>1072</v>
      </c>
      <c r="B550" s="10" t="s">
        <v>1073</v>
      </c>
      <c r="C550" s="65" t="s">
        <v>1074</v>
      </c>
      <c r="D550" s="44" t="s">
        <v>658</v>
      </c>
      <c r="E550" s="99" t="s">
        <v>22</v>
      </c>
      <c r="F550" s="90"/>
      <c r="G550" s="102">
        <f>cell_CoefGeneral</f>
        <v>1</v>
      </c>
      <c r="H550" s="90">
        <v>0</v>
      </c>
      <c r="I550" s="90">
        <f>IF(ISNUMBER(E550),ROUND(E550*H550,2),0)</f>
        <v>0</v>
      </c>
      <c r="J550" s="114" t="str">
        <f>IFERROR(I550/cell_Total_HT,"-")</f>
        <v>-</v>
      </c>
      <c r="K550">
        <f>I550</f>
        <v>0</v>
      </c>
      <c r="L550"/>
      <c r="M550"/>
      <c r="N550"/>
      <c r="O550"/>
      <c r="P550"/>
      <c r="Q550"/>
      <c r="R550"/>
      <c r="S550"/>
      <c r="T550"/>
    </row>
    <row r="551" spans="1:20" outlineLevel="1" x14ac:dyDescent="0.3">
      <c r="A551" s="88" t="s">
        <v>1075</v>
      </c>
      <c r="B551" s="10" t="s">
        <v>1076</v>
      </c>
      <c r="C551" s="65" t="s">
        <v>1077</v>
      </c>
      <c r="D551" s="44" t="s">
        <v>658</v>
      </c>
      <c r="E551" s="99" t="s">
        <v>22</v>
      </c>
      <c r="F551" s="90"/>
      <c r="G551" s="102">
        <f>cell_CoefGeneral</f>
        <v>1</v>
      </c>
      <c r="H551" s="90">
        <v>0</v>
      </c>
      <c r="I551" s="90">
        <f>IF(ISNUMBER(E551),ROUND(E551*H551,2),0)</f>
        <v>0</v>
      </c>
      <c r="J551" s="114" t="str">
        <f>IFERROR(I551/cell_Total_HT,"-")</f>
        <v>-</v>
      </c>
      <c r="K551">
        <f>I551</f>
        <v>0</v>
      </c>
      <c r="L551"/>
      <c r="M551"/>
      <c r="N551"/>
      <c r="O551"/>
      <c r="P551"/>
      <c r="Q551"/>
      <c r="R551"/>
      <c r="S551"/>
      <c r="T551"/>
    </row>
    <row r="552" spans="1:20" outlineLevel="1" x14ac:dyDescent="0.3">
      <c r="A552" s="88" t="s">
        <v>1078</v>
      </c>
      <c r="B552" s="10" t="s">
        <v>1079</v>
      </c>
      <c r="C552" s="65" t="s">
        <v>1050</v>
      </c>
      <c r="D552" s="44" t="s">
        <v>149</v>
      </c>
      <c r="E552" s="99" t="s">
        <v>22</v>
      </c>
      <c r="F552" s="90"/>
      <c r="G552" s="102">
        <f>cell_CoefGeneral</f>
        <v>1</v>
      </c>
      <c r="H552" s="90">
        <v>0</v>
      </c>
      <c r="I552" s="90">
        <f>IF(ISNUMBER(E552),ROUND(E552*H552,2),0)</f>
        <v>0</v>
      </c>
      <c r="J552" s="114" t="str">
        <f>IFERROR(I552/cell_Total_HT,"-")</f>
        <v>-</v>
      </c>
      <c r="K552">
        <f>I552</f>
        <v>0</v>
      </c>
      <c r="L552"/>
      <c r="M552"/>
      <c r="N552"/>
      <c r="O552"/>
      <c r="P552"/>
      <c r="Q552"/>
      <c r="R552"/>
      <c r="S552"/>
      <c r="T552"/>
    </row>
    <row r="553" spans="1:20" outlineLevel="1" x14ac:dyDescent="0.3">
      <c r="A553" s="88" t="s">
        <v>1080</v>
      </c>
      <c r="B553" s="10" t="s">
        <v>1081</v>
      </c>
      <c r="C553" s="65" t="s">
        <v>1082</v>
      </c>
      <c r="D553" s="44" t="s">
        <v>658</v>
      </c>
      <c r="E553" s="99" t="s">
        <v>22</v>
      </c>
      <c r="F553" s="90"/>
      <c r="G553" s="102">
        <f>cell_CoefGeneral</f>
        <v>1</v>
      </c>
      <c r="H553" s="90">
        <v>0</v>
      </c>
      <c r="I553" s="90">
        <f>IF(ISNUMBER(E553),ROUND(E553*H553,2),0)</f>
        <v>0</v>
      </c>
      <c r="J553" s="114" t="str">
        <f>IFERROR(I553/cell_Total_HT,"-")</f>
        <v>-</v>
      </c>
      <c r="K553">
        <f>I553</f>
        <v>0</v>
      </c>
      <c r="L553"/>
      <c r="M553"/>
      <c r="N553"/>
      <c r="O553"/>
      <c r="P553"/>
      <c r="Q553"/>
      <c r="R553"/>
      <c r="S553"/>
      <c r="T553"/>
    </row>
    <row r="554" spans="1:20" outlineLevel="1" x14ac:dyDescent="0.3">
      <c r="A554" s="88" t="s">
        <v>1083</v>
      </c>
      <c r="B554" s="10" t="s">
        <v>1084</v>
      </c>
      <c r="C554" s="65" t="s">
        <v>1056</v>
      </c>
      <c r="D554" s="44" t="s">
        <v>149</v>
      </c>
      <c r="E554" s="99" t="s">
        <v>22</v>
      </c>
      <c r="F554" s="90"/>
      <c r="G554" s="102">
        <f>cell_CoefGeneral</f>
        <v>1</v>
      </c>
      <c r="H554" s="90">
        <v>0</v>
      </c>
      <c r="I554" s="90">
        <f>IF(ISNUMBER(E554),ROUND(E554*H554,2),0)</f>
        <v>0</v>
      </c>
      <c r="J554" s="114" t="str">
        <f>IFERROR(I554/cell_Total_HT,"-")</f>
        <v>-</v>
      </c>
      <c r="K554">
        <f>I554</f>
        <v>0</v>
      </c>
      <c r="L554"/>
      <c r="M554"/>
      <c r="N554"/>
      <c r="O554"/>
      <c r="P554"/>
      <c r="Q554"/>
      <c r="R554"/>
      <c r="S554"/>
      <c r="T554"/>
    </row>
    <row r="555" spans="1:20" outlineLevel="1" x14ac:dyDescent="0.3">
      <c r="A555" s="88" t="s">
        <v>1085</v>
      </c>
      <c r="B555" s="10" t="s">
        <v>1086</v>
      </c>
      <c r="C555" s="65" t="s">
        <v>1059</v>
      </c>
      <c r="D555" s="44" t="s">
        <v>149</v>
      </c>
      <c r="E555" s="99" t="s">
        <v>22</v>
      </c>
      <c r="F555" s="90"/>
      <c r="G555" s="102">
        <f>cell_CoefGeneral</f>
        <v>1</v>
      </c>
      <c r="H555" s="90">
        <v>0</v>
      </c>
      <c r="I555" s="90">
        <f>IF(ISNUMBER(E555),ROUND(E555*H555,2),0)</f>
        <v>0</v>
      </c>
      <c r="J555" s="114" t="str">
        <f>IFERROR(I555/cell_Total_HT,"-")</f>
        <v>-</v>
      </c>
      <c r="K555">
        <f>I555</f>
        <v>0</v>
      </c>
      <c r="L555"/>
      <c r="M555"/>
      <c r="N555"/>
      <c r="O555"/>
      <c r="P555"/>
      <c r="Q555"/>
      <c r="R555"/>
      <c r="S555"/>
      <c r="T555"/>
    </row>
    <row r="556" spans="1:20" outlineLevel="1" x14ac:dyDescent="0.3">
      <c r="A556" s="88" t="s">
        <v>1087</v>
      </c>
      <c r="B556" s="10" t="s">
        <v>1088</v>
      </c>
      <c r="C556" s="65" t="s">
        <v>1089</v>
      </c>
      <c r="D556" s="44" t="s">
        <v>149</v>
      </c>
      <c r="E556" s="99" t="s">
        <v>22</v>
      </c>
      <c r="F556" s="90"/>
      <c r="G556" s="102">
        <f>cell_CoefGeneral</f>
        <v>1</v>
      </c>
      <c r="H556" s="90">
        <v>0</v>
      </c>
      <c r="I556" s="90">
        <f>IF(ISNUMBER(E556),ROUND(E556*H556,2),0)</f>
        <v>0</v>
      </c>
      <c r="J556" s="114" t="str">
        <f>IFERROR(I556/cell_Total_HT,"-")</f>
        <v>-</v>
      </c>
      <c r="K556">
        <f>I556</f>
        <v>0</v>
      </c>
      <c r="L556"/>
      <c r="M556"/>
      <c r="N556"/>
      <c r="O556"/>
      <c r="P556"/>
      <c r="Q556"/>
      <c r="R556"/>
      <c r="S556"/>
      <c r="T556"/>
    </row>
    <row r="557" spans="1:20" outlineLevel="1" x14ac:dyDescent="0.3">
      <c r="A557" s="88" t="s">
        <v>1090</v>
      </c>
      <c r="B557" s="10" t="s">
        <v>1091</v>
      </c>
      <c r="C557" s="65" t="s">
        <v>1092</v>
      </c>
      <c r="D557" s="44" t="s">
        <v>149</v>
      </c>
      <c r="E557" s="99" t="s">
        <v>22</v>
      </c>
      <c r="F557" s="90"/>
      <c r="G557" s="102">
        <f>cell_CoefGeneral</f>
        <v>1</v>
      </c>
      <c r="H557" s="90">
        <v>0</v>
      </c>
      <c r="I557" s="90">
        <f>IF(ISNUMBER(E557),ROUND(E557*H557,2),0)</f>
        <v>0</v>
      </c>
      <c r="J557" s="114" t="str">
        <f>IFERROR(I557/cell_Total_HT,"-")</f>
        <v>-</v>
      </c>
      <c r="K557">
        <f>I557</f>
        <v>0</v>
      </c>
      <c r="L557"/>
      <c r="M557"/>
      <c r="N557"/>
      <c r="O557"/>
      <c r="P557"/>
      <c r="Q557"/>
      <c r="R557"/>
      <c r="S557"/>
      <c r="T557"/>
    </row>
    <row r="558" spans="1:20" outlineLevel="1" x14ac:dyDescent="0.3">
      <c r="A558" s="88" t="s">
        <v>1093</v>
      </c>
      <c r="B558" s="10" t="s">
        <v>1094</v>
      </c>
      <c r="C558" s="65" t="s">
        <v>1095</v>
      </c>
      <c r="D558" s="44" t="s">
        <v>149</v>
      </c>
      <c r="E558" s="99" t="s">
        <v>22</v>
      </c>
      <c r="F558" s="90"/>
      <c r="G558" s="102">
        <f>cell_CoefGeneral</f>
        <v>1</v>
      </c>
      <c r="H558" s="90">
        <v>0</v>
      </c>
      <c r="I558" s="90">
        <f>IF(ISNUMBER(E558),ROUND(E558*H558,2),0)</f>
        <v>0</v>
      </c>
      <c r="J558" s="114" t="str">
        <f>IFERROR(I558/cell_Total_HT,"-")</f>
        <v>-</v>
      </c>
      <c r="K558">
        <f>I558</f>
        <v>0</v>
      </c>
      <c r="L558"/>
      <c r="M558"/>
      <c r="N558"/>
      <c r="O558"/>
      <c r="P558"/>
      <c r="Q558"/>
      <c r="R558"/>
      <c r="S558"/>
      <c r="T558"/>
    </row>
    <row r="559" spans="1:20" outlineLevel="1" x14ac:dyDescent="0.3">
      <c r="A559" s="88" t="s">
        <v>1096</v>
      </c>
      <c r="B559" s="10" t="s">
        <v>1097</v>
      </c>
      <c r="C559" s="65" t="s">
        <v>1098</v>
      </c>
      <c r="D559" s="44" t="s">
        <v>149</v>
      </c>
      <c r="E559" s="99" t="s">
        <v>22</v>
      </c>
      <c r="F559" s="90"/>
      <c r="G559" s="102">
        <f>cell_CoefGeneral</f>
        <v>1</v>
      </c>
      <c r="H559" s="90">
        <v>0</v>
      </c>
      <c r="I559" s="90">
        <f>IF(ISNUMBER(E559),ROUND(E559*H559,2),0)</f>
        <v>0</v>
      </c>
      <c r="J559" s="114" t="str">
        <f>IFERROR(I559/cell_Total_HT,"-")</f>
        <v>-</v>
      </c>
      <c r="K559">
        <f>I559</f>
        <v>0</v>
      </c>
      <c r="L559"/>
      <c r="M559"/>
      <c r="N559"/>
      <c r="O559"/>
      <c r="P559"/>
      <c r="Q559"/>
      <c r="R559"/>
      <c r="S559"/>
      <c r="T559"/>
    </row>
    <row r="560" spans="1:20" outlineLevel="1" x14ac:dyDescent="0.3">
      <c r="A560" s="88" t="s">
        <v>1099</v>
      </c>
      <c r="B560" s="10" t="s">
        <v>1100</v>
      </c>
      <c r="C560" s="65" t="s">
        <v>1101</v>
      </c>
      <c r="D560" s="44" t="s">
        <v>149</v>
      </c>
      <c r="E560" s="99" t="s">
        <v>22</v>
      </c>
      <c r="F560" s="90"/>
      <c r="G560" s="102">
        <f>cell_CoefGeneral</f>
        <v>1</v>
      </c>
      <c r="H560" s="90">
        <v>0</v>
      </c>
      <c r="I560" s="90">
        <f>IF(ISNUMBER(E560),ROUND(E560*H560,2),0)</f>
        <v>0</v>
      </c>
      <c r="J560" s="114" t="str">
        <f>IFERROR(I560/cell_Total_HT,"-")</f>
        <v>-</v>
      </c>
      <c r="K560">
        <f>I560</f>
        <v>0</v>
      </c>
      <c r="L560"/>
      <c r="M560"/>
      <c r="N560"/>
      <c r="O560"/>
      <c r="P560"/>
      <c r="Q560"/>
      <c r="R560"/>
      <c r="S560"/>
      <c r="T560"/>
    </row>
    <row r="561" spans="1:20" outlineLevel="1" x14ac:dyDescent="0.3">
      <c r="A561" s="88" t="s">
        <v>1102</v>
      </c>
      <c r="B561" s="10" t="s">
        <v>1103</v>
      </c>
      <c r="C561" s="65" t="s">
        <v>1104</v>
      </c>
      <c r="D561" s="44" t="s">
        <v>149</v>
      </c>
      <c r="E561" s="99" t="s">
        <v>22</v>
      </c>
      <c r="F561" s="90"/>
      <c r="G561" s="102">
        <f>cell_CoefGeneral</f>
        <v>1</v>
      </c>
      <c r="H561" s="90">
        <v>0</v>
      </c>
      <c r="I561" s="90">
        <f>IF(ISNUMBER(E561),ROUND(E561*H561,2),0)</f>
        <v>0</v>
      </c>
      <c r="J561" s="114" t="str">
        <f>IFERROR(I561/cell_Total_HT,"-")</f>
        <v>-</v>
      </c>
      <c r="K561">
        <f>I561</f>
        <v>0</v>
      </c>
      <c r="L561"/>
      <c r="M561"/>
      <c r="N561"/>
      <c r="O561"/>
      <c r="P561"/>
      <c r="Q561"/>
      <c r="R561"/>
      <c r="S561"/>
      <c r="T561"/>
    </row>
    <row r="562" spans="1:20" outlineLevel="1" x14ac:dyDescent="0.3">
      <c r="A562" s="88" t="s">
        <v>1105</v>
      </c>
      <c r="B562" s="10" t="s">
        <v>1106</v>
      </c>
      <c r="C562" s="65" t="s">
        <v>1107</v>
      </c>
      <c r="D562" s="44" t="s">
        <v>658</v>
      </c>
      <c r="E562" s="99" t="s">
        <v>22</v>
      </c>
      <c r="F562" s="90"/>
      <c r="G562" s="102">
        <f>cell_CoefGeneral</f>
        <v>1</v>
      </c>
      <c r="H562" s="90">
        <v>0</v>
      </c>
      <c r="I562" s="90">
        <f>IF(ISNUMBER(E562),ROUND(E562*H562,2),0)</f>
        <v>0</v>
      </c>
      <c r="J562" s="114" t="str">
        <f>IFERROR(I562/cell_Total_HT,"-")</f>
        <v>-</v>
      </c>
      <c r="K562">
        <f>I562</f>
        <v>0</v>
      </c>
      <c r="L562"/>
      <c r="M562"/>
      <c r="N562"/>
      <c r="O562"/>
      <c r="P562"/>
      <c r="Q562"/>
      <c r="R562"/>
      <c r="S562"/>
      <c r="T562"/>
    </row>
    <row r="563" spans="1:20" outlineLevel="1" x14ac:dyDescent="0.3">
      <c r="A563" s="88" t="s">
        <v>1108</v>
      </c>
      <c r="B563" s="10" t="s">
        <v>1109</v>
      </c>
      <c r="C563" s="65" t="s">
        <v>1110</v>
      </c>
      <c r="D563" s="44" t="s">
        <v>658</v>
      </c>
      <c r="E563" s="99" t="s">
        <v>22</v>
      </c>
      <c r="F563" s="90"/>
      <c r="G563" s="102">
        <f>cell_CoefGeneral</f>
        <v>1</v>
      </c>
      <c r="H563" s="90">
        <v>0</v>
      </c>
      <c r="I563" s="90">
        <f>IF(ISNUMBER(E563),ROUND(E563*H563,2),0)</f>
        <v>0</v>
      </c>
      <c r="J563" s="114" t="str">
        <f>IFERROR(I563/cell_Total_HT,"-")</f>
        <v>-</v>
      </c>
      <c r="K563">
        <f>I563</f>
        <v>0</v>
      </c>
      <c r="L563"/>
      <c r="M563"/>
      <c r="N563"/>
      <c r="O563"/>
      <c r="P563"/>
      <c r="Q563"/>
      <c r="R563"/>
      <c r="S563"/>
      <c r="T563"/>
    </row>
    <row r="564" spans="1:20" outlineLevel="1" x14ac:dyDescent="0.3">
      <c r="A564" s="88" t="s">
        <v>1111</v>
      </c>
      <c r="B564" s="10" t="s">
        <v>1112</v>
      </c>
      <c r="C564" s="65" t="s">
        <v>1074</v>
      </c>
      <c r="D564" s="44" t="s">
        <v>658</v>
      </c>
      <c r="E564" s="99" t="s">
        <v>22</v>
      </c>
      <c r="F564" s="90"/>
      <c r="G564" s="102">
        <f>cell_CoefGeneral</f>
        <v>1</v>
      </c>
      <c r="H564" s="90">
        <v>0</v>
      </c>
      <c r="I564" s="90">
        <f>IF(ISNUMBER(E564),ROUND(E564*H564,2),0)</f>
        <v>0</v>
      </c>
      <c r="J564" s="114" t="str">
        <f>IFERROR(I564/cell_Total_HT,"-")</f>
        <v>-</v>
      </c>
      <c r="K564">
        <f>I564</f>
        <v>0</v>
      </c>
      <c r="L564"/>
      <c r="M564"/>
      <c r="N564"/>
      <c r="O564"/>
      <c r="P564"/>
      <c r="Q564"/>
      <c r="R564"/>
      <c r="S564"/>
      <c r="T564"/>
    </row>
    <row r="565" spans="1:20" outlineLevel="1" x14ac:dyDescent="0.3">
      <c r="A565" s="88" t="s">
        <v>1113</v>
      </c>
      <c r="B565" s="10" t="s">
        <v>1114</v>
      </c>
      <c r="C565" s="65" t="s">
        <v>1115</v>
      </c>
      <c r="D565" s="44" t="s">
        <v>658</v>
      </c>
      <c r="E565" s="99" t="s">
        <v>22</v>
      </c>
      <c r="F565" s="90"/>
      <c r="G565" s="102">
        <f>cell_CoefGeneral</f>
        <v>1</v>
      </c>
      <c r="H565" s="90">
        <v>0</v>
      </c>
      <c r="I565" s="90">
        <f>IF(ISNUMBER(E565),ROUND(E565*H565,2),0)</f>
        <v>0</v>
      </c>
      <c r="J565" s="114" t="str">
        <f>IFERROR(I565/cell_Total_HT,"-")</f>
        <v>-</v>
      </c>
      <c r="K565">
        <f>I565</f>
        <v>0</v>
      </c>
      <c r="L565"/>
      <c r="M565"/>
      <c r="N565"/>
      <c r="O565"/>
      <c r="P565"/>
      <c r="Q565"/>
      <c r="R565"/>
      <c r="S565"/>
      <c r="T565"/>
    </row>
    <row r="566" spans="1:20" outlineLevel="1" x14ac:dyDescent="0.3">
      <c r="A566" s="88" t="s">
        <v>1116</v>
      </c>
      <c r="B566" s="10" t="s">
        <v>1117</v>
      </c>
      <c r="C566" s="65" t="s">
        <v>1118</v>
      </c>
      <c r="D566" s="44" t="s">
        <v>658</v>
      </c>
      <c r="E566" s="99" t="s">
        <v>22</v>
      </c>
      <c r="F566" s="90"/>
      <c r="G566" s="102">
        <f>cell_CoefGeneral</f>
        <v>1</v>
      </c>
      <c r="H566" s="90">
        <v>0</v>
      </c>
      <c r="I566" s="90">
        <f>IF(ISNUMBER(E566),ROUND(E566*H566,2),0)</f>
        <v>0</v>
      </c>
      <c r="J566" s="114" t="str">
        <f>IFERROR(I566/cell_Total_HT,"-")</f>
        <v>-</v>
      </c>
      <c r="K566">
        <f>I566</f>
        <v>0</v>
      </c>
      <c r="L566"/>
      <c r="M566"/>
      <c r="N566"/>
      <c r="O566"/>
      <c r="P566"/>
      <c r="Q566"/>
      <c r="R566"/>
      <c r="S566"/>
      <c r="T566"/>
    </row>
    <row r="567" spans="1:20" outlineLevel="1" x14ac:dyDescent="0.3">
      <c r="A567" s="88" t="s">
        <v>1119</v>
      </c>
      <c r="B567" s="10" t="s">
        <v>1120</v>
      </c>
      <c r="C567" s="65" t="s">
        <v>1121</v>
      </c>
      <c r="D567" s="44" t="s">
        <v>658</v>
      </c>
      <c r="E567" s="99" t="s">
        <v>22</v>
      </c>
      <c r="F567" s="90"/>
      <c r="G567" s="102">
        <f>cell_CoefGeneral</f>
        <v>1</v>
      </c>
      <c r="H567" s="90">
        <v>0</v>
      </c>
      <c r="I567" s="90">
        <f>IF(ISNUMBER(E567),ROUND(E567*H567,2),0)</f>
        <v>0</v>
      </c>
      <c r="J567" s="114" t="str">
        <f>IFERROR(I567/cell_Total_HT,"-")</f>
        <v>-</v>
      </c>
      <c r="K567">
        <f>I567</f>
        <v>0</v>
      </c>
      <c r="L567"/>
      <c r="M567"/>
      <c r="N567"/>
      <c r="O567"/>
      <c r="P567"/>
      <c r="Q567"/>
      <c r="R567"/>
      <c r="S567"/>
      <c r="T567"/>
    </row>
    <row r="568" spans="1:20" outlineLevel="1" x14ac:dyDescent="0.3">
      <c r="A568" s="88" t="s">
        <v>1122</v>
      </c>
      <c r="B568" s="10" t="s">
        <v>1123</v>
      </c>
      <c r="C568" s="65" t="s">
        <v>1124</v>
      </c>
      <c r="D568" s="44" t="s">
        <v>658</v>
      </c>
      <c r="E568" s="99" t="s">
        <v>22</v>
      </c>
      <c r="F568" s="90"/>
      <c r="G568" s="102">
        <f>cell_CoefGeneral</f>
        <v>1</v>
      </c>
      <c r="H568" s="90">
        <v>0</v>
      </c>
      <c r="I568" s="90">
        <f>IF(ISNUMBER(E568),ROUND(E568*H568,2),0)</f>
        <v>0</v>
      </c>
      <c r="J568" s="114" t="str">
        <f>IFERROR(I568/cell_Total_HT,"-")</f>
        <v>-</v>
      </c>
      <c r="K568">
        <f>I568</f>
        <v>0</v>
      </c>
      <c r="L568"/>
      <c r="M568"/>
      <c r="N568"/>
      <c r="O568"/>
      <c r="P568"/>
      <c r="Q568"/>
      <c r="R568"/>
      <c r="S568"/>
      <c r="T568"/>
    </row>
    <row r="569" spans="1:20" outlineLevel="1" x14ac:dyDescent="0.3">
      <c r="A569" s="88" t="s">
        <v>1125</v>
      </c>
      <c r="B569" s="10" t="s">
        <v>1126</v>
      </c>
      <c r="C569" s="65" t="s">
        <v>1127</v>
      </c>
      <c r="D569" s="44" t="s">
        <v>658</v>
      </c>
      <c r="E569" s="99" t="s">
        <v>22</v>
      </c>
      <c r="F569" s="90"/>
      <c r="G569" s="102">
        <f>cell_CoefGeneral</f>
        <v>1</v>
      </c>
      <c r="H569" s="90">
        <v>0</v>
      </c>
      <c r="I569" s="90">
        <f>IF(ISNUMBER(E569),ROUND(E569*H569,2),0)</f>
        <v>0</v>
      </c>
      <c r="J569" s="114" t="str">
        <f>IFERROR(I569/cell_Total_HT,"-")</f>
        <v>-</v>
      </c>
      <c r="K569">
        <f>I569</f>
        <v>0</v>
      </c>
      <c r="L569"/>
      <c r="M569"/>
      <c r="N569"/>
      <c r="O569"/>
      <c r="P569"/>
      <c r="Q569"/>
      <c r="R569"/>
      <c r="S569"/>
      <c r="T569"/>
    </row>
    <row r="570" spans="1:20" outlineLevel="1" x14ac:dyDescent="0.3">
      <c r="A570" s="88" t="s">
        <v>1128</v>
      </c>
      <c r="B570" s="10" t="s">
        <v>1129</v>
      </c>
      <c r="C570" s="65" t="s">
        <v>1050</v>
      </c>
      <c r="D570" s="44" t="s">
        <v>149</v>
      </c>
      <c r="E570" s="99" t="s">
        <v>22</v>
      </c>
      <c r="F570" s="90"/>
      <c r="G570" s="102">
        <f>cell_CoefGeneral</f>
        <v>1</v>
      </c>
      <c r="H570" s="90">
        <v>0</v>
      </c>
      <c r="I570" s="90">
        <f>IF(ISNUMBER(E570),ROUND(E570*H570,2),0)</f>
        <v>0</v>
      </c>
      <c r="J570" s="114" t="str">
        <f>IFERROR(I570/cell_Total_HT,"-")</f>
        <v>-</v>
      </c>
      <c r="K570">
        <f>I570</f>
        <v>0</v>
      </c>
      <c r="L570"/>
      <c r="M570"/>
      <c r="N570"/>
      <c r="O570"/>
      <c r="P570"/>
      <c r="Q570"/>
      <c r="R570"/>
      <c r="S570"/>
      <c r="T570"/>
    </row>
    <row r="571" spans="1:20" outlineLevel="1" x14ac:dyDescent="0.3">
      <c r="A571" s="88" t="s">
        <v>1130</v>
      </c>
      <c r="B571" s="10" t="s">
        <v>1131</v>
      </c>
      <c r="C571" s="65" t="s">
        <v>1132</v>
      </c>
      <c r="D571" s="44" t="s">
        <v>80</v>
      </c>
      <c r="E571" s="99" t="s">
        <v>22</v>
      </c>
      <c r="F571" s="90"/>
      <c r="G571" s="102">
        <f>cell_CoefGeneral</f>
        <v>1</v>
      </c>
      <c r="H571" s="90">
        <v>0</v>
      </c>
      <c r="I571" s="90">
        <f>IF(ISNUMBER(E571),ROUND(E571*H571,2),0)</f>
        <v>0</v>
      </c>
      <c r="J571" s="114" t="str">
        <f>IFERROR(I571/cell_Total_HT,"-")</f>
        <v>-</v>
      </c>
      <c r="K571">
        <f>I571</f>
        <v>0</v>
      </c>
      <c r="L571"/>
      <c r="M571"/>
      <c r="N571"/>
      <c r="O571"/>
      <c r="P571"/>
      <c r="Q571"/>
      <c r="R571"/>
      <c r="S571"/>
      <c r="T571"/>
    </row>
    <row r="572" spans="1:20" outlineLevel="1" x14ac:dyDescent="0.3">
      <c r="A572" s="88" t="s">
        <v>1133</v>
      </c>
      <c r="B572" s="10" t="s">
        <v>1134</v>
      </c>
      <c r="C572" s="65" t="s">
        <v>1135</v>
      </c>
      <c r="D572" s="44" t="s">
        <v>149</v>
      </c>
      <c r="E572" s="99" t="s">
        <v>22</v>
      </c>
      <c r="F572" s="90"/>
      <c r="G572" s="102">
        <f>cell_CoefGeneral</f>
        <v>1</v>
      </c>
      <c r="H572" s="90">
        <v>0</v>
      </c>
      <c r="I572" s="90">
        <f>IF(ISNUMBER(E572),ROUND(E572*H572,2),0)</f>
        <v>0</v>
      </c>
      <c r="J572" s="114" t="str">
        <f>IFERROR(I572/cell_Total_HT,"-")</f>
        <v>-</v>
      </c>
      <c r="K572">
        <f>I572</f>
        <v>0</v>
      </c>
      <c r="L572"/>
      <c r="M572"/>
      <c r="N572"/>
      <c r="O572"/>
      <c r="P572"/>
      <c r="Q572"/>
      <c r="R572"/>
      <c r="S572"/>
      <c r="T572"/>
    </row>
    <row r="573" spans="1:20" outlineLevel="1" x14ac:dyDescent="0.3">
      <c r="A573" s="88" t="s">
        <v>1136</v>
      </c>
      <c r="B573" s="10" t="s">
        <v>1137</v>
      </c>
      <c r="C573" s="65" t="s">
        <v>1138</v>
      </c>
      <c r="D573" s="44" t="s">
        <v>149</v>
      </c>
      <c r="E573" s="99" t="s">
        <v>22</v>
      </c>
      <c r="F573" s="90"/>
      <c r="G573" s="102">
        <f>cell_CoefGeneral</f>
        <v>1</v>
      </c>
      <c r="H573" s="90">
        <v>0</v>
      </c>
      <c r="I573" s="90">
        <f>IF(ISNUMBER(E573),ROUND(E573*H573,2),0)</f>
        <v>0</v>
      </c>
      <c r="J573" s="114" t="str">
        <f>IFERROR(I573/cell_Total_HT,"-")</f>
        <v>-</v>
      </c>
      <c r="K573">
        <f>I573</f>
        <v>0</v>
      </c>
      <c r="L573"/>
      <c r="M573"/>
      <c r="N573"/>
      <c r="O573"/>
      <c r="P573"/>
      <c r="Q573"/>
      <c r="R573"/>
      <c r="S573"/>
      <c r="T573"/>
    </row>
    <row r="574" spans="1:20" outlineLevel="1" x14ac:dyDescent="0.3">
      <c r="A574" s="88" t="s">
        <v>1139</v>
      </c>
      <c r="B574" s="10" t="s">
        <v>1140</v>
      </c>
      <c r="C574" s="65" t="s">
        <v>1141</v>
      </c>
      <c r="D574" s="44" t="s">
        <v>149</v>
      </c>
      <c r="E574" s="99" t="s">
        <v>22</v>
      </c>
      <c r="F574" s="90"/>
      <c r="G574" s="102">
        <f>cell_CoefGeneral</f>
        <v>1</v>
      </c>
      <c r="H574" s="90">
        <v>0</v>
      </c>
      <c r="I574" s="90">
        <f>IF(ISNUMBER(E574),ROUND(E574*H574,2),0)</f>
        <v>0</v>
      </c>
      <c r="J574" s="114" t="str">
        <f>IFERROR(I574/cell_Total_HT,"-")</f>
        <v>-</v>
      </c>
      <c r="K574">
        <f>I574</f>
        <v>0</v>
      </c>
      <c r="L574"/>
      <c r="M574"/>
      <c r="N574"/>
      <c r="O574"/>
      <c r="P574"/>
      <c r="Q574"/>
      <c r="R574"/>
      <c r="S574"/>
      <c r="T574"/>
    </row>
    <row r="575" spans="1:20" outlineLevel="1" x14ac:dyDescent="0.3">
      <c r="A575" s="88" t="s">
        <v>1142</v>
      </c>
      <c r="B575" s="10" t="s">
        <v>1143</v>
      </c>
      <c r="C575" s="65" t="s">
        <v>1144</v>
      </c>
      <c r="D575" s="44" t="s">
        <v>149</v>
      </c>
      <c r="E575" s="99" t="s">
        <v>22</v>
      </c>
      <c r="F575" s="90"/>
      <c r="G575" s="102">
        <f>cell_CoefGeneral</f>
        <v>1</v>
      </c>
      <c r="H575" s="90">
        <v>0</v>
      </c>
      <c r="I575" s="90">
        <f>IF(ISNUMBER(E575),ROUND(E575*H575,2),0)</f>
        <v>0</v>
      </c>
      <c r="J575" s="114" t="str">
        <f>IFERROR(I575/cell_Total_HT,"-")</f>
        <v>-</v>
      </c>
      <c r="K575">
        <f>I575</f>
        <v>0</v>
      </c>
      <c r="L575"/>
      <c r="M575"/>
      <c r="N575"/>
      <c r="O575"/>
      <c r="P575"/>
      <c r="Q575"/>
      <c r="R575"/>
      <c r="S575"/>
      <c r="T575"/>
    </row>
    <row r="576" spans="1:20" outlineLevel="1" x14ac:dyDescent="0.3">
      <c r="A576" s="88" t="s">
        <v>1145</v>
      </c>
      <c r="B576" s="10" t="s">
        <v>1146</v>
      </c>
      <c r="C576" s="65" t="s">
        <v>1059</v>
      </c>
      <c r="D576" s="44" t="s">
        <v>149</v>
      </c>
      <c r="E576" s="99" t="s">
        <v>22</v>
      </c>
      <c r="F576" s="90"/>
      <c r="G576" s="102">
        <f>cell_CoefGeneral</f>
        <v>1</v>
      </c>
      <c r="H576" s="90">
        <v>0</v>
      </c>
      <c r="I576" s="90">
        <f>IF(ISNUMBER(E576),ROUND(E576*H576,2),0)</f>
        <v>0</v>
      </c>
      <c r="J576" s="114" t="str">
        <f>IFERROR(I576/cell_Total_HT,"-")</f>
        <v>-</v>
      </c>
      <c r="K576">
        <f>I576</f>
        <v>0</v>
      </c>
      <c r="L576"/>
      <c r="M576"/>
      <c r="N576"/>
      <c r="O576"/>
      <c r="P576"/>
      <c r="Q576"/>
      <c r="R576"/>
      <c r="S576"/>
      <c r="T576"/>
    </row>
    <row r="577" spans="1:20" outlineLevel="1" x14ac:dyDescent="0.3">
      <c r="A577" s="88" t="s">
        <v>1147</v>
      </c>
      <c r="B577" s="10" t="s">
        <v>1148</v>
      </c>
      <c r="C577" s="65" t="s">
        <v>1149</v>
      </c>
      <c r="D577" s="44" t="s">
        <v>149</v>
      </c>
      <c r="E577" s="99" t="s">
        <v>22</v>
      </c>
      <c r="F577" s="90"/>
      <c r="G577" s="102">
        <f>cell_CoefGeneral</f>
        <v>1</v>
      </c>
      <c r="H577" s="90">
        <v>0</v>
      </c>
      <c r="I577" s="90">
        <f>IF(ISNUMBER(E577),ROUND(E577*H577,2),0)</f>
        <v>0</v>
      </c>
      <c r="J577" s="114" t="str">
        <f>IFERROR(I577/cell_Total_HT,"-")</f>
        <v>-</v>
      </c>
      <c r="K577">
        <f>I577</f>
        <v>0</v>
      </c>
      <c r="L577"/>
      <c r="M577"/>
      <c r="N577"/>
      <c r="O577"/>
      <c r="P577"/>
      <c r="Q577"/>
      <c r="R577"/>
      <c r="S577"/>
      <c r="T577"/>
    </row>
    <row r="578" spans="1:20" outlineLevel="1" x14ac:dyDescent="0.3">
      <c r="A578" s="88" t="s">
        <v>1150</v>
      </c>
      <c r="B578" s="10" t="s">
        <v>1151</v>
      </c>
      <c r="C578" s="65" t="s">
        <v>1152</v>
      </c>
      <c r="D578" s="44" t="s">
        <v>149</v>
      </c>
      <c r="E578" s="99" t="s">
        <v>22</v>
      </c>
      <c r="F578" s="90"/>
      <c r="G578" s="102">
        <f>cell_CoefGeneral</f>
        <v>1</v>
      </c>
      <c r="H578" s="90">
        <v>0</v>
      </c>
      <c r="I578" s="90">
        <f>IF(ISNUMBER(E578),ROUND(E578*H578,2),0)</f>
        <v>0</v>
      </c>
      <c r="J578" s="114" t="str">
        <f>IFERROR(I578/cell_Total_HT,"-")</f>
        <v>-</v>
      </c>
      <c r="K578">
        <f>I578</f>
        <v>0</v>
      </c>
      <c r="L578"/>
      <c r="M578"/>
      <c r="N578"/>
      <c r="O578"/>
      <c r="P578"/>
      <c r="Q578"/>
      <c r="R578"/>
      <c r="S578"/>
      <c r="T578"/>
    </row>
    <row r="579" spans="1:20" outlineLevel="1" x14ac:dyDescent="0.3">
      <c r="A579" s="88" t="s">
        <v>1153</v>
      </c>
      <c r="B579" s="10" t="s">
        <v>1154</v>
      </c>
      <c r="C579" s="65" t="s">
        <v>1104</v>
      </c>
      <c r="D579" s="44" t="s">
        <v>149</v>
      </c>
      <c r="E579" s="99" t="s">
        <v>22</v>
      </c>
      <c r="F579" s="90"/>
      <c r="G579" s="102">
        <f>cell_CoefGeneral</f>
        <v>1</v>
      </c>
      <c r="H579" s="90">
        <v>0</v>
      </c>
      <c r="I579" s="90">
        <f>IF(ISNUMBER(E579),ROUND(E579*H579,2),0)</f>
        <v>0</v>
      </c>
      <c r="J579" s="114" t="str">
        <f>IFERROR(I579/cell_Total_HT,"-")</f>
        <v>-</v>
      </c>
      <c r="K579">
        <f>I579</f>
        <v>0</v>
      </c>
      <c r="L579"/>
      <c r="M579"/>
      <c r="N579"/>
      <c r="O579"/>
      <c r="P579"/>
      <c r="Q579"/>
      <c r="R579"/>
      <c r="S579"/>
      <c r="T579"/>
    </row>
    <row r="580" spans="1:20" outlineLevel="1" x14ac:dyDescent="0.3">
      <c r="A580" s="88" t="s">
        <v>1155</v>
      </c>
      <c r="B580" s="10" t="s">
        <v>1156</v>
      </c>
      <c r="C580" s="65" t="s">
        <v>1132</v>
      </c>
      <c r="D580" s="44" t="s">
        <v>80</v>
      </c>
      <c r="E580" s="99" t="s">
        <v>22</v>
      </c>
      <c r="F580" s="90"/>
      <c r="G580" s="102">
        <f>cell_CoefGeneral</f>
        <v>1</v>
      </c>
      <c r="H580" s="90">
        <v>0</v>
      </c>
      <c r="I580" s="90">
        <f>IF(ISNUMBER(E580),ROUND(E580*H580,2),0)</f>
        <v>0</v>
      </c>
      <c r="J580" s="114" t="str">
        <f>IFERROR(I580/cell_Total_HT,"-")</f>
        <v>-</v>
      </c>
      <c r="K580">
        <f>I580</f>
        <v>0</v>
      </c>
      <c r="L580"/>
      <c r="M580"/>
      <c r="N580"/>
      <c r="O580"/>
      <c r="P580"/>
      <c r="Q580"/>
      <c r="R580"/>
      <c r="S580"/>
      <c r="T580"/>
    </row>
    <row r="581" spans="1:20" outlineLevel="1" x14ac:dyDescent="0.3">
      <c r="A581" s="88" t="s">
        <v>1157</v>
      </c>
      <c r="B581" s="10" t="s">
        <v>1158</v>
      </c>
      <c r="C581" s="65" t="s">
        <v>1159</v>
      </c>
      <c r="D581" s="44" t="s">
        <v>121</v>
      </c>
      <c r="E581" s="99" t="s">
        <v>22</v>
      </c>
      <c r="F581" s="90"/>
      <c r="G581" s="102">
        <f>cell_CoefGeneral</f>
        <v>1</v>
      </c>
      <c r="H581" s="90">
        <v>0</v>
      </c>
      <c r="I581" s="90">
        <f>IF(ISNUMBER(E581),ROUND(E581*H581,2),0)</f>
        <v>0</v>
      </c>
      <c r="J581" s="114" t="str">
        <f>IFERROR(I581/cell_Total_HT,"-")</f>
        <v>-</v>
      </c>
      <c r="K581">
        <f>I581</f>
        <v>0</v>
      </c>
      <c r="L581"/>
      <c r="M581"/>
      <c r="N581"/>
      <c r="O581"/>
      <c r="P581"/>
      <c r="Q581"/>
      <c r="R581"/>
      <c r="S581"/>
      <c r="T581"/>
    </row>
    <row r="582" spans="1:20" outlineLevel="1" x14ac:dyDescent="0.3">
      <c r="A582" s="88" t="s">
        <v>1160</v>
      </c>
      <c r="B582" s="10" t="s">
        <v>1161</v>
      </c>
      <c r="C582" s="65" t="s">
        <v>1162</v>
      </c>
      <c r="D582" s="44" t="s">
        <v>149</v>
      </c>
      <c r="E582" s="99" t="s">
        <v>22</v>
      </c>
      <c r="F582" s="90"/>
      <c r="G582" s="102">
        <f>cell_CoefGeneral</f>
        <v>1</v>
      </c>
      <c r="H582" s="90">
        <v>0</v>
      </c>
      <c r="I582" s="90">
        <f>IF(ISNUMBER(E582),ROUND(E582*H582,2),0)</f>
        <v>0</v>
      </c>
      <c r="J582" s="114" t="str">
        <f>IFERROR(I582/cell_Total_HT,"-")</f>
        <v>-</v>
      </c>
      <c r="K582">
        <f>I582</f>
        <v>0</v>
      </c>
      <c r="L582"/>
      <c r="M582"/>
      <c r="N582"/>
      <c r="O582"/>
      <c r="P582"/>
      <c r="Q582"/>
      <c r="R582"/>
      <c r="S582"/>
      <c r="T582"/>
    </row>
    <row r="583" spans="1:20" outlineLevel="1" x14ac:dyDescent="0.3">
      <c r="A583" s="88" t="s">
        <v>1163</v>
      </c>
      <c r="B583" s="10" t="s">
        <v>1164</v>
      </c>
      <c r="C583" s="65" t="s">
        <v>1165</v>
      </c>
      <c r="D583" s="44" t="s">
        <v>149</v>
      </c>
      <c r="E583" s="99" t="s">
        <v>22</v>
      </c>
      <c r="F583" s="90"/>
      <c r="G583" s="102">
        <f>cell_CoefGeneral</f>
        <v>1</v>
      </c>
      <c r="H583" s="90">
        <v>0</v>
      </c>
      <c r="I583" s="90">
        <f>IF(ISNUMBER(E583),ROUND(E583*H583,2),0)</f>
        <v>0</v>
      </c>
      <c r="J583" s="114" t="str">
        <f>IFERROR(I583/cell_Total_HT,"-")</f>
        <v>-</v>
      </c>
      <c r="K583">
        <f>I583</f>
        <v>0</v>
      </c>
      <c r="L583"/>
      <c r="M583"/>
      <c r="N583"/>
      <c r="O583"/>
      <c r="P583"/>
      <c r="Q583"/>
      <c r="R583"/>
      <c r="S583"/>
      <c r="T583"/>
    </row>
    <row r="584" spans="1:20" outlineLevel="1" x14ac:dyDescent="0.3">
      <c r="A584" s="88" t="s">
        <v>1166</v>
      </c>
      <c r="B584" s="10" t="s">
        <v>1167</v>
      </c>
      <c r="C584" s="65" t="s">
        <v>1168</v>
      </c>
      <c r="D584" s="44" t="s">
        <v>149</v>
      </c>
      <c r="E584" s="99" t="s">
        <v>22</v>
      </c>
      <c r="F584" s="90"/>
      <c r="G584" s="102">
        <f>cell_CoefGeneral</f>
        <v>1</v>
      </c>
      <c r="H584" s="90">
        <v>0</v>
      </c>
      <c r="I584" s="90">
        <f>IF(ISNUMBER(E584),ROUND(E584*H584,2),0)</f>
        <v>0</v>
      </c>
      <c r="J584" s="114" t="str">
        <f>IFERROR(I584/cell_Total_HT,"-")</f>
        <v>-</v>
      </c>
      <c r="K584">
        <f>I584</f>
        <v>0</v>
      </c>
      <c r="L584"/>
      <c r="M584"/>
      <c r="N584"/>
      <c r="O584"/>
      <c r="P584"/>
      <c r="Q584"/>
      <c r="R584"/>
      <c r="S584"/>
      <c r="T584"/>
    </row>
    <row r="585" spans="1:20" outlineLevel="1" x14ac:dyDescent="0.3">
      <c r="A585" s="88" t="s">
        <v>1169</v>
      </c>
      <c r="B585" s="10" t="s">
        <v>1170</v>
      </c>
      <c r="C585" s="65" t="s">
        <v>1171</v>
      </c>
      <c r="D585" s="44" t="s">
        <v>149</v>
      </c>
      <c r="E585" s="99" t="s">
        <v>22</v>
      </c>
      <c r="F585" s="90"/>
      <c r="G585" s="102">
        <f>cell_CoefGeneral</f>
        <v>1</v>
      </c>
      <c r="H585" s="90">
        <v>0</v>
      </c>
      <c r="I585" s="90">
        <f>IF(ISNUMBER(E585),ROUND(E585*H585,2),0)</f>
        <v>0</v>
      </c>
      <c r="J585" s="114" t="str">
        <f>IFERROR(I585/cell_Total_HT,"-")</f>
        <v>-</v>
      </c>
      <c r="K585">
        <f>I585</f>
        <v>0</v>
      </c>
      <c r="L585"/>
      <c r="M585"/>
      <c r="N585"/>
      <c r="O585"/>
      <c r="P585"/>
      <c r="Q585"/>
      <c r="R585"/>
      <c r="S585"/>
      <c r="T585"/>
    </row>
    <row r="586" spans="1:20" outlineLevel="1" x14ac:dyDescent="0.3">
      <c r="A586" s="88" t="s">
        <v>1172</v>
      </c>
      <c r="B586" s="10" t="s">
        <v>1173</v>
      </c>
      <c r="C586" s="65" t="s">
        <v>1174</v>
      </c>
      <c r="D586" s="44" t="s">
        <v>149</v>
      </c>
      <c r="E586" s="99" t="s">
        <v>22</v>
      </c>
      <c r="F586" s="90"/>
      <c r="G586" s="102">
        <f>cell_CoefGeneral</f>
        <v>1</v>
      </c>
      <c r="H586" s="90">
        <v>0</v>
      </c>
      <c r="I586" s="90">
        <f>IF(ISNUMBER(E586),ROUND(E586*H586,2),0)</f>
        <v>0</v>
      </c>
      <c r="J586" s="114" t="str">
        <f>IFERROR(I586/cell_Total_HT,"-")</f>
        <v>-</v>
      </c>
      <c r="K586">
        <f>I586</f>
        <v>0</v>
      </c>
      <c r="L586"/>
      <c r="M586"/>
      <c r="N586"/>
      <c r="O586"/>
      <c r="P586"/>
      <c r="Q586"/>
      <c r="R586"/>
      <c r="S586"/>
      <c r="T586"/>
    </row>
    <row r="587" spans="1:20" outlineLevel="1" x14ac:dyDescent="0.3">
      <c r="A587" s="88" t="s">
        <v>1175</v>
      </c>
      <c r="B587" s="10" t="s">
        <v>1176</v>
      </c>
      <c r="C587" s="65" t="s">
        <v>1177</v>
      </c>
      <c r="D587" s="44" t="s">
        <v>149</v>
      </c>
      <c r="E587" s="99" t="s">
        <v>22</v>
      </c>
      <c r="F587" s="90"/>
      <c r="G587" s="102">
        <f>cell_CoefGeneral</f>
        <v>1</v>
      </c>
      <c r="H587" s="90">
        <v>0</v>
      </c>
      <c r="I587" s="90">
        <f>IF(ISNUMBER(E587),ROUND(E587*H587,2),0)</f>
        <v>0</v>
      </c>
      <c r="J587" s="114" t="str">
        <f>IFERROR(I587/cell_Total_HT,"-")</f>
        <v>-</v>
      </c>
      <c r="K587">
        <f>I587</f>
        <v>0</v>
      </c>
      <c r="L587"/>
      <c r="M587"/>
      <c r="N587"/>
      <c r="O587"/>
      <c r="P587"/>
      <c r="Q587"/>
      <c r="R587"/>
      <c r="S587"/>
      <c r="T587"/>
    </row>
    <row r="588" spans="1:20" outlineLevel="1" x14ac:dyDescent="0.3">
      <c r="A588" s="88" t="s">
        <v>1178</v>
      </c>
      <c r="B588" s="10" t="s">
        <v>1179</v>
      </c>
      <c r="C588" s="65" t="s">
        <v>1180</v>
      </c>
      <c r="D588" s="44" t="s">
        <v>121</v>
      </c>
      <c r="E588" s="99" t="s">
        <v>22</v>
      </c>
      <c r="F588" s="90"/>
      <c r="G588" s="102">
        <f>cell_CoefGeneral</f>
        <v>1</v>
      </c>
      <c r="H588" s="90">
        <v>0</v>
      </c>
      <c r="I588" s="90">
        <f>IF(ISNUMBER(E588),ROUND(E588*H588,2),0)</f>
        <v>0</v>
      </c>
      <c r="J588" s="114" t="str">
        <f>IFERROR(I588/cell_Total_HT,"-")</f>
        <v>-</v>
      </c>
      <c r="K588">
        <f>I588</f>
        <v>0</v>
      </c>
      <c r="L588"/>
      <c r="M588"/>
      <c r="N588"/>
      <c r="O588"/>
      <c r="P588"/>
      <c r="Q588"/>
      <c r="R588"/>
      <c r="S588"/>
      <c r="T588"/>
    </row>
    <row r="589" spans="1:20" outlineLevel="1" x14ac:dyDescent="0.3">
      <c r="A589" s="88" t="s">
        <v>1181</v>
      </c>
      <c r="B589" s="10" t="s">
        <v>1182</v>
      </c>
      <c r="C589" s="65" t="s">
        <v>1183</v>
      </c>
      <c r="D589" s="44" t="s">
        <v>658</v>
      </c>
      <c r="E589" s="99" t="s">
        <v>22</v>
      </c>
      <c r="F589" s="90"/>
      <c r="G589" s="102">
        <f>cell_CoefGeneral</f>
        <v>1</v>
      </c>
      <c r="H589" s="90">
        <v>0</v>
      </c>
      <c r="I589" s="90">
        <f>IF(ISNUMBER(E589),ROUND(E589*H589,2),0)</f>
        <v>0</v>
      </c>
      <c r="J589" s="114" t="str">
        <f>IFERROR(I589/cell_Total_HT,"-")</f>
        <v>-</v>
      </c>
      <c r="K589">
        <f>I589</f>
        <v>0</v>
      </c>
      <c r="L589"/>
      <c r="M589"/>
      <c r="N589"/>
      <c r="O589"/>
      <c r="P589"/>
      <c r="Q589"/>
      <c r="R589"/>
      <c r="S589"/>
      <c r="T589"/>
    </row>
    <row r="590" spans="1:20" outlineLevel="1" x14ac:dyDescent="0.3">
      <c r="A590" s="88" t="s">
        <v>1184</v>
      </c>
      <c r="B590" s="10" t="s">
        <v>1185</v>
      </c>
      <c r="C590" s="65" t="s">
        <v>1186</v>
      </c>
      <c r="D590" s="44" t="s">
        <v>658</v>
      </c>
      <c r="E590" s="99" t="s">
        <v>22</v>
      </c>
      <c r="F590" s="90"/>
      <c r="G590" s="102">
        <f>cell_CoefGeneral</f>
        <v>1</v>
      </c>
      <c r="H590" s="90">
        <v>0</v>
      </c>
      <c r="I590" s="90">
        <f>IF(ISNUMBER(E590),ROUND(E590*H590,2),0)</f>
        <v>0</v>
      </c>
      <c r="J590" s="114" t="str">
        <f>IFERROR(I590/cell_Total_HT,"-")</f>
        <v>-</v>
      </c>
      <c r="K590">
        <f>I590</f>
        <v>0</v>
      </c>
      <c r="L590"/>
      <c r="M590"/>
      <c r="N590"/>
      <c r="O590"/>
      <c r="P590"/>
      <c r="Q590"/>
      <c r="R590"/>
      <c r="S590"/>
      <c r="T590"/>
    </row>
    <row r="591" spans="1:20" outlineLevel="1" x14ac:dyDescent="0.3">
      <c r="A591" s="88" t="s">
        <v>1187</v>
      </c>
      <c r="B591" s="10" t="s">
        <v>1188</v>
      </c>
      <c r="C591" s="65" t="s">
        <v>1189</v>
      </c>
      <c r="D591" s="44" t="s">
        <v>658</v>
      </c>
      <c r="E591" s="99" t="s">
        <v>22</v>
      </c>
      <c r="F591" s="90"/>
      <c r="G591" s="102">
        <f>cell_CoefGeneral</f>
        <v>1</v>
      </c>
      <c r="H591" s="90">
        <v>0</v>
      </c>
      <c r="I591" s="90">
        <f>IF(ISNUMBER(E591),ROUND(E591*H591,2),0)</f>
        <v>0</v>
      </c>
      <c r="J591" s="114" t="str">
        <f>IFERROR(I591/cell_Total_HT,"-")</f>
        <v>-</v>
      </c>
      <c r="K591">
        <f>I591</f>
        <v>0</v>
      </c>
      <c r="L591"/>
      <c r="M591"/>
      <c r="N591"/>
      <c r="O591"/>
      <c r="P591"/>
      <c r="Q591"/>
      <c r="R591"/>
      <c r="S591"/>
      <c r="T591"/>
    </row>
    <row r="592" spans="1:20" outlineLevel="1" x14ac:dyDescent="0.3">
      <c r="A592" s="88" t="s">
        <v>1190</v>
      </c>
      <c r="B592" s="10" t="s">
        <v>1191</v>
      </c>
      <c r="C592" s="65" t="s">
        <v>1192</v>
      </c>
      <c r="D592" s="44" t="s">
        <v>658</v>
      </c>
      <c r="E592" s="99" t="s">
        <v>22</v>
      </c>
      <c r="F592" s="90"/>
      <c r="G592" s="102">
        <f>cell_CoefGeneral</f>
        <v>1</v>
      </c>
      <c r="H592" s="90">
        <v>0</v>
      </c>
      <c r="I592" s="90">
        <f>IF(ISNUMBER(E592),ROUND(E592*H592,2),0)</f>
        <v>0</v>
      </c>
      <c r="J592" s="114" t="str">
        <f>IFERROR(I592/cell_Total_HT,"-")</f>
        <v>-</v>
      </c>
      <c r="K592">
        <f>I592</f>
        <v>0</v>
      </c>
      <c r="L592"/>
      <c r="M592"/>
      <c r="N592"/>
      <c r="O592"/>
      <c r="P592"/>
      <c r="Q592"/>
      <c r="R592"/>
      <c r="S592"/>
      <c r="T592"/>
    </row>
    <row r="593" spans="1:20" outlineLevel="1" x14ac:dyDescent="0.3">
      <c r="A593" s="88" t="s">
        <v>1193</v>
      </c>
      <c r="B593" s="10" t="s">
        <v>1194</v>
      </c>
      <c r="C593" s="65" t="s">
        <v>1195</v>
      </c>
      <c r="D593" s="44" t="s">
        <v>658</v>
      </c>
      <c r="E593" s="99" t="s">
        <v>22</v>
      </c>
      <c r="F593" s="90"/>
      <c r="G593" s="102">
        <f>cell_CoefGeneral</f>
        <v>1</v>
      </c>
      <c r="H593" s="90">
        <v>0</v>
      </c>
      <c r="I593" s="90">
        <f>IF(ISNUMBER(E593),ROUND(E593*H593,2),0)</f>
        <v>0</v>
      </c>
      <c r="J593" s="114" t="str">
        <f>IFERROR(I593/cell_Total_HT,"-")</f>
        <v>-</v>
      </c>
      <c r="K593">
        <f>I593</f>
        <v>0</v>
      </c>
      <c r="L593"/>
      <c r="M593"/>
      <c r="N593"/>
      <c r="O593"/>
      <c r="P593"/>
      <c r="Q593"/>
      <c r="R593"/>
      <c r="S593"/>
      <c r="T593"/>
    </row>
    <row r="594" spans="1:20" outlineLevel="1" x14ac:dyDescent="0.3">
      <c r="A594" s="88" t="s">
        <v>1196</v>
      </c>
      <c r="B594" s="10" t="s">
        <v>1197</v>
      </c>
      <c r="C594" s="65" t="s">
        <v>1198</v>
      </c>
      <c r="D594" s="44" t="s">
        <v>658</v>
      </c>
      <c r="E594" s="99" t="s">
        <v>22</v>
      </c>
      <c r="F594" s="90"/>
      <c r="G594" s="102">
        <f>cell_CoefGeneral</f>
        <v>1</v>
      </c>
      <c r="H594" s="90">
        <v>0</v>
      </c>
      <c r="I594" s="90">
        <f>IF(ISNUMBER(E594),ROUND(E594*H594,2),0)</f>
        <v>0</v>
      </c>
      <c r="J594" s="114" t="str">
        <f>IFERROR(I594/cell_Total_HT,"-")</f>
        <v>-</v>
      </c>
      <c r="K594">
        <f>I594</f>
        <v>0</v>
      </c>
      <c r="L594"/>
      <c r="M594"/>
      <c r="N594"/>
      <c r="O594"/>
      <c r="P594"/>
      <c r="Q594"/>
      <c r="R594"/>
      <c r="S594"/>
      <c r="T594"/>
    </row>
    <row r="595" spans="1:20" outlineLevel="1" x14ac:dyDescent="0.3">
      <c r="A595" s="88" t="s">
        <v>1199</v>
      </c>
      <c r="B595" s="10" t="s">
        <v>1200</v>
      </c>
      <c r="C595" s="65" t="s">
        <v>1201</v>
      </c>
      <c r="D595" s="44" t="s">
        <v>658</v>
      </c>
      <c r="E595" s="99" t="s">
        <v>22</v>
      </c>
      <c r="F595" s="90"/>
      <c r="G595" s="102">
        <f>cell_CoefGeneral</f>
        <v>1</v>
      </c>
      <c r="H595" s="90">
        <v>0</v>
      </c>
      <c r="I595" s="90">
        <f>IF(ISNUMBER(E595),ROUND(E595*H595,2),0)</f>
        <v>0</v>
      </c>
      <c r="J595" s="114" t="str">
        <f>IFERROR(I595/cell_Total_HT,"-")</f>
        <v>-</v>
      </c>
      <c r="K595">
        <f>I595</f>
        <v>0</v>
      </c>
      <c r="L595"/>
      <c r="M595"/>
      <c r="N595"/>
      <c r="O595"/>
      <c r="P595"/>
      <c r="Q595"/>
      <c r="R595"/>
      <c r="S595"/>
      <c r="T595"/>
    </row>
    <row r="596" spans="1:20" outlineLevel="1" x14ac:dyDescent="0.3">
      <c r="A596" s="88" t="s">
        <v>1202</v>
      </c>
      <c r="B596" s="10" t="s">
        <v>1203</v>
      </c>
      <c r="C596" s="65" t="s">
        <v>1204</v>
      </c>
      <c r="D596" s="44" t="s">
        <v>658</v>
      </c>
      <c r="E596" s="99" t="s">
        <v>22</v>
      </c>
      <c r="F596" s="90"/>
      <c r="G596" s="102">
        <f>cell_CoefGeneral</f>
        <v>1</v>
      </c>
      <c r="H596" s="90">
        <v>0</v>
      </c>
      <c r="I596" s="90">
        <f>IF(ISNUMBER(E596),ROUND(E596*H596,2),0)</f>
        <v>0</v>
      </c>
      <c r="J596" s="114" t="str">
        <f>IFERROR(I596/cell_Total_HT,"-")</f>
        <v>-</v>
      </c>
      <c r="K596">
        <f>I596</f>
        <v>0</v>
      </c>
      <c r="L596"/>
      <c r="M596"/>
      <c r="N596"/>
      <c r="O596"/>
      <c r="P596"/>
      <c r="Q596"/>
      <c r="R596"/>
      <c r="S596"/>
      <c r="T596"/>
    </row>
    <row r="597" spans="1:20" ht="28.8" outlineLevel="1" x14ac:dyDescent="0.3">
      <c r="A597" s="88" t="s">
        <v>1205</v>
      </c>
      <c r="B597" s="10" t="s">
        <v>1206</v>
      </c>
      <c r="C597" s="65" t="s">
        <v>1207</v>
      </c>
      <c r="D597" s="44" t="s">
        <v>658</v>
      </c>
      <c r="E597" s="99" t="s">
        <v>22</v>
      </c>
      <c r="F597" s="90"/>
      <c r="G597" s="102">
        <f>cell_CoefGeneral</f>
        <v>1</v>
      </c>
      <c r="H597" s="90">
        <v>0</v>
      </c>
      <c r="I597" s="90">
        <f>IF(ISNUMBER(E597),ROUND(E597*H597,2),0)</f>
        <v>0</v>
      </c>
      <c r="J597" s="114" t="str">
        <f>IFERROR(I597/cell_Total_HT,"-")</f>
        <v>-</v>
      </c>
      <c r="K597">
        <f>I597</f>
        <v>0</v>
      </c>
      <c r="L597"/>
      <c r="M597"/>
      <c r="N597"/>
      <c r="O597"/>
      <c r="P597"/>
      <c r="Q597"/>
      <c r="R597"/>
      <c r="S597"/>
      <c r="T597"/>
    </row>
    <row r="598" spans="1:20" outlineLevel="1" x14ac:dyDescent="0.3">
      <c r="A598" s="88" t="s">
        <v>1208</v>
      </c>
      <c r="B598" s="10" t="s">
        <v>1209</v>
      </c>
      <c r="C598" s="65" t="s">
        <v>1210</v>
      </c>
      <c r="D598" s="44" t="s">
        <v>658</v>
      </c>
      <c r="E598" s="99" t="s">
        <v>22</v>
      </c>
      <c r="F598" s="90"/>
      <c r="G598" s="102">
        <f>cell_CoefGeneral</f>
        <v>1</v>
      </c>
      <c r="H598" s="90">
        <v>0</v>
      </c>
      <c r="I598" s="90">
        <f>IF(ISNUMBER(E598),ROUND(E598*H598,2),0)</f>
        <v>0</v>
      </c>
      <c r="J598" s="114" t="str">
        <f>IFERROR(I598/cell_Total_HT,"-")</f>
        <v>-</v>
      </c>
      <c r="K598">
        <f>I598</f>
        <v>0</v>
      </c>
      <c r="L598"/>
      <c r="M598"/>
      <c r="N598"/>
      <c r="O598"/>
      <c r="P598"/>
      <c r="Q598"/>
      <c r="R598"/>
      <c r="S598"/>
      <c r="T598"/>
    </row>
    <row r="599" spans="1:20" outlineLevel="1" x14ac:dyDescent="0.3">
      <c r="A599" s="88" t="s">
        <v>1211</v>
      </c>
      <c r="B599" s="10" t="s">
        <v>1212</v>
      </c>
      <c r="C599" s="65" t="s">
        <v>1213</v>
      </c>
      <c r="D599" s="44" t="s">
        <v>658</v>
      </c>
      <c r="E599" s="99" t="s">
        <v>22</v>
      </c>
      <c r="F599" s="90"/>
      <c r="G599" s="102">
        <f>cell_CoefGeneral</f>
        <v>1</v>
      </c>
      <c r="H599" s="90">
        <v>0</v>
      </c>
      <c r="I599" s="90">
        <f>IF(ISNUMBER(E599),ROUND(E599*H599,2),0)</f>
        <v>0</v>
      </c>
      <c r="J599" s="114" t="str">
        <f>IFERROR(I599/cell_Total_HT,"-")</f>
        <v>-</v>
      </c>
      <c r="K599">
        <f>I599</f>
        <v>0</v>
      </c>
      <c r="L599"/>
      <c r="M599"/>
      <c r="N599"/>
      <c r="O599"/>
      <c r="P599"/>
      <c r="Q599"/>
      <c r="R599"/>
      <c r="S599"/>
      <c r="T599"/>
    </row>
    <row r="600" spans="1:20" outlineLevel="1" x14ac:dyDescent="0.3">
      <c r="A600" s="88" t="s">
        <v>1214</v>
      </c>
      <c r="B600" s="10" t="s">
        <v>1215</v>
      </c>
      <c r="C600" s="65" t="s">
        <v>1216</v>
      </c>
      <c r="D600" s="44" t="s">
        <v>658</v>
      </c>
      <c r="E600" s="99" t="s">
        <v>22</v>
      </c>
      <c r="F600" s="90"/>
      <c r="G600" s="102">
        <f>cell_CoefGeneral</f>
        <v>1</v>
      </c>
      <c r="H600" s="90">
        <v>0</v>
      </c>
      <c r="I600" s="90">
        <f>IF(ISNUMBER(E600),ROUND(E600*H600,2),0)</f>
        <v>0</v>
      </c>
      <c r="J600" s="114" t="str">
        <f>IFERROR(I600/cell_Total_HT,"-")</f>
        <v>-</v>
      </c>
      <c r="K600">
        <f>I600</f>
        <v>0</v>
      </c>
      <c r="L600"/>
      <c r="M600"/>
      <c r="N600"/>
      <c r="O600"/>
      <c r="P600"/>
      <c r="Q600"/>
      <c r="R600"/>
      <c r="S600"/>
      <c r="T600"/>
    </row>
    <row r="601" spans="1:20" outlineLevel="1" x14ac:dyDescent="0.3">
      <c r="A601" s="88" t="s">
        <v>1217</v>
      </c>
      <c r="B601" s="10" t="s">
        <v>1218</v>
      </c>
      <c r="C601" s="65" t="s">
        <v>1219</v>
      </c>
      <c r="D601" s="44" t="s">
        <v>658</v>
      </c>
      <c r="E601" s="99" t="s">
        <v>22</v>
      </c>
      <c r="F601" s="90"/>
      <c r="G601" s="102">
        <f>cell_CoefGeneral</f>
        <v>1</v>
      </c>
      <c r="H601" s="90">
        <v>0</v>
      </c>
      <c r="I601" s="90">
        <f>IF(ISNUMBER(E601),ROUND(E601*H601,2),0)</f>
        <v>0</v>
      </c>
      <c r="J601" s="114" t="str">
        <f>IFERROR(I601/cell_Total_HT,"-")</f>
        <v>-</v>
      </c>
      <c r="K601">
        <f>I601</f>
        <v>0</v>
      </c>
      <c r="L601"/>
      <c r="M601"/>
      <c r="N601"/>
      <c r="O601"/>
      <c r="P601"/>
      <c r="Q601"/>
      <c r="R601"/>
      <c r="S601"/>
      <c r="T601"/>
    </row>
    <row r="602" spans="1:20" outlineLevel="1" x14ac:dyDescent="0.3">
      <c r="A602" s="88" t="s">
        <v>1220</v>
      </c>
      <c r="B602" s="10" t="s">
        <v>1221</v>
      </c>
      <c r="C602" s="65" t="s">
        <v>1222</v>
      </c>
      <c r="D602" s="44" t="s">
        <v>658</v>
      </c>
      <c r="E602" s="99" t="s">
        <v>22</v>
      </c>
      <c r="F602" s="90"/>
      <c r="G602" s="102">
        <f>cell_CoefGeneral</f>
        <v>1</v>
      </c>
      <c r="H602" s="90">
        <v>0</v>
      </c>
      <c r="I602" s="90">
        <f>IF(ISNUMBER(E602),ROUND(E602*H602,2),0)</f>
        <v>0</v>
      </c>
      <c r="J602" s="114" t="str">
        <f>IFERROR(I602/cell_Total_HT,"-")</f>
        <v>-</v>
      </c>
      <c r="K602">
        <f>I602</f>
        <v>0</v>
      </c>
      <c r="L602"/>
      <c r="M602"/>
      <c r="N602"/>
      <c r="O602"/>
      <c r="P602"/>
      <c r="Q602"/>
      <c r="R602"/>
      <c r="S602"/>
      <c r="T602"/>
    </row>
    <row r="603" spans="1:20" outlineLevel="1" x14ac:dyDescent="0.3">
      <c r="A603" s="88" t="s">
        <v>1223</v>
      </c>
      <c r="B603" s="10" t="s">
        <v>1224</v>
      </c>
      <c r="C603" s="65" t="s">
        <v>1225</v>
      </c>
      <c r="D603" s="44" t="s">
        <v>658</v>
      </c>
      <c r="E603" s="99" t="s">
        <v>22</v>
      </c>
      <c r="F603" s="90"/>
      <c r="G603" s="102">
        <f>cell_CoefGeneral</f>
        <v>1</v>
      </c>
      <c r="H603" s="90">
        <v>0</v>
      </c>
      <c r="I603" s="90">
        <f>IF(ISNUMBER(E603),ROUND(E603*H603,2),0)</f>
        <v>0</v>
      </c>
      <c r="J603" s="114" t="str">
        <f>IFERROR(I603/cell_Total_HT,"-")</f>
        <v>-</v>
      </c>
      <c r="K603">
        <f>I603</f>
        <v>0</v>
      </c>
      <c r="L603"/>
      <c r="M603"/>
      <c r="N603"/>
      <c r="O603"/>
      <c r="P603"/>
      <c r="Q603"/>
      <c r="R603"/>
      <c r="S603"/>
      <c r="T603"/>
    </row>
    <row r="604" spans="1:20" outlineLevel="1" x14ac:dyDescent="0.3">
      <c r="A604" s="88" t="s">
        <v>1226</v>
      </c>
      <c r="B604" s="10" t="s">
        <v>1227</v>
      </c>
      <c r="C604" s="65" t="s">
        <v>1228</v>
      </c>
      <c r="D604" s="44" t="s">
        <v>658</v>
      </c>
      <c r="E604" s="99" t="s">
        <v>22</v>
      </c>
      <c r="F604" s="90"/>
      <c r="G604" s="102">
        <f>cell_CoefGeneral</f>
        <v>1</v>
      </c>
      <c r="H604" s="90">
        <v>0</v>
      </c>
      <c r="I604" s="90">
        <f>IF(ISNUMBER(E604),ROUND(E604*H604,2),0)</f>
        <v>0</v>
      </c>
      <c r="J604" s="114" t="str">
        <f>IFERROR(I604/cell_Total_HT,"-")</f>
        <v>-</v>
      </c>
      <c r="K604">
        <f>I604</f>
        <v>0</v>
      </c>
      <c r="L604"/>
      <c r="M604"/>
      <c r="N604"/>
      <c r="O604"/>
      <c r="P604"/>
      <c r="Q604"/>
      <c r="R604"/>
      <c r="S604"/>
      <c r="T604"/>
    </row>
    <row r="605" spans="1:20" outlineLevel="1" x14ac:dyDescent="0.3">
      <c r="A605" s="88" t="s">
        <v>1229</v>
      </c>
      <c r="B605" s="10" t="s">
        <v>1230</v>
      </c>
      <c r="C605" s="65" t="s">
        <v>1231</v>
      </c>
      <c r="D605" s="44" t="s">
        <v>658</v>
      </c>
      <c r="E605" s="99" t="s">
        <v>22</v>
      </c>
      <c r="F605" s="90"/>
      <c r="G605" s="102">
        <f>cell_CoefGeneral</f>
        <v>1</v>
      </c>
      <c r="H605" s="90">
        <v>0</v>
      </c>
      <c r="I605" s="90">
        <f>IF(ISNUMBER(E605),ROUND(E605*H605,2),0)</f>
        <v>0</v>
      </c>
      <c r="J605" s="114" t="str">
        <f>IFERROR(I605/cell_Total_HT,"-")</f>
        <v>-</v>
      </c>
      <c r="K605">
        <f>I605</f>
        <v>0</v>
      </c>
      <c r="L605"/>
      <c r="M605"/>
      <c r="N605"/>
      <c r="O605"/>
      <c r="P605"/>
      <c r="Q605"/>
      <c r="R605"/>
      <c r="S605"/>
      <c r="T605"/>
    </row>
    <row r="606" spans="1:20" outlineLevel="1" x14ac:dyDescent="0.3">
      <c r="A606" s="88" t="s">
        <v>1232</v>
      </c>
      <c r="B606" s="10" t="s">
        <v>1233</v>
      </c>
      <c r="C606" s="65" t="s">
        <v>1234</v>
      </c>
      <c r="D606" s="44" t="s">
        <v>80</v>
      </c>
      <c r="E606" s="99" t="s">
        <v>22</v>
      </c>
      <c r="F606" s="90"/>
      <c r="G606" s="102">
        <f>cell_CoefGeneral</f>
        <v>1</v>
      </c>
      <c r="H606" s="90">
        <v>0</v>
      </c>
      <c r="I606" s="90">
        <f>IF(ISNUMBER(E606),ROUND(E606*H606,2),0)</f>
        <v>0</v>
      </c>
      <c r="J606" s="114" t="str">
        <f>IFERROR(I606/cell_Total_HT,"-")</f>
        <v>-</v>
      </c>
      <c r="K606">
        <f>I606</f>
        <v>0</v>
      </c>
      <c r="L606"/>
      <c r="M606"/>
      <c r="N606"/>
      <c r="O606"/>
      <c r="P606"/>
      <c r="Q606"/>
      <c r="R606"/>
      <c r="S606"/>
      <c r="T606"/>
    </row>
    <row r="607" spans="1:20" outlineLevel="1" x14ac:dyDescent="0.3">
      <c r="A607" s="88" t="s">
        <v>1235</v>
      </c>
      <c r="B607" s="10" t="s">
        <v>1236</v>
      </c>
      <c r="C607" s="65" t="s">
        <v>1237</v>
      </c>
      <c r="D607" s="44" t="s">
        <v>167</v>
      </c>
      <c r="E607" s="99" t="s">
        <v>22</v>
      </c>
      <c r="F607" s="90"/>
      <c r="G607" s="102">
        <f>cell_CoefGeneral</f>
        <v>1</v>
      </c>
      <c r="H607" s="90">
        <v>0</v>
      </c>
      <c r="I607" s="90">
        <f>IF(ISNUMBER(E607),ROUND(E607*H607,2),0)</f>
        <v>0</v>
      </c>
      <c r="J607" s="114" t="str">
        <f>IFERROR(I607/cell_Total_HT,"-")</f>
        <v>-</v>
      </c>
      <c r="K607">
        <f>I607</f>
        <v>0</v>
      </c>
      <c r="L607"/>
      <c r="M607"/>
      <c r="N607"/>
      <c r="O607"/>
      <c r="P607"/>
      <c r="Q607"/>
      <c r="R607"/>
      <c r="S607"/>
      <c r="T607"/>
    </row>
    <row r="608" spans="1:20" outlineLevel="1" x14ac:dyDescent="0.3">
      <c r="A608" s="88" t="s">
        <v>1238</v>
      </c>
      <c r="B608" s="10" t="s">
        <v>1239</v>
      </c>
      <c r="C608" s="65" t="s">
        <v>1240</v>
      </c>
      <c r="D608" s="44" t="s">
        <v>167</v>
      </c>
      <c r="E608" s="99" t="s">
        <v>22</v>
      </c>
      <c r="F608" s="90"/>
      <c r="G608" s="102">
        <f>cell_CoefGeneral</f>
        <v>1</v>
      </c>
      <c r="H608" s="90">
        <v>0</v>
      </c>
      <c r="I608" s="90">
        <f>IF(ISNUMBER(E608),ROUND(E608*H608,2),0)</f>
        <v>0</v>
      </c>
      <c r="J608" s="114" t="str">
        <f>IFERROR(I608/cell_Total_HT,"-")</f>
        <v>-</v>
      </c>
      <c r="K608">
        <f>I608</f>
        <v>0</v>
      </c>
      <c r="L608"/>
      <c r="M608"/>
      <c r="N608"/>
      <c r="O608"/>
      <c r="P608"/>
      <c r="Q608"/>
      <c r="R608"/>
      <c r="S608"/>
      <c r="T608"/>
    </row>
    <row r="609" spans="1:20" outlineLevel="1" x14ac:dyDescent="0.3">
      <c r="A609" s="88" t="s">
        <v>1241</v>
      </c>
      <c r="B609" s="10" t="s">
        <v>1242</v>
      </c>
      <c r="C609" s="65" t="s">
        <v>1243</v>
      </c>
      <c r="D609" s="44" t="s">
        <v>121</v>
      </c>
      <c r="E609" s="99" t="s">
        <v>22</v>
      </c>
      <c r="F609" s="90"/>
      <c r="G609" s="102">
        <f>cell_CoefGeneral</f>
        <v>1</v>
      </c>
      <c r="H609" s="90">
        <v>0</v>
      </c>
      <c r="I609" s="90">
        <f>IF(ISNUMBER(E609),ROUND(E609*H609,2),0)</f>
        <v>0</v>
      </c>
      <c r="J609" s="114" t="str">
        <f>IFERROR(I609/cell_Total_HT,"-")</f>
        <v>-</v>
      </c>
      <c r="K609">
        <f>I609</f>
        <v>0</v>
      </c>
      <c r="L609"/>
      <c r="M609"/>
      <c r="N609"/>
      <c r="O609"/>
      <c r="P609"/>
      <c r="Q609"/>
      <c r="R609"/>
      <c r="S609"/>
      <c r="T609"/>
    </row>
    <row r="610" spans="1:20" outlineLevel="1" x14ac:dyDescent="0.3">
      <c r="A610" s="88" t="s">
        <v>1244</v>
      </c>
      <c r="B610" s="10" t="s">
        <v>1245</v>
      </c>
      <c r="C610" s="65" t="s">
        <v>1246</v>
      </c>
      <c r="D610" s="44" t="s">
        <v>121</v>
      </c>
      <c r="E610" s="99" t="s">
        <v>22</v>
      </c>
      <c r="F610" s="90"/>
      <c r="G610" s="102">
        <f>cell_CoefGeneral</f>
        <v>1</v>
      </c>
      <c r="H610" s="90">
        <v>0</v>
      </c>
      <c r="I610" s="90">
        <f>IF(ISNUMBER(E610),ROUND(E610*H610,2),0)</f>
        <v>0</v>
      </c>
      <c r="J610" s="114" t="str">
        <f>IFERROR(I610/cell_Total_HT,"-")</f>
        <v>-</v>
      </c>
      <c r="K610">
        <f>I610</f>
        <v>0</v>
      </c>
      <c r="L610"/>
      <c r="M610"/>
      <c r="N610"/>
      <c r="O610"/>
      <c r="P610"/>
      <c r="Q610"/>
      <c r="R610"/>
      <c r="S610"/>
      <c r="T610"/>
    </row>
    <row r="611" spans="1:20" ht="28.8" outlineLevel="1" x14ac:dyDescent="0.3">
      <c r="A611" s="88" t="s">
        <v>1247</v>
      </c>
      <c r="B611" s="10" t="s">
        <v>1248</v>
      </c>
      <c r="C611" s="65" t="s">
        <v>1249</v>
      </c>
      <c r="D611" s="44" t="s">
        <v>80</v>
      </c>
      <c r="E611" s="99" t="s">
        <v>22</v>
      </c>
      <c r="F611" s="90"/>
      <c r="G611" s="102">
        <f>cell_CoefGeneral</f>
        <v>1</v>
      </c>
      <c r="H611" s="90">
        <v>0</v>
      </c>
      <c r="I611" s="90">
        <f>IF(ISNUMBER(E611),ROUND(E611*H611,2),0)</f>
        <v>0</v>
      </c>
      <c r="J611" s="114" t="str">
        <f>IFERROR(I611/cell_Total_HT,"-")</f>
        <v>-</v>
      </c>
      <c r="K611">
        <f>I611</f>
        <v>0</v>
      </c>
      <c r="L611"/>
      <c r="M611"/>
      <c r="N611"/>
      <c r="O611"/>
      <c r="P611"/>
      <c r="Q611"/>
      <c r="R611"/>
      <c r="S611"/>
      <c r="T611"/>
    </row>
    <row r="612" spans="1:20" outlineLevel="1" x14ac:dyDescent="0.3">
      <c r="A612" s="88" t="s">
        <v>1250</v>
      </c>
      <c r="B612" s="10" t="s">
        <v>1251</v>
      </c>
      <c r="C612" s="65" t="s">
        <v>1252</v>
      </c>
      <c r="D612" s="44" t="s">
        <v>121</v>
      </c>
      <c r="E612" s="99" t="s">
        <v>22</v>
      </c>
      <c r="F612" s="90"/>
      <c r="G612" s="102">
        <f>cell_CoefGeneral</f>
        <v>1</v>
      </c>
      <c r="H612" s="90">
        <v>0</v>
      </c>
      <c r="I612" s="90">
        <f>IF(ISNUMBER(E612),ROUND(E612*H612,2),0)</f>
        <v>0</v>
      </c>
      <c r="J612" s="114" t="str">
        <f>IFERROR(I612/cell_Total_HT,"-")</f>
        <v>-</v>
      </c>
      <c r="K612">
        <f>I612</f>
        <v>0</v>
      </c>
      <c r="L612"/>
      <c r="M612"/>
      <c r="N612"/>
      <c r="O612"/>
      <c r="P612"/>
      <c r="Q612"/>
      <c r="R612"/>
      <c r="S612"/>
      <c r="T612"/>
    </row>
    <row r="613" spans="1:20" outlineLevel="1" x14ac:dyDescent="0.3">
      <c r="A613" s="88" t="s">
        <v>1253</v>
      </c>
      <c r="B613" s="10" t="s">
        <v>1254</v>
      </c>
      <c r="C613" s="65" t="s">
        <v>1255</v>
      </c>
      <c r="D613" s="44" t="s">
        <v>121</v>
      </c>
      <c r="E613" s="99" t="s">
        <v>22</v>
      </c>
      <c r="F613" s="90"/>
      <c r="G613" s="102">
        <f>cell_CoefGeneral</f>
        <v>1</v>
      </c>
      <c r="H613" s="90">
        <v>0</v>
      </c>
      <c r="I613" s="90">
        <f>IF(ISNUMBER(E613),ROUND(E613*H613,2),0)</f>
        <v>0</v>
      </c>
      <c r="J613" s="114" t="str">
        <f>IFERROR(I613/cell_Total_HT,"-")</f>
        <v>-</v>
      </c>
      <c r="K613">
        <f>I613</f>
        <v>0</v>
      </c>
      <c r="L613"/>
      <c r="M613"/>
      <c r="N613"/>
      <c r="O613"/>
      <c r="P613"/>
      <c r="Q613"/>
      <c r="R613"/>
      <c r="S613"/>
      <c r="T613"/>
    </row>
    <row r="614" spans="1:20" outlineLevel="1" x14ac:dyDescent="0.3">
      <c r="A614" s="88" t="s">
        <v>1256</v>
      </c>
      <c r="B614" s="10" t="s">
        <v>1257</v>
      </c>
      <c r="C614" s="65" t="s">
        <v>1258</v>
      </c>
      <c r="D614" s="44" t="s">
        <v>167</v>
      </c>
      <c r="E614" s="99" t="s">
        <v>22</v>
      </c>
      <c r="F614" s="90"/>
      <c r="G614" s="102">
        <f>cell_CoefGeneral</f>
        <v>1</v>
      </c>
      <c r="H614" s="90">
        <v>0</v>
      </c>
      <c r="I614" s="90">
        <f>IF(ISNUMBER(E614),ROUND(E614*H614,2),0)</f>
        <v>0</v>
      </c>
      <c r="J614" s="114" t="str">
        <f>IFERROR(I614/cell_Total_HT,"-")</f>
        <v>-</v>
      </c>
      <c r="K614">
        <f>I614</f>
        <v>0</v>
      </c>
      <c r="L614"/>
      <c r="M614"/>
      <c r="N614"/>
      <c r="O614"/>
      <c r="P614"/>
      <c r="Q614"/>
      <c r="R614"/>
      <c r="S614"/>
      <c r="T614"/>
    </row>
    <row r="615" spans="1:20" outlineLevel="1" x14ac:dyDescent="0.3">
      <c r="A615" s="88" t="s">
        <v>1259</v>
      </c>
      <c r="B615" s="10" t="s">
        <v>1260</v>
      </c>
      <c r="C615" s="65" t="s">
        <v>1261</v>
      </c>
      <c r="D615" s="44" t="s">
        <v>167</v>
      </c>
      <c r="E615" s="99" t="s">
        <v>22</v>
      </c>
      <c r="F615" s="90"/>
      <c r="G615" s="102">
        <f>cell_CoefGeneral</f>
        <v>1</v>
      </c>
      <c r="H615" s="90">
        <v>0</v>
      </c>
      <c r="I615" s="90">
        <f>IF(ISNUMBER(E615),ROUND(E615*H615,2),0)</f>
        <v>0</v>
      </c>
      <c r="J615" s="114" t="str">
        <f>IFERROR(I615/cell_Total_HT,"-")</f>
        <v>-</v>
      </c>
      <c r="K615">
        <f>I615</f>
        <v>0</v>
      </c>
      <c r="L615"/>
      <c r="M615"/>
      <c r="N615"/>
      <c r="O615"/>
      <c r="P615"/>
      <c r="Q615"/>
      <c r="R615"/>
      <c r="S615"/>
      <c r="T615"/>
    </row>
    <row r="616" spans="1:20" outlineLevel="1" x14ac:dyDescent="0.3">
      <c r="A616" s="88" t="s">
        <v>1262</v>
      </c>
      <c r="B616" s="10" t="s">
        <v>1263</v>
      </c>
      <c r="C616" s="65" t="s">
        <v>1264</v>
      </c>
      <c r="D616" s="44" t="s">
        <v>1265</v>
      </c>
      <c r="E616" s="99" t="s">
        <v>22</v>
      </c>
      <c r="F616" s="90"/>
      <c r="G616" s="102">
        <f>cell_CoefGeneral</f>
        <v>1</v>
      </c>
      <c r="H616" s="90">
        <v>0</v>
      </c>
      <c r="I616" s="90">
        <f>IF(ISNUMBER(E616),ROUND(E616*H616,2),0)</f>
        <v>0</v>
      </c>
      <c r="J616" s="114" t="str">
        <f>IFERROR(I616/cell_Total_HT,"-")</f>
        <v>-</v>
      </c>
      <c r="K616">
        <f>I616</f>
        <v>0</v>
      </c>
      <c r="L616"/>
      <c r="M616"/>
      <c r="N616"/>
      <c r="O616"/>
      <c r="P616"/>
      <c r="Q616"/>
      <c r="R616"/>
      <c r="S616"/>
      <c r="T616"/>
    </row>
    <row r="617" spans="1:20" outlineLevel="1" x14ac:dyDescent="0.3">
      <c r="A617" s="88" t="s">
        <v>1266</v>
      </c>
      <c r="B617" s="10" t="s">
        <v>1267</v>
      </c>
      <c r="C617" s="65" t="s">
        <v>1268</v>
      </c>
      <c r="D617" s="44" t="s">
        <v>121</v>
      </c>
      <c r="E617" s="99" t="s">
        <v>22</v>
      </c>
      <c r="F617" s="90"/>
      <c r="G617" s="102">
        <f>cell_CoefGeneral</f>
        <v>1</v>
      </c>
      <c r="H617" s="90">
        <v>0</v>
      </c>
      <c r="I617" s="90">
        <f>IF(ISNUMBER(E617),ROUND(E617*H617,2),0)</f>
        <v>0</v>
      </c>
      <c r="J617" s="114" t="str">
        <f>IFERROR(I617/cell_Total_HT,"-")</f>
        <v>-</v>
      </c>
      <c r="K617">
        <f>I617</f>
        <v>0</v>
      </c>
      <c r="L617"/>
      <c r="M617"/>
      <c r="N617"/>
      <c r="O617"/>
      <c r="P617"/>
      <c r="Q617"/>
      <c r="R617"/>
      <c r="S617"/>
      <c r="T617"/>
    </row>
    <row r="618" spans="1:20" outlineLevel="1" x14ac:dyDescent="0.3">
      <c r="A618" s="88" t="s">
        <v>1269</v>
      </c>
      <c r="B618" s="10" t="s">
        <v>1270</v>
      </c>
      <c r="C618" s="65" t="s">
        <v>1271</v>
      </c>
      <c r="D618" s="44" t="s">
        <v>121</v>
      </c>
      <c r="E618" s="99" t="s">
        <v>22</v>
      </c>
      <c r="F618" s="90"/>
      <c r="G618" s="102">
        <f>cell_CoefGeneral</f>
        <v>1</v>
      </c>
      <c r="H618" s="90">
        <v>0</v>
      </c>
      <c r="I618" s="90">
        <f>IF(ISNUMBER(E618),ROUND(E618*H618,2),0)</f>
        <v>0</v>
      </c>
      <c r="J618" s="114" t="str">
        <f>IFERROR(I618/cell_Total_HT,"-")</f>
        <v>-</v>
      </c>
      <c r="K618">
        <f>I618</f>
        <v>0</v>
      </c>
      <c r="L618"/>
      <c r="M618"/>
      <c r="N618"/>
      <c r="O618"/>
      <c r="P618"/>
      <c r="Q618"/>
      <c r="R618"/>
      <c r="S618"/>
      <c r="T618"/>
    </row>
    <row r="619" spans="1:20" ht="28.8" outlineLevel="1" x14ac:dyDescent="0.3">
      <c r="A619" s="88" t="s">
        <v>1272</v>
      </c>
      <c r="B619" s="10" t="s">
        <v>1273</v>
      </c>
      <c r="C619" s="65" t="s">
        <v>1274</v>
      </c>
      <c r="D619" s="44" t="s">
        <v>658</v>
      </c>
      <c r="E619" s="99" t="s">
        <v>22</v>
      </c>
      <c r="F619" s="90"/>
      <c r="G619" s="102">
        <f>cell_CoefGeneral</f>
        <v>1</v>
      </c>
      <c r="H619" s="90">
        <v>0</v>
      </c>
      <c r="I619" s="90">
        <f>IF(ISNUMBER(E619),ROUND(E619*H619,2),0)</f>
        <v>0</v>
      </c>
      <c r="J619" s="114" t="str">
        <f>IFERROR(I619/cell_Total_HT,"-")</f>
        <v>-</v>
      </c>
      <c r="K619">
        <f>I619</f>
        <v>0</v>
      </c>
      <c r="L619"/>
      <c r="M619"/>
      <c r="N619"/>
      <c r="O619"/>
      <c r="P619"/>
      <c r="Q619"/>
      <c r="R619"/>
      <c r="S619"/>
      <c r="T619"/>
    </row>
    <row r="620" spans="1:20" ht="28.8" outlineLevel="1" x14ac:dyDescent="0.3">
      <c r="A620" s="88" t="s">
        <v>1275</v>
      </c>
      <c r="B620" s="10" t="s">
        <v>1276</v>
      </c>
      <c r="C620" s="65" t="s">
        <v>1277</v>
      </c>
      <c r="D620" s="44" t="s">
        <v>658</v>
      </c>
      <c r="E620" s="99" t="s">
        <v>22</v>
      </c>
      <c r="F620" s="90"/>
      <c r="G620" s="102">
        <f>cell_CoefGeneral</f>
        <v>1</v>
      </c>
      <c r="H620" s="90">
        <v>0</v>
      </c>
      <c r="I620" s="90">
        <f>IF(ISNUMBER(E620),ROUND(E620*H620,2),0)</f>
        <v>0</v>
      </c>
      <c r="J620" s="114" t="str">
        <f>IFERROR(I620/cell_Total_HT,"-")</f>
        <v>-</v>
      </c>
      <c r="K620">
        <f>I620</f>
        <v>0</v>
      </c>
      <c r="L620"/>
      <c r="M620"/>
      <c r="N620"/>
      <c r="O620"/>
      <c r="P620"/>
      <c r="Q620"/>
      <c r="R620"/>
      <c r="S620"/>
      <c r="T620"/>
    </row>
    <row r="621" spans="1:20" outlineLevel="1" x14ac:dyDescent="0.3">
      <c r="A621" s="88" t="s">
        <v>1278</v>
      </c>
      <c r="B621" s="10" t="s">
        <v>1279</v>
      </c>
      <c r="C621" s="65" t="s">
        <v>1237</v>
      </c>
      <c r="D621" s="44" t="s">
        <v>167</v>
      </c>
      <c r="E621" s="99" t="s">
        <v>22</v>
      </c>
      <c r="F621" s="90"/>
      <c r="G621" s="102">
        <f>cell_CoefGeneral</f>
        <v>1</v>
      </c>
      <c r="H621" s="90">
        <v>0</v>
      </c>
      <c r="I621" s="90">
        <f>IF(ISNUMBER(E621),ROUND(E621*H621,2),0)</f>
        <v>0</v>
      </c>
      <c r="J621" s="114" t="str">
        <f>IFERROR(I621/cell_Total_HT,"-")</f>
        <v>-</v>
      </c>
      <c r="K621">
        <f>I621</f>
        <v>0</v>
      </c>
      <c r="L621"/>
      <c r="M621"/>
      <c r="N621"/>
      <c r="O621"/>
      <c r="P621"/>
      <c r="Q621"/>
      <c r="R621"/>
      <c r="S621"/>
      <c r="T621"/>
    </row>
    <row r="622" spans="1:20" outlineLevel="1" x14ac:dyDescent="0.3">
      <c r="A622" s="88" t="s">
        <v>1280</v>
      </c>
      <c r="B622" s="10" t="s">
        <v>1281</v>
      </c>
      <c r="C622" s="65" t="s">
        <v>1243</v>
      </c>
      <c r="D622" s="44" t="s">
        <v>121</v>
      </c>
      <c r="E622" s="99" t="s">
        <v>22</v>
      </c>
      <c r="F622" s="90"/>
      <c r="G622" s="102">
        <f>cell_CoefGeneral</f>
        <v>1</v>
      </c>
      <c r="H622" s="90">
        <v>0</v>
      </c>
      <c r="I622" s="90">
        <f>IF(ISNUMBER(E622),ROUND(E622*H622,2),0)</f>
        <v>0</v>
      </c>
      <c r="J622" s="114" t="str">
        <f>IFERROR(I622/cell_Total_HT,"-")</f>
        <v>-</v>
      </c>
      <c r="K622">
        <f>I622</f>
        <v>0</v>
      </c>
      <c r="L622"/>
      <c r="M622"/>
      <c r="N622"/>
      <c r="O622"/>
      <c r="P622"/>
      <c r="Q622"/>
      <c r="R622"/>
      <c r="S622"/>
      <c r="T622"/>
    </row>
    <row r="623" spans="1:20" outlineLevel="1" x14ac:dyDescent="0.3">
      <c r="A623" s="88" t="s">
        <v>1282</v>
      </c>
      <c r="B623" s="10" t="s">
        <v>1283</v>
      </c>
      <c r="C623" s="65" t="s">
        <v>1284</v>
      </c>
      <c r="D623" s="44" t="s">
        <v>149</v>
      </c>
      <c r="E623" s="99" t="s">
        <v>22</v>
      </c>
      <c r="F623" s="90"/>
      <c r="G623" s="102">
        <f>cell_CoefGeneral</f>
        <v>1</v>
      </c>
      <c r="H623" s="90">
        <v>0</v>
      </c>
      <c r="I623" s="90">
        <f>IF(ISNUMBER(E623),ROUND(E623*H623,2),0)</f>
        <v>0</v>
      </c>
      <c r="J623" s="114" t="str">
        <f>IFERROR(I623/cell_Total_HT,"-")</f>
        <v>-</v>
      </c>
      <c r="K623">
        <f>I623</f>
        <v>0</v>
      </c>
      <c r="L623"/>
      <c r="M623"/>
      <c r="N623"/>
      <c r="O623"/>
      <c r="P623"/>
      <c r="Q623"/>
      <c r="R623"/>
      <c r="S623"/>
      <c r="T623"/>
    </row>
    <row r="624" spans="1:20" outlineLevel="1" x14ac:dyDescent="0.3">
      <c r="A624" s="88" t="s">
        <v>1285</v>
      </c>
      <c r="B624" s="10" t="s">
        <v>1286</v>
      </c>
      <c r="C624" s="65" t="s">
        <v>1255</v>
      </c>
      <c r="D624" s="44" t="s">
        <v>121</v>
      </c>
      <c r="E624" s="99" t="s">
        <v>22</v>
      </c>
      <c r="F624" s="90"/>
      <c r="G624" s="102">
        <f>cell_CoefGeneral</f>
        <v>1</v>
      </c>
      <c r="H624" s="90">
        <v>0</v>
      </c>
      <c r="I624" s="90">
        <f>IF(ISNUMBER(E624),ROUND(E624*H624,2),0)</f>
        <v>0</v>
      </c>
      <c r="J624" s="114" t="str">
        <f>IFERROR(I624/cell_Total_HT,"-")</f>
        <v>-</v>
      </c>
      <c r="K624">
        <f>I624</f>
        <v>0</v>
      </c>
      <c r="L624"/>
      <c r="M624"/>
      <c r="N624"/>
      <c r="O624"/>
      <c r="P624"/>
      <c r="Q624"/>
      <c r="R624"/>
      <c r="S624"/>
      <c r="T624"/>
    </row>
    <row r="625" spans="1:20" outlineLevel="1" x14ac:dyDescent="0.3">
      <c r="A625" s="88" t="s">
        <v>1287</v>
      </c>
      <c r="B625" s="10" t="s">
        <v>1288</v>
      </c>
      <c r="C625" s="65" t="s">
        <v>1258</v>
      </c>
      <c r="D625" s="44" t="s">
        <v>167</v>
      </c>
      <c r="E625" s="99" t="s">
        <v>22</v>
      </c>
      <c r="F625" s="90"/>
      <c r="G625" s="102">
        <f>cell_CoefGeneral</f>
        <v>1</v>
      </c>
      <c r="H625" s="90">
        <v>0</v>
      </c>
      <c r="I625" s="90">
        <f>IF(ISNUMBER(E625),ROUND(E625*H625,2),0)</f>
        <v>0</v>
      </c>
      <c r="J625" s="114" t="str">
        <f>IFERROR(I625/cell_Total_HT,"-")</f>
        <v>-</v>
      </c>
      <c r="K625">
        <f>I625</f>
        <v>0</v>
      </c>
      <c r="L625"/>
      <c r="M625"/>
      <c r="N625"/>
      <c r="O625"/>
      <c r="P625"/>
      <c r="Q625"/>
      <c r="R625"/>
      <c r="S625"/>
      <c r="T625"/>
    </row>
    <row r="626" spans="1:20" outlineLevel="1" x14ac:dyDescent="0.3">
      <c r="A626" s="88" t="s">
        <v>1289</v>
      </c>
      <c r="B626" s="10" t="s">
        <v>1290</v>
      </c>
      <c r="C626" s="65" t="s">
        <v>1264</v>
      </c>
      <c r="D626" s="44" t="s">
        <v>1265</v>
      </c>
      <c r="E626" s="99" t="s">
        <v>22</v>
      </c>
      <c r="F626" s="90"/>
      <c r="G626" s="102">
        <f>cell_CoefGeneral</f>
        <v>1</v>
      </c>
      <c r="H626" s="90">
        <v>0</v>
      </c>
      <c r="I626" s="90">
        <f>IF(ISNUMBER(E626),ROUND(E626*H626,2),0)</f>
        <v>0</v>
      </c>
      <c r="J626" s="114" t="str">
        <f>IFERROR(I626/cell_Total_HT,"-")</f>
        <v>-</v>
      </c>
      <c r="K626">
        <f>I626</f>
        <v>0</v>
      </c>
      <c r="L626"/>
      <c r="M626"/>
      <c r="N626"/>
      <c r="O626"/>
      <c r="P626"/>
      <c r="Q626"/>
      <c r="R626"/>
      <c r="S626"/>
      <c r="T626"/>
    </row>
    <row r="627" spans="1:20" outlineLevel="1" x14ac:dyDescent="0.3">
      <c r="A627" s="88" t="s">
        <v>1291</v>
      </c>
      <c r="B627" s="10" t="s">
        <v>1292</v>
      </c>
      <c r="C627" s="65" t="s">
        <v>1268</v>
      </c>
      <c r="D627" s="44" t="s">
        <v>121</v>
      </c>
      <c r="E627" s="99" t="s">
        <v>22</v>
      </c>
      <c r="F627" s="90"/>
      <c r="G627" s="102">
        <f>cell_CoefGeneral</f>
        <v>1</v>
      </c>
      <c r="H627" s="90">
        <v>0</v>
      </c>
      <c r="I627" s="90">
        <f>IF(ISNUMBER(E627),ROUND(E627*H627,2),0)</f>
        <v>0</v>
      </c>
      <c r="J627" s="114" t="str">
        <f>IFERROR(I627/cell_Total_HT,"-")</f>
        <v>-</v>
      </c>
      <c r="K627">
        <f>I627</f>
        <v>0</v>
      </c>
      <c r="L627"/>
      <c r="M627"/>
      <c r="N627"/>
      <c r="O627"/>
      <c r="P627"/>
      <c r="Q627"/>
      <c r="R627"/>
      <c r="S627"/>
      <c r="T627"/>
    </row>
    <row r="628" spans="1:20" outlineLevel="1" x14ac:dyDescent="0.3">
      <c r="A628" s="88" t="s">
        <v>1293</v>
      </c>
      <c r="B628" s="10" t="s">
        <v>1294</v>
      </c>
      <c r="C628" s="65" t="s">
        <v>1271</v>
      </c>
      <c r="D628" s="44" t="s">
        <v>121</v>
      </c>
      <c r="E628" s="99" t="s">
        <v>22</v>
      </c>
      <c r="F628" s="90"/>
      <c r="G628" s="102">
        <f>cell_CoefGeneral</f>
        <v>1</v>
      </c>
      <c r="H628" s="90">
        <v>0</v>
      </c>
      <c r="I628" s="90">
        <f>IF(ISNUMBER(E628),ROUND(E628*H628,2),0)</f>
        <v>0</v>
      </c>
      <c r="J628" s="114" t="str">
        <f>IFERROR(I628/cell_Total_HT,"-")</f>
        <v>-</v>
      </c>
      <c r="K628">
        <f>I628</f>
        <v>0</v>
      </c>
      <c r="L628"/>
      <c r="M628"/>
      <c r="N628"/>
      <c r="O628"/>
      <c r="P628"/>
      <c r="Q628"/>
      <c r="R628"/>
      <c r="S628"/>
      <c r="T628"/>
    </row>
    <row r="629" spans="1:20" outlineLevel="1" x14ac:dyDescent="0.3">
      <c r="A629" s="88" t="s">
        <v>1295</v>
      </c>
      <c r="B629" s="10" t="s">
        <v>1296</v>
      </c>
      <c r="C629" s="65" t="s">
        <v>1297</v>
      </c>
      <c r="D629" s="44" t="s">
        <v>121</v>
      </c>
      <c r="E629" s="99" t="s">
        <v>22</v>
      </c>
      <c r="F629" s="90"/>
      <c r="G629" s="102">
        <f>cell_CoefGeneral</f>
        <v>1</v>
      </c>
      <c r="H629" s="90">
        <v>0</v>
      </c>
      <c r="I629" s="90">
        <f>IF(ISNUMBER(E629),ROUND(E629*H629,2),0)</f>
        <v>0</v>
      </c>
      <c r="J629" s="114" t="str">
        <f>IFERROR(I629/cell_Total_HT,"-")</f>
        <v>-</v>
      </c>
      <c r="K629">
        <f>I629</f>
        <v>0</v>
      </c>
      <c r="L629"/>
      <c r="M629"/>
      <c r="N629"/>
      <c r="O629"/>
      <c r="P629"/>
      <c r="Q629"/>
      <c r="R629"/>
      <c r="S629"/>
      <c r="T629"/>
    </row>
    <row r="630" spans="1:20" outlineLevel="1" x14ac:dyDescent="0.3">
      <c r="A630" s="88" t="s">
        <v>1298</v>
      </c>
      <c r="B630" s="10" t="s">
        <v>1299</v>
      </c>
      <c r="C630" s="65" t="s">
        <v>1300</v>
      </c>
      <c r="D630" s="44" t="s">
        <v>121</v>
      </c>
      <c r="E630" s="99" t="s">
        <v>22</v>
      </c>
      <c r="F630" s="90"/>
      <c r="G630" s="102">
        <f>cell_CoefGeneral</f>
        <v>1</v>
      </c>
      <c r="H630" s="90">
        <v>0</v>
      </c>
      <c r="I630" s="90">
        <f>IF(ISNUMBER(E630),ROUND(E630*H630,2),0)</f>
        <v>0</v>
      </c>
      <c r="J630" s="114" t="str">
        <f>IFERROR(I630/cell_Total_HT,"-")</f>
        <v>-</v>
      </c>
      <c r="K630">
        <f>I630</f>
        <v>0</v>
      </c>
      <c r="L630"/>
      <c r="M630"/>
      <c r="N630"/>
      <c r="O630"/>
      <c r="P630"/>
      <c r="Q630"/>
      <c r="R630"/>
      <c r="S630"/>
      <c r="T630"/>
    </row>
    <row r="631" spans="1:20" outlineLevel="1" x14ac:dyDescent="0.3">
      <c r="A631" s="88" t="s">
        <v>1301</v>
      </c>
      <c r="B631" s="10" t="s">
        <v>1302</v>
      </c>
      <c r="C631" s="65" t="s">
        <v>1303</v>
      </c>
      <c r="D631" s="44" t="s">
        <v>121</v>
      </c>
      <c r="E631" s="99" t="s">
        <v>22</v>
      </c>
      <c r="F631" s="90"/>
      <c r="G631" s="102">
        <f>cell_CoefGeneral</f>
        <v>1</v>
      </c>
      <c r="H631" s="90">
        <v>0</v>
      </c>
      <c r="I631" s="90">
        <f>IF(ISNUMBER(E631),ROUND(E631*H631,2),0)</f>
        <v>0</v>
      </c>
      <c r="J631" s="114" t="str">
        <f>IFERROR(I631/cell_Total_HT,"-")</f>
        <v>-</v>
      </c>
      <c r="K631">
        <f>I631</f>
        <v>0</v>
      </c>
      <c r="L631"/>
      <c r="M631"/>
      <c r="N631"/>
      <c r="O631"/>
      <c r="P631"/>
      <c r="Q631"/>
      <c r="R631"/>
      <c r="S631"/>
      <c r="T631"/>
    </row>
    <row r="632" spans="1:20" outlineLevel="1" x14ac:dyDescent="0.3">
      <c r="A632" s="88" t="s">
        <v>1304</v>
      </c>
      <c r="B632" s="10" t="s">
        <v>1305</v>
      </c>
      <c r="C632" s="65" t="s">
        <v>1306</v>
      </c>
      <c r="D632" s="44" t="s">
        <v>658</v>
      </c>
      <c r="E632" s="99" t="s">
        <v>22</v>
      </c>
      <c r="F632" s="90"/>
      <c r="G632" s="102">
        <f>cell_CoefGeneral</f>
        <v>1</v>
      </c>
      <c r="H632" s="90">
        <v>0</v>
      </c>
      <c r="I632" s="90">
        <f>IF(ISNUMBER(E632),ROUND(E632*H632,2),0)</f>
        <v>0</v>
      </c>
      <c r="J632" s="114" t="str">
        <f>IFERROR(I632/cell_Total_HT,"-")</f>
        <v>-</v>
      </c>
      <c r="K632">
        <f>I632</f>
        <v>0</v>
      </c>
      <c r="L632"/>
      <c r="M632"/>
      <c r="N632"/>
      <c r="O632"/>
      <c r="P632"/>
      <c r="Q632"/>
      <c r="R632"/>
      <c r="S632"/>
      <c r="T632"/>
    </row>
    <row r="633" spans="1:20" outlineLevel="1" x14ac:dyDescent="0.3">
      <c r="A633" s="88" t="s">
        <v>1307</v>
      </c>
      <c r="B633" s="10" t="s">
        <v>1308</v>
      </c>
      <c r="C633" s="65" t="s">
        <v>1309</v>
      </c>
      <c r="D633" s="44" t="s">
        <v>658</v>
      </c>
      <c r="E633" s="99" t="s">
        <v>22</v>
      </c>
      <c r="F633" s="90"/>
      <c r="G633" s="102">
        <f>cell_CoefGeneral</f>
        <v>1</v>
      </c>
      <c r="H633" s="90">
        <v>0</v>
      </c>
      <c r="I633" s="90">
        <f>IF(ISNUMBER(E633),ROUND(E633*H633,2),0)</f>
        <v>0</v>
      </c>
      <c r="J633" s="114" t="str">
        <f>IFERROR(I633/cell_Total_HT,"-")</f>
        <v>-</v>
      </c>
      <c r="K633">
        <f>I633</f>
        <v>0</v>
      </c>
      <c r="L633"/>
      <c r="M633"/>
      <c r="N633"/>
      <c r="O633"/>
      <c r="P633"/>
      <c r="Q633"/>
      <c r="R633"/>
      <c r="S633"/>
      <c r="T633"/>
    </row>
    <row r="634" spans="1:20" outlineLevel="1" x14ac:dyDescent="0.3">
      <c r="A634" s="88" t="s">
        <v>1310</v>
      </c>
      <c r="B634" s="10" t="s">
        <v>1311</v>
      </c>
      <c r="C634" s="65" t="s">
        <v>1312</v>
      </c>
      <c r="D634" s="44" t="s">
        <v>658</v>
      </c>
      <c r="E634" s="99" t="s">
        <v>22</v>
      </c>
      <c r="F634" s="90"/>
      <c r="G634" s="102">
        <f>cell_CoefGeneral</f>
        <v>1</v>
      </c>
      <c r="H634" s="90">
        <v>0</v>
      </c>
      <c r="I634" s="90">
        <f>IF(ISNUMBER(E634),ROUND(E634*H634,2),0)</f>
        <v>0</v>
      </c>
      <c r="J634" s="114" t="str">
        <f>IFERROR(I634/cell_Total_HT,"-")</f>
        <v>-</v>
      </c>
      <c r="K634">
        <f>I634</f>
        <v>0</v>
      </c>
      <c r="L634"/>
      <c r="M634"/>
      <c r="N634"/>
      <c r="O634"/>
      <c r="P634"/>
      <c r="Q634"/>
      <c r="R634"/>
      <c r="S634"/>
      <c r="T634"/>
    </row>
    <row r="635" spans="1:20" outlineLevel="1" x14ac:dyDescent="0.3">
      <c r="A635" s="88" t="s">
        <v>1313</v>
      </c>
      <c r="B635" s="10" t="s">
        <v>1314</v>
      </c>
      <c r="C635" s="65" t="s">
        <v>1315</v>
      </c>
      <c r="D635" s="44" t="s">
        <v>658</v>
      </c>
      <c r="E635" s="99" t="s">
        <v>22</v>
      </c>
      <c r="F635" s="90"/>
      <c r="G635" s="102">
        <f>cell_CoefGeneral</f>
        <v>1</v>
      </c>
      <c r="H635" s="90">
        <v>0</v>
      </c>
      <c r="I635" s="90">
        <f>IF(ISNUMBER(E635),ROUND(E635*H635,2),0)</f>
        <v>0</v>
      </c>
      <c r="J635" s="114" t="str">
        <f>IFERROR(I635/cell_Total_HT,"-")</f>
        <v>-</v>
      </c>
      <c r="K635">
        <f>I635</f>
        <v>0</v>
      </c>
      <c r="L635"/>
      <c r="M635"/>
      <c r="N635"/>
      <c r="O635"/>
      <c r="P635"/>
      <c r="Q635"/>
      <c r="R635"/>
      <c r="S635"/>
      <c r="T635"/>
    </row>
    <row r="636" spans="1:20" outlineLevel="1" x14ac:dyDescent="0.3">
      <c r="A636" s="88" t="s">
        <v>1316</v>
      </c>
      <c r="B636" s="10" t="s">
        <v>1317</v>
      </c>
      <c r="C636" s="65" t="s">
        <v>1318</v>
      </c>
      <c r="D636" s="44" t="s">
        <v>658</v>
      </c>
      <c r="E636" s="99" t="s">
        <v>22</v>
      </c>
      <c r="F636" s="90"/>
      <c r="G636" s="102">
        <f>cell_CoefGeneral</f>
        <v>1</v>
      </c>
      <c r="H636" s="90">
        <v>0</v>
      </c>
      <c r="I636" s="90">
        <f>IF(ISNUMBER(E636),ROUND(E636*H636,2),0)</f>
        <v>0</v>
      </c>
      <c r="J636" s="114" t="str">
        <f>IFERROR(I636/cell_Total_HT,"-")</f>
        <v>-</v>
      </c>
      <c r="K636">
        <f>I636</f>
        <v>0</v>
      </c>
      <c r="L636"/>
      <c r="M636"/>
      <c r="N636"/>
      <c r="O636"/>
      <c r="P636"/>
      <c r="Q636"/>
      <c r="R636"/>
      <c r="S636"/>
      <c r="T636"/>
    </row>
    <row r="637" spans="1:20" outlineLevel="1" x14ac:dyDescent="0.3">
      <c r="A637" s="88" t="s">
        <v>1319</v>
      </c>
      <c r="B637" s="10" t="s">
        <v>1320</v>
      </c>
      <c r="C637" s="65" t="s">
        <v>1321</v>
      </c>
      <c r="D637" s="44" t="s">
        <v>80</v>
      </c>
      <c r="E637" s="99" t="s">
        <v>22</v>
      </c>
      <c r="F637" s="90"/>
      <c r="G637" s="102">
        <f>cell_CoefGeneral</f>
        <v>1</v>
      </c>
      <c r="H637" s="90">
        <v>0</v>
      </c>
      <c r="I637" s="90">
        <f>IF(ISNUMBER(E637),ROUND(E637*H637,2),0)</f>
        <v>0</v>
      </c>
      <c r="J637" s="114" t="str">
        <f>IFERROR(I637/cell_Total_HT,"-")</f>
        <v>-</v>
      </c>
      <c r="K637">
        <f>I637</f>
        <v>0</v>
      </c>
      <c r="L637"/>
      <c r="M637"/>
      <c r="N637"/>
      <c r="O637"/>
      <c r="P637"/>
      <c r="Q637"/>
      <c r="R637"/>
      <c r="S637"/>
      <c r="T637"/>
    </row>
    <row r="638" spans="1:20" outlineLevel="1" x14ac:dyDescent="0.3">
      <c r="A638" s="88" t="s">
        <v>1322</v>
      </c>
      <c r="B638" s="10" t="s">
        <v>1323</v>
      </c>
      <c r="C638" s="65" t="s">
        <v>1324</v>
      </c>
      <c r="D638" s="44" t="s">
        <v>658</v>
      </c>
      <c r="E638" s="99" t="s">
        <v>22</v>
      </c>
      <c r="F638" s="90"/>
      <c r="G638" s="102">
        <f>cell_CoefGeneral</f>
        <v>1</v>
      </c>
      <c r="H638" s="90">
        <v>0</v>
      </c>
      <c r="I638" s="90">
        <f>IF(ISNUMBER(E638),ROUND(E638*H638,2),0)</f>
        <v>0</v>
      </c>
      <c r="J638" s="114" t="str">
        <f>IFERROR(I638/cell_Total_HT,"-")</f>
        <v>-</v>
      </c>
      <c r="K638">
        <f>I638</f>
        <v>0</v>
      </c>
      <c r="L638"/>
      <c r="M638"/>
      <c r="N638"/>
      <c r="O638"/>
      <c r="P638"/>
      <c r="Q638"/>
      <c r="R638"/>
      <c r="S638"/>
      <c r="T638"/>
    </row>
    <row r="639" spans="1:20" outlineLevel="1" x14ac:dyDescent="0.3">
      <c r="A639" s="88" t="s">
        <v>1325</v>
      </c>
      <c r="B639" s="10" t="s">
        <v>1326</v>
      </c>
      <c r="C639" s="65" t="s">
        <v>1327</v>
      </c>
      <c r="D639" s="44" t="s">
        <v>80</v>
      </c>
      <c r="E639" s="99" t="s">
        <v>22</v>
      </c>
      <c r="F639" s="90"/>
      <c r="G639" s="102">
        <f>cell_CoefGeneral</f>
        <v>1</v>
      </c>
      <c r="H639" s="90">
        <v>0</v>
      </c>
      <c r="I639" s="90">
        <f>IF(ISNUMBER(E639),ROUND(E639*H639,2),0)</f>
        <v>0</v>
      </c>
      <c r="J639" s="114" t="str">
        <f>IFERROR(I639/cell_Total_HT,"-")</f>
        <v>-</v>
      </c>
      <c r="K639">
        <f>I639</f>
        <v>0</v>
      </c>
      <c r="L639"/>
      <c r="M639"/>
      <c r="N639"/>
      <c r="O639"/>
      <c r="P639"/>
      <c r="Q639"/>
      <c r="R639"/>
      <c r="S639"/>
      <c r="T639"/>
    </row>
    <row r="640" spans="1:20" outlineLevel="1" x14ac:dyDescent="0.3">
      <c r="A640" s="88" t="s">
        <v>1328</v>
      </c>
      <c r="B640" s="10" t="s">
        <v>1329</v>
      </c>
      <c r="C640" s="65" t="s">
        <v>1330</v>
      </c>
      <c r="D640" s="44" t="s">
        <v>80</v>
      </c>
      <c r="E640" s="99" t="s">
        <v>22</v>
      </c>
      <c r="F640" s="90"/>
      <c r="G640" s="102">
        <f>cell_CoefGeneral</f>
        <v>1</v>
      </c>
      <c r="H640" s="90">
        <v>0</v>
      </c>
      <c r="I640" s="90">
        <f>IF(ISNUMBER(E640),ROUND(E640*H640,2),0)</f>
        <v>0</v>
      </c>
      <c r="J640" s="114" t="str">
        <f>IFERROR(I640/cell_Total_HT,"-")</f>
        <v>-</v>
      </c>
      <c r="K640">
        <f>I640</f>
        <v>0</v>
      </c>
      <c r="L640"/>
      <c r="M640"/>
      <c r="N640"/>
      <c r="O640"/>
      <c r="P640"/>
      <c r="Q640"/>
      <c r="R640"/>
      <c r="S640"/>
      <c r="T640"/>
    </row>
  </sheetData>
  <dataConsolidate/>
  <mergeCells count="1">
    <mergeCell ref="C1:H1"/>
  </mergeCells>
  <hyperlinks>
    <hyperlink ref="I1" r:id="rId1"/>
  </hyperlinks>
  <pageMargins left="0.70866141732283472" right="0.70866141732283472" top="0.74803149606299213" bottom="0.74803149606299213" header="0.31496062992125984" footer="0.31496062992125984"/>
  <pageSetup paperSize="9" scale="68" fitToHeight="100" orientation="portrait" r:id="rId2"/>
  <customProperties>
    <customPr name="SpigaoCoeff" r:id="rId3"/>
    <customPr name="SpigaoDealId" r:id="rId4"/>
    <customPr name="SpigaoDieId" r:id="rId5"/>
    <customPr name="SpigaoDieName" r:id="rId6"/>
    <customPr name="SpigaoFolderPath" r:id="rId7"/>
    <customPr name="SpigaoIsBoq" r:id="rId8"/>
    <customPr name="SpigaoIsCoefAllowed" r:id="rId9"/>
    <customPr name="SpigaoIsCumulAllowed" r:id="rId10"/>
    <customPr name="SpigaoIsPriceStrengthAllowed" r:id="rId11"/>
    <customPr name="SpigaoIsRecapAllowed" r:id="rId12"/>
    <customPr name="SpigaoIsSubTotalAllowed" r:id="rId13"/>
    <customPr name="SpigaoIsTotalGeneralAllowed" r:id="rId14"/>
    <customPr name="SpigaoIsTotalOnChapterAllowed" r:id="rId15"/>
    <customPr name="SpigaoPoidsPrix" r:id="rId16"/>
    <customPr name="SpigaoProjectId" r:id="rId17"/>
    <customPr name="SpigaoRowsTaxeHidden" r:id="rId18"/>
    <customPr name="SpigaoTypeSheet" r:id="rId19"/>
  </customProperties>
  <drawing r:id="rId20"/>
  <legacy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D38"/>
  <sheetViews>
    <sheetView workbookViewId="0">
      <pane ySplit="5" topLeftCell="A6" activePane="bottomLeft" state="frozenSplit"/>
      <selection pane="bottomLeft" activeCell="A3" sqref="A3"/>
    </sheetView>
  </sheetViews>
  <sheetFormatPr baseColWidth="10" defaultRowHeight="14.4" x14ac:dyDescent="0.3"/>
  <cols>
    <col min="1" max="1" width="33.77734375" style="32" customWidth="1"/>
    <col min="2" max="4" width="33.6640625" style="32" customWidth="1"/>
    <col min="5" max="256" width="11.44140625" style="32"/>
    <col min="257" max="260" width="33.6640625" style="32" customWidth="1"/>
    <col min="261" max="512" width="11.44140625" style="32"/>
    <col min="513" max="516" width="33.6640625" style="32" customWidth="1"/>
    <col min="517" max="768" width="11.44140625" style="32"/>
    <col min="769" max="772" width="33.6640625" style="32" customWidth="1"/>
    <col min="773" max="1024" width="11.44140625" style="32"/>
    <col min="1025" max="1028" width="33.6640625" style="32" customWidth="1"/>
    <col min="1029" max="1280" width="11.44140625" style="32"/>
    <col min="1281" max="1284" width="33.6640625" style="32" customWidth="1"/>
    <col min="1285" max="1536" width="11.44140625" style="32"/>
    <col min="1537" max="1540" width="33.6640625" style="32" customWidth="1"/>
    <col min="1541" max="1792" width="11.44140625" style="32"/>
    <col min="1793" max="1796" width="33.6640625" style="32" customWidth="1"/>
    <col min="1797" max="2048" width="11.44140625" style="32"/>
    <col min="2049" max="2052" width="33.6640625" style="32" customWidth="1"/>
    <col min="2053" max="2304" width="11.44140625" style="32"/>
    <col min="2305" max="2308" width="33.6640625" style="32" customWidth="1"/>
    <col min="2309" max="2560" width="11.44140625" style="32"/>
    <col min="2561" max="2564" width="33.6640625" style="32" customWidth="1"/>
    <col min="2565" max="2816" width="11.44140625" style="32"/>
    <col min="2817" max="2820" width="33.6640625" style="32" customWidth="1"/>
    <col min="2821" max="3072" width="11.44140625" style="32"/>
    <col min="3073" max="3076" width="33.6640625" style="32" customWidth="1"/>
    <col min="3077" max="3328" width="11.44140625" style="32"/>
    <col min="3329" max="3332" width="33.6640625" style="32" customWidth="1"/>
    <col min="3333" max="3584" width="11.44140625" style="32"/>
    <col min="3585" max="3588" width="33.6640625" style="32" customWidth="1"/>
    <col min="3589" max="3840" width="11.44140625" style="32"/>
    <col min="3841" max="3844" width="33.6640625" style="32" customWidth="1"/>
    <col min="3845" max="4096" width="11.44140625" style="32"/>
    <col min="4097" max="4100" width="33.6640625" style="32" customWidth="1"/>
    <col min="4101" max="4352" width="11.44140625" style="32"/>
    <col min="4353" max="4356" width="33.6640625" style="32" customWidth="1"/>
    <col min="4357" max="4608" width="11.44140625" style="32"/>
    <col min="4609" max="4612" width="33.6640625" style="32" customWidth="1"/>
    <col min="4613" max="4864" width="11.44140625" style="32"/>
    <col min="4865" max="4868" width="33.6640625" style="32" customWidth="1"/>
    <col min="4869" max="5120" width="11.44140625" style="32"/>
    <col min="5121" max="5124" width="33.6640625" style="32" customWidth="1"/>
    <col min="5125" max="5376" width="11.44140625" style="32"/>
    <col min="5377" max="5380" width="33.6640625" style="32" customWidth="1"/>
    <col min="5381" max="5632" width="11.44140625" style="32"/>
    <col min="5633" max="5636" width="33.6640625" style="32" customWidth="1"/>
    <col min="5637" max="5888" width="11.44140625" style="32"/>
    <col min="5889" max="5892" width="33.6640625" style="32" customWidth="1"/>
    <col min="5893" max="6144" width="11.44140625" style="32"/>
    <col min="6145" max="6148" width="33.6640625" style="32" customWidth="1"/>
    <col min="6149" max="6400" width="11.44140625" style="32"/>
    <col min="6401" max="6404" width="33.6640625" style="32" customWidth="1"/>
    <col min="6405" max="6656" width="11.44140625" style="32"/>
    <col min="6657" max="6660" width="33.6640625" style="32" customWidth="1"/>
    <col min="6661" max="6912" width="11.44140625" style="32"/>
    <col min="6913" max="6916" width="33.6640625" style="32" customWidth="1"/>
    <col min="6917" max="7168" width="11.44140625" style="32"/>
    <col min="7169" max="7172" width="33.6640625" style="32" customWidth="1"/>
    <col min="7173" max="7424" width="11.44140625" style="32"/>
    <col min="7425" max="7428" width="33.6640625" style="32" customWidth="1"/>
    <col min="7429" max="7680" width="11.44140625" style="32"/>
    <col min="7681" max="7684" width="33.6640625" style="32" customWidth="1"/>
    <col min="7685" max="7936" width="11.44140625" style="32"/>
    <col min="7937" max="7940" width="33.6640625" style="32" customWidth="1"/>
    <col min="7941" max="8192" width="11.44140625" style="32"/>
    <col min="8193" max="8196" width="33.6640625" style="32" customWidth="1"/>
    <col min="8197" max="8448" width="11.44140625" style="32"/>
    <col min="8449" max="8452" width="33.6640625" style="32" customWidth="1"/>
    <col min="8453" max="8704" width="11.44140625" style="32"/>
    <col min="8705" max="8708" width="33.6640625" style="32" customWidth="1"/>
    <col min="8709" max="8960" width="11.44140625" style="32"/>
    <col min="8961" max="8964" width="33.6640625" style="32" customWidth="1"/>
    <col min="8965" max="9216" width="11.44140625" style="32"/>
    <col min="9217" max="9220" width="33.6640625" style="32" customWidth="1"/>
    <col min="9221" max="9472" width="11.44140625" style="32"/>
    <col min="9473" max="9476" width="33.6640625" style="32" customWidth="1"/>
    <col min="9477" max="9728" width="11.44140625" style="32"/>
    <col min="9729" max="9732" width="33.6640625" style="32" customWidth="1"/>
    <col min="9733" max="9984" width="11.44140625" style="32"/>
    <col min="9985" max="9988" width="33.6640625" style="32" customWidth="1"/>
    <col min="9989" max="10240" width="11.44140625" style="32"/>
    <col min="10241" max="10244" width="33.6640625" style="32" customWidth="1"/>
    <col min="10245" max="10496" width="11.44140625" style="32"/>
    <col min="10497" max="10500" width="33.6640625" style="32" customWidth="1"/>
    <col min="10501" max="10752" width="11.44140625" style="32"/>
    <col min="10753" max="10756" width="33.6640625" style="32" customWidth="1"/>
    <col min="10757" max="11008" width="11.44140625" style="32"/>
    <col min="11009" max="11012" width="33.6640625" style="32" customWidth="1"/>
    <col min="11013" max="11264" width="11.44140625" style="32"/>
    <col min="11265" max="11268" width="33.6640625" style="32" customWidth="1"/>
    <col min="11269" max="11520" width="11.44140625" style="32"/>
    <col min="11521" max="11524" width="33.6640625" style="32" customWidth="1"/>
    <col min="11525" max="11776" width="11.44140625" style="32"/>
    <col min="11777" max="11780" width="33.6640625" style="32" customWidth="1"/>
    <col min="11781" max="12032" width="11.44140625" style="32"/>
    <col min="12033" max="12036" width="33.6640625" style="32" customWidth="1"/>
    <col min="12037" max="12288" width="11.44140625" style="32"/>
    <col min="12289" max="12292" width="33.6640625" style="32" customWidth="1"/>
    <col min="12293" max="12544" width="11.44140625" style="32"/>
    <col min="12545" max="12548" width="33.6640625" style="32" customWidth="1"/>
    <col min="12549" max="12800" width="11.44140625" style="32"/>
    <col min="12801" max="12804" width="33.6640625" style="32" customWidth="1"/>
    <col min="12805" max="13056" width="11.44140625" style="32"/>
    <col min="13057" max="13060" width="33.6640625" style="32" customWidth="1"/>
    <col min="13061" max="13312" width="11.44140625" style="32"/>
    <col min="13313" max="13316" width="33.6640625" style="32" customWidth="1"/>
    <col min="13317" max="13568" width="11.44140625" style="32"/>
    <col min="13569" max="13572" width="33.6640625" style="32" customWidth="1"/>
    <col min="13573" max="13824" width="11.44140625" style="32"/>
    <col min="13825" max="13828" width="33.6640625" style="32" customWidth="1"/>
    <col min="13829" max="14080" width="11.44140625" style="32"/>
    <col min="14081" max="14084" width="33.6640625" style="32" customWidth="1"/>
    <col min="14085" max="14336" width="11.44140625" style="32"/>
    <col min="14337" max="14340" width="33.6640625" style="32" customWidth="1"/>
    <col min="14341" max="14592" width="11.44140625" style="32"/>
    <col min="14593" max="14596" width="33.6640625" style="32" customWidth="1"/>
    <col min="14597" max="14848" width="11.44140625" style="32"/>
    <col min="14849" max="14852" width="33.6640625" style="32" customWidth="1"/>
    <col min="14853" max="15104" width="11.44140625" style="32"/>
    <col min="15105" max="15108" width="33.6640625" style="32" customWidth="1"/>
    <col min="15109" max="15360" width="11.44140625" style="32"/>
    <col min="15361" max="15364" width="33.6640625" style="32" customWidth="1"/>
    <col min="15365" max="15616" width="11.44140625" style="32"/>
    <col min="15617" max="15620" width="33.6640625" style="32" customWidth="1"/>
    <col min="15621" max="15872" width="11.44140625" style="32"/>
    <col min="15873" max="15876" width="33.6640625" style="32" customWidth="1"/>
    <col min="15877" max="16128" width="11.44140625" style="32"/>
    <col min="16129" max="16132" width="33.6640625" style="32" customWidth="1"/>
    <col min="16133" max="16384" width="11.44140625" style="32"/>
  </cols>
  <sheetData>
    <row r="1" spans="1:4" ht="42" customHeight="1" x14ac:dyDescent="0.3">
      <c r="A1" s="30"/>
      <c r="B1" s="31"/>
      <c r="C1" s="31"/>
      <c r="D1" s="31"/>
    </row>
    <row r="2" spans="1:4" ht="75.900000000000006" customHeight="1" x14ac:dyDescent="0.3">
      <c r="A2" s="56" t="s">
        <v>58</v>
      </c>
      <c r="B2" s="56"/>
      <c r="C2" s="56"/>
      <c r="D2" s="56"/>
    </row>
    <row r="3" spans="1:4" x14ac:dyDescent="0.3">
      <c r="A3" s="31"/>
      <c r="B3" s="31"/>
      <c r="C3" s="31"/>
      <c r="D3" s="31"/>
    </row>
    <row r="4" spans="1:4" x14ac:dyDescent="0.3">
      <c r="A4" s="57" t="s">
        <v>27</v>
      </c>
      <c r="B4" s="57"/>
      <c r="C4" s="31"/>
      <c r="D4" s="31" t="s">
        <v>1331</v>
      </c>
    </row>
    <row r="5" spans="1:4" x14ac:dyDescent="0.3">
      <c r="A5" s="31"/>
      <c r="B5" s="31"/>
      <c r="C5" s="31"/>
      <c r="D5" s="31"/>
    </row>
    <row r="6" spans="1:4" x14ac:dyDescent="0.3">
      <c r="A6" s="31"/>
      <c r="B6" s="31"/>
      <c r="C6" s="31"/>
      <c r="D6" s="31"/>
    </row>
    <row r="7" spans="1:4" ht="18" x14ac:dyDescent="0.35">
      <c r="A7" s="33" t="s">
        <v>28</v>
      </c>
      <c r="B7" s="33"/>
      <c r="C7" s="33"/>
      <c r="D7" s="33"/>
    </row>
    <row r="8" spans="1:4" x14ac:dyDescent="0.3">
      <c r="A8" s="34" t="s">
        <v>29</v>
      </c>
      <c r="B8" s="34" t="s">
        <v>30</v>
      </c>
      <c r="C8" s="34" t="s">
        <v>31</v>
      </c>
      <c r="D8" s="34" t="s">
        <v>32</v>
      </c>
    </row>
    <row r="9" spans="1:4" x14ac:dyDescent="0.3">
      <c r="A9" s="35"/>
      <c r="B9" s="36" t="s">
        <v>33</v>
      </c>
      <c r="C9" s="36" t="s">
        <v>33</v>
      </c>
      <c r="D9" s="44" t="s">
        <v>1332</v>
      </c>
    </row>
    <row r="10" spans="1:4" x14ac:dyDescent="0.3">
      <c r="A10" s="37"/>
      <c r="B10" s="35"/>
      <c r="C10" s="35"/>
      <c r="D10" s="38"/>
    </row>
    <row r="11" spans="1:4" x14ac:dyDescent="0.3">
      <c r="A11" s="31"/>
      <c r="B11" s="31"/>
      <c r="C11" s="31"/>
      <c r="D11" s="31"/>
    </row>
    <row r="12" spans="1:4" ht="18" x14ac:dyDescent="0.35">
      <c r="A12" s="33" t="s">
        <v>34</v>
      </c>
      <c r="B12" s="33"/>
      <c r="C12" s="33" t="s">
        <v>35</v>
      </c>
      <c r="D12" s="33"/>
    </row>
    <row r="13" spans="1:4" x14ac:dyDescent="0.3">
      <c r="A13" s="31" t="s">
        <v>36</v>
      </c>
      <c r="B13" s="58"/>
      <c r="C13" s="58"/>
      <c r="D13" s="58"/>
    </row>
    <row r="14" spans="1:4" x14ac:dyDescent="0.3">
      <c r="A14" s="31" t="s">
        <v>37</v>
      </c>
      <c r="B14" s="39" t="s">
        <v>60</v>
      </c>
      <c r="C14" s="31"/>
      <c r="D14" s="31"/>
    </row>
    <row r="15" spans="1:4" x14ac:dyDescent="0.3">
      <c r="A15" s="31" t="s">
        <v>38</v>
      </c>
      <c r="B15" s="31" t="s">
        <v>1333</v>
      </c>
      <c r="C15" s="31"/>
      <c r="D15" s="31"/>
    </row>
    <row r="16" spans="1:4" x14ac:dyDescent="0.3">
      <c r="A16" s="31" t="s">
        <v>39</v>
      </c>
      <c r="B16" s="31"/>
      <c r="C16" s="31"/>
      <c r="D16" s="31"/>
    </row>
    <row r="17" spans="1:4" x14ac:dyDescent="0.3">
      <c r="A17" s="31"/>
      <c r="B17" s="31"/>
      <c r="C17" s="31"/>
      <c r="D17" s="31"/>
    </row>
    <row r="18" spans="1:4" x14ac:dyDescent="0.3">
      <c r="A18" s="31" t="s">
        <v>40</v>
      </c>
      <c r="B18" s="40">
        <v>3</v>
      </c>
      <c r="C18" s="31"/>
      <c r="D18" s="31"/>
    </row>
    <row r="19" spans="1:4" x14ac:dyDescent="0.3">
      <c r="A19" s="31" t="s">
        <v>41</v>
      </c>
      <c r="B19" s="40">
        <v>123</v>
      </c>
      <c r="C19" s="31"/>
      <c r="D19" s="31"/>
    </row>
    <row r="20" spans="1:4" x14ac:dyDescent="0.3">
      <c r="A20" s="31"/>
      <c r="B20" s="31"/>
      <c r="C20" s="31"/>
      <c r="D20" s="31"/>
    </row>
    <row r="21" spans="1:4" ht="18" x14ac:dyDescent="0.35">
      <c r="A21" s="33" t="s">
        <v>42</v>
      </c>
      <c r="B21" s="41" t="s">
        <v>43</v>
      </c>
      <c r="C21" s="33"/>
      <c r="D21" s="33"/>
    </row>
    <row r="22" spans="1:4" x14ac:dyDescent="0.3">
      <c r="A22" s="42" t="s">
        <v>44</v>
      </c>
      <c r="B22" s="31"/>
      <c r="C22" s="31"/>
      <c r="D22" s="31"/>
    </row>
    <row r="23" spans="1:4" x14ac:dyDescent="0.3">
      <c r="A23" s="42" t="s">
        <v>45</v>
      </c>
      <c r="B23" s="31"/>
      <c r="C23" s="31"/>
      <c r="D23" s="31"/>
    </row>
    <row r="24" spans="1:4" x14ac:dyDescent="0.3">
      <c r="A24" s="42" t="s">
        <v>46</v>
      </c>
      <c r="B24" s="31"/>
      <c r="C24" s="31"/>
      <c r="D24" s="31"/>
    </row>
    <row r="25" spans="1:4" x14ac:dyDescent="0.3">
      <c r="A25" s="42" t="s">
        <v>47</v>
      </c>
      <c r="B25" s="31"/>
      <c r="C25" s="31"/>
      <c r="D25" s="31"/>
    </row>
    <row r="26" spans="1:4" x14ac:dyDescent="0.3">
      <c r="A26" s="42" t="s">
        <v>48</v>
      </c>
      <c r="B26" s="31"/>
      <c r="C26" s="31"/>
      <c r="D26" s="31"/>
    </row>
    <row r="27" spans="1:4" x14ac:dyDescent="0.3">
      <c r="A27" s="42" t="s">
        <v>49</v>
      </c>
      <c r="B27" s="31"/>
      <c r="C27" s="31"/>
      <c r="D27" s="31"/>
    </row>
    <row r="28" spans="1:4" x14ac:dyDescent="0.3">
      <c r="A28" s="31"/>
      <c r="B28" s="31"/>
      <c r="C28" s="31"/>
      <c r="D28" s="31"/>
    </row>
    <row r="29" spans="1:4" ht="18" x14ac:dyDescent="0.35">
      <c r="A29" s="33" t="s">
        <v>50</v>
      </c>
      <c r="B29" s="33"/>
      <c r="C29" s="33"/>
      <c r="D29" s="33"/>
    </row>
    <row r="30" spans="1:4" hidden="1" x14ac:dyDescent="0.3">
      <c r="A30" s="58"/>
      <c r="B30" s="58"/>
      <c r="C30" s="58"/>
      <c r="D30" s="58"/>
    </row>
    <row r="31" spans="1:4" x14ac:dyDescent="0.3">
      <c r="A31" s="134" t="s">
        <v>1334</v>
      </c>
      <c r="B31" s="53"/>
      <c r="C31" s="53"/>
      <c r="D31" s="53"/>
    </row>
    <row r="32" spans="1:4" ht="28.95" customHeight="1" x14ac:dyDescent="0.3">
      <c r="A32" s="135" t="s">
        <v>1335</v>
      </c>
      <c r="B32" s="135"/>
      <c r="C32" s="135"/>
      <c r="D32" s="135"/>
    </row>
    <row r="33" spans="1:4" x14ac:dyDescent="0.3">
      <c r="A33" s="31"/>
      <c r="B33" s="31"/>
      <c r="C33" s="31"/>
      <c r="D33" s="31"/>
    </row>
    <row r="34" spans="1:4" x14ac:dyDescent="0.3">
      <c r="A34" s="48" t="s">
        <v>1336</v>
      </c>
      <c r="B34" s="31"/>
      <c r="C34" s="31"/>
      <c r="D34" s="31"/>
    </row>
    <row r="35" spans="1:4" ht="13.95" customHeight="1" x14ac:dyDescent="0.3">
      <c r="A35" s="135" t="s">
        <v>1337</v>
      </c>
      <c r="B35" s="135"/>
      <c r="C35" s="135"/>
      <c r="D35" s="135"/>
    </row>
    <row r="36" spans="1:4" x14ac:dyDescent="0.3">
      <c r="A36" s="58"/>
      <c r="B36" s="58"/>
      <c r="C36" s="58"/>
      <c r="D36" s="58"/>
    </row>
    <row r="37" spans="1:4" x14ac:dyDescent="0.3">
      <c r="A37" s="58"/>
      <c r="B37" s="58"/>
      <c r="C37" s="58"/>
      <c r="D37" s="58"/>
    </row>
    <row r="38" spans="1:4" x14ac:dyDescent="0.3">
      <c r="A38" s="31"/>
      <c r="B38" s="31"/>
      <c r="C38" s="31"/>
      <c r="D38" s="31"/>
    </row>
  </sheetData>
  <mergeCells count="8">
    <mergeCell ref="A2:D2"/>
    <mergeCell ref="A4:B4"/>
    <mergeCell ref="B13:D13"/>
    <mergeCell ref="A36:D36"/>
    <mergeCell ref="A37:D37"/>
    <mergeCell ref="A30:D30"/>
    <mergeCell ref="A32:D32"/>
    <mergeCell ref="A35:D35"/>
  </mergeCells>
  <hyperlinks>
    <hyperlink ref="A4" location="BOLBEC!D1" tooltip="Devis" display="Accédez au devis en cliquant ici"/>
    <hyperlink ref="A4:B4" location="row_Start" tooltip="Devis" display="Accédez au devis en cliquant ici"/>
  </hyperlinks>
  <pageMargins left="0.7" right="0.7" top="0.75" bottom="0.75" header="0.3" footer="0.3"/>
  <pageSetup paperSize="9" orientation="portrait" r:id="rId1"/>
  <customProperties>
    <customPr name="SpigaoTypeSheet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D22"/>
  <sheetViews>
    <sheetView workbookViewId="0">
      <selection activeCell="G20" sqref="G20"/>
    </sheetView>
  </sheetViews>
  <sheetFormatPr baseColWidth="10" defaultRowHeight="14.4" x14ac:dyDescent="0.3"/>
  <sheetData>
    <row r="1" spans="1:1" s="12" customFormat="1" x14ac:dyDescent="0.3">
      <c r="A1" s="12" t="s">
        <v>17</v>
      </c>
    </row>
    <row r="2" spans="1:1" s="11" customFormat="1" ht="12" x14ac:dyDescent="0.3">
      <c r="A2" s="11" t="s">
        <v>16</v>
      </c>
    </row>
    <row r="3" spans="1:1" s="7" customFormat="1" ht="16.2" thickBot="1" x14ac:dyDescent="0.35">
      <c r="A3" s="7" t="s">
        <v>11</v>
      </c>
    </row>
    <row r="4" spans="1:1" s="8" customFormat="1" thickTop="1" thickBot="1" x14ac:dyDescent="0.3">
      <c r="A4" s="8" t="s">
        <v>12</v>
      </c>
    </row>
    <row r="5" spans="1:1" s="9" customFormat="1" ht="12" x14ac:dyDescent="0.25">
      <c r="A5" s="9" t="s">
        <v>13</v>
      </c>
    </row>
    <row r="6" spans="1:1" s="13" customFormat="1" ht="11.4" x14ac:dyDescent="0.2">
      <c r="A6" s="13" t="s">
        <v>18</v>
      </c>
    </row>
    <row r="7" spans="1:1" x14ac:dyDescent="0.3">
      <c r="A7" t="s">
        <v>19</v>
      </c>
    </row>
    <row r="8" spans="1:1" x14ac:dyDescent="0.3">
      <c r="A8" t="s">
        <v>14</v>
      </c>
    </row>
    <row r="9" spans="1:1" ht="15" thickBot="1" x14ac:dyDescent="0.35">
      <c r="A9" t="s">
        <v>15</v>
      </c>
    </row>
    <row r="10" spans="1:1" s="27" customFormat="1" ht="12.6" thickTop="1" thickBot="1" x14ac:dyDescent="0.35">
      <c r="A10" s="27" t="s">
        <v>25</v>
      </c>
    </row>
    <row r="11" spans="1:1" s="50" customFormat="1" ht="12.6" thickTop="1" thickBot="1" x14ac:dyDescent="0.35">
      <c r="A11" s="50" t="s">
        <v>55</v>
      </c>
    </row>
    <row r="12" spans="1:1" s="51" customFormat="1" ht="12" thickTop="1" x14ac:dyDescent="0.3">
      <c r="A12" s="51" t="s">
        <v>56</v>
      </c>
    </row>
    <row r="13" spans="1:1" s="28" customFormat="1" ht="12" x14ac:dyDescent="0.3">
      <c r="A13" s="28" t="s">
        <v>26</v>
      </c>
    </row>
    <row r="14" spans="1:1" s="29" customFormat="1" ht="11.4" x14ac:dyDescent="0.3">
      <c r="A14" s="29" t="s">
        <v>24</v>
      </c>
    </row>
    <row r="15" spans="1:1" s="52" customFormat="1" ht="12" x14ac:dyDescent="0.3">
      <c r="A15" s="52" t="s">
        <v>57</v>
      </c>
    </row>
    <row r="16" spans="1:1" x14ac:dyDescent="0.3">
      <c r="A16" s="24" t="s">
        <v>21</v>
      </c>
    </row>
    <row r="17" spans="1:4" x14ac:dyDescent="0.3">
      <c r="A17" s="25" t="s">
        <v>22</v>
      </c>
    </row>
    <row r="18" spans="1:4" x14ac:dyDescent="0.3">
      <c r="A18" s="26" t="s">
        <v>23</v>
      </c>
    </row>
    <row r="20" spans="1:4" x14ac:dyDescent="0.3">
      <c r="A20" s="49" t="s">
        <v>51</v>
      </c>
      <c r="D20" s="46" t="s">
        <v>54</v>
      </c>
    </row>
    <row r="21" spans="1:4" x14ac:dyDescent="0.3">
      <c r="A21" s="43" t="s">
        <v>52</v>
      </c>
      <c r="D21" s="48" t="s">
        <v>54</v>
      </c>
    </row>
    <row r="22" spans="1:4" x14ac:dyDescent="0.3">
      <c r="A22" s="45" t="s">
        <v>53</v>
      </c>
      <c r="D22" s="47" t="s">
        <v>54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22</vt:i4>
      </vt:variant>
    </vt:vector>
  </HeadingPairs>
  <TitlesOfParts>
    <vt:vector size="25" baseType="lpstr">
      <vt:lpstr>Spigao</vt:lpstr>
      <vt:lpstr>SPECIFICITE</vt:lpstr>
      <vt:lpstr>Styles</vt:lpstr>
      <vt:lpstr>cell_CoefGeneral</vt:lpstr>
      <vt:lpstr>cell_Title</vt:lpstr>
      <vt:lpstr>cell_Total_HT</vt:lpstr>
      <vt:lpstr>col_Coef</vt:lpstr>
      <vt:lpstr>col_Designation</vt:lpstr>
      <vt:lpstr>col_ID</vt:lpstr>
      <vt:lpstr>col_Max</vt:lpstr>
      <vt:lpstr>col_Min</vt:lpstr>
      <vt:lpstr>col_PriceNumber</vt:lpstr>
      <vt:lpstr>col_PriceStrength</vt:lpstr>
      <vt:lpstr>col_Quantity</vt:lpstr>
      <vt:lpstr>col_report_MT</vt:lpstr>
      <vt:lpstr>col_TotalPrice</vt:lpstr>
      <vt:lpstr>col_Unit</vt:lpstr>
      <vt:lpstr>col_UnitPrice</vt:lpstr>
      <vt:lpstr>col_UnitPriceWithoutCoef</vt:lpstr>
      <vt:lpstr>Spigao!Impression_des_titres</vt:lpstr>
      <vt:lpstr>row_Start</vt:lpstr>
      <vt:lpstr>row_Title</vt:lpstr>
      <vt:lpstr>rowImportantRule</vt:lpstr>
      <vt:lpstr>rowInfosGenerales</vt:lpstr>
      <vt:lpstr>Spigao!Zone_d_impression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2015-12-28T10:11:44Z</dcterms:created>
  <dcterms:modified xsi:type="dcterms:W3CDTF">2018-11-09T12:55:18Z</dcterms:modified>
</cp:coreProperties>
</file>