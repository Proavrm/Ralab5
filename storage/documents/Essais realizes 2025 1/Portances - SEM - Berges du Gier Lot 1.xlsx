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O1GD  La Grand Croix - Rue de la Rive\Essais de Laboratoire\"/>
    </mc:Choice>
  </mc:AlternateContent>
  <xr:revisionPtr revIDLastSave="0" documentId="13_ncr:1_{F195A9D1-3414-458D-B096-3BAE55C020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71125 CDF voirie" sheetId="3" r:id="rId1"/>
    <sheet name="031125 CdF Voirie" sheetId="2" r:id="rId2"/>
    <sheet name="290425 PF Foreuse" sheetId="1" r:id="rId3"/>
  </sheets>
  <definedNames>
    <definedName name="_xlnm.Print_Area" localSheetId="1">'031125 CdF Voirie'!$A$1:$Z$69</definedName>
    <definedName name="_xlnm.Print_Area" localSheetId="0">'171125 CDF voirie'!$A$1:$Z$61</definedName>
    <definedName name="_xlnm.Print_Area" localSheetId="2">'290425 PF Foreuse'!$A$1:$Z$69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3" l="1"/>
  <c r="H48" i="3"/>
  <c r="H49" i="3"/>
  <c r="H55" i="2"/>
  <c r="H56" i="2"/>
  <c r="H57" i="2"/>
  <c r="H57" i="1"/>
  <c r="H56" i="1"/>
  <c r="H55" i="1"/>
</calcChain>
</file>

<file path=xl/sharedStrings.xml><?xml version="1.0" encoding="utf-8"?>
<sst xmlns="http://schemas.openxmlformats.org/spreadsheetml/2006/main" count="189" uniqueCount="91">
  <si>
    <t>COMPTE RENDU D'ESSAIS</t>
  </si>
  <si>
    <t>PORTANCES DES PLATES-FORMES DYNAPLAQUE 
(NF P 94-117-2 d'octobre 2004)</t>
  </si>
  <si>
    <t>PLD N°</t>
  </si>
  <si>
    <t>RA O1GD</t>
  </si>
  <si>
    <t>29/04/2025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</si>
  <si>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</si>
  <si>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</si>
  <si>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</si>
  <si>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</si>
  <si>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</si>
  <si>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</si>
  <si>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</si>
  <si>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</si>
  <si>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</si>
  <si>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</si>
  <si>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Date de(s) essai(s) :</t>
  </si>
  <si>
    <t>Météo :</t>
  </si>
  <si>
    <t>Beau</t>
  </si>
  <si>
    <t>Partie de l'ouvrage :</t>
  </si>
  <si>
    <t>PF Foreuse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</si>
  <si>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</si>
  <si>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</si>
  <si>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</si>
  <si>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</si>
  <si>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</si>
  <si>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</si>
  <si>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</si>
  <si>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</si>
  <si>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</si>
  <si>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</si>
  <si>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</si>
  <si>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</si>
  <si>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</si>
  <si>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</si>
  <si>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</si>
  <si>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</si>
  <si>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</si>
  <si>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25.00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</si>
  <si>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</si>
  <si>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</si>
  <si>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</si>
  <si>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</si>
  <si>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</si>
  <si>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</si>
  <si>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</si>
  <si>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Non conforme</t>
  </si>
  <si>
    <t>Fonction</t>
  </si>
  <si>
    <t>Chef de section laboratoire</t>
  </si>
  <si>
    <t>6/</t>
  </si>
  <si>
    <t>COMMENTAIRES</t>
  </si>
  <si>
    <t>Visa</t>
  </si>
  <si>
    <t>PF Parking foreuse</t>
  </si>
  <si>
    <t>Grave 0/80</t>
  </si>
  <si>
    <t>Grave concassée drainante</t>
  </si>
  <si>
    <t>Grave concassée drainante / Grave 0/80</t>
  </si>
  <si>
    <t>SEM
Berges du Gier
Lot 1</t>
  </si>
  <si>
    <t>PF Foreuse - La Grand Croix Rue Rive</t>
  </si>
  <si>
    <t xml:space="preserve"> 43.75</t>
  </si>
  <si>
    <t>P2 axe</t>
  </si>
  <si>
    <t>P4 axe</t>
  </si>
  <si>
    <t>P6 axe</t>
  </si>
  <si>
    <t>P14</t>
  </si>
  <si>
    <t>P13</t>
  </si>
  <si>
    <t>P12</t>
  </si>
  <si>
    <t>P11</t>
  </si>
  <si>
    <t>P10</t>
  </si>
  <si>
    <t>P9</t>
  </si>
  <si>
    <t>P8</t>
  </si>
  <si>
    <t>P7</t>
  </si>
  <si>
    <t>P6</t>
  </si>
  <si>
    <t>P5</t>
  </si>
  <si>
    <t>P4</t>
  </si>
  <si>
    <t>P2</t>
  </si>
  <si>
    <t>P1</t>
  </si>
  <si>
    <t>CdF Voirie</t>
  </si>
  <si>
    <t>03/11/2025</t>
  </si>
  <si>
    <t>GDNT 0/31,5</t>
  </si>
  <si>
    <t>La Grand Croix Rue de la rive</t>
  </si>
  <si>
    <t>Technicien de laboratoire</t>
  </si>
  <si>
    <t>F. MONTET</t>
  </si>
  <si>
    <t xml:space="preserve"> 71.43</t>
  </si>
  <si>
    <t>fin pont</t>
  </si>
  <si>
    <t>debut pont</t>
  </si>
  <si>
    <t>Oui</t>
  </si>
  <si>
    <t>CDF</t>
  </si>
  <si>
    <t>Couvert</t>
  </si>
  <si>
    <t>17/11/2025</t>
  </si>
  <si>
    <t>GR 0/80</t>
  </si>
  <si>
    <t>F. Montet</t>
  </si>
  <si>
    <t>Entrée garage zcar</t>
  </si>
  <si>
    <t>Partie devant entrée chantier la Forezienne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</si>
</sst>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sz val="10"/>
      <color rgb="FF000000"/>
      <name val="Arial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6" fillId="0" borderId="0"/>
  </cellStyleXfs>
  <cellXfs count="43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6" fillId="0" borderId="0" xfId="1"/>
    <xf numFmtId="0" fontId="13" fillId="0" borderId="0" xfId="1" applyFont="1" applyAlignment="1" applyProtection="1">
      <alignment vertical="center"/>
      <protection hidden="1"/>
    </xf>
    <xf numFmtId="0" fontId="13" fillId="0" borderId="0" xfId="1" applyFont="1" applyAlignment="1" applyProtection="1">
      <alignment horizontal="center" vertical="center"/>
      <protection hidden="1"/>
    </xf>
    <xf numFmtId="0" fontId="13" fillId="0" borderId="0" xfId="1" applyFont="1" applyProtection="1">
      <protection hidden="1"/>
    </xf>
    <xf numFmtId="0" fontId="12" fillId="0" borderId="4" xfId="1" applyFont="1" applyBorder="1" applyAlignment="1" applyProtection="1">
      <alignment vertical="center"/>
      <protection locked="0"/>
    </xf>
    <xf numFmtId="0" fontId="17" fillId="0" borderId="4" xfId="1" applyFont="1" applyBorder="1" applyAlignment="1" applyProtection="1">
      <alignment vertical="center"/>
      <protection hidden="1"/>
    </xf>
    <xf numFmtId="0" fontId="12" fillId="0" borderId="4" xfId="1" applyFont="1" applyBorder="1" applyAlignment="1" applyProtection="1">
      <alignment vertical="center" wrapText="1"/>
      <protection locked="0"/>
    </xf>
    <xf numFmtId="0" fontId="13" fillId="0" borderId="8" xfId="1" applyFont="1" applyBorder="1" applyAlignment="1" applyProtection="1">
      <alignment vertical="center" wrapText="1"/>
      <protection locked="0"/>
    </xf>
    <xf numFmtId="0" fontId="13" fillId="0" borderId="2" xfId="1" applyFont="1" applyBorder="1" applyAlignment="1" applyProtection="1">
      <alignment vertical="center" wrapText="1"/>
      <protection locked="0"/>
    </xf>
    <xf numFmtId="0" fontId="13" fillId="0" borderId="1" xfId="1" applyFont="1" applyBorder="1" applyAlignment="1" applyProtection="1">
      <alignment vertical="center" wrapText="1"/>
      <protection locked="0"/>
    </xf>
    <xf numFmtId="0" fontId="13" fillId="0" borderId="7" xfId="1" applyFont="1" applyBorder="1" applyAlignment="1" applyProtection="1">
      <alignment vertical="center" wrapText="1"/>
      <protection locked="0"/>
    </xf>
    <xf numFmtId="0" fontId="13" fillId="0" borderId="6" xfId="1" applyFont="1" applyBorder="1" applyAlignment="1" applyProtection="1">
      <alignment vertical="center" wrapText="1"/>
      <protection locked="0"/>
    </xf>
    <xf numFmtId="0" fontId="13" fillId="0" borderId="5" xfId="1" applyFont="1" applyBorder="1" applyAlignment="1" applyProtection="1">
      <alignment vertical="center" wrapText="1"/>
      <protection locked="0"/>
    </xf>
    <xf numFmtId="0" fontId="13" fillId="0" borderId="4" xfId="1" applyFont="1" applyBorder="1" applyAlignment="1" applyProtection="1">
      <alignment vertical="center" wrapText="1"/>
      <protection locked="0"/>
    </xf>
    <xf numFmtId="0" fontId="13" fillId="0" borderId="3" xfId="1" applyFont="1" applyBorder="1" applyAlignment="1" applyProtection="1">
      <alignment vertical="center" wrapText="1"/>
      <protection locked="0"/>
    </xf>
    <xf numFmtId="0" fontId="18" fillId="0" borderId="7" xfId="1" applyFont="1" applyBorder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20" fillId="0" borderId="6" xfId="1" applyFont="1" applyBorder="1" applyAlignment="1" applyProtection="1">
      <alignment horizontal="center" vertical="center"/>
      <protection hidden="1"/>
    </xf>
    <xf numFmtId="0" fontId="13" fillId="0" borderId="10" xfId="1" applyFont="1" applyBorder="1" applyAlignment="1" applyProtection="1">
      <alignment horizontal="center" vertical="center" wrapText="1"/>
      <protection hidden="1"/>
    </xf>
    <xf numFmtId="0" fontId="13" fillId="0" borderId="9" xfId="1" applyFont="1" applyBorder="1" applyAlignment="1" applyProtection="1">
      <alignment horizontal="center" vertical="center" wrapText="1"/>
      <protection hidden="1"/>
    </xf>
    <xf numFmtId="0" fontId="17" fillId="0" borderId="9" xfId="1" applyFont="1" applyBorder="1" applyAlignment="1" applyProtection="1">
      <alignment horizontal="center" vertical="center" wrapText="1"/>
      <protection hidden="1"/>
    </xf>
    <xf numFmtId="0" fontId="17" fillId="0" borderId="4" xfId="1" applyFont="1" applyBorder="1" applyAlignment="1" applyProtection="1">
      <alignment horizontal="center" vertical="center" wrapText="1"/>
      <protection hidden="1"/>
    </xf>
    <xf numFmtId="0" fontId="13" fillId="0" borderId="4" xfId="1" applyFont="1" applyBorder="1" applyAlignment="1" applyProtection="1">
      <alignment vertical="center"/>
      <protection hidden="1"/>
    </xf>
    <xf numFmtId="0" fontId="13" fillId="0" borderId="13" xfId="1" applyFont="1" applyBorder="1" applyAlignment="1" applyProtection="1">
      <alignment vertical="center"/>
      <protection hidden="1"/>
    </xf>
    <xf numFmtId="0" fontId="21" fillId="0" borderId="13" xfId="1" applyFont="1" applyBorder="1" applyAlignment="1" applyProtection="1">
      <alignment vertical="center"/>
      <protection hidden="1"/>
    </xf>
    <xf numFmtId="0" fontId="19" fillId="0" borderId="4" xfId="1" applyFont="1" applyBorder="1" applyAlignment="1" applyProtection="1">
      <alignment vertical="center"/>
      <protection hidden="1"/>
    </xf>
    <xf numFmtId="0" fontId="20" fillId="0" borderId="3" xfId="1" applyFont="1" applyBorder="1" applyAlignment="1" applyProtection="1">
      <alignment vertical="center"/>
      <protection hidden="1"/>
    </xf>
    <xf numFmtId="0" fontId="22" fillId="0" borderId="0" xfId="1" applyFont="1" applyAlignment="1" applyProtection="1">
      <alignment vertical="center"/>
      <protection hidden="1"/>
    </xf>
    <xf numFmtId="0" fontId="22" fillId="0" borderId="0" xfId="1" applyFont="1" applyAlignment="1" applyProtection="1">
      <alignment horizontal="center" vertical="center"/>
      <protection hidden="1"/>
    </xf>
    <xf numFmtId="0" fontId="13" fillId="0" borderId="8" xfId="1" applyFont="1" applyBorder="1" applyAlignment="1" applyProtection="1">
      <alignment vertical="center"/>
      <protection hidden="1"/>
    </xf>
    <xf numFmtId="0" fontId="13" fillId="0" borderId="2" xfId="1" applyFont="1" applyBorder="1" applyAlignment="1" applyProtection="1">
      <alignment vertical="center"/>
      <protection hidden="1"/>
    </xf>
    <xf numFmtId="0" fontId="22" fillId="0" borderId="1" xfId="1" applyFont="1" applyBorder="1" applyAlignment="1" applyProtection="1">
      <alignment vertical="center"/>
      <protection hidden="1"/>
    </xf>
    <xf numFmtId="0" fontId="22" fillId="0" borderId="1" xfId="1" applyFont="1" applyBorder="1" applyAlignment="1" applyProtection="1">
      <alignment horizontal="center" vertical="center"/>
      <protection hidden="1"/>
    </xf>
    <xf numFmtId="0" fontId="13" fillId="0" borderId="7" xfId="1" applyFont="1" applyBorder="1" applyAlignment="1" applyProtection="1">
      <alignment vertical="center"/>
      <protection hidden="1"/>
    </xf>
    <xf numFmtId="0" fontId="13" fillId="0" borderId="6" xfId="1" applyFont="1" applyBorder="1" applyAlignment="1" applyProtection="1">
      <alignment horizontal="center" vertical="center"/>
      <protection hidden="1"/>
    </xf>
    <xf numFmtId="0" fontId="23" fillId="0" borderId="12" xfId="1" applyFont="1" applyBorder="1" applyAlignment="1">
      <alignment horizontal="center"/>
    </xf>
    <xf numFmtId="0" fontId="12" fillId="0" borderId="10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4" xfId="1" applyFont="1" applyBorder="1" applyAlignment="1" applyProtection="1">
      <alignment horizontal="center"/>
      <protection locked="0"/>
    </xf>
    <xf numFmtId="0" fontId="12" fillId="0" borderId="10" xfId="1" applyFont="1" applyBorder="1" applyAlignment="1">
      <alignment vertical="center"/>
    </xf>
    <xf numFmtId="0" fontId="12" fillId="0" borderId="9" xfId="1" applyFont="1" applyBorder="1" applyAlignment="1">
      <alignment vertical="center"/>
    </xf>
    <xf numFmtId="164" fontId="12" fillId="0" borderId="14" xfId="1" applyNumberFormat="1" applyFont="1" applyBorder="1" applyAlignment="1">
      <alignment horizontal="center" vertical="center"/>
    </xf>
    <xf numFmtId="0" fontId="23" fillId="0" borderId="15" xfId="1" applyFont="1" applyBorder="1" applyAlignment="1">
      <alignment horizontal="center"/>
    </xf>
    <xf numFmtId="0" fontId="23" fillId="0" borderId="11" xfId="1" applyFont="1" applyBorder="1" applyAlignment="1">
      <alignment horizontal="center"/>
    </xf>
    <xf numFmtId="0" fontId="12" fillId="0" borderId="4" xfId="1" applyFont="1" applyBorder="1"/>
    <xf numFmtId="0" fontId="13" fillId="0" borderId="6" xfId="1" applyFont="1" applyBorder="1" applyAlignment="1" applyProtection="1">
      <alignment vertical="center"/>
      <protection hidden="1"/>
    </xf>
    <xf numFmtId="0" fontId="13" fillId="0" borderId="5" xfId="1" applyFont="1" applyBorder="1" applyAlignment="1" applyProtection="1">
      <alignment vertical="center"/>
      <protection hidden="1"/>
    </xf>
    <xf numFmtId="0" fontId="21" fillId="0" borderId="4" xfId="1" applyFont="1" applyBorder="1" applyAlignment="1" applyProtection="1">
      <alignment vertical="center"/>
      <protection hidden="1"/>
    </xf>
    <xf numFmtId="0" fontId="21" fillId="0" borderId="4" xfId="1" applyFont="1" applyBorder="1" applyAlignment="1" applyProtection="1">
      <alignment horizontal="center" vertical="center"/>
      <protection hidden="1"/>
    </xf>
    <xf numFmtId="0" fontId="19" fillId="0" borderId="3" xfId="1" applyFont="1" applyBorder="1" applyAlignment="1" applyProtection="1">
      <alignment vertical="center"/>
      <protection hidden="1"/>
    </xf>
    <xf numFmtId="0" fontId="20" fillId="0" borderId="3" xfId="1" applyFont="1" applyBorder="1" applyAlignment="1" applyProtection="1">
      <alignment horizontal="center" vertical="center"/>
      <protection hidden="1"/>
    </xf>
    <xf numFmtId="0" fontId="13" fillId="0" borderId="0" xfId="1" applyFont="1" applyAlignment="1" applyProtection="1">
      <alignment horizontal="left" vertical="center"/>
      <protection hidden="1"/>
    </xf>
    <xf numFmtId="0" fontId="13" fillId="0" borderId="8" xfId="1" applyFont="1" applyBorder="1" applyProtection="1">
      <protection hidden="1"/>
    </xf>
    <xf numFmtId="0" fontId="13" fillId="0" borderId="2" xfId="1" applyFont="1" applyBorder="1" applyProtection="1">
      <protection hidden="1"/>
    </xf>
    <xf numFmtId="0" fontId="13" fillId="0" borderId="1" xfId="1" applyFont="1" applyBorder="1" applyProtection="1">
      <protection hidden="1"/>
    </xf>
    <xf numFmtId="0" fontId="18" fillId="0" borderId="7" xfId="1" applyFont="1" applyBorder="1" applyAlignment="1" applyProtection="1">
      <alignment horizontal="left"/>
      <protection hidden="1"/>
    </xf>
    <xf numFmtId="0" fontId="12" fillId="0" borderId="0" xfId="1" applyFont="1" applyAlignment="1" applyProtection="1">
      <alignment horizontal="left"/>
      <protection locked="0"/>
    </xf>
    <xf numFmtId="0" fontId="13" fillId="0" borderId="6" xfId="1" applyFont="1" applyBorder="1" applyProtection="1">
      <protection hidden="1"/>
    </xf>
    <xf numFmtId="0" fontId="13" fillId="0" borderId="7" xfId="1" applyFont="1" applyBorder="1" applyProtection="1">
      <protection hidden="1"/>
    </xf>
    <xf numFmtId="0" fontId="20" fillId="0" borderId="0" xfId="1" applyFont="1" applyProtection="1">
      <protection hidden="1"/>
    </xf>
    <xf numFmtId="0" fontId="13" fillId="0" borderId="5" xfId="1" applyFont="1" applyBorder="1" applyProtection="1">
      <protection hidden="1"/>
    </xf>
    <xf numFmtId="0" fontId="13" fillId="0" borderId="4" xfId="1" applyFont="1" applyBorder="1" applyProtection="1">
      <protection hidden="1"/>
    </xf>
    <xf numFmtId="0" fontId="19" fillId="0" borderId="4" xfId="1" applyFont="1" applyBorder="1" applyProtection="1">
      <protection hidden="1"/>
    </xf>
    <xf numFmtId="14" fontId="23" fillId="0" borderId="0" xfId="1" applyNumberFormat="1" applyFont="1" applyAlignment="1" applyProtection="1">
      <alignment horizontal="center"/>
      <protection hidden="1"/>
    </xf>
    <xf numFmtId="0" fontId="17" fillId="0" borderId="0" xfId="1" applyFont="1" applyAlignment="1" applyProtection="1">
      <alignment horizontal="right"/>
      <protection hidden="1"/>
    </xf>
    <xf numFmtId="0" fontId="19" fillId="0" borderId="0" xfId="1" applyFont="1" applyAlignment="1" applyProtection="1">
      <alignment horizontal="right"/>
      <protection hidden="1"/>
    </xf>
    <xf numFmtId="0" fontId="13" fillId="0" borderId="2" xfId="1" applyFont="1" applyBorder="1" applyAlignment="1" applyProtection="1">
      <alignment horizontal="left" vertical="center"/>
      <protection hidden="1"/>
    </xf>
    <xf numFmtId="0" fontId="13" fillId="0" borderId="2" xfId="1" applyFont="1" applyBorder="1" applyAlignment="1" applyProtection="1">
      <alignment horizontal="center" vertical="center"/>
      <protection hidden="1"/>
    </xf>
    <xf numFmtId="0" fontId="13" fillId="0" borderId="1" xfId="1" applyFont="1" applyBorder="1" applyAlignment="1" applyProtection="1">
      <alignment horizontal="center" vertical="center"/>
      <protection hidden="1"/>
    </xf>
    <xf numFmtId="0" fontId="18" fillId="0" borderId="7" xfId="1" applyFont="1" applyBorder="1" applyAlignment="1" applyProtection="1">
      <alignment horizontal="left" vertical="center"/>
      <protection hidden="1"/>
    </xf>
    <xf numFmtId="0" fontId="13" fillId="0" borderId="4" xfId="1" applyFont="1" applyBorder="1" applyAlignment="1" applyProtection="1">
      <alignment horizontal="center" vertical="center"/>
      <protection hidden="1"/>
    </xf>
    <xf numFmtId="0" fontId="13" fillId="0" borderId="1" xfId="1" applyFont="1" applyBorder="1" applyAlignment="1" applyProtection="1">
      <alignment vertical="center"/>
      <protection hidden="1"/>
    </xf>
    <xf numFmtId="0" fontId="12" fillId="0" borderId="0" xfId="1" applyFont="1" applyAlignment="1" applyProtection="1">
      <alignment horizontal="left"/>
      <protection hidden="1"/>
    </xf>
    <xf numFmtId="0" fontId="12" fillId="0" borderId="0" xfId="1" applyFont="1" applyAlignment="1" applyProtection="1">
      <alignment horizontal="left" vertical="center"/>
      <protection hidden="1"/>
    </xf>
    <xf numFmtId="0" fontId="14" fillId="0" borderId="3" xfId="1" applyFont="1" applyBorder="1" applyAlignment="1" applyProtection="1">
      <alignment horizontal="center" vertical="center" wrapText="1"/>
      <protection locked="0"/>
    </xf>
    <xf numFmtId="0" fontId="14" fillId="0" borderId="4" xfId="1" applyFont="1" applyBorder="1" applyAlignment="1" applyProtection="1">
      <alignment horizontal="center" vertical="center" wrapText="1"/>
      <protection locked="0"/>
    </xf>
    <xf numFmtId="0" fontId="14" fillId="0" borderId="5" xfId="1" applyFont="1" applyBorder="1" applyAlignment="1" applyProtection="1">
      <alignment horizontal="center" vertical="center" wrapText="1"/>
      <protection locked="0"/>
    </xf>
    <xf numFmtId="0" fontId="14" fillId="0" borderId="6" xfId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7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14" fillId="0" borderId="2" xfId="1" applyFont="1" applyBorder="1" applyAlignment="1" applyProtection="1">
      <alignment horizontal="center" vertical="center" wrapText="1"/>
      <protection locked="0"/>
    </xf>
    <xf numFmtId="0" fontId="14" fillId="0" borderId="8" xfId="1" applyFont="1" applyBorder="1" applyAlignment="1" applyProtection="1">
      <alignment horizontal="center" vertical="center" wrapText="1"/>
      <protection locked="0"/>
    </xf>
    <xf numFmtId="0" fontId="12" fillId="0" borderId="14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0" xfId="1" applyFont="1" applyBorder="1" applyAlignment="1" applyProtection="1">
      <alignment horizontal="center"/>
      <protection locked="0"/>
    </xf>
    <xf numFmtId="0" fontId="12" fillId="0" borderId="25" xfId="1" applyFont="1" applyBorder="1" applyAlignment="1" applyProtection="1">
      <alignment horizontal="center" vertical="center" wrapText="1"/>
      <protection locked="0"/>
    </xf>
    <xf numFmtId="0" fontId="12" fillId="0" borderId="26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27" xfId="1" applyFont="1" applyBorder="1" applyAlignment="1" applyProtection="1">
      <alignment horizontal="center" vertical="center" wrapText="1"/>
      <protection locked="0"/>
    </xf>
    <xf numFmtId="0" fontId="12" fillId="0" borderId="17" xfId="1" applyFont="1" applyBorder="1" applyAlignment="1" applyProtection="1">
      <alignment horizontal="center" vertical="center" wrapText="1"/>
      <protection locked="0"/>
    </xf>
    <xf numFmtId="0" fontId="12" fillId="0" borderId="28" xfId="1" applyFont="1" applyBorder="1" applyAlignment="1" applyProtection="1">
      <alignment horizontal="center" vertical="center" wrapText="1"/>
      <protection locked="0"/>
    </xf>
    <xf numFmtId="0" fontId="12" fillId="0" borderId="29" xfId="1" applyFont="1" applyBorder="1" applyAlignment="1" applyProtection="1">
      <alignment horizontal="center" vertical="center"/>
      <protection locked="0"/>
    </xf>
    <xf numFmtId="0" fontId="12" fillId="0" borderId="25" xfId="1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30" xfId="1" applyFont="1" applyBorder="1" applyAlignment="1" applyProtection="1">
      <alignment horizontal="center" vertical="center"/>
      <protection locked="0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left" vertical="center"/>
      <protection locked="0"/>
    </xf>
    <xf numFmtId="0" fontId="23" fillId="0" borderId="4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12" fillId="0" borderId="0" xfId="1" applyFont="1" applyAlignment="1" applyProtection="1">
      <alignment horizontal="left"/>
      <protection locked="0"/>
    </xf>
    <xf numFmtId="164" fontId="12" fillId="0" borderId="31" xfId="1" applyNumberFormat="1" applyFont="1" applyBorder="1" applyAlignment="1">
      <alignment horizontal="center" vertical="center"/>
    </xf>
    <xf numFmtId="164" fontId="12" fillId="0" borderId="20" xfId="1" applyNumberFormat="1" applyFont="1" applyBorder="1" applyAlignment="1">
      <alignment horizontal="center" vertical="center"/>
    </xf>
    <xf numFmtId="164" fontId="12" fillId="0" borderId="21" xfId="1" applyNumberFormat="1" applyFont="1" applyBorder="1" applyAlignment="1">
      <alignment horizontal="center" vertical="center"/>
    </xf>
    <xf numFmtId="0" fontId="12" fillId="0" borderId="31" xfId="1" applyFont="1" applyBorder="1" applyAlignment="1" applyProtection="1">
      <alignment horizontal="center"/>
      <protection locked="0"/>
    </xf>
    <xf numFmtId="0" fontId="12" fillId="0" borderId="20" xfId="1" applyFont="1" applyBorder="1" applyAlignment="1" applyProtection="1">
      <alignment horizontal="center"/>
      <protection locked="0"/>
    </xf>
    <xf numFmtId="0" fontId="12" fillId="0" borderId="21" xfId="1" applyFont="1" applyBorder="1" applyAlignment="1" applyProtection="1">
      <alignment horizontal="center"/>
      <protection locked="0"/>
    </xf>
    <xf numFmtId="0" fontId="23" fillId="0" borderId="0" xfId="1" applyFont="1" applyAlignment="1" applyProtection="1">
      <alignment horizontal="center" vertical="center"/>
      <protection hidden="1"/>
    </xf>
    <xf numFmtId="0" fontId="23" fillId="0" borderId="7" xfId="1" applyFont="1" applyBorder="1" applyAlignment="1" applyProtection="1">
      <alignment horizontal="center" vertical="center"/>
      <protection hidden="1"/>
    </xf>
    <xf numFmtId="0" fontId="24" fillId="0" borderId="2" xfId="1" applyFont="1" applyBorder="1" applyAlignment="1" applyProtection="1">
      <alignment horizontal="center" vertical="center"/>
      <protection hidden="1"/>
    </xf>
    <xf numFmtId="0" fontId="23" fillId="0" borderId="6" xfId="1" applyFont="1" applyBorder="1" applyAlignment="1" applyProtection="1">
      <alignment horizontal="center" vertical="center"/>
      <protection locked="0"/>
    </xf>
    <xf numFmtId="0" fontId="23" fillId="0" borderId="0" xfId="1" applyFont="1" applyAlignment="1" applyProtection="1">
      <alignment horizontal="center" vertical="center"/>
      <protection locked="0"/>
    </xf>
    <xf numFmtId="0" fontId="23" fillId="0" borderId="7" xfId="1" applyFont="1" applyBorder="1" applyAlignment="1" applyProtection="1">
      <alignment horizontal="center" vertical="center"/>
      <protection locked="0"/>
    </xf>
    <xf numFmtId="14" fontId="23" fillId="0" borderId="6" xfId="1" applyNumberFormat="1" applyFont="1" applyBorder="1" applyAlignment="1" applyProtection="1">
      <alignment horizontal="center" vertical="center"/>
      <protection locked="0"/>
    </xf>
    <xf numFmtId="14" fontId="23" fillId="0" borderId="0" xfId="1" applyNumberFormat="1" applyFont="1" applyAlignment="1" applyProtection="1">
      <alignment horizontal="center" vertical="center"/>
      <protection locked="0"/>
    </xf>
    <xf numFmtId="14" fontId="23" fillId="0" borderId="7" xfId="1" applyNumberFormat="1" applyFont="1" applyBorder="1" applyAlignment="1" applyProtection="1">
      <alignment horizontal="center" vertical="center"/>
      <protection locked="0"/>
    </xf>
    <xf numFmtId="0" fontId="24" fillId="0" borderId="8" xfId="1" applyFont="1" applyBorder="1" applyAlignment="1" applyProtection="1">
      <alignment horizontal="center" vertical="center"/>
      <protection hidden="1"/>
    </xf>
    <xf numFmtId="0" fontId="13" fillId="0" borderId="3" xfId="1" applyFont="1" applyBorder="1" applyAlignment="1" applyProtection="1">
      <alignment horizontal="center" vertical="center" wrapText="1"/>
      <protection hidden="1"/>
    </xf>
    <xf numFmtId="0" fontId="13" fillId="0" borderId="4" xfId="1" applyFont="1" applyBorder="1" applyAlignment="1" applyProtection="1">
      <alignment horizontal="center" vertical="center" wrapText="1"/>
      <protection hidden="1"/>
    </xf>
    <xf numFmtId="0" fontId="13" fillId="0" borderId="5" xfId="1" applyFont="1" applyBorder="1" applyAlignment="1" applyProtection="1">
      <alignment horizontal="center" vertical="center" wrapText="1"/>
      <protection hidden="1"/>
    </xf>
    <xf numFmtId="0" fontId="13" fillId="0" borderId="6" xfId="1" applyFont="1" applyBorder="1" applyAlignment="1" applyProtection="1">
      <alignment horizontal="center" vertical="center" wrapText="1"/>
      <protection hidden="1"/>
    </xf>
    <xf numFmtId="0" fontId="13" fillId="0" borderId="0" xfId="1" applyFont="1" applyAlignment="1" applyProtection="1">
      <alignment horizontal="center" vertical="center" wrapText="1"/>
      <protection hidden="1"/>
    </xf>
    <xf numFmtId="0" fontId="13" fillId="0" borderId="7" xfId="1" applyFont="1" applyBorder="1" applyAlignment="1" applyProtection="1">
      <alignment horizontal="center" vertical="center" wrapText="1"/>
      <protection hidden="1"/>
    </xf>
    <xf numFmtId="0" fontId="13" fillId="0" borderId="1" xfId="1" applyFont="1" applyBorder="1" applyAlignment="1" applyProtection="1">
      <alignment horizontal="center" vertical="center" wrapText="1"/>
      <protection hidden="1"/>
    </xf>
    <xf numFmtId="0" fontId="13" fillId="0" borderId="2" xfId="1" applyFont="1" applyBorder="1" applyAlignment="1" applyProtection="1">
      <alignment horizontal="center" vertical="center" wrapText="1"/>
      <protection hidden="1"/>
    </xf>
    <xf numFmtId="0" fontId="13" fillId="0" borderId="8" xfId="1" applyFont="1" applyBorder="1" applyAlignment="1" applyProtection="1">
      <alignment horizontal="center" vertical="center" wrapText="1"/>
      <protection hidden="1"/>
    </xf>
    <xf numFmtId="0" fontId="22" fillId="0" borderId="3" xfId="1" applyFont="1" applyBorder="1" applyAlignment="1" applyProtection="1">
      <alignment horizontal="center" vertical="center"/>
      <protection hidden="1"/>
    </xf>
    <xf numFmtId="0" fontId="22" fillId="0" borderId="4" xfId="1" applyFont="1" applyBorder="1" applyAlignment="1" applyProtection="1">
      <alignment horizontal="center" vertical="center"/>
      <protection hidden="1"/>
    </xf>
    <xf numFmtId="0" fontId="22" fillId="0" borderId="5" xfId="1" applyFont="1" applyBorder="1" applyAlignment="1" applyProtection="1">
      <alignment horizontal="center" vertical="center"/>
      <protection hidden="1"/>
    </xf>
    <xf numFmtId="0" fontId="14" fillId="0" borderId="6" xfId="1" applyFont="1" applyBorder="1" applyAlignment="1" applyProtection="1">
      <alignment horizontal="center" vertical="center" wrapText="1"/>
      <protection hidden="1"/>
    </xf>
    <xf numFmtId="0" fontId="14" fillId="0" borderId="0" xfId="1" applyFont="1" applyAlignment="1" applyProtection="1">
      <alignment horizontal="center" vertical="center" wrapText="1"/>
      <protection hidden="1"/>
    </xf>
    <xf numFmtId="0" fontId="14" fillId="0" borderId="7" xfId="1" applyFont="1" applyBorder="1" applyAlignment="1" applyProtection="1">
      <alignment horizontal="center" vertical="center" wrapText="1"/>
      <protection hidden="1"/>
    </xf>
    <xf numFmtId="0" fontId="23" fillId="0" borderId="6" xfId="1" applyFont="1" applyBorder="1" applyAlignment="1" applyProtection="1">
      <alignment horizontal="center" vertical="center" wrapText="1"/>
      <protection hidden="1"/>
    </xf>
    <xf numFmtId="0" fontId="23" fillId="0" borderId="0" xfId="1" applyFont="1" applyAlignment="1" applyProtection="1">
      <alignment horizontal="center" vertical="center" wrapText="1"/>
      <protection hidden="1"/>
    </xf>
    <xf numFmtId="0" fontId="20" fillId="0" borderId="9" xfId="1" applyFont="1" applyBorder="1" applyAlignment="1" applyProtection="1">
      <alignment horizontal="center" vertical="center"/>
      <protection hidden="1"/>
    </xf>
    <xf numFmtId="0" fontId="18" fillId="0" borderId="9" xfId="1" applyFont="1" applyBorder="1" applyAlignment="1" applyProtection="1">
      <alignment horizontal="center" vertical="center"/>
      <protection hidden="1"/>
    </xf>
    <xf numFmtId="14" fontId="12" fillId="0" borderId="0" xfId="1" applyNumberFormat="1" applyFont="1" applyAlignment="1" applyProtection="1">
      <alignment horizontal="left" vertical="center"/>
      <protection locked="0"/>
    </xf>
    <xf numFmtId="164" fontId="12" fillId="0" borderId="14" xfId="1" applyNumberFormat="1" applyFont="1" applyBorder="1" applyAlignment="1">
      <alignment horizontal="center" vertical="center"/>
    </xf>
    <xf numFmtId="0" fontId="12" fillId="0" borderId="9" xfId="1" applyFont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12" fillId="0" borderId="6" xfId="1" applyFont="1" applyBorder="1" applyAlignment="1" applyProtection="1">
      <alignment horizontal="left" vertical="center" wrapText="1"/>
      <protection locked="0"/>
    </xf>
    <xf numFmtId="0" fontId="12" fillId="0" borderId="0" xfId="1" applyFont="1" applyAlignment="1" applyProtection="1">
      <alignment horizontal="left" vertical="center" wrapText="1"/>
      <protection locked="0"/>
    </xf>
    <xf numFmtId="0" fontId="12" fillId="0" borderId="7" xfId="1" applyFont="1" applyBorder="1" applyAlignment="1" applyProtection="1">
      <alignment horizontal="left" vertical="center" wrapText="1"/>
      <protection locked="0"/>
    </xf>
    <xf numFmtId="0" fontId="12" fillId="0" borderId="1" xfId="1" applyFont="1" applyBorder="1" applyAlignment="1" applyProtection="1">
      <alignment horizontal="left" vertical="center" wrapText="1"/>
      <protection locked="0"/>
    </xf>
    <xf numFmtId="0" fontId="12" fillId="0" borderId="2" xfId="1" applyFont="1" applyBorder="1" applyAlignment="1" applyProtection="1">
      <alignment horizontal="left" vertical="center" wrapText="1"/>
      <protection locked="0"/>
    </xf>
    <xf numFmtId="0" fontId="12" fillId="0" borderId="8" xfId="1" applyFont="1" applyBorder="1" applyAlignment="1" applyProtection="1">
      <alignment horizontal="left" vertical="center" wrapText="1"/>
      <protection locked="0"/>
    </xf>
    <xf numFmtId="0" fontId="17" fillId="0" borderId="6" xfId="1" applyFont="1" applyBorder="1" applyAlignment="1" applyProtection="1">
      <alignment horizontal="center" vertical="center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horizontal="center" vertical="center"/>
      <protection hidden="1"/>
    </xf>
    <xf numFmtId="0" fontId="17" fillId="0" borderId="1" xfId="1" applyFont="1" applyBorder="1" applyAlignment="1" applyProtection="1">
      <alignment horizontal="center" vertical="center"/>
      <protection hidden="1"/>
    </xf>
    <xf numFmtId="0" fontId="17" fillId="0" borderId="2" xfId="1" applyFont="1" applyBorder="1" applyAlignment="1" applyProtection="1">
      <alignment horizontal="center" vertical="center"/>
      <protection hidden="1"/>
    </xf>
    <xf numFmtId="0" fontId="17" fillId="0" borderId="8" xfId="1" applyFont="1" applyBorder="1" applyAlignment="1" applyProtection="1">
      <alignment horizontal="center" vertical="center"/>
      <protection hidden="1"/>
    </xf>
    <xf numFmtId="0" fontId="20" fillId="0" borderId="33" xfId="1" applyFont="1" applyBorder="1" applyAlignment="1" applyProtection="1">
      <alignment horizontal="center" vertical="center"/>
      <protection hidden="1"/>
    </xf>
    <xf numFmtId="0" fontId="20" fillId="0" borderId="34" xfId="1" applyFont="1" applyBorder="1" applyAlignment="1" applyProtection="1">
      <alignment horizontal="center" vertical="center"/>
      <protection hidden="1"/>
    </xf>
    <xf numFmtId="0" fontId="20" fillId="0" borderId="35" xfId="1" applyFont="1" applyBorder="1" applyAlignment="1" applyProtection="1">
      <alignment horizontal="center" vertical="center"/>
      <protection hidden="1"/>
    </xf>
    <xf numFmtId="0" fontId="20" fillId="0" borderId="6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7" xfId="1" applyFont="1" applyBorder="1" applyAlignment="1" applyProtection="1">
      <alignment horizontal="center" vertical="center"/>
      <protection hidden="1"/>
    </xf>
    <xf numFmtId="0" fontId="20" fillId="0" borderId="1" xfId="1" applyFont="1" applyBorder="1" applyAlignment="1" applyProtection="1">
      <alignment horizontal="center" vertical="center"/>
      <protection hidden="1"/>
    </xf>
    <xf numFmtId="0" fontId="20" fillId="0" borderId="2" xfId="1" applyFont="1" applyBorder="1" applyAlignment="1" applyProtection="1">
      <alignment horizontal="center" vertical="center"/>
      <protection hidden="1"/>
    </xf>
    <xf numFmtId="0" fontId="20" fillId="0" borderId="8" xfId="1" applyFont="1" applyBorder="1" applyAlignment="1" applyProtection="1">
      <alignment horizontal="center" vertical="center"/>
      <protection hidden="1"/>
    </xf>
    <xf numFmtId="0" fontId="23" fillId="0" borderId="18" xfId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/>
    </xf>
    <xf numFmtId="0" fontId="23" fillId="0" borderId="10" xfId="1" applyFont="1" applyBorder="1" applyAlignment="1">
      <alignment horizontal="center" vertical="center"/>
    </xf>
    <xf numFmtId="0" fontId="23" fillId="0" borderId="19" xfId="1" applyFont="1" applyBorder="1" applyAlignment="1">
      <alignment horizontal="center" vertical="center"/>
    </xf>
    <xf numFmtId="0" fontId="23" fillId="0" borderId="20" xfId="1" applyFont="1" applyBorder="1" applyAlignment="1">
      <alignment horizontal="center" vertical="center"/>
    </xf>
    <xf numFmtId="0" fontId="23" fillId="0" borderId="21" xfId="1" applyFont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23" fillId="0" borderId="23" xfId="1" applyFont="1" applyBorder="1" applyAlignment="1">
      <alignment horizontal="center" vertical="center"/>
    </xf>
    <xf numFmtId="0" fontId="23" fillId="0" borderId="24" xfId="1" applyFont="1" applyBorder="1" applyAlignment="1">
      <alignment horizontal="center" vertical="center"/>
    </xf>
    <xf numFmtId="0" fontId="12" fillId="0" borderId="14" xfId="1" applyFont="1" applyBorder="1" applyAlignment="1" applyProtection="1">
      <alignment horizontal="center" vertical="center" wrapText="1"/>
      <protection locked="0"/>
    </xf>
    <xf numFmtId="0" fontId="12" fillId="0" borderId="9" xfId="1" applyFont="1" applyBorder="1" applyAlignment="1" applyProtection="1">
      <alignment horizontal="center" vertical="center" wrapText="1"/>
      <protection locked="0"/>
    </xf>
    <xf numFmtId="0" fontId="13" fillId="0" borderId="9" xfId="1" applyFont="1" applyBorder="1" applyAlignment="1" applyProtection="1">
      <alignment horizontal="center" vertical="center" wrapText="1"/>
      <protection locked="0"/>
    </xf>
    <xf numFmtId="0" fontId="13" fillId="0" borderId="10" xfId="1" applyFont="1" applyBorder="1" applyAlignment="1" applyProtection="1">
      <alignment horizontal="center" vertical="center" wrapText="1"/>
      <protection locked="0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 applyProtection="1">
      <alignment horizontal="center" vertical="center" wrapText="1"/>
      <protection locked="0"/>
    </xf>
    <xf numFmtId="0" fontId="13" fillId="0" borderId="5" xfId="1" applyFont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3" fillId="0" borderId="0" xfId="1" applyFont="1" applyAlignment="1" applyProtection="1">
      <alignment horizontal="center" vertical="center" wrapText="1"/>
      <protection locked="0"/>
    </xf>
    <xf numFmtId="0" fontId="13" fillId="0" borderId="7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3" fillId="0" borderId="2" xfId="1" applyFont="1" applyBorder="1" applyAlignment="1" applyProtection="1">
      <alignment horizontal="center" vertical="center" wrapText="1"/>
      <protection locked="0"/>
    </xf>
    <xf numFmtId="0" fontId="13" fillId="0" borderId="8" xfId="1" applyFont="1" applyBorder="1" applyAlignment="1" applyProtection="1">
      <alignment horizontal="center" vertical="center" wrapText="1"/>
      <protection locked="0"/>
    </xf>
    <xf numFmtId="164" fontId="23" fillId="0" borderId="31" xfId="1" applyNumberFormat="1" applyFont="1" applyBorder="1" applyAlignment="1">
      <alignment horizontal="center" vertical="center"/>
    </xf>
    <xf numFmtId="0" fontId="12" fillId="0" borderId="20" xfId="1" applyFont="1" applyBorder="1"/>
    <xf numFmtId="0" fontId="12" fillId="0" borderId="21" xfId="1" applyFont="1" applyBorder="1"/>
    <xf numFmtId="164" fontId="23" fillId="0" borderId="32" xfId="1" applyNumberFormat="1" applyFont="1" applyBorder="1" applyAlignment="1">
      <alignment horizontal="center" vertical="top"/>
    </xf>
    <xf numFmtId="0" fontId="12" fillId="0" borderId="23" xfId="1" applyFont="1" applyBorder="1" applyAlignment="1">
      <alignment vertical="top"/>
    </xf>
    <xf numFmtId="0" fontId="12" fillId="0" borderId="24" xfId="1" applyFont="1" applyBorder="1" applyAlignment="1">
      <alignment vertical="top"/>
    </xf>
    <xf numFmtId="164" fontId="23" fillId="0" borderId="14" xfId="1" applyNumberFormat="1" applyFont="1" applyBorder="1" applyAlignment="1">
      <alignment horizontal="center" vertical="center"/>
    </xf>
    <xf numFmtId="0" fontId="12" fillId="0" borderId="9" xfId="1" applyFont="1" applyBorder="1"/>
    <xf numFmtId="0" fontId="12" fillId="0" borderId="10" xfId="1" applyFont="1" applyBorder="1"/>
    <xf numFmtId="0" fontId="12" fillId="0" borderId="0" xfId="1" applyFont="1" applyAlignment="1" applyProtection="1">
      <alignment horizontal="center"/>
      <protection locked="0"/>
    </xf>
    <xf numFmtId="0" fontId="23" fillId="0" borderId="1" xfId="1" applyFont="1" applyBorder="1" applyAlignment="1">
      <alignment horizontal="center" vertical="center"/>
    </xf>
    <xf numFmtId="0" fontId="12" fillId="0" borderId="2" xfId="1" applyFont="1" applyBorder="1"/>
    <xf numFmtId="0" fontId="12" fillId="0" borderId="8" xfId="1" applyFont="1" applyBorder="1"/>
    <xf numFmtId="0" fontId="23" fillId="0" borderId="3" xfId="1" applyFont="1" applyBorder="1" applyAlignment="1">
      <alignment horizontal="center" vertical="center"/>
    </xf>
    <xf numFmtId="0" fontId="12" fillId="0" borderId="4" xfId="1" applyFont="1" applyBorder="1"/>
    <xf numFmtId="0" fontId="12" fillId="0" borderId="5" xfId="1" applyFont="1" applyBorder="1"/>
    <xf numFmtId="0" fontId="12" fillId="0" borderId="15" xfId="1" applyFont="1" applyBorder="1" applyAlignment="1" applyProtection="1">
      <alignment horizontal="center" vertical="center"/>
      <protection hidden="1"/>
    </xf>
    <xf numFmtId="0" fontId="12" fillId="0" borderId="16" xfId="1" applyFont="1" applyBorder="1" applyAlignment="1" applyProtection="1">
      <alignment horizontal="center" vertical="center"/>
      <protection hidden="1"/>
    </xf>
    <xf numFmtId="0" fontId="12" fillId="0" borderId="4" xfId="1" applyFont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7" xfId="0" applyFont="1" applyBorder="1" applyAlignment="1" applyProtection="1">
      <alignment horizontal="left" vertic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hidden="1"/>
    </xf>
    <xf numFmtId="14" fontId="15" fillId="0" borderId="0" xfId="0" applyNumberFormat="1" applyFont="1" applyAlignment="1" applyProtection="1">
      <alignment horizontal="left" vertical="center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30" xfId="0" applyFont="1" applyBorder="1" applyAlignment="1" applyProtection="1">
      <alignment horizontal="center"/>
      <protection locked="0"/>
    </xf>
    <xf numFmtId="164" fontId="7" fillId="0" borderId="36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EEC3C8-7D4B-44AE-88AA-8CD18B5249D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1429CD0-9FDD-462A-9F10-6AD157E25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0E555E2-4A9E-4D2E-BA04-E6372FDCC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142875</xdr:colOff>
      <xdr:row>64</xdr:row>
      <xdr:rowOff>57151</xdr:rowOff>
    </xdr:from>
    <xdr:ext cx="1775460" cy="699188"/>
    <xdr:pic>
      <xdr:nvPicPr>
        <xdr:cNvPr id="3" name="Image 2">
          <a:extLst>
            <a:ext uri="{FF2B5EF4-FFF2-40B4-BE49-F238E27FC236}">
              <a16:creationId xmlns:a16="http://schemas.microsoft.com/office/drawing/2014/main" id="{6E4DD956-FBCC-449E-A01E-4E04C704D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1970" y="11026141"/>
          <a:ext cx="1775460" cy="6991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64</xdr:row>
      <xdr:rowOff>57151</xdr:rowOff>
    </xdr:from>
    <xdr:to>
      <xdr:col>25</xdr:col>
      <xdr:colOff>154305</xdr:colOff>
      <xdr:row>67</xdr:row>
      <xdr:rowOff>152454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77BC961-6AA7-8162-8D3D-36946E83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14097001"/>
          <a:ext cx="1773555" cy="695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6B37-08C6-4A08-A6ED-79B46E93F280}">
  <sheetPr>
    <pageSetUpPr fitToPage="1"/>
  </sheetPr>
  <dimension ref="A1:AA68"/>
  <sheetViews>
    <sheetView tabSelected="1" topLeftCell="A38" workbookViewId="0">
      <selection activeCell="U34" sqref="U34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362"/>
      <c r="B1" s="363"/>
      <c r="C1" s="363"/>
      <c r="D1" s="363"/>
      <c r="E1" s="363"/>
      <c r="F1" s="364"/>
      <c r="G1" s="371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3"/>
      <c r="U1" s="148" t="s">
        <v>77</v>
      </c>
      <c r="V1" s="149"/>
      <c r="W1" s="149"/>
      <c r="X1" s="149"/>
      <c r="Y1" s="149"/>
      <c r="Z1" s="150"/>
    </row>
    <row r="2" spans="1:26" ht="12.75" customHeight="1" x14ac:dyDescent="0.25">
      <c r="A2" s="365"/>
      <c r="B2" s="366"/>
      <c r="C2" s="366"/>
      <c r="D2" s="366"/>
      <c r="E2" s="366"/>
      <c r="F2" s="367"/>
      <c r="G2" s="374" t="s">
        <v>1</v>
      </c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6"/>
      <c r="U2" s="151"/>
      <c r="V2" s="152"/>
      <c r="W2" s="152"/>
      <c r="X2" s="152"/>
      <c r="Y2" s="152"/>
      <c r="Z2" s="153"/>
    </row>
    <row r="3" spans="1:26" ht="12.75" customHeight="1" x14ac:dyDescent="0.25">
      <c r="A3" s="365"/>
      <c r="B3" s="366"/>
      <c r="C3" s="366"/>
      <c r="D3" s="366"/>
      <c r="E3" s="366"/>
      <c r="F3" s="367"/>
      <c r="G3" s="374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6"/>
      <c r="U3" s="151"/>
      <c r="V3" s="152"/>
      <c r="W3" s="152"/>
      <c r="X3" s="152"/>
      <c r="Y3" s="152"/>
      <c r="Z3" s="153"/>
    </row>
    <row r="4" spans="1:26" ht="12.75" customHeight="1" x14ac:dyDescent="0.25">
      <c r="A4" s="365"/>
      <c r="B4" s="366"/>
      <c r="C4" s="366"/>
      <c r="D4" s="366"/>
      <c r="E4" s="366"/>
      <c r="F4" s="367"/>
      <c r="G4" s="374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6"/>
      <c r="U4" s="151"/>
      <c r="V4" s="152"/>
      <c r="W4" s="152"/>
      <c r="X4" s="152"/>
      <c r="Y4" s="152"/>
      <c r="Z4" s="153"/>
    </row>
    <row r="5" spans="1:26" ht="12.75" customHeight="1" x14ac:dyDescent="0.25">
      <c r="A5" s="365"/>
      <c r="B5" s="366"/>
      <c r="C5" s="366"/>
      <c r="D5" s="366"/>
      <c r="E5" s="366"/>
      <c r="F5" s="367"/>
      <c r="G5" s="377" t="s">
        <v>2</v>
      </c>
      <c r="H5" s="378"/>
      <c r="I5" s="381">
        <v>3</v>
      </c>
      <c r="J5" s="381"/>
      <c r="K5" s="382"/>
      <c r="L5" s="384" t="s">
        <v>3</v>
      </c>
      <c r="M5" s="385"/>
      <c r="N5" s="385"/>
      <c r="O5" s="386"/>
      <c r="P5" s="387" t="s">
        <v>86</v>
      </c>
      <c r="Q5" s="388"/>
      <c r="R5" s="388"/>
      <c r="S5" s="388"/>
      <c r="T5" s="389"/>
      <c r="U5" s="151"/>
      <c r="V5" s="152"/>
      <c r="W5" s="152"/>
      <c r="X5" s="152"/>
      <c r="Y5" s="152"/>
      <c r="Z5" s="153"/>
    </row>
    <row r="6" spans="1:26" ht="12.75" customHeight="1" x14ac:dyDescent="0.25">
      <c r="A6" s="368"/>
      <c r="B6" s="369"/>
      <c r="C6" s="369"/>
      <c r="D6" s="369"/>
      <c r="E6" s="369"/>
      <c r="F6" s="370"/>
      <c r="G6" s="2"/>
      <c r="H6" s="3"/>
      <c r="I6" s="383" t="s">
        <v>5</v>
      </c>
      <c r="J6" s="383"/>
      <c r="K6" s="383"/>
      <c r="L6" s="383" t="s">
        <v>6</v>
      </c>
      <c r="M6" s="383"/>
      <c r="N6" s="383"/>
      <c r="O6" s="383"/>
      <c r="P6" s="383" t="s">
        <v>7</v>
      </c>
      <c r="Q6" s="383"/>
      <c r="R6" s="383"/>
      <c r="S6" s="383"/>
      <c r="T6" s="390"/>
      <c r="U6" s="154"/>
      <c r="V6" s="155"/>
      <c r="W6" s="155"/>
      <c r="X6" s="155"/>
      <c r="Y6" s="155"/>
      <c r="Z6" s="156"/>
    </row>
    <row r="7" spans="1:26" ht="36.6" customHeight="1" x14ac:dyDescent="0.25">
      <c r="A7" s="379" t="s">
        <v>8</v>
      </c>
      <c r="B7" s="379"/>
      <c r="C7" s="379"/>
      <c r="D7" s="379"/>
      <c r="E7" s="379"/>
      <c r="F7" s="379"/>
      <c r="G7" s="380" t="s">
        <v>9</v>
      </c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80"/>
      <c r="Z7" s="38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295" t="s">
        <v>12</v>
      </c>
      <c r="C10" s="295"/>
      <c r="D10" s="295"/>
      <c r="E10" s="295"/>
      <c r="F10" s="295"/>
      <c r="G10" s="295"/>
      <c r="H10" s="297" t="s">
        <v>88</v>
      </c>
      <c r="I10" s="297"/>
      <c r="J10" s="297"/>
      <c r="K10" s="297"/>
      <c r="L10" s="297"/>
      <c r="M10" s="297"/>
      <c r="N10" s="295" t="s">
        <v>14</v>
      </c>
      <c r="O10" s="295"/>
      <c r="P10" s="295"/>
      <c r="Q10" s="295"/>
      <c r="R10" s="295"/>
      <c r="S10" s="400" t="s">
        <v>87</v>
      </c>
      <c r="T10" s="400"/>
      <c r="U10" s="400"/>
      <c r="V10" s="400"/>
      <c r="W10" s="400"/>
      <c r="X10" s="400"/>
      <c r="Y10" s="400"/>
      <c r="Z10" s="12"/>
    </row>
    <row r="11" spans="1:26" ht="15.9" customHeight="1" x14ac:dyDescent="0.25">
      <c r="A11" s="9"/>
      <c r="B11" s="295" t="s">
        <v>15</v>
      </c>
      <c r="C11" s="295"/>
      <c r="D11" s="295"/>
      <c r="E11" s="295"/>
      <c r="F11" s="295"/>
      <c r="G11" s="295"/>
      <c r="H11" s="297" t="s">
        <v>86</v>
      </c>
      <c r="I11" s="297"/>
      <c r="J11" s="297"/>
      <c r="K11" s="297"/>
      <c r="L11" s="297"/>
      <c r="M11" s="297"/>
      <c r="N11" s="295" t="s">
        <v>16</v>
      </c>
      <c r="O11" s="295"/>
      <c r="P11" s="295"/>
      <c r="Q11" s="295"/>
      <c r="R11" s="295"/>
      <c r="S11" s="400" t="s">
        <v>85</v>
      </c>
      <c r="T11" s="400"/>
      <c r="U11" s="400"/>
      <c r="V11" s="400"/>
      <c r="W11" s="400"/>
      <c r="X11" s="400"/>
      <c r="Y11" s="400"/>
      <c r="Z11" s="12"/>
    </row>
    <row r="12" spans="1:26" ht="15.9" customHeight="1" x14ac:dyDescent="0.25">
      <c r="A12" s="9"/>
      <c r="B12" s="295" t="s">
        <v>18</v>
      </c>
      <c r="C12" s="295"/>
      <c r="D12" s="295"/>
      <c r="E12" s="295"/>
      <c r="F12" s="295"/>
      <c r="G12" s="295"/>
      <c r="H12" s="297" t="s">
        <v>84</v>
      </c>
      <c r="I12" s="297"/>
      <c r="J12" s="297"/>
      <c r="K12" s="297"/>
      <c r="L12" s="297"/>
      <c r="M12" s="297"/>
      <c r="N12" s="295" t="s">
        <v>20</v>
      </c>
      <c r="O12" s="295"/>
      <c r="P12" s="295"/>
      <c r="Q12" s="295"/>
      <c r="R12" s="295"/>
      <c r="S12" s="400" t="s">
        <v>83</v>
      </c>
      <c r="T12" s="400"/>
      <c r="U12" s="400"/>
      <c r="V12" s="400"/>
      <c r="W12" s="400"/>
      <c r="X12" s="400"/>
      <c r="Y12" s="40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306" t="s">
        <v>24</v>
      </c>
      <c r="C17" s="306"/>
      <c r="D17" s="306"/>
      <c r="E17" s="306"/>
      <c r="F17" s="306"/>
      <c r="G17" s="306"/>
      <c r="H17" s="306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28"/>
    </row>
    <row r="18" spans="1:26" s="17" customFormat="1" ht="15" customHeight="1" x14ac:dyDescent="0.25">
      <c r="A18" s="24"/>
      <c r="B18" s="306" t="s">
        <v>25</v>
      </c>
      <c r="C18" s="306"/>
      <c r="D18" s="306"/>
      <c r="E18" s="306"/>
      <c r="F18" s="306"/>
      <c r="G18" s="306"/>
      <c r="H18" s="306"/>
      <c r="I18" s="299" t="s">
        <v>26</v>
      </c>
      <c r="J18" s="299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313" t="s">
        <v>30</v>
      </c>
      <c r="K21" s="313"/>
      <c r="L21" s="313"/>
      <c r="M21" s="313"/>
      <c r="N21" s="313"/>
      <c r="O21" s="313"/>
      <c r="P21" s="313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307" t="s">
        <v>31</v>
      </c>
      <c r="C23" s="309" t="s">
        <v>32</v>
      </c>
      <c r="D23" s="309"/>
      <c r="E23" s="309"/>
      <c r="F23" s="309"/>
      <c r="G23" s="310"/>
      <c r="H23" s="303" t="s">
        <v>33</v>
      </c>
      <c r="I23" s="304"/>
      <c r="J23" s="305"/>
      <c r="K23" s="309" t="s">
        <v>34</v>
      </c>
      <c r="L23" s="309"/>
      <c r="M23" s="309"/>
      <c r="N23" s="309"/>
      <c r="O23" s="309"/>
      <c r="P23" s="310"/>
      <c r="Z23" s="11"/>
    </row>
    <row r="24" spans="1:26" ht="15.75" customHeight="1" x14ac:dyDescent="0.25">
      <c r="A24" s="9"/>
      <c r="B24" s="308"/>
      <c r="C24" s="311"/>
      <c r="D24" s="311"/>
      <c r="E24" s="311"/>
      <c r="F24" s="311"/>
      <c r="G24" s="312"/>
      <c r="H24" s="300" t="s">
        <v>35</v>
      </c>
      <c r="I24" s="301"/>
      <c r="J24" s="302"/>
      <c r="K24" s="311"/>
      <c r="L24" s="311"/>
      <c r="M24" s="311"/>
      <c r="N24" s="311"/>
      <c r="O24" s="311"/>
      <c r="P24" s="312"/>
      <c r="Z24" s="11"/>
    </row>
    <row r="25" spans="1:26" ht="19.5" customHeight="1" x14ac:dyDescent="0.25">
      <c r="A25" s="9"/>
      <c r="B25" s="45">
        <v>1</v>
      </c>
      <c r="C25" s="432" t="s">
        <v>89</v>
      </c>
      <c r="D25" s="431"/>
      <c r="E25" s="431"/>
      <c r="F25" s="431"/>
      <c r="G25" s="430"/>
      <c r="H25" s="283">
        <v>103</v>
      </c>
      <c r="I25" s="284"/>
      <c r="J25" s="285"/>
      <c r="K25" s="432"/>
      <c r="L25" s="431"/>
      <c r="M25" s="431"/>
      <c r="N25" s="431"/>
      <c r="O25" s="431"/>
      <c r="P25" s="430"/>
      <c r="Z25" s="11"/>
    </row>
    <row r="26" spans="1:26" ht="19.5" customHeight="1" x14ac:dyDescent="0.25">
      <c r="A26" s="9"/>
      <c r="B26" s="45">
        <v>2</v>
      </c>
      <c r="C26" s="432"/>
      <c r="D26" s="431"/>
      <c r="E26" s="431"/>
      <c r="F26" s="431"/>
      <c r="G26" s="430"/>
      <c r="H26" s="283">
        <v>139</v>
      </c>
      <c r="I26" s="284"/>
      <c r="J26" s="285"/>
      <c r="K26" s="432"/>
      <c r="L26" s="431"/>
      <c r="M26" s="431"/>
      <c r="N26" s="431"/>
      <c r="O26" s="431"/>
      <c r="P26" s="430"/>
      <c r="Z26" s="11"/>
    </row>
    <row r="27" spans="1:26" ht="19.5" customHeight="1" x14ac:dyDescent="0.25">
      <c r="A27" s="9"/>
      <c r="B27" s="45">
        <v>3</v>
      </c>
      <c r="C27" s="432" t="s">
        <v>82</v>
      </c>
      <c r="D27" s="431"/>
      <c r="E27" s="431"/>
      <c r="F27" s="431"/>
      <c r="G27" s="430"/>
      <c r="H27" s="283">
        <v>52</v>
      </c>
      <c r="I27" s="284"/>
      <c r="J27" s="285"/>
      <c r="K27" s="432"/>
      <c r="L27" s="431"/>
      <c r="M27" s="431"/>
      <c r="N27" s="431"/>
      <c r="O27" s="431"/>
      <c r="P27" s="430"/>
      <c r="Z27" s="11"/>
    </row>
    <row r="28" spans="1:26" ht="19.5" customHeight="1" x14ac:dyDescent="0.25">
      <c r="A28" s="9"/>
      <c r="B28" s="45">
        <v>4</v>
      </c>
      <c r="C28" s="432"/>
      <c r="D28" s="431"/>
      <c r="E28" s="431"/>
      <c r="F28" s="431"/>
      <c r="G28" s="430"/>
      <c r="H28" s="283">
        <v>105</v>
      </c>
      <c r="I28" s="284"/>
      <c r="J28" s="285"/>
      <c r="K28" s="432"/>
      <c r="L28" s="431"/>
      <c r="M28" s="431"/>
      <c r="N28" s="431"/>
      <c r="O28" s="431"/>
      <c r="P28" s="430"/>
      <c r="Z28" s="11"/>
    </row>
    <row r="29" spans="1:26" ht="19.5" customHeight="1" x14ac:dyDescent="0.25">
      <c r="A29" s="9"/>
      <c r="B29" s="45">
        <v>5</v>
      </c>
      <c r="C29" s="432" t="s">
        <v>81</v>
      </c>
      <c r="D29" s="431"/>
      <c r="E29" s="431"/>
      <c r="F29" s="431"/>
      <c r="G29" s="430"/>
      <c r="H29" s="283">
        <v>76</v>
      </c>
      <c r="I29" s="284"/>
      <c r="J29" s="285"/>
      <c r="K29" s="432"/>
      <c r="L29" s="431"/>
      <c r="M29" s="431"/>
      <c r="N29" s="431"/>
      <c r="O29" s="431"/>
      <c r="P29" s="430"/>
      <c r="Z29" s="11"/>
    </row>
    <row r="30" spans="1:26" ht="19.5" customHeight="1" x14ac:dyDescent="0.25">
      <c r="A30" s="9"/>
      <c r="B30" s="45">
        <v>6</v>
      </c>
      <c r="C30" s="330" t="s">
        <v>90</v>
      </c>
      <c r="D30" s="331"/>
      <c r="E30" s="331"/>
      <c r="F30" s="331"/>
      <c r="G30" s="433"/>
      <c r="H30" s="283">
        <v>30</v>
      </c>
      <c r="I30" s="284"/>
      <c r="J30" s="285"/>
      <c r="K30" s="432"/>
      <c r="L30" s="431"/>
      <c r="M30" s="431"/>
      <c r="N30" s="431"/>
      <c r="O30" s="431"/>
      <c r="P30" s="430"/>
      <c r="Z30" s="11"/>
    </row>
    <row r="31" spans="1:26" ht="19.5" customHeight="1" x14ac:dyDescent="0.25">
      <c r="A31" s="9"/>
      <c r="B31" s="45">
        <v>7</v>
      </c>
      <c r="C31" s="337"/>
      <c r="D31" s="338"/>
      <c r="E31" s="338"/>
      <c r="F31" s="338"/>
      <c r="G31" s="434"/>
      <c r="H31" s="283">
        <v>36</v>
      </c>
      <c r="I31" s="284"/>
      <c r="J31" s="285"/>
      <c r="K31" s="432"/>
      <c r="L31" s="431"/>
      <c r="M31" s="431"/>
      <c r="N31" s="431"/>
      <c r="O31" s="431"/>
      <c r="P31" s="430"/>
      <c r="Z31" s="11"/>
    </row>
    <row r="32" spans="1:26" ht="19.5" customHeight="1" x14ac:dyDescent="0.25">
      <c r="A32" s="9"/>
      <c r="B32" s="45"/>
      <c r="C32" s="432"/>
      <c r="D32" s="431"/>
      <c r="E32" s="431"/>
      <c r="F32" s="431"/>
      <c r="G32" s="430"/>
      <c r="H32" s="283"/>
      <c r="I32" s="284"/>
      <c r="J32" s="285"/>
      <c r="K32" s="432"/>
      <c r="L32" s="431"/>
      <c r="M32" s="431"/>
      <c r="N32" s="431"/>
      <c r="O32" s="431"/>
      <c r="P32" s="430"/>
      <c r="Z32" s="11"/>
    </row>
    <row r="33" spans="1:26" ht="19.5" customHeight="1" x14ac:dyDescent="0.25">
      <c r="A33" s="9"/>
      <c r="B33" s="45"/>
      <c r="C33" s="432"/>
      <c r="D33" s="431"/>
      <c r="E33" s="431"/>
      <c r="F33" s="431"/>
      <c r="G33" s="430"/>
      <c r="H33" s="283"/>
      <c r="I33" s="284"/>
      <c r="J33" s="285"/>
      <c r="K33" s="432"/>
      <c r="L33" s="431"/>
      <c r="M33" s="431"/>
      <c r="N33" s="431"/>
      <c r="O33" s="431"/>
      <c r="P33" s="430"/>
      <c r="Z33" s="11"/>
    </row>
    <row r="34" spans="1:26" ht="19.5" customHeight="1" x14ac:dyDescent="0.25">
      <c r="A34" s="9"/>
      <c r="B34" s="45"/>
      <c r="C34" s="432"/>
      <c r="D34" s="431"/>
      <c r="E34" s="431"/>
      <c r="F34" s="431"/>
      <c r="G34" s="430"/>
      <c r="H34" s="283"/>
      <c r="I34" s="284"/>
      <c r="J34" s="285"/>
      <c r="K34" s="432"/>
      <c r="L34" s="431"/>
      <c r="M34" s="431"/>
      <c r="N34" s="431"/>
      <c r="O34" s="431"/>
      <c r="P34" s="430"/>
      <c r="Z34" s="11"/>
    </row>
    <row r="35" spans="1:26" ht="19.5" customHeight="1" x14ac:dyDescent="0.25">
      <c r="A35" s="9"/>
      <c r="B35" s="45"/>
      <c r="C35" s="432"/>
      <c r="D35" s="431"/>
      <c r="E35" s="431"/>
      <c r="F35" s="431"/>
      <c r="G35" s="430"/>
      <c r="H35" s="283"/>
      <c r="I35" s="284"/>
      <c r="J35" s="285"/>
      <c r="K35" s="432"/>
      <c r="L35" s="431"/>
      <c r="M35" s="431"/>
      <c r="N35" s="431"/>
      <c r="O35" s="431"/>
      <c r="P35" s="430"/>
      <c r="Z35" s="11"/>
    </row>
    <row r="36" spans="1:26" ht="19.5" customHeight="1" x14ac:dyDescent="0.25">
      <c r="A36" s="9"/>
      <c r="B36" s="45"/>
      <c r="C36" s="432"/>
      <c r="D36" s="431"/>
      <c r="E36" s="431"/>
      <c r="F36" s="431"/>
      <c r="G36" s="430"/>
      <c r="H36" s="283"/>
      <c r="I36" s="284"/>
      <c r="J36" s="285"/>
      <c r="K36" s="432"/>
      <c r="L36" s="431"/>
      <c r="M36" s="431"/>
      <c r="N36" s="431"/>
      <c r="O36" s="431"/>
      <c r="P36" s="430"/>
      <c r="Z36" s="11"/>
    </row>
    <row r="37" spans="1:26" ht="19.5" customHeight="1" x14ac:dyDescent="0.25">
      <c r="A37" s="9"/>
      <c r="B37" s="45"/>
      <c r="C37" s="432"/>
      <c r="D37" s="431"/>
      <c r="E37" s="431"/>
      <c r="F37" s="431"/>
      <c r="G37" s="430"/>
      <c r="H37" s="283"/>
      <c r="I37" s="284"/>
      <c r="J37" s="285"/>
      <c r="K37" s="432"/>
      <c r="L37" s="431"/>
      <c r="M37" s="431"/>
      <c r="N37" s="431"/>
      <c r="O37" s="431"/>
      <c r="P37" s="430"/>
      <c r="Z37" s="11"/>
    </row>
    <row r="38" spans="1:26" ht="19.5" customHeight="1" x14ac:dyDescent="0.25">
      <c r="A38" s="9"/>
      <c r="B38" s="45"/>
      <c r="C38" s="432"/>
      <c r="D38" s="431"/>
      <c r="E38" s="431"/>
      <c r="F38" s="431"/>
      <c r="G38" s="430"/>
      <c r="H38" s="283"/>
      <c r="I38" s="284"/>
      <c r="J38" s="285"/>
      <c r="K38" s="432"/>
      <c r="L38" s="431"/>
      <c r="M38" s="431"/>
      <c r="N38" s="431"/>
      <c r="O38" s="431"/>
      <c r="P38" s="430"/>
      <c r="Z38" s="11"/>
    </row>
    <row r="39" spans="1:26" ht="19.5" customHeight="1" x14ac:dyDescent="0.25">
      <c r="A39" s="9"/>
      <c r="B39" s="45"/>
      <c r="C39" s="432"/>
      <c r="D39" s="431"/>
      <c r="E39" s="431"/>
      <c r="F39" s="431"/>
      <c r="G39" s="430"/>
      <c r="H39" s="283"/>
      <c r="I39" s="284"/>
      <c r="J39" s="285"/>
      <c r="K39" s="432"/>
      <c r="L39" s="431"/>
      <c r="M39" s="431"/>
      <c r="N39" s="431"/>
      <c r="O39" s="431"/>
      <c r="P39" s="430"/>
      <c r="Z39" s="11"/>
    </row>
    <row r="40" spans="1:26" ht="19.5" customHeight="1" x14ac:dyDescent="0.25">
      <c r="A40" s="9"/>
      <c r="B40" s="45"/>
      <c r="C40" s="432"/>
      <c r="D40" s="431"/>
      <c r="E40" s="431"/>
      <c r="F40" s="431"/>
      <c r="G40" s="430"/>
      <c r="H40" s="283"/>
      <c r="I40" s="284"/>
      <c r="J40" s="285"/>
      <c r="K40" s="432"/>
      <c r="L40" s="431"/>
      <c r="M40" s="431"/>
      <c r="N40" s="431"/>
      <c r="O40" s="431"/>
      <c r="P40" s="430"/>
      <c r="Z40" s="11"/>
    </row>
    <row r="41" spans="1:26" ht="19.5" customHeight="1" x14ac:dyDescent="0.25">
      <c r="A41" s="9"/>
      <c r="B41" s="45"/>
      <c r="C41" s="432"/>
      <c r="D41" s="431"/>
      <c r="E41" s="431"/>
      <c r="F41" s="431"/>
      <c r="G41" s="430"/>
      <c r="H41" s="283"/>
      <c r="I41" s="284"/>
      <c r="J41" s="285"/>
      <c r="K41" s="432"/>
      <c r="L41" s="431"/>
      <c r="M41" s="431"/>
      <c r="N41" s="431"/>
      <c r="O41" s="431"/>
      <c r="P41" s="430"/>
      <c r="Z41" s="11"/>
    </row>
    <row r="42" spans="1:26" ht="19.5" customHeight="1" x14ac:dyDescent="0.25">
      <c r="A42" s="9"/>
      <c r="B42" s="45"/>
      <c r="C42" s="432"/>
      <c r="D42" s="431"/>
      <c r="E42" s="431"/>
      <c r="F42" s="431"/>
      <c r="G42" s="430"/>
      <c r="H42" s="283"/>
      <c r="I42" s="284"/>
      <c r="J42" s="285"/>
      <c r="K42" s="432"/>
      <c r="L42" s="431"/>
      <c r="M42" s="431"/>
      <c r="N42" s="431"/>
      <c r="O42" s="431"/>
      <c r="P42" s="430"/>
      <c r="Z42" s="11"/>
    </row>
    <row r="43" spans="1:26" ht="19.5" customHeight="1" x14ac:dyDescent="0.25">
      <c r="A43" s="9"/>
      <c r="B43" s="45"/>
      <c r="C43" s="432"/>
      <c r="D43" s="431"/>
      <c r="E43" s="431"/>
      <c r="F43" s="431"/>
      <c r="G43" s="430"/>
      <c r="H43" s="283"/>
      <c r="I43" s="284"/>
      <c r="J43" s="285"/>
      <c r="K43" s="432"/>
      <c r="L43" s="431"/>
      <c r="M43" s="431"/>
      <c r="N43" s="431"/>
      <c r="O43" s="431"/>
      <c r="P43" s="430"/>
      <c r="Z43" s="11"/>
    </row>
    <row r="44" spans="1:26" ht="19.5" customHeight="1" x14ac:dyDescent="0.25">
      <c r="A44" s="9"/>
      <c r="B44" s="45"/>
      <c r="C44" s="432"/>
      <c r="D44" s="431"/>
      <c r="E44" s="431"/>
      <c r="F44" s="431"/>
      <c r="G44" s="430"/>
      <c r="H44" s="283"/>
      <c r="I44" s="284"/>
      <c r="J44" s="285"/>
      <c r="K44" s="432"/>
      <c r="L44" s="431"/>
      <c r="M44" s="431"/>
      <c r="N44" s="431"/>
      <c r="O44" s="431"/>
      <c r="P44" s="430"/>
      <c r="Z44" s="11"/>
    </row>
    <row r="45" spans="1:26" ht="19.5" customHeight="1" x14ac:dyDescent="0.25">
      <c r="A45" s="9"/>
      <c r="B45" s="45"/>
      <c r="C45" s="432"/>
      <c r="D45" s="431"/>
      <c r="E45" s="431"/>
      <c r="F45" s="431"/>
      <c r="G45" s="430"/>
      <c r="H45" s="283"/>
      <c r="I45" s="284"/>
      <c r="J45" s="285"/>
      <c r="K45" s="432"/>
      <c r="L45" s="431"/>
      <c r="M45" s="431"/>
      <c r="N45" s="431"/>
      <c r="O45" s="431"/>
      <c r="P45" s="430"/>
      <c r="Z45" s="11"/>
    </row>
    <row r="46" spans="1:26" ht="19.5" customHeight="1" thickBot="1" x14ac:dyDescent="0.3">
      <c r="A46" s="9"/>
      <c r="B46" s="46"/>
      <c r="C46" s="425"/>
      <c r="D46" s="425"/>
      <c r="E46" s="425"/>
      <c r="F46" s="425"/>
      <c r="G46" s="424"/>
      <c r="H46" s="429"/>
      <c r="I46" s="428"/>
      <c r="J46" s="427"/>
      <c r="K46" s="426"/>
      <c r="L46" s="425"/>
      <c r="M46" s="425"/>
      <c r="N46" s="425"/>
      <c r="O46" s="425"/>
      <c r="P46" s="424"/>
      <c r="Z46" s="11"/>
    </row>
    <row r="47" spans="1:26" ht="15.75" customHeight="1" x14ac:dyDescent="0.25">
      <c r="A47" s="9"/>
      <c r="B47" s="323" t="s">
        <v>36</v>
      </c>
      <c r="C47" s="324"/>
      <c r="D47" s="324"/>
      <c r="E47" s="324"/>
      <c r="F47" s="324"/>
      <c r="G47" s="325"/>
      <c r="H47" s="407">
        <f>AVERAGE(H25:J46)</f>
        <v>77.285714285714292</v>
      </c>
      <c r="I47" s="408"/>
      <c r="J47" s="409"/>
      <c r="K47" s="418" t="s">
        <v>80</v>
      </c>
      <c r="L47" s="419"/>
      <c r="M47" s="413" t="s">
        <v>38</v>
      </c>
      <c r="N47" s="413"/>
      <c r="O47" s="413"/>
      <c r="P47" s="414"/>
      <c r="Z47" s="11"/>
    </row>
    <row r="48" spans="1:26" ht="15.75" customHeight="1" x14ac:dyDescent="0.25">
      <c r="A48" s="9"/>
      <c r="B48" s="317" t="s">
        <v>39</v>
      </c>
      <c r="C48" s="318"/>
      <c r="D48" s="318"/>
      <c r="E48" s="318"/>
      <c r="F48" s="318"/>
      <c r="G48" s="319"/>
      <c r="H48" s="410">
        <f>IF(COUNTIF(H25:J46,"*&lt;20*"),"&lt;20",MIN(H25:J46))</f>
        <v>30</v>
      </c>
      <c r="I48" s="411"/>
      <c r="J48" s="412"/>
      <c r="K48" s="289"/>
      <c r="L48" s="290"/>
      <c r="M48" s="298"/>
      <c r="N48" s="298"/>
      <c r="O48" s="298"/>
      <c r="P48" s="415"/>
      <c r="Z48" s="11"/>
    </row>
    <row r="49" spans="1:26" ht="15.75" customHeight="1" thickBot="1" x14ac:dyDescent="0.3">
      <c r="A49" s="9"/>
      <c r="B49" s="320" t="s">
        <v>40</v>
      </c>
      <c r="C49" s="321"/>
      <c r="D49" s="321"/>
      <c r="E49" s="321"/>
      <c r="F49" s="321"/>
      <c r="G49" s="322"/>
      <c r="H49" s="404">
        <f>IF(COUNTIF(H25:J46,"*&gt;250*"),"&gt;250",MAX(H25:J46))</f>
        <v>139</v>
      </c>
      <c r="I49" s="405"/>
      <c r="J49" s="406"/>
      <c r="K49" s="420"/>
      <c r="L49" s="421"/>
      <c r="M49" s="416"/>
      <c r="N49" s="416"/>
      <c r="O49" s="416"/>
      <c r="P49" s="417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41</v>
      </c>
      <c r="B52" s="5" t="s">
        <v>42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353" t="s">
        <v>43</v>
      </c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5"/>
      <c r="R53" s="347" t="s">
        <v>44</v>
      </c>
      <c r="S53" s="348"/>
      <c r="T53" s="349"/>
      <c r="U53" s="423" t="s">
        <v>79</v>
      </c>
      <c r="V53" s="327"/>
      <c r="W53" s="327"/>
      <c r="X53" s="328"/>
      <c r="Y53" s="328"/>
      <c r="Z53" s="329"/>
    </row>
    <row r="54" spans="1:26" s="17" customFormat="1" ht="15.6" customHeight="1" x14ac:dyDescent="0.25">
      <c r="A54" s="356" t="s">
        <v>45</v>
      </c>
      <c r="B54" s="357"/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357"/>
      <c r="N54" s="357"/>
      <c r="O54" s="357"/>
      <c r="P54" s="357"/>
      <c r="Q54" s="358"/>
      <c r="R54" s="347" t="s">
        <v>46</v>
      </c>
      <c r="S54" s="348"/>
      <c r="T54" s="349"/>
      <c r="U54" s="330" t="s">
        <v>78</v>
      </c>
      <c r="V54" s="331"/>
      <c r="W54" s="331"/>
      <c r="X54" s="332"/>
      <c r="Y54" s="332"/>
      <c r="Z54" s="333"/>
    </row>
    <row r="55" spans="1:26" s="17" customFormat="1" ht="15.6" customHeight="1" x14ac:dyDescent="0.25">
      <c r="A55" s="359"/>
      <c r="B55" s="360"/>
      <c r="C55" s="360"/>
      <c r="D55" s="360"/>
      <c r="E55" s="360"/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1"/>
      <c r="R55" s="347"/>
      <c r="S55" s="348"/>
      <c r="T55" s="349"/>
      <c r="U55" s="334"/>
      <c r="V55" s="298"/>
      <c r="W55" s="298"/>
      <c r="X55" s="335"/>
      <c r="Y55" s="335"/>
      <c r="Z55" s="336"/>
    </row>
    <row r="56" spans="1:26" s="17" customFormat="1" ht="15.6" customHeight="1" x14ac:dyDescent="0.25">
      <c r="A56" s="55" t="s">
        <v>48</v>
      </c>
      <c r="B56" s="56" t="s">
        <v>49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347"/>
      <c r="S56" s="348"/>
      <c r="T56" s="349"/>
      <c r="U56" s="337"/>
      <c r="V56" s="338"/>
      <c r="W56" s="338"/>
      <c r="X56" s="339"/>
      <c r="Y56" s="339"/>
      <c r="Z56" s="340"/>
    </row>
    <row r="57" spans="1:26" s="17" customFormat="1" ht="15.6" customHeight="1" x14ac:dyDescent="0.25">
      <c r="A57" s="341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3"/>
      <c r="R57" s="347" t="s">
        <v>50</v>
      </c>
      <c r="S57" s="348"/>
      <c r="T57" s="349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341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3"/>
      <c r="R58" s="347"/>
      <c r="S58" s="348"/>
      <c r="T58" s="349"/>
      <c r="U58" s="61"/>
      <c r="V58" s="298"/>
      <c r="W58" s="298"/>
      <c r="X58" s="298"/>
      <c r="Y58" s="298"/>
      <c r="Z58" s="62"/>
    </row>
    <row r="59" spans="1:26" s="17" customFormat="1" ht="15.6" customHeight="1" x14ac:dyDescent="0.25">
      <c r="A59" s="341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3"/>
      <c r="R59" s="347"/>
      <c r="S59" s="348"/>
      <c r="T59" s="349"/>
      <c r="U59" s="61"/>
      <c r="V59" s="298"/>
      <c r="W59" s="298"/>
      <c r="X59" s="298"/>
      <c r="Y59" s="298"/>
      <c r="Z59" s="62"/>
    </row>
    <row r="60" spans="1:26" s="17" customFormat="1" ht="15.6" customHeight="1" x14ac:dyDescent="0.25">
      <c r="A60" s="344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  <c r="M60" s="345"/>
      <c r="N60" s="345"/>
      <c r="O60" s="345"/>
      <c r="P60" s="345"/>
      <c r="Q60" s="346"/>
      <c r="R60" s="350"/>
      <c r="S60" s="351"/>
      <c r="T60" s="352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7">
    <mergeCell ref="C45:G45"/>
    <mergeCell ref="H45:J45"/>
    <mergeCell ref="K45:P45"/>
    <mergeCell ref="C30:G31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B17:H17"/>
    <mergeCell ref="B12:G12"/>
    <mergeCell ref="B11:G11"/>
    <mergeCell ref="C32:G32"/>
    <mergeCell ref="H32:J32"/>
    <mergeCell ref="K32:P32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H30:J30"/>
    <mergeCell ref="K30:P30"/>
    <mergeCell ref="H31:J31"/>
    <mergeCell ref="K31:P3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66F1-3C38-45B7-AE25-61F0850DA7B0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194"/>
      <c r="B1" s="195"/>
      <c r="C1" s="195"/>
      <c r="D1" s="195"/>
      <c r="E1" s="195"/>
      <c r="F1" s="196"/>
      <c r="G1" s="203" t="s">
        <v>0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5"/>
      <c r="U1" s="148" t="s">
        <v>77</v>
      </c>
      <c r="V1" s="149"/>
      <c r="W1" s="149"/>
      <c r="X1" s="149"/>
      <c r="Y1" s="149"/>
      <c r="Z1" s="150"/>
    </row>
    <row r="2" spans="1:26" ht="12.75" customHeight="1" x14ac:dyDescent="0.25">
      <c r="A2" s="197"/>
      <c r="B2" s="198"/>
      <c r="C2" s="198"/>
      <c r="D2" s="198"/>
      <c r="E2" s="198"/>
      <c r="F2" s="199"/>
      <c r="G2" s="206" t="s">
        <v>1</v>
      </c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8"/>
      <c r="U2" s="151"/>
      <c r="V2" s="152"/>
      <c r="W2" s="152"/>
      <c r="X2" s="152"/>
      <c r="Y2" s="152"/>
      <c r="Z2" s="153"/>
    </row>
    <row r="3" spans="1:26" ht="12.75" customHeight="1" x14ac:dyDescent="0.25">
      <c r="A3" s="197"/>
      <c r="B3" s="198"/>
      <c r="C3" s="198"/>
      <c r="D3" s="198"/>
      <c r="E3" s="198"/>
      <c r="F3" s="199"/>
      <c r="G3" s="206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8"/>
      <c r="U3" s="151"/>
      <c r="V3" s="152"/>
      <c r="W3" s="152"/>
      <c r="X3" s="152"/>
      <c r="Y3" s="152"/>
      <c r="Z3" s="153"/>
    </row>
    <row r="4" spans="1:26" ht="12.75" customHeight="1" x14ac:dyDescent="0.25">
      <c r="A4" s="197"/>
      <c r="B4" s="198"/>
      <c r="C4" s="198"/>
      <c r="D4" s="198"/>
      <c r="E4" s="198"/>
      <c r="F4" s="199"/>
      <c r="G4" s="206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8"/>
      <c r="U4" s="151"/>
      <c r="V4" s="152"/>
      <c r="W4" s="152"/>
      <c r="X4" s="152"/>
      <c r="Y4" s="152"/>
      <c r="Z4" s="153"/>
    </row>
    <row r="5" spans="1:26" ht="12.75" customHeight="1" x14ac:dyDescent="0.25">
      <c r="A5" s="197"/>
      <c r="B5" s="198"/>
      <c r="C5" s="198"/>
      <c r="D5" s="198"/>
      <c r="E5" s="198"/>
      <c r="F5" s="199"/>
      <c r="G5" s="209" t="s">
        <v>2</v>
      </c>
      <c r="H5" s="210"/>
      <c r="I5" s="184">
        <v>2</v>
      </c>
      <c r="J5" s="184"/>
      <c r="K5" s="185"/>
      <c r="L5" s="187" t="s">
        <v>3</v>
      </c>
      <c r="M5" s="188"/>
      <c r="N5" s="188"/>
      <c r="O5" s="189"/>
      <c r="P5" s="190" t="s">
        <v>75</v>
      </c>
      <c r="Q5" s="191"/>
      <c r="R5" s="191"/>
      <c r="S5" s="191"/>
      <c r="T5" s="192"/>
      <c r="U5" s="151"/>
      <c r="V5" s="152"/>
      <c r="W5" s="152"/>
      <c r="X5" s="152"/>
      <c r="Y5" s="152"/>
      <c r="Z5" s="153"/>
    </row>
    <row r="6" spans="1:26" ht="12.75" customHeight="1" x14ac:dyDescent="0.25">
      <c r="A6" s="200"/>
      <c r="B6" s="201"/>
      <c r="C6" s="201"/>
      <c r="D6" s="201"/>
      <c r="E6" s="201"/>
      <c r="F6" s="202"/>
      <c r="G6" s="145"/>
      <c r="H6" s="104"/>
      <c r="I6" s="186" t="s">
        <v>5</v>
      </c>
      <c r="J6" s="186"/>
      <c r="K6" s="186"/>
      <c r="L6" s="186" t="s">
        <v>6</v>
      </c>
      <c r="M6" s="186"/>
      <c r="N6" s="186"/>
      <c r="O6" s="186"/>
      <c r="P6" s="186" t="s">
        <v>7</v>
      </c>
      <c r="Q6" s="186"/>
      <c r="R6" s="186"/>
      <c r="S6" s="186"/>
      <c r="T6" s="193"/>
      <c r="U6" s="154"/>
      <c r="V6" s="155"/>
      <c r="W6" s="155"/>
      <c r="X6" s="155"/>
      <c r="Y6" s="155"/>
      <c r="Z6" s="156"/>
    </row>
    <row r="7" spans="1:26" ht="36.6" customHeight="1" x14ac:dyDescent="0.25">
      <c r="A7" s="211" t="s">
        <v>8</v>
      </c>
      <c r="B7" s="211"/>
      <c r="C7" s="211"/>
      <c r="D7" s="211"/>
      <c r="E7" s="211"/>
      <c r="F7" s="211"/>
      <c r="G7" s="212" t="s">
        <v>9</v>
      </c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0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47" t="s">
        <v>12</v>
      </c>
      <c r="C10" s="147"/>
      <c r="D10" s="147"/>
      <c r="E10" s="147"/>
      <c r="F10" s="147"/>
      <c r="G10" s="147"/>
      <c r="H10" s="213" t="s">
        <v>13</v>
      </c>
      <c r="I10" s="213"/>
      <c r="J10" s="213"/>
      <c r="K10" s="213"/>
      <c r="L10" s="213"/>
      <c r="M10" s="213"/>
      <c r="N10" s="147" t="s">
        <v>14</v>
      </c>
      <c r="O10" s="147"/>
      <c r="P10" s="147"/>
      <c r="Q10" s="147"/>
      <c r="R10" s="147"/>
      <c r="S10" s="172" t="s">
        <v>76</v>
      </c>
      <c r="T10" s="172"/>
      <c r="U10" s="172"/>
      <c r="V10" s="172"/>
      <c r="W10" s="172"/>
      <c r="X10" s="172"/>
      <c r="Y10" s="172"/>
      <c r="Z10" s="143"/>
    </row>
    <row r="11" spans="1:26" ht="15.9" customHeight="1" x14ac:dyDescent="0.25">
      <c r="A11" s="108"/>
      <c r="B11" s="147" t="s">
        <v>15</v>
      </c>
      <c r="C11" s="147"/>
      <c r="D11" s="147"/>
      <c r="E11" s="147"/>
      <c r="F11" s="147"/>
      <c r="G11" s="147"/>
      <c r="H11" s="213" t="s">
        <v>75</v>
      </c>
      <c r="I11" s="213"/>
      <c r="J11" s="213"/>
      <c r="K11" s="213"/>
      <c r="L11" s="213"/>
      <c r="M11" s="213"/>
      <c r="N11" s="147" t="s">
        <v>16</v>
      </c>
      <c r="O11" s="147"/>
      <c r="P11" s="147"/>
      <c r="Q11" s="147"/>
      <c r="R11" s="147"/>
      <c r="S11" s="172" t="s">
        <v>17</v>
      </c>
      <c r="T11" s="172"/>
      <c r="U11" s="172"/>
      <c r="V11" s="172"/>
      <c r="W11" s="172"/>
      <c r="X11" s="172"/>
      <c r="Y11" s="172"/>
      <c r="Z11" s="143"/>
    </row>
    <row r="12" spans="1:26" ht="15.9" customHeight="1" x14ac:dyDescent="0.25">
      <c r="A12" s="108"/>
      <c r="B12" s="147" t="s">
        <v>18</v>
      </c>
      <c r="C12" s="147"/>
      <c r="D12" s="147"/>
      <c r="E12" s="147"/>
      <c r="F12" s="147"/>
      <c r="G12" s="147"/>
      <c r="H12" s="213" t="s">
        <v>74</v>
      </c>
      <c r="I12" s="213"/>
      <c r="J12" s="213"/>
      <c r="K12" s="213"/>
      <c r="L12" s="213"/>
      <c r="M12" s="213"/>
      <c r="N12" s="147" t="s">
        <v>20</v>
      </c>
      <c r="O12" s="147"/>
      <c r="P12" s="147"/>
      <c r="Q12" s="147"/>
      <c r="R12" s="147"/>
      <c r="S12" s="172" t="s">
        <v>21</v>
      </c>
      <c r="T12" s="172"/>
      <c r="U12" s="172"/>
      <c r="V12" s="172"/>
      <c r="W12" s="172"/>
      <c r="X12" s="172"/>
      <c r="Y12" s="172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22</v>
      </c>
      <c r="B15" s="136" t="s">
        <v>23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146" t="s">
        <v>24</v>
      </c>
      <c r="C17" s="146"/>
      <c r="D17" s="146"/>
      <c r="E17" s="146"/>
      <c r="F17" s="146"/>
      <c r="G17" s="146"/>
      <c r="H17" s="146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29"/>
    </row>
    <row r="18" spans="1:26" s="76" customFormat="1" ht="15" customHeight="1" x14ac:dyDescent="0.25">
      <c r="A18" s="131"/>
      <c r="B18" s="146" t="s">
        <v>25</v>
      </c>
      <c r="C18" s="146"/>
      <c r="D18" s="146"/>
      <c r="E18" s="146"/>
      <c r="F18" s="146"/>
      <c r="G18" s="146"/>
      <c r="H18" s="146"/>
      <c r="I18" s="271" t="s">
        <v>26</v>
      </c>
      <c r="J18" s="271"/>
      <c r="K18" s="130">
        <v>50</v>
      </c>
      <c r="L18" s="130" t="s">
        <v>27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28</v>
      </c>
      <c r="B21" s="123" t="s">
        <v>29</v>
      </c>
      <c r="C21" s="121"/>
      <c r="D21" s="122"/>
      <c r="E21" s="122"/>
      <c r="F21" s="122"/>
      <c r="G21" s="122"/>
      <c r="H21" s="121"/>
      <c r="I21" s="121"/>
      <c r="J21" s="280" t="s">
        <v>30</v>
      </c>
      <c r="K21" s="280"/>
      <c r="L21" s="280"/>
      <c r="M21" s="280"/>
      <c r="N21" s="280"/>
      <c r="O21" s="280"/>
      <c r="P21" s="280"/>
      <c r="Q21" s="118">
        <v>600</v>
      </c>
      <c r="R21" s="96"/>
      <c r="S21" s="96"/>
      <c r="T21" s="96"/>
      <c r="U21" s="96"/>
      <c r="V21" s="96"/>
      <c r="W21" s="96"/>
      <c r="X21" s="96"/>
      <c r="Y21" s="96"/>
      <c r="Z21" s="120"/>
    </row>
    <row r="22" spans="1:26" ht="12.75" customHeight="1" x14ac:dyDescent="0.25">
      <c r="A22" s="108"/>
      <c r="B22" s="119"/>
      <c r="Z22" s="107"/>
    </row>
    <row r="23" spans="1:26" ht="15.75" customHeight="1" x14ac:dyDescent="0.25">
      <c r="A23" s="108"/>
      <c r="B23" s="278" t="s">
        <v>31</v>
      </c>
      <c r="C23" s="173" t="s">
        <v>32</v>
      </c>
      <c r="D23" s="173"/>
      <c r="E23" s="173"/>
      <c r="F23" s="173"/>
      <c r="G23" s="174"/>
      <c r="H23" s="275" t="s">
        <v>33</v>
      </c>
      <c r="I23" s="276"/>
      <c r="J23" s="277"/>
      <c r="K23" s="173" t="s">
        <v>34</v>
      </c>
      <c r="L23" s="173"/>
      <c r="M23" s="173"/>
      <c r="N23" s="173"/>
      <c r="O23" s="173"/>
      <c r="P23" s="174"/>
      <c r="Z23" s="107"/>
    </row>
    <row r="24" spans="1:26" ht="15.75" customHeight="1" x14ac:dyDescent="0.25">
      <c r="A24" s="108"/>
      <c r="B24" s="279"/>
      <c r="C24" s="175"/>
      <c r="D24" s="175"/>
      <c r="E24" s="175"/>
      <c r="F24" s="175"/>
      <c r="G24" s="176"/>
      <c r="H24" s="272" t="s">
        <v>35</v>
      </c>
      <c r="I24" s="273"/>
      <c r="J24" s="274"/>
      <c r="K24" s="175"/>
      <c r="L24" s="175"/>
      <c r="M24" s="175"/>
      <c r="N24" s="175"/>
      <c r="O24" s="175"/>
      <c r="P24" s="176"/>
      <c r="Z24" s="107"/>
    </row>
    <row r="25" spans="1:26" ht="19.5" customHeight="1" x14ac:dyDescent="0.25">
      <c r="A25" s="108"/>
      <c r="B25" s="117">
        <v>1</v>
      </c>
      <c r="C25" s="157" t="s">
        <v>73</v>
      </c>
      <c r="D25" s="158"/>
      <c r="E25" s="158"/>
      <c r="F25" s="158"/>
      <c r="G25" s="159"/>
      <c r="H25" s="214">
        <v>35</v>
      </c>
      <c r="I25" s="215"/>
      <c r="J25" s="216"/>
      <c r="K25" s="157"/>
      <c r="L25" s="158"/>
      <c r="M25" s="158"/>
      <c r="N25" s="158"/>
      <c r="O25" s="158"/>
      <c r="P25" s="159"/>
      <c r="Z25" s="107"/>
    </row>
    <row r="26" spans="1:26" ht="19.5" customHeight="1" x14ac:dyDescent="0.25">
      <c r="A26" s="108"/>
      <c r="B26" s="117">
        <v>2</v>
      </c>
      <c r="C26" s="157" t="s">
        <v>72</v>
      </c>
      <c r="D26" s="158"/>
      <c r="E26" s="158"/>
      <c r="F26" s="158"/>
      <c r="G26" s="159"/>
      <c r="H26" s="214">
        <v>32</v>
      </c>
      <c r="I26" s="215"/>
      <c r="J26" s="216"/>
      <c r="K26" s="157"/>
      <c r="L26" s="158"/>
      <c r="M26" s="158"/>
      <c r="N26" s="158"/>
      <c r="O26" s="158"/>
      <c r="P26" s="159"/>
      <c r="Z26" s="107"/>
    </row>
    <row r="27" spans="1:26" ht="19.5" customHeight="1" x14ac:dyDescent="0.25">
      <c r="A27" s="108"/>
      <c r="B27" s="117">
        <v>3</v>
      </c>
      <c r="C27" s="157" t="s">
        <v>71</v>
      </c>
      <c r="D27" s="158"/>
      <c r="E27" s="158"/>
      <c r="F27" s="158"/>
      <c r="G27" s="159"/>
      <c r="H27" s="214">
        <v>30</v>
      </c>
      <c r="I27" s="215"/>
      <c r="J27" s="216"/>
      <c r="K27" s="157"/>
      <c r="L27" s="158"/>
      <c r="M27" s="158"/>
      <c r="N27" s="158"/>
      <c r="O27" s="158"/>
      <c r="P27" s="159"/>
      <c r="Z27" s="107"/>
    </row>
    <row r="28" spans="1:26" ht="19.5" customHeight="1" x14ac:dyDescent="0.25">
      <c r="A28" s="108"/>
      <c r="B28" s="117">
        <v>4</v>
      </c>
      <c r="C28" s="157" t="s">
        <v>70</v>
      </c>
      <c r="D28" s="158"/>
      <c r="E28" s="158"/>
      <c r="F28" s="158"/>
      <c r="G28" s="159"/>
      <c r="H28" s="214">
        <v>33</v>
      </c>
      <c r="I28" s="215"/>
      <c r="J28" s="216"/>
      <c r="K28" s="157"/>
      <c r="L28" s="158"/>
      <c r="M28" s="158"/>
      <c r="N28" s="158"/>
      <c r="O28" s="158"/>
      <c r="P28" s="159"/>
      <c r="Z28" s="107"/>
    </row>
    <row r="29" spans="1:26" ht="19.5" customHeight="1" x14ac:dyDescent="0.25">
      <c r="A29" s="108"/>
      <c r="B29" s="117">
        <v>5</v>
      </c>
      <c r="C29" s="157" t="s">
        <v>69</v>
      </c>
      <c r="D29" s="158"/>
      <c r="E29" s="158"/>
      <c r="F29" s="158"/>
      <c r="G29" s="159"/>
      <c r="H29" s="214">
        <v>44</v>
      </c>
      <c r="I29" s="215"/>
      <c r="J29" s="216"/>
      <c r="K29" s="157"/>
      <c r="L29" s="158"/>
      <c r="M29" s="158"/>
      <c r="N29" s="158"/>
      <c r="O29" s="158"/>
      <c r="P29" s="159"/>
      <c r="Z29" s="107"/>
    </row>
    <row r="30" spans="1:26" ht="19.5" customHeight="1" x14ac:dyDescent="0.25">
      <c r="A30" s="108"/>
      <c r="B30" s="117">
        <v>6</v>
      </c>
      <c r="C30" s="157" t="s">
        <v>68</v>
      </c>
      <c r="D30" s="158"/>
      <c r="E30" s="158"/>
      <c r="F30" s="158"/>
      <c r="G30" s="159"/>
      <c r="H30" s="214">
        <v>33</v>
      </c>
      <c r="I30" s="215"/>
      <c r="J30" s="216"/>
      <c r="K30" s="157"/>
      <c r="L30" s="158"/>
      <c r="M30" s="158"/>
      <c r="N30" s="158"/>
      <c r="O30" s="158"/>
      <c r="P30" s="159"/>
      <c r="Z30" s="107"/>
    </row>
    <row r="31" spans="1:26" ht="19.5" customHeight="1" x14ac:dyDescent="0.25">
      <c r="A31" s="108"/>
      <c r="B31" s="117">
        <v>7</v>
      </c>
      <c r="C31" s="157" t="s">
        <v>67</v>
      </c>
      <c r="D31" s="158"/>
      <c r="E31" s="158"/>
      <c r="F31" s="158"/>
      <c r="G31" s="159"/>
      <c r="H31" s="214">
        <v>54</v>
      </c>
      <c r="I31" s="215"/>
      <c r="J31" s="216"/>
      <c r="K31" s="157"/>
      <c r="L31" s="158"/>
      <c r="M31" s="158"/>
      <c r="N31" s="158"/>
      <c r="O31" s="158"/>
      <c r="P31" s="159"/>
      <c r="Z31" s="107"/>
    </row>
    <row r="32" spans="1:26" ht="19.5" customHeight="1" x14ac:dyDescent="0.25">
      <c r="A32" s="108"/>
      <c r="B32" s="117">
        <v>8</v>
      </c>
      <c r="C32" s="157" t="s">
        <v>66</v>
      </c>
      <c r="D32" s="158"/>
      <c r="E32" s="158"/>
      <c r="F32" s="158"/>
      <c r="G32" s="159"/>
      <c r="H32" s="214">
        <v>102</v>
      </c>
      <c r="I32" s="215"/>
      <c r="J32" s="216"/>
      <c r="K32" s="157"/>
      <c r="L32" s="158"/>
      <c r="M32" s="158"/>
      <c r="N32" s="158"/>
      <c r="O32" s="158"/>
      <c r="P32" s="159"/>
      <c r="Z32" s="107"/>
    </row>
    <row r="33" spans="1:26" ht="19.5" customHeight="1" x14ac:dyDescent="0.25">
      <c r="A33" s="108"/>
      <c r="B33" s="117">
        <v>9</v>
      </c>
      <c r="C33" s="157" t="s">
        <v>65</v>
      </c>
      <c r="D33" s="158"/>
      <c r="E33" s="158"/>
      <c r="F33" s="158"/>
      <c r="G33" s="159"/>
      <c r="H33" s="214">
        <v>77</v>
      </c>
      <c r="I33" s="215"/>
      <c r="J33" s="216"/>
      <c r="K33" s="157"/>
      <c r="L33" s="158"/>
      <c r="M33" s="158"/>
      <c r="N33" s="158"/>
      <c r="O33" s="158"/>
      <c r="P33" s="159"/>
      <c r="Z33" s="107"/>
    </row>
    <row r="34" spans="1:26" ht="19.5" customHeight="1" x14ac:dyDescent="0.25">
      <c r="A34" s="108"/>
      <c r="B34" s="117">
        <v>10</v>
      </c>
      <c r="C34" s="157" t="s">
        <v>64</v>
      </c>
      <c r="D34" s="158"/>
      <c r="E34" s="158"/>
      <c r="F34" s="158"/>
      <c r="G34" s="159"/>
      <c r="H34" s="214">
        <v>83</v>
      </c>
      <c r="I34" s="215"/>
      <c r="J34" s="216"/>
      <c r="K34" s="157"/>
      <c r="L34" s="158"/>
      <c r="M34" s="158"/>
      <c r="N34" s="158"/>
      <c r="O34" s="158"/>
      <c r="P34" s="159"/>
      <c r="Z34" s="107"/>
    </row>
    <row r="35" spans="1:26" ht="19.5" customHeight="1" x14ac:dyDescent="0.25">
      <c r="A35" s="108"/>
      <c r="B35" s="117">
        <v>11</v>
      </c>
      <c r="C35" s="157" t="s">
        <v>63</v>
      </c>
      <c r="D35" s="158"/>
      <c r="E35" s="158"/>
      <c r="F35" s="158"/>
      <c r="G35" s="159"/>
      <c r="H35" s="214">
        <v>161</v>
      </c>
      <c r="I35" s="215"/>
      <c r="J35" s="216"/>
      <c r="K35" s="157"/>
      <c r="L35" s="158"/>
      <c r="M35" s="158"/>
      <c r="N35" s="158"/>
      <c r="O35" s="158"/>
      <c r="P35" s="159"/>
      <c r="Z35" s="107"/>
    </row>
    <row r="36" spans="1:26" ht="19.5" customHeight="1" x14ac:dyDescent="0.25">
      <c r="A36" s="108"/>
      <c r="B36" s="117">
        <v>12</v>
      </c>
      <c r="C36" s="157" t="s">
        <v>62</v>
      </c>
      <c r="D36" s="158"/>
      <c r="E36" s="158"/>
      <c r="F36" s="158"/>
      <c r="G36" s="159"/>
      <c r="H36" s="214">
        <v>130</v>
      </c>
      <c r="I36" s="215"/>
      <c r="J36" s="216"/>
      <c r="K36" s="157"/>
      <c r="L36" s="158"/>
      <c r="M36" s="158"/>
      <c r="N36" s="158"/>
      <c r="O36" s="158"/>
      <c r="P36" s="159"/>
      <c r="Z36" s="107"/>
    </row>
    <row r="37" spans="1:26" ht="19.5" customHeight="1" x14ac:dyDescent="0.25">
      <c r="A37" s="108"/>
      <c r="B37" s="117">
        <v>13</v>
      </c>
      <c r="C37" s="157" t="s">
        <v>61</v>
      </c>
      <c r="D37" s="158"/>
      <c r="E37" s="158"/>
      <c r="F37" s="158"/>
      <c r="G37" s="159"/>
      <c r="H37" s="214">
        <v>150</v>
      </c>
      <c r="I37" s="215"/>
      <c r="J37" s="216"/>
      <c r="K37" s="157"/>
      <c r="L37" s="158"/>
      <c r="M37" s="158"/>
      <c r="N37" s="158"/>
      <c r="O37" s="158"/>
      <c r="P37" s="159"/>
      <c r="Z37" s="107"/>
    </row>
    <row r="38" spans="1:26" ht="19.5" customHeight="1" x14ac:dyDescent="0.25">
      <c r="A38" s="108"/>
      <c r="B38" s="117">
        <v>14</v>
      </c>
      <c r="C38" s="157" t="s">
        <v>60</v>
      </c>
      <c r="D38" s="158"/>
      <c r="E38" s="158"/>
      <c r="F38" s="158"/>
      <c r="G38" s="159"/>
      <c r="H38" s="214">
        <v>35</v>
      </c>
      <c r="I38" s="215"/>
      <c r="J38" s="216"/>
      <c r="K38" s="157"/>
      <c r="L38" s="158"/>
      <c r="M38" s="158"/>
      <c r="N38" s="158"/>
      <c r="O38" s="158"/>
      <c r="P38" s="159"/>
      <c r="Z38" s="107"/>
    </row>
    <row r="39" spans="1:26" ht="19.5" customHeight="1" x14ac:dyDescent="0.25">
      <c r="A39" s="108"/>
      <c r="B39" s="117">
        <v>15</v>
      </c>
      <c r="C39" s="157" t="s">
        <v>59</v>
      </c>
      <c r="D39" s="158"/>
      <c r="E39" s="158"/>
      <c r="F39" s="158"/>
      <c r="G39" s="159"/>
      <c r="H39" s="214">
        <v>39</v>
      </c>
      <c r="I39" s="215"/>
      <c r="J39" s="216"/>
      <c r="K39" s="157"/>
      <c r="L39" s="158"/>
      <c r="M39" s="158"/>
      <c r="N39" s="158"/>
      <c r="O39" s="158"/>
      <c r="P39" s="159"/>
      <c r="Z39" s="107"/>
    </row>
    <row r="40" spans="1:26" ht="19.5" customHeight="1" x14ac:dyDescent="0.25">
      <c r="A40" s="108"/>
      <c r="B40" s="117">
        <v>16</v>
      </c>
      <c r="C40" s="157" t="s">
        <v>58</v>
      </c>
      <c r="D40" s="158"/>
      <c r="E40" s="158"/>
      <c r="F40" s="158"/>
      <c r="G40" s="159"/>
      <c r="H40" s="214">
        <v>34</v>
      </c>
      <c r="I40" s="215"/>
      <c r="J40" s="216"/>
      <c r="K40" s="157"/>
      <c r="L40" s="158"/>
      <c r="M40" s="158"/>
      <c r="N40" s="158"/>
      <c r="O40" s="158"/>
      <c r="P40" s="159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181"/>
      <c r="D54" s="182"/>
      <c r="E54" s="182"/>
      <c r="F54" s="182"/>
      <c r="G54" s="183"/>
      <c r="H54" s="178"/>
      <c r="I54" s="179"/>
      <c r="J54" s="180"/>
      <c r="K54" s="181"/>
      <c r="L54" s="182"/>
      <c r="M54" s="182"/>
      <c r="N54" s="182"/>
      <c r="O54" s="182"/>
      <c r="P54" s="183"/>
      <c r="Z54" s="107"/>
    </row>
    <row r="55" spans="1:26" ht="15.75" customHeight="1" x14ac:dyDescent="0.25">
      <c r="A55" s="108"/>
      <c r="B55" s="244" t="s">
        <v>36</v>
      </c>
      <c r="C55" s="245"/>
      <c r="D55" s="245"/>
      <c r="E55" s="245"/>
      <c r="F55" s="245"/>
      <c r="G55" s="246"/>
      <c r="H55" s="265">
        <f>AVERAGE(H25:J54)</f>
        <v>67</v>
      </c>
      <c r="I55" s="266"/>
      <c r="J55" s="267"/>
      <c r="K55" s="166" t="s">
        <v>57</v>
      </c>
      <c r="L55" s="167"/>
      <c r="M55" s="160" t="s">
        <v>38</v>
      </c>
      <c r="N55" s="160"/>
      <c r="O55" s="160"/>
      <c r="P55" s="161"/>
      <c r="Z55" s="107"/>
    </row>
    <row r="56" spans="1:26" ht="15.75" customHeight="1" x14ac:dyDescent="0.25">
      <c r="A56" s="108"/>
      <c r="B56" s="238" t="s">
        <v>39</v>
      </c>
      <c r="C56" s="239"/>
      <c r="D56" s="239"/>
      <c r="E56" s="239"/>
      <c r="F56" s="239"/>
      <c r="G56" s="240"/>
      <c r="H56" s="268">
        <f>IF(COUNTIF(H25:J54,"*&lt;20*"),"&lt;20",MIN(H25:J54))</f>
        <v>30</v>
      </c>
      <c r="I56" s="269"/>
      <c r="J56" s="270"/>
      <c r="K56" s="168"/>
      <c r="L56" s="169"/>
      <c r="M56" s="162"/>
      <c r="N56" s="162"/>
      <c r="O56" s="162"/>
      <c r="P56" s="163"/>
      <c r="Z56" s="107"/>
    </row>
    <row r="57" spans="1:26" ht="15.75" customHeight="1" thickBot="1" x14ac:dyDescent="0.3">
      <c r="A57" s="108"/>
      <c r="B57" s="241" t="s">
        <v>40</v>
      </c>
      <c r="C57" s="242"/>
      <c r="D57" s="242"/>
      <c r="E57" s="242"/>
      <c r="F57" s="242"/>
      <c r="G57" s="243"/>
      <c r="H57" s="262">
        <f>IF(COUNTIF(H25:J54,"*&gt;250*"),"&gt;250",MAX(H25:J54))</f>
        <v>161</v>
      </c>
      <c r="I57" s="263"/>
      <c r="J57" s="264"/>
      <c r="K57" s="170"/>
      <c r="L57" s="171"/>
      <c r="M57" s="164"/>
      <c r="N57" s="164"/>
      <c r="O57" s="164"/>
      <c r="P57" s="165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41</v>
      </c>
      <c r="B60" s="99" t="s">
        <v>42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229" t="s">
        <v>43</v>
      </c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1"/>
      <c r="R61" s="223" t="s">
        <v>44</v>
      </c>
      <c r="S61" s="224"/>
      <c r="T61" s="225"/>
      <c r="U61" s="247" t="s">
        <v>13</v>
      </c>
      <c r="V61" s="248"/>
      <c r="W61" s="248"/>
      <c r="X61" s="249"/>
      <c r="Y61" s="249"/>
      <c r="Z61" s="250"/>
    </row>
    <row r="62" spans="1:26" s="76" customFormat="1" ht="15.6" customHeight="1" x14ac:dyDescent="0.25">
      <c r="A62" s="232" t="s">
        <v>45</v>
      </c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4"/>
      <c r="R62" s="223" t="s">
        <v>46</v>
      </c>
      <c r="S62" s="224"/>
      <c r="T62" s="225"/>
      <c r="U62" s="251" t="s">
        <v>47</v>
      </c>
      <c r="V62" s="252"/>
      <c r="W62" s="252"/>
      <c r="X62" s="253"/>
      <c r="Y62" s="253"/>
      <c r="Z62" s="254"/>
    </row>
    <row r="63" spans="1:26" s="76" customFormat="1" ht="15.6" customHeight="1" x14ac:dyDescent="0.25">
      <c r="A63" s="235"/>
      <c r="B63" s="236"/>
      <c r="C63" s="23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7"/>
      <c r="R63" s="223"/>
      <c r="S63" s="224"/>
      <c r="T63" s="225"/>
      <c r="U63" s="255"/>
      <c r="V63" s="162"/>
      <c r="W63" s="162"/>
      <c r="X63" s="256"/>
      <c r="Y63" s="256"/>
      <c r="Z63" s="257"/>
    </row>
    <row r="64" spans="1:26" s="76" customFormat="1" ht="15.6" customHeight="1" x14ac:dyDescent="0.25">
      <c r="A64" s="91" t="s">
        <v>48</v>
      </c>
      <c r="B64" s="90" t="s">
        <v>49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223"/>
      <c r="S64" s="224"/>
      <c r="T64" s="225"/>
      <c r="U64" s="258"/>
      <c r="V64" s="259"/>
      <c r="W64" s="259"/>
      <c r="X64" s="260"/>
      <c r="Y64" s="260"/>
      <c r="Z64" s="261"/>
    </row>
    <row r="65" spans="1:26" s="76" customFormat="1" ht="15.6" customHeight="1" x14ac:dyDescent="0.25">
      <c r="A65" s="217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9"/>
      <c r="R65" s="223" t="s">
        <v>50</v>
      </c>
      <c r="S65" s="224"/>
      <c r="T65" s="225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217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9"/>
      <c r="R66" s="223"/>
      <c r="S66" s="224"/>
      <c r="T66" s="225"/>
      <c r="U66" s="84"/>
      <c r="V66" s="162"/>
      <c r="W66" s="162"/>
      <c r="X66" s="162"/>
      <c r="Y66" s="162"/>
      <c r="Z66" s="83"/>
    </row>
    <row r="67" spans="1:26" s="76" customFormat="1" ht="15.6" customHeight="1" x14ac:dyDescent="0.25">
      <c r="A67" s="217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9"/>
      <c r="R67" s="223"/>
      <c r="S67" s="224"/>
      <c r="T67" s="225"/>
      <c r="U67" s="84"/>
      <c r="V67" s="162"/>
      <c r="W67" s="162"/>
      <c r="X67" s="162"/>
      <c r="Y67" s="162"/>
      <c r="Z67" s="83"/>
    </row>
    <row r="68" spans="1:26" s="76" customFormat="1" ht="15.6" customHeight="1" x14ac:dyDescent="0.25">
      <c r="A68" s="220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2"/>
      <c r="R68" s="226"/>
      <c r="S68" s="227"/>
      <c r="T68" s="228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03">
    <mergeCell ref="C37:G37"/>
    <mergeCell ref="H37:J37"/>
    <mergeCell ref="K37:P37"/>
    <mergeCell ref="C40:G40"/>
    <mergeCell ref="H40:J40"/>
    <mergeCell ref="K40:P40"/>
    <mergeCell ref="C38:G38"/>
    <mergeCell ref="H38:J38"/>
    <mergeCell ref="K38:P38"/>
    <mergeCell ref="C39:G39"/>
    <mergeCell ref="H39:J39"/>
    <mergeCell ref="K39:P39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U61:Z61"/>
    <mergeCell ref="U62:Z64"/>
    <mergeCell ref="H57:J57"/>
    <mergeCell ref="H55:J55"/>
    <mergeCell ref="H56:J5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opLeftCell="A46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362"/>
      <c r="B1" s="363"/>
      <c r="C1" s="363"/>
      <c r="D1" s="363"/>
      <c r="E1" s="363"/>
      <c r="F1" s="364"/>
      <c r="G1" s="371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3"/>
      <c r="U1" s="391" t="s">
        <v>55</v>
      </c>
      <c r="V1" s="392"/>
      <c r="W1" s="392"/>
      <c r="X1" s="392"/>
      <c r="Y1" s="392"/>
      <c r="Z1" s="393"/>
    </row>
    <row r="2" spans="1:26" ht="12.75" customHeight="1" x14ac:dyDescent="0.25">
      <c r="A2" s="365"/>
      <c r="B2" s="366"/>
      <c r="C2" s="366"/>
      <c r="D2" s="366"/>
      <c r="E2" s="366"/>
      <c r="F2" s="367"/>
      <c r="G2" s="374" t="s">
        <v>1</v>
      </c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6"/>
      <c r="U2" s="394"/>
      <c r="V2" s="395"/>
      <c r="W2" s="395"/>
      <c r="X2" s="395"/>
      <c r="Y2" s="395"/>
      <c r="Z2" s="396"/>
    </row>
    <row r="3" spans="1:26" ht="12.75" customHeight="1" x14ac:dyDescent="0.25">
      <c r="A3" s="365"/>
      <c r="B3" s="366"/>
      <c r="C3" s="366"/>
      <c r="D3" s="366"/>
      <c r="E3" s="366"/>
      <c r="F3" s="367"/>
      <c r="G3" s="374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6"/>
      <c r="U3" s="394"/>
      <c r="V3" s="395"/>
      <c r="W3" s="395"/>
      <c r="X3" s="395"/>
      <c r="Y3" s="395"/>
      <c r="Z3" s="396"/>
    </row>
    <row r="4" spans="1:26" ht="12.75" customHeight="1" x14ac:dyDescent="0.25">
      <c r="A4" s="365"/>
      <c r="B4" s="366"/>
      <c r="C4" s="366"/>
      <c r="D4" s="366"/>
      <c r="E4" s="366"/>
      <c r="F4" s="367"/>
      <c r="G4" s="374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6"/>
      <c r="U4" s="394"/>
      <c r="V4" s="395"/>
      <c r="W4" s="395"/>
      <c r="X4" s="395"/>
      <c r="Y4" s="395"/>
      <c r="Z4" s="396"/>
    </row>
    <row r="5" spans="1:26" ht="12.75" customHeight="1" x14ac:dyDescent="0.25">
      <c r="A5" s="365"/>
      <c r="B5" s="366"/>
      <c r="C5" s="366"/>
      <c r="D5" s="366"/>
      <c r="E5" s="366"/>
      <c r="F5" s="367"/>
      <c r="G5" s="377" t="s">
        <v>2</v>
      </c>
      <c r="H5" s="378"/>
      <c r="I5" s="381">
        <v>1</v>
      </c>
      <c r="J5" s="381"/>
      <c r="K5" s="382"/>
      <c r="L5" s="384" t="s">
        <v>3</v>
      </c>
      <c r="M5" s="385"/>
      <c r="N5" s="385"/>
      <c r="O5" s="386"/>
      <c r="P5" s="387" t="s">
        <v>4</v>
      </c>
      <c r="Q5" s="388"/>
      <c r="R5" s="388"/>
      <c r="S5" s="388"/>
      <c r="T5" s="389"/>
      <c r="U5" s="394"/>
      <c r="V5" s="395"/>
      <c r="W5" s="395"/>
      <c r="X5" s="395"/>
      <c r="Y5" s="395"/>
      <c r="Z5" s="396"/>
    </row>
    <row r="6" spans="1:26" ht="12.75" customHeight="1" x14ac:dyDescent="0.25">
      <c r="A6" s="368"/>
      <c r="B6" s="369"/>
      <c r="C6" s="369"/>
      <c r="D6" s="369"/>
      <c r="E6" s="369"/>
      <c r="F6" s="370"/>
      <c r="G6" s="2"/>
      <c r="H6" s="3"/>
      <c r="I6" s="383" t="s">
        <v>5</v>
      </c>
      <c r="J6" s="383"/>
      <c r="K6" s="383"/>
      <c r="L6" s="383" t="s">
        <v>6</v>
      </c>
      <c r="M6" s="383"/>
      <c r="N6" s="383"/>
      <c r="O6" s="383"/>
      <c r="P6" s="383" t="s">
        <v>7</v>
      </c>
      <c r="Q6" s="383"/>
      <c r="R6" s="383"/>
      <c r="S6" s="383"/>
      <c r="T6" s="390"/>
      <c r="U6" s="397"/>
      <c r="V6" s="398"/>
      <c r="W6" s="398"/>
      <c r="X6" s="398"/>
      <c r="Y6" s="398"/>
      <c r="Z6" s="399"/>
    </row>
    <row r="7" spans="1:26" ht="36.6" customHeight="1" x14ac:dyDescent="0.25">
      <c r="A7" s="379" t="s">
        <v>8</v>
      </c>
      <c r="B7" s="379"/>
      <c r="C7" s="379"/>
      <c r="D7" s="379"/>
      <c r="E7" s="379"/>
      <c r="F7" s="379"/>
      <c r="G7" s="380" t="s">
        <v>9</v>
      </c>
      <c r="H7" s="380"/>
      <c r="I7" s="380"/>
      <c r="J7" s="380"/>
      <c r="K7" s="380"/>
      <c r="L7" s="380"/>
      <c r="M7" s="380"/>
      <c r="N7" s="380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80"/>
      <c r="Z7" s="38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295" t="s">
        <v>12</v>
      </c>
      <c r="C10" s="295"/>
      <c r="D10" s="295"/>
      <c r="E10" s="295"/>
      <c r="F10" s="295"/>
      <c r="G10" s="295"/>
      <c r="H10" s="297" t="s">
        <v>13</v>
      </c>
      <c r="I10" s="297"/>
      <c r="J10" s="297"/>
      <c r="K10" s="297"/>
      <c r="L10" s="297"/>
      <c r="M10" s="297"/>
      <c r="N10" s="295" t="s">
        <v>14</v>
      </c>
      <c r="O10" s="295"/>
      <c r="P10" s="295"/>
      <c r="Q10" s="295"/>
      <c r="R10" s="295"/>
      <c r="S10" s="281" t="s">
        <v>54</v>
      </c>
      <c r="T10" s="281"/>
      <c r="U10" s="281"/>
      <c r="V10" s="281"/>
      <c r="W10" s="281"/>
      <c r="X10" s="281"/>
      <c r="Y10" s="281"/>
      <c r="Z10" s="282"/>
    </row>
    <row r="11" spans="1:26" ht="15.9" customHeight="1" x14ac:dyDescent="0.25">
      <c r="A11" s="9"/>
      <c r="B11" s="295" t="s">
        <v>15</v>
      </c>
      <c r="C11" s="295"/>
      <c r="D11" s="295"/>
      <c r="E11" s="295"/>
      <c r="F11" s="295"/>
      <c r="G11" s="295"/>
      <c r="H11" s="297" t="s">
        <v>4</v>
      </c>
      <c r="I11" s="297"/>
      <c r="J11" s="297"/>
      <c r="K11" s="297"/>
      <c r="L11" s="297"/>
      <c r="M11" s="297"/>
      <c r="N11" s="295" t="s">
        <v>16</v>
      </c>
      <c r="O11" s="295"/>
      <c r="P11" s="295"/>
      <c r="Q11" s="295"/>
      <c r="R11" s="295"/>
      <c r="S11" s="400" t="s">
        <v>17</v>
      </c>
      <c r="T11" s="400"/>
      <c r="U11" s="400"/>
      <c r="V11" s="400"/>
      <c r="W11" s="400"/>
      <c r="X11" s="400"/>
      <c r="Y11" s="400"/>
      <c r="Z11" s="12"/>
    </row>
    <row r="12" spans="1:26" ht="15.9" customHeight="1" x14ac:dyDescent="0.25">
      <c r="A12" s="9"/>
      <c r="B12" s="295" t="s">
        <v>18</v>
      </c>
      <c r="C12" s="295"/>
      <c r="D12" s="295"/>
      <c r="E12" s="295"/>
      <c r="F12" s="295"/>
      <c r="G12" s="295"/>
      <c r="H12" s="296" t="s">
        <v>56</v>
      </c>
      <c r="I12" s="296"/>
      <c r="J12" s="296"/>
      <c r="K12" s="296"/>
      <c r="L12" s="296"/>
      <c r="M12" s="296"/>
      <c r="N12" s="295" t="s">
        <v>20</v>
      </c>
      <c r="O12" s="295"/>
      <c r="P12" s="295"/>
      <c r="Q12" s="295"/>
      <c r="R12" s="295"/>
      <c r="S12" s="400" t="s">
        <v>21</v>
      </c>
      <c r="T12" s="400"/>
      <c r="U12" s="400"/>
      <c r="V12" s="400"/>
      <c r="W12" s="400"/>
      <c r="X12" s="400"/>
      <c r="Y12" s="40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306" t="s">
        <v>24</v>
      </c>
      <c r="C17" s="306"/>
      <c r="D17" s="306"/>
      <c r="E17" s="306"/>
      <c r="F17" s="306"/>
      <c r="G17" s="306"/>
      <c r="H17" s="306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28"/>
    </row>
    <row r="18" spans="1:26" s="17" customFormat="1" ht="15" customHeight="1" x14ac:dyDescent="0.25">
      <c r="A18" s="24"/>
      <c r="B18" s="306" t="s">
        <v>25</v>
      </c>
      <c r="C18" s="306"/>
      <c r="D18" s="306"/>
      <c r="E18" s="306"/>
      <c r="F18" s="306"/>
      <c r="G18" s="306"/>
      <c r="H18" s="306"/>
      <c r="I18" s="299" t="s">
        <v>26</v>
      </c>
      <c r="J18" s="299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313" t="s">
        <v>30</v>
      </c>
      <c r="K21" s="313"/>
      <c r="L21" s="313"/>
      <c r="M21" s="313"/>
      <c r="N21" s="313"/>
      <c r="O21" s="313"/>
      <c r="P21" s="313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307" t="s">
        <v>31</v>
      </c>
      <c r="C23" s="309" t="s">
        <v>32</v>
      </c>
      <c r="D23" s="309"/>
      <c r="E23" s="309"/>
      <c r="F23" s="309"/>
      <c r="G23" s="310"/>
      <c r="H23" s="303" t="s">
        <v>33</v>
      </c>
      <c r="I23" s="304"/>
      <c r="J23" s="305"/>
      <c r="K23" s="309" t="s">
        <v>34</v>
      </c>
      <c r="L23" s="309"/>
      <c r="M23" s="309"/>
      <c r="N23" s="309"/>
      <c r="O23" s="309"/>
      <c r="P23" s="310"/>
      <c r="Z23" s="11"/>
    </row>
    <row r="24" spans="1:26" ht="15.75" customHeight="1" x14ac:dyDescent="0.25">
      <c r="A24" s="9"/>
      <c r="B24" s="308"/>
      <c r="C24" s="311"/>
      <c r="D24" s="311"/>
      <c r="E24" s="311"/>
      <c r="F24" s="311"/>
      <c r="G24" s="312"/>
      <c r="H24" s="300" t="s">
        <v>35</v>
      </c>
      <c r="I24" s="301"/>
      <c r="J24" s="302"/>
      <c r="K24" s="311"/>
      <c r="L24" s="311"/>
      <c r="M24" s="311"/>
      <c r="N24" s="311"/>
      <c r="O24" s="311"/>
      <c r="P24" s="312"/>
      <c r="Z24" s="11"/>
    </row>
    <row r="25" spans="1:26" ht="19.5" customHeight="1" x14ac:dyDescent="0.25">
      <c r="A25" s="9"/>
      <c r="B25" s="45">
        <v>1</v>
      </c>
      <c r="C25" s="286" t="s">
        <v>19</v>
      </c>
      <c r="D25" s="287"/>
      <c r="E25" s="287"/>
      <c r="F25" s="287"/>
      <c r="G25" s="288"/>
      <c r="H25" s="283">
        <v>54</v>
      </c>
      <c r="I25" s="284"/>
      <c r="J25" s="285"/>
      <c r="K25" s="286" t="s">
        <v>53</v>
      </c>
      <c r="L25" s="287"/>
      <c r="M25" s="287"/>
      <c r="N25" s="287"/>
      <c r="O25" s="287"/>
      <c r="P25" s="288"/>
      <c r="Z25" s="11"/>
    </row>
    <row r="26" spans="1:26" ht="19.5" customHeight="1" x14ac:dyDescent="0.25">
      <c r="A26" s="9"/>
      <c r="B26" s="45">
        <v>2</v>
      </c>
      <c r="C26" s="289"/>
      <c r="D26" s="290"/>
      <c r="E26" s="290"/>
      <c r="F26" s="290"/>
      <c r="G26" s="291"/>
      <c r="H26" s="283">
        <v>53</v>
      </c>
      <c r="I26" s="284"/>
      <c r="J26" s="285"/>
      <c r="K26" s="289"/>
      <c r="L26" s="290"/>
      <c r="M26" s="290"/>
      <c r="N26" s="290"/>
      <c r="O26" s="290"/>
      <c r="P26" s="291"/>
      <c r="Z26" s="11"/>
    </row>
    <row r="27" spans="1:26" ht="19.5" customHeight="1" x14ac:dyDescent="0.25">
      <c r="A27" s="9"/>
      <c r="B27" s="45">
        <v>3</v>
      </c>
      <c r="C27" s="289"/>
      <c r="D27" s="290"/>
      <c r="E27" s="290"/>
      <c r="F27" s="290"/>
      <c r="G27" s="291"/>
      <c r="H27" s="283">
        <v>46</v>
      </c>
      <c r="I27" s="284"/>
      <c r="J27" s="285"/>
      <c r="K27" s="289"/>
      <c r="L27" s="290"/>
      <c r="M27" s="290"/>
      <c r="N27" s="290"/>
      <c r="O27" s="290"/>
      <c r="P27" s="291"/>
      <c r="Z27" s="11"/>
    </row>
    <row r="28" spans="1:26" ht="19.5" customHeight="1" x14ac:dyDescent="0.25">
      <c r="A28" s="9"/>
      <c r="B28" s="45">
        <v>4</v>
      </c>
      <c r="C28" s="289"/>
      <c r="D28" s="290"/>
      <c r="E28" s="290"/>
      <c r="F28" s="290"/>
      <c r="G28" s="291"/>
      <c r="H28" s="283">
        <v>46</v>
      </c>
      <c r="I28" s="284"/>
      <c r="J28" s="285"/>
      <c r="K28" s="289"/>
      <c r="L28" s="290"/>
      <c r="M28" s="290"/>
      <c r="N28" s="290"/>
      <c r="O28" s="290"/>
      <c r="P28" s="291"/>
      <c r="Z28" s="11"/>
    </row>
    <row r="29" spans="1:26" ht="19.5" customHeight="1" x14ac:dyDescent="0.25">
      <c r="A29" s="9"/>
      <c r="B29" s="45">
        <v>5</v>
      </c>
      <c r="C29" s="292"/>
      <c r="D29" s="293"/>
      <c r="E29" s="293"/>
      <c r="F29" s="293"/>
      <c r="G29" s="294"/>
      <c r="H29" s="283">
        <v>33</v>
      </c>
      <c r="I29" s="284"/>
      <c r="J29" s="285"/>
      <c r="K29" s="292"/>
      <c r="L29" s="293"/>
      <c r="M29" s="293"/>
      <c r="N29" s="293"/>
      <c r="O29" s="293"/>
      <c r="P29" s="294"/>
      <c r="Z29" s="11"/>
    </row>
    <row r="30" spans="1:26" ht="19.5" customHeight="1" x14ac:dyDescent="0.25">
      <c r="A30" s="9"/>
      <c r="B30" s="45">
        <v>6</v>
      </c>
      <c r="C30" s="286" t="s">
        <v>51</v>
      </c>
      <c r="D30" s="287"/>
      <c r="E30" s="287"/>
      <c r="F30" s="287"/>
      <c r="G30" s="288"/>
      <c r="H30" s="283">
        <v>22</v>
      </c>
      <c r="I30" s="284"/>
      <c r="J30" s="285"/>
      <c r="K30" s="286" t="s">
        <v>52</v>
      </c>
      <c r="L30" s="287"/>
      <c r="M30" s="287"/>
      <c r="N30" s="287"/>
      <c r="O30" s="287"/>
      <c r="P30" s="288"/>
      <c r="Z30" s="11"/>
    </row>
    <row r="31" spans="1:26" ht="19.5" customHeight="1" x14ac:dyDescent="0.25">
      <c r="A31" s="9"/>
      <c r="B31" s="45">
        <v>7</v>
      </c>
      <c r="C31" s="289"/>
      <c r="D31" s="290"/>
      <c r="E31" s="290"/>
      <c r="F31" s="290"/>
      <c r="G31" s="291"/>
      <c r="H31" s="283">
        <v>23</v>
      </c>
      <c r="I31" s="284"/>
      <c r="J31" s="285"/>
      <c r="K31" s="289"/>
      <c r="L31" s="290"/>
      <c r="M31" s="290"/>
      <c r="N31" s="290"/>
      <c r="O31" s="290"/>
      <c r="P31" s="291"/>
      <c r="Z31" s="11"/>
    </row>
    <row r="32" spans="1:26" ht="19.5" customHeight="1" x14ac:dyDescent="0.25">
      <c r="A32" s="9"/>
      <c r="B32" s="45">
        <v>8</v>
      </c>
      <c r="C32" s="292"/>
      <c r="D32" s="293"/>
      <c r="E32" s="293"/>
      <c r="F32" s="293"/>
      <c r="G32" s="294"/>
      <c r="H32" s="283">
        <v>31</v>
      </c>
      <c r="I32" s="284"/>
      <c r="J32" s="285"/>
      <c r="K32" s="292"/>
      <c r="L32" s="293"/>
      <c r="M32" s="293"/>
      <c r="N32" s="293"/>
      <c r="O32" s="293"/>
      <c r="P32" s="294"/>
      <c r="Z32" s="11"/>
    </row>
    <row r="33" spans="1:26" ht="19.5" customHeight="1" x14ac:dyDescent="0.25">
      <c r="A33" s="9"/>
      <c r="B33" s="72"/>
      <c r="C33" s="69"/>
      <c r="D33" s="70"/>
      <c r="E33" s="70"/>
      <c r="F33" s="70"/>
      <c r="G33" s="71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314"/>
      <c r="D54" s="315"/>
      <c r="E54" s="315"/>
      <c r="F54" s="315"/>
      <c r="G54" s="316"/>
      <c r="H54" s="401"/>
      <c r="I54" s="402"/>
      <c r="J54" s="403"/>
      <c r="K54" s="314"/>
      <c r="L54" s="315"/>
      <c r="M54" s="315"/>
      <c r="N54" s="315"/>
      <c r="O54" s="315"/>
      <c r="P54" s="316"/>
      <c r="Z54" s="11"/>
    </row>
    <row r="55" spans="1:26" ht="15.75" customHeight="1" x14ac:dyDescent="0.25">
      <c r="A55" s="9"/>
      <c r="B55" s="323" t="s">
        <v>36</v>
      </c>
      <c r="C55" s="324"/>
      <c r="D55" s="324"/>
      <c r="E55" s="324"/>
      <c r="F55" s="324"/>
      <c r="G55" s="325"/>
      <c r="H55" s="407">
        <f>AVERAGE(H25:J54)</f>
        <v>38.5</v>
      </c>
      <c r="I55" s="408"/>
      <c r="J55" s="409"/>
      <c r="K55" s="418" t="s">
        <v>37</v>
      </c>
      <c r="L55" s="419"/>
      <c r="M55" s="413" t="s">
        <v>38</v>
      </c>
      <c r="N55" s="413"/>
      <c r="O55" s="413"/>
      <c r="P55" s="414"/>
      <c r="Z55" s="11"/>
    </row>
    <row r="56" spans="1:26" ht="15.75" customHeight="1" x14ac:dyDescent="0.25">
      <c r="A56" s="9"/>
      <c r="B56" s="317" t="s">
        <v>39</v>
      </c>
      <c r="C56" s="318"/>
      <c r="D56" s="318"/>
      <c r="E56" s="318"/>
      <c r="F56" s="318"/>
      <c r="G56" s="319"/>
      <c r="H56" s="410">
        <f>IF(COUNTIF(H25:J54,"*&lt;20*"),"&lt;20",MIN(H25:J54))</f>
        <v>22</v>
      </c>
      <c r="I56" s="411"/>
      <c r="J56" s="412"/>
      <c r="K56" s="289"/>
      <c r="L56" s="290"/>
      <c r="M56" s="298"/>
      <c r="N56" s="298"/>
      <c r="O56" s="298"/>
      <c r="P56" s="415"/>
      <c r="Z56" s="11"/>
    </row>
    <row r="57" spans="1:26" ht="15.75" customHeight="1" x14ac:dyDescent="0.25">
      <c r="A57" s="9"/>
      <c r="B57" s="320" t="s">
        <v>40</v>
      </c>
      <c r="C57" s="321"/>
      <c r="D57" s="321"/>
      <c r="E57" s="321"/>
      <c r="F57" s="321"/>
      <c r="G57" s="322"/>
      <c r="H57" s="404">
        <f>IF(COUNTIF(H25:J54,"*&gt;250*"),"&gt;250",MAX(H25:J54))</f>
        <v>54</v>
      </c>
      <c r="I57" s="405"/>
      <c r="J57" s="406"/>
      <c r="K57" s="420"/>
      <c r="L57" s="421"/>
      <c r="M57" s="416"/>
      <c r="N57" s="416"/>
      <c r="O57" s="416"/>
      <c r="P57" s="417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353" t="s">
        <v>43</v>
      </c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5"/>
      <c r="R61" s="347" t="s">
        <v>44</v>
      </c>
      <c r="S61" s="348"/>
      <c r="T61" s="349"/>
      <c r="U61" s="326" t="s">
        <v>13</v>
      </c>
      <c r="V61" s="327"/>
      <c r="W61" s="327"/>
      <c r="X61" s="328"/>
      <c r="Y61" s="328"/>
      <c r="Z61" s="329"/>
    </row>
    <row r="62" spans="1:26" s="17" customFormat="1" ht="15.6" customHeight="1" x14ac:dyDescent="0.25">
      <c r="A62" s="356" t="s">
        <v>45</v>
      </c>
      <c r="B62" s="357"/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357"/>
      <c r="N62" s="357"/>
      <c r="O62" s="357"/>
      <c r="P62" s="357"/>
      <c r="Q62" s="358"/>
      <c r="R62" s="347" t="s">
        <v>46</v>
      </c>
      <c r="S62" s="348"/>
      <c r="T62" s="349"/>
      <c r="U62" s="330" t="s">
        <v>47</v>
      </c>
      <c r="V62" s="331"/>
      <c r="W62" s="331"/>
      <c r="X62" s="332"/>
      <c r="Y62" s="332"/>
      <c r="Z62" s="333"/>
    </row>
    <row r="63" spans="1:26" s="17" customFormat="1" ht="15.6" customHeight="1" x14ac:dyDescent="0.25">
      <c r="A63" s="359"/>
      <c r="B63" s="360"/>
      <c r="C63" s="360"/>
      <c r="D63" s="360"/>
      <c r="E63" s="360"/>
      <c r="F63" s="360"/>
      <c r="G63" s="360"/>
      <c r="H63" s="360"/>
      <c r="I63" s="360"/>
      <c r="J63" s="360"/>
      <c r="K63" s="360"/>
      <c r="L63" s="360"/>
      <c r="M63" s="360"/>
      <c r="N63" s="360"/>
      <c r="O63" s="360"/>
      <c r="P63" s="360"/>
      <c r="Q63" s="361"/>
      <c r="R63" s="347"/>
      <c r="S63" s="348"/>
      <c r="T63" s="349"/>
      <c r="U63" s="334"/>
      <c r="V63" s="298"/>
      <c r="W63" s="298"/>
      <c r="X63" s="335"/>
      <c r="Y63" s="335"/>
      <c r="Z63" s="336"/>
    </row>
    <row r="64" spans="1:26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347"/>
      <c r="S64" s="348"/>
      <c r="T64" s="349"/>
      <c r="U64" s="337"/>
      <c r="V64" s="338"/>
      <c r="W64" s="338"/>
      <c r="X64" s="339"/>
      <c r="Y64" s="339"/>
      <c r="Z64" s="340"/>
    </row>
    <row r="65" spans="1:26" s="17" customFormat="1" ht="15.6" customHeight="1" x14ac:dyDescent="0.25">
      <c r="A65" s="341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3"/>
      <c r="R65" s="347" t="s">
        <v>50</v>
      </c>
      <c r="S65" s="348"/>
      <c r="T65" s="349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341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3"/>
      <c r="R66" s="347"/>
      <c r="S66" s="348"/>
      <c r="T66" s="349"/>
      <c r="U66" s="61"/>
      <c r="V66" s="298"/>
      <c r="W66" s="298"/>
      <c r="X66" s="298"/>
      <c r="Y66" s="298"/>
      <c r="Z66" s="62"/>
    </row>
    <row r="67" spans="1:26" s="17" customFormat="1" ht="15.6" customHeight="1" x14ac:dyDescent="0.25">
      <c r="A67" s="341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3"/>
      <c r="R67" s="347"/>
      <c r="S67" s="348"/>
      <c r="T67" s="349"/>
      <c r="U67" s="61"/>
      <c r="V67" s="298"/>
      <c r="W67" s="298"/>
      <c r="X67" s="298"/>
      <c r="Y67" s="298"/>
      <c r="Z67" s="62"/>
    </row>
    <row r="68" spans="1:26" s="17" customFormat="1" ht="15.6" customHeight="1" x14ac:dyDescent="0.25">
      <c r="A68" s="344"/>
      <c r="B68" s="345"/>
      <c r="C68" s="345"/>
      <c r="D68" s="345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/>
      <c r="Q68" s="346"/>
      <c r="R68" s="350"/>
      <c r="S68" s="351"/>
      <c r="T68" s="352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M55:P57"/>
    <mergeCell ref="K55:L57"/>
    <mergeCell ref="S12:Y12"/>
    <mergeCell ref="K23:P24"/>
    <mergeCell ref="I17:Y17"/>
    <mergeCell ref="A1:F6"/>
    <mergeCell ref="G1:T1"/>
    <mergeCell ref="B10:G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R65:T68"/>
    <mergeCell ref="A61:Q61"/>
    <mergeCell ref="R61:T61"/>
    <mergeCell ref="A62:Q63"/>
    <mergeCell ref="R62:T64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A65:Q68"/>
    <mergeCell ref="S10:Z10"/>
    <mergeCell ref="H32:J32"/>
    <mergeCell ref="C30:G32"/>
    <mergeCell ref="C25:G29"/>
    <mergeCell ref="K25:P29"/>
    <mergeCell ref="K30:P32"/>
    <mergeCell ref="H30:J30"/>
    <mergeCell ref="H31:J31"/>
    <mergeCell ref="H28:J28"/>
    <mergeCell ref="H29:J29"/>
    <mergeCell ref="N12:R12"/>
    <mergeCell ref="H12:M12"/>
    <mergeCell ref="H11:M11"/>
    <mergeCell ref="N11:R11"/>
    <mergeCell ref="H26:J26"/>
    <mergeCell ref="H27:J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171125 CDF voirie</vt:lpstr>
      <vt:lpstr>031125 CdF Voirie</vt:lpstr>
      <vt:lpstr>290425 PF Foreuse</vt:lpstr>
      <vt:lpstr>'031125 CdF Voirie'!Zone_d_impression</vt:lpstr>
      <vt:lpstr>'171125 CDF voirie'!Zone_d_impression</vt:lpstr>
      <vt:lpstr>'290425 PF Foreuse'!Zone_d_impression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2025-11-17T11:32:11Z</cp:lastPrinted>
  <dcterms:created xsi:type="dcterms:W3CDTF">2004-11-13T18:13:05Z</dcterms:created>
  <dcterms:modified xsi:type="dcterms:W3CDTF">2025-11-17T11:32:17Z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