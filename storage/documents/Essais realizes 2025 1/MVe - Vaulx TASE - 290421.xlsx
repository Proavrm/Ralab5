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1\69\RA J10C  Vaulx en Velin - Tase\Essais de Laboratoire\Enrobés\Campagne du 290421\"/>
    </mc:Choice>
  </mc:AlternateContent>
  <xr:revisionPtr revIDLastSave="0" documentId="13_ncr:1_{D2FBCB75-F28A-4957-A156-C6CD90AF557F}" xr6:coauthVersionLast="46" xr6:coauthVersionMax="46" xr10:uidLastSave="{00000000-0000-0000-0000-000000000000}"/>
  <bookViews>
    <workbookView xWindow="47880" yWindow="-120" windowWidth="29040" windowHeight="16440" activeTab="1" xr2:uid="{00000000-000D-0000-FFFF-FFFF00000000}"/>
  </bookViews>
  <sheets>
    <sheet name="GB" sheetId="3" r:id="rId1"/>
    <sheet name="BBSG" sheetId="4" r:id="rId2"/>
  </sheets>
  <definedNames>
    <definedName name="_xlnm.Print_Area" localSheetId="1">BBSG!$A$1:$Z$62</definedName>
    <definedName name="_xlnm.Print_Area" localSheetId="0">GB!$A$1:$Z$62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7" i="4" l="1"/>
  <c r="Q37" i="4" s="1"/>
  <c r="T37" i="4" s="1"/>
  <c r="N38" i="4"/>
  <c r="Q38" i="4" s="1"/>
  <c r="T38" i="4" s="1"/>
  <c r="N39" i="4"/>
  <c r="Q39" i="4" s="1"/>
  <c r="T39" i="4" s="1"/>
  <c r="N40" i="4"/>
  <c r="Q40" i="4" s="1"/>
  <c r="T40" i="4" s="1"/>
  <c r="N41" i="4"/>
  <c r="Q41" i="4" s="1"/>
  <c r="T41" i="4" s="1"/>
  <c r="N42" i="4"/>
  <c r="Q42" i="4" s="1"/>
  <c r="T42" i="4" s="1"/>
  <c r="N43" i="4"/>
  <c r="Q43" i="4" s="1"/>
  <c r="T43" i="4" s="1"/>
  <c r="N44" i="4"/>
  <c r="Q44" i="4" s="1"/>
  <c r="T44" i="4" s="1"/>
  <c r="N45" i="4"/>
  <c r="Q45" i="4" s="1"/>
  <c r="T45" i="4" s="1"/>
  <c r="N46" i="4"/>
  <c r="Q46" i="4" s="1"/>
  <c r="T46" i="4" s="1"/>
  <c r="AD35" i="4"/>
  <c r="AD36" i="4"/>
  <c r="N47" i="4"/>
  <c r="Q47" i="4" s="1"/>
  <c r="T47" i="4" s="1"/>
  <c r="AD47" i="4"/>
  <c r="N48" i="4"/>
  <c r="Q48" i="4" s="1"/>
  <c r="T48" i="4" s="1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35" i="3"/>
  <c r="AD36" i="3"/>
  <c r="N37" i="3"/>
  <c r="Q37" i="3" s="1"/>
  <c r="T37" i="3" s="1"/>
  <c r="N38" i="3"/>
  <c r="Q38" i="3" s="1"/>
  <c r="T38" i="3" s="1"/>
  <c r="N39" i="3"/>
  <c r="Q39" i="3" s="1"/>
  <c r="T39" i="3" s="1"/>
  <c r="N40" i="3"/>
  <c r="Q40" i="3" s="1"/>
  <c r="T40" i="3" s="1"/>
  <c r="N41" i="3"/>
  <c r="Q41" i="3" s="1"/>
  <c r="T41" i="3" s="1"/>
  <c r="N42" i="3"/>
  <c r="Q42" i="3" s="1"/>
  <c r="T42" i="3" s="1"/>
  <c r="N43" i="3"/>
  <c r="Q43" i="3" s="1"/>
  <c r="T43" i="3" s="1"/>
  <c r="N44" i="3"/>
  <c r="Q44" i="3" s="1"/>
  <c r="T44" i="3" s="1"/>
  <c r="N45" i="3"/>
  <c r="Q45" i="3" s="1"/>
  <c r="T45" i="3" s="1"/>
  <c r="N46" i="3"/>
  <c r="Q46" i="3" s="1"/>
  <c r="T46" i="3" s="1"/>
  <c r="N47" i="3"/>
  <c r="Q47" i="3" s="1"/>
  <c r="T47" i="3" s="1"/>
  <c r="AD37" i="3"/>
  <c r="N48" i="3"/>
  <c r="Q48" i="3" s="1"/>
  <c r="T48" i="3" s="1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F27" i="3" l="1"/>
  <c r="N35" i="3" s="1"/>
  <c r="Q35" i="3" s="1"/>
  <c r="T35" i="3" s="1"/>
  <c r="F27" i="4"/>
  <c r="N35" i="4" s="1"/>
  <c r="Q35" i="4" s="1"/>
  <c r="T35" i="4" s="1"/>
  <c r="N36" i="4" l="1"/>
  <c r="Q36" i="4" s="1"/>
  <c r="T36" i="4" s="1"/>
  <c r="N36" i="3"/>
  <c r="Q36" i="3" s="1"/>
  <c r="T36" i="3" s="1"/>
</calcChain>
</file>

<file path=xl/sharedStrings.xml><?xml version="1.0" encoding="utf-8"?>
<sst xmlns="http://schemas.openxmlformats.org/spreadsheetml/2006/main" count="142" uniqueCount="67">
  <si>
    <t>COMPTE RENDU D'ESSAIS</t>
  </si>
  <si>
    <t>MASSE VOLUMIQUE DES ENROBES
(NF EN 12697-6-A1)</t>
  </si>
  <si>
    <t>n°</t>
  </si>
  <si>
    <t>Chrono</t>
  </si>
  <si>
    <t>N° d'affaire</t>
  </si>
  <si>
    <t>Date de rédaction</t>
  </si>
  <si>
    <t>Laboratoire :</t>
  </si>
  <si>
    <t>Laboratoire Rhône-Alpes - 29-31 rue des Tâches - ZI mi-plaine - 69800 SAINT PRIEST</t>
  </si>
  <si>
    <t>1/</t>
  </si>
  <si>
    <t>RENSEIGNEMENTS GENERAUX</t>
  </si>
  <si>
    <t>Sylvain LHOPITAL</t>
  </si>
  <si>
    <t>Opérateur :</t>
  </si>
  <si>
    <t>Nature du produit :</t>
  </si>
  <si>
    <t>BBSG 0/10 Classe 3</t>
  </si>
  <si>
    <t>Date de(s) prélèvement(s) :</t>
  </si>
  <si>
    <t>Provenance :</t>
  </si>
  <si>
    <t>P2R</t>
  </si>
  <si>
    <t>Date de(s) essai(s) :</t>
  </si>
  <si>
    <t>Couche :</t>
  </si>
  <si>
    <t>Roulement</t>
  </si>
  <si>
    <t>2/</t>
  </si>
  <si>
    <t>CRITERES DE CONFORMITE</t>
  </si>
  <si>
    <t>Source des critères :</t>
  </si>
  <si>
    <t>Définition des critères / objectifs :</t>
  </si>
  <si>
    <t>3/</t>
  </si>
  <si>
    <t>RESULTATS DES ESSAIS</t>
  </si>
  <si>
    <t>Température mesurée de l'eau :
(±1 - °C)</t>
  </si>
  <si>
    <t>°C</t>
  </si>
  <si>
    <t xml:space="preserve">Masse volumique de la paraffine: </t>
  </si>
  <si>
    <t>Masse volumique de l'eau :</t>
  </si>
  <si>
    <t>kg/m3</t>
  </si>
  <si>
    <t>MVR :</t>
  </si>
  <si>
    <t>Référence de l'éprouvette</t>
  </si>
  <si>
    <t>Masse séche
(g)</t>
  </si>
  <si>
    <t>Masse sèche paraffinée
(g)</t>
  </si>
  <si>
    <t>Masse dans l'eau
(g)</t>
  </si>
  <si>
    <t>Compacité %</t>
  </si>
  <si>
    <t>% vides</t>
  </si>
  <si>
    <t>Hauteur de l'éprouvette (cm)</t>
  </si>
  <si>
    <t>Température mesurée au 1°C</t>
  </si>
  <si>
    <t>Facteur de correction K</t>
  </si>
  <si>
    <t>Facteur de correction à utiliser</t>
  </si>
  <si>
    <t>4/</t>
  </si>
  <si>
    <t>CONCLUSIONS</t>
  </si>
  <si>
    <t>Contrôle</t>
  </si>
  <si>
    <t>Nom</t>
  </si>
  <si>
    <t>Fonction</t>
  </si>
  <si>
    <t>Chef de section laboratoire</t>
  </si>
  <si>
    <t>7/</t>
  </si>
  <si>
    <t>COMMENTAIRES</t>
  </si>
  <si>
    <t>Visa</t>
  </si>
  <si>
    <t>RA J10C</t>
  </si>
  <si>
    <t>Vaulx en Velin
TASE</t>
  </si>
  <si>
    <t>SC1 Fondation</t>
  </si>
  <si>
    <t>SC2 Fondation</t>
  </si>
  <si>
    <r>
      <t>Masse volumique de l'éprouvette
(kg/m</t>
    </r>
    <r>
      <rPr>
        <b/>
        <vertAlign val="superscript"/>
        <sz val="10"/>
        <color rgb="FF000000"/>
        <rFont val="Century Gothic"/>
        <family val="2"/>
      </rPr>
      <t>3)</t>
    </r>
  </si>
  <si>
    <r>
      <t>kg/m</t>
    </r>
    <r>
      <rPr>
        <b/>
        <vertAlign val="superscript"/>
        <sz val="10"/>
        <color rgb="FF000000"/>
        <rFont val="Century Gothic"/>
        <family val="2"/>
      </rPr>
      <t>3</t>
    </r>
  </si>
  <si>
    <t>Fondation</t>
  </si>
  <si>
    <t>03/05/2021</t>
  </si>
  <si>
    <t>GB 0/14 Classe 3</t>
  </si>
  <si>
    <t>29/04/2021</t>
  </si>
  <si>
    <t>SC1 Roulement</t>
  </si>
  <si>
    <t>SC2 Roulement</t>
  </si>
  <si>
    <t>Conforme</t>
  </si>
  <si>
    <r>
      <t xml:space="preserve">4 </t>
    </r>
    <r>
      <rPr>
        <sz val="11"/>
        <color rgb="FF000000"/>
        <rFont val="Calibri"/>
        <family val="2"/>
      </rPr>
      <t>≤</t>
    </r>
    <r>
      <rPr>
        <sz val="11"/>
        <color rgb="FF000000"/>
        <rFont val="Century Gothic"/>
        <family val="2"/>
      </rPr>
      <t xml:space="preserve"> %vides </t>
    </r>
    <r>
      <rPr>
        <sz val="11"/>
        <color rgb="FF000000"/>
        <rFont val="Calibri"/>
        <family val="2"/>
      </rPr>
      <t>≤</t>
    </r>
    <r>
      <rPr>
        <sz val="11"/>
        <color rgb="FF000000"/>
        <rFont val="Century Gothic"/>
        <family val="2"/>
      </rPr>
      <t xml:space="preserve"> 8</t>
    </r>
  </si>
  <si>
    <r>
      <t xml:space="preserve">%vides </t>
    </r>
    <r>
      <rPr>
        <sz val="11"/>
        <color rgb="FF000000"/>
        <rFont val="Calibri"/>
        <family val="2"/>
      </rPr>
      <t>≤</t>
    </r>
    <r>
      <rPr>
        <sz val="11"/>
        <color rgb="FF000000"/>
        <rFont val="Century Gothic"/>
        <family val="2"/>
      </rPr>
      <t xml:space="preserve"> 9</t>
    </r>
  </si>
  <si>
    <t>Eprouvettes recoupées (sciage de préparation)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</si>
</sst>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0"/>
  </numFmts>
  <fonts count="18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sz val="11"/>
      <color rgb="FF000000"/>
      <name val="Calibri"/>
      <family val="2"/>
    </font>
    <font>
      <b/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vertAlign val="superscript"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0" fillId="0" borderId="0" xfId="0"/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164" fontId="6" fillId="0" borderId="8" xfId="0" applyNumberFormat="1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164" fontId="6" fillId="0" borderId="7" xfId="0" applyNumberFormat="1" applyFont="1" applyBorder="1" applyAlignment="1" applyProtection="1">
      <alignment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Protection="1">
      <protection hidden="1"/>
    </xf>
    <xf numFmtId="164" fontId="6" fillId="0" borderId="0" xfId="0" applyNumberFormat="1" applyFont="1" applyAlignment="1" applyProtection="1">
      <alignment horizontal="center" vertical="center"/>
      <protection hidden="1"/>
    </xf>
    <xf numFmtId="0" fontId="8" fillId="0" borderId="7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6" xfId="0" applyFont="1" applyBorder="1" applyAlignment="1" applyProtection="1">
      <alignment horizontal="center" vertical="center"/>
      <protection hidden="1"/>
    </xf>
    <xf numFmtId="0" fontId="11" fillId="0" borderId="0" xfId="0" applyFont="1"/>
    <xf numFmtId="0" fontId="6" fillId="0" borderId="4" xfId="0" applyFont="1" applyBorder="1" applyAlignment="1" applyProtection="1">
      <alignment vertical="center"/>
      <protection hidden="1"/>
    </xf>
    <xf numFmtId="0" fontId="6" fillId="0" borderId="10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0" fillId="0" borderId="9" xfId="0" applyFont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hidden="1"/>
    </xf>
    <xf numFmtId="0" fontId="14" fillId="0" borderId="2" xfId="0" applyFont="1" applyBorder="1" applyAlignment="1" applyProtection="1">
      <alignment vertical="center"/>
      <protection hidden="1"/>
    </xf>
    <xf numFmtId="0" fontId="14" fillId="0" borderId="1" xfId="0" applyFont="1" applyBorder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vertical="center"/>
      <protection hidden="1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6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right" wrapText="1"/>
    </xf>
    <xf numFmtId="0" fontId="6" fillId="0" borderId="5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6" fillId="0" borderId="8" xfId="0" applyFont="1" applyBorder="1" applyProtection="1">
      <protection hidden="1"/>
    </xf>
    <xf numFmtId="0" fontId="6" fillId="0" borderId="2" xfId="0" applyFont="1" applyBorder="1" applyProtection="1">
      <protection hidden="1"/>
    </xf>
    <xf numFmtId="0" fontId="6" fillId="0" borderId="1" xfId="0" applyFont="1" applyBorder="1" applyProtection="1">
      <protection hidden="1"/>
    </xf>
    <xf numFmtId="0" fontId="8" fillId="0" borderId="7" xfId="0" applyFont="1" applyBorder="1" applyAlignment="1" applyProtection="1">
      <alignment horizontal="left"/>
      <protection hidden="1"/>
    </xf>
    <xf numFmtId="0" fontId="5" fillId="0" borderId="6" xfId="0" applyFont="1" applyBorder="1" applyProtection="1">
      <protection hidden="1"/>
    </xf>
    <xf numFmtId="0" fontId="6" fillId="0" borderId="7" xfId="0" applyFont="1" applyBorder="1" applyProtection="1">
      <protection hidden="1"/>
    </xf>
    <xf numFmtId="0" fontId="5" fillId="0" borderId="0" xfId="0" applyFont="1" applyProtection="1">
      <protection hidden="1"/>
    </xf>
    <xf numFmtId="0" fontId="12" fillId="0" borderId="0" xfId="0" applyFont="1" applyProtection="1">
      <protection hidden="1"/>
    </xf>
    <xf numFmtId="0" fontId="6" fillId="0" borderId="5" xfId="0" applyFont="1" applyBorder="1" applyProtection="1">
      <protection hidden="1"/>
    </xf>
    <xf numFmtId="0" fontId="6" fillId="0" borderId="4" xfId="0" applyFont="1" applyBorder="1" applyProtection="1">
      <protection hidden="1"/>
    </xf>
    <xf numFmtId="0" fontId="5" fillId="0" borderId="4" xfId="0" applyFont="1" applyBorder="1" applyProtection="1">
      <protection hidden="1"/>
    </xf>
    <xf numFmtId="0" fontId="7" fillId="0" borderId="4" xfId="0" applyFont="1" applyBorder="1" applyProtection="1">
      <protection hidden="1"/>
    </xf>
    <xf numFmtId="0" fontId="12" fillId="0" borderId="3" xfId="0" applyFont="1" applyBorder="1" applyAlignment="1" applyProtection="1">
      <alignment horizontal="center" vertical="center"/>
      <protection hidden="1"/>
    </xf>
    <xf numFmtId="14" fontId="12" fillId="0" borderId="0" xfId="0" applyNumberFormat="1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right"/>
      <protection hidden="1"/>
    </xf>
    <xf numFmtId="0" fontId="9" fillId="0" borderId="0" xfId="0" applyFont="1" applyAlignment="1" applyProtection="1">
      <alignment horizontal="right"/>
      <protection hidden="1"/>
    </xf>
    <xf numFmtId="0" fontId="6" fillId="0" borderId="2" xfId="0" applyFont="1" applyBorder="1" applyAlignment="1" applyProtection="1">
      <alignment horizontal="left" vertical="center"/>
      <protection hidden="1"/>
    </xf>
    <xf numFmtId="0" fontId="8" fillId="0" borderId="7" xfId="0" applyFont="1" applyBorder="1" applyAlignment="1" applyProtection="1">
      <alignment horizontal="left" vertical="center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6" fillId="0" borderId="1" xfId="0" applyFont="1" applyBorder="1" applyAlignment="1" applyProtection="1">
      <alignment vertical="center"/>
      <protection hidden="1"/>
    </xf>
    <xf numFmtId="0" fontId="6" fillId="0" borderId="0" xfId="0" applyFont="1" applyAlignment="1" applyProtection="1">
      <alignment horizontal="right" vertical="center"/>
      <protection hidden="1"/>
    </xf>
    <xf numFmtId="165" fontId="5" fillId="0" borderId="16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2" fillId="0" borderId="7" xfId="0" applyNumberFormat="1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14" fontId="12" fillId="0" borderId="6" xfId="0" applyNumberFormat="1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14" fontId="12" fillId="0" borderId="7" xfId="0" applyNumberFormat="1" applyFont="1" applyBorder="1" applyAlignment="1" applyProtection="1">
      <alignment horizontal="center" vertical="center"/>
      <protection locked="0"/>
    </xf>
    <xf numFmtId="0" fontId="17" fillId="0" borderId="2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hidden="1"/>
    </xf>
    <xf numFmtId="0" fontId="17" fillId="0" borderId="8" xfId="0" applyFont="1" applyBorder="1" applyAlignment="1" applyProtection="1">
      <alignment horizontal="center" vertical="center"/>
      <protection hidden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14" fontId="5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/>
      <protection hidden="1"/>
    </xf>
    <xf numFmtId="0" fontId="12" fillId="0" borderId="11" xfId="0" applyFont="1" applyBorder="1" applyAlignment="1" applyProtection="1">
      <alignment horizontal="center" vertical="center"/>
      <protection hidden="1"/>
    </xf>
    <xf numFmtId="0" fontId="8" fillId="0" borderId="11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 wrapText="1"/>
      <protection hidden="1"/>
    </xf>
    <xf numFmtId="0" fontId="6" fillId="0" borderId="5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7" xfId="0" applyFont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14" fillId="0" borderId="3" xfId="0" applyFont="1" applyBorder="1" applyAlignment="1" applyProtection="1">
      <alignment horizontal="center" vertical="center"/>
      <protection hidden="1"/>
    </xf>
    <xf numFmtId="0" fontId="14" fillId="0" borderId="4" xfId="0" applyFont="1" applyBorder="1" applyAlignment="1" applyProtection="1">
      <alignment horizontal="center" vertical="center"/>
      <protection hidden="1"/>
    </xf>
    <xf numFmtId="0" fontId="14" fillId="0" borderId="5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16" fillId="0" borderId="6" xfId="0" applyFont="1" applyBorder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16" fillId="0" borderId="7" xfId="0" applyFont="1" applyBorder="1" applyAlignment="1" applyProtection="1">
      <alignment horizontal="center" vertical="center" wrapText="1"/>
      <protection hidden="1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1" xfId="0" applyFont="1" applyBorder="1" applyAlignment="1" applyProtection="1">
      <alignment horizontal="center" vertical="center" wrapText="1"/>
      <protection hidden="1"/>
    </xf>
    <xf numFmtId="0" fontId="6" fillId="0" borderId="11" xfId="0" applyFont="1" applyBorder="1" applyAlignment="1" applyProtection="1">
      <alignment horizontal="center" vertical="center" wrapText="1"/>
      <protection hidden="1"/>
    </xf>
    <xf numFmtId="0" fontId="6" fillId="0" borderId="17" xfId="0" applyFont="1" applyBorder="1" applyAlignment="1" applyProtection="1">
      <alignment horizontal="center" vertical="center" wrapText="1"/>
      <protection hidden="1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165" fontId="5" fillId="0" borderId="12" xfId="0" applyNumberFormat="1" applyFont="1" applyBorder="1" applyAlignment="1">
      <alignment horizontal="center" vertical="center"/>
    </xf>
    <xf numFmtId="0" fontId="3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165" fontId="14" fillId="0" borderId="4" xfId="0" applyNumberFormat="1" applyFont="1" applyBorder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6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29" xfId="0" applyFont="1" applyBorder="1" applyAlignment="1" applyProtection="1">
      <alignment horizontal="center" vertical="center"/>
      <protection hidden="1"/>
    </xf>
    <xf numFmtId="0" fontId="12" fillId="0" borderId="30" xfId="0" applyFont="1" applyBorder="1" applyAlignment="1" applyProtection="1">
      <alignment horizontal="center" vertical="center"/>
      <protection hidden="1"/>
    </xf>
    <xf numFmtId="0" fontId="12" fillId="0" borderId="31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6" fontId="2" fillId="0" borderId="0" xfId="0" applyNumberFormat="1" applyFont="1" applyAlignment="1" applyProtection="1">
      <alignment horizontal="center" vertical="center"/>
      <protection locked="0"/>
    </xf>
    <xf numFmtId="166" fontId="2" fillId="0" borderId="7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89150B6-E195-4436-9E81-5AB714A0D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" y="342900"/>
          <a:ext cx="131445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93347</xdr:colOff>
      <xdr:row>58</xdr:row>
      <xdr:rowOff>20957</xdr:rowOff>
    </xdr:from>
    <xdr:to>
      <xdr:col>25</xdr:col>
      <xdr:colOff>152908</xdr:colOff>
      <xdr:row>61</xdr:row>
      <xdr:rowOff>173356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E2E0B90-1D60-45C9-87B8-FD6D49599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5657" y="12847322"/>
          <a:ext cx="1817876" cy="723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</xdr:row>
      <xdr:rowOff>0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AB54CDA-F562-4C11-A2C2-25EE223CD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390" y="342900"/>
          <a:ext cx="131445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93347</xdr:colOff>
      <xdr:row>58</xdr:row>
      <xdr:rowOff>20957</xdr:rowOff>
    </xdr:from>
    <xdr:to>
      <xdr:col>25</xdr:col>
      <xdr:colOff>152908</xdr:colOff>
      <xdr:row>61</xdr:row>
      <xdr:rowOff>173356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A38FE3B-C920-471D-9E6B-860A80977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5657" y="12847322"/>
          <a:ext cx="1817876" cy="731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6F4C-0696-47A9-8FF4-8BEA509E45BE}">
  <sheetPr>
    <pageSetUpPr fitToPage="1"/>
  </sheetPr>
  <dimension ref="A1:AF62"/>
  <sheetViews>
    <sheetView topLeftCell="A46" workbookViewId="0">
      <selection activeCell="L70" sqref="L70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0" customWidth="1"/>
    <col min="27" max="27" width="20" style="10" customWidth="1"/>
    <col min="28" max="28" width="28.109375" style="10" customWidth="1"/>
    <col min="29" max="29" width="22.88671875" style="10" customWidth="1"/>
    <col min="30" max="30" width="29.33203125" style="10" customWidth="1"/>
    <col min="31" max="31" width="11.44140625" style="10"/>
    <col min="32" max="16384" width="11.44140625" style="9"/>
  </cols>
  <sheetData>
    <row r="1" spans="1:32" ht="12.75" customHeight="1" x14ac:dyDescent="0.25">
      <c r="A1" s="118"/>
      <c r="B1" s="119"/>
      <c r="C1" s="119"/>
      <c r="D1" s="119"/>
      <c r="E1" s="119"/>
      <c r="F1" s="120"/>
      <c r="G1" s="127" t="s">
        <v>0</v>
      </c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9"/>
      <c r="U1" s="130" t="s">
        <v>52</v>
      </c>
      <c r="V1" s="131"/>
      <c r="W1" s="131"/>
      <c r="X1" s="131"/>
      <c r="Y1" s="131"/>
      <c r="Z1" s="132"/>
    </row>
    <row r="2" spans="1:32" ht="12.75" customHeight="1" x14ac:dyDescent="0.3">
      <c r="A2" s="121"/>
      <c r="B2" s="122"/>
      <c r="C2" s="122"/>
      <c r="D2" s="122"/>
      <c r="E2" s="122"/>
      <c r="F2" s="123"/>
      <c r="G2" s="139" t="s">
        <v>1</v>
      </c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1"/>
      <c r="U2" s="133"/>
      <c r="V2" s="134"/>
      <c r="W2" s="134"/>
      <c r="X2" s="134"/>
      <c r="Y2" s="134"/>
      <c r="Z2" s="135"/>
      <c r="AA2" s="23"/>
      <c r="AB2" s="23"/>
    </row>
    <row r="3" spans="1:32" ht="12.75" customHeight="1" x14ac:dyDescent="0.3">
      <c r="A3" s="121"/>
      <c r="B3" s="122"/>
      <c r="C3" s="122"/>
      <c r="D3" s="122"/>
      <c r="E3" s="122"/>
      <c r="F3" s="123"/>
      <c r="G3" s="139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1"/>
      <c r="U3" s="133"/>
      <c r="V3" s="134"/>
      <c r="W3" s="134"/>
      <c r="X3" s="134"/>
      <c r="Y3" s="134"/>
      <c r="Z3" s="135"/>
      <c r="AA3" s="23"/>
      <c r="AB3" s="23"/>
    </row>
    <row r="4" spans="1:32" ht="12.75" customHeight="1" x14ac:dyDescent="0.3">
      <c r="A4" s="121"/>
      <c r="B4" s="122"/>
      <c r="C4" s="122"/>
      <c r="D4" s="122"/>
      <c r="E4" s="122"/>
      <c r="F4" s="123"/>
      <c r="G4" s="139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33"/>
      <c r="V4" s="134"/>
      <c r="W4" s="134"/>
      <c r="X4" s="134"/>
      <c r="Y4" s="134"/>
      <c r="Z4" s="135"/>
      <c r="AA4" s="23"/>
      <c r="AB4" s="23"/>
    </row>
    <row r="5" spans="1:32" ht="12.75" customHeight="1" x14ac:dyDescent="0.3">
      <c r="A5" s="121"/>
      <c r="B5" s="122"/>
      <c r="C5" s="122"/>
      <c r="D5" s="122"/>
      <c r="E5" s="122"/>
      <c r="F5" s="123"/>
      <c r="G5" s="78"/>
      <c r="H5" s="79"/>
      <c r="I5" s="72" t="s">
        <v>2</v>
      </c>
      <c r="J5" s="80">
        <v>2</v>
      </c>
      <c r="K5" s="81"/>
      <c r="L5" s="82" t="s">
        <v>51</v>
      </c>
      <c r="M5" s="83"/>
      <c r="N5" s="83"/>
      <c r="O5" s="84"/>
      <c r="P5" s="85" t="s">
        <v>58</v>
      </c>
      <c r="Q5" s="86"/>
      <c r="R5" s="86"/>
      <c r="S5" s="86"/>
      <c r="T5" s="87"/>
      <c r="U5" s="133"/>
      <c r="V5" s="134"/>
      <c r="W5" s="134"/>
      <c r="X5" s="134"/>
      <c r="Y5" s="134"/>
      <c r="Z5" s="135"/>
      <c r="AA5" s="23"/>
      <c r="AB5" s="23"/>
    </row>
    <row r="6" spans="1:32" ht="12.75" customHeight="1" x14ac:dyDescent="0.25">
      <c r="A6" s="124"/>
      <c r="B6" s="125"/>
      <c r="C6" s="125"/>
      <c r="D6" s="125"/>
      <c r="E6" s="125"/>
      <c r="F6" s="126"/>
      <c r="G6" s="71"/>
      <c r="H6" s="32"/>
      <c r="I6" s="32"/>
      <c r="J6" s="88" t="s">
        <v>3</v>
      </c>
      <c r="K6" s="88"/>
      <c r="L6" s="88" t="s">
        <v>4</v>
      </c>
      <c r="M6" s="88"/>
      <c r="N6" s="88"/>
      <c r="O6" s="88"/>
      <c r="P6" s="88" t="s">
        <v>5</v>
      </c>
      <c r="Q6" s="88"/>
      <c r="R6" s="88"/>
      <c r="S6" s="88"/>
      <c r="T6" s="91"/>
      <c r="U6" s="136"/>
      <c r="V6" s="137"/>
      <c r="W6" s="137"/>
      <c r="X6" s="137"/>
      <c r="Y6" s="137"/>
      <c r="Z6" s="138"/>
    </row>
    <row r="7" spans="1:32" ht="37.5" customHeight="1" x14ac:dyDescent="0.25">
      <c r="A7" s="116" t="s">
        <v>6</v>
      </c>
      <c r="B7" s="116"/>
      <c r="C7" s="116"/>
      <c r="D7" s="116"/>
      <c r="E7" s="116"/>
      <c r="F7" s="116"/>
      <c r="G7" s="117" t="s">
        <v>7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32" ht="15.9" customHeight="1" x14ac:dyDescent="0.3">
      <c r="A8" s="62" t="s">
        <v>8</v>
      </c>
      <c r="B8" s="70" t="s">
        <v>9</v>
      </c>
      <c r="C8" s="69"/>
      <c r="D8" s="68"/>
      <c r="E8" s="68"/>
      <c r="F8" s="68"/>
      <c r="G8" s="68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44"/>
      <c r="AB8" s="23"/>
      <c r="AF8" s="23" t="s">
        <v>10</v>
      </c>
    </row>
    <row r="9" spans="1:32" ht="8.25" customHeight="1" x14ac:dyDescent="0.3">
      <c r="A9" s="16"/>
      <c r="D9" s="11"/>
      <c r="E9" s="11"/>
      <c r="F9" s="11"/>
      <c r="G9" s="11"/>
      <c r="Z9" s="35"/>
      <c r="AB9" s="23"/>
      <c r="AF9" s="23" t="s">
        <v>60</v>
      </c>
    </row>
    <row r="10" spans="1:32" ht="15.9" customHeight="1" x14ac:dyDescent="0.3">
      <c r="A10" s="16"/>
      <c r="B10" s="90" t="s">
        <v>11</v>
      </c>
      <c r="C10" s="90"/>
      <c r="D10" s="90"/>
      <c r="E10" s="90"/>
      <c r="F10" s="90"/>
      <c r="G10" s="90"/>
      <c r="H10" s="114" t="s">
        <v>10</v>
      </c>
      <c r="I10" s="114"/>
      <c r="J10" s="114"/>
      <c r="K10" s="114"/>
      <c r="L10" s="114"/>
      <c r="M10" s="114"/>
      <c r="N10" s="90" t="s">
        <v>12</v>
      </c>
      <c r="O10" s="90"/>
      <c r="P10" s="90"/>
      <c r="Q10" s="90"/>
      <c r="R10" s="90"/>
      <c r="S10" s="89" t="s">
        <v>59</v>
      </c>
      <c r="T10" s="89"/>
      <c r="U10" s="89"/>
      <c r="V10" s="89"/>
      <c r="W10" s="89"/>
      <c r="X10" s="89"/>
      <c r="Y10" s="89"/>
      <c r="Z10" s="67"/>
      <c r="AB10" s="23"/>
      <c r="AF10" s="23" t="s">
        <v>58</v>
      </c>
    </row>
    <row r="11" spans="1:32" ht="15.9" customHeight="1" x14ac:dyDescent="0.3">
      <c r="A11" s="16"/>
      <c r="B11" s="90" t="s">
        <v>14</v>
      </c>
      <c r="C11" s="90"/>
      <c r="D11" s="90"/>
      <c r="E11" s="90"/>
      <c r="F11" s="90"/>
      <c r="G11" s="90"/>
      <c r="H11" s="114" t="s">
        <v>60</v>
      </c>
      <c r="I11" s="114"/>
      <c r="J11" s="114"/>
      <c r="K11" s="114"/>
      <c r="L11" s="114"/>
      <c r="M11" s="114"/>
      <c r="N11" s="90" t="s">
        <v>15</v>
      </c>
      <c r="O11" s="90"/>
      <c r="P11" s="90"/>
      <c r="Q11" s="90"/>
      <c r="R11" s="90"/>
      <c r="S11" s="89" t="s">
        <v>16</v>
      </c>
      <c r="T11" s="89"/>
      <c r="U11" s="89"/>
      <c r="V11" s="89"/>
      <c r="W11" s="89"/>
      <c r="X11" s="89"/>
      <c r="Y11" s="89"/>
      <c r="Z11" s="67"/>
      <c r="AB11" s="23"/>
      <c r="AF11" s="23" t="s">
        <v>59</v>
      </c>
    </row>
    <row r="12" spans="1:32" ht="15.9" customHeight="1" x14ac:dyDescent="0.3">
      <c r="A12" s="16"/>
      <c r="B12" s="90" t="s">
        <v>17</v>
      </c>
      <c r="C12" s="90"/>
      <c r="D12" s="90"/>
      <c r="E12" s="90"/>
      <c r="F12" s="90"/>
      <c r="G12" s="90"/>
      <c r="H12" s="114" t="s">
        <v>58</v>
      </c>
      <c r="I12" s="114"/>
      <c r="J12" s="114"/>
      <c r="K12" s="114"/>
      <c r="L12" s="114"/>
      <c r="M12" s="114"/>
      <c r="N12" s="90" t="s">
        <v>18</v>
      </c>
      <c r="O12" s="90"/>
      <c r="P12" s="90"/>
      <c r="Q12" s="90"/>
      <c r="R12" s="90"/>
      <c r="S12" s="89" t="s">
        <v>57</v>
      </c>
      <c r="T12" s="89"/>
      <c r="U12" s="89"/>
      <c r="V12" s="89"/>
      <c r="W12" s="89"/>
      <c r="X12" s="89"/>
      <c r="Y12" s="89"/>
      <c r="Z12" s="67"/>
      <c r="AB12" s="23"/>
      <c r="AF12" s="23" t="s">
        <v>16</v>
      </c>
    </row>
    <row r="13" spans="1:32" ht="8.25" customHeight="1" x14ac:dyDescent="0.3">
      <c r="A13" s="14"/>
      <c r="B13" s="32"/>
      <c r="C13" s="32"/>
      <c r="D13" s="13"/>
      <c r="E13" s="13"/>
      <c r="F13" s="13"/>
      <c r="G13" s="13"/>
      <c r="H13" s="32"/>
      <c r="I13" s="32"/>
      <c r="J13" s="32"/>
      <c r="K13" s="32"/>
      <c r="L13" s="32"/>
      <c r="M13" s="32"/>
      <c r="N13" s="66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1"/>
      <c r="AB13" s="23"/>
      <c r="AF13" s="23" t="s">
        <v>57</v>
      </c>
    </row>
    <row r="14" spans="1:32" s="17" customFormat="1" ht="15" customHeight="1" x14ac:dyDescent="0.25">
      <c r="B14" s="64"/>
      <c r="C14" s="64"/>
      <c r="K14" s="65"/>
      <c r="L14" s="64"/>
      <c r="M14" s="63"/>
    </row>
    <row r="15" spans="1:32" s="17" customFormat="1" ht="13.8" customHeight="1" x14ac:dyDescent="0.25">
      <c r="A15" s="62" t="s">
        <v>20</v>
      </c>
      <c r="B15" s="61" t="s">
        <v>21</v>
      </c>
      <c r="C15" s="60"/>
      <c r="D15" s="60"/>
      <c r="E15" s="60"/>
      <c r="F15" s="60"/>
      <c r="G15" s="60"/>
      <c r="H15" s="60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8"/>
    </row>
    <row r="16" spans="1:32" s="17" customFormat="1" ht="13.8" customHeight="1" x14ac:dyDescent="0.25">
      <c r="A16" s="54"/>
      <c r="B16" s="57"/>
      <c r="C16" s="56"/>
      <c r="D16" s="56"/>
      <c r="E16" s="56"/>
      <c r="F16" s="56"/>
      <c r="G16" s="56"/>
      <c r="H16" s="56"/>
      <c r="Z16" s="55"/>
    </row>
    <row r="17" spans="1:32" s="17" customFormat="1" ht="15" customHeight="1" x14ac:dyDescent="0.25">
      <c r="A17" s="54"/>
      <c r="B17" s="115" t="s">
        <v>22</v>
      </c>
      <c r="C17" s="115"/>
      <c r="D17" s="115"/>
      <c r="E17" s="115"/>
      <c r="F17" s="115"/>
      <c r="G17" s="115"/>
      <c r="H17" s="115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53"/>
    </row>
    <row r="18" spans="1:32" s="17" customFormat="1" ht="15" customHeight="1" x14ac:dyDescent="0.3">
      <c r="A18" s="54"/>
      <c r="B18" s="115" t="s">
        <v>23</v>
      </c>
      <c r="C18" s="115"/>
      <c r="D18" s="115"/>
      <c r="E18" s="115"/>
      <c r="F18" s="115"/>
      <c r="G18" s="115"/>
      <c r="H18" s="115"/>
      <c r="I18" s="158" t="s">
        <v>65</v>
      </c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53"/>
    </row>
    <row r="19" spans="1:32" s="17" customFormat="1" ht="13.2" customHeight="1" x14ac:dyDescent="0.25">
      <c r="A19" s="52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0"/>
    </row>
    <row r="20" spans="1:32" ht="12.75" customHeight="1" x14ac:dyDescent="0.25">
      <c r="D20" s="11"/>
      <c r="E20" s="11"/>
      <c r="F20" s="11"/>
      <c r="G20" s="11"/>
      <c r="N20" s="49"/>
    </row>
    <row r="21" spans="1:32" ht="15.9" customHeight="1" x14ac:dyDescent="0.25">
      <c r="A21" s="48" t="s">
        <v>24</v>
      </c>
      <c r="B21" s="47" t="s">
        <v>25</v>
      </c>
      <c r="C21" s="45"/>
      <c r="D21" s="46"/>
      <c r="E21" s="46"/>
      <c r="F21" s="46"/>
      <c r="G21" s="46"/>
      <c r="H21" s="45"/>
      <c r="I21" s="45"/>
      <c r="J21" s="45"/>
      <c r="K21" s="45"/>
      <c r="L21" s="45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44"/>
    </row>
    <row r="22" spans="1:32" ht="12.75" customHeight="1" x14ac:dyDescent="0.25">
      <c r="A22" s="16"/>
      <c r="Z22" s="35"/>
    </row>
    <row r="23" spans="1:32" ht="12.75" customHeight="1" x14ac:dyDescent="0.25">
      <c r="A23" s="16"/>
      <c r="Z23" s="35"/>
    </row>
    <row r="24" spans="1:32" ht="12.75" customHeight="1" x14ac:dyDescent="0.25">
      <c r="A24" s="16"/>
      <c r="B24" s="92" t="s">
        <v>26</v>
      </c>
      <c r="C24" s="93"/>
      <c r="D24" s="93"/>
      <c r="E24" s="93"/>
      <c r="F24" s="93">
        <v>18</v>
      </c>
      <c r="G24" s="93"/>
      <c r="H24" s="93"/>
      <c r="I24" s="93"/>
      <c r="J24" s="103" t="s">
        <v>27</v>
      </c>
      <c r="K24" s="103"/>
      <c r="L24" s="104"/>
      <c r="O24" s="92" t="s">
        <v>28</v>
      </c>
      <c r="P24" s="98"/>
      <c r="Q24" s="98"/>
      <c r="R24" s="98"/>
      <c r="S24" s="93">
        <v>890</v>
      </c>
      <c r="T24" s="93"/>
      <c r="U24" s="93"/>
      <c r="V24" s="93"/>
      <c r="W24" s="103" t="s">
        <v>56</v>
      </c>
      <c r="X24" s="103"/>
      <c r="Y24" s="104"/>
      <c r="Z24" s="35"/>
      <c r="AA24" s="9"/>
    </row>
    <row r="25" spans="1:32" ht="12.75" customHeight="1" x14ac:dyDescent="0.25">
      <c r="A25" s="16"/>
      <c r="B25" s="94"/>
      <c r="C25" s="95"/>
      <c r="D25" s="95"/>
      <c r="E25" s="95"/>
      <c r="F25" s="95"/>
      <c r="G25" s="95"/>
      <c r="H25" s="95"/>
      <c r="I25" s="95"/>
      <c r="J25" s="105"/>
      <c r="K25" s="105"/>
      <c r="L25" s="106"/>
      <c r="O25" s="99"/>
      <c r="P25" s="100"/>
      <c r="Q25" s="100"/>
      <c r="R25" s="100"/>
      <c r="S25" s="95"/>
      <c r="T25" s="95"/>
      <c r="U25" s="95"/>
      <c r="V25" s="95"/>
      <c r="W25" s="105"/>
      <c r="X25" s="105"/>
      <c r="Y25" s="106"/>
      <c r="Z25" s="35"/>
      <c r="AA25" s="9"/>
    </row>
    <row r="26" spans="1:32" ht="12.75" customHeight="1" x14ac:dyDescent="0.25">
      <c r="A26" s="16"/>
      <c r="B26" s="96"/>
      <c r="C26" s="97"/>
      <c r="D26" s="97"/>
      <c r="E26" s="97"/>
      <c r="F26" s="97"/>
      <c r="G26" s="97"/>
      <c r="H26" s="97"/>
      <c r="I26" s="97"/>
      <c r="J26" s="107"/>
      <c r="K26" s="107"/>
      <c r="L26" s="108"/>
      <c r="O26" s="101"/>
      <c r="P26" s="102"/>
      <c r="Q26" s="102"/>
      <c r="R26" s="102"/>
      <c r="S26" s="97"/>
      <c r="T26" s="97"/>
      <c r="U26" s="97"/>
      <c r="V26" s="97"/>
      <c r="W26" s="107"/>
      <c r="X26" s="107"/>
      <c r="Y26" s="108"/>
      <c r="Z26" s="35"/>
      <c r="AA26" s="9"/>
    </row>
    <row r="27" spans="1:32" ht="12.75" customHeight="1" x14ac:dyDescent="0.25">
      <c r="A27" s="16"/>
      <c r="B27" s="92" t="s">
        <v>29</v>
      </c>
      <c r="C27" s="98"/>
      <c r="D27" s="98"/>
      <c r="E27" s="98"/>
      <c r="F27" s="160">
        <f>IF(F24&lt;&gt;"",(997.1*(SUM(AD35:AD55))),"")</f>
        <v>998.69536000000005</v>
      </c>
      <c r="G27" s="160"/>
      <c r="H27" s="160"/>
      <c r="I27" s="160"/>
      <c r="J27" s="103" t="s">
        <v>30</v>
      </c>
      <c r="K27" s="103"/>
      <c r="L27" s="104"/>
      <c r="O27" s="163" t="s">
        <v>31</v>
      </c>
      <c r="P27" s="93"/>
      <c r="Q27" s="93"/>
      <c r="R27" s="93"/>
      <c r="S27" s="93">
        <v>2486</v>
      </c>
      <c r="T27" s="93"/>
      <c r="U27" s="93"/>
      <c r="V27" s="93"/>
      <c r="W27" s="103" t="s">
        <v>30</v>
      </c>
      <c r="X27" s="103"/>
      <c r="Y27" s="104"/>
      <c r="Z27" s="35"/>
      <c r="AA27" s="9"/>
    </row>
    <row r="28" spans="1:32" ht="12.75" customHeight="1" x14ac:dyDescent="0.25">
      <c r="A28" s="16"/>
      <c r="B28" s="99"/>
      <c r="C28" s="100"/>
      <c r="D28" s="100"/>
      <c r="E28" s="100"/>
      <c r="F28" s="161"/>
      <c r="G28" s="161"/>
      <c r="H28" s="161"/>
      <c r="I28" s="161"/>
      <c r="J28" s="105"/>
      <c r="K28" s="105"/>
      <c r="L28" s="106"/>
      <c r="O28" s="94"/>
      <c r="P28" s="95"/>
      <c r="Q28" s="95"/>
      <c r="R28" s="95"/>
      <c r="S28" s="95"/>
      <c r="T28" s="95"/>
      <c r="U28" s="95"/>
      <c r="V28" s="95"/>
      <c r="W28" s="105"/>
      <c r="X28" s="105"/>
      <c r="Y28" s="106"/>
      <c r="Z28" s="35"/>
      <c r="AA28" s="9"/>
    </row>
    <row r="29" spans="1:32" ht="12.75" customHeight="1" x14ac:dyDescent="0.25">
      <c r="A29" s="16"/>
      <c r="B29" s="101"/>
      <c r="C29" s="102"/>
      <c r="D29" s="102"/>
      <c r="E29" s="102"/>
      <c r="F29" s="162"/>
      <c r="G29" s="162"/>
      <c r="H29" s="162"/>
      <c r="I29" s="162"/>
      <c r="J29" s="107"/>
      <c r="K29" s="107"/>
      <c r="L29" s="108"/>
      <c r="O29" s="96"/>
      <c r="P29" s="97"/>
      <c r="Q29" s="97"/>
      <c r="R29" s="97"/>
      <c r="S29" s="97"/>
      <c r="T29" s="97"/>
      <c r="U29" s="97"/>
      <c r="V29" s="97"/>
      <c r="W29" s="107"/>
      <c r="X29" s="107"/>
      <c r="Y29" s="108"/>
      <c r="Z29" s="35"/>
    </row>
    <row r="30" spans="1:32" ht="12.75" customHeight="1" x14ac:dyDescent="0.3">
      <c r="A30" s="16"/>
      <c r="B30" s="43"/>
      <c r="C30" s="41"/>
      <c r="D30" s="40"/>
      <c r="I30" s="39"/>
      <c r="J30" s="39"/>
      <c r="P30" s="41"/>
      <c r="Q30" s="41"/>
      <c r="R30" s="41"/>
      <c r="S30" s="41"/>
      <c r="T30" s="41"/>
      <c r="U30" s="41"/>
      <c r="V30" s="41"/>
      <c r="W30" s="40"/>
      <c r="Z30" s="35"/>
      <c r="AA30" s="23"/>
      <c r="AB30" s="23"/>
      <c r="AC30" s="23"/>
      <c r="AD30" s="23"/>
      <c r="AE30" s="23"/>
      <c r="AF30" s="23"/>
    </row>
    <row r="31" spans="1:32" ht="12.75" customHeight="1" thickBot="1" x14ac:dyDescent="0.3">
      <c r="A31" s="16"/>
      <c r="B31" s="43"/>
      <c r="C31" s="41"/>
      <c r="D31" s="40"/>
      <c r="E31" s="39"/>
      <c r="F31" s="42"/>
      <c r="G31" s="41"/>
      <c r="H31" s="40"/>
      <c r="I31" s="39"/>
      <c r="J31" s="39"/>
      <c r="Z31" s="35"/>
    </row>
    <row r="32" spans="1:32" ht="19.5" customHeight="1" x14ac:dyDescent="0.25">
      <c r="A32" s="16"/>
      <c r="B32" s="109" t="s">
        <v>32</v>
      </c>
      <c r="C32" s="110"/>
      <c r="D32" s="110"/>
      <c r="E32" s="110" t="s">
        <v>33</v>
      </c>
      <c r="F32" s="110"/>
      <c r="G32" s="110"/>
      <c r="H32" s="110" t="s">
        <v>34</v>
      </c>
      <c r="I32" s="110"/>
      <c r="J32" s="110"/>
      <c r="K32" s="110" t="s">
        <v>35</v>
      </c>
      <c r="L32" s="110"/>
      <c r="M32" s="110"/>
      <c r="N32" s="110" t="s">
        <v>55</v>
      </c>
      <c r="O32" s="110"/>
      <c r="P32" s="110"/>
      <c r="Q32" s="110" t="s">
        <v>36</v>
      </c>
      <c r="R32" s="110"/>
      <c r="S32" s="110"/>
      <c r="T32" s="152" t="s">
        <v>37</v>
      </c>
      <c r="U32" s="152"/>
      <c r="V32" s="152"/>
      <c r="W32" s="110" t="s">
        <v>38</v>
      </c>
      <c r="X32" s="110"/>
      <c r="Y32" s="154"/>
      <c r="Z32" s="35"/>
      <c r="AB32" s="118" t="s">
        <v>39</v>
      </c>
      <c r="AC32" s="119" t="s">
        <v>40</v>
      </c>
      <c r="AD32" s="120" t="s">
        <v>41</v>
      </c>
    </row>
    <row r="33" spans="1:30" ht="19.5" customHeight="1" x14ac:dyDescent="0.25">
      <c r="A33" s="16"/>
      <c r="B33" s="111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95"/>
      <c r="U33" s="95"/>
      <c r="V33" s="95"/>
      <c r="W33" s="100"/>
      <c r="X33" s="100"/>
      <c r="Y33" s="155"/>
      <c r="Z33" s="35"/>
      <c r="AB33" s="121"/>
      <c r="AC33" s="122"/>
      <c r="AD33" s="123"/>
    </row>
    <row r="34" spans="1:30" ht="19.5" customHeight="1" thickBot="1" x14ac:dyDescent="0.3">
      <c r="A34" s="16"/>
      <c r="B34" s="112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53"/>
      <c r="U34" s="153"/>
      <c r="V34" s="153"/>
      <c r="W34" s="113"/>
      <c r="X34" s="113"/>
      <c r="Y34" s="156"/>
      <c r="Z34" s="35"/>
      <c r="AB34" s="124"/>
      <c r="AC34" s="125"/>
      <c r="AD34" s="126"/>
    </row>
    <row r="35" spans="1:30" ht="25.5" customHeight="1" x14ac:dyDescent="0.25">
      <c r="A35" s="16"/>
      <c r="B35" s="206" t="s">
        <v>53</v>
      </c>
      <c r="C35" s="207"/>
      <c r="D35" s="207"/>
      <c r="E35" s="164">
        <v>1282.7</v>
      </c>
      <c r="F35" s="164"/>
      <c r="G35" s="164"/>
      <c r="H35" s="164">
        <v>1295.4000000000001</v>
      </c>
      <c r="I35" s="164"/>
      <c r="J35" s="164"/>
      <c r="K35" s="164">
        <v>723.6</v>
      </c>
      <c r="L35" s="164"/>
      <c r="M35" s="164"/>
      <c r="N35" s="157">
        <f t="shared" ref="N35:N48" si="0">IF(E35&lt;&gt;"",E35/(((H35-K35)/$F$27)-((H35-E35)/$S$24)),"")</f>
        <v>2297.6036981548496</v>
      </c>
      <c r="O35" s="157"/>
      <c r="P35" s="157"/>
      <c r="Q35" s="157">
        <f t="shared" ref="Q35:Q48" si="1">IF(N35&lt;&gt;"",(N35/$S$27)*100,"")</f>
        <v>92.421709499390573</v>
      </c>
      <c r="R35" s="157"/>
      <c r="S35" s="157"/>
      <c r="T35" s="157">
        <f t="shared" ref="T35:T48" si="2">IF(Q35&lt;&gt;"",100-Q35,"")</f>
        <v>7.5782905006094268</v>
      </c>
      <c r="U35" s="157"/>
      <c r="V35" s="157"/>
      <c r="W35" s="164">
        <v>7.7</v>
      </c>
      <c r="X35" s="164"/>
      <c r="Y35" s="167"/>
      <c r="Z35" s="35"/>
      <c r="AB35" s="16">
        <v>10</v>
      </c>
      <c r="AC35" s="11">
        <v>1.0026999999999999</v>
      </c>
      <c r="AD35" s="15" t="str">
        <f t="shared" ref="AD35:AD55" si="3">IF($F$24=AB35,AC35,"")</f>
        <v/>
      </c>
    </row>
    <row r="36" spans="1:30" ht="25.5" customHeight="1" x14ac:dyDescent="0.25">
      <c r="A36" s="16"/>
      <c r="B36" s="165" t="s">
        <v>54</v>
      </c>
      <c r="C36" s="166"/>
      <c r="D36" s="166"/>
      <c r="E36" s="77">
        <v>1171.4000000000001</v>
      </c>
      <c r="F36" s="77"/>
      <c r="G36" s="77"/>
      <c r="H36" s="77">
        <v>1183.7</v>
      </c>
      <c r="I36" s="77"/>
      <c r="J36" s="77"/>
      <c r="K36" s="77">
        <v>673.8</v>
      </c>
      <c r="L36" s="77"/>
      <c r="M36" s="77"/>
      <c r="N36" s="73">
        <f t="shared" si="0"/>
        <v>2358.1473880053677</v>
      </c>
      <c r="O36" s="73"/>
      <c r="P36" s="73"/>
      <c r="Q36" s="73">
        <f t="shared" si="1"/>
        <v>94.857095253635066</v>
      </c>
      <c r="R36" s="73"/>
      <c r="S36" s="73"/>
      <c r="T36" s="73">
        <f t="shared" si="2"/>
        <v>5.142904746364934</v>
      </c>
      <c r="U36" s="73"/>
      <c r="V36" s="73"/>
      <c r="W36" s="74">
        <v>7.1</v>
      </c>
      <c r="X36" s="74"/>
      <c r="Y36" s="75"/>
      <c r="Z36" s="35"/>
      <c r="AB36" s="16">
        <v>11</v>
      </c>
      <c r="AC36" s="11">
        <v>1.0025999999999999</v>
      </c>
      <c r="AD36" s="15" t="str">
        <f t="shared" si="3"/>
        <v/>
      </c>
    </row>
    <row r="37" spans="1:30" ht="25.5" customHeight="1" x14ac:dyDescent="0.25">
      <c r="A37" s="16"/>
      <c r="B37" s="76"/>
      <c r="C37" s="74"/>
      <c r="D37" s="74"/>
      <c r="E37" s="77"/>
      <c r="F37" s="77"/>
      <c r="G37" s="77"/>
      <c r="H37" s="77"/>
      <c r="I37" s="77"/>
      <c r="J37" s="77"/>
      <c r="K37" s="77"/>
      <c r="L37" s="77"/>
      <c r="M37" s="77"/>
      <c r="N37" s="73" t="str">
        <f t="shared" si="0"/>
        <v/>
      </c>
      <c r="O37" s="73"/>
      <c r="P37" s="73"/>
      <c r="Q37" s="73" t="str">
        <f t="shared" si="1"/>
        <v/>
      </c>
      <c r="R37" s="73"/>
      <c r="S37" s="73"/>
      <c r="T37" s="73" t="str">
        <f t="shared" si="2"/>
        <v/>
      </c>
      <c r="U37" s="73"/>
      <c r="V37" s="73"/>
      <c r="W37" s="74"/>
      <c r="X37" s="74"/>
      <c r="Y37" s="75"/>
      <c r="Z37" s="35"/>
      <c r="AB37" s="16">
        <v>12</v>
      </c>
      <c r="AC37" s="11">
        <v>1.0024999999999999</v>
      </c>
      <c r="AD37" s="15" t="str">
        <f t="shared" si="3"/>
        <v/>
      </c>
    </row>
    <row r="38" spans="1:30" ht="25.5" customHeight="1" x14ac:dyDescent="0.25">
      <c r="A38" s="16"/>
      <c r="B38" s="76"/>
      <c r="C38" s="74"/>
      <c r="D38" s="74"/>
      <c r="E38" s="77"/>
      <c r="F38" s="77"/>
      <c r="G38" s="77"/>
      <c r="H38" s="77"/>
      <c r="I38" s="77"/>
      <c r="J38" s="77"/>
      <c r="K38" s="77"/>
      <c r="L38" s="77"/>
      <c r="M38" s="77"/>
      <c r="N38" s="73" t="str">
        <f t="shared" si="0"/>
        <v/>
      </c>
      <c r="O38" s="73"/>
      <c r="P38" s="73"/>
      <c r="Q38" s="73" t="str">
        <f t="shared" si="1"/>
        <v/>
      </c>
      <c r="R38" s="73"/>
      <c r="S38" s="73"/>
      <c r="T38" s="73" t="str">
        <f t="shared" si="2"/>
        <v/>
      </c>
      <c r="U38" s="73"/>
      <c r="V38" s="73"/>
      <c r="W38" s="74"/>
      <c r="X38" s="74"/>
      <c r="Y38" s="75"/>
      <c r="Z38" s="35"/>
      <c r="AB38" s="16">
        <v>13</v>
      </c>
      <c r="AC38" s="11">
        <v>1.0023</v>
      </c>
      <c r="AD38" s="15" t="str">
        <f t="shared" si="3"/>
        <v/>
      </c>
    </row>
    <row r="39" spans="1:30" ht="25.5" customHeight="1" x14ac:dyDescent="0.25">
      <c r="A39" s="16"/>
      <c r="B39" s="76"/>
      <c r="C39" s="74"/>
      <c r="D39" s="74"/>
      <c r="E39" s="77"/>
      <c r="F39" s="77"/>
      <c r="G39" s="77"/>
      <c r="H39" s="77"/>
      <c r="I39" s="77"/>
      <c r="J39" s="77"/>
      <c r="K39" s="77"/>
      <c r="L39" s="77"/>
      <c r="M39" s="77"/>
      <c r="N39" s="73" t="str">
        <f t="shared" si="0"/>
        <v/>
      </c>
      <c r="O39" s="73"/>
      <c r="P39" s="73"/>
      <c r="Q39" s="73" t="str">
        <f t="shared" si="1"/>
        <v/>
      </c>
      <c r="R39" s="73"/>
      <c r="S39" s="73"/>
      <c r="T39" s="73" t="str">
        <f t="shared" si="2"/>
        <v/>
      </c>
      <c r="U39" s="73"/>
      <c r="V39" s="73"/>
      <c r="W39" s="74"/>
      <c r="X39" s="74"/>
      <c r="Y39" s="75"/>
      <c r="Z39" s="35"/>
      <c r="AB39" s="16">
        <v>14</v>
      </c>
      <c r="AC39" s="11">
        <v>1.0022</v>
      </c>
      <c r="AD39" s="15" t="str">
        <f t="shared" si="3"/>
        <v/>
      </c>
    </row>
    <row r="40" spans="1:30" ht="25.5" customHeight="1" x14ac:dyDescent="0.25">
      <c r="A40" s="16"/>
      <c r="B40" s="76"/>
      <c r="C40" s="74"/>
      <c r="D40" s="74"/>
      <c r="E40" s="77"/>
      <c r="F40" s="77"/>
      <c r="G40" s="77"/>
      <c r="H40" s="77"/>
      <c r="I40" s="77"/>
      <c r="J40" s="77"/>
      <c r="K40" s="77"/>
      <c r="L40" s="77"/>
      <c r="M40" s="77"/>
      <c r="N40" s="73" t="str">
        <f t="shared" si="0"/>
        <v/>
      </c>
      <c r="O40" s="73"/>
      <c r="P40" s="73"/>
      <c r="Q40" s="73" t="str">
        <f t="shared" si="1"/>
        <v/>
      </c>
      <c r="R40" s="73"/>
      <c r="S40" s="73"/>
      <c r="T40" s="73" t="str">
        <f t="shared" si="2"/>
        <v/>
      </c>
      <c r="U40" s="73"/>
      <c r="V40" s="73"/>
      <c r="W40" s="74"/>
      <c r="X40" s="74"/>
      <c r="Y40" s="75"/>
      <c r="Z40" s="35"/>
      <c r="AB40" s="16">
        <v>15</v>
      </c>
      <c r="AC40" s="11">
        <v>1.0021</v>
      </c>
      <c r="AD40" s="15" t="str">
        <f t="shared" si="3"/>
        <v/>
      </c>
    </row>
    <row r="41" spans="1:30" ht="25.5" customHeight="1" x14ac:dyDescent="0.25">
      <c r="A41" s="16"/>
      <c r="B41" s="76"/>
      <c r="C41" s="74"/>
      <c r="D41" s="74"/>
      <c r="E41" s="77"/>
      <c r="F41" s="77"/>
      <c r="G41" s="77"/>
      <c r="H41" s="77"/>
      <c r="I41" s="77"/>
      <c r="J41" s="77"/>
      <c r="K41" s="77"/>
      <c r="L41" s="77"/>
      <c r="M41" s="77"/>
      <c r="N41" s="73" t="str">
        <f t="shared" si="0"/>
        <v/>
      </c>
      <c r="O41" s="73"/>
      <c r="P41" s="73"/>
      <c r="Q41" s="73" t="str">
        <f t="shared" si="1"/>
        <v/>
      </c>
      <c r="R41" s="73"/>
      <c r="S41" s="73"/>
      <c r="T41" s="73" t="str">
        <f t="shared" si="2"/>
        <v/>
      </c>
      <c r="U41" s="73"/>
      <c r="V41" s="73"/>
      <c r="W41" s="74"/>
      <c r="X41" s="74"/>
      <c r="Y41" s="75"/>
      <c r="Z41" s="35"/>
      <c r="AB41" s="16">
        <v>16</v>
      </c>
      <c r="AC41" s="11">
        <v>1.0019</v>
      </c>
      <c r="AD41" s="15" t="str">
        <f t="shared" si="3"/>
        <v/>
      </c>
    </row>
    <row r="42" spans="1:30" ht="25.5" customHeight="1" x14ac:dyDescent="0.25">
      <c r="A42" s="16"/>
      <c r="B42" s="76"/>
      <c r="C42" s="74"/>
      <c r="D42" s="74"/>
      <c r="E42" s="77"/>
      <c r="F42" s="77"/>
      <c r="G42" s="77"/>
      <c r="H42" s="77"/>
      <c r="I42" s="77"/>
      <c r="J42" s="77"/>
      <c r="K42" s="77"/>
      <c r="L42" s="77"/>
      <c r="M42" s="77"/>
      <c r="N42" s="73" t="str">
        <f t="shared" si="0"/>
        <v/>
      </c>
      <c r="O42" s="73"/>
      <c r="P42" s="73"/>
      <c r="Q42" s="73" t="str">
        <f t="shared" si="1"/>
        <v/>
      </c>
      <c r="R42" s="73"/>
      <c r="S42" s="73"/>
      <c r="T42" s="73" t="str">
        <f t="shared" si="2"/>
        <v/>
      </c>
      <c r="U42" s="73"/>
      <c r="V42" s="73"/>
      <c r="W42" s="74"/>
      <c r="X42" s="74"/>
      <c r="Y42" s="75"/>
      <c r="Z42" s="35"/>
      <c r="AB42" s="16">
        <v>17</v>
      </c>
      <c r="AC42" s="11">
        <v>1.0017</v>
      </c>
      <c r="AD42" s="15" t="str">
        <f t="shared" si="3"/>
        <v/>
      </c>
    </row>
    <row r="43" spans="1:30" ht="25.5" customHeight="1" x14ac:dyDescent="0.25">
      <c r="A43" s="16"/>
      <c r="B43" s="76"/>
      <c r="C43" s="74"/>
      <c r="D43" s="74"/>
      <c r="E43" s="77"/>
      <c r="F43" s="77"/>
      <c r="G43" s="77"/>
      <c r="H43" s="77"/>
      <c r="I43" s="77"/>
      <c r="J43" s="77"/>
      <c r="K43" s="77"/>
      <c r="L43" s="77"/>
      <c r="M43" s="77"/>
      <c r="N43" s="73" t="str">
        <f t="shared" si="0"/>
        <v/>
      </c>
      <c r="O43" s="73"/>
      <c r="P43" s="73"/>
      <c r="Q43" s="73" t="str">
        <f t="shared" si="1"/>
        <v/>
      </c>
      <c r="R43" s="73"/>
      <c r="S43" s="73"/>
      <c r="T43" s="73" t="str">
        <f t="shared" si="2"/>
        <v/>
      </c>
      <c r="U43" s="73"/>
      <c r="V43" s="73"/>
      <c r="W43" s="74"/>
      <c r="X43" s="74"/>
      <c r="Y43" s="75"/>
      <c r="Z43" s="35"/>
      <c r="AB43" s="16">
        <v>18</v>
      </c>
      <c r="AC43" s="11">
        <v>1.0016</v>
      </c>
      <c r="AD43" s="15">
        <f t="shared" si="3"/>
        <v>1.0016</v>
      </c>
    </row>
    <row r="44" spans="1:30" ht="25.5" customHeight="1" x14ac:dyDescent="0.25">
      <c r="A44" s="16"/>
      <c r="B44" s="76"/>
      <c r="C44" s="74"/>
      <c r="D44" s="74"/>
      <c r="E44" s="77"/>
      <c r="F44" s="77"/>
      <c r="G44" s="77"/>
      <c r="H44" s="77"/>
      <c r="I44" s="77"/>
      <c r="J44" s="77"/>
      <c r="K44" s="77"/>
      <c r="L44" s="77"/>
      <c r="M44" s="77"/>
      <c r="N44" s="73" t="str">
        <f t="shared" si="0"/>
        <v/>
      </c>
      <c r="O44" s="73"/>
      <c r="P44" s="73"/>
      <c r="Q44" s="73" t="str">
        <f t="shared" si="1"/>
        <v/>
      </c>
      <c r="R44" s="73"/>
      <c r="S44" s="73"/>
      <c r="T44" s="73" t="str">
        <f t="shared" si="2"/>
        <v/>
      </c>
      <c r="U44" s="73"/>
      <c r="V44" s="73"/>
      <c r="W44" s="74"/>
      <c r="X44" s="74"/>
      <c r="Y44" s="75"/>
      <c r="Z44" s="35"/>
      <c r="AB44" s="16">
        <v>19</v>
      </c>
      <c r="AC44" s="11">
        <v>1.0014000000000001</v>
      </c>
      <c r="AD44" s="15" t="str">
        <f t="shared" si="3"/>
        <v/>
      </c>
    </row>
    <row r="45" spans="1:30" ht="25.5" customHeight="1" x14ac:dyDescent="0.25">
      <c r="A45" s="16"/>
      <c r="B45" s="76"/>
      <c r="C45" s="74"/>
      <c r="D45" s="74"/>
      <c r="E45" s="77"/>
      <c r="F45" s="77"/>
      <c r="G45" s="77"/>
      <c r="H45" s="77"/>
      <c r="I45" s="77"/>
      <c r="J45" s="77"/>
      <c r="K45" s="77"/>
      <c r="L45" s="77"/>
      <c r="M45" s="77"/>
      <c r="N45" s="73" t="str">
        <f t="shared" si="0"/>
        <v/>
      </c>
      <c r="O45" s="73"/>
      <c r="P45" s="73"/>
      <c r="Q45" s="73" t="str">
        <f t="shared" si="1"/>
        <v/>
      </c>
      <c r="R45" s="73"/>
      <c r="S45" s="73"/>
      <c r="T45" s="73" t="str">
        <f t="shared" si="2"/>
        <v/>
      </c>
      <c r="U45" s="73"/>
      <c r="V45" s="73"/>
      <c r="W45" s="74"/>
      <c r="X45" s="74"/>
      <c r="Y45" s="75"/>
      <c r="Z45" s="35"/>
      <c r="AB45" s="16">
        <v>20</v>
      </c>
      <c r="AC45" s="11">
        <v>1.0012000000000001</v>
      </c>
      <c r="AD45" s="15" t="str">
        <f t="shared" si="3"/>
        <v/>
      </c>
    </row>
    <row r="46" spans="1:30" ht="25.5" customHeight="1" x14ac:dyDescent="0.25">
      <c r="A46" s="16"/>
      <c r="B46" s="76"/>
      <c r="C46" s="74"/>
      <c r="D46" s="74"/>
      <c r="E46" s="77"/>
      <c r="F46" s="77"/>
      <c r="G46" s="77"/>
      <c r="H46" s="77"/>
      <c r="I46" s="77"/>
      <c r="J46" s="77"/>
      <c r="K46" s="77"/>
      <c r="L46" s="77"/>
      <c r="M46" s="77"/>
      <c r="N46" s="73" t="str">
        <f t="shared" si="0"/>
        <v/>
      </c>
      <c r="O46" s="73"/>
      <c r="P46" s="73"/>
      <c r="Q46" s="73" t="str">
        <f t="shared" si="1"/>
        <v/>
      </c>
      <c r="R46" s="73"/>
      <c r="S46" s="73"/>
      <c r="T46" s="73" t="str">
        <f t="shared" si="2"/>
        <v/>
      </c>
      <c r="U46" s="73"/>
      <c r="V46" s="73"/>
      <c r="W46" s="74"/>
      <c r="X46" s="74"/>
      <c r="Y46" s="75"/>
      <c r="Z46" s="35"/>
      <c r="AB46" s="16">
        <v>21</v>
      </c>
      <c r="AC46" s="18">
        <v>1.0009999999999999</v>
      </c>
      <c r="AD46" s="15" t="str">
        <f t="shared" si="3"/>
        <v/>
      </c>
    </row>
    <row r="47" spans="1:30" ht="25.5" customHeight="1" x14ac:dyDescent="0.25">
      <c r="A47" s="16"/>
      <c r="B47" s="76"/>
      <c r="C47" s="74"/>
      <c r="D47" s="74"/>
      <c r="E47" s="77"/>
      <c r="F47" s="77"/>
      <c r="G47" s="77"/>
      <c r="H47" s="77"/>
      <c r="I47" s="77"/>
      <c r="J47" s="77"/>
      <c r="K47" s="77"/>
      <c r="L47" s="77"/>
      <c r="M47" s="77"/>
      <c r="N47" s="73" t="str">
        <f t="shared" si="0"/>
        <v/>
      </c>
      <c r="O47" s="73"/>
      <c r="P47" s="73"/>
      <c r="Q47" s="73" t="str">
        <f t="shared" si="1"/>
        <v/>
      </c>
      <c r="R47" s="73"/>
      <c r="S47" s="73"/>
      <c r="T47" s="73" t="str">
        <f t="shared" si="2"/>
        <v/>
      </c>
      <c r="U47" s="73"/>
      <c r="V47" s="73"/>
      <c r="W47" s="74"/>
      <c r="X47" s="74"/>
      <c r="Y47" s="75"/>
      <c r="Z47" s="35"/>
      <c r="AB47" s="16">
        <v>22</v>
      </c>
      <c r="AC47" s="11">
        <v>1.0006999999999999</v>
      </c>
      <c r="AD47" s="15" t="str">
        <f t="shared" si="3"/>
        <v/>
      </c>
    </row>
    <row r="48" spans="1:30" ht="25.5" customHeight="1" x14ac:dyDescent="0.25">
      <c r="A48" s="16"/>
      <c r="B48" s="205"/>
      <c r="C48" s="169"/>
      <c r="D48" s="169"/>
      <c r="E48" s="77"/>
      <c r="F48" s="77"/>
      <c r="G48" s="77"/>
      <c r="H48" s="77"/>
      <c r="I48" s="77"/>
      <c r="J48" s="77"/>
      <c r="K48" s="77"/>
      <c r="L48" s="77"/>
      <c r="M48" s="77"/>
      <c r="N48" s="73" t="str">
        <f t="shared" si="0"/>
        <v/>
      </c>
      <c r="O48" s="73"/>
      <c r="P48" s="73"/>
      <c r="Q48" s="73" t="str">
        <f t="shared" si="1"/>
        <v/>
      </c>
      <c r="R48" s="73"/>
      <c r="S48" s="73"/>
      <c r="T48" s="73" t="str">
        <f t="shared" si="2"/>
        <v/>
      </c>
      <c r="U48" s="73"/>
      <c r="V48" s="73"/>
      <c r="W48" s="169"/>
      <c r="X48" s="169"/>
      <c r="Y48" s="170"/>
      <c r="Z48" s="35"/>
      <c r="AB48" s="16">
        <v>23</v>
      </c>
      <c r="AC48" s="11">
        <v>1.0004999999999999</v>
      </c>
      <c r="AD48" s="15" t="str">
        <f t="shared" si="3"/>
        <v/>
      </c>
    </row>
    <row r="49" spans="1:30" ht="25.5" customHeight="1" thickBot="1" x14ac:dyDescent="0.3">
      <c r="A49" s="16"/>
      <c r="B49" s="203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204"/>
      <c r="Z49" s="35"/>
      <c r="AB49" s="16">
        <v>24</v>
      </c>
      <c r="AC49" s="11">
        <v>1.0003</v>
      </c>
      <c r="AD49" s="15" t="str">
        <f t="shared" si="3"/>
        <v/>
      </c>
    </row>
    <row r="50" spans="1:30" ht="12.75" customHeight="1" x14ac:dyDescent="0.25"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8"/>
      <c r="O50" s="38"/>
      <c r="P50" s="38"/>
      <c r="Q50" s="37"/>
      <c r="R50" s="37"/>
      <c r="S50" s="37"/>
      <c r="T50" s="37"/>
      <c r="U50" s="37"/>
      <c r="V50" s="37"/>
      <c r="W50" s="36"/>
      <c r="X50" s="36"/>
      <c r="Y50" s="36"/>
      <c r="Z50" s="35"/>
      <c r="AB50" s="16">
        <v>25</v>
      </c>
      <c r="AC50" s="18">
        <v>1</v>
      </c>
      <c r="AD50" s="15" t="str">
        <f t="shared" si="3"/>
        <v/>
      </c>
    </row>
    <row r="51" spans="1:30" ht="15.9" customHeight="1" x14ac:dyDescent="0.25">
      <c r="A51" s="34"/>
      <c r="B51" s="33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1"/>
      <c r="AB51" s="16">
        <v>26</v>
      </c>
      <c r="AC51" s="11">
        <v>0.99970000000000003</v>
      </c>
      <c r="AD51" s="15" t="str">
        <f t="shared" si="3"/>
        <v/>
      </c>
    </row>
    <row r="52" spans="1:30" ht="12.75" customHeight="1" x14ac:dyDescent="0.25">
      <c r="A52" s="30"/>
      <c r="B52" s="29"/>
      <c r="AB52" s="16">
        <v>27</v>
      </c>
      <c r="AC52" s="11">
        <v>0.99950000000000006</v>
      </c>
      <c r="AD52" s="15" t="str">
        <f t="shared" si="3"/>
        <v/>
      </c>
    </row>
    <row r="53" spans="1:30" s="17" customFormat="1" ht="30.75" customHeight="1" x14ac:dyDescent="0.3">
      <c r="A53" s="28" t="s">
        <v>42</v>
      </c>
      <c r="B53" s="27" t="s">
        <v>43</v>
      </c>
      <c r="C53" s="26"/>
      <c r="D53" s="26"/>
      <c r="E53" s="26"/>
      <c r="F53" s="25"/>
      <c r="G53" s="25"/>
      <c r="H53" s="25"/>
      <c r="I53" s="24"/>
      <c r="J53" s="24"/>
      <c r="K53" s="24"/>
      <c r="L53" s="24"/>
      <c r="M53" s="24"/>
      <c r="N53" s="24"/>
      <c r="O53" s="24"/>
      <c r="P53" s="24"/>
      <c r="Q53" s="25"/>
      <c r="R53" s="24"/>
      <c r="S53" s="24"/>
      <c r="T53" s="24"/>
      <c r="U53" s="145"/>
      <c r="V53" s="145"/>
      <c r="W53" s="145"/>
      <c r="X53" s="146"/>
      <c r="Y53" s="146"/>
      <c r="Z53" s="147"/>
      <c r="AA53" s="23"/>
      <c r="AB53" s="16">
        <v>28</v>
      </c>
      <c r="AC53" s="11">
        <v>0.99919999999999998</v>
      </c>
      <c r="AD53" s="15" t="str">
        <f t="shared" si="3"/>
        <v/>
      </c>
    </row>
    <row r="54" spans="1:30" s="17" customFormat="1" ht="28.5" customHeight="1" x14ac:dyDescent="0.3">
      <c r="A54" s="178" t="s">
        <v>44</v>
      </c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80"/>
      <c r="R54" s="142" t="s">
        <v>45</v>
      </c>
      <c r="S54" s="143"/>
      <c r="T54" s="144"/>
      <c r="U54" s="148" t="s">
        <v>10</v>
      </c>
      <c r="V54" s="149"/>
      <c r="W54" s="149"/>
      <c r="X54" s="150"/>
      <c r="Y54" s="150"/>
      <c r="Z54" s="151"/>
      <c r="AA54" s="23"/>
      <c r="AB54" s="16">
        <v>29</v>
      </c>
      <c r="AC54" s="11">
        <v>0.99890000000000001</v>
      </c>
      <c r="AD54" s="15" t="str">
        <f t="shared" si="3"/>
        <v/>
      </c>
    </row>
    <row r="55" spans="1:30" s="17" customFormat="1" ht="14.25" customHeight="1" x14ac:dyDescent="0.3">
      <c r="A55" s="171" t="s">
        <v>63</v>
      </c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3"/>
      <c r="R55" s="142" t="s">
        <v>46</v>
      </c>
      <c r="S55" s="143"/>
      <c r="T55" s="144"/>
      <c r="U55" s="192" t="s">
        <v>47</v>
      </c>
      <c r="V55" s="193"/>
      <c r="W55" s="193"/>
      <c r="X55" s="194"/>
      <c r="Y55" s="194"/>
      <c r="Z55" s="195"/>
      <c r="AA55" s="23"/>
      <c r="AB55" s="14">
        <v>30</v>
      </c>
      <c r="AC55" s="13">
        <v>0.99860000000000004</v>
      </c>
      <c r="AD55" s="12" t="str">
        <f t="shared" si="3"/>
        <v/>
      </c>
    </row>
    <row r="56" spans="1:30" s="17" customFormat="1" ht="9" customHeight="1" x14ac:dyDescent="0.3">
      <c r="A56" s="174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3"/>
      <c r="R56" s="142"/>
      <c r="S56" s="143"/>
      <c r="T56" s="144"/>
      <c r="U56" s="196"/>
      <c r="V56" s="197"/>
      <c r="W56" s="197"/>
      <c r="X56" s="181"/>
      <c r="Y56" s="181"/>
      <c r="Z56" s="198"/>
      <c r="AA56" s="23"/>
      <c r="AB56" s="10"/>
      <c r="AC56" s="10"/>
      <c r="AD56" s="10"/>
    </row>
    <row r="57" spans="1:30" s="17" customFormat="1" ht="12.75" customHeight="1" x14ac:dyDescent="0.3">
      <c r="A57" s="175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7"/>
      <c r="R57" s="142"/>
      <c r="S57" s="143"/>
      <c r="T57" s="144"/>
      <c r="U57" s="196"/>
      <c r="V57" s="197"/>
      <c r="W57" s="197"/>
      <c r="X57" s="181"/>
      <c r="Y57" s="181"/>
      <c r="Z57" s="198"/>
      <c r="AA57" s="23"/>
      <c r="AB57" s="10"/>
      <c r="AC57" s="10"/>
      <c r="AD57" s="10"/>
    </row>
    <row r="58" spans="1:30" s="17" customFormat="1" ht="14.25" customHeight="1" x14ac:dyDescent="0.25">
      <c r="A58" s="22" t="s">
        <v>48</v>
      </c>
      <c r="B58" s="21" t="s">
        <v>49</v>
      </c>
      <c r="C58" s="10"/>
      <c r="D58" s="1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19"/>
      <c r="R58" s="142"/>
      <c r="S58" s="143"/>
      <c r="T58" s="144"/>
      <c r="U58" s="199"/>
      <c r="V58" s="200"/>
      <c r="W58" s="200"/>
      <c r="X58" s="201"/>
      <c r="Y58" s="201"/>
      <c r="Z58" s="202"/>
      <c r="AB58" s="10"/>
      <c r="AC58" s="10"/>
      <c r="AD58" s="10"/>
    </row>
    <row r="59" spans="1:30" s="17" customFormat="1" ht="12.75" customHeight="1" x14ac:dyDescent="0.25">
      <c r="A59" s="182" t="s">
        <v>66</v>
      </c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4"/>
      <c r="R59" s="142" t="s">
        <v>50</v>
      </c>
      <c r="S59" s="143"/>
      <c r="T59" s="144"/>
      <c r="U59" s="1"/>
      <c r="V59" s="2"/>
      <c r="W59" s="2"/>
      <c r="X59" s="2"/>
      <c r="Y59" s="2"/>
      <c r="Z59" s="3"/>
      <c r="AB59" s="10"/>
      <c r="AC59" s="10"/>
      <c r="AD59" s="10"/>
    </row>
    <row r="60" spans="1:30" s="17" customFormat="1" ht="16.5" customHeight="1" x14ac:dyDescent="0.25">
      <c r="A60" s="185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4"/>
      <c r="R60" s="142"/>
      <c r="S60" s="143"/>
      <c r="T60" s="144"/>
      <c r="U60" s="4"/>
      <c r="V60" s="181"/>
      <c r="W60" s="181"/>
      <c r="X60" s="181"/>
      <c r="Y60" s="181"/>
      <c r="Z60" s="5"/>
      <c r="AB60" s="10"/>
      <c r="AC60" s="10"/>
      <c r="AD60" s="10"/>
    </row>
    <row r="61" spans="1:30" s="17" customFormat="1" ht="15.6" customHeight="1" x14ac:dyDescent="0.25">
      <c r="A61" s="185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4"/>
      <c r="R61" s="142"/>
      <c r="S61" s="143"/>
      <c r="T61" s="144"/>
      <c r="U61" s="4"/>
      <c r="V61" s="181"/>
      <c r="W61" s="181"/>
      <c r="X61" s="181"/>
      <c r="Y61" s="181"/>
      <c r="Z61" s="5"/>
      <c r="AB61" s="10"/>
      <c r="AC61" s="10"/>
      <c r="AD61" s="10"/>
    </row>
    <row r="62" spans="1:30" s="17" customFormat="1" ht="15" customHeight="1" x14ac:dyDescent="0.25">
      <c r="A62" s="186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8"/>
      <c r="R62" s="189"/>
      <c r="S62" s="190"/>
      <c r="T62" s="191"/>
      <c r="U62" s="6"/>
      <c r="V62" s="7"/>
      <c r="W62" s="7"/>
      <c r="X62" s="7"/>
      <c r="Y62" s="7"/>
      <c r="Z62" s="8"/>
      <c r="AB62" s="10"/>
      <c r="AC62" s="10"/>
      <c r="AD62" s="10"/>
    </row>
  </sheetData>
  <sheetProtection formatCells="0" formatColumns="0" formatRows="0" insertColumns="0" insertRows="0" insertHyperlinks="0" deleteColumns="0" deleteRows="0" selectLockedCells="1" sort="0" autoFilter="0" pivotTables="0"/>
  <mergeCells count="182">
    <mergeCell ref="T35:V35"/>
    <mergeCell ref="W35:Y35"/>
    <mergeCell ref="Q49:S49"/>
    <mergeCell ref="Q48:S48"/>
    <mergeCell ref="T48:V48"/>
    <mergeCell ref="W48:Y48"/>
    <mergeCell ref="A55:Q57"/>
    <mergeCell ref="A54:Q54"/>
    <mergeCell ref="V60:Y61"/>
    <mergeCell ref="A59:Q62"/>
    <mergeCell ref="R59:T62"/>
    <mergeCell ref="H49:J49"/>
    <mergeCell ref="K49:M49"/>
    <mergeCell ref="N49:P49"/>
    <mergeCell ref="U55:Z58"/>
    <mergeCell ref="B49:D49"/>
    <mergeCell ref="E49:G49"/>
    <mergeCell ref="R55:T58"/>
    <mergeCell ref="T49:V49"/>
    <mergeCell ref="W49:Y49"/>
    <mergeCell ref="B48:D48"/>
    <mergeCell ref="E48:G48"/>
    <mergeCell ref="N48:P48"/>
    <mergeCell ref="B35:D35"/>
    <mergeCell ref="B47:D47"/>
    <mergeCell ref="E47:G47"/>
    <mergeCell ref="H47:J47"/>
    <mergeCell ref="H48:J48"/>
    <mergeCell ref="K48:M48"/>
    <mergeCell ref="B45:D45"/>
    <mergeCell ref="E45:G45"/>
    <mergeCell ref="H45:J45"/>
    <mergeCell ref="K45:M45"/>
    <mergeCell ref="B46:D46"/>
    <mergeCell ref="E46:G46"/>
    <mergeCell ref="H46:J46"/>
    <mergeCell ref="K46:M46"/>
    <mergeCell ref="N39:P39"/>
    <mergeCell ref="K32:M34"/>
    <mergeCell ref="N32:P34"/>
    <mergeCell ref="H35:J35"/>
    <mergeCell ref="K35:M35"/>
    <mergeCell ref="N35:P35"/>
    <mergeCell ref="B36:D36"/>
    <mergeCell ref="E36:G36"/>
    <mergeCell ref="E40:G40"/>
    <mergeCell ref="H40:J40"/>
    <mergeCell ref="K40:M40"/>
    <mergeCell ref="N40:P40"/>
    <mergeCell ref="E35:G35"/>
    <mergeCell ref="H32:J34"/>
    <mergeCell ref="AD32:AD34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Q32:S34"/>
    <mergeCell ref="AB32:AB34"/>
    <mergeCell ref="AC32:AC34"/>
    <mergeCell ref="R54:T54"/>
    <mergeCell ref="U53:Z53"/>
    <mergeCell ref="U54:Z54"/>
    <mergeCell ref="S12:Y12"/>
    <mergeCell ref="T32:V34"/>
    <mergeCell ref="W32:Y34"/>
    <mergeCell ref="Q47:S47"/>
    <mergeCell ref="T47:V47"/>
    <mergeCell ref="W47:Y47"/>
    <mergeCell ref="Q35:S35"/>
    <mergeCell ref="T43:V43"/>
    <mergeCell ref="W43:Y43"/>
    <mergeCell ref="Q42:S42"/>
    <mergeCell ref="N12:R12"/>
    <mergeCell ref="I18:Y18"/>
    <mergeCell ref="I17:Y17"/>
    <mergeCell ref="K47:M47"/>
    <mergeCell ref="N47:P47"/>
    <mergeCell ref="H36:J36"/>
    <mergeCell ref="K36:M36"/>
    <mergeCell ref="N36:P36"/>
    <mergeCell ref="Q36:S36"/>
    <mergeCell ref="T36:V36"/>
    <mergeCell ref="W36:Y36"/>
    <mergeCell ref="S11:Y11"/>
    <mergeCell ref="N10:R10"/>
    <mergeCell ref="N11:R11"/>
    <mergeCell ref="P6:T6"/>
    <mergeCell ref="B24:E26"/>
    <mergeCell ref="B27:E29"/>
    <mergeCell ref="W27:Y29"/>
    <mergeCell ref="B32:D34"/>
    <mergeCell ref="E32:G34"/>
    <mergeCell ref="H10:M10"/>
    <mergeCell ref="H11:M11"/>
    <mergeCell ref="H12:M12"/>
    <mergeCell ref="B18:H18"/>
    <mergeCell ref="B12:G12"/>
    <mergeCell ref="B11:G11"/>
    <mergeCell ref="B17:H17"/>
    <mergeCell ref="A7:F7"/>
    <mergeCell ref="G7:Z7"/>
    <mergeCell ref="B10:G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T42:V42"/>
    <mergeCell ref="W42:Y42"/>
    <mergeCell ref="B43:D43"/>
    <mergeCell ref="E43:G43"/>
    <mergeCell ref="H43:J43"/>
    <mergeCell ref="K43:M43"/>
    <mergeCell ref="N43:P43"/>
    <mergeCell ref="Q43:S43"/>
    <mergeCell ref="T38:V38"/>
    <mergeCell ref="W38:Y38"/>
    <mergeCell ref="B39:D39"/>
    <mergeCell ref="E39:G39"/>
    <mergeCell ref="H39:J39"/>
    <mergeCell ref="K39:M39"/>
    <mergeCell ref="Q39:S39"/>
    <mergeCell ref="T39:V39"/>
    <mergeCell ref="W41:Y41"/>
    <mergeCell ref="B40:D40"/>
    <mergeCell ref="T44:V44"/>
    <mergeCell ref="W44:Y44"/>
    <mergeCell ref="B42:D42"/>
    <mergeCell ref="E42:G42"/>
    <mergeCell ref="H42:J42"/>
    <mergeCell ref="K42:M42"/>
    <mergeCell ref="N42:P42"/>
    <mergeCell ref="N44:P44"/>
    <mergeCell ref="Q45:S45"/>
    <mergeCell ref="T45:V45"/>
    <mergeCell ref="W45:Y45"/>
    <mergeCell ref="N45:P45"/>
    <mergeCell ref="N46:P46"/>
    <mergeCell ref="Q44:S44"/>
    <mergeCell ref="B44:D44"/>
    <mergeCell ref="E44:G44"/>
    <mergeCell ref="H44:J44"/>
    <mergeCell ref="K44:M44"/>
    <mergeCell ref="T37:V37"/>
    <mergeCell ref="W37:Y37"/>
    <mergeCell ref="B38:D38"/>
    <mergeCell ref="E38:G38"/>
    <mergeCell ref="H38:J38"/>
    <mergeCell ref="K38:M38"/>
    <mergeCell ref="N38:P38"/>
    <mergeCell ref="W39:Y39"/>
    <mergeCell ref="Q46:S46"/>
    <mergeCell ref="T46:V46"/>
    <mergeCell ref="W46:Y46"/>
    <mergeCell ref="B37:D37"/>
    <mergeCell ref="E37:G37"/>
    <mergeCell ref="H37:J37"/>
    <mergeCell ref="K37:M37"/>
    <mergeCell ref="N37:P37"/>
    <mergeCell ref="Q37:S37"/>
    <mergeCell ref="Q38:S38"/>
    <mergeCell ref="Q40:S40"/>
    <mergeCell ref="T40:V40"/>
    <mergeCell ref="W40:Y40"/>
    <mergeCell ref="B41:D41"/>
    <mergeCell ref="E41:G41"/>
    <mergeCell ref="H41:J41"/>
    <mergeCell ref="K41:M41"/>
    <mergeCell ref="N41:P41"/>
    <mergeCell ref="Q41:S41"/>
    <mergeCell ref="T41:V41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ED05B-CDEF-448C-B09F-7E5020AC58C3}">
  <sheetPr>
    <pageSetUpPr fitToPage="1"/>
  </sheetPr>
  <dimension ref="A1:AF65"/>
  <sheetViews>
    <sheetView tabSelected="1" topLeftCell="A40" workbookViewId="0">
      <selection activeCell="A59" sqref="A59:Q62"/>
    </sheetView>
  </sheetViews>
  <sheetFormatPr baseColWidth="10" defaultColWidth="11.44140625" defaultRowHeight="12.75" customHeight="1" x14ac:dyDescent="0.25"/>
  <cols>
    <col min="1" max="1" width="5.109375" style="11" customWidth="1"/>
    <col min="2" max="26" width="5.109375" style="10" customWidth="1"/>
    <col min="27" max="27" width="20" style="10" customWidth="1"/>
    <col min="28" max="28" width="28.109375" style="10" customWidth="1"/>
    <col min="29" max="29" width="22.88671875" style="10" customWidth="1"/>
    <col min="30" max="30" width="29.33203125" style="10" customWidth="1"/>
    <col min="31" max="31" width="11.44140625" style="10"/>
    <col min="32" max="16384" width="11.44140625" style="9"/>
  </cols>
  <sheetData>
    <row r="1" spans="1:32" ht="12.75" customHeight="1" x14ac:dyDescent="0.25">
      <c r="A1" s="118"/>
      <c r="B1" s="119"/>
      <c r="C1" s="119"/>
      <c r="D1" s="119"/>
      <c r="E1" s="119"/>
      <c r="F1" s="120"/>
      <c r="G1" s="127" t="s">
        <v>0</v>
      </c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9"/>
      <c r="U1" s="130" t="s">
        <v>52</v>
      </c>
      <c r="V1" s="131"/>
      <c r="W1" s="131"/>
      <c r="X1" s="131"/>
      <c r="Y1" s="131"/>
      <c r="Z1" s="132"/>
    </row>
    <row r="2" spans="1:32" ht="12.75" customHeight="1" x14ac:dyDescent="0.3">
      <c r="A2" s="121"/>
      <c r="B2" s="122"/>
      <c r="C2" s="122"/>
      <c r="D2" s="122"/>
      <c r="E2" s="122"/>
      <c r="F2" s="123"/>
      <c r="G2" s="139" t="s">
        <v>1</v>
      </c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1"/>
      <c r="U2" s="133"/>
      <c r="V2" s="134"/>
      <c r="W2" s="134"/>
      <c r="X2" s="134"/>
      <c r="Y2" s="134"/>
      <c r="Z2" s="135"/>
      <c r="AA2" s="23"/>
      <c r="AB2" s="23"/>
    </row>
    <row r="3" spans="1:32" ht="12.75" customHeight="1" x14ac:dyDescent="0.3">
      <c r="A3" s="121"/>
      <c r="B3" s="122"/>
      <c r="C3" s="122"/>
      <c r="D3" s="122"/>
      <c r="E3" s="122"/>
      <c r="F3" s="123"/>
      <c r="G3" s="139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1"/>
      <c r="U3" s="133"/>
      <c r="V3" s="134"/>
      <c r="W3" s="134"/>
      <c r="X3" s="134"/>
      <c r="Y3" s="134"/>
      <c r="Z3" s="135"/>
      <c r="AA3" s="23"/>
      <c r="AB3" s="23"/>
    </row>
    <row r="4" spans="1:32" ht="12.75" customHeight="1" x14ac:dyDescent="0.3">
      <c r="A4" s="121"/>
      <c r="B4" s="122"/>
      <c r="C4" s="122"/>
      <c r="D4" s="122"/>
      <c r="E4" s="122"/>
      <c r="F4" s="123"/>
      <c r="G4" s="139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33"/>
      <c r="V4" s="134"/>
      <c r="W4" s="134"/>
      <c r="X4" s="134"/>
      <c r="Y4" s="134"/>
      <c r="Z4" s="135"/>
      <c r="AA4" s="23"/>
      <c r="AB4" s="23"/>
    </row>
    <row r="5" spans="1:32" ht="12.75" customHeight="1" x14ac:dyDescent="0.3">
      <c r="A5" s="121"/>
      <c r="B5" s="122"/>
      <c r="C5" s="122"/>
      <c r="D5" s="122"/>
      <c r="E5" s="122"/>
      <c r="F5" s="123"/>
      <c r="G5" s="78"/>
      <c r="H5" s="79"/>
      <c r="I5" s="72" t="s">
        <v>2</v>
      </c>
      <c r="J5" s="208">
        <v>1</v>
      </c>
      <c r="K5" s="209"/>
      <c r="L5" s="82" t="s">
        <v>51</v>
      </c>
      <c r="M5" s="83"/>
      <c r="N5" s="83"/>
      <c r="O5" s="84"/>
      <c r="P5" s="85" t="s">
        <v>58</v>
      </c>
      <c r="Q5" s="86"/>
      <c r="R5" s="86"/>
      <c r="S5" s="86"/>
      <c r="T5" s="87"/>
      <c r="U5" s="133"/>
      <c r="V5" s="134"/>
      <c r="W5" s="134"/>
      <c r="X5" s="134"/>
      <c r="Y5" s="134"/>
      <c r="Z5" s="135"/>
      <c r="AA5" s="23"/>
      <c r="AB5" s="23"/>
    </row>
    <row r="6" spans="1:32" ht="12.75" customHeight="1" x14ac:dyDescent="0.25">
      <c r="A6" s="124"/>
      <c r="B6" s="125"/>
      <c r="C6" s="125"/>
      <c r="D6" s="125"/>
      <c r="E6" s="125"/>
      <c r="F6" s="126"/>
      <c r="G6" s="71"/>
      <c r="H6" s="32"/>
      <c r="I6" s="32"/>
      <c r="J6" s="88" t="s">
        <v>3</v>
      </c>
      <c r="K6" s="88"/>
      <c r="L6" s="88" t="s">
        <v>4</v>
      </c>
      <c r="M6" s="88"/>
      <c r="N6" s="88"/>
      <c r="O6" s="88"/>
      <c r="P6" s="88" t="s">
        <v>5</v>
      </c>
      <c r="Q6" s="88"/>
      <c r="R6" s="88"/>
      <c r="S6" s="88"/>
      <c r="T6" s="91"/>
      <c r="U6" s="136"/>
      <c r="V6" s="137"/>
      <c r="W6" s="137"/>
      <c r="X6" s="137"/>
      <c r="Y6" s="137"/>
      <c r="Z6" s="138"/>
    </row>
    <row r="7" spans="1:32" ht="37.5" customHeight="1" x14ac:dyDescent="0.25">
      <c r="A7" s="116" t="s">
        <v>6</v>
      </c>
      <c r="B7" s="116"/>
      <c r="C7" s="116"/>
      <c r="D7" s="116"/>
      <c r="E7" s="116"/>
      <c r="F7" s="116"/>
      <c r="G7" s="117" t="s">
        <v>7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32" ht="15.9" customHeight="1" x14ac:dyDescent="0.3">
      <c r="A8" s="62" t="s">
        <v>8</v>
      </c>
      <c r="B8" s="70" t="s">
        <v>9</v>
      </c>
      <c r="C8" s="69"/>
      <c r="D8" s="68"/>
      <c r="E8" s="68"/>
      <c r="F8" s="68"/>
      <c r="G8" s="68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44"/>
      <c r="AB8" s="23"/>
      <c r="AF8" s="23" t="s">
        <v>10</v>
      </c>
    </row>
    <row r="9" spans="1:32" ht="8.25" customHeight="1" x14ac:dyDescent="0.3">
      <c r="A9" s="16"/>
      <c r="D9" s="11"/>
      <c r="E9" s="11"/>
      <c r="F9" s="11"/>
      <c r="G9" s="11"/>
      <c r="Z9" s="35"/>
      <c r="AB9" s="23"/>
      <c r="AF9" s="23" t="s">
        <v>60</v>
      </c>
    </row>
    <row r="10" spans="1:32" ht="15.9" customHeight="1" x14ac:dyDescent="0.3">
      <c r="A10" s="16"/>
      <c r="B10" s="90" t="s">
        <v>11</v>
      </c>
      <c r="C10" s="90"/>
      <c r="D10" s="90"/>
      <c r="E10" s="90"/>
      <c r="F10" s="90"/>
      <c r="G10" s="90"/>
      <c r="H10" s="114" t="s">
        <v>10</v>
      </c>
      <c r="I10" s="114"/>
      <c r="J10" s="114"/>
      <c r="K10" s="114"/>
      <c r="L10" s="114"/>
      <c r="M10" s="114"/>
      <c r="N10" s="90" t="s">
        <v>12</v>
      </c>
      <c r="O10" s="90"/>
      <c r="P10" s="90"/>
      <c r="Q10" s="90"/>
      <c r="R10" s="90"/>
      <c r="S10" s="89" t="s">
        <v>13</v>
      </c>
      <c r="T10" s="89"/>
      <c r="U10" s="89"/>
      <c r="V10" s="89"/>
      <c r="W10" s="89"/>
      <c r="X10" s="89"/>
      <c r="Y10" s="89"/>
      <c r="Z10" s="67"/>
      <c r="AB10" s="23"/>
      <c r="AF10" s="23" t="s">
        <v>58</v>
      </c>
    </row>
    <row r="11" spans="1:32" ht="15.9" customHeight="1" x14ac:dyDescent="0.3">
      <c r="A11" s="16"/>
      <c r="B11" s="90" t="s">
        <v>14</v>
      </c>
      <c r="C11" s="90"/>
      <c r="D11" s="90"/>
      <c r="E11" s="90"/>
      <c r="F11" s="90"/>
      <c r="G11" s="90"/>
      <c r="H11" s="114" t="s">
        <v>60</v>
      </c>
      <c r="I11" s="114"/>
      <c r="J11" s="114"/>
      <c r="K11" s="114"/>
      <c r="L11" s="114"/>
      <c r="M11" s="114"/>
      <c r="N11" s="90" t="s">
        <v>15</v>
      </c>
      <c r="O11" s="90"/>
      <c r="P11" s="90"/>
      <c r="Q11" s="90"/>
      <c r="R11" s="90"/>
      <c r="S11" s="89" t="s">
        <v>16</v>
      </c>
      <c r="T11" s="89"/>
      <c r="U11" s="89"/>
      <c r="V11" s="89"/>
      <c r="W11" s="89"/>
      <c r="X11" s="89"/>
      <c r="Y11" s="89"/>
      <c r="Z11" s="67"/>
      <c r="AB11" s="23"/>
      <c r="AF11" s="23" t="s">
        <v>13</v>
      </c>
    </row>
    <row r="12" spans="1:32" ht="15.9" customHeight="1" x14ac:dyDescent="0.3">
      <c r="A12" s="16"/>
      <c r="B12" s="90" t="s">
        <v>17</v>
      </c>
      <c r="C12" s="90"/>
      <c r="D12" s="90"/>
      <c r="E12" s="90"/>
      <c r="F12" s="90"/>
      <c r="G12" s="90"/>
      <c r="H12" s="114" t="s">
        <v>58</v>
      </c>
      <c r="I12" s="114"/>
      <c r="J12" s="114"/>
      <c r="K12" s="114"/>
      <c r="L12" s="114"/>
      <c r="M12" s="114"/>
      <c r="N12" s="90" t="s">
        <v>18</v>
      </c>
      <c r="O12" s="90"/>
      <c r="P12" s="90"/>
      <c r="Q12" s="90"/>
      <c r="R12" s="90"/>
      <c r="S12" s="89" t="s">
        <v>19</v>
      </c>
      <c r="T12" s="89"/>
      <c r="U12" s="89"/>
      <c r="V12" s="89"/>
      <c r="W12" s="89"/>
      <c r="X12" s="89"/>
      <c r="Y12" s="89"/>
      <c r="Z12" s="67"/>
      <c r="AB12" s="23"/>
      <c r="AF12" s="23" t="s">
        <v>16</v>
      </c>
    </row>
    <row r="13" spans="1:32" ht="8.25" customHeight="1" x14ac:dyDescent="0.3">
      <c r="A13" s="14"/>
      <c r="B13" s="32"/>
      <c r="C13" s="32"/>
      <c r="D13" s="13"/>
      <c r="E13" s="13"/>
      <c r="F13" s="13"/>
      <c r="G13" s="13"/>
      <c r="H13" s="32"/>
      <c r="I13" s="32"/>
      <c r="J13" s="32"/>
      <c r="K13" s="32"/>
      <c r="L13" s="32"/>
      <c r="M13" s="32"/>
      <c r="N13" s="66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1"/>
      <c r="AB13" s="23"/>
      <c r="AF13" s="23" t="s">
        <v>19</v>
      </c>
    </row>
    <row r="14" spans="1:32" s="17" customFormat="1" ht="15" customHeight="1" x14ac:dyDescent="0.25">
      <c r="B14" s="64"/>
      <c r="C14" s="64"/>
      <c r="K14" s="65"/>
      <c r="L14" s="64"/>
      <c r="M14" s="63"/>
    </row>
    <row r="15" spans="1:32" s="17" customFormat="1" ht="13.8" customHeight="1" x14ac:dyDescent="0.25">
      <c r="A15" s="62" t="s">
        <v>20</v>
      </c>
      <c r="B15" s="61" t="s">
        <v>21</v>
      </c>
      <c r="C15" s="60"/>
      <c r="D15" s="60"/>
      <c r="E15" s="60"/>
      <c r="F15" s="60"/>
      <c r="G15" s="60"/>
      <c r="H15" s="60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8"/>
    </row>
    <row r="16" spans="1:32" s="17" customFormat="1" ht="13.8" customHeight="1" x14ac:dyDescent="0.25">
      <c r="A16" s="54"/>
      <c r="B16" s="57"/>
      <c r="C16" s="56"/>
      <c r="D16" s="56"/>
      <c r="E16" s="56"/>
      <c r="F16" s="56"/>
      <c r="G16" s="56"/>
      <c r="H16" s="56"/>
      <c r="Z16" s="55"/>
    </row>
    <row r="17" spans="1:32" s="17" customFormat="1" ht="15" customHeight="1" x14ac:dyDescent="0.25">
      <c r="A17" s="54"/>
      <c r="B17" s="115" t="s">
        <v>22</v>
      </c>
      <c r="C17" s="115"/>
      <c r="D17" s="115"/>
      <c r="E17" s="115"/>
      <c r="F17" s="115"/>
      <c r="G17" s="115"/>
      <c r="H17" s="115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53"/>
    </row>
    <row r="18" spans="1:32" s="17" customFormat="1" ht="15" customHeight="1" x14ac:dyDescent="0.3">
      <c r="A18" s="54"/>
      <c r="B18" s="115" t="s">
        <v>23</v>
      </c>
      <c r="C18" s="115"/>
      <c r="D18" s="115"/>
      <c r="E18" s="115"/>
      <c r="F18" s="115"/>
      <c r="G18" s="115"/>
      <c r="H18" s="115"/>
      <c r="I18" s="158" t="s">
        <v>64</v>
      </c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53"/>
    </row>
    <row r="19" spans="1:32" s="17" customFormat="1" ht="13.2" customHeight="1" x14ac:dyDescent="0.25">
      <c r="A19" s="52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0"/>
    </row>
    <row r="20" spans="1:32" ht="12.75" customHeight="1" x14ac:dyDescent="0.25">
      <c r="D20" s="11"/>
      <c r="E20" s="11"/>
      <c r="F20" s="11"/>
      <c r="G20" s="11"/>
      <c r="N20" s="49"/>
    </row>
    <row r="21" spans="1:32" ht="15.9" customHeight="1" x14ac:dyDescent="0.25">
      <c r="A21" s="48" t="s">
        <v>24</v>
      </c>
      <c r="B21" s="47" t="s">
        <v>25</v>
      </c>
      <c r="C21" s="45"/>
      <c r="D21" s="46"/>
      <c r="E21" s="46"/>
      <c r="F21" s="46"/>
      <c r="G21" s="46"/>
      <c r="H21" s="45"/>
      <c r="I21" s="45"/>
      <c r="J21" s="45"/>
      <c r="K21" s="45"/>
      <c r="L21" s="45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44"/>
    </row>
    <row r="22" spans="1:32" ht="12.75" customHeight="1" x14ac:dyDescent="0.25">
      <c r="A22" s="16"/>
      <c r="Z22" s="35"/>
    </row>
    <row r="23" spans="1:32" ht="12.75" customHeight="1" x14ac:dyDescent="0.25">
      <c r="A23" s="16"/>
      <c r="Z23" s="35"/>
    </row>
    <row r="24" spans="1:32" ht="12.75" customHeight="1" x14ac:dyDescent="0.25">
      <c r="A24" s="16"/>
      <c r="B24" s="92" t="s">
        <v>26</v>
      </c>
      <c r="C24" s="93"/>
      <c r="D24" s="93"/>
      <c r="E24" s="93"/>
      <c r="F24" s="93">
        <v>18</v>
      </c>
      <c r="G24" s="93"/>
      <c r="H24" s="93"/>
      <c r="I24" s="93"/>
      <c r="J24" s="103" t="s">
        <v>27</v>
      </c>
      <c r="K24" s="103"/>
      <c r="L24" s="104"/>
      <c r="O24" s="92" t="s">
        <v>28</v>
      </c>
      <c r="P24" s="98"/>
      <c r="Q24" s="98"/>
      <c r="R24" s="98"/>
      <c r="S24" s="93">
        <v>890</v>
      </c>
      <c r="T24" s="93"/>
      <c r="U24" s="93"/>
      <c r="V24" s="93"/>
      <c r="W24" s="103" t="s">
        <v>56</v>
      </c>
      <c r="X24" s="103"/>
      <c r="Y24" s="104"/>
      <c r="Z24" s="35"/>
      <c r="AA24" s="9"/>
    </row>
    <row r="25" spans="1:32" ht="12.75" customHeight="1" x14ac:dyDescent="0.25">
      <c r="A25" s="16"/>
      <c r="B25" s="94"/>
      <c r="C25" s="95"/>
      <c r="D25" s="95"/>
      <c r="E25" s="95"/>
      <c r="F25" s="95"/>
      <c r="G25" s="95"/>
      <c r="H25" s="95"/>
      <c r="I25" s="95"/>
      <c r="J25" s="105"/>
      <c r="K25" s="105"/>
      <c r="L25" s="106"/>
      <c r="O25" s="99"/>
      <c r="P25" s="100"/>
      <c r="Q25" s="100"/>
      <c r="R25" s="100"/>
      <c r="S25" s="95"/>
      <c r="T25" s="95"/>
      <c r="U25" s="95"/>
      <c r="V25" s="95"/>
      <c r="W25" s="105"/>
      <c r="X25" s="105"/>
      <c r="Y25" s="106"/>
      <c r="Z25" s="35"/>
      <c r="AA25" s="9"/>
    </row>
    <row r="26" spans="1:32" ht="12.75" customHeight="1" x14ac:dyDescent="0.25">
      <c r="A26" s="16"/>
      <c r="B26" s="96"/>
      <c r="C26" s="97"/>
      <c r="D26" s="97"/>
      <c r="E26" s="97"/>
      <c r="F26" s="97"/>
      <c r="G26" s="97"/>
      <c r="H26" s="97"/>
      <c r="I26" s="97"/>
      <c r="J26" s="107"/>
      <c r="K26" s="107"/>
      <c r="L26" s="108"/>
      <c r="O26" s="101"/>
      <c r="P26" s="102"/>
      <c r="Q26" s="102"/>
      <c r="R26" s="102"/>
      <c r="S26" s="97"/>
      <c r="T26" s="97"/>
      <c r="U26" s="97"/>
      <c r="V26" s="97"/>
      <c r="W26" s="107"/>
      <c r="X26" s="107"/>
      <c r="Y26" s="108"/>
      <c r="Z26" s="35"/>
      <c r="AA26" s="9"/>
    </row>
    <row r="27" spans="1:32" ht="12.75" customHeight="1" x14ac:dyDescent="0.25">
      <c r="A27" s="16"/>
      <c r="B27" s="92" t="s">
        <v>29</v>
      </c>
      <c r="C27" s="98"/>
      <c r="D27" s="98"/>
      <c r="E27" s="98"/>
      <c r="F27" s="160">
        <f>IF(F24&lt;&gt;"",(997.1*(SUM(AD35:AD65))),"")</f>
        <v>998.69536000000005</v>
      </c>
      <c r="G27" s="160"/>
      <c r="H27" s="160"/>
      <c r="I27" s="160"/>
      <c r="J27" s="103" t="s">
        <v>30</v>
      </c>
      <c r="K27" s="103"/>
      <c r="L27" s="104"/>
      <c r="O27" s="163" t="s">
        <v>31</v>
      </c>
      <c r="P27" s="93"/>
      <c r="Q27" s="93"/>
      <c r="R27" s="93"/>
      <c r="S27" s="93">
        <v>2500</v>
      </c>
      <c r="T27" s="93"/>
      <c r="U27" s="93"/>
      <c r="V27" s="93"/>
      <c r="W27" s="103" t="s">
        <v>30</v>
      </c>
      <c r="X27" s="103"/>
      <c r="Y27" s="104"/>
      <c r="Z27" s="35"/>
      <c r="AA27" s="9"/>
    </row>
    <row r="28" spans="1:32" ht="12.75" customHeight="1" x14ac:dyDescent="0.25">
      <c r="A28" s="16"/>
      <c r="B28" s="99"/>
      <c r="C28" s="100"/>
      <c r="D28" s="100"/>
      <c r="E28" s="100"/>
      <c r="F28" s="161"/>
      <c r="G28" s="161"/>
      <c r="H28" s="161"/>
      <c r="I28" s="161"/>
      <c r="J28" s="105"/>
      <c r="K28" s="105"/>
      <c r="L28" s="106"/>
      <c r="O28" s="94"/>
      <c r="P28" s="95"/>
      <c r="Q28" s="95"/>
      <c r="R28" s="95"/>
      <c r="S28" s="95"/>
      <c r="T28" s="95"/>
      <c r="U28" s="95"/>
      <c r="V28" s="95"/>
      <c r="W28" s="105"/>
      <c r="X28" s="105"/>
      <c r="Y28" s="106"/>
      <c r="Z28" s="35"/>
      <c r="AA28" s="9"/>
    </row>
    <row r="29" spans="1:32" ht="12.75" customHeight="1" x14ac:dyDescent="0.25">
      <c r="A29" s="16"/>
      <c r="B29" s="101"/>
      <c r="C29" s="102"/>
      <c r="D29" s="102"/>
      <c r="E29" s="102"/>
      <c r="F29" s="162"/>
      <c r="G29" s="162"/>
      <c r="H29" s="162"/>
      <c r="I29" s="162"/>
      <c r="J29" s="107"/>
      <c r="K29" s="107"/>
      <c r="L29" s="108"/>
      <c r="O29" s="96"/>
      <c r="P29" s="97"/>
      <c r="Q29" s="97"/>
      <c r="R29" s="97"/>
      <c r="S29" s="97"/>
      <c r="T29" s="97"/>
      <c r="U29" s="97"/>
      <c r="V29" s="97"/>
      <c r="W29" s="107"/>
      <c r="X29" s="107"/>
      <c r="Y29" s="108"/>
      <c r="Z29" s="35"/>
    </row>
    <row r="30" spans="1:32" ht="12.75" customHeight="1" x14ac:dyDescent="0.3">
      <c r="A30" s="16"/>
      <c r="B30" s="43"/>
      <c r="C30" s="41"/>
      <c r="D30" s="40"/>
      <c r="I30" s="39"/>
      <c r="J30" s="39"/>
      <c r="P30" s="41"/>
      <c r="Q30" s="41"/>
      <c r="R30" s="41"/>
      <c r="S30" s="41"/>
      <c r="T30" s="41"/>
      <c r="U30" s="41"/>
      <c r="V30" s="41"/>
      <c r="W30" s="40"/>
      <c r="Z30" s="35"/>
      <c r="AA30" s="23"/>
      <c r="AB30" s="23"/>
      <c r="AC30" s="23"/>
      <c r="AD30" s="23"/>
      <c r="AE30" s="23"/>
      <c r="AF30" s="23"/>
    </row>
    <row r="31" spans="1:32" ht="12.75" customHeight="1" thickBot="1" x14ac:dyDescent="0.3">
      <c r="A31" s="16"/>
      <c r="B31" s="43"/>
      <c r="C31" s="41"/>
      <c r="D31" s="40"/>
      <c r="E31" s="39"/>
      <c r="F31" s="42"/>
      <c r="G31" s="41"/>
      <c r="H31" s="40"/>
      <c r="I31" s="39"/>
      <c r="J31" s="39"/>
      <c r="Z31" s="35"/>
    </row>
    <row r="32" spans="1:32" ht="19.5" customHeight="1" x14ac:dyDescent="0.25">
      <c r="A32" s="16"/>
      <c r="B32" s="109" t="s">
        <v>32</v>
      </c>
      <c r="C32" s="110"/>
      <c r="D32" s="110"/>
      <c r="E32" s="110" t="s">
        <v>33</v>
      </c>
      <c r="F32" s="110"/>
      <c r="G32" s="110"/>
      <c r="H32" s="110" t="s">
        <v>34</v>
      </c>
      <c r="I32" s="110"/>
      <c r="J32" s="110"/>
      <c r="K32" s="110" t="s">
        <v>35</v>
      </c>
      <c r="L32" s="110"/>
      <c r="M32" s="110"/>
      <c r="N32" s="110" t="s">
        <v>55</v>
      </c>
      <c r="O32" s="110"/>
      <c r="P32" s="110"/>
      <c r="Q32" s="110" t="s">
        <v>36</v>
      </c>
      <c r="R32" s="110"/>
      <c r="S32" s="110"/>
      <c r="T32" s="152" t="s">
        <v>37</v>
      </c>
      <c r="U32" s="152"/>
      <c r="V32" s="152"/>
      <c r="W32" s="110" t="s">
        <v>38</v>
      </c>
      <c r="X32" s="110"/>
      <c r="Y32" s="154"/>
      <c r="Z32" s="35"/>
      <c r="AB32" s="118" t="s">
        <v>39</v>
      </c>
      <c r="AC32" s="119" t="s">
        <v>40</v>
      </c>
      <c r="AD32" s="120" t="s">
        <v>41</v>
      </c>
    </row>
    <row r="33" spans="1:30" ht="19.5" customHeight="1" x14ac:dyDescent="0.25">
      <c r="A33" s="16"/>
      <c r="B33" s="111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95"/>
      <c r="U33" s="95"/>
      <c r="V33" s="95"/>
      <c r="W33" s="100"/>
      <c r="X33" s="100"/>
      <c r="Y33" s="155"/>
      <c r="Z33" s="35"/>
      <c r="AB33" s="121"/>
      <c r="AC33" s="122"/>
      <c r="AD33" s="123"/>
    </row>
    <row r="34" spans="1:30" ht="19.5" customHeight="1" thickBot="1" x14ac:dyDescent="0.3">
      <c r="A34" s="16"/>
      <c r="B34" s="112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53"/>
      <c r="U34" s="153"/>
      <c r="V34" s="153"/>
      <c r="W34" s="113"/>
      <c r="X34" s="113"/>
      <c r="Y34" s="156"/>
      <c r="Z34" s="35"/>
      <c r="AB34" s="124"/>
      <c r="AC34" s="125"/>
      <c r="AD34" s="126"/>
    </row>
    <row r="35" spans="1:30" ht="25.5" customHeight="1" x14ac:dyDescent="0.25">
      <c r="A35" s="16"/>
      <c r="B35" s="206" t="s">
        <v>61</v>
      </c>
      <c r="C35" s="207"/>
      <c r="D35" s="207"/>
      <c r="E35" s="164">
        <v>869.3</v>
      </c>
      <c r="F35" s="164"/>
      <c r="G35" s="164"/>
      <c r="H35" s="164">
        <v>882</v>
      </c>
      <c r="I35" s="164"/>
      <c r="J35" s="164"/>
      <c r="K35" s="164">
        <v>501.9</v>
      </c>
      <c r="L35" s="164"/>
      <c r="M35" s="164"/>
      <c r="N35" s="157">
        <f>IF(E35&lt;&gt;"",E35/(((H35-K35)/$F$27)-((H35-E35)/$S$24)),"")</f>
        <v>2373.017244706823</v>
      </c>
      <c r="O35" s="157"/>
      <c r="P35" s="157"/>
      <c r="Q35" s="157">
        <f>IF(N35&lt;&gt;"",(N35/$S$27)*100,"")</f>
        <v>94.920689788272909</v>
      </c>
      <c r="R35" s="157"/>
      <c r="S35" s="157"/>
      <c r="T35" s="157">
        <f>IF(Q35&lt;&gt;"",100-Q35,"")</f>
        <v>5.0793102117270905</v>
      </c>
      <c r="U35" s="157"/>
      <c r="V35" s="157"/>
      <c r="W35" s="164">
        <v>5.3</v>
      </c>
      <c r="X35" s="164"/>
      <c r="Y35" s="167"/>
      <c r="Z35" s="35"/>
      <c r="AB35" s="16">
        <v>10</v>
      </c>
      <c r="AC35" s="11">
        <v>1.0026999999999999</v>
      </c>
      <c r="AD35" s="15" t="str">
        <f>IF($F$24=AB35,AC35,"")</f>
        <v/>
      </c>
    </row>
    <row r="36" spans="1:30" ht="25.5" customHeight="1" x14ac:dyDescent="0.25">
      <c r="A36" s="16"/>
      <c r="B36" s="165" t="s">
        <v>62</v>
      </c>
      <c r="C36" s="166"/>
      <c r="D36" s="166"/>
      <c r="E36" s="77">
        <v>859.8</v>
      </c>
      <c r="F36" s="77"/>
      <c r="G36" s="77"/>
      <c r="H36" s="77">
        <v>874.6</v>
      </c>
      <c r="I36" s="77"/>
      <c r="J36" s="77"/>
      <c r="K36" s="77">
        <v>489</v>
      </c>
      <c r="L36" s="77"/>
      <c r="M36" s="77"/>
      <c r="N36" s="73">
        <f>IF(E36&lt;&gt;"",E36/(((H36-K36)/$F$27)-((H36-E36)/$S$24)),"")</f>
        <v>2327.0887977965085</v>
      </c>
      <c r="O36" s="73"/>
      <c r="P36" s="73"/>
      <c r="Q36" s="73">
        <f>IF(N36&lt;&gt;"",(N36/$S$27)*100,"")</f>
        <v>93.08355191186034</v>
      </c>
      <c r="R36" s="73"/>
      <c r="S36" s="73"/>
      <c r="T36" s="73">
        <f>IF(Q36&lt;&gt;"",100-Q36,"")</f>
        <v>6.9164480881396599</v>
      </c>
      <c r="U36" s="73"/>
      <c r="V36" s="73"/>
      <c r="W36" s="74">
        <v>5.2</v>
      </c>
      <c r="X36" s="74"/>
      <c r="Y36" s="75"/>
      <c r="Z36" s="35"/>
      <c r="AB36" s="16">
        <v>11</v>
      </c>
      <c r="AC36" s="11">
        <v>1.0025999999999999</v>
      </c>
      <c r="AD36" s="15" t="str">
        <f>IF($F$24=AB36,AC36,"")</f>
        <v/>
      </c>
    </row>
    <row r="37" spans="1:30" ht="25.5" customHeight="1" x14ac:dyDescent="0.25">
      <c r="A37" s="16"/>
      <c r="B37" s="76"/>
      <c r="C37" s="74"/>
      <c r="D37" s="74"/>
      <c r="E37" s="77"/>
      <c r="F37" s="77"/>
      <c r="G37" s="77"/>
      <c r="H37" s="77"/>
      <c r="I37" s="77"/>
      <c r="J37" s="77"/>
      <c r="K37" s="77"/>
      <c r="L37" s="77"/>
      <c r="M37" s="77"/>
      <c r="N37" s="73" t="str">
        <f t="shared" ref="N37:N46" si="0">IF(E37&lt;&gt;"",E37/(((H37-K37)/$F$27)-((H37-E37)/$S$24)),"")</f>
        <v/>
      </c>
      <c r="O37" s="73"/>
      <c r="P37" s="73"/>
      <c r="Q37" s="73" t="str">
        <f t="shared" ref="Q37:Q46" si="1">IF(N37&lt;&gt;"",(N37/$S$27)*100,"")</f>
        <v/>
      </c>
      <c r="R37" s="73"/>
      <c r="S37" s="73"/>
      <c r="T37" s="73" t="str">
        <f t="shared" ref="T37:T46" si="2">IF(Q37&lt;&gt;"",100-Q37,"")</f>
        <v/>
      </c>
      <c r="U37" s="73"/>
      <c r="V37" s="73"/>
      <c r="W37" s="74"/>
      <c r="X37" s="74"/>
      <c r="Y37" s="75"/>
      <c r="Z37" s="35"/>
      <c r="AB37" s="16"/>
      <c r="AC37" s="11"/>
      <c r="AD37" s="15"/>
    </row>
    <row r="38" spans="1:30" ht="25.5" customHeight="1" x14ac:dyDescent="0.25">
      <c r="A38" s="16"/>
      <c r="B38" s="76"/>
      <c r="C38" s="74"/>
      <c r="D38" s="74"/>
      <c r="E38" s="77"/>
      <c r="F38" s="77"/>
      <c r="G38" s="77"/>
      <c r="H38" s="77"/>
      <c r="I38" s="77"/>
      <c r="J38" s="77"/>
      <c r="K38" s="77"/>
      <c r="L38" s="77"/>
      <c r="M38" s="77"/>
      <c r="N38" s="73" t="str">
        <f t="shared" si="0"/>
        <v/>
      </c>
      <c r="O38" s="73"/>
      <c r="P38" s="73"/>
      <c r="Q38" s="73" t="str">
        <f t="shared" si="1"/>
        <v/>
      </c>
      <c r="R38" s="73"/>
      <c r="S38" s="73"/>
      <c r="T38" s="73" t="str">
        <f t="shared" si="2"/>
        <v/>
      </c>
      <c r="U38" s="73"/>
      <c r="V38" s="73"/>
      <c r="W38" s="74"/>
      <c r="X38" s="74"/>
      <c r="Y38" s="75"/>
      <c r="Z38" s="35"/>
      <c r="AB38" s="16"/>
      <c r="AC38" s="11"/>
      <c r="AD38" s="15"/>
    </row>
    <row r="39" spans="1:30" ht="25.5" customHeight="1" x14ac:dyDescent="0.25">
      <c r="A39" s="16"/>
      <c r="B39" s="76"/>
      <c r="C39" s="74"/>
      <c r="D39" s="74"/>
      <c r="E39" s="77"/>
      <c r="F39" s="77"/>
      <c r="G39" s="77"/>
      <c r="H39" s="77"/>
      <c r="I39" s="77"/>
      <c r="J39" s="77"/>
      <c r="K39" s="77"/>
      <c r="L39" s="77"/>
      <c r="M39" s="77"/>
      <c r="N39" s="73" t="str">
        <f t="shared" si="0"/>
        <v/>
      </c>
      <c r="O39" s="73"/>
      <c r="P39" s="73"/>
      <c r="Q39" s="73" t="str">
        <f t="shared" si="1"/>
        <v/>
      </c>
      <c r="R39" s="73"/>
      <c r="S39" s="73"/>
      <c r="T39" s="73" t="str">
        <f t="shared" si="2"/>
        <v/>
      </c>
      <c r="U39" s="73"/>
      <c r="V39" s="73"/>
      <c r="W39" s="74"/>
      <c r="X39" s="74"/>
      <c r="Y39" s="75"/>
      <c r="Z39" s="35"/>
      <c r="AB39" s="16"/>
      <c r="AC39" s="11"/>
      <c r="AD39" s="15"/>
    </row>
    <row r="40" spans="1:30" ht="25.5" customHeight="1" x14ac:dyDescent="0.25">
      <c r="A40" s="16"/>
      <c r="B40" s="76"/>
      <c r="C40" s="74"/>
      <c r="D40" s="74"/>
      <c r="E40" s="77"/>
      <c r="F40" s="77"/>
      <c r="G40" s="77"/>
      <c r="H40" s="77"/>
      <c r="I40" s="77"/>
      <c r="J40" s="77"/>
      <c r="K40" s="77"/>
      <c r="L40" s="77"/>
      <c r="M40" s="77"/>
      <c r="N40" s="73" t="str">
        <f t="shared" si="0"/>
        <v/>
      </c>
      <c r="O40" s="73"/>
      <c r="P40" s="73"/>
      <c r="Q40" s="73" t="str">
        <f t="shared" si="1"/>
        <v/>
      </c>
      <c r="R40" s="73"/>
      <c r="S40" s="73"/>
      <c r="T40" s="73" t="str">
        <f t="shared" si="2"/>
        <v/>
      </c>
      <c r="U40" s="73"/>
      <c r="V40" s="73"/>
      <c r="W40" s="74"/>
      <c r="X40" s="74"/>
      <c r="Y40" s="75"/>
      <c r="Z40" s="35"/>
      <c r="AB40" s="16"/>
      <c r="AC40" s="11"/>
      <c r="AD40" s="15"/>
    </row>
    <row r="41" spans="1:30" ht="25.5" customHeight="1" x14ac:dyDescent="0.25">
      <c r="A41" s="16"/>
      <c r="B41" s="76"/>
      <c r="C41" s="74"/>
      <c r="D41" s="74"/>
      <c r="E41" s="77"/>
      <c r="F41" s="77"/>
      <c r="G41" s="77"/>
      <c r="H41" s="77"/>
      <c r="I41" s="77"/>
      <c r="J41" s="77"/>
      <c r="K41" s="77"/>
      <c r="L41" s="77"/>
      <c r="M41" s="77"/>
      <c r="N41" s="73" t="str">
        <f t="shared" si="0"/>
        <v/>
      </c>
      <c r="O41" s="73"/>
      <c r="P41" s="73"/>
      <c r="Q41" s="73" t="str">
        <f t="shared" si="1"/>
        <v/>
      </c>
      <c r="R41" s="73"/>
      <c r="S41" s="73"/>
      <c r="T41" s="73" t="str">
        <f t="shared" si="2"/>
        <v/>
      </c>
      <c r="U41" s="73"/>
      <c r="V41" s="73"/>
      <c r="W41" s="74"/>
      <c r="X41" s="74"/>
      <c r="Y41" s="75"/>
      <c r="Z41" s="35"/>
      <c r="AB41" s="16"/>
      <c r="AC41" s="11"/>
      <c r="AD41" s="15"/>
    </row>
    <row r="42" spans="1:30" ht="25.5" customHeight="1" x14ac:dyDescent="0.25">
      <c r="A42" s="16"/>
      <c r="B42" s="76"/>
      <c r="C42" s="74"/>
      <c r="D42" s="74"/>
      <c r="E42" s="77"/>
      <c r="F42" s="77"/>
      <c r="G42" s="77"/>
      <c r="H42" s="77"/>
      <c r="I42" s="77"/>
      <c r="J42" s="77"/>
      <c r="K42" s="77"/>
      <c r="L42" s="77"/>
      <c r="M42" s="77"/>
      <c r="N42" s="73" t="str">
        <f t="shared" si="0"/>
        <v/>
      </c>
      <c r="O42" s="73"/>
      <c r="P42" s="73"/>
      <c r="Q42" s="73" t="str">
        <f t="shared" si="1"/>
        <v/>
      </c>
      <c r="R42" s="73"/>
      <c r="S42" s="73"/>
      <c r="T42" s="73" t="str">
        <f t="shared" si="2"/>
        <v/>
      </c>
      <c r="U42" s="73"/>
      <c r="V42" s="73"/>
      <c r="W42" s="74"/>
      <c r="X42" s="74"/>
      <c r="Y42" s="75"/>
      <c r="Z42" s="35"/>
      <c r="AB42" s="16"/>
      <c r="AC42" s="11"/>
      <c r="AD42" s="15"/>
    </row>
    <row r="43" spans="1:30" ht="25.5" customHeight="1" x14ac:dyDescent="0.25">
      <c r="A43" s="16"/>
      <c r="B43" s="76"/>
      <c r="C43" s="74"/>
      <c r="D43" s="74"/>
      <c r="E43" s="77"/>
      <c r="F43" s="77"/>
      <c r="G43" s="77"/>
      <c r="H43" s="77"/>
      <c r="I43" s="77"/>
      <c r="J43" s="77"/>
      <c r="K43" s="77"/>
      <c r="L43" s="77"/>
      <c r="M43" s="77"/>
      <c r="N43" s="73" t="str">
        <f t="shared" si="0"/>
        <v/>
      </c>
      <c r="O43" s="73"/>
      <c r="P43" s="73"/>
      <c r="Q43" s="73" t="str">
        <f t="shared" si="1"/>
        <v/>
      </c>
      <c r="R43" s="73"/>
      <c r="S43" s="73"/>
      <c r="T43" s="73" t="str">
        <f t="shared" si="2"/>
        <v/>
      </c>
      <c r="U43" s="73"/>
      <c r="V43" s="73"/>
      <c r="W43" s="74"/>
      <c r="X43" s="74"/>
      <c r="Y43" s="75"/>
      <c r="Z43" s="35"/>
      <c r="AB43" s="16"/>
      <c r="AC43" s="11"/>
      <c r="AD43" s="15"/>
    </row>
    <row r="44" spans="1:30" ht="25.5" customHeight="1" x14ac:dyDescent="0.25">
      <c r="A44" s="16"/>
      <c r="B44" s="76"/>
      <c r="C44" s="74"/>
      <c r="D44" s="74"/>
      <c r="E44" s="77"/>
      <c r="F44" s="77"/>
      <c r="G44" s="77"/>
      <c r="H44" s="77"/>
      <c r="I44" s="77"/>
      <c r="J44" s="77"/>
      <c r="K44" s="77"/>
      <c r="L44" s="77"/>
      <c r="M44" s="77"/>
      <c r="N44" s="73" t="str">
        <f t="shared" si="0"/>
        <v/>
      </c>
      <c r="O44" s="73"/>
      <c r="P44" s="73"/>
      <c r="Q44" s="73" t="str">
        <f t="shared" si="1"/>
        <v/>
      </c>
      <c r="R44" s="73"/>
      <c r="S44" s="73"/>
      <c r="T44" s="73" t="str">
        <f t="shared" si="2"/>
        <v/>
      </c>
      <c r="U44" s="73"/>
      <c r="V44" s="73"/>
      <c r="W44" s="74"/>
      <c r="X44" s="74"/>
      <c r="Y44" s="75"/>
      <c r="Z44" s="35"/>
      <c r="AB44" s="16"/>
      <c r="AC44" s="11"/>
      <c r="AD44" s="15"/>
    </row>
    <row r="45" spans="1:30" ht="25.5" customHeight="1" x14ac:dyDescent="0.25">
      <c r="A45" s="16"/>
      <c r="B45" s="76"/>
      <c r="C45" s="74"/>
      <c r="D45" s="74"/>
      <c r="E45" s="77"/>
      <c r="F45" s="77"/>
      <c r="G45" s="77"/>
      <c r="H45" s="77"/>
      <c r="I45" s="77"/>
      <c r="J45" s="77"/>
      <c r="K45" s="77"/>
      <c r="L45" s="77"/>
      <c r="M45" s="77"/>
      <c r="N45" s="73" t="str">
        <f t="shared" si="0"/>
        <v/>
      </c>
      <c r="O45" s="73"/>
      <c r="P45" s="73"/>
      <c r="Q45" s="73" t="str">
        <f t="shared" si="1"/>
        <v/>
      </c>
      <c r="R45" s="73"/>
      <c r="S45" s="73"/>
      <c r="T45" s="73" t="str">
        <f t="shared" si="2"/>
        <v/>
      </c>
      <c r="U45" s="73"/>
      <c r="V45" s="73"/>
      <c r="W45" s="74"/>
      <c r="X45" s="74"/>
      <c r="Y45" s="75"/>
      <c r="Z45" s="35"/>
      <c r="AB45" s="16"/>
      <c r="AC45" s="11"/>
      <c r="AD45" s="15"/>
    </row>
    <row r="46" spans="1:30" ht="25.5" customHeight="1" x14ac:dyDescent="0.25">
      <c r="A46" s="16"/>
      <c r="B46" s="76"/>
      <c r="C46" s="74"/>
      <c r="D46" s="74"/>
      <c r="E46" s="77"/>
      <c r="F46" s="77"/>
      <c r="G46" s="77"/>
      <c r="H46" s="77"/>
      <c r="I46" s="77"/>
      <c r="J46" s="77"/>
      <c r="K46" s="77"/>
      <c r="L46" s="77"/>
      <c r="M46" s="77"/>
      <c r="N46" s="73" t="str">
        <f t="shared" si="0"/>
        <v/>
      </c>
      <c r="O46" s="73"/>
      <c r="P46" s="73"/>
      <c r="Q46" s="73" t="str">
        <f t="shared" si="1"/>
        <v/>
      </c>
      <c r="R46" s="73"/>
      <c r="S46" s="73"/>
      <c r="T46" s="73" t="str">
        <f t="shared" si="2"/>
        <v/>
      </c>
      <c r="U46" s="73"/>
      <c r="V46" s="73"/>
      <c r="W46" s="74"/>
      <c r="X46" s="74"/>
      <c r="Y46" s="75"/>
      <c r="Z46" s="35"/>
      <c r="AB46" s="16"/>
      <c r="AC46" s="11"/>
      <c r="AD46" s="15"/>
    </row>
    <row r="47" spans="1:30" ht="25.5" customHeight="1" x14ac:dyDescent="0.25">
      <c r="A47" s="16"/>
      <c r="B47" s="76"/>
      <c r="C47" s="74"/>
      <c r="D47" s="74"/>
      <c r="E47" s="77"/>
      <c r="F47" s="77"/>
      <c r="G47" s="77"/>
      <c r="H47" s="77"/>
      <c r="I47" s="77"/>
      <c r="J47" s="77"/>
      <c r="K47" s="77"/>
      <c r="L47" s="77"/>
      <c r="M47" s="77"/>
      <c r="N47" s="73" t="str">
        <f>IF(E47&lt;&gt;"",E47/(((H47-K47)/$F$27)-((H47-E47)/$S$24)),"")</f>
        <v/>
      </c>
      <c r="O47" s="73"/>
      <c r="P47" s="73"/>
      <c r="Q47" s="73" t="str">
        <f>IF(N47&lt;&gt;"",(N47/$S$27)*100,"")</f>
        <v/>
      </c>
      <c r="R47" s="73"/>
      <c r="S47" s="73"/>
      <c r="T47" s="73" t="str">
        <f>IF(Q47&lt;&gt;"",100-Q47,"")</f>
        <v/>
      </c>
      <c r="U47" s="73"/>
      <c r="V47" s="73"/>
      <c r="W47" s="74"/>
      <c r="X47" s="74"/>
      <c r="Y47" s="75"/>
      <c r="Z47" s="35"/>
      <c r="AB47" s="16">
        <v>12</v>
      </c>
      <c r="AC47" s="11">
        <v>1.0024999999999999</v>
      </c>
      <c r="AD47" s="15" t="str">
        <f t="shared" ref="AD47:AD65" si="3">IF($F$24=AB47,AC47,"")</f>
        <v/>
      </c>
    </row>
    <row r="48" spans="1:30" ht="25.5" customHeight="1" x14ac:dyDescent="0.25">
      <c r="A48" s="16"/>
      <c r="B48" s="205"/>
      <c r="C48" s="169"/>
      <c r="D48" s="169"/>
      <c r="E48" s="77"/>
      <c r="F48" s="77"/>
      <c r="G48" s="77"/>
      <c r="H48" s="77"/>
      <c r="I48" s="77"/>
      <c r="J48" s="77"/>
      <c r="K48" s="77"/>
      <c r="L48" s="77"/>
      <c r="M48" s="77"/>
      <c r="N48" s="73" t="str">
        <f>IF(E48&lt;&gt;"",E48/(((H48-K48)/$F$27)-((H48-E48)/$S$24)),"")</f>
        <v/>
      </c>
      <c r="O48" s="73"/>
      <c r="P48" s="73"/>
      <c r="Q48" s="73" t="str">
        <f>IF(N48&lt;&gt;"",(N48/$S$27)*100,"")</f>
        <v/>
      </c>
      <c r="R48" s="73"/>
      <c r="S48" s="73"/>
      <c r="T48" s="73" t="str">
        <f>IF(Q48&lt;&gt;"",100-Q48,"")</f>
        <v/>
      </c>
      <c r="U48" s="73"/>
      <c r="V48" s="73"/>
      <c r="W48" s="169"/>
      <c r="X48" s="169"/>
      <c r="Y48" s="170"/>
      <c r="Z48" s="35"/>
      <c r="AB48" s="16">
        <v>13</v>
      </c>
      <c r="AC48" s="11">
        <v>1.0023</v>
      </c>
      <c r="AD48" s="15" t="str">
        <f t="shared" si="3"/>
        <v/>
      </c>
    </row>
    <row r="49" spans="1:30" ht="25.5" customHeight="1" thickBot="1" x14ac:dyDescent="0.3">
      <c r="A49" s="16"/>
      <c r="B49" s="203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204"/>
      <c r="Z49" s="35"/>
      <c r="AB49" s="16">
        <v>14</v>
      </c>
      <c r="AC49" s="11">
        <v>1.0022</v>
      </c>
      <c r="AD49" s="15" t="str">
        <f t="shared" si="3"/>
        <v/>
      </c>
    </row>
    <row r="50" spans="1:30" ht="12.75" customHeight="1" x14ac:dyDescent="0.25"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8"/>
      <c r="O50" s="38"/>
      <c r="P50" s="38"/>
      <c r="Q50" s="37"/>
      <c r="R50" s="37"/>
      <c r="S50" s="37"/>
      <c r="T50" s="37"/>
      <c r="U50" s="37"/>
      <c r="V50" s="37"/>
      <c r="W50" s="36"/>
      <c r="X50" s="36"/>
      <c r="Y50" s="36"/>
      <c r="Z50" s="35"/>
      <c r="AB50" s="16">
        <v>15</v>
      </c>
      <c r="AC50" s="11">
        <v>1.0021</v>
      </c>
      <c r="AD50" s="15" t="str">
        <f t="shared" si="3"/>
        <v/>
      </c>
    </row>
    <row r="51" spans="1:30" ht="15.9" customHeight="1" x14ac:dyDescent="0.25">
      <c r="A51" s="34"/>
      <c r="B51" s="33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1"/>
      <c r="AB51" s="16">
        <v>16</v>
      </c>
      <c r="AC51" s="11">
        <v>1.0019</v>
      </c>
      <c r="AD51" s="15" t="str">
        <f t="shared" si="3"/>
        <v/>
      </c>
    </row>
    <row r="52" spans="1:30" ht="12.75" customHeight="1" x14ac:dyDescent="0.25">
      <c r="A52" s="30"/>
      <c r="B52" s="29"/>
      <c r="AB52" s="16">
        <v>17</v>
      </c>
      <c r="AC52" s="11">
        <v>1.0017</v>
      </c>
      <c r="AD52" s="15" t="str">
        <f t="shared" si="3"/>
        <v/>
      </c>
    </row>
    <row r="53" spans="1:30" s="17" customFormat="1" ht="30.75" customHeight="1" x14ac:dyDescent="0.3">
      <c r="A53" s="28" t="s">
        <v>42</v>
      </c>
      <c r="B53" s="27" t="s">
        <v>43</v>
      </c>
      <c r="C53" s="26"/>
      <c r="D53" s="26"/>
      <c r="E53" s="26"/>
      <c r="F53" s="25"/>
      <c r="G53" s="25"/>
      <c r="H53" s="25"/>
      <c r="I53" s="24"/>
      <c r="J53" s="24"/>
      <c r="K53" s="24"/>
      <c r="L53" s="24"/>
      <c r="M53" s="24"/>
      <c r="N53" s="24"/>
      <c r="O53" s="24"/>
      <c r="P53" s="24"/>
      <c r="Q53" s="25"/>
      <c r="R53" s="24"/>
      <c r="S53" s="24"/>
      <c r="T53" s="24"/>
      <c r="U53" s="145"/>
      <c r="V53" s="145"/>
      <c r="W53" s="145"/>
      <c r="X53" s="146"/>
      <c r="Y53" s="146"/>
      <c r="Z53" s="147"/>
      <c r="AA53" s="23"/>
      <c r="AB53" s="16">
        <v>18</v>
      </c>
      <c r="AC53" s="11">
        <v>1.0016</v>
      </c>
      <c r="AD53" s="15">
        <f t="shared" si="3"/>
        <v>1.0016</v>
      </c>
    </row>
    <row r="54" spans="1:30" s="17" customFormat="1" ht="28.5" customHeight="1" x14ac:dyDescent="0.3">
      <c r="A54" s="178" t="s">
        <v>44</v>
      </c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80"/>
      <c r="R54" s="142" t="s">
        <v>45</v>
      </c>
      <c r="S54" s="143"/>
      <c r="T54" s="144"/>
      <c r="U54" s="148" t="s">
        <v>10</v>
      </c>
      <c r="V54" s="149"/>
      <c r="W54" s="149"/>
      <c r="X54" s="150"/>
      <c r="Y54" s="150"/>
      <c r="Z54" s="151"/>
      <c r="AA54" s="23"/>
      <c r="AB54" s="16">
        <v>19</v>
      </c>
      <c r="AC54" s="11">
        <v>1.0014000000000001</v>
      </c>
      <c r="AD54" s="15" t="str">
        <f t="shared" si="3"/>
        <v/>
      </c>
    </row>
    <row r="55" spans="1:30" s="17" customFormat="1" ht="14.25" customHeight="1" x14ac:dyDescent="0.3">
      <c r="A55" s="171" t="s">
        <v>63</v>
      </c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3"/>
      <c r="R55" s="142" t="s">
        <v>46</v>
      </c>
      <c r="S55" s="143"/>
      <c r="T55" s="144"/>
      <c r="U55" s="192" t="s">
        <v>47</v>
      </c>
      <c r="V55" s="193"/>
      <c r="W55" s="193"/>
      <c r="X55" s="194"/>
      <c r="Y55" s="194"/>
      <c r="Z55" s="195"/>
      <c r="AA55" s="23"/>
      <c r="AB55" s="16">
        <v>20</v>
      </c>
      <c r="AC55" s="11">
        <v>1.0012000000000001</v>
      </c>
      <c r="AD55" s="15" t="str">
        <f t="shared" si="3"/>
        <v/>
      </c>
    </row>
    <row r="56" spans="1:30" s="17" customFormat="1" ht="9" customHeight="1" x14ac:dyDescent="0.3">
      <c r="A56" s="174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3"/>
      <c r="R56" s="142"/>
      <c r="S56" s="143"/>
      <c r="T56" s="144"/>
      <c r="U56" s="196"/>
      <c r="V56" s="197"/>
      <c r="W56" s="197"/>
      <c r="X56" s="181"/>
      <c r="Y56" s="181"/>
      <c r="Z56" s="198"/>
      <c r="AA56" s="23"/>
      <c r="AB56" s="16">
        <v>21</v>
      </c>
      <c r="AC56" s="18">
        <v>1.0009999999999999</v>
      </c>
      <c r="AD56" s="15" t="str">
        <f t="shared" si="3"/>
        <v/>
      </c>
    </row>
    <row r="57" spans="1:30" s="17" customFormat="1" ht="12.75" customHeight="1" x14ac:dyDescent="0.3">
      <c r="A57" s="175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7"/>
      <c r="R57" s="142"/>
      <c r="S57" s="143"/>
      <c r="T57" s="144"/>
      <c r="U57" s="196"/>
      <c r="V57" s="197"/>
      <c r="W57" s="197"/>
      <c r="X57" s="181"/>
      <c r="Y57" s="181"/>
      <c r="Z57" s="198"/>
      <c r="AA57" s="23"/>
      <c r="AB57" s="16">
        <v>22</v>
      </c>
      <c r="AC57" s="11">
        <v>1.0006999999999999</v>
      </c>
      <c r="AD57" s="15" t="str">
        <f t="shared" si="3"/>
        <v/>
      </c>
    </row>
    <row r="58" spans="1:30" s="17" customFormat="1" ht="14.25" customHeight="1" x14ac:dyDescent="0.25">
      <c r="A58" s="22" t="s">
        <v>48</v>
      </c>
      <c r="B58" s="21" t="s">
        <v>49</v>
      </c>
      <c r="C58" s="10"/>
      <c r="D58" s="1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19"/>
      <c r="R58" s="142"/>
      <c r="S58" s="143"/>
      <c r="T58" s="144"/>
      <c r="U58" s="199"/>
      <c r="V58" s="200"/>
      <c r="W58" s="200"/>
      <c r="X58" s="201"/>
      <c r="Y58" s="201"/>
      <c r="Z58" s="202"/>
      <c r="AB58" s="16">
        <v>23</v>
      </c>
      <c r="AC58" s="11">
        <v>1.0004999999999999</v>
      </c>
      <c r="AD58" s="15" t="str">
        <f t="shared" si="3"/>
        <v/>
      </c>
    </row>
    <row r="59" spans="1:30" s="17" customFormat="1" ht="12.75" customHeight="1" x14ac:dyDescent="0.25">
      <c r="A59" s="182" t="s">
        <v>66</v>
      </c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4"/>
      <c r="R59" s="142" t="s">
        <v>50</v>
      </c>
      <c r="S59" s="143"/>
      <c r="T59" s="144"/>
      <c r="U59" s="1"/>
      <c r="V59" s="2"/>
      <c r="W59" s="2"/>
      <c r="X59" s="2"/>
      <c r="Y59" s="2"/>
      <c r="Z59" s="3"/>
      <c r="AB59" s="16">
        <v>24</v>
      </c>
      <c r="AC59" s="11">
        <v>1.0003</v>
      </c>
      <c r="AD59" s="15" t="str">
        <f t="shared" si="3"/>
        <v/>
      </c>
    </row>
    <row r="60" spans="1:30" s="17" customFormat="1" ht="16.5" customHeight="1" x14ac:dyDescent="0.25">
      <c r="A60" s="185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4"/>
      <c r="R60" s="142"/>
      <c r="S60" s="143"/>
      <c r="T60" s="144"/>
      <c r="U60" s="4"/>
      <c r="V60" s="181"/>
      <c r="W60" s="181"/>
      <c r="X60" s="181"/>
      <c r="Y60" s="181"/>
      <c r="Z60" s="5"/>
      <c r="AB60" s="16">
        <v>25</v>
      </c>
      <c r="AC60" s="18">
        <v>1</v>
      </c>
      <c r="AD60" s="15" t="str">
        <f t="shared" si="3"/>
        <v/>
      </c>
    </row>
    <row r="61" spans="1:30" s="17" customFormat="1" ht="15.6" customHeight="1" x14ac:dyDescent="0.25">
      <c r="A61" s="185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4"/>
      <c r="R61" s="142"/>
      <c r="S61" s="143"/>
      <c r="T61" s="144"/>
      <c r="U61" s="4"/>
      <c r="V61" s="181"/>
      <c r="W61" s="181"/>
      <c r="X61" s="181"/>
      <c r="Y61" s="181"/>
      <c r="Z61" s="5"/>
      <c r="AB61" s="16">
        <v>26</v>
      </c>
      <c r="AC61" s="11">
        <v>0.99970000000000003</v>
      </c>
      <c r="AD61" s="15" t="str">
        <f t="shared" si="3"/>
        <v/>
      </c>
    </row>
    <row r="62" spans="1:30" s="17" customFormat="1" ht="15" customHeight="1" x14ac:dyDescent="0.25">
      <c r="A62" s="186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8"/>
      <c r="R62" s="189"/>
      <c r="S62" s="190"/>
      <c r="T62" s="191"/>
      <c r="U62" s="6"/>
      <c r="V62" s="7"/>
      <c r="W62" s="7"/>
      <c r="X62" s="7"/>
      <c r="Y62" s="7"/>
      <c r="Z62" s="8"/>
      <c r="AB62" s="16">
        <v>27</v>
      </c>
      <c r="AC62" s="11">
        <v>0.99950000000000006</v>
      </c>
      <c r="AD62" s="15" t="str">
        <f t="shared" si="3"/>
        <v/>
      </c>
    </row>
    <row r="63" spans="1:30" ht="12.75" customHeight="1" x14ac:dyDescent="0.25">
      <c r="AB63" s="16">
        <v>28</v>
      </c>
      <c r="AC63" s="11">
        <v>0.99919999999999998</v>
      </c>
      <c r="AD63" s="15" t="str">
        <f t="shared" si="3"/>
        <v/>
      </c>
    </row>
    <row r="64" spans="1:30" ht="12.75" customHeight="1" x14ac:dyDescent="0.25">
      <c r="AB64" s="16">
        <v>29</v>
      </c>
      <c r="AC64" s="11">
        <v>0.99890000000000001</v>
      </c>
      <c r="AD64" s="15" t="str">
        <f t="shared" si="3"/>
        <v/>
      </c>
    </row>
    <row r="65" spans="28:30" ht="12.75" customHeight="1" x14ac:dyDescent="0.25">
      <c r="AB65" s="14">
        <v>30</v>
      </c>
      <c r="AC65" s="13">
        <v>0.99860000000000004</v>
      </c>
      <c r="AD65" s="12" t="str">
        <f t="shared" si="3"/>
        <v/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82">
    <mergeCell ref="T46:V46"/>
    <mergeCell ref="W46:Y46"/>
    <mergeCell ref="B46:D46"/>
    <mergeCell ref="E46:G46"/>
    <mergeCell ref="H46:J46"/>
    <mergeCell ref="K46:M46"/>
    <mergeCell ref="N46:P46"/>
    <mergeCell ref="Q46:S46"/>
    <mergeCell ref="T44:V44"/>
    <mergeCell ref="W44:Y44"/>
    <mergeCell ref="B45:D45"/>
    <mergeCell ref="E45:G45"/>
    <mergeCell ref="H45:J45"/>
    <mergeCell ref="K45:M45"/>
    <mergeCell ref="N45:P45"/>
    <mergeCell ref="Q45:S45"/>
    <mergeCell ref="T45:V45"/>
    <mergeCell ref="W45:Y45"/>
    <mergeCell ref="B44:D44"/>
    <mergeCell ref="E44:G44"/>
    <mergeCell ref="H44:J44"/>
    <mergeCell ref="K44:M44"/>
    <mergeCell ref="N44:P44"/>
    <mergeCell ref="Q44:S44"/>
    <mergeCell ref="B43:D43"/>
    <mergeCell ref="E43:G43"/>
    <mergeCell ref="H43:J43"/>
    <mergeCell ref="K43:M43"/>
    <mergeCell ref="N43:P43"/>
    <mergeCell ref="Q43:S43"/>
    <mergeCell ref="T43:V43"/>
    <mergeCell ref="W43:Y43"/>
    <mergeCell ref="B42:D42"/>
    <mergeCell ref="E42:G42"/>
    <mergeCell ref="H42:J42"/>
    <mergeCell ref="K42:M42"/>
    <mergeCell ref="N42:P42"/>
    <mergeCell ref="Q42:S42"/>
    <mergeCell ref="E40:G40"/>
    <mergeCell ref="H40:J40"/>
    <mergeCell ref="K40:M40"/>
    <mergeCell ref="N40:P40"/>
    <mergeCell ref="Q40:S40"/>
    <mergeCell ref="T40:V40"/>
    <mergeCell ref="W40:Y40"/>
    <mergeCell ref="B41:D41"/>
    <mergeCell ref="E41:G41"/>
    <mergeCell ref="H41:J41"/>
    <mergeCell ref="K41:M41"/>
    <mergeCell ref="N41:P41"/>
    <mergeCell ref="Q41:S41"/>
    <mergeCell ref="T41:V41"/>
    <mergeCell ref="W41:Y41"/>
    <mergeCell ref="B37:D37"/>
    <mergeCell ref="E37:G37"/>
    <mergeCell ref="H37:J37"/>
    <mergeCell ref="K37:M37"/>
    <mergeCell ref="N37:P37"/>
    <mergeCell ref="Q37:S37"/>
    <mergeCell ref="B39:D39"/>
    <mergeCell ref="E39:G39"/>
    <mergeCell ref="K47:M47"/>
    <mergeCell ref="N47:P47"/>
    <mergeCell ref="H39:J39"/>
    <mergeCell ref="K39:M39"/>
    <mergeCell ref="N39:P39"/>
    <mergeCell ref="B47:D47"/>
    <mergeCell ref="E47:G47"/>
    <mergeCell ref="H47:J47"/>
    <mergeCell ref="B38:D38"/>
    <mergeCell ref="E38:G38"/>
    <mergeCell ref="H38:J38"/>
    <mergeCell ref="K38:M38"/>
    <mergeCell ref="N38:P38"/>
    <mergeCell ref="Q38:S38"/>
    <mergeCell ref="Q39:S39"/>
    <mergeCell ref="B40:D40"/>
    <mergeCell ref="A55:Q57"/>
    <mergeCell ref="A54:Q54"/>
    <mergeCell ref="V60:Y61"/>
    <mergeCell ref="A59:Q62"/>
    <mergeCell ref="R59:T62"/>
    <mergeCell ref="H49:J49"/>
    <mergeCell ref="K49:M49"/>
    <mergeCell ref="N49:P49"/>
    <mergeCell ref="B48:D48"/>
    <mergeCell ref="E48:G48"/>
    <mergeCell ref="N48:P48"/>
    <mergeCell ref="U55:Z58"/>
    <mergeCell ref="B49:D49"/>
    <mergeCell ref="E49:G49"/>
    <mergeCell ref="R55:T58"/>
    <mergeCell ref="T49:V49"/>
    <mergeCell ref="W49:Y49"/>
    <mergeCell ref="H48:J48"/>
    <mergeCell ref="K48:M48"/>
    <mergeCell ref="Q49:S49"/>
    <mergeCell ref="Q48:S48"/>
    <mergeCell ref="R54:T54"/>
    <mergeCell ref="U53:Z53"/>
    <mergeCell ref="U54:Z54"/>
    <mergeCell ref="B36:D36"/>
    <mergeCell ref="E36:G36"/>
    <mergeCell ref="H36:J36"/>
    <mergeCell ref="K36:M36"/>
    <mergeCell ref="N36:P36"/>
    <mergeCell ref="Q36:S36"/>
    <mergeCell ref="T36:V36"/>
    <mergeCell ref="W36:Y36"/>
    <mergeCell ref="B35:D35"/>
    <mergeCell ref="E35:G35"/>
    <mergeCell ref="T35:V35"/>
    <mergeCell ref="W35:Y35"/>
    <mergeCell ref="AD32:AD34"/>
    <mergeCell ref="J24:L26"/>
    <mergeCell ref="J27:L29"/>
    <mergeCell ref="F24:I26"/>
    <mergeCell ref="F27:I29"/>
    <mergeCell ref="S24:V26"/>
    <mergeCell ref="W24:Y26"/>
    <mergeCell ref="O24:R26"/>
    <mergeCell ref="O27:R29"/>
    <mergeCell ref="S27:V29"/>
    <mergeCell ref="K32:M34"/>
    <mergeCell ref="N32:P34"/>
    <mergeCell ref="Q32:S34"/>
    <mergeCell ref="AB32:AB34"/>
    <mergeCell ref="AC32:AC34"/>
    <mergeCell ref="H32:J34"/>
    <mergeCell ref="T48:V48"/>
    <mergeCell ref="W48:Y48"/>
    <mergeCell ref="T37:V37"/>
    <mergeCell ref="W37:Y37"/>
    <mergeCell ref="T38:V38"/>
    <mergeCell ref="W38:Y38"/>
    <mergeCell ref="T39:V39"/>
    <mergeCell ref="W39:Y39"/>
    <mergeCell ref="S11:Y11"/>
    <mergeCell ref="S12:Y12"/>
    <mergeCell ref="T32:V34"/>
    <mergeCell ref="W32:Y34"/>
    <mergeCell ref="Q47:S47"/>
    <mergeCell ref="T47:V47"/>
    <mergeCell ref="W47:Y47"/>
    <mergeCell ref="Q35:S35"/>
    <mergeCell ref="N12:R12"/>
    <mergeCell ref="I18:Y18"/>
    <mergeCell ref="I17:Y17"/>
    <mergeCell ref="H35:J35"/>
    <mergeCell ref="K35:M35"/>
    <mergeCell ref="N35:P35"/>
    <mergeCell ref="T42:V42"/>
    <mergeCell ref="W42:Y42"/>
    <mergeCell ref="B27:E29"/>
    <mergeCell ref="W27:Y29"/>
    <mergeCell ref="B32:D34"/>
    <mergeCell ref="E32:G34"/>
    <mergeCell ref="H10:M10"/>
    <mergeCell ref="H11:M11"/>
    <mergeCell ref="H12:M12"/>
    <mergeCell ref="B18:H18"/>
    <mergeCell ref="B12:G12"/>
    <mergeCell ref="B11:G11"/>
    <mergeCell ref="B17:H17"/>
    <mergeCell ref="B10:G10"/>
    <mergeCell ref="S10:Y10"/>
    <mergeCell ref="J5:K5"/>
    <mergeCell ref="L5:O5"/>
    <mergeCell ref="P5:T5"/>
    <mergeCell ref="J6:K6"/>
    <mergeCell ref="L6:O6"/>
    <mergeCell ref="N10:R10"/>
    <mergeCell ref="N11:R11"/>
    <mergeCell ref="P6:T6"/>
    <mergeCell ref="B24:E26"/>
    <mergeCell ref="A7:F7"/>
    <mergeCell ref="G7:Z7"/>
    <mergeCell ref="A1:F6"/>
    <mergeCell ref="G1:T1"/>
    <mergeCell ref="U1:Z6"/>
    <mergeCell ref="G2:T4"/>
    <mergeCell ref="G5:H5"/>
  </mergeCells>
  <printOptions horizontalCentered="1" verticalCentered="1"/>
  <pageMargins left="0.27559055118109999" right="0.35433070866142002" top="3.9370078740157001E-2" bottom="0.39370078740157" header="0.35433070866142002" footer="0.19685039370078999"/>
  <pageSetup paperSize="9" scale="74" orientation="portrait" r:id="rId1"/>
  <headerFooter alignWithMargins="0">
    <oddFooter>&amp;RDG-Q / RE ID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GB</vt:lpstr>
      <vt:lpstr>BBSG</vt:lpstr>
      <vt:lpstr>BBSG!Zone_d_impression</vt:lpstr>
      <vt:lpstr>GB!Zone_d_impression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2021-05-03T08:47:54Z</cp:lastPrinted>
  <dcterms:created xsi:type="dcterms:W3CDTF">2004-11-13T18:13:05Z</dcterms:created>
  <dcterms:modified xsi:type="dcterms:W3CDTF">2021-05-03T09:55:07Z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