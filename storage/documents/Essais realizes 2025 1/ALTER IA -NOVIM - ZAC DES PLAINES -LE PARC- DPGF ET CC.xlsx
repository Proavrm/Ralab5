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LHL\2023\07-JUIL\23-07-17_Novim_ZAC des Plaines\1 - DCE\Initial\a- Pièces écrites\"/>
    </mc:Choice>
  </mc:AlternateContent>
  <xr:revisionPtr revIDLastSave="0" documentId="13_ncr:1_{3C452111-84AD-4D46-9B7A-9F81BF7FA8E4}" xr6:coauthVersionLast="47" xr6:coauthVersionMax="47" xr10:uidLastSave="{00000000-0000-0000-0000-000000000000}"/>
  <bookViews>
    <workbookView xWindow="-120" yWindow="-120" windowWidth="29040" windowHeight="15990" tabRatio="885" activeTab="1" xr2:uid="{00000000-000D-0000-FFFF-FFFF00000000}"/>
  </bookViews>
  <sheets>
    <sheet name="LE PARC DPGF" sheetId="8" r:id="rId1"/>
    <sheet name="LE PARC DQE CC1" sheetId="10" r:id="rId2"/>
    <sheet name="LE PARC DQE CC2" sheetId="12" r:id="rId3"/>
    <sheet name="LE PARC DQE CC3" sheetId="13" r:id="rId4"/>
    <sheet name="LE PARC RECAPITULATIF" sheetId="15" r:id="rId5"/>
  </sheets>
  <definedNames>
    <definedName name="_xlnm.Print_Titles" localSheetId="0">'LE PARC DPGF'!$1:$12</definedName>
    <definedName name="_xlnm.Print_Titles" localSheetId="1">'LE PARC DQE CC1'!$1:$12</definedName>
    <definedName name="_xlnm.Print_Titles" localSheetId="2">'LE PARC DQE CC2'!$1:$12</definedName>
    <definedName name="_xlnm.Print_Titles" localSheetId="3">'LE PARC DQE CC3'!$1:$12</definedName>
    <definedName name="_xlnm.Print_Titles" localSheetId="4">'LE PARC RECAPITULATIF'!$1:$12</definedName>
    <definedName name="_xlnm.Print_Area" localSheetId="0">'LE PARC DPGF'!$A$1:$F$301</definedName>
    <definedName name="_xlnm.Print_Area" localSheetId="1">'LE PARC DQE CC1'!$A$1:$F$185</definedName>
    <definedName name="_xlnm.Print_Area" localSheetId="2">'LE PARC DQE CC2'!$A$1:$F$185</definedName>
    <definedName name="_xlnm.Print_Area" localSheetId="4">'LE PARC RECAPITULATIF'!$A$1:$F$26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8" i="8" l="1"/>
  <c r="F287" i="8"/>
  <c r="F20" i="8"/>
  <c r="F290" i="8"/>
  <c r="F292" i="8"/>
  <c r="F74" i="8"/>
  <c r="F94" i="10"/>
  <c r="F94" i="12"/>
  <c r="F94" i="13"/>
  <c r="F70" i="10"/>
  <c r="F70" i="12"/>
  <c r="F70" i="13"/>
  <c r="F178" i="13"/>
  <c r="F177" i="13"/>
  <c r="F176" i="13"/>
  <c r="F170" i="13"/>
  <c r="F169" i="13"/>
  <c r="F168" i="13"/>
  <c r="F161" i="13"/>
  <c r="F160" i="13"/>
  <c r="F159" i="13"/>
  <c r="F157" i="13"/>
  <c r="F155" i="13"/>
  <c r="F149" i="13"/>
  <c r="F148" i="13"/>
  <c r="F147" i="13"/>
  <c r="F146" i="13"/>
  <c r="F145" i="13"/>
  <c r="F144" i="13"/>
  <c r="F143" i="13"/>
  <c r="F142" i="13"/>
  <c r="F140" i="13"/>
  <c r="F134" i="13"/>
  <c r="F133" i="13"/>
  <c r="F132" i="13"/>
  <c r="F131" i="13"/>
  <c r="F129" i="13"/>
  <c r="F122" i="13"/>
  <c r="F121" i="13"/>
  <c r="F120" i="13"/>
  <c r="F119" i="13"/>
  <c r="F118" i="13"/>
  <c r="F117" i="13"/>
  <c r="F115" i="13"/>
  <c r="F108" i="13"/>
  <c r="F107" i="13"/>
  <c r="F106" i="13"/>
  <c r="F105" i="13"/>
  <c r="F103" i="13"/>
  <c r="F101" i="13"/>
  <c r="F93" i="13"/>
  <c r="F91" i="13"/>
  <c r="F90" i="13"/>
  <c r="F89" i="13"/>
  <c r="F87" i="13"/>
  <c r="F85" i="13"/>
  <c r="F83" i="13"/>
  <c r="D82" i="13"/>
  <c r="F82" i="13" s="1"/>
  <c r="D80" i="13"/>
  <c r="F80" i="13" s="1"/>
  <c r="F78" i="13"/>
  <c r="F77" i="13"/>
  <c r="F96" i="13" s="1"/>
  <c r="F69" i="13"/>
  <c r="F68" i="13"/>
  <c r="F67" i="13"/>
  <c r="F65" i="13"/>
  <c r="F64" i="13"/>
  <c r="F62" i="13"/>
  <c r="F61" i="13"/>
  <c r="F59" i="13"/>
  <c r="F57" i="13"/>
  <c r="F55" i="13"/>
  <c r="F54" i="13"/>
  <c r="F52" i="13"/>
  <c r="F50" i="13"/>
  <c r="F44" i="13"/>
  <c r="F43" i="13"/>
  <c r="F42" i="13"/>
  <c r="F40" i="13"/>
  <c r="F39" i="13"/>
  <c r="F32" i="13"/>
  <c r="F31" i="13"/>
  <c r="F30" i="13"/>
  <c r="F29" i="13"/>
  <c r="F28" i="13"/>
  <c r="F27" i="13"/>
  <c r="F21" i="13"/>
  <c r="F20" i="13"/>
  <c r="F19" i="13"/>
  <c r="F18" i="13"/>
  <c r="F17" i="13"/>
  <c r="F32" i="10"/>
  <c r="F32" i="12"/>
  <c r="F178" i="12"/>
  <c r="F177" i="12"/>
  <c r="F176" i="12"/>
  <c r="F170" i="12"/>
  <c r="F169" i="12"/>
  <c r="F168" i="12"/>
  <c r="F161" i="12"/>
  <c r="F160" i="12"/>
  <c r="F159" i="12"/>
  <c r="F157" i="12"/>
  <c r="F155" i="12"/>
  <c r="F149" i="12"/>
  <c r="F148" i="12"/>
  <c r="F147" i="12"/>
  <c r="F146" i="12"/>
  <c r="F145" i="12"/>
  <c r="F144" i="12"/>
  <c r="F143" i="12"/>
  <c r="F142" i="12"/>
  <c r="F140" i="12"/>
  <c r="F134" i="12"/>
  <c r="F133" i="12"/>
  <c r="F132" i="12"/>
  <c r="F131" i="12"/>
  <c r="F129" i="12"/>
  <c r="F122" i="12"/>
  <c r="F121" i="12"/>
  <c r="F120" i="12"/>
  <c r="F119" i="12"/>
  <c r="F118" i="12"/>
  <c r="F117" i="12"/>
  <c r="F115" i="12"/>
  <c r="F108" i="12"/>
  <c r="F107" i="12"/>
  <c r="F106" i="12"/>
  <c r="F105" i="12"/>
  <c r="F103" i="12"/>
  <c r="F101" i="12"/>
  <c r="F93" i="12"/>
  <c r="F91" i="12"/>
  <c r="F90" i="12"/>
  <c r="F89" i="12"/>
  <c r="F87" i="12"/>
  <c r="F85" i="12"/>
  <c r="F83" i="12"/>
  <c r="D82" i="12"/>
  <c r="F82" i="12" s="1"/>
  <c r="D80" i="12"/>
  <c r="F80" i="12" s="1"/>
  <c r="F78" i="12"/>
  <c r="F77" i="12"/>
  <c r="F69" i="12"/>
  <c r="F68" i="12"/>
  <c r="F67" i="12"/>
  <c r="F65" i="12"/>
  <c r="F64" i="12"/>
  <c r="F62" i="12"/>
  <c r="F61" i="12"/>
  <c r="F59" i="12"/>
  <c r="F57" i="12"/>
  <c r="F55" i="12"/>
  <c r="F54" i="12"/>
  <c r="F52" i="12"/>
  <c r="F50" i="12"/>
  <c r="F44" i="12"/>
  <c r="F43" i="12"/>
  <c r="F42" i="12"/>
  <c r="F40" i="12"/>
  <c r="F39" i="12"/>
  <c r="F31" i="12"/>
  <c r="F30" i="12"/>
  <c r="F29" i="12"/>
  <c r="F28" i="12"/>
  <c r="F27" i="12"/>
  <c r="F21" i="12"/>
  <c r="F20" i="12"/>
  <c r="F19" i="12"/>
  <c r="F18" i="12"/>
  <c r="F17" i="12"/>
  <c r="F178" i="10"/>
  <c r="F177" i="10"/>
  <c r="F62" i="10"/>
  <c r="F120" i="10"/>
  <c r="F121" i="10"/>
  <c r="F163" i="13" l="1"/>
  <c r="F96" i="12"/>
  <c r="F23" i="12"/>
  <c r="F136" i="12"/>
  <c r="F46" i="13"/>
  <c r="F46" i="12"/>
  <c r="F72" i="12"/>
  <c r="F180" i="13"/>
  <c r="F72" i="13"/>
  <c r="F151" i="12"/>
  <c r="F172" i="12"/>
  <c r="F124" i="13"/>
  <c r="F151" i="13"/>
  <c r="F172" i="13"/>
  <c r="F110" i="13"/>
  <c r="F136" i="13"/>
  <c r="F34" i="13"/>
  <c r="F23" i="13"/>
  <c r="F180" i="12"/>
  <c r="F163" i="12"/>
  <c r="F124" i="12"/>
  <c r="F110" i="12"/>
  <c r="F34" i="12"/>
  <c r="F183" i="13" l="1"/>
  <c r="F183" i="12"/>
  <c r="F184" i="12" l="1"/>
  <c r="F185" i="12" s="1"/>
  <c r="F19" i="15"/>
  <c r="F184" i="13"/>
  <c r="F185" i="13" s="1"/>
  <c r="F21" i="15"/>
  <c r="F122" i="10"/>
  <c r="F119" i="10"/>
  <c r="F118" i="10"/>
  <c r="F117" i="10"/>
  <c r="F115" i="10"/>
  <c r="F108" i="10"/>
  <c r="F107" i="10"/>
  <c r="F106" i="10"/>
  <c r="F105" i="10"/>
  <c r="F103" i="10"/>
  <c r="F101" i="10"/>
  <c r="F93" i="10"/>
  <c r="F91" i="10"/>
  <c r="F90" i="10"/>
  <c r="F89" i="10"/>
  <c r="F87" i="10"/>
  <c r="F85" i="10"/>
  <c r="F83" i="10"/>
  <c r="D82" i="10"/>
  <c r="F82" i="10" s="1"/>
  <c r="D80" i="10"/>
  <c r="F80" i="10" s="1"/>
  <c r="F78" i="10"/>
  <c r="F77" i="10"/>
  <c r="F69" i="10"/>
  <c r="F68" i="10"/>
  <c r="F67" i="10"/>
  <c r="F65" i="10"/>
  <c r="F64" i="10"/>
  <c r="F61" i="10"/>
  <c r="F59" i="10"/>
  <c r="F57" i="10"/>
  <c r="F55" i="10"/>
  <c r="F54" i="10"/>
  <c r="F52" i="10"/>
  <c r="F50" i="10"/>
  <c r="F44" i="10"/>
  <c r="F43" i="10"/>
  <c r="F42" i="10"/>
  <c r="F40" i="10"/>
  <c r="F39" i="10"/>
  <c r="F31" i="10"/>
  <c r="F30" i="10"/>
  <c r="F29" i="10"/>
  <c r="F28" i="10"/>
  <c r="F27" i="10"/>
  <c r="F72" i="10" l="1"/>
  <c r="F96" i="10"/>
  <c r="F176" i="10"/>
  <c r="F180" i="10" s="1"/>
  <c r="F170" i="10"/>
  <c r="F169" i="10"/>
  <c r="F168" i="10"/>
  <c r="F161" i="10"/>
  <c r="F160" i="10"/>
  <c r="F159" i="10"/>
  <c r="F157" i="10"/>
  <c r="F155" i="10"/>
  <c r="F149" i="10"/>
  <c r="F148" i="10"/>
  <c r="F147" i="10"/>
  <c r="F146" i="10"/>
  <c r="F145" i="10"/>
  <c r="F144" i="10"/>
  <c r="F143" i="10"/>
  <c r="F142" i="10"/>
  <c r="F140" i="10"/>
  <c r="F134" i="10"/>
  <c r="F133" i="10"/>
  <c r="F132" i="10"/>
  <c r="F131" i="10"/>
  <c r="F129" i="10"/>
  <c r="F34" i="10"/>
  <c r="F21" i="10"/>
  <c r="F20" i="10"/>
  <c r="F19" i="10"/>
  <c r="F18" i="10"/>
  <c r="F17" i="10"/>
  <c r="F124" i="10" l="1"/>
  <c r="F46" i="10"/>
  <c r="F136" i="10"/>
  <c r="F172" i="10"/>
  <c r="F110" i="10"/>
  <c r="F163" i="10"/>
  <c r="F151" i="10"/>
  <c r="F23" i="10"/>
  <c r="F183" i="10" l="1"/>
  <c r="F184" i="10" l="1"/>
  <c r="F185" i="10" s="1"/>
  <c r="F17" i="15"/>
  <c r="F237" i="8"/>
  <c r="F50" i="8"/>
  <c r="F274" i="8"/>
  <c r="F284" i="8"/>
  <c r="F285" i="8"/>
  <c r="F276" i="8"/>
  <c r="F278" i="8"/>
  <c r="F245" i="8"/>
  <c r="F246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1" i="8"/>
  <c r="F272" i="8"/>
  <c r="F275" i="8"/>
  <c r="F277" i="8"/>
  <c r="F279" i="8"/>
  <c r="F280" i="8"/>
  <c r="F281" i="8"/>
  <c r="F282" i="8"/>
  <c r="F283" i="8"/>
  <c r="F286" i="8"/>
  <c r="F289" i="8"/>
  <c r="F291" i="8"/>
  <c r="F244" i="8"/>
  <c r="D270" i="8"/>
  <c r="F270" i="8" s="1"/>
  <c r="F236" i="8"/>
  <c r="F81" i="8"/>
  <c r="F294" i="8" l="1"/>
  <c r="F235" i="8"/>
  <c r="F233" i="8"/>
  <c r="F234" i="8"/>
  <c r="F41" i="8"/>
  <c r="F40" i="8"/>
  <c r="F39" i="8"/>
  <c r="F37" i="8"/>
  <c r="F38" i="8"/>
  <c r="F188" i="8" l="1"/>
  <c r="F170" i="8"/>
  <c r="F173" i="8"/>
  <c r="F135" i="8"/>
  <c r="F121" i="8"/>
  <c r="D99" i="8"/>
  <c r="F99" i="8" s="1"/>
  <c r="D98" i="8"/>
  <c r="F98" i="8" s="1"/>
  <c r="D96" i="8"/>
  <c r="F96" i="8" s="1"/>
  <c r="F61" i="8"/>
  <c r="F62" i="8"/>
  <c r="F64" i="8"/>
  <c r="F65" i="8"/>
  <c r="F66" i="8"/>
  <c r="F68" i="8"/>
  <c r="F70" i="8"/>
  <c r="F72" i="8"/>
  <c r="F75" i="8"/>
  <c r="F77" i="8"/>
  <c r="F78" i="8"/>
  <c r="F79" i="8"/>
  <c r="F80" i="8"/>
  <c r="F82" i="8"/>
  <c r="F83" i="8"/>
  <c r="F221" i="8"/>
  <c r="F157" i="8"/>
  <c r="F215" i="8"/>
  <c r="F214" i="8"/>
  <c r="F213" i="8"/>
  <c r="F165" i="8"/>
  <c r="F166" i="8"/>
  <c r="F142" i="8"/>
  <c r="F134" i="8"/>
  <c r="F130" i="8"/>
  <c r="F91" i="8"/>
  <c r="F92" i="8"/>
  <c r="F93" i="8"/>
  <c r="F102" i="8"/>
  <c r="F32" i="8"/>
  <c r="F115" i="8"/>
  <c r="F18" i="8"/>
  <c r="F19" i="8"/>
  <c r="F21" i="8"/>
  <c r="F22" i="8"/>
  <c r="F17" i="8"/>
  <c r="F212" i="8"/>
  <c r="F199" i="8"/>
  <c r="F201" i="8"/>
  <c r="F202" i="8"/>
  <c r="F203" i="8"/>
  <c r="F204" i="8"/>
  <c r="F205" i="8"/>
  <c r="F197" i="8"/>
  <c r="F182" i="8"/>
  <c r="F183" i="8"/>
  <c r="F184" i="8"/>
  <c r="F185" i="8"/>
  <c r="F186" i="8"/>
  <c r="F187" i="8"/>
  <c r="F189" i="8"/>
  <c r="F190" i="8"/>
  <c r="F191" i="8"/>
  <c r="F180" i="8"/>
  <c r="F168" i="8"/>
  <c r="F169" i="8"/>
  <c r="F171" i="8"/>
  <c r="F172" i="8"/>
  <c r="F174" i="8"/>
  <c r="F144" i="8"/>
  <c r="F145" i="8"/>
  <c r="F146" i="8"/>
  <c r="F147" i="8"/>
  <c r="F149" i="8"/>
  <c r="F150" i="8"/>
  <c r="F151" i="8"/>
  <c r="F152" i="8"/>
  <c r="F154" i="8"/>
  <c r="F155" i="8"/>
  <c r="F156" i="8"/>
  <c r="F158" i="8"/>
  <c r="F128" i="8"/>
  <c r="F132" i="8"/>
  <c r="F133" i="8"/>
  <c r="F90" i="8"/>
  <c r="F94" i="8"/>
  <c r="F100" i="8"/>
  <c r="F101" i="8"/>
  <c r="F104" i="8"/>
  <c r="F105" i="8"/>
  <c r="F106" i="8"/>
  <c r="F107" i="8"/>
  <c r="F109" i="8"/>
  <c r="F111" i="8"/>
  <c r="F112" i="8"/>
  <c r="F113" i="8"/>
  <c r="F116" i="8"/>
  <c r="F117" i="8"/>
  <c r="F118" i="8"/>
  <c r="F119" i="8"/>
  <c r="F120" i="8"/>
  <c r="F59" i="8"/>
  <c r="F53" i="8"/>
  <c r="F51" i="8"/>
  <c r="F49" i="8"/>
  <c r="F232" i="8"/>
  <c r="F231" i="8"/>
  <c r="F230" i="8"/>
  <c r="F224" i="8"/>
  <c r="F223" i="8"/>
  <c r="F222" i="8"/>
  <c r="F48" i="8"/>
  <c r="F47" i="8"/>
  <c r="F52" i="8"/>
  <c r="F24" i="8" l="1"/>
  <c r="F239" i="8"/>
  <c r="F137" i="8"/>
  <c r="F85" i="8"/>
  <c r="F55" i="8"/>
  <c r="F193" i="8"/>
  <c r="F123" i="8"/>
  <c r="F226" i="8"/>
  <c r="F160" i="8"/>
  <c r="F217" i="8"/>
  <c r="F176" i="8"/>
  <c r="F207" i="8"/>
  <c r="F34" i="8"/>
  <c r="F36" i="8"/>
  <c r="F33" i="8"/>
  <c r="F31" i="8"/>
  <c r="F30" i="8"/>
  <c r="F29" i="8"/>
  <c r="F28" i="8"/>
  <c r="F42" i="8" l="1"/>
  <c r="F299" i="8" s="1"/>
  <c r="F300" i="8" l="1"/>
  <c r="F301" i="8" s="1"/>
  <c r="F15" i="15"/>
  <c r="F24" i="15" s="1"/>
  <c r="F25" i="15" s="1"/>
  <c r="F26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F46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calcul mensura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F38" authorId="0" shapeId="0" xr:uid="{582A4663-CABF-4826-BE71-51EF90690C3F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calcul mensura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F38" authorId="0" shapeId="0" xr:uid="{05476186-66AD-4CC7-BC4D-15711929C3BD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calcul mensura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F38" authorId="0" shapeId="0" xr:uid="{5B23D230-1D2A-44B2-95C7-CA86EE5E6925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calcul mensura</t>
        </r>
      </text>
    </comment>
  </commentList>
</comments>
</file>

<file path=xl/sharedStrings.xml><?xml version="1.0" encoding="utf-8"?>
<sst xmlns="http://schemas.openxmlformats.org/spreadsheetml/2006/main" count="1703" uniqueCount="507">
  <si>
    <t>ens</t>
  </si>
  <si>
    <t>N°</t>
  </si>
  <si>
    <t>MONTANT</t>
  </si>
  <si>
    <t>ml</t>
  </si>
  <si>
    <t>m3</t>
  </si>
  <si>
    <t>Ft</t>
  </si>
  <si>
    <t>DESIGNATION DES TRAVAUX</t>
  </si>
  <si>
    <t>Unités</t>
  </si>
  <si>
    <t>Quantités</t>
  </si>
  <si>
    <t>Prix U. (€)</t>
  </si>
  <si>
    <t>Montant total TTC</t>
  </si>
  <si>
    <t>Sous-total HT</t>
  </si>
  <si>
    <t>u</t>
  </si>
  <si>
    <t>m²</t>
  </si>
  <si>
    <t>Récolement &amp; DOE</t>
  </si>
  <si>
    <t xml:space="preserve">RESEAU EP </t>
  </si>
  <si>
    <t>ft</t>
  </si>
  <si>
    <t xml:space="preserve"> ASSAINISSEMENT DES EAUX USEES</t>
  </si>
  <si>
    <t>RESEAU ELECTRICITE</t>
  </si>
  <si>
    <t xml:space="preserve"> Fourniture et pose de canalisation en P.V.C. CR8 Ø de 315 mm</t>
  </si>
  <si>
    <r>
      <rPr>
        <b/>
        <sz val="9"/>
        <rFont val="Arial"/>
        <family val="2"/>
      </rPr>
      <t xml:space="preserve">Vanne de sectionnement en fonte 
</t>
    </r>
    <r>
      <rPr>
        <sz val="9"/>
        <rFont val="Arial"/>
        <family val="2"/>
      </rPr>
      <t xml:space="preserve">
Ce prix rémunère la fourniture et la pose de robinet vanne d'isolement pour sectorisation du réseau en fonte ductile PN 16 Ø 80 et 100 mm à opercule métallique surmoulé d'élastomère
Il comprend :
- le piquetage,
- la fourniture, la pose, le transport, le déchargement, le stockage,
- le lit de pose et enrobage en gravillon 2/6, la pose en fond de fouilles,
- la fourniture et la mise en place de pièces de raccordement,
- la fourniture des joints et leur mise en place,
- la fourniture et la pose de tête de bouche à clé (hexagonale, ronde, ou carré),en fonte ductile d'un poids minimum de 14 kg, tube à longe à collerette en fonte, plaque de tabernacle en fonteductile,
- le bardage des tuyaux, les coupes sur tuyaux posés ou non posés,
- la fourniture et pose du grillage avertisseur de couleur bleu,
- les essais des canalisations effectués à la pression de 15 bars
- le nettoyage, le rinçage, la stérilisation de la conduite.
</t>
    </r>
  </si>
  <si>
    <t>SIGNALISATIONS</t>
  </si>
  <si>
    <t>DPGF</t>
  </si>
  <si>
    <t>Ens</t>
  </si>
  <si>
    <t>Etudes d'exécution &amp; Phasage
Ce prix rémunère :
- l'établissement de l'ensemble des notes de calculs, plan de calepinage et plans d'exécution des ouvrages définitifs, y compris rectification et mises à jour éventuelles,  
  Il comprend :  
- l'ensemble d</t>
  </si>
  <si>
    <r>
      <rPr>
        <b/>
        <sz val="9"/>
        <rFont val="Arial"/>
        <family val="2"/>
      </rPr>
      <t xml:space="preserve">Sondage de reconnaissance concessionnaires
</t>
    </r>
    <r>
      <rPr>
        <sz val="9"/>
        <rFont val="Arial"/>
        <family val="2"/>
      </rPr>
      <t xml:space="preserve">
</t>
    </r>
  </si>
  <si>
    <t>TRAVAUX PRELIMINAIRES</t>
  </si>
  <si>
    <r>
      <rPr>
        <b/>
        <sz val="9"/>
        <rFont val="Arial"/>
        <family val="2"/>
      </rPr>
      <t>Installation générale de chantier</t>
    </r>
    <r>
      <rPr>
        <b/>
        <sz val="9"/>
        <rFont val="Arial"/>
        <family val="2"/>
      </rPr>
      <t/>
    </r>
  </si>
  <si>
    <t>Constat d'huissier</t>
  </si>
  <si>
    <t>Couche d'accrochage</t>
  </si>
  <si>
    <r>
      <rPr>
        <b/>
        <sz val="9"/>
        <rFont val="Arial"/>
        <family val="2"/>
      </rPr>
      <t>Couche d'imprégnation</t>
    </r>
    <r>
      <rPr>
        <sz val="9"/>
        <rFont val="Arial"/>
        <family val="2"/>
      </rPr>
      <t/>
    </r>
  </si>
  <si>
    <t>EB 14 assise GB 0/14 classe 3</t>
  </si>
  <si>
    <t xml:space="preserve">Fourniture et pose de canalisation en P.V.C. CR8 </t>
  </si>
  <si>
    <t xml:space="preserve">Fourniture et pose de canalisation en béton série 135 A </t>
  </si>
  <si>
    <t>Fourniture et pose de canalisation en P.V.C. CR8  y compris raccordements sur ouvrages</t>
  </si>
  <si>
    <t>Terrassement en tranchée commune en terrain de toute natures (profondeur entre 0,8m&gt;1,20m)</t>
  </si>
  <si>
    <t>Essais et désinfection</t>
  </si>
  <si>
    <t>Chambre de tirage</t>
  </si>
  <si>
    <t>Chambre de tirage Télécom</t>
  </si>
  <si>
    <t>TRAVAUX DE TERRASSEMENT</t>
  </si>
  <si>
    <t>Essais et contrôles</t>
  </si>
  <si>
    <t>TRAVAUX PREPARATOIRES</t>
  </si>
  <si>
    <t>TRAVAUX DE VOIRIE</t>
  </si>
  <si>
    <t>Campagne d'essais à la plaque</t>
  </si>
  <si>
    <t>01</t>
  </si>
  <si>
    <t>1.1</t>
  </si>
  <si>
    <t>1.2</t>
  </si>
  <si>
    <t>1.3</t>
  </si>
  <si>
    <t>1.4</t>
  </si>
  <si>
    <t>02</t>
  </si>
  <si>
    <t>2.1</t>
  </si>
  <si>
    <t>Purge</t>
  </si>
  <si>
    <r>
      <rPr>
        <b/>
        <sz val="9"/>
        <rFont val="Arial"/>
        <family val="2"/>
      </rPr>
      <t xml:space="preserve">Cloutage R61 150/250 </t>
    </r>
    <r>
      <rPr>
        <sz val="9"/>
        <rFont val="Arial"/>
        <family val="2"/>
      </rPr>
      <t xml:space="preserve">
</t>
    </r>
  </si>
  <si>
    <t>03</t>
  </si>
  <si>
    <t>3.1</t>
  </si>
  <si>
    <t>3.2</t>
  </si>
  <si>
    <t>3.3</t>
  </si>
  <si>
    <t>3.4</t>
  </si>
  <si>
    <t>04</t>
  </si>
  <si>
    <t>4.1</t>
  </si>
  <si>
    <t>4.2</t>
  </si>
  <si>
    <t>4.2.1</t>
  </si>
  <si>
    <t>4.2.2</t>
  </si>
  <si>
    <t>4.3</t>
  </si>
  <si>
    <t>4.3.1</t>
  </si>
  <si>
    <t>4.4</t>
  </si>
  <si>
    <t>4.5</t>
  </si>
  <si>
    <t>4.6</t>
  </si>
  <si>
    <t>4.6.1</t>
  </si>
  <si>
    <t>4.8</t>
  </si>
  <si>
    <t>4.11</t>
  </si>
  <si>
    <t>4.12</t>
  </si>
  <si>
    <t>05</t>
  </si>
  <si>
    <t>5.1</t>
  </si>
  <si>
    <t>5.1.1</t>
  </si>
  <si>
    <t>5.1.2</t>
  </si>
  <si>
    <t>5.1.3</t>
  </si>
  <si>
    <t>5.1.4</t>
  </si>
  <si>
    <t>5.2</t>
  </si>
  <si>
    <t>5.3</t>
  </si>
  <si>
    <t>5.5</t>
  </si>
  <si>
    <t>5.6</t>
  </si>
  <si>
    <t>5.7</t>
  </si>
  <si>
    <t>5.8</t>
  </si>
  <si>
    <t>06</t>
  </si>
  <si>
    <t>6.1</t>
  </si>
  <si>
    <t>6.1.1</t>
  </si>
  <si>
    <t>6.2</t>
  </si>
  <si>
    <t>6.2.1</t>
  </si>
  <si>
    <t>6.4</t>
  </si>
  <si>
    <t>07</t>
  </si>
  <si>
    <t>7.1</t>
  </si>
  <si>
    <t>7.1.1</t>
  </si>
  <si>
    <t>7.2</t>
  </si>
  <si>
    <t>7.3</t>
  </si>
  <si>
    <t>7.5</t>
  </si>
  <si>
    <t>7.6</t>
  </si>
  <si>
    <t>7.7</t>
  </si>
  <si>
    <t>08</t>
  </si>
  <si>
    <t>8.1</t>
  </si>
  <si>
    <t>8.2</t>
  </si>
  <si>
    <t>8.2.1</t>
  </si>
  <si>
    <t>8.2.2</t>
  </si>
  <si>
    <t>8.4</t>
  </si>
  <si>
    <t>10</t>
  </si>
  <si>
    <t>10.1</t>
  </si>
  <si>
    <t>- pour EP  Ø315mm -  profondeur moyenne 1,50m</t>
  </si>
  <si>
    <t>Terrassement en tranchée en terrain de toute natures (profondeur entre 1,00m&gt;x&gt;4,00m)</t>
  </si>
  <si>
    <t xml:space="preserve">Regard à grille </t>
  </si>
  <si>
    <t xml:space="preserve">Regard de visite </t>
  </si>
  <si>
    <t>Regard de visite Ø1000mm - profondeur &lt; 2,00m</t>
  </si>
  <si>
    <t>7.2.1</t>
  </si>
  <si>
    <t>Fourreaux Ø 110</t>
  </si>
  <si>
    <t xml:space="preserve">Fourniture et pose de fourreaux </t>
  </si>
  <si>
    <t>PVC Ø42/45</t>
  </si>
  <si>
    <t>Raccordement sur réseau existant</t>
  </si>
  <si>
    <t>MOE</t>
  </si>
  <si>
    <t>5.9</t>
  </si>
  <si>
    <t>6.5</t>
  </si>
  <si>
    <t>Couche de réglage GNT- 0/20</t>
  </si>
  <si>
    <t>TVA 20 %</t>
  </si>
  <si>
    <t>4.7</t>
  </si>
  <si>
    <t>4.7.1</t>
  </si>
  <si>
    <t>4.9</t>
  </si>
  <si>
    <t>5.10</t>
  </si>
  <si>
    <t>5.11</t>
  </si>
  <si>
    <t>5.12</t>
  </si>
  <si>
    <t>8.5</t>
  </si>
  <si>
    <t>Terrassement en tranchée commune en terrain de toute natures (profondeur entre 0,8&gt;1,10m)</t>
  </si>
  <si>
    <t>11</t>
  </si>
  <si>
    <t>11.1</t>
  </si>
  <si>
    <t>Terrassement en tranchée en terrain de toute natures (profondeur entre 1,00m&gt;x&gt;2,50m)</t>
  </si>
  <si>
    <t>Raccordement sur existant</t>
  </si>
  <si>
    <t xml:space="preserve">Remblais d'apport 0/80
</t>
  </si>
  <si>
    <t>Couche de forme 0/80</t>
  </si>
  <si>
    <t xml:space="preserve"> Canalisations  B135A Ø600</t>
  </si>
  <si>
    <t>Regard de visite Ø1000mm - profondeur &gt; 2,00m</t>
  </si>
  <si>
    <t>RESEAU GAZ</t>
  </si>
  <si>
    <t>2.2</t>
  </si>
  <si>
    <t>3.5</t>
  </si>
  <si>
    <t>4.3.2</t>
  </si>
  <si>
    <t>4.10</t>
  </si>
  <si>
    <t>5.4</t>
  </si>
  <si>
    <t>5.13</t>
  </si>
  <si>
    <t>6.3</t>
  </si>
  <si>
    <t>6.3.1</t>
  </si>
  <si>
    <t>6.3.2</t>
  </si>
  <si>
    <t>7.8</t>
  </si>
  <si>
    <t>8.3</t>
  </si>
  <si>
    <t>9.1</t>
  </si>
  <si>
    <t>9.2</t>
  </si>
  <si>
    <t>9.2.1</t>
  </si>
  <si>
    <t>9.3</t>
  </si>
  <si>
    <t>9.4</t>
  </si>
  <si>
    <t>9.5</t>
  </si>
  <si>
    <t>11.1.1</t>
  </si>
  <si>
    <t>11.2</t>
  </si>
  <si>
    <t>Signalisation et balisage de chantier</t>
  </si>
  <si>
    <t>2.3</t>
  </si>
  <si>
    <t>Débroussaillage de haie ou de taillis</t>
  </si>
  <si>
    <t>2.4</t>
  </si>
  <si>
    <t>Abattage d'arbre quelque soit le diamètre</t>
  </si>
  <si>
    <t>2.5</t>
  </si>
  <si>
    <t>2.6</t>
  </si>
  <si>
    <t>2.7</t>
  </si>
  <si>
    <t>Démolition de maçonneries de toutes natures</t>
  </si>
  <si>
    <t>2.8</t>
  </si>
  <si>
    <t>Dépose d'équipement existant</t>
  </si>
  <si>
    <t>Clôture quelque soit le type</t>
  </si>
  <si>
    <t>Démolition de bordure quelque soit le type</t>
  </si>
  <si>
    <r>
      <t xml:space="preserve"> Couche de réglage </t>
    </r>
    <r>
      <rPr>
        <b/>
        <sz val="9"/>
        <rFont val="Arial"/>
        <family val="2"/>
      </rPr>
      <t>GNT ou fraisat d'enrobé</t>
    </r>
    <r>
      <rPr>
        <sz val="9"/>
        <rFont val="Arial"/>
        <family val="2"/>
      </rPr>
      <t xml:space="preserve">  - pour création de cheminement piéton    - épaisseur 0,10m </t>
    </r>
  </si>
  <si>
    <t>Sable stabilisé</t>
  </si>
  <si>
    <t>Bordure et caniveau béton préfabriqué</t>
  </si>
  <si>
    <t>3.6</t>
  </si>
  <si>
    <r>
      <rPr>
        <b/>
        <sz val="9"/>
        <rFont val="Arial"/>
        <family val="2"/>
      </rPr>
      <t>Déblais (hors déblais bassin / réserve incendie / tranchées)</t>
    </r>
    <r>
      <rPr>
        <sz val="9"/>
        <rFont val="Arial"/>
        <family val="2"/>
      </rPr>
      <t xml:space="preserve">
</t>
    </r>
  </si>
  <si>
    <t>3.1.1</t>
  </si>
  <si>
    <t>A évacuer</t>
  </si>
  <si>
    <t>3.1.2</t>
  </si>
  <si>
    <t>A stocker sur place</t>
  </si>
  <si>
    <r>
      <rPr>
        <b/>
        <sz val="9"/>
        <rFont val="Arial"/>
        <family val="2"/>
      </rPr>
      <t>Mise à niveau de l'ensemble des tampons et des grilles</t>
    </r>
    <r>
      <rPr>
        <sz val="9"/>
        <rFont val="Arial"/>
        <family val="2"/>
      </rPr>
      <t xml:space="preserve">
</t>
    </r>
  </si>
  <si>
    <r>
      <rPr>
        <b/>
        <sz val="9"/>
        <rFont val="Arial"/>
        <family val="2"/>
      </rPr>
      <t>Mise à niveau des l'ensemble des bouches à clef</t>
    </r>
    <r>
      <rPr>
        <sz val="9"/>
        <rFont val="Arial"/>
        <family val="2"/>
      </rPr>
      <t xml:space="preserve">
</t>
    </r>
  </si>
  <si>
    <t>Géotextile - Classe 4</t>
  </si>
  <si>
    <t>4.5.1</t>
  </si>
  <si>
    <t>Pour voirie lourde - 2 couches de 12cm</t>
  </si>
  <si>
    <t>Campagne d'essais à la plaque (1essai / 500m²)</t>
  </si>
  <si>
    <t>Bordure béton CR1 Classe A - noyée</t>
  </si>
  <si>
    <t>- pour EP  Ø600mm -  profondeur moyenne 2,30m</t>
  </si>
  <si>
    <t>- pour EP  Ø800mm -  profondeur moyenne 2,50m</t>
  </si>
  <si>
    <t xml:space="preserve"> Canalisations  B135A Ø500</t>
  </si>
  <si>
    <t xml:space="preserve"> Canalisations  B135A Ø800</t>
  </si>
  <si>
    <t xml:space="preserve">Fossé </t>
  </si>
  <si>
    <t>Fossé - Profondeur moy 1m / Talus 3/2</t>
  </si>
  <si>
    <t>Regard de visite Ø1500mm - profondeur &gt; 2,00m</t>
  </si>
  <si>
    <t>Bassin de rétention</t>
  </si>
  <si>
    <t>Ouvrage de sortie</t>
  </si>
  <si>
    <t>Tête d'aqueduc</t>
  </si>
  <si>
    <t>5.7.1</t>
  </si>
  <si>
    <t>Fossé - Profondeur moy 1m / largeur en 0,5m / Talus 3/2</t>
  </si>
  <si>
    <t>Fossé dévoyé - Profondeur moy 1m / largeur en 1,5m / Talus 3/2</t>
  </si>
  <si>
    <t>Regard de visite Ø1000mm ou 1000*1000 - profondeur &gt; 2,00m</t>
  </si>
  <si>
    <t>Vanne de sectionnement DN125 - AEP</t>
  </si>
  <si>
    <t>Fourniture et pose de canalisation en fonte ductile y compris pièces spéciales (té, coude, cône etc…)</t>
  </si>
  <si>
    <t>FONTE DN125 - AEP</t>
  </si>
  <si>
    <t>Ventouse</t>
  </si>
  <si>
    <t>Pour DN125 - AEP</t>
  </si>
  <si>
    <t>Pour DN150 - EB</t>
  </si>
  <si>
    <t>Vanne de sectionnement DN150 - EB</t>
  </si>
  <si>
    <t>FONTE DN150 - EB</t>
  </si>
  <si>
    <t>FONTE DN80 - EB</t>
  </si>
  <si>
    <t>Vanne de sectionnement DN80 - EB</t>
  </si>
  <si>
    <t xml:space="preserve">Terrassement en tranchée commune en terrain de toute natures (profondeur entre 0,8m&gt;1,10m) </t>
  </si>
  <si>
    <t>Fourreaux Ø 200</t>
  </si>
  <si>
    <t>Fourniture et pose en tranchée de Fourreaux TPC rouge</t>
  </si>
  <si>
    <t>8.6</t>
  </si>
  <si>
    <t>8.7</t>
  </si>
  <si>
    <t>Chambre Télécom L2T</t>
  </si>
  <si>
    <t>Chambre Télécom L2C</t>
  </si>
  <si>
    <t xml:space="preserve">Fossé maçonné au droit du piquage EP </t>
  </si>
  <si>
    <t>7.4</t>
  </si>
  <si>
    <t>7.9</t>
  </si>
  <si>
    <t>Chambre Télécom L1C</t>
  </si>
  <si>
    <t>Tranchée pour réseau primaire</t>
  </si>
  <si>
    <t>09</t>
  </si>
  <si>
    <t>RESEAU ECLAIRAGE</t>
  </si>
  <si>
    <t>Fourreaux Ø 90</t>
  </si>
  <si>
    <t>Fourniture et pose sous fourreau de câble U-1000 R2V 4x16mm²</t>
  </si>
  <si>
    <t>Fourniture et pose en tranchée cablette Cu 25mm²</t>
  </si>
  <si>
    <t>Armoire de commande</t>
  </si>
  <si>
    <t>Massif d'ancrage pour mât de 12m</t>
  </si>
  <si>
    <t xml:space="preserve">Candélabre Furyo - Hauteur : 12m </t>
  </si>
  <si>
    <t>9.6</t>
  </si>
  <si>
    <t>9.7</t>
  </si>
  <si>
    <t>9.8</t>
  </si>
  <si>
    <t>9.9</t>
  </si>
  <si>
    <t>9.10</t>
  </si>
  <si>
    <t>10.2</t>
  </si>
  <si>
    <t>10.2.1</t>
  </si>
  <si>
    <t>10.3</t>
  </si>
  <si>
    <t>10.3.1</t>
  </si>
  <si>
    <t>10.3.2</t>
  </si>
  <si>
    <t>10.3.3</t>
  </si>
  <si>
    <t>10.4</t>
  </si>
  <si>
    <t>10.5</t>
  </si>
  <si>
    <r>
      <rPr>
        <b/>
        <sz val="9"/>
        <rFont val="Arial"/>
        <family val="2"/>
      </rPr>
      <t>Panneaux de signalisation standard R2</t>
    </r>
    <r>
      <rPr>
        <sz val="9"/>
        <rFont val="Arial"/>
        <family val="2"/>
      </rPr>
      <t xml:space="preserve">
</t>
    </r>
  </si>
  <si>
    <r>
      <rPr>
        <b/>
        <sz val="9"/>
        <rFont val="Arial"/>
        <family val="2"/>
      </rPr>
      <t>Signalisation Horizontale</t>
    </r>
    <r>
      <rPr>
        <sz val="9"/>
        <rFont val="Arial"/>
        <family val="2"/>
      </rPr>
      <t xml:space="preserve">(stop, zébra, damier, passage piétons, logo handicapé …) 
</t>
    </r>
  </si>
  <si>
    <t>m2</t>
  </si>
  <si>
    <r>
      <rPr>
        <b/>
        <sz val="9"/>
        <rFont val="Arial"/>
        <family val="2"/>
      </rPr>
      <t xml:space="preserve">Bande Discontinue type T3 largeur  2U (u=5cm)
</t>
    </r>
  </si>
  <si>
    <r>
      <rPr>
        <b/>
        <sz val="9"/>
        <rFont val="Arial"/>
        <family val="2"/>
      </rPr>
      <t>Bande continue type LC largeur  3U (u=5cm)</t>
    </r>
    <r>
      <rPr>
        <sz val="9"/>
        <rFont val="Arial"/>
        <family val="2"/>
      </rPr>
      <t xml:space="preserve">
</t>
    </r>
  </si>
  <si>
    <t>1.5</t>
  </si>
  <si>
    <t>MOBILIER - DIVERS</t>
  </si>
  <si>
    <r>
      <rPr>
        <b/>
        <sz val="9"/>
        <rFont val="Arial"/>
        <family val="2"/>
      </rPr>
      <t>Potelets H = 1,10m</t>
    </r>
    <r>
      <rPr>
        <sz val="9"/>
        <rFont val="Arial"/>
        <family val="2"/>
      </rPr>
      <t xml:space="preserve">
</t>
    </r>
  </si>
  <si>
    <r>
      <rPr>
        <b/>
        <sz val="9"/>
        <rFont val="Arial"/>
        <family val="2"/>
      </rPr>
      <t>Potelets amovibles H = 1,10m</t>
    </r>
    <r>
      <rPr>
        <sz val="9"/>
        <rFont val="Arial"/>
        <family val="2"/>
      </rPr>
      <t xml:space="preserve">
</t>
    </r>
  </si>
  <si>
    <t xml:space="preserve">Dalles podotactiles
</t>
  </si>
  <si>
    <t>11.3</t>
  </si>
  <si>
    <t>11.4</t>
  </si>
  <si>
    <t>12</t>
  </si>
  <si>
    <t>12.1</t>
  </si>
  <si>
    <t>12.2</t>
  </si>
  <si>
    <t>12.3</t>
  </si>
  <si>
    <t>12.4</t>
  </si>
  <si>
    <t>13.1</t>
  </si>
  <si>
    <t>13</t>
  </si>
  <si>
    <t>13.2</t>
  </si>
  <si>
    <t>13.3</t>
  </si>
  <si>
    <t>13.4</t>
  </si>
  <si>
    <t>13.5</t>
  </si>
  <si>
    <t>Pour Ø400 à Ø600mm</t>
  </si>
  <si>
    <t>5.8.1</t>
  </si>
  <si>
    <t>Hydrocurage réseaux EP Ø600 et Ø800 existants et réseaux projetés</t>
  </si>
  <si>
    <t>5.14</t>
  </si>
  <si>
    <t>Hydrocurage</t>
  </si>
  <si>
    <t>5.9.1</t>
  </si>
  <si>
    <t>5.15</t>
  </si>
  <si>
    <t>- pour EP  Ø500mm -   profondeur moyenne 1,50,m</t>
  </si>
  <si>
    <t>Fourniture et pose de drain routier en tranchée commune y compris massif drainant</t>
  </si>
  <si>
    <t>Ouvrage de décharge et de raccordement sur Malbief</t>
  </si>
  <si>
    <t>Dimensions int. 60*60</t>
  </si>
  <si>
    <t>Vidange</t>
  </si>
  <si>
    <t>Coffret de branchement S22 pour Poste de refoulement EP</t>
  </si>
  <si>
    <t xml:space="preserve">Plus value pour enrobage béton </t>
  </si>
  <si>
    <t>Tranchée nappe réseaux BT</t>
  </si>
  <si>
    <t>Tranchée nappe réseaux HTA</t>
  </si>
  <si>
    <t>8.1.1</t>
  </si>
  <si>
    <t>8.1.2</t>
  </si>
  <si>
    <t>RESEAU COURANT FAIBLE - TELECOM - FIBRE OPTIQUE</t>
  </si>
  <si>
    <t>Pose de canalisation PEHD GAZ PN80 quelque soit le diamètre (fournie par GRDF)</t>
  </si>
  <si>
    <t>Fourniture et pose sous fourreau de Câble BT ALU H1 XDV 4x35 mm²</t>
  </si>
  <si>
    <t>Réserve incendie 120m3 avec poteau d'aspiration</t>
  </si>
  <si>
    <t>Remblais pour fossés, espace verts et accotements (matériaux de déblai repris sur stock)</t>
  </si>
  <si>
    <t>2.8.1</t>
  </si>
  <si>
    <t>EAU POTABLE - EAU BRUTE</t>
  </si>
  <si>
    <t xml:space="preserve">Décapage de la terre végétale sur 15cm
</t>
  </si>
  <si>
    <t>2.9</t>
  </si>
  <si>
    <t>7.2.2</t>
  </si>
  <si>
    <t>7.2.3</t>
  </si>
  <si>
    <t>7.4.1</t>
  </si>
  <si>
    <t>7.4.2</t>
  </si>
  <si>
    <t>7.4.3</t>
  </si>
  <si>
    <t>7.6.1</t>
  </si>
  <si>
    <t>7.6.2</t>
  </si>
  <si>
    <t xml:space="preserve">LE PARC </t>
  </si>
  <si>
    <t>ZAC DES PLAINES - PHASE DCE</t>
  </si>
  <si>
    <t>Démolition d'enrobé</t>
  </si>
  <si>
    <t>F</t>
  </si>
  <si>
    <t>- pour EU  Ø250mm - profondeur moyenne 3,00m</t>
  </si>
  <si>
    <t xml:space="preserve"> Fourniture et pose de canalisation en P.V.C. CR8 Ø250 mm</t>
  </si>
  <si>
    <t>- pour réseaux AEP et EB - profondeur moyenne 1,80 m</t>
  </si>
  <si>
    <t>Branchement DN80</t>
  </si>
  <si>
    <t>Poste de refoulement EP 107l/s</t>
  </si>
  <si>
    <t>9.11</t>
  </si>
  <si>
    <t>Reprise et pose candélabre furyo-hauteur 12 m</t>
  </si>
  <si>
    <t>ESPACES  VERTS</t>
  </si>
  <si>
    <t>Terre vegetale</t>
  </si>
  <si>
    <t>Mise en place de terre végétale provenant du stock
Ce prix rémunère :
- La mise en place de la terre végétale provenant du stock
- les amendements nécessaire
- le régalage et le réglage de formation grosso-modo des sols revêtus,
- le maintien en état de propreté des abords des lieux des travaux
- toutes sujétions</t>
  </si>
  <si>
    <t>Fosse pour arbres tiges (12m3)</t>
  </si>
  <si>
    <t>Arbre à tige y compris accessoires de plantation</t>
  </si>
  <si>
    <t>Travaux préparaoaratoires</t>
  </si>
  <si>
    <t xml:space="preserve">Sous solage et décompactage </t>
  </si>
  <si>
    <t>Terrassement complémentaire</t>
  </si>
  <si>
    <t>Amendement physique hydrorétentetenteur 0,35 Kg/ m3 TV</t>
  </si>
  <si>
    <t xml:space="preserve">Compost 30 % par m3 </t>
  </si>
  <si>
    <t>kg</t>
  </si>
  <si>
    <t xml:space="preserve">Ens </t>
  </si>
  <si>
    <t>Pour voirie lourde  et stationnement - épaisseur 0,75m</t>
  </si>
  <si>
    <t>Pour cheminement pieton  - épaisseur 0,40m</t>
  </si>
  <si>
    <t xml:space="preserve"> Couche de réglage  -  pour  voirie lourde et stationnement - épaisseur 0,05m</t>
  </si>
  <si>
    <t>Pour voirie lourde  et stationnement en enrobé</t>
  </si>
  <si>
    <t xml:space="preserve">Pour voirie lourde  et stationnement - 2 couches </t>
  </si>
  <si>
    <t>2.10</t>
  </si>
  <si>
    <t>2.11</t>
  </si>
  <si>
    <t>Dématellement du poste de relevage existant</t>
  </si>
  <si>
    <t xml:space="preserve">Dépose de la virolle de protection en béton </t>
  </si>
  <si>
    <t>2.12</t>
  </si>
  <si>
    <t>2.13</t>
  </si>
  <si>
    <t xml:space="preserve">Isolement et coupure des réseaux d'irrigation </t>
  </si>
  <si>
    <t xml:space="preserve">Dépose de réseaux existant quelquesoit la nature 
</t>
  </si>
  <si>
    <t xml:space="preserve">Barrière bois pivotante </t>
  </si>
  <si>
    <t>Ganivelle bois H= 1</t>
  </si>
  <si>
    <t>Portillon ganivelle H= 1 L= 2,5m</t>
  </si>
  <si>
    <t>13.6</t>
  </si>
  <si>
    <t xml:space="preserve">Remplacement de bordure existante </t>
  </si>
  <si>
    <t>Bordure béton 50*30 identique à l'existant  - Classe A - haute</t>
  </si>
  <si>
    <t>Bordures béton 20*30  identique à l'existant - Classe A - haute</t>
  </si>
  <si>
    <t>Bordures béton 20*20 identique à l'existant - Classe A - noyée</t>
  </si>
  <si>
    <t>13.7</t>
  </si>
  <si>
    <t>14</t>
  </si>
  <si>
    <t>14.1</t>
  </si>
  <si>
    <t>14.2</t>
  </si>
  <si>
    <t>14.3</t>
  </si>
  <si>
    <t>14.4</t>
  </si>
  <si>
    <t>14.1.1</t>
  </si>
  <si>
    <t>14.1.2</t>
  </si>
  <si>
    <t>14.1.3</t>
  </si>
  <si>
    <t>14.2.1</t>
  </si>
  <si>
    <t>14.5</t>
  </si>
  <si>
    <t>14.6</t>
  </si>
  <si>
    <t xml:space="preserve">Acer Platanoide tige 3xtr MG 18/20 </t>
  </si>
  <si>
    <t>Alnus cordata tige 3xtr MG 18/20</t>
  </si>
  <si>
    <t>Ostrya Carpinifolia 3xtr MG 18/20</t>
  </si>
  <si>
    <t>Quercus frainetto 3xtr MG 18/20</t>
  </si>
  <si>
    <t>Quercus robur 3xtr MG 18/20</t>
  </si>
  <si>
    <t>Tillia americana 3xtr MG 18/20</t>
  </si>
  <si>
    <t xml:space="preserve">Massif paysager : Arbustes </t>
  </si>
  <si>
    <t>14.6.1</t>
  </si>
  <si>
    <t>14.6.2</t>
  </si>
  <si>
    <t>14.6.3</t>
  </si>
  <si>
    <t>14.6.4</t>
  </si>
  <si>
    <t>14.6.5</t>
  </si>
  <si>
    <t>14.6.6</t>
  </si>
  <si>
    <t>Massif paysager Graminées Vivaces et couvre sols</t>
  </si>
  <si>
    <t>Vinca Minor TF</t>
  </si>
  <si>
    <t xml:space="preserve">Euonymus européaeus TF 60/80 Motte </t>
  </si>
  <si>
    <t>Deutzia gracilis TF 30/40 Racine nue</t>
  </si>
  <si>
    <t>Cornus sanguinéa "Winter Flame" TF 80/100 C5</t>
  </si>
  <si>
    <t>Spiréa japonica TF 60/90 Racine nue</t>
  </si>
  <si>
    <t>Symphoricarpos x chenautil 'hancock'  TF 80/100 Racine nue</t>
  </si>
  <si>
    <t>Cornus alba  TF 80/100 C5</t>
  </si>
  <si>
    <t>Salix Purpunéa 'nana' TF 80/100 C5</t>
  </si>
  <si>
    <t>Imperata cylindrica  'red baron' TF</t>
  </si>
  <si>
    <t>Salix caprea 'Mas' TF 80/100 C5</t>
  </si>
  <si>
    <t>Lonicera nitida 'Maigrum' TF 80/100</t>
  </si>
  <si>
    <t>Lonicera acuminata TF</t>
  </si>
  <si>
    <t>Weigelia florida 'purpea' TF 80/100 racine nue</t>
  </si>
  <si>
    <t>Hibiscus syriacus TF 80/100 Racine nue</t>
  </si>
  <si>
    <t>Prunus laurocesarus 'Otto luyken'</t>
  </si>
  <si>
    <t>14.7</t>
  </si>
  <si>
    <t>14.7.1</t>
  </si>
  <si>
    <t>14.7.8</t>
  </si>
  <si>
    <t>14.7.2</t>
  </si>
  <si>
    <t>14.7.3</t>
  </si>
  <si>
    <t>14.7.4</t>
  </si>
  <si>
    <t>14.7.5</t>
  </si>
  <si>
    <t>14.7.6</t>
  </si>
  <si>
    <t>14.7.7</t>
  </si>
  <si>
    <t>14.7.9</t>
  </si>
  <si>
    <t>14.7.10</t>
  </si>
  <si>
    <t>14.7.11</t>
  </si>
  <si>
    <t>14.7.12</t>
  </si>
  <si>
    <t>14.7.13</t>
  </si>
  <si>
    <t>Corylopsis pauciflora TF 80/100 racine nue</t>
  </si>
  <si>
    <t>14.8</t>
  </si>
  <si>
    <t>14.8.1</t>
  </si>
  <si>
    <t>Pachysandra terminalis</t>
  </si>
  <si>
    <t>Euphorbia martnii</t>
  </si>
  <si>
    <t>Geranium himalayense</t>
  </si>
  <si>
    <t>14.8.2</t>
  </si>
  <si>
    <t>14.8.3</t>
  </si>
  <si>
    <t>14.8.4</t>
  </si>
  <si>
    <t>14.8.5</t>
  </si>
  <si>
    <t>14.8.6</t>
  </si>
  <si>
    <t>14.9</t>
  </si>
  <si>
    <t>Agrsotis tenuis</t>
  </si>
  <si>
    <t>Festuca rubra</t>
  </si>
  <si>
    <t>Lolium perenne</t>
  </si>
  <si>
    <t>Medigago lupulina</t>
  </si>
  <si>
    <t>Lotus corniculatus</t>
  </si>
  <si>
    <t>14.9.1</t>
  </si>
  <si>
    <t>14.9.2</t>
  </si>
  <si>
    <t>14.9.3</t>
  </si>
  <si>
    <t>14.9.4</t>
  </si>
  <si>
    <t>14.9.5</t>
  </si>
  <si>
    <t>14.10</t>
  </si>
  <si>
    <t>Prairie fleurie</t>
  </si>
  <si>
    <t xml:space="preserve">Confortement pendant 1 an après parachèvement </t>
  </si>
  <si>
    <t xml:space="preserve">Parachèvement  pendant 1 an après réception </t>
  </si>
  <si>
    <t>14.11</t>
  </si>
  <si>
    <t>14.12</t>
  </si>
  <si>
    <t>Total HT</t>
  </si>
  <si>
    <t xml:space="preserve">Clôture barbelée </t>
  </si>
  <si>
    <t>Préparation des sols en place</t>
  </si>
  <si>
    <t xml:space="preserve">Fourniture et pose de canalisation de refoulement en PEHD DN150 </t>
  </si>
  <si>
    <t>5.4.1</t>
  </si>
  <si>
    <t>5.4.2</t>
  </si>
  <si>
    <t>5.4.3</t>
  </si>
  <si>
    <t>5.7.2</t>
  </si>
  <si>
    <t>5.7.3</t>
  </si>
  <si>
    <t>5.7.4</t>
  </si>
  <si>
    <t>5.9.2</t>
  </si>
  <si>
    <t>5.9.3</t>
  </si>
  <si>
    <t>5.10.1</t>
  </si>
  <si>
    <t>5.16</t>
  </si>
  <si>
    <t>13.8</t>
  </si>
  <si>
    <t xml:space="preserve">Arceau de protection Poteau incendie et borne d'aspiration </t>
  </si>
  <si>
    <t xml:space="preserve">DQE </t>
  </si>
  <si>
    <t>CAS CONCRET N°1</t>
  </si>
  <si>
    <t xml:space="preserve">Décapage de sable stabilisé
</t>
  </si>
  <si>
    <t>Enlèvement de végétaux</t>
  </si>
  <si>
    <t xml:space="preserve">EB de roulement </t>
  </si>
  <si>
    <t>4.8.1</t>
  </si>
  <si>
    <t>Refection  du cheminement Sable stabilisé</t>
  </si>
  <si>
    <t>4.10.2</t>
  </si>
  <si>
    <t>Abaissement de Bordures béton 20*30 existante</t>
  </si>
  <si>
    <t>4.10.3</t>
  </si>
  <si>
    <r>
      <rPr>
        <b/>
        <sz val="9"/>
        <rFont val="Arial"/>
        <family val="2"/>
      </rPr>
      <t xml:space="preserve">Mise à niveau de l'ensemble des tampons </t>
    </r>
    <r>
      <rPr>
        <sz val="9"/>
        <rFont val="Arial"/>
        <family val="2"/>
      </rPr>
      <t xml:space="preserve">
</t>
    </r>
  </si>
  <si>
    <t>5.2.4</t>
  </si>
  <si>
    <t>5.3.1</t>
  </si>
  <si>
    <t>5.6.1</t>
  </si>
  <si>
    <t>Reprise fossé</t>
  </si>
  <si>
    <t xml:space="preserve">Regard de branchement </t>
  </si>
  <si>
    <t>PEHD PE100 PN 16 DN32 - AEP</t>
  </si>
  <si>
    <t>PEHD PE100 PN 16 DN32 - EB</t>
  </si>
  <si>
    <t>Branchement DN32 sur conduite en service</t>
  </si>
  <si>
    <r>
      <rPr>
        <b/>
        <sz val="9"/>
        <rFont val="Arial"/>
        <family val="2"/>
      </rPr>
      <t>Bouche à clé complète</t>
    </r>
    <r>
      <rPr>
        <sz val="9"/>
        <rFont val="Arial"/>
        <family val="2"/>
      </rPr>
      <t xml:space="preserve">
</t>
    </r>
  </si>
  <si>
    <t>Regard de comptage</t>
  </si>
  <si>
    <t>Chambre Télécom LOT</t>
  </si>
  <si>
    <t>Tranchée pour réseau secondaire</t>
  </si>
  <si>
    <t>ESPACES VERTS</t>
  </si>
  <si>
    <t>5.5.1</t>
  </si>
  <si>
    <t xml:space="preserve"> Fourniture et pose de canalisation en P.V.C. CR8 Ø160 mm</t>
  </si>
  <si>
    <t xml:space="preserve">Végétalisation de la noue 
</t>
  </si>
  <si>
    <r>
      <rPr>
        <b/>
        <sz val="9"/>
        <rFont val="Arial"/>
        <family val="2"/>
      </rPr>
      <t>Déblais (hors déblais tranchées)</t>
    </r>
    <r>
      <rPr>
        <sz val="9"/>
        <rFont val="Arial"/>
        <family val="2"/>
      </rPr>
      <t xml:space="preserve">
</t>
    </r>
  </si>
  <si>
    <t>Pour voirie lourde - 1 couche de 12cm</t>
  </si>
  <si>
    <t>4.7.2</t>
  </si>
  <si>
    <t>Pour création de voirie lourde  et stationnement - BBSG épaisseur 0,06m</t>
  </si>
  <si>
    <t>CAS CONCRET N°2</t>
  </si>
  <si>
    <t xml:space="preserve">Dépose et repose Candélabre Furyo - Hauteur : 12m </t>
  </si>
  <si>
    <t>Déplacement d'arbre tige</t>
  </si>
  <si>
    <t>Reprise de bande arbustive et couvre sol</t>
  </si>
  <si>
    <t>CAS CONCRET N°3</t>
  </si>
  <si>
    <t xml:space="preserve">Réfection de tranchée à l'identique </t>
  </si>
  <si>
    <t>Bétonnage de la tete de canalisation en raccord sur le fossé</t>
  </si>
  <si>
    <t>Pose de canalisation PEHD GAZ quelque soit le diamètre (fournie par GRDF)</t>
  </si>
  <si>
    <t>5.2.1</t>
  </si>
  <si>
    <t xml:space="preserve">Noue verte </t>
  </si>
  <si>
    <t>Enlèvement de DIB et DIS</t>
  </si>
  <si>
    <t>Géotextile - Classe 5</t>
  </si>
  <si>
    <t>EB 10  BBSG 0/10 classe 3</t>
  </si>
  <si>
    <t>Pour voirie stationnement  - 1  couche de 6 cm</t>
  </si>
  <si>
    <t>4.10.1</t>
  </si>
  <si>
    <t>4.10.4</t>
  </si>
  <si>
    <t>4.13</t>
  </si>
  <si>
    <t>Arrosage pendant la la période de parachèvement</t>
  </si>
  <si>
    <t>14.13</t>
  </si>
  <si>
    <t>14.14</t>
  </si>
  <si>
    <t>Arrosage pendant la la période de confortement</t>
  </si>
  <si>
    <t>1.6</t>
  </si>
  <si>
    <t>Prescriptions envionnementales</t>
  </si>
  <si>
    <t>14.15</t>
  </si>
  <si>
    <t>14.16</t>
  </si>
  <si>
    <t xml:space="preserve">Toile biodégradable </t>
  </si>
  <si>
    <t xml:space="preserve">Paillage bois épaisseur 20cm </t>
  </si>
  <si>
    <t>SYNTHESE</t>
  </si>
  <si>
    <t>RECAPITULATIF</t>
  </si>
  <si>
    <t xml:space="preserve">LE PARC DPGF </t>
  </si>
  <si>
    <t>LE PARC DQE CC1</t>
  </si>
  <si>
    <t>LE PARC DQE CC2</t>
  </si>
  <si>
    <t>LE PARC DQE CC3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</si>
</sst>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3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2">
    <xf numFmtId="0" fontId="0" fillId="0" borderId="0" xfId="0"/>
    <xf numFmtId="0" fontId="2" fillId="0" borderId="0" xfId="0" applyFont="1"/>
    <xf numFmtId="0" fontId="3" fillId="0" borderId="0" xfId="0" applyFont="1"/>
    <xf numFmtId="49" fontId="2" fillId="0" borderId="1" xfId="0" applyNumberFormat="1" applyFont="1" applyBorder="1" applyAlignment="1">
      <alignment horizontal="centerContinuous"/>
    </xf>
    <xf numFmtId="0" fontId="3" fillId="0" borderId="0" xfId="0" applyFont="1" applyAlignment="1">
      <alignment horizontal="center"/>
    </xf>
    <xf numFmtId="49" fontId="3" fillId="0" borderId="2" xfId="0" applyNumberFormat="1" applyFont="1" applyBorder="1"/>
    <xf numFmtId="0" fontId="5" fillId="0" borderId="0" xfId="0" applyFont="1" applyAlignment="1">
      <alignment horizontal="center"/>
    </xf>
    <xf numFmtId="0" fontId="7" fillId="0" borderId="3" xfId="0" applyFont="1" applyBorder="1" applyAlignment="1">
      <alignment horizontal="centerContinuous"/>
    </xf>
    <xf numFmtId="0" fontId="7" fillId="0" borderId="4" xfId="0" applyFont="1" applyBorder="1" applyAlignment="1">
      <alignment horizontal="centerContinuous"/>
    </xf>
    <xf numFmtId="0" fontId="2" fillId="0" borderId="0" xfId="0" applyFont="1" applyAlignment="1">
      <alignment vertical="top"/>
    </xf>
    <xf numFmtId="0" fontId="7" fillId="0" borderId="5" xfId="0" applyFont="1" applyBorder="1" applyAlignment="1">
      <alignment horizontal="center" vertical="top"/>
    </xf>
    <xf numFmtId="49" fontId="2" fillId="0" borderId="6" xfId="0" applyNumberFormat="1" applyFont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9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4" fontId="3" fillId="0" borderId="9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4" fontId="3" fillId="0" borderId="10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4" fontId="2" fillId="0" borderId="1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4" fontId="2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1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right" vertical="center"/>
    </xf>
    <xf numFmtId="0" fontId="2" fillId="0" borderId="5" xfId="0" applyFont="1" applyBorder="1" applyAlignment="1">
      <alignment vertical="top"/>
    </xf>
    <xf numFmtId="0" fontId="7" fillId="0" borderId="14" xfId="0" applyFont="1" applyBorder="1" applyAlignment="1">
      <alignment horizontal="centerContinuous" vertical="top"/>
    </xf>
    <xf numFmtId="0" fontId="7" fillId="0" borderId="15" xfId="0" applyFont="1" applyBorder="1" applyAlignment="1">
      <alignment horizontal="centerContinuous" vertical="top"/>
    </xf>
    <xf numFmtId="49" fontId="2" fillId="0" borderId="5" xfId="0" applyNumberFormat="1" applyFont="1" applyBorder="1" applyAlignment="1">
      <alignment horizontal="center" vertical="top"/>
    </xf>
    <xf numFmtId="49" fontId="2" fillId="0" borderId="14" xfId="0" applyNumberFormat="1" applyFont="1" applyBorder="1" applyAlignment="1">
      <alignment horizontal="center" vertical="top"/>
    </xf>
    <xf numFmtId="49" fontId="6" fillId="0" borderId="6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vertical="center"/>
    </xf>
    <xf numFmtId="49" fontId="2" fillId="0" borderId="16" xfId="0" applyNumberFormat="1" applyFont="1" applyBorder="1" applyAlignment="1">
      <alignment horizontal="center" vertical="top"/>
    </xf>
    <xf numFmtId="49" fontId="2" fillId="0" borderId="17" xfId="0" applyNumberFormat="1" applyFont="1" applyBorder="1" applyAlignment="1">
      <alignment horizontal="centerContinuous"/>
    </xf>
    <xf numFmtId="0" fontId="2" fillId="0" borderId="18" xfId="0" applyFont="1" applyBorder="1" applyAlignment="1">
      <alignment horizontal="center" vertical="center"/>
    </xf>
    <xf numFmtId="4" fontId="2" fillId="0" borderId="18" xfId="0" applyNumberFormat="1" applyFont="1" applyBorder="1" applyAlignment="1">
      <alignment horizontal="center" vertical="center"/>
    </xf>
    <xf numFmtId="4" fontId="2" fillId="0" borderId="19" xfId="0" applyNumberFormat="1" applyFont="1" applyBorder="1" applyAlignment="1">
      <alignment horizontal="right" vertical="center"/>
    </xf>
    <xf numFmtId="0" fontId="2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top" wrapText="1"/>
    </xf>
    <xf numFmtId="49" fontId="6" fillId="3" borderId="21" xfId="0" applyNumberFormat="1" applyFont="1" applyFill="1" applyBorder="1" applyAlignment="1">
      <alignment horizontal="center" vertical="top"/>
    </xf>
    <xf numFmtId="0" fontId="2" fillId="3" borderId="22" xfId="0" applyFont="1" applyFill="1" applyBorder="1" applyAlignment="1">
      <alignment horizontal="right" vertical="top" wrapText="1"/>
    </xf>
    <xf numFmtId="0" fontId="2" fillId="3" borderId="2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quotePrefix="1" applyFont="1" applyAlignment="1">
      <alignment vertical="top" wrapText="1"/>
    </xf>
    <xf numFmtId="4" fontId="3" fillId="0" borderId="1" xfId="0" applyNumberFormat="1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top"/>
    </xf>
    <xf numFmtId="0" fontId="2" fillId="3" borderId="22" xfId="0" applyFont="1" applyFill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4" fontId="2" fillId="3" borderId="2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vertical="top" wrapText="1"/>
    </xf>
    <xf numFmtId="10" fontId="3" fillId="0" borderId="0" xfId="0" applyNumberFormat="1" applyFont="1"/>
    <xf numFmtId="10" fontId="3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3" fillId="0" borderId="7" xfId="0" applyFont="1" applyBorder="1" applyAlignment="1">
      <alignment horizontal="center"/>
    </xf>
    <xf numFmtId="4" fontId="3" fillId="0" borderId="8" xfId="0" applyNumberFormat="1" applyFont="1" applyBorder="1" applyAlignment="1" applyProtection="1">
      <alignment horizontal="center" vertical="center"/>
      <protection locked="0"/>
    </xf>
    <xf numFmtId="4" fontId="3" fillId="0" borderId="11" xfId="0" applyNumberFormat="1" applyFont="1" applyBorder="1" applyAlignment="1">
      <alignment horizontal="center" vertical="center"/>
    </xf>
    <xf numFmtId="4" fontId="3" fillId="0" borderId="11" xfId="0" applyNumberFormat="1" applyFont="1" applyBorder="1" applyAlignment="1">
      <alignment horizontal="right" vertical="center"/>
    </xf>
    <xf numFmtId="0" fontId="3" fillId="2" borderId="0" xfId="0" applyFont="1" applyFill="1"/>
    <xf numFmtId="2" fontId="3" fillId="0" borderId="7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49" fontId="6" fillId="4" borderId="6" xfId="0" applyNumberFormat="1" applyFont="1" applyFill="1" applyBorder="1" applyAlignment="1">
      <alignment horizontal="center" vertical="top"/>
    </xf>
    <xf numFmtId="0" fontId="7" fillId="4" borderId="0" xfId="0" applyFont="1" applyFill="1" applyAlignment="1">
      <alignment horizontal="left" vertical="top" wrapText="1"/>
    </xf>
    <xf numFmtId="0" fontId="2" fillId="4" borderId="7" xfId="0" applyFont="1" applyFill="1" applyBorder="1" applyAlignment="1">
      <alignment horizontal="center" vertical="center"/>
    </xf>
    <xf numFmtId="4" fontId="3" fillId="4" borderId="7" xfId="0" applyNumberFormat="1" applyFont="1" applyFill="1" applyBorder="1" applyAlignment="1">
      <alignment horizontal="center" vertical="center"/>
    </xf>
    <xf numFmtId="4" fontId="3" fillId="4" borderId="8" xfId="0" applyNumberFormat="1" applyFont="1" applyFill="1" applyBorder="1" applyAlignment="1">
      <alignment horizontal="center" vertical="center"/>
    </xf>
    <xf numFmtId="10" fontId="3" fillId="4" borderId="0" xfId="0" applyNumberFormat="1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vertical="top" wrapText="1"/>
    </xf>
    <xf numFmtId="4" fontId="3" fillId="4" borderId="8" xfId="0" applyNumberFormat="1" applyFont="1" applyFill="1" applyBorder="1" applyAlignment="1" applyProtection="1">
      <alignment horizontal="center" vertical="center"/>
      <protection locked="0"/>
    </xf>
    <xf numFmtId="4" fontId="3" fillId="4" borderId="11" xfId="0" applyNumberFormat="1" applyFont="1" applyFill="1" applyBorder="1" applyAlignment="1">
      <alignment horizontal="center" vertical="center"/>
    </xf>
    <xf numFmtId="4" fontId="3" fillId="4" borderId="0" xfId="0" applyNumberFormat="1" applyFont="1" applyFill="1" applyAlignment="1">
      <alignment horizontal="center" vertical="center"/>
    </xf>
    <xf numFmtId="49" fontId="11" fillId="4" borderId="6" xfId="0" applyNumberFormat="1" applyFont="1" applyFill="1" applyBorder="1" applyAlignment="1">
      <alignment horizontal="center" vertical="top"/>
    </xf>
    <xf numFmtId="0" fontId="2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vertical="top" wrapText="1"/>
    </xf>
    <xf numFmtId="0" fontId="1" fillId="0" borderId="0" xfId="0" applyFont="1" applyAlignment="1">
      <alignment horizontal="left" vertical="top" wrapText="1"/>
    </xf>
    <xf numFmtId="3" fontId="3" fillId="0" borderId="7" xfId="0" applyNumberFormat="1" applyFont="1" applyBorder="1" applyAlignment="1">
      <alignment horizontal="center" vertical="center"/>
    </xf>
    <xf numFmtId="0" fontId="7" fillId="5" borderId="9" xfId="0" applyFont="1" applyFill="1" applyBorder="1" applyAlignment="1">
      <alignment horizontal="right" vertical="center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3" borderId="23" xfId="0" applyFont="1" applyFill="1" applyBorder="1" applyAlignment="1" applyProtection="1">
      <alignment horizontal="center" vertical="center"/>
      <protection locked="0"/>
    </xf>
    <xf numFmtId="4" fontId="2" fillId="0" borderId="8" xfId="0" applyNumberFormat="1" applyFont="1" applyBorder="1" applyAlignment="1" applyProtection="1">
      <alignment horizontal="center" vertical="center"/>
      <protection locked="0"/>
    </xf>
    <xf numFmtId="4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" fontId="3" fillId="0" borderId="0" xfId="0" applyNumberFormat="1" applyFont="1" applyAlignment="1" applyProtection="1">
      <alignment horizontal="center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4" fontId="3" fillId="0" borderId="2" xfId="0" applyNumberFormat="1" applyFont="1" applyBorder="1" applyAlignment="1" applyProtection="1">
      <alignment horizontal="center" vertical="center"/>
      <protection locked="0"/>
    </xf>
    <xf numFmtId="4" fontId="2" fillId="0" borderId="7" xfId="0" applyNumberFormat="1" applyFont="1" applyBorder="1" applyAlignment="1" applyProtection="1">
      <alignment horizontal="center" vertical="center"/>
      <protection locked="0"/>
    </xf>
    <xf numFmtId="4" fontId="2" fillId="0" borderId="18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</xf>
    <xf numFmtId="0" fontId="2" fillId="0" borderId="0" xfId="0" applyFont="1" applyProtection="1"/>
    <xf numFmtId="0" fontId="2" fillId="0" borderId="0" xfId="0" applyFont="1" applyAlignment="1" applyProtection="1">
      <alignment horizontal="center" vertical="center"/>
    </xf>
    <xf numFmtId="14" fontId="2" fillId="0" borderId="0" xfId="0" applyNumberFormat="1" applyFont="1" applyAlignment="1" applyProtection="1">
      <alignment horizontal="center" vertical="center"/>
    </xf>
    <xf numFmtId="17" fontId="2" fillId="0" borderId="0" xfId="0" applyNumberFormat="1" applyFont="1" applyAlignment="1" applyProtection="1">
      <alignment horizontal="right" vertical="center"/>
    </xf>
    <xf numFmtId="0" fontId="7" fillId="0" borderId="5" xfId="0" applyFont="1" applyBorder="1" applyAlignment="1" applyProtection="1">
      <alignment horizontal="center" vertical="top"/>
    </xf>
    <xf numFmtId="0" fontId="5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center" vertical="center"/>
    </xf>
    <xf numFmtId="0" fontId="7" fillId="5" borderId="9" xfId="0" applyFont="1" applyFill="1" applyBorder="1" applyAlignment="1" applyProtection="1">
      <alignment horizontal="right" vertical="center"/>
    </xf>
    <xf numFmtId="0" fontId="2" fillId="0" borderId="5" xfId="0" applyFont="1" applyBorder="1" applyAlignment="1" applyProtection="1">
      <alignment vertical="top"/>
    </xf>
    <xf numFmtId="4" fontId="2" fillId="0" borderId="0" xfId="0" applyNumberFormat="1" applyFont="1" applyAlignment="1" applyProtection="1">
      <alignment horizontal="center" vertical="center"/>
    </xf>
    <xf numFmtId="4" fontId="2" fillId="0" borderId="9" xfId="0" applyNumberFormat="1" applyFont="1" applyBorder="1" applyAlignment="1" applyProtection="1">
      <alignment horizontal="right" vertical="center"/>
    </xf>
    <xf numFmtId="0" fontId="7" fillId="0" borderId="14" xfId="0" applyFont="1" applyBorder="1" applyAlignment="1" applyProtection="1">
      <alignment horizontal="centerContinuous" vertical="top"/>
    </xf>
    <xf numFmtId="0" fontId="7" fillId="0" borderId="3" xfId="0" applyFont="1" applyBorder="1" applyAlignment="1" applyProtection="1">
      <alignment horizontal="centerContinuous"/>
    </xf>
    <xf numFmtId="0" fontId="7" fillId="0" borderId="3" xfId="0" applyFont="1" applyBorder="1" applyAlignment="1" applyProtection="1">
      <alignment horizontal="center" vertical="center"/>
    </xf>
    <xf numFmtId="0" fontId="7" fillId="0" borderId="12" xfId="0" applyFont="1" applyBorder="1" applyAlignment="1" applyProtection="1">
      <alignment horizontal="right" vertical="center"/>
    </xf>
    <xf numFmtId="0" fontId="7" fillId="0" borderId="15" xfId="0" applyFont="1" applyBorder="1" applyAlignment="1" applyProtection="1">
      <alignment horizontal="centerContinuous" vertical="top"/>
    </xf>
    <xf numFmtId="0" fontId="7" fillId="0" borderId="4" xfId="0" applyFont="1" applyBorder="1" applyAlignment="1" applyProtection="1">
      <alignment horizontal="centerContinuous"/>
    </xf>
    <xf numFmtId="0" fontId="7" fillId="0" borderId="4" xfId="0" applyFont="1" applyBorder="1" applyAlignment="1" applyProtection="1">
      <alignment horizontal="center" vertical="center"/>
    </xf>
    <xf numFmtId="0" fontId="7" fillId="0" borderId="13" xfId="0" applyFont="1" applyBorder="1" applyAlignment="1" applyProtection="1">
      <alignment horizontal="right" vertical="center"/>
    </xf>
    <xf numFmtId="49" fontId="2" fillId="0" borderId="5" xfId="0" applyNumberFormat="1" applyFont="1" applyBorder="1" applyAlignment="1" applyProtection="1">
      <alignment horizontal="center" vertical="top"/>
    </xf>
    <xf numFmtId="0" fontId="3" fillId="0" borderId="0" xfId="0" applyFont="1" applyProtection="1"/>
    <xf numFmtId="0" fontId="3" fillId="0" borderId="0" xfId="0" applyFont="1" applyAlignment="1" applyProtection="1">
      <alignment horizontal="center" vertical="center"/>
    </xf>
    <xf numFmtId="0" fontId="3" fillId="0" borderId="24" xfId="0" applyFont="1" applyBorder="1" applyAlignment="1" applyProtection="1">
      <alignment horizontal="center" vertical="center"/>
    </xf>
    <xf numFmtId="4" fontId="3" fillId="0" borderId="0" xfId="0" applyNumberFormat="1" applyFont="1" applyAlignment="1" applyProtection="1">
      <alignment horizontal="center" vertical="center"/>
    </xf>
    <xf numFmtId="4" fontId="3" fillId="0" borderId="9" xfId="0" applyNumberFormat="1" applyFont="1" applyBorder="1" applyAlignment="1" applyProtection="1">
      <alignment horizontal="right" vertical="center"/>
    </xf>
    <xf numFmtId="49" fontId="2" fillId="0" borderId="14" xfId="0" applyNumberFormat="1" applyFont="1" applyBorder="1" applyAlignment="1" applyProtection="1">
      <alignment horizontal="center" vertical="top"/>
    </xf>
    <xf numFmtId="49" fontId="3" fillId="0" borderId="2" xfId="0" applyNumberFormat="1" applyFont="1" applyBorder="1" applyProtection="1"/>
    <xf numFmtId="0" fontId="3" fillId="0" borderId="2" xfId="0" applyFont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horizontal="center" vertical="center"/>
    </xf>
    <xf numFmtId="4" fontId="3" fillId="0" borderId="2" xfId="0" applyNumberFormat="1" applyFont="1" applyBorder="1" applyAlignment="1" applyProtection="1">
      <alignment horizontal="center" vertical="center"/>
    </xf>
    <xf numFmtId="4" fontId="3" fillId="0" borderId="10" xfId="0" applyNumberFormat="1" applyFont="1" applyBorder="1" applyAlignment="1" applyProtection="1">
      <alignment horizontal="right" vertical="center"/>
    </xf>
    <xf numFmtId="49" fontId="2" fillId="0" borderId="6" xfId="0" applyNumberFormat="1" applyFont="1" applyBorder="1" applyAlignment="1" applyProtection="1">
      <alignment horizontal="center" vertical="top"/>
    </xf>
    <xf numFmtId="49" fontId="2" fillId="0" borderId="1" xfId="0" applyNumberFormat="1" applyFont="1" applyBorder="1" applyAlignment="1" applyProtection="1">
      <alignment horizontal="centerContinuous"/>
    </xf>
    <xf numFmtId="4" fontId="2" fillId="0" borderId="7" xfId="0" applyNumberFormat="1" applyFont="1" applyBorder="1" applyAlignment="1" applyProtection="1">
      <alignment horizontal="center" vertical="center"/>
    </xf>
    <xf numFmtId="4" fontId="2" fillId="0" borderId="11" xfId="0" applyNumberFormat="1" applyFont="1" applyBorder="1" applyAlignment="1" applyProtection="1">
      <alignment horizontal="center" vertical="center"/>
    </xf>
    <xf numFmtId="49" fontId="2" fillId="0" borderId="16" xfId="0" applyNumberFormat="1" applyFont="1" applyBorder="1" applyAlignment="1" applyProtection="1">
      <alignment horizontal="center" vertical="top"/>
    </xf>
    <xf numFmtId="49" fontId="2" fillId="0" borderId="17" xfId="0" applyNumberFormat="1" applyFont="1" applyBorder="1" applyAlignment="1" applyProtection="1">
      <alignment horizontal="centerContinuous"/>
    </xf>
    <xf numFmtId="0" fontId="2" fillId="0" borderId="18" xfId="0" applyFont="1" applyBorder="1" applyAlignment="1" applyProtection="1">
      <alignment horizontal="center" vertical="center"/>
    </xf>
    <xf numFmtId="4" fontId="2" fillId="0" borderId="18" xfId="0" applyNumberFormat="1" applyFont="1" applyBorder="1" applyAlignment="1" applyProtection="1">
      <alignment horizontal="center" vertical="center"/>
    </xf>
    <xf numFmtId="4" fontId="2" fillId="0" borderId="19" xfId="0" applyNumberFormat="1" applyFont="1" applyBorder="1" applyAlignment="1" applyProtection="1">
      <alignment horizontal="right" vertical="center"/>
    </xf>
    <xf numFmtId="49" fontId="6" fillId="3" borderId="21" xfId="0" applyNumberFormat="1" applyFont="1" applyFill="1" applyBorder="1" applyAlignment="1" applyProtection="1">
      <alignment horizontal="center" vertical="top"/>
    </xf>
    <xf numFmtId="0" fontId="2" fillId="3" borderId="22" xfId="0" applyFont="1" applyFill="1" applyBorder="1" applyAlignment="1" applyProtection="1">
      <alignment horizontal="left" vertical="top" wrapText="1"/>
    </xf>
    <xf numFmtId="0" fontId="2" fillId="3" borderId="22" xfId="0" applyFont="1" applyFill="1" applyBorder="1" applyAlignment="1" applyProtection="1">
      <alignment horizontal="center" vertical="center"/>
    </xf>
    <xf numFmtId="0" fontId="2" fillId="3" borderId="23" xfId="0" applyFont="1" applyFill="1" applyBorder="1" applyAlignment="1" applyProtection="1">
      <alignment horizontal="center" vertical="center"/>
    </xf>
    <xf numFmtId="49" fontId="6" fillId="0" borderId="6" xfId="0" applyNumberFormat="1" applyFont="1" applyBorder="1" applyAlignment="1" applyProtection="1">
      <alignment horizontal="center" vertical="top"/>
    </xf>
    <xf numFmtId="0" fontId="3" fillId="0" borderId="8" xfId="0" applyFont="1" applyBorder="1" applyAlignment="1" applyProtection="1">
      <alignment horizontal="left" vertical="top" wrapText="1"/>
    </xf>
    <xf numFmtId="0" fontId="2" fillId="0" borderId="20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/>
    </xf>
    <xf numFmtId="0" fontId="2" fillId="0" borderId="25" xfId="0" applyFont="1" applyBorder="1" applyAlignment="1" applyProtection="1">
      <alignment horizontal="left" vertical="top" wrapText="1"/>
    </xf>
    <xf numFmtId="0" fontId="3" fillId="0" borderId="0" xfId="0" applyFont="1" applyAlignment="1" applyProtection="1">
      <alignment horizontal="left" vertical="top" wrapText="1"/>
    </xf>
    <xf numFmtId="49" fontId="7" fillId="0" borderId="0" xfId="0" applyNumberFormat="1" applyFont="1" applyAlignment="1" applyProtection="1">
      <alignment horizontal="left" vertical="top" wrapText="1"/>
    </xf>
    <xf numFmtId="4" fontId="3" fillId="0" borderId="7" xfId="0" applyNumberFormat="1" applyFont="1" applyBorder="1" applyAlignment="1" applyProtection="1">
      <alignment horizontal="center" vertical="center"/>
    </xf>
    <xf numFmtId="4" fontId="3" fillId="0" borderId="8" xfId="0" applyNumberFormat="1" applyFont="1" applyBorder="1" applyAlignment="1" applyProtection="1">
      <alignment horizontal="center" vertical="center"/>
    </xf>
    <xf numFmtId="4" fontId="3" fillId="0" borderId="11" xfId="0" applyNumberFormat="1" applyFont="1" applyBorder="1" applyAlignment="1" applyProtection="1">
      <alignment horizontal="center" vertical="center"/>
    </xf>
    <xf numFmtId="0" fontId="2" fillId="0" borderId="0" xfId="0" applyFont="1" applyAlignment="1" applyProtection="1">
      <alignment vertical="top" wrapText="1"/>
    </xf>
    <xf numFmtId="0" fontId="3" fillId="0" borderId="0" xfId="0" applyFont="1" applyAlignment="1" applyProtection="1">
      <alignment vertical="top" wrapText="1"/>
    </xf>
    <xf numFmtId="0" fontId="2" fillId="0" borderId="0" xfId="0" applyFont="1" applyAlignment="1" applyProtection="1">
      <alignment horizontal="left" vertical="top" wrapText="1"/>
    </xf>
    <xf numFmtId="0" fontId="2" fillId="3" borderId="22" xfId="0" applyFont="1" applyFill="1" applyBorder="1" applyAlignment="1" applyProtection="1">
      <alignment horizontal="right" vertical="top" wrapText="1"/>
    </xf>
    <xf numFmtId="4" fontId="2" fillId="3" borderId="22" xfId="0" applyNumberFormat="1" applyFont="1" applyFill="1" applyBorder="1" applyAlignment="1" applyProtection="1">
      <alignment horizontal="center" vertical="center"/>
    </xf>
    <xf numFmtId="0" fontId="4" fillId="0" borderId="14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4" xfId="0" applyFont="1" applyBorder="1" applyAlignment="1" applyProtection="1">
      <alignment horizontal="center" wrapText="1"/>
    </xf>
    <xf numFmtId="0" fontId="8" fillId="0" borderId="3" xfId="0" applyFont="1" applyBorder="1" applyAlignment="1" applyProtection="1">
      <alignment horizontal="center"/>
    </xf>
    <xf numFmtId="0" fontId="8" fillId="0" borderId="12" xfId="0" applyFont="1" applyBorder="1" applyAlignment="1" applyProtection="1">
      <alignment horizontal="center"/>
    </xf>
    <xf numFmtId="0" fontId="7" fillId="0" borderId="5" xfId="0" applyFont="1" applyBorder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5" fillId="0" borderId="9" xfId="0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1313"/>
      <rgbColor rgb="0045DE0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372"/>
  <sheetViews>
    <sheetView view="pageBreakPreview" topLeftCell="A14" zoomScale="130" zoomScaleNormal="75" zoomScaleSheetLayoutView="130" workbookViewId="0">
      <selection activeCell="E14" sqref="E14"/>
    </sheetView>
  </sheetViews>
  <sheetFormatPr baseColWidth="10" defaultRowHeight="12.75" customHeight="1" x14ac:dyDescent="0.2"/>
  <cols>
    <col min="1" max="1" width="7.5703125" style="50" customWidth="1"/>
    <col min="2" max="2" width="71.140625" style="16" customWidth="1"/>
    <col min="3" max="3" width="9.28515625" style="20" customWidth="1"/>
    <col min="4" max="4" width="17.85546875" style="36" customWidth="1"/>
    <col min="5" max="5" width="13.85546875" style="28" customWidth="1"/>
    <col min="6" max="6" width="16.5703125" style="28" customWidth="1"/>
    <col min="7" max="7" width="11.42578125" style="51"/>
    <col min="8" max="8" width="11.42578125" style="75"/>
    <col min="9" max="16384" width="11.42578125" style="2"/>
  </cols>
  <sheetData>
    <row r="1" spans="1:8" ht="12.75" customHeight="1" thickBot="1" x14ac:dyDescent="0.25">
      <c r="A1" s="9"/>
      <c r="B1" s="1"/>
      <c r="C1" s="18"/>
      <c r="D1" s="18"/>
      <c r="E1" s="42"/>
      <c r="F1" s="43"/>
    </row>
    <row r="2" spans="1:8" ht="15.75" customHeight="1" x14ac:dyDescent="0.25">
      <c r="A2" s="178" t="s">
        <v>301</v>
      </c>
      <c r="B2" s="179"/>
      <c r="C2" s="179"/>
      <c r="D2" s="179"/>
      <c r="E2" s="179"/>
      <c r="F2" s="180"/>
    </row>
    <row r="3" spans="1:8" ht="12.75" customHeight="1" x14ac:dyDescent="0.2">
      <c r="A3" s="10"/>
      <c r="B3" s="6"/>
      <c r="C3" s="17"/>
      <c r="D3" s="17"/>
      <c r="E3" s="17"/>
      <c r="F3" s="39"/>
    </row>
    <row r="4" spans="1:8" ht="12.75" customHeight="1" x14ac:dyDescent="0.2">
      <c r="A4" s="181" t="s">
        <v>300</v>
      </c>
      <c r="B4" s="182"/>
      <c r="C4" s="182"/>
      <c r="D4" s="182"/>
      <c r="E4" s="182"/>
      <c r="F4" s="183"/>
    </row>
    <row r="5" spans="1:8" ht="12.75" customHeight="1" thickBot="1" x14ac:dyDescent="0.25">
      <c r="A5" s="44"/>
      <c r="B5" s="1"/>
      <c r="C5" s="18"/>
      <c r="D5" s="18"/>
      <c r="E5" s="33"/>
      <c r="F5" s="19"/>
    </row>
    <row r="6" spans="1:8" ht="12.75" customHeight="1" x14ac:dyDescent="0.2">
      <c r="A6" s="45"/>
      <c r="B6" s="7"/>
      <c r="C6" s="34"/>
      <c r="D6" s="34"/>
      <c r="E6" s="34"/>
      <c r="F6" s="40"/>
    </row>
    <row r="7" spans="1:8" ht="15.75" x14ac:dyDescent="0.25">
      <c r="A7" s="184" t="s">
        <v>22</v>
      </c>
      <c r="B7" s="182"/>
      <c r="C7" s="182"/>
      <c r="D7" s="182"/>
      <c r="E7" s="182"/>
      <c r="F7" s="183"/>
    </row>
    <row r="8" spans="1:8" ht="12.75" customHeight="1" thickBot="1" x14ac:dyDescent="0.25">
      <c r="A8" s="46"/>
      <c r="B8" s="8"/>
      <c r="C8" s="35"/>
      <c r="D8" s="35"/>
      <c r="E8" s="35"/>
      <c r="F8" s="41"/>
    </row>
    <row r="9" spans="1:8" ht="12.75" customHeight="1" thickBot="1" x14ac:dyDescent="0.25">
      <c r="A9" s="47"/>
      <c r="B9" s="2"/>
      <c r="D9" s="77"/>
      <c r="E9" s="36"/>
      <c r="F9" s="21"/>
    </row>
    <row r="10" spans="1:8" ht="12.75" customHeight="1" x14ac:dyDescent="0.2">
      <c r="A10" s="48"/>
      <c r="B10" s="5"/>
      <c r="C10" s="22"/>
      <c r="D10" s="24"/>
      <c r="E10" s="37"/>
      <c r="F10" s="23"/>
    </row>
    <row r="11" spans="1:8" s="4" customFormat="1" ht="12.75" customHeight="1" x14ac:dyDescent="0.2">
      <c r="A11" s="11" t="s">
        <v>1</v>
      </c>
      <c r="B11" s="3" t="s">
        <v>6</v>
      </c>
      <c r="C11" s="24" t="s">
        <v>7</v>
      </c>
      <c r="D11" s="24" t="s">
        <v>8</v>
      </c>
      <c r="E11" s="25" t="s">
        <v>9</v>
      </c>
      <c r="F11" s="26" t="s">
        <v>2</v>
      </c>
      <c r="G11" s="27"/>
      <c r="H11" s="76"/>
    </row>
    <row r="12" spans="1:8" s="4" customFormat="1" ht="12.75" customHeight="1" x14ac:dyDescent="0.2">
      <c r="A12" s="52"/>
      <c r="B12" s="53"/>
      <c r="C12" s="54"/>
      <c r="D12" s="54" t="s">
        <v>116</v>
      </c>
      <c r="E12" s="55"/>
      <c r="F12" s="56"/>
      <c r="G12" s="27"/>
      <c r="H12" s="76"/>
    </row>
    <row r="13" spans="1:8" s="4" customFormat="1" ht="15.75" customHeight="1" x14ac:dyDescent="0.2">
      <c r="A13" s="59"/>
      <c r="B13" s="71"/>
      <c r="C13" s="61"/>
      <c r="D13" s="61"/>
      <c r="E13" s="69"/>
      <c r="F13" s="61"/>
      <c r="G13" s="27"/>
      <c r="H13" s="76"/>
    </row>
    <row r="14" spans="1:8" s="4" customFormat="1" ht="12.75" customHeight="1" x14ac:dyDescent="0.2">
      <c r="A14" s="49"/>
      <c r="B14" s="14"/>
      <c r="C14" s="24"/>
      <c r="D14" s="57"/>
      <c r="E14" s="107"/>
      <c r="F14" s="24"/>
      <c r="G14" s="57"/>
      <c r="H14" s="76"/>
    </row>
    <row r="15" spans="1:8" ht="15" customHeight="1" x14ac:dyDescent="0.2">
      <c r="A15" s="49" t="s">
        <v>44</v>
      </c>
      <c r="B15" s="15" t="s">
        <v>26</v>
      </c>
      <c r="C15" s="24"/>
      <c r="D15" s="24"/>
      <c r="E15" s="107"/>
      <c r="F15" s="24"/>
      <c r="G15" s="24"/>
    </row>
    <row r="16" spans="1:8" ht="15" customHeight="1" x14ac:dyDescent="0.2">
      <c r="A16" s="49"/>
      <c r="B16" s="15"/>
      <c r="C16" s="24"/>
      <c r="D16" s="24"/>
      <c r="E16" s="107"/>
      <c r="F16" s="25"/>
      <c r="G16" s="24"/>
    </row>
    <row r="17" spans="1:8" ht="15" customHeight="1" x14ac:dyDescent="0.2">
      <c r="A17" s="49" t="s">
        <v>45</v>
      </c>
      <c r="B17" s="32" t="s">
        <v>24</v>
      </c>
      <c r="C17" s="24" t="s">
        <v>5</v>
      </c>
      <c r="D17" s="38">
        <v>1</v>
      </c>
      <c r="E17" s="80"/>
      <c r="F17" s="81">
        <f t="shared" ref="F17:F22" si="0">D17*E17</f>
        <v>0</v>
      </c>
      <c r="G17" s="38"/>
    </row>
    <row r="18" spans="1:8" s="4" customFormat="1" ht="16.5" customHeight="1" x14ac:dyDescent="0.2">
      <c r="A18" s="49" t="s">
        <v>46</v>
      </c>
      <c r="B18" s="32" t="s">
        <v>27</v>
      </c>
      <c r="C18" s="24" t="s">
        <v>5</v>
      </c>
      <c r="D18" s="38">
        <v>1</v>
      </c>
      <c r="E18" s="80"/>
      <c r="F18" s="81">
        <f t="shared" si="0"/>
        <v>0</v>
      </c>
      <c r="G18" s="38"/>
      <c r="H18" s="75"/>
    </row>
    <row r="19" spans="1:8" s="4" customFormat="1" ht="16.5" customHeight="1" x14ac:dyDescent="0.2">
      <c r="A19" s="49" t="s">
        <v>47</v>
      </c>
      <c r="B19" s="32" t="s">
        <v>157</v>
      </c>
      <c r="C19" s="24" t="s">
        <v>5</v>
      </c>
      <c r="D19" s="38">
        <v>1</v>
      </c>
      <c r="E19" s="80"/>
      <c r="F19" s="81">
        <f t="shared" si="0"/>
        <v>0</v>
      </c>
      <c r="G19" s="38"/>
      <c r="H19" s="75"/>
    </row>
    <row r="20" spans="1:8" s="4" customFormat="1" ht="16.5" customHeight="1" x14ac:dyDescent="0.2">
      <c r="A20" s="49" t="s">
        <v>48</v>
      </c>
      <c r="B20" s="32" t="s">
        <v>496</v>
      </c>
      <c r="C20" s="24" t="s">
        <v>5</v>
      </c>
      <c r="D20" s="38">
        <v>1</v>
      </c>
      <c r="E20" s="80"/>
      <c r="F20" s="81">
        <f t="shared" si="0"/>
        <v>0</v>
      </c>
      <c r="G20" s="38"/>
      <c r="H20" s="75"/>
    </row>
    <row r="21" spans="1:8" s="4" customFormat="1" ht="18" customHeight="1" x14ac:dyDescent="0.2">
      <c r="A21" s="49" t="s">
        <v>248</v>
      </c>
      <c r="B21" s="29" t="s">
        <v>28</v>
      </c>
      <c r="C21" s="24" t="s">
        <v>5</v>
      </c>
      <c r="D21" s="38">
        <v>1</v>
      </c>
      <c r="E21" s="80"/>
      <c r="F21" s="81">
        <f t="shared" si="0"/>
        <v>0</v>
      </c>
      <c r="G21" s="38"/>
      <c r="H21" s="75"/>
    </row>
    <row r="22" spans="1:8" s="4" customFormat="1" ht="18" customHeight="1" x14ac:dyDescent="0.2">
      <c r="A22" s="49" t="s">
        <v>495</v>
      </c>
      <c r="B22" s="29" t="s">
        <v>14</v>
      </c>
      <c r="C22" s="24" t="s">
        <v>5</v>
      </c>
      <c r="D22" s="38">
        <v>1</v>
      </c>
      <c r="E22" s="80"/>
      <c r="F22" s="81">
        <f t="shared" si="0"/>
        <v>0</v>
      </c>
      <c r="G22" s="38"/>
      <c r="H22" s="75"/>
    </row>
    <row r="23" spans="1:8" s="4" customFormat="1" ht="7.5" customHeight="1" x14ac:dyDescent="0.2">
      <c r="A23" s="49"/>
      <c r="B23" s="16"/>
      <c r="C23" s="24"/>
      <c r="D23" s="38"/>
      <c r="E23" s="65"/>
      <c r="F23" s="38"/>
      <c r="G23" s="38"/>
      <c r="H23" s="75"/>
    </row>
    <row r="24" spans="1:8" s="4" customFormat="1" ht="16.5" customHeight="1" x14ac:dyDescent="0.2">
      <c r="A24" s="59"/>
      <c r="B24" s="60" t="s">
        <v>11</v>
      </c>
      <c r="C24" s="61"/>
      <c r="D24" s="61"/>
      <c r="E24" s="69"/>
      <c r="F24" s="73">
        <f>SUM(F17:F22)</f>
        <v>0</v>
      </c>
      <c r="G24" s="38"/>
      <c r="H24" s="75"/>
    </row>
    <row r="25" spans="1:8" s="4" customFormat="1" ht="14.25" customHeight="1" x14ac:dyDescent="0.2">
      <c r="A25" s="49"/>
      <c r="B25" s="29"/>
      <c r="C25" s="24"/>
      <c r="D25" s="25"/>
      <c r="E25" s="66"/>
      <c r="F25" s="25"/>
      <c r="G25" s="38"/>
      <c r="H25" s="75"/>
    </row>
    <row r="26" spans="1:8" s="4" customFormat="1" ht="18.75" customHeight="1" x14ac:dyDescent="0.2">
      <c r="A26" s="49" t="s">
        <v>49</v>
      </c>
      <c r="B26" s="31" t="s">
        <v>41</v>
      </c>
      <c r="C26" s="24"/>
      <c r="D26" s="38"/>
      <c r="E26" s="65"/>
      <c r="F26" s="38"/>
      <c r="G26" s="38"/>
      <c r="H26" s="75"/>
    </row>
    <row r="27" spans="1:8" s="4" customFormat="1" ht="9.75" customHeight="1" x14ac:dyDescent="0.2">
      <c r="A27" s="49"/>
      <c r="B27" s="31"/>
      <c r="C27" s="24"/>
      <c r="D27" s="38"/>
      <c r="E27" s="65"/>
      <c r="F27" s="38"/>
      <c r="G27" s="38"/>
      <c r="H27" s="75"/>
    </row>
    <row r="28" spans="1:8" s="4" customFormat="1" ht="18.75" customHeight="1" x14ac:dyDescent="0.2">
      <c r="A28" s="49" t="s">
        <v>50</v>
      </c>
      <c r="B28" s="16" t="s">
        <v>25</v>
      </c>
      <c r="C28" s="24" t="s">
        <v>12</v>
      </c>
      <c r="D28" s="38">
        <v>15</v>
      </c>
      <c r="E28" s="80"/>
      <c r="F28" s="81">
        <f t="shared" ref="F28:F41" si="1">D28*E28</f>
        <v>0</v>
      </c>
      <c r="G28" s="65"/>
      <c r="H28" s="75"/>
    </row>
    <row r="29" spans="1:8" s="4" customFormat="1" ht="18" customHeight="1" x14ac:dyDescent="0.2">
      <c r="A29" s="49" t="s">
        <v>138</v>
      </c>
      <c r="B29" s="29" t="s">
        <v>291</v>
      </c>
      <c r="C29" s="24" t="s">
        <v>13</v>
      </c>
      <c r="D29" s="38">
        <v>28400</v>
      </c>
      <c r="E29" s="80"/>
      <c r="F29" s="81">
        <f t="shared" si="1"/>
        <v>0</v>
      </c>
      <c r="G29" s="65"/>
      <c r="H29" s="75"/>
    </row>
    <row r="30" spans="1:8" s="4" customFormat="1" ht="18" customHeight="1" x14ac:dyDescent="0.2">
      <c r="A30" s="49" t="s">
        <v>158</v>
      </c>
      <c r="B30" s="29" t="s">
        <v>159</v>
      </c>
      <c r="C30" s="24" t="s">
        <v>13</v>
      </c>
      <c r="D30" s="38">
        <v>32135</v>
      </c>
      <c r="E30" s="80"/>
      <c r="F30" s="81">
        <f t="shared" si="1"/>
        <v>0</v>
      </c>
      <c r="G30" s="65"/>
      <c r="H30" s="75"/>
    </row>
    <row r="31" spans="1:8" s="4" customFormat="1" ht="18" customHeight="1" x14ac:dyDescent="0.2">
      <c r="A31" s="49" t="s">
        <v>160</v>
      </c>
      <c r="B31" s="29" t="s">
        <v>161</v>
      </c>
      <c r="C31" s="24" t="s">
        <v>12</v>
      </c>
      <c r="D31" s="38">
        <v>21</v>
      </c>
      <c r="E31" s="80"/>
      <c r="F31" s="81">
        <f t="shared" si="1"/>
        <v>0</v>
      </c>
      <c r="G31" s="65"/>
      <c r="H31" s="75"/>
    </row>
    <row r="32" spans="1:8" s="4" customFormat="1" ht="18" customHeight="1" x14ac:dyDescent="0.2">
      <c r="A32" s="49" t="s">
        <v>162</v>
      </c>
      <c r="B32" s="29" t="s">
        <v>302</v>
      </c>
      <c r="C32" s="24" t="s">
        <v>13</v>
      </c>
      <c r="D32" s="38">
        <v>4500</v>
      </c>
      <c r="E32" s="80"/>
      <c r="F32" s="81">
        <f t="shared" si="1"/>
        <v>0</v>
      </c>
      <c r="G32" s="65"/>
      <c r="H32" s="75"/>
    </row>
    <row r="33" spans="1:256" s="4" customFormat="1" ht="18" customHeight="1" x14ac:dyDescent="0.2">
      <c r="A33" s="49" t="s">
        <v>163</v>
      </c>
      <c r="B33" s="32" t="s">
        <v>165</v>
      </c>
      <c r="C33" s="24" t="s">
        <v>4</v>
      </c>
      <c r="D33" s="38">
        <v>100</v>
      </c>
      <c r="E33" s="80"/>
      <c r="F33" s="81">
        <f t="shared" si="1"/>
        <v>0</v>
      </c>
      <c r="G33" s="65"/>
      <c r="H33" s="75"/>
    </row>
    <row r="34" spans="1:256" s="4" customFormat="1" ht="18" customHeight="1" x14ac:dyDescent="0.2">
      <c r="A34" s="49" t="s">
        <v>164</v>
      </c>
      <c r="B34" s="32" t="s">
        <v>169</v>
      </c>
      <c r="C34" s="24" t="s">
        <v>3</v>
      </c>
      <c r="D34" s="38">
        <v>40</v>
      </c>
      <c r="E34" s="80"/>
      <c r="F34" s="81">
        <f t="shared" si="1"/>
        <v>0</v>
      </c>
      <c r="G34" s="65"/>
      <c r="H34" s="75"/>
    </row>
    <row r="35" spans="1:256" s="4" customFormat="1" ht="16.5" customHeight="1" x14ac:dyDescent="0.2">
      <c r="A35" s="49" t="s">
        <v>166</v>
      </c>
      <c r="B35" s="29" t="s">
        <v>167</v>
      </c>
      <c r="C35" s="24"/>
      <c r="D35" s="38"/>
      <c r="E35" s="80"/>
      <c r="F35" s="81"/>
      <c r="G35" s="65"/>
      <c r="H35" s="75"/>
    </row>
    <row r="36" spans="1:256" s="4" customFormat="1" ht="16.5" customHeight="1" x14ac:dyDescent="0.2">
      <c r="A36" s="70" t="s">
        <v>289</v>
      </c>
      <c r="B36" s="30" t="s">
        <v>168</v>
      </c>
      <c r="C36" s="24" t="s">
        <v>3</v>
      </c>
      <c r="D36" s="38">
        <v>2300</v>
      </c>
      <c r="E36" s="80"/>
      <c r="F36" s="81">
        <f t="shared" si="1"/>
        <v>0</v>
      </c>
      <c r="G36" s="65"/>
      <c r="H36" s="75"/>
    </row>
    <row r="37" spans="1:256" s="4" customFormat="1" ht="16.5" customHeight="1" x14ac:dyDescent="0.2">
      <c r="A37" s="49" t="s">
        <v>292</v>
      </c>
      <c r="B37" s="29" t="s">
        <v>484</v>
      </c>
      <c r="C37" s="24" t="s">
        <v>303</v>
      </c>
      <c r="D37" s="38">
        <v>1</v>
      </c>
      <c r="E37" s="80"/>
      <c r="F37" s="81">
        <f t="shared" si="1"/>
        <v>0</v>
      </c>
      <c r="G37" s="65"/>
      <c r="H37" s="75"/>
    </row>
    <row r="38" spans="1:256" s="4" customFormat="1" ht="16.5" customHeight="1" x14ac:dyDescent="0.2">
      <c r="A38" s="49" t="s">
        <v>328</v>
      </c>
      <c r="B38" s="29" t="s">
        <v>330</v>
      </c>
      <c r="C38" s="24" t="s">
        <v>303</v>
      </c>
      <c r="D38" s="38">
        <v>1</v>
      </c>
      <c r="E38" s="80"/>
      <c r="F38" s="81">
        <f t="shared" si="1"/>
        <v>0</v>
      </c>
      <c r="G38" s="65"/>
      <c r="H38" s="75"/>
    </row>
    <row r="39" spans="1:256" s="4" customFormat="1" ht="16.5" customHeight="1" x14ac:dyDescent="0.2">
      <c r="A39" s="49" t="s">
        <v>329</v>
      </c>
      <c r="B39" s="29" t="s">
        <v>331</v>
      </c>
      <c r="C39" s="24" t="s">
        <v>12</v>
      </c>
      <c r="D39" s="38">
        <v>1</v>
      </c>
      <c r="E39" s="80"/>
      <c r="F39" s="64">
        <f t="shared" si="1"/>
        <v>0</v>
      </c>
      <c r="G39" s="65"/>
      <c r="H39" s="75"/>
    </row>
    <row r="40" spans="1:256" s="4" customFormat="1" ht="16.5" customHeight="1" x14ac:dyDescent="0.2">
      <c r="A40" s="49" t="s">
        <v>332</v>
      </c>
      <c r="B40" s="29" t="s">
        <v>334</v>
      </c>
      <c r="C40" s="24" t="s">
        <v>12</v>
      </c>
      <c r="D40" s="38">
        <v>4</v>
      </c>
      <c r="E40" s="80"/>
      <c r="F40" s="64">
        <f t="shared" si="1"/>
        <v>0</v>
      </c>
      <c r="G40" s="65"/>
      <c r="H40" s="75"/>
    </row>
    <row r="41" spans="1:256" s="4" customFormat="1" ht="11.25" customHeight="1" x14ac:dyDescent="0.2">
      <c r="A41" s="49" t="s">
        <v>333</v>
      </c>
      <c r="B41" s="29" t="s">
        <v>335</v>
      </c>
      <c r="C41" s="24" t="s">
        <v>3</v>
      </c>
      <c r="D41" s="38">
        <v>900</v>
      </c>
      <c r="E41" s="65"/>
      <c r="F41" s="38">
        <f t="shared" si="1"/>
        <v>0</v>
      </c>
      <c r="G41" s="38"/>
      <c r="H41" s="75"/>
    </row>
    <row r="42" spans="1:256" s="4" customFormat="1" ht="18" customHeight="1" x14ac:dyDescent="0.2">
      <c r="A42" s="59"/>
      <c r="B42" s="60" t="s">
        <v>11</v>
      </c>
      <c r="C42" s="61"/>
      <c r="D42" s="61"/>
      <c r="E42" s="69"/>
      <c r="F42" s="73">
        <f>SUM(F27:F41)</f>
        <v>0</v>
      </c>
      <c r="G42" s="38"/>
      <c r="H42" s="75"/>
    </row>
    <row r="43" spans="1:256" s="4" customFormat="1" ht="18" customHeight="1" x14ac:dyDescent="0.2">
      <c r="A43" s="49"/>
      <c r="B43" s="29"/>
      <c r="C43" s="24"/>
      <c r="D43" s="25"/>
      <c r="E43" s="66"/>
      <c r="F43" s="25"/>
      <c r="G43" s="38"/>
      <c r="H43" s="75"/>
    </row>
    <row r="44" spans="1:256" s="95" customFormat="1" ht="15.75" customHeight="1" x14ac:dyDescent="0.2">
      <c r="A44" s="89" t="s">
        <v>53</v>
      </c>
      <c r="B44" s="90" t="s">
        <v>39</v>
      </c>
      <c r="C44" s="91"/>
      <c r="D44" s="92"/>
      <c r="E44" s="93"/>
      <c r="F44" s="92"/>
      <c r="G44" s="92"/>
      <c r="H44" s="94"/>
    </row>
    <row r="45" spans="1:256" s="95" customFormat="1" x14ac:dyDescent="0.2">
      <c r="A45" s="89"/>
      <c r="B45" s="90"/>
      <c r="C45" s="91"/>
      <c r="D45" s="92"/>
      <c r="E45" s="93"/>
      <c r="F45" s="92"/>
      <c r="G45" s="92"/>
      <c r="H45" s="94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6"/>
      <c r="BT45" s="96"/>
      <c r="BU45" s="96"/>
      <c r="BV45" s="96"/>
      <c r="BW45" s="96"/>
      <c r="BX45" s="96"/>
      <c r="BY45" s="96"/>
      <c r="BZ45" s="96"/>
      <c r="CA45" s="96"/>
      <c r="CB45" s="96"/>
      <c r="CC45" s="96"/>
      <c r="CD45" s="96"/>
      <c r="CE45" s="96"/>
      <c r="CF45" s="96"/>
      <c r="CG45" s="96"/>
      <c r="CH45" s="96"/>
      <c r="CI45" s="96"/>
      <c r="CJ45" s="96"/>
      <c r="CK45" s="96"/>
      <c r="CL45" s="96"/>
      <c r="CM45" s="96"/>
      <c r="CN45" s="96"/>
      <c r="CO45" s="96"/>
      <c r="CP45" s="96"/>
      <c r="CQ45" s="96"/>
      <c r="CR45" s="96"/>
      <c r="CS45" s="96"/>
      <c r="CT45" s="96"/>
      <c r="CU45" s="96"/>
      <c r="CV45" s="96"/>
      <c r="CW45" s="96"/>
      <c r="CX45" s="96"/>
      <c r="CY45" s="96"/>
      <c r="CZ45" s="96"/>
      <c r="DA45" s="96"/>
      <c r="DB45" s="96"/>
      <c r="DC45" s="96"/>
      <c r="DD45" s="96"/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6"/>
      <c r="DV45" s="96"/>
      <c r="DW45" s="96"/>
      <c r="DX45" s="96"/>
      <c r="DY45" s="96"/>
      <c r="DZ45" s="96"/>
      <c r="EA45" s="96"/>
      <c r="EB45" s="96"/>
      <c r="EC45" s="96"/>
      <c r="ED45" s="96"/>
      <c r="EE45" s="96"/>
      <c r="EF45" s="96"/>
      <c r="EG45" s="96"/>
      <c r="EH45" s="96"/>
      <c r="EI45" s="96"/>
      <c r="EJ45" s="96"/>
      <c r="EK45" s="96"/>
      <c r="EL45" s="96"/>
      <c r="EM45" s="96"/>
      <c r="EN45" s="96"/>
      <c r="EO45" s="96"/>
      <c r="EP45" s="96"/>
      <c r="EQ45" s="96"/>
      <c r="ER45" s="96"/>
      <c r="ES45" s="96"/>
      <c r="ET45" s="96"/>
      <c r="EU45" s="96"/>
      <c r="EV45" s="96"/>
      <c r="EW45" s="96"/>
      <c r="EX45" s="96"/>
      <c r="EY45" s="96"/>
      <c r="EZ45" s="96"/>
      <c r="FA45" s="96"/>
      <c r="FB45" s="96"/>
      <c r="FC45" s="96"/>
      <c r="FD45" s="96"/>
      <c r="FE45" s="96"/>
      <c r="FF45" s="96"/>
      <c r="FG45" s="96"/>
      <c r="FH45" s="96"/>
      <c r="FI45" s="96"/>
      <c r="FJ45" s="96"/>
      <c r="FK45" s="96"/>
      <c r="FL45" s="96"/>
      <c r="FM45" s="96"/>
      <c r="FN45" s="96"/>
      <c r="FO45" s="96"/>
      <c r="FP45" s="96"/>
      <c r="FQ45" s="96"/>
      <c r="FR45" s="96"/>
      <c r="FS45" s="96"/>
      <c r="FT45" s="96"/>
      <c r="FU45" s="96"/>
      <c r="FV45" s="96"/>
      <c r="FW45" s="96"/>
      <c r="FX45" s="96"/>
      <c r="FY45" s="96"/>
      <c r="FZ45" s="96"/>
      <c r="GA45" s="96"/>
      <c r="GB45" s="96"/>
      <c r="GC45" s="96"/>
      <c r="GD45" s="96"/>
      <c r="GE45" s="96"/>
      <c r="GF45" s="96"/>
      <c r="GG45" s="96"/>
      <c r="GH45" s="96"/>
      <c r="GI45" s="96"/>
      <c r="GJ45" s="96"/>
      <c r="GK45" s="96"/>
      <c r="GL45" s="96"/>
      <c r="GM45" s="96"/>
      <c r="GN45" s="96"/>
      <c r="GO45" s="96"/>
      <c r="GP45" s="96"/>
      <c r="GQ45" s="96"/>
      <c r="GR45" s="96"/>
      <c r="GS45" s="96"/>
      <c r="GT45" s="96"/>
      <c r="GU45" s="96"/>
      <c r="GV45" s="96"/>
      <c r="GW45" s="96"/>
      <c r="GX45" s="96"/>
      <c r="GY45" s="96"/>
      <c r="GZ45" s="96"/>
      <c r="HA45" s="96"/>
      <c r="HB45" s="96"/>
      <c r="HC45" s="96"/>
      <c r="HD45" s="96"/>
      <c r="HE45" s="96"/>
      <c r="HF45" s="96"/>
      <c r="HG45" s="96"/>
      <c r="HH45" s="96"/>
      <c r="HI45" s="96"/>
      <c r="HJ45" s="96"/>
      <c r="HK45" s="96"/>
      <c r="HL45" s="96"/>
      <c r="HM45" s="96"/>
      <c r="HN45" s="96"/>
      <c r="HO45" s="96"/>
      <c r="HP45" s="96"/>
      <c r="HQ45" s="96"/>
      <c r="HR45" s="96"/>
      <c r="HS45" s="96"/>
      <c r="HT45" s="96"/>
      <c r="HU45" s="96"/>
      <c r="HV45" s="96"/>
      <c r="HW45" s="96"/>
      <c r="HX45" s="96"/>
      <c r="HY45" s="96"/>
      <c r="HZ45" s="96"/>
      <c r="IA45" s="96"/>
      <c r="IB45" s="96"/>
      <c r="IC45" s="96"/>
      <c r="ID45" s="96"/>
      <c r="IE45" s="96"/>
      <c r="IF45" s="96"/>
      <c r="IG45" s="96"/>
      <c r="IH45" s="96"/>
      <c r="II45" s="96"/>
      <c r="IJ45" s="96"/>
      <c r="IK45" s="96"/>
      <c r="IL45" s="96"/>
      <c r="IM45" s="96"/>
      <c r="IN45" s="96"/>
      <c r="IO45" s="96"/>
      <c r="IP45" s="96"/>
      <c r="IQ45" s="96"/>
      <c r="IR45" s="96"/>
      <c r="IS45" s="96"/>
      <c r="IT45" s="96"/>
      <c r="IU45" s="96"/>
      <c r="IV45" s="96"/>
    </row>
    <row r="46" spans="1:256" s="96" customFormat="1" ht="18.75" customHeight="1" x14ac:dyDescent="0.2">
      <c r="A46" s="89" t="s">
        <v>54</v>
      </c>
      <c r="B46" s="97" t="s">
        <v>174</v>
      </c>
      <c r="C46" s="91"/>
      <c r="D46" s="92"/>
      <c r="E46" s="98"/>
      <c r="F46" s="99"/>
      <c r="G46" s="100"/>
      <c r="H46" s="94"/>
    </row>
    <row r="47" spans="1:256" s="96" customFormat="1" ht="18.75" customHeight="1" x14ac:dyDescent="0.2">
      <c r="A47" s="101" t="s">
        <v>175</v>
      </c>
      <c r="B47" s="97" t="s">
        <v>176</v>
      </c>
      <c r="C47" s="91" t="s">
        <v>4</v>
      </c>
      <c r="D47" s="92">
        <v>7300</v>
      </c>
      <c r="E47" s="98"/>
      <c r="F47" s="99">
        <f>D47*E47</f>
        <v>0</v>
      </c>
      <c r="G47" s="100"/>
      <c r="H47" s="94"/>
    </row>
    <row r="48" spans="1:256" s="96" customFormat="1" ht="18.75" customHeight="1" x14ac:dyDescent="0.2">
      <c r="A48" s="101" t="s">
        <v>177</v>
      </c>
      <c r="B48" s="97" t="s">
        <v>178</v>
      </c>
      <c r="C48" s="91" t="s">
        <v>4</v>
      </c>
      <c r="D48" s="92">
        <v>2400</v>
      </c>
      <c r="E48" s="98"/>
      <c r="F48" s="99">
        <f>D48*E48</f>
        <v>0</v>
      </c>
      <c r="G48" s="100"/>
      <c r="H48" s="94"/>
    </row>
    <row r="49" spans="1:256" s="96" customFormat="1" ht="17.25" customHeight="1" x14ac:dyDescent="0.2">
      <c r="A49" s="89" t="s">
        <v>55</v>
      </c>
      <c r="B49" s="102" t="s">
        <v>51</v>
      </c>
      <c r="C49" s="91" t="s">
        <v>4</v>
      </c>
      <c r="D49" s="92">
        <v>400</v>
      </c>
      <c r="E49" s="93"/>
      <c r="F49" s="99">
        <f t="shared" ref="F49:F50" si="2">D49*E49</f>
        <v>0</v>
      </c>
      <c r="G49" s="92"/>
      <c r="H49" s="94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95"/>
      <c r="CK49" s="95"/>
      <c r="CL49" s="95"/>
      <c r="CM49" s="95"/>
      <c r="CN49" s="95"/>
      <c r="CO49" s="95"/>
      <c r="CP49" s="95"/>
      <c r="CQ49" s="95"/>
      <c r="CR49" s="95"/>
      <c r="CS49" s="95"/>
      <c r="CT49" s="95"/>
      <c r="CU49" s="95"/>
      <c r="CV49" s="95"/>
      <c r="CW49" s="95"/>
      <c r="CX49" s="95"/>
      <c r="CY49" s="95"/>
      <c r="CZ49" s="95"/>
      <c r="DA49" s="95"/>
      <c r="DB49" s="95"/>
      <c r="DC49" s="95"/>
      <c r="DD49" s="95"/>
      <c r="DE49" s="95"/>
      <c r="DF49" s="95"/>
      <c r="DG49" s="95"/>
      <c r="DH49" s="95"/>
      <c r="DI49" s="95"/>
      <c r="DJ49" s="95"/>
      <c r="DK49" s="95"/>
      <c r="DL49" s="95"/>
      <c r="DM49" s="95"/>
      <c r="DN49" s="95"/>
      <c r="DO49" s="95"/>
      <c r="DP49" s="95"/>
      <c r="DQ49" s="95"/>
      <c r="DR49" s="95"/>
      <c r="DS49" s="95"/>
      <c r="DT49" s="95"/>
      <c r="DU49" s="95"/>
      <c r="DV49" s="95"/>
      <c r="DW49" s="95"/>
      <c r="DX49" s="95"/>
      <c r="DY49" s="95"/>
      <c r="DZ49" s="95"/>
      <c r="EA49" s="95"/>
      <c r="EB49" s="95"/>
      <c r="EC49" s="95"/>
      <c r="ED49" s="95"/>
      <c r="EE49" s="95"/>
      <c r="EF49" s="95"/>
      <c r="EG49" s="95"/>
      <c r="EH49" s="95"/>
      <c r="EI49" s="95"/>
      <c r="EJ49" s="95"/>
      <c r="EK49" s="95"/>
      <c r="EL49" s="95"/>
      <c r="EM49" s="95"/>
      <c r="EN49" s="95"/>
      <c r="EO49" s="95"/>
      <c r="EP49" s="95"/>
      <c r="EQ49" s="95"/>
      <c r="ER49" s="95"/>
      <c r="ES49" s="95"/>
      <c r="ET49" s="95"/>
      <c r="EU49" s="95"/>
      <c r="EV49" s="95"/>
      <c r="EW49" s="95"/>
      <c r="EX49" s="95"/>
      <c r="EY49" s="95"/>
      <c r="EZ49" s="95"/>
      <c r="FA49" s="95"/>
      <c r="FB49" s="95"/>
      <c r="FC49" s="95"/>
      <c r="FD49" s="95"/>
      <c r="FE49" s="95"/>
      <c r="FF49" s="95"/>
      <c r="FG49" s="95"/>
      <c r="FH49" s="95"/>
      <c r="FI49" s="95"/>
      <c r="FJ49" s="95"/>
      <c r="FK49" s="95"/>
      <c r="FL49" s="95"/>
      <c r="FM49" s="95"/>
      <c r="FN49" s="95"/>
      <c r="FO49" s="95"/>
      <c r="FP49" s="95"/>
      <c r="FQ49" s="95"/>
      <c r="FR49" s="95"/>
      <c r="FS49" s="95"/>
      <c r="FT49" s="95"/>
      <c r="FU49" s="95"/>
      <c r="FV49" s="95"/>
      <c r="FW49" s="95"/>
      <c r="FX49" s="95"/>
      <c r="FY49" s="95"/>
      <c r="FZ49" s="95"/>
      <c r="GA49" s="95"/>
      <c r="GB49" s="95"/>
      <c r="GC49" s="95"/>
      <c r="GD49" s="95"/>
      <c r="GE49" s="95"/>
      <c r="GF49" s="95"/>
      <c r="GG49" s="95"/>
      <c r="GH49" s="95"/>
      <c r="GI49" s="95"/>
      <c r="GJ49" s="95"/>
      <c r="GK49" s="95"/>
      <c r="GL49" s="95"/>
      <c r="GM49" s="95"/>
      <c r="GN49" s="95"/>
      <c r="GO49" s="95"/>
      <c r="GP49" s="95"/>
      <c r="GQ49" s="95"/>
      <c r="GR49" s="95"/>
      <c r="GS49" s="95"/>
      <c r="GT49" s="95"/>
      <c r="GU49" s="95"/>
      <c r="GV49" s="95"/>
      <c r="GW49" s="95"/>
      <c r="GX49" s="95"/>
      <c r="GY49" s="95"/>
      <c r="GZ49" s="95"/>
      <c r="HA49" s="95"/>
      <c r="HB49" s="95"/>
      <c r="HC49" s="95"/>
      <c r="HD49" s="95"/>
      <c r="HE49" s="95"/>
      <c r="HF49" s="95"/>
      <c r="HG49" s="95"/>
      <c r="HH49" s="95"/>
      <c r="HI49" s="95"/>
      <c r="HJ49" s="95"/>
      <c r="HK49" s="95"/>
      <c r="HL49" s="95"/>
      <c r="HM49" s="95"/>
      <c r="HN49" s="95"/>
      <c r="HO49" s="95"/>
      <c r="HP49" s="95"/>
      <c r="HQ49" s="95"/>
      <c r="HR49" s="95"/>
      <c r="HS49" s="95"/>
      <c r="HT49" s="95"/>
      <c r="HU49" s="95"/>
      <c r="HV49" s="95"/>
      <c r="HW49" s="95"/>
      <c r="HX49" s="95"/>
      <c r="HY49" s="95"/>
      <c r="HZ49" s="95"/>
      <c r="IA49" s="95"/>
      <c r="IB49" s="95"/>
      <c r="IC49" s="95"/>
      <c r="ID49" s="95"/>
      <c r="IE49" s="95"/>
      <c r="IF49" s="95"/>
      <c r="IG49" s="95"/>
      <c r="IH49" s="95"/>
      <c r="II49" s="95"/>
      <c r="IJ49" s="95"/>
      <c r="IK49" s="95"/>
      <c r="IL49" s="95"/>
      <c r="IM49" s="95"/>
      <c r="IN49" s="95"/>
      <c r="IO49" s="95"/>
      <c r="IP49" s="95"/>
      <c r="IQ49" s="95"/>
      <c r="IR49" s="95"/>
      <c r="IS49" s="95"/>
      <c r="IT49" s="95"/>
      <c r="IU49" s="95"/>
      <c r="IV49" s="95"/>
    </row>
    <row r="50" spans="1:256" s="96" customFormat="1" ht="17.25" customHeight="1" x14ac:dyDescent="0.2">
      <c r="A50" s="89" t="s">
        <v>56</v>
      </c>
      <c r="B50" s="97" t="s">
        <v>52</v>
      </c>
      <c r="C50" s="91" t="s">
        <v>4</v>
      </c>
      <c r="D50" s="92">
        <v>3300</v>
      </c>
      <c r="E50" s="93"/>
      <c r="F50" s="99">
        <f t="shared" si="2"/>
        <v>0</v>
      </c>
      <c r="G50" s="92"/>
      <c r="H50" s="94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  <c r="CZ50" s="95"/>
      <c r="DA50" s="95"/>
      <c r="DB50" s="95"/>
      <c r="DC50" s="95"/>
      <c r="DD50" s="95"/>
      <c r="DE50" s="95"/>
      <c r="DF50" s="95"/>
      <c r="DG50" s="95"/>
      <c r="DH50" s="95"/>
      <c r="DI50" s="95"/>
      <c r="DJ50" s="95"/>
      <c r="DK50" s="95"/>
      <c r="DL50" s="95"/>
      <c r="DM50" s="95"/>
      <c r="DN50" s="95"/>
      <c r="DO50" s="95"/>
      <c r="DP50" s="95"/>
      <c r="DQ50" s="95"/>
      <c r="DR50" s="95"/>
      <c r="DS50" s="95"/>
      <c r="DT50" s="95"/>
      <c r="DU50" s="95"/>
      <c r="DV50" s="95"/>
      <c r="DW50" s="95"/>
      <c r="DX50" s="95"/>
      <c r="DY50" s="95"/>
      <c r="DZ50" s="95"/>
      <c r="EA50" s="95"/>
      <c r="EB50" s="95"/>
      <c r="EC50" s="95"/>
      <c r="ED50" s="95"/>
      <c r="EE50" s="95"/>
      <c r="EF50" s="95"/>
      <c r="EG50" s="95"/>
      <c r="EH50" s="95"/>
      <c r="EI50" s="95"/>
      <c r="EJ50" s="95"/>
      <c r="EK50" s="95"/>
      <c r="EL50" s="95"/>
      <c r="EM50" s="95"/>
      <c r="EN50" s="95"/>
      <c r="EO50" s="95"/>
      <c r="EP50" s="95"/>
      <c r="EQ50" s="95"/>
      <c r="ER50" s="95"/>
      <c r="ES50" s="95"/>
      <c r="ET50" s="95"/>
      <c r="EU50" s="95"/>
      <c r="EV50" s="95"/>
      <c r="EW50" s="95"/>
      <c r="EX50" s="95"/>
      <c r="EY50" s="95"/>
      <c r="EZ50" s="95"/>
      <c r="FA50" s="95"/>
      <c r="FB50" s="95"/>
      <c r="FC50" s="95"/>
      <c r="FD50" s="95"/>
      <c r="FE50" s="95"/>
      <c r="FF50" s="95"/>
      <c r="FG50" s="95"/>
      <c r="FH50" s="95"/>
      <c r="FI50" s="95"/>
      <c r="FJ50" s="95"/>
      <c r="FK50" s="95"/>
      <c r="FL50" s="95"/>
      <c r="FM50" s="95"/>
      <c r="FN50" s="95"/>
      <c r="FO50" s="95"/>
      <c r="FP50" s="95"/>
      <c r="FQ50" s="95"/>
      <c r="FR50" s="95"/>
      <c r="FS50" s="95"/>
      <c r="FT50" s="95"/>
      <c r="FU50" s="95"/>
      <c r="FV50" s="95"/>
      <c r="FW50" s="95"/>
      <c r="FX50" s="95"/>
      <c r="FY50" s="95"/>
      <c r="FZ50" s="95"/>
      <c r="GA50" s="95"/>
      <c r="GB50" s="95"/>
      <c r="GC50" s="95"/>
      <c r="GD50" s="95"/>
      <c r="GE50" s="95"/>
      <c r="GF50" s="95"/>
      <c r="GG50" s="95"/>
      <c r="GH50" s="95"/>
      <c r="GI50" s="95"/>
      <c r="GJ50" s="95"/>
      <c r="GK50" s="95"/>
      <c r="GL50" s="95"/>
      <c r="GM50" s="95"/>
      <c r="GN50" s="95"/>
      <c r="GO50" s="95"/>
      <c r="GP50" s="95"/>
      <c r="GQ50" s="95"/>
      <c r="GR50" s="95"/>
      <c r="GS50" s="95"/>
      <c r="GT50" s="95"/>
      <c r="GU50" s="95"/>
      <c r="GV50" s="95"/>
      <c r="GW50" s="95"/>
      <c r="GX50" s="95"/>
      <c r="GY50" s="95"/>
      <c r="GZ50" s="95"/>
      <c r="HA50" s="95"/>
      <c r="HB50" s="95"/>
      <c r="HC50" s="95"/>
      <c r="HD50" s="95"/>
      <c r="HE50" s="95"/>
      <c r="HF50" s="95"/>
      <c r="HG50" s="95"/>
      <c r="HH50" s="95"/>
      <c r="HI50" s="95"/>
      <c r="HJ50" s="95"/>
      <c r="HK50" s="95"/>
      <c r="HL50" s="95"/>
      <c r="HM50" s="95"/>
      <c r="HN50" s="95"/>
      <c r="HO50" s="95"/>
      <c r="HP50" s="95"/>
      <c r="HQ50" s="95"/>
      <c r="HR50" s="95"/>
      <c r="HS50" s="95"/>
      <c r="HT50" s="95"/>
      <c r="HU50" s="95"/>
      <c r="HV50" s="95"/>
      <c r="HW50" s="95"/>
      <c r="HX50" s="95"/>
      <c r="HY50" s="95"/>
      <c r="HZ50" s="95"/>
      <c r="IA50" s="95"/>
      <c r="IB50" s="95"/>
      <c r="IC50" s="95"/>
      <c r="ID50" s="95"/>
      <c r="IE50" s="95"/>
      <c r="IF50" s="95"/>
      <c r="IG50" s="95"/>
      <c r="IH50" s="95"/>
      <c r="II50" s="95"/>
      <c r="IJ50" s="95"/>
      <c r="IK50" s="95"/>
      <c r="IL50" s="95"/>
      <c r="IM50" s="95"/>
      <c r="IN50" s="95"/>
      <c r="IO50" s="95"/>
      <c r="IP50" s="95"/>
      <c r="IQ50" s="95"/>
      <c r="IR50" s="95"/>
      <c r="IS50" s="95"/>
      <c r="IT50" s="95"/>
      <c r="IU50" s="95"/>
      <c r="IV50" s="95"/>
    </row>
    <row r="51" spans="1:256" s="96" customFormat="1" ht="17.25" customHeight="1" x14ac:dyDescent="0.2">
      <c r="A51" s="89" t="s">
        <v>57</v>
      </c>
      <c r="B51" s="103" t="s">
        <v>133</v>
      </c>
      <c r="C51" s="91" t="s">
        <v>4</v>
      </c>
      <c r="D51" s="92">
        <v>900</v>
      </c>
      <c r="E51" s="93"/>
      <c r="F51" s="99">
        <f>D51*E51</f>
        <v>0</v>
      </c>
      <c r="G51" s="92"/>
      <c r="H51" s="94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95"/>
      <c r="CJ51" s="95"/>
      <c r="CK51" s="95"/>
      <c r="CL51" s="95"/>
      <c r="CM51" s="95"/>
      <c r="CN51" s="95"/>
      <c r="CO51" s="95"/>
      <c r="CP51" s="95"/>
      <c r="CQ51" s="95"/>
      <c r="CR51" s="95"/>
      <c r="CS51" s="95"/>
      <c r="CT51" s="95"/>
      <c r="CU51" s="95"/>
      <c r="CV51" s="95"/>
      <c r="CW51" s="95"/>
      <c r="CX51" s="95"/>
      <c r="CY51" s="95"/>
      <c r="CZ51" s="95"/>
      <c r="DA51" s="95"/>
      <c r="DB51" s="95"/>
      <c r="DC51" s="95"/>
      <c r="DD51" s="95"/>
      <c r="DE51" s="95"/>
      <c r="DF51" s="95"/>
      <c r="DG51" s="95"/>
      <c r="DH51" s="95"/>
      <c r="DI51" s="95"/>
      <c r="DJ51" s="95"/>
      <c r="DK51" s="95"/>
      <c r="DL51" s="95"/>
      <c r="DM51" s="95"/>
      <c r="DN51" s="95"/>
      <c r="DO51" s="95"/>
      <c r="DP51" s="95"/>
      <c r="DQ51" s="95"/>
      <c r="DR51" s="95"/>
      <c r="DS51" s="95"/>
      <c r="DT51" s="95"/>
      <c r="DU51" s="95"/>
      <c r="DV51" s="95"/>
      <c r="DW51" s="95"/>
      <c r="DX51" s="95"/>
      <c r="DY51" s="95"/>
      <c r="DZ51" s="95"/>
      <c r="EA51" s="95"/>
      <c r="EB51" s="95"/>
      <c r="EC51" s="95"/>
      <c r="ED51" s="95"/>
      <c r="EE51" s="95"/>
      <c r="EF51" s="95"/>
      <c r="EG51" s="95"/>
      <c r="EH51" s="95"/>
      <c r="EI51" s="95"/>
      <c r="EJ51" s="95"/>
      <c r="EK51" s="95"/>
      <c r="EL51" s="95"/>
      <c r="EM51" s="95"/>
      <c r="EN51" s="95"/>
      <c r="EO51" s="95"/>
      <c r="EP51" s="95"/>
      <c r="EQ51" s="95"/>
      <c r="ER51" s="95"/>
      <c r="ES51" s="95"/>
      <c r="ET51" s="95"/>
      <c r="EU51" s="95"/>
      <c r="EV51" s="95"/>
      <c r="EW51" s="95"/>
      <c r="EX51" s="95"/>
      <c r="EY51" s="95"/>
      <c r="EZ51" s="95"/>
      <c r="FA51" s="95"/>
      <c r="FB51" s="95"/>
      <c r="FC51" s="95"/>
      <c r="FD51" s="95"/>
      <c r="FE51" s="95"/>
      <c r="FF51" s="95"/>
      <c r="FG51" s="95"/>
      <c r="FH51" s="95"/>
      <c r="FI51" s="95"/>
      <c r="FJ51" s="95"/>
      <c r="FK51" s="95"/>
      <c r="FL51" s="95"/>
      <c r="FM51" s="95"/>
      <c r="FN51" s="95"/>
      <c r="FO51" s="95"/>
      <c r="FP51" s="95"/>
      <c r="FQ51" s="95"/>
      <c r="FR51" s="95"/>
      <c r="FS51" s="95"/>
      <c r="FT51" s="95"/>
      <c r="FU51" s="95"/>
      <c r="FV51" s="95"/>
      <c r="FW51" s="95"/>
      <c r="FX51" s="95"/>
      <c r="FY51" s="95"/>
      <c r="FZ51" s="95"/>
      <c r="GA51" s="95"/>
      <c r="GB51" s="95"/>
      <c r="GC51" s="95"/>
      <c r="GD51" s="95"/>
      <c r="GE51" s="95"/>
      <c r="GF51" s="95"/>
      <c r="GG51" s="95"/>
      <c r="GH51" s="95"/>
      <c r="GI51" s="95"/>
      <c r="GJ51" s="95"/>
      <c r="GK51" s="95"/>
      <c r="GL51" s="95"/>
      <c r="GM51" s="95"/>
      <c r="GN51" s="95"/>
      <c r="GO51" s="95"/>
      <c r="GP51" s="95"/>
      <c r="GQ51" s="95"/>
      <c r="GR51" s="95"/>
      <c r="GS51" s="95"/>
      <c r="GT51" s="95"/>
      <c r="GU51" s="95"/>
      <c r="GV51" s="95"/>
      <c r="GW51" s="95"/>
      <c r="GX51" s="95"/>
      <c r="GY51" s="95"/>
      <c r="GZ51" s="95"/>
      <c r="HA51" s="95"/>
      <c r="HB51" s="95"/>
      <c r="HC51" s="95"/>
      <c r="HD51" s="95"/>
      <c r="HE51" s="95"/>
      <c r="HF51" s="95"/>
      <c r="HG51" s="95"/>
      <c r="HH51" s="95"/>
      <c r="HI51" s="95"/>
      <c r="HJ51" s="95"/>
      <c r="HK51" s="95"/>
      <c r="HL51" s="95"/>
      <c r="HM51" s="95"/>
      <c r="HN51" s="95"/>
      <c r="HO51" s="95"/>
      <c r="HP51" s="95"/>
      <c r="HQ51" s="95"/>
      <c r="HR51" s="95"/>
      <c r="HS51" s="95"/>
      <c r="HT51" s="95"/>
      <c r="HU51" s="95"/>
      <c r="HV51" s="95"/>
      <c r="HW51" s="95"/>
      <c r="HX51" s="95"/>
      <c r="HY51" s="95"/>
      <c r="HZ51" s="95"/>
      <c r="IA51" s="95"/>
      <c r="IB51" s="95"/>
      <c r="IC51" s="95"/>
      <c r="ID51" s="95"/>
      <c r="IE51" s="95"/>
      <c r="IF51" s="95"/>
      <c r="IG51" s="95"/>
      <c r="IH51" s="95"/>
      <c r="II51" s="95"/>
      <c r="IJ51" s="95"/>
      <c r="IK51" s="95"/>
      <c r="IL51" s="95"/>
      <c r="IM51" s="95"/>
      <c r="IN51" s="95"/>
      <c r="IO51" s="95"/>
      <c r="IP51" s="95"/>
      <c r="IQ51" s="95"/>
      <c r="IR51" s="95"/>
      <c r="IS51" s="95"/>
      <c r="IT51" s="95"/>
      <c r="IU51" s="95"/>
      <c r="IV51" s="95"/>
    </row>
    <row r="52" spans="1:256" s="95" customFormat="1" ht="26.25" customHeight="1" x14ac:dyDescent="0.2">
      <c r="A52" s="89" t="s">
        <v>139</v>
      </c>
      <c r="B52" s="103" t="s">
        <v>288</v>
      </c>
      <c r="C52" s="91" t="s">
        <v>4</v>
      </c>
      <c r="D52" s="92">
        <v>4000</v>
      </c>
      <c r="E52" s="98"/>
      <c r="F52" s="99">
        <f>D52*E52</f>
        <v>0</v>
      </c>
      <c r="G52" s="100"/>
      <c r="H52" s="94"/>
    </row>
    <row r="53" spans="1:256" s="96" customFormat="1" ht="17.25" customHeight="1" x14ac:dyDescent="0.2">
      <c r="A53" s="89" t="s">
        <v>173</v>
      </c>
      <c r="B53" s="103" t="s">
        <v>43</v>
      </c>
      <c r="C53" s="91" t="s">
        <v>5</v>
      </c>
      <c r="D53" s="92">
        <v>1</v>
      </c>
      <c r="E53" s="93"/>
      <c r="F53" s="99">
        <f>D53*E53</f>
        <v>0</v>
      </c>
      <c r="G53" s="92"/>
      <c r="H53" s="94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95"/>
      <c r="CJ53" s="95"/>
      <c r="CK53" s="95"/>
      <c r="CL53" s="95"/>
      <c r="CM53" s="95"/>
      <c r="CN53" s="95"/>
      <c r="CO53" s="95"/>
      <c r="CP53" s="95"/>
      <c r="CQ53" s="95"/>
      <c r="CR53" s="95"/>
      <c r="CS53" s="95"/>
      <c r="CT53" s="95"/>
      <c r="CU53" s="95"/>
      <c r="CV53" s="95"/>
      <c r="CW53" s="95"/>
      <c r="CX53" s="95"/>
      <c r="CY53" s="95"/>
      <c r="CZ53" s="95"/>
      <c r="DA53" s="95"/>
      <c r="DB53" s="95"/>
      <c r="DC53" s="95"/>
      <c r="DD53" s="95"/>
      <c r="DE53" s="95"/>
      <c r="DF53" s="95"/>
      <c r="DG53" s="95"/>
      <c r="DH53" s="95"/>
      <c r="DI53" s="95"/>
      <c r="DJ53" s="95"/>
      <c r="DK53" s="95"/>
      <c r="DL53" s="95"/>
      <c r="DM53" s="95"/>
      <c r="DN53" s="95"/>
      <c r="DO53" s="95"/>
      <c r="DP53" s="95"/>
      <c r="DQ53" s="95"/>
      <c r="DR53" s="95"/>
      <c r="DS53" s="95"/>
      <c r="DT53" s="95"/>
      <c r="DU53" s="95"/>
      <c r="DV53" s="95"/>
      <c r="DW53" s="95"/>
      <c r="DX53" s="95"/>
      <c r="DY53" s="95"/>
      <c r="DZ53" s="95"/>
      <c r="EA53" s="95"/>
      <c r="EB53" s="95"/>
      <c r="EC53" s="95"/>
      <c r="ED53" s="95"/>
      <c r="EE53" s="95"/>
      <c r="EF53" s="95"/>
      <c r="EG53" s="95"/>
      <c r="EH53" s="95"/>
      <c r="EI53" s="95"/>
      <c r="EJ53" s="95"/>
      <c r="EK53" s="95"/>
      <c r="EL53" s="95"/>
      <c r="EM53" s="95"/>
      <c r="EN53" s="95"/>
      <c r="EO53" s="95"/>
      <c r="EP53" s="95"/>
      <c r="EQ53" s="95"/>
      <c r="ER53" s="95"/>
      <c r="ES53" s="95"/>
      <c r="ET53" s="95"/>
      <c r="EU53" s="95"/>
      <c r="EV53" s="95"/>
      <c r="EW53" s="95"/>
      <c r="EX53" s="95"/>
      <c r="EY53" s="95"/>
      <c r="EZ53" s="95"/>
      <c r="FA53" s="95"/>
      <c r="FB53" s="95"/>
      <c r="FC53" s="95"/>
      <c r="FD53" s="95"/>
      <c r="FE53" s="95"/>
      <c r="FF53" s="95"/>
      <c r="FG53" s="95"/>
      <c r="FH53" s="95"/>
      <c r="FI53" s="95"/>
      <c r="FJ53" s="95"/>
      <c r="FK53" s="95"/>
      <c r="FL53" s="95"/>
      <c r="FM53" s="95"/>
      <c r="FN53" s="95"/>
      <c r="FO53" s="95"/>
      <c r="FP53" s="95"/>
      <c r="FQ53" s="95"/>
      <c r="FR53" s="95"/>
      <c r="FS53" s="95"/>
      <c r="FT53" s="95"/>
      <c r="FU53" s="95"/>
      <c r="FV53" s="95"/>
      <c r="FW53" s="95"/>
      <c r="FX53" s="95"/>
      <c r="FY53" s="95"/>
      <c r="FZ53" s="95"/>
      <c r="GA53" s="95"/>
      <c r="GB53" s="95"/>
      <c r="GC53" s="95"/>
      <c r="GD53" s="95"/>
      <c r="GE53" s="95"/>
      <c r="GF53" s="95"/>
      <c r="GG53" s="95"/>
      <c r="GH53" s="95"/>
      <c r="GI53" s="95"/>
      <c r="GJ53" s="95"/>
      <c r="GK53" s="95"/>
      <c r="GL53" s="95"/>
      <c r="GM53" s="95"/>
      <c r="GN53" s="95"/>
      <c r="GO53" s="95"/>
      <c r="GP53" s="95"/>
      <c r="GQ53" s="95"/>
      <c r="GR53" s="95"/>
      <c r="GS53" s="95"/>
      <c r="GT53" s="95"/>
      <c r="GU53" s="95"/>
      <c r="GV53" s="95"/>
      <c r="GW53" s="95"/>
      <c r="GX53" s="95"/>
      <c r="GY53" s="95"/>
      <c r="GZ53" s="95"/>
      <c r="HA53" s="95"/>
      <c r="HB53" s="95"/>
      <c r="HC53" s="95"/>
      <c r="HD53" s="95"/>
      <c r="HE53" s="95"/>
      <c r="HF53" s="95"/>
      <c r="HG53" s="95"/>
      <c r="HH53" s="95"/>
      <c r="HI53" s="95"/>
      <c r="HJ53" s="95"/>
      <c r="HK53" s="95"/>
      <c r="HL53" s="95"/>
      <c r="HM53" s="95"/>
      <c r="HN53" s="95"/>
      <c r="HO53" s="95"/>
      <c r="HP53" s="95"/>
      <c r="HQ53" s="95"/>
      <c r="HR53" s="95"/>
      <c r="HS53" s="95"/>
      <c r="HT53" s="95"/>
      <c r="HU53" s="95"/>
      <c r="HV53" s="95"/>
      <c r="HW53" s="95"/>
      <c r="HX53" s="95"/>
      <c r="HY53" s="95"/>
      <c r="HZ53" s="95"/>
      <c r="IA53" s="95"/>
      <c r="IB53" s="95"/>
      <c r="IC53" s="95"/>
      <c r="ID53" s="95"/>
      <c r="IE53" s="95"/>
      <c r="IF53" s="95"/>
      <c r="IG53" s="95"/>
      <c r="IH53" s="95"/>
      <c r="II53" s="95"/>
      <c r="IJ53" s="95"/>
      <c r="IK53" s="95"/>
      <c r="IL53" s="95"/>
      <c r="IM53" s="95"/>
      <c r="IN53" s="95"/>
      <c r="IO53" s="95"/>
      <c r="IP53" s="95"/>
      <c r="IQ53" s="95"/>
      <c r="IR53" s="95"/>
      <c r="IS53" s="95"/>
      <c r="IT53" s="95"/>
      <c r="IU53" s="95"/>
      <c r="IV53" s="95"/>
    </row>
    <row r="54" spans="1:256" s="4" customFormat="1" ht="17.25" customHeight="1" x14ac:dyDescent="0.2">
      <c r="A54" s="49"/>
      <c r="B54" s="32"/>
      <c r="C54" s="24"/>
      <c r="D54" s="38"/>
      <c r="E54" s="65"/>
      <c r="F54" s="38"/>
      <c r="G54" s="38"/>
      <c r="H54" s="75"/>
    </row>
    <row r="55" spans="1:256" s="4" customFormat="1" ht="20.25" customHeight="1" x14ac:dyDescent="0.2">
      <c r="A55" s="59"/>
      <c r="B55" s="60" t="s">
        <v>11</v>
      </c>
      <c r="C55" s="61"/>
      <c r="D55" s="61"/>
      <c r="E55" s="69"/>
      <c r="F55" s="73">
        <f>SUM(F47:F53)</f>
        <v>0</v>
      </c>
      <c r="G55" s="38"/>
      <c r="H55" s="75"/>
    </row>
    <row r="56" spans="1:256" s="4" customFormat="1" ht="20.25" customHeight="1" x14ac:dyDescent="0.2">
      <c r="A56" s="49"/>
      <c r="B56" s="29"/>
      <c r="C56" s="24"/>
      <c r="D56" s="38"/>
      <c r="E56" s="65"/>
      <c r="F56" s="38"/>
      <c r="G56" s="38"/>
      <c r="H56" s="75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</row>
    <row r="57" spans="1:256" s="4" customFormat="1" ht="16.5" customHeight="1" x14ac:dyDescent="0.2">
      <c r="A57" s="49" t="s">
        <v>58</v>
      </c>
      <c r="B57" s="31" t="s">
        <v>42</v>
      </c>
      <c r="C57" s="24"/>
      <c r="D57" s="38"/>
      <c r="E57" s="65"/>
      <c r="F57" s="38"/>
      <c r="G57" s="38"/>
      <c r="H57" s="75"/>
    </row>
    <row r="58" spans="1:256" s="4" customFormat="1" ht="14.25" customHeight="1" x14ac:dyDescent="0.2">
      <c r="A58" s="49"/>
      <c r="B58" s="31"/>
      <c r="C58" s="24"/>
      <c r="D58" s="38"/>
      <c r="E58" s="65"/>
      <c r="F58" s="38"/>
      <c r="G58" s="38"/>
      <c r="H58" s="7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</row>
    <row r="59" spans="1:256" s="4" customFormat="1" ht="20.25" customHeight="1" x14ac:dyDescent="0.2">
      <c r="A59" s="49" t="s">
        <v>59</v>
      </c>
      <c r="B59" s="32" t="s">
        <v>485</v>
      </c>
      <c r="C59" s="24" t="s">
        <v>13</v>
      </c>
      <c r="D59" s="38">
        <v>7800</v>
      </c>
      <c r="E59" s="65"/>
      <c r="F59" s="81">
        <f>D59*E59</f>
        <v>0</v>
      </c>
      <c r="G59" s="38"/>
      <c r="H59" s="7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</row>
    <row r="60" spans="1:256" s="4" customFormat="1" ht="18.75" customHeight="1" x14ac:dyDescent="0.2">
      <c r="A60" s="49" t="s">
        <v>60</v>
      </c>
      <c r="B60" s="32" t="s">
        <v>134</v>
      </c>
      <c r="C60" s="24"/>
      <c r="D60" s="38"/>
      <c r="E60" s="65"/>
      <c r="F60" s="81"/>
      <c r="G60" s="38"/>
      <c r="H60" s="7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</row>
    <row r="61" spans="1:256" s="4" customFormat="1" ht="18" customHeight="1" x14ac:dyDescent="0.2">
      <c r="A61" s="70" t="s">
        <v>61</v>
      </c>
      <c r="B61" s="16" t="s">
        <v>323</v>
      </c>
      <c r="C61" s="24" t="s">
        <v>4</v>
      </c>
      <c r="D61" s="38">
        <v>5850</v>
      </c>
      <c r="E61" s="65"/>
      <c r="F61" s="81">
        <f t="shared" ref="F61:F83" si="3">D61*E61</f>
        <v>0</v>
      </c>
      <c r="G61" s="38"/>
      <c r="H61" s="75"/>
    </row>
    <row r="62" spans="1:256" ht="18" customHeight="1" x14ac:dyDescent="0.2">
      <c r="A62" s="70" t="s">
        <v>62</v>
      </c>
      <c r="B62" s="16" t="s">
        <v>324</v>
      </c>
      <c r="C62" s="24" t="s">
        <v>4</v>
      </c>
      <c r="D62" s="38">
        <v>1800</v>
      </c>
      <c r="E62" s="65"/>
      <c r="F62" s="81">
        <f t="shared" si="3"/>
        <v>0</v>
      </c>
      <c r="G62" s="38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</row>
    <row r="63" spans="1:256" ht="19.5" customHeight="1" x14ac:dyDescent="0.2">
      <c r="A63" s="49" t="s">
        <v>63</v>
      </c>
      <c r="B63" s="32" t="s">
        <v>119</v>
      </c>
      <c r="C63" s="24"/>
      <c r="D63" s="38"/>
      <c r="E63" s="65"/>
      <c r="F63" s="81"/>
      <c r="G63" s="38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</row>
    <row r="64" spans="1:256" ht="16.5" customHeight="1" x14ac:dyDescent="0.2">
      <c r="A64" s="70" t="s">
        <v>64</v>
      </c>
      <c r="B64" s="16" t="s">
        <v>325</v>
      </c>
      <c r="C64" s="24" t="s">
        <v>4</v>
      </c>
      <c r="D64" s="38">
        <v>300</v>
      </c>
      <c r="E64" s="65"/>
      <c r="F64" s="81">
        <f t="shared" si="3"/>
        <v>0</v>
      </c>
      <c r="G64" s="38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</row>
    <row r="65" spans="1:256" ht="27" customHeight="1" x14ac:dyDescent="0.2">
      <c r="A65" s="70" t="s">
        <v>140</v>
      </c>
      <c r="B65" s="16" t="s">
        <v>170</v>
      </c>
      <c r="C65" s="24" t="s">
        <v>4</v>
      </c>
      <c r="D65" s="38">
        <v>450</v>
      </c>
      <c r="E65" s="65"/>
      <c r="F65" s="81">
        <f t="shared" si="3"/>
        <v>0</v>
      </c>
      <c r="G65" s="38"/>
    </row>
    <row r="66" spans="1:256" ht="18" customHeight="1" x14ac:dyDescent="0.2">
      <c r="A66" s="49" t="s">
        <v>65</v>
      </c>
      <c r="B66" s="32" t="s">
        <v>184</v>
      </c>
      <c r="C66" s="24" t="s">
        <v>5</v>
      </c>
      <c r="D66" s="38">
        <v>1</v>
      </c>
      <c r="E66" s="65"/>
      <c r="F66" s="81">
        <f t="shared" si="3"/>
        <v>0</v>
      </c>
      <c r="G66" s="38"/>
    </row>
    <row r="67" spans="1:256" ht="18" customHeight="1" x14ac:dyDescent="0.2">
      <c r="A67" s="49" t="s">
        <v>66</v>
      </c>
      <c r="B67" s="16" t="s">
        <v>30</v>
      </c>
      <c r="C67" s="24"/>
      <c r="D67" s="38"/>
      <c r="E67" s="65"/>
      <c r="F67" s="81"/>
      <c r="G67" s="38"/>
    </row>
    <row r="68" spans="1:256" ht="18.75" customHeight="1" x14ac:dyDescent="0.2">
      <c r="A68" s="70" t="s">
        <v>182</v>
      </c>
      <c r="B68" s="16" t="s">
        <v>326</v>
      </c>
      <c r="C68" s="24" t="s">
        <v>13</v>
      </c>
      <c r="D68" s="38">
        <v>5850</v>
      </c>
      <c r="E68" s="65"/>
      <c r="F68" s="81">
        <f t="shared" si="3"/>
        <v>0</v>
      </c>
      <c r="G68" s="38"/>
    </row>
    <row r="69" spans="1:256" ht="18.75" customHeight="1" x14ac:dyDescent="0.2">
      <c r="A69" s="49" t="s">
        <v>67</v>
      </c>
      <c r="B69" s="32" t="s">
        <v>29</v>
      </c>
      <c r="C69" s="24"/>
      <c r="D69" s="38"/>
      <c r="E69" s="65"/>
      <c r="F69" s="81"/>
      <c r="G69" s="38"/>
    </row>
    <row r="70" spans="1:256" ht="18.75" customHeight="1" x14ac:dyDescent="0.2">
      <c r="A70" s="70" t="s">
        <v>68</v>
      </c>
      <c r="B70" s="16" t="s">
        <v>327</v>
      </c>
      <c r="C70" s="24" t="s">
        <v>13</v>
      </c>
      <c r="D70" s="38">
        <v>5850</v>
      </c>
      <c r="E70" s="65"/>
      <c r="F70" s="81">
        <f t="shared" si="3"/>
        <v>0</v>
      </c>
      <c r="G70" s="38"/>
    </row>
    <row r="71" spans="1:256" ht="18" customHeight="1" x14ac:dyDescent="0.2">
      <c r="A71" s="49" t="s">
        <v>121</v>
      </c>
      <c r="B71" s="32" t="s">
        <v>31</v>
      </c>
      <c r="C71" s="24"/>
      <c r="D71" s="38"/>
      <c r="E71" s="65"/>
      <c r="F71" s="81"/>
      <c r="G71" s="38"/>
    </row>
    <row r="72" spans="1:256" ht="19.5" customHeight="1" x14ac:dyDescent="0.2">
      <c r="A72" s="70" t="s">
        <v>122</v>
      </c>
      <c r="B72" s="16" t="s">
        <v>183</v>
      </c>
      <c r="C72" s="24" t="s">
        <v>13</v>
      </c>
      <c r="D72" s="38">
        <v>5850</v>
      </c>
      <c r="E72" s="65"/>
      <c r="F72" s="81">
        <f t="shared" si="3"/>
        <v>0</v>
      </c>
      <c r="G72" s="38"/>
    </row>
    <row r="73" spans="1:256" ht="19.5" customHeight="1" x14ac:dyDescent="0.2">
      <c r="A73" s="49" t="s">
        <v>69</v>
      </c>
      <c r="B73" s="32" t="s">
        <v>486</v>
      </c>
      <c r="C73" s="24"/>
      <c r="D73" s="38"/>
      <c r="E73" s="65"/>
      <c r="F73" s="81"/>
      <c r="G73" s="38"/>
    </row>
    <row r="74" spans="1:256" ht="19.5" customHeight="1" x14ac:dyDescent="0.2">
      <c r="A74" s="70" t="s">
        <v>448</v>
      </c>
      <c r="B74" s="16" t="s">
        <v>487</v>
      </c>
      <c r="C74" s="24" t="s">
        <v>13</v>
      </c>
      <c r="D74" s="38">
        <v>1200</v>
      </c>
      <c r="E74" s="65"/>
      <c r="F74" s="81">
        <f t="shared" ref="F74" si="4">D74*E74</f>
        <v>0</v>
      </c>
      <c r="G74" s="38"/>
    </row>
    <row r="75" spans="1:256" s="4" customFormat="1" ht="18" customHeight="1" x14ac:dyDescent="0.2">
      <c r="A75" s="49" t="s">
        <v>123</v>
      </c>
      <c r="B75" s="32" t="s">
        <v>171</v>
      </c>
      <c r="C75" s="24" t="s">
        <v>13</v>
      </c>
      <c r="D75" s="38">
        <v>4260</v>
      </c>
      <c r="E75" s="65"/>
      <c r="F75" s="81">
        <f t="shared" si="3"/>
        <v>0</v>
      </c>
      <c r="G75" s="38"/>
      <c r="H75" s="7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</row>
    <row r="76" spans="1:256" ht="17.25" customHeight="1" x14ac:dyDescent="0.2">
      <c r="A76" s="49" t="s">
        <v>141</v>
      </c>
      <c r="B76" s="29" t="s">
        <v>172</v>
      </c>
      <c r="C76" s="24"/>
      <c r="D76" s="38"/>
      <c r="E76" s="65"/>
      <c r="F76" s="81"/>
      <c r="G76" s="38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</row>
    <row r="77" spans="1:256" ht="17.25" customHeight="1" x14ac:dyDescent="0.2">
      <c r="A77" s="70" t="s">
        <v>488</v>
      </c>
      <c r="B77" s="30" t="s">
        <v>341</v>
      </c>
      <c r="C77" s="24" t="s">
        <v>3</v>
      </c>
      <c r="D77" s="38">
        <v>35</v>
      </c>
      <c r="E77" s="65"/>
      <c r="F77" s="81">
        <f t="shared" si="3"/>
        <v>0</v>
      </c>
      <c r="G77" s="38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</row>
    <row r="78" spans="1:256" ht="17.25" customHeight="1" x14ac:dyDescent="0.2">
      <c r="A78" s="70" t="s">
        <v>450</v>
      </c>
      <c r="B78" s="30" t="s">
        <v>342</v>
      </c>
      <c r="C78" s="24" t="s">
        <v>3</v>
      </c>
      <c r="D78" s="38">
        <v>1200</v>
      </c>
      <c r="E78" s="65"/>
      <c r="F78" s="81">
        <f t="shared" si="3"/>
        <v>0</v>
      </c>
      <c r="G78" s="38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</row>
    <row r="79" spans="1:256" ht="17.25" customHeight="1" x14ac:dyDescent="0.2">
      <c r="A79" s="70" t="s">
        <v>452</v>
      </c>
      <c r="B79" s="30" t="s">
        <v>343</v>
      </c>
      <c r="C79" s="24" t="s">
        <v>3</v>
      </c>
      <c r="D79" s="38">
        <v>1100</v>
      </c>
      <c r="E79" s="65"/>
      <c r="F79" s="81">
        <f t="shared" si="3"/>
        <v>0</v>
      </c>
      <c r="G79" s="38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</row>
    <row r="80" spans="1:256" ht="17.25" customHeight="1" x14ac:dyDescent="0.2">
      <c r="A80" s="70" t="s">
        <v>489</v>
      </c>
      <c r="B80" s="30" t="s">
        <v>185</v>
      </c>
      <c r="C80" s="24" t="s">
        <v>3</v>
      </c>
      <c r="D80" s="38">
        <v>2300</v>
      </c>
      <c r="E80" s="65"/>
      <c r="F80" s="81">
        <f t="shared" si="3"/>
        <v>0</v>
      </c>
      <c r="G80" s="38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</row>
    <row r="81" spans="1:256" ht="17.25" customHeight="1" x14ac:dyDescent="0.2">
      <c r="A81" s="49" t="s">
        <v>70</v>
      </c>
      <c r="B81" s="29" t="s">
        <v>340</v>
      </c>
      <c r="C81" s="24" t="s">
        <v>3</v>
      </c>
      <c r="D81" s="38">
        <v>30</v>
      </c>
      <c r="E81" s="65"/>
      <c r="F81" s="81">
        <f t="shared" si="3"/>
        <v>0</v>
      </c>
      <c r="G81" s="3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</row>
    <row r="82" spans="1:256" s="83" customFormat="1" ht="20.25" customHeight="1" x14ac:dyDescent="0.2">
      <c r="A82" s="49" t="s">
        <v>71</v>
      </c>
      <c r="B82" s="16" t="s">
        <v>179</v>
      </c>
      <c r="C82" s="24" t="s">
        <v>0</v>
      </c>
      <c r="D82" s="13">
        <v>1</v>
      </c>
      <c r="E82" s="38"/>
      <c r="F82" s="81">
        <f t="shared" si="3"/>
        <v>0</v>
      </c>
    </row>
    <row r="83" spans="1:256" ht="20.25" customHeight="1" x14ac:dyDescent="0.2">
      <c r="A83" s="49" t="s">
        <v>490</v>
      </c>
      <c r="B83" s="16" t="s">
        <v>180</v>
      </c>
      <c r="C83" s="24" t="s">
        <v>0</v>
      </c>
      <c r="D83" s="13">
        <v>1</v>
      </c>
      <c r="E83" s="38"/>
      <c r="F83" s="81">
        <f t="shared" si="3"/>
        <v>0</v>
      </c>
      <c r="G83" s="2"/>
      <c r="H83" s="2"/>
    </row>
    <row r="84" spans="1:256" ht="12.75" customHeight="1" x14ac:dyDescent="0.2">
      <c r="A84" s="49"/>
      <c r="C84" s="24"/>
      <c r="D84" s="38"/>
      <c r="E84" s="65"/>
      <c r="F84" s="38"/>
      <c r="G84" s="38"/>
    </row>
    <row r="85" spans="1:256" ht="15.75" customHeight="1" x14ac:dyDescent="0.2">
      <c r="A85" s="59"/>
      <c r="B85" s="60" t="s">
        <v>11</v>
      </c>
      <c r="C85" s="61"/>
      <c r="D85" s="61"/>
      <c r="E85" s="69"/>
      <c r="F85" s="73">
        <f>SUM(F59:F83)</f>
        <v>0</v>
      </c>
      <c r="G85" s="38"/>
    </row>
    <row r="86" spans="1:256" ht="12" customHeight="1" x14ac:dyDescent="0.2">
      <c r="A86" s="49"/>
      <c r="B86" s="58"/>
      <c r="C86" s="24"/>
      <c r="D86" s="38"/>
      <c r="E86" s="65"/>
      <c r="F86" s="38"/>
      <c r="G86" s="38"/>
    </row>
    <row r="87" spans="1:256" ht="17.25" customHeight="1" x14ac:dyDescent="0.2">
      <c r="A87" s="49" t="s">
        <v>72</v>
      </c>
      <c r="B87" s="31" t="s">
        <v>15</v>
      </c>
      <c r="C87" s="24"/>
      <c r="D87" s="13"/>
      <c r="E87" s="68"/>
      <c r="F87" s="38"/>
      <c r="G87" s="38"/>
    </row>
    <row r="88" spans="1:256" ht="11.25" customHeight="1" x14ac:dyDescent="0.2">
      <c r="A88" s="49"/>
      <c r="B88" s="31"/>
      <c r="C88" s="24"/>
      <c r="D88" s="13"/>
      <c r="E88" s="68"/>
      <c r="F88" s="38"/>
      <c r="G88" s="38"/>
    </row>
    <row r="89" spans="1:256" ht="24.75" customHeight="1" x14ac:dyDescent="0.2">
      <c r="A89" s="49" t="s">
        <v>73</v>
      </c>
      <c r="B89" s="32" t="s">
        <v>107</v>
      </c>
      <c r="C89" s="24"/>
      <c r="D89" s="13"/>
      <c r="E89" s="68"/>
      <c r="F89" s="38"/>
      <c r="G89" s="38"/>
    </row>
    <row r="90" spans="1:256" ht="16.5" customHeight="1" x14ac:dyDescent="0.2">
      <c r="A90" s="70" t="s">
        <v>74</v>
      </c>
      <c r="B90" s="63" t="s">
        <v>106</v>
      </c>
      <c r="C90" s="24" t="s">
        <v>3</v>
      </c>
      <c r="D90" s="13">
        <v>20</v>
      </c>
      <c r="E90" s="68"/>
      <c r="F90" s="81">
        <f t="shared" ref="F90:F121" si="5">D90*E90</f>
        <v>0</v>
      </c>
      <c r="G90" s="38"/>
    </row>
    <row r="91" spans="1:256" ht="18" customHeight="1" x14ac:dyDescent="0.2">
      <c r="A91" s="70" t="s">
        <v>75</v>
      </c>
      <c r="B91" s="63" t="s">
        <v>273</v>
      </c>
      <c r="C91" s="24" t="s">
        <v>3</v>
      </c>
      <c r="D91" s="13">
        <v>40</v>
      </c>
      <c r="E91" s="68"/>
      <c r="F91" s="81">
        <f t="shared" si="5"/>
        <v>0</v>
      </c>
      <c r="G91" s="38"/>
    </row>
    <row r="92" spans="1:256" ht="18.75" customHeight="1" x14ac:dyDescent="0.2">
      <c r="A92" s="70" t="s">
        <v>76</v>
      </c>
      <c r="B92" s="63" t="s">
        <v>186</v>
      </c>
      <c r="C92" s="24" t="s">
        <v>3</v>
      </c>
      <c r="D92" s="13">
        <v>70</v>
      </c>
      <c r="E92" s="68"/>
      <c r="F92" s="81">
        <f t="shared" si="5"/>
        <v>0</v>
      </c>
      <c r="G92" s="38"/>
    </row>
    <row r="93" spans="1:256" ht="18.75" customHeight="1" x14ac:dyDescent="0.2">
      <c r="A93" s="70" t="s">
        <v>77</v>
      </c>
      <c r="B93" s="63" t="s">
        <v>187</v>
      </c>
      <c r="C93" s="24" t="s">
        <v>3</v>
      </c>
      <c r="D93" s="13">
        <v>15</v>
      </c>
      <c r="E93" s="68"/>
      <c r="F93" s="81">
        <f t="shared" si="5"/>
        <v>0</v>
      </c>
      <c r="G93" s="38"/>
    </row>
    <row r="94" spans="1:256" ht="18.75" customHeight="1" x14ac:dyDescent="0.2">
      <c r="A94" s="49" t="s">
        <v>78</v>
      </c>
      <c r="B94" s="32" t="s">
        <v>430</v>
      </c>
      <c r="C94" s="24" t="s">
        <v>3</v>
      </c>
      <c r="D94" s="13">
        <v>70</v>
      </c>
      <c r="E94" s="68"/>
      <c r="F94" s="81">
        <f t="shared" si="5"/>
        <v>0</v>
      </c>
      <c r="G94" s="38"/>
    </row>
    <row r="95" spans="1:256" ht="18.75" customHeight="1" x14ac:dyDescent="0.2">
      <c r="A95" s="49" t="s">
        <v>79</v>
      </c>
      <c r="B95" s="32" t="s">
        <v>32</v>
      </c>
      <c r="C95" s="24"/>
      <c r="D95" s="13"/>
      <c r="E95" s="68"/>
      <c r="F95" s="81"/>
      <c r="G95" s="38"/>
    </row>
    <row r="96" spans="1:256" ht="17.25" customHeight="1" x14ac:dyDescent="0.2">
      <c r="A96" s="70" t="s">
        <v>455</v>
      </c>
      <c r="B96" s="16" t="s">
        <v>19</v>
      </c>
      <c r="C96" s="24" t="s">
        <v>3</v>
      </c>
      <c r="D96" s="13">
        <f>D90</f>
        <v>20</v>
      </c>
      <c r="E96" s="68"/>
      <c r="F96" s="81">
        <f t="shared" si="5"/>
        <v>0</v>
      </c>
      <c r="G96" s="38"/>
    </row>
    <row r="97" spans="1:7" ht="17.25" customHeight="1" x14ac:dyDescent="0.2">
      <c r="A97" s="49" t="s">
        <v>142</v>
      </c>
      <c r="B97" s="32" t="s">
        <v>33</v>
      </c>
      <c r="C97" s="24"/>
      <c r="D97" s="13"/>
      <c r="E97" s="68"/>
      <c r="F97" s="81"/>
      <c r="G97" s="38"/>
    </row>
    <row r="98" spans="1:7" ht="17.25" customHeight="1" x14ac:dyDescent="0.2">
      <c r="A98" s="70" t="s">
        <v>431</v>
      </c>
      <c r="B98" s="30" t="s">
        <v>188</v>
      </c>
      <c r="C98" s="24" t="s">
        <v>3</v>
      </c>
      <c r="D98" s="13">
        <f>D91</f>
        <v>40</v>
      </c>
      <c r="E98" s="68"/>
      <c r="F98" s="81">
        <f t="shared" si="5"/>
        <v>0</v>
      </c>
      <c r="G98" s="38"/>
    </row>
    <row r="99" spans="1:7" ht="18" customHeight="1" x14ac:dyDescent="0.2">
      <c r="A99" s="70" t="s">
        <v>432</v>
      </c>
      <c r="B99" s="30" t="s">
        <v>135</v>
      </c>
      <c r="C99" s="24" t="s">
        <v>3</v>
      </c>
      <c r="D99" s="13">
        <f>D92</f>
        <v>70</v>
      </c>
      <c r="E99" s="68"/>
      <c r="F99" s="81">
        <f t="shared" si="5"/>
        <v>0</v>
      </c>
      <c r="G99" s="38"/>
    </row>
    <row r="100" spans="1:7" ht="18" customHeight="1" x14ac:dyDescent="0.2">
      <c r="A100" s="70" t="s">
        <v>433</v>
      </c>
      <c r="B100" s="30" t="s">
        <v>189</v>
      </c>
      <c r="C100" s="24" t="s">
        <v>3</v>
      </c>
      <c r="D100" s="13">
        <v>15</v>
      </c>
      <c r="E100" s="20"/>
      <c r="F100" s="81">
        <f t="shared" si="5"/>
        <v>0</v>
      </c>
      <c r="G100" s="38"/>
    </row>
    <row r="101" spans="1:7" ht="18" customHeight="1" x14ac:dyDescent="0.2">
      <c r="A101" s="49" t="s">
        <v>80</v>
      </c>
      <c r="B101" s="29" t="s">
        <v>274</v>
      </c>
      <c r="C101" s="24" t="s">
        <v>3</v>
      </c>
      <c r="D101" s="13">
        <v>800</v>
      </c>
      <c r="E101" s="20"/>
      <c r="F101" s="81">
        <f t="shared" si="5"/>
        <v>0</v>
      </c>
      <c r="G101" s="38"/>
    </row>
    <row r="102" spans="1:7" ht="18" customHeight="1" x14ac:dyDescent="0.2">
      <c r="A102" s="49" t="s">
        <v>81</v>
      </c>
      <c r="B102" s="29" t="s">
        <v>279</v>
      </c>
      <c r="C102" s="24" t="s">
        <v>3</v>
      </c>
      <c r="D102" s="13">
        <v>50</v>
      </c>
      <c r="E102" s="20"/>
      <c r="F102" s="81">
        <f t="shared" si="5"/>
        <v>0</v>
      </c>
      <c r="G102" s="38"/>
    </row>
    <row r="103" spans="1:7" ht="18" customHeight="1" x14ac:dyDescent="0.2">
      <c r="A103" s="49" t="s">
        <v>82</v>
      </c>
      <c r="B103" s="32" t="s">
        <v>190</v>
      </c>
      <c r="C103" s="24"/>
      <c r="D103" s="13"/>
      <c r="E103" s="20"/>
      <c r="F103" s="81"/>
      <c r="G103" s="38"/>
    </row>
    <row r="104" spans="1:7" ht="18" customHeight="1" x14ac:dyDescent="0.2">
      <c r="A104" s="70" t="s">
        <v>196</v>
      </c>
      <c r="B104" s="16" t="s">
        <v>191</v>
      </c>
      <c r="C104" s="24" t="s">
        <v>3</v>
      </c>
      <c r="D104" s="13">
        <v>200</v>
      </c>
      <c r="E104" s="20"/>
      <c r="F104" s="81">
        <f t="shared" si="5"/>
        <v>0</v>
      </c>
      <c r="G104" s="38"/>
    </row>
    <row r="105" spans="1:7" ht="19.5" customHeight="1" x14ac:dyDescent="0.2">
      <c r="A105" s="70" t="s">
        <v>434</v>
      </c>
      <c r="B105" s="16" t="s">
        <v>197</v>
      </c>
      <c r="C105" s="24" t="s">
        <v>3</v>
      </c>
      <c r="D105" s="13">
        <v>700</v>
      </c>
      <c r="E105" s="20"/>
      <c r="F105" s="81">
        <f t="shared" si="5"/>
        <v>0</v>
      </c>
      <c r="G105" s="38"/>
    </row>
    <row r="106" spans="1:7" ht="19.5" customHeight="1" x14ac:dyDescent="0.2">
      <c r="A106" s="70" t="s">
        <v>435</v>
      </c>
      <c r="B106" s="16" t="s">
        <v>198</v>
      </c>
      <c r="C106" s="24" t="s">
        <v>3</v>
      </c>
      <c r="D106" s="13">
        <v>740</v>
      </c>
      <c r="E106" s="20"/>
      <c r="F106" s="81">
        <f t="shared" si="5"/>
        <v>0</v>
      </c>
      <c r="G106" s="38"/>
    </row>
    <row r="107" spans="1:7" ht="19.5" customHeight="1" x14ac:dyDescent="0.2">
      <c r="A107" s="70" t="s">
        <v>436</v>
      </c>
      <c r="B107" s="16" t="s">
        <v>217</v>
      </c>
      <c r="C107" s="24" t="s">
        <v>0</v>
      </c>
      <c r="D107" s="13">
        <v>7</v>
      </c>
      <c r="E107" s="20"/>
      <c r="F107" s="81">
        <f t="shared" si="5"/>
        <v>0</v>
      </c>
      <c r="G107" s="38"/>
    </row>
    <row r="108" spans="1:7" ht="19.5" customHeight="1" x14ac:dyDescent="0.2">
      <c r="A108" s="49" t="s">
        <v>83</v>
      </c>
      <c r="B108" s="32" t="s">
        <v>108</v>
      </c>
      <c r="C108" s="24"/>
      <c r="D108" s="13"/>
      <c r="E108" s="68"/>
      <c r="F108" s="81"/>
      <c r="G108" s="38"/>
    </row>
    <row r="109" spans="1:7" ht="19.5" customHeight="1" x14ac:dyDescent="0.2">
      <c r="A109" s="70" t="s">
        <v>267</v>
      </c>
      <c r="B109" s="16" t="s">
        <v>276</v>
      </c>
      <c r="C109" s="24" t="s">
        <v>12</v>
      </c>
      <c r="D109" s="13">
        <v>3</v>
      </c>
      <c r="E109" s="68"/>
      <c r="F109" s="81">
        <f t="shared" si="5"/>
        <v>0</v>
      </c>
      <c r="G109" s="38"/>
    </row>
    <row r="110" spans="1:7" ht="19.5" customHeight="1" x14ac:dyDescent="0.2">
      <c r="A110" s="49" t="s">
        <v>117</v>
      </c>
      <c r="B110" s="32" t="s">
        <v>109</v>
      </c>
      <c r="C110" s="24"/>
      <c r="D110" s="13"/>
      <c r="E110" s="68"/>
      <c r="F110" s="81"/>
      <c r="G110" s="38"/>
    </row>
    <row r="111" spans="1:7" ht="19.5" customHeight="1" x14ac:dyDescent="0.2">
      <c r="A111" s="70" t="s">
        <v>271</v>
      </c>
      <c r="B111" s="16" t="s">
        <v>110</v>
      </c>
      <c r="C111" s="24" t="s">
        <v>12</v>
      </c>
      <c r="D111" s="13">
        <v>1</v>
      </c>
      <c r="E111" s="68"/>
      <c r="F111" s="81">
        <f t="shared" si="5"/>
        <v>0</v>
      </c>
      <c r="G111" s="38"/>
    </row>
    <row r="112" spans="1:7" ht="19.5" customHeight="1" x14ac:dyDescent="0.2">
      <c r="A112" s="70" t="s">
        <v>437</v>
      </c>
      <c r="B112" s="16" t="s">
        <v>199</v>
      </c>
      <c r="C112" s="24" t="s">
        <v>12</v>
      </c>
      <c r="D112" s="13">
        <v>2</v>
      </c>
      <c r="E112" s="68"/>
      <c r="F112" s="81">
        <f t="shared" si="5"/>
        <v>0</v>
      </c>
      <c r="G112" s="38"/>
    </row>
    <row r="113" spans="1:7" ht="19.5" customHeight="1" x14ac:dyDescent="0.2">
      <c r="A113" s="70" t="s">
        <v>438</v>
      </c>
      <c r="B113" s="16" t="s">
        <v>192</v>
      </c>
      <c r="C113" s="24" t="s">
        <v>12</v>
      </c>
      <c r="D113" s="13">
        <v>1</v>
      </c>
      <c r="E113" s="68"/>
      <c r="F113" s="81">
        <f t="shared" si="5"/>
        <v>0</v>
      </c>
      <c r="G113" s="38"/>
    </row>
    <row r="114" spans="1:7" ht="19.5" customHeight="1" x14ac:dyDescent="0.2">
      <c r="A114" s="49" t="s">
        <v>124</v>
      </c>
      <c r="B114" s="32" t="s">
        <v>195</v>
      </c>
      <c r="C114" s="24"/>
      <c r="D114" s="13"/>
      <c r="E114" s="68"/>
      <c r="F114" s="81"/>
      <c r="G114" s="38"/>
    </row>
    <row r="115" spans="1:7" ht="19.5" customHeight="1" x14ac:dyDescent="0.2">
      <c r="A115" s="70" t="s">
        <v>439</v>
      </c>
      <c r="B115" s="16" t="s">
        <v>266</v>
      </c>
      <c r="C115" s="24" t="s">
        <v>12</v>
      </c>
      <c r="D115" s="13">
        <v>3</v>
      </c>
      <c r="E115" s="68"/>
      <c r="F115" s="81">
        <f t="shared" si="5"/>
        <v>0</v>
      </c>
      <c r="G115" s="38"/>
    </row>
    <row r="116" spans="1:7" ht="20.25" customHeight="1" x14ac:dyDescent="0.2">
      <c r="A116" s="49" t="s">
        <v>125</v>
      </c>
      <c r="B116" s="32" t="s">
        <v>193</v>
      </c>
      <c r="C116" s="24" t="s">
        <v>23</v>
      </c>
      <c r="D116" s="13">
        <v>2</v>
      </c>
      <c r="E116" s="68"/>
      <c r="F116" s="81">
        <f t="shared" si="5"/>
        <v>0</v>
      </c>
      <c r="G116" s="38"/>
    </row>
    <row r="117" spans="1:7" ht="21.75" customHeight="1" x14ac:dyDescent="0.2">
      <c r="A117" s="49" t="s">
        <v>126</v>
      </c>
      <c r="B117" s="32" t="s">
        <v>194</v>
      </c>
      <c r="C117" s="24" t="s">
        <v>23</v>
      </c>
      <c r="D117" s="13">
        <v>2</v>
      </c>
      <c r="E117" s="68"/>
      <c r="F117" s="81">
        <f t="shared" si="5"/>
        <v>0</v>
      </c>
      <c r="G117" s="38"/>
    </row>
    <row r="118" spans="1:7" ht="19.5" customHeight="1" x14ac:dyDescent="0.2">
      <c r="A118" s="49" t="s">
        <v>143</v>
      </c>
      <c r="B118" s="32" t="s">
        <v>308</v>
      </c>
      <c r="C118" s="24" t="s">
        <v>23</v>
      </c>
      <c r="D118" s="13">
        <v>1</v>
      </c>
      <c r="E118" s="68"/>
      <c r="F118" s="81">
        <f t="shared" si="5"/>
        <v>0</v>
      </c>
      <c r="G118" s="38"/>
    </row>
    <row r="119" spans="1:7" ht="18.75" customHeight="1" x14ac:dyDescent="0.2">
      <c r="A119" s="49" t="s">
        <v>269</v>
      </c>
      <c r="B119" s="32" t="s">
        <v>275</v>
      </c>
      <c r="C119" s="24" t="s">
        <v>23</v>
      </c>
      <c r="D119" s="13">
        <v>1</v>
      </c>
      <c r="E119" s="68"/>
      <c r="F119" s="81">
        <f t="shared" si="5"/>
        <v>0</v>
      </c>
      <c r="G119" s="38"/>
    </row>
    <row r="120" spans="1:7" ht="19.5" customHeight="1" x14ac:dyDescent="0.2">
      <c r="A120" s="49" t="s">
        <v>272</v>
      </c>
      <c r="B120" s="32" t="s">
        <v>132</v>
      </c>
      <c r="C120" s="24" t="s">
        <v>23</v>
      </c>
      <c r="D120" s="13">
        <v>3</v>
      </c>
      <c r="E120" s="68"/>
      <c r="F120" s="81">
        <f t="shared" si="5"/>
        <v>0</v>
      </c>
      <c r="G120" s="38"/>
    </row>
    <row r="121" spans="1:7" ht="19.5" customHeight="1" x14ac:dyDescent="0.2">
      <c r="A121" s="49" t="s">
        <v>440</v>
      </c>
      <c r="B121" s="32" t="s">
        <v>268</v>
      </c>
      <c r="C121" s="24" t="s">
        <v>16</v>
      </c>
      <c r="D121" s="13">
        <v>1</v>
      </c>
      <c r="E121" s="68"/>
      <c r="F121" s="81">
        <f t="shared" si="5"/>
        <v>0</v>
      </c>
      <c r="G121" s="38"/>
    </row>
    <row r="122" spans="1:7" ht="10.5" customHeight="1" x14ac:dyDescent="0.2">
      <c r="A122" s="49"/>
      <c r="C122" s="24"/>
      <c r="D122" s="13"/>
      <c r="E122" s="20"/>
      <c r="F122" s="38"/>
      <c r="G122" s="38"/>
    </row>
    <row r="123" spans="1:7" ht="16.5" customHeight="1" x14ac:dyDescent="0.2">
      <c r="A123" s="59"/>
      <c r="B123" s="60" t="s">
        <v>11</v>
      </c>
      <c r="C123" s="61"/>
      <c r="D123" s="61"/>
      <c r="E123" s="69"/>
      <c r="F123" s="73">
        <f>SUM(F90:F121)</f>
        <v>0</v>
      </c>
      <c r="G123" s="38"/>
    </row>
    <row r="124" spans="1:7" ht="15" customHeight="1" x14ac:dyDescent="0.2">
      <c r="A124" s="49"/>
      <c r="B124" s="58"/>
      <c r="C124" s="24"/>
      <c r="D124" s="38"/>
      <c r="E124" s="36"/>
      <c r="F124" s="64"/>
      <c r="G124" s="38"/>
    </row>
    <row r="125" spans="1:7" ht="17.25" customHeight="1" x14ac:dyDescent="0.2">
      <c r="A125" s="49" t="s">
        <v>84</v>
      </c>
      <c r="B125" s="31" t="s">
        <v>17</v>
      </c>
      <c r="C125" s="24"/>
      <c r="D125" s="13"/>
      <c r="E125" s="68"/>
      <c r="F125" s="38"/>
      <c r="G125" s="38"/>
    </row>
    <row r="126" spans="1:7" ht="15" customHeight="1" x14ac:dyDescent="0.2">
      <c r="A126" s="49"/>
      <c r="B126" s="31"/>
      <c r="C126" s="24"/>
      <c r="D126" s="13"/>
      <c r="E126" s="68"/>
      <c r="F126" s="38"/>
      <c r="G126" s="38"/>
    </row>
    <row r="127" spans="1:7" ht="22.5" customHeight="1" x14ac:dyDescent="0.2">
      <c r="A127" s="49" t="s">
        <v>85</v>
      </c>
      <c r="B127" s="32" t="s">
        <v>131</v>
      </c>
      <c r="C127" s="24"/>
      <c r="D127" s="13"/>
      <c r="E127" s="68"/>
      <c r="F127" s="38"/>
      <c r="G127" s="38"/>
    </row>
    <row r="128" spans="1:7" ht="17.25" customHeight="1" x14ac:dyDescent="0.2">
      <c r="A128" s="70" t="s">
        <v>86</v>
      </c>
      <c r="B128" s="63" t="s">
        <v>304</v>
      </c>
      <c r="C128" s="24" t="s">
        <v>3</v>
      </c>
      <c r="D128" s="13">
        <v>720</v>
      </c>
      <c r="E128" s="68"/>
      <c r="F128" s="81">
        <f t="shared" ref="F128:F135" si="6">D128*E128</f>
        <v>0</v>
      </c>
      <c r="G128" s="38"/>
    </row>
    <row r="129" spans="1:7" ht="26.25" customHeight="1" x14ac:dyDescent="0.2">
      <c r="A129" s="49" t="s">
        <v>87</v>
      </c>
      <c r="B129" s="32" t="s">
        <v>34</v>
      </c>
      <c r="C129" s="24"/>
      <c r="D129" s="13"/>
      <c r="E129" s="68"/>
      <c r="F129" s="81"/>
      <c r="G129" s="38"/>
    </row>
    <row r="130" spans="1:7" ht="20.25" customHeight="1" x14ac:dyDescent="0.2">
      <c r="A130" s="70" t="s">
        <v>88</v>
      </c>
      <c r="B130" s="16" t="s">
        <v>305</v>
      </c>
      <c r="C130" s="24" t="s">
        <v>3</v>
      </c>
      <c r="D130" s="13">
        <v>720</v>
      </c>
      <c r="E130" s="68"/>
      <c r="F130" s="81">
        <f t="shared" si="6"/>
        <v>0</v>
      </c>
      <c r="G130" s="38"/>
    </row>
    <row r="131" spans="1:7" ht="19.5" customHeight="1" x14ac:dyDescent="0.2">
      <c r="A131" s="49" t="s">
        <v>144</v>
      </c>
      <c r="B131" s="32" t="s">
        <v>109</v>
      </c>
      <c r="C131" s="24"/>
      <c r="D131" s="13"/>
      <c r="E131" s="68"/>
      <c r="F131" s="81"/>
      <c r="G131" s="38"/>
    </row>
    <row r="132" spans="1:7" ht="17.25" customHeight="1" x14ac:dyDescent="0.2">
      <c r="A132" s="70" t="s">
        <v>145</v>
      </c>
      <c r="B132" s="16" t="s">
        <v>110</v>
      </c>
      <c r="C132" s="24" t="s">
        <v>12</v>
      </c>
      <c r="D132" s="13">
        <v>4</v>
      </c>
      <c r="E132" s="68"/>
      <c r="F132" s="81">
        <f t="shared" si="6"/>
        <v>0</v>
      </c>
      <c r="G132" s="38"/>
    </row>
    <row r="133" spans="1:7" ht="16.5" customHeight="1" x14ac:dyDescent="0.2">
      <c r="A133" s="70" t="s">
        <v>146</v>
      </c>
      <c r="B133" s="16" t="s">
        <v>136</v>
      </c>
      <c r="C133" s="24" t="s">
        <v>12</v>
      </c>
      <c r="D133" s="13">
        <v>11</v>
      </c>
      <c r="E133" s="68"/>
      <c r="F133" s="81">
        <f t="shared" si="6"/>
        <v>0</v>
      </c>
      <c r="G133" s="38"/>
    </row>
    <row r="134" spans="1:7" ht="16.5" customHeight="1" x14ac:dyDescent="0.2">
      <c r="A134" s="49" t="s">
        <v>89</v>
      </c>
      <c r="B134" s="32" t="s">
        <v>132</v>
      </c>
      <c r="C134" s="24" t="s">
        <v>16</v>
      </c>
      <c r="D134" s="13">
        <v>2</v>
      </c>
      <c r="E134" s="68"/>
      <c r="F134" s="81">
        <f t="shared" si="6"/>
        <v>0</v>
      </c>
      <c r="G134" s="38"/>
    </row>
    <row r="135" spans="1:7" ht="16.5" customHeight="1" x14ac:dyDescent="0.2">
      <c r="A135" s="49" t="s">
        <v>118</v>
      </c>
      <c r="B135" s="32" t="s">
        <v>270</v>
      </c>
      <c r="C135" s="24" t="s">
        <v>16</v>
      </c>
      <c r="D135" s="13">
        <v>1</v>
      </c>
      <c r="E135" s="68"/>
      <c r="F135" s="81">
        <f t="shared" si="6"/>
        <v>0</v>
      </c>
      <c r="G135" s="38"/>
    </row>
    <row r="136" spans="1:7" ht="17.25" customHeight="1" x14ac:dyDescent="0.2">
      <c r="A136" s="49"/>
      <c r="C136" s="24"/>
      <c r="D136" s="13"/>
      <c r="E136" s="20"/>
      <c r="F136" s="64"/>
      <c r="G136" s="38"/>
    </row>
    <row r="137" spans="1:7" ht="16.5" customHeight="1" x14ac:dyDescent="0.2">
      <c r="A137" s="59"/>
      <c r="B137" s="60" t="s">
        <v>11</v>
      </c>
      <c r="C137" s="61"/>
      <c r="D137" s="61"/>
      <c r="E137" s="69"/>
      <c r="F137" s="73">
        <f>SUM(F127:F135)</f>
        <v>0</v>
      </c>
      <c r="G137" s="38"/>
    </row>
    <row r="138" spans="1:7" ht="18.75" customHeight="1" x14ac:dyDescent="0.2">
      <c r="A138" s="49"/>
      <c r="C138" s="24"/>
      <c r="D138" s="13"/>
      <c r="E138" s="68"/>
      <c r="F138" s="38"/>
      <c r="G138" s="38"/>
    </row>
    <row r="139" spans="1:7" ht="18.75" customHeight="1" x14ac:dyDescent="0.2">
      <c r="A139" s="49" t="s">
        <v>90</v>
      </c>
      <c r="B139" s="31" t="s">
        <v>290</v>
      </c>
      <c r="C139" s="24"/>
      <c r="D139" s="13"/>
      <c r="E139" s="68"/>
      <c r="F139" s="38"/>
      <c r="G139" s="38"/>
    </row>
    <row r="140" spans="1:7" ht="12.75" customHeight="1" x14ac:dyDescent="0.2">
      <c r="A140" s="49"/>
      <c r="B140" s="31"/>
      <c r="C140" s="24"/>
      <c r="D140" s="13"/>
      <c r="E140" s="68"/>
      <c r="F140" s="38"/>
      <c r="G140" s="38"/>
    </row>
    <row r="141" spans="1:7" ht="29.25" customHeight="1" x14ac:dyDescent="0.2">
      <c r="A141" s="49" t="s">
        <v>91</v>
      </c>
      <c r="B141" s="32" t="s">
        <v>35</v>
      </c>
      <c r="C141" s="24"/>
      <c r="D141" s="13"/>
      <c r="E141" s="68"/>
      <c r="F141" s="38"/>
      <c r="G141" s="38"/>
    </row>
    <row r="142" spans="1:7" ht="18.75" customHeight="1" x14ac:dyDescent="0.2">
      <c r="A142" s="70" t="s">
        <v>92</v>
      </c>
      <c r="B142" s="63" t="s">
        <v>306</v>
      </c>
      <c r="C142" s="24" t="s">
        <v>3</v>
      </c>
      <c r="D142" s="38">
        <v>970</v>
      </c>
      <c r="E142" s="68"/>
      <c r="F142" s="81">
        <f t="shared" ref="F142" si="7">D142*E142</f>
        <v>0</v>
      </c>
      <c r="G142" s="38"/>
    </row>
    <row r="143" spans="1:7" ht="33" customHeight="1" x14ac:dyDescent="0.2">
      <c r="A143" s="49" t="s">
        <v>93</v>
      </c>
      <c r="B143" s="29" t="s">
        <v>201</v>
      </c>
      <c r="C143" s="24"/>
      <c r="D143" s="13"/>
      <c r="E143" s="68"/>
      <c r="F143" s="81"/>
      <c r="G143" s="38"/>
    </row>
    <row r="144" spans="1:7" ht="17.25" customHeight="1" x14ac:dyDescent="0.2">
      <c r="A144" s="70" t="s">
        <v>111</v>
      </c>
      <c r="B144" s="16" t="s">
        <v>208</v>
      </c>
      <c r="C144" s="24" t="s">
        <v>3</v>
      </c>
      <c r="D144" s="13">
        <v>20</v>
      </c>
      <c r="E144" s="68"/>
      <c r="F144" s="81">
        <f t="shared" ref="F144:F191" si="8">D144*E144</f>
        <v>0</v>
      </c>
      <c r="G144" s="38"/>
    </row>
    <row r="145" spans="1:7" ht="18.75" customHeight="1" x14ac:dyDescent="0.2">
      <c r="A145" s="70" t="s">
        <v>293</v>
      </c>
      <c r="B145" s="16" t="s">
        <v>202</v>
      </c>
      <c r="C145" s="24" t="s">
        <v>3</v>
      </c>
      <c r="D145" s="13">
        <v>970</v>
      </c>
      <c r="E145" s="68"/>
      <c r="F145" s="81">
        <f t="shared" si="8"/>
        <v>0</v>
      </c>
      <c r="G145" s="38"/>
    </row>
    <row r="146" spans="1:7" ht="18.75" customHeight="1" x14ac:dyDescent="0.2">
      <c r="A146" s="70" t="s">
        <v>294</v>
      </c>
      <c r="B146" s="16" t="s">
        <v>207</v>
      </c>
      <c r="C146" s="24" t="s">
        <v>3</v>
      </c>
      <c r="D146" s="13">
        <v>970</v>
      </c>
      <c r="E146" s="68"/>
      <c r="F146" s="81">
        <f t="shared" si="8"/>
        <v>0</v>
      </c>
      <c r="G146" s="38"/>
    </row>
    <row r="147" spans="1:7" ht="15.75" customHeight="1" x14ac:dyDescent="0.2">
      <c r="A147" s="49" t="s">
        <v>94</v>
      </c>
      <c r="B147" s="32" t="s">
        <v>307</v>
      </c>
      <c r="C147" s="24" t="s">
        <v>23</v>
      </c>
      <c r="D147" s="13">
        <v>2</v>
      </c>
      <c r="E147" s="68"/>
      <c r="F147" s="81">
        <f t="shared" si="8"/>
        <v>0</v>
      </c>
      <c r="G147" s="38"/>
    </row>
    <row r="148" spans="1:7" ht="18" customHeight="1" x14ac:dyDescent="0.2">
      <c r="A148" s="49" t="s">
        <v>218</v>
      </c>
      <c r="B148" s="16" t="s">
        <v>20</v>
      </c>
      <c r="C148" s="24"/>
      <c r="D148" s="13"/>
      <c r="E148" s="68"/>
      <c r="F148" s="81"/>
      <c r="G148" s="38"/>
    </row>
    <row r="149" spans="1:7" ht="18" customHeight="1" x14ac:dyDescent="0.2">
      <c r="A149" s="70" t="s">
        <v>295</v>
      </c>
      <c r="B149" s="16" t="s">
        <v>209</v>
      </c>
      <c r="C149" s="24" t="s">
        <v>12</v>
      </c>
      <c r="D149" s="13">
        <v>2</v>
      </c>
      <c r="E149" s="68"/>
      <c r="F149" s="81">
        <f t="shared" si="8"/>
        <v>0</v>
      </c>
      <c r="G149" s="38"/>
    </row>
    <row r="150" spans="1:7" ht="15.75" customHeight="1" x14ac:dyDescent="0.2">
      <c r="A150" s="70" t="s">
        <v>296</v>
      </c>
      <c r="B150" s="16" t="s">
        <v>200</v>
      </c>
      <c r="C150" s="24" t="s">
        <v>12</v>
      </c>
      <c r="D150" s="13">
        <v>10</v>
      </c>
      <c r="E150" s="68"/>
      <c r="F150" s="81">
        <f t="shared" si="8"/>
        <v>0</v>
      </c>
      <c r="G150" s="38"/>
    </row>
    <row r="151" spans="1:7" ht="15.75" customHeight="1" x14ac:dyDescent="0.2">
      <c r="A151" s="70" t="s">
        <v>297</v>
      </c>
      <c r="B151" s="16" t="s">
        <v>206</v>
      </c>
      <c r="C151" s="24" t="s">
        <v>12</v>
      </c>
      <c r="D151" s="13">
        <v>10</v>
      </c>
      <c r="E151" s="68"/>
      <c r="F151" s="81">
        <f t="shared" si="8"/>
        <v>0</v>
      </c>
      <c r="G151" s="38"/>
    </row>
    <row r="152" spans="1:7" ht="15" customHeight="1" x14ac:dyDescent="0.2">
      <c r="A152" s="49" t="s">
        <v>95</v>
      </c>
      <c r="B152" s="32" t="s">
        <v>277</v>
      </c>
      <c r="C152" s="24" t="s">
        <v>23</v>
      </c>
      <c r="D152" s="13">
        <v>2</v>
      </c>
      <c r="E152" s="68"/>
      <c r="F152" s="81">
        <f t="shared" si="8"/>
        <v>0</v>
      </c>
      <c r="G152" s="38"/>
    </row>
    <row r="153" spans="1:7" ht="15.75" customHeight="1" x14ac:dyDescent="0.2">
      <c r="A153" s="49" t="s">
        <v>96</v>
      </c>
      <c r="B153" s="29" t="s">
        <v>203</v>
      </c>
      <c r="C153" s="24"/>
      <c r="D153" s="13"/>
      <c r="E153" s="68"/>
      <c r="F153" s="81"/>
      <c r="G153" s="38"/>
    </row>
    <row r="154" spans="1:7" ht="15.75" customHeight="1" x14ac:dyDescent="0.2">
      <c r="A154" s="70" t="s">
        <v>298</v>
      </c>
      <c r="B154" s="30" t="s">
        <v>204</v>
      </c>
      <c r="C154" s="24" t="s">
        <v>23</v>
      </c>
      <c r="D154" s="13">
        <v>2</v>
      </c>
      <c r="E154" s="68"/>
      <c r="F154" s="81">
        <f t="shared" si="8"/>
        <v>0</v>
      </c>
      <c r="G154" s="38"/>
    </row>
    <row r="155" spans="1:7" ht="15.75" customHeight="1" x14ac:dyDescent="0.2">
      <c r="A155" s="70" t="s">
        <v>299</v>
      </c>
      <c r="B155" s="30" t="s">
        <v>205</v>
      </c>
      <c r="C155" s="24" t="s">
        <v>23</v>
      </c>
      <c r="D155" s="13">
        <v>2</v>
      </c>
      <c r="E155" s="68"/>
      <c r="F155" s="81">
        <f t="shared" si="8"/>
        <v>0</v>
      </c>
      <c r="G155" s="38"/>
    </row>
    <row r="156" spans="1:7" ht="16.5" customHeight="1" x14ac:dyDescent="0.2">
      <c r="A156" s="49" t="s">
        <v>97</v>
      </c>
      <c r="B156" s="32" t="s">
        <v>287</v>
      </c>
      <c r="C156" s="24" t="s">
        <v>23</v>
      </c>
      <c r="D156" s="13">
        <v>2</v>
      </c>
      <c r="E156" s="68"/>
      <c r="F156" s="81">
        <f t="shared" si="8"/>
        <v>0</v>
      </c>
      <c r="G156" s="38"/>
    </row>
    <row r="157" spans="1:7" ht="16.5" customHeight="1" x14ac:dyDescent="0.2">
      <c r="A157" s="49" t="s">
        <v>147</v>
      </c>
      <c r="B157" s="32" t="s">
        <v>115</v>
      </c>
      <c r="C157" s="24" t="s">
        <v>23</v>
      </c>
      <c r="D157" s="13">
        <v>2</v>
      </c>
      <c r="E157" s="68"/>
      <c r="F157" s="81">
        <f t="shared" si="8"/>
        <v>0</v>
      </c>
      <c r="G157" s="38"/>
    </row>
    <row r="158" spans="1:7" ht="18" customHeight="1" x14ac:dyDescent="0.2">
      <c r="A158" s="49" t="s">
        <v>219</v>
      </c>
      <c r="B158" s="32" t="s">
        <v>36</v>
      </c>
      <c r="C158" s="24" t="s">
        <v>16</v>
      </c>
      <c r="D158" s="13">
        <v>1</v>
      </c>
      <c r="E158" s="68"/>
      <c r="F158" s="81">
        <f t="shared" si="8"/>
        <v>0</v>
      </c>
      <c r="G158" s="38"/>
    </row>
    <row r="159" spans="1:7" ht="12.75" customHeight="1" x14ac:dyDescent="0.2">
      <c r="A159" s="49"/>
      <c r="C159" s="24"/>
      <c r="D159" s="13"/>
      <c r="E159" s="68"/>
      <c r="F159" s="38"/>
      <c r="G159" s="38"/>
    </row>
    <row r="160" spans="1:7" ht="18.75" customHeight="1" x14ac:dyDescent="0.2">
      <c r="A160" s="59"/>
      <c r="B160" s="60" t="s">
        <v>11</v>
      </c>
      <c r="C160" s="61"/>
      <c r="D160" s="61"/>
      <c r="E160" s="69"/>
      <c r="F160" s="73">
        <f>SUM(F142:F158)</f>
        <v>0</v>
      </c>
      <c r="G160" s="38"/>
    </row>
    <row r="161" spans="1:7" ht="15" customHeight="1" x14ac:dyDescent="0.2">
      <c r="A161" s="49"/>
      <c r="C161" s="24"/>
      <c r="D161" s="13"/>
      <c r="E161" s="68"/>
      <c r="F161" s="38"/>
      <c r="G161" s="38"/>
    </row>
    <row r="162" spans="1:7" ht="15.75" customHeight="1" x14ac:dyDescent="0.2">
      <c r="A162" s="49" t="s">
        <v>98</v>
      </c>
      <c r="B162" s="72" t="s">
        <v>18</v>
      </c>
      <c r="C162" s="24"/>
      <c r="D162" s="13"/>
      <c r="E162" s="68"/>
      <c r="F162" s="38"/>
      <c r="G162" s="38"/>
    </row>
    <row r="163" spans="1:7" ht="15.75" customHeight="1" x14ac:dyDescent="0.2">
      <c r="A163" s="49"/>
      <c r="B163" s="32"/>
      <c r="C163" s="24"/>
      <c r="D163" s="13"/>
      <c r="E163" s="68"/>
      <c r="F163" s="38"/>
      <c r="G163" s="38"/>
    </row>
    <row r="164" spans="1:7" ht="27.75" customHeight="1" x14ac:dyDescent="0.2">
      <c r="A164" s="49" t="s">
        <v>99</v>
      </c>
      <c r="B164" s="32" t="s">
        <v>210</v>
      </c>
      <c r="C164" s="24"/>
      <c r="D164" s="13"/>
      <c r="E164" s="68"/>
      <c r="F164" s="81"/>
      <c r="G164" s="38"/>
    </row>
    <row r="165" spans="1:7" ht="16.5" customHeight="1" x14ac:dyDescent="0.2">
      <c r="A165" s="70" t="s">
        <v>282</v>
      </c>
      <c r="B165" s="16" t="s">
        <v>280</v>
      </c>
      <c r="C165" s="24" t="s">
        <v>3</v>
      </c>
      <c r="D165" s="13">
        <v>200</v>
      </c>
      <c r="E165" s="68"/>
      <c r="F165" s="81">
        <f t="shared" si="8"/>
        <v>0</v>
      </c>
      <c r="G165" s="38"/>
    </row>
    <row r="166" spans="1:7" ht="12" customHeight="1" x14ac:dyDescent="0.2">
      <c r="A166" s="70" t="s">
        <v>283</v>
      </c>
      <c r="B166" s="16" t="s">
        <v>281</v>
      </c>
      <c r="C166" s="24" t="s">
        <v>3</v>
      </c>
      <c r="D166" s="13">
        <v>790</v>
      </c>
      <c r="E166" s="68"/>
      <c r="F166" s="81">
        <f t="shared" si="8"/>
        <v>0</v>
      </c>
      <c r="G166" s="38"/>
    </row>
    <row r="167" spans="1:7" ht="15.75" customHeight="1" x14ac:dyDescent="0.2">
      <c r="A167" s="49" t="s">
        <v>100</v>
      </c>
      <c r="B167" s="32" t="s">
        <v>212</v>
      </c>
      <c r="C167" s="24"/>
      <c r="D167" s="13"/>
      <c r="E167" s="68"/>
      <c r="F167" s="81"/>
      <c r="G167" s="38"/>
    </row>
    <row r="168" spans="1:7" ht="15.75" customHeight="1" x14ac:dyDescent="0.2">
      <c r="A168" s="70" t="s">
        <v>101</v>
      </c>
      <c r="B168" s="30" t="s">
        <v>112</v>
      </c>
      <c r="C168" s="24" t="s">
        <v>3</v>
      </c>
      <c r="D168" s="13">
        <v>200</v>
      </c>
      <c r="E168" s="68"/>
      <c r="F168" s="81">
        <f t="shared" si="8"/>
        <v>0</v>
      </c>
      <c r="G168" s="38"/>
    </row>
    <row r="169" spans="1:7" ht="15.75" customHeight="1" x14ac:dyDescent="0.2">
      <c r="A169" s="70" t="s">
        <v>102</v>
      </c>
      <c r="B169" s="30" t="s">
        <v>211</v>
      </c>
      <c r="C169" s="24" t="s">
        <v>3</v>
      </c>
      <c r="D169" s="79">
        <v>130</v>
      </c>
      <c r="E169" s="68"/>
      <c r="F169" s="81">
        <f t="shared" si="8"/>
        <v>0</v>
      </c>
      <c r="G169" s="38"/>
    </row>
    <row r="170" spans="1:7" ht="15.75" customHeight="1" x14ac:dyDescent="0.2">
      <c r="A170" s="49" t="s">
        <v>148</v>
      </c>
      <c r="B170" s="29" t="s">
        <v>286</v>
      </c>
      <c r="C170" s="24" t="s">
        <v>3</v>
      </c>
      <c r="D170" s="79">
        <v>260</v>
      </c>
      <c r="E170" s="68"/>
      <c r="F170" s="81">
        <f t="shared" si="8"/>
        <v>0</v>
      </c>
      <c r="G170" s="38"/>
    </row>
    <row r="171" spans="1:7" ht="19.5" customHeight="1" x14ac:dyDescent="0.2">
      <c r="A171" s="49" t="s">
        <v>103</v>
      </c>
      <c r="B171" s="29" t="s">
        <v>278</v>
      </c>
      <c r="C171" s="24" t="s">
        <v>12</v>
      </c>
      <c r="D171" s="13">
        <v>1</v>
      </c>
      <c r="E171" s="68"/>
      <c r="F171" s="81">
        <f t="shared" si="8"/>
        <v>0</v>
      </c>
      <c r="G171" s="38"/>
    </row>
    <row r="172" spans="1:7" ht="17.25" customHeight="1" x14ac:dyDescent="0.2">
      <c r="A172" s="49" t="s">
        <v>127</v>
      </c>
      <c r="B172" s="29" t="s">
        <v>37</v>
      </c>
      <c r="C172" s="24" t="s">
        <v>12</v>
      </c>
      <c r="D172" s="13">
        <v>2</v>
      </c>
      <c r="E172" s="68"/>
      <c r="F172" s="81">
        <f t="shared" si="8"/>
        <v>0</v>
      </c>
      <c r="G172" s="38"/>
    </row>
    <row r="173" spans="1:7" ht="20.25" customHeight="1" x14ac:dyDescent="0.2">
      <c r="A173" s="49" t="s">
        <v>213</v>
      </c>
      <c r="B173" s="29" t="s">
        <v>132</v>
      </c>
      <c r="C173" s="24" t="s">
        <v>12</v>
      </c>
      <c r="D173" s="13">
        <v>4</v>
      </c>
      <c r="E173" s="68"/>
      <c r="F173" s="81">
        <f t="shared" si="8"/>
        <v>0</v>
      </c>
      <c r="G173" s="38"/>
    </row>
    <row r="174" spans="1:7" ht="17.25" customHeight="1" x14ac:dyDescent="0.2">
      <c r="A174" s="49" t="s">
        <v>214</v>
      </c>
      <c r="B174" s="29" t="s">
        <v>40</v>
      </c>
      <c r="C174" s="24" t="s">
        <v>16</v>
      </c>
      <c r="D174" s="13">
        <v>1</v>
      </c>
      <c r="E174" s="68"/>
      <c r="F174" s="81">
        <f t="shared" si="8"/>
        <v>0</v>
      </c>
      <c r="G174" s="38"/>
    </row>
    <row r="175" spans="1:7" ht="15.75" customHeight="1" x14ac:dyDescent="0.2">
      <c r="A175" s="49"/>
      <c r="B175" s="30"/>
      <c r="C175" s="24"/>
      <c r="D175" s="13"/>
      <c r="E175" s="68"/>
      <c r="F175" s="36"/>
      <c r="G175" s="38"/>
    </row>
    <row r="176" spans="1:7" ht="15.75" customHeight="1" x14ac:dyDescent="0.2">
      <c r="A176" s="59"/>
      <c r="B176" s="60" t="s">
        <v>11</v>
      </c>
      <c r="C176" s="61"/>
      <c r="D176" s="61"/>
      <c r="E176" s="69"/>
      <c r="F176" s="73">
        <f>SUM(F164:F174)</f>
        <v>0</v>
      </c>
      <c r="G176" s="38"/>
    </row>
    <row r="177" spans="1:7" ht="15" customHeight="1" x14ac:dyDescent="0.2">
      <c r="A177" s="49"/>
      <c r="C177" s="24"/>
      <c r="D177" s="13"/>
      <c r="E177" s="68"/>
      <c r="F177" s="38"/>
      <c r="G177" s="38"/>
    </row>
    <row r="178" spans="1:7" ht="15.75" customHeight="1" x14ac:dyDescent="0.2">
      <c r="A178" s="49" t="s">
        <v>222</v>
      </c>
      <c r="B178" s="72" t="s">
        <v>223</v>
      </c>
      <c r="C178" s="24"/>
      <c r="D178" s="13"/>
      <c r="E178" s="68"/>
      <c r="F178" s="38"/>
      <c r="G178" s="38"/>
    </row>
    <row r="179" spans="1:7" ht="15.75" customHeight="1" x14ac:dyDescent="0.2">
      <c r="A179" s="49"/>
      <c r="B179" s="32"/>
      <c r="C179" s="24"/>
      <c r="D179" s="13"/>
      <c r="E179" s="68"/>
      <c r="F179" s="38"/>
      <c r="G179" s="38"/>
    </row>
    <row r="180" spans="1:7" ht="27.75" customHeight="1" x14ac:dyDescent="0.2">
      <c r="A180" s="49" t="s">
        <v>149</v>
      </c>
      <c r="B180" s="32" t="s">
        <v>210</v>
      </c>
      <c r="C180" s="24" t="s">
        <v>3</v>
      </c>
      <c r="D180" s="13">
        <v>1100</v>
      </c>
      <c r="E180" s="68"/>
      <c r="F180" s="81">
        <f t="shared" si="8"/>
        <v>0</v>
      </c>
      <c r="G180" s="38"/>
    </row>
    <row r="181" spans="1:7" ht="15.75" customHeight="1" x14ac:dyDescent="0.2">
      <c r="A181" s="49" t="s">
        <v>150</v>
      </c>
      <c r="B181" s="32" t="s">
        <v>212</v>
      </c>
      <c r="C181" s="24"/>
      <c r="D181" s="13"/>
      <c r="E181" s="68"/>
      <c r="F181" s="81"/>
      <c r="G181" s="38"/>
    </row>
    <row r="182" spans="1:7" ht="15.75" customHeight="1" x14ac:dyDescent="0.2">
      <c r="A182" s="70" t="s">
        <v>151</v>
      </c>
      <c r="B182" s="30" t="s">
        <v>224</v>
      </c>
      <c r="C182" s="24" t="s">
        <v>3</v>
      </c>
      <c r="D182" s="13">
        <v>1100</v>
      </c>
      <c r="E182" s="68"/>
      <c r="F182" s="81">
        <f t="shared" si="8"/>
        <v>0</v>
      </c>
      <c r="G182" s="38"/>
    </row>
    <row r="183" spans="1:7" ht="15.75" customHeight="1" x14ac:dyDescent="0.2">
      <c r="A183" s="49" t="s">
        <v>152</v>
      </c>
      <c r="B183" s="29" t="s">
        <v>225</v>
      </c>
      <c r="C183" s="24" t="s">
        <v>3</v>
      </c>
      <c r="D183" s="79">
        <v>1100</v>
      </c>
      <c r="E183" s="68"/>
      <c r="F183" s="81">
        <f t="shared" si="8"/>
        <v>0</v>
      </c>
      <c r="G183" s="38"/>
    </row>
    <row r="184" spans="1:7" ht="18.75" customHeight="1" x14ac:dyDescent="0.2">
      <c r="A184" s="49" t="s">
        <v>153</v>
      </c>
      <c r="B184" s="29" t="s">
        <v>226</v>
      </c>
      <c r="C184" s="24" t="s">
        <v>3</v>
      </c>
      <c r="D184" s="79">
        <v>1100</v>
      </c>
      <c r="E184" s="68"/>
      <c r="F184" s="81">
        <f t="shared" si="8"/>
        <v>0</v>
      </c>
      <c r="G184" s="38"/>
    </row>
    <row r="185" spans="1:7" ht="17.25" customHeight="1" x14ac:dyDescent="0.2">
      <c r="A185" s="49" t="s">
        <v>154</v>
      </c>
      <c r="B185" s="29" t="s">
        <v>37</v>
      </c>
      <c r="C185" s="24" t="s">
        <v>12</v>
      </c>
      <c r="D185" s="13">
        <v>55</v>
      </c>
      <c r="E185" s="68"/>
      <c r="F185" s="81">
        <f t="shared" si="8"/>
        <v>0</v>
      </c>
      <c r="G185" s="38"/>
    </row>
    <row r="186" spans="1:7" ht="20.25" customHeight="1" x14ac:dyDescent="0.2">
      <c r="A186" s="49" t="s">
        <v>230</v>
      </c>
      <c r="B186" s="29" t="s">
        <v>228</v>
      </c>
      <c r="C186" s="24" t="s">
        <v>12</v>
      </c>
      <c r="D186" s="13">
        <v>35</v>
      </c>
      <c r="E186" s="68"/>
      <c r="F186" s="81">
        <f t="shared" si="8"/>
        <v>0</v>
      </c>
      <c r="G186" s="38"/>
    </row>
    <row r="187" spans="1:7" ht="20.25" customHeight="1" x14ac:dyDescent="0.2">
      <c r="A187" s="49" t="s">
        <v>231</v>
      </c>
      <c r="B187" s="29" t="s">
        <v>229</v>
      </c>
      <c r="C187" s="24" t="s">
        <v>12</v>
      </c>
      <c r="D187" s="13">
        <v>32</v>
      </c>
      <c r="E187" s="68"/>
      <c r="F187" s="81">
        <f t="shared" si="8"/>
        <v>0</v>
      </c>
      <c r="G187" s="38"/>
    </row>
    <row r="188" spans="1:7" ht="20.25" customHeight="1" x14ac:dyDescent="0.2">
      <c r="A188" s="49" t="s">
        <v>232</v>
      </c>
      <c r="B188" s="29" t="s">
        <v>310</v>
      </c>
      <c r="C188" s="24" t="s">
        <v>12</v>
      </c>
      <c r="D188" s="13">
        <v>3</v>
      </c>
      <c r="E188" s="68"/>
      <c r="F188" s="81">
        <f t="shared" ref="F188" si="9">D188*E188</f>
        <v>0</v>
      </c>
      <c r="G188" s="38"/>
    </row>
    <row r="189" spans="1:7" ht="20.25" customHeight="1" x14ac:dyDescent="0.2">
      <c r="A189" s="49" t="s">
        <v>233</v>
      </c>
      <c r="B189" s="29" t="s">
        <v>227</v>
      </c>
      <c r="C189" s="24" t="s">
        <v>23</v>
      </c>
      <c r="D189" s="13">
        <v>2</v>
      </c>
      <c r="E189" s="68"/>
      <c r="F189" s="81">
        <f t="shared" si="8"/>
        <v>0</v>
      </c>
      <c r="G189" s="38"/>
    </row>
    <row r="190" spans="1:7" ht="20.25" customHeight="1" x14ac:dyDescent="0.2">
      <c r="A190" s="49" t="s">
        <v>234</v>
      </c>
      <c r="B190" s="29" t="s">
        <v>132</v>
      </c>
      <c r="C190" s="24" t="s">
        <v>12</v>
      </c>
      <c r="D190" s="13">
        <v>4</v>
      </c>
      <c r="E190" s="68"/>
      <c r="F190" s="81">
        <f t="shared" si="8"/>
        <v>0</v>
      </c>
      <c r="G190" s="38"/>
    </row>
    <row r="191" spans="1:7" ht="17.25" customHeight="1" x14ac:dyDescent="0.2">
      <c r="A191" s="49" t="s">
        <v>309</v>
      </c>
      <c r="B191" s="29" t="s">
        <v>40</v>
      </c>
      <c r="C191" s="24" t="s">
        <v>16</v>
      </c>
      <c r="D191" s="13">
        <v>1</v>
      </c>
      <c r="E191" s="68"/>
      <c r="F191" s="81">
        <f t="shared" si="8"/>
        <v>0</v>
      </c>
      <c r="G191" s="38"/>
    </row>
    <row r="192" spans="1:7" ht="15.75" customHeight="1" x14ac:dyDescent="0.2">
      <c r="A192" s="49"/>
      <c r="B192" s="30"/>
      <c r="C192" s="24"/>
      <c r="D192" s="13"/>
      <c r="E192" s="68"/>
      <c r="F192" s="36"/>
      <c r="G192" s="38"/>
    </row>
    <row r="193" spans="1:7" ht="15.75" customHeight="1" x14ac:dyDescent="0.2">
      <c r="A193" s="59"/>
      <c r="B193" s="60" t="s">
        <v>11</v>
      </c>
      <c r="C193" s="61"/>
      <c r="D193" s="61"/>
      <c r="E193" s="69"/>
      <c r="F193" s="73">
        <f>SUM(F180:F191)</f>
        <v>0</v>
      </c>
      <c r="G193" s="38"/>
    </row>
    <row r="194" spans="1:7" ht="15.75" customHeight="1" x14ac:dyDescent="0.2">
      <c r="A194" s="49"/>
      <c r="B194" s="30"/>
      <c r="C194" s="24"/>
      <c r="D194" s="13"/>
      <c r="E194" s="68"/>
      <c r="F194" s="38"/>
      <c r="G194" s="38"/>
    </row>
    <row r="195" spans="1:7" ht="15.75" customHeight="1" x14ac:dyDescent="0.2">
      <c r="A195" s="49" t="s">
        <v>104</v>
      </c>
      <c r="B195" s="72" t="s">
        <v>284</v>
      </c>
      <c r="C195" s="24"/>
      <c r="D195" s="13"/>
      <c r="E195" s="68"/>
      <c r="F195" s="38"/>
      <c r="G195" s="38"/>
    </row>
    <row r="196" spans="1:7" ht="9" customHeight="1" x14ac:dyDescent="0.2">
      <c r="A196" s="49"/>
      <c r="B196" s="32"/>
      <c r="C196" s="24"/>
      <c r="D196" s="13"/>
      <c r="E196" s="68"/>
      <c r="F196" s="38"/>
      <c r="G196" s="38"/>
    </row>
    <row r="197" spans="1:7" ht="27.75" customHeight="1" x14ac:dyDescent="0.2">
      <c r="A197" s="49" t="s">
        <v>105</v>
      </c>
      <c r="B197" s="32" t="s">
        <v>128</v>
      </c>
      <c r="C197" s="24" t="s">
        <v>3</v>
      </c>
      <c r="D197" s="13">
        <v>1200</v>
      </c>
      <c r="E197" s="68"/>
      <c r="F197" s="81">
        <f t="shared" ref="F197:F205" si="10">D197*E197</f>
        <v>0</v>
      </c>
      <c r="G197" s="38"/>
    </row>
    <row r="198" spans="1:7" ht="15.75" customHeight="1" x14ac:dyDescent="0.2">
      <c r="A198" s="49" t="s">
        <v>235</v>
      </c>
      <c r="B198" s="74" t="s">
        <v>113</v>
      </c>
      <c r="C198" s="24"/>
      <c r="D198" s="13"/>
      <c r="E198" s="68"/>
      <c r="F198" s="81"/>
      <c r="G198" s="38"/>
    </row>
    <row r="199" spans="1:7" ht="18" customHeight="1" x14ac:dyDescent="0.2">
      <c r="A199" s="70" t="s">
        <v>236</v>
      </c>
      <c r="B199" s="16" t="s">
        <v>114</v>
      </c>
      <c r="C199" s="24" t="s">
        <v>3</v>
      </c>
      <c r="D199" s="13">
        <v>7200</v>
      </c>
      <c r="E199" s="68"/>
      <c r="F199" s="81">
        <f t="shared" si="10"/>
        <v>0</v>
      </c>
      <c r="G199" s="38"/>
    </row>
    <row r="200" spans="1:7" ht="18" customHeight="1" x14ac:dyDescent="0.2">
      <c r="A200" s="49" t="s">
        <v>237</v>
      </c>
      <c r="B200" s="32" t="s">
        <v>38</v>
      </c>
      <c r="C200" s="24"/>
      <c r="D200" s="13"/>
      <c r="E200" s="68"/>
      <c r="F200" s="81"/>
      <c r="G200" s="38"/>
    </row>
    <row r="201" spans="1:7" ht="18" customHeight="1" x14ac:dyDescent="0.2">
      <c r="A201" s="70" t="s">
        <v>238</v>
      </c>
      <c r="B201" s="16" t="s">
        <v>220</v>
      </c>
      <c r="C201" s="24" t="s">
        <v>12</v>
      </c>
      <c r="D201" s="13">
        <v>10</v>
      </c>
      <c r="E201" s="68"/>
      <c r="F201" s="81">
        <f t="shared" si="10"/>
        <v>0</v>
      </c>
      <c r="G201" s="38"/>
    </row>
    <row r="202" spans="1:7" ht="19.5" customHeight="1" x14ac:dyDescent="0.2">
      <c r="A202" s="70" t="s">
        <v>239</v>
      </c>
      <c r="B202" s="16" t="s">
        <v>215</v>
      </c>
      <c r="C202" s="24" t="s">
        <v>12</v>
      </c>
      <c r="D202" s="13">
        <v>15</v>
      </c>
      <c r="E202" s="68"/>
      <c r="F202" s="81">
        <f t="shared" si="10"/>
        <v>0</v>
      </c>
      <c r="G202" s="38"/>
    </row>
    <row r="203" spans="1:7" ht="15.75" customHeight="1" x14ac:dyDescent="0.2">
      <c r="A203" s="70" t="s">
        <v>240</v>
      </c>
      <c r="B203" s="16" t="s">
        <v>216</v>
      </c>
      <c r="C203" s="62" t="s">
        <v>12</v>
      </c>
      <c r="D203" s="13">
        <v>5</v>
      </c>
      <c r="E203" s="20"/>
      <c r="F203" s="81">
        <f t="shared" si="10"/>
        <v>0</v>
      </c>
      <c r="G203" s="38"/>
    </row>
    <row r="204" spans="1:7" ht="15.75" customHeight="1" x14ac:dyDescent="0.2">
      <c r="A204" s="49" t="s">
        <v>241</v>
      </c>
      <c r="B204" s="32" t="s">
        <v>115</v>
      </c>
      <c r="C204" s="62" t="s">
        <v>12</v>
      </c>
      <c r="D204" s="13">
        <v>2</v>
      </c>
      <c r="E204" s="20"/>
      <c r="F204" s="81">
        <f t="shared" si="10"/>
        <v>0</v>
      </c>
      <c r="G204" s="38"/>
    </row>
    <row r="205" spans="1:7" ht="16.5" customHeight="1" x14ac:dyDescent="0.2">
      <c r="A205" s="49" t="s">
        <v>242</v>
      </c>
      <c r="B205" s="29" t="s">
        <v>40</v>
      </c>
      <c r="C205" s="62" t="s">
        <v>16</v>
      </c>
      <c r="D205" s="13">
        <v>1</v>
      </c>
      <c r="E205" s="20"/>
      <c r="F205" s="81">
        <f t="shared" si="10"/>
        <v>0</v>
      </c>
      <c r="G205" s="38"/>
    </row>
    <row r="206" spans="1:7" ht="12.75" customHeight="1" x14ac:dyDescent="0.2">
      <c r="A206" s="49"/>
      <c r="B206" s="32"/>
      <c r="C206" s="24"/>
      <c r="D206" s="13"/>
      <c r="E206" s="68"/>
      <c r="F206" s="38"/>
      <c r="G206" s="38"/>
    </row>
    <row r="207" spans="1:7" ht="12.75" customHeight="1" x14ac:dyDescent="0.2">
      <c r="A207" s="59"/>
      <c r="B207" s="60" t="s">
        <v>11</v>
      </c>
      <c r="C207" s="61"/>
      <c r="D207" s="61"/>
      <c r="E207" s="69"/>
      <c r="F207" s="73">
        <f>SUM(F195:F205)</f>
        <v>0</v>
      </c>
      <c r="G207" s="38"/>
    </row>
    <row r="208" spans="1:7" ht="14.25" customHeight="1" x14ac:dyDescent="0.2">
      <c r="A208" s="49"/>
      <c r="C208" s="24"/>
      <c r="D208" s="13"/>
      <c r="E208" s="68"/>
      <c r="F208" s="38"/>
      <c r="G208" s="38"/>
    </row>
    <row r="209" spans="1:8" ht="16.5" customHeight="1" x14ac:dyDescent="0.2">
      <c r="A209" s="49" t="s">
        <v>129</v>
      </c>
      <c r="B209" s="72" t="s">
        <v>137</v>
      </c>
      <c r="C209" s="24"/>
      <c r="D209" s="13"/>
      <c r="E209" s="68"/>
      <c r="F209" s="38"/>
      <c r="G209" s="38"/>
    </row>
    <row r="210" spans="1:8" ht="9.75" customHeight="1" x14ac:dyDescent="0.2">
      <c r="A210" s="49"/>
      <c r="B210" s="32"/>
      <c r="C210" s="24"/>
      <c r="D210" s="13"/>
      <c r="E210" s="68"/>
      <c r="F210" s="38"/>
      <c r="G210" s="38"/>
    </row>
    <row r="211" spans="1:8" ht="28.5" customHeight="1" x14ac:dyDescent="0.2">
      <c r="A211" s="49" t="s">
        <v>130</v>
      </c>
      <c r="B211" s="32" t="s">
        <v>128</v>
      </c>
      <c r="C211" s="24"/>
      <c r="D211" s="13"/>
      <c r="E211" s="68"/>
      <c r="F211" s="38"/>
      <c r="G211" s="38"/>
    </row>
    <row r="212" spans="1:8" ht="15.75" customHeight="1" x14ac:dyDescent="0.2">
      <c r="A212" s="70" t="s">
        <v>155</v>
      </c>
      <c r="B212" s="16" t="s">
        <v>221</v>
      </c>
      <c r="C212" s="24" t="s">
        <v>3</v>
      </c>
      <c r="D212" s="13">
        <v>1100</v>
      </c>
      <c r="E212" s="68"/>
      <c r="F212" s="81">
        <f t="shared" ref="F212:F215" si="11">D212*E212</f>
        <v>0</v>
      </c>
      <c r="G212" s="38"/>
    </row>
    <row r="213" spans="1:8" ht="15.75" customHeight="1" x14ac:dyDescent="0.2">
      <c r="A213" s="49" t="s">
        <v>156</v>
      </c>
      <c r="B213" s="32" t="s">
        <v>285</v>
      </c>
      <c r="C213" s="24" t="s">
        <v>3</v>
      </c>
      <c r="D213" s="13">
        <v>1100</v>
      </c>
      <c r="E213" s="68"/>
      <c r="F213" s="81">
        <f t="shared" si="11"/>
        <v>0</v>
      </c>
      <c r="G213" s="38"/>
    </row>
    <row r="214" spans="1:8" ht="15.75" customHeight="1" x14ac:dyDescent="0.2">
      <c r="A214" s="49" t="s">
        <v>253</v>
      </c>
      <c r="B214" s="32" t="s">
        <v>115</v>
      </c>
      <c r="C214" s="24" t="s">
        <v>5</v>
      </c>
      <c r="D214" s="13">
        <v>2</v>
      </c>
      <c r="E214" s="68"/>
      <c r="F214" s="81">
        <f t="shared" si="11"/>
        <v>0</v>
      </c>
      <c r="G214" s="38"/>
    </row>
    <row r="215" spans="1:8" ht="15.75" customHeight="1" x14ac:dyDescent="0.2">
      <c r="A215" s="49" t="s">
        <v>254</v>
      </c>
      <c r="B215" s="29" t="s">
        <v>40</v>
      </c>
      <c r="C215" s="24" t="s">
        <v>5</v>
      </c>
      <c r="D215" s="13">
        <v>1</v>
      </c>
      <c r="E215" s="68"/>
      <c r="F215" s="81">
        <f t="shared" si="11"/>
        <v>0</v>
      </c>
      <c r="G215" s="38"/>
    </row>
    <row r="216" spans="1:8" ht="15.75" customHeight="1" x14ac:dyDescent="0.2">
      <c r="A216" s="49"/>
      <c r="B216" s="32"/>
      <c r="C216" s="24"/>
      <c r="D216" s="13"/>
      <c r="E216" s="68"/>
      <c r="F216" s="81"/>
      <c r="G216" s="38"/>
    </row>
    <row r="217" spans="1:8" ht="17.25" customHeight="1" x14ac:dyDescent="0.2">
      <c r="A217" s="59"/>
      <c r="B217" s="60" t="s">
        <v>11</v>
      </c>
      <c r="C217" s="61"/>
      <c r="D217" s="61"/>
      <c r="E217" s="69"/>
      <c r="F217" s="73">
        <f>SUM(F211:F215)</f>
        <v>0</v>
      </c>
      <c r="G217" s="38"/>
    </row>
    <row r="218" spans="1:8" ht="17.25" customHeight="1" x14ac:dyDescent="0.2">
      <c r="A218" s="49"/>
      <c r="C218" s="24"/>
      <c r="D218" s="13"/>
      <c r="E218" s="68"/>
      <c r="F218" s="36"/>
      <c r="G218" s="65"/>
    </row>
    <row r="219" spans="1:8" ht="15.75" customHeight="1" x14ac:dyDescent="0.2">
      <c r="A219" s="49" t="s">
        <v>255</v>
      </c>
      <c r="B219" s="31" t="s">
        <v>21</v>
      </c>
      <c r="C219" s="24"/>
      <c r="D219" s="38"/>
      <c r="E219" s="65"/>
      <c r="F219" s="65"/>
      <c r="G219" s="38"/>
    </row>
    <row r="220" spans="1:8" ht="19.5" customHeight="1" x14ac:dyDescent="0.2">
      <c r="A220" s="49"/>
      <c r="B220" s="31"/>
      <c r="C220" s="24"/>
      <c r="D220" s="38"/>
      <c r="E220" s="65"/>
      <c r="F220" s="65"/>
      <c r="G220" s="38"/>
    </row>
    <row r="221" spans="1:8" ht="24" x14ac:dyDescent="0.2">
      <c r="A221" s="49" t="s">
        <v>256</v>
      </c>
      <c r="B221" s="30" t="s">
        <v>243</v>
      </c>
      <c r="C221" s="24" t="s">
        <v>12</v>
      </c>
      <c r="D221" s="13">
        <v>25</v>
      </c>
      <c r="E221" s="38"/>
      <c r="F221" s="81">
        <f t="shared" ref="F221" si="12">D221*E221</f>
        <v>0</v>
      </c>
      <c r="G221" s="2"/>
      <c r="H221" s="2"/>
    </row>
    <row r="222" spans="1:8" ht="20.25" customHeight="1" x14ac:dyDescent="0.2">
      <c r="A222" s="49" t="s">
        <v>257</v>
      </c>
      <c r="B222" s="30" t="s">
        <v>244</v>
      </c>
      <c r="C222" s="24" t="s">
        <v>13</v>
      </c>
      <c r="D222" s="13">
        <v>110</v>
      </c>
      <c r="E222" s="84"/>
      <c r="F222" s="81">
        <f>D222*E222</f>
        <v>0</v>
      </c>
      <c r="G222" s="2"/>
      <c r="H222" s="2"/>
    </row>
    <row r="223" spans="1:8" ht="18.75" customHeight="1" x14ac:dyDescent="0.2">
      <c r="A223" s="49" t="s">
        <v>258</v>
      </c>
      <c r="B223" s="30" t="s">
        <v>246</v>
      </c>
      <c r="C223" s="24" t="s">
        <v>3</v>
      </c>
      <c r="D223" s="13">
        <v>650</v>
      </c>
      <c r="E223" s="84"/>
      <c r="F223" s="81">
        <f>D223*E223</f>
        <v>0</v>
      </c>
      <c r="G223" s="2"/>
      <c r="H223" s="2"/>
    </row>
    <row r="224" spans="1:8" ht="21" customHeight="1" x14ac:dyDescent="0.2">
      <c r="A224" s="49" t="s">
        <v>259</v>
      </c>
      <c r="B224" s="30" t="s">
        <v>247</v>
      </c>
      <c r="C224" s="24" t="s">
        <v>3</v>
      </c>
      <c r="D224" s="13">
        <v>750</v>
      </c>
      <c r="E224" s="84"/>
      <c r="F224" s="81">
        <f>D224*E224</f>
        <v>0</v>
      </c>
      <c r="G224" s="2"/>
      <c r="H224" s="2"/>
    </row>
    <row r="225" spans="1:8" ht="21" customHeight="1" x14ac:dyDescent="0.2">
      <c r="A225" s="11"/>
      <c r="B225" s="30"/>
      <c r="C225" s="24"/>
      <c r="D225" s="13"/>
      <c r="E225" s="85"/>
      <c r="F225" s="86"/>
      <c r="G225" s="2"/>
      <c r="H225" s="2"/>
    </row>
    <row r="226" spans="1:8" ht="12.75" customHeight="1" x14ac:dyDescent="0.2">
      <c r="A226" s="59"/>
      <c r="B226" s="60" t="s">
        <v>11</v>
      </c>
      <c r="C226" s="61"/>
      <c r="D226" s="61"/>
      <c r="E226" s="69"/>
      <c r="F226" s="73">
        <f>SUM(F221:F224)</f>
        <v>0</v>
      </c>
      <c r="G226" s="38"/>
    </row>
    <row r="227" spans="1:8" ht="12.75" customHeight="1" x14ac:dyDescent="0.2">
      <c r="A227" s="49"/>
      <c r="B227" s="29"/>
      <c r="C227" s="24"/>
      <c r="D227" s="13"/>
      <c r="E227" s="25"/>
      <c r="F227" s="26"/>
      <c r="G227" s="2"/>
      <c r="H227" s="2"/>
    </row>
    <row r="228" spans="1:8" ht="15.75" customHeight="1" x14ac:dyDescent="0.2">
      <c r="A228" s="49" t="s">
        <v>261</v>
      </c>
      <c r="B228" s="31" t="s">
        <v>249</v>
      </c>
      <c r="C228" s="24"/>
      <c r="D228" s="13"/>
      <c r="E228" s="38"/>
      <c r="F228" s="82"/>
      <c r="G228" s="2"/>
      <c r="H228" s="2"/>
    </row>
    <row r="229" spans="1:8" ht="15.75" customHeight="1" x14ac:dyDescent="0.2">
      <c r="A229" s="49"/>
      <c r="B229" s="31"/>
      <c r="C229" s="24"/>
      <c r="D229" s="13"/>
      <c r="E229" s="38"/>
      <c r="F229" s="82"/>
      <c r="G229" s="2"/>
      <c r="H229" s="2"/>
    </row>
    <row r="230" spans="1:8" ht="18.75" customHeight="1" x14ac:dyDescent="0.2">
      <c r="A230" s="49" t="s">
        <v>260</v>
      </c>
      <c r="B230" s="30" t="s">
        <v>250</v>
      </c>
      <c r="C230" s="24" t="s">
        <v>12</v>
      </c>
      <c r="D230" s="13">
        <v>26</v>
      </c>
      <c r="E230" s="38"/>
      <c r="F230" s="81">
        <f t="shared" ref="F230:F237" si="13">D230*E230</f>
        <v>0</v>
      </c>
      <c r="G230" s="2"/>
      <c r="H230" s="2"/>
    </row>
    <row r="231" spans="1:8" ht="18.75" customHeight="1" x14ac:dyDescent="0.2">
      <c r="A231" s="49" t="s">
        <v>262</v>
      </c>
      <c r="B231" s="30" t="s">
        <v>251</v>
      </c>
      <c r="C231" s="24" t="s">
        <v>12</v>
      </c>
      <c r="D231" s="13">
        <v>4</v>
      </c>
      <c r="E231" s="38"/>
      <c r="F231" s="81">
        <f t="shared" si="13"/>
        <v>0</v>
      </c>
      <c r="G231" s="2"/>
      <c r="H231" s="2"/>
    </row>
    <row r="232" spans="1:8" ht="18.75" customHeight="1" x14ac:dyDescent="0.2">
      <c r="A232" s="49" t="s">
        <v>263</v>
      </c>
      <c r="B232" s="29" t="s">
        <v>252</v>
      </c>
      <c r="C232" s="24" t="s">
        <v>3</v>
      </c>
      <c r="D232" s="13">
        <v>30</v>
      </c>
      <c r="E232" s="38"/>
      <c r="F232" s="81">
        <f t="shared" si="13"/>
        <v>0</v>
      </c>
      <c r="G232" s="2"/>
      <c r="H232" s="2"/>
    </row>
    <row r="233" spans="1:8" ht="18.75" customHeight="1" x14ac:dyDescent="0.2">
      <c r="A233" s="49" t="s">
        <v>264</v>
      </c>
      <c r="B233" s="29" t="s">
        <v>336</v>
      </c>
      <c r="C233" s="24" t="s">
        <v>23</v>
      </c>
      <c r="D233" s="13">
        <v>2</v>
      </c>
      <c r="E233" s="65"/>
      <c r="F233" s="81">
        <f t="shared" si="13"/>
        <v>0</v>
      </c>
      <c r="G233" s="2"/>
      <c r="H233" s="2"/>
    </row>
    <row r="234" spans="1:8" ht="18.75" customHeight="1" x14ac:dyDescent="0.2">
      <c r="A234" s="49" t="s">
        <v>265</v>
      </c>
      <c r="B234" s="29" t="s">
        <v>338</v>
      </c>
      <c r="C234" s="24" t="s">
        <v>12</v>
      </c>
      <c r="D234" s="13">
        <v>2</v>
      </c>
      <c r="E234" s="65"/>
      <c r="F234" s="81">
        <f t="shared" si="13"/>
        <v>0</v>
      </c>
      <c r="G234" s="2"/>
      <c r="H234" s="2"/>
    </row>
    <row r="235" spans="1:8" ht="12.75" customHeight="1" x14ac:dyDescent="0.2">
      <c r="A235" s="49" t="s">
        <v>339</v>
      </c>
      <c r="B235" s="29" t="s">
        <v>337</v>
      </c>
      <c r="C235" s="24" t="s">
        <v>3</v>
      </c>
      <c r="D235" s="38">
        <v>780</v>
      </c>
      <c r="E235" s="65"/>
      <c r="F235" s="65">
        <f t="shared" si="13"/>
        <v>0</v>
      </c>
      <c r="G235" s="38"/>
    </row>
    <row r="236" spans="1:8" ht="12.75" customHeight="1" x14ac:dyDescent="0.2">
      <c r="A236" s="49" t="s">
        <v>344</v>
      </c>
      <c r="B236" s="29" t="s">
        <v>428</v>
      </c>
      <c r="C236" s="24" t="s">
        <v>3</v>
      </c>
      <c r="D236" s="38">
        <v>1200</v>
      </c>
      <c r="E236" s="65"/>
      <c r="F236" s="65">
        <f t="shared" si="13"/>
        <v>0</v>
      </c>
      <c r="G236" s="38"/>
    </row>
    <row r="237" spans="1:8" ht="12.75" customHeight="1" x14ac:dyDescent="0.2">
      <c r="A237" s="49" t="s">
        <v>441</v>
      </c>
      <c r="B237" s="29" t="s">
        <v>442</v>
      </c>
      <c r="C237" s="24" t="s">
        <v>12</v>
      </c>
      <c r="D237" s="38">
        <v>3</v>
      </c>
      <c r="E237" s="65"/>
      <c r="F237" s="65">
        <f t="shared" si="13"/>
        <v>0</v>
      </c>
      <c r="G237" s="38"/>
    </row>
    <row r="238" spans="1:8" ht="12.75" customHeight="1" x14ac:dyDescent="0.2">
      <c r="A238" s="49"/>
      <c r="B238" s="29"/>
      <c r="C238" s="24"/>
      <c r="D238" s="38"/>
      <c r="E238" s="65"/>
      <c r="F238" s="65"/>
      <c r="G238" s="38"/>
    </row>
    <row r="239" spans="1:8" ht="12.75" customHeight="1" x14ac:dyDescent="0.2">
      <c r="A239" s="59"/>
      <c r="B239" s="60" t="s">
        <v>11</v>
      </c>
      <c r="C239" s="61"/>
      <c r="D239" s="61"/>
      <c r="E239" s="69"/>
      <c r="F239" s="73">
        <f>SUM(F230:F237)</f>
        <v>0</v>
      </c>
      <c r="G239" s="38"/>
    </row>
    <row r="240" spans="1:8" ht="12.75" customHeight="1" x14ac:dyDescent="0.2">
      <c r="A240" s="49"/>
      <c r="B240" s="29"/>
      <c r="C240" s="24"/>
      <c r="D240" s="25"/>
      <c r="E240" s="66"/>
      <c r="F240" s="66"/>
      <c r="G240" s="38"/>
    </row>
    <row r="241" spans="1:7" ht="12.75" customHeight="1" x14ac:dyDescent="0.2">
      <c r="A241" s="49" t="s">
        <v>345</v>
      </c>
      <c r="B241" s="31" t="s">
        <v>311</v>
      </c>
      <c r="C241" s="24"/>
      <c r="D241" s="38"/>
      <c r="E241" s="65"/>
      <c r="F241" s="65"/>
      <c r="G241" s="64"/>
    </row>
    <row r="242" spans="1:7" ht="12.75" customHeight="1" x14ac:dyDescent="0.2">
      <c r="A242" s="49"/>
      <c r="B242" s="58"/>
      <c r="C242" s="24"/>
      <c r="D242" s="38"/>
      <c r="E242" s="65"/>
      <c r="F242" s="65"/>
      <c r="G242" s="64"/>
    </row>
    <row r="243" spans="1:7" ht="12.75" customHeight="1" x14ac:dyDescent="0.2">
      <c r="A243" s="49" t="s">
        <v>346</v>
      </c>
      <c r="B243" s="31" t="s">
        <v>316</v>
      </c>
      <c r="C243" s="24"/>
      <c r="D243" s="38"/>
      <c r="E243" s="65"/>
      <c r="F243" s="65"/>
      <c r="G243" s="64"/>
    </row>
    <row r="244" spans="1:7" ht="12.75" customHeight="1" x14ac:dyDescent="0.2">
      <c r="A244" s="70" t="s">
        <v>350</v>
      </c>
      <c r="B244" s="104" t="s">
        <v>429</v>
      </c>
      <c r="C244" s="24" t="s">
        <v>245</v>
      </c>
      <c r="D244" s="38">
        <v>15600</v>
      </c>
      <c r="E244" s="65"/>
      <c r="F244" s="65">
        <f>D244*E244</f>
        <v>0</v>
      </c>
      <c r="G244" s="64"/>
    </row>
    <row r="245" spans="1:7" ht="12.75" customHeight="1" x14ac:dyDescent="0.2">
      <c r="A245" s="70" t="s">
        <v>351</v>
      </c>
      <c r="B245" s="104" t="s">
        <v>317</v>
      </c>
      <c r="C245" s="24" t="s">
        <v>245</v>
      </c>
      <c r="D245" s="38">
        <v>6300</v>
      </c>
      <c r="E245" s="65"/>
      <c r="F245" s="65">
        <f t="shared" ref="F245:F292" si="14">D245*E245</f>
        <v>0</v>
      </c>
      <c r="G245" s="64"/>
    </row>
    <row r="246" spans="1:7" ht="12.75" customHeight="1" x14ac:dyDescent="0.2">
      <c r="A246" s="70" t="s">
        <v>352</v>
      </c>
      <c r="B246" s="104" t="s">
        <v>318</v>
      </c>
      <c r="C246" s="24" t="s">
        <v>4</v>
      </c>
      <c r="D246" s="38">
        <v>3400</v>
      </c>
      <c r="E246" s="65"/>
      <c r="F246" s="65">
        <f t="shared" si="14"/>
        <v>0</v>
      </c>
      <c r="G246" s="64"/>
    </row>
    <row r="247" spans="1:7" ht="12.75" customHeight="1" x14ac:dyDescent="0.2">
      <c r="A247" s="49" t="s">
        <v>347</v>
      </c>
      <c r="B247" s="31" t="s">
        <v>312</v>
      </c>
      <c r="C247" s="24"/>
      <c r="D247" s="38"/>
      <c r="E247" s="65"/>
      <c r="F247" s="65"/>
      <c r="G247" s="64"/>
    </row>
    <row r="248" spans="1:7" ht="12.75" customHeight="1" x14ac:dyDescent="0.2">
      <c r="A248" s="70" t="s">
        <v>353</v>
      </c>
      <c r="B248" s="30" t="s">
        <v>313</v>
      </c>
      <c r="C248" s="24" t="s">
        <v>4</v>
      </c>
      <c r="D248" s="38">
        <v>2560</v>
      </c>
      <c r="E248" s="65"/>
      <c r="F248" s="65">
        <f t="shared" si="14"/>
        <v>0</v>
      </c>
      <c r="G248" s="64"/>
    </row>
    <row r="249" spans="1:7" ht="12.75" customHeight="1" x14ac:dyDescent="0.2">
      <c r="A249" s="49" t="s">
        <v>348</v>
      </c>
      <c r="B249" s="29" t="s">
        <v>320</v>
      </c>
      <c r="C249" s="24" t="s">
        <v>4</v>
      </c>
      <c r="D249" s="38">
        <v>780</v>
      </c>
      <c r="E249" s="65"/>
      <c r="F249" s="65">
        <f t="shared" si="14"/>
        <v>0</v>
      </c>
      <c r="G249" s="64"/>
    </row>
    <row r="250" spans="1:7" ht="12.75" customHeight="1" x14ac:dyDescent="0.2">
      <c r="A250" s="49" t="s">
        <v>349</v>
      </c>
      <c r="B250" s="29" t="s">
        <v>319</v>
      </c>
      <c r="C250" s="24" t="s">
        <v>321</v>
      </c>
      <c r="D250" s="38">
        <v>850</v>
      </c>
      <c r="E250" s="65"/>
      <c r="F250" s="65">
        <f t="shared" si="14"/>
        <v>0</v>
      </c>
      <c r="G250" s="64"/>
    </row>
    <row r="251" spans="1:7" ht="12.75" customHeight="1" x14ac:dyDescent="0.2">
      <c r="A251" s="49" t="s">
        <v>354</v>
      </c>
      <c r="B251" s="29" t="s">
        <v>314</v>
      </c>
      <c r="C251" s="24" t="s">
        <v>12</v>
      </c>
      <c r="D251" s="38">
        <v>71</v>
      </c>
      <c r="E251" s="65"/>
      <c r="F251" s="65">
        <f t="shared" si="14"/>
        <v>0</v>
      </c>
      <c r="G251" s="64"/>
    </row>
    <row r="252" spans="1:7" ht="12.75" customHeight="1" x14ac:dyDescent="0.2">
      <c r="A252" s="49" t="s">
        <v>355</v>
      </c>
      <c r="B252" s="29" t="s">
        <v>315</v>
      </c>
      <c r="C252" s="24"/>
      <c r="D252" s="38"/>
      <c r="E252" s="65"/>
      <c r="F252" s="65">
        <f t="shared" si="14"/>
        <v>0</v>
      </c>
      <c r="G252" s="64"/>
    </row>
    <row r="253" spans="1:7" ht="12.75" customHeight="1" x14ac:dyDescent="0.2">
      <c r="A253" s="70" t="s">
        <v>363</v>
      </c>
      <c r="B253" s="30" t="s">
        <v>356</v>
      </c>
      <c r="C253" s="24" t="s">
        <v>12</v>
      </c>
      <c r="D253" s="38">
        <v>18</v>
      </c>
      <c r="E253" s="65"/>
      <c r="F253" s="65">
        <f t="shared" si="14"/>
        <v>0</v>
      </c>
      <c r="G253" s="64"/>
    </row>
    <row r="254" spans="1:7" ht="12.75" customHeight="1" x14ac:dyDescent="0.2">
      <c r="A254" s="70" t="s">
        <v>364</v>
      </c>
      <c r="B254" s="30" t="s">
        <v>357</v>
      </c>
      <c r="C254" s="24" t="s">
        <v>12</v>
      </c>
      <c r="D254" s="38">
        <v>17</v>
      </c>
      <c r="E254" s="65"/>
      <c r="F254" s="65">
        <f t="shared" si="14"/>
        <v>0</v>
      </c>
      <c r="G254" s="64"/>
    </row>
    <row r="255" spans="1:7" ht="12.75" customHeight="1" x14ac:dyDescent="0.2">
      <c r="A255" s="70" t="s">
        <v>365</v>
      </c>
      <c r="B255" s="30" t="s">
        <v>358</v>
      </c>
      <c r="C255" s="24" t="s">
        <v>12</v>
      </c>
      <c r="D255" s="38">
        <v>11</v>
      </c>
      <c r="E255" s="65"/>
      <c r="F255" s="65">
        <f t="shared" si="14"/>
        <v>0</v>
      </c>
      <c r="G255" s="64"/>
    </row>
    <row r="256" spans="1:7" ht="12.75" customHeight="1" x14ac:dyDescent="0.2">
      <c r="A256" s="70" t="s">
        <v>366</v>
      </c>
      <c r="B256" s="30" t="s">
        <v>359</v>
      </c>
      <c r="C256" s="24" t="s">
        <v>12</v>
      </c>
      <c r="D256" s="38">
        <v>14</v>
      </c>
      <c r="E256" s="65"/>
      <c r="F256" s="65">
        <f t="shared" si="14"/>
        <v>0</v>
      </c>
      <c r="G256" s="64"/>
    </row>
    <row r="257" spans="1:7" ht="12.75" customHeight="1" x14ac:dyDescent="0.2">
      <c r="A257" s="70" t="s">
        <v>367</v>
      </c>
      <c r="B257" s="30" t="s">
        <v>360</v>
      </c>
      <c r="C257" s="24" t="s">
        <v>12</v>
      </c>
      <c r="D257" s="38">
        <v>3</v>
      </c>
      <c r="E257" s="65"/>
      <c r="F257" s="65">
        <f t="shared" si="14"/>
        <v>0</v>
      </c>
      <c r="G257" s="64"/>
    </row>
    <row r="258" spans="1:7" ht="12.75" customHeight="1" x14ac:dyDescent="0.2">
      <c r="A258" s="70" t="s">
        <v>368</v>
      </c>
      <c r="B258" s="30" t="s">
        <v>361</v>
      </c>
      <c r="C258" s="24" t="s">
        <v>12</v>
      </c>
      <c r="D258" s="38">
        <v>8</v>
      </c>
      <c r="E258" s="65"/>
      <c r="F258" s="65">
        <f t="shared" si="14"/>
        <v>0</v>
      </c>
      <c r="G258" s="64"/>
    </row>
    <row r="259" spans="1:7" ht="12.75" customHeight="1" x14ac:dyDescent="0.2">
      <c r="A259" s="49" t="s">
        <v>385</v>
      </c>
      <c r="B259" s="29" t="s">
        <v>362</v>
      </c>
      <c r="C259" s="24"/>
      <c r="D259" s="38"/>
      <c r="E259" s="65"/>
      <c r="F259" s="65">
        <f t="shared" si="14"/>
        <v>0</v>
      </c>
      <c r="G259" s="64"/>
    </row>
    <row r="260" spans="1:7" ht="12.75" customHeight="1" x14ac:dyDescent="0.2">
      <c r="A260" s="70" t="s">
        <v>386</v>
      </c>
      <c r="B260" s="30" t="s">
        <v>376</v>
      </c>
      <c r="C260" s="24" t="s">
        <v>12</v>
      </c>
      <c r="D260" s="38">
        <v>210</v>
      </c>
      <c r="E260" s="65"/>
      <c r="F260" s="65">
        <f t="shared" si="14"/>
        <v>0</v>
      </c>
      <c r="G260" s="64"/>
    </row>
    <row r="261" spans="1:7" ht="12.75" customHeight="1" x14ac:dyDescent="0.2">
      <c r="A261" s="70" t="s">
        <v>388</v>
      </c>
      <c r="B261" s="87" t="s">
        <v>373</v>
      </c>
      <c r="C261" s="24" t="s">
        <v>12</v>
      </c>
      <c r="D261" s="38">
        <v>530</v>
      </c>
      <c r="E261" s="65"/>
      <c r="F261" s="65">
        <f t="shared" si="14"/>
        <v>0</v>
      </c>
      <c r="G261" s="64"/>
    </row>
    <row r="262" spans="1:7" ht="12.75" customHeight="1" x14ac:dyDescent="0.2">
      <c r="A262" s="70" t="s">
        <v>389</v>
      </c>
      <c r="B262" s="87" t="s">
        <v>399</v>
      </c>
      <c r="C262" s="24" t="s">
        <v>12</v>
      </c>
      <c r="D262" s="38">
        <v>230</v>
      </c>
      <c r="E262" s="65"/>
      <c r="F262" s="65">
        <f t="shared" si="14"/>
        <v>0</v>
      </c>
      <c r="G262" s="64"/>
    </row>
    <row r="263" spans="1:7" ht="12.75" customHeight="1" x14ac:dyDescent="0.2">
      <c r="A263" s="70" t="s">
        <v>390</v>
      </c>
      <c r="B263" s="87" t="s">
        <v>372</v>
      </c>
      <c r="C263" s="24" t="s">
        <v>12</v>
      </c>
      <c r="D263" s="38">
        <v>150</v>
      </c>
      <c r="E263" s="65"/>
      <c r="F263" s="65">
        <f t="shared" si="14"/>
        <v>0</v>
      </c>
      <c r="G263" s="64"/>
    </row>
    <row r="264" spans="1:7" ht="12.75" customHeight="1" x14ac:dyDescent="0.2">
      <c r="A264" s="70" t="s">
        <v>391</v>
      </c>
      <c r="B264" s="87" t="s">
        <v>371</v>
      </c>
      <c r="C264" s="24" t="s">
        <v>12</v>
      </c>
      <c r="D264" s="38">
        <v>320</v>
      </c>
      <c r="E264" s="65"/>
      <c r="F264" s="65">
        <f t="shared" si="14"/>
        <v>0</v>
      </c>
      <c r="G264" s="64"/>
    </row>
    <row r="265" spans="1:7" ht="12.75" customHeight="1" x14ac:dyDescent="0.2">
      <c r="A265" s="70" t="s">
        <v>392</v>
      </c>
      <c r="B265" s="87" t="s">
        <v>383</v>
      </c>
      <c r="C265" s="24" t="s">
        <v>12</v>
      </c>
      <c r="D265" s="38">
        <v>295</v>
      </c>
      <c r="E265" s="65"/>
      <c r="F265" s="65">
        <f t="shared" si="14"/>
        <v>0</v>
      </c>
      <c r="G265" s="64"/>
    </row>
    <row r="266" spans="1:7" ht="12.75" customHeight="1" x14ac:dyDescent="0.2">
      <c r="A266" s="70" t="s">
        <v>393</v>
      </c>
      <c r="B266" s="87" t="s">
        <v>380</v>
      </c>
      <c r="C266" s="24" t="s">
        <v>12</v>
      </c>
      <c r="D266" s="38">
        <v>230</v>
      </c>
      <c r="E266" s="65"/>
      <c r="F266" s="65">
        <f t="shared" si="14"/>
        <v>0</v>
      </c>
      <c r="G266" s="64"/>
    </row>
    <row r="267" spans="1:7" ht="12.75" customHeight="1" x14ac:dyDescent="0.2">
      <c r="A267" s="70" t="s">
        <v>387</v>
      </c>
      <c r="B267" s="87" t="s">
        <v>384</v>
      </c>
      <c r="C267" s="24" t="s">
        <v>12</v>
      </c>
      <c r="D267" s="38">
        <v>370</v>
      </c>
      <c r="E267" s="65"/>
      <c r="F267" s="65">
        <f t="shared" si="14"/>
        <v>0</v>
      </c>
      <c r="G267" s="64"/>
    </row>
    <row r="268" spans="1:7" ht="12.75" customHeight="1" x14ac:dyDescent="0.2">
      <c r="A268" s="70" t="s">
        <v>394</v>
      </c>
      <c r="B268" s="87" t="s">
        <v>379</v>
      </c>
      <c r="C268" s="24" t="s">
        <v>12</v>
      </c>
      <c r="D268" s="38">
        <v>230</v>
      </c>
      <c r="E268" s="65"/>
      <c r="F268" s="65">
        <f t="shared" si="14"/>
        <v>0</v>
      </c>
      <c r="G268" s="64"/>
    </row>
    <row r="269" spans="1:7" ht="12.75" customHeight="1" x14ac:dyDescent="0.2">
      <c r="A269" s="70" t="s">
        <v>395</v>
      </c>
      <c r="B269" s="87" t="s">
        <v>377</v>
      </c>
      <c r="C269" s="24" t="s">
        <v>12</v>
      </c>
      <c r="D269" s="38">
        <v>210</v>
      </c>
      <c r="E269" s="65"/>
      <c r="F269" s="65">
        <f t="shared" si="14"/>
        <v>0</v>
      </c>
      <c r="G269" s="64"/>
    </row>
    <row r="270" spans="1:7" ht="12.75" customHeight="1" x14ac:dyDescent="0.2">
      <c r="A270" s="70" t="s">
        <v>396</v>
      </c>
      <c r="B270" s="87" t="s">
        <v>374</v>
      </c>
      <c r="C270" s="24" t="s">
        <v>12</v>
      </c>
      <c r="D270" s="38">
        <f>940+290</f>
        <v>1230</v>
      </c>
      <c r="E270" s="65"/>
      <c r="F270" s="65">
        <f t="shared" si="14"/>
        <v>0</v>
      </c>
      <c r="G270" s="64"/>
    </row>
    <row r="271" spans="1:7" ht="12.75" customHeight="1" x14ac:dyDescent="0.2">
      <c r="A271" s="70" t="s">
        <v>397</v>
      </c>
      <c r="B271" s="87" t="s">
        <v>375</v>
      </c>
      <c r="C271" s="24" t="s">
        <v>12</v>
      </c>
      <c r="D271" s="38">
        <v>290</v>
      </c>
      <c r="E271" s="65"/>
      <c r="F271" s="65">
        <f t="shared" si="14"/>
        <v>0</v>
      </c>
      <c r="G271" s="64"/>
    </row>
    <row r="272" spans="1:7" ht="12.75" customHeight="1" x14ac:dyDescent="0.2">
      <c r="A272" s="70" t="s">
        <v>398</v>
      </c>
      <c r="B272" s="87" t="s">
        <v>382</v>
      </c>
      <c r="C272" s="24" t="s">
        <v>12</v>
      </c>
      <c r="D272" s="38">
        <v>150</v>
      </c>
      <c r="E272" s="65"/>
      <c r="F272" s="65">
        <f t="shared" si="14"/>
        <v>0</v>
      </c>
      <c r="G272" s="64"/>
    </row>
    <row r="273" spans="1:7" ht="12.75" customHeight="1" x14ac:dyDescent="0.2">
      <c r="A273" s="49" t="s">
        <v>400</v>
      </c>
      <c r="B273" s="88" t="s">
        <v>369</v>
      </c>
      <c r="C273" s="24"/>
      <c r="D273" s="38"/>
      <c r="E273" s="65"/>
      <c r="F273" s="65"/>
      <c r="G273" s="64"/>
    </row>
    <row r="274" spans="1:7" ht="12.75" customHeight="1" x14ac:dyDescent="0.2">
      <c r="A274" s="70" t="s">
        <v>401</v>
      </c>
      <c r="B274" s="87" t="s">
        <v>403</v>
      </c>
      <c r="C274" s="24" t="s">
        <v>12</v>
      </c>
      <c r="D274" s="38">
        <v>1600</v>
      </c>
      <c r="E274" s="65"/>
      <c r="F274" s="65">
        <f t="shared" si="14"/>
        <v>0</v>
      </c>
      <c r="G274" s="64"/>
    </row>
    <row r="275" spans="1:7" ht="12.75" customHeight="1" x14ac:dyDescent="0.2">
      <c r="A275" s="70" t="s">
        <v>405</v>
      </c>
      <c r="B275" s="87" t="s">
        <v>378</v>
      </c>
      <c r="C275" s="24" t="s">
        <v>12</v>
      </c>
      <c r="D275" s="38">
        <v>335</v>
      </c>
      <c r="E275" s="65"/>
      <c r="F275" s="65">
        <f t="shared" si="14"/>
        <v>0</v>
      </c>
      <c r="G275" s="64"/>
    </row>
    <row r="276" spans="1:7" ht="12.75" customHeight="1" x14ac:dyDescent="0.2">
      <c r="A276" s="70" t="s">
        <v>406</v>
      </c>
      <c r="B276" s="87" t="s">
        <v>404</v>
      </c>
      <c r="C276" s="24" t="s">
        <v>12</v>
      </c>
      <c r="D276" s="38">
        <v>1600</v>
      </c>
      <c r="E276" s="65"/>
      <c r="F276" s="65">
        <f t="shared" si="14"/>
        <v>0</v>
      </c>
      <c r="G276" s="64"/>
    </row>
    <row r="277" spans="1:7" ht="12.75" customHeight="1" x14ac:dyDescent="0.2">
      <c r="A277" s="70" t="s">
        <v>407</v>
      </c>
      <c r="B277" s="87" t="s">
        <v>381</v>
      </c>
      <c r="C277" s="24" t="s">
        <v>12</v>
      </c>
      <c r="D277" s="38">
        <v>680</v>
      </c>
      <c r="E277" s="65"/>
      <c r="F277" s="65">
        <f t="shared" si="14"/>
        <v>0</v>
      </c>
      <c r="G277" s="64"/>
    </row>
    <row r="278" spans="1:7" ht="12.75" customHeight="1" x14ac:dyDescent="0.2">
      <c r="A278" s="70" t="s">
        <v>408</v>
      </c>
      <c r="B278" s="87" t="s">
        <v>402</v>
      </c>
      <c r="C278" s="24" t="s">
        <v>12</v>
      </c>
      <c r="D278" s="38">
        <v>1400</v>
      </c>
      <c r="E278" s="65"/>
      <c r="F278" s="65">
        <f t="shared" si="14"/>
        <v>0</v>
      </c>
      <c r="G278" s="64"/>
    </row>
    <row r="279" spans="1:7" ht="12.75" customHeight="1" x14ac:dyDescent="0.2">
      <c r="A279" s="70" t="s">
        <v>409</v>
      </c>
      <c r="B279" s="87" t="s">
        <v>370</v>
      </c>
      <c r="C279" s="24" t="s">
        <v>12</v>
      </c>
      <c r="D279" s="38">
        <v>1600</v>
      </c>
      <c r="E279" s="65"/>
      <c r="F279" s="65">
        <f t="shared" si="14"/>
        <v>0</v>
      </c>
      <c r="G279" s="64"/>
    </row>
    <row r="280" spans="1:7" ht="12.75" customHeight="1" x14ac:dyDescent="0.2">
      <c r="A280" s="49" t="s">
        <v>410</v>
      </c>
      <c r="B280" s="88" t="s">
        <v>483</v>
      </c>
      <c r="C280" s="24"/>
      <c r="D280" s="38"/>
      <c r="E280" s="65"/>
      <c r="F280" s="65">
        <f t="shared" si="14"/>
        <v>0</v>
      </c>
      <c r="G280" s="64"/>
    </row>
    <row r="281" spans="1:7" ht="12.75" customHeight="1" x14ac:dyDescent="0.2">
      <c r="A281" s="70" t="s">
        <v>416</v>
      </c>
      <c r="B281" s="87" t="s">
        <v>411</v>
      </c>
      <c r="C281" s="24" t="s">
        <v>12</v>
      </c>
      <c r="D281" s="38">
        <v>11500</v>
      </c>
      <c r="E281" s="65"/>
      <c r="F281" s="65">
        <f t="shared" si="14"/>
        <v>0</v>
      </c>
      <c r="G281" s="64"/>
    </row>
    <row r="282" spans="1:7" ht="12.75" customHeight="1" x14ac:dyDescent="0.2">
      <c r="A282" s="70" t="s">
        <v>417</v>
      </c>
      <c r="B282" s="87" t="s">
        <v>412</v>
      </c>
      <c r="C282" s="24" t="s">
        <v>12</v>
      </c>
      <c r="D282" s="38">
        <v>11500</v>
      </c>
      <c r="E282" s="65"/>
      <c r="F282" s="65">
        <f t="shared" si="14"/>
        <v>0</v>
      </c>
      <c r="G282" s="64"/>
    </row>
    <row r="283" spans="1:7" ht="12.75" customHeight="1" x14ac:dyDescent="0.2">
      <c r="A283" s="70" t="s">
        <v>418</v>
      </c>
      <c r="B283" s="87" t="s">
        <v>413</v>
      </c>
      <c r="C283" s="24" t="s">
        <v>12</v>
      </c>
      <c r="D283" s="38">
        <v>11500</v>
      </c>
      <c r="E283" s="65"/>
      <c r="F283" s="65">
        <f t="shared" si="14"/>
        <v>0</v>
      </c>
      <c r="G283" s="64"/>
    </row>
    <row r="284" spans="1:7" ht="12.75" customHeight="1" x14ac:dyDescent="0.2">
      <c r="A284" s="70" t="s">
        <v>419</v>
      </c>
      <c r="B284" s="87" t="s">
        <v>414</v>
      </c>
      <c r="C284" s="24" t="s">
        <v>12</v>
      </c>
      <c r="D284" s="38">
        <v>11500</v>
      </c>
      <c r="E284" s="65"/>
      <c r="F284" s="65">
        <f t="shared" si="14"/>
        <v>0</v>
      </c>
      <c r="G284" s="64"/>
    </row>
    <row r="285" spans="1:7" ht="12.75" customHeight="1" x14ac:dyDescent="0.2">
      <c r="A285" s="70" t="s">
        <v>420</v>
      </c>
      <c r="B285" s="87" t="s">
        <v>415</v>
      </c>
      <c r="C285" s="24" t="s">
        <v>12</v>
      </c>
      <c r="D285" s="38">
        <v>11500</v>
      </c>
      <c r="E285" s="65"/>
      <c r="F285" s="65">
        <f t="shared" si="14"/>
        <v>0</v>
      </c>
      <c r="G285" s="64"/>
    </row>
    <row r="286" spans="1:7" ht="12.75" customHeight="1" x14ac:dyDescent="0.2">
      <c r="A286" s="49" t="s">
        <v>421</v>
      </c>
      <c r="B286" s="29" t="s">
        <v>422</v>
      </c>
      <c r="C286" s="24" t="s">
        <v>13</v>
      </c>
      <c r="D286" s="38">
        <v>9500</v>
      </c>
      <c r="E286" s="65"/>
      <c r="F286" s="65">
        <f t="shared" si="14"/>
        <v>0</v>
      </c>
      <c r="G286" s="64"/>
    </row>
    <row r="287" spans="1:7" ht="12.75" customHeight="1" x14ac:dyDescent="0.2">
      <c r="A287" s="49" t="s">
        <v>425</v>
      </c>
      <c r="B287" s="29" t="s">
        <v>499</v>
      </c>
      <c r="C287" s="24" t="s">
        <v>13</v>
      </c>
      <c r="D287" s="38">
        <v>6600</v>
      </c>
      <c r="E287" s="65"/>
      <c r="F287" s="65">
        <f t="shared" si="14"/>
        <v>0</v>
      </c>
      <c r="G287" s="64"/>
    </row>
    <row r="288" spans="1:7" ht="12.75" customHeight="1" x14ac:dyDescent="0.2">
      <c r="A288" s="49" t="s">
        <v>426</v>
      </c>
      <c r="B288" s="29" t="s">
        <v>500</v>
      </c>
      <c r="C288" s="24" t="s">
        <v>13</v>
      </c>
      <c r="D288" s="38">
        <v>6600</v>
      </c>
      <c r="E288" s="65"/>
      <c r="F288" s="65">
        <f t="shared" si="14"/>
        <v>0</v>
      </c>
      <c r="G288" s="64"/>
    </row>
    <row r="289" spans="1:7" ht="12.75" customHeight="1" x14ac:dyDescent="0.2">
      <c r="A289" s="49" t="s">
        <v>492</v>
      </c>
      <c r="B289" s="29" t="s">
        <v>424</v>
      </c>
      <c r="C289" s="24" t="s">
        <v>322</v>
      </c>
      <c r="D289" s="38">
        <v>1</v>
      </c>
      <c r="E289" s="65"/>
      <c r="F289" s="65">
        <f t="shared" si="14"/>
        <v>0</v>
      </c>
      <c r="G289" s="64"/>
    </row>
    <row r="290" spans="1:7" ht="12.75" customHeight="1" x14ac:dyDescent="0.2">
      <c r="A290" s="49" t="s">
        <v>493</v>
      </c>
      <c r="B290" s="29" t="s">
        <v>491</v>
      </c>
      <c r="C290" s="24" t="s">
        <v>322</v>
      </c>
      <c r="D290" s="38">
        <v>1</v>
      </c>
      <c r="E290" s="65"/>
      <c r="F290" s="65">
        <f t="shared" si="14"/>
        <v>0</v>
      </c>
      <c r="G290" s="64"/>
    </row>
    <row r="291" spans="1:7" ht="12.75" customHeight="1" x14ac:dyDescent="0.2">
      <c r="A291" s="49" t="s">
        <v>497</v>
      </c>
      <c r="B291" s="29" t="s">
        <v>423</v>
      </c>
      <c r="C291" s="24" t="s">
        <v>322</v>
      </c>
      <c r="D291" s="38">
        <v>1</v>
      </c>
      <c r="E291" s="65"/>
      <c r="F291" s="65">
        <f t="shared" si="14"/>
        <v>0</v>
      </c>
      <c r="G291" s="64"/>
    </row>
    <row r="292" spans="1:7" ht="12.75" customHeight="1" x14ac:dyDescent="0.2">
      <c r="A292" s="49" t="s">
        <v>498</v>
      </c>
      <c r="B292" s="29" t="s">
        <v>494</v>
      </c>
      <c r="C292" s="24" t="s">
        <v>322</v>
      </c>
      <c r="D292" s="38">
        <v>1</v>
      </c>
      <c r="E292" s="65"/>
      <c r="F292" s="65">
        <f t="shared" si="14"/>
        <v>0</v>
      </c>
      <c r="G292" s="64"/>
    </row>
    <row r="293" spans="1:7" ht="12.75" customHeight="1" x14ac:dyDescent="0.2">
      <c r="A293" s="49"/>
      <c r="B293" s="29"/>
      <c r="C293" s="24"/>
      <c r="D293" s="38"/>
      <c r="E293" s="66"/>
      <c r="F293" s="65"/>
      <c r="G293" s="64"/>
    </row>
    <row r="294" spans="1:7" ht="12.75" customHeight="1" x14ac:dyDescent="0.2">
      <c r="A294" s="59"/>
      <c r="B294" s="60" t="s">
        <v>11</v>
      </c>
      <c r="C294" s="61"/>
      <c r="D294" s="61"/>
      <c r="E294" s="69"/>
      <c r="F294" s="73">
        <f>SUM(F242:F292)</f>
        <v>0</v>
      </c>
      <c r="G294" s="64"/>
    </row>
    <row r="295" spans="1:7" ht="12.75" customHeight="1" x14ac:dyDescent="0.2">
      <c r="A295" s="49"/>
      <c r="B295" s="29"/>
      <c r="C295" s="24"/>
      <c r="D295" s="38"/>
      <c r="E295" s="66"/>
      <c r="F295" s="65"/>
      <c r="G295" s="64"/>
    </row>
    <row r="296" spans="1:7" ht="12.75" customHeight="1" x14ac:dyDescent="0.2">
      <c r="A296" s="49"/>
      <c r="B296" s="29"/>
      <c r="C296" s="24"/>
      <c r="D296" s="38"/>
      <c r="E296" s="66"/>
      <c r="F296" s="65"/>
      <c r="G296" s="64"/>
    </row>
    <row r="297" spans="1:7" ht="12.75" customHeight="1" x14ac:dyDescent="0.2">
      <c r="A297" s="49"/>
      <c r="B297" s="29"/>
      <c r="C297" s="24"/>
      <c r="D297" s="38"/>
      <c r="E297" s="66"/>
      <c r="F297" s="65"/>
      <c r="G297" s="64"/>
    </row>
    <row r="298" spans="1:7" ht="12.75" customHeight="1" x14ac:dyDescent="0.2">
      <c r="A298" s="11"/>
      <c r="B298" s="29"/>
      <c r="C298" s="24"/>
      <c r="D298" s="38"/>
      <c r="E298" s="65"/>
      <c r="F298" s="65"/>
    </row>
    <row r="299" spans="1:7" ht="12.75" customHeight="1" x14ac:dyDescent="0.2">
      <c r="A299" s="59"/>
      <c r="B299" s="60" t="s">
        <v>427</v>
      </c>
      <c r="C299" s="61"/>
      <c r="D299" s="61"/>
      <c r="E299" s="69"/>
      <c r="F299" s="73">
        <f>SUM(F15:F295)/2</f>
        <v>0</v>
      </c>
    </row>
    <row r="300" spans="1:7" ht="12.75" customHeight="1" x14ac:dyDescent="0.2">
      <c r="A300" s="59"/>
      <c r="B300" s="60" t="s">
        <v>120</v>
      </c>
      <c r="C300" s="61"/>
      <c r="D300" s="61"/>
      <c r="E300" s="69"/>
      <c r="F300" s="73">
        <f>F299*0.2</f>
        <v>0</v>
      </c>
    </row>
    <row r="301" spans="1:7" ht="12.75" customHeight="1" x14ac:dyDescent="0.2">
      <c r="A301" s="59"/>
      <c r="B301" s="60" t="s">
        <v>10</v>
      </c>
      <c r="C301" s="61"/>
      <c r="D301" s="61"/>
      <c r="E301" s="69"/>
      <c r="F301" s="73">
        <f>F299+F300</f>
        <v>0</v>
      </c>
    </row>
    <row r="302" spans="1:7" ht="12.75" customHeight="1" x14ac:dyDescent="0.2">
      <c r="C302" s="18"/>
    </row>
    <row r="303" spans="1:7" ht="12.75" customHeight="1" x14ac:dyDescent="0.2">
      <c r="B303" s="32"/>
      <c r="C303" s="18"/>
      <c r="F303" s="78"/>
    </row>
    <row r="304" spans="1:7" ht="12.75" customHeight="1" x14ac:dyDescent="0.2">
      <c r="C304" s="18"/>
    </row>
    <row r="305" spans="3:3" ht="12.75" customHeight="1" x14ac:dyDescent="0.2">
      <c r="C305" s="18"/>
    </row>
    <row r="306" spans="3:3" ht="12.75" customHeight="1" x14ac:dyDescent="0.2">
      <c r="C306" s="18"/>
    </row>
    <row r="307" spans="3:3" ht="12.75" customHeight="1" x14ac:dyDescent="0.2">
      <c r="C307" s="18"/>
    </row>
    <row r="308" spans="3:3" ht="12.75" customHeight="1" x14ac:dyDescent="0.2">
      <c r="C308" s="18"/>
    </row>
    <row r="309" spans="3:3" ht="12.75" customHeight="1" x14ac:dyDescent="0.2">
      <c r="C309" s="18"/>
    </row>
    <row r="310" spans="3:3" ht="12.75" customHeight="1" x14ac:dyDescent="0.2">
      <c r="C310" s="18"/>
    </row>
    <row r="311" spans="3:3" ht="12.75" customHeight="1" x14ac:dyDescent="0.2">
      <c r="C311" s="18"/>
    </row>
    <row r="312" spans="3:3" ht="12.75" customHeight="1" x14ac:dyDescent="0.2">
      <c r="C312" s="18"/>
    </row>
    <row r="313" spans="3:3" ht="12.75" customHeight="1" x14ac:dyDescent="0.2">
      <c r="C313" s="18"/>
    </row>
    <row r="314" spans="3:3" ht="12.75" customHeight="1" x14ac:dyDescent="0.2">
      <c r="C314" s="18"/>
    </row>
    <row r="315" spans="3:3" ht="12.75" customHeight="1" x14ac:dyDescent="0.2">
      <c r="C315" s="18"/>
    </row>
    <row r="316" spans="3:3" ht="12.75" customHeight="1" x14ac:dyDescent="0.2">
      <c r="C316" s="18"/>
    </row>
    <row r="317" spans="3:3" ht="12.75" customHeight="1" x14ac:dyDescent="0.2">
      <c r="C317" s="18"/>
    </row>
    <row r="318" spans="3:3" ht="12.75" customHeight="1" x14ac:dyDescent="0.2">
      <c r="C318" s="18"/>
    </row>
    <row r="319" spans="3:3" ht="12.75" customHeight="1" x14ac:dyDescent="0.2">
      <c r="C319" s="18"/>
    </row>
    <row r="320" spans="3:3" ht="12.75" customHeight="1" x14ac:dyDescent="0.2">
      <c r="C320" s="18"/>
    </row>
    <row r="321" spans="3:3" ht="12.75" customHeight="1" x14ac:dyDescent="0.2">
      <c r="C321" s="18"/>
    </row>
    <row r="322" spans="3:3" ht="12.75" customHeight="1" x14ac:dyDescent="0.2">
      <c r="C322" s="18"/>
    </row>
    <row r="323" spans="3:3" ht="12.75" customHeight="1" x14ac:dyDescent="0.2">
      <c r="C323" s="18"/>
    </row>
    <row r="324" spans="3:3" ht="12.75" customHeight="1" x14ac:dyDescent="0.2">
      <c r="C324" s="18"/>
    </row>
    <row r="325" spans="3:3" ht="12.75" customHeight="1" x14ac:dyDescent="0.2">
      <c r="C325" s="18"/>
    </row>
    <row r="326" spans="3:3" ht="12.75" customHeight="1" x14ac:dyDescent="0.2">
      <c r="C326" s="18"/>
    </row>
    <row r="327" spans="3:3" ht="12.75" customHeight="1" x14ac:dyDescent="0.2">
      <c r="C327" s="18"/>
    </row>
    <row r="328" spans="3:3" ht="12.75" customHeight="1" x14ac:dyDescent="0.2">
      <c r="C328" s="18"/>
    </row>
    <row r="329" spans="3:3" ht="12.75" customHeight="1" x14ac:dyDescent="0.2">
      <c r="C329" s="18"/>
    </row>
    <row r="330" spans="3:3" ht="12.75" customHeight="1" x14ac:dyDescent="0.2">
      <c r="C330" s="18"/>
    </row>
    <row r="331" spans="3:3" ht="12.75" customHeight="1" x14ac:dyDescent="0.2">
      <c r="C331" s="18"/>
    </row>
    <row r="332" spans="3:3" ht="12.75" customHeight="1" x14ac:dyDescent="0.2">
      <c r="C332" s="18"/>
    </row>
    <row r="333" spans="3:3" ht="12.75" customHeight="1" x14ac:dyDescent="0.2">
      <c r="C333" s="18"/>
    </row>
    <row r="334" spans="3:3" ht="12.75" customHeight="1" x14ac:dyDescent="0.2">
      <c r="C334" s="18"/>
    </row>
    <row r="335" spans="3:3" ht="12.75" customHeight="1" x14ac:dyDescent="0.2">
      <c r="C335" s="18"/>
    </row>
    <row r="336" spans="3:3" ht="12.75" customHeight="1" x14ac:dyDescent="0.2">
      <c r="C336" s="18"/>
    </row>
    <row r="337" spans="3:3" ht="12.75" customHeight="1" x14ac:dyDescent="0.2">
      <c r="C337" s="18"/>
    </row>
    <row r="338" spans="3:3" ht="12.75" customHeight="1" x14ac:dyDescent="0.2">
      <c r="C338" s="18"/>
    </row>
    <row r="339" spans="3:3" ht="12.75" customHeight="1" x14ac:dyDescent="0.2">
      <c r="C339" s="18"/>
    </row>
    <row r="340" spans="3:3" ht="12.75" customHeight="1" x14ac:dyDescent="0.2">
      <c r="C340" s="18"/>
    </row>
    <row r="341" spans="3:3" ht="12.75" customHeight="1" x14ac:dyDescent="0.2">
      <c r="C341" s="18"/>
    </row>
    <row r="342" spans="3:3" ht="12.75" customHeight="1" x14ac:dyDescent="0.2">
      <c r="C342" s="18"/>
    </row>
    <row r="343" spans="3:3" ht="12.75" customHeight="1" x14ac:dyDescent="0.2">
      <c r="C343" s="18"/>
    </row>
    <row r="344" spans="3:3" ht="12.75" customHeight="1" x14ac:dyDescent="0.2">
      <c r="C344" s="18"/>
    </row>
    <row r="345" spans="3:3" ht="12.75" customHeight="1" x14ac:dyDescent="0.2">
      <c r="C345" s="18"/>
    </row>
    <row r="346" spans="3:3" ht="12.75" customHeight="1" x14ac:dyDescent="0.2">
      <c r="C346" s="18"/>
    </row>
    <row r="347" spans="3:3" ht="12.75" customHeight="1" x14ac:dyDescent="0.2">
      <c r="C347" s="18"/>
    </row>
    <row r="348" spans="3:3" ht="12.75" customHeight="1" x14ac:dyDescent="0.2">
      <c r="C348" s="18"/>
    </row>
    <row r="349" spans="3:3" ht="12.75" customHeight="1" x14ac:dyDescent="0.2">
      <c r="C349" s="18"/>
    </row>
    <row r="350" spans="3:3" ht="12.75" customHeight="1" x14ac:dyDescent="0.2">
      <c r="C350" s="18"/>
    </row>
    <row r="351" spans="3:3" ht="12.75" customHeight="1" x14ac:dyDescent="0.2">
      <c r="C351" s="18"/>
    </row>
    <row r="352" spans="3:3" ht="12.75" customHeight="1" x14ac:dyDescent="0.2">
      <c r="C352" s="18"/>
    </row>
    <row r="353" spans="3:3" ht="12.75" customHeight="1" x14ac:dyDescent="0.2">
      <c r="C353" s="18"/>
    </row>
    <row r="354" spans="3:3" ht="12.75" customHeight="1" x14ac:dyDescent="0.2">
      <c r="C354" s="18"/>
    </row>
    <row r="355" spans="3:3" ht="12.75" customHeight="1" x14ac:dyDescent="0.2">
      <c r="C355" s="18"/>
    </row>
    <row r="356" spans="3:3" ht="12.75" customHeight="1" x14ac:dyDescent="0.2">
      <c r="C356" s="18"/>
    </row>
    <row r="357" spans="3:3" ht="12.75" customHeight="1" x14ac:dyDescent="0.2">
      <c r="C357" s="18"/>
    </row>
    <row r="358" spans="3:3" ht="12.75" customHeight="1" x14ac:dyDescent="0.2">
      <c r="C358" s="18"/>
    </row>
    <row r="359" spans="3:3" ht="12.75" customHeight="1" x14ac:dyDescent="0.2">
      <c r="C359" s="18"/>
    </row>
    <row r="360" spans="3:3" ht="12.75" customHeight="1" x14ac:dyDescent="0.2">
      <c r="C360" s="18"/>
    </row>
    <row r="361" spans="3:3" ht="12.75" customHeight="1" x14ac:dyDescent="0.2">
      <c r="C361" s="18"/>
    </row>
    <row r="362" spans="3:3" ht="12.75" customHeight="1" x14ac:dyDescent="0.2">
      <c r="C362" s="18"/>
    </row>
    <row r="363" spans="3:3" ht="12.75" customHeight="1" x14ac:dyDescent="0.2">
      <c r="C363" s="18"/>
    </row>
    <row r="364" spans="3:3" ht="12.75" customHeight="1" x14ac:dyDescent="0.2">
      <c r="C364" s="18"/>
    </row>
    <row r="365" spans="3:3" ht="12.75" customHeight="1" x14ac:dyDescent="0.2">
      <c r="C365" s="18"/>
    </row>
    <row r="366" spans="3:3" ht="12.75" customHeight="1" x14ac:dyDescent="0.2">
      <c r="C366" s="18"/>
    </row>
    <row r="367" spans="3:3" ht="12.75" customHeight="1" x14ac:dyDescent="0.2">
      <c r="C367" s="18"/>
    </row>
    <row r="368" spans="3:3" ht="12.75" customHeight="1" x14ac:dyDescent="0.2">
      <c r="C368" s="18"/>
    </row>
    <row r="369" spans="3:3" ht="12.75" customHeight="1" x14ac:dyDescent="0.2">
      <c r="C369" s="18"/>
    </row>
    <row r="370" spans="3:3" ht="12.75" customHeight="1" x14ac:dyDescent="0.2">
      <c r="C370" s="18"/>
    </row>
    <row r="371" spans="3:3" ht="12.75" customHeight="1" x14ac:dyDescent="0.2">
      <c r="C371" s="18"/>
    </row>
    <row r="372" spans="3:3" ht="12.75" customHeight="1" x14ac:dyDescent="0.2">
      <c r="C372" s="18"/>
    </row>
  </sheetData>
  <sheetProtection algorithmName="SHA-512" hashValue="+xGbV+SFWQZLl7YSHet+tg8GtnAEOsQ7Jr+Vsk00Lm9LkBtzprEpm5ah97pEdPYpSDpf8moYdOep4P0PeWtVBw==" saltValue="FiMcmk4hm94g0eOATJ5ynw==" spinCount="100000" sheet="1" objects="1" scenarios="1" selectLockedCells="1"/>
  <mergeCells count="3">
    <mergeCell ref="A2:F2"/>
    <mergeCell ref="A4:F4"/>
    <mergeCell ref="A7:F7"/>
  </mergeCells>
  <phoneticPr fontId="0" type="noConversion"/>
  <printOptions horizontalCentered="1"/>
  <pageMargins left="0.51181102362204722" right="0.55118110236220474" top="0.59055118110236227" bottom="0.74803149606299213" header="0.51181102362204722" footer="0.31496062992125984"/>
  <pageSetup paperSize="9" scale="61" fitToHeight="29" orientation="portrait" r:id="rId1"/>
  <headerFooter alignWithMargins="0">
    <oddFooter>&amp;R&amp;P/&amp;N</oddFooter>
  </headerFooter>
  <rowBreaks count="1" manualBreakCount="1">
    <brk id="160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D0F5-AC2D-4109-9151-D204B23D3D1B}">
  <dimension ref="A1:IV256"/>
  <sheetViews>
    <sheetView tabSelected="1" view="pageBreakPreview" topLeftCell="A82" zoomScale="130" zoomScaleNormal="75" zoomScaleSheetLayoutView="130" workbookViewId="0">
      <selection activeCell="E54" sqref="E54"/>
    </sheetView>
  </sheetViews>
  <sheetFormatPr baseColWidth="10" defaultRowHeight="12.75" customHeight="1" x14ac:dyDescent="0.2"/>
  <cols>
    <col min="1" max="1" width="7.5703125" style="50" customWidth="1"/>
    <col min="2" max="2" width="71.140625" style="16" customWidth="1"/>
    <col min="3" max="3" width="9.28515625" style="20" customWidth="1"/>
    <col min="4" max="4" width="17.85546875" style="36" customWidth="1"/>
    <col min="5" max="5" width="13.85546875" style="28" customWidth="1"/>
    <col min="6" max="6" width="16.5703125" style="28" customWidth="1"/>
    <col min="7" max="7" width="11.42578125" style="51"/>
    <col min="8" max="8" width="11.42578125" style="75"/>
    <col min="9" max="16384" width="11.42578125" style="2"/>
  </cols>
  <sheetData>
    <row r="1" spans="1:8" ht="12.75" customHeight="1" thickBot="1" x14ac:dyDescent="0.25">
      <c r="A1" s="9"/>
      <c r="B1" s="1"/>
      <c r="C1" s="18"/>
      <c r="D1" s="18"/>
      <c r="E1" s="42"/>
      <c r="F1" s="43"/>
    </row>
    <row r="2" spans="1:8" ht="15.75" customHeight="1" x14ac:dyDescent="0.25">
      <c r="A2" s="178" t="s">
        <v>301</v>
      </c>
      <c r="B2" s="179"/>
      <c r="C2" s="179"/>
      <c r="D2" s="179"/>
      <c r="E2" s="179"/>
      <c r="F2" s="180"/>
    </row>
    <row r="3" spans="1:8" ht="12.75" customHeight="1" x14ac:dyDescent="0.2">
      <c r="A3" s="10"/>
      <c r="B3" s="6"/>
      <c r="C3" s="17"/>
      <c r="D3" s="17"/>
      <c r="E3" s="17"/>
      <c r="F3" s="106" t="s">
        <v>444</v>
      </c>
    </row>
    <row r="4" spans="1:8" ht="12.75" customHeight="1" x14ac:dyDescent="0.2">
      <c r="A4" s="181" t="s">
        <v>300</v>
      </c>
      <c r="B4" s="182"/>
      <c r="C4" s="182"/>
      <c r="D4" s="182"/>
      <c r="E4" s="182"/>
      <c r="F4" s="183"/>
    </row>
    <row r="5" spans="1:8" ht="12.75" customHeight="1" thickBot="1" x14ac:dyDescent="0.25">
      <c r="A5" s="44"/>
      <c r="B5" s="1"/>
      <c r="C5" s="18"/>
      <c r="D5" s="18"/>
      <c r="E5" s="33"/>
      <c r="F5" s="19"/>
    </row>
    <row r="6" spans="1:8" ht="12.75" customHeight="1" x14ac:dyDescent="0.2">
      <c r="A6" s="45"/>
      <c r="B6" s="7"/>
      <c r="C6" s="34"/>
      <c r="D6" s="34"/>
      <c r="E6" s="34"/>
      <c r="F6" s="40"/>
    </row>
    <row r="7" spans="1:8" ht="15.75" x14ac:dyDescent="0.25">
      <c r="A7" s="184" t="s">
        <v>443</v>
      </c>
      <c r="B7" s="182"/>
      <c r="C7" s="182"/>
      <c r="D7" s="182"/>
      <c r="E7" s="182"/>
      <c r="F7" s="183"/>
    </row>
    <row r="8" spans="1:8" ht="12.75" customHeight="1" thickBot="1" x14ac:dyDescent="0.25">
      <c r="A8" s="46"/>
      <c r="B8" s="8"/>
      <c r="C8" s="35"/>
      <c r="D8" s="35"/>
      <c r="E8" s="35"/>
      <c r="F8" s="41"/>
    </row>
    <row r="9" spans="1:8" ht="12.75" customHeight="1" thickBot="1" x14ac:dyDescent="0.25">
      <c r="A9" s="47"/>
      <c r="B9" s="2"/>
      <c r="D9" s="77"/>
      <c r="E9" s="36"/>
      <c r="F9" s="21"/>
    </row>
    <row r="10" spans="1:8" ht="12.75" customHeight="1" x14ac:dyDescent="0.2">
      <c r="A10" s="48"/>
      <c r="B10" s="5"/>
      <c r="C10" s="22"/>
      <c r="D10" s="24"/>
      <c r="E10" s="37"/>
      <c r="F10" s="23"/>
    </row>
    <row r="11" spans="1:8" s="4" customFormat="1" ht="12.75" customHeight="1" x14ac:dyDescent="0.2">
      <c r="A11" s="11" t="s">
        <v>1</v>
      </c>
      <c r="B11" s="3" t="s">
        <v>6</v>
      </c>
      <c r="C11" s="24" t="s">
        <v>7</v>
      </c>
      <c r="D11" s="24" t="s">
        <v>8</v>
      </c>
      <c r="E11" s="25" t="s">
        <v>9</v>
      </c>
      <c r="F11" s="26" t="s">
        <v>2</v>
      </c>
      <c r="G11" s="27"/>
      <c r="H11" s="76"/>
    </row>
    <row r="12" spans="1:8" s="4" customFormat="1" ht="12.75" customHeight="1" x14ac:dyDescent="0.2">
      <c r="A12" s="52"/>
      <c r="B12" s="53"/>
      <c r="C12" s="54"/>
      <c r="D12" s="54" t="s">
        <v>116</v>
      </c>
      <c r="E12" s="55"/>
      <c r="F12" s="56"/>
      <c r="G12" s="27"/>
      <c r="H12" s="76"/>
    </row>
    <row r="13" spans="1:8" s="4" customFormat="1" ht="15.75" customHeight="1" x14ac:dyDescent="0.2">
      <c r="A13" s="59"/>
      <c r="B13" s="71"/>
      <c r="C13" s="61"/>
      <c r="D13" s="61"/>
      <c r="E13" s="69"/>
      <c r="F13" s="61"/>
      <c r="G13" s="27"/>
      <c r="H13" s="76"/>
    </row>
    <row r="14" spans="1:8" s="4" customFormat="1" ht="12.75" customHeight="1" x14ac:dyDescent="0.2">
      <c r="A14" s="49"/>
      <c r="B14" s="14"/>
      <c r="C14" s="24"/>
      <c r="D14" s="57"/>
      <c r="E14" s="67"/>
      <c r="F14" s="24"/>
      <c r="G14" s="57"/>
      <c r="H14" s="76"/>
    </row>
    <row r="15" spans="1:8" ht="15" customHeight="1" x14ac:dyDescent="0.2">
      <c r="A15" s="49" t="s">
        <v>44</v>
      </c>
      <c r="B15" s="15" t="s">
        <v>26</v>
      </c>
      <c r="C15" s="24"/>
      <c r="D15" s="24"/>
      <c r="E15" s="67"/>
      <c r="F15" s="24"/>
      <c r="G15" s="24"/>
    </row>
    <row r="16" spans="1:8" ht="15" customHeight="1" x14ac:dyDescent="0.2">
      <c r="A16" s="49"/>
      <c r="B16" s="15"/>
      <c r="C16" s="24"/>
      <c r="D16" s="24"/>
      <c r="E16" s="107"/>
      <c r="F16" s="25"/>
      <c r="G16" s="24"/>
    </row>
    <row r="17" spans="1:8" ht="15" customHeight="1" x14ac:dyDescent="0.2">
      <c r="A17" s="49" t="s">
        <v>45</v>
      </c>
      <c r="B17" s="32" t="s">
        <v>24</v>
      </c>
      <c r="C17" s="24" t="s">
        <v>5</v>
      </c>
      <c r="D17" s="38">
        <v>1</v>
      </c>
      <c r="E17" s="80"/>
      <c r="F17" s="81">
        <f t="shared" ref="F17:F21" si="0">D17*E17</f>
        <v>0</v>
      </c>
      <c r="G17" s="38"/>
    </row>
    <row r="18" spans="1:8" s="4" customFormat="1" ht="16.5" customHeight="1" x14ac:dyDescent="0.2">
      <c r="A18" s="49" t="s">
        <v>46</v>
      </c>
      <c r="B18" s="32" t="s">
        <v>27</v>
      </c>
      <c r="C18" s="24" t="s">
        <v>5</v>
      </c>
      <c r="D18" s="38">
        <v>1</v>
      </c>
      <c r="E18" s="80"/>
      <c r="F18" s="81">
        <f t="shared" si="0"/>
        <v>0</v>
      </c>
      <c r="G18" s="38"/>
      <c r="H18" s="75"/>
    </row>
    <row r="19" spans="1:8" s="4" customFormat="1" ht="16.5" customHeight="1" x14ac:dyDescent="0.2">
      <c r="A19" s="49" t="s">
        <v>47</v>
      </c>
      <c r="B19" s="32" t="s">
        <v>157</v>
      </c>
      <c r="C19" s="24" t="s">
        <v>5</v>
      </c>
      <c r="D19" s="38">
        <v>1</v>
      </c>
      <c r="E19" s="80"/>
      <c r="F19" s="81">
        <f t="shared" si="0"/>
        <v>0</v>
      </c>
      <c r="G19" s="38"/>
      <c r="H19" s="75"/>
    </row>
    <row r="20" spans="1:8" s="4" customFormat="1" ht="18" customHeight="1" x14ac:dyDescent="0.2">
      <c r="A20" s="49" t="s">
        <v>48</v>
      </c>
      <c r="B20" s="29" t="s">
        <v>28</v>
      </c>
      <c r="C20" s="24" t="s">
        <v>5</v>
      </c>
      <c r="D20" s="38">
        <v>1</v>
      </c>
      <c r="E20" s="80"/>
      <c r="F20" s="81">
        <f t="shared" si="0"/>
        <v>0</v>
      </c>
      <c r="G20" s="38"/>
      <c r="H20" s="75"/>
    </row>
    <row r="21" spans="1:8" s="4" customFormat="1" ht="18" customHeight="1" x14ac:dyDescent="0.2">
      <c r="A21" s="49" t="s">
        <v>248</v>
      </c>
      <c r="B21" s="29" t="s">
        <v>14</v>
      </c>
      <c r="C21" s="24" t="s">
        <v>5</v>
      </c>
      <c r="D21" s="38">
        <v>1</v>
      </c>
      <c r="E21" s="80"/>
      <c r="F21" s="81">
        <f t="shared" si="0"/>
        <v>0</v>
      </c>
      <c r="G21" s="38"/>
      <c r="H21" s="75"/>
    </row>
    <row r="22" spans="1:8" s="4" customFormat="1" ht="7.5" customHeight="1" x14ac:dyDescent="0.2">
      <c r="A22" s="49"/>
      <c r="B22" s="16"/>
      <c r="C22" s="24"/>
      <c r="D22" s="38"/>
      <c r="E22" s="80"/>
      <c r="F22" s="38"/>
      <c r="G22" s="38"/>
      <c r="H22" s="75"/>
    </row>
    <row r="23" spans="1:8" s="4" customFormat="1" ht="16.5" customHeight="1" x14ac:dyDescent="0.2">
      <c r="A23" s="59"/>
      <c r="B23" s="60" t="s">
        <v>11</v>
      </c>
      <c r="C23" s="61"/>
      <c r="D23" s="61"/>
      <c r="E23" s="108"/>
      <c r="F23" s="73">
        <f>SUM(F17:F21)</f>
        <v>0</v>
      </c>
      <c r="G23" s="38"/>
      <c r="H23" s="75"/>
    </row>
    <row r="24" spans="1:8" s="4" customFormat="1" ht="14.25" customHeight="1" x14ac:dyDescent="0.2">
      <c r="A24" s="49"/>
      <c r="B24" s="29"/>
      <c r="C24" s="24"/>
      <c r="D24" s="25"/>
      <c r="E24" s="109"/>
      <c r="F24" s="25"/>
      <c r="G24" s="38"/>
      <c r="H24" s="75"/>
    </row>
    <row r="25" spans="1:8" s="4" customFormat="1" ht="18.75" customHeight="1" x14ac:dyDescent="0.2">
      <c r="A25" s="49" t="s">
        <v>49</v>
      </c>
      <c r="B25" s="31" t="s">
        <v>41</v>
      </c>
      <c r="C25" s="24"/>
      <c r="D25" s="38"/>
      <c r="E25" s="80"/>
      <c r="F25" s="38"/>
      <c r="G25" s="38"/>
      <c r="H25" s="75"/>
    </row>
    <row r="26" spans="1:8" s="4" customFormat="1" ht="9.75" customHeight="1" x14ac:dyDescent="0.2">
      <c r="A26" s="49"/>
      <c r="B26" s="31"/>
      <c r="C26" s="24"/>
      <c r="D26" s="38"/>
      <c r="E26" s="80"/>
      <c r="F26" s="38"/>
      <c r="G26" s="38"/>
      <c r="H26" s="75"/>
    </row>
    <row r="27" spans="1:8" s="4" customFormat="1" ht="18.75" customHeight="1" x14ac:dyDescent="0.2">
      <c r="A27" s="49" t="s">
        <v>50</v>
      </c>
      <c r="B27" s="16" t="s">
        <v>25</v>
      </c>
      <c r="C27" s="24" t="s">
        <v>12</v>
      </c>
      <c r="D27" s="38">
        <v>5</v>
      </c>
      <c r="E27" s="80"/>
      <c r="F27" s="81">
        <f t="shared" ref="F27:F32" si="1">D27*E27</f>
        <v>0</v>
      </c>
      <c r="G27" s="65"/>
      <c r="H27" s="75"/>
    </row>
    <row r="28" spans="1:8" s="4" customFormat="1" ht="18" customHeight="1" x14ac:dyDescent="0.2">
      <c r="A28" s="49" t="s">
        <v>138</v>
      </c>
      <c r="B28" s="29" t="s">
        <v>291</v>
      </c>
      <c r="C28" s="24" t="s">
        <v>13</v>
      </c>
      <c r="D28" s="38">
        <v>240</v>
      </c>
      <c r="E28" s="80"/>
      <c r="F28" s="81">
        <f t="shared" si="1"/>
        <v>0</v>
      </c>
      <c r="G28" s="65"/>
      <c r="H28" s="75"/>
    </row>
    <row r="29" spans="1:8" s="4" customFormat="1" ht="18" customHeight="1" x14ac:dyDescent="0.2">
      <c r="A29" s="49" t="s">
        <v>158</v>
      </c>
      <c r="B29" s="29" t="s">
        <v>159</v>
      </c>
      <c r="C29" s="24" t="s">
        <v>13</v>
      </c>
      <c r="D29" s="38">
        <v>200</v>
      </c>
      <c r="E29" s="80"/>
      <c r="F29" s="81">
        <f t="shared" si="1"/>
        <v>0</v>
      </c>
      <c r="G29" s="65"/>
      <c r="H29" s="75"/>
    </row>
    <row r="30" spans="1:8" s="4" customFormat="1" ht="18" customHeight="1" x14ac:dyDescent="0.2">
      <c r="A30" s="49" t="s">
        <v>160</v>
      </c>
      <c r="B30" s="29" t="s">
        <v>302</v>
      </c>
      <c r="C30" s="24" t="s">
        <v>13</v>
      </c>
      <c r="D30" s="38">
        <v>80</v>
      </c>
      <c r="E30" s="80"/>
      <c r="F30" s="81">
        <f t="shared" si="1"/>
        <v>0</v>
      </c>
      <c r="G30" s="65"/>
      <c r="H30" s="75"/>
    </row>
    <row r="31" spans="1:8" s="4" customFormat="1" ht="18" customHeight="1" x14ac:dyDescent="0.2">
      <c r="A31" s="49" t="s">
        <v>162</v>
      </c>
      <c r="B31" s="32" t="s">
        <v>445</v>
      </c>
      <c r="C31" s="24" t="s">
        <v>13</v>
      </c>
      <c r="D31" s="38">
        <v>100</v>
      </c>
      <c r="E31" s="80"/>
      <c r="F31" s="81">
        <f t="shared" si="1"/>
        <v>0</v>
      </c>
      <c r="G31" s="65"/>
      <c r="H31" s="75"/>
    </row>
    <row r="32" spans="1:8" s="4" customFormat="1" ht="13.5" customHeight="1" x14ac:dyDescent="0.2">
      <c r="A32" s="49" t="s">
        <v>163</v>
      </c>
      <c r="B32" s="29" t="s">
        <v>446</v>
      </c>
      <c r="C32" s="24" t="s">
        <v>23</v>
      </c>
      <c r="D32" s="38">
        <v>1</v>
      </c>
      <c r="E32" s="80"/>
      <c r="F32" s="81">
        <f t="shared" si="1"/>
        <v>0</v>
      </c>
      <c r="G32" s="65"/>
      <c r="H32" s="75"/>
    </row>
    <row r="33" spans="1:256" s="4" customFormat="1" ht="11.25" customHeight="1" x14ac:dyDescent="0.2">
      <c r="A33" s="49"/>
      <c r="B33" s="29"/>
      <c r="C33" s="24"/>
      <c r="D33" s="38"/>
      <c r="E33" s="80"/>
      <c r="F33" s="38"/>
      <c r="G33" s="38"/>
      <c r="H33" s="75"/>
    </row>
    <row r="34" spans="1:256" s="4" customFormat="1" ht="18" customHeight="1" x14ac:dyDescent="0.2">
      <c r="A34" s="59"/>
      <c r="B34" s="60" t="s">
        <v>11</v>
      </c>
      <c r="C34" s="61"/>
      <c r="D34" s="61"/>
      <c r="E34" s="108"/>
      <c r="F34" s="73">
        <f>SUM(F26:F33)</f>
        <v>0</v>
      </c>
      <c r="G34" s="38"/>
      <c r="H34" s="75"/>
    </row>
    <row r="35" spans="1:256" s="4" customFormat="1" ht="18" customHeight="1" x14ac:dyDescent="0.2">
      <c r="A35" s="49"/>
      <c r="B35" s="29"/>
      <c r="C35" s="24"/>
      <c r="D35" s="25"/>
      <c r="E35" s="109"/>
      <c r="F35" s="25"/>
      <c r="G35" s="38"/>
      <c r="H35" s="75"/>
    </row>
    <row r="36" spans="1:256" s="95" customFormat="1" ht="15.75" customHeight="1" x14ac:dyDescent="0.2">
      <c r="A36" s="89" t="s">
        <v>53</v>
      </c>
      <c r="B36" s="90" t="s">
        <v>39</v>
      </c>
      <c r="C36" s="91"/>
      <c r="D36" s="92"/>
      <c r="E36" s="98"/>
      <c r="F36" s="92"/>
      <c r="G36" s="92"/>
      <c r="H36" s="94"/>
    </row>
    <row r="37" spans="1:256" s="95" customFormat="1" x14ac:dyDescent="0.2">
      <c r="A37" s="89"/>
      <c r="B37" s="90"/>
      <c r="C37" s="91"/>
      <c r="D37" s="92"/>
      <c r="E37" s="98"/>
      <c r="F37" s="92"/>
      <c r="G37" s="92"/>
      <c r="H37" s="94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96"/>
      <c r="EA37" s="96"/>
      <c r="EB37" s="96"/>
      <c r="EC37" s="96"/>
      <c r="ED37" s="96"/>
      <c r="EE37" s="96"/>
      <c r="EF37" s="96"/>
      <c r="EG37" s="96"/>
      <c r="EH37" s="96"/>
      <c r="EI37" s="96"/>
      <c r="EJ37" s="96"/>
      <c r="EK37" s="96"/>
      <c r="EL37" s="96"/>
      <c r="EM37" s="96"/>
      <c r="EN37" s="96"/>
      <c r="EO37" s="96"/>
      <c r="EP37" s="96"/>
      <c r="EQ37" s="96"/>
      <c r="ER37" s="96"/>
      <c r="ES37" s="96"/>
      <c r="ET37" s="96"/>
      <c r="EU37" s="96"/>
      <c r="EV37" s="96"/>
      <c r="EW37" s="96"/>
      <c r="EX37" s="96"/>
      <c r="EY37" s="96"/>
      <c r="EZ37" s="96"/>
      <c r="FA37" s="96"/>
      <c r="FB37" s="96"/>
      <c r="FC37" s="96"/>
      <c r="FD37" s="96"/>
      <c r="FE37" s="96"/>
      <c r="FF37" s="96"/>
      <c r="FG37" s="96"/>
      <c r="FH37" s="96"/>
      <c r="FI37" s="96"/>
      <c r="FJ37" s="96"/>
      <c r="FK37" s="96"/>
      <c r="FL37" s="96"/>
      <c r="FM37" s="96"/>
      <c r="FN37" s="96"/>
      <c r="FO37" s="96"/>
      <c r="FP37" s="96"/>
      <c r="FQ37" s="96"/>
      <c r="FR37" s="96"/>
      <c r="FS37" s="96"/>
      <c r="FT37" s="96"/>
      <c r="FU37" s="96"/>
      <c r="FV37" s="96"/>
      <c r="FW37" s="96"/>
      <c r="FX37" s="96"/>
      <c r="FY37" s="96"/>
      <c r="FZ37" s="96"/>
      <c r="GA37" s="96"/>
      <c r="GB37" s="96"/>
      <c r="GC37" s="96"/>
      <c r="GD37" s="96"/>
      <c r="GE37" s="96"/>
      <c r="GF37" s="96"/>
      <c r="GG37" s="96"/>
      <c r="GH37" s="96"/>
      <c r="GI37" s="96"/>
      <c r="GJ37" s="96"/>
      <c r="GK37" s="96"/>
      <c r="GL37" s="96"/>
      <c r="GM37" s="96"/>
      <c r="GN37" s="96"/>
      <c r="GO37" s="96"/>
      <c r="GP37" s="96"/>
      <c r="GQ37" s="96"/>
      <c r="GR37" s="96"/>
      <c r="GS37" s="96"/>
      <c r="GT37" s="96"/>
      <c r="GU37" s="96"/>
      <c r="GV37" s="96"/>
      <c r="GW37" s="96"/>
      <c r="GX37" s="96"/>
      <c r="GY37" s="96"/>
      <c r="GZ37" s="96"/>
      <c r="HA37" s="96"/>
      <c r="HB37" s="96"/>
      <c r="HC37" s="96"/>
      <c r="HD37" s="96"/>
      <c r="HE37" s="96"/>
      <c r="HF37" s="96"/>
      <c r="HG37" s="96"/>
      <c r="HH37" s="96"/>
      <c r="HI37" s="96"/>
      <c r="HJ37" s="96"/>
      <c r="HK37" s="96"/>
      <c r="HL37" s="96"/>
      <c r="HM37" s="96"/>
      <c r="HN37" s="96"/>
      <c r="HO37" s="96"/>
      <c r="HP37" s="96"/>
      <c r="HQ37" s="96"/>
      <c r="HR37" s="96"/>
      <c r="HS37" s="96"/>
      <c r="HT37" s="96"/>
      <c r="HU37" s="96"/>
      <c r="HV37" s="96"/>
      <c r="HW37" s="96"/>
      <c r="HX37" s="96"/>
      <c r="HY37" s="96"/>
      <c r="HZ37" s="96"/>
      <c r="IA37" s="96"/>
      <c r="IB37" s="96"/>
      <c r="IC37" s="96"/>
      <c r="ID37" s="96"/>
      <c r="IE37" s="96"/>
      <c r="IF37" s="96"/>
      <c r="IG37" s="96"/>
      <c r="IH37" s="96"/>
      <c r="II37" s="96"/>
      <c r="IJ37" s="96"/>
      <c r="IK37" s="96"/>
      <c r="IL37" s="96"/>
      <c r="IM37" s="96"/>
      <c r="IN37" s="96"/>
      <c r="IO37" s="96"/>
      <c r="IP37" s="96"/>
      <c r="IQ37" s="96"/>
      <c r="IR37" s="96"/>
      <c r="IS37" s="96"/>
      <c r="IT37" s="96"/>
      <c r="IU37" s="96"/>
      <c r="IV37" s="96"/>
    </row>
    <row r="38" spans="1:256" s="96" customFormat="1" ht="18.75" customHeight="1" x14ac:dyDescent="0.2">
      <c r="A38" s="89" t="s">
        <v>54</v>
      </c>
      <c r="B38" s="97" t="s">
        <v>470</v>
      </c>
      <c r="C38" s="91"/>
      <c r="D38" s="92"/>
      <c r="E38" s="98"/>
      <c r="F38" s="99"/>
      <c r="G38" s="100"/>
      <c r="H38" s="94"/>
    </row>
    <row r="39" spans="1:256" s="96" customFormat="1" ht="18.75" customHeight="1" x14ac:dyDescent="0.2">
      <c r="A39" s="101" t="s">
        <v>175</v>
      </c>
      <c r="B39" s="97" t="s">
        <v>176</v>
      </c>
      <c r="C39" s="91" t="s">
        <v>4</v>
      </c>
      <c r="D39" s="92">
        <v>30</v>
      </c>
      <c r="E39" s="98"/>
      <c r="F39" s="99">
        <f>D39*E39</f>
        <v>0</v>
      </c>
      <c r="G39" s="100"/>
      <c r="H39" s="94"/>
    </row>
    <row r="40" spans="1:256" s="96" customFormat="1" ht="17.25" customHeight="1" x14ac:dyDescent="0.2">
      <c r="A40" s="89" t="s">
        <v>55</v>
      </c>
      <c r="B40" s="102" t="s">
        <v>51</v>
      </c>
      <c r="C40" s="91" t="s">
        <v>4</v>
      </c>
      <c r="D40" s="92">
        <v>5</v>
      </c>
      <c r="E40" s="98"/>
      <c r="F40" s="99">
        <f t="shared" ref="F40" si="2">D40*E40</f>
        <v>0</v>
      </c>
      <c r="G40" s="92"/>
      <c r="H40" s="94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5"/>
      <c r="CF40" s="95"/>
      <c r="CG40" s="95"/>
      <c r="CH40" s="95"/>
      <c r="CI40" s="95"/>
      <c r="CJ40" s="95"/>
      <c r="CK40" s="95"/>
      <c r="CL40" s="95"/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5"/>
      <c r="DA40" s="95"/>
      <c r="DB40" s="95"/>
      <c r="DC40" s="95"/>
      <c r="DD40" s="95"/>
      <c r="DE40" s="95"/>
      <c r="DF40" s="95"/>
      <c r="DG40" s="95"/>
      <c r="DH40" s="95"/>
      <c r="DI40" s="95"/>
      <c r="DJ40" s="95"/>
      <c r="DK40" s="95"/>
      <c r="DL40" s="95"/>
      <c r="DM40" s="95"/>
      <c r="DN40" s="95"/>
      <c r="DO40" s="95"/>
      <c r="DP40" s="95"/>
      <c r="DQ40" s="95"/>
      <c r="DR40" s="95"/>
      <c r="DS40" s="95"/>
      <c r="DT40" s="95"/>
      <c r="DU40" s="95"/>
      <c r="DV40" s="95"/>
      <c r="DW40" s="95"/>
      <c r="DX40" s="95"/>
      <c r="DY40" s="95"/>
      <c r="DZ40" s="95"/>
      <c r="EA40" s="95"/>
      <c r="EB40" s="95"/>
      <c r="EC40" s="95"/>
      <c r="ED40" s="95"/>
      <c r="EE40" s="95"/>
      <c r="EF40" s="95"/>
      <c r="EG40" s="95"/>
      <c r="EH40" s="95"/>
      <c r="EI40" s="95"/>
      <c r="EJ40" s="95"/>
      <c r="EK40" s="95"/>
      <c r="EL40" s="95"/>
      <c r="EM40" s="95"/>
      <c r="EN40" s="95"/>
      <c r="EO40" s="95"/>
      <c r="EP40" s="95"/>
      <c r="EQ40" s="95"/>
      <c r="ER40" s="95"/>
      <c r="ES40" s="95"/>
      <c r="ET40" s="95"/>
      <c r="EU40" s="95"/>
      <c r="EV40" s="95"/>
      <c r="EW40" s="95"/>
      <c r="EX40" s="95"/>
      <c r="EY40" s="95"/>
      <c r="EZ40" s="95"/>
      <c r="FA40" s="95"/>
      <c r="FB40" s="95"/>
      <c r="FC40" s="95"/>
      <c r="FD40" s="95"/>
      <c r="FE40" s="95"/>
      <c r="FF40" s="95"/>
      <c r="FG40" s="95"/>
      <c r="FH40" s="95"/>
      <c r="FI40" s="95"/>
      <c r="FJ40" s="95"/>
      <c r="FK40" s="95"/>
      <c r="FL40" s="95"/>
      <c r="FM40" s="95"/>
      <c r="FN40" s="95"/>
      <c r="FO40" s="95"/>
      <c r="FP40" s="95"/>
      <c r="FQ40" s="95"/>
      <c r="FR40" s="95"/>
      <c r="FS40" s="95"/>
      <c r="FT40" s="95"/>
      <c r="FU40" s="95"/>
      <c r="FV40" s="95"/>
      <c r="FW40" s="95"/>
      <c r="FX40" s="95"/>
      <c r="FY40" s="95"/>
      <c r="FZ40" s="95"/>
      <c r="GA40" s="95"/>
      <c r="GB40" s="95"/>
      <c r="GC40" s="95"/>
      <c r="GD40" s="95"/>
      <c r="GE40" s="95"/>
      <c r="GF40" s="95"/>
      <c r="GG40" s="95"/>
      <c r="GH40" s="95"/>
      <c r="GI40" s="95"/>
      <c r="GJ40" s="95"/>
      <c r="GK40" s="95"/>
      <c r="GL40" s="95"/>
      <c r="GM40" s="95"/>
      <c r="GN40" s="95"/>
      <c r="GO40" s="95"/>
      <c r="GP40" s="95"/>
      <c r="GQ40" s="95"/>
      <c r="GR40" s="95"/>
      <c r="GS40" s="95"/>
      <c r="GT40" s="95"/>
      <c r="GU40" s="95"/>
      <c r="GV40" s="95"/>
      <c r="GW40" s="95"/>
      <c r="GX40" s="95"/>
      <c r="GY40" s="95"/>
      <c r="GZ40" s="95"/>
      <c r="HA40" s="95"/>
      <c r="HB40" s="95"/>
      <c r="HC40" s="95"/>
      <c r="HD40" s="95"/>
      <c r="HE40" s="95"/>
      <c r="HF40" s="95"/>
      <c r="HG40" s="95"/>
      <c r="HH40" s="95"/>
      <c r="HI40" s="95"/>
      <c r="HJ40" s="95"/>
      <c r="HK40" s="95"/>
      <c r="HL40" s="95"/>
      <c r="HM40" s="95"/>
      <c r="HN40" s="95"/>
      <c r="HO40" s="95"/>
      <c r="HP40" s="95"/>
      <c r="HQ40" s="95"/>
      <c r="HR40" s="95"/>
      <c r="HS40" s="95"/>
      <c r="HT40" s="95"/>
      <c r="HU40" s="95"/>
      <c r="HV40" s="95"/>
      <c r="HW40" s="95"/>
      <c r="HX40" s="95"/>
      <c r="HY40" s="95"/>
      <c r="HZ40" s="95"/>
      <c r="IA40" s="95"/>
      <c r="IB40" s="95"/>
      <c r="IC40" s="95"/>
      <c r="ID40" s="95"/>
      <c r="IE40" s="95"/>
      <c r="IF40" s="95"/>
      <c r="IG40" s="95"/>
      <c r="IH40" s="95"/>
      <c r="II40" s="95"/>
      <c r="IJ40" s="95"/>
      <c r="IK40" s="95"/>
      <c r="IL40" s="95"/>
      <c r="IM40" s="95"/>
      <c r="IN40" s="95"/>
      <c r="IO40" s="95"/>
      <c r="IP40" s="95"/>
      <c r="IQ40" s="95"/>
      <c r="IR40" s="95"/>
      <c r="IS40" s="95"/>
      <c r="IT40" s="95"/>
      <c r="IU40" s="95"/>
      <c r="IV40" s="95"/>
    </row>
    <row r="41" spans="1:256" s="96" customFormat="1" ht="17.25" customHeight="1" x14ac:dyDescent="0.2">
      <c r="A41" s="89" t="s">
        <v>56</v>
      </c>
      <c r="B41" s="97" t="s">
        <v>52</v>
      </c>
      <c r="C41" s="91" t="s">
        <v>4</v>
      </c>
      <c r="D41" s="92">
        <v>6</v>
      </c>
      <c r="E41" s="98"/>
      <c r="F41" s="99"/>
      <c r="G41" s="92"/>
      <c r="H41" s="94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95"/>
      <c r="CK41" s="95"/>
      <c r="CL41" s="95"/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5"/>
      <c r="DA41" s="95"/>
      <c r="DB41" s="95"/>
      <c r="DC41" s="95"/>
      <c r="DD41" s="95"/>
      <c r="DE41" s="95"/>
      <c r="DF41" s="95"/>
      <c r="DG41" s="95"/>
      <c r="DH41" s="95"/>
      <c r="DI41" s="95"/>
      <c r="DJ41" s="95"/>
      <c r="DK41" s="95"/>
      <c r="DL41" s="95"/>
      <c r="DM41" s="95"/>
      <c r="DN41" s="95"/>
      <c r="DO41" s="95"/>
      <c r="DP41" s="95"/>
      <c r="DQ41" s="95"/>
      <c r="DR41" s="95"/>
      <c r="DS41" s="95"/>
      <c r="DT41" s="95"/>
      <c r="DU41" s="95"/>
      <c r="DV41" s="95"/>
      <c r="DW41" s="95"/>
      <c r="DX41" s="95"/>
      <c r="DY41" s="95"/>
      <c r="DZ41" s="95"/>
      <c r="EA41" s="95"/>
      <c r="EB41" s="95"/>
      <c r="EC41" s="95"/>
      <c r="ED41" s="95"/>
      <c r="EE41" s="95"/>
      <c r="EF41" s="95"/>
      <c r="EG41" s="95"/>
      <c r="EH41" s="95"/>
      <c r="EI41" s="95"/>
      <c r="EJ41" s="95"/>
      <c r="EK41" s="95"/>
      <c r="EL41" s="95"/>
      <c r="EM41" s="95"/>
      <c r="EN41" s="95"/>
      <c r="EO41" s="95"/>
      <c r="EP41" s="95"/>
      <c r="EQ41" s="95"/>
      <c r="ER41" s="95"/>
      <c r="ES41" s="95"/>
      <c r="ET41" s="95"/>
      <c r="EU41" s="95"/>
      <c r="EV41" s="95"/>
      <c r="EW41" s="95"/>
      <c r="EX41" s="95"/>
      <c r="EY41" s="95"/>
      <c r="EZ41" s="95"/>
      <c r="FA41" s="95"/>
      <c r="FB41" s="95"/>
      <c r="FC41" s="95"/>
      <c r="FD41" s="95"/>
      <c r="FE41" s="95"/>
      <c r="FF41" s="95"/>
      <c r="FG41" s="95"/>
      <c r="FH41" s="95"/>
      <c r="FI41" s="95"/>
      <c r="FJ41" s="95"/>
      <c r="FK41" s="95"/>
      <c r="FL41" s="95"/>
      <c r="FM41" s="95"/>
      <c r="FN41" s="95"/>
      <c r="FO41" s="95"/>
      <c r="FP41" s="95"/>
      <c r="FQ41" s="95"/>
      <c r="FR41" s="95"/>
      <c r="FS41" s="95"/>
      <c r="FT41" s="95"/>
      <c r="FU41" s="95"/>
      <c r="FV41" s="95"/>
      <c r="FW41" s="95"/>
      <c r="FX41" s="95"/>
      <c r="FY41" s="95"/>
      <c r="FZ41" s="95"/>
      <c r="GA41" s="95"/>
      <c r="GB41" s="95"/>
      <c r="GC41" s="95"/>
      <c r="GD41" s="95"/>
      <c r="GE41" s="95"/>
      <c r="GF41" s="95"/>
      <c r="GG41" s="95"/>
      <c r="GH41" s="95"/>
      <c r="GI41" s="95"/>
      <c r="GJ41" s="95"/>
      <c r="GK41" s="95"/>
      <c r="GL41" s="95"/>
      <c r="GM41" s="95"/>
      <c r="GN41" s="95"/>
      <c r="GO41" s="95"/>
      <c r="GP41" s="95"/>
      <c r="GQ41" s="95"/>
      <c r="GR41" s="95"/>
      <c r="GS41" s="95"/>
      <c r="GT41" s="95"/>
      <c r="GU41" s="95"/>
      <c r="GV41" s="95"/>
      <c r="GW41" s="95"/>
      <c r="GX41" s="95"/>
      <c r="GY41" s="95"/>
      <c r="GZ41" s="95"/>
      <c r="HA41" s="95"/>
      <c r="HB41" s="95"/>
      <c r="HC41" s="95"/>
      <c r="HD41" s="95"/>
      <c r="HE41" s="95"/>
      <c r="HF41" s="95"/>
      <c r="HG41" s="95"/>
      <c r="HH41" s="95"/>
      <c r="HI41" s="95"/>
      <c r="HJ41" s="95"/>
      <c r="HK41" s="95"/>
      <c r="HL41" s="95"/>
      <c r="HM41" s="95"/>
      <c r="HN41" s="95"/>
      <c r="HO41" s="95"/>
      <c r="HP41" s="95"/>
      <c r="HQ41" s="95"/>
      <c r="HR41" s="95"/>
      <c r="HS41" s="95"/>
      <c r="HT41" s="95"/>
      <c r="HU41" s="95"/>
      <c r="HV41" s="95"/>
      <c r="HW41" s="95"/>
      <c r="HX41" s="95"/>
      <c r="HY41" s="95"/>
      <c r="HZ41" s="95"/>
      <c r="IA41" s="95"/>
      <c r="IB41" s="95"/>
      <c r="IC41" s="95"/>
      <c r="ID41" s="95"/>
      <c r="IE41" s="95"/>
      <c r="IF41" s="95"/>
      <c r="IG41" s="95"/>
      <c r="IH41" s="95"/>
      <c r="II41" s="95"/>
      <c r="IJ41" s="95"/>
      <c r="IK41" s="95"/>
      <c r="IL41" s="95"/>
      <c r="IM41" s="95"/>
      <c r="IN41" s="95"/>
      <c r="IO41" s="95"/>
      <c r="IP41" s="95"/>
      <c r="IQ41" s="95"/>
      <c r="IR41" s="95"/>
      <c r="IS41" s="95"/>
      <c r="IT41" s="95"/>
      <c r="IU41" s="95"/>
      <c r="IV41" s="95"/>
    </row>
    <row r="42" spans="1:256" s="96" customFormat="1" ht="17.25" customHeight="1" x14ac:dyDescent="0.2">
      <c r="A42" s="89" t="s">
        <v>57</v>
      </c>
      <c r="B42" s="103" t="s">
        <v>133</v>
      </c>
      <c r="C42" s="91" t="s">
        <v>4</v>
      </c>
      <c r="D42" s="92">
        <v>10</v>
      </c>
      <c r="E42" s="98"/>
      <c r="F42" s="99">
        <f>D42*E42</f>
        <v>0</v>
      </c>
      <c r="G42" s="92"/>
      <c r="H42" s="94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95"/>
      <c r="CK42" s="95"/>
      <c r="CL42" s="95"/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  <c r="DC42" s="95"/>
      <c r="DD42" s="95"/>
      <c r="DE42" s="95"/>
      <c r="DF42" s="95"/>
      <c r="DG42" s="95"/>
      <c r="DH42" s="95"/>
      <c r="DI42" s="95"/>
      <c r="DJ42" s="95"/>
      <c r="DK42" s="95"/>
      <c r="DL42" s="95"/>
      <c r="DM42" s="95"/>
      <c r="DN42" s="95"/>
      <c r="DO42" s="95"/>
      <c r="DP42" s="95"/>
      <c r="DQ42" s="95"/>
      <c r="DR42" s="95"/>
      <c r="DS42" s="95"/>
      <c r="DT42" s="95"/>
      <c r="DU42" s="95"/>
      <c r="DV42" s="95"/>
      <c r="DW42" s="95"/>
      <c r="DX42" s="95"/>
      <c r="DY42" s="95"/>
      <c r="DZ42" s="95"/>
      <c r="EA42" s="95"/>
      <c r="EB42" s="95"/>
      <c r="EC42" s="95"/>
      <c r="ED42" s="95"/>
      <c r="EE42" s="95"/>
      <c r="EF42" s="95"/>
      <c r="EG42" s="95"/>
      <c r="EH42" s="95"/>
      <c r="EI42" s="95"/>
      <c r="EJ42" s="95"/>
      <c r="EK42" s="95"/>
      <c r="EL42" s="95"/>
      <c r="EM42" s="95"/>
      <c r="EN42" s="95"/>
      <c r="EO42" s="95"/>
      <c r="EP42" s="95"/>
      <c r="EQ42" s="95"/>
      <c r="ER42" s="95"/>
      <c r="ES42" s="95"/>
      <c r="ET42" s="95"/>
      <c r="EU42" s="95"/>
      <c r="EV42" s="95"/>
      <c r="EW42" s="95"/>
      <c r="EX42" s="95"/>
      <c r="EY42" s="95"/>
      <c r="EZ42" s="95"/>
      <c r="FA42" s="95"/>
      <c r="FB42" s="95"/>
      <c r="FC42" s="95"/>
      <c r="FD42" s="95"/>
      <c r="FE42" s="95"/>
      <c r="FF42" s="95"/>
      <c r="FG42" s="95"/>
      <c r="FH42" s="95"/>
      <c r="FI42" s="95"/>
      <c r="FJ42" s="95"/>
      <c r="FK42" s="95"/>
      <c r="FL42" s="95"/>
      <c r="FM42" s="95"/>
      <c r="FN42" s="95"/>
      <c r="FO42" s="95"/>
      <c r="FP42" s="95"/>
      <c r="FQ42" s="95"/>
      <c r="FR42" s="95"/>
      <c r="FS42" s="95"/>
      <c r="FT42" s="95"/>
      <c r="FU42" s="95"/>
      <c r="FV42" s="95"/>
      <c r="FW42" s="95"/>
      <c r="FX42" s="95"/>
      <c r="FY42" s="95"/>
      <c r="FZ42" s="95"/>
      <c r="GA42" s="95"/>
      <c r="GB42" s="95"/>
      <c r="GC42" s="95"/>
      <c r="GD42" s="95"/>
      <c r="GE42" s="95"/>
      <c r="GF42" s="95"/>
      <c r="GG42" s="95"/>
      <c r="GH42" s="95"/>
      <c r="GI42" s="95"/>
      <c r="GJ42" s="95"/>
      <c r="GK42" s="95"/>
      <c r="GL42" s="95"/>
      <c r="GM42" s="95"/>
      <c r="GN42" s="95"/>
      <c r="GO42" s="95"/>
      <c r="GP42" s="95"/>
      <c r="GQ42" s="95"/>
      <c r="GR42" s="95"/>
      <c r="GS42" s="95"/>
      <c r="GT42" s="95"/>
      <c r="GU42" s="95"/>
      <c r="GV42" s="95"/>
      <c r="GW42" s="95"/>
      <c r="GX42" s="95"/>
      <c r="GY42" s="95"/>
      <c r="GZ42" s="95"/>
      <c r="HA42" s="95"/>
      <c r="HB42" s="95"/>
      <c r="HC42" s="95"/>
      <c r="HD42" s="95"/>
      <c r="HE42" s="95"/>
      <c r="HF42" s="95"/>
      <c r="HG42" s="95"/>
      <c r="HH42" s="95"/>
      <c r="HI42" s="95"/>
      <c r="HJ42" s="95"/>
      <c r="HK42" s="95"/>
      <c r="HL42" s="95"/>
      <c r="HM42" s="95"/>
      <c r="HN42" s="95"/>
      <c r="HO42" s="95"/>
      <c r="HP42" s="95"/>
      <c r="HQ42" s="95"/>
      <c r="HR42" s="95"/>
      <c r="HS42" s="95"/>
      <c r="HT42" s="95"/>
      <c r="HU42" s="95"/>
      <c r="HV42" s="95"/>
      <c r="HW42" s="95"/>
      <c r="HX42" s="95"/>
      <c r="HY42" s="95"/>
      <c r="HZ42" s="95"/>
      <c r="IA42" s="95"/>
      <c r="IB42" s="95"/>
      <c r="IC42" s="95"/>
      <c r="ID42" s="95"/>
      <c r="IE42" s="95"/>
      <c r="IF42" s="95"/>
      <c r="IG42" s="95"/>
      <c r="IH42" s="95"/>
      <c r="II42" s="95"/>
      <c r="IJ42" s="95"/>
      <c r="IK42" s="95"/>
      <c r="IL42" s="95"/>
      <c r="IM42" s="95"/>
      <c r="IN42" s="95"/>
      <c r="IO42" s="95"/>
      <c r="IP42" s="95"/>
      <c r="IQ42" s="95"/>
      <c r="IR42" s="95"/>
      <c r="IS42" s="95"/>
      <c r="IT42" s="95"/>
      <c r="IU42" s="95"/>
      <c r="IV42" s="95"/>
    </row>
    <row r="43" spans="1:256" s="95" customFormat="1" ht="26.25" customHeight="1" x14ac:dyDescent="0.2">
      <c r="A43" s="89" t="s">
        <v>139</v>
      </c>
      <c r="B43" s="103" t="s">
        <v>288</v>
      </c>
      <c r="C43" s="91" t="s">
        <v>4</v>
      </c>
      <c r="D43" s="92">
        <v>20</v>
      </c>
      <c r="E43" s="98"/>
      <c r="F43" s="99">
        <f>D43*E43</f>
        <v>0</v>
      </c>
      <c r="G43" s="100"/>
      <c r="H43" s="94"/>
    </row>
    <row r="44" spans="1:256" s="96" customFormat="1" ht="17.25" customHeight="1" x14ac:dyDescent="0.2">
      <c r="A44" s="89" t="s">
        <v>173</v>
      </c>
      <c r="B44" s="103" t="s">
        <v>43</v>
      </c>
      <c r="C44" s="91" t="s">
        <v>5</v>
      </c>
      <c r="D44" s="92">
        <v>1</v>
      </c>
      <c r="E44" s="98"/>
      <c r="F44" s="99">
        <f>D44*E44</f>
        <v>0</v>
      </c>
      <c r="G44" s="92"/>
      <c r="H44" s="94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95"/>
      <c r="CJ44" s="95"/>
      <c r="CK44" s="95"/>
      <c r="CL44" s="95"/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5"/>
      <c r="DA44" s="95"/>
      <c r="DB44" s="95"/>
      <c r="DC44" s="95"/>
      <c r="DD44" s="95"/>
      <c r="DE44" s="95"/>
      <c r="DF44" s="95"/>
      <c r="DG44" s="95"/>
      <c r="DH44" s="95"/>
      <c r="DI44" s="95"/>
      <c r="DJ44" s="95"/>
      <c r="DK44" s="95"/>
      <c r="DL44" s="95"/>
      <c r="DM44" s="95"/>
      <c r="DN44" s="95"/>
      <c r="DO44" s="95"/>
      <c r="DP44" s="95"/>
      <c r="DQ44" s="95"/>
      <c r="DR44" s="95"/>
      <c r="DS44" s="95"/>
      <c r="DT44" s="95"/>
      <c r="DU44" s="95"/>
      <c r="DV44" s="95"/>
      <c r="DW44" s="95"/>
      <c r="DX44" s="95"/>
      <c r="DY44" s="95"/>
      <c r="DZ44" s="95"/>
      <c r="EA44" s="95"/>
      <c r="EB44" s="95"/>
      <c r="EC44" s="95"/>
      <c r="ED44" s="95"/>
      <c r="EE44" s="95"/>
      <c r="EF44" s="95"/>
      <c r="EG44" s="95"/>
      <c r="EH44" s="95"/>
      <c r="EI44" s="95"/>
      <c r="EJ44" s="95"/>
      <c r="EK44" s="95"/>
      <c r="EL44" s="95"/>
      <c r="EM44" s="95"/>
      <c r="EN44" s="95"/>
      <c r="EO44" s="95"/>
      <c r="EP44" s="95"/>
      <c r="EQ44" s="95"/>
      <c r="ER44" s="95"/>
      <c r="ES44" s="95"/>
      <c r="ET44" s="95"/>
      <c r="EU44" s="95"/>
      <c r="EV44" s="95"/>
      <c r="EW44" s="95"/>
      <c r="EX44" s="95"/>
      <c r="EY44" s="95"/>
      <c r="EZ44" s="95"/>
      <c r="FA44" s="95"/>
      <c r="FB44" s="95"/>
      <c r="FC44" s="95"/>
      <c r="FD44" s="95"/>
      <c r="FE44" s="95"/>
      <c r="FF44" s="95"/>
      <c r="FG44" s="95"/>
      <c r="FH44" s="95"/>
      <c r="FI44" s="95"/>
      <c r="FJ44" s="95"/>
      <c r="FK44" s="95"/>
      <c r="FL44" s="95"/>
      <c r="FM44" s="95"/>
      <c r="FN44" s="95"/>
      <c r="FO44" s="95"/>
      <c r="FP44" s="95"/>
      <c r="FQ44" s="95"/>
      <c r="FR44" s="95"/>
      <c r="FS44" s="95"/>
      <c r="FT44" s="95"/>
      <c r="FU44" s="95"/>
      <c r="FV44" s="95"/>
      <c r="FW44" s="95"/>
      <c r="FX44" s="95"/>
      <c r="FY44" s="95"/>
      <c r="FZ44" s="95"/>
      <c r="GA44" s="95"/>
      <c r="GB44" s="95"/>
      <c r="GC44" s="95"/>
      <c r="GD44" s="95"/>
      <c r="GE44" s="95"/>
      <c r="GF44" s="95"/>
      <c r="GG44" s="95"/>
      <c r="GH44" s="95"/>
      <c r="GI44" s="95"/>
      <c r="GJ44" s="95"/>
      <c r="GK44" s="95"/>
      <c r="GL44" s="95"/>
      <c r="GM44" s="95"/>
      <c r="GN44" s="95"/>
      <c r="GO44" s="95"/>
      <c r="GP44" s="95"/>
      <c r="GQ44" s="95"/>
      <c r="GR44" s="95"/>
      <c r="GS44" s="95"/>
      <c r="GT44" s="95"/>
      <c r="GU44" s="95"/>
      <c r="GV44" s="95"/>
      <c r="GW44" s="95"/>
      <c r="GX44" s="95"/>
      <c r="GY44" s="95"/>
      <c r="GZ44" s="95"/>
      <c r="HA44" s="95"/>
      <c r="HB44" s="95"/>
      <c r="HC44" s="95"/>
      <c r="HD44" s="95"/>
      <c r="HE44" s="95"/>
      <c r="HF44" s="95"/>
      <c r="HG44" s="95"/>
      <c r="HH44" s="95"/>
      <c r="HI44" s="95"/>
      <c r="HJ44" s="95"/>
      <c r="HK44" s="95"/>
      <c r="HL44" s="95"/>
      <c r="HM44" s="95"/>
      <c r="HN44" s="95"/>
      <c r="HO44" s="95"/>
      <c r="HP44" s="95"/>
      <c r="HQ44" s="95"/>
      <c r="HR44" s="95"/>
      <c r="HS44" s="95"/>
      <c r="HT44" s="95"/>
      <c r="HU44" s="95"/>
      <c r="HV44" s="95"/>
      <c r="HW44" s="95"/>
      <c r="HX44" s="95"/>
      <c r="HY44" s="95"/>
      <c r="HZ44" s="95"/>
      <c r="IA44" s="95"/>
      <c r="IB44" s="95"/>
      <c r="IC44" s="95"/>
      <c r="ID44" s="95"/>
      <c r="IE44" s="95"/>
      <c r="IF44" s="95"/>
      <c r="IG44" s="95"/>
      <c r="IH44" s="95"/>
      <c r="II44" s="95"/>
      <c r="IJ44" s="95"/>
      <c r="IK44" s="95"/>
      <c r="IL44" s="95"/>
      <c r="IM44" s="95"/>
      <c r="IN44" s="95"/>
      <c r="IO44" s="95"/>
      <c r="IP44" s="95"/>
      <c r="IQ44" s="95"/>
      <c r="IR44" s="95"/>
      <c r="IS44" s="95"/>
      <c r="IT44" s="95"/>
      <c r="IU44" s="95"/>
      <c r="IV44" s="95"/>
    </row>
    <row r="45" spans="1:256" s="4" customFormat="1" ht="17.25" customHeight="1" x14ac:dyDescent="0.2">
      <c r="A45" s="49"/>
      <c r="B45" s="32"/>
      <c r="C45" s="24"/>
      <c r="D45" s="38"/>
      <c r="E45" s="80"/>
      <c r="F45" s="38"/>
      <c r="G45" s="38"/>
      <c r="H45" s="75"/>
    </row>
    <row r="46" spans="1:256" s="4" customFormat="1" ht="20.25" customHeight="1" x14ac:dyDescent="0.2">
      <c r="A46" s="59"/>
      <c r="B46" s="60" t="s">
        <v>11</v>
      </c>
      <c r="C46" s="61"/>
      <c r="D46" s="61"/>
      <c r="E46" s="108"/>
      <c r="F46" s="73">
        <f>SUM(F39:F44)</f>
        <v>0</v>
      </c>
      <c r="G46" s="38"/>
      <c r="H46" s="75"/>
    </row>
    <row r="47" spans="1:256" s="4" customFormat="1" ht="20.25" customHeight="1" x14ac:dyDescent="0.2">
      <c r="A47" s="49"/>
      <c r="B47" s="29"/>
      <c r="C47" s="24"/>
      <c r="D47" s="38"/>
      <c r="E47" s="80"/>
      <c r="F47" s="38"/>
      <c r="G47" s="38"/>
      <c r="H47" s="7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</row>
    <row r="48" spans="1:256" s="4" customFormat="1" ht="16.5" customHeight="1" x14ac:dyDescent="0.2">
      <c r="A48" s="49" t="s">
        <v>58</v>
      </c>
      <c r="B48" s="31" t="s">
        <v>42</v>
      </c>
      <c r="C48" s="24"/>
      <c r="D48" s="38"/>
      <c r="E48" s="80"/>
      <c r="F48" s="38"/>
      <c r="G48" s="38"/>
      <c r="H48" s="75"/>
    </row>
    <row r="49" spans="1:256" s="4" customFormat="1" ht="14.25" customHeight="1" x14ac:dyDescent="0.2">
      <c r="A49" s="49"/>
      <c r="B49" s="31"/>
      <c r="C49" s="24"/>
      <c r="D49" s="38"/>
      <c r="E49" s="80"/>
      <c r="F49" s="38"/>
      <c r="G49" s="38"/>
      <c r="H49" s="7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</row>
    <row r="50" spans="1:256" s="4" customFormat="1" ht="20.25" customHeight="1" x14ac:dyDescent="0.2">
      <c r="A50" s="49" t="s">
        <v>59</v>
      </c>
      <c r="B50" s="32" t="s">
        <v>181</v>
      </c>
      <c r="C50" s="24" t="s">
        <v>13</v>
      </c>
      <c r="D50" s="38">
        <v>200</v>
      </c>
      <c r="E50" s="80"/>
      <c r="F50" s="81">
        <f>D50*E50</f>
        <v>0</v>
      </c>
      <c r="G50" s="38"/>
      <c r="H50" s="7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</row>
    <row r="51" spans="1:256" s="4" customFormat="1" ht="18.75" customHeight="1" x14ac:dyDescent="0.2">
      <c r="A51" s="49" t="s">
        <v>60</v>
      </c>
      <c r="B51" s="32" t="s">
        <v>134</v>
      </c>
      <c r="C51" s="24"/>
      <c r="D51" s="38"/>
      <c r="E51" s="80"/>
      <c r="F51" s="81"/>
      <c r="G51" s="38"/>
      <c r="H51" s="7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</row>
    <row r="52" spans="1:256" s="4" customFormat="1" ht="18" customHeight="1" x14ac:dyDescent="0.2">
      <c r="A52" s="70" t="s">
        <v>61</v>
      </c>
      <c r="B52" s="16" t="s">
        <v>323</v>
      </c>
      <c r="C52" s="24" t="s">
        <v>4</v>
      </c>
      <c r="D52" s="38">
        <v>150</v>
      </c>
      <c r="E52" s="80"/>
      <c r="F52" s="81">
        <f t="shared" ref="F52:F70" si="3">D52*E52</f>
        <v>0</v>
      </c>
      <c r="G52" s="38"/>
      <c r="H52" s="75"/>
    </row>
    <row r="53" spans="1:256" ht="18" customHeight="1" x14ac:dyDescent="0.2">
      <c r="A53" s="49" t="s">
        <v>63</v>
      </c>
      <c r="B53" s="32" t="s">
        <v>119</v>
      </c>
      <c r="C53" s="24"/>
      <c r="D53" s="38"/>
      <c r="E53" s="80"/>
      <c r="F53" s="81"/>
      <c r="G53" s="3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</row>
    <row r="54" spans="1:256" ht="19.5" customHeight="1" x14ac:dyDescent="0.2">
      <c r="A54" s="70" t="s">
        <v>64</v>
      </c>
      <c r="B54" s="16" t="s">
        <v>325</v>
      </c>
      <c r="C54" s="24" t="s">
        <v>4</v>
      </c>
      <c r="D54" s="38">
        <v>10</v>
      </c>
      <c r="E54" s="80"/>
      <c r="F54" s="81">
        <f t="shared" si="3"/>
        <v>0</v>
      </c>
      <c r="G54" s="38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</row>
    <row r="55" spans="1:256" ht="16.5" customHeight="1" x14ac:dyDescent="0.2">
      <c r="A55" s="49" t="s">
        <v>65</v>
      </c>
      <c r="B55" s="32" t="s">
        <v>184</v>
      </c>
      <c r="C55" s="24" t="s">
        <v>5</v>
      </c>
      <c r="D55" s="38">
        <v>1</v>
      </c>
      <c r="E55" s="80"/>
      <c r="F55" s="81">
        <f t="shared" si="3"/>
        <v>0</v>
      </c>
      <c r="G55" s="38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</row>
    <row r="56" spans="1:256" ht="27" customHeight="1" x14ac:dyDescent="0.2">
      <c r="A56" s="49" t="s">
        <v>66</v>
      </c>
      <c r="B56" s="16" t="s">
        <v>30</v>
      </c>
      <c r="C56" s="24"/>
      <c r="D56" s="38"/>
      <c r="E56" s="80"/>
      <c r="F56" s="81"/>
      <c r="G56" s="38"/>
    </row>
    <row r="57" spans="1:256" ht="18" customHeight="1" x14ac:dyDescent="0.2">
      <c r="A57" s="70" t="s">
        <v>182</v>
      </c>
      <c r="B57" s="16" t="s">
        <v>326</v>
      </c>
      <c r="C57" s="24" t="s">
        <v>13</v>
      </c>
      <c r="D57" s="38">
        <v>200</v>
      </c>
      <c r="E57" s="80"/>
      <c r="F57" s="81">
        <f t="shared" si="3"/>
        <v>0</v>
      </c>
      <c r="G57" s="38"/>
    </row>
    <row r="58" spans="1:256" ht="18" customHeight="1" x14ac:dyDescent="0.2">
      <c r="A58" s="49" t="s">
        <v>67</v>
      </c>
      <c r="B58" s="32" t="s">
        <v>29</v>
      </c>
      <c r="C58" s="24"/>
      <c r="D58" s="38"/>
      <c r="E58" s="80"/>
      <c r="F58" s="81"/>
      <c r="G58" s="38"/>
    </row>
    <row r="59" spans="1:256" ht="18.75" customHeight="1" x14ac:dyDescent="0.2">
      <c r="A59" s="70" t="s">
        <v>68</v>
      </c>
      <c r="B59" s="16" t="s">
        <v>327</v>
      </c>
      <c r="C59" s="24" t="s">
        <v>13</v>
      </c>
      <c r="D59" s="38">
        <v>200</v>
      </c>
      <c r="E59" s="80"/>
      <c r="F59" s="81">
        <f t="shared" si="3"/>
        <v>0</v>
      </c>
      <c r="G59" s="38"/>
    </row>
    <row r="60" spans="1:256" ht="18.75" customHeight="1" x14ac:dyDescent="0.2">
      <c r="A60" s="49" t="s">
        <v>121</v>
      </c>
      <c r="B60" s="32" t="s">
        <v>31</v>
      </c>
      <c r="C60" s="24"/>
      <c r="D60" s="38"/>
      <c r="E60" s="80"/>
      <c r="F60" s="81"/>
      <c r="G60" s="38"/>
    </row>
    <row r="61" spans="1:256" ht="18.75" customHeight="1" x14ac:dyDescent="0.2">
      <c r="A61" s="70" t="s">
        <v>122</v>
      </c>
      <c r="B61" s="16" t="s">
        <v>471</v>
      </c>
      <c r="C61" s="24" t="s">
        <v>13</v>
      </c>
      <c r="D61" s="38">
        <v>200</v>
      </c>
      <c r="E61" s="80"/>
      <c r="F61" s="81">
        <f t="shared" si="3"/>
        <v>0</v>
      </c>
      <c r="G61" s="38"/>
    </row>
    <row r="62" spans="1:256" ht="18.75" customHeight="1" x14ac:dyDescent="0.2">
      <c r="A62" s="70" t="s">
        <v>472</v>
      </c>
      <c r="B62" s="16" t="s">
        <v>183</v>
      </c>
      <c r="C62" s="24" t="s">
        <v>13</v>
      </c>
      <c r="D62" s="38">
        <v>0</v>
      </c>
      <c r="E62" s="80"/>
      <c r="F62" s="81">
        <f t="shared" ref="F62" si="4">D62*E62</f>
        <v>0</v>
      </c>
      <c r="G62" s="38"/>
    </row>
    <row r="63" spans="1:256" ht="18" customHeight="1" x14ac:dyDescent="0.2">
      <c r="A63" s="49" t="s">
        <v>69</v>
      </c>
      <c r="B63" s="32" t="s">
        <v>447</v>
      </c>
      <c r="C63" s="24"/>
      <c r="D63" s="38"/>
      <c r="E63" s="80"/>
      <c r="F63" s="81"/>
      <c r="G63" s="38"/>
    </row>
    <row r="64" spans="1:256" ht="19.5" customHeight="1" x14ac:dyDescent="0.2">
      <c r="A64" s="70" t="s">
        <v>448</v>
      </c>
      <c r="B64" s="16" t="s">
        <v>473</v>
      </c>
      <c r="C64" s="24" t="s">
        <v>13</v>
      </c>
      <c r="D64" s="38">
        <v>200</v>
      </c>
      <c r="E64" s="80"/>
      <c r="F64" s="81">
        <f t="shared" si="3"/>
        <v>0</v>
      </c>
      <c r="G64" s="38"/>
    </row>
    <row r="65" spans="1:256" s="4" customFormat="1" ht="18" customHeight="1" x14ac:dyDescent="0.2">
      <c r="A65" s="49" t="s">
        <v>123</v>
      </c>
      <c r="B65" s="32" t="s">
        <v>449</v>
      </c>
      <c r="C65" s="24" t="s">
        <v>13</v>
      </c>
      <c r="D65" s="38">
        <v>100</v>
      </c>
      <c r="E65" s="80"/>
      <c r="F65" s="81">
        <f t="shared" si="3"/>
        <v>0</v>
      </c>
      <c r="G65" s="38"/>
      <c r="H65" s="7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</row>
    <row r="66" spans="1:256" ht="17.25" customHeight="1" x14ac:dyDescent="0.2">
      <c r="A66" s="49" t="s">
        <v>141</v>
      </c>
      <c r="B66" s="29" t="s">
        <v>172</v>
      </c>
      <c r="C66" s="24"/>
      <c r="D66" s="38"/>
      <c r="E66" s="80"/>
      <c r="F66" s="81"/>
      <c r="G66" s="38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</row>
    <row r="67" spans="1:256" ht="17.25" customHeight="1" x14ac:dyDescent="0.2">
      <c r="A67" s="70" t="s">
        <v>450</v>
      </c>
      <c r="B67" s="30" t="s">
        <v>451</v>
      </c>
      <c r="C67" s="24" t="s">
        <v>3</v>
      </c>
      <c r="D67" s="38">
        <v>13</v>
      </c>
      <c r="E67" s="80"/>
      <c r="F67" s="81">
        <f t="shared" si="3"/>
        <v>0</v>
      </c>
      <c r="G67" s="38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</row>
    <row r="68" spans="1:256" ht="17.25" customHeight="1" x14ac:dyDescent="0.2">
      <c r="A68" s="70" t="s">
        <v>452</v>
      </c>
      <c r="B68" s="30" t="s">
        <v>343</v>
      </c>
      <c r="C68" s="24" t="s">
        <v>3</v>
      </c>
      <c r="D68" s="38">
        <v>8</v>
      </c>
      <c r="E68" s="80"/>
      <c r="F68" s="81">
        <f t="shared" si="3"/>
        <v>0</v>
      </c>
      <c r="G68" s="3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</row>
    <row r="69" spans="1:256" ht="17.25" customHeight="1" x14ac:dyDescent="0.2">
      <c r="A69" s="49" t="s">
        <v>70</v>
      </c>
      <c r="B69" s="16" t="s">
        <v>453</v>
      </c>
      <c r="C69" s="24" t="s">
        <v>12</v>
      </c>
      <c r="D69" s="13">
        <v>3</v>
      </c>
      <c r="E69" s="110"/>
      <c r="F69" s="81">
        <f t="shared" si="3"/>
        <v>0</v>
      </c>
      <c r="G69" s="3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</row>
    <row r="70" spans="1:256" ht="17.25" customHeight="1" x14ac:dyDescent="0.2">
      <c r="A70" s="49" t="s">
        <v>71</v>
      </c>
      <c r="B70" s="32" t="s">
        <v>479</v>
      </c>
      <c r="C70" s="24" t="s">
        <v>245</v>
      </c>
      <c r="D70" s="13">
        <v>80</v>
      </c>
      <c r="E70" s="80"/>
      <c r="F70" s="81">
        <f t="shared" si="3"/>
        <v>0</v>
      </c>
      <c r="G70" s="38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</row>
    <row r="71" spans="1:256" ht="12.75" customHeight="1" x14ac:dyDescent="0.2">
      <c r="A71" s="49"/>
      <c r="C71" s="24"/>
      <c r="D71" s="38"/>
      <c r="E71" s="80"/>
      <c r="F71" s="38"/>
      <c r="G71" s="38"/>
    </row>
    <row r="72" spans="1:256" ht="15.75" customHeight="1" x14ac:dyDescent="0.2">
      <c r="A72" s="59"/>
      <c r="B72" s="60" t="s">
        <v>11</v>
      </c>
      <c r="C72" s="61"/>
      <c r="D72" s="61"/>
      <c r="E72" s="108"/>
      <c r="F72" s="73">
        <f>SUM(F50:F70)</f>
        <v>0</v>
      </c>
      <c r="G72" s="38"/>
    </row>
    <row r="73" spans="1:256" ht="12" customHeight="1" x14ac:dyDescent="0.2">
      <c r="A73" s="49"/>
      <c r="B73" s="58"/>
      <c r="C73" s="24"/>
      <c r="D73" s="38"/>
      <c r="E73" s="80"/>
      <c r="F73" s="38"/>
      <c r="G73" s="38"/>
    </row>
    <row r="74" spans="1:256" ht="17.25" customHeight="1" x14ac:dyDescent="0.2">
      <c r="A74" s="49" t="s">
        <v>72</v>
      </c>
      <c r="B74" s="31" t="s">
        <v>15</v>
      </c>
      <c r="C74" s="24"/>
      <c r="D74" s="13"/>
      <c r="E74" s="111"/>
      <c r="F74" s="38"/>
      <c r="G74" s="38"/>
    </row>
    <row r="75" spans="1:256" ht="11.25" customHeight="1" x14ac:dyDescent="0.2">
      <c r="A75" s="49"/>
      <c r="B75" s="31"/>
      <c r="C75" s="24"/>
      <c r="D75" s="13"/>
      <c r="E75" s="111"/>
      <c r="F75" s="38"/>
      <c r="G75" s="38"/>
    </row>
    <row r="76" spans="1:256" ht="24.75" customHeight="1" x14ac:dyDescent="0.2">
      <c r="A76" s="49" t="s">
        <v>73</v>
      </c>
      <c r="B76" s="32" t="s">
        <v>107</v>
      </c>
      <c r="C76" s="24"/>
      <c r="D76" s="13"/>
      <c r="E76" s="111"/>
      <c r="F76" s="38"/>
      <c r="G76" s="38"/>
    </row>
    <row r="77" spans="1:256" ht="16.5" customHeight="1" x14ac:dyDescent="0.2">
      <c r="A77" s="70" t="s">
        <v>74</v>
      </c>
      <c r="B77" s="63" t="s">
        <v>106</v>
      </c>
      <c r="C77" s="24" t="s">
        <v>3</v>
      </c>
      <c r="D77" s="13">
        <v>2</v>
      </c>
      <c r="E77" s="111"/>
      <c r="F77" s="81">
        <f t="shared" ref="F77:F94" si="5">D77*E77</f>
        <v>0</v>
      </c>
      <c r="G77" s="38"/>
    </row>
    <row r="78" spans="1:256" ht="18" customHeight="1" x14ac:dyDescent="0.2">
      <c r="A78" s="70" t="s">
        <v>75</v>
      </c>
      <c r="B78" s="63" t="s">
        <v>273</v>
      </c>
      <c r="C78" s="24" t="s">
        <v>3</v>
      </c>
      <c r="D78" s="13">
        <v>15</v>
      </c>
      <c r="E78" s="111"/>
      <c r="F78" s="81">
        <f t="shared" si="5"/>
        <v>0</v>
      </c>
      <c r="G78" s="38"/>
    </row>
    <row r="79" spans="1:256" ht="18.75" customHeight="1" x14ac:dyDescent="0.2">
      <c r="A79" s="49" t="s">
        <v>78</v>
      </c>
      <c r="B79" s="32" t="s">
        <v>32</v>
      </c>
      <c r="C79" s="24"/>
      <c r="D79" s="13"/>
      <c r="E79" s="111"/>
      <c r="F79" s="81"/>
      <c r="G79" s="38"/>
    </row>
    <row r="80" spans="1:256" ht="18.75" customHeight="1" x14ac:dyDescent="0.2">
      <c r="A80" s="70" t="s">
        <v>454</v>
      </c>
      <c r="B80" s="16" t="s">
        <v>19</v>
      </c>
      <c r="C80" s="24" t="s">
        <v>3</v>
      </c>
      <c r="D80" s="13">
        <f>D77</f>
        <v>2</v>
      </c>
      <c r="E80" s="111"/>
      <c r="F80" s="81">
        <f t="shared" si="5"/>
        <v>0</v>
      </c>
      <c r="G80" s="38"/>
    </row>
    <row r="81" spans="1:7" ht="18.75" customHeight="1" x14ac:dyDescent="0.2">
      <c r="A81" s="49" t="s">
        <v>79</v>
      </c>
      <c r="B81" s="32" t="s">
        <v>33</v>
      </c>
      <c r="C81" s="24"/>
      <c r="D81" s="13"/>
      <c r="E81" s="111"/>
      <c r="F81" s="81"/>
      <c r="G81" s="38"/>
    </row>
    <row r="82" spans="1:7" ht="18.75" customHeight="1" x14ac:dyDescent="0.2">
      <c r="A82" s="70" t="s">
        <v>455</v>
      </c>
      <c r="B82" s="30" t="s">
        <v>188</v>
      </c>
      <c r="C82" s="24" t="s">
        <v>3</v>
      </c>
      <c r="D82" s="13">
        <f>D78</f>
        <v>15</v>
      </c>
      <c r="E82" s="111"/>
      <c r="F82" s="81">
        <f t="shared" si="5"/>
        <v>0</v>
      </c>
      <c r="G82" s="38"/>
    </row>
    <row r="83" spans="1:7" ht="17.25" customHeight="1" x14ac:dyDescent="0.2">
      <c r="A83" s="49" t="s">
        <v>142</v>
      </c>
      <c r="B83" s="29" t="s">
        <v>279</v>
      </c>
      <c r="C83" s="24" t="s">
        <v>3</v>
      </c>
      <c r="D83" s="13">
        <v>15</v>
      </c>
      <c r="E83" s="112"/>
      <c r="F83" s="81">
        <f t="shared" si="5"/>
        <v>0</v>
      </c>
      <c r="G83" s="38"/>
    </row>
    <row r="84" spans="1:7" ht="17.25" customHeight="1" x14ac:dyDescent="0.2">
      <c r="A84" s="49" t="s">
        <v>80</v>
      </c>
      <c r="B84" s="32" t="s">
        <v>190</v>
      </c>
      <c r="C84" s="24"/>
      <c r="D84" s="13"/>
      <c r="E84" s="112"/>
      <c r="F84" s="81"/>
      <c r="G84" s="38"/>
    </row>
    <row r="85" spans="1:7" ht="18" customHeight="1" x14ac:dyDescent="0.2">
      <c r="A85" s="70" t="s">
        <v>467</v>
      </c>
      <c r="B85" s="16" t="s">
        <v>457</v>
      </c>
      <c r="C85" s="24" t="s">
        <v>3</v>
      </c>
      <c r="D85" s="13">
        <v>2</v>
      </c>
      <c r="E85" s="112"/>
      <c r="F85" s="81">
        <f t="shared" si="5"/>
        <v>0</v>
      </c>
      <c r="G85" s="38"/>
    </row>
    <row r="86" spans="1:7" ht="18" customHeight="1" x14ac:dyDescent="0.2">
      <c r="A86" s="49" t="s">
        <v>81</v>
      </c>
      <c r="B86" s="32" t="s">
        <v>458</v>
      </c>
      <c r="C86" s="24"/>
      <c r="D86" s="13"/>
      <c r="E86" s="111"/>
      <c r="F86" s="81"/>
      <c r="G86" s="38"/>
    </row>
    <row r="87" spans="1:7" ht="18" customHeight="1" x14ac:dyDescent="0.2">
      <c r="A87" s="70" t="s">
        <v>456</v>
      </c>
      <c r="B87" s="16" t="s">
        <v>276</v>
      </c>
      <c r="C87" s="24" t="s">
        <v>12</v>
      </c>
      <c r="D87" s="13">
        <v>1</v>
      </c>
      <c r="E87" s="111"/>
      <c r="F87" s="81">
        <f t="shared" si="5"/>
        <v>0</v>
      </c>
      <c r="G87" s="38"/>
    </row>
    <row r="88" spans="1:7" ht="18" customHeight="1" x14ac:dyDescent="0.2">
      <c r="A88" s="49" t="s">
        <v>82</v>
      </c>
      <c r="B88" s="32" t="s">
        <v>109</v>
      </c>
      <c r="C88" s="24"/>
      <c r="D88" s="13"/>
      <c r="E88" s="111"/>
      <c r="F88" s="81"/>
      <c r="G88" s="38"/>
    </row>
    <row r="89" spans="1:7" ht="18" customHeight="1" x14ac:dyDescent="0.2">
      <c r="A89" s="70" t="s">
        <v>196</v>
      </c>
      <c r="B89" s="16" t="s">
        <v>110</v>
      </c>
      <c r="C89" s="24" t="s">
        <v>12</v>
      </c>
      <c r="D89" s="13">
        <v>0</v>
      </c>
      <c r="E89" s="111"/>
      <c r="F89" s="81">
        <f t="shared" si="5"/>
        <v>0</v>
      </c>
      <c r="G89" s="38"/>
    </row>
    <row r="90" spans="1:7" ht="18" customHeight="1" x14ac:dyDescent="0.2">
      <c r="A90" s="70" t="s">
        <v>434</v>
      </c>
      <c r="B90" s="16" t="s">
        <v>199</v>
      </c>
      <c r="C90" s="24" t="s">
        <v>12</v>
      </c>
      <c r="D90" s="13">
        <v>1</v>
      </c>
      <c r="E90" s="111"/>
      <c r="F90" s="81">
        <f t="shared" si="5"/>
        <v>0</v>
      </c>
      <c r="G90" s="38"/>
    </row>
    <row r="91" spans="1:7" ht="19.5" customHeight="1" x14ac:dyDescent="0.2">
      <c r="A91" s="70" t="s">
        <v>435</v>
      </c>
      <c r="B91" s="16" t="s">
        <v>192</v>
      </c>
      <c r="C91" s="24" t="s">
        <v>12</v>
      </c>
      <c r="D91" s="13">
        <v>0</v>
      </c>
      <c r="E91" s="111"/>
      <c r="F91" s="81">
        <f t="shared" si="5"/>
        <v>0</v>
      </c>
      <c r="G91" s="38"/>
    </row>
    <row r="92" spans="1:7" ht="19.5" customHeight="1" x14ac:dyDescent="0.2">
      <c r="A92" s="49" t="s">
        <v>83</v>
      </c>
      <c r="B92" s="32" t="s">
        <v>195</v>
      </c>
      <c r="C92" s="24"/>
      <c r="D92" s="13"/>
      <c r="E92" s="111"/>
      <c r="F92" s="81"/>
      <c r="G92" s="38"/>
    </row>
    <row r="93" spans="1:7" ht="19.5" customHeight="1" x14ac:dyDescent="0.2">
      <c r="A93" s="70" t="s">
        <v>267</v>
      </c>
      <c r="B93" s="16" t="s">
        <v>266</v>
      </c>
      <c r="C93" s="24" t="s">
        <v>12</v>
      </c>
      <c r="D93" s="13">
        <v>2</v>
      </c>
      <c r="E93" s="111"/>
      <c r="F93" s="81">
        <f t="shared" si="5"/>
        <v>0</v>
      </c>
      <c r="G93" s="38"/>
    </row>
    <row r="94" spans="1:7" ht="19.5" customHeight="1" x14ac:dyDescent="0.2">
      <c r="A94" s="49" t="s">
        <v>117</v>
      </c>
      <c r="B94" s="32" t="s">
        <v>480</v>
      </c>
      <c r="C94" s="24" t="s">
        <v>23</v>
      </c>
      <c r="D94" s="13">
        <v>1</v>
      </c>
      <c r="E94" s="112"/>
      <c r="F94" s="64">
        <f t="shared" si="5"/>
        <v>0</v>
      </c>
      <c r="G94" s="38"/>
    </row>
    <row r="95" spans="1:7" ht="10.5" customHeight="1" x14ac:dyDescent="0.2">
      <c r="A95" s="49"/>
      <c r="C95" s="24"/>
      <c r="D95" s="13"/>
      <c r="E95" s="112"/>
      <c r="F95" s="38"/>
      <c r="G95" s="38"/>
    </row>
    <row r="96" spans="1:7" ht="16.5" customHeight="1" x14ac:dyDescent="0.2">
      <c r="A96" s="59"/>
      <c r="B96" s="60" t="s">
        <v>11</v>
      </c>
      <c r="C96" s="61"/>
      <c r="D96" s="61"/>
      <c r="E96" s="108"/>
      <c r="F96" s="73">
        <f>SUM(F77:F94)</f>
        <v>0</v>
      </c>
      <c r="G96" s="38"/>
    </row>
    <row r="97" spans="1:7" ht="15" customHeight="1" x14ac:dyDescent="0.2">
      <c r="A97" s="49"/>
      <c r="B97" s="58"/>
      <c r="C97" s="24"/>
      <c r="D97" s="38"/>
      <c r="E97" s="113"/>
      <c r="F97" s="64"/>
      <c r="G97" s="38"/>
    </row>
    <row r="98" spans="1:7" ht="17.25" customHeight="1" x14ac:dyDescent="0.2">
      <c r="A98" s="49" t="s">
        <v>84</v>
      </c>
      <c r="B98" s="31" t="s">
        <v>17</v>
      </c>
      <c r="C98" s="24"/>
      <c r="D98" s="13"/>
      <c r="E98" s="111"/>
      <c r="F98" s="38"/>
      <c r="G98" s="38"/>
    </row>
    <row r="99" spans="1:7" ht="15" customHeight="1" x14ac:dyDescent="0.2">
      <c r="A99" s="49"/>
      <c r="B99" s="31"/>
      <c r="C99" s="24"/>
      <c r="D99" s="13"/>
      <c r="E99" s="111"/>
      <c r="F99" s="38"/>
      <c r="G99" s="38"/>
    </row>
    <row r="100" spans="1:7" ht="22.5" customHeight="1" x14ac:dyDescent="0.2">
      <c r="A100" s="49" t="s">
        <v>85</v>
      </c>
      <c r="B100" s="32" t="s">
        <v>107</v>
      </c>
      <c r="C100" s="24"/>
      <c r="D100" s="13"/>
      <c r="E100" s="111"/>
      <c r="F100" s="38"/>
      <c r="G100" s="38"/>
    </row>
    <row r="101" spans="1:7" ht="17.25" customHeight="1" x14ac:dyDescent="0.2">
      <c r="A101" s="70" t="s">
        <v>86</v>
      </c>
      <c r="B101" s="63" t="s">
        <v>304</v>
      </c>
      <c r="C101" s="24" t="s">
        <v>3</v>
      </c>
      <c r="D101" s="13">
        <v>15</v>
      </c>
      <c r="E101" s="111"/>
      <c r="F101" s="81">
        <f t="shared" ref="F101:F108" si="6">D101*E101</f>
        <v>0</v>
      </c>
      <c r="G101" s="38"/>
    </row>
    <row r="102" spans="1:7" ht="26.25" customHeight="1" x14ac:dyDescent="0.2">
      <c r="A102" s="49" t="s">
        <v>87</v>
      </c>
      <c r="B102" s="32" t="s">
        <v>34</v>
      </c>
      <c r="C102" s="24"/>
      <c r="D102" s="13"/>
      <c r="E102" s="111"/>
      <c r="F102" s="81"/>
      <c r="G102" s="38"/>
    </row>
    <row r="103" spans="1:7" ht="20.25" customHeight="1" x14ac:dyDescent="0.2">
      <c r="A103" s="70" t="s">
        <v>88</v>
      </c>
      <c r="B103" s="16" t="s">
        <v>468</v>
      </c>
      <c r="C103" s="24" t="s">
        <v>3</v>
      </c>
      <c r="D103" s="13">
        <v>15</v>
      </c>
      <c r="E103" s="111"/>
      <c r="F103" s="81">
        <f t="shared" si="6"/>
        <v>0</v>
      </c>
      <c r="G103" s="38"/>
    </row>
    <row r="104" spans="1:7" ht="19.5" customHeight="1" x14ac:dyDescent="0.2">
      <c r="A104" s="49" t="s">
        <v>144</v>
      </c>
      <c r="B104" s="32" t="s">
        <v>109</v>
      </c>
      <c r="C104" s="24"/>
      <c r="D104" s="13"/>
      <c r="E104" s="111"/>
      <c r="F104" s="81"/>
      <c r="G104" s="38"/>
    </row>
    <row r="105" spans="1:7" ht="17.25" customHeight="1" x14ac:dyDescent="0.2">
      <c r="A105" s="70" t="s">
        <v>145</v>
      </c>
      <c r="B105" s="16" t="s">
        <v>110</v>
      </c>
      <c r="C105" s="24" t="s">
        <v>12</v>
      </c>
      <c r="D105" s="13">
        <v>1</v>
      </c>
      <c r="E105" s="111"/>
      <c r="F105" s="81">
        <f t="shared" si="6"/>
        <v>0</v>
      </c>
      <c r="G105" s="38"/>
    </row>
    <row r="106" spans="1:7" ht="16.5" customHeight="1" x14ac:dyDescent="0.2">
      <c r="A106" s="70" t="s">
        <v>146</v>
      </c>
      <c r="B106" s="16" t="s">
        <v>136</v>
      </c>
      <c r="C106" s="24" t="s">
        <v>12</v>
      </c>
      <c r="D106" s="13">
        <v>0</v>
      </c>
      <c r="E106" s="111"/>
      <c r="F106" s="81">
        <f t="shared" si="6"/>
        <v>0</v>
      </c>
      <c r="G106" s="38"/>
    </row>
    <row r="107" spans="1:7" ht="16.5" customHeight="1" x14ac:dyDescent="0.2">
      <c r="A107" s="49" t="s">
        <v>89</v>
      </c>
      <c r="B107" s="32" t="s">
        <v>132</v>
      </c>
      <c r="C107" s="24" t="s">
        <v>16</v>
      </c>
      <c r="D107" s="13">
        <v>1</v>
      </c>
      <c r="E107" s="111"/>
      <c r="F107" s="81">
        <f t="shared" si="6"/>
        <v>0</v>
      </c>
      <c r="G107" s="38"/>
    </row>
    <row r="108" spans="1:7" ht="16.5" customHeight="1" x14ac:dyDescent="0.2">
      <c r="A108" s="49" t="s">
        <v>118</v>
      </c>
      <c r="B108" s="32" t="s">
        <v>270</v>
      </c>
      <c r="C108" s="24" t="s">
        <v>16</v>
      </c>
      <c r="D108" s="13">
        <v>1</v>
      </c>
      <c r="E108" s="111"/>
      <c r="F108" s="81">
        <f t="shared" si="6"/>
        <v>0</v>
      </c>
      <c r="G108" s="38"/>
    </row>
    <row r="109" spans="1:7" ht="17.25" customHeight="1" x14ac:dyDescent="0.2">
      <c r="A109" s="49"/>
      <c r="C109" s="24"/>
      <c r="D109" s="13"/>
      <c r="E109" s="112"/>
      <c r="F109" s="64"/>
      <c r="G109" s="38"/>
    </row>
    <row r="110" spans="1:7" ht="16.5" customHeight="1" x14ac:dyDescent="0.2">
      <c r="A110" s="59"/>
      <c r="B110" s="60" t="s">
        <v>11</v>
      </c>
      <c r="C110" s="61"/>
      <c r="D110" s="61"/>
      <c r="E110" s="108"/>
      <c r="F110" s="73">
        <f>SUM(F100:F108)</f>
        <v>0</v>
      </c>
      <c r="G110" s="38"/>
    </row>
    <row r="111" spans="1:7" ht="18.75" customHeight="1" x14ac:dyDescent="0.2">
      <c r="A111" s="49"/>
      <c r="C111" s="24"/>
      <c r="D111" s="13"/>
      <c r="E111" s="111"/>
      <c r="F111" s="38"/>
      <c r="G111" s="38"/>
    </row>
    <row r="112" spans="1:7" ht="18.75" customHeight="1" x14ac:dyDescent="0.2">
      <c r="A112" s="49" t="s">
        <v>90</v>
      </c>
      <c r="B112" s="31" t="s">
        <v>290</v>
      </c>
      <c r="C112" s="24"/>
      <c r="D112" s="13"/>
      <c r="E112" s="111"/>
      <c r="F112" s="38"/>
      <c r="G112" s="38"/>
    </row>
    <row r="113" spans="1:7" ht="12.75" customHeight="1" x14ac:dyDescent="0.2">
      <c r="A113" s="49"/>
      <c r="B113" s="31"/>
      <c r="C113" s="24"/>
      <c r="D113" s="13"/>
      <c r="E113" s="111"/>
      <c r="F113" s="38"/>
      <c r="G113" s="38"/>
    </row>
    <row r="114" spans="1:7" ht="29.25" customHeight="1" x14ac:dyDescent="0.2">
      <c r="A114" s="49" t="s">
        <v>91</v>
      </c>
      <c r="B114" s="32" t="s">
        <v>35</v>
      </c>
      <c r="C114" s="24"/>
      <c r="D114" s="13"/>
      <c r="E114" s="111"/>
      <c r="F114" s="38"/>
      <c r="G114" s="38"/>
    </row>
    <row r="115" spans="1:7" ht="18.75" customHeight="1" x14ac:dyDescent="0.2">
      <c r="A115" s="70" t="s">
        <v>92</v>
      </c>
      <c r="B115" s="63" t="s">
        <v>306</v>
      </c>
      <c r="C115" s="24" t="s">
        <v>3</v>
      </c>
      <c r="D115" s="105">
        <v>15</v>
      </c>
      <c r="E115" s="111"/>
      <c r="F115" s="81">
        <f t="shared" ref="F115" si="7">D115*E115</f>
        <v>0</v>
      </c>
      <c r="G115" s="38"/>
    </row>
    <row r="116" spans="1:7" ht="33" customHeight="1" x14ac:dyDescent="0.2">
      <c r="A116" s="49" t="s">
        <v>93</v>
      </c>
      <c r="B116" s="29" t="s">
        <v>201</v>
      </c>
      <c r="C116" s="24"/>
      <c r="D116" s="13"/>
      <c r="E116" s="111"/>
      <c r="F116" s="81"/>
      <c r="G116" s="38"/>
    </row>
    <row r="117" spans="1:7" ht="17.25" customHeight="1" x14ac:dyDescent="0.2">
      <c r="A117" s="70" t="s">
        <v>111</v>
      </c>
      <c r="B117" s="16" t="s">
        <v>459</v>
      </c>
      <c r="C117" s="24" t="s">
        <v>3</v>
      </c>
      <c r="D117" s="13">
        <v>15</v>
      </c>
      <c r="E117" s="111"/>
      <c r="F117" s="81">
        <f t="shared" ref="F117:F122" si="8">D117*E117</f>
        <v>0</v>
      </c>
      <c r="G117" s="38"/>
    </row>
    <row r="118" spans="1:7" ht="18.75" customHeight="1" x14ac:dyDescent="0.2">
      <c r="A118" s="70" t="s">
        <v>293</v>
      </c>
      <c r="B118" s="16" t="s">
        <v>460</v>
      </c>
      <c r="C118" s="24" t="s">
        <v>3</v>
      </c>
      <c r="D118" s="13">
        <v>15</v>
      </c>
      <c r="E118" s="111"/>
      <c r="F118" s="81">
        <f t="shared" si="8"/>
        <v>0</v>
      </c>
      <c r="G118" s="38"/>
    </row>
    <row r="119" spans="1:7" ht="15.75" customHeight="1" x14ac:dyDescent="0.2">
      <c r="A119" s="49" t="s">
        <v>94</v>
      </c>
      <c r="B119" s="32" t="s">
        <v>461</v>
      </c>
      <c r="C119" s="24" t="s">
        <v>23</v>
      </c>
      <c r="D119" s="13">
        <v>2</v>
      </c>
      <c r="E119" s="111"/>
      <c r="F119" s="81">
        <f t="shared" si="8"/>
        <v>0</v>
      </c>
      <c r="G119" s="38"/>
    </row>
    <row r="120" spans="1:7" ht="18" customHeight="1" x14ac:dyDescent="0.2">
      <c r="A120" s="49" t="s">
        <v>218</v>
      </c>
      <c r="B120" s="16" t="s">
        <v>462</v>
      </c>
      <c r="C120" s="24" t="s">
        <v>322</v>
      </c>
      <c r="D120" s="13">
        <v>2</v>
      </c>
      <c r="E120" s="111"/>
      <c r="F120" s="81">
        <f t="shared" si="8"/>
        <v>0</v>
      </c>
      <c r="G120" s="38"/>
    </row>
    <row r="121" spans="1:7" ht="18" customHeight="1" x14ac:dyDescent="0.2">
      <c r="A121" s="49" t="s">
        <v>95</v>
      </c>
      <c r="B121" s="32" t="s">
        <v>463</v>
      </c>
      <c r="C121" s="24" t="s">
        <v>23</v>
      </c>
      <c r="D121" s="13">
        <v>2</v>
      </c>
      <c r="E121" s="111"/>
      <c r="F121" s="81">
        <f t="shared" si="8"/>
        <v>0</v>
      </c>
      <c r="G121" s="38"/>
    </row>
    <row r="122" spans="1:7" ht="18" customHeight="1" x14ac:dyDescent="0.2">
      <c r="A122" s="49" t="s">
        <v>96</v>
      </c>
      <c r="B122" s="32" t="s">
        <v>36</v>
      </c>
      <c r="C122" s="24" t="s">
        <v>16</v>
      </c>
      <c r="D122" s="13">
        <v>1</v>
      </c>
      <c r="E122" s="111"/>
      <c r="F122" s="81">
        <f t="shared" si="8"/>
        <v>0</v>
      </c>
      <c r="G122" s="38"/>
    </row>
    <row r="123" spans="1:7" ht="12.75" customHeight="1" x14ac:dyDescent="0.2">
      <c r="A123" s="49"/>
      <c r="C123" s="24"/>
      <c r="D123" s="13"/>
      <c r="E123" s="111"/>
      <c r="F123" s="38"/>
      <c r="G123" s="38"/>
    </row>
    <row r="124" spans="1:7" ht="18.75" customHeight="1" x14ac:dyDescent="0.2">
      <c r="A124" s="59"/>
      <c r="B124" s="60" t="s">
        <v>11</v>
      </c>
      <c r="C124" s="61"/>
      <c r="D124" s="61"/>
      <c r="E124" s="108"/>
      <c r="F124" s="73">
        <f>SUM(F115:F122)</f>
        <v>0</v>
      </c>
      <c r="G124" s="38"/>
    </row>
    <row r="125" spans="1:7" ht="15" customHeight="1" x14ac:dyDescent="0.2">
      <c r="A125" s="49"/>
      <c r="C125" s="24"/>
      <c r="D125" s="13"/>
      <c r="E125" s="111"/>
      <c r="F125" s="38"/>
      <c r="G125" s="38"/>
    </row>
    <row r="126" spans="1:7" ht="15.75" customHeight="1" x14ac:dyDescent="0.2">
      <c r="A126" s="49" t="s">
        <v>98</v>
      </c>
      <c r="B126" s="72" t="s">
        <v>18</v>
      </c>
      <c r="C126" s="24"/>
      <c r="D126" s="13"/>
      <c r="E126" s="111"/>
      <c r="F126" s="38"/>
      <c r="G126" s="38"/>
    </row>
    <row r="127" spans="1:7" ht="15.75" customHeight="1" x14ac:dyDescent="0.2">
      <c r="A127" s="49"/>
      <c r="B127" s="32"/>
      <c r="C127" s="24"/>
      <c r="D127" s="13"/>
      <c r="E127" s="111"/>
      <c r="F127" s="38"/>
      <c r="G127" s="38"/>
    </row>
    <row r="128" spans="1:7" ht="27.75" customHeight="1" x14ac:dyDescent="0.2">
      <c r="A128" s="49" t="s">
        <v>99</v>
      </c>
      <c r="B128" s="32" t="s">
        <v>210</v>
      </c>
      <c r="C128" s="24"/>
      <c r="D128" s="13"/>
      <c r="E128" s="111"/>
      <c r="F128" s="81"/>
      <c r="G128" s="38"/>
    </row>
    <row r="129" spans="1:7" ht="16.5" customHeight="1" x14ac:dyDescent="0.2">
      <c r="A129" s="70" t="s">
        <v>282</v>
      </c>
      <c r="B129" s="16" t="s">
        <v>280</v>
      </c>
      <c r="C129" s="24" t="s">
        <v>3</v>
      </c>
      <c r="D129" s="13">
        <v>50</v>
      </c>
      <c r="E129" s="111"/>
      <c r="F129" s="81">
        <f t="shared" ref="F129:F149" si="9">D129*E129</f>
        <v>0</v>
      </c>
      <c r="G129" s="38"/>
    </row>
    <row r="130" spans="1:7" ht="15.75" customHeight="1" x14ac:dyDescent="0.2">
      <c r="A130" s="49" t="s">
        <v>100</v>
      </c>
      <c r="B130" s="32" t="s">
        <v>212</v>
      </c>
      <c r="C130" s="24"/>
      <c r="D130" s="13"/>
      <c r="E130" s="111"/>
      <c r="F130" s="81"/>
      <c r="G130" s="38"/>
    </row>
    <row r="131" spans="1:7" ht="15.75" customHeight="1" x14ac:dyDescent="0.2">
      <c r="A131" s="70" t="s">
        <v>101</v>
      </c>
      <c r="B131" s="30" t="s">
        <v>112</v>
      </c>
      <c r="C131" s="24" t="s">
        <v>3</v>
      </c>
      <c r="D131" s="13">
        <v>50</v>
      </c>
      <c r="E131" s="111"/>
      <c r="F131" s="81">
        <f t="shared" si="9"/>
        <v>0</v>
      </c>
      <c r="G131" s="38"/>
    </row>
    <row r="132" spans="1:7" ht="17.25" customHeight="1" x14ac:dyDescent="0.2">
      <c r="A132" s="49" t="s">
        <v>148</v>
      </c>
      <c r="B132" s="29" t="s">
        <v>37</v>
      </c>
      <c r="C132" s="24" t="s">
        <v>12</v>
      </c>
      <c r="D132" s="13">
        <v>2</v>
      </c>
      <c r="E132" s="111"/>
      <c r="F132" s="81">
        <f t="shared" si="9"/>
        <v>0</v>
      </c>
      <c r="G132" s="38"/>
    </row>
    <row r="133" spans="1:7" ht="20.25" customHeight="1" x14ac:dyDescent="0.2">
      <c r="A133" s="49" t="s">
        <v>103</v>
      </c>
      <c r="B133" s="29" t="s">
        <v>132</v>
      </c>
      <c r="C133" s="24" t="s">
        <v>12</v>
      </c>
      <c r="D133" s="13">
        <v>1</v>
      </c>
      <c r="E133" s="111"/>
      <c r="F133" s="81">
        <f t="shared" si="9"/>
        <v>0</v>
      </c>
      <c r="G133" s="38"/>
    </row>
    <row r="134" spans="1:7" ht="17.25" customHeight="1" x14ac:dyDescent="0.2">
      <c r="A134" s="49" t="s">
        <v>127</v>
      </c>
      <c r="B134" s="29" t="s">
        <v>40</v>
      </c>
      <c r="C134" s="24" t="s">
        <v>16</v>
      </c>
      <c r="D134" s="13">
        <v>1</v>
      </c>
      <c r="E134" s="111"/>
      <c r="F134" s="81">
        <f t="shared" si="9"/>
        <v>0</v>
      </c>
      <c r="G134" s="38"/>
    </row>
    <row r="135" spans="1:7" ht="15.75" customHeight="1" x14ac:dyDescent="0.2">
      <c r="A135" s="49"/>
      <c r="B135" s="30"/>
      <c r="C135" s="24"/>
      <c r="D135" s="13"/>
      <c r="E135" s="111"/>
      <c r="F135" s="36"/>
      <c r="G135" s="38"/>
    </row>
    <row r="136" spans="1:7" ht="15.75" customHeight="1" x14ac:dyDescent="0.2">
      <c r="A136" s="59"/>
      <c r="B136" s="60" t="s">
        <v>11</v>
      </c>
      <c r="C136" s="61"/>
      <c r="D136" s="61"/>
      <c r="E136" s="108"/>
      <c r="F136" s="73">
        <f>SUM(F128:F134)</f>
        <v>0</v>
      </c>
      <c r="G136" s="38"/>
    </row>
    <row r="137" spans="1:7" ht="15" customHeight="1" x14ac:dyDescent="0.2">
      <c r="A137" s="49"/>
      <c r="C137" s="24"/>
      <c r="D137" s="13"/>
      <c r="E137" s="111"/>
      <c r="F137" s="38"/>
      <c r="G137" s="38"/>
    </row>
    <row r="138" spans="1:7" ht="15.75" customHeight="1" x14ac:dyDescent="0.2">
      <c r="A138" s="49" t="s">
        <v>222</v>
      </c>
      <c r="B138" s="72" t="s">
        <v>223</v>
      </c>
      <c r="C138" s="24"/>
      <c r="D138" s="13"/>
      <c r="E138" s="111"/>
      <c r="F138" s="38"/>
      <c r="G138" s="38"/>
    </row>
    <row r="139" spans="1:7" ht="15.75" customHeight="1" x14ac:dyDescent="0.2">
      <c r="A139" s="49"/>
      <c r="B139" s="32"/>
      <c r="C139" s="24"/>
      <c r="D139" s="13"/>
      <c r="E139" s="111"/>
      <c r="F139" s="38"/>
      <c r="G139" s="38"/>
    </row>
    <row r="140" spans="1:7" ht="27.75" customHeight="1" x14ac:dyDescent="0.2">
      <c r="A140" s="49" t="s">
        <v>149</v>
      </c>
      <c r="B140" s="32" t="s">
        <v>210</v>
      </c>
      <c r="C140" s="24" t="s">
        <v>3</v>
      </c>
      <c r="D140" s="13">
        <v>0</v>
      </c>
      <c r="E140" s="111"/>
      <c r="F140" s="81">
        <f t="shared" si="9"/>
        <v>0</v>
      </c>
      <c r="G140" s="38"/>
    </row>
    <row r="141" spans="1:7" ht="15.75" customHeight="1" x14ac:dyDescent="0.2">
      <c r="A141" s="49" t="s">
        <v>150</v>
      </c>
      <c r="B141" s="32" t="s">
        <v>212</v>
      </c>
      <c r="C141" s="24"/>
      <c r="D141" s="13"/>
      <c r="E141" s="111"/>
      <c r="F141" s="81"/>
      <c r="G141" s="38"/>
    </row>
    <row r="142" spans="1:7" ht="15.75" customHeight="1" x14ac:dyDescent="0.2">
      <c r="A142" s="70" t="s">
        <v>151</v>
      </c>
      <c r="B142" s="30" t="s">
        <v>224</v>
      </c>
      <c r="C142" s="24" t="s">
        <v>3</v>
      </c>
      <c r="D142" s="13">
        <v>0</v>
      </c>
      <c r="E142" s="111"/>
      <c r="F142" s="81">
        <f t="shared" si="9"/>
        <v>0</v>
      </c>
      <c r="G142" s="38"/>
    </row>
    <row r="143" spans="1:7" ht="15.75" customHeight="1" x14ac:dyDescent="0.2">
      <c r="A143" s="49" t="s">
        <v>152</v>
      </c>
      <c r="B143" s="29" t="s">
        <v>225</v>
      </c>
      <c r="C143" s="24" t="s">
        <v>3</v>
      </c>
      <c r="D143" s="79">
        <v>0</v>
      </c>
      <c r="E143" s="111"/>
      <c r="F143" s="81">
        <f t="shared" si="9"/>
        <v>0</v>
      </c>
      <c r="G143" s="38"/>
    </row>
    <row r="144" spans="1:7" ht="18.75" customHeight="1" x14ac:dyDescent="0.2">
      <c r="A144" s="49" t="s">
        <v>153</v>
      </c>
      <c r="B144" s="29" t="s">
        <v>226</v>
      </c>
      <c r="C144" s="24" t="s">
        <v>3</v>
      </c>
      <c r="D144" s="79">
        <v>0</v>
      </c>
      <c r="E144" s="111"/>
      <c r="F144" s="81">
        <f t="shared" si="9"/>
        <v>0</v>
      </c>
      <c r="G144" s="38"/>
    </row>
    <row r="145" spans="1:7" ht="17.25" customHeight="1" x14ac:dyDescent="0.2">
      <c r="A145" s="49" t="s">
        <v>154</v>
      </c>
      <c r="B145" s="29" t="s">
        <v>37</v>
      </c>
      <c r="C145" s="24" t="s">
        <v>12</v>
      </c>
      <c r="D145" s="13">
        <v>0</v>
      </c>
      <c r="E145" s="111"/>
      <c r="F145" s="81">
        <f t="shared" si="9"/>
        <v>0</v>
      </c>
      <c r="G145" s="38"/>
    </row>
    <row r="146" spans="1:7" ht="20.25" customHeight="1" x14ac:dyDescent="0.2">
      <c r="A146" s="49" t="s">
        <v>230</v>
      </c>
      <c r="B146" s="29" t="s">
        <v>228</v>
      </c>
      <c r="C146" s="24" t="s">
        <v>12</v>
      </c>
      <c r="D146" s="13">
        <v>0</v>
      </c>
      <c r="E146" s="111"/>
      <c r="F146" s="81">
        <f t="shared" si="9"/>
        <v>0</v>
      </c>
      <c r="G146" s="38"/>
    </row>
    <row r="147" spans="1:7" ht="20.25" customHeight="1" x14ac:dyDescent="0.2">
      <c r="A147" s="49" t="s">
        <v>231</v>
      </c>
      <c r="B147" s="29" t="s">
        <v>475</v>
      </c>
      <c r="C147" s="24" t="s">
        <v>12</v>
      </c>
      <c r="D147" s="13">
        <v>0</v>
      </c>
      <c r="E147" s="111"/>
      <c r="F147" s="81">
        <f t="shared" si="9"/>
        <v>0</v>
      </c>
      <c r="G147" s="38"/>
    </row>
    <row r="148" spans="1:7" ht="20.25" customHeight="1" x14ac:dyDescent="0.2">
      <c r="A148" s="49" t="s">
        <v>232</v>
      </c>
      <c r="B148" s="29" t="s">
        <v>132</v>
      </c>
      <c r="C148" s="24" t="s">
        <v>12</v>
      </c>
      <c r="D148" s="13">
        <v>0</v>
      </c>
      <c r="E148" s="111"/>
      <c r="F148" s="81">
        <f t="shared" si="9"/>
        <v>0</v>
      </c>
      <c r="G148" s="38"/>
    </row>
    <row r="149" spans="1:7" ht="17.25" customHeight="1" x14ac:dyDescent="0.2">
      <c r="A149" s="49" t="s">
        <v>233</v>
      </c>
      <c r="B149" s="29" t="s">
        <v>40</v>
      </c>
      <c r="C149" s="24" t="s">
        <v>16</v>
      </c>
      <c r="D149" s="13">
        <v>0</v>
      </c>
      <c r="E149" s="111"/>
      <c r="F149" s="81">
        <f t="shared" si="9"/>
        <v>0</v>
      </c>
      <c r="G149" s="38"/>
    </row>
    <row r="150" spans="1:7" ht="15.75" customHeight="1" x14ac:dyDescent="0.2">
      <c r="A150" s="49"/>
      <c r="B150" s="30"/>
      <c r="C150" s="24"/>
      <c r="D150" s="13"/>
      <c r="E150" s="111"/>
      <c r="F150" s="36"/>
      <c r="G150" s="38"/>
    </row>
    <row r="151" spans="1:7" ht="15.75" customHeight="1" x14ac:dyDescent="0.2">
      <c r="A151" s="59"/>
      <c r="B151" s="60" t="s">
        <v>11</v>
      </c>
      <c r="C151" s="61"/>
      <c r="D151" s="61"/>
      <c r="E151" s="108"/>
      <c r="F151" s="73">
        <f>SUM(F140:F149)</f>
        <v>0</v>
      </c>
      <c r="G151" s="38"/>
    </row>
    <row r="152" spans="1:7" ht="15.75" customHeight="1" x14ac:dyDescent="0.2">
      <c r="A152" s="49"/>
      <c r="B152" s="30"/>
      <c r="C152" s="24"/>
      <c r="D152" s="13"/>
      <c r="E152" s="111"/>
      <c r="F152" s="38"/>
      <c r="G152" s="38"/>
    </row>
    <row r="153" spans="1:7" ht="15.75" customHeight="1" x14ac:dyDescent="0.2">
      <c r="A153" s="49" t="s">
        <v>104</v>
      </c>
      <c r="B153" s="72" t="s">
        <v>284</v>
      </c>
      <c r="C153" s="24"/>
      <c r="D153" s="13"/>
      <c r="E153" s="111"/>
      <c r="F153" s="38"/>
      <c r="G153" s="38"/>
    </row>
    <row r="154" spans="1:7" ht="9" customHeight="1" x14ac:dyDescent="0.2">
      <c r="A154" s="49"/>
      <c r="B154" s="32"/>
      <c r="C154" s="24"/>
      <c r="D154" s="13"/>
      <c r="E154" s="111"/>
      <c r="F154" s="38"/>
      <c r="G154" s="38"/>
    </row>
    <row r="155" spans="1:7" ht="27.75" customHeight="1" x14ac:dyDescent="0.2">
      <c r="A155" s="49" t="s">
        <v>105</v>
      </c>
      <c r="B155" s="32" t="s">
        <v>128</v>
      </c>
      <c r="C155" s="24" t="s">
        <v>3</v>
      </c>
      <c r="D155" s="13">
        <v>25</v>
      </c>
      <c r="E155" s="111"/>
      <c r="F155" s="81">
        <f t="shared" ref="F155:F161" si="10">D155*E155</f>
        <v>0</v>
      </c>
      <c r="G155" s="38"/>
    </row>
    <row r="156" spans="1:7" ht="15.75" customHeight="1" x14ac:dyDescent="0.2">
      <c r="A156" s="49" t="s">
        <v>235</v>
      </c>
      <c r="B156" s="74" t="s">
        <v>113</v>
      </c>
      <c r="C156" s="24"/>
      <c r="D156" s="13"/>
      <c r="E156" s="111"/>
      <c r="F156" s="81"/>
      <c r="G156" s="38"/>
    </row>
    <row r="157" spans="1:7" ht="18" customHeight="1" x14ac:dyDescent="0.2">
      <c r="A157" s="70" t="s">
        <v>236</v>
      </c>
      <c r="B157" s="16" t="s">
        <v>114</v>
      </c>
      <c r="C157" s="24" t="s">
        <v>3</v>
      </c>
      <c r="D157" s="13">
        <v>100</v>
      </c>
      <c r="E157" s="111"/>
      <c r="F157" s="81">
        <f t="shared" si="10"/>
        <v>0</v>
      </c>
      <c r="G157" s="38"/>
    </row>
    <row r="158" spans="1:7" ht="18" customHeight="1" x14ac:dyDescent="0.2">
      <c r="A158" s="49" t="s">
        <v>237</v>
      </c>
      <c r="B158" s="32" t="s">
        <v>38</v>
      </c>
      <c r="C158" s="24"/>
      <c r="D158" s="13"/>
      <c r="E158" s="111"/>
      <c r="F158" s="81"/>
      <c r="G158" s="38"/>
    </row>
    <row r="159" spans="1:7" ht="18" customHeight="1" x14ac:dyDescent="0.2">
      <c r="A159" s="70" t="s">
        <v>238</v>
      </c>
      <c r="B159" s="16" t="s">
        <v>464</v>
      </c>
      <c r="C159" s="24" t="s">
        <v>12</v>
      </c>
      <c r="D159" s="13">
        <v>1</v>
      </c>
      <c r="E159" s="111"/>
      <c r="F159" s="81">
        <f t="shared" si="10"/>
        <v>0</v>
      </c>
      <c r="G159" s="38"/>
    </row>
    <row r="160" spans="1:7" ht="15.75" customHeight="1" x14ac:dyDescent="0.2">
      <c r="A160" s="49" t="s">
        <v>241</v>
      </c>
      <c r="B160" s="32" t="s">
        <v>115</v>
      </c>
      <c r="C160" s="62" t="s">
        <v>12</v>
      </c>
      <c r="D160" s="13">
        <v>2</v>
      </c>
      <c r="E160" s="112"/>
      <c r="F160" s="81">
        <f t="shared" si="10"/>
        <v>0</v>
      </c>
      <c r="G160" s="38"/>
    </row>
    <row r="161" spans="1:8" ht="16.5" customHeight="1" x14ac:dyDescent="0.2">
      <c r="A161" s="49" t="s">
        <v>242</v>
      </c>
      <c r="B161" s="29" t="s">
        <v>40</v>
      </c>
      <c r="C161" s="62" t="s">
        <v>16</v>
      </c>
      <c r="D161" s="13">
        <v>1</v>
      </c>
      <c r="E161" s="112"/>
      <c r="F161" s="81">
        <f t="shared" si="10"/>
        <v>0</v>
      </c>
      <c r="G161" s="38"/>
    </row>
    <row r="162" spans="1:8" ht="12.75" customHeight="1" x14ac:dyDescent="0.2">
      <c r="A162" s="49"/>
      <c r="B162" s="32"/>
      <c r="C162" s="24"/>
      <c r="D162" s="13"/>
      <c r="E162" s="111"/>
      <c r="F162" s="38"/>
      <c r="G162" s="38"/>
    </row>
    <row r="163" spans="1:8" ht="12.75" customHeight="1" x14ac:dyDescent="0.2">
      <c r="A163" s="59"/>
      <c r="B163" s="60" t="s">
        <v>11</v>
      </c>
      <c r="C163" s="61"/>
      <c r="D163" s="61"/>
      <c r="E163" s="108"/>
      <c r="F163" s="73">
        <f>SUM(F153:F161)</f>
        <v>0</v>
      </c>
      <c r="G163" s="38"/>
    </row>
    <row r="164" spans="1:8" ht="14.25" customHeight="1" x14ac:dyDescent="0.2">
      <c r="A164" s="49"/>
      <c r="C164" s="24"/>
      <c r="D164" s="13"/>
      <c r="E164" s="111"/>
      <c r="F164" s="38"/>
      <c r="G164" s="38"/>
    </row>
    <row r="165" spans="1:8" ht="16.5" customHeight="1" x14ac:dyDescent="0.2">
      <c r="A165" s="49" t="s">
        <v>129</v>
      </c>
      <c r="B165" s="72" t="s">
        <v>137</v>
      </c>
      <c r="C165" s="24"/>
      <c r="D165" s="13"/>
      <c r="E165" s="111"/>
      <c r="F165" s="38"/>
      <c r="G165" s="38"/>
    </row>
    <row r="166" spans="1:8" ht="9.75" customHeight="1" x14ac:dyDescent="0.2">
      <c r="A166" s="49"/>
      <c r="B166" s="32"/>
      <c r="C166" s="24"/>
      <c r="D166" s="13"/>
      <c r="E166" s="111"/>
      <c r="F166" s="38"/>
      <c r="G166" s="38"/>
    </row>
    <row r="167" spans="1:8" ht="28.5" customHeight="1" x14ac:dyDescent="0.2">
      <c r="A167" s="49" t="s">
        <v>130</v>
      </c>
      <c r="B167" s="32" t="s">
        <v>128</v>
      </c>
      <c r="C167" s="24"/>
      <c r="D167" s="13"/>
      <c r="E167" s="111"/>
      <c r="F167" s="38"/>
      <c r="G167" s="38"/>
    </row>
    <row r="168" spans="1:8" ht="15.75" customHeight="1" x14ac:dyDescent="0.2">
      <c r="A168" s="70" t="s">
        <v>155</v>
      </c>
      <c r="B168" s="16" t="s">
        <v>465</v>
      </c>
      <c r="C168" s="24" t="s">
        <v>3</v>
      </c>
      <c r="D168" s="13">
        <v>15</v>
      </c>
      <c r="E168" s="111"/>
      <c r="F168" s="81">
        <f t="shared" ref="F168:F170" si="11">D168*E168</f>
        <v>0</v>
      </c>
      <c r="G168" s="38"/>
    </row>
    <row r="169" spans="1:8" ht="15.75" customHeight="1" x14ac:dyDescent="0.2">
      <c r="A169" s="49" t="s">
        <v>156</v>
      </c>
      <c r="B169" s="32" t="s">
        <v>285</v>
      </c>
      <c r="C169" s="24" t="s">
        <v>3</v>
      </c>
      <c r="D169" s="13">
        <v>15</v>
      </c>
      <c r="E169" s="111"/>
      <c r="F169" s="81">
        <f t="shared" si="11"/>
        <v>0</v>
      </c>
      <c r="G169" s="38"/>
    </row>
    <row r="170" spans="1:8" ht="15.75" customHeight="1" x14ac:dyDescent="0.2">
      <c r="A170" s="49" t="s">
        <v>253</v>
      </c>
      <c r="B170" s="29" t="s">
        <v>40</v>
      </c>
      <c r="C170" s="24" t="s">
        <v>5</v>
      </c>
      <c r="D170" s="13">
        <v>1</v>
      </c>
      <c r="E170" s="111"/>
      <c r="F170" s="81">
        <f t="shared" si="11"/>
        <v>0</v>
      </c>
      <c r="G170" s="38"/>
    </row>
    <row r="171" spans="1:8" ht="15.75" customHeight="1" x14ac:dyDescent="0.2">
      <c r="A171" s="49"/>
      <c r="B171" s="32"/>
      <c r="C171" s="24"/>
      <c r="D171" s="13"/>
      <c r="E171" s="111"/>
      <c r="F171" s="81"/>
      <c r="G171" s="38"/>
    </row>
    <row r="172" spans="1:8" ht="17.25" customHeight="1" x14ac:dyDescent="0.2">
      <c r="A172" s="59"/>
      <c r="B172" s="60" t="s">
        <v>11</v>
      </c>
      <c r="C172" s="61"/>
      <c r="D172" s="61"/>
      <c r="E172" s="108"/>
      <c r="F172" s="73">
        <f>SUM(F167:F170)</f>
        <v>0</v>
      </c>
      <c r="G172" s="38"/>
    </row>
    <row r="173" spans="1:8" ht="17.25" customHeight="1" x14ac:dyDescent="0.2">
      <c r="A173" s="49"/>
      <c r="C173" s="24"/>
      <c r="D173" s="13"/>
      <c r="E173" s="111"/>
      <c r="F173" s="36"/>
      <c r="G173" s="65"/>
    </row>
    <row r="174" spans="1:8" ht="15.75" customHeight="1" x14ac:dyDescent="0.2">
      <c r="A174" s="49" t="s">
        <v>255</v>
      </c>
      <c r="B174" s="31" t="s">
        <v>466</v>
      </c>
      <c r="C174" s="24"/>
      <c r="D174" s="38"/>
      <c r="E174" s="80"/>
      <c r="F174" s="65"/>
      <c r="G174" s="38"/>
    </row>
    <row r="175" spans="1:8" ht="19.5" customHeight="1" x14ac:dyDescent="0.2">
      <c r="A175" s="49"/>
      <c r="B175" s="31"/>
      <c r="C175" s="24"/>
      <c r="D175" s="38"/>
      <c r="E175" s="80"/>
      <c r="F175" s="65"/>
      <c r="G175" s="38"/>
    </row>
    <row r="176" spans="1:8" ht="24" x14ac:dyDescent="0.2">
      <c r="A176" s="49" t="s">
        <v>256</v>
      </c>
      <c r="B176" s="29" t="s">
        <v>469</v>
      </c>
      <c r="C176" s="24" t="s">
        <v>13</v>
      </c>
      <c r="D176" s="13">
        <v>6</v>
      </c>
      <c r="E176" s="110"/>
      <c r="F176" s="81">
        <f t="shared" ref="F176:F178" si="12">D176*E176</f>
        <v>0</v>
      </c>
      <c r="G176" s="2"/>
      <c r="H176" s="2"/>
    </row>
    <row r="177" spans="1:8" ht="21" customHeight="1" x14ac:dyDescent="0.2">
      <c r="A177" s="49" t="s">
        <v>257</v>
      </c>
      <c r="B177" s="29" t="s">
        <v>476</v>
      </c>
      <c r="C177" s="24" t="s">
        <v>12</v>
      </c>
      <c r="D177" s="13">
        <v>0</v>
      </c>
      <c r="E177" s="114"/>
      <c r="F177" s="81">
        <f t="shared" si="12"/>
        <v>0</v>
      </c>
      <c r="G177" s="2"/>
      <c r="H177" s="2"/>
    </row>
    <row r="178" spans="1:8" ht="12.75" customHeight="1" x14ac:dyDescent="0.2">
      <c r="A178" s="49" t="s">
        <v>258</v>
      </c>
      <c r="B178" s="29" t="s">
        <v>477</v>
      </c>
      <c r="C178" s="24" t="s">
        <v>13</v>
      </c>
      <c r="D178" s="38">
        <v>0</v>
      </c>
      <c r="E178" s="80"/>
      <c r="F178" s="81">
        <f t="shared" si="12"/>
        <v>0</v>
      </c>
      <c r="G178" s="64"/>
    </row>
    <row r="179" spans="1:8" ht="12.75" customHeight="1" x14ac:dyDescent="0.2">
      <c r="A179" s="49"/>
      <c r="B179" s="29"/>
      <c r="C179" s="24"/>
      <c r="D179" s="38"/>
      <c r="E179" s="109"/>
      <c r="F179" s="65"/>
      <c r="G179" s="64"/>
    </row>
    <row r="180" spans="1:8" ht="12.75" customHeight="1" x14ac:dyDescent="0.2">
      <c r="A180" s="59"/>
      <c r="B180" s="60" t="s">
        <v>11</v>
      </c>
      <c r="C180" s="61"/>
      <c r="D180" s="61"/>
      <c r="E180" s="69"/>
      <c r="F180" s="73">
        <f>SUM(F175:F178)</f>
        <v>0</v>
      </c>
      <c r="G180" s="64"/>
    </row>
    <row r="181" spans="1:8" ht="12.75" customHeight="1" x14ac:dyDescent="0.2">
      <c r="A181" s="49"/>
      <c r="B181" s="29"/>
      <c r="C181" s="24"/>
      <c r="D181" s="38"/>
      <c r="E181" s="66"/>
      <c r="F181" s="65"/>
      <c r="G181" s="64"/>
    </row>
    <row r="182" spans="1:8" ht="12.75" customHeight="1" x14ac:dyDescent="0.2">
      <c r="A182" s="11"/>
      <c r="B182" s="29"/>
      <c r="C182" s="24"/>
      <c r="D182" s="38"/>
      <c r="E182" s="65"/>
      <c r="F182" s="65"/>
    </row>
    <row r="183" spans="1:8" ht="12.75" customHeight="1" x14ac:dyDescent="0.2">
      <c r="A183" s="59"/>
      <c r="B183" s="60" t="s">
        <v>427</v>
      </c>
      <c r="C183" s="61"/>
      <c r="D183" s="61"/>
      <c r="E183" s="69"/>
      <c r="F183" s="73">
        <f>SUM(F15:F181)/2</f>
        <v>0</v>
      </c>
    </row>
    <row r="184" spans="1:8" ht="12.75" customHeight="1" x14ac:dyDescent="0.2">
      <c r="A184" s="59"/>
      <c r="B184" s="60" t="s">
        <v>120</v>
      </c>
      <c r="C184" s="61"/>
      <c r="D184" s="61"/>
      <c r="E184" s="69"/>
      <c r="F184" s="73">
        <f>F183*0.2</f>
        <v>0</v>
      </c>
    </row>
    <row r="185" spans="1:8" ht="12.75" customHeight="1" x14ac:dyDescent="0.2">
      <c r="A185" s="59"/>
      <c r="B185" s="60" t="s">
        <v>10</v>
      </c>
      <c r="C185" s="61"/>
      <c r="D185" s="61"/>
      <c r="E185" s="69"/>
      <c r="F185" s="73">
        <f>F183+F184</f>
        <v>0</v>
      </c>
    </row>
    <row r="186" spans="1:8" ht="12.75" customHeight="1" x14ac:dyDescent="0.2">
      <c r="C186" s="18"/>
    </row>
    <row r="187" spans="1:8" ht="12.75" customHeight="1" x14ac:dyDescent="0.2">
      <c r="B187" s="32"/>
      <c r="C187" s="18"/>
      <c r="F187" s="78"/>
    </row>
    <row r="188" spans="1:8" ht="12.75" customHeight="1" x14ac:dyDescent="0.2">
      <c r="C188" s="18"/>
    </row>
    <row r="189" spans="1:8" ht="12.75" customHeight="1" x14ac:dyDescent="0.2">
      <c r="C189" s="18"/>
    </row>
    <row r="190" spans="1:8" ht="12.75" customHeight="1" x14ac:dyDescent="0.2">
      <c r="C190" s="18"/>
    </row>
    <row r="191" spans="1:8" ht="12.75" customHeight="1" x14ac:dyDescent="0.2">
      <c r="C191" s="18"/>
    </row>
    <row r="192" spans="1:8" ht="12.75" customHeight="1" x14ac:dyDescent="0.2">
      <c r="C192" s="18"/>
    </row>
    <row r="193" spans="3:3" ht="12.75" customHeight="1" x14ac:dyDescent="0.2">
      <c r="C193" s="18"/>
    </row>
    <row r="194" spans="3:3" ht="12.75" customHeight="1" x14ac:dyDescent="0.2">
      <c r="C194" s="18"/>
    </row>
    <row r="195" spans="3:3" ht="12.75" customHeight="1" x14ac:dyDescent="0.2">
      <c r="C195" s="18"/>
    </row>
    <row r="196" spans="3:3" ht="12.75" customHeight="1" x14ac:dyDescent="0.2">
      <c r="C196" s="18"/>
    </row>
    <row r="197" spans="3:3" ht="12.75" customHeight="1" x14ac:dyDescent="0.2">
      <c r="C197" s="18"/>
    </row>
    <row r="198" spans="3:3" ht="12.75" customHeight="1" x14ac:dyDescent="0.2">
      <c r="C198" s="18"/>
    </row>
    <row r="199" spans="3:3" ht="12.75" customHeight="1" x14ac:dyDescent="0.2">
      <c r="C199" s="18"/>
    </row>
    <row r="200" spans="3:3" ht="12.75" customHeight="1" x14ac:dyDescent="0.2">
      <c r="C200" s="18"/>
    </row>
    <row r="201" spans="3:3" ht="12.75" customHeight="1" x14ac:dyDescent="0.2">
      <c r="C201" s="18"/>
    </row>
    <row r="202" spans="3:3" ht="12.75" customHeight="1" x14ac:dyDescent="0.2">
      <c r="C202" s="18"/>
    </row>
    <row r="203" spans="3:3" ht="12.75" customHeight="1" x14ac:dyDescent="0.2">
      <c r="C203" s="18"/>
    </row>
    <row r="204" spans="3:3" ht="12.75" customHeight="1" x14ac:dyDescent="0.2">
      <c r="C204" s="18"/>
    </row>
    <row r="205" spans="3:3" ht="12.75" customHeight="1" x14ac:dyDescent="0.2">
      <c r="C205" s="18"/>
    </row>
    <row r="206" spans="3:3" ht="12.75" customHeight="1" x14ac:dyDescent="0.2">
      <c r="C206" s="18"/>
    </row>
    <row r="207" spans="3:3" ht="12.75" customHeight="1" x14ac:dyDescent="0.2">
      <c r="C207" s="18"/>
    </row>
    <row r="208" spans="3:3" ht="12.75" customHeight="1" x14ac:dyDescent="0.2">
      <c r="C208" s="18"/>
    </row>
    <row r="209" spans="3:3" ht="12.75" customHeight="1" x14ac:dyDescent="0.2">
      <c r="C209" s="18"/>
    </row>
    <row r="210" spans="3:3" ht="12.75" customHeight="1" x14ac:dyDescent="0.2">
      <c r="C210" s="18"/>
    </row>
    <row r="211" spans="3:3" ht="12.75" customHeight="1" x14ac:dyDescent="0.2">
      <c r="C211" s="18"/>
    </row>
    <row r="212" spans="3:3" ht="12.75" customHeight="1" x14ac:dyDescent="0.2">
      <c r="C212" s="18"/>
    </row>
    <row r="213" spans="3:3" ht="12.75" customHeight="1" x14ac:dyDescent="0.2">
      <c r="C213" s="18"/>
    </row>
    <row r="214" spans="3:3" ht="12.75" customHeight="1" x14ac:dyDescent="0.2">
      <c r="C214" s="18"/>
    </row>
    <row r="215" spans="3:3" ht="12.75" customHeight="1" x14ac:dyDescent="0.2">
      <c r="C215" s="18"/>
    </row>
    <row r="216" spans="3:3" ht="12.75" customHeight="1" x14ac:dyDescent="0.2">
      <c r="C216" s="18"/>
    </row>
    <row r="217" spans="3:3" ht="12.75" customHeight="1" x14ac:dyDescent="0.2">
      <c r="C217" s="18"/>
    </row>
    <row r="218" spans="3:3" ht="12.75" customHeight="1" x14ac:dyDescent="0.2">
      <c r="C218" s="18"/>
    </row>
    <row r="219" spans="3:3" ht="12.75" customHeight="1" x14ac:dyDescent="0.2">
      <c r="C219" s="18"/>
    </row>
    <row r="220" spans="3:3" ht="12.75" customHeight="1" x14ac:dyDescent="0.2">
      <c r="C220" s="18"/>
    </row>
    <row r="221" spans="3:3" ht="12.75" customHeight="1" x14ac:dyDescent="0.2">
      <c r="C221" s="18"/>
    </row>
    <row r="222" spans="3:3" ht="12.75" customHeight="1" x14ac:dyDescent="0.2">
      <c r="C222" s="18"/>
    </row>
    <row r="223" spans="3:3" ht="12.75" customHeight="1" x14ac:dyDescent="0.2">
      <c r="C223" s="18"/>
    </row>
    <row r="224" spans="3:3" ht="12.75" customHeight="1" x14ac:dyDescent="0.2">
      <c r="C224" s="18"/>
    </row>
    <row r="225" spans="3:3" ht="12.75" customHeight="1" x14ac:dyDescent="0.2">
      <c r="C225" s="18"/>
    </row>
    <row r="226" spans="3:3" ht="12.75" customHeight="1" x14ac:dyDescent="0.2">
      <c r="C226" s="18"/>
    </row>
    <row r="227" spans="3:3" ht="12.75" customHeight="1" x14ac:dyDescent="0.2">
      <c r="C227" s="18"/>
    </row>
    <row r="228" spans="3:3" ht="12.75" customHeight="1" x14ac:dyDescent="0.2">
      <c r="C228" s="18"/>
    </row>
    <row r="229" spans="3:3" ht="12.75" customHeight="1" x14ac:dyDescent="0.2">
      <c r="C229" s="18"/>
    </row>
    <row r="230" spans="3:3" ht="12.75" customHeight="1" x14ac:dyDescent="0.2">
      <c r="C230" s="18"/>
    </row>
    <row r="231" spans="3:3" ht="12.75" customHeight="1" x14ac:dyDescent="0.2">
      <c r="C231" s="18"/>
    </row>
    <row r="232" spans="3:3" ht="12.75" customHeight="1" x14ac:dyDescent="0.2">
      <c r="C232" s="18"/>
    </row>
    <row r="233" spans="3:3" ht="12.75" customHeight="1" x14ac:dyDescent="0.2">
      <c r="C233" s="18"/>
    </row>
    <row r="234" spans="3:3" ht="12.75" customHeight="1" x14ac:dyDescent="0.2">
      <c r="C234" s="18"/>
    </row>
    <row r="235" spans="3:3" ht="12.75" customHeight="1" x14ac:dyDescent="0.2">
      <c r="C235" s="18"/>
    </row>
    <row r="236" spans="3:3" ht="12.75" customHeight="1" x14ac:dyDescent="0.2">
      <c r="C236" s="18"/>
    </row>
    <row r="237" spans="3:3" ht="12.75" customHeight="1" x14ac:dyDescent="0.2">
      <c r="C237" s="18"/>
    </row>
    <row r="238" spans="3:3" ht="12.75" customHeight="1" x14ac:dyDescent="0.2">
      <c r="C238" s="18"/>
    </row>
    <row r="239" spans="3:3" ht="12.75" customHeight="1" x14ac:dyDescent="0.2">
      <c r="C239" s="18"/>
    </row>
    <row r="240" spans="3:3" ht="12.75" customHeight="1" x14ac:dyDescent="0.2">
      <c r="C240" s="18"/>
    </row>
    <row r="241" spans="3:3" ht="12.75" customHeight="1" x14ac:dyDescent="0.2">
      <c r="C241" s="18"/>
    </row>
    <row r="242" spans="3:3" ht="12.75" customHeight="1" x14ac:dyDescent="0.2">
      <c r="C242" s="18"/>
    </row>
    <row r="243" spans="3:3" ht="12.75" customHeight="1" x14ac:dyDescent="0.2">
      <c r="C243" s="18"/>
    </row>
    <row r="244" spans="3:3" ht="12.75" customHeight="1" x14ac:dyDescent="0.2">
      <c r="C244" s="18"/>
    </row>
    <row r="245" spans="3:3" ht="12.75" customHeight="1" x14ac:dyDescent="0.2">
      <c r="C245" s="18"/>
    </row>
    <row r="246" spans="3:3" ht="12.75" customHeight="1" x14ac:dyDescent="0.2">
      <c r="C246" s="18"/>
    </row>
    <row r="247" spans="3:3" ht="12.75" customHeight="1" x14ac:dyDescent="0.2">
      <c r="C247" s="18"/>
    </row>
    <row r="248" spans="3:3" ht="12.75" customHeight="1" x14ac:dyDescent="0.2">
      <c r="C248" s="18"/>
    </row>
    <row r="249" spans="3:3" ht="12.75" customHeight="1" x14ac:dyDescent="0.2">
      <c r="C249" s="18"/>
    </row>
    <row r="250" spans="3:3" ht="12.75" customHeight="1" x14ac:dyDescent="0.2">
      <c r="C250" s="18"/>
    </row>
    <row r="251" spans="3:3" ht="12.75" customHeight="1" x14ac:dyDescent="0.2">
      <c r="C251" s="18"/>
    </row>
    <row r="252" spans="3:3" ht="12.75" customHeight="1" x14ac:dyDescent="0.2">
      <c r="C252" s="18"/>
    </row>
    <row r="253" spans="3:3" ht="12.75" customHeight="1" x14ac:dyDescent="0.2">
      <c r="C253" s="18"/>
    </row>
    <row r="254" spans="3:3" ht="12.75" customHeight="1" x14ac:dyDescent="0.2">
      <c r="C254" s="18"/>
    </row>
    <row r="255" spans="3:3" ht="12.75" customHeight="1" x14ac:dyDescent="0.2">
      <c r="C255" s="18"/>
    </row>
    <row r="256" spans="3:3" ht="12.75" customHeight="1" x14ac:dyDescent="0.2">
      <c r="C256" s="18"/>
    </row>
  </sheetData>
  <sheetProtection algorithmName="SHA-512" hashValue="sEaRbr3Ssa+AvVlimlJniZahhO6B9bZvN2I/IR+fLXn/gzGIzriMPa9lm/BM9CicPIsFDMXhJUKzkUGuxz369Q==" saltValue="GHRl0EVonPdLcYK4+xDoIw==" spinCount="100000" sheet="1" objects="1" scenarios="1" selectLockedCells="1"/>
  <mergeCells count="3">
    <mergeCell ref="A2:F2"/>
    <mergeCell ref="A4:F4"/>
    <mergeCell ref="A7:F7"/>
  </mergeCells>
  <phoneticPr fontId="12" type="noConversion"/>
  <printOptions horizontalCentered="1"/>
  <pageMargins left="0.51181102362204722" right="0.55118110236220474" top="0.59055118110236227" bottom="0.74803149606299213" header="0.51181102362204722" footer="0.31496062992125984"/>
  <pageSetup paperSize="9" scale="61" fitToHeight="29" orientation="portrait" r:id="rId1"/>
  <headerFooter alignWithMargins="0">
    <oddFooter>&amp;R&amp;P/&amp;N</oddFooter>
  </headerFooter>
  <rowBreaks count="1" manualBreakCount="1">
    <brk id="124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B113-31DC-464F-BB31-AF2A1E5B9F08}">
  <dimension ref="A1:IV256"/>
  <sheetViews>
    <sheetView view="pageBreakPreview" topLeftCell="A31" zoomScale="130" zoomScaleNormal="75" zoomScaleSheetLayoutView="130" workbookViewId="0">
      <selection activeCell="E29" sqref="E29"/>
    </sheetView>
  </sheetViews>
  <sheetFormatPr baseColWidth="10" defaultRowHeight="12.75" customHeight="1" x14ac:dyDescent="0.2"/>
  <cols>
    <col min="1" max="1" width="7.5703125" style="50" customWidth="1"/>
    <col min="2" max="2" width="71.140625" style="16" customWidth="1"/>
    <col min="3" max="3" width="9.28515625" style="20" customWidth="1"/>
    <col min="4" max="4" width="17.85546875" style="36" customWidth="1"/>
    <col min="5" max="5" width="13.85546875" style="28" customWidth="1"/>
    <col min="6" max="6" width="16.5703125" style="28" customWidth="1"/>
    <col min="7" max="7" width="11.42578125" style="51"/>
    <col min="8" max="8" width="11.42578125" style="75"/>
    <col min="9" max="16384" width="11.42578125" style="2"/>
  </cols>
  <sheetData>
    <row r="1" spans="1:8" ht="12.75" customHeight="1" thickBot="1" x14ac:dyDescent="0.25">
      <c r="A1" s="9"/>
      <c r="B1" s="1"/>
      <c r="C1" s="18"/>
      <c r="D1" s="18"/>
      <c r="E1" s="42"/>
      <c r="F1" s="43"/>
    </row>
    <row r="2" spans="1:8" ht="15.75" customHeight="1" x14ac:dyDescent="0.25">
      <c r="A2" s="178" t="s">
        <v>301</v>
      </c>
      <c r="B2" s="179"/>
      <c r="C2" s="179"/>
      <c r="D2" s="179"/>
      <c r="E2" s="179"/>
      <c r="F2" s="180"/>
    </row>
    <row r="3" spans="1:8" ht="12.75" customHeight="1" x14ac:dyDescent="0.2">
      <c r="A3" s="10"/>
      <c r="B3" s="6"/>
      <c r="C3" s="17"/>
      <c r="D3" s="17"/>
      <c r="E3" s="17"/>
      <c r="F3" s="106" t="s">
        <v>474</v>
      </c>
    </row>
    <row r="4" spans="1:8" ht="12.75" customHeight="1" x14ac:dyDescent="0.2">
      <c r="A4" s="181" t="s">
        <v>300</v>
      </c>
      <c r="B4" s="182"/>
      <c r="C4" s="182"/>
      <c r="D4" s="182"/>
      <c r="E4" s="182"/>
      <c r="F4" s="183"/>
    </row>
    <row r="5" spans="1:8" ht="12.75" customHeight="1" thickBot="1" x14ac:dyDescent="0.25">
      <c r="A5" s="44"/>
      <c r="B5" s="1"/>
      <c r="C5" s="18"/>
      <c r="D5" s="18"/>
      <c r="E5" s="33"/>
      <c r="F5" s="19"/>
    </row>
    <row r="6" spans="1:8" ht="12.75" customHeight="1" x14ac:dyDescent="0.2">
      <c r="A6" s="45"/>
      <c r="B6" s="7"/>
      <c r="C6" s="34"/>
      <c r="D6" s="34"/>
      <c r="E6" s="34"/>
      <c r="F6" s="40"/>
    </row>
    <row r="7" spans="1:8" ht="15.75" x14ac:dyDescent="0.25">
      <c r="A7" s="184" t="s">
        <v>443</v>
      </c>
      <c r="B7" s="182"/>
      <c r="C7" s="182"/>
      <c r="D7" s="182"/>
      <c r="E7" s="182"/>
      <c r="F7" s="183"/>
    </row>
    <row r="8" spans="1:8" ht="12.75" customHeight="1" thickBot="1" x14ac:dyDescent="0.25">
      <c r="A8" s="46"/>
      <c r="B8" s="8"/>
      <c r="C8" s="35"/>
      <c r="D8" s="35"/>
      <c r="E8" s="35"/>
      <c r="F8" s="41"/>
    </row>
    <row r="9" spans="1:8" ht="12.75" customHeight="1" thickBot="1" x14ac:dyDescent="0.25">
      <c r="A9" s="47"/>
      <c r="B9" s="2"/>
      <c r="D9" s="77"/>
      <c r="E9" s="36"/>
      <c r="F9" s="21"/>
    </row>
    <row r="10" spans="1:8" ht="12.75" customHeight="1" x14ac:dyDescent="0.2">
      <c r="A10" s="48"/>
      <c r="B10" s="5"/>
      <c r="C10" s="22"/>
      <c r="D10" s="24"/>
      <c r="E10" s="115"/>
      <c r="F10" s="23"/>
    </row>
    <row r="11" spans="1:8" s="4" customFormat="1" ht="12.75" customHeight="1" x14ac:dyDescent="0.2">
      <c r="A11" s="11" t="s">
        <v>1</v>
      </c>
      <c r="B11" s="3" t="s">
        <v>6</v>
      </c>
      <c r="C11" s="24" t="s">
        <v>7</v>
      </c>
      <c r="D11" s="24" t="s">
        <v>8</v>
      </c>
      <c r="E11" s="116" t="s">
        <v>9</v>
      </c>
      <c r="F11" s="26" t="s">
        <v>2</v>
      </c>
      <c r="G11" s="27"/>
      <c r="H11" s="76"/>
    </row>
    <row r="12" spans="1:8" s="4" customFormat="1" ht="12.75" customHeight="1" x14ac:dyDescent="0.2">
      <c r="A12" s="52"/>
      <c r="B12" s="53"/>
      <c r="C12" s="54"/>
      <c r="D12" s="54" t="s">
        <v>116</v>
      </c>
      <c r="E12" s="117"/>
      <c r="F12" s="56"/>
      <c r="G12" s="27"/>
      <c r="H12" s="76"/>
    </row>
    <row r="13" spans="1:8" s="4" customFormat="1" ht="15.75" customHeight="1" x14ac:dyDescent="0.2">
      <c r="A13" s="59"/>
      <c r="B13" s="71"/>
      <c r="C13" s="61"/>
      <c r="D13" s="61"/>
      <c r="E13" s="108"/>
      <c r="F13" s="61"/>
      <c r="G13" s="27"/>
      <c r="H13" s="76"/>
    </row>
    <row r="14" spans="1:8" s="4" customFormat="1" ht="12.75" customHeight="1" x14ac:dyDescent="0.2">
      <c r="A14" s="49"/>
      <c r="B14" s="14"/>
      <c r="C14" s="24"/>
      <c r="D14" s="57"/>
      <c r="E14" s="107"/>
      <c r="F14" s="24"/>
      <c r="G14" s="57"/>
      <c r="H14" s="76"/>
    </row>
    <row r="15" spans="1:8" ht="15" customHeight="1" x14ac:dyDescent="0.2">
      <c r="A15" s="49" t="s">
        <v>44</v>
      </c>
      <c r="B15" s="15" t="s">
        <v>26</v>
      </c>
      <c r="C15" s="24"/>
      <c r="D15" s="24"/>
      <c r="E15" s="107"/>
      <c r="F15" s="24"/>
      <c r="G15" s="24"/>
    </row>
    <row r="16" spans="1:8" ht="15" customHeight="1" x14ac:dyDescent="0.2">
      <c r="A16" s="49"/>
      <c r="B16" s="15"/>
      <c r="C16" s="24"/>
      <c r="D16" s="24"/>
      <c r="E16" s="107"/>
      <c r="F16" s="25"/>
      <c r="G16" s="24"/>
    </row>
    <row r="17" spans="1:8" ht="15" customHeight="1" x14ac:dyDescent="0.2">
      <c r="A17" s="49" t="s">
        <v>45</v>
      </c>
      <c r="B17" s="32" t="s">
        <v>24</v>
      </c>
      <c r="C17" s="24" t="s">
        <v>5</v>
      </c>
      <c r="D17" s="38">
        <v>1</v>
      </c>
      <c r="E17" s="80"/>
      <c r="F17" s="81">
        <f t="shared" ref="F17:F21" si="0">D17*E17</f>
        <v>0</v>
      </c>
      <c r="G17" s="38"/>
    </row>
    <row r="18" spans="1:8" s="4" customFormat="1" ht="16.5" customHeight="1" x14ac:dyDescent="0.2">
      <c r="A18" s="49" t="s">
        <v>46</v>
      </c>
      <c r="B18" s="32" t="s">
        <v>27</v>
      </c>
      <c r="C18" s="24" t="s">
        <v>5</v>
      </c>
      <c r="D18" s="38">
        <v>1</v>
      </c>
      <c r="E18" s="80"/>
      <c r="F18" s="81">
        <f t="shared" si="0"/>
        <v>0</v>
      </c>
      <c r="G18" s="38"/>
      <c r="H18" s="75"/>
    </row>
    <row r="19" spans="1:8" s="4" customFormat="1" ht="16.5" customHeight="1" x14ac:dyDescent="0.2">
      <c r="A19" s="49" t="s">
        <v>47</v>
      </c>
      <c r="B19" s="32" t="s">
        <v>157</v>
      </c>
      <c r="C19" s="24" t="s">
        <v>5</v>
      </c>
      <c r="D19" s="38">
        <v>1</v>
      </c>
      <c r="E19" s="80"/>
      <c r="F19" s="81">
        <f t="shared" si="0"/>
        <v>0</v>
      </c>
      <c r="G19" s="38"/>
      <c r="H19" s="75"/>
    </row>
    <row r="20" spans="1:8" s="4" customFormat="1" ht="18" customHeight="1" x14ac:dyDescent="0.2">
      <c r="A20" s="49" t="s">
        <v>48</v>
      </c>
      <c r="B20" s="29" t="s">
        <v>28</v>
      </c>
      <c r="C20" s="24" t="s">
        <v>5</v>
      </c>
      <c r="D20" s="38">
        <v>1</v>
      </c>
      <c r="E20" s="80"/>
      <c r="F20" s="81">
        <f t="shared" si="0"/>
        <v>0</v>
      </c>
      <c r="G20" s="38"/>
      <c r="H20" s="75"/>
    </row>
    <row r="21" spans="1:8" s="4" customFormat="1" ht="18" customHeight="1" x14ac:dyDescent="0.2">
      <c r="A21" s="49" t="s">
        <v>248</v>
      </c>
      <c r="B21" s="29" t="s">
        <v>14</v>
      </c>
      <c r="C21" s="24" t="s">
        <v>5</v>
      </c>
      <c r="D21" s="38">
        <v>1</v>
      </c>
      <c r="E21" s="80"/>
      <c r="F21" s="81">
        <f t="shared" si="0"/>
        <v>0</v>
      </c>
      <c r="G21" s="38"/>
      <c r="H21" s="75"/>
    </row>
    <row r="22" spans="1:8" s="4" customFormat="1" ht="7.5" customHeight="1" x14ac:dyDescent="0.2">
      <c r="A22" s="49"/>
      <c r="B22" s="16"/>
      <c r="C22" s="24"/>
      <c r="D22" s="38"/>
      <c r="E22" s="80"/>
      <c r="F22" s="38"/>
      <c r="G22" s="38"/>
      <c r="H22" s="75"/>
    </row>
    <row r="23" spans="1:8" s="4" customFormat="1" ht="16.5" customHeight="1" x14ac:dyDescent="0.2">
      <c r="A23" s="59"/>
      <c r="B23" s="60" t="s">
        <v>11</v>
      </c>
      <c r="C23" s="61"/>
      <c r="D23" s="61"/>
      <c r="E23" s="108"/>
      <c r="F23" s="73">
        <f>SUM(F17:F21)</f>
        <v>0</v>
      </c>
      <c r="G23" s="38"/>
      <c r="H23" s="75"/>
    </row>
    <row r="24" spans="1:8" s="4" customFormat="1" ht="14.25" customHeight="1" x14ac:dyDescent="0.2">
      <c r="A24" s="49"/>
      <c r="B24" s="29"/>
      <c r="C24" s="24"/>
      <c r="D24" s="25"/>
      <c r="E24" s="109"/>
      <c r="F24" s="25"/>
      <c r="G24" s="38"/>
      <c r="H24" s="75"/>
    </row>
    <row r="25" spans="1:8" s="4" customFormat="1" ht="18.75" customHeight="1" x14ac:dyDescent="0.2">
      <c r="A25" s="49" t="s">
        <v>49</v>
      </c>
      <c r="B25" s="31" t="s">
        <v>41</v>
      </c>
      <c r="C25" s="24"/>
      <c r="D25" s="38"/>
      <c r="E25" s="80"/>
      <c r="F25" s="38"/>
      <c r="G25" s="38"/>
      <c r="H25" s="75"/>
    </row>
    <row r="26" spans="1:8" s="4" customFormat="1" ht="9.75" customHeight="1" x14ac:dyDescent="0.2">
      <c r="A26" s="49"/>
      <c r="B26" s="31"/>
      <c r="C26" s="24"/>
      <c r="D26" s="38"/>
      <c r="E26" s="80"/>
      <c r="F26" s="38"/>
      <c r="G26" s="38"/>
      <c r="H26" s="75"/>
    </row>
    <row r="27" spans="1:8" s="4" customFormat="1" ht="18.75" customHeight="1" x14ac:dyDescent="0.2">
      <c r="A27" s="49" t="s">
        <v>50</v>
      </c>
      <c r="B27" s="16" t="s">
        <v>25</v>
      </c>
      <c r="C27" s="24" t="s">
        <v>12</v>
      </c>
      <c r="D27" s="38">
        <v>5</v>
      </c>
      <c r="E27" s="80"/>
      <c r="F27" s="81">
        <f t="shared" ref="F27:F32" si="1">D27*E27</f>
        <v>0</v>
      </c>
      <c r="G27" s="65"/>
      <c r="H27" s="75"/>
    </row>
    <row r="28" spans="1:8" s="4" customFormat="1" ht="18" customHeight="1" x14ac:dyDescent="0.2">
      <c r="A28" s="49" t="s">
        <v>138</v>
      </c>
      <c r="B28" s="29" t="s">
        <v>291</v>
      </c>
      <c r="C28" s="24" t="s">
        <v>13</v>
      </c>
      <c r="D28" s="38">
        <v>240</v>
      </c>
      <c r="E28" s="80"/>
      <c r="F28" s="81">
        <f t="shared" si="1"/>
        <v>0</v>
      </c>
      <c r="G28" s="65"/>
      <c r="H28" s="75"/>
    </row>
    <row r="29" spans="1:8" s="4" customFormat="1" ht="18" customHeight="1" x14ac:dyDescent="0.2">
      <c r="A29" s="49" t="s">
        <v>158</v>
      </c>
      <c r="B29" s="29" t="s">
        <v>159</v>
      </c>
      <c r="C29" s="24" t="s">
        <v>13</v>
      </c>
      <c r="D29" s="38">
        <v>100</v>
      </c>
      <c r="E29" s="80"/>
      <c r="F29" s="81">
        <f t="shared" si="1"/>
        <v>0</v>
      </c>
      <c r="G29" s="65"/>
      <c r="H29" s="75"/>
    </row>
    <row r="30" spans="1:8" s="4" customFormat="1" ht="18" customHeight="1" x14ac:dyDescent="0.2">
      <c r="A30" s="49" t="s">
        <v>160</v>
      </c>
      <c r="B30" s="29" t="s">
        <v>302</v>
      </c>
      <c r="C30" s="24" t="s">
        <v>13</v>
      </c>
      <c r="D30" s="38">
        <v>150</v>
      </c>
      <c r="E30" s="80"/>
      <c r="F30" s="81">
        <f t="shared" si="1"/>
        <v>0</v>
      </c>
      <c r="G30" s="65"/>
      <c r="H30" s="75"/>
    </row>
    <row r="31" spans="1:8" s="4" customFormat="1" ht="18" customHeight="1" x14ac:dyDescent="0.2">
      <c r="A31" s="49" t="s">
        <v>162</v>
      </c>
      <c r="B31" s="32" t="s">
        <v>445</v>
      </c>
      <c r="C31" s="24" t="s">
        <v>13</v>
      </c>
      <c r="D31" s="38">
        <v>60</v>
      </c>
      <c r="E31" s="80"/>
      <c r="F31" s="81">
        <f t="shared" si="1"/>
        <v>0</v>
      </c>
      <c r="G31" s="65"/>
      <c r="H31" s="75"/>
    </row>
    <row r="32" spans="1:8" s="4" customFormat="1" ht="13.5" customHeight="1" x14ac:dyDescent="0.2">
      <c r="A32" s="49" t="s">
        <v>163</v>
      </c>
      <c r="B32" s="29" t="s">
        <v>446</v>
      </c>
      <c r="C32" s="24" t="s">
        <v>23</v>
      </c>
      <c r="D32" s="38">
        <v>1</v>
      </c>
      <c r="E32" s="80"/>
      <c r="F32" s="81">
        <f t="shared" si="1"/>
        <v>0</v>
      </c>
      <c r="G32" s="65"/>
      <c r="H32" s="75"/>
    </row>
    <row r="33" spans="1:256" s="4" customFormat="1" ht="11.25" customHeight="1" x14ac:dyDescent="0.2">
      <c r="A33" s="49"/>
      <c r="B33" s="29"/>
      <c r="C33" s="24"/>
      <c r="D33" s="38"/>
      <c r="E33" s="80"/>
      <c r="F33" s="38"/>
      <c r="G33" s="38"/>
      <c r="H33" s="75"/>
    </row>
    <row r="34" spans="1:256" s="4" customFormat="1" ht="18" customHeight="1" x14ac:dyDescent="0.2">
      <c r="A34" s="59"/>
      <c r="B34" s="60" t="s">
        <v>11</v>
      </c>
      <c r="C34" s="61"/>
      <c r="D34" s="61"/>
      <c r="E34" s="108"/>
      <c r="F34" s="73">
        <f>SUM(F26:F33)</f>
        <v>0</v>
      </c>
      <c r="G34" s="38"/>
      <c r="H34" s="75"/>
    </row>
    <row r="35" spans="1:256" s="4" customFormat="1" ht="18" customHeight="1" x14ac:dyDescent="0.2">
      <c r="A35" s="49"/>
      <c r="B35" s="29"/>
      <c r="C35" s="24"/>
      <c r="D35" s="25"/>
      <c r="E35" s="109"/>
      <c r="F35" s="25"/>
      <c r="G35" s="38"/>
      <c r="H35" s="75"/>
    </row>
    <row r="36" spans="1:256" s="95" customFormat="1" ht="15.75" customHeight="1" x14ac:dyDescent="0.2">
      <c r="A36" s="89" t="s">
        <v>53</v>
      </c>
      <c r="B36" s="90" t="s">
        <v>39</v>
      </c>
      <c r="C36" s="91"/>
      <c r="D36" s="92"/>
      <c r="E36" s="98"/>
      <c r="F36" s="92"/>
      <c r="G36" s="92"/>
      <c r="H36" s="94"/>
    </row>
    <row r="37" spans="1:256" s="95" customFormat="1" x14ac:dyDescent="0.2">
      <c r="A37" s="89"/>
      <c r="B37" s="90"/>
      <c r="C37" s="91"/>
      <c r="D37" s="92"/>
      <c r="E37" s="98"/>
      <c r="F37" s="92"/>
      <c r="G37" s="92"/>
      <c r="H37" s="94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96"/>
      <c r="EA37" s="96"/>
      <c r="EB37" s="96"/>
      <c r="EC37" s="96"/>
      <c r="ED37" s="96"/>
      <c r="EE37" s="96"/>
      <c r="EF37" s="96"/>
      <c r="EG37" s="96"/>
      <c r="EH37" s="96"/>
      <c r="EI37" s="96"/>
      <c r="EJ37" s="96"/>
      <c r="EK37" s="96"/>
      <c r="EL37" s="96"/>
      <c r="EM37" s="96"/>
      <c r="EN37" s="96"/>
      <c r="EO37" s="96"/>
      <c r="EP37" s="96"/>
      <c r="EQ37" s="96"/>
      <c r="ER37" s="96"/>
      <c r="ES37" s="96"/>
      <c r="ET37" s="96"/>
      <c r="EU37" s="96"/>
      <c r="EV37" s="96"/>
      <c r="EW37" s="96"/>
      <c r="EX37" s="96"/>
      <c r="EY37" s="96"/>
      <c r="EZ37" s="96"/>
      <c r="FA37" s="96"/>
      <c r="FB37" s="96"/>
      <c r="FC37" s="96"/>
      <c r="FD37" s="96"/>
      <c r="FE37" s="96"/>
      <c r="FF37" s="96"/>
      <c r="FG37" s="96"/>
      <c r="FH37" s="96"/>
      <c r="FI37" s="96"/>
      <c r="FJ37" s="96"/>
      <c r="FK37" s="96"/>
      <c r="FL37" s="96"/>
      <c r="FM37" s="96"/>
      <c r="FN37" s="96"/>
      <c r="FO37" s="96"/>
      <c r="FP37" s="96"/>
      <c r="FQ37" s="96"/>
      <c r="FR37" s="96"/>
      <c r="FS37" s="96"/>
      <c r="FT37" s="96"/>
      <c r="FU37" s="96"/>
      <c r="FV37" s="96"/>
      <c r="FW37" s="96"/>
      <c r="FX37" s="96"/>
      <c r="FY37" s="96"/>
      <c r="FZ37" s="96"/>
      <c r="GA37" s="96"/>
      <c r="GB37" s="96"/>
      <c r="GC37" s="96"/>
      <c r="GD37" s="96"/>
      <c r="GE37" s="96"/>
      <c r="GF37" s="96"/>
      <c r="GG37" s="96"/>
      <c r="GH37" s="96"/>
      <c r="GI37" s="96"/>
      <c r="GJ37" s="96"/>
      <c r="GK37" s="96"/>
      <c r="GL37" s="96"/>
      <c r="GM37" s="96"/>
      <c r="GN37" s="96"/>
      <c r="GO37" s="96"/>
      <c r="GP37" s="96"/>
      <c r="GQ37" s="96"/>
      <c r="GR37" s="96"/>
      <c r="GS37" s="96"/>
      <c r="GT37" s="96"/>
      <c r="GU37" s="96"/>
      <c r="GV37" s="96"/>
      <c r="GW37" s="96"/>
      <c r="GX37" s="96"/>
      <c r="GY37" s="96"/>
      <c r="GZ37" s="96"/>
      <c r="HA37" s="96"/>
      <c r="HB37" s="96"/>
      <c r="HC37" s="96"/>
      <c r="HD37" s="96"/>
      <c r="HE37" s="96"/>
      <c r="HF37" s="96"/>
      <c r="HG37" s="96"/>
      <c r="HH37" s="96"/>
      <c r="HI37" s="96"/>
      <c r="HJ37" s="96"/>
      <c r="HK37" s="96"/>
      <c r="HL37" s="96"/>
      <c r="HM37" s="96"/>
      <c r="HN37" s="96"/>
      <c r="HO37" s="96"/>
      <c r="HP37" s="96"/>
      <c r="HQ37" s="96"/>
      <c r="HR37" s="96"/>
      <c r="HS37" s="96"/>
      <c r="HT37" s="96"/>
      <c r="HU37" s="96"/>
      <c r="HV37" s="96"/>
      <c r="HW37" s="96"/>
      <c r="HX37" s="96"/>
      <c r="HY37" s="96"/>
      <c r="HZ37" s="96"/>
      <c r="IA37" s="96"/>
      <c r="IB37" s="96"/>
      <c r="IC37" s="96"/>
      <c r="ID37" s="96"/>
      <c r="IE37" s="96"/>
      <c r="IF37" s="96"/>
      <c r="IG37" s="96"/>
      <c r="IH37" s="96"/>
      <c r="II37" s="96"/>
      <c r="IJ37" s="96"/>
      <c r="IK37" s="96"/>
      <c r="IL37" s="96"/>
      <c r="IM37" s="96"/>
      <c r="IN37" s="96"/>
      <c r="IO37" s="96"/>
      <c r="IP37" s="96"/>
      <c r="IQ37" s="96"/>
      <c r="IR37" s="96"/>
      <c r="IS37" s="96"/>
      <c r="IT37" s="96"/>
      <c r="IU37" s="96"/>
      <c r="IV37" s="96"/>
    </row>
    <row r="38" spans="1:256" s="96" customFormat="1" ht="18.75" customHeight="1" x14ac:dyDescent="0.2">
      <c r="A38" s="89" t="s">
        <v>54</v>
      </c>
      <c r="B38" s="97" t="s">
        <v>470</v>
      </c>
      <c r="C38" s="91"/>
      <c r="D38" s="92"/>
      <c r="E38" s="98"/>
      <c r="F38" s="99"/>
      <c r="G38" s="100"/>
      <c r="H38" s="94"/>
    </row>
    <row r="39" spans="1:256" s="96" customFormat="1" ht="18.75" customHeight="1" x14ac:dyDescent="0.2">
      <c r="A39" s="101" t="s">
        <v>175</v>
      </c>
      <c r="B39" s="97" t="s">
        <v>176</v>
      </c>
      <c r="C39" s="91" t="s">
        <v>4</v>
      </c>
      <c r="D39" s="92">
        <v>30</v>
      </c>
      <c r="E39" s="98"/>
      <c r="F39" s="99">
        <f>D39*E39</f>
        <v>0</v>
      </c>
      <c r="G39" s="100"/>
      <c r="H39" s="94"/>
    </row>
    <row r="40" spans="1:256" s="96" customFormat="1" ht="17.25" customHeight="1" x14ac:dyDescent="0.2">
      <c r="A40" s="89" t="s">
        <v>55</v>
      </c>
      <c r="B40" s="102" t="s">
        <v>51</v>
      </c>
      <c r="C40" s="91" t="s">
        <v>4</v>
      </c>
      <c r="D40" s="92">
        <v>5</v>
      </c>
      <c r="E40" s="98"/>
      <c r="F40" s="99">
        <f t="shared" ref="F40" si="2">D40*E40</f>
        <v>0</v>
      </c>
      <c r="G40" s="92"/>
      <c r="H40" s="94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5"/>
      <c r="CF40" s="95"/>
      <c r="CG40" s="95"/>
      <c r="CH40" s="95"/>
      <c r="CI40" s="95"/>
      <c r="CJ40" s="95"/>
      <c r="CK40" s="95"/>
      <c r="CL40" s="95"/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5"/>
      <c r="DA40" s="95"/>
      <c r="DB40" s="95"/>
      <c r="DC40" s="95"/>
      <c r="DD40" s="95"/>
      <c r="DE40" s="95"/>
      <c r="DF40" s="95"/>
      <c r="DG40" s="95"/>
      <c r="DH40" s="95"/>
      <c r="DI40" s="95"/>
      <c r="DJ40" s="95"/>
      <c r="DK40" s="95"/>
      <c r="DL40" s="95"/>
      <c r="DM40" s="95"/>
      <c r="DN40" s="95"/>
      <c r="DO40" s="95"/>
      <c r="DP40" s="95"/>
      <c r="DQ40" s="95"/>
      <c r="DR40" s="95"/>
      <c r="DS40" s="95"/>
      <c r="DT40" s="95"/>
      <c r="DU40" s="95"/>
      <c r="DV40" s="95"/>
      <c r="DW40" s="95"/>
      <c r="DX40" s="95"/>
      <c r="DY40" s="95"/>
      <c r="DZ40" s="95"/>
      <c r="EA40" s="95"/>
      <c r="EB40" s="95"/>
      <c r="EC40" s="95"/>
      <c r="ED40" s="95"/>
      <c r="EE40" s="95"/>
      <c r="EF40" s="95"/>
      <c r="EG40" s="95"/>
      <c r="EH40" s="95"/>
      <c r="EI40" s="95"/>
      <c r="EJ40" s="95"/>
      <c r="EK40" s="95"/>
      <c r="EL40" s="95"/>
      <c r="EM40" s="95"/>
      <c r="EN40" s="95"/>
      <c r="EO40" s="95"/>
      <c r="EP40" s="95"/>
      <c r="EQ40" s="95"/>
      <c r="ER40" s="95"/>
      <c r="ES40" s="95"/>
      <c r="ET40" s="95"/>
      <c r="EU40" s="95"/>
      <c r="EV40" s="95"/>
      <c r="EW40" s="95"/>
      <c r="EX40" s="95"/>
      <c r="EY40" s="95"/>
      <c r="EZ40" s="95"/>
      <c r="FA40" s="95"/>
      <c r="FB40" s="95"/>
      <c r="FC40" s="95"/>
      <c r="FD40" s="95"/>
      <c r="FE40" s="95"/>
      <c r="FF40" s="95"/>
      <c r="FG40" s="95"/>
      <c r="FH40" s="95"/>
      <c r="FI40" s="95"/>
      <c r="FJ40" s="95"/>
      <c r="FK40" s="95"/>
      <c r="FL40" s="95"/>
      <c r="FM40" s="95"/>
      <c r="FN40" s="95"/>
      <c r="FO40" s="95"/>
      <c r="FP40" s="95"/>
      <c r="FQ40" s="95"/>
      <c r="FR40" s="95"/>
      <c r="FS40" s="95"/>
      <c r="FT40" s="95"/>
      <c r="FU40" s="95"/>
      <c r="FV40" s="95"/>
      <c r="FW40" s="95"/>
      <c r="FX40" s="95"/>
      <c r="FY40" s="95"/>
      <c r="FZ40" s="95"/>
      <c r="GA40" s="95"/>
      <c r="GB40" s="95"/>
      <c r="GC40" s="95"/>
      <c r="GD40" s="95"/>
      <c r="GE40" s="95"/>
      <c r="GF40" s="95"/>
      <c r="GG40" s="95"/>
      <c r="GH40" s="95"/>
      <c r="GI40" s="95"/>
      <c r="GJ40" s="95"/>
      <c r="GK40" s="95"/>
      <c r="GL40" s="95"/>
      <c r="GM40" s="95"/>
      <c r="GN40" s="95"/>
      <c r="GO40" s="95"/>
      <c r="GP40" s="95"/>
      <c r="GQ40" s="95"/>
      <c r="GR40" s="95"/>
      <c r="GS40" s="95"/>
      <c r="GT40" s="95"/>
      <c r="GU40" s="95"/>
      <c r="GV40" s="95"/>
      <c r="GW40" s="95"/>
      <c r="GX40" s="95"/>
      <c r="GY40" s="95"/>
      <c r="GZ40" s="95"/>
      <c r="HA40" s="95"/>
      <c r="HB40" s="95"/>
      <c r="HC40" s="95"/>
      <c r="HD40" s="95"/>
      <c r="HE40" s="95"/>
      <c r="HF40" s="95"/>
      <c r="HG40" s="95"/>
      <c r="HH40" s="95"/>
      <c r="HI40" s="95"/>
      <c r="HJ40" s="95"/>
      <c r="HK40" s="95"/>
      <c r="HL40" s="95"/>
      <c r="HM40" s="95"/>
      <c r="HN40" s="95"/>
      <c r="HO40" s="95"/>
      <c r="HP40" s="95"/>
      <c r="HQ40" s="95"/>
      <c r="HR40" s="95"/>
      <c r="HS40" s="95"/>
      <c r="HT40" s="95"/>
      <c r="HU40" s="95"/>
      <c r="HV40" s="95"/>
      <c r="HW40" s="95"/>
      <c r="HX40" s="95"/>
      <c r="HY40" s="95"/>
      <c r="HZ40" s="95"/>
      <c r="IA40" s="95"/>
      <c r="IB40" s="95"/>
      <c r="IC40" s="95"/>
      <c r="ID40" s="95"/>
      <c r="IE40" s="95"/>
      <c r="IF40" s="95"/>
      <c r="IG40" s="95"/>
      <c r="IH40" s="95"/>
      <c r="II40" s="95"/>
      <c r="IJ40" s="95"/>
      <c r="IK40" s="95"/>
      <c r="IL40" s="95"/>
      <c r="IM40" s="95"/>
      <c r="IN40" s="95"/>
      <c r="IO40" s="95"/>
      <c r="IP40" s="95"/>
      <c r="IQ40" s="95"/>
      <c r="IR40" s="95"/>
      <c r="IS40" s="95"/>
      <c r="IT40" s="95"/>
      <c r="IU40" s="95"/>
      <c r="IV40" s="95"/>
    </row>
    <row r="41" spans="1:256" s="96" customFormat="1" ht="17.25" customHeight="1" x14ac:dyDescent="0.2">
      <c r="A41" s="89" t="s">
        <v>56</v>
      </c>
      <c r="B41" s="97" t="s">
        <v>52</v>
      </c>
      <c r="C41" s="91" t="s">
        <v>4</v>
      </c>
      <c r="D41" s="92">
        <v>6</v>
      </c>
      <c r="E41" s="98"/>
      <c r="F41" s="99"/>
      <c r="G41" s="92"/>
      <c r="H41" s="94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95"/>
      <c r="CK41" s="95"/>
      <c r="CL41" s="95"/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5"/>
      <c r="DA41" s="95"/>
      <c r="DB41" s="95"/>
      <c r="DC41" s="95"/>
      <c r="DD41" s="95"/>
      <c r="DE41" s="95"/>
      <c r="DF41" s="95"/>
      <c r="DG41" s="95"/>
      <c r="DH41" s="95"/>
      <c r="DI41" s="95"/>
      <c r="DJ41" s="95"/>
      <c r="DK41" s="95"/>
      <c r="DL41" s="95"/>
      <c r="DM41" s="95"/>
      <c r="DN41" s="95"/>
      <c r="DO41" s="95"/>
      <c r="DP41" s="95"/>
      <c r="DQ41" s="95"/>
      <c r="DR41" s="95"/>
      <c r="DS41" s="95"/>
      <c r="DT41" s="95"/>
      <c r="DU41" s="95"/>
      <c r="DV41" s="95"/>
      <c r="DW41" s="95"/>
      <c r="DX41" s="95"/>
      <c r="DY41" s="95"/>
      <c r="DZ41" s="95"/>
      <c r="EA41" s="95"/>
      <c r="EB41" s="95"/>
      <c r="EC41" s="95"/>
      <c r="ED41" s="95"/>
      <c r="EE41" s="95"/>
      <c r="EF41" s="95"/>
      <c r="EG41" s="95"/>
      <c r="EH41" s="95"/>
      <c r="EI41" s="95"/>
      <c r="EJ41" s="95"/>
      <c r="EK41" s="95"/>
      <c r="EL41" s="95"/>
      <c r="EM41" s="95"/>
      <c r="EN41" s="95"/>
      <c r="EO41" s="95"/>
      <c r="EP41" s="95"/>
      <c r="EQ41" s="95"/>
      <c r="ER41" s="95"/>
      <c r="ES41" s="95"/>
      <c r="ET41" s="95"/>
      <c r="EU41" s="95"/>
      <c r="EV41" s="95"/>
      <c r="EW41" s="95"/>
      <c r="EX41" s="95"/>
      <c r="EY41" s="95"/>
      <c r="EZ41" s="95"/>
      <c r="FA41" s="95"/>
      <c r="FB41" s="95"/>
      <c r="FC41" s="95"/>
      <c r="FD41" s="95"/>
      <c r="FE41" s="95"/>
      <c r="FF41" s="95"/>
      <c r="FG41" s="95"/>
      <c r="FH41" s="95"/>
      <c r="FI41" s="95"/>
      <c r="FJ41" s="95"/>
      <c r="FK41" s="95"/>
      <c r="FL41" s="95"/>
      <c r="FM41" s="95"/>
      <c r="FN41" s="95"/>
      <c r="FO41" s="95"/>
      <c r="FP41" s="95"/>
      <c r="FQ41" s="95"/>
      <c r="FR41" s="95"/>
      <c r="FS41" s="95"/>
      <c r="FT41" s="95"/>
      <c r="FU41" s="95"/>
      <c r="FV41" s="95"/>
      <c r="FW41" s="95"/>
      <c r="FX41" s="95"/>
      <c r="FY41" s="95"/>
      <c r="FZ41" s="95"/>
      <c r="GA41" s="95"/>
      <c r="GB41" s="95"/>
      <c r="GC41" s="95"/>
      <c r="GD41" s="95"/>
      <c r="GE41" s="95"/>
      <c r="GF41" s="95"/>
      <c r="GG41" s="95"/>
      <c r="GH41" s="95"/>
      <c r="GI41" s="95"/>
      <c r="GJ41" s="95"/>
      <c r="GK41" s="95"/>
      <c r="GL41" s="95"/>
      <c r="GM41" s="95"/>
      <c r="GN41" s="95"/>
      <c r="GO41" s="95"/>
      <c r="GP41" s="95"/>
      <c r="GQ41" s="95"/>
      <c r="GR41" s="95"/>
      <c r="GS41" s="95"/>
      <c r="GT41" s="95"/>
      <c r="GU41" s="95"/>
      <c r="GV41" s="95"/>
      <c r="GW41" s="95"/>
      <c r="GX41" s="95"/>
      <c r="GY41" s="95"/>
      <c r="GZ41" s="95"/>
      <c r="HA41" s="95"/>
      <c r="HB41" s="95"/>
      <c r="HC41" s="95"/>
      <c r="HD41" s="95"/>
      <c r="HE41" s="95"/>
      <c r="HF41" s="95"/>
      <c r="HG41" s="95"/>
      <c r="HH41" s="95"/>
      <c r="HI41" s="95"/>
      <c r="HJ41" s="95"/>
      <c r="HK41" s="95"/>
      <c r="HL41" s="95"/>
      <c r="HM41" s="95"/>
      <c r="HN41" s="95"/>
      <c r="HO41" s="95"/>
      <c r="HP41" s="95"/>
      <c r="HQ41" s="95"/>
      <c r="HR41" s="95"/>
      <c r="HS41" s="95"/>
      <c r="HT41" s="95"/>
      <c r="HU41" s="95"/>
      <c r="HV41" s="95"/>
      <c r="HW41" s="95"/>
      <c r="HX41" s="95"/>
      <c r="HY41" s="95"/>
      <c r="HZ41" s="95"/>
      <c r="IA41" s="95"/>
      <c r="IB41" s="95"/>
      <c r="IC41" s="95"/>
      <c r="ID41" s="95"/>
      <c r="IE41" s="95"/>
      <c r="IF41" s="95"/>
      <c r="IG41" s="95"/>
      <c r="IH41" s="95"/>
      <c r="II41" s="95"/>
      <c r="IJ41" s="95"/>
      <c r="IK41" s="95"/>
      <c r="IL41" s="95"/>
      <c r="IM41" s="95"/>
      <c r="IN41" s="95"/>
      <c r="IO41" s="95"/>
      <c r="IP41" s="95"/>
      <c r="IQ41" s="95"/>
      <c r="IR41" s="95"/>
      <c r="IS41" s="95"/>
      <c r="IT41" s="95"/>
      <c r="IU41" s="95"/>
      <c r="IV41" s="95"/>
    </row>
    <row r="42" spans="1:256" s="96" customFormat="1" ht="17.25" customHeight="1" x14ac:dyDescent="0.2">
      <c r="A42" s="89" t="s">
        <v>57</v>
      </c>
      <c r="B42" s="103" t="s">
        <v>133</v>
      </c>
      <c r="C42" s="91" t="s">
        <v>4</v>
      </c>
      <c r="D42" s="92">
        <v>10</v>
      </c>
      <c r="E42" s="98"/>
      <c r="F42" s="99">
        <f>D42*E42</f>
        <v>0</v>
      </c>
      <c r="G42" s="92"/>
      <c r="H42" s="94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95"/>
      <c r="CK42" s="95"/>
      <c r="CL42" s="95"/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  <c r="DC42" s="95"/>
      <c r="DD42" s="95"/>
      <c r="DE42" s="95"/>
      <c r="DF42" s="95"/>
      <c r="DG42" s="95"/>
      <c r="DH42" s="95"/>
      <c r="DI42" s="95"/>
      <c r="DJ42" s="95"/>
      <c r="DK42" s="95"/>
      <c r="DL42" s="95"/>
      <c r="DM42" s="95"/>
      <c r="DN42" s="95"/>
      <c r="DO42" s="95"/>
      <c r="DP42" s="95"/>
      <c r="DQ42" s="95"/>
      <c r="DR42" s="95"/>
      <c r="DS42" s="95"/>
      <c r="DT42" s="95"/>
      <c r="DU42" s="95"/>
      <c r="DV42" s="95"/>
      <c r="DW42" s="95"/>
      <c r="DX42" s="95"/>
      <c r="DY42" s="95"/>
      <c r="DZ42" s="95"/>
      <c r="EA42" s="95"/>
      <c r="EB42" s="95"/>
      <c r="EC42" s="95"/>
      <c r="ED42" s="95"/>
      <c r="EE42" s="95"/>
      <c r="EF42" s="95"/>
      <c r="EG42" s="95"/>
      <c r="EH42" s="95"/>
      <c r="EI42" s="95"/>
      <c r="EJ42" s="95"/>
      <c r="EK42" s="95"/>
      <c r="EL42" s="95"/>
      <c r="EM42" s="95"/>
      <c r="EN42" s="95"/>
      <c r="EO42" s="95"/>
      <c r="EP42" s="95"/>
      <c r="EQ42" s="95"/>
      <c r="ER42" s="95"/>
      <c r="ES42" s="95"/>
      <c r="ET42" s="95"/>
      <c r="EU42" s="95"/>
      <c r="EV42" s="95"/>
      <c r="EW42" s="95"/>
      <c r="EX42" s="95"/>
      <c r="EY42" s="95"/>
      <c r="EZ42" s="95"/>
      <c r="FA42" s="95"/>
      <c r="FB42" s="95"/>
      <c r="FC42" s="95"/>
      <c r="FD42" s="95"/>
      <c r="FE42" s="95"/>
      <c r="FF42" s="95"/>
      <c r="FG42" s="95"/>
      <c r="FH42" s="95"/>
      <c r="FI42" s="95"/>
      <c r="FJ42" s="95"/>
      <c r="FK42" s="95"/>
      <c r="FL42" s="95"/>
      <c r="FM42" s="95"/>
      <c r="FN42" s="95"/>
      <c r="FO42" s="95"/>
      <c r="FP42" s="95"/>
      <c r="FQ42" s="95"/>
      <c r="FR42" s="95"/>
      <c r="FS42" s="95"/>
      <c r="FT42" s="95"/>
      <c r="FU42" s="95"/>
      <c r="FV42" s="95"/>
      <c r="FW42" s="95"/>
      <c r="FX42" s="95"/>
      <c r="FY42" s="95"/>
      <c r="FZ42" s="95"/>
      <c r="GA42" s="95"/>
      <c r="GB42" s="95"/>
      <c r="GC42" s="95"/>
      <c r="GD42" s="95"/>
      <c r="GE42" s="95"/>
      <c r="GF42" s="95"/>
      <c r="GG42" s="95"/>
      <c r="GH42" s="95"/>
      <c r="GI42" s="95"/>
      <c r="GJ42" s="95"/>
      <c r="GK42" s="95"/>
      <c r="GL42" s="95"/>
      <c r="GM42" s="95"/>
      <c r="GN42" s="95"/>
      <c r="GO42" s="95"/>
      <c r="GP42" s="95"/>
      <c r="GQ42" s="95"/>
      <c r="GR42" s="95"/>
      <c r="GS42" s="95"/>
      <c r="GT42" s="95"/>
      <c r="GU42" s="95"/>
      <c r="GV42" s="95"/>
      <c r="GW42" s="95"/>
      <c r="GX42" s="95"/>
      <c r="GY42" s="95"/>
      <c r="GZ42" s="95"/>
      <c r="HA42" s="95"/>
      <c r="HB42" s="95"/>
      <c r="HC42" s="95"/>
      <c r="HD42" s="95"/>
      <c r="HE42" s="95"/>
      <c r="HF42" s="95"/>
      <c r="HG42" s="95"/>
      <c r="HH42" s="95"/>
      <c r="HI42" s="95"/>
      <c r="HJ42" s="95"/>
      <c r="HK42" s="95"/>
      <c r="HL42" s="95"/>
      <c r="HM42" s="95"/>
      <c r="HN42" s="95"/>
      <c r="HO42" s="95"/>
      <c r="HP42" s="95"/>
      <c r="HQ42" s="95"/>
      <c r="HR42" s="95"/>
      <c r="HS42" s="95"/>
      <c r="HT42" s="95"/>
      <c r="HU42" s="95"/>
      <c r="HV42" s="95"/>
      <c r="HW42" s="95"/>
      <c r="HX42" s="95"/>
      <c r="HY42" s="95"/>
      <c r="HZ42" s="95"/>
      <c r="IA42" s="95"/>
      <c r="IB42" s="95"/>
      <c r="IC42" s="95"/>
      <c r="ID42" s="95"/>
      <c r="IE42" s="95"/>
      <c r="IF42" s="95"/>
      <c r="IG42" s="95"/>
      <c r="IH42" s="95"/>
      <c r="II42" s="95"/>
      <c r="IJ42" s="95"/>
      <c r="IK42" s="95"/>
      <c r="IL42" s="95"/>
      <c r="IM42" s="95"/>
      <c r="IN42" s="95"/>
      <c r="IO42" s="95"/>
      <c r="IP42" s="95"/>
      <c r="IQ42" s="95"/>
      <c r="IR42" s="95"/>
      <c r="IS42" s="95"/>
      <c r="IT42" s="95"/>
      <c r="IU42" s="95"/>
      <c r="IV42" s="95"/>
    </row>
    <row r="43" spans="1:256" s="95" customFormat="1" ht="26.25" customHeight="1" x14ac:dyDescent="0.2">
      <c r="A43" s="89" t="s">
        <v>139</v>
      </c>
      <c r="B43" s="103" t="s">
        <v>288</v>
      </c>
      <c r="C43" s="91" t="s">
        <v>4</v>
      </c>
      <c r="D43" s="92">
        <v>20</v>
      </c>
      <c r="E43" s="98"/>
      <c r="F43" s="99">
        <f>D43*E43</f>
        <v>0</v>
      </c>
      <c r="G43" s="100"/>
      <c r="H43" s="94"/>
    </row>
    <row r="44" spans="1:256" s="96" customFormat="1" ht="17.25" customHeight="1" x14ac:dyDescent="0.2">
      <c r="A44" s="89" t="s">
        <v>173</v>
      </c>
      <c r="B44" s="103" t="s">
        <v>43</v>
      </c>
      <c r="C44" s="91" t="s">
        <v>5</v>
      </c>
      <c r="D44" s="92">
        <v>1</v>
      </c>
      <c r="E44" s="98"/>
      <c r="F44" s="99">
        <f>D44*E44</f>
        <v>0</v>
      </c>
      <c r="G44" s="92"/>
      <c r="H44" s="94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95"/>
      <c r="CJ44" s="95"/>
      <c r="CK44" s="95"/>
      <c r="CL44" s="95"/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5"/>
      <c r="DA44" s="95"/>
      <c r="DB44" s="95"/>
      <c r="DC44" s="95"/>
      <c r="DD44" s="95"/>
      <c r="DE44" s="95"/>
      <c r="DF44" s="95"/>
      <c r="DG44" s="95"/>
      <c r="DH44" s="95"/>
      <c r="DI44" s="95"/>
      <c r="DJ44" s="95"/>
      <c r="DK44" s="95"/>
      <c r="DL44" s="95"/>
      <c r="DM44" s="95"/>
      <c r="DN44" s="95"/>
      <c r="DO44" s="95"/>
      <c r="DP44" s="95"/>
      <c r="DQ44" s="95"/>
      <c r="DR44" s="95"/>
      <c r="DS44" s="95"/>
      <c r="DT44" s="95"/>
      <c r="DU44" s="95"/>
      <c r="DV44" s="95"/>
      <c r="DW44" s="95"/>
      <c r="DX44" s="95"/>
      <c r="DY44" s="95"/>
      <c r="DZ44" s="95"/>
      <c r="EA44" s="95"/>
      <c r="EB44" s="95"/>
      <c r="EC44" s="95"/>
      <c r="ED44" s="95"/>
      <c r="EE44" s="95"/>
      <c r="EF44" s="95"/>
      <c r="EG44" s="95"/>
      <c r="EH44" s="95"/>
      <c r="EI44" s="95"/>
      <c r="EJ44" s="95"/>
      <c r="EK44" s="95"/>
      <c r="EL44" s="95"/>
      <c r="EM44" s="95"/>
      <c r="EN44" s="95"/>
      <c r="EO44" s="95"/>
      <c r="EP44" s="95"/>
      <c r="EQ44" s="95"/>
      <c r="ER44" s="95"/>
      <c r="ES44" s="95"/>
      <c r="ET44" s="95"/>
      <c r="EU44" s="95"/>
      <c r="EV44" s="95"/>
      <c r="EW44" s="95"/>
      <c r="EX44" s="95"/>
      <c r="EY44" s="95"/>
      <c r="EZ44" s="95"/>
      <c r="FA44" s="95"/>
      <c r="FB44" s="95"/>
      <c r="FC44" s="95"/>
      <c r="FD44" s="95"/>
      <c r="FE44" s="95"/>
      <c r="FF44" s="95"/>
      <c r="FG44" s="95"/>
      <c r="FH44" s="95"/>
      <c r="FI44" s="95"/>
      <c r="FJ44" s="95"/>
      <c r="FK44" s="95"/>
      <c r="FL44" s="95"/>
      <c r="FM44" s="95"/>
      <c r="FN44" s="95"/>
      <c r="FO44" s="95"/>
      <c r="FP44" s="95"/>
      <c r="FQ44" s="95"/>
      <c r="FR44" s="95"/>
      <c r="FS44" s="95"/>
      <c r="FT44" s="95"/>
      <c r="FU44" s="95"/>
      <c r="FV44" s="95"/>
      <c r="FW44" s="95"/>
      <c r="FX44" s="95"/>
      <c r="FY44" s="95"/>
      <c r="FZ44" s="95"/>
      <c r="GA44" s="95"/>
      <c r="GB44" s="95"/>
      <c r="GC44" s="95"/>
      <c r="GD44" s="95"/>
      <c r="GE44" s="95"/>
      <c r="GF44" s="95"/>
      <c r="GG44" s="95"/>
      <c r="GH44" s="95"/>
      <c r="GI44" s="95"/>
      <c r="GJ44" s="95"/>
      <c r="GK44" s="95"/>
      <c r="GL44" s="95"/>
      <c r="GM44" s="95"/>
      <c r="GN44" s="95"/>
      <c r="GO44" s="95"/>
      <c r="GP44" s="95"/>
      <c r="GQ44" s="95"/>
      <c r="GR44" s="95"/>
      <c r="GS44" s="95"/>
      <c r="GT44" s="95"/>
      <c r="GU44" s="95"/>
      <c r="GV44" s="95"/>
      <c r="GW44" s="95"/>
      <c r="GX44" s="95"/>
      <c r="GY44" s="95"/>
      <c r="GZ44" s="95"/>
      <c r="HA44" s="95"/>
      <c r="HB44" s="95"/>
      <c r="HC44" s="95"/>
      <c r="HD44" s="95"/>
      <c r="HE44" s="95"/>
      <c r="HF44" s="95"/>
      <c r="HG44" s="95"/>
      <c r="HH44" s="95"/>
      <c r="HI44" s="95"/>
      <c r="HJ44" s="95"/>
      <c r="HK44" s="95"/>
      <c r="HL44" s="95"/>
      <c r="HM44" s="95"/>
      <c r="HN44" s="95"/>
      <c r="HO44" s="95"/>
      <c r="HP44" s="95"/>
      <c r="HQ44" s="95"/>
      <c r="HR44" s="95"/>
      <c r="HS44" s="95"/>
      <c r="HT44" s="95"/>
      <c r="HU44" s="95"/>
      <c r="HV44" s="95"/>
      <c r="HW44" s="95"/>
      <c r="HX44" s="95"/>
      <c r="HY44" s="95"/>
      <c r="HZ44" s="95"/>
      <c r="IA44" s="95"/>
      <c r="IB44" s="95"/>
      <c r="IC44" s="95"/>
      <c r="ID44" s="95"/>
      <c r="IE44" s="95"/>
      <c r="IF44" s="95"/>
      <c r="IG44" s="95"/>
      <c r="IH44" s="95"/>
      <c r="II44" s="95"/>
      <c r="IJ44" s="95"/>
      <c r="IK44" s="95"/>
      <c r="IL44" s="95"/>
      <c r="IM44" s="95"/>
      <c r="IN44" s="95"/>
      <c r="IO44" s="95"/>
      <c r="IP44" s="95"/>
      <c r="IQ44" s="95"/>
      <c r="IR44" s="95"/>
      <c r="IS44" s="95"/>
      <c r="IT44" s="95"/>
      <c r="IU44" s="95"/>
      <c r="IV44" s="95"/>
    </row>
    <row r="45" spans="1:256" s="4" customFormat="1" ht="17.25" customHeight="1" x14ac:dyDescent="0.2">
      <c r="A45" s="49"/>
      <c r="B45" s="32"/>
      <c r="C45" s="24"/>
      <c r="D45" s="38"/>
      <c r="E45" s="80"/>
      <c r="F45" s="38"/>
      <c r="G45" s="38"/>
      <c r="H45" s="75"/>
    </row>
    <row r="46" spans="1:256" s="4" customFormat="1" ht="20.25" customHeight="1" x14ac:dyDescent="0.2">
      <c r="A46" s="59"/>
      <c r="B46" s="60" t="s">
        <v>11</v>
      </c>
      <c r="C46" s="61"/>
      <c r="D46" s="61"/>
      <c r="E46" s="108"/>
      <c r="F46" s="73">
        <f>SUM(F39:F44)</f>
        <v>0</v>
      </c>
      <c r="G46" s="38"/>
      <c r="H46" s="75"/>
    </row>
    <row r="47" spans="1:256" s="4" customFormat="1" ht="20.25" customHeight="1" x14ac:dyDescent="0.2">
      <c r="A47" s="49"/>
      <c r="B47" s="29"/>
      <c r="C47" s="24"/>
      <c r="D47" s="38"/>
      <c r="E47" s="80"/>
      <c r="F47" s="38"/>
      <c r="G47" s="38"/>
      <c r="H47" s="7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</row>
    <row r="48" spans="1:256" s="4" customFormat="1" ht="16.5" customHeight="1" x14ac:dyDescent="0.2">
      <c r="A48" s="49" t="s">
        <v>58</v>
      </c>
      <c r="B48" s="31" t="s">
        <v>42</v>
      </c>
      <c r="C48" s="24"/>
      <c r="D48" s="38"/>
      <c r="E48" s="80"/>
      <c r="F48" s="38"/>
      <c r="G48" s="38"/>
      <c r="H48" s="75"/>
    </row>
    <row r="49" spans="1:256" s="4" customFormat="1" ht="14.25" customHeight="1" x14ac:dyDescent="0.2">
      <c r="A49" s="49"/>
      <c r="B49" s="31"/>
      <c r="C49" s="24"/>
      <c r="D49" s="38"/>
      <c r="E49" s="80"/>
      <c r="F49" s="38"/>
      <c r="G49" s="38"/>
      <c r="H49" s="7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</row>
    <row r="50" spans="1:256" s="4" customFormat="1" ht="20.25" customHeight="1" x14ac:dyDescent="0.2">
      <c r="A50" s="49" t="s">
        <v>59</v>
      </c>
      <c r="B50" s="32" t="s">
        <v>181</v>
      </c>
      <c r="C50" s="24" t="s">
        <v>13</v>
      </c>
      <c r="D50" s="38">
        <v>150</v>
      </c>
      <c r="E50" s="80"/>
      <c r="F50" s="81">
        <f>D50*E50</f>
        <v>0</v>
      </c>
      <c r="G50" s="38"/>
      <c r="H50" s="7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</row>
    <row r="51" spans="1:256" s="4" customFormat="1" ht="18.75" customHeight="1" x14ac:dyDescent="0.2">
      <c r="A51" s="49" t="s">
        <v>60</v>
      </c>
      <c r="B51" s="32" t="s">
        <v>134</v>
      </c>
      <c r="C51" s="24"/>
      <c r="D51" s="38"/>
      <c r="E51" s="80"/>
      <c r="F51" s="81"/>
      <c r="G51" s="38"/>
      <c r="H51" s="7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</row>
    <row r="52" spans="1:256" s="4" customFormat="1" ht="18" customHeight="1" x14ac:dyDescent="0.2">
      <c r="A52" s="70" t="s">
        <v>61</v>
      </c>
      <c r="B52" s="16" t="s">
        <v>323</v>
      </c>
      <c r="C52" s="24" t="s">
        <v>4</v>
      </c>
      <c r="D52" s="38">
        <v>115</v>
      </c>
      <c r="E52" s="80"/>
      <c r="F52" s="81">
        <f t="shared" ref="F52:F70" si="3">D52*E52</f>
        <v>0</v>
      </c>
      <c r="G52" s="38"/>
      <c r="H52" s="75"/>
    </row>
    <row r="53" spans="1:256" ht="18" customHeight="1" x14ac:dyDescent="0.2">
      <c r="A53" s="49" t="s">
        <v>63</v>
      </c>
      <c r="B53" s="32" t="s">
        <v>119</v>
      </c>
      <c r="C53" s="24"/>
      <c r="D53" s="38"/>
      <c r="E53" s="80"/>
      <c r="F53" s="81"/>
      <c r="G53" s="3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</row>
    <row r="54" spans="1:256" ht="19.5" customHeight="1" x14ac:dyDescent="0.2">
      <c r="A54" s="70" t="s">
        <v>64</v>
      </c>
      <c r="B54" s="16" t="s">
        <v>325</v>
      </c>
      <c r="C54" s="24" t="s">
        <v>4</v>
      </c>
      <c r="D54" s="38">
        <v>8</v>
      </c>
      <c r="E54" s="80"/>
      <c r="F54" s="81">
        <f t="shared" si="3"/>
        <v>0</v>
      </c>
      <c r="G54" s="38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</row>
    <row r="55" spans="1:256" ht="16.5" customHeight="1" x14ac:dyDescent="0.2">
      <c r="A55" s="49" t="s">
        <v>65</v>
      </c>
      <c r="B55" s="32" t="s">
        <v>184</v>
      </c>
      <c r="C55" s="24" t="s">
        <v>5</v>
      </c>
      <c r="D55" s="38">
        <v>1</v>
      </c>
      <c r="E55" s="80"/>
      <c r="F55" s="81">
        <f t="shared" si="3"/>
        <v>0</v>
      </c>
      <c r="G55" s="38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</row>
    <row r="56" spans="1:256" ht="27" customHeight="1" x14ac:dyDescent="0.2">
      <c r="A56" s="49" t="s">
        <v>66</v>
      </c>
      <c r="B56" s="16" t="s">
        <v>30</v>
      </c>
      <c r="C56" s="24"/>
      <c r="D56" s="38"/>
      <c r="E56" s="80"/>
      <c r="F56" s="81"/>
      <c r="G56" s="38"/>
    </row>
    <row r="57" spans="1:256" ht="18" customHeight="1" x14ac:dyDescent="0.2">
      <c r="A57" s="70" t="s">
        <v>182</v>
      </c>
      <c r="B57" s="16" t="s">
        <v>326</v>
      </c>
      <c r="C57" s="24" t="s">
        <v>13</v>
      </c>
      <c r="D57" s="38">
        <v>150</v>
      </c>
      <c r="E57" s="80"/>
      <c r="F57" s="81">
        <f t="shared" si="3"/>
        <v>0</v>
      </c>
      <c r="G57" s="38"/>
    </row>
    <row r="58" spans="1:256" ht="18" customHeight="1" x14ac:dyDescent="0.2">
      <c r="A58" s="49" t="s">
        <v>67</v>
      </c>
      <c r="B58" s="32" t="s">
        <v>29</v>
      </c>
      <c r="C58" s="24"/>
      <c r="D58" s="38"/>
      <c r="E58" s="80"/>
      <c r="F58" s="81"/>
      <c r="G58" s="38"/>
    </row>
    <row r="59" spans="1:256" ht="18.75" customHeight="1" x14ac:dyDescent="0.2">
      <c r="A59" s="70" t="s">
        <v>68</v>
      </c>
      <c r="B59" s="16" t="s">
        <v>327</v>
      </c>
      <c r="C59" s="24" t="s">
        <v>13</v>
      </c>
      <c r="D59" s="38">
        <v>150</v>
      </c>
      <c r="E59" s="80"/>
      <c r="F59" s="81">
        <f t="shared" si="3"/>
        <v>0</v>
      </c>
      <c r="G59" s="38"/>
    </row>
    <row r="60" spans="1:256" ht="18.75" customHeight="1" x14ac:dyDescent="0.2">
      <c r="A60" s="49" t="s">
        <v>121</v>
      </c>
      <c r="B60" s="32" t="s">
        <v>31</v>
      </c>
      <c r="C60" s="24"/>
      <c r="D60" s="38"/>
      <c r="E60" s="80"/>
      <c r="F60" s="81"/>
      <c r="G60" s="38"/>
    </row>
    <row r="61" spans="1:256" ht="18.75" customHeight="1" x14ac:dyDescent="0.2">
      <c r="A61" s="70" t="s">
        <v>122</v>
      </c>
      <c r="B61" s="16" t="s">
        <v>471</v>
      </c>
      <c r="C61" s="24" t="s">
        <v>13</v>
      </c>
      <c r="D61" s="38">
        <v>150</v>
      </c>
      <c r="E61" s="80"/>
      <c r="F61" s="81">
        <f t="shared" si="3"/>
        <v>0</v>
      </c>
      <c r="G61" s="38"/>
    </row>
    <row r="62" spans="1:256" ht="18.75" customHeight="1" x14ac:dyDescent="0.2">
      <c r="A62" s="70" t="s">
        <v>472</v>
      </c>
      <c r="B62" s="16" t="s">
        <v>183</v>
      </c>
      <c r="C62" s="24" t="s">
        <v>13</v>
      </c>
      <c r="D62" s="38">
        <v>0</v>
      </c>
      <c r="E62" s="80"/>
      <c r="F62" s="81">
        <f t="shared" si="3"/>
        <v>0</v>
      </c>
      <c r="G62" s="38"/>
    </row>
    <row r="63" spans="1:256" ht="18" customHeight="1" x14ac:dyDescent="0.2">
      <c r="A63" s="49" t="s">
        <v>69</v>
      </c>
      <c r="B63" s="32" t="s">
        <v>447</v>
      </c>
      <c r="C63" s="24"/>
      <c r="D63" s="38"/>
      <c r="E63" s="80"/>
      <c r="F63" s="81"/>
      <c r="G63" s="38"/>
    </row>
    <row r="64" spans="1:256" ht="19.5" customHeight="1" x14ac:dyDescent="0.2">
      <c r="A64" s="70" t="s">
        <v>448</v>
      </c>
      <c r="B64" s="16" t="s">
        <v>473</v>
      </c>
      <c r="C64" s="24" t="s">
        <v>13</v>
      </c>
      <c r="D64" s="38">
        <v>150</v>
      </c>
      <c r="E64" s="80"/>
      <c r="F64" s="81">
        <f t="shared" si="3"/>
        <v>0</v>
      </c>
      <c r="G64" s="38"/>
    </row>
    <row r="65" spans="1:256" s="4" customFormat="1" ht="18" customHeight="1" x14ac:dyDescent="0.2">
      <c r="A65" s="49" t="s">
        <v>123</v>
      </c>
      <c r="B65" s="32" t="s">
        <v>449</v>
      </c>
      <c r="C65" s="24" t="s">
        <v>13</v>
      </c>
      <c r="D65" s="38">
        <v>60</v>
      </c>
      <c r="E65" s="80"/>
      <c r="F65" s="81">
        <f t="shared" si="3"/>
        <v>0</v>
      </c>
      <c r="G65" s="38"/>
      <c r="H65" s="7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</row>
    <row r="66" spans="1:256" ht="17.25" customHeight="1" x14ac:dyDescent="0.2">
      <c r="A66" s="49" t="s">
        <v>141</v>
      </c>
      <c r="B66" s="29" t="s">
        <v>172</v>
      </c>
      <c r="C66" s="24"/>
      <c r="D66" s="38"/>
      <c r="E66" s="80"/>
      <c r="F66" s="81"/>
      <c r="G66" s="38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</row>
    <row r="67" spans="1:256" ht="17.25" customHeight="1" x14ac:dyDescent="0.2">
      <c r="A67" s="70" t="s">
        <v>450</v>
      </c>
      <c r="B67" s="30" t="s">
        <v>451</v>
      </c>
      <c r="C67" s="24" t="s">
        <v>3</v>
      </c>
      <c r="D67" s="38">
        <v>13</v>
      </c>
      <c r="E67" s="80"/>
      <c r="F67" s="81">
        <f t="shared" si="3"/>
        <v>0</v>
      </c>
      <c r="G67" s="38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</row>
    <row r="68" spans="1:256" ht="17.25" customHeight="1" x14ac:dyDescent="0.2">
      <c r="A68" s="70" t="s">
        <v>452</v>
      </c>
      <c r="B68" s="30" t="s">
        <v>343</v>
      </c>
      <c r="C68" s="24" t="s">
        <v>3</v>
      </c>
      <c r="D68" s="38">
        <v>8</v>
      </c>
      <c r="E68" s="80"/>
      <c r="F68" s="81">
        <f t="shared" si="3"/>
        <v>0</v>
      </c>
      <c r="G68" s="3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</row>
    <row r="69" spans="1:256" ht="17.25" customHeight="1" x14ac:dyDescent="0.2">
      <c r="A69" s="49" t="s">
        <v>70</v>
      </c>
      <c r="B69" s="16" t="s">
        <v>453</v>
      </c>
      <c r="C69" s="24" t="s">
        <v>12</v>
      </c>
      <c r="D69" s="13">
        <v>3</v>
      </c>
      <c r="E69" s="110"/>
      <c r="F69" s="81">
        <f t="shared" si="3"/>
        <v>0</v>
      </c>
      <c r="G69" s="3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</row>
    <row r="70" spans="1:256" ht="17.25" customHeight="1" x14ac:dyDescent="0.2">
      <c r="A70" s="49" t="s">
        <v>71</v>
      </c>
      <c r="B70" s="32" t="s">
        <v>479</v>
      </c>
      <c r="C70" s="24" t="s">
        <v>245</v>
      </c>
      <c r="D70" s="13">
        <v>150</v>
      </c>
      <c r="E70" s="80"/>
      <c r="F70" s="81">
        <f t="shared" si="3"/>
        <v>0</v>
      </c>
      <c r="G70" s="38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</row>
    <row r="71" spans="1:256" ht="12.75" customHeight="1" x14ac:dyDescent="0.2">
      <c r="A71" s="49"/>
      <c r="C71" s="24"/>
      <c r="D71" s="38"/>
      <c r="E71" s="80"/>
      <c r="F71" s="38"/>
      <c r="G71" s="38"/>
    </row>
    <row r="72" spans="1:256" ht="15.75" customHeight="1" x14ac:dyDescent="0.2">
      <c r="A72" s="59"/>
      <c r="B72" s="60" t="s">
        <v>11</v>
      </c>
      <c r="C72" s="61"/>
      <c r="D72" s="61"/>
      <c r="E72" s="108"/>
      <c r="F72" s="73">
        <f>SUM(F50:F70)</f>
        <v>0</v>
      </c>
      <c r="G72" s="38"/>
    </row>
    <row r="73" spans="1:256" ht="12" customHeight="1" x14ac:dyDescent="0.2">
      <c r="A73" s="49"/>
      <c r="B73" s="58"/>
      <c r="C73" s="24"/>
      <c r="D73" s="38"/>
      <c r="E73" s="80"/>
      <c r="F73" s="38"/>
      <c r="G73" s="38"/>
    </row>
    <row r="74" spans="1:256" ht="17.25" customHeight="1" x14ac:dyDescent="0.2">
      <c r="A74" s="49" t="s">
        <v>72</v>
      </c>
      <c r="B74" s="31" t="s">
        <v>15</v>
      </c>
      <c r="C74" s="24"/>
      <c r="D74" s="13"/>
      <c r="E74" s="111"/>
      <c r="F74" s="38"/>
      <c r="G74" s="38"/>
    </row>
    <row r="75" spans="1:256" ht="11.25" customHeight="1" x14ac:dyDescent="0.2">
      <c r="A75" s="49"/>
      <c r="B75" s="31"/>
      <c r="C75" s="24"/>
      <c r="D75" s="13"/>
      <c r="E75" s="111"/>
      <c r="F75" s="38"/>
      <c r="G75" s="38"/>
    </row>
    <row r="76" spans="1:256" ht="24.75" customHeight="1" x14ac:dyDescent="0.2">
      <c r="A76" s="49" t="s">
        <v>73</v>
      </c>
      <c r="B76" s="32" t="s">
        <v>107</v>
      </c>
      <c r="C76" s="24"/>
      <c r="D76" s="13"/>
      <c r="E76" s="111"/>
      <c r="F76" s="38"/>
      <c r="G76" s="38"/>
    </row>
    <row r="77" spans="1:256" ht="16.5" customHeight="1" x14ac:dyDescent="0.2">
      <c r="A77" s="70" t="s">
        <v>74</v>
      </c>
      <c r="B77" s="63" t="s">
        <v>106</v>
      </c>
      <c r="C77" s="24" t="s">
        <v>3</v>
      </c>
      <c r="D77" s="13">
        <v>20</v>
      </c>
      <c r="E77" s="111"/>
      <c r="F77" s="81">
        <f t="shared" ref="F77:F94" si="4">D77*E77</f>
        <v>0</v>
      </c>
      <c r="G77" s="38"/>
    </row>
    <row r="78" spans="1:256" ht="18" customHeight="1" x14ac:dyDescent="0.2">
      <c r="A78" s="70" t="s">
        <v>75</v>
      </c>
      <c r="B78" s="63" t="s">
        <v>273</v>
      </c>
      <c r="C78" s="24" t="s">
        <v>3</v>
      </c>
      <c r="D78" s="13">
        <v>0</v>
      </c>
      <c r="E78" s="111"/>
      <c r="F78" s="81">
        <f t="shared" si="4"/>
        <v>0</v>
      </c>
      <c r="G78" s="38"/>
    </row>
    <row r="79" spans="1:256" ht="18.75" customHeight="1" x14ac:dyDescent="0.2">
      <c r="A79" s="49" t="s">
        <v>78</v>
      </c>
      <c r="B79" s="32" t="s">
        <v>32</v>
      </c>
      <c r="C79" s="24"/>
      <c r="D79" s="13"/>
      <c r="E79" s="111"/>
      <c r="F79" s="81"/>
      <c r="G79" s="38"/>
    </row>
    <row r="80" spans="1:256" ht="18.75" customHeight="1" x14ac:dyDescent="0.2">
      <c r="A80" s="70" t="s">
        <v>454</v>
      </c>
      <c r="B80" s="16" t="s">
        <v>19</v>
      </c>
      <c r="C80" s="24" t="s">
        <v>3</v>
      </c>
      <c r="D80" s="13">
        <f>D77</f>
        <v>20</v>
      </c>
      <c r="E80" s="111"/>
      <c r="F80" s="81">
        <f t="shared" si="4"/>
        <v>0</v>
      </c>
      <c r="G80" s="38"/>
    </row>
    <row r="81" spans="1:256" ht="18.75" customHeight="1" x14ac:dyDescent="0.2">
      <c r="A81" s="49" t="s">
        <v>79</v>
      </c>
      <c r="B81" s="32" t="s">
        <v>33</v>
      </c>
      <c r="C81" s="24"/>
      <c r="D81" s="13"/>
      <c r="E81" s="111"/>
      <c r="F81" s="81"/>
      <c r="G81" s="38"/>
    </row>
    <row r="82" spans="1:256" s="75" customFormat="1" ht="18.75" customHeight="1" x14ac:dyDescent="0.2">
      <c r="A82" s="70" t="s">
        <v>455</v>
      </c>
      <c r="B82" s="30" t="s">
        <v>188</v>
      </c>
      <c r="C82" s="24" t="s">
        <v>3</v>
      </c>
      <c r="D82" s="13">
        <f>D78</f>
        <v>0</v>
      </c>
      <c r="E82" s="111"/>
      <c r="F82" s="81">
        <f t="shared" si="4"/>
        <v>0</v>
      </c>
      <c r="G82" s="3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</row>
    <row r="83" spans="1:256" s="75" customFormat="1" ht="17.25" customHeight="1" x14ac:dyDescent="0.2">
      <c r="A83" s="49" t="s">
        <v>142</v>
      </c>
      <c r="B83" s="29" t="s">
        <v>279</v>
      </c>
      <c r="C83" s="24" t="s">
        <v>3</v>
      </c>
      <c r="D83" s="13">
        <v>10</v>
      </c>
      <c r="E83" s="112"/>
      <c r="F83" s="81">
        <f t="shared" si="4"/>
        <v>0</v>
      </c>
      <c r="G83" s="3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</row>
    <row r="84" spans="1:256" s="75" customFormat="1" ht="17.25" customHeight="1" x14ac:dyDescent="0.2">
      <c r="A84" s="49" t="s">
        <v>80</v>
      </c>
      <c r="B84" s="32" t="s">
        <v>190</v>
      </c>
      <c r="C84" s="24"/>
      <c r="D84" s="13"/>
      <c r="E84" s="112"/>
      <c r="F84" s="81"/>
      <c r="G84" s="3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</row>
    <row r="85" spans="1:256" s="75" customFormat="1" ht="18" customHeight="1" x14ac:dyDescent="0.2">
      <c r="A85" s="70" t="s">
        <v>467</v>
      </c>
      <c r="B85" s="16" t="s">
        <v>457</v>
      </c>
      <c r="C85" s="24" t="s">
        <v>3</v>
      </c>
      <c r="D85" s="13">
        <v>0</v>
      </c>
      <c r="E85" s="112"/>
      <c r="F85" s="81">
        <f t="shared" si="4"/>
        <v>0</v>
      </c>
      <c r="G85" s="3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</row>
    <row r="86" spans="1:256" s="75" customFormat="1" ht="18" customHeight="1" x14ac:dyDescent="0.2">
      <c r="A86" s="49" t="s">
        <v>81</v>
      </c>
      <c r="B86" s="32" t="s">
        <v>458</v>
      </c>
      <c r="C86" s="24"/>
      <c r="D86" s="13"/>
      <c r="E86" s="111"/>
      <c r="F86" s="81"/>
      <c r="G86" s="3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</row>
    <row r="87" spans="1:256" s="75" customFormat="1" ht="18" customHeight="1" x14ac:dyDescent="0.2">
      <c r="A87" s="70" t="s">
        <v>456</v>
      </c>
      <c r="B87" s="16" t="s">
        <v>276</v>
      </c>
      <c r="C87" s="24" t="s">
        <v>12</v>
      </c>
      <c r="D87" s="13">
        <v>1</v>
      </c>
      <c r="E87" s="111"/>
      <c r="F87" s="81">
        <f t="shared" si="4"/>
        <v>0</v>
      </c>
      <c r="G87" s="3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</row>
    <row r="88" spans="1:256" s="75" customFormat="1" ht="18" customHeight="1" x14ac:dyDescent="0.2">
      <c r="A88" s="49" t="s">
        <v>82</v>
      </c>
      <c r="B88" s="32" t="s">
        <v>109</v>
      </c>
      <c r="C88" s="24"/>
      <c r="D88" s="13"/>
      <c r="E88" s="111"/>
      <c r="F88" s="81"/>
      <c r="G88" s="3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</row>
    <row r="89" spans="1:256" s="75" customFormat="1" ht="18" customHeight="1" x14ac:dyDescent="0.2">
      <c r="A89" s="70" t="s">
        <v>196</v>
      </c>
      <c r="B89" s="16" t="s">
        <v>110</v>
      </c>
      <c r="C89" s="24" t="s">
        <v>12</v>
      </c>
      <c r="D89" s="13">
        <v>0</v>
      </c>
      <c r="E89" s="111"/>
      <c r="F89" s="81">
        <f t="shared" si="4"/>
        <v>0</v>
      </c>
      <c r="G89" s="3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</row>
    <row r="90" spans="1:256" s="75" customFormat="1" ht="18" customHeight="1" x14ac:dyDescent="0.2">
      <c r="A90" s="70" t="s">
        <v>434</v>
      </c>
      <c r="B90" s="16" t="s">
        <v>199</v>
      </c>
      <c r="C90" s="24" t="s">
        <v>12</v>
      </c>
      <c r="D90" s="13">
        <v>0</v>
      </c>
      <c r="E90" s="111"/>
      <c r="F90" s="81">
        <f t="shared" si="4"/>
        <v>0</v>
      </c>
      <c r="G90" s="3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</row>
    <row r="91" spans="1:256" s="75" customFormat="1" ht="19.5" customHeight="1" x14ac:dyDescent="0.2">
      <c r="A91" s="70" t="s">
        <v>435</v>
      </c>
      <c r="B91" s="16" t="s">
        <v>192</v>
      </c>
      <c r="C91" s="24" t="s">
        <v>12</v>
      </c>
      <c r="D91" s="13">
        <v>0</v>
      </c>
      <c r="E91" s="111"/>
      <c r="F91" s="81">
        <f t="shared" si="4"/>
        <v>0</v>
      </c>
      <c r="G91" s="3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</row>
    <row r="92" spans="1:256" s="75" customFormat="1" ht="19.5" customHeight="1" x14ac:dyDescent="0.2">
      <c r="A92" s="49" t="s">
        <v>83</v>
      </c>
      <c r="B92" s="32" t="s">
        <v>195</v>
      </c>
      <c r="C92" s="24"/>
      <c r="D92" s="13"/>
      <c r="E92" s="111"/>
      <c r="F92" s="81"/>
      <c r="G92" s="3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</row>
    <row r="93" spans="1:256" s="75" customFormat="1" ht="19.5" customHeight="1" x14ac:dyDescent="0.2">
      <c r="A93" s="70" t="s">
        <v>267</v>
      </c>
      <c r="B93" s="16" t="s">
        <v>266</v>
      </c>
      <c r="C93" s="24" t="s">
        <v>12</v>
      </c>
      <c r="D93" s="13">
        <v>0</v>
      </c>
      <c r="E93" s="111"/>
      <c r="F93" s="81">
        <f t="shared" si="4"/>
        <v>0</v>
      </c>
      <c r="G93" s="3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</row>
    <row r="94" spans="1:256" s="75" customFormat="1" ht="19.5" customHeight="1" x14ac:dyDescent="0.2">
      <c r="A94" s="49" t="s">
        <v>117</v>
      </c>
      <c r="B94" s="32" t="s">
        <v>480</v>
      </c>
      <c r="C94" s="24" t="s">
        <v>23</v>
      </c>
      <c r="D94" s="13">
        <v>1</v>
      </c>
      <c r="E94" s="112"/>
      <c r="F94" s="64">
        <f t="shared" si="4"/>
        <v>0</v>
      </c>
      <c r="G94" s="3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</row>
    <row r="95" spans="1:256" s="75" customFormat="1" ht="10.5" customHeight="1" x14ac:dyDescent="0.2">
      <c r="A95" s="49"/>
      <c r="B95" s="16"/>
      <c r="C95" s="24"/>
      <c r="D95" s="13"/>
      <c r="E95" s="112"/>
      <c r="F95" s="38"/>
      <c r="G95" s="3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</row>
    <row r="96" spans="1:256" s="75" customFormat="1" ht="16.5" customHeight="1" x14ac:dyDescent="0.2">
      <c r="A96" s="59"/>
      <c r="B96" s="60" t="s">
        <v>11</v>
      </c>
      <c r="C96" s="61"/>
      <c r="D96" s="61"/>
      <c r="E96" s="108"/>
      <c r="F96" s="73">
        <f>SUM(F77:F94)</f>
        <v>0</v>
      </c>
      <c r="G96" s="3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</row>
    <row r="97" spans="1:256" s="75" customFormat="1" ht="15" customHeight="1" x14ac:dyDescent="0.2">
      <c r="A97" s="49"/>
      <c r="B97" s="58"/>
      <c r="C97" s="24"/>
      <c r="D97" s="38"/>
      <c r="E97" s="113"/>
      <c r="F97" s="64"/>
      <c r="G97" s="3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</row>
    <row r="98" spans="1:256" s="75" customFormat="1" ht="17.25" customHeight="1" x14ac:dyDescent="0.2">
      <c r="A98" s="49" t="s">
        <v>84</v>
      </c>
      <c r="B98" s="31" t="s">
        <v>17</v>
      </c>
      <c r="C98" s="24"/>
      <c r="D98" s="13"/>
      <c r="E98" s="111"/>
      <c r="F98" s="38"/>
      <c r="G98" s="3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</row>
    <row r="99" spans="1:256" s="75" customFormat="1" ht="15" customHeight="1" x14ac:dyDescent="0.2">
      <c r="A99" s="49"/>
      <c r="B99" s="31"/>
      <c r="C99" s="24"/>
      <c r="D99" s="13"/>
      <c r="E99" s="111"/>
      <c r="F99" s="38"/>
      <c r="G99" s="3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</row>
    <row r="100" spans="1:256" s="75" customFormat="1" ht="22.5" customHeight="1" x14ac:dyDescent="0.2">
      <c r="A100" s="49" t="s">
        <v>85</v>
      </c>
      <c r="B100" s="32" t="s">
        <v>107</v>
      </c>
      <c r="C100" s="24"/>
      <c r="D100" s="13"/>
      <c r="E100" s="111"/>
      <c r="F100" s="38"/>
      <c r="G100" s="3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</row>
    <row r="101" spans="1:256" s="75" customFormat="1" ht="17.25" customHeight="1" x14ac:dyDescent="0.2">
      <c r="A101" s="70" t="s">
        <v>86</v>
      </c>
      <c r="B101" s="63" t="s">
        <v>304</v>
      </c>
      <c r="C101" s="24" t="s">
        <v>3</v>
      </c>
      <c r="D101" s="13">
        <v>20</v>
      </c>
      <c r="E101" s="111"/>
      <c r="F101" s="81">
        <f t="shared" ref="F101:F108" si="5">D101*E101</f>
        <v>0</v>
      </c>
      <c r="G101" s="3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</row>
    <row r="102" spans="1:256" s="75" customFormat="1" ht="26.25" customHeight="1" x14ac:dyDescent="0.2">
      <c r="A102" s="49" t="s">
        <v>87</v>
      </c>
      <c r="B102" s="32" t="s">
        <v>34</v>
      </c>
      <c r="C102" s="24"/>
      <c r="D102" s="13"/>
      <c r="E102" s="111"/>
      <c r="F102" s="81"/>
      <c r="G102" s="3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</row>
    <row r="103" spans="1:256" s="75" customFormat="1" ht="20.25" customHeight="1" x14ac:dyDescent="0.2">
      <c r="A103" s="70" t="s">
        <v>88</v>
      </c>
      <c r="B103" s="16" t="s">
        <v>468</v>
      </c>
      <c r="C103" s="24" t="s">
        <v>3</v>
      </c>
      <c r="D103" s="13">
        <v>20</v>
      </c>
      <c r="E103" s="111"/>
      <c r="F103" s="81">
        <f t="shared" si="5"/>
        <v>0</v>
      </c>
      <c r="G103" s="3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</row>
    <row r="104" spans="1:256" s="75" customFormat="1" ht="19.5" customHeight="1" x14ac:dyDescent="0.2">
      <c r="A104" s="49" t="s">
        <v>144</v>
      </c>
      <c r="B104" s="32" t="s">
        <v>109</v>
      </c>
      <c r="C104" s="24"/>
      <c r="D104" s="13"/>
      <c r="E104" s="111"/>
      <c r="F104" s="81"/>
      <c r="G104" s="3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</row>
    <row r="105" spans="1:256" s="75" customFormat="1" ht="17.25" customHeight="1" x14ac:dyDescent="0.2">
      <c r="A105" s="70" t="s">
        <v>145</v>
      </c>
      <c r="B105" s="16" t="s">
        <v>110</v>
      </c>
      <c r="C105" s="24" t="s">
        <v>12</v>
      </c>
      <c r="D105" s="13">
        <v>0</v>
      </c>
      <c r="E105" s="111"/>
      <c r="F105" s="81">
        <f t="shared" si="5"/>
        <v>0</v>
      </c>
      <c r="G105" s="3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</row>
    <row r="106" spans="1:256" s="75" customFormat="1" ht="16.5" customHeight="1" x14ac:dyDescent="0.2">
      <c r="A106" s="70" t="s">
        <v>146</v>
      </c>
      <c r="B106" s="16" t="s">
        <v>136</v>
      </c>
      <c r="C106" s="24" t="s">
        <v>12</v>
      </c>
      <c r="D106" s="13">
        <v>1</v>
      </c>
      <c r="E106" s="111"/>
      <c r="F106" s="81">
        <f t="shared" si="5"/>
        <v>0</v>
      </c>
      <c r="G106" s="3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</row>
    <row r="107" spans="1:256" s="75" customFormat="1" ht="16.5" customHeight="1" x14ac:dyDescent="0.2">
      <c r="A107" s="49" t="s">
        <v>89</v>
      </c>
      <c r="B107" s="32" t="s">
        <v>132</v>
      </c>
      <c r="C107" s="24" t="s">
        <v>16</v>
      </c>
      <c r="D107" s="13">
        <v>1</v>
      </c>
      <c r="E107" s="111"/>
      <c r="F107" s="81">
        <f t="shared" si="5"/>
        <v>0</v>
      </c>
      <c r="G107" s="3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</row>
    <row r="108" spans="1:256" s="75" customFormat="1" ht="16.5" customHeight="1" x14ac:dyDescent="0.2">
      <c r="A108" s="49" t="s">
        <v>118</v>
      </c>
      <c r="B108" s="32" t="s">
        <v>270</v>
      </c>
      <c r="C108" s="24" t="s">
        <v>16</v>
      </c>
      <c r="D108" s="13">
        <v>1</v>
      </c>
      <c r="E108" s="111"/>
      <c r="F108" s="81">
        <f t="shared" si="5"/>
        <v>0</v>
      </c>
      <c r="G108" s="3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</row>
    <row r="109" spans="1:256" s="75" customFormat="1" ht="17.25" customHeight="1" x14ac:dyDescent="0.2">
      <c r="A109" s="49"/>
      <c r="B109" s="16"/>
      <c r="C109" s="24"/>
      <c r="D109" s="13"/>
      <c r="E109" s="112"/>
      <c r="F109" s="64"/>
      <c r="G109" s="3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</row>
    <row r="110" spans="1:256" s="75" customFormat="1" ht="16.5" customHeight="1" x14ac:dyDescent="0.2">
      <c r="A110" s="59"/>
      <c r="B110" s="60" t="s">
        <v>11</v>
      </c>
      <c r="C110" s="61"/>
      <c r="D110" s="61"/>
      <c r="E110" s="108"/>
      <c r="F110" s="73">
        <f>SUM(F100:F108)</f>
        <v>0</v>
      </c>
      <c r="G110" s="3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</row>
    <row r="111" spans="1:256" s="75" customFormat="1" ht="18.75" customHeight="1" x14ac:dyDescent="0.2">
      <c r="A111" s="49"/>
      <c r="B111" s="16"/>
      <c r="C111" s="24"/>
      <c r="D111" s="13"/>
      <c r="E111" s="111"/>
      <c r="F111" s="38"/>
      <c r="G111" s="3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</row>
    <row r="112" spans="1:256" s="75" customFormat="1" ht="18.75" customHeight="1" x14ac:dyDescent="0.2">
      <c r="A112" s="49" t="s">
        <v>90</v>
      </c>
      <c r="B112" s="31" t="s">
        <v>290</v>
      </c>
      <c r="C112" s="24"/>
      <c r="D112" s="13"/>
      <c r="E112" s="111"/>
      <c r="F112" s="38"/>
      <c r="G112" s="3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</row>
    <row r="113" spans="1:256" s="75" customFormat="1" ht="12.75" customHeight="1" x14ac:dyDescent="0.2">
      <c r="A113" s="49"/>
      <c r="B113" s="31"/>
      <c r="C113" s="24"/>
      <c r="D113" s="13"/>
      <c r="E113" s="111"/>
      <c r="F113" s="38"/>
      <c r="G113" s="3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</row>
    <row r="114" spans="1:256" s="75" customFormat="1" ht="29.25" customHeight="1" x14ac:dyDescent="0.2">
      <c r="A114" s="49" t="s">
        <v>91</v>
      </c>
      <c r="B114" s="32" t="s">
        <v>35</v>
      </c>
      <c r="C114" s="24"/>
      <c r="D114" s="13"/>
      <c r="E114" s="111"/>
      <c r="F114" s="38"/>
      <c r="G114" s="3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</row>
    <row r="115" spans="1:256" s="75" customFormat="1" ht="18.75" customHeight="1" x14ac:dyDescent="0.2">
      <c r="A115" s="70" t="s">
        <v>92</v>
      </c>
      <c r="B115" s="63" t="s">
        <v>306</v>
      </c>
      <c r="C115" s="24" t="s">
        <v>3</v>
      </c>
      <c r="D115" s="105">
        <v>15</v>
      </c>
      <c r="E115" s="111"/>
      <c r="F115" s="81">
        <f t="shared" ref="F115" si="6">D115*E115</f>
        <v>0</v>
      </c>
      <c r="G115" s="3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</row>
    <row r="116" spans="1:256" s="75" customFormat="1" ht="33" customHeight="1" x14ac:dyDescent="0.2">
      <c r="A116" s="49" t="s">
        <v>93</v>
      </c>
      <c r="B116" s="29" t="s">
        <v>201</v>
      </c>
      <c r="C116" s="24"/>
      <c r="D116" s="13"/>
      <c r="E116" s="111"/>
      <c r="F116" s="81"/>
      <c r="G116" s="3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</row>
    <row r="117" spans="1:256" s="75" customFormat="1" ht="17.25" customHeight="1" x14ac:dyDescent="0.2">
      <c r="A117" s="70" t="s">
        <v>111</v>
      </c>
      <c r="B117" s="16" t="s">
        <v>459</v>
      </c>
      <c r="C117" s="24" t="s">
        <v>3</v>
      </c>
      <c r="D117" s="13">
        <v>15</v>
      </c>
      <c r="E117" s="111"/>
      <c r="F117" s="81">
        <f t="shared" ref="F117:F122" si="7">D117*E117</f>
        <v>0</v>
      </c>
      <c r="G117" s="3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</row>
    <row r="118" spans="1:256" s="75" customFormat="1" ht="18.75" customHeight="1" x14ac:dyDescent="0.2">
      <c r="A118" s="70" t="s">
        <v>293</v>
      </c>
      <c r="B118" s="16" t="s">
        <v>460</v>
      </c>
      <c r="C118" s="24" t="s">
        <v>3</v>
      </c>
      <c r="D118" s="13">
        <v>0</v>
      </c>
      <c r="E118" s="111"/>
      <c r="F118" s="81">
        <f t="shared" si="7"/>
        <v>0</v>
      </c>
      <c r="G118" s="3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</row>
    <row r="119" spans="1:256" s="75" customFormat="1" ht="15.75" customHeight="1" x14ac:dyDescent="0.2">
      <c r="A119" s="49" t="s">
        <v>94</v>
      </c>
      <c r="B119" s="32" t="s">
        <v>461</v>
      </c>
      <c r="C119" s="24" t="s">
        <v>23</v>
      </c>
      <c r="D119" s="13">
        <v>1</v>
      </c>
      <c r="E119" s="111"/>
      <c r="F119" s="81">
        <f t="shared" si="7"/>
        <v>0</v>
      </c>
      <c r="G119" s="3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</row>
    <row r="120" spans="1:256" s="75" customFormat="1" ht="18" customHeight="1" x14ac:dyDescent="0.2">
      <c r="A120" s="49" t="s">
        <v>218</v>
      </c>
      <c r="B120" s="16" t="s">
        <v>462</v>
      </c>
      <c r="C120" s="24" t="s">
        <v>322</v>
      </c>
      <c r="D120" s="13">
        <v>1</v>
      </c>
      <c r="E120" s="111"/>
      <c r="F120" s="81">
        <f t="shared" si="7"/>
        <v>0</v>
      </c>
      <c r="G120" s="3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</row>
    <row r="121" spans="1:256" s="75" customFormat="1" ht="18" customHeight="1" x14ac:dyDescent="0.2">
      <c r="A121" s="49" t="s">
        <v>95</v>
      </c>
      <c r="B121" s="32" t="s">
        <v>463</v>
      </c>
      <c r="C121" s="24" t="s">
        <v>23</v>
      </c>
      <c r="D121" s="13">
        <v>1</v>
      </c>
      <c r="E121" s="111"/>
      <c r="F121" s="81">
        <f t="shared" si="7"/>
        <v>0</v>
      </c>
      <c r="G121" s="3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</row>
    <row r="122" spans="1:256" s="75" customFormat="1" ht="18" customHeight="1" x14ac:dyDescent="0.2">
      <c r="A122" s="49" t="s">
        <v>96</v>
      </c>
      <c r="B122" s="32" t="s">
        <v>36</v>
      </c>
      <c r="C122" s="24" t="s">
        <v>16</v>
      </c>
      <c r="D122" s="13">
        <v>1</v>
      </c>
      <c r="E122" s="111"/>
      <c r="F122" s="81">
        <f t="shared" si="7"/>
        <v>0</v>
      </c>
      <c r="G122" s="3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</row>
    <row r="123" spans="1:256" s="75" customFormat="1" ht="12.75" customHeight="1" x14ac:dyDescent="0.2">
      <c r="A123" s="49"/>
      <c r="B123" s="16"/>
      <c r="C123" s="24"/>
      <c r="D123" s="13"/>
      <c r="E123" s="111"/>
      <c r="F123" s="38"/>
      <c r="G123" s="3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</row>
    <row r="124" spans="1:256" s="75" customFormat="1" ht="18.75" customHeight="1" x14ac:dyDescent="0.2">
      <c r="A124" s="59"/>
      <c r="B124" s="60" t="s">
        <v>11</v>
      </c>
      <c r="C124" s="61"/>
      <c r="D124" s="61"/>
      <c r="E124" s="108"/>
      <c r="F124" s="73">
        <f>SUM(F115:F122)</f>
        <v>0</v>
      </c>
      <c r="G124" s="3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</row>
    <row r="125" spans="1:256" s="75" customFormat="1" ht="15" customHeight="1" x14ac:dyDescent="0.2">
      <c r="A125" s="49"/>
      <c r="B125" s="16"/>
      <c r="C125" s="24"/>
      <c r="D125" s="13"/>
      <c r="E125" s="111"/>
      <c r="F125" s="38"/>
      <c r="G125" s="3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</row>
    <row r="126" spans="1:256" s="75" customFormat="1" ht="15.75" customHeight="1" x14ac:dyDescent="0.2">
      <c r="A126" s="49" t="s">
        <v>98</v>
      </c>
      <c r="B126" s="72" t="s">
        <v>18</v>
      </c>
      <c r="C126" s="24"/>
      <c r="D126" s="13"/>
      <c r="E126" s="111"/>
      <c r="F126" s="38"/>
      <c r="G126" s="3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</row>
    <row r="127" spans="1:256" s="75" customFormat="1" ht="15.75" customHeight="1" x14ac:dyDescent="0.2">
      <c r="A127" s="49"/>
      <c r="B127" s="32"/>
      <c r="C127" s="24"/>
      <c r="D127" s="13"/>
      <c r="E127" s="111"/>
      <c r="F127" s="38"/>
      <c r="G127" s="3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</row>
    <row r="128" spans="1:256" s="75" customFormat="1" ht="27.75" customHeight="1" x14ac:dyDescent="0.2">
      <c r="A128" s="49" t="s">
        <v>99</v>
      </c>
      <c r="B128" s="32" t="s">
        <v>210</v>
      </c>
      <c r="C128" s="24"/>
      <c r="D128" s="13"/>
      <c r="E128" s="111"/>
      <c r="F128" s="81"/>
      <c r="G128" s="3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</row>
    <row r="129" spans="1:256" s="75" customFormat="1" ht="16.5" customHeight="1" x14ac:dyDescent="0.2">
      <c r="A129" s="70" t="s">
        <v>282</v>
      </c>
      <c r="B129" s="16" t="s">
        <v>280</v>
      </c>
      <c r="C129" s="24" t="s">
        <v>3</v>
      </c>
      <c r="D129" s="13">
        <v>30</v>
      </c>
      <c r="E129" s="111"/>
      <c r="F129" s="81">
        <f t="shared" ref="F129:F149" si="8">D129*E129</f>
        <v>0</v>
      </c>
      <c r="G129" s="3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</row>
    <row r="130" spans="1:256" s="75" customFormat="1" ht="15.75" customHeight="1" x14ac:dyDescent="0.2">
      <c r="A130" s="49" t="s">
        <v>100</v>
      </c>
      <c r="B130" s="32" t="s">
        <v>212</v>
      </c>
      <c r="C130" s="24"/>
      <c r="D130" s="13"/>
      <c r="E130" s="111"/>
      <c r="F130" s="81"/>
      <c r="G130" s="3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</row>
    <row r="131" spans="1:256" s="75" customFormat="1" ht="15.75" customHeight="1" x14ac:dyDescent="0.2">
      <c r="A131" s="70" t="s">
        <v>101</v>
      </c>
      <c r="B131" s="30" t="s">
        <v>112</v>
      </c>
      <c r="C131" s="24" t="s">
        <v>3</v>
      </c>
      <c r="D131" s="13">
        <v>30</v>
      </c>
      <c r="E131" s="111"/>
      <c r="F131" s="81">
        <f t="shared" si="8"/>
        <v>0</v>
      </c>
      <c r="G131" s="3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</row>
    <row r="132" spans="1:256" s="75" customFormat="1" ht="17.25" customHeight="1" x14ac:dyDescent="0.2">
      <c r="A132" s="49" t="s">
        <v>148</v>
      </c>
      <c r="B132" s="29" t="s">
        <v>37</v>
      </c>
      <c r="C132" s="24" t="s">
        <v>12</v>
      </c>
      <c r="D132" s="13">
        <v>2</v>
      </c>
      <c r="E132" s="111"/>
      <c r="F132" s="81">
        <f t="shared" si="8"/>
        <v>0</v>
      </c>
      <c r="G132" s="3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</row>
    <row r="133" spans="1:256" s="75" customFormat="1" ht="20.25" customHeight="1" x14ac:dyDescent="0.2">
      <c r="A133" s="49" t="s">
        <v>103</v>
      </c>
      <c r="B133" s="29" t="s">
        <v>132</v>
      </c>
      <c r="C133" s="24" t="s">
        <v>12</v>
      </c>
      <c r="D133" s="13">
        <v>1</v>
      </c>
      <c r="E133" s="111"/>
      <c r="F133" s="81">
        <f t="shared" si="8"/>
        <v>0</v>
      </c>
      <c r="G133" s="3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</row>
    <row r="134" spans="1:256" s="75" customFormat="1" ht="17.25" customHeight="1" x14ac:dyDescent="0.2">
      <c r="A134" s="49" t="s">
        <v>127</v>
      </c>
      <c r="B134" s="29" t="s">
        <v>40</v>
      </c>
      <c r="C134" s="24" t="s">
        <v>16</v>
      </c>
      <c r="D134" s="13">
        <v>1</v>
      </c>
      <c r="E134" s="111"/>
      <c r="F134" s="81">
        <f t="shared" si="8"/>
        <v>0</v>
      </c>
      <c r="G134" s="3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</row>
    <row r="135" spans="1:256" s="75" customFormat="1" ht="15.75" customHeight="1" x14ac:dyDescent="0.2">
      <c r="A135" s="49"/>
      <c r="B135" s="30"/>
      <c r="C135" s="24"/>
      <c r="D135" s="13"/>
      <c r="E135" s="111"/>
      <c r="F135" s="36"/>
      <c r="G135" s="3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</row>
    <row r="136" spans="1:256" s="75" customFormat="1" ht="15.75" customHeight="1" x14ac:dyDescent="0.2">
      <c r="A136" s="59"/>
      <c r="B136" s="60" t="s">
        <v>11</v>
      </c>
      <c r="C136" s="61"/>
      <c r="D136" s="61"/>
      <c r="E136" s="108"/>
      <c r="F136" s="73">
        <f>SUM(F128:F134)</f>
        <v>0</v>
      </c>
      <c r="G136" s="3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</row>
    <row r="137" spans="1:256" s="75" customFormat="1" ht="15" customHeight="1" x14ac:dyDescent="0.2">
      <c r="A137" s="49"/>
      <c r="B137" s="16"/>
      <c r="C137" s="24"/>
      <c r="D137" s="13"/>
      <c r="E137" s="111"/>
      <c r="F137" s="38"/>
      <c r="G137" s="3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</row>
    <row r="138" spans="1:256" s="75" customFormat="1" ht="15.75" customHeight="1" x14ac:dyDescent="0.2">
      <c r="A138" s="49" t="s">
        <v>222</v>
      </c>
      <c r="B138" s="72" t="s">
        <v>223</v>
      </c>
      <c r="C138" s="24"/>
      <c r="D138" s="13"/>
      <c r="E138" s="111"/>
      <c r="F138" s="38"/>
      <c r="G138" s="3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</row>
    <row r="139" spans="1:256" s="75" customFormat="1" ht="15.75" customHeight="1" x14ac:dyDescent="0.2">
      <c r="A139" s="49"/>
      <c r="B139" s="32"/>
      <c r="C139" s="24"/>
      <c r="D139" s="13"/>
      <c r="E139" s="111"/>
      <c r="F139" s="38"/>
      <c r="G139" s="3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</row>
    <row r="140" spans="1:256" s="75" customFormat="1" ht="27.75" customHeight="1" x14ac:dyDescent="0.2">
      <c r="A140" s="49" t="s">
        <v>149</v>
      </c>
      <c r="B140" s="32" t="s">
        <v>210</v>
      </c>
      <c r="C140" s="24" t="s">
        <v>3</v>
      </c>
      <c r="D140" s="13">
        <v>0</v>
      </c>
      <c r="E140" s="111"/>
      <c r="F140" s="81">
        <f t="shared" si="8"/>
        <v>0</v>
      </c>
      <c r="G140" s="3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</row>
    <row r="141" spans="1:256" s="75" customFormat="1" ht="15.75" customHeight="1" x14ac:dyDescent="0.2">
      <c r="A141" s="49" t="s">
        <v>150</v>
      </c>
      <c r="B141" s="32" t="s">
        <v>212</v>
      </c>
      <c r="C141" s="24"/>
      <c r="D141" s="13"/>
      <c r="E141" s="111"/>
      <c r="F141" s="81"/>
      <c r="G141" s="3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</row>
    <row r="142" spans="1:256" s="75" customFormat="1" ht="15.75" customHeight="1" x14ac:dyDescent="0.2">
      <c r="A142" s="70" t="s">
        <v>151</v>
      </c>
      <c r="B142" s="30" t="s">
        <v>224</v>
      </c>
      <c r="C142" s="24" t="s">
        <v>3</v>
      </c>
      <c r="D142" s="13">
        <v>0</v>
      </c>
      <c r="E142" s="111"/>
      <c r="F142" s="81">
        <f t="shared" si="8"/>
        <v>0</v>
      </c>
      <c r="G142" s="3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</row>
    <row r="143" spans="1:256" s="75" customFormat="1" ht="15.75" customHeight="1" x14ac:dyDescent="0.2">
      <c r="A143" s="49" t="s">
        <v>152</v>
      </c>
      <c r="B143" s="29" t="s">
        <v>225</v>
      </c>
      <c r="C143" s="24" t="s">
        <v>3</v>
      </c>
      <c r="D143" s="79">
        <v>0</v>
      </c>
      <c r="E143" s="111"/>
      <c r="F143" s="81">
        <f t="shared" si="8"/>
        <v>0</v>
      </c>
      <c r="G143" s="3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</row>
    <row r="144" spans="1:256" s="75" customFormat="1" ht="18.75" customHeight="1" x14ac:dyDescent="0.2">
      <c r="A144" s="49" t="s">
        <v>153</v>
      </c>
      <c r="B144" s="29" t="s">
        <v>226</v>
      </c>
      <c r="C144" s="24" t="s">
        <v>3</v>
      </c>
      <c r="D144" s="79">
        <v>0</v>
      </c>
      <c r="E144" s="111"/>
      <c r="F144" s="81">
        <f t="shared" si="8"/>
        <v>0</v>
      </c>
      <c r="G144" s="3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</row>
    <row r="145" spans="1:256" s="75" customFormat="1" ht="17.25" customHeight="1" x14ac:dyDescent="0.2">
      <c r="A145" s="49" t="s">
        <v>154</v>
      </c>
      <c r="B145" s="29" t="s">
        <v>37</v>
      </c>
      <c r="C145" s="24" t="s">
        <v>12</v>
      </c>
      <c r="D145" s="13">
        <v>0</v>
      </c>
      <c r="E145" s="111"/>
      <c r="F145" s="81">
        <f t="shared" si="8"/>
        <v>0</v>
      </c>
      <c r="G145" s="3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</row>
    <row r="146" spans="1:256" s="75" customFormat="1" ht="20.25" customHeight="1" x14ac:dyDescent="0.2">
      <c r="A146" s="49" t="s">
        <v>230</v>
      </c>
      <c r="B146" s="29" t="s">
        <v>228</v>
      </c>
      <c r="C146" s="24" t="s">
        <v>12</v>
      </c>
      <c r="D146" s="13">
        <v>0</v>
      </c>
      <c r="E146" s="111"/>
      <c r="F146" s="81">
        <f t="shared" si="8"/>
        <v>0</v>
      </c>
      <c r="G146" s="3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</row>
    <row r="147" spans="1:256" s="75" customFormat="1" ht="20.25" customHeight="1" x14ac:dyDescent="0.2">
      <c r="A147" s="49" t="s">
        <v>231</v>
      </c>
      <c r="B147" s="29" t="s">
        <v>475</v>
      </c>
      <c r="C147" s="24" t="s">
        <v>12</v>
      </c>
      <c r="D147" s="13">
        <v>0</v>
      </c>
      <c r="E147" s="111"/>
      <c r="F147" s="81">
        <f t="shared" si="8"/>
        <v>0</v>
      </c>
      <c r="G147" s="3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</row>
    <row r="148" spans="1:256" s="75" customFormat="1" ht="20.25" customHeight="1" x14ac:dyDescent="0.2">
      <c r="A148" s="49" t="s">
        <v>232</v>
      </c>
      <c r="B148" s="29" t="s">
        <v>132</v>
      </c>
      <c r="C148" s="24" t="s">
        <v>12</v>
      </c>
      <c r="D148" s="13">
        <v>0</v>
      </c>
      <c r="E148" s="111"/>
      <c r="F148" s="81">
        <f t="shared" si="8"/>
        <v>0</v>
      </c>
      <c r="G148" s="3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</row>
    <row r="149" spans="1:256" s="75" customFormat="1" ht="17.25" customHeight="1" x14ac:dyDescent="0.2">
      <c r="A149" s="49" t="s">
        <v>233</v>
      </c>
      <c r="B149" s="29" t="s">
        <v>40</v>
      </c>
      <c r="C149" s="24" t="s">
        <v>16</v>
      </c>
      <c r="D149" s="13">
        <v>0</v>
      </c>
      <c r="E149" s="111"/>
      <c r="F149" s="81">
        <f t="shared" si="8"/>
        <v>0</v>
      </c>
      <c r="G149" s="3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</row>
    <row r="150" spans="1:256" s="75" customFormat="1" ht="15.75" customHeight="1" x14ac:dyDescent="0.2">
      <c r="A150" s="49"/>
      <c r="B150" s="30"/>
      <c r="C150" s="24"/>
      <c r="D150" s="13"/>
      <c r="E150" s="111"/>
      <c r="F150" s="36"/>
      <c r="G150" s="3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</row>
    <row r="151" spans="1:256" s="75" customFormat="1" ht="15.75" customHeight="1" x14ac:dyDescent="0.2">
      <c r="A151" s="59"/>
      <c r="B151" s="60" t="s">
        <v>11</v>
      </c>
      <c r="C151" s="61"/>
      <c r="D151" s="61"/>
      <c r="E151" s="108"/>
      <c r="F151" s="73">
        <f>SUM(F140:F149)</f>
        <v>0</v>
      </c>
      <c r="G151" s="3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</row>
    <row r="152" spans="1:256" s="75" customFormat="1" ht="15.75" customHeight="1" x14ac:dyDescent="0.2">
      <c r="A152" s="49"/>
      <c r="B152" s="30"/>
      <c r="C152" s="24"/>
      <c r="D152" s="13"/>
      <c r="E152" s="111"/>
      <c r="F152" s="38"/>
      <c r="G152" s="3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</row>
    <row r="153" spans="1:256" s="75" customFormat="1" ht="15.75" customHeight="1" x14ac:dyDescent="0.2">
      <c r="A153" s="49" t="s">
        <v>104</v>
      </c>
      <c r="B153" s="72" t="s">
        <v>284</v>
      </c>
      <c r="C153" s="24"/>
      <c r="D153" s="13"/>
      <c r="E153" s="111"/>
      <c r="F153" s="38"/>
      <c r="G153" s="3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</row>
    <row r="154" spans="1:256" s="75" customFormat="1" ht="9" customHeight="1" x14ac:dyDescent="0.2">
      <c r="A154" s="49"/>
      <c r="B154" s="32"/>
      <c r="C154" s="24"/>
      <c r="D154" s="13"/>
      <c r="E154" s="111"/>
      <c r="F154" s="38"/>
      <c r="G154" s="3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</row>
    <row r="155" spans="1:256" s="75" customFormat="1" ht="27.75" customHeight="1" x14ac:dyDescent="0.2">
      <c r="A155" s="49" t="s">
        <v>105</v>
      </c>
      <c r="B155" s="32" t="s">
        <v>128</v>
      </c>
      <c r="C155" s="24" t="s">
        <v>3</v>
      </c>
      <c r="D155" s="13">
        <v>40</v>
      </c>
      <c r="E155" s="111"/>
      <c r="F155" s="81">
        <f t="shared" ref="F155:F161" si="9">D155*E155</f>
        <v>0</v>
      </c>
      <c r="G155" s="3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</row>
    <row r="156" spans="1:256" s="75" customFormat="1" ht="15.75" customHeight="1" x14ac:dyDescent="0.2">
      <c r="A156" s="49" t="s">
        <v>235</v>
      </c>
      <c r="B156" s="74" t="s">
        <v>113</v>
      </c>
      <c r="C156" s="24"/>
      <c r="D156" s="13"/>
      <c r="E156" s="111"/>
      <c r="F156" s="81"/>
      <c r="G156" s="3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</row>
    <row r="157" spans="1:256" s="75" customFormat="1" ht="18" customHeight="1" x14ac:dyDescent="0.2">
      <c r="A157" s="70" t="s">
        <v>236</v>
      </c>
      <c r="B157" s="16" t="s">
        <v>114</v>
      </c>
      <c r="C157" s="24" t="s">
        <v>3</v>
      </c>
      <c r="D157" s="13">
        <v>160</v>
      </c>
      <c r="E157" s="111"/>
      <c r="F157" s="81">
        <f t="shared" si="9"/>
        <v>0</v>
      </c>
      <c r="G157" s="3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</row>
    <row r="158" spans="1:256" s="75" customFormat="1" ht="18" customHeight="1" x14ac:dyDescent="0.2">
      <c r="A158" s="49" t="s">
        <v>237</v>
      </c>
      <c r="B158" s="32" t="s">
        <v>38</v>
      </c>
      <c r="C158" s="24"/>
      <c r="D158" s="13"/>
      <c r="E158" s="111"/>
      <c r="F158" s="81"/>
      <c r="G158" s="3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</row>
    <row r="159" spans="1:256" s="75" customFormat="1" ht="18" customHeight="1" x14ac:dyDescent="0.2">
      <c r="A159" s="70" t="s">
        <v>238</v>
      </c>
      <c r="B159" s="16" t="s">
        <v>464</v>
      </c>
      <c r="C159" s="24" t="s">
        <v>12</v>
      </c>
      <c r="D159" s="13">
        <v>1</v>
      </c>
      <c r="E159" s="111"/>
      <c r="F159" s="81">
        <f t="shared" si="9"/>
        <v>0</v>
      </c>
      <c r="G159" s="3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</row>
    <row r="160" spans="1:256" s="75" customFormat="1" ht="15.75" customHeight="1" x14ac:dyDescent="0.2">
      <c r="A160" s="49" t="s">
        <v>241</v>
      </c>
      <c r="B160" s="32" t="s">
        <v>115</v>
      </c>
      <c r="C160" s="62" t="s">
        <v>12</v>
      </c>
      <c r="D160" s="13">
        <v>2</v>
      </c>
      <c r="E160" s="112"/>
      <c r="F160" s="81">
        <f t="shared" si="9"/>
        <v>0</v>
      </c>
      <c r="G160" s="3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</row>
    <row r="161" spans="1:256" s="75" customFormat="1" ht="16.5" customHeight="1" x14ac:dyDescent="0.2">
      <c r="A161" s="49" t="s">
        <v>242</v>
      </c>
      <c r="B161" s="29" t="s">
        <v>40</v>
      </c>
      <c r="C161" s="62" t="s">
        <v>16</v>
      </c>
      <c r="D161" s="13">
        <v>1</v>
      </c>
      <c r="E161" s="112"/>
      <c r="F161" s="81">
        <f t="shared" si="9"/>
        <v>0</v>
      </c>
      <c r="G161" s="3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</row>
    <row r="162" spans="1:256" s="75" customFormat="1" ht="12.75" customHeight="1" x14ac:dyDescent="0.2">
      <c r="A162" s="49"/>
      <c r="B162" s="32"/>
      <c r="C162" s="24"/>
      <c r="D162" s="13"/>
      <c r="E162" s="111"/>
      <c r="F162" s="38"/>
      <c r="G162" s="3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</row>
    <row r="163" spans="1:256" ht="12.75" customHeight="1" x14ac:dyDescent="0.2">
      <c r="A163" s="59"/>
      <c r="B163" s="60" t="s">
        <v>11</v>
      </c>
      <c r="C163" s="61"/>
      <c r="D163" s="61"/>
      <c r="E163" s="108"/>
      <c r="F163" s="73">
        <f>SUM(F153:F161)</f>
        <v>0</v>
      </c>
      <c r="G163" s="38"/>
    </row>
    <row r="164" spans="1:256" ht="14.25" customHeight="1" x14ac:dyDescent="0.2">
      <c r="A164" s="49"/>
      <c r="C164" s="24"/>
      <c r="D164" s="13"/>
      <c r="E164" s="111"/>
      <c r="F164" s="38"/>
      <c r="G164" s="38"/>
    </row>
    <row r="165" spans="1:256" ht="16.5" customHeight="1" x14ac:dyDescent="0.2">
      <c r="A165" s="49" t="s">
        <v>129</v>
      </c>
      <c r="B165" s="72" t="s">
        <v>137</v>
      </c>
      <c r="C165" s="24"/>
      <c r="D165" s="13"/>
      <c r="E165" s="111"/>
      <c r="F165" s="38"/>
      <c r="G165" s="38"/>
    </row>
    <row r="166" spans="1:256" ht="9.75" customHeight="1" x14ac:dyDescent="0.2">
      <c r="A166" s="49"/>
      <c r="B166" s="32"/>
      <c r="C166" s="24"/>
      <c r="D166" s="13"/>
      <c r="E166" s="111"/>
      <c r="F166" s="38"/>
      <c r="G166" s="38"/>
    </row>
    <row r="167" spans="1:256" ht="28.5" customHeight="1" x14ac:dyDescent="0.2">
      <c r="A167" s="49" t="s">
        <v>130</v>
      </c>
      <c r="B167" s="32" t="s">
        <v>128</v>
      </c>
      <c r="C167" s="24"/>
      <c r="D167" s="13"/>
      <c r="E167" s="111"/>
      <c r="F167" s="38"/>
      <c r="G167" s="38"/>
    </row>
    <row r="168" spans="1:256" ht="15.75" customHeight="1" x14ac:dyDescent="0.2">
      <c r="A168" s="70" t="s">
        <v>155</v>
      </c>
      <c r="B168" s="16" t="s">
        <v>465</v>
      </c>
      <c r="C168" s="24" t="s">
        <v>3</v>
      </c>
      <c r="D168" s="13">
        <v>15</v>
      </c>
      <c r="E168" s="111"/>
      <c r="F168" s="81">
        <f t="shared" ref="F168:F170" si="10">D168*E168</f>
        <v>0</v>
      </c>
      <c r="G168" s="38"/>
    </row>
    <row r="169" spans="1:256" ht="15.75" customHeight="1" x14ac:dyDescent="0.2">
      <c r="A169" s="49" t="s">
        <v>156</v>
      </c>
      <c r="B169" s="32" t="s">
        <v>285</v>
      </c>
      <c r="C169" s="24" t="s">
        <v>3</v>
      </c>
      <c r="D169" s="13">
        <v>15</v>
      </c>
      <c r="E169" s="111"/>
      <c r="F169" s="81">
        <f t="shared" si="10"/>
        <v>0</v>
      </c>
      <c r="G169" s="38"/>
    </row>
    <row r="170" spans="1:256" ht="15.75" customHeight="1" x14ac:dyDescent="0.2">
      <c r="A170" s="49" t="s">
        <v>253</v>
      </c>
      <c r="B170" s="29" t="s">
        <v>40</v>
      </c>
      <c r="C170" s="24" t="s">
        <v>5</v>
      </c>
      <c r="D170" s="13">
        <v>1</v>
      </c>
      <c r="E170" s="111"/>
      <c r="F170" s="81">
        <f t="shared" si="10"/>
        <v>0</v>
      </c>
      <c r="G170" s="38"/>
    </row>
    <row r="171" spans="1:256" ht="15.75" customHeight="1" x14ac:dyDescent="0.2">
      <c r="A171" s="49"/>
      <c r="B171" s="32"/>
      <c r="C171" s="24"/>
      <c r="D171" s="13"/>
      <c r="E171" s="111"/>
      <c r="F171" s="81"/>
      <c r="G171" s="38"/>
    </row>
    <row r="172" spans="1:256" ht="17.25" customHeight="1" x14ac:dyDescent="0.2">
      <c r="A172" s="59"/>
      <c r="B172" s="60" t="s">
        <v>11</v>
      </c>
      <c r="C172" s="61"/>
      <c r="D172" s="61"/>
      <c r="E172" s="108"/>
      <c r="F172" s="73">
        <f>SUM(F167:F170)</f>
        <v>0</v>
      </c>
      <c r="G172" s="38"/>
    </row>
    <row r="173" spans="1:256" ht="17.25" customHeight="1" x14ac:dyDescent="0.2">
      <c r="A173" s="49"/>
      <c r="C173" s="24"/>
      <c r="D173" s="13"/>
      <c r="E173" s="111"/>
      <c r="F173" s="36"/>
      <c r="G173" s="65"/>
    </row>
    <row r="174" spans="1:256" ht="15.75" customHeight="1" x14ac:dyDescent="0.2">
      <c r="A174" s="49" t="s">
        <v>255</v>
      </c>
      <c r="B174" s="31" t="s">
        <v>466</v>
      </c>
      <c r="C174" s="24"/>
      <c r="D174" s="38"/>
      <c r="E174" s="80"/>
      <c r="F174" s="65"/>
      <c r="G174" s="38"/>
    </row>
    <row r="175" spans="1:256" ht="19.5" customHeight="1" x14ac:dyDescent="0.2">
      <c r="A175" s="49"/>
      <c r="B175" s="31"/>
      <c r="C175" s="24"/>
      <c r="D175" s="38"/>
      <c r="E175" s="80"/>
      <c r="F175" s="65"/>
      <c r="G175" s="38"/>
    </row>
    <row r="176" spans="1:256" ht="24" x14ac:dyDescent="0.2">
      <c r="A176" s="49" t="s">
        <v>256</v>
      </c>
      <c r="B176" s="29" t="s">
        <v>469</v>
      </c>
      <c r="C176" s="24" t="s">
        <v>13</v>
      </c>
      <c r="D176" s="13">
        <v>2</v>
      </c>
      <c r="E176" s="110"/>
      <c r="F176" s="81">
        <f t="shared" ref="F176:F178" si="11">D176*E176</f>
        <v>0</v>
      </c>
      <c r="G176" s="2"/>
      <c r="H176" s="2"/>
    </row>
    <row r="177" spans="1:256" ht="21" customHeight="1" x14ac:dyDescent="0.2">
      <c r="A177" s="49" t="s">
        <v>257</v>
      </c>
      <c r="B177" s="29" t="s">
        <v>476</v>
      </c>
      <c r="C177" s="24" t="s">
        <v>12</v>
      </c>
      <c r="D177" s="13">
        <v>0</v>
      </c>
      <c r="E177" s="114"/>
      <c r="F177" s="81">
        <f t="shared" si="11"/>
        <v>0</v>
      </c>
      <c r="G177" s="2"/>
      <c r="H177" s="2"/>
    </row>
    <row r="178" spans="1:256" ht="12.75" customHeight="1" x14ac:dyDescent="0.2">
      <c r="A178" s="49" t="s">
        <v>258</v>
      </c>
      <c r="B178" s="29" t="s">
        <v>477</v>
      </c>
      <c r="C178" s="24" t="s">
        <v>13</v>
      </c>
      <c r="D178" s="38">
        <v>6</v>
      </c>
      <c r="E178" s="80"/>
      <c r="F178" s="81">
        <f t="shared" si="11"/>
        <v>0</v>
      </c>
      <c r="G178" s="64"/>
    </row>
    <row r="179" spans="1:256" s="75" customFormat="1" ht="12.75" customHeight="1" x14ac:dyDescent="0.2">
      <c r="A179" s="49"/>
      <c r="B179" s="29"/>
      <c r="C179" s="24"/>
      <c r="D179" s="38"/>
      <c r="E179" s="109"/>
      <c r="F179" s="65"/>
      <c r="G179" s="6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</row>
    <row r="180" spans="1:256" s="75" customFormat="1" ht="12.75" customHeight="1" x14ac:dyDescent="0.2">
      <c r="A180" s="59"/>
      <c r="B180" s="60" t="s">
        <v>11</v>
      </c>
      <c r="C180" s="61"/>
      <c r="D180" s="61"/>
      <c r="E180" s="69"/>
      <c r="F180" s="73">
        <f>SUM(F175:F178)</f>
        <v>0</v>
      </c>
      <c r="G180" s="6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</row>
    <row r="181" spans="1:256" s="75" customFormat="1" ht="12.75" customHeight="1" x14ac:dyDescent="0.2">
      <c r="A181" s="49"/>
      <c r="B181" s="29"/>
      <c r="C181" s="24"/>
      <c r="D181" s="38"/>
      <c r="E181" s="66"/>
      <c r="F181" s="65"/>
      <c r="G181" s="6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</row>
    <row r="182" spans="1:256" s="75" customFormat="1" ht="12.75" customHeight="1" x14ac:dyDescent="0.2">
      <c r="A182" s="11"/>
      <c r="B182" s="29"/>
      <c r="C182" s="24"/>
      <c r="D182" s="38"/>
      <c r="E182" s="65"/>
      <c r="F182" s="65"/>
      <c r="G182" s="5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</row>
    <row r="183" spans="1:256" s="75" customFormat="1" ht="12.75" customHeight="1" x14ac:dyDescent="0.2">
      <c r="A183" s="59"/>
      <c r="B183" s="60" t="s">
        <v>427</v>
      </c>
      <c r="C183" s="61"/>
      <c r="D183" s="61"/>
      <c r="E183" s="69"/>
      <c r="F183" s="73">
        <f>SUM(F15:F181)/2</f>
        <v>0</v>
      </c>
      <c r="G183" s="5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</row>
    <row r="184" spans="1:256" s="75" customFormat="1" ht="12.75" customHeight="1" x14ac:dyDescent="0.2">
      <c r="A184" s="59"/>
      <c r="B184" s="60" t="s">
        <v>120</v>
      </c>
      <c r="C184" s="61"/>
      <c r="D184" s="61"/>
      <c r="E184" s="69"/>
      <c r="F184" s="73">
        <f>F183*0.2</f>
        <v>0</v>
      </c>
      <c r="G184" s="5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</row>
    <row r="185" spans="1:256" s="75" customFormat="1" ht="12.75" customHeight="1" x14ac:dyDescent="0.2">
      <c r="A185" s="59"/>
      <c r="B185" s="60" t="s">
        <v>10</v>
      </c>
      <c r="C185" s="61"/>
      <c r="D185" s="61"/>
      <c r="E185" s="69"/>
      <c r="F185" s="73">
        <f>F183+F184</f>
        <v>0</v>
      </c>
      <c r="G185" s="5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</row>
    <row r="186" spans="1:256" s="75" customFormat="1" ht="12.75" customHeight="1" x14ac:dyDescent="0.2">
      <c r="A186" s="50"/>
      <c r="B186" s="16"/>
      <c r="C186" s="18"/>
      <c r="D186" s="36"/>
      <c r="E186" s="28"/>
      <c r="F186" s="28"/>
      <c r="G186" s="5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</row>
    <row r="187" spans="1:256" s="75" customFormat="1" ht="12.75" customHeight="1" x14ac:dyDescent="0.2">
      <c r="A187" s="50"/>
      <c r="B187" s="32"/>
      <c r="C187" s="18"/>
      <c r="D187" s="36"/>
      <c r="E187" s="28"/>
      <c r="F187" s="78"/>
      <c r="G187" s="5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</row>
    <row r="188" spans="1:256" s="75" customFormat="1" ht="12.75" customHeight="1" x14ac:dyDescent="0.2">
      <c r="A188" s="50"/>
      <c r="B188" s="16"/>
      <c r="C188" s="18"/>
      <c r="D188" s="36"/>
      <c r="E188" s="28"/>
      <c r="F188" s="28"/>
      <c r="G188" s="5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</row>
    <row r="189" spans="1:256" s="75" customFormat="1" ht="12.75" customHeight="1" x14ac:dyDescent="0.2">
      <c r="A189" s="50"/>
      <c r="B189" s="16"/>
      <c r="C189" s="18"/>
      <c r="D189" s="36"/>
      <c r="E189" s="28"/>
      <c r="F189" s="28"/>
      <c r="G189" s="5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</row>
    <row r="190" spans="1:256" s="75" customFormat="1" ht="12.75" customHeight="1" x14ac:dyDescent="0.2">
      <c r="A190" s="50"/>
      <c r="B190" s="16"/>
      <c r="C190" s="18"/>
      <c r="D190" s="36"/>
      <c r="E190" s="28"/>
      <c r="F190" s="28"/>
      <c r="G190" s="5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</row>
    <row r="191" spans="1:256" s="75" customFormat="1" ht="12.75" customHeight="1" x14ac:dyDescent="0.2">
      <c r="A191" s="50"/>
      <c r="B191" s="16"/>
      <c r="C191" s="18"/>
      <c r="D191" s="36"/>
      <c r="E191" s="28"/>
      <c r="F191" s="28"/>
      <c r="G191" s="5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</row>
    <row r="192" spans="1:256" s="75" customFormat="1" ht="12.75" customHeight="1" x14ac:dyDescent="0.2">
      <c r="A192" s="50"/>
      <c r="B192" s="16"/>
      <c r="C192" s="18"/>
      <c r="D192" s="36"/>
      <c r="E192" s="28"/>
      <c r="F192" s="28"/>
      <c r="G192" s="5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</row>
    <row r="193" spans="1:256" s="75" customFormat="1" ht="12.75" customHeight="1" x14ac:dyDescent="0.2">
      <c r="A193" s="50"/>
      <c r="B193" s="16"/>
      <c r="C193" s="18"/>
      <c r="D193" s="36"/>
      <c r="E193" s="28"/>
      <c r="F193" s="28"/>
      <c r="G193" s="5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</row>
    <row r="194" spans="1:256" s="75" customFormat="1" ht="12.75" customHeight="1" x14ac:dyDescent="0.2">
      <c r="A194" s="50"/>
      <c r="B194" s="16"/>
      <c r="C194" s="18"/>
      <c r="D194" s="36"/>
      <c r="E194" s="28"/>
      <c r="F194" s="28"/>
      <c r="G194" s="5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</row>
    <row r="195" spans="1:256" s="36" customFormat="1" ht="12.75" customHeight="1" x14ac:dyDescent="0.2">
      <c r="A195" s="50"/>
      <c r="B195" s="16"/>
      <c r="C195" s="18"/>
      <c r="E195" s="28"/>
      <c r="F195" s="28"/>
      <c r="G195" s="51"/>
      <c r="H195" s="7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</row>
    <row r="196" spans="1:256" s="36" customFormat="1" ht="12.75" customHeight="1" x14ac:dyDescent="0.2">
      <c r="A196" s="50"/>
      <c r="B196" s="16"/>
      <c r="C196" s="18"/>
      <c r="E196" s="28"/>
      <c r="F196" s="28"/>
      <c r="G196" s="51"/>
      <c r="H196" s="7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</row>
    <row r="197" spans="1:256" s="36" customFormat="1" ht="12.75" customHeight="1" x14ac:dyDescent="0.2">
      <c r="A197" s="50"/>
      <c r="B197" s="16"/>
      <c r="C197" s="18"/>
      <c r="E197" s="28"/>
      <c r="F197" s="28"/>
      <c r="G197" s="51"/>
      <c r="H197" s="7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</row>
    <row r="198" spans="1:256" s="36" customFormat="1" ht="12.75" customHeight="1" x14ac:dyDescent="0.2">
      <c r="A198" s="50"/>
      <c r="B198" s="16"/>
      <c r="C198" s="18"/>
      <c r="E198" s="28"/>
      <c r="F198" s="28"/>
      <c r="G198" s="51"/>
      <c r="H198" s="7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</row>
    <row r="199" spans="1:256" s="36" customFormat="1" ht="12.75" customHeight="1" x14ac:dyDescent="0.2">
      <c r="A199" s="50"/>
      <c r="B199" s="16"/>
      <c r="C199" s="18"/>
      <c r="E199" s="28"/>
      <c r="F199" s="28"/>
      <c r="G199" s="51"/>
      <c r="H199" s="7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</row>
    <row r="200" spans="1:256" s="36" customFormat="1" ht="12.75" customHeight="1" x14ac:dyDescent="0.2">
      <c r="A200" s="50"/>
      <c r="B200" s="16"/>
      <c r="C200" s="18"/>
      <c r="E200" s="28"/>
      <c r="F200" s="28"/>
      <c r="G200" s="51"/>
      <c r="H200" s="7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</row>
    <row r="201" spans="1:256" s="36" customFormat="1" ht="12.75" customHeight="1" x14ac:dyDescent="0.2">
      <c r="A201" s="50"/>
      <c r="B201" s="16"/>
      <c r="C201" s="18"/>
      <c r="E201" s="28"/>
      <c r="F201" s="28"/>
      <c r="G201" s="51"/>
      <c r="H201" s="7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</row>
    <row r="202" spans="1:256" s="36" customFormat="1" ht="12.75" customHeight="1" x14ac:dyDescent="0.2">
      <c r="A202" s="50"/>
      <c r="B202" s="16"/>
      <c r="C202" s="18"/>
      <c r="E202" s="28"/>
      <c r="F202" s="28"/>
      <c r="G202" s="51"/>
      <c r="H202" s="7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</row>
    <row r="203" spans="1:256" s="36" customFormat="1" ht="12.75" customHeight="1" x14ac:dyDescent="0.2">
      <c r="A203" s="50"/>
      <c r="B203" s="16"/>
      <c r="C203" s="18"/>
      <c r="E203" s="28"/>
      <c r="F203" s="28"/>
      <c r="G203" s="51"/>
      <c r="H203" s="7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</row>
    <row r="204" spans="1:256" s="36" customFormat="1" ht="12.75" customHeight="1" x14ac:dyDescent="0.2">
      <c r="A204" s="50"/>
      <c r="B204" s="16"/>
      <c r="C204" s="18"/>
      <c r="E204" s="28"/>
      <c r="F204" s="28"/>
      <c r="G204" s="51"/>
      <c r="H204" s="7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</row>
    <row r="205" spans="1:256" s="36" customFormat="1" ht="12.75" customHeight="1" x14ac:dyDescent="0.2">
      <c r="A205" s="50"/>
      <c r="B205" s="16"/>
      <c r="C205" s="18"/>
      <c r="E205" s="28"/>
      <c r="F205" s="28"/>
      <c r="G205" s="51"/>
      <c r="H205" s="7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</row>
    <row r="206" spans="1:256" s="36" customFormat="1" ht="12.75" customHeight="1" x14ac:dyDescent="0.2">
      <c r="A206" s="50"/>
      <c r="B206" s="16"/>
      <c r="C206" s="18"/>
      <c r="E206" s="28"/>
      <c r="F206" s="28"/>
      <c r="G206" s="51"/>
      <c r="H206" s="7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</row>
    <row r="207" spans="1:256" s="36" customFormat="1" ht="12.75" customHeight="1" x14ac:dyDescent="0.2">
      <c r="A207" s="50"/>
      <c r="B207" s="16"/>
      <c r="C207" s="18"/>
      <c r="E207" s="28"/>
      <c r="F207" s="28"/>
      <c r="G207" s="51"/>
      <c r="H207" s="7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</row>
    <row r="208" spans="1:256" s="36" customFormat="1" ht="12.75" customHeight="1" x14ac:dyDescent="0.2">
      <c r="A208" s="50"/>
      <c r="B208" s="16"/>
      <c r="C208" s="18"/>
      <c r="E208" s="28"/>
      <c r="F208" s="28"/>
      <c r="G208" s="51"/>
      <c r="H208" s="7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</row>
    <row r="209" spans="1:256" s="36" customFormat="1" ht="12.75" customHeight="1" x14ac:dyDescent="0.2">
      <c r="A209" s="50"/>
      <c r="B209" s="16"/>
      <c r="C209" s="18"/>
      <c r="E209" s="28"/>
      <c r="F209" s="28"/>
      <c r="G209" s="51"/>
      <c r="H209" s="7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</row>
    <row r="210" spans="1:256" s="36" customFormat="1" ht="12.75" customHeight="1" x14ac:dyDescent="0.2">
      <c r="A210" s="50"/>
      <c r="B210" s="16"/>
      <c r="C210" s="18"/>
      <c r="E210" s="28"/>
      <c r="F210" s="28"/>
      <c r="G210" s="51"/>
      <c r="H210" s="7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</row>
    <row r="211" spans="1:256" s="36" customFormat="1" ht="12.75" customHeight="1" x14ac:dyDescent="0.2">
      <c r="A211" s="50"/>
      <c r="B211" s="16"/>
      <c r="C211" s="18"/>
      <c r="E211" s="28"/>
      <c r="F211" s="28"/>
      <c r="G211" s="51"/>
      <c r="H211" s="7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</row>
    <row r="212" spans="1:256" s="36" customFormat="1" ht="12.75" customHeight="1" x14ac:dyDescent="0.2">
      <c r="A212" s="50"/>
      <c r="B212" s="16"/>
      <c r="C212" s="18"/>
      <c r="E212" s="28"/>
      <c r="F212" s="28"/>
      <c r="G212" s="51"/>
      <c r="H212" s="7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</row>
    <row r="213" spans="1:256" s="36" customFormat="1" ht="12.75" customHeight="1" x14ac:dyDescent="0.2">
      <c r="A213" s="50"/>
      <c r="B213" s="16"/>
      <c r="C213" s="18"/>
      <c r="E213" s="28"/>
      <c r="F213" s="28"/>
      <c r="G213" s="51"/>
      <c r="H213" s="7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</row>
    <row r="214" spans="1:256" s="36" customFormat="1" ht="12.75" customHeight="1" x14ac:dyDescent="0.2">
      <c r="A214" s="50"/>
      <c r="B214" s="16"/>
      <c r="C214" s="18"/>
      <c r="E214" s="28"/>
      <c r="F214" s="28"/>
      <c r="G214" s="51"/>
      <c r="H214" s="7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</row>
    <row r="215" spans="1:256" s="36" customFormat="1" ht="12.75" customHeight="1" x14ac:dyDescent="0.2">
      <c r="A215" s="50"/>
      <c r="B215" s="16"/>
      <c r="C215" s="18"/>
      <c r="E215" s="28"/>
      <c r="F215" s="28"/>
      <c r="G215" s="51"/>
      <c r="H215" s="7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</row>
    <row r="216" spans="1:256" s="36" customFormat="1" ht="12.75" customHeight="1" x14ac:dyDescent="0.2">
      <c r="A216" s="50"/>
      <c r="B216" s="16"/>
      <c r="C216" s="18"/>
      <c r="E216" s="28"/>
      <c r="F216" s="28"/>
      <c r="G216" s="51"/>
      <c r="H216" s="7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</row>
    <row r="217" spans="1:256" s="36" customFormat="1" ht="12.75" customHeight="1" x14ac:dyDescent="0.2">
      <c r="A217" s="50"/>
      <c r="B217" s="16"/>
      <c r="C217" s="18"/>
      <c r="E217" s="28"/>
      <c r="F217" s="28"/>
      <c r="G217" s="51"/>
      <c r="H217" s="7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</row>
    <row r="218" spans="1:256" s="36" customFormat="1" ht="12.75" customHeight="1" x14ac:dyDescent="0.2">
      <c r="A218" s="50"/>
      <c r="B218" s="16"/>
      <c r="C218" s="18"/>
      <c r="E218" s="28"/>
      <c r="F218" s="28"/>
      <c r="G218" s="51"/>
      <c r="H218" s="7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</row>
    <row r="219" spans="1:256" s="36" customFormat="1" ht="12.75" customHeight="1" x14ac:dyDescent="0.2">
      <c r="A219" s="50"/>
      <c r="B219" s="16"/>
      <c r="C219" s="18"/>
      <c r="E219" s="28"/>
      <c r="F219" s="28"/>
      <c r="G219" s="51"/>
      <c r="H219" s="7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</row>
    <row r="220" spans="1:256" s="36" customFormat="1" ht="12.75" customHeight="1" x14ac:dyDescent="0.2">
      <c r="A220" s="50"/>
      <c r="B220" s="16"/>
      <c r="C220" s="18"/>
      <c r="E220" s="28"/>
      <c r="F220" s="28"/>
      <c r="G220" s="51"/>
      <c r="H220" s="7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</row>
    <row r="221" spans="1:256" s="36" customFormat="1" ht="12.75" customHeight="1" x14ac:dyDescent="0.2">
      <c r="A221" s="50"/>
      <c r="B221" s="16"/>
      <c r="C221" s="18"/>
      <c r="E221" s="28"/>
      <c r="F221" s="28"/>
      <c r="G221" s="51"/>
      <c r="H221" s="7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</row>
    <row r="222" spans="1:256" s="36" customFormat="1" ht="12.75" customHeight="1" x14ac:dyDescent="0.2">
      <c r="A222" s="50"/>
      <c r="B222" s="16"/>
      <c r="C222" s="18"/>
      <c r="E222" s="28"/>
      <c r="F222" s="28"/>
      <c r="G222" s="51"/>
      <c r="H222" s="7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</row>
    <row r="223" spans="1:256" s="36" customFormat="1" ht="12.75" customHeight="1" x14ac:dyDescent="0.2">
      <c r="A223" s="50"/>
      <c r="B223" s="16"/>
      <c r="C223" s="18"/>
      <c r="E223" s="28"/>
      <c r="F223" s="28"/>
      <c r="G223" s="51"/>
      <c r="H223" s="7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</row>
    <row r="224" spans="1:256" s="36" customFormat="1" ht="12.75" customHeight="1" x14ac:dyDescent="0.2">
      <c r="A224" s="50"/>
      <c r="B224" s="16"/>
      <c r="C224" s="18"/>
      <c r="E224" s="28"/>
      <c r="F224" s="28"/>
      <c r="G224" s="51"/>
      <c r="H224" s="7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</row>
    <row r="225" spans="1:256" s="36" customFormat="1" ht="12.75" customHeight="1" x14ac:dyDescent="0.2">
      <c r="A225" s="50"/>
      <c r="B225" s="16"/>
      <c r="C225" s="18"/>
      <c r="E225" s="28"/>
      <c r="F225" s="28"/>
      <c r="G225" s="51"/>
      <c r="H225" s="7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</row>
    <row r="226" spans="1:256" s="36" customFormat="1" ht="12.75" customHeight="1" x14ac:dyDescent="0.2">
      <c r="A226" s="50"/>
      <c r="B226" s="16"/>
      <c r="C226" s="18"/>
      <c r="E226" s="28"/>
      <c r="F226" s="28"/>
      <c r="G226" s="51"/>
      <c r="H226" s="7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</row>
    <row r="227" spans="1:256" s="36" customFormat="1" ht="12.75" customHeight="1" x14ac:dyDescent="0.2">
      <c r="A227" s="50"/>
      <c r="B227" s="16"/>
      <c r="C227" s="18"/>
      <c r="E227" s="28"/>
      <c r="F227" s="28"/>
      <c r="G227" s="51"/>
      <c r="H227" s="7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</row>
    <row r="228" spans="1:256" s="36" customFormat="1" ht="12.75" customHeight="1" x14ac:dyDescent="0.2">
      <c r="A228" s="50"/>
      <c r="B228" s="16"/>
      <c r="C228" s="18"/>
      <c r="E228" s="28"/>
      <c r="F228" s="28"/>
      <c r="G228" s="51"/>
      <c r="H228" s="7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</row>
    <row r="229" spans="1:256" s="36" customFormat="1" ht="12.75" customHeight="1" x14ac:dyDescent="0.2">
      <c r="A229" s="50"/>
      <c r="B229" s="16"/>
      <c r="C229" s="18"/>
      <c r="E229" s="28"/>
      <c r="F229" s="28"/>
      <c r="G229" s="51"/>
      <c r="H229" s="7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</row>
    <row r="230" spans="1:256" s="36" customFormat="1" ht="12.75" customHeight="1" x14ac:dyDescent="0.2">
      <c r="A230" s="50"/>
      <c r="B230" s="16"/>
      <c r="C230" s="18"/>
      <c r="E230" s="28"/>
      <c r="F230" s="28"/>
      <c r="G230" s="51"/>
      <c r="H230" s="7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</row>
    <row r="231" spans="1:256" s="36" customFormat="1" ht="12.75" customHeight="1" x14ac:dyDescent="0.2">
      <c r="A231" s="50"/>
      <c r="B231" s="16"/>
      <c r="C231" s="18"/>
      <c r="E231" s="28"/>
      <c r="F231" s="28"/>
      <c r="G231" s="51"/>
      <c r="H231" s="7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</row>
    <row r="232" spans="1:256" s="36" customFormat="1" ht="12.75" customHeight="1" x14ac:dyDescent="0.2">
      <c r="A232" s="50"/>
      <c r="B232" s="16"/>
      <c r="C232" s="18"/>
      <c r="E232" s="28"/>
      <c r="F232" s="28"/>
      <c r="G232" s="51"/>
      <c r="H232" s="7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</row>
    <row r="233" spans="1:256" s="36" customFormat="1" ht="12.75" customHeight="1" x14ac:dyDescent="0.2">
      <c r="A233" s="50"/>
      <c r="B233" s="16"/>
      <c r="C233" s="18"/>
      <c r="E233" s="28"/>
      <c r="F233" s="28"/>
      <c r="G233" s="51"/>
      <c r="H233" s="7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</row>
    <row r="234" spans="1:256" s="36" customFormat="1" ht="12.75" customHeight="1" x14ac:dyDescent="0.2">
      <c r="A234" s="50"/>
      <c r="B234" s="16"/>
      <c r="C234" s="18"/>
      <c r="E234" s="28"/>
      <c r="F234" s="28"/>
      <c r="G234" s="51"/>
      <c r="H234" s="7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</row>
    <row r="235" spans="1:256" s="36" customFormat="1" ht="12.75" customHeight="1" x14ac:dyDescent="0.2">
      <c r="A235" s="50"/>
      <c r="B235" s="16"/>
      <c r="C235" s="18"/>
      <c r="E235" s="28"/>
      <c r="F235" s="28"/>
      <c r="G235" s="51"/>
      <c r="H235" s="7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</row>
    <row r="236" spans="1:256" s="36" customFormat="1" ht="12.75" customHeight="1" x14ac:dyDescent="0.2">
      <c r="A236" s="50"/>
      <c r="B236" s="16"/>
      <c r="C236" s="18"/>
      <c r="E236" s="28"/>
      <c r="F236" s="28"/>
      <c r="G236" s="51"/>
      <c r="H236" s="7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</row>
    <row r="237" spans="1:256" s="36" customFormat="1" ht="12.75" customHeight="1" x14ac:dyDescent="0.2">
      <c r="A237" s="50"/>
      <c r="B237" s="16"/>
      <c r="C237" s="18"/>
      <c r="E237" s="28"/>
      <c r="F237" s="28"/>
      <c r="G237" s="51"/>
      <c r="H237" s="7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</row>
    <row r="238" spans="1:256" s="36" customFormat="1" ht="12.75" customHeight="1" x14ac:dyDescent="0.2">
      <c r="A238" s="50"/>
      <c r="B238" s="16"/>
      <c r="C238" s="18"/>
      <c r="E238" s="28"/>
      <c r="F238" s="28"/>
      <c r="G238" s="51"/>
      <c r="H238" s="7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</row>
    <row r="239" spans="1:256" s="36" customFormat="1" ht="12.75" customHeight="1" x14ac:dyDescent="0.2">
      <c r="A239" s="50"/>
      <c r="B239" s="16"/>
      <c r="C239" s="18"/>
      <c r="E239" s="28"/>
      <c r="F239" s="28"/>
      <c r="G239" s="51"/>
      <c r="H239" s="7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</row>
    <row r="240" spans="1:256" s="36" customFormat="1" ht="12.75" customHeight="1" x14ac:dyDescent="0.2">
      <c r="A240" s="50"/>
      <c r="B240" s="16"/>
      <c r="C240" s="18"/>
      <c r="E240" s="28"/>
      <c r="F240" s="28"/>
      <c r="G240" s="51"/>
      <c r="H240" s="7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</row>
    <row r="241" spans="1:256" s="36" customFormat="1" ht="12.75" customHeight="1" x14ac:dyDescent="0.2">
      <c r="A241" s="50"/>
      <c r="B241" s="16"/>
      <c r="C241" s="18"/>
      <c r="E241" s="28"/>
      <c r="F241" s="28"/>
      <c r="G241" s="51"/>
      <c r="H241" s="7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</row>
    <row r="242" spans="1:256" s="36" customFormat="1" ht="12.75" customHeight="1" x14ac:dyDescent="0.2">
      <c r="A242" s="50"/>
      <c r="B242" s="16"/>
      <c r="C242" s="18"/>
      <c r="E242" s="28"/>
      <c r="F242" s="28"/>
      <c r="G242" s="51"/>
      <c r="H242" s="7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</row>
    <row r="243" spans="1:256" s="36" customFormat="1" ht="12.75" customHeight="1" x14ac:dyDescent="0.2">
      <c r="A243" s="50"/>
      <c r="B243" s="16"/>
      <c r="C243" s="18"/>
      <c r="E243" s="28"/>
      <c r="F243" s="28"/>
      <c r="G243" s="51"/>
      <c r="H243" s="7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</row>
    <row r="244" spans="1:256" s="36" customFormat="1" ht="12.75" customHeight="1" x14ac:dyDescent="0.2">
      <c r="A244" s="50"/>
      <c r="B244" s="16"/>
      <c r="C244" s="18"/>
      <c r="E244" s="28"/>
      <c r="F244" s="28"/>
      <c r="G244" s="51"/>
      <c r="H244" s="7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</row>
    <row r="245" spans="1:256" s="36" customFormat="1" ht="12.75" customHeight="1" x14ac:dyDescent="0.2">
      <c r="A245" s="50"/>
      <c r="B245" s="16"/>
      <c r="C245" s="18"/>
      <c r="E245" s="28"/>
      <c r="F245" s="28"/>
      <c r="G245" s="51"/>
      <c r="H245" s="7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</row>
    <row r="246" spans="1:256" s="36" customFormat="1" ht="12.75" customHeight="1" x14ac:dyDescent="0.2">
      <c r="A246" s="50"/>
      <c r="B246" s="16"/>
      <c r="C246" s="18"/>
      <c r="E246" s="28"/>
      <c r="F246" s="28"/>
      <c r="G246" s="51"/>
      <c r="H246" s="7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</row>
    <row r="247" spans="1:256" s="36" customFormat="1" ht="12.75" customHeight="1" x14ac:dyDescent="0.2">
      <c r="A247" s="50"/>
      <c r="B247" s="16"/>
      <c r="C247" s="18"/>
      <c r="E247" s="28"/>
      <c r="F247" s="28"/>
      <c r="G247" s="51"/>
      <c r="H247" s="7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</row>
    <row r="248" spans="1:256" s="36" customFormat="1" ht="12.75" customHeight="1" x14ac:dyDescent="0.2">
      <c r="A248" s="50"/>
      <c r="B248" s="16"/>
      <c r="C248" s="18"/>
      <c r="E248" s="28"/>
      <c r="F248" s="28"/>
      <c r="G248" s="51"/>
      <c r="H248" s="7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</row>
    <row r="249" spans="1:256" s="36" customFormat="1" ht="12.75" customHeight="1" x14ac:dyDescent="0.2">
      <c r="A249" s="50"/>
      <c r="B249" s="16"/>
      <c r="C249" s="18"/>
      <c r="E249" s="28"/>
      <c r="F249" s="28"/>
      <c r="G249" s="51"/>
      <c r="H249" s="7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</row>
    <row r="250" spans="1:256" s="36" customFormat="1" ht="12.75" customHeight="1" x14ac:dyDescent="0.2">
      <c r="A250" s="50"/>
      <c r="B250" s="16"/>
      <c r="C250" s="18"/>
      <c r="E250" s="28"/>
      <c r="F250" s="28"/>
      <c r="G250" s="51"/>
      <c r="H250" s="7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</row>
    <row r="251" spans="1:256" s="36" customFormat="1" ht="12.75" customHeight="1" x14ac:dyDescent="0.2">
      <c r="A251" s="50"/>
      <c r="B251" s="16"/>
      <c r="C251" s="18"/>
      <c r="E251" s="28"/>
      <c r="F251" s="28"/>
      <c r="G251" s="51"/>
      <c r="H251" s="7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</row>
    <row r="252" spans="1:256" s="36" customFormat="1" ht="12.75" customHeight="1" x14ac:dyDescent="0.2">
      <c r="A252" s="50"/>
      <c r="B252" s="16"/>
      <c r="C252" s="18"/>
      <c r="E252" s="28"/>
      <c r="F252" s="28"/>
      <c r="G252" s="51"/>
      <c r="H252" s="7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</row>
    <row r="253" spans="1:256" s="36" customFormat="1" ht="12.75" customHeight="1" x14ac:dyDescent="0.2">
      <c r="A253" s="50"/>
      <c r="B253" s="16"/>
      <c r="C253" s="18"/>
      <c r="E253" s="28"/>
      <c r="F253" s="28"/>
      <c r="G253" s="51"/>
      <c r="H253" s="7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</row>
    <row r="254" spans="1:256" s="36" customFormat="1" ht="12.75" customHeight="1" x14ac:dyDescent="0.2">
      <c r="A254" s="50"/>
      <c r="B254" s="16"/>
      <c r="C254" s="18"/>
      <c r="E254" s="28"/>
      <c r="F254" s="28"/>
      <c r="G254" s="51"/>
      <c r="H254" s="7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</row>
    <row r="255" spans="1:256" s="36" customFormat="1" ht="12.75" customHeight="1" x14ac:dyDescent="0.2">
      <c r="A255" s="50"/>
      <c r="B255" s="16"/>
      <c r="C255" s="18"/>
      <c r="E255" s="28"/>
      <c r="F255" s="28"/>
      <c r="G255" s="51"/>
      <c r="H255" s="7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</row>
    <row r="256" spans="1:256" s="36" customFormat="1" ht="12.75" customHeight="1" x14ac:dyDescent="0.2">
      <c r="A256" s="50"/>
      <c r="B256" s="16"/>
      <c r="C256" s="18"/>
      <c r="E256" s="28"/>
      <c r="F256" s="28"/>
      <c r="G256" s="51"/>
      <c r="H256" s="7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</row>
  </sheetData>
  <sheetProtection algorithmName="SHA-512" hashValue="d8G2ow8sbKot74uG2eKtBGCfIGnWuuTA9FjJ0hl/ywrKseAl5T/r7k5UZ/rUuuVlEst8L6G8ir8I+DaXRrSr4g==" saltValue="xuKD0ol+jbsWho2b1Ddh8Q==" spinCount="100000" sheet="1" objects="1" scenarios="1" selectLockedCells="1"/>
  <mergeCells count="3">
    <mergeCell ref="A2:F2"/>
    <mergeCell ref="A4:F4"/>
    <mergeCell ref="A7:F7"/>
  </mergeCells>
  <phoneticPr fontId="11" type="noConversion"/>
  <printOptions horizontalCentered="1"/>
  <pageMargins left="0.51181102362204722" right="0.55118110236220474" top="0.59055118110236227" bottom="0.74803149606299213" header="0.51181102362204722" footer="0.31496062992125984"/>
  <pageSetup paperSize="9" scale="61" fitToHeight="29" orientation="portrait" r:id="rId1"/>
  <headerFooter alignWithMargins="0">
    <oddFooter>&amp;R&amp;P/&amp;N</oddFooter>
  </headerFooter>
  <rowBreaks count="1" manualBreakCount="1">
    <brk id="124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6926-E747-488F-A6C3-63B7DFE81CC7}">
  <dimension ref="A1:IV256"/>
  <sheetViews>
    <sheetView view="pageBreakPreview" topLeftCell="A20" zoomScale="130" zoomScaleNormal="75" zoomScaleSheetLayoutView="130" workbookViewId="0">
      <selection activeCell="E20" sqref="E20"/>
    </sheetView>
  </sheetViews>
  <sheetFormatPr baseColWidth="10" defaultRowHeight="12.75" customHeight="1" x14ac:dyDescent="0.2"/>
  <cols>
    <col min="1" max="1" width="7.5703125" style="50" customWidth="1"/>
    <col min="2" max="2" width="71.140625" style="16" customWidth="1"/>
    <col min="3" max="3" width="9.28515625" style="20" customWidth="1"/>
    <col min="4" max="4" width="17.85546875" style="36" customWidth="1"/>
    <col min="5" max="5" width="13.85546875" style="28" customWidth="1"/>
    <col min="6" max="6" width="16.5703125" style="28" customWidth="1"/>
    <col min="7" max="7" width="11.42578125" style="51"/>
    <col min="8" max="8" width="11.42578125" style="75"/>
    <col min="9" max="16384" width="11.42578125" style="2"/>
  </cols>
  <sheetData>
    <row r="1" spans="1:8" ht="12.75" customHeight="1" thickBot="1" x14ac:dyDescent="0.25">
      <c r="A1" s="9"/>
      <c r="B1" s="1"/>
      <c r="C1" s="18"/>
      <c r="D1" s="18"/>
      <c r="E1" s="42"/>
      <c r="F1" s="43"/>
    </row>
    <row r="2" spans="1:8" ht="15.75" customHeight="1" x14ac:dyDescent="0.25">
      <c r="A2" s="178" t="s">
        <v>301</v>
      </c>
      <c r="B2" s="179"/>
      <c r="C2" s="179"/>
      <c r="D2" s="179"/>
      <c r="E2" s="179"/>
      <c r="F2" s="180"/>
    </row>
    <row r="3" spans="1:8" ht="12.75" customHeight="1" x14ac:dyDescent="0.2">
      <c r="A3" s="10"/>
      <c r="B3" s="6"/>
      <c r="C3" s="17"/>
      <c r="D3" s="17"/>
      <c r="E3" s="17"/>
      <c r="F3" s="106" t="s">
        <v>478</v>
      </c>
    </row>
    <row r="4" spans="1:8" ht="12.75" customHeight="1" x14ac:dyDescent="0.2">
      <c r="A4" s="181" t="s">
        <v>300</v>
      </c>
      <c r="B4" s="182"/>
      <c r="C4" s="182"/>
      <c r="D4" s="182"/>
      <c r="E4" s="182"/>
      <c r="F4" s="183"/>
    </row>
    <row r="5" spans="1:8" ht="12.75" customHeight="1" thickBot="1" x14ac:dyDescent="0.25">
      <c r="A5" s="44"/>
      <c r="B5" s="1"/>
      <c r="C5" s="18"/>
      <c r="D5" s="18"/>
      <c r="E5" s="33"/>
      <c r="F5" s="19"/>
    </row>
    <row r="6" spans="1:8" ht="12.75" customHeight="1" x14ac:dyDescent="0.2">
      <c r="A6" s="45"/>
      <c r="B6" s="7"/>
      <c r="C6" s="34"/>
      <c r="D6" s="34"/>
      <c r="E6" s="34"/>
      <c r="F6" s="40"/>
    </row>
    <row r="7" spans="1:8" ht="15.75" x14ac:dyDescent="0.25">
      <c r="A7" s="184" t="s">
        <v>443</v>
      </c>
      <c r="B7" s="182"/>
      <c r="C7" s="182"/>
      <c r="D7" s="182"/>
      <c r="E7" s="182"/>
      <c r="F7" s="183"/>
    </row>
    <row r="8" spans="1:8" ht="12.75" customHeight="1" thickBot="1" x14ac:dyDescent="0.25">
      <c r="A8" s="46"/>
      <c r="B8" s="8"/>
      <c r="C8" s="35"/>
      <c r="D8" s="35"/>
      <c r="E8" s="35"/>
      <c r="F8" s="41"/>
    </row>
    <row r="9" spans="1:8" ht="12.75" customHeight="1" thickBot="1" x14ac:dyDescent="0.25">
      <c r="A9" s="47"/>
      <c r="B9" s="2"/>
      <c r="D9" s="77"/>
      <c r="E9" s="36"/>
      <c r="F9" s="21"/>
    </row>
    <row r="10" spans="1:8" ht="12.75" customHeight="1" x14ac:dyDescent="0.2">
      <c r="A10" s="48"/>
      <c r="B10" s="5"/>
      <c r="C10" s="22"/>
      <c r="D10" s="24"/>
      <c r="E10" s="37"/>
      <c r="F10" s="23"/>
    </row>
    <row r="11" spans="1:8" s="4" customFormat="1" ht="12.75" customHeight="1" x14ac:dyDescent="0.2">
      <c r="A11" s="11" t="s">
        <v>1</v>
      </c>
      <c r="B11" s="3" t="s">
        <v>6</v>
      </c>
      <c r="C11" s="24" t="s">
        <v>7</v>
      </c>
      <c r="D11" s="24" t="s">
        <v>8</v>
      </c>
      <c r="E11" s="25" t="s">
        <v>9</v>
      </c>
      <c r="F11" s="26" t="s">
        <v>2</v>
      </c>
      <c r="G11" s="27"/>
      <c r="H11" s="76"/>
    </row>
    <row r="12" spans="1:8" s="4" customFormat="1" ht="12.75" customHeight="1" x14ac:dyDescent="0.2">
      <c r="A12" s="52"/>
      <c r="B12" s="53"/>
      <c r="C12" s="54"/>
      <c r="D12" s="54" t="s">
        <v>116</v>
      </c>
      <c r="E12" s="55"/>
      <c r="F12" s="56"/>
      <c r="G12" s="27"/>
      <c r="H12" s="76"/>
    </row>
    <row r="13" spans="1:8" s="4" customFormat="1" ht="15.75" customHeight="1" x14ac:dyDescent="0.2">
      <c r="A13" s="59"/>
      <c r="B13" s="71"/>
      <c r="C13" s="61"/>
      <c r="D13" s="61"/>
      <c r="E13" s="69"/>
      <c r="F13" s="61"/>
      <c r="G13" s="27"/>
      <c r="H13" s="76"/>
    </row>
    <row r="14" spans="1:8" s="4" customFormat="1" ht="12.75" customHeight="1" x14ac:dyDescent="0.2">
      <c r="A14" s="49"/>
      <c r="B14" s="14"/>
      <c r="C14" s="24"/>
      <c r="D14" s="57"/>
      <c r="E14" s="67"/>
      <c r="F14" s="24"/>
      <c r="G14" s="57"/>
      <c r="H14" s="76"/>
    </row>
    <row r="15" spans="1:8" ht="15" customHeight="1" x14ac:dyDescent="0.2">
      <c r="A15" s="49" t="s">
        <v>44</v>
      </c>
      <c r="B15" s="15" t="s">
        <v>26</v>
      </c>
      <c r="C15" s="24"/>
      <c r="D15" s="24"/>
      <c r="E15" s="107"/>
      <c r="F15" s="24"/>
      <c r="G15" s="24"/>
    </row>
    <row r="16" spans="1:8" ht="15" customHeight="1" x14ac:dyDescent="0.2">
      <c r="A16" s="49"/>
      <c r="B16" s="15"/>
      <c r="C16" s="24"/>
      <c r="D16" s="24"/>
      <c r="E16" s="107"/>
      <c r="F16" s="25"/>
      <c r="G16" s="24"/>
    </row>
    <row r="17" spans="1:8" ht="15" customHeight="1" x14ac:dyDescent="0.2">
      <c r="A17" s="49" t="s">
        <v>45</v>
      </c>
      <c r="B17" s="32" t="s">
        <v>24</v>
      </c>
      <c r="C17" s="24" t="s">
        <v>5</v>
      </c>
      <c r="D17" s="38">
        <v>1</v>
      </c>
      <c r="E17" s="80"/>
      <c r="F17" s="81">
        <f t="shared" ref="F17:F21" si="0">D17*E17</f>
        <v>0</v>
      </c>
      <c r="G17" s="38"/>
    </row>
    <row r="18" spans="1:8" s="4" customFormat="1" ht="16.5" customHeight="1" x14ac:dyDescent="0.2">
      <c r="A18" s="49" t="s">
        <v>46</v>
      </c>
      <c r="B18" s="32" t="s">
        <v>27</v>
      </c>
      <c r="C18" s="24" t="s">
        <v>5</v>
      </c>
      <c r="D18" s="38">
        <v>1</v>
      </c>
      <c r="E18" s="80"/>
      <c r="F18" s="81">
        <f t="shared" si="0"/>
        <v>0</v>
      </c>
      <c r="G18" s="38"/>
      <c r="H18" s="75"/>
    </row>
    <row r="19" spans="1:8" s="4" customFormat="1" ht="16.5" customHeight="1" x14ac:dyDescent="0.2">
      <c r="A19" s="49" t="s">
        <v>47</v>
      </c>
      <c r="B19" s="32" t="s">
        <v>157</v>
      </c>
      <c r="C19" s="24" t="s">
        <v>5</v>
      </c>
      <c r="D19" s="38">
        <v>1</v>
      </c>
      <c r="E19" s="80"/>
      <c r="F19" s="81">
        <f t="shared" si="0"/>
        <v>0</v>
      </c>
      <c r="G19" s="38"/>
      <c r="H19" s="75"/>
    </row>
    <row r="20" spans="1:8" s="4" customFormat="1" ht="18" customHeight="1" x14ac:dyDescent="0.2">
      <c r="A20" s="49" t="s">
        <v>48</v>
      </c>
      <c r="B20" s="29" t="s">
        <v>28</v>
      </c>
      <c r="C20" s="24" t="s">
        <v>5</v>
      </c>
      <c r="D20" s="38">
        <v>1</v>
      </c>
      <c r="E20" s="80"/>
      <c r="F20" s="81">
        <f t="shared" si="0"/>
        <v>0</v>
      </c>
      <c r="G20" s="38"/>
      <c r="H20" s="75"/>
    </row>
    <row r="21" spans="1:8" s="4" customFormat="1" ht="18" customHeight="1" x14ac:dyDescent="0.2">
      <c r="A21" s="49" t="s">
        <v>248</v>
      </c>
      <c r="B21" s="29" t="s">
        <v>14</v>
      </c>
      <c r="C21" s="24" t="s">
        <v>5</v>
      </c>
      <c r="D21" s="38">
        <v>1</v>
      </c>
      <c r="E21" s="80"/>
      <c r="F21" s="81">
        <f t="shared" si="0"/>
        <v>0</v>
      </c>
      <c r="G21" s="38"/>
      <c r="H21" s="75"/>
    </row>
    <row r="22" spans="1:8" s="4" customFormat="1" ht="7.5" customHeight="1" x14ac:dyDescent="0.2">
      <c r="A22" s="49"/>
      <c r="B22" s="16"/>
      <c r="C22" s="24"/>
      <c r="D22" s="38"/>
      <c r="E22" s="80"/>
      <c r="F22" s="38"/>
      <c r="G22" s="38"/>
      <c r="H22" s="75"/>
    </row>
    <row r="23" spans="1:8" s="4" customFormat="1" ht="16.5" customHeight="1" x14ac:dyDescent="0.2">
      <c r="A23" s="59"/>
      <c r="B23" s="60" t="s">
        <v>11</v>
      </c>
      <c r="C23" s="61"/>
      <c r="D23" s="61"/>
      <c r="E23" s="108"/>
      <c r="F23" s="73">
        <f>SUM(F17:F21)</f>
        <v>0</v>
      </c>
      <c r="G23" s="38"/>
      <c r="H23" s="75"/>
    </row>
    <row r="24" spans="1:8" s="4" customFormat="1" ht="14.25" customHeight="1" x14ac:dyDescent="0.2">
      <c r="A24" s="49"/>
      <c r="B24" s="29"/>
      <c r="C24" s="24"/>
      <c r="D24" s="25"/>
      <c r="E24" s="109"/>
      <c r="F24" s="25"/>
      <c r="G24" s="38"/>
      <c r="H24" s="75"/>
    </row>
    <row r="25" spans="1:8" s="4" customFormat="1" ht="18.75" customHeight="1" x14ac:dyDescent="0.2">
      <c r="A25" s="49" t="s">
        <v>49</v>
      </c>
      <c r="B25" s="31" t="s">
        <v>41</v>
      </c>
      <c r="C25" s="24"/>
      <c r="D25" s="38"/>
      <c r="E25" s="80"/>
      <c r="F25" s="38"/>
      <c r="G25" s="38"/>
      <c r="H25" s="75"/>
    </row>
    <row r="26" spans="1:8" s="4" customFormat="1" ht="9.75" customHeight="1" x14ac:dyDescent="0.2">
      <c r="A26" s="49"/>
      <c r="B26" s="31"/>
      <c r="C26" s="24"/>
      <c r="D26" s="38"/>
      <c r="E26" s="80"/>
      <c r="F26" s="38"/>
      <c r="G26" s="38"/>
      <c r="H26" s="75"/>
    </row>
    <row r="27" spans="1:8" s="4" customFormat="1" ht="18.75" customHeight="1" x14ac:dyDescent="0.2">
      <c r="A27" s="49" t="s">
        <v>50</v>
      </c>
      <c r="B27" s="16" t="s">
        <v>25</v>
      </c>
      <c r="C27" s="24" t="s">
        <v>12</v>
      </c>
      <c r="D27" s="38">
        <v>5</v>
      </c>
      <c r="E27" s="80"/>
      <c r="F27" s="81">
        <f t="shared" ref="F27:F32" si="1">D27*E27</f>
        <v>0</v>
      </c>
      <c r="G27" s="65"/>
      <c r="H27" s="75"/>
    </row>
    <row r="28" spans="1:8" s="4" customFormat="1" ht="18" customHeight="1" x14ac:dyDescent="0.2">
      <c r="A28" s="49" t="s">
        <v>138</v>
      </c>
      <c r="B28" s="29" t="s">
        <v>291</v>
      </c>
      <c r="C28" s="24" t="s">
        <v>13</v>
      </c>
      <c r="D28" s="38">
        <v>240</v>
      </c>
      <c r="E28" s="80"/>
      <c r="F28" s="81">
        <f t="shared" si="1"/>
        <v>0</v>
      </c>
      <c r="G28" s="65"/>
      <c r="H28" s="75"/>
    </row>
    <row r="29" spans="1:8" s="4" customFormat="1" ht="18" customHeight="1" x14ac:dyDescent="0.2">
      <c r="A29" s="49" t="s">
        <v>158</v>
      </c>
      <c r="B29" s="29" t="s">
        <v>159</v>
      </c>
      <c r="C29" s="24" t="s">
        <v>13</v>
      </c>
      <c r="D29" s="38">
        <v>30</v>
      </c>
      <c r="E29" s="80"/>
      <c r="F29" s="81">
        <f t="shared" si="1"/>
        <v>0</v>
      </c>
      <c r="G29" s="65"/>
      <c r="H29" s="75"/>
    </row>
    <row r="30" spans="1:8" s="4" customFormat="1" ht="18" customHeight="1" x14ac:dyDescent="0.2">
      <c r="A30" s="49" t="s">
        <v>160</v>
      </c>
      <c r="B30" s="29" t="s">
        <v>302</v>
      </c>
      <c r="C30" s="24" t="s">
        <v>13</v>
      </c>
      <c r="D30" s="38">
        <v>70</v>
      </c>
      <c r="E30" s="80"/>
      <c r="F30" s="81">
        <f t="shared" si="1"/>
        <v>0</v>
      </c>
      <c r="G30" s="65"/>
      <c r="H30" s="75"/>
    </row>
    <row r="31" spans="1:8" s="4" customFormat="1" ht="18" customHeight="1" x14ac:dyDescent="0.2">
      <c r="A31" s="49" t="s">
        <v>162</v>
      </c>
      <c r="B31" s="32" t="s">
        <v>445</v>
      </c>
      <c r="C31" s="24" t="s">
        <v>13</v>
      </c>
      <c r="D31" s="38">
        <v>30</v>
      </c>
      <c r="E31" s="80"/>
      <c r="F31" s="81">
        <f t="shared" si="1"/>
        <v>0</v>
      </c>
      <c r="G31" s="65"/>
      <c r="H31" s="75"/>
    </row>
    <row r="32" spans="1:8" s="4" customFormat="1" ht="13.5" customHeight="1" x14ac:dyDescent="0.2">
      <c r="A32" s="49" t="s">
        <v>163</v>
      </c>
      <c r="B32" s="29" t="s">
        <v>446</v>
      </c>
      <c r="C32" s="24" t="s">
        <v>23</v>
      </c>
      <c r="D32" s="38">
        <v>1</v>
      </c>
      <c r="E32" s="80"/>
      <c r="F32" s="81">
        <f t="shared" si="1"/>
        <v>0</v>
      </c>
      <c r="G32" s="65"/>
      <c r="H32" s="75"/>
    </row>
    <row r="33" spans="1:256" s="4" customFormat="1" ht="11.25" customHeight="1" x14ac:dyDescent="0.2">
      <c r="A33" s="49"/>
      <c r="B33" s="29"/>
      <c r="C33" s="24"/>
      <c r="D33" s="38"/>
      <c r="E33" s="80"/>
      <c r="F33" s="38"/>
      <c r="G33" s="38"/>
      <c r="H33" s="75"/>
    </row>
    <row r="34" spans="1:256" s="4" customFormat="1" ht="18" customHeight="1" x14ac:dyDescent="0.2">
      <c r="A34" s="59"/>
      <c r="B34" s="60" t="s">
        <v>11</v>
      </c>
      <c r="C34" s="61"/>
      <c r="D34" s="61"/>
      <c r="E34" s="108"/>
      <c r="F34" s="73">
        <f>SUM(F26:F33)</f>
        <v>0</v>
      </c>
      <c r="G34" s="38"/>
      <c r="H34" s="75"/>
    </row>
    <row r="35" spans="1:256" s="4" customFormat="1" ht="18" customHeight="1" x14ac:dyDescent="0.2">
      <c r="A35" s="49"/>
      <c r="B35" s="29"/>
      <c r="C35" s="24"/>
      <c r="D35" s="25"/>
      <c r="E35" s="109"/>
      <c r="F35" s="25"/>
      <c r="G35" s="38"/>
      <c r="H35" s="75"/>
    </row>
    <row r="36" spans="1:256" s="95" customFormat="1" ht="15.75" customHeight="1" x14ac:dyDescent="0.2">
      <c r="A36" s="89" t="s">
        <v>53</v>
      </c>
      <c r="B36" s="90" t="s">
        <v>39</v>
      </c>
      <c r="C36" s="91"/>
      <c r="D36" s="92"/>
      <c r="E36" s="98"/>
      <c r="F36" s="92"/>
      <c r="G36" s="92"/>
      <c r="H36" s="94"/>
    </row>
    <row r="37" spans="1:256" s="95" customFormat="1" x14ac:dyDescent="0.2">
      <c r="A37" s="89"/>
      <c r="B37" s="90"/>
      <c r="C37" s="91"/>
      <c r="D37" s="92"/>
      <c r="E37" s="98"/>
      <c r="F37" s="92"/>
      <c r="G37" s="92"/>
      <c r="H37" s="94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96"/>
      <c r="EA37" s="96"/>
      <c r="EB37" s="96"/>
      <c r="EC37" s="96"/>
      <c r="ED37" s="96"/>
      <c r="EE37" s="96"/>
      <c r="EF37" s="96"/>
      <c r="EG37" s="96"/>
      <c r="EH37" s="96"/>
      <c r="EI37" s="96"/>
      <c r="EJ37" s="96"/>
      <c r="EK37" s="96"/>
      <c r="EL37" s="96"/>
      <c r="EM37" s="96"/>
      <c r="EN37" s="96"/>
      <c r="EO37" s="96"/>
      <c r="EP37" s="96"/>
      <c r="EQ37" s="96"/>
      <c r="ER37" s="96"/>
      <c r="ES37" s="96"/>
      <c r="ET37" s="96"/>
      <c r="EU37" s="96"/>
      <c r="EV37" s="96"/>
      <c r="EW37" s="96"/>
      <c r="EX37" s="96"/>
      <c r="EY37" s="96"/>
      <c r="EZ37" s="96"/>
      <c r="FA37" s="96"/>
      <c r="FB37" s="96"/>
      <c r="FC37" s="96"/>
      <c r="FD37" s="96"/>
      <c r="FE37" s="96"/>
      <c r="FF37" s="96"/>
      <c r="FG37" s="96"/>
      <c r="FH37" s="96"/>
      <c r="FI37" s="96"/>
      <c r="FJ37" s="96"/>
      <c r="FK37" s="96"/>
      <c r="FL37" s="96"/>
      <c r="FM37" s="96"/>
      <c r="FN37" s="96"/>
      <c r="FO37" s="96"/>
      <c r="FP37" s="96"/>
      <c r="FQ37" s="96"/>
      <c r="FR37" s="96"/>
      <c r="FS37" s="96"/>
      <c r="FT37" s="96"/>
      <c r="FU37" s="96"/>
      <c r="FV37" s="96"/>
      <c r="FW37" s="96"/>
      <c r="FX37" s="96"/>
      <c r="FY37" s="96"/>
      <c r="FZ37" s="96"/>
      <c r="GA37" s="96"/>
      <c r="GB37" s="96"/>
      <c r="GC37" s="96"/>
      <c r="GD37" s="96"/>
      <c r="GE37" s="96"/>
      <c r="GF37" s="96"/>
      <c r="GG37" s="96"/>
      <c r="GH37" s="96"/>
      <c r="GI37" s="96"/>
      <c r="GJ37" s="96"/>
      <c r="GK37" s="96"/>
      <c r="GL37" s="96"/>
      <c r="GM37" s="96"/>
      <c r="GN37" s="96"/>
      <c r="GO37" s="96"/>
      <c r="GP37" s="96"/>
      <c r="GQ37" s="96"/>
      <c r="GR37" s="96"/>
      <c r="GS37" s="96"/>
      <c r="GT37" s="96"/>
      <c r="GU37" s="96"/>
      <c r="GV37" s="96"/>
      <c r="GW37" s="96"/>
      <c r="GX37" s="96"/>
      <c r="GY37" s="96"/>
      <c r="GZ37" s="96"/>
      <c r="HA37" s="96"/>
      <c r="HB37" s="96"/>
      <c r="HC37" s="96"/>
      <c r="HD37" s="96"/>
      <c r="HE37" s="96"/>
      <c r="HF37" s="96"/>
      <c r="HG37" s="96"/>
      <c r="HH37" s="96"/>
      <c r="HI37" s="96"/>
      <c r="HJ37" s="96"/>
      <c r="HK37" s="96"/>
      <c r="HL37" s="96"/>
      <c r="HM37" s="96"/>
      <c r="HN37" s="96"/>
      <c r="HO37" s="96"/>
      <c r="HP37" s="96"/>
      <c r="HQ37" s="96"/>
      <c r="HR37" s="96"/>
      <c r="HS37" s="96"/>
      <c r="HT37" s="96"/>
      <c r="HU37" s="96"/>
      <c r="HV37" s="96"/>
      <c r="HW37" s="96"/>
      <c r="HX37" s="96"/>
      <c r="HY37" s="96"/>
      <c r="HZ37" s="96"/>
      <c r="IA37" s="96"/>
      <c r="IB37" s="96"/>
      <c r="IC37" s="96"/>
      <c r="ID37" s="96"/>
      <c r="IE37" s="96"/>
      <c r="IF37" s="96"/>
      <c r="IG37" s="96"/>
      <c r="IH37" s="96"/>
      <c r="II37" s="96"/>
      <c r="IJ37" s="96"/>
      <c r="IK37" s="96"/>
      <c r="IL37" s="96"/>
      <c r="IM37" s="96"/>
      <c r="IN37" s="96"/>
      <c r="IO37" s="96"/>
      <c r="IP37" s="96"/>
      <c r="IQ37" s="96"/>
      <c r="IR37" s="96"/>
      <c r="IS37" s="96"/>
      <c r="IT37" s="96"/>
      <c r="IU37" s="96"/>
      <c r="IV37" s="96"/>
    </row>
    <row r="38" spans="1:256" s="96" customFormat="1" ht="18.75" customHeight="1" x14ac:dyDescent="0.2">
      <c r="A38" s="89" t="s">
        <v>54</v>
      </c>
      <c r="B38" s="97" t="s">
        <v>470</v>
      </c>
      <c r="C38" s="91"/>
      <c r="D38" s="92"/>
      <c r="E38" s="98"/>
      <c r="F38" s="99"/>
      <c r="G38" s="100"/>
      <c r="H38" s="94"/>
    </row>
    <row r="39" spans="1:256" s="96" customFormat="1" ht="18.75" customHeight="1" x14ac:dyDescent="0.2">
      <c r="A39" s="101" t="s">
        <v>175</v>
      </c>
      <c r="B39" s="97" t="s">
        <v>176</v>
      </c>
      <c r="C39" s="91" t="s">
        <v>4</v>
      </c>
      <c r="D39" s="92">
        <v>50</v>
      </c>
      <c r="E39" s="98"/>
      <c r="F39" s="99">
        <f>D39*E39</f>
        <v>0</v>
      </c>
      <c r="G39" s="100"/>
      <c r="H39" s="94"/>
    </row>
    <row r="40" spans="1:256" s="96" customFormat="1" ht="17.25" customHeight="1" x14ac:dyDescent="0.2">
      <c r="A40" s="89" t="s">
        <v>55</v>
      </c>
      <c r="B40" s="102" t="s">
        <v>51</v>
      </c>
      <c r="C40" s="91" t="s">
        <v>4</v>
      </c>
      <c r="D40" s="92">
        <v>6</v>
      </c>
      <c r="E40" s="98"/>
      <c r="F40" s="99">
        <f t="shared" ref="F40" si="2">D40*E40</f>
        <v>0</v>
      </c>
      <c r="G40" s="92"/>
      <c r="H40" s="94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5"/>
      <c r="CF40" s="95"/>
      <c r="CG40" s="95"/>
      <c r="CH40" s="95"/>
      <c r="CI40" s="95"/>
      <c r="CJ40" s="95"/>
      <c r="CK40" s="95"/>
      <c r="CL40" s="95"/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5"/>
      <c r="DA40" s="95"/>
      <c r="DB40" s="95"/>
      <c r="DC40" s="95"/>
      <c r="DD40" s="95"/>
      <c r="DE40" s="95"/>
      <c r="DF40" s="95"/>
      <c r="DG40" s="95"/>
      <c r="DH40" s="95"/>
      <c r="DI40" s="95"/>
      <c r="DJ40" s="95"/>
      <c r="DK40" s="95"/>
      <c r="DL40" s="95"/>
      <c r="DM40" s="95"/>
      <c r="DN40" s="95"/>
      <c r="DO40" s="95"/>
      <c r="DP40" s="95"/>
      <c r="DQ40" s="95"/>
      <c r="DR40" s="95"/>
      <c r="DS40" s="95"/>
      <c r="DT40" s="95"/>
      <c r="DU40" s="95"/>
      <c r="DV40" s="95"/>
      <c r="DW40" s="95"/>
      <c r="DX40" s="95"/>
      <c r="DY40" s="95"/>
      <c r="DZ40" s="95"/>
      <c r="EA40" s="95"/>
      <c r="EB40" s="95"/>
      <c r="EC40" s="95"/>
      <c r="ED40" s="95"/>
      <c r="EE40" s="95"/>
      <c r="EF40" s="95"/>
      <c r="EG40" s="95"/>
      <c r="EH40" s="95"/>
      <c r="EI40" s="95"/>
      <c r="EJ40" s="95"/>
      <c r="EK40" s="95"/>
      <c r="EL40" s="95"/>
      <c r="EM40" s="95"/>
      <c r="EN40" s="95"/>
      <c r="EO40" s="95"/>
      <c r="EP40" s="95"/>
      <c r="EQ40" s="95"/>
      <c r="ER40" s="95"/>
      <c r="ES40" s="95"/>
      <c r="ET40" s="95"/>
      <c r="EU40" s="95"/>
      <c r="EV40" s="95"/>
      <c r="EW40" s="95"/>
      <c r="EX40" s="95"/>
      <c r="EY40" s="95"/>
      <c r="EZ40" s="95"/>
      <c r="FA40" s="95"/>
      <c r="FB40" s="95"/>
      <c r="FC40" s="95"/>
      <c r="FD40" s="95"/>
      <c r="FE40" s="95"/>
      <c r="FF40" s="95"/>
      <c r="FG40" s="95"/>
      <c r="FH40" s="95"/>
      <c r="FI40" s="95"/>
      <c r="FJ40" s="95"/>
      <c r="FK40" s="95"/>
      <c r="FL40" s="95"/>
      <c r="FM40" s="95"/>
      <c r="FN40" s="95"/>
      <c r="FO40" s="95"/>
      <c r="FP40" s="95"/>
      <c r="FQ40" s="95"/>
      <c r="FR40" s="95"/>
      <c r="FS40" s="95"/>
      <c r="FT40" s="95"/>
      <c r="FU40" s="95"/>
      <c r="FV40" s="95"/>
      <c r="FW40" s="95"/>
      <c r="FX40" s="95"/>
      <c r="FY40" s="95"/>
      <c r="FZ40" s="95"/>
      <c r="GA40" s="95"/>
      <c r="GB40" s="95"/>
      <c r="GC40" s="95"/>
      <c r="GD40" s="95"/>
      <c r="GE40" s="95"/>
      <c r="GF40" s="95"/>
      <c r="GG40" s="95"/>
      <c r="GH40" s="95"/>
      <c r="GI40" s="95"/>
      <c r="GJ40" s="95"/>
      <c r="GK40" s="95"/>
      <c r="GL40" s="95"/>
      <c r="GM40" s="95"/>
      <c r="GN40" s="95"/>
      <c r="GO40" s="95"/>
      <c r="GP40" s="95"/>
      <c r="GQ40" s="95"/>
      <c r="GR40" s="95"/>
      <c r="GS40" s="95"/>
      <c r="GT40" s="95"/>
      <c r="GU40" s="95"/>
      <c r="GV40" s="95"/>
      <c r="GW40" s="95"/>
      <c r="GX40" s="95"/>
      <c r="GY40" s="95"/>
      <c r="GZ40" s="95"/>
      <c r="HA40" s="95"/>
      <c r="HB40" s="95"/>
      <c r="HC40" s="95"/>
      <c r="HD40" s="95"/>
      <c r="HE40" s="95"/>
      <c r="HF40" s="95"/>
      <c r="HG40" s="95"/>
      <c r="HH40" s="95"/>
      <c r="HI40" s="95"/>
      <c r="HJ40" s="95"/>
      <c r="HK40" s="95"/>
      <c r="HL40" s="95"/>
      <c r="HM40" s="95"/>
      <c r="HN40" s="95"/>
      <c r="HO40" s="95"/>
      <c r="HP40" s="95"/>
      <c r="HQ40" s="95"/>
      <c r="HR40" s="95"/>
      <c r="HS40" s="95"/>
      <c r="HT40" s="95"/>
      <c r="HU40" s="95"/>
      <c r="HV40" s="95"/>
      <c r="HW40" s="95"/>
      <c r="HX40" s="95"/>
      <c r="HY40" s="95"/>
      <c r="HZ40" s="95"/>
      <c r="IA40" s="95"/>
      <c r="IB40" s="95"/>
      <c r="IC40" s="95"/>
      <c r="ID40" s="95"/>
      <c r="IE40" s="95"/>
      <c r="IF40" s="95"/>
      <c r="IG40" s="95"/>
      <c r="IH40" s="95"/>
      <c r="II40" s="95"/>
      <c r="IJ40" s="95"/>
      <c r="IK40" s="95"/>
      <c r="IL40" s="95"/>
      <c r="IM40" s="95"/>
      <c r="IN40" s="95"/>
      <c r="IO40" s="95"/>
      <c r="IP40" s="95"/>
      <c r="IQ40" s="95"/>
      <c r="IR40" s="95"/>
      <c r="IS40" s="95"/>
      <c r="IT40" s="95"/>
      <c r="IU40" s="95"/>
      <c r="IV40" s="95"/>
    </row>
    <row r="41" spans="1:256" s="96" customFormat="1" ht="17.25" customHeight="1" x14ac:dyDescent="0.2">
      <c r="A41" s="89" t="s">
        <v>56</v>
      </c>
      <c r="B41" s="97" t="s">
        <v>52</v>
      </c>
      <c r="C41" s="91" t="s">
        <v>4</v>
      </c>
      <c r="D41" s="92">
        <v>8</v>
      </c>
      <c r="E41" s="98"/>
      <c r="F41" s="99"/>
      <c r="G41" s="92"/>
      <c r="H41" s="94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95"/>
      <c r="CK41" s="95"/>
      <c r="CL41" s="95"/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5"/>
      <c r="DA41" s="95"/>
      <c r="DB41" s="95"/>
      <c r="DC41" s="95"/>
      <c r="DD41" s="95"/>
      <c r="DE41" s="95"/>
      <c r="DF41" s="95"/>
      <c r="DG41" s="95"/>
      <c r="DH41" s="95"/>
      <c r="DI41" s="95"/>
      <c r="DJ41" s="95"/>
      <c r="DK41" s="95"/>
      <c r="DL41" s="95"/>
      <c r="DM41" s="95"/>
      <c r="DN41" s="95"/>
      <c r="DO41" s="95"/>
      <c r="DP41" s="95"/>
      <c r="DQ41" s="95"/>
      <c r="DR41" s="95"/>
      <c r="DS41" s="95"/>
      <c r="DT41" s="95"/>
      <c r="DU41" s="95"/>
      <c r="DV41" s="95"/>
      <c r="DW41" s="95"/>
      <c r="DX41" s="95"/>
      <c r="DY41" s="95"/>
      <c r="DZ41" s="95"/>
      <c r="EA41" s="95"/>
      <c r="EB41" s="95"/>
      <c r="EC41" s="95"/>
      <c r="ED41" s="95"/>
      <c r="EE41" s="95"/>
      <c r="EF41" s="95"/>
      <c r="EG41" s="95"/>
      <c r="EH41" s="95"/>
      <c r="EI41" s="95"/>
      <c r="EJ41" s="95"/>
      <c r="EK41" s="95"/>
      <c r="EL41" s="95"/>
      <c r="EM41" s="95"/>
      <c r="EN41" s="95"/>
      <c r="EO41" s="95"/>
      <c r="EP41" s="95"/>
      <c r="EQ41" s="95"/>
      <c r="ER41" s="95"/>
      <c r="ES41" s="95"/>
      <c r="ET41" s="95"/>
      <c r="EU41" s="95"/>
      <c r="EV41" s="95"/>
      <c r="EW41" s="95"/>
      <c r="EX41" s="95"/>
      <c r="EY41" s="95"/>
      <c r="EZ41" s="95"/>
      <c r="FA41" s="95"/>
      <c r="FB41" s="95"/>
      <c r="FC41" s="95"/>
      <c r="FD41" s="95"/>
      <c r="FE41" s="95"/>
      <c r="FF41" s="95"/>
      <c r="FG41" s="95"/>
      <c r="FH41" s="95"/>
      <c r="FI41" s="95"/>
      <c r="FJ41" s="95"/>
      <c r="FK41" s="95"/>
      <c r="FL41" s="95"/>
      <c r="FM41" s="95"/>
      <c r="FN41" s="95"/>
      <c r="FO41" s="95"/>
      <c r="FP41" s="95"/>
      <c r="FQ41" s="95"/>
      <c r="FR41" s="95"/>
      <c r="FS41" s="95"/>
      <c r="FT41" s="95"/>
      <c r="FU41" s="95"/>
      <c r="FV41" s="95"/>
      <c r="FW41" s="95"/>
      <c r="FX41" s="95"/>
      <c r="FY41" s="95"/>
      <c r="FZ41" s="95"/>
      <c r="GA41" s="95"/>
      <c r="GB41" s="95"/>
      <c r="GC41" s="95"/>
      <c r="GD41" s="95"/>
      <c r="GE41" s="95"/>
      <c r="GF41" s="95"/>
      <c r="GG41" s="95"/>
      <c r="GH41" s="95"/>
      <c r="GI41" s="95"/>
      <c r="GJ41" s="95"/>
      <c r="GK41" s="95"/>
      <c r="GL41" s="95"/>
      <c r="GM41" s="95"/>
      <c r="GN41" s="95"/>
      <c r="GO41" s="95"/>
      <c r="GP41" s="95"/>
      <c r="GQ41" s="95"/>
      <c r="GR41" s="95"/>
      <c r="GS41" s="95"/>
      <c r="GT41" s="95"/>
      <c r="GU41" s="95"/>
      <c r="GV41" s="95"/>
      <c r="GW41" s="95"/>
      <c r="GX41" s="95"/>
      <c r="GY41" s="95"/>
      <c r="GZ41" s="95"/>
      <c r="HA41" s="95"/>
      <c r="HB41" s="95"/>
      <c r="HC41" s="95"/>
      <c r="HD41" s="95"/>
      <c r="HE41" s="95"/>
      <c r="HF41" s="95"/>
      <c r="HG41" s="95"/>
      <c r="HH41" s="95"/>
      <c r="HI41" s="95"/>
      <c r="HJ41" s="95"/>
      <c r="HK41" s="95"/>
      <c r="HL41" s="95"/>
      <c r="HM41" s="95"/>
      <c r="HN41" s="95"/>
      <c r="HO41" s="95"/>
      <c r="HP41" s="95"/>
      <c r="HQ41" s="95"/>
      <c r="HR41" s="95"/>
      <c r="HS41" s="95"/>
      <c r="HT41" s="95"/>
      <c r="HU41" s="95"/>
      <c r="HV41" s="95"/>
      <c r="HW41" s="95"/>
      <c r="HX41" s="95"/>
      <c r="HY41" s="95"/>
      <c r="HZ41" s="95"/>
      <c r="IA41" s="95"/>
      <c r="IB41" s="95"/>
      <c r="IC41" s="95"/>
      <c r="ID41" s="95"/>
      <c r="IE41" s="95"/>
      <c r="IF41" s="95"/>
      <c r="IG41" s="95"/>
      <c r="IH41" s="95"/>
      <c r="II41" s="95"/>
      <c r="IJ41" s="95"/>
      <c r="IK41" s="95"/>
      <c r="IL41" s="95"/>
      <c r="IM41" s="95"/>
      <c r="IN41" s="95"/>
      <c r="IO41" s="95"/>
      <c r="IP41" s="95"/>
      <c r="IQ41" s="95"/>
      <c r="IR41" s="95"/>
      <c r="IS41" s="95"/>
      <c r="IT41" s="95"/>
      <c r="IU41" s="95"/>
      <c r="IV41" s="95"/>
    </row>
    <row r="42" spans="1:256" s="96" customFormat="1" ht="17.25" customHeight="1" x14ac:dyDescent="0.2">
      <c r="A42" s="89" t="s">
        <v>57</v>
      </c>
      <c r="B42" s="103" t="s">
        <v>133</v>
      </c>
      <c r="C42" s="91" t="s">
        <v>4</v>
      </c>
      <c r="D42" s="92">
        <v>20</v>
      </c>
      <c r="E42" s="98"/>
      <c r="F42" s="99">
        <f>D42*E42</f>
        <v>0</v>
      </c>
      <c r="G42" s="92"/>
      <c r="H42" s="94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95"/>
      <c r="CK42" s="95"/>
      <c r="CL42" s="95"/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  <c r="DC42" s="95"/>
      <c r="DD42" s="95"/>
      <c r="DE42" s="95"/>
      <c r="DF42" s="95"/>
      <c r="DG42" s="95"/>
      <c r="DH42" s="95"/>
      <c r="DI42" s="95"/>
      <c r="DJ42" s="95"/>
      <c r="DK42" s="95"/>
      <c r="DL42" s="95"/>
      <c r="DM42" s="95"/>
      <c r="DN42" s="95"/>
      <c r="DO42" s="95"/>
      <c r="DP42" s="95"/>
      <c r="DQ42" s="95"/>
      <c r="DR42" s="95"/>
      <c r="DS42" s="95"/>
      <c r="DT42" s="95"/>
      <c r="DU42" s="95"/>
      <c r="DV42" s="95"/>
      <c r="DW42" s="95"/>
      <c r="DX42" s="95"/>
      <c r="DY42" s="95"/>
      <c r="DZ42" s="95"/>
      <c r="EA42" s="95"/>
      <c r="EB42" s="95"/>
      <c r="EC42" s="95"/>
      <c r="ED42" s="95"/>
      <c r="EE42" s="95"/>
      <c r="EF42" s="95"/>
      <c r="EG42" s="95"/>
      <c r="EH42" s="95"/>
      <c r="EI42" s="95"/>
      <c r="EJ42" s="95"/>
      <c r="EK42" s="95"/>
      <c r="EL42" s="95"/>
      <c r="EM42" s="95"/>
      <c r="EN42" s="95"/>
      <c r="EO42" s="95"/>
      <c r="EP42" s="95"/>
      <c r="EQ42" s="95"/>
      <c r="ER42" s="95"/>
      <c r="ES42" s="95"/>
      <c r="ET42" s="95"/>
      <c r="EU42" s="95"/>
      <c r="EV42" s="95"/>
      <c r="EW42" s="95"/>
      <c r="EX42" s="95"/>
      <c r="EY42" s="95"/>
      <c r="EZ42" s="95"/>
      <c r="FA42" s="95"/>
      <c r="FB42" s="95"/>
      <c r="FC42" s="95"/>
      <c r="FD42" s="95"/>
      <c r="FE42" s="95"/>
      <c r="FF42" s="95"/>
      <c r="FG42" s="95"/>
      <c r="FH42" s="95"/>
      <c r="FI42" s="95"/>
      <c r="FJ42" s="95"/>
      <c r="FK42" s="95"/>
      <c r="FL42" s="95"/>
      <c r="FM42" s="95"/>
      <c r="FN42" s="95"/>
      <c r="FO42" s="95"/>
      <c r="FP42" s="95"/>
      <c r="FQ42" s="95"/>
      <c r="FR42" s="95"/>
      <c r="FS42" s="95"/>
      <c r="FT42" s="95"/>
      <c r="FU42" s="95"/>
      <c r="FV42" s="95"/>
      <c r="FW42" s="95"/>
      <c r="FX42" s="95"/>
      <c r="FY42" s="95"/>
      <c r="FZ42" s="95"/>
      <c r="GA42" s="95"/>
      <c r="GB42" s="95"/>
      <c r="GC42" s="95"/>
      <c r="GD42" s="95"/>
      <c r="GE42" s="95"/>
      <c r="GF42" s="95"/>
      <c r="GG42" s="95"/>
      <c r="GH42" s="95"/>
      <c r="GI42" s="95"/>
      <c r="GJ42" s="95"/>
      <c r="GK42" s="95"/>
      <c r="GL42" s="95"/>
      <c r="GM42" s="95"/>
      <c r="GN42" s="95"/>
      <c r="GO42" s="95"/>
      <c r="GP42" s="95"/>
      <c r="GQ42" s="95"/>
      <c r="GR42" s="95"/>
      <c r="GS42" s="95"/>
      <c r="GT42" s="95"/>
      <c r="GU42" s="95"/>
      <c r="GV42" s="95"/>
      <c r="GW42" s="95"/>
      <c r="GX42" s="95"/>
      <c r="GY42" s="95"/>
      <c r="GZ42" s="95"/>
      <c r="HA42" s="95"/>
      <c r="HB42" s="95"/>
      <c r="HC42" s="95"/>
      <c r="HD42" s="95"/>
      <c r="HE42" s="95"/>
      <c r="HF42" s="95"/>
      <c r="HG42" s="95"/>
      <c r="HH42" s="95"/>
      <c r="HI42" s="95"/>
      <c r="HJ42" s="95"/>
      <c r="HK42" s="95"/>
      <c r="HL42" s="95"/>
      <c r="HM42" s="95"/>
      <c r="HN42" s="95"/>
      <c r="HO42" s="95"/>
      <c r="HP42" s="95"/>
      <c r="HQ42" s="95"/>
      <c r="HR42" s="95"/>
      <c r="HS42" s="95"/>
      <c r="HT42" s="95"/>
      <c r="HU42" s="95"/>
      <c r="HV42" s="95"/>
      <c r="HW42" s="95"/>
      <c r="HX42" s="95"/>
      <c r="HY42" s="95"/>
      <c r="HZ42" s="95"/>
      <c r="IA42" s="95"/>
      <c r="IB42" s="95"/>
      <c r="IC42" s="95"/>
      <c r="ID42" s="95"/>
      <c r="IE42" s="95"/>
      <c r="IF42" s="95"/>
      <c r="IG42" s="95"/>
      <c r="IH42" s="95"/>
      <c r="II42" s="95"/>
      <c r="IJ42" s="95"/>
      <c r="IK42" s="95"/>
      <c r="IL42" s="95"/>
      <c r="IM42" s="95"/>
      <c r="IN42" s="95"/>
      <c r="IO42" s="95"/>
      <c r="IP42" s="95"/>
      <c r="IQ42" s="95"/>
      <c r="IR42" s="95"/>
      <c r="IS42" s="95"/>
      <c r="IT42" s="95"/>
      <c r="IU42" s="95"/>
      <c r="IV42" s="95"/>
    </row>
    <row r="43" spans="1:256" s="95" customFormat="1" ht="26.25" customHeight="1" x14ac:dyDescent="0.2">
      <c r="A43" s="89" t="s">
        <v>139</v>
      </c>
      <c r="B43" s="103" t="s">
        <v>288</v>
      </c>
      <c r="C43" s="91" t="s">
        <v>4</v>
      </c>
      <c r="D43" s="92">
        <v>30</v>
      </c>
      <c r="E43" s="98"/>
      <c r="F43" s="99">
        <f>D43*E43</f>
        <v>0</v>
      </c>
      <c r="G43" s="100"/>
      <c r="H43" s="94"/>
    </row>
    <row r="44" spans="1:256" s="96" customFormat="1" ht="17.25" customHeight="1" x14ac:dyDescent="0.2">
      <c r="A44" s="89" t="s">
        <v>173</v>
      </c>
      <c r="B44" s="103" t="s">
        <v>43</v>
      </c>
      <c r="C44" s="91" t="s">
        <v>5</v>
      </c>
      <c r="D44" s="92">
        <v>1</v>
      </c>
      <c r="E44" s="98"/>
      <c r="F44" s="99">
        <f>D44*E44</f>
        <v>0</v>
      </c>
      <c r="G44" s="92"/>
      <c r="H44" s="94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95"/>
      <c r="CJ44" s="95"/>
      <c r="CK44" s="95"/>
      <c r="CL44" s="95"/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5"/>
      <c r="DA44" s="95"/>
      <c r="DB44" s="95"/>
      <c r="DC44" s="95"/>
      <c r="DD44" s="95"/>
      <c r="DE44" s="95"/>
      <c r="DF44" s="95"/>
      <c r="DG44" s="95"/>
      <c r="DH44" s="95"/>
      <c r="DI44" s="95"/>
      <c r="DJ44" s="95"/>
      <c r="DK44" s="95"/>
      <c r="DL44" s="95"/>
      <c r="DM44" s="95"/>
      <c r="DN44" s="95"/>
      <c r="DO44" s="95"/>
      <c r="DP44" s="95"/>
      <c r="DQ44" s="95"/>
      <c r="DR44" s="95"/>
      <c r="DS44" s="95"/>
      <c r="DT44" s="95"/>
      <c r="DU44" s="95"/>
      <c r="DV44" s="95"/>
      <c r="DW44" s="95"/>
      <c r="DX44" s="95"/>
      <c r="DY44" s="95"/>
      <c r="DZ44" s="95"/>
      <c r="EA44" s="95"/>
      <c r="EB44" s="95"/>
      <c r="EC44" s="95"/>
      <c r="ED44" s="95"/>
      <c r="EE44" s="95"/>
      <c r="EF44" s="95"/>
      <c r="EG44" s="95"/>
      <c r="EH44" s="95"/>
      <c r="EI44" s="95"/>
      <c r="EJ44" s="95"/>
      <c r="EK44" s="95"/>
      <c r="EL44" s="95"/>
      <c r="EM44" s="95"/>
      <c r="EN44" s="95"/>
      <c r="EO44" s="95"/>
      <c r="EP44" s="95"/>
      <c r="EQ44" s="95"/>
      <c r="ER44" s="95"/>
      <c r="ES44" s="95"/>
      <c r="ET44" s="95"/>
      <c r="EU44" s="95"/>
      <c r="EV44" s="95"/>
      <c r="EW44" s="95"/>
      <c r="EX44" s="95"/>
      <c r="EY44" s="95"/>
      <c r="EZ44" s="95"/>
      <c r="FA44" s="95"/>
      <c r="FB44" s="95"/>
      <c r="FC44" s="95"/>
      <c r="FD44" s="95"/>
      <c r="FE44" s="95"/>
      <c r="FF44" s="95"/>
      <c r="FG44" s="95"/>
      <c r="FH44" s="95"/>
      <c r="FI44" s="95"/>
      <c r="FJ44" s="95"/>
      <c r="FK44" s="95"/>
      <c r="FL44" s="95"/>
      <c r="FM44" s="95"/>
      <c r="FN44" s="95"/>
      <c r="FO44" s="95"/>
      <c r="FP44" s="95"/>
      <c r="FQ44" s="95"/>
      <c r="FR44" s="95"/>
      <c r="FS44" s="95"/>
      <c r="FT44" s="95"/>
      <c r="FU44" s="95"/>
      <c r="FV44" s="95"/>
      <c r="FW44" s="95"/>
      <c r="FX44" s="95"/>
      <c r="FY44" s="95"/>
      <c r="FZ44" s="95"/>
      <c r="GA44" s="95"/>
      <c r="GB44" s="95"/>
      <c r="GC44" s="95"/>
      <c r="GD44" s="95"/>
      <c r="GE44" s="95"/>
      <c r="GF44" s="95"/>
      <c r="GG44" s="95"/>
      <c r="GH44" s="95"/>
      <c r="GI44" s="95"/>
      <c r="GJ44" s="95"/>
      <c r="GK44" s="95"/>
      <c r="GL44" s="95"/>
      <c r="GM44" s="95"/>
      <c r="GN44" s="95"/>
      <c r="GO44" s="95"/>
      <c r="GP44" s="95"/>
      <c r="GQ44" s="95"/>
      <c r="GR44" s="95"/>
      <c r="GS44" s="95"/>
      <c r="GT44" s="95"/>
      <c r="GU44" s="95"/>
      <c r="GV44" s="95"/>
      <c r="GW44" s="95"/>
      <c r="GX44" s="95"/>
      <c r="GY44" s="95"/>
      <c r="GZ44" s="95"/>
      <c r="HA44" s="95"/>
      <c r="HB44" s="95"/>
      <c r="HC44" s="95"/>
      <c r="HD44" s="95"/>
      <c r="HE44" s="95"/>
      <c r="HF44" s="95"/>
      <c r="HG44" s="95"/>
      <c r="HH44" s="95"/>
      <c r="HI44" s="95"/>
      <c r="HJ44" s="95"/>
      <c r="HK44" s="95"/>
      <c r="HL44" s="95"/>
      <c r="HM44" s="95"/>
      <c r="HN44" s="95"/>
      <c r="HO44" s="95"/>
      <c r="HP44" s="95"/>
      <c r="HQ44" s="95"/>
      <c r="HR44" s="95"/>
      <c r="HS44" s="95"/>
      <c r="HT44" s="95"/>
      <c r="HU44" s="95"/>
      <c r="HV44" s="95"/>
      <c r="HW44" s="95"/>
      <c r="HX44" s="95"/>
      <c r="HY44" s="95"/>
      <c r="HZ44" s="95"/>
      <c r="IA44" s="95"/>
      <c r="IB44" s="95"/>
      <c r="IC44" s="95"/>
      <c r="ID44" s="95"/>
      <c r="IE44" s="95"/>
      <c r="IF44" s="95"/>
      <c r="IG44" s="95"/>
      <c r="IH44" s="95"/>
      <c r="II44" s="95"/>
      <c r="IJ44" s="95"/>
      <c r="IK44" s="95"/>
      <c r="IL44" s="95"/>
      <c r="IM44" s="95"/>
      <c r="IN44" s="95"/>
      <c r="IO44" s="95"/>
      <c r="IP44" s="95"/>
      <c r="IQ44" s="95"/>
      <c r="IR44" s="95"/>
      <c r="IS44" s="95"/>
      <c r="IT44" s="95"/>
      <c r="IU44" s="95"/>
      <c r="IV44" s="95"/>
    </row>
    <row r="45" spans="1:256" s="4" customFormat="1" ht="17.25" customHeight="1" x14ac:dyDescent="0.2">
      <c r="A45" s="49"/>
      <c r="B45" s="32"/>
      <c r="C45" s="24"/>
      <c r="D45" s="38"/>
      <c r="E45" s="80"/>
      <c r="F45" s="38"/>
      <c r="G45" s="38"/>
      <c r="H45" s="75"/>
    </row>
    <row r="46" spans="1:256" s="4" customFormat="1" ht="20.25" customHeight="1" x14ac:dyDescent="0.2">
      <c r="A46" s="59"/>
      <c r="B46" s="60" t="s">
        <v>11</v>
      </c>
      <c r="C46" s="61"/>
      <c r="D46" s="61"/>
      <c r="E46" s="108"/>
      <c r="F46" s="73">
        <f>SUM(F39:F44)</f>
        <v>0</v>
      </c>
      <c r="G46" s="38"/>
      <c r="H46" s="75"/>
    </row>
    <row r="47" spans="1:256" s="4" customFormat="1" ht="20.25" customHeight="1" x14ac:dyDescent="0.2">
      <c r="A47" s="49"/>
      <c r="B47" s="29"/>
      <c r="C47" s="24"/>
      <c r="D47" s="38"/>
      <c r="E47" s="80"/>
      <c r="F47" s="38"/>
      <c r="G47" s="38"/>
      <c r="H47" s="7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</row>
    <row r="48" spans="1:256" s="4" customFormat="1" ht="16.5" customHeight="1" x14ac:dyDescent="0.2">
      <c r="A48" s="49" t="s">
        <v>58</v>
      </c>
      <c r="B48" s="31" t="s">
        <v>42</v>
      </c>
      <c r="C48" s="24"/>
      <c r="D48" s="38"/>
      <c r="E48" s="80"/>
      <c r="F48" s="38"/>
      <c r="G48" s="38"/>
      <c r="H48" s="75"/>
    </row>
    <row r="49" spans="1:256" s="4" customFormat="1" ht="14.25" customHeight="1" x14ac:dyDescent="0.2">
      <c r="A49" s="49"/>
      <c r="B49" s="31"/>
      <c r="C49" s="24"/>
      <c r="D49" s="38"/>
      <c r="E49" s="80"/>
      <c r="F49" s="38"/>
      <c r="G49" s="38"/>
      <c r="H49" s="7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</row>
    <row r="50" spans="1:256" s="4" customFormat="1" ht="20.25" customHeight="1" x14ac:dyDescent="0.2">
      <c r="A50" s="49" t="s">
        <v>59</v>
      </c>
      <c r="B50" s="32" t="s">
        <v>181</v>
      </c>
      <c r="C50" s="24" t="s">
        <v>13</v>
      </c>
      <c r="D50" s="38">
        <v>180</v>
      </c>
      <c r="E50" s="80"/>
      <c r="F50" s="81">
        <f>D50*E50</f>
        <v>0</v>
      </c>
      <c r="G50" s="38"/>
      <c r="H50" s="7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</row>
    <row r="51" spans="1:256" s="4" customFormat="1" ht="18.75" customHeight="1" x14ac:dyDescent="0.2">
      <c r="A51" s="49" t="s">
        <v>60</v>
      </c>
      <c r="B51" s="32" t="s">
        <v>134</v>
      </c>
      <c r="C51" s="24"/>
      <c r="D51" s="38"/>
      <c r="E51" s="80"/>
      <c r="F51" s="81"/>
      <c r="G51" s="38"/>
      <c r="H51" s="7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</row>
    <row r="52" spans="1:256" s="4" customFormat="1" ht="18" customHeight="1" x14ac:dyDescent="0.2">
      <c r="A52" s="70" t="s">
        <v>61</v>
      </c>
      <c r="B52" s="16" t="s">
        <v>323</v>
      </c>
      <c r="C52" s="24" t="s">
        <v>4</v>
      </c>
      <c r="D52" s="38">
        <v>115</v>
      </c>
      <c r="E52" s="80"/>
      <c r="F52" s="81">
        <f t="shared" ref="F52:F70" si="3">D52*E52</f>
        <v>0</v>
      </c>
      <c r="G52" s="38"/>
      <c r="H52" s="75"/>
    </row>
    <row r="53" spans="1:256" ht="18" customHeight="1" x14ac:dyDescent="0.2">
      <c r="A53" s="49" t="s">
        <v>63</v>
      </c>
      <c r="B53" s="32" t="s">
        <v>119</v>
      </c>
      <c r="C53" s="24"/>
      <c r="D53" s="38"/>
      <c r="E53" s="80"/>
      <c r="F53" s="81"/>
      <c r="G53" s="3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</row>
    <row r="54" spans="1:256" ht="19.5" customHeight="1" x14ac:dyDescent="0.2">
      <c r="A54" s="70" t="s">
        <v>64</v>
      </c>
      <c r="B54" s="16" t="s">
        <v>325</v>
      </c>
      <c r="C54" s="24" t="s">
        <v>4</v>
      </c>
      <c r="D54" s="38">
        <v>9</v>
      </c>
      <c r="E54" s="80"/>
      <c r="F54" s="81">
        <f t="shared" si="3"/>
        <v>0</v>
      </c>
      <c r="G54" s="38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</row>
    <row r="55" spans="1:256" ht="16.5" customHeight="1" x14ac:dyDescent="0.2">
      <c r="A55" s="49" t="s">
        <v>65</v>
      </c>
      <c r="B55" s="32" t="s">
        <v>184</v>
      </c>
      <c r="C55" s="24" t="s">
        <v>5</v>
      </c>
      <c r="D55" s="38">
        <v>1</v>
      </c>
      <c r="E55" s="80"/>
      <c r="F55" s="81">
        <f t="shared" si="3"/>
        <v>0</v>
      </c>
      <c r="G55" s="38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</row>
    <row r="56" spans="1:256" ht="27" customHeight="1" x14ac:dyDescent="0.2">
      <c r="A56" s="49" t="s">
        <v>66</v>
      </c>
      <c r="B56" s="16" t="s">
        <v>30</v>
      </c>
      <c r="C56" s="24"/>
      <c r="D56" s="38"/>
      <c r="E56" s="80"/>
      <c r="F56" s="81"/>
      <c r="G56" s="38"/>
    </row>
    <row r="57" spans="1:256" ht="18" customHeight="1" x14ac:dyDescent="0.2">
      <c r="A57" s="70" t="s">
        <v>182</v>
      </c>
      <c r="B57" s="16" t="s">
        <v>326</v>
      </c>
      <c r="C57" s="24" t="s">
        <v>13</v>
      </c>
      <c r="D57" s="38">
        <v>180</v>
      </c>
      <c r="E57" s="80"/>
      <c r="F57" s="81">
        <f t="shared" si="3"/>
        <v>0</v>
      </c>
      <c r="G57" s="38"/>
    </row>
    <row r="58" spans="1:256" ht="18" customHeight="1" x14ac:dyDescent="0.2">
      <c r="A58" s="49" t="s">
        <v>67</v>
      </c>
      <c r="B58" s="32" t="s">
        <v>29</v>
      </c>
      <c r="C58" s="24"/>
      <c r="D58" s="38"/>
      <c r="E58" s="80"/>
      <c r="F58" s="81"/>
      <c r="G58" s="38"/>
    </row>
    <row r="59" spans="1:256" ht="18.75" customHeight="1" x14ac:dyDescent="0.2">
      <c r="A59" s="70" t="s">
        <v>68</v>
      </c>
      <c r="B59" s="16" t="s">
        <v>327</v>
      </c>
      <c r="C59" s="24" t="s">
        <v>13</v>
      </c>
      <c r="D59" s="38">
        <v>180</v>
      </c>
      <c r="E59" s="80"/>
      <c r="F59" s="81">
        <f t="shared" si="3"/>
        <v>0</v>
      </c>
      <c r="G59" s="38"/>
    </row>
    <row r="60" spans="1:256" ht="18.75" customHeight="1" x14ac:dyDescent="0.2">
      <c r="A60" s="49" t="s">
        <v>121</v>
      </c>
      <c r="B60" s="32" t="s">
        <v>31</v>
      </c>
      <c r="C60" s="24"/>
      <c r="D60" s="38"/>
      <c r="E60" s="80"/>
      <c r="F60" s="81"/>
      <c r="G60" s="38"/>
    </row>
    <row r="61" spans="1:256" ht="18.75" customHeight="1" x14ac:dyDescent="0.2">
      <c r="A61" s="70" t="s">
        <v>122</v>
      </c>
      <c r="B61" s="16" t="s">
        <v>471</v>
      </c>
      <c r="C61" s="24" t="s">
        <v>13</v>
      </c>
      <c r="D61" s="38">
        <v>0</v>
      </c>
      <c r="E61" s="80"/>
      <c r="F61" s="81">
        <f t="shared" si="3"/>
        <v>0</v>
      </c>
      <c r="G61" s="38"/>
    </row>
    <row r="62" spans="1:256" ht="18.75" customHeight="1" x14ac:dyDescent="0.2">
      <c r="A62" s="70" t="s">
        <v>472</v>
      </c>
      <c r="B62" s="16" t="s">
        <v>183</v>
      </c>
      <c r="C62" s="24" t="s">
        <v>13</v>
      </c>
      <c r="D62" s="38">
        <v>180</v>
      </c>
      <c r="E62" s="80"/>
      <c r="F62" s="81">
        <f t="shared" si="3"/>
        <v>0</v>
      </c>
      <c r="G62" s="38"/>
    </row>
    <row r="63" spans="1:256" ht="18" customHeight="1" x14ac:dyDescent="0.2">
      <c r="A63" s="49" t="s">
        <v>69</v>
      </c>
      <c r="B63" s="32" t="s">
        <v>447</v>
      </c>
      <c r="C63" s="24"/>
      <c r="D63" s="38"/>
      <c r="E63" s="80"/>
      <c r="F63" s="81"/>
      <c r="G63" s="38"/>
    </row>
    <row r="64" spans="1:256" ht="19.5" customHeight="1" x14ac:dyDescent="0.2">
      <c r="A64" s="70" t="s">
        <v>448</v>
      </c>
      <c r="B64" s="16" t="s">
        <v>473</v>
      </c>
      <c r="C64" s="24" t="s">
        <v>13</v>
      </c>
      <c r="D64" s="38">
        <v>180</v>
      </c>
      <c r="E64" s="80"/>
      <c r="F64" s="81">
        <f t="shared" si="3"/>
        <v>0</v>
      </c>
      <c r="G64" s="38"/>
    </row>
    <row r="65" spans="1:256" s="4" customFormat="1" ht="18" customHeight="1" x14ac:dyDescent="0.2">
      <c r="A65" s="49" t="s">
        <v>123</v>
      </c>
      <c r="B65" s="32" t="s">
        <v>449</v>
      </c>
      <c r="C65" s="24" t="s">
        <v>13</v>
      </c>
      <c r="D65" s="38">
        <v>30</v>
      </c>
      <c r="E65" s="80"/>
      <c r="F65" s="81">
        <f t="shared" si="3"/>
        <v>0</v>
      </c>
      <c r="G65" s="38"/>
      <c r="H65" s="7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</row>
    <row r="66" spans="1:256" ht="17.25" customHeight="1" x14ac:dyDescent="0.2">
      <c r="A66" s="49" t="s">
        <v>141</v>
      </c>
      <c r="B66" s="29" t="s">
        <v>172</v>
      </c>
      <c r="C66" s="24"/>
      <c r="D66" s="38"/>
      <c r="E66" s="80"/>
      <c r="F66" s="81"/>
      <c r="G66" s="38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</row>
    <row r="67" spans="1:256" ht="17.25" customHeight="1" x14ac:dyDescent="0.2">
      <c r="A67" s="70" t="s">
        <v>450</v>
      </c>
      <c r="B67" s="30" t="s">
        <v>451</v>
      </c>
      <c r="C67" s="24" t="s">
        <v>3</v>
      </c>
      <c r="D67" s="38">
        <v>13</v>
      </c>
      <c r="E67" s="80"/>
      <c r="F67" s="81">
        <f t="shared" si="3"/>
        <v>0</v>
      </c>
      <c r="G67" s="38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</row>
    <row r="68" spans="1:256" ht="17.25" customHeight="1" x14ac:dyDescent="0.2">
      <c r="A68" s="70" t="s">
        <v>452</v>
      </c>
      <c r="B68" s="30" t="s">
        <v>343</v>
      </c>
      <c r="C68" s="24" t="s">
        <v>3</v>
      </c>
      <c r="D68" s="38">
        <v>8</v>
      </c>
      <c r="E68" s="80"/>
      <c r="F68" s="81">
        <f t="shared" si="3"/>
        <v>0</v>
      </c>
      <c r="G68" s="3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</row>
    <row r="69" spans="1:256" ht="17.25" customHeight="1" x14ac:dyDescent="0.2">
      <c r="A69" s="49" t="s">
        <v>70</v>
      </c>
      <c r="B69" s="16" t="s">
        <v>453</v>
      </c>
      <c r="C69" s="24" t="s">
        <v>12</v>
      </c>
      <c r="D69" s="13">
        <v>3</v>
      </c>
      <c r="E69" s="110"/>
      <c r="F69" s="81">
        <f t="shared" si="3"/>
        <v>0</v>
      </c>
      <c r="G69" s="3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</row>
    <row r="70" spans="1:256" ht="17.25" customHeight="1" x14ac:dyDescent="0.2">
      <c r="A70" s="49" t="s">
        <v>71</v>
      </c>
      <c r="B70" s="32" t="s">
        <v>479</v>
      </c>
      <c r="C70" s="24" t="s">
        <v>245</v>
      </c>
      <c r="D70" s="13">
        <v>70</v>
      </c>
      <c r="E70" s="80"/>
      <c r="F70" s="81">
        <f t="shared" si="3"/>
        <v>0</v>
      </c>
      <c r="G70" s="38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</row>
    <row r="71" spans="1:256" ht="12.75" customHeight="1" x14ac:dyDescent="0.2">
      <c r="A71" s="49"/>
      <c r="C71" s="24"/>
      <c r="D71" s="38"/>
      <c r="E71" s="80"/>
      <c r="F71" s="38"/>
      <c r="G71" s="38"/>
    </row>
    <row r="72" spans="1:256" ht="15.75" customHeight="1" x14ac:dyDescent="0.2">
      <c r="A72" s="59"/>
      <c r="B72" s="60" t="s">
        <v>11</v>
      </c>
      <c r="C72" s="61"/>
      <c r="D72" s="61"/>
      <c r="E72" s="108"/>
      <c r="F72" s="73">
        <f>SUM(F50:F70)</f>
        <v>0</v>
      </c>
      <c r="G72" s="38"/>
    </row>
    <row r="73" spans="1:256" ht="12" customHeight="1" x14ac:dyDescent="0.2">
      <c r="A73" s="49"/>
      <c r="B73" s="58"/>
      <c r="C73" s="24"/>
      <c r="D73" s="38"/>
      <c r="E73" s="80"/>
      <c r="F73" s="38"/>
      <c r="G73" s="38"/>
    </row>
    <row r="74" spans="1:256" ht="17.25" customHeight="1" x14ac:dyDescent="0.2">
      <c r="A74" s="49" t="s">
        <v>72</v>
      </c>
      <c r="B74" s="31" t="s">
        <v>15</v>
      </c>
      <c r="C74" s="24"/>
      <c r="D74" s="13"/>
      <c r="E74" s="111"/>
      <c r="F74" s="38"/>
      <c r="G74" s="38"/>
    </row>
    <row r="75" spans="1:256" ht="11.25" customHeight="1" x14ac:dyDescent="0.2">
      <c r="A75" s="49"/>
      <c r="B75" s="31"/>
      <c r="C75" s="24"/>
      <c r="D75" s="13"/>
      <c r="E75" s="111"/>
      <c r="F75" s="38"/>
      <c r="G75" s="38"/>
    </row>
    <row r="76" spans="1:256" ht="24.75" customHeight="1" x14ac:dyDescent="0.2">
      <c r="A76" s="49" t="s">
        <v>73</v>
      </c>
      <c r="B76" s="32" t="s">
        <v>107</v>
      </c>
      <c r="C76" s="24"/>
      <c r="D76" s="13"/>
      <c r="E76" s="111"/>
      <c r="F76" s="38"/>
      <c r="G76" s="38"/>
    </row>
    <row r="77" spans="1:256" ht="16.5" customHeight="1" x14ac:dyDescent="0.2">
      <c r="A77" s="70" t="s">
        <v>74</v>
      </c>
      <c r="B77" s="63" t="s">
        <v>106</v>
      </c>
      <c r="C77" s="24" t="s">
        <v>3</v>
      </c>
      <c r="D77" s="13">
        <v>20</v>
      </c>
      <c r="E77" s="111"/>
      <c r="F77" s="81">
        <f t="shared" ref="F77:F94" si="4">D77*E77</f>
        <v>0</v>
      </c>
      <c r="G77" s="38"/>
    </row>
    <row r="78" spans="1:256" ht="18" customHeight="1" x14ac:dyDescent="0.2">
      <c r="A78" s="70" t="s">
        <v>75</v>
      </c>
      <c r="B78" s="63" t="s">
        <v>273</v>
      </c>
      <c r="C78" s="24" t="s">
        <v>3</v>
      </c>
      <c r="D78" s="13">
        <v>0</v>
      </c>
      <c r="E78" s="111"/>
      <c r="F78" s="81">
        <f t="shared" si="4"/>
        <v>0</v>
      </c>
      <c r="G78" s="38"/>
    </row>
    <row r="79" spans="1:256" ht="18.75" customHeight="1" x14ac:dyDescent="0.2">
      <c r="A79" s="49" t="s">
        <v>78</v>
      </c>
      <c r="B79" s="32" t="s">
        <v>32</v>
      </c>
      <c r="C79" s="24"/>
      <c r="D79" s="13"/>
      <c r="E79" s="111"/>
      <c r="F79" s="81"/>
      <c r="G79" s="38"/>
    </row>
    <row r="80" spans="1:256" ht="18.75" customHeight="1" x14ac:dyDescent="0.2">
      <c r="A80" s="70" t="s">
        <v>482</v>
      </c>
      <c r="B80" s="16" t="s">
        <v>19</v>
      </c>
      <c r="C80" s="24" t="s">
        <v>3</v>
      </c>
      <c r="D80" s="13">
        <f>D77</f>
        <v>20</v>
      </c>
      <c r="E80" s="111"/>
      <c r="F80" s="81">
        <f t="shared" si="4"/>
        <v>0</v>
      </c>
      <c r="G80" s="38"/>
    </row>
    <row r="81" spans="1:256" ht="18.75" customHeight="1" x14ac:dyDescent="0.2">
      <c r="A81" s="49" t="s">
        <v>79</v>
      </c>
      <c r="B81" s="32" t="s">
        <v>33</v>
      </c>
      <c r="C81" s="24"/>
      <c r="D81" s="13"/>
      <c r="E81" s="111"/>
      <c r="F81" s="81"/>
      <c r="G81" s="38"/>
    </row>
    <row r="82" spans="1:256" s="75" customFormat="1" ht="18.75" customHeight="1" x14ac:dyDescent="0.2">
      <c r="A82" s="70" t="s">
        <v>455</v>
      </c>
      <c r="B82" s="30" t="s">
        <v>188</v>
      </c>
      <c r="C82" s="24" t="s">
        <v>3</v>
      </c>
      <c r="D82" s="13">
        <f>D78</f>
        <v>0</v>
      </c>
      <c r="E82" s="111"/>
      <c r="F82" s="81">
        <f t="shared" si="4"/>
        <v>0</v>
      </c>
      <c r="G82" s="3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</row>
    <row r="83" spans="1:256" s="75" customFormat="1" ht="17.25" customHeight="1" x14ac:dyDescent="0.2">
      <c r="A83" s="49" t="s">
        <v>142</v>
      </c>
      <c r="B83" s="29" t="s">
        <v>279</v>
      </c>
      <c r="C83" s="24" t="s">
        <v>3</v>
      </c>
      <c r="D83" s="13">
        <v>10</v>
      </c>
      <c r="E83" s="112"/>
      <c r="F83" s="81">
        <f t="shared" si="4"/>
        <v>0</v>
      </c>
      <c r="G83" s="3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</row>
    <row r="84" spans="1:256" s="75" customFormat="1" ht="17.25" customHeight="1" x14ac:dyDescent="0.2">
      <c r="A84" s="49" t="s">
        <v>80</v>
      </c>
      <c r="B84" s="32" t="s">
        <v>190</v>
      </c>
      <c r="C84" s="24"/>
      <c r="D84" s="13"/>
      <c r="E84" s="112"/>
      <c r="F84" s="81"/>
      <c r="G84" s="3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</row>
    <row r="85" spans="1:256" s="75" customFormat="1" ht="18" customHeight="1" x14ac:dyDescent="0.2">
      <c r="A85" s="70" t="s">
        <v>467</v>
      </c>
      <c r="B85" s="16" t="s">
        <v>457</v>
      </c>
      <c r="C85" s="24" t="s">
        <v>3</v>
      </c>
      <c r="D85" s="13">
        <v>0</v>
      </c>
      <c r="E85" s="112"/>
      <c r="F85" s="81">
        <f t="shared" si="4"/>
        <v>0</v>
      </c>
      <c r="G85" s="3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</row>
    <row r="86" spans="1:256" s="75" customFormat="1" ht="18" customHeight="1" x14ac:dyDescent="0.2">
      <c r="A86" s="49" t="s">
        <v>81</v>
      </c>
      <c r="B86" s="32" t="s">
        <v>458</v>
      </c>
      <c r="C86" s="24"/>
      <c r="D86" s="13"/>
      <c r="E86" s="111"/>
      <c r="F86" s="81"/>
      <c r="G86" s="3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</row>
    <row r="87" spans="1:256" s="75" customFormat="1" ht="18" customHeight="1" x14ac:dyDescent="0.2">
      <c r="A87" s="70" t="s">
        <v>456</v>
      </c>
      <c r="B87" s="16" t="s">
        <v>276</v>
      </c>
      <c r="C87" s="24" t="s">
        <v>12</v>
      </c>
      <c r="D87" s="13">
        <v>1</v>
      </c>
      <c r="E87" s="111"/>
      <c r="F87" s="81">
        <f t="shared" si="4"/>
        <v>0</v>
      </c>
      <c r="G87" s="3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</row>
    <row r="88" spans="1:256" s="75" customFormat="1" ht="18" customHeight="1" x14ac:dyDescent="0.2">
      <c r="A88" s="49" t="s">
        <v>82</v>
      </c>
      <c r="B88" s="32" t="s">
        <v>109</v>
      </c>
      <c r="C88" s="24"/>
      <c r="D88" s="13"/>
      <c r="E88" s="111"/>
      <c r="F88" s="81"/>
      <c r="G88" s="3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</row>
    <row r="89" spans="1:256" s="75" customFormat="1" ht="18" customHeight="1" x14ac:dyDescent="0.2">
      <c r="A89" s="70" t="s">
        <v>196</v>
      </c>
      <c r="B89" s="16" t="s">
        <v>110</v>
      </c>
      <c r="C89" s="24" t="s">
        <v>12</v>
      </c>
      <c r="D89" s="13">
        <v>1</v>
      </c>
      <c r="E89" s="111"/>
      <c r="F89" s="81">
        <f t="shared" si="4"/>
        <v>0</v>
      </c>
      <c r="G89" s="3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</row>
    <row r="90" spans="1:256" s="75" customFormat="1" ht="18" customHeight="1" x14ac:dyDescent="0.2">
      <c r="A90" s="70" t="s">
        <v>434</v>
      </c>
      <c r="B90" s="16" t="s">
        <v>199</v>
      </c>
      <c r="C90" s="24" t="s">
        <v>12</v>
      </c>
      <c r="D90" s="13">
        <v>0</v>
      </c>
      <c r="E90" s="111"/>
      <c r="F90" s="81">
        <f t="shared" si="4"/>
        <v>0</v>
      </c>
      <c r="G90" s="3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</row>
    <row r="91" spans="1:256" s="75" customFormat="1" ht="19.5" customHeight="1" x14ac:dyDescent="0.2">
      <c r="A91" s="70" t="s">
        <v>435</v>
      </c>
      <c r="B91" s="16" t="s">
        <v>192</v>
      </c>
      <c r="C91" s="24" t="s">
        <v>12</v>
      </c>
      <c r="D91" s="13">
        <v>0</v>
      </c>
      <c r="E91" s="111"/>
      <c r="F91" s="81">
        <f t="shared" si="4"/>
        <v>0</v>
      </c>
      <c r="G91" s="3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</row>
    <row r="92" spans="1:256" s="75" customFormat="1" ht="19.5" customHeight="1" x14ac:dyDescent="0.2">
      <c r="A92" s="49" t="s">
        <v>83</v>
      </c>
      <c r="B92" s="32" t="s">
        <v>195</v>
      </c>
      <c r="C92" s="24"/>
      <c r="D92" s="13"/>
      <c r="E92" s="111"/>
      <c r="F92" s="81"/>
      <c r="G92" s="3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</row>
    <row r="93" spans="1:256" s="75" customFormat="1" ht="19.5" customHeight="1" x14ac:dyDescent="0.2">
      <c r="A93" s="70" t="s">
        <v>267</v>
      </c>
      <c r="B93" s="16" t="s">
        <v>266</v>
      </c>
      <c r="C93" s="24" t="s">
        <v>12</v>
      </c>
      <c r="D93" s="13">
        <v>0</v>
      </c>
      <c r="E93" s="111"/>
      <c r="F93" s="81">
        <f t="shared" si="4"/>
        <v>0</v>
      </c>
      <c r="G93" s="3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</row>
    <row r="94" spans="1:256" s="75" customFormat="1" ht="19.5" customHeight="1" x14ac:dyDescent="0.2">
      <c r="A94" s="49" t="s">
        <v>117</v>
      </c>
      <c r="B94" s="32" t="s">
        <v>480</v>
      </c>
      <c r="C94" s="24" t="s">
        <v>23</v>
      </c>
      <c r="D94" s="13">
        <v>1</v>
      </c>
      <c r="E94" s="112"/>
      <c r="F94" s="64">
        <f t="shared" si="4"/>
        <v>0</v>
      </c>
      <c r="G94" s="3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</row>
    <row r="95" spans="1:256" s="75" customFormat="1" ht="10.5" customHeight="1" x14ac:dyDescent="0.2">
      <c r="A95" s="49"/>
      <c r="B95" s="16"/>
      <c r="C95" s="24"/>
      <c r="D95" s="13"/>
      <c r="E95" s="112"/>
      <c r="F95" s="38"/>
      <c r="G95" s="3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</row>
    <row r="96" spans="1:256" s="75" customFormat="1" ht="16.5" customHeight="1" x14ac:dyDescent="0.2">
      <c r="A96" s="59"/>
      <c r="B96" s="60" t="s">
        <v>11</v>
      </c>
      <c r="C96" s="61"/>
      <c r="D96" s="61"/>
      <c r="E96" s="108"/>
      <c r="F96" s="73">
        <f>SUM(F77:F94)</f>
        <v>0</v>
      </c>
      <c r="G96" s="3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</row>
    <row r="97" spans="1:256" s="75" customFormat="1" ht="15" customHeight="1" x14ac:dyDescent="0.2">
      <c r="A97" s="49"/>
      <c r="B97" s="58"/>
      <c r="C97" s="24"/>
      <c r="D97" s="38"/>
      <c r="E97" s="113"/>
      <c r="F97" s="64"/>
      <c r="G97" s="3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</row>
    <row r="98" spans="1:256" s="75" customFormat="1" ht="17.25" customHeight="1" x14ac:dyDescent="0.2">
      <c r="A98" s="49" t="s">
        <v>84</v>
      </c>
      <c r="B98" s="31" t="s">
        <v>17</v>
      </c>
      <c r="C98" s="24"/>
      <c r="D98" s="13"/>
      <c r="E98" s="111"/>
      <c r="F98" s="38"/>
      <c r="G98" s="3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</row>
    <row r="99" spans="1:256" s="75" customFormat="1" ht="15" customHeight="1" x14ac:dyDescent="0.2">
      <c r="A99" s="49"/>
      <c r="B99" s="31"/>
      <c r="C99" s="24"/>
      <c r="D99" s="13"/>
      <c r="E99" s="111"/>
      <c r="F99" s="38"/>
      <c r="G99" s="3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</row>
    <row r="100" spans="1:256" s="75" customFormat="1" ht="22.5" customHeight="1" x14ac:dyDescent="0.2">
      <c r="A100" s="49" t="s">
        <v>85</v>
      </c>
      <c r="B100" s="32" t="s">
        <v>107</v>
      </c>
      <c r="C100" s="24"/>
      <c r="D100" s="13"/>
      <c r="E100" s="111"/>
      <c r="F100" s="38"/>
      <c r="G100" s="3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</row>
    <row r="101" spans="1:256" s="75" customFormat="1" ht="17.25" customHeight="1" x14ac:dyDescent="0.2">
      <c r="A101" s="70" t="s">
        <v>86</v>
      </c>
      <c r="B101" s="63" t="s">
        <v>304</v>
      </c>
      <c r="C101" s="24" t="s">
        <v>3</v>
      </c>
      <c r="D101" s="13">
        <v>15</v>
      </c>
      <c r="E101" s="111"/>
      <c r="F101" s="81">
        <f t="shared" ref="F101:F108" si="5">D101*E101</f>
        <v>0</v>
      </c>
      <c r="G101" s="3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</row>
    <row r="102" spans="1:256" s="75" customFormat="1" ht="26.25" customHeight="1" x14ac:dyDescent="0.2">
      <c r="A102" s="49" t="s">
        <v>87</v>
      </c>
      <c r="B102" s="32" t="s">
        <v>34</v>
      </c>
      <c r="C102" s="24"/>
      <c r="D102" s="13"/>
      <c r="E102" s="111"/>
      <c r="F102" s="81"/>
      <c r="G102" s="3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</row>
    <row r="103" spans="1:256" s="75" customFormat="1" ht="20.25" customHeight="1" x14ac:dyDescent="0.2">
      <c r="A103" s="70" t="s">
        <v>88</v>
      </c>
      <c r="B103" s="16" t="s">
        <v>468</v>
      </c>
      <c r="C103" s="24" t="s">
        <v>3</v>
      </c>
      <c r="D103" s="13">
        <v>15</v>
      </c>
      <c r="E103" s="111"/>
      <c r="F103" s="81">
        <f t="shared" si="5"/>
        <v>0</v>
      </c>
      <c r="G103" s="3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</row>
    <row r="104" spans="1:256" s="75" customFormat="1" ht="19.5" customHeight="1" x14ac:dyDescent="0.2">
      <c r="A104" s="49" t="s">
        <v>144</v>
      </c>
      <c r="B104" s="32" t="s">
        <v>109</v>
      </c>
      <c r="C104" s="24"/>
      <c r="D104" s="13"/>
      <c r="E104" s="111"/>
      <c r="F104" s="81"/>
      <c r="G104" s="3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</row>
    <row r="105" spans="1:256" s="75" customFormat="1" ht="17.25" customHeight="1" x14ac:dyDescent="0.2">
      <c r="A105" s="70" t="s">
        <v>145</v>
      </c>
      <c r="B105" s="16" t="s">
        <v>110</v>
      </c>
      <c r="C105" s="24" t="s">
        <v>12</v>
      </c>
      <c r="D105" s="13">
        <v>1</v>
      </c>
      <c r="E105" s="111"/>
      <c r="F105" s="81">
        <f t="shared" si="5"/>
        <v>0</v>
      </c>
      <c r="G105" s="3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</row>
    <row r="106" spans="1:256" s="75" customFormat="1" ht="16.5" customHeight="1" x14ac:dyDescent="0.2">
      <c r="A106" s="70" t="s">
        <v>146</v>
      </c>
      <c r="B106" s="16" t="s">
        <v>136</v>
      </c>
      <c r="C106" s="24" t="s">
        <v>12</v>
      </c>
      <c r="D106" s="13">
        <v>0</v>
      </c>
      <c r="E106" s="111"/>
      <c r="F106" s="81">
        <f t="shared" si="5"/>
        <v>0</v>
      </c>
      <c r="G106" s="3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</row>
    <row r="107" spans="1:256" s="75" customFormat="1" ht="16.5" customHeight="1" x14ac:dyDescent="0.2">
      <c r="A107" s="49" t="s">
        <v>89</v>
      </c>
      <c r="B107" s="32" t="s">
        <v>132</v>
      </c>
      <c r="C107" s="24" t="s">
        <v>16</v>
      </c>
      <c r="D107" s="13">
        <v>1</v>
      </c>
      <c r="E107" s="111"/>
      <c r="F107" s="81">
        <f t="shared" si="5"/>
        <v>0</v>
      </c>
      <c r="G107" s="3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</row>
    <row r="108" spans="1:256" s="75" customFormat="1" ht="16.5" customHeight="1" x14ac:dyDescent="0.2">
      <c r="A108" s="49" t="s">
        <v>118</v>
      </c>
      <c r="B108" s="32" t="s">
        <v>270</v>
      </c>
      <c r="C108" s="24" t="s">
        <v>16</v>
      </c>
      <c r="D108" s="13">
        <v>1</v>
      </c>
      <c r="E108" s="111"/>
      <c r="F108" s="81">
        <f t="shared" si="5"/>
        <v>0</v>
      </c>
      <c r="G108" s="3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</row>
    <row r="109" spans="1:256" s="75" customFormat="1" ht="17.25" customHeight="1" x14ac:dyDescent="0.2">
      <c r="A109" s="49"/>
      <c r="B109" s="16"/>
      <c r="C109" s="24"/>
      <c r="D109" s="13"/>
      <c r="E109" s="112"/>
      <c r="F109" s="64"/>
      <c r="G109" s="3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</row>
    <row r="110" spans="1:256" s="75" customFormat="1" ht="16.5" customHeight="1" x14ac:dyDescent="0.2">
      <c r="A110" s="59"/>
      <c r="B110" s="60" t="s">
        <v>11</v>
      </c>
      <c r="C110" s="61"/>
      <c r="D110" s="61"/>
      <c r="E110" s="108"/>
      <c r="F110" s="73">
        <f>SUM(F100:F108)</f>
        <v>0</v>
      </c>
      <c r="G110" s="3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</row>
    <row r="111" spans="1:256" s="75" customFormat="1" ht="18.75" customHeight="1" x14ac:dyDescent="0.2">
      <c r="A111" s="49"/>
      <c r="B111" s="16"/>
      <c r="C111" s="24"/>
      <c r="D111" s="13"/>
      <c r="E111" s="111"/>
      <c r="F111" s="38"/>
      <c r="G111" s="3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</row>
    <row r="112" spans="1:256" s="75" customFormat="1" ht="18.75" customHeight="1" x14ac:dyDescent="0.2">
      <c r="A112" s="49" t="s">
        <v>90</v>
      </c>
      <c r="B112" s="31" t="s">
        <v>290</v>
      </c>
      <c r="C112" s="24"/>
      <c r="D112" s="13"/>
      <c r="E112" s="111"/>
      <c r="F112" s="38"/>
      <c r="G112" s="3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</row>
    <row r="113" spans="1:256" s="75" customFormat="1" ht="12.75" customHeight="1" x14ac:dyDescent="0.2">
      <c r="A113" s="49"/>
      <c r="B113" s="31"/>
      <c r="C113" s="24"/>
      <c r="D113" s="13"/>
      <c r="E113" s="111"/>
      <c r="F113" s="38"/>
      <c r="G113" s="3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</row>
    <row r="114" spans="1:256" s="75" customFormat="1" ht="29.25" customHeight="1" x14ac:dyDescent="0.2">
      <c r="A114" s="49" t="s">
        <v>91</v>
      </c>
      <c r="B114" s="32" t="s">
        <v>35</v>
      </c>
      <c r="C114" s="24"/>
      <c r="D114" s="13"/>
      <c r="E114" s="111"/>
      <c r="F114" s="38"/>
      <c r="G114" s="3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</row>
    <row r="115" spans="1:256" s="75" customFormat="1" ht="18.75" customHeight="1" x14ac:dyDescent="0.2">
      <c r="A115" s="70" t="s">
        <v>92</v>
      </c>
      <c r="B115" s="63" t="s">
        <v>306</v>
      </c>
      <c r="C115" s="24" t="s">
        <v>3</v>
      </c>
      <c r="D115" s="105">
        <v>15</v>
      </c>
      <c r="E115" s="111"/>
      <c r="F115" s="81">
        <f t="shared" ref="F115" si="6">D115*E115</f>
        <v>0</v>
      </c>
      <c r="G115" s="3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</row>
    <row r="116" spans="1:256" s="75" customFormat="1" ht="33" customHeight="1" x14ac:dyDescent="0.2">
      <c r="A116" s="49" t="s">
        <v>93</v>
      </c>
      <c r="B116" s="29" t="s">
        <v>201</v>
      </c>
      <c r="C116" s="24"/>
      <c r="D116" s="13"/>
      <c r="E116" s="111"/>
      <c r="F116" s="81"/>
      <c r="G116" s="3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</row>
    <row r="117" spans="1:256" s="75" customFormat="1" ht="17.25" customHeight="1" x14ac:dyDescent="0.2">
      <c r="A117" s="70" t="s">
        <v>111</v>
      </c>
      <c r="B117" s="16" t="s">
        <v>459</v>
      </c>
      <c r="C117" s="24" t="s">
        <v>3</v>
      </c>
      <c r="D117" s="13">
        <v>15</v>
      </c>
      <c r="E117" s="111"/>
      <c r="F117" s="81">
        <f t="shared" ref="F117:F122" si="7">D117*E117</f>
        <v>0</v>
      </c>
      <c r="G117" s="3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</row>
    <row r="118" spans="1:256" s="75" customFormat="1" ht="18.75" customHeight="1" x14ac:dyDescent="0.2">
      <c r="A118" s="70" t="s">
        <v>293</v>
      </c>
      <c r="B118" s="16" t="s">
        <v>460</v>
      </c>
      <c r="C118" s="24" t="s">
        <v>3</v>
      </c>
      <c r="D118" s="13">
        <v>0</v>
      </c>
      <c r="E118" s="111"/>
      <c r="F118" s="81">
        <f t="shared" si="7"/>
        <v>0</v>
      </c>
      <c r="G118" s="3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</row>
    <row r="119" spans="1:256" s="75" customFormat="1" ht="15.75" customHeight="1" x14ac:dyDescent="0.2">
      <c r="A119" s="49" t="s">
        <v>94</v>
      </c>
      <c r="B119" s="32" t="s">
        <v>461</v>
      </c>
      <c r="C119" s="24" t="s">
        <v>23</v>
      </c>
      <c r="D119" s="13">
        <v>1</v>
      </c>
      <c r="E119" s="111"/>
      <c r="F119" s="81">
        <f t="shared" si="7"/>
        <v>0</v>
      </c>
      <c r="G119" s="3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</row>
    <row r="120" spans="1:256" s="75" customFormat="1" ht="18" customHeight="1" x14ac:dyDescent="0.2">
      <c r="A120" s="49" t="s">
        <v>218</v>
      </c>
      <c r="B120" s="16" t="s">
        <v>462</v>
      </c>
      <c r="C120" s="24" t="s">
        <v>322</v>
      </c>
      <c r="D120" s="13">
        <v>1</v>
      </c>
      <c r="E120" s="111"/>
      <c r="F120" s="81">
        <f t="shared" si="7"/>
        <v>0</v>
      </c>
      <c r="G120" s="3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</row>
    <row r="121" spans="1:256" s="75" customFormat="1" ht="18" customHeight="1" x14ac:dyDescent="0.2">
      <c r="A121" s="49" t="s">
        <v>95</v>
      </c>
      <c r="B121" s="32" t="s">
        <v>463</v>
      </c>
      <c r="C121" s="24" t="s">
        <v>23</v>
      </c>
      <c r="D121" s="13">
        <v>1</v>
      </c>
      <c r="E121" s="111"/>
      <c r="F121" s="81">
        <f t="shared" si="7"/>
        <v>0</v>
      </c>
      <c r="G121" s="3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</row>
    <row r="122" spans="1:256" s="75" customFormat="1" ht="18" customHeight="1" x14ac:dyDescent="0.2">
      <c r="A122" s="49" t="s">
        <v>96</v>
      </c>
      <c r="B122" s="32" t="s">
        <v>36</v>
      </c>
      <c r="C122" s="24" t="s">
        <v>16</v>
      </c>
      <c r="D122" s="13">
        <v>1</v>
      </c>
      <c r="E122" s="111"/>
      <c r="F122" s="81">
        <f t="shared" si="7"/>
        <v>0</v>
      </c>
      <c r="G122" s="3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</row>
    <row r="123" spans="1:256" s="75" customFormat="1" ht="12.75" customHeight="1" x14ac:dyDescent="0.2">
      <c r="A123" s="49"/>
      <c r="B123" s="16"/>
      <c r="C123" s="24"/>
      <c r="D123" s="13"/>
      <c r="E123" s="111"/>
      <c r="F123" s="38"/>
      <c r="G123" s="3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</row>
    <row r="124" spans="1:256" s="75" customFormat="1" ht="18.75" customHeight="1" x14ac:dyDescent="0.2">
      <c r="A124" s="59"/>
      <c r="B124" s="60" t="s">
        <v>11</v>
      </c>
      <c r="C124" s="61"/>
      <c r="D124" s="61"/>
      <c r="E124" s="108"/>
      <c r="F124" s="73">
        <f>SUM(F115:F122)</f>
        <v>0</v>
      </c>
      <c r="G124" s="3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</row>
    <row r="125" spans="1:256" s="75" customFormat="1" ht="15" customHeight="1" x14ac:dyDescent="0.2">
      <c r="A125" s="49"/>
      <c r="B125" s="16"/>
      <c r="C125" s="24"/>
      <c r="D125" s="13"/>
      <c r="E125" s="111"/>
      <c r="F125" s="38"/>
      <c r="G125" s="3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</row>
    <row r="126" spans="1:256" s="75" customFormat="1" ht="15.75" customHeight="1" x14ac:dyDescent="0.2">
      <c r="A126" s="49" t="s">
        <v>98</v>
      </c>
      <c r="B126" s="72" t="s">
        <v>18</v>
      </c>
      <c r="C126" s="24"/>
      <c r="D126" s="13"/>
      <c r="E126" s="111"/>
      <c r="F126" s="38"/>
      <c r="G126" s="3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</row>
    <row r="127" spans="1:256" s="75" customFormat="1" ht="15.75" customHeight="1" x14ac:dyDescent="0.2">
      <c r="A127" s="49"/>
      <c r="B127" s="32"/>
      <c r="C127" s="24"/>
      <c r="D127" s="13"/>
      <c r="E127" s="111"/>
      <c r="F127" s="38"/>
      <c r="G127" s="3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</row>
    <row r="128" spans="1:256" s="75" customFormat="1" ht="27.75" customHeight="1" x14ac:dyDescent="0.2">
      <c r="A128" s="49" t="s">
        <v>99</v>
      </c>
      <c r="B128" s="32" t="s">
        <v>210</v>
      </c>
      <c r="C128" s="24"/>
      <c r="D128" s="13"/>
      <c r="E128" s="111"/>
      <c r="F128" s="81"/>
      <c r="G128" s="3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</row>
    <row r="129" spans="1:256" s="75" customFormat="1" ht="16.5" customHeight="1" x14ac:dyDescent="0.2">
      <c r="A129" s="70" t="s">
        <v>282</v>
      </c>
      <c r="B129" s="16" t="s">
        <v>280</v>
      </c>
      <c r="C129" s="24" t="s">
        <v>3</v>
      </c>
      <c r="D129" s="13">
        <v>60</v>
      </c>
      <c r="E129" s="111"/>
      <c r="F129" s="81">
        <f t="shared" ref="F129:F149" si="8">D129*E129</f>
        <v>0</v>
      </c>
      <c r="G129" s="3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</row>
    <row r="130" spans="1:256" s="75" customFormat="1" ht="15.75" customHeight="1" x14ac:dyDescent="0.2">
      <c r="A130" s="49" t="s">
        <v>100</v>
      </c>
      <c r="B130" s="32" t="s">
        <v>212</v>
      </c>
      <c r="C130" s="24"/>
      <c r="D130" s="13"/>
      <c r="E130" s="111"/>
      <c r="F130" s="81"/>
      <c r="G130" s="3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</row>
    <row r="131" spans="1:256" s="75" customFormat="1" ht="15.75" customHeight="1" x14ac:dyDescent="0.2">
      <c r="A131" s="70" t="s">
        <v>101</v>
      </c>
      <c r="B131" s="30" t="s">
        <v>112</v>
      </c>
      <c r="C131" s="24" t="s">
        <v>3</v>
      </c>
      <c r="D131" s="13">
        <v>60</v>
      </c>
      <c r="E131" s="111"/>
      <c r="F131" s="81">
        <f t="shared" si="8"/>
        <v>0</v>
      </c>
      <c r="G131" s="3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</row>
    <row r="132" spans="1:256" s="75" customFormat="1" ht="17.25" customHeight="1" x14ac:dyDescent="0.2">
      <c r="A132" s="49" t="s">
        <v>148</v>
      </c>
      <c r="B132" s="29" t="s">
        <v>37</v>
      </c>
      <c r="C132" s="24" t="s">
        <v>12</v>
      </c>
      <c r="D132" s="13">
        <v>3</v>
      </c>
      <c r="E132" s="111"/>
      <c r="F132" s="81">
        <f t="shared" si="8"/>
        <v>0</v>
      </c>
      <c r="G132" s="3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</row>
    <row r="133" spans="1:256" s="75" customFormat="1" ht="20.25" customHeight="1" x14ac:dyDescent="0.2">
      <c r="A133" s="49" t="s">
        <v>103</v>
      </c>
      <c r="B133" s="29" t="s">
        <v>132</v>
      </c>
      <c r="C133" s="24" t="s">
        <v>12</v>
      </c>
      <c r="D133" s="13">
        <v>1</v>
      </c>
      <c r="E133" s="111"/>
      <c r="F133" s="81">
        <f t="shared" si="8"/>
        <v>0</v>
      </c>
      <c r="G133" s="3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</row>
    <row r="134" spans="1:256" s="75" customFormat="1" ht="17.25" customHeight="1" x14ac:dyDescent="0.2">
      <c r="A134" s="49" t="s">
        <v>127</v>
      </c>
      <c r="B134" s="29" t="s">
        <v>40</v>
      </c>
      <c r="C134" s="24" t="s">
        <v>16</v>
      </c>
      <c r="D134" s="13">
        <v>1</v>
      </c>
      <c r="E134" s="111"/>
      <c r="F134" s="81">
        <f t="shared" si="8"/>
        <v>0</v>
      </c>
      <c r="G134" s="3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</row>
    <row r="135" spans="1:256" s="75" customFormat="1" ht="15.75" customHeight="1" x14ac:dyDescent="0.2">
      <c r="A135" s="49"/>
      <c r="B135" s="30"/>
      <c r="C135" s="24"/>
      <c r="D135" s="13"/>
      <c r="E135" s="111"/>
      <c r="F135" s="36"/>
      <c r="G135" s="3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</row>
    <row r="136" spans="1:256" s="75" customFormat="1" ht="15.75" customHeight="1" x14ac:dyDescent="0.2">
      <c r="A136" s="59"/>
      <c r="B136" s="60" t="s">
        <v>11</v>
      </c>
      <c r="C136" s="61"/>
      <c r="D136" s="61"/>
      <c r="E136" s="108"/>
      <c r="F136" s="73">
        <f>SUM(F128:F134)</f>
        <v>0</v>
      </c>
      <c r="G136" s="3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</row>
    <row r="137" spans="1:256" s="75" customFormat="1" ht="15" customHeight="1" x14ac:dyDescent="0.2">
      <c r="A137" s="49"/>
      <c r="B137" s="16"/>
      <c r="C137" s="24"/>
      <c r="D137" s="13"/>
      <c r="E137" s="111"/>
      <c r="F137" s="38"/>
      <c r="G137" s="3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</row>
    <row r="138" spans="1:256" s="75" customFormat="1" ht="15.75" customHeight="1" x14ac:dyDescent="0.2">
      <c r="A138" s="49" t="s">
        <v>222</v>
      </c>
      <c r="B138" s="72" t="s">
        <v>223</v>
      </c>
      <c r="C138" s="24"/>
      <c r="D138" s="13"/>
      <c r="E138" s="111"/>
      <c r="F138" s="38"/>
      <c r="G138" s="3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</row>
    <row r="139" spans="1:256" s="75" customFormat="1" ht="15.75" customHeight="1" x14ac:dyDescent="0.2">
      <c r="A139" s="49"/>
      <c r="B139" s="32"/>
      <c r="C139" s="24"/>
      <c r="D139" s="13"/>
      <c r="E139" s="111"/>
      <c r="F139" s="38"/>
      <c r="G139" s="3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</row>
    <row r="140" spans="1:256" s="75" customFormat="1" ht="27.75" customHeight="1" x14ac:dyDescent="0.2">
      <c r="A140" s="49" t="s">
        <v>149</v>
      </c>
      <c r="B140" s="32" t="s">
        <v>210</v>
      </c>
      <c r="C140" s="24" t="s">
        <v>3</v>
      </c>
      <c r="D140" s="13">
        <v>5</v>
      </c>
      <c r="E140" s="111"/>
      <c r="F140" s="81">
        <f t="shared" si="8"/>
        <v>0</v>
      </c>
      <c r="G140" s="3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</row>
    <row r="141" spans="1:256" s="75" customFormat="1" ht="15.75" customHeight="1" x14ac:dyDescent="0.2">
      <c r="A141" s="49" t="s">
        <v>150</v>
      </c>
      <c r="B141" s="32" t="s">
        <v>212</v>
      </c>
      <c r="C141" s="24"/>
      <c r="D141" s="13"/>
      <c r="E141" s="111"/>
      <c r="F141" s="81"/>
      <c r="G141" s="3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</row>
    <row r="142" spans="1:256" s="75" customFormat="1" ht="15.75" customHeight="1" x14ac:dyDescent="0.2">
      <c r="A142" s="70" t="s">
        <v>151</v>
      </c>
      <c r="B142" s="30" t="s">
        <v>224</v>
      </c>
      <c r="C142" s="24" t="s">
        <v>3</v>
      </c>
      <c r="D142" s="13">
        <v>5</v>
      </c>
      <c r="E142" s="111"/>
      <c r="F142" s="81">
        <f t="shared" si="8"/>
        <v>0</v>
      </c>
      <c r="G142" s="3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</row>
    <row r="143" spans="1:256" s="75" customFormat="1" ht="15.75" customHeight="1" x14ac:dyDescent="0.2">
      <c r="A143" s="49" t="s">
        <v>152</v>
      </c>
      <c r="B143" s="29" t="s">
        <v>225</v>
      </c>
      <c r="C143" s="24" t="s">
        <v>3</v>
      </c>
      <c r="D143" s="79">
        <v>8</v>
      </c>
      <c r="E143" s="111"/>
      <c r="F143" s="81">
        <f t="shared" si="8"/>
        <v>0</v>
      </c>
      <c r="G143" s="3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</row>
    <row r="144" spans="1:256" s="75" customFormat="1" ht="18.75" customHeight="1" x14ac:dyDescent="0.2">
      <c r="A144" s="49" t="s">
        <v>153</v>
      </c>
      <c r="B144" s="29" t="s">
        <v>226</v>
      </c>
      <c r="C144" s="24" t="s">
        <v>3</v>
      </c>
      <c r="D144" s="79">
        <v>8</v>
      </c>
      <c r="E144" s="111"/>
      <c r="F144" s="81">
        <f t="shared" si="8"/>
        <v>0</v>
      </c>
      <c r="G144" s="3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</row>
    <row r="145" spans="1:256" s="75" customFormat="1" ht="17.25" customHeight="1" x14ac:dyDescent="0.2">
      <c r="A145" s="49" t="s">
        <v>154</v>
      </c>
      <c r="B145" s="29" t="s">
        <v>37</v>
      </c>
      <c r="C145" s="24" t="s">
        <v>12</v>
      </c>
      <c r="D145" s="13">
        <v>1</v>
      </c>
      <c r="E145" s="111"/>
      <c r="F145" s="81">
        <f t="shared" si="8"/>
        <v>0</v>
      </c>
      <c r="G145" s="3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</row>
    <row r="146" spans="1:256" s="75" customFormat="1" ht="20.25" customHeight="1" x14ac:dyDescent="0.2">
      <c r="A146" s="49" t="s">
        <v>230</v>
      </c>
      <c r="B146" s="29" t="s">
        <v>228</v>
      </c>
      <c r="C146" s="24" t="s">
        <v>12</v>
      </c>
      <c r="D146" s="13">
        <v>1</v>
      </c>
      <c r="E146" s="111"/>
      <c r="F146" s="81">
        <f t="shared" si="8"/>
        <v>0</v>
      </c>
      <c r="G146" s="3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</row>
    <row r="147" spans="1:256" s="75" customFormat="1" ht="20.25" customHeight="1" x14ac:dyDescent="0.2">
      <c r="A147" s="49" t="s">
        <v>231</v>
      </c>
      <c r="B147" s="29" t="s">
        <v>475</v>
      </c>
      <c r="C147" s="24" t="s">
        <v>12</v>
      </c>
      <c r="D147" s="13">
        <v>1</v>
      </c>
      <c r="E147" s="111"/>
      <c r="F147" s="81">
        <f t="shared" si="8"/>
        <v>0</v>
      </c>
      <c r="G147" s="3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</row>
    <row r="148" spans="1:256" s="75" customFormat="1" ht="20.25" customHeight="1" x14ac:dyDescent="0.2">
      <c r="A148" s="49" t="s">
        <v>232</v>
      </c>
      <c r="B148" s="29" t="s">
        <v>132</v>
      </c>
      <c r="C148" s="24" t="s">
        <v>12</v>
      </c>
      <c r="D148" s="13">
        <v>1</v>
      </c>
      <c r="E148" s="111"/>
      <c r="F148" s="81">
        <f t="shared" si="8"/>
        <v>0</v>
      </c>
      <c r="G148" s="3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</row>
    <row r="149" spans="1:256" s="75" customFormat="1" ht="17.25" customHeight="1" x14ac:dyDescent="0.2">
      <c r="A149" s="49" t="s">
        <v>233</v>
      </c>
      <c r="B149" s="29" t="s">
        <v>40</v>
      </c>
      <c r="C149" s="24" t="s">
        <v>16</v>
      </c>
      <c r="D149" s="13">
        <v>1</v>
      </c>
      <c r="E149" s="111"/>
      <c r="F149" s="81">
        <f t="shared" si="8"/>
        <v>0</v>
      </c>
      <c r="G149" s="3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</row>
    <row r="150" spans="1:256" s="75" customFormat="1" ht="15.75" customHeight="1" x14ac:dyDescent="0.2">
      <c r="A150" s="49"/>
      <c r="B150" s="30"/>
      <c r="C150" s="24"/>
      <c r="D150" s="13"/>
      <c r="E150" s="111"/>
      <c r="F150" s="36"/>
      <c r="G150" s="3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</row>
    <row r="151" spans="1:256" s="75" customFormat="1" ht="15.75" customHeight="1" x14ac:dyDescent="0.2">
      <c r="A151" s="59"/>
      <c r="B151" s="60" t="s">
        <v>11</v>
      </c>
      <c r="C151" s="61"/>
      <c r="D151" s="61"/>
      <c r="E151" s="108"/>
      <c r="F151" s="73">
        <f>SUM(F140:F149)</f>
        <v>0</v>
      </c>
      <c r="G151" s="3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</row>
    <row r="152" spans="1:256" s="75" customFormat="1" ht="15.75" customHeight="1" x14ac:dyDescent="0.2">
      <c r="A152" s="49"/>
      <c r="B152" s="30"/>
      <c r="C152" s="24"/>
      <c r="D152" s="13"/>
      <c r="E152" s="111"/>
      <c r="F152" s="38"/>
      <c r="G152" s="3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</row>
    <row r="153" spans="1:256" s="75" customFormat="1" ht="15.75" customHeight="1" x14ac:dyDescent="0.2">
      <c r="A153" s="49" t="s">
        <v>104</v>
      </c>
      <c r="B153" s="72" t="s">
        <v>284</v>
      </c>
      <c r="C153" s="24"/>
      <c r="D153" s="13"/>
      <c r="E153" s="111"/>
      <c r="F153" s="38"/>
      <c r="G153" s="3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</row>
    <row r="154" spans="1:256" s="75" customFormat="1" ht="9" customHeight="1" x14ac:dyDescent="0.2">
      <c r="A154" s="49"/>
      <c r="B154" s="32"/>
      <c r="C154" s="24"/>
      <c r="D154" s="13"/>
      <c r="E154" s="111"/>
      <c r="F154" s="38"/>
      <c r="G154" s="3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</row>
    <row r="155" spans="1:256" s="75" customFormat="1" ht="27.75" customHeight="1" x14ac:dyDescent="0.2">
      <c r="A155" s="49" t="s">
        <v>105</v>
      </c>
      <c r="B155" s="32" t="s">
        <v>128</v>
      </c>
      <c r="C155" s="24" t="s">
        <v>3</v>
      </c>
      <c r="D155" s="13">
        <v>35</v>
      </c>
      <c r="E155" s="111"/>
      <c r="F155" s="81">
        <f t="shared" ref="F155:F161" si="9">D155*E155</f>
        <v>0</v>
      </c>
      <c r="G155" s="3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</row>
    <row r="156" spans="1:256" s="75" customFormat="1" ht="15.75" customHeight="1" x14ac:dyDescent="0.2">
      <c r="A156" s="49" t="s">
        <v>235</v>
      </c>
      <c r="B156" s="74" t="s">
        <v>113</v>
      </c>
      <c r="C156" s="24"/>
      <c r="D156" s="13"/>
      <c r="E156" s="111"/>
      <c r="F156" s="81"/>
      <c r="G156" s="3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</row>
    <row r="157" spans="1:256" s="75" customFormat="1" ht="18" customHeight="1" x14ac:dyDescent="0.2">
      <c r="A157" s="70" t="s">
        <v>236</v>
      </c>
      <c r="B157" s="16" t="s">
        <v>114</v>
      </c>
      <c r="C157" s="24" t="s">
        <v>3</v>
      </c>
      <c r="D157" s="13">
        <v>140</v>
      </c>
      <c r="E157" s="111"/>
      <c r="F157" s="81">
        <f t="shared" si="9"/>
        <v>0</v>
      </c>
      <c r="G157" s="3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</row>
    <row r="158" spans="1:256" s="75" customFormat="1" ht="18" customHeight="1" x14ac:dyDescent="0.2">
      <c r="A158" s="49" t="s">
        <v>237</v>
      </c>
      <c r="B158" s="32" t="s">
        <v>38</v>
      </c>
      <c r="C158" s="24"/>
      <c r="D158" s="13"/>
      <c r="E158" s="111"/>
      <c r="F158" s="81"/>
      <c r="G158" s="3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</row>
    <row r="159" spans="1:256" s="75" customFormat="1" ht="18" customHeight="1" x14ac:dyDescent="0.2">
      <c r="A159" s="70" t="s">
        <v>238</v>
      </c>
      <c r="B159" s="16" t="s">
        <v>464</v>
      </c>
      <c r="C159" s="24" t="s">
        <v>12</v>
      </c>
      <c r="D159" s="13">
        <v>1</v>
      </c>
      <c r="E159" s="111"/>
      <c r="F159" s="81">
        <f t="shared" si="9"/>
        <v>0</v>
      </c>
      <c r="G159" s="3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</row>
    <row r="160" spans="1:256" s="75" customFormat="1" ht="15.75" customHeight="1" x14ac:dyDescent="0.2">
      <c r="A160" s="49" t="s">
        <v>241</v>
      </c>
      <c r="B160" s="32" t="s">
        <v>115</v>
      </c>
      <c r="C160" s="62" t="s">
        <v>12</v>
      </c>
      <c r="D160" s="13">
        <v>2</v>
      </c>
      <c r="E160" s="112"/>
      <c r="F160" s="81">
        <f t="shared" si="9"/>
        <v>0</v>
      </c>
      <c r="G160" s="3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</row>
    <row r="161" spans="1:256" s="75" customFormat="1" ht="16.5" customHeight="1" x14ac:dyDescent="0.2">
      <c r="A161" s="49" t="s">
        <v>242</v>
      </c>
      <c r="B161" s="29" t="s">
        <v>40</v>
      </c>
      <c r="C161" s="62" t="s">
        <v>16</v>
      </c>
      <c r="D161" s="13">
        <v>1</v>
      </c>
      <c r="E161" s="112"/>
      <c r="F161" s="81">
        <f t="shared" si="9"/>
        <v>0</v>
      </c>
      <c r="G161" s="3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</row>
    <row r="162" spans="1:256" s="75" customFormat="1" ht="12.75" customHeight="1" x14ac:dyDescent="0.2">
      <c r="A162" s="49"/>
      <c r="B162" s="32"/>
      <c r="C162" s="24"/>
      <c r="D162" s="13"/>
      <c r="E162" s="111"/>
      <c r="F162" s="38"/>
      <c r="G162" s="3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</row>
    <row r="163" spans="1:256" ht="12.75" customHeight="1" x14ac:dyDescent="0.2">
      <c r="A163" s="59"/>
      <c r="B163" s="60" t="s">
        <v>11</v>
      </c>
      <c r="C163" s="61"/>
      <c r="D163" s="61"/>
      <c r="E163" s="108"/>
      <c r="F163" s="73">
        <f>SUM(F153:F161)</f>
        <v>0</v>
      </c>
      <c r="G163" s="38"/>
    </row>
    <row r="164" spans="1:256" ht="14.25" customHeight="1" x14ac:dyDescent="0.2">
      <c r="A164" s="49"/>
      <c r="C164" s="24"/>
      <c r="D164" s="13"/>
      <c r="E164" s="111"/>
      <c r="F164" s="38"/>
      <c r="G164" s="38"/>
    </row>
    <row r="165" spans="1:256" ht="16.5" customHeight="1" x14ac:dyDescent="0.2">
      <c r="A165" s="49" t="s">
        <v>129</v>
      </c>
      <c r="B165" s="72" t="s">
        <v>137</v>
      </c>
      <c r="C165" s="24"/>
      <c r="D165" s="13"/>
      <c r="E165" s="111"/>
      <c r="F165" s="38"/>
      <c r="G165" s="38"/>
    </row>
    <row r="166" spans="1:256" ht="9.75" customHeight="1" x14ac:dyDescent="0.2">
      <c r="A166" s="49"/>
      <c r="B166" s="32"/>
      <c r="C166" s="24"/>
      <c r="D166" s="13"/>
      <c r="E166" s="111"/>
      <c r="F166" s="38"/>
      <c r="G166" s="38"/>
    </row>
    <row r="167" spans="1:256" ht="28.5" customHeight="1" x14ac:dyDescent="0.2">
      <c r="A167" s="49" t="s">
        <v>130</v>
      </c>
      <c r="B167" s="32" t="s">
        <v>128</v>
      </c>
      <c r="C167" s="24"/>
      <c r="D167" s="13"/>
      <c r="E167" s="111"/>
      <c r="F167" s="38"/>
      <c r="G167" s="38"/>
    </row>
    <row r="168" spans="1:256" ht="15.75" customHeight="1" x14ac:dyDescent="0.2">
      <c r="A168" s="70" t="s">
        <v>155</v>
      </c>
      <c r="B168" s="16" t="s">
        <v>465</v>
      </c>
      <c r="C168" s="24" t="s">
        <v>3</v>
      </c>
      <c r="D168" s="13">
        <v>0</v>
      </c>
      <c r="E168" s="111"/>
      <c r="F168" s="81">
        <f t="shared" ref="F168:F170" si="10">D168*E168</f>
        <v>0</v>
      </c>
      <c r="G168" s="38"/>
    </row>
    <row r="169" spans="1:256" ht="15.75" customHeight="1" x14ac:dyDescent="0.2">
      <c r="A169" s="49" t="s">
        <v>156</v>
      </c>
      <c r="B169" s="32" t="s">
        <v>481</v>
      </c>
      <c r="C169" s="24" t="s">
        <v>3</v>
      </c>
      <c r="D169" s="13">
        <v>0</v>
      </c>
      <c r="E169" s="111"/>
      <c r="F169" s="81">
        <f t="shared" si="10"/>
        <v>0</v>
      </c>
      <c r="G169" s="38"/>
    </row>
    <row r="170" spans="1:256" ht="15.75" customHeight="1" x14ac:dyDescent="0.2">
      <c r="A170" s="49" t="s">
        <v>253</v>
      </c>
      <c r="B170" s="29" t="s">
        <v>40</v>
      </c>
      <c r="C170" s="24" t="s">
        <v>5</v>
      </c>
      <c r="D170" s="13">
        <v>0</v>
      </c>
      <c r="E170" s="111"/>
      <c r="F170" s="81">
        <f t="shared" si="10"/>
        <v>0</v>
      </c>
      <c r="G170" s="38"/>
    </row>
    <row r="171" spans="1:256" ht="15.75" customHeight="1" x14ac:dyDescent="0.2">
      <c r="A171" s="49"/>
      <c r="B171" s="32"/>
      <c r="C171" s="24"/>
      <c r="D171" s="13"/>
      <c r="E171" s="111"/>
      <c r="F171" s="81"/>
      <c r="G171" s="38"/>
    </row>
    <row r="172" spans="1:256" ht="17.25" customHeight="1" x14ac:dyDescent="0.2">
      <c r="A172" s="59"/>
      <c r="B172" s="60" t="s">
        <v>11</v>
      </c>
      <c r="C172" s="61"/>
      <c r="D172" s="61"/>
      <c r="E172" s="108"/>
      <c r="F172" s="73">
        <f>SUM(F167:F170)</f>
        <v>0</v>
      </c>
      <c r="G172" s="38"/>
    </row>
    <row r="173" spans="1:256" ht="17.25" customHeight="1" x14ac:dyDescent="0.2">
      <c r="A173" s="49"/>
      <c r="C173" s="24"/>
      <c r="D173" s="13"/>
      <c r="E173" s="111"/>
      <c r="F173" s="36"/>
      <c r="G173" s="65"/>
    </row>
    <row r="174" spans="1:256" ht="15.75" customHeight="1" x14ac:dyDescent="0.2">
      <c r="A174" s="49" t="s">
        <v>255</v>
      </c>
      <c r="B174" s="31" t="s">
        <v>466</v>
      </c>
      <c r="C174" s="24"/>
      <c r="D174" s="38"/>
      <c r="E174" s="80"/>
      <c r="F174" s="65"/>
      <c r="G174" s="38"/>
    </row>
    <row r="175" spans="1:256" ht="19.5" customHeight="1" x14ac:dyDescent="0.2">
      <c r="A175" s="49"/>
      <c r="B175" s="31"/>
      <c r="C175" s="24"/>
      <c r="D175" s="38"/>
      <c r="E175" s="80"/>
      <c r="F175" s="65"/>
      <c r="G175" s="38"/>
    </row>
    <row r="176" spans="1:256" ht="24" x14ac:dyDescent="0.2">
      <c r="A176" s="49" t="s">
        <v>256</v>
      </c>
      <c r="B176" s="29" t="s">
        <v>469</v>
      </c>
      <c r="C176" s="24" t="s">
        <v>13</v>
      </c>
      <c r="D176" s="13">
        <v>2</v>
      </c>
      <c r="E176" s="110"/>
      <c r="F176" s="81">
        <f t="shared" ref="F176:F178" si="11">D176*E176</f>
        <v>0</v>
      </c>
      <c r="G176" s="2"/>
      <c r="H176" s="2"/>
    </row>
    <row r="177" spans="1:256" ht="21" customHeight="1" x14ac:dyDescent="0.2">
      <c r="A177" s="49" t="s">
        <v>257</v>
      </c>
      <c r="B177" s="29" t="s">
        <v>476</v>
      </c>
      <c r="C177" s="24" t="s">
        <v>12</v>
      </c>
      <c r="D177" s="13">
        <v>1</v>
      </c>
      <c r="E177" s="114"/>
      <c r="F177" s="81">
        <f t="shared" si="11"/>
        <v>0</v>
      </c>
      <c r="G177" s="2"/>
      <c r="H177" s="2"/>
    </row>
    <row r="178" spans="1:256" ht="12.75" customHeight="1" x14ac:dyDescent="0.2">
      <c r="A178" s="49" t="s">
        <v>258</v>
      </c>
      <c r="B178" s="29" t="s">
        <v>477</v>
      </c>
      <c r="C178" s="24" t="s">
        <v>13</v>
      </c>
      <c r="D178" s="38">
        <v>6</v>
      </c>
      <c r="E178" s="80"/>
      <c r="F178" s="81">
        <f t="shared" si="11"/>
        <v>0</v>
      </c>
      <c r="G178" s="64"/>
    </row>
    <row r="179" spans="1:256" s="75" customFormat="1" ht="12.75" customHeight="1" x14ac:dyDescent="0.2">
      <c r="A179" s="49"/>
      <c r="B179" s="29"/>
      <c r="C179" s="24"/>
      <c r="D179" s="38"/>
      <c r="E179" s="109"/>
      <c r="F179" s="65"/>
      <c r="G179" s="6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</row>
    <row r="180" spans="1:256" s="75" customFormat="1" ht="12.75" customHeight="1" x14ac:dyDescent="0.2">
      <c r="A180" s="59"/>
      <c r="B180" s="60" t="s">
        <v>11</v>
      </c>
      <c r="C180" s="61"/>
      <c r="D180" s="61"/>
      <c r="E180" s="108"/>
      <c r="F180" s="73">
        <f>SUM(F175:F178)</f>
        <v>0</v>
      </c>
      <c r="G180" s="6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</row>
    <row r="181" spans="1:256" s="75" customFormat="1" ht="12.75" customHeight="1" x14ac:dyDescent="0.2">
      <c r="A181" s="49"/>
      <c r="B181" s="29"/>
      <c r="C181" s="24"/>
      <c r="D181" s="38"/>
      <c r="E181" s="109"/>
      <c r="F181" s="65"/>
      <c r="G181" s="6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</row>
    <row r="182" spans="1:256" s="75" customFormat="1" ht="12.75" customHeight="1" x14ac:dyDescent="0.2">
      <c r="A182" s="11"/>
      <c r="B182" s="29"/>
      <c r="C182" s="24"/>
      <c r="D182" s="38"/>
      <c r="E182" s="80"/>
      <c r="F182" s="65"/>
      <c r="G182" s="5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</row>
    <row r="183" spans="1:256" s="75" customFormat="1" ht="12.75" customHeight="1" x14ac:dyDescent="0.2">
      <c r="A183" s="59"/>
      <c r="B183" s="60" t="s">
        <v>427</v>
      </c>
      <c r="C183" s="61"/>
      <c r="D183" s="61"/>
      <c r="E183" s="69"/>
      <c r="F183" s="73">
        <f>SUM(F15:F181)/2</f>
        <v>0</v>
      </c>
      <c r="G183" s="5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</row>
    <row r="184" spans="1:256" s="75" customFormat="1" ht="12.75" customHeight="1" x14ac:dyDescent="0.2">
      <c r="A184" s="59"/>
      <c r="B184" s="60" t="s">
        <v>120</v>
      </c>
      <c r="C184" s="61"/>
      <c r="D184" s="61"/>
      <c r="E184" s="69"/>
      <c r="F184" s="73">
        <f>F183*0.2</f>
        <v>0</v>
      </c>
      <c r="G184" s="5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</row>
    <row r="185" spans="1:256" s="75" customFormat="1" ht="12.75" customHeight="1" x14ac:dyDescent="0.2">
      <c r="A185" s="59"/>
      <c r="B185" s="60" t="s">
        <v>10</v>
      </c>
      <c r="C185" s="61"/>
      <c r="D185" s="61"/>
      <c r="E185" s="69"/>
      <c r="F185" s="73">
        <f>F183+F184</f>
        <v>0</v>
      </c>
      <c r="G185" s="5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</row>
    <row r="186" spans="1:256" s="75" customFormat="1" ht="12.75" customHeight="1" x14ac:dyDescent="0.2">
      <c r="A186" s="50"/>
      <c r="B186" s="16"/>
      <c r="C186" s="18"/>
      <c r="D186" s="36"/>
      <c r="E186" s="28"/>
      <c r="F186" s="28"/>
      <c r="G186" s="5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</row>
    <row r="187" spans="1:256" s="75" customFormat="1" ht="12.75" customHeight="1" x14ac:dyDescent="0.2">
      <c r="A187" s="50"/>
      <c r="B187" s="32"/>
      <c r="C187" s="18"/>
      <c r="D187" s="36"/>
      <c r="E187" s="28"/>
      <c r="F187" s="78"/>
      <c r="G187" s="5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</row>
    <row r="188" spans="1:256" s="75" customFormat="1" ht="12.75" customHeight="1" x14ac:dyDescent="0.2">
      <c r="A188" s="50"/>
      <c r="B188" s="16"/>
      <c r="C188" s="18"/>
      <c r="D188" s="36"/>
      <c r="E188" s="28"/>
      <c r="F188" s="28"/>
      <c r="G188" s="5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</row>
    <row r="189" spans="1:256" s="75" customFormat="1" ht="12.75" customHeight="1" x14ac:dyDescent="0.2">
      <c r="A189" s="50"/>
      <c r="B189" s="16"/>
      <c r="C189" s="18"/>
      <c r="D189" s="36"/>
      <c r="E189" s="28"/>
      <c r="F189" s="28"/>
      <c r="G189" s="5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</row>
    <row r="190" spans="1:256" s="75" customFormat="1" ht="12.75" customHeight="1" x14ac:dyDescent="0.2">
      <c r="A190" s="50"/>
      <c r="B190" s="16"/>
      <c r="C190" s="18"/>
      <c r="D190" s="36"/>
      <c r="E190" s="28"/>
      <c r="F190" s="28"/>
      <c r="G190" s="5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</row>
    <row r="191" spans="1:256" s="75" customFormat="1" ht="12.75" customHeight="1" x14ac:dyDescent="0.2">
      <c r="A191" s="50"/>
      <c r="B191" s="16"/>
      <c r="C191" s="18"/>
      <c r="D191" s="36"/>
      <c r="E191" s="28"/>
      <c r="F191" s="28"/>
      <c r="G191" s="5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</row>
    <row r="192" spans="1:256" s="75" customFormat="1" ht="12.75" customHeight="1" x14ac:dyDescent="0.2">
      <c r="A192" s="50"/>
      <c r="B192" s="16"/>
      <c r="C192" s="18"/>
      <c r="D192" s="36"/>
      <c r="E192" s="28"/>
      <c r="F192" s="28"/>
      <c r="G192" s="5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</row>
    <row r="193" spans="1:256" s="75" customFormat="1" ht="12.75" customHeight="1" x14ac:dyDescent="0.2">
      <c r="A193" s="50"/>
      <c r="B193" s="16"/>
      <c r="C193" s="18"/>
      <c r="D193" s="36"/>
      <c r="E193" s="28"/>
      <c r="F193" s="28"/>
      <c r="G193" s="5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</row>
    <row r="194" spans="1:256" s="75" customFormat="1" ht="12.75" customHeight="1" x14ac:dyDescent="0.2">
      <c r="A194" s="50"/>
      <c r="B194" s="16"/>
      <c r="C194" s="18"/>
      <c r="D194" s="36"/>
      <c r="E194" s="28"/>
      <c r="F194" s="28"/>
      <c r="G194" s="5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</row>
    <row r="195" spans="1:256" s="36" customFormat="1" ht="12.75" customHeight="1" x14ac:dyDescent="0.2">
      <c r="A195" s="50"/>
      <c r="B195" s="16"/>
      <c r="C195" s="18"/>
      <c r="E195" s="28"/>
      <c r="F195" s="28"/>
      <c r="G195" s="51"/>
      <c r="H195" s="7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</row>
    <row r="196" spans="1:256" s="36" customFormat="1" ht="12.75" customHeight="1" x14ac:dyDescent="0.2">
      <c r="A196" s="50"/>
      <c r="B196" s="16"/>
      <c r="C196" s="18"/>
      <c r="E196" s="28"/>
      <c r="F196" s="28"/>
      <c r="G196" s="51"/>
      <c r="H196" s="7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</row>
    <row r="197" spans="1:256" s="36" customFormat="1" ht="12.75" customHeight="1" x14ac:dyDescent="0.2">
      <c r="A197" s="50"/>
      <c r="B197" s="16"/>
      <c r="C197" s="18"/>
      <c r="E197" s="28"/>
      <c r="F197" s="28"/>
      <c r="G197" s="51"/>
      <c r="H197" s="7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</row>
    <row r="198" spans="1:256" s="36" customFormat="1" ht="12.75" customHeight="1" x14ac:dyDescent="0.2">
      <c r="A198" s="50"/>
      <c r="B198" s="16"/>
      <c r="C198" s="18"/>
      <c r="E198" s="28"/>
      <c r="F198" s="28"/>
      <c r="G198" s="51"/>
      <c r="H198" s="7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</row>
    <row r="199" spans="1:256" s="36" customFormat="1" ht="12.75" customHeight="1" x14ac:dyDescent="0.2">
      <c r="A199" s="50"/>
      <c r="B199" s="16"/>
      <c r="C199" s="18"/>
      <c r="E199" s="28"/>
      <c r="F199" s="28"/>
      <c r="G199" s="51"/>
      <c r="H199" s="7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</row>
    <row r="200" spans="1:256" s="36" customFormat="1" ht="12.75" customHeight="1" x14ac:dyDescent="0.2">
      <c r="A200" s="50"/>
      <c r="B200" s="16"/>
      <c r="C200" s="18"/>
      <c r="E200" s="28"/>
      <c r="F200" s="28"/>
      <c r="G200" s="51"/>
      <c r="H200" s="7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</row>
    <row r="201" spans="1:256" s="36" customFormat="1" ht="12.75" customHeight="1" x14ac:dyDescent="0.2">
      <c r="A201" s="50"/>
      <c r="B201" s="16"/>
      <c r="C201" s="18"/>
      <c r="E201" s="28"/>
      <c r="F201" s="28"/>
      <c r="G201" s="51"/>
      <c r="H201" s="7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</row>
    <row r="202" spans="1:256" s="36" customFormat="1" ht="12.75" customHeight="1" x14ac:dyDescent="0.2">
      <c r="A202" s="50"/>
      <c r="B202" s="16"/>
      <c r="C202" s="18"/>
      <c r="E202" s="28"/>
      <c r="F202" s="28"/>
      <c r="G202" s="51"/>
      <c r="H202" s="7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</row>
    <row r="203" spans="1:256" s="36" customFormat="1" ht="12.75" customHeight="1" x14ac:dyDescent="0.2">
      <c r="A203" s="50"/>
      <c r="B203" s="16"/>
      <c r="C203" s="18"/>
      <c r="E203" s="28"/>
      <c r="F203" s="28"/>
      <c r="G203" s="51"/>
      <c r="H203" s="7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</row>
    <row r="204" spans="1:256" s="36" customFormat="1" ht="12.75" customHeight="1" x14ac:dyDescent="0.2">
      <c r="A204" s="50"/>
      <c r="B204" s="16"/>
      <c r="C204" s="18"/>
      <c r="E204" s="28"/>
      <c r="F204" s="28"/>
      <c r="G204" s="51"/>
      <c r="H204" s="7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</row>
    <row r="205" spans="1:256" s="36" customFormat="1" ht="12.75" customHeight="1" x14ac:dyDescent="0.2">
      <c r="A205" s="50"/>
      <c r="B205" s="16"/>
      <c r="C205" s="18"/>
      <c r="E205" s="28"/>
      <c r="F205" s="28"/>
      <c r="G205" s="51"/>
      <c r="H205" s="7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</row>
    <row r="206" spans="1:256" s="36" customFormat="1" ht="12.75" customHeight="1" x14ac:dyDescent="0.2">
      <c r="A206" s="50"/>
      <c r="B206" s="16"/>
      <c r="C206" s="18"/>
      <c r="E206" s="28"/>
      <c r="F206" s="28"/>
      <c r="G206" s="51"/>
      <c r="H206" s="7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</row>
    <row r="207" spans="1:256" s="36" customFormat="1" ht="12.75" customHeight="1" x14ac:dyDescent="0.2">
      <c r="A207" s="50"/>
      <c r="B207" s="16"/>
      <c r="C207" s="18"/>
      <c r="E207" s="28"/>
      <c r="F207" s="28"/>
      <c r="G207" s="51"/>
      <c r="H207" s="7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</row>
    <row r="208" spans="1:256" s="36" customFormat="1" ht="12.75" customHeight="1" x14ac:dyDescent="0.2">
      <c r="A208" s="50"/>
      <c r="B208" s="16"/>
      <c r="C208" s="18"/>
      <c r="E208" s="28"/>
      <c r="F208" s="28"/>
      <c r="G208" s="51"/>
      <c r="H208" s="7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</row>
    <row r="209" spans="1:256" s="36" customFormat="1" ht="12.75" customHeight="1" x14ac:dyDescent="0.2">
      <c r="A209" s="50"/>
      <c r="B209" s="16"/>
      <c r="C209" s="18"/>
      <c r="E209" s="28"/>
      <c r="F209" s="28"/>
      <c r="G209" s="51"/>
      <c r="H209" s="7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</row>
    <row r="210" spans="1:256" s="36" customFormat="1" ht="12.75" customHeight="1" x14ac:dyDescent="0.2">
      <c r="A210" s="50"/>
      <c r="B210" s="16"/>
      <c r="C210" s="18"/>
      <c r="E210" s="28"/>
      <c r="F210" s="28"/>
      <c r="G210" s="51"/>
      <c r="H210" s="7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</row>
    <row r="211" spans="1:256" s="36" customFormat="1" ht="12.75" customHeight="1" x14ac:dyDescent="0.2">
      <c r="A211" s="50"/>
      <c r="B211" s="16"/>
      <c r="C211" s="18"/>
      <c r="E211" s="28"/>
      <c r="F211" s="28"/>
      <c r="G211" s="51"/>
      <c r="H211" s="7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</row>
    <row r="212" spans="1:256" s="36" customFormat="1" ht="12.75" customHeight="1" x14ac:dyDescent="0.2">
      <c r="A212" s="50"/>
      <c r="B212" s="16"/>
      <c r="C212" s="18"/>
      <c r="E212" s="28"/>
      <c r="F212" s="28"/>
      <c r="G212" s="51"/>
      <c r="H212" s="7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</row>
    <row r="213" spans="1:256" s="36" customFormat="1" ht="12.75" customHeight="1" x14ac:dyDescent="0.2">
      <c r="A213" s="50"/>
      <c r="B213" s="16"/>
      <c r="C213" s="18"/>
      <c r="E213" s="28"/>
      <c r="F213" s="28"/>
      <c r="G213" s="51"/>
      <c r="H213" s="7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</row>
    <row r="214" spans="1:256" s="36" customFormat="1" ht="12.75" customHeight="1" x14ac:dyDescent="0.2">
      <c r="A214" s="50"/>
      <c r="B214" s="16"/>
      <c r="C214" s="18"/>
      <c r="E214" s="28"/>
      <c r="F214" s="28"/>
      <c r="G214" s="51"/>
      <c r="H214" s="7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</row>
    <row r="215" spans="1:256" s="36" customFormat="1" ht="12.75" customHeight="1" x14ac:dyDescent="0.2">
      <c r="A215" s="50"/>
      <c r="B215" s="16"/>
      <c r="C215" s="18"/>
      <c r="E215" s="28"/>
      <c r="F215" s="28"/>
      <c r="G215" s="51"/>
      <c r="H215" s="7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</row>
    <row r="216" spans="1:256" s="36" customFormat="1" ht="12.75" customHeight="1" x14ac:dyDescent="0.2">
      <c r="A216" s="50"/>
      <c r="B216" s="16"/>
      <c r="C216" s="18"/>
      <c r="E216" s="28"/>
      <c r="F216" s="28"/>
      <c r="G216" s="51"/>
      <c r="H216" s="7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</row>
    <row r="217" spans="1:256" s="36" customFormat="1" ht="12.75" customHeight="1" x14ac:dyDescent="0.2">
      <c r="A217" s="50"/>
      <c r="B217" s="16"/>
      <c r="C217" s="18"/>
      <c r="E217" s="28"/>
      <c r="F217" s="28"/>
      <c r="G217" s="51"/>
      <c r="H217" s="7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</row>
    <row r="218" spans="1:256" s="36" customFormat="1" ht="12.75" customHeight="1" x14ac:dyDescent="0.2">
      <c r="A218" s="50"/>
      <c r="B218" s="16"/>
      <c r="C218" s="18"/>
      <c r="E218" s="28"/>
      <c r="F218" s="28"/>
      <c r="G218" s="51"/>
      <c r="H218" s="7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</row>
    <row r="219" spans="1:256" s="36" customFormat="1" ht="12.75" customHeight="1" x14ac:dyDescent="0.2">
      <c r="A219" s="50"/>
      <c r="B219" s="16"/>
      <c r="C219" s="18"/>
      <c r="E219" s="28"/>
      <c r="F219" s="28"/>
      <c r="G219" s="51"/>
      <c r="H219" s="7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</row>
    <row r="220" spans="1:256" s="36" customFormat="1" ht="12.75" customHeight="1" x14ac:dyDescent="0.2">
      <c r="A220" s="50"/>
      <c r="B220" s="16"/>
      <c r="C220" s="18"/>
      <c r="E220" s="28"/>
      <c r="F220" s="28"/>
      <c r="G220" s="51"/>
      <c r="H220" s="7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</row>
    <row r="221" spans="1:256" s="36" customFormat="1" ht="12.75" customHeight="1" x14ac:dyDescent="0.2">
      <c r="A221" s="50"/>
      <c r="B221" s="16"/>
      <c r="C221" s="18"/>
      <c r="E221" s="28"/>
      <c r="F221" s="28"/>
      <c r="G221" s="51"/>
      <c r="H221" s="7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</row>
    <row r="222" spans="1:256" s="36" customFormat="1" ht="12.75" customHeight="1" x14ac:dyDescent="0.2">
      <c r="A222" s="50"/>
      <c r="B222" s="16"/>
      <c r="C222" s="18"/>
      <c r="E222" s="28"/>
      <c r="F222" s="28"/>
      <c r="G222" s="51"/>
      <c r="H222" s="7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</row>
    <row r="223" spans="1:256" s="36" customFormat="1" ht="12.75" customHeight="1" x14ac:dyDescent="0.2">
      <c r="A223" s="50"/>
      <c r="B223" s="16"/>
      <c r="C223" s="18"/>
      <c r="E223" s="28"/>
      <c r="F223" s="28"/>
      <c r="G223" s="51"/>
      <c r="H223" s="7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</row>
    <row r="224" spans="1:256" s="36" customFormat="1" ht="12.75" customHeight="1" x14ac:dyDescent="0.2">
      <c r="A224" s="50"/>
      <c r="B224" s="16"/>
      <c r="C224" s="18"/>
      <c r="E224" s="28"/>
      <c r="F224" s="28"/>
      <c r="G224" s="51"/>
      <c r="H224" s="7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</row>
    <row r="225" spans="1:256" s="36" customFormat="1" ht="12.75" customHeight="1" x14ac:dyDescent="0.2">
      <c r="A225" s="50"/>
      <c r="B225" s="16"/>
      <c r="C225" s="18"/>
      <c r="E225" s="28"/>
      <c r="F225" s="28"/>
      <c r="G225" s="51"/>
      <c r="H225" s="7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</row>
    <row r="226" spans="1:256" s="36" customFormat="1" ht="12.75" customHeight="1" x14ac:dyDescent="0.2">
      <c r="A226" s="50"/>
      <c r="B226" s="16"/>
      <c r="C226" s="18"/>
      <c r="E226" s="28"/>
      <c r="F226" s="28"/>
      <c r="G226" s="51"/>
      <c r="H226" s="7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</row>
    <row r="227" spans="1:256" s="36" customFormat="1" ht="12.75" customHeight="1" x14ac:dyDescent="0.2">
      <c r="A227" s="50"/>
      <c r="B227" s="16"/>
      <c r="C227" s="18"/>
      <c r="E227" s="28"/>
      <c r="F227" s="28"/>
      <c r="G227" s="51"/>
      <c r="H227" s="7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</row>
    <row r="228" spans="1:256" s="36" customFormat="1" ht="12.75" customHeight="1" x14ac:dyDescent="0.2">
      <c r="A228" s="50"/>
      <c r="B228" s="16"/>
      <c r="C228" s="18"/>
      <c r="E228" s="28"/>
      <c r="F228" s="28"/>
      <c r="G228" s="51"/>
      <c r="H228" s="7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</row>
    <row r="229" spans="1:256" s="36" customFormat="1" ht="12.75" customHeight="1" x14ac:dyDescent="0.2">
      <c r="A229" s="50"/>
      <c r="B229" s="16"/>
      <c r="C229" s="18"/>
      <c r="E229" s="28"/>
      <c r="F229" s="28"/>
      <c r="G229" s="51"/>
      <c r="H229" s="7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</row>
    <row r="230" spans="1:256" s="36" customFormat="1" ht="12.75" customHeight="1" x14ac:dyDescent="0.2">
      <c r="A230" s="50"/>
      <c r="B230" s="16"/>
      <c r="C230" s="18"/>
      <c r="E230" s="28"/>
      <c r="F230" s="28"/>
      <c r="G230" s="51"/>
      <c r="H230" s="7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</row>
    <row r="231" spans="1:256" s="36" customFormat="1" ht="12.75" customHeight="1" x14ac:dyDescent="0.2">
      <c r="A231" s="50"/>
      <c r="B231" s="16"/>
      <c r="C231" s="18"/>
      <c r="E231" s="28"/>
      <c r="F231" s="28"/>
      <c r="G231" s="51"/>
      <c r="H231" s="7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</row>
    <row r="232" spans="1:256" s="36" customFormat="1" ht="12.75" customHeight="1" x14ac:dyDescent="0.2">
      <c r="A232" s="50"/>
      <c r="B232" s="16"/>
      <c r="C232" s="18"/>
      <c r="E232" s="28"/>
      <c r="F232" s="28"/>
      <c r="G232" s="51"/>
      <c r="H232" s="7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</row>
    <row r="233" spans="1:256" s="36" customFormat="1" ht="12.75" customHeight="1" x14ac:dyDescent="0.2">
      <c r="A233" s="50"/>
      <c r="B233" s="16"/>
      <c r="C233" s="18"/>
      <c r="E233" s="28"/>
      <c r="F233" s="28"/>
      <c r="G233" s="51"/>
      <c r="H233" s="7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</row>
    <row r="234" spans="1:256" s="36" customFormat="1" ht="12.75" customHeight="1" x14ac:dyDescent="0.2">
      <c r="A234" s="50"/>
      <c r="B234" s="16"/>
      <c r="C234" s="18"/>
      <c r="E234" s="28"/>
      <c r="F234" s="28"/>
      <c r="G234" s="51"/>
      <c r="H234" s="7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</row>
    <row r="235" spans="1:256" s="36" customFormat="1" ht="12.75" customHeight="1" x14ac:dyDescent="0.2">
      <c r="A235" s="50"/>
      <c r="B235" s="16"/>
      <c r="C235" s="18"/>
      <c r="E235" s="28"/>
      <c r="F235" s="28"/>
      <c r="G235" s="51"/>
      <c r="H235" s="7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</row>
    <row r="236" spans="1:256" s="36" customFormat="1" ht="12.75" customHeight="1" x14ac:dyDescent="0.2">
      <c r="A236" s="50"/>
      <c r="B236" s="16"/>
      <c r="C236" s="18"/>
      <c r="E236" s="28"/>
      <c r="F236" s="28"/>
      <c r="G236" s="51"/>
      <c r="H236" s="7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</row>
    <row r="237" spans="1:256" s="36" customFormat="1" ht="12.75" customHeight="1" x14ac:dyDescent="0.2">
      <c r="A237" s="50"/>
      <c r="B237" s="16"/>
      <c r="C237" s="18"/>
      <c r="E237" s="28"/>
      <c r="F237" s="28"/>
      <c r="G237" s="51"/>
      <c r="H237" s="7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</row>
    <row r="238" spans="1:256" s="36" customFormat="1" ht="12.75" customHeight="1" x14ac:dyDescent="0.2">
      <c r="A238" s="50"/>
      <c r="B238" s="16"/>
      <c r="C238" s="18"/>
      <c r="E238" s="28"/>
      <c r="F238" s="28"/>
      <c r="G238" s="51"/>
      <c r="H238" s="7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</row>
    <row r="239" spans="1:256" s="36" customFormat="1" ht="12.75" customHeight="1" x14ac:dyDescent="0.2">
      <c r="A239" s="50"/>
      <c r="B239" s="16"/>
      <c r="C239" s="18"/>
      <c r="E239" s="28"/>
      <c r="F239" s="28"/>
      <c r="G239" s="51"/>
      <c r="H239" s="7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</row>
    <row r="240" spans="1:256" s="36" customFormat="1" ht="12.75" customHeight="1" x14ac:dyDescent="0.2">
      <c r="A240" s="50"/>
      <c r="B240" s="16"/>
      <c r="C240" s="18"/>
      <c r="E240" s="28"/>
      <c r="F240" s="28"/>
      <c r="G240" s="51"/>
      <c r="H240" s="7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</row>
    <row r="241" spans="1:256" s="36" customFormat="1" ht="12.75" customHeight="1" x14ac:dyDescent="0.2">
      <c r="A241" s="50"/>
      <c r="B241" s="16"/>
      <c r="C241" s="18"/>
      <c r="E241" s="28"/>
      <c r="F241" s="28"/>
      <c r="G241" s="51"/>
      <c r="H241" s="7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</row>
    <row r="242" spans="1:256" s="36" customFormat="1" ht="12.75" customHeight="1" x14ac:dyDescent="0.2">
      <c r="A242" s="50"/>
      <c r="B242" s="16"/>
      <c r="C242" s="18"/>
      <c r="E242" s="28"/>
      <c r="F242" s="28"/>
      <c r="G242" s="51"/>
      <c r="H242" s="7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</row>
    <row r="243" spans="1:256" s="36" customFormat="1" ht="12.75" customHeight="1" x14ac:dyDescent="0.2">
      <c r="A243" s="50"/>
      <c r="B243" s="16"/>
      <c r="C243" s="18"/>
      <c r="E243" s="28"/>
      <c r="F243" s="28"/>
      <c r="G243" s="51"/>
      <c r="H243" s="7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</row>
    <row r="244" spans="1:256" s="36" customFormat="1" ht="12.75" customHeight="1" x14ac:dyDescent="0.2">
      <c r="A244" s="50"/>
      <c r="B244" s="16"/>
      <c r="C244" s="18"/>
      <c r="E244" s="28"/>
      <c r="F244" s="28"/>
      <c r="G244" s="51"/>
      <c r="H244" s="7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</row>
    <row r="245" spans="1:256" s="36" customFormat="1" ht="12.75" customHeight="1" x14ac:dyDescent="0.2">
      <c r="A245" s="50"/>
      <c r="B245" s="16"/>
      <c r="C245" s="18"/>
      <c r="E245" s="28"/>
      <c r="F245" s="28"/>
      <c r="G245" s="51"/>
      <c r="H245" s="7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</row>
    <row r="246" spans="1:256" s="36" customFormat="1" ht="12.75" customHeight="1" x14ac:dyDescent="0.2">
      <c r="A246" s="50"/>
      <c r="B246" s="16"/>
      <c r="C246" s="18"/>
      <c r="E246" s="28"/>
      <c r="F246" s="28"/>
      <c r="G246" s="51"/>
      <c r="H246" s="7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</row>
    <row r="247" spans="1:256" s="36" customFormat="1" ht="12.75" customHeight="1" x14ac:dyDescent="0.2">
      <c r="A247" s="50"/>
      <c r="B247" s="16"/>
      <c r="C247" s="18"/>
      <c r="E247" s="28"/>
      <c r="F247" s="28"/>
      <c r="G247" s="51"/>
      <c r="H247" s="7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</row>
    <row r="248" spans="1:256" s="36" customFormat="1" ht="12.75" customHeight="1" x14ac:dyDescent="0.2">
      <c r="A248" s="50"/>
      <c r="B248" s="16"/>
      <c r="C248" s="18"/>
      <c r="E248" s="28"/>
      <c r="F248" s="28"/>
      <c r="G248" s="51"/>
      <c r="H248" s="7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</row>
    <row r="249" spans="1:256" s="36" customFormat="1" ht="12.75" customHeight="1" x14ac:dyDescent="0.2">
      <c r="A249" s="50"/>
      <c r="B249" s="16"/>
      <c r="C249" s="18"/>
      <c r="E249" s="28"/>
      <c r="F249" s="28"/>
      <c r="G249" s="51"/>
      <c r="H249" s="7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</row>
    <row r="250" spans="1:256" s="36" customFormat="1" ht="12.75" customHeight="1" x14ac:dyDescent="0.2">
      <c r="A250" s="50"/>
      <c r="B250" s="16"/>
      <c r="C250" s="18"/>
      <c r="E250" s="28"/>
      <c r="F250" s="28"/>
      <c r="G250" s="51"/>
      <c r="H250" s="7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</row>
    <row r="251" spans="1:256" s="36" customFormat="1" ht="12.75" customHeight="1" x14ac:dyDescent="0.2">
      <c r="A251" s="50"/>
      <c r="B251" s="16"/>
      <c r="C251" s="18"/>
      <c r="E251" s="28"/>
      <c r="F251" s="28"/>
      <c r="G251" s="51"/>
      <c r="H251" s="7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</row>
    <row r="252" spans="1:256" s="36" customFormat="1" ht="12.75" customHeight="1" x14ac:dyDescent="0.2">
      <c r="A252" s="50"/>
      <c r="B252" s="16"/>
      <c r="C252" s="18"/>
      <c r="E252" s="28"/>
      <c r="F252" s="28"/>
      <c r="G252" s="51"/>
      <c r="H252" s="7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</row>
    <row r="253" spans="1:256" s="36" customFormat="1" ht="12.75" customHeight="1" x14ac:dyDescent="0.2">
      <c r="A253" s="50"/>
      <c r="B253" s="16"/>
      <c r="C253" s="18"/>
      <c r="E253" s="28"/>
      <c r="F253" s="28"/>
      <c r="G253" s="51"/>
      <c r="H253" s="7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</row>
    <row r="254" spans="1:256" s="36" customFormat="1" ht="12.75" customHeight="1" x14ac:dyDescent="0.2">
      <c r="A254" s="50"/>
      <c r="B254" s="16"/>
      <c r="C254" s="18"/>
      <c r="E254" s="28"/>
      <c r="F254" s="28"/>
      <c r="G254" s="51"/>
      <c r="H254" s="7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</row>
    <row r="255" spans="1:256" s="36" customFormat="1" ht="12.75" customHeight="1" x14ac:dyDescent="0.2">
      <c r="A255" s="50"/>
      <c r="B255" s="16"/>
      <c r="C255" s="18"/>
      <c r="E255" s="28"/>
      <c r="F255" s="28"/>
      <c r="G255" s="51"/>
      <c r="H255" s="7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</row>
    <row r="256" spans="1:256" s="36" customFormat="1" ht="12.75" customHeight="1" x14ac:dyDescent="0.2">
      <c r="A256" s="50"/>
      <c r="B256" s="16"/>
      <c r="C256" s="18"/>
      <c r="E256" s="28"/>
      <c r="F256" s="28"/>
      <c r="G256" s="51"/>
      <c r="H256" s="7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</row>
  </sheetData>
  <sheetProtection algorithmName="SHA-512" hashValue="D25rP49HUB/U2+PkxgcixfTXGDP3uEhHL9DvgENbZBIhyEK4fBKZdIVFKQP7a+cZ1LdZW54W6c4in0CMlbFcwA==" saltValue="4f7pGyp3J9NnkaXXAqdyNA==" spinCount="100000" sheet="1" objects="1" scenarios="1" selectLockedCells="1"/>
  <mergeCells count="3">
    <mergeCell ref="A2:F2"/>
    <mergeCell ref="A4:F4"/>
    <mergeCell ref="A7:F7"/>
  </mergeCells>
  <phoneticPr fontId="11" type="noConversion"/>
  <printOptions horizontalCentered="1"/>
  <pageMargins left="0.51181102362204722" right="0.55118110236220474" top="0.59055118110236227" bottom="0.74803149606299213" header="0.51181102362204722" footer="0.31496062992125984"/>
  <pageSetup paperSize="9" scale="61" fitToHeight="29" orientation="portrait" r:id="rId1"/>
  <headerFooter alignWithMargins="0">
    <oddFooter>&amp;R&amp;P/&amp;N</oddFooter>
  </headerFooter>
  <rowBreaks count="1" manualBreakCount="1">
    <brk id="124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959C-E9D7-40B3-96E4-D3C9AEA6201F}">
  <dimension ref="A1:IV97"/>
  <sheetViews>
    <sheetView view="pageBreakPreview" zoomScale="130" zoomScaleNormal="75" zoomScaleSheetLayoutView="130" workbookViewId="0">
      <selection activeCell="E29" sqref="E29"/>
    </sheetView>
  </sheetViews>
  <sheetFormatPr baseColWidth="10" defaultRowHeight="12.75" customHeight="1" x14ac:dyDescent="0.2"/>
  <cols>
    <col min="1" max="1" width="7.5703125" style="50" customWidth="1"/>
    <col min="2" max="2" width="71.140625" style="16" customWidth="1"/>
    <col min="3" max="3" width="9.28515625" style="20" customWidth="1"/>
    <col min="4" max="4" width="17.85546875" style="36" customWidth="1"/>
    <col min="5" max="5" width="13.85546875" style="28" customWidth="1"/>
    <col min="6" max="6" width="16.5703125" style="28" customWidth="1"/>
    <col min="7" max="7" width="11.42578125" style="51"/>
    <col min="8" max="8" width="11.42578125" style="75"/>
    <col min="9" max="16384" width="11.42578125" style="2"/>
  </cols>
  <sheetData>
    <row r="1" spans="1:8" ht="12.75" customHeight="1" thickBot="1" x14ac:dyDescent="0.25">
      <c r="A1" s="118"/>
      <c r="B1" s="119"/>
      <c r="C1" s="120"/>
      <c r="D1" s="120"/>
      <c r="E1" s="121"/>
      <c r="F1" s="122"/>
    </row>
    <row r="2" spans="1:8" ht="15.75" customHeight="1" x14ac:dyDescent="0.25">
      <c r="A2" s="185" t="s">
        <v>301</v>
      </c>
      <c r="B2" s="186"/>
      <c r="C2" s="186"/>
      <c r="D2" s="186"/>
      <c r="E2" s="186"/>
      <c r="F2" s="187"/>
    </row>
    <row r="3" spans="1:8" ht="12.75" customHeight="1" x14ac:dyDescent="0.2">
      <c r="A3" s="123"/>
      <c r="B3" s="124"/>
      <c r="C3" s="125"/>
      <c r="D3" s="125"/>
      <c r="E3" s="125"/>
      <c r="F3" s="126" t="s">
        <v>501</v>
      </c>
    </row>
    <row r="4" spans="1:8" ht="12.75" customHeight="1" x14ac:dyDescent="0.2">
      <c r="A4" s="188" t="s">
        <v>300</v>
      </c>
      <c r="B4" s="189"/>
      <c r="C4" s="189"/>
      <c r="D4" s="189"/>
      <c r="E4" s="189"/>
      <c r="F4" s="190"/>
    </row>
    <row r="5" spans="1:8" ht="12.75" customHeight="1" thickBot="1" x14ac:dyDescent="0.25">
      <c r="A5" s="127"/>
      <c r="B5" s="119"/>
      <c r="C5" s="120"/>
      <c r="D5" s="120"/>
      <c r="E5" s="128"/>
      <c r="F5" s="129"/>
    </row>
    <row r="6" spans="1:8" ht="12.75" customHeight="1" x14ac:dyDescent="0.2">
      <c r="A6" s="130"/>
      <c r="B6" s="131"/>
      <c r="C6" s="132"/>
      <c r="D6" s="132"/>
      <c r="E6" s="132"/>
      <c r="F6" s="133"/>
    </row>
    <row r="7" spans="1:8" ht="15.75" x14ac:dyDescent="0.25">
      <c r="A7" s="191" t="s">
        <v>502</v>
      </c>
      <c r="B7" s="189"/>
      <c r="C7" s="189"/>
      <c r="D7" s="189"/>
      <c r="E7" s="189"/>
      <c r="F7" s="190"/>
    </row>
    <row r="8" spans="1:8" ht="12.75" customHeight="1" thickBot="1" x14ac:dyDescent="0.25">
      <c r="A8" s="134"/>
      <c r="B8" s="135"/>
      <c r="C8" s="136"/>
      <c r="D8" s="136"/>
      <c r="E8" s="136"/>
      <c r="F8" s="137"/>
    </row>
    <row r="9" spans="1:8" ht="12.75" customHeight="1" thickBot="1" x14ac:dyDescent="0.25">
      <c r="A9" s="138"/>
      <c r="B9" s="139"/>
      <c r="C9" s="140"/>
      <c r="D9" s="141"/>
      <c r="E9" s="142"/>
      <c r="F9" s="143"/>
    </row>
    <row r="10" spans="1:8" ht="12.75" customHeight="1" x14ac:dyDescent="0.2">
      <c r="A10" s="144"/>
      <c r="B10" s="145"/>
      <c r="C10" s="146"/>
      <c r="D10" s="147"/>
      <c r="E10" s="148"/>
      <c r="F10" s="149"/>
    </row>
    <row r="11" spans="1:8" s="4" customFormat="1" ht="12.75" customHeight="1" x14ac:dyDescent="0.2">
      <c r="A11" s="150"/>
      <c r="B11" s="151"/>
      <c r="C11" s="147"/>
      <c r="D11" s="147"/>
      <c r="E11" s="152"/>
      <c r="F11" s="153" t="s">
        <v>2</v>
      </c>
      <c r="G11" s="27"/>
      <c r="H11" s="76"/>
    </row>
    <row r="12" spans="1:8" s="4" customFormat="1" ht="12.75" customHeight="1" x14ac:dyDescent="0.2">
      <c r="A12" s="154"/>
      <c r="B12" s="155"/>
      <c r="C12" s="156"/>
      <c r="D12" s="156"/>
      <c r="E12" s="157"/>
      <c r="F12" s="158"/>
      <c r="G12" s="27"/>
      <c r="H12" s="76"/>
    </row>
    <row r="13" spans="1:8" s="4" customFormat="1" ht="15.75" customHeight="1" x14ac:dyDescent="0.2">
      <c r="A13" s="159"/>
      <c r="B13" s="160"/>
      <c r="C13" s="161"/>
      <c r="D13" s="161"/>
      <c r="E13" s="162"/>
      <c r="F13" s="161"/>
      <c r="G13" s="27"/>
      <c r="H13" s="76"/>
    </row>
    <row r="14" spans="1:8" s="4" customFormat="1" ht="12.75" customHeight="1" x14ac:dyDescent="0.2">
      <c r="A14" s="163"/>
      <c r="B14" s="164"/>
      <c r="C14" s="147"/>
      <c r="D14" s="165"/>
      <c r="E14" s="166"/>
      <c r="F14" s="147"/>
      <c r="G14" s="57"/>
      <c r="H14" s="76"/>
    </row>
    <row r="15" spans="1:8" ht="15" customHeight="1" x14ac:dyDescent="0.2">
      <c r="A15" s="163"/>
      <c r="B15" s="167" t="s">
        <v>503</v>
      </c>
      <c r="C15" s="147"/>
      <c r="D15" s="147"/>
      <c r="E15" s="166"/>
      <c r="F15" s="152">
        <f>'LE PARC DPGF'!F299</f>
        <v>0</v>
      </c>
      <c r="G15" s="24"/>
    </row>
    <row r="16" spans="1:8" ht="15" customHeight="1" x14ac:dyDescent="0.2">
      <c r="A16" s="163"/>
      <c r="B16" s="168"/>
      <c r="C16" s="147"/>
      <c r="D16" s="147"/>
      <c r="E16" s="166"/>
      <c r="F16" s="152"/>
      <c r="G16" s="24"/>
    </row>
    <row r="17" spans="1:256" ht="15" customHeight="1" x14ac:dyDescent="0.2">
      <c r="A17" s="163"/>
      <c r="B17" s="169" t="s">
        <v>504</v>
      </c>
      <c r="C17" s="147"/>
      <c r="D17" s="170"/>
      <c r="E17" s="171"/>
      <c r="F17" s="172">
        <f>'LE PARC DQE CC1'!F183</f>
        <v>0</v>
      </c>
      <c r="G17" s="38"/>
    </row>
    <row r="18" spans="1:256" s="4" customFormat="1" ht="16.5" customHeight="1" x14ac:dyDescent="0.2">
      <c r="A18" s="163"/>
      <c r="B18" s="169"/>
      <c r="C18" s="147"/>
      <c r="D18" s="170"/>
      <c r="E18" s="171"/>
      <c r="F18" s="172"/>
      <c r="G18" s="38"/>
      <c r="H18" s="75"/>
    </row>
    <row r="19" spans="1:256" s="4" customFormat="1" ht="16.5" customHeight="1" x14ac:dyDescent="0.2">
      <c r="A19" s="163"/>
      <c r="B19" s="173" t="s">
        <v>505</v>
      </c>
      <c r="C19" s="147"/>
      <c r="D19" s="170"/>
      <c r="E19" s="171"/>
      <c r="F19" s="172">
        <f>'LE PARC DQE CC2'!F183</f>
        <v>0</v>
      </c>
      <c r="G19" s="38"/>
      <c r="H19" s="75"/>
    </row>
    <row r="20" spans="1:256" s="4" customFormat="1" ht="18" customHeight="1" x14ac:dyDescent="0.2">
      <c r="A20" s="163"/>
      <c r="B20" s="173"/>
      <c r="C20" s="147"/>
      <c r="D20" s="170"/>
      <c r="E20" s="171"/>
      <c r="F20" s="172"/>
      <c r="G20" s="38"/>
      <c r="H20" s="75"/>
    </row>
    <row r="21" spans="1:256" s="4" customFormat="1" ht="18" customHeight="1" x14ac:dyDescent="0.2">
      <c r="A21" s="163"/>
      <c r="B21" s="173" t="s">
        <v>506</v>
      </c>
      <c r="C21" s="147"/>
      <c r="D21" s="170"/>
      <c r="E21" s="171"/>
      <c r="F21" s="172">
        <f>'LE PARC DQE CC3'!F183</f>
        <v>0</v>
      </c>
      <c r="G21" s="38"/>
      <c r="H21" s="75"/>
    </row>
    <row r="22" spans="1:256" s="4" customFormat="1" ht="7.5" customHeight="1" x14ac:dyDescent="0.2">
      <c r="A22" s="163"/>
      <c r="B22" s="174"/>
      <c r="C22" s="147"/>
      <c r="D22" s="170"/>
      <c r="E22" s="171"/>
      <c r="F22" s="170"/>
      <c r="G22" s="38"/>
      <c r="H22" s="75"/>
    </row>
    <row r="23" spans="1:256" s="75" customFormat="1" ht="12.75" customHeight="1" x14ac:dyDescent="0.2">
      <c r="A23" s="150"/>
      <c r="B23" s="175"/>
      <c r="C23" s="147"/>
      <c r="D23" s="170"/>
      <c r="E23" s="171"/>
      <c r="F23" s="171"/>
      <c r="G23" s="5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</row>
    <row r="24" spans="1:256" s="75" customFormat="1" ht="12.75" customHeight="1" x14ac:dyDescent="0.2">
      <c r="A24" s="159"/>
      <c r="B24" s="176" t="s">
        <v>427</v>
      </c>
      <c r="C24" s="161"/>
      <c r="D24" s="161"/>
      <c r="E24" s="162"/>
      <c r="F24" s="177">
        <f>SUM(F15:F22)</f>
        <v>0</v>
      </c>
      <c r="G24" s="5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</row>
    <row r="25" spans="1:256" s="75" customFormat="1" ht="12.75" customHeight="1" x14ac:dyDescent="0.2">
      <c r="A25" s="159"/>
      <c r="B25" s="176" t="s">
        <v>120</v>
      </c>
      <c r="C25" s="161"/>
      <c r="D25" s="161"/>
      <c r="E25" s="162"/>
      <c r="F25" s="177">
        <f>F24*0.2</f>
        <v>0</v>
      </c>
      <c r="G25" s="5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</row>
    <row r="26" spans="1:256" s="75" customFormat="1" ht="12.75" customHeight="1" x14ac:dyDescent="0.2">
      <c r="A26" s="159"/>
      <c r="B26" s="176" t="s">
        <v>10</v>
      </c>
      <c r="C26" s="161"/>
      <c r="D26" s="161"/>
      <c r="E26" s="162"/>
      <c r="F26" s="177">
        <f>F24+F25</f>
        <v>0</v>
      </c>
      <c r="G26" s="5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</row>
    <row r="27" spans="1:256" s="75" customFormat="1" ht="12.75" customHeight="1" x14ac:dyDescent="0.2">
      <c r="A27" s="50"/>
      <c r="B27" s="16"/>
      <c r="C27" s="18"/>
      <c r="D27" s="36"/>
      <c r="E27" s="28"/>
      <c r="F27" s="28"/>
      <c r="G27" s="5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</row>
    <row r="28" spans="1:256" s="75" customFormat="1" ht="12.75" customHeight="1" x14ac:dyDescent="0.2">
      <c r="A28" s="50"/>
      <c r="B28" s="32"/>
      <c r="C28" s="18"/>
      <c r="D28" s="36"/>
      <c r="E28" s="28"/>
      <c r="F28" s="78"/>
      <c r="G28" s="5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</row>
    <row r="29" spans="1:256" s="75" customFormat="1" ht="12.75" customHeight="1" x14ac:dyDescent="0.2">
      <c r="A29" s="50"/>
      <c r="B29" s="16"/>
      <c r="C29" s="18"/>
      <c r="D29" s="36"/>
      <c r="E29" s="28"/>
      <c r="F29" s="28"/>
      <c r="G29" s="5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</row>
    <row r="30" spans="1:256" s="75" customFormat="1" ht="12.75" customHeight="1" x14ac:dyDescent="0.2">
      <c r="A30" s="50"/>
      <c r="B30" s="16"/>
      <c r="C30" s="18"/>
      <c r="D30" s="36"/>
      <c r="E30" s="28"/>
      <c r="F30" s="28"/>
      <c r="G30" s="5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</row>
    <row r="31" spans="1:256" s="75" customFormat="1" ht="12.75" customHeight="1" x14ac:dyDescent="0.2">
      <c r="A31" s="50"/>
      <c r="B31" s="16"/>
      <c r="C31" s="18"/>
      <c r="D31" s="36"/>
      <c r="E31" s="28"/>
      <c r="F31" s="28"/>
      <c r="G31" s="5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</row>
    <row r="32" spans="1:256" s="75" customFormat="1" ht="12.75" customHeight="1" x14ac:dyDescent="0.2">
      <c r="A32" s="50"/>
      <c r="B32" s="16"/>
      <c r="C32" s="18"/>
      <c r="D32" s="36"/>
      <c r="E32" s="28"/>
      <c r="F32" s="28"/>
      <c r="G32" s="5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</row>
    <row r="33" spans="1:256" s="75" customFormat="1" ht="12.75" customHeight="1" x14ac:dyDescent="0.2">
      <c r="A33" s="50"/>
      <c r="B33" s="16"/>
      <c r="C33" s="18"/>
      <c r="D33" s="36"/>
      <c r="E33" s="28"/>
      <c r="F33" s="28"/>
      <c r="G33" s="5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</row>
    <row r="34" spans="1:256" s="75" customFormat="1" ht="12.75" customHeight="1" x14ac:dyDescent="0.2">
      <c r="A34" s="50"/>
      <c r="B34" s="16"/>
      <c r="C34" s="18"/>
      <c r="D34" s="36"/>
      <c r="E34" s="28"/>
      <c r="F34" s="28"/>
      <c r="G34" s="5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</row>
    <row r="35" spans="1:256" s="75" customFormat="1" ht="12.75" customHeight="1" x14ac:dyDescent="0.2">
      <c r="A35" s="50"/>
      <c r="B35" s="16"/>
      <c r="C35" s="18"/>
      <c r="D35" s="36"/>
      <c r="E35" s="28"/>
      <c r="F35" s="28"/>
      <c r="G35" s="5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</row>
    <row r="36" spans="1:256" s="36" customFormat="1" ht="12.75" customHeight="1" x14ac:dyDescent="0.2">
      <c r="A36" s="50"/>
      <c r="B36" s="16"/>
      <c r="C36" s="18"/>
      <c r="E36" s="28"/>
      <c r="F36" s="28"/>
      <c r="G36" s="51"/>
      <c r="H36" s="7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</row>
    <row r="37" spans="1:256" s="36" customFormat="1" ht="12.75" customHeight="1" x14ac:dyDescent="0.2">
      <c r="A37" s="50"/>
      <c r="B37" s="16"/>
      <c r="C37" s="18"/>
      <c r="E37" s="28"/>
      <c r="F37" s="28"/>
      <c r="G37" s="51"/>
      <c r="H37" s="7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</row>
    <row r="38" spans="1:256" s="36" customFormat="1" ht="12.75" customHeight="1" x14ac:dyDescent="0.2">
      <c r="A38" s="50"/>
      <c r="B38" s="16"/>
      <c r="C38" s="18"/>
      <c r="E38" s="28"/>
      <c r="F38" s="28"/>
      <c r="G38" s="51"/>
      <c r="H38" s="7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</row>
    <row r="39" spans="1:256" s="36" customFormat="1" ht="12.75" customHeight="1" x14ac:dyDescent="0.2">
      <c r="A39" s="50"/>
      <c r="B39" s="16"/>
      <c r="C39" s="18"/>
      <c r="E39" s="28"/>
      <c r="F39" s="28"/>
      <c r="G39" s="51"/>
      <c r="H39" s="7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</row>
    <row r="40" spans="1:256" s="36" customFormat="1" ht="12.75" customHeight="1" x14ac:dyDescent="0.2">
      <c r="A40" s="50"/>
      <c r="B40" s="16"/>
      <c r="C40" s="18"/>
      <c r="E40" s="28"/>
      <c r="F40" s="28"/>
      <c r="G40" s="51"/>
      <c r="H40" s="7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</row>
    <row r="41" spans="1:256" s="36" customFormat="1" ht="12.75" customHeight="1" x14ac:dyDescent="0.2">
      <c r="A41" s="50"/>
      <c r="B41" s="16"/>
      <c r="C41" s="18"/>
      <c r="E41" s="28"/>
      <c r="F41" s="28"/>
      <c r="G41" s="51"/>
      <c r="H41" s="7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</row>
    <row r="42" spans="1:256" s="36" customFormat="1" ht="12.75" customHeight="1" x14ac:dyDescent="0.2">
      <c r="A42" s="50"/>
      <c r="B42" s="16"/>
      <c r="C42" s="18"/>
      <c r="E42" s="28"/>
      <c r="F42" s="28"/>
      <c r="G42" s="51"/>
      <c r="H42" s="7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</row>
    <row r="43" spans="1:256" s="36" customFormat="1" ht="12.75" customHeight="1" x14ac:dyDescent="0.2">
      <c r="A43" s="50"/>
      <c r="B43" s="16"/>
      <c r="C43" s="18"/>
      <c r="E43" s="28"/>
      <c r="F43" s="28"/>
      <c r="G43" s="51"/>
      <c r="H43" s="7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</row>
    <row r="44" spans="1:256" s="36" customFormat="1" ht="12.75" customHeight="1" x14ac:dyDescent="0.2">
      <c r="A44" s="50"/>
      <c r="B44" s="16"/>
      <c r="C44" s="18"/>
      <c r="E44" s="28"/>
      <c r="F44" s="28"/>
      <c r="G44" s="51"/>
      <c r="H44" s="7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</row>
    <row r="45" spans="1:256" s="36" customFormat="1" ht="12.75" customHeight="1" x14ac:dyDescent="0.2">
      <c r="A45" s="50"/>
      <c r="B45" s="16"/>
      <c r="C45" s="18"/>
      <c r="E45" s="28"/>
      <c r="F45" s="28"/>
      <c r="G45" s="51"/>
      <c r="H45" s="7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</row>
    <row r="46" spans="1:256" s="36" customFormat="1" ht="12.75" customHeight="1" x14ac:dyDescent="0.2">
      <c r="A46" s="50"/>
      <c r="B46" s="16"/>
      <c r="C46" s="18"/>
      <c r="E46" s="28"/>
      <c r="F46" s="28"/>
      <c r="G46" s="51"/>
      <c r="H46" s="7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</row>
    <row r="47" spans="1:256" s="36" customFormat="1" ht="12.75" customHeight="1" x14ac:dyDescent="0.2">
      <c r="A47" s="50"/>
      <c r="B47" s="16"/>
      <c r="C47" s="18"/>
      <c r="E47" s="28"/>
      <c r="F47" s="28"/>
      <c r="G47" s="51"/>
      <c r="H47" s="7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</row>
    <row r="48" spans="1:256" s="36" customFormat="1" ht="12.75" customHeight="1" x14ac:dyDescent="0.2">
      <c r="A48" s="50"/>
      <c r="B48" s="16"/>
      <c r="C48" s="18"/>
      <c r="E48" s="28"/>
      <c r="F48" s="28"/>
      <c r="G48" s="51"/>
      <c r="H48" s="7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</row>
    <row r="49" spans="1:256" s="36" customFormat="1" ht="12.75" customHeight="1" x14ac:dyDescent="0.2">
      <c r="A49" s="50"/>
      <c r="B49" s="16"/>
      <c r="C49" s="18"/>
      <c r="E49" s="28"/>
      <c r="F49" s="28"/>
      <c r="G49" s="51"/>
      <c r="H49" s="7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</row>
    <row r="50" spans="1:256" s="36" customFormat="1" ht="12.75" customHeight="1" x14ac:dyDescent="0.2">
      <c r="A50" s="50"/>
      <c r="B50" s="16"/>
      <c r="C50" s="18"/>
      <c r="E50" s="28"/>
      <c r="F50" s="28"/>
      <c r="G50" s="51"/>
      <c r="H50" s="7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</row>
    <row r="51" spans="1:256" s="36" customFormat="1" ht="12.75" customHeight="1" x14ac:dyDescent="0.2">
      <c r="A51" s="50"/>
      <c r="B51" s="16"/>
      <c r="C51" s="18"/>
      <c r="E51" s="28"/>
      <c r="F51" s="28"/>
      <c r="G51" s="51"/>
      <c r="H51" s="7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</row>
    <row r="52" spans="1:256" s="36" customFormat="1" ht="12.75" customHeight="1" x14ac:dyDescent="0.2">
      <c r="A52" s="50"/>
      <c r="B52" s="16"/>
      <c r="C52" s="18"/>
      <c r="E52" s="28"/>
      <c r="F52" s="28"/>
      <c r="G52" s="51"/>
      <c r="H52" s="7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</row>
    <row r="53" spans="1:256" s="36" customFormat="1" ht="12.75" customHeight="1" x14ac:dyDescent="0.2">
      <c r="A53" s="50"/>
      <c r="B53" s="16"/>
      <c r="C53" s="18"/>
      <c r="E53" s="28"/>
      <c r="F53" s="28"/>
      <c r="G53" s="51"/>
      <c r="H53" s="7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</row>
    <row r="54" spans="1:256" s="36" customFormat="1" ht="12.75" customHeight="1" x14ac:dyDescent="0.2">
      <c r="A54" s="50"/>
      <c r="B54" s="16"/>
      <c r="C54" s="18"/>
      <c r="E54" s="28"/>
      <c r="F54" s="28"/>
      <c r="G54" s="51"/>
      <c r="H54" s="7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</row>
    <row r="55" spans="1:256" s="36" customFormat="1" ht="12.75" customHeight="1" x14ac:dyDescent="0.2">
      <c r="A55" s="50"/>
      <c r="B55" s="16"/>
      <c r="C55" s="18"/>
      <c r="E55" s="28"/>
      <c r="F55" s="28"/>
      <c r="G55" s="51"/>
      <c r="H55" s="7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</row>
    <row r="56" spans="1:256" s="36" customFormat="1" ht="12.75" customHeight="1" x14ac:dyDescent="0.2">
      <c r="A56" s="50"/>
      <c r="B56" s="16"/>
      <c r="C56" s="18"/>
      <c r="E56" s="28"/>
      <c r="F56" s="28"/>
      <c r="G56" s="51"/>
      <c r="H56" s="7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</row>
    <row r="57" spans="1:256" s="36" customFormat="1" ht="12.75" customHeight="1" x14ac:dyDescent="0.2">
      <c r="A57" s="50"/>
      <c r="B57" s="16"/>
      <c r="C57" s="18"/>
      <c r="E57" s="28"/>
      <c r="F57" s="28"/>
      <c r="G57" s="51"/>
      <c r="H57" s="7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</row>
    <row r="58" spans="1:256" s="36" customFormat="1" ht="12.75" customHeight="1" x14ac:dyDescent="0.2">
      <c r="A58" s="50"/>
      <c r="B58" s="16"/>
      <c r="C58" s="18"/>
      <c r="E58" s="28"/>
      <c r="F58" s="28"/>
      <c r="G58" s="51"/>
      <c r="H58" s="7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</row>
    <row r="59" spans="1:256" s="36" customFormat="1" ht="12.75" customHeight="1" x14ac:dyDescent="0.2">
      <c r="A59" s="50"/>
      <c r="B59" s="16"/>
      <c r="C59" s="18"/>
      <c r="E59" s="28"/>
      <c r="F59" s="28"/>
      <c r="G59" s="51"/>
      <c r="H59" s="7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</row>
    <row r="60" spans="1:256" s="36" customFormat="1" ht="12.75" customHeight="1" x14ac:dyDescent="0.2">
      <c r="A60" s="50"/>
      <c r="B60" s="16"/>
      <c r="C60" s="18"/>
      <c r="E60" s="28"/>
      <c r="F60" s="28"/>
      <c r="G60" s="51"/>
      <c r="H60" s="7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</row>
    <row r="61" spans="1:256" s="36" customFormat="1" ht="12.75" customHeight="1" x14ac:dyDescent="0.2">
      <c r="A61" s="50"/>
      <c r="B61" s="16"/>
      <c r="C61" s="18"/>
      <c r="E61" s="28"/>
      <c r="F61" s="28"/>
      <c r="G61" s="51"/>
      <c r="H61" s="7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</row>
    <row r="62" spans="1:256" s="36" customFormat="1" ht="12.75" customHeight="1" x14ac:dyDescent="0.2">
      <c r="A62" s="50"/>
      <c r="B62" s="16"/>
      <c r="C62" s="18"/>
      <c r="E62" s="28"/>
      <c r="F62" s="28"/>
      <c r="G62" s="51"/>
      <c r="H62" s="7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</row>
    <row r="63" spans="1:256" s="36" customFormat="1" ht="12.75" customHeight="1" x14ac:dyDescent="0.2">
      <c r="A63" s="50"/>
      <c r="B63" s="16"/>
      <c r="C63" s="18"/>
      <c r="E63" s="28"/>
      <c r="F63" s="28"/>
      <c r="G63" s="51"/>
      <c r="H63" s="7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</row>
    <row r="64" spans="1:256" s="36" customFormat="1" ht="12.75" customHeight="1" x14ac:dyDescent="0.2">
      <c r="A64" s="50"/>
      <c r="B64" s="16"/>
      <c r="C64" s="18"/>
      <c r="E64" s="28"/>
      <c r="F64" s="28"/>
      <c r="G64" s="51"/>
      <c r="H64" s="7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</row>
    <row r="65" spans="1:256" s="36" customFormat="1" ht="12.75" customHeight="1" x14ac:dyDescent="0.2">
      <c r="A65" s="50"/>
      <c r="B65" s="16"/>
      <c r="C65" s="18"/>
      <c r="E65" s="28"/>
      <c r="F65" s="28"/>
      <c r="G65" s="51"/>
      <c r="H65" s="7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</row>
    <row r="66" spans="1:256" s="36" customFormat="1" ht="12.75" customHeight="1" x14ac:dyDescent="0.2">
      <c r="A66" s="50"/>
      <c r="B66" s="16"/>
      <c r="C66" s="18"/>
      <c r="E66" s="28"/>
      <c r="F66" s="28"/>
      <c r="G66" s="51"/>
      <c r="H66" s="7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</row>
    <row r="67" spans="1:256" s="36" customFormat="1" ht="12.75" customHeight="1" x14ac:dyDescent="0.2">
      <c r="A67" s="50"/>
      <c r="B67" s="16"/>
      <c r="C67" s="18"/>
      <c r="E67" s="28"/>
      <c r="F67" s="28"/>
      <c r="G67" s="51"/>
      <c r="H67" s="7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</row>
    <row r="68" spans="1:256" s="36" customFormat="1" ht="12.75" customHeight="1" x14ac:dyDescent="0.2">
      <c r="A68" s="50"/>
      <c r="B68" s="16"/>
      <c r="C68" s="18"/>
      <c r="E68" s="28"/>
      <c r="F68" s="28"/>
      <c r="G68" s="51"/>
      <c r="H68" s="7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</row>
    <row r="69" spans="1:256" s="36" customFormat="1" ht="12.75" customHeight="1" x14ac:dyDescent="0.2">
      <c r="A69" s="50"/>
      <c r="B69" s="16"/>
      <c r="C69" s="18"/>
      <c r="E69" s="28"/>
      <c r="F69" s="28"/>
      <c r="G69" s="51"/>
      <c r="H69" s="7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</row>
    <row r="70" spans="1:256" s="36" customFormat="1" ht="12.75" customHeight="1" x14ac:dyDescent="0.2">
      <c r="A70" s="50"/>
      <c r="B70" s="16"/>
      <c r="C70" s="18"/>
      <c r="E70" s="28"/>
      <c r="F70" s="28"/>
      <c r="G70" s="51"/>
      <c r="H70" s="7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</row>
    <row r="71" spans="1:256" s="36" customFormat="1" ht="12.75" customHeight="1" x14ac:dyDescent="0.2">
      <c r="A71" s="50"/>
      <c r="B71" s="16"/>
      <c r="C71" s="18"/>
      <c r="E71" s="28"/>
      <c r="F71" s="28"/>
      <c r="G71" s="51"/>
      <c r="H71" s="7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</row>
    <row r="72" spans="1:256" s="36" customFormat="1" ht="12.75" customHeight="1" x14ac:dyDescent="0.2">
      <c r="A72" s="50"/>
      <c r="B72" s="16"/>
      <c r="C72" s="18"/>
      <c r="E72" s="28"/>
      <c r="F72" s="28"/>
      <c r="G72" s="51"/>
      <c r="H72" s="7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</row>
    <row r="73" spans="1:256" s="36" customFormat="1" ht="12.75" customHeight="1" x14ac:dyDescent="0.2">
      <c r="A73" s="50"/>
      <c r="B73" s="16"/>
      <c r="C73" s="18"/>
      <c r="E73" s="28"/>
      <c r="F73" s="28"/>
      <c r="G73" s="51"/>
      <c r="H73" s="7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</row>
    <row r="74" spans="1:256" s="36" customFormat="1" ht="12.75" customHeight="1" x14ac:dyDescent="0.2">
      <c r="A74" s="50"/>
      <c r="B74" s="16"/>
      <c r="C74" s="18"/>
      <c r="E74" s="28"/>
      <c r="F74" s="28"/>
      <c r="G74" s="51"/>
      <c r="H74" s="7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</row>
    <row r="75" spans="1:256" s="36" customFormat="1" ht="12.75" customHeight="1" x14ac:dyDescent="0.2">
      <c r="A75" s="50"/>
      <c r="B75" s="16"/>
      <c r="C75" s="18"/>
      <c r="E75" s="28"/>
      <c r="F75" s="28"/>
      <c r="G75" s="51"/>
      <c r="H75" s="7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</row>
    <row r="76" spans="1:256" s="36" customFormat="1" ht="12.75" customHeight="1" x14ac:dyDescent="0.2">
      <c r="A76" s="50"/>
      <c r="B76" s="16"/>
      <c r="C76" s="18"/>
      <c r="E76" s="28"/>
      <c r="F76" s="28"/>
      <c r="G76" s="51"/>
      <c r="H76" s="7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</row>
    <row r="77" spans="1:256" s="36" customFormat="1" ht="12.75" customHeight="1" x14ac:dyDescent="0.2">
      <c r="A77" s="50"/>
      <c r="B77" s="16"/>
      <c r="C77" s="18"/>
      <c r="E77" s="28"/>
      <c r="F77" s="28"/>
      <c r="G77" s="51"/>
      <c r="H77" s="7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</row>
    <row r="78" spans="1:256" s="36" customFormat="1" ht="12.75" customHeight="1" x14ac:dyDescent="0.2">
      <c r="A78" s="50"/>
      <c r="B78" s="16"/>
      <c r="C78" s="18"/>
      <c r="E78" s="28"/>
      <c r="F78" s="28"/>
      <c r="G78" s="51"/>
      <c r="H78" s="7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</row>
    <row r="79" spans="1:256" s="36" customFormat="1" ht="12.75" customHeight="1" x14ac:dyDescent="0.2">
      <c r="A79" s="50"/>
      <c r="B79" s="16"/>
      <c r="C79" s="18"/>
      <c r="E79" s="28"/>
      <c r="F79" s="28"/>
      <c r="G79" s="51"/>
      <c r="H79" s="7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</row>
    <row r="80" spans="1:256" s="36" customFormat="1" ht="12.75" customHeight="1" x14ac:dyDescent="0.2">
      <c r="A80" s="50"/>
      <c r="B80" s="16"/>
      <c r="C80" s="18"/>
      <c r="E80" s="28"/>
      <c r="F80" s="28"/>
      <c r="G80" s="51"/>
      <c r="H80" s="7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</row>
    <row r="81" spans="1:256" s="36" customFormat="1" ht="12.75" customHeight="1" x14ac:dyDescent="0.2">
      <c r="A81" s="50"/>
      <c r="B81" s="16"/>
      <c r="C81" s="18"/>
      <c r="E81" s="28"/>
      <c r="F81" s="28"/>
      <c r="G81" s="51"/>
      <c r="H81" s="7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</row>
    <row r="82" spans="1:256" s="36" customFormat="1" ht="12.75" customHeight="1" x14ac:dyDescent="0.2">
      <c r="A82" s="50"/>
      <c r="B82" s="16"/>
      <c r="C82" s="18"/>
      <c r="E82" s="28"/>
      <c r="F82" s="28"/>
      <c r="G82" s="51"/>
      <c r="H82" s="7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</row>
    <row r="83" spans="1:256" s="36" customFormat="1" ht="12.75" customHeight="1" x14ac:dyDescent="0.2">
      <c r="A83" s="50"/>
      <c r="B83" s="16"/>
      <c r="C83" s="18"/>
      <c r="E83" s="28"/>
      <c r="F83" s="28"/>
      <c r="G83" s="51"/>
      <c r="H83" s="7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</row>
    <row r="84" spans="1:256" s="36" customFormat="1" ht="12.75" customHeight="1" x14ac:dyDescent="0.2">
      <c r="A84" s="50"/>
      <c r="B84" s="16"/>
      <c r="C84" s="18"/>
      <c r="E84" s="28"/>
      <c r="F84" s="28"/>
      <c r="G84" s="51"/>
      <c r="H84" s="7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</row>
    <row r="85" spans="1:256" s="36" customFormat="1" ht="12.75" customHeight="1" x14ac:dyDescent="0.2">
      <c r="A85" s="50"/>
      <c r="B85" s="16"/>
      <c r="C85" s="18"/>
      <c r="E85" s="28"/>
      <c r="F85" s="28"/>
      <c r="G85" s="51"/>
      <c r="H85" s="7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</row>
    <row r="86" spans="1:256" s="36" customFormat="1" ht="12.75" customHeight="1" x14ac:dyDescent="0.2">
      <c r="A86" s="50"/>
      <c r="B86" s="16"/>
      <c r="C86" s="18"/>
      <c r="E86" s="28"/>
      <c r="F86" s="28"/>
      <c r="G86" s="51"/>
      <c r="H86" s="7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</row>
    <row r="87" spans="1:256" s="36" customFormat="1" ht="12.75" customHeight="1" x14ac:dyDescent="0.2">
      <c r="A87" s="50"/>
      <c r="B87" s="16"/>
      <c r="C87" s="18"/>
      <c r="E87" s="28"/>
      <c r="F87" s="28"/>
      <c r="G87" s="51"/>
      <c r="H87" s="7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</row>
    <row r="88" spans="1:256" s="36" customFormat="1" ht="12.75" customHeight="1" x14ac:dyDescent="0.2">
      <c r="A88" s="50"/>
      <c r="B88" s="16"/>
      <c r="C88" s="18"/>
      <c r="E88" s="28"/>
      <c r="F88" s="28"/>
      <c r="G88" s="51"/>
      <c r="H88" s="7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</row>
    <row r="89" spans="1:256" s="36" customFormat="1" ht="12.75" customHeight="1" x14ac:dyDescent="0.2">
      <c r="A89" s="50"/>
      <c r="B89" s="16"/>
      <c r="C89" s="18"/>
      <c r="E89" s="28"/>
      <c r="F89" s="28"/>
      <c r="G89" s="51"/>
      <c r="H89" s="7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</row>
    <row r="90" spans="1:256" s="36" customFormat="1" ht="12.75" customHeight="1" x14ac:dyDescent="0.2">
      <c r="A90" s="50"/>
      <c r="B90" s="16"/>
      <c r="C90" s="18"/>
      <c r="E90" s="28"/>
      <c r="F90" s="28"/>
      <c r="G90" s="51"/>
      <c r="H90" s="7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</row>
    <row r="91" spans="1:256" s="36" customFormat="1" ht="12.75" customHeight="1" x14ac:dyDescent="0.2">
      <c r="A91" s="50"/>
      <c r="B91" s="16"/>
      <c r="C91" s="18"/>
      <c r="E91" s="28"/>
      <c r="F91" s="28"/>
      <c r="G91" s="51"/>
      <c r="H91" s="7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</row>
    <row r="92" spans="1:256" s="36" customFormat="1" ht="12.75" customHeight="1" x14ac:dyDescent="0.2">
      <c r="A92" s="50"/>
      <c r="B92" s="16"/>
      <c r="C92" s="18"/>
      <c r="E92" s="28"/>
      <c r="F92" s="28"/>
      <c r="G92" s="51"/>
      <c r="H92" s="7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</row>
    <row r="93" spans="1:256" s="36" customFormat="1" ht="12.75" customHeight="1" x14ac:dyDescent="0.2">
      <c r="A93" s="50"/>
      <c r="B93" s="16"/>
      <c r="C93" s="18"/>
      <c r="E93" s="28"/>
      <c r="F93" s="28"/>
      <c r="G93" s="51"/>
      <c r="H93" s="7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</row>
    <row r="94" spans="1:256" s="36" customFormat="1" ht="12.75" customHeight="1" x14ac:dyDescent="0.2">
      <c r="A94" s="50"/>
      <c r="B94" s="16"/>
      <c r="C94" s="18"/>
      <c r="E94" s="28"/>
      <c r="F94" s="28"/>
      <c r="G94" s="51"/>
      <c r="H94" s="7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</row>
    <row r="95" spans="1:256" s="36" customFormat="1" ht="12.75" customHeight="1" x14ac:dyDescent="0.2">
      <c r="A95" s="50"/>
      <c r="B95" s="16"/>
      <c r="C95" s="18"/>
      <c r="E95" s="28"/>
      <c r="F95" s="28"/>
      <c r="G95" s="51"/>
      <c r="H95" s="7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</row>
    <row r="96" spans="1:256" s="36" customFormat="1" ht="12.75" customHeight="1" x14ac:dyDescent="0.2">
      <c r="A96" s="50"/>
      <c r="B96" s="16"/>
      <c r="C96" s="18"/>
      <c r="E96" s="28"/>
      <c r="F96" s="28"/>
      <c r="G96" s="51"/>
      <c r="H96" s="7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</row>
    <row r="97" spans="1:256" s="36" customFormat="1" ht="12.75" customHeight="1" x14ac:dyDescent="0.2">
      <c r="A97" s="50"/>
      <c r="B97" s="16"/>
      <c r="C97" s="18"/>
      <c r="E97" s="28"/>
      <c r="F97" s="28"/>
      <c r="G97" s="51"/>
      <c r="H97" s="7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</row>
  </sheetData>
  <sheetProtection algorithmName="SHA-512" hashValue="jXEj21gFkLhVU5aSNhx+sXsznkSMOVDzrxVTndmt8YZYEIfLnFDA3NQhxKhC4j3iMQ9S+s5eT6E44rQ1XztJ3Q==" saltValue="1yd83hqd5osA9fGxSIBWNw==" spinCount="100000" sheet="1" objects="1" scenarios="1" selectLockedCells="1"/>
  <mergeCells count="3">
    <mergeCell ref="A2:F2"/>
    <mergeCell ref="A4:F4"/>
    <mergeCell ref="A7:F7"/>
  </mergeCells>
  <printOptions horizontalCentered="1"/>
  <pageMargins left="0.51181102362204722" right="0.55118110236220474" top="0.59055118110236227" bottom="0.74803149606299213" header="0.51181102362204722" footer="0.31496062992125984"/>
  <pageSetup paperSize="9" scale="61" fitToHeight="29" orientation="portrait" r:id="rId1"/>
  <headerFooter alignWithMargins="0">
    <oddFooter>&amp;R&amp;P/&amp;N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790596A94554F8329CA60F933D45D" ma:contentTypeVersion="17" ma:contentTypeDescription="Crée un document." ma:contentTypeScope="" ma:versionID="b772b4b1e64461906581e55680cfb698">
  <xsd:schema xmlns:xsd="http://www.w3.org/2001/XMLSchema" xmlns:xs="http://www.w3.org/2001/XMLSchema" xmlns:p="http://schemas.microsoft.com/office/2006/metadata/properties" xmlns:ns2="4d956348-a4a5-4cca-8970-e9b577b34757" xmlns:ns3="5974ea8b-541e-47ab-acaf-7168fd0a6d78" targetNamespace="http://schemas.microsoft.com/office/2006/metadata/properties" ma:root="true" ma:fieldsID="c81d5a0fd02eae2ea1a51f73c3af6c52" ns2:_="" ns3:_="">
    <xsd:import namespace="4d956348-a4a5-4cca-8970-e9b577b34757"/>
    <xsd:import namespace="5974ea8b-541e-47ab-acaf-7168fd0a6d7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956348-a4a5-4cca-8970-e9b577b3475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e9e6bc-d0b2-4bb0-baa1-8d6a177df494}" ma:internalName="TaxCatchAll" ma:showField="CatchAllData" ma:web="4d956348-a4a5-4cca-8970-e9b577b347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4ea8b-541e-47ab-acaf-7168fd0a6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2de30655-58d6-405c-b76f-318c55c6c9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4FC420-0D0C-49AF-87BE-4F81A4AAE4AC}"/>
</file>

<file path=customXml/itemProps2.xml><?xml version="1.0" encoding="utf-8"?>
<ds:datastoreItem xmlns:ds="http://schemas.openxmlformats.org/officeDocument/2006/customXml" ds:itemID="{C1FB36A8-942E-4387-8A28-15D07602FB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9</vt:i4>
      </vt:variant>
    </vt:vector>
  </HeadingPairs>
  <TitlesOfParts>
    <vt:vector size="14" baseType="lpstr">
      <vt:lpstr>LE PARC DPGF</vt:lpstr>
      <vt:lpstr>LE PARC DQE CC1</vt:lpstr>
      <vt:lpstr>LE PARC DQE CC2</vt:lpstr>
      <vt:lpstr>LE PARC DQE CC3</vt:lpstr>
      <vt:lpstr>LE PARC RECAPITULATIF</vt:lpstr>
      <vt:lpstr>'LE PARC DPGF'!Impression_des_titres</vt:lpstr>
      <vt:lpstr>'LE PARC DQE CC1'!Impression_des_titres</vt:lpstr>
      <vt:lpstr>'LE PARC DQE CC2'!Impression_des_titres</vt:lpstr>
      <vt:lpstr>'LE PARC DQE CC3'!Impression_des_titres</vt:lpstr>
      <vt:lpstr>'LE PARC RECAPITULATIF'!Impression_des_titres</vt:lpstr>
      <vt:lpstr>'LE PARC DPGF'!Zone_d_impression</vt:lpstr>
      <vt:lpstr>'LE PARC DQE CC1'!Zone_d_impression</vt:lpstr>
      <vt:lpstr>'LE PARC DQE CC2'!Zone_d_impression</vt:lpstr>
      <vt:lpstr>'LE PARC RECAPITULATIF'!Zone_d_impression</vt:lpstr>
    </vt:vector>
  </TitlesOfParts>
  <Company>CEC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CAPION</dc:creator>
  <cp:lastModifiedBy>BONNET Frederic</cp:lastModifiedBy>
  <cp:lastPrinted>2023-05-31T16:51:18Z</cp:lastPrinted>
  <dcterms:created xsi:type="dcterms:W3CDTF">1998-08-31T09:01:38Z</dcterms:created>
  <dcterms:modified xsi:type="dcterms:W3CDTF">2023-07-13T11:29:51Z</dcterms:modified>
</cp:coreProperties>
</file>