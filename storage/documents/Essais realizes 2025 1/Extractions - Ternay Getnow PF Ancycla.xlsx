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O1JC  Ternay - Getnow PF Ancycla\Essais de Laboratoire\Enrobés\"/>
    </mc:Choice>
  </mc:AlternateContent>
  <xr:revisionPtr revIDLastSave="0" documentId="13_ncr:1_{E6975A52-C7BC-4FAC-9596-B2D99ED84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0525 BBSG batiment" sheetId="13" r:id="rId1"/>
    <sheet name="210525 gb base batiment" sheetId="12" r:id="rId2"/>
    <sheet name="200525 BBSG gde plateforme" sheetId="11" r:id="rId3"/>
    <sheet name="200525 gb base plateforme et ba" sheetId="10" r:id="rId4"/>
    <sheet name="190525 Gb base Quai" sheetId="9" r:id="rId5"/>
  </sheets>
  <definedNames>
    <definedName name="_xlnm.Print_Area" localSheetId="4">'190525 Gb base Quai'!$A$1:$Z$70</definedName>
    <definedName name="_xlnm.Print_Area" localSheetId="2">'200525 BBSG gde plateforme'!$A$1:$Z$70</definedName>
    <definedName name="_xlnm.Print_Area" localSheetId="3">'200525 gb base plateforme et ba'!$A$1:$Z$70</definedName>
    <definedName name="_xlnm.Print_Area" localSheetId="0">'210525 BBSG batiment'!$A$1:$Z$70</definedName>
    <definedName name="_xlnm.Print_Area" localSheetId="1">'210525 gb base batiment'!$A$1:$Z$70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0" i="13" l="1"/>
  <c r="L60" i="13"/>
  <c r="J60" i="13"/>
  <c r="E60" i="13"/>
  <c r="W59" i="13"/>
  <c r="L59" i="13"/>
  <c r="J59" i="13"/>
  <c r="E59" i="13"/>
  <c r="AD58" i="13"/>
  <c r="AB58" i="13"/>
  <c r="AE58" i="13" s="1"/>
  <c r="Y58" i="13" s="1"/>
  <c r="W57" i="13"/>
  <c r="AB57" i="13" s="1"/>
  <c r="U57" i="13"/>
  <c r="T57" i="13"/>
  <c r="S57" i="13"/>
  <c r="O57" i="13"/>
  <c r="N57" i="13"/>
  <c r="M57" i="13"/>
  <c r="L57" i="13"/>
  <c r="K57" i="13"/>
  <c r="J57" i="13"/>
  <c r="I57" i="13"/>
  <c r="H57" i="13"/>
  <c r="G57" i="13"/>
  <c r="F57" i="13"/>
  <c r="E57" i="13"/>
  <c r="AD56" i="13"/>
  <c r="AE56" i="13" s="1"/>
  <c r="AD54" i="13"/>
  <c r="AB54" i="13"/>
  <c r="AE54" i="13" s="1"/>
  <c r="Y54" i="13"/>
  <c r="AD53" i="13"/>
  <c r="AB53" i="13"/>
  <c r="AE53" i="13" s="1"/>
  <c r="Y53" i="13"/>
  <c r="AD52" i="13"/>
  <c r="AB52" i="13"/>
  <c r="AE52" i="13" s="1"/>
  <c r="Y52" i="13" s="1"/>
  <c r="AD51" i="13"/>
  <c r="AB51" i="13"/>
  <c r="W60" i="12"/>
  <c r="L60" i="12"/>
  <c r="J60" i="12"/>
  <c r="E60" i="12"/>
  <c r="W59" i="12"/>
  <c r="L59" i="12"/>
  <c r="J59" i="12"/>
  <c r="E59" i="12"/>
  <c r="AD58" i="12"/>
  <c r="AB58" i="12"/>
  <c r="AE58" i="12" s="1"/>
  <c r="Y58" i="12" s="1"/>
  <c r="W57" i="12"/>
  <c r="AB57" i="12" s="1"/>
  <c r="U57" i="12"/>
  <c r="T57" i="12"/>
  <c r="S57" i="12"/>
  <c r="R57" i="12"/>
  <c r="Q57" i="12"/>
  <c r="P57" i="12"/>
  <c r="O57" i="12"/>
  <c r="AD57" i="12" s="1"/>
  <c r="N57" i="12"/>
  <c r="M57" i="12"/>
  <c r="L57" i="12"/>
  <c r="K57" i="12"/>
  <c r="J57" i="12"/>
  <c r="I57" i="12"/>
  <c r="H57" i="12"/>
  <c r="G57" i="12"/>
  <c r="F57" i="12"/>
  <c r="E57" i="12"/>
  <c r="AD56" i="12"/>
  <c r="AE56" i="12" s="1"/>
  <c r="AD54" i="12"/>
  <c r="AB54" i="12"/>
  <c r="AE54" i="12" s="1"/>
  <c r="Y54" i="12"/>
  <c r="AE53" i="12"/>
  <c r="AD53" i="12"/>
  <c r="AB53" i="12"/>
  <c r="Y53" i="12"/>
  <c r="AD52" i="12"/>
  <c r="AB52" i="12"/>
  <c r="AE52" i="12" s="1"/>
  <c r="Y52" i="12" s="1"/>
  <c r="AD51" i="12"/>
  <c r="AB51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S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AD51" i="10"/>
  <c r="AB51" i="10"/>
  <c r="AE51" i="10" s="1"/>
  <c r="Y51" i="10" s="1"/>
  <c r="Q57" i="9"/>
  <c r="R57" i="9"/>
  <c r="AE51" i="13" l="1"/>
  <c r="Y51" i="13" s="1"/>
  <c r="Y57" i="13" s="1"/>
  <c r="AE51" i="12"/>
  <c r="Y51" i="12" s="1"/>
  <c r="Y57" i="12" s="1"/>
  <c r="AD57" i="13"/>
  <c r="AE57" i="13" s="1"/>
  <c r="AE57" i="12"/>
  <c r="AE51" i="11"/>
  <c r="Y51" i="11" s="1"/>
  <c r="AE53" i="11"/>
  <c r="AE54" i="10"/>
  <c r="AE58" i="10"/>
  <c r="Y58" i="10" s="1"/>
  <c r="AE54" i="11"/>
  <c r="AE53" i="10"/>
  <c r="AE52" i="11"/>
  <c r="Y52" i="11" s="1"/>
  <c r="AE58" i="11"/>
  <c r="Y58" i="11" s="1"/>
  <c r="AD57" i="11"/>
  <c r="AE57" i="11" s="1"/>
  <c r="AD57" i="10"/>
  <c r="AE57" i="10" s="1"/>
  <c r="AE52" i="10"/>
  <c r="Y52" i="10" s="1"/>
  <c r="Y57" i="10" s="1"/>
  <c r="L59" i="9"/>
  <c r="L60" i="9"/>
  <c r="Y57" i="11" l="1"/>
  <c r="U57" i="9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<sst xmlns="http://schemas.openxmlformats.org/spreadsheetml/2006/main" count="324" uniqueCount="77">
  <si>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</si>
  <si>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</si>
  <si>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</si>
  <si>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</si>
  <si>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</si>
  <si>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</si>
  <si>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</si>
  <si>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</si>
  <si>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</si>
  <si>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</si>
  <si>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</si>
  <si>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</si>
  <si>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</si>
  <si>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</si>
  <si>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</si>
  <si>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</si>
  <si>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</si>
  <si>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</si>
  <si>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</si>
  <si>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</si>
  <si>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</si>
  <si>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</si>
  <si>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</si>
  <si>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</si>
  <si>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</si>
  <si>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</si>
  <si>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</si>
  <si>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</si>
  <si>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</si>
  <si>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</si>
  <si>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</si>
  <si>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</si>
  <si>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</si>
  <si>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</si>
  <si>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</si>
  <si>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</si>
  <si>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</si>
  <si>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</si>
  <si>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</si>
  <si>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</si>
  <si>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</si>
  <si>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</si>
  <si>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</si>
  <si>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</si>
  <si>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</si>
  <si>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</si>
  <si>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</si>
  <si>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</si>
  <si>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</si>
  <si>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</si>
  <si>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</si>
  <si>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Fonction</t>
  </si>
  <si>
    <t>Ternay
Getnow
PF Ancycla</t>
  </si>
  <si>
    <t>RA O1JC</t>
  </si>
  <si>
    <t>20/05/2025</t>
  </si>
  <si>
    <t>F. Montet</t>
  </si>
  <si>
    <t>EB 14 ASSISE 35/50</t>
  </si>
  <si>
    <t>BBSG 0/10 Cl3 - 20%AE</t>
  </si>
  <si>
    <t>EOL</t>
  </si>
  <si>
    <t>Quai</t>
  </si>
  <si>
    <t>Base</t>
  </si>
  <si>
    <t>Conforme</t>
  </si>
  <si>
    <t>F. MONTET</t>
  </si>
  <si>
    <t>Technicien de laboratoire</t>
  </si>
  <si>
    <t>08:50</t>
  </si>
  <si>
    <t>10:20</t>
  </si>
  <si>
    <t>Grande plateforme et batiment</t>
  </si>
  <si>
    <t>Grande plateforme</t>
  </si>
  <si>
    <t>Roulement</t>
  </si>
  <si>
    <t>GB 0/14 Cl3 - 30%AE</t>
  </si>
  <si>
    <t>13:40</t>
  </si>
  <si>
    <t>14:45</t>
  </si>
  <si>
    <t>08:45</t>
  </si>
  <si>
    <t>10:15</t>
  </si>
  <si>
    <t>Autour du batiment</t>
  </si>
  <si>
    <t>09:25</t>
  </si>
  <si>
    <t>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</si>
</sst>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</font>
    <font>
      <b/>
      <sz val="11"/>
      <color rgb="FF000000"/>
      <name val="Century Gothic"/>
    </font>
    <font>
      <b/>
      <sz val="9"/>
      <color indexed="10"/>
      <name val="Century Gothic"/>
      <family val="2"/>
    </font>
    <font>
      <sz val="10"/>
      <color rgb="FF000000"/>
      <name val="Arial"/>
      <family val="2"/>
    </font>
    <font>
      <b/>
      <sz val="9"/>
      <name val="Century Gothic"/>
      <family val="2"/>
    </font>
    <font>
      <sz val="10"/>
      <color rgb="FF000000"/>
      <name val="Century Gothic"/>
    </font>
    <font>
      <sz val="8"/>
      <color rgb="FF000000"/>
      <name val="Century Gothic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4" fillId="0" borderId="0"/>
    <xf numFmtId="0" fontId="24" fillId="0" borderId="0"/>
    <xf numFmtId="0" fontId="28" fillId="0" borderId="0"/>
  </cellStyleXfs>
  <cellXfs count="3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hidden="1"/>
    </xf>
    <xf numFmtId="164" fontId="23" fillId="0" borderId="23" xfId="0" applyNumberFormat="1" applyFont="1" applyBorder="1" applyAlignment="1">
      <alignment horizontal="center" vertical="center"/>
    </xf>
    <xf numFmtId="1" fontId="23" fillId="0" borderId="23" xfId="0" applyNumberFormat="1" applyFont="1" applyBorder="1" applyAlignment="1">
      <alignment horizontal="center" vertical="center"/>
    </xf>
    <xf numFmtId="164" fontId="20" fillId="0" borderId="63" xfId="2" applyNumberFormat="1" applyFont="1" applyBorder="1" applyAlignment="1">
      <alignment horizontal="center" vertical="center" wrapText="1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164" fontId="20" fillId="0" borderId="63" xfId="2" applyNumberFormat="1" applyFont="1" applyBorder="1" applyAlignment="1" applyProtection="1">
      <alignment horizontal="center" vertical="center"/>
      <protection locked="0"/>
    </xf>
    <xf numFmtId="164" fontId="20" fillId="0" borderId="60" xfId="2" applyNumberFormat="1" applyFont="1" applyBorder="1" applyAlignment="1" applyProtection="1">
      <alignment horizontal="center" vertical="center"/>
      <protection locked="0"/>
    </xf>
    <xf numFmtId="1" fontId="20" fillId="0" borderId="63" xfId="2" applyNumberFormat="1" applyFont="1" applyBorder="1" applyAlignment="1" applyProtection="1">
      <alignment horizontal="center"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64" fontId="25" fillId="0" borderId="20" xfId="0" applyNumberFormat="1" applyFont="1" applyBorder="1" applyAlignment="1">
      <alignment horizontal="center" vertical="center"/>
    </xf>
    <xf numFmtId="1" fontId="25" fillId="0" borderId="20" xfId="0" applyNumberFormat="1" applyFont="1" applyBorder="1" applyAlignment="1">
      <alignment horizontal="center" vertical="center"/>
    </xf>
    <xf numFmtId="164" fontId="27" fillId="0" borderId="63" xfId="0" applyNumberFormat="1" applyFont="1" applyBorder="1" applyAlignment="1">
      <alignment horizontal="center" vertical="center" wrapText="1"/>
    </xf>
    <xf numFmtId="164" fontId="27" fillId="0" borderId="62" xfId="0" applyNumberFormat="1" applyFont="1" applyBorder="1" applyAlignment="1" applyProtection="1">
      <alignment horizontal="center" vertical="center"/>
      <protection locked="0"/>
    </xf>
    <xf numFmtId="164" fontId="27" fillId="0" borderId="63" xfId="0" applyNumberFormat="1" applyFont="1" applyBorder="1" applyAlignment="1" applyProtection="1">
      <alignment horizontal="center" vertical="center"/>
      <protection locked="0"/>
    </xf>
    <xf numFmtId="164" fontId="27" fillId="0" borderId="60" xfId="0" applyNumberFormat="1" applyFont="1" applyBorder="1" applyAlignment="1" applyProtection="1">
      <alignment horizontal="center" vertical="center"/>
      <protection locked="0"/>
    </xf>
    <xf numFmtId="1" fontId="27" fillId="0" borderId="63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27" fillId="0" borderId="64" xfId="0" applyNumberFormat="1" applyFont="1" applyBorder="1" applyAlignment="1" applyProtection="1">
      <alignment horizontal="center" vertical="center"/>
      <protection locked="0"/>
    </xf>
    <xf numFmtId="164" fontId="27" fillId="0" borderId="62" xfId="0" applyNumberFormat="1" applyFont="1" applyBorder="1" applyAlignment="1" applyProtection="1">
      <alignment horizontal="center" vertical="center"/>
      <protection locked="0"/>
    </xf>
    <xf numFmtId="2" fontId="27" fillId="0" borderId="60" xfId="0" applyNumberFormat="1" applyFont="1" applyBorder="1" applyAlignment="1" applyProtection="1">
      <alignment horizontal="center" vertical="center"/>
      <protection locked="0"/>
    </xf>
    <xf numFmtId="2" fontId="27" fillId="0" borderId="62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6" fillId="0" borderId="7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1" fillId="0" borderId="65" xfId="0" applyFont="1" applyBorder="1" applyAlignment="1" applyProtection="1">
      <alignment horizontal="center" vertical="center" wrapText="1"/>
      <protection locked="0"/>
    </xf>
    <xf numFmtId="0" fontId="21" fillId="0" borderId="66" xfId="0" applyFont="1" applyBorder="1" applyAlignment="1" applyProtection="1">
      <alignment horizontal="center" vertical="center" wrapText="1"/>
      <protection locked="0"/>
    </xf>
    <xf numFmtId="0" fontId="21" fillId="0" borderId="67" xfId="0" applyFont="1" applyBorder="1" applyAlignment="1" applyProtection="1">
      <alignment horizontal="center" vertical="center" wrapText="1"/>
      <protection locked="0"/>
    </xf>
    <xf numFmtId="0" fontId="21" fillId="0" borderId="68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60" xfId="0" applyFont="1" applyBorder="1" applyAlignment="1" applyProtection="1">
      <alignment horizontal="center" vertical="center" wrapText="1"/>
      <protection locked="0"/>
    </xf>
    <xf numFmtId="0" fontId="21" fillId="0" borderId="61" xfId="0" applyFont="1" applyBorder="1" applyAlignment="1" applyProtection="1">
      <alignment horizontal="center" vertical="center" wrapText="1"/>
      <protection locked="0"/>
    </xf>
    <xf numFmtId="0" fontId="21" fillId="0" borderId="62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22" fillId="0" borderId="6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69" xfId="0" applyFont="1" applyBorder="1" applyAlignment="1" applyProtection="1">
      <alignment horizontal="center" vertical="center"/>
      <protection locked="0"/>
    </xf>
    <xf numFmtId="14" fontId="22" fillId="0" borderId="68" xfId="0" applyNumberFormat="1" applyFont="1" applyBorder="1" applyAlignment="1" applyProtection="1">
      <alignment horizontal="center" vertical="center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14" fontId="22" fillId="0" borderId="69" xfId="0" applyNumberFormat="1" applyFont="1" applyBorder="1" applyAlignment="1" applyProtection="1">
      <alignment horizontal="center" vertical="center"/>
      <protection locked="0"/>
    </xf>
    <xf numFmtId="164" fontId="20" fillId="0" borderId="64" xfId="2" applyNumberFormat="1" applyFont="1" applyBorder="1" applyAlignment="1" applyProtection="1">
      <alignment horizontal="center" vertical="center"/>
      <protection locked="0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2" fontId="20" fillId="0" borderId="60" xfId="2" applyNumberFormat="1" applyFont="1" applyBorder="1" applyAlignment="1" applyProtection="1">
      <alignment horizontal="center" vertical="center"/>
      <protection locked="0"/>
    </xf>
    <xf numFmtId="2" fontId="20" fillId="0" borderId="62" xfId="2" applyNumberFormat="1" applyFont="1" applyBorder="1" applyAlignment="1" applyProtection="1">
      <alignment horizontal="center" vertical="center"/>
      <protection locked="0"/>
    </xf>
    <xf numFmtId="0" fontId="19" fillId="0" borderId="60" xfId="2" applyFont="1" applyBorder="1" applyAlignment="1">
      <alignment horizontal="center" vertical="center" wrapText="1"/>
    </xf>
    <xf numFmtId="0" fontId="19" fillId="0" borderId="62" xfId="2" applyFont="1" applyBorder="1" applyAlignment="1">
      <alignment horizontal="center" vertical="center" wrapText="1"/>
    </xf>
    <xf numFmtId="164" fontId="27" fillId="0" borderId="63" xfId="3" applyNumberFormat="1" applyFont="1" applyBorder="1" applyAlignment="1">
      <alignment horizontal="center" vertical="center" wrapText="1"/>
    </xf>
    <xf numFmtId="164" fontId="27" fillId="0" borderId="62" xfId="3" applyNumberFormat="1" applyFont="1" applyBorder="1" applyAlignment="1" applyProtection="1">
      <alignment horizontal="center" vertical="center"/>
      <protection locked="0"/>
    </xf>
    <xf numFmtId="164" fontId="27" fillId="0" borderId="63" xfId="3" applyNumberFormat="1" applyFont="1" applyBorder="1" applyAlignment="1" applyProtection="1">
      <alignment horizontal="center" vertical="center"/>
      <protection locked="0"/>
    </xf>
    <xf numFmtId="164" fontId="27" fillId="0" borderId="60" xfId="3" applyNumberFormat="1" applyFont="1" applyBorder="1" applyAlignment="1" applyProtection="1">
      <alignment horizontal="center" vertical="center"/>
      <protection locked="0"/>
    </xf>
    <xf numFmtId="164" fontId="27" fillId="0" borderId="64" xfId="3" applyNumberFormat="1" applyFont="1" applyBorder="1" applyAlignment="1" applyProtection="1">
      <alignment horizontal="center" vertical="center"/>
      <protection locked="0"/>
    </xf>
    <xf numFmtId="164" fontId="27" fillId="0" borderId="62" xfId="3" applyNumberFormat="1" applyFont="1" applyBorder="1" applyAlignment="1" applyProtection="1">
      <alignment horizontal="center" vertical="center"/>
      <protection locked="0"/>
    </xf>
    <xf numFmtId="2" fontId="27" fillId="0" borderId="60" xfId="3" applyNumberFormat="1" applyFont="1" applyBorder="1" applyAlignment="1" applyProtection="1">
      <alignment horizontal="center" vertical="center"/>
      <protection locked="0"/>
    </xf>
    <xf numFmtId="2" fontId="27" fillId="0" borderId="62" xfId="3" applyNumberFormat="1" applyFont="1" applyBorder="1" applyAlignment="1" applyProtection="1">
      <alignment horizontal="center" vertical="center"/>
      <protection locked="0"/>
    </xf>
    <xf numFmtId="0" fontId="26" fillId="0" borderId="60" xfId="3" applyFont="1" applyBorder="1" applyAlignment="1">
      <alignment horizontal="center" vertical="center" wrapText="1"/>
    </xf>
    <xf numFmtId="0" fontId="26" fillId="0" borderId="62" xfId="3" applyFont="1" applyBorder="1" applyAlignment="1">
      <alignment horizontal="center" vertical="center" wrapText="1"/>
    </xf>
    <xf numFmtId="164" fontId="27" fillId="0" borderId="63" xfId="3" applyNumberFormat="1" applyFont="1" applyBorder="1" applyAlignment="1">
      <alignment horizontal="center" vertical="center" wrapText="1"/>
    </xf>
    <xf numFmtId="164" fontId="27" fillId="0" borderId="62" xfId="3" applyNumberFormat="1" applyFont="1" applyBorder="1" applyAlignment="1" applyProtection="1">
      <alignment horizontal="center" vertical="center"/>
      <protection locked="0"/>
    </xf>
    <xf numFmtId="164" fontId="27" fillId="0" borderId="63" xfId="3" applyNumberFormat="1" applyFont="1" applyBorder="1" applyAlignment="1" applyProtection="1">
      <alignment horizontal="center" vertical="center"/>
      <protection locked="0"/>
    </xf>
    <xf numFmtId="164" fontId="27" fillId="0" borderId="60" xfId="3" applyNumberFormat="1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3" xfId="2" xr:uid="{CF451C18-4A99-4D6B-9D39-92C235A8C39D}"/>
    <cellStyle name="Normal 4" xfId="3" xr:uid="{F50ED478-3F35-4F33-8DBC-7F27BE5F2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'210525 BBSG batiment'!$E$50:$Q$50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'210525 BBSG batiment'!$E$57:$W$57</c:f>
              <c:numCache>
                <c:formatCode>0.0</c:formatCode>
                <c:ptCount val="19"/>
                <c:pt idx="0">
                  <c:v>7.3</c:v>
                </c:pt>
                <c:pt idx="1">
                  <c:v>9.3000000000000007</c:v>
                </c:pt>
                <c:pt idx="2">
                  <c:v>12.1</c:v>
                </c:pt>
                <c:pt idx="3">
                  <c:v>15.8</c:v>
                </c:pt>
                <c:pt idx="4">
                  <c:v>21.3</c:v>
                </c:pt>
                <c:pt idx="5">
                  <c:v>31.8</c:v>
                </c:pt>
                <c:pt idx="6">
                  <c:v>47.7</c:v>
                </c:pt>
                <c:pt idx="7">
                  <c:v>70.3</c:v>
                </c:pt>
                <c:pt idx="8">
                  <c:v>86.3</c:v>
                </c:pt>
                <c:pt idx="9">
                  <c:v>97.4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5.48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FE-4780-95E7-6C0E358A298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'210525 BBSG batiment'!$E$50:$W$50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'210525 BBSG batiment'!$E$58:$W$58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13</c:v>
                </c:pt>
                <c:pt idx="3">
                  <c:v>17</c:v>
                </c:pt>
                <c:pt idx="4">
                  <c:v>24</c:v>
                </c:pt>
                <c:pt idx="5">
                  <c:v>31</c:v>
                </c:pt>
                <c:pt idx="6">
                  <c:v>44</c:v>
                </c:pt>
                <c:pt idx="7">
                  <c:v>65</c:v>
                </c:pt>
                <c:pt idx="8">
                  <c:v>81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FE-4780-95E7-6C0E358A298C}"/>
            </c:ext>
          </c:extLst>
        </c:ser>
        <c:ser>
          <c:idx val="2"/>
          <c:order val="2"/>
          <c:tx>
            <c:v>Valeur mini</c:v>
          </c:tx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40FE-4780-95E7-6C0E358A298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'210525 BBSG batiment'!$E$50:$W$50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'210525 BBSG batiment'!$E$60:$W$60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25</c:v>
                </c:pt>
                <c:pt idx="7">
                  <c:v>58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FE-4780-95E7-6C0E358A298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'210525 BBSG batiment'!$E$50:$W$50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'210525 BBSG batiment'!$E$59:$W$59</c:f>
              <c:numCache>
                <c:formatCode>0.0</c:formatCode>
                <c:ptCount val="19"/>
                <c:pt idx="0">
                  <c:v>9.1</c:v>
                </c:pt>
                <c:pt idx="5">
                  <c:v>37</c:v>
                </c:pt>
                <c:pt idx="7">
                  <c:v>72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FE-4780-95E7-6C0E358A2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'210525 gb base batiment'!$E$50:$Q$50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'210525 gb base batiment'!$E$57:$W$57</c:f>
              <c:numCache>
                <c:formatCode>0.0</c:formatCode>
                <c:ptCount val="19"/>
                <c:pt idx="0">
                  <c:v>6.8</c:v>
                </c:pt>
                <c:pt idx="1">
                  <c:v>8.6999999999999993</c:v>
                </c:pt>
                <c:pt idx="2">
                  <c:v>11.3</c:v>
                </c:pt>
                <c:pt idx="3">
                  <c:v>14.6</c:v>
                </c:pt>
                <c:pt idx="4">
                  <c:v>19.600000000000001</c:v>
                </c:pt>
                <c:pt idx="5">
                  <c:v>29.2</c:v>
                </c:pt>
                <c:pt idx="6">
                  <c:v>46.3</c:v>
                </c:pt>
                <c:pt idx="7">
                  <c:v>58.2</c:v>
                </c:pt>
                <c:pt idx="8">
                  <c:v>72.599999999999994</c:v>
                </c:pt>
                <c:pt idx="9">
                  <c:v>82.6</c:v>
                </c:pt>
                <c:pt idx="10">
                  <c:v>92.1</c:v>
                </c:pt>
                <c:pt idx="11">
                  <c:v>96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4.34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2-443E-B571-E1D8C74F746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'210525 gb base batiment'!$E$50:$W$50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'210525 gb base batiment'!$E$58:$W$58</c:f>
              <c:numCache>
                <c:formatCode>0.0</c:formatCode>
                <c:ptCount val="19"/>
                <c:pt idx="0">
                  <c:v>7.5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80</c:v>
                </c:pt>
                <c:pt idx="10">
                  <c:v>93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32-443E-B571-E1D8C74F746B}"/>
            </c:ext>
          </c:extLst>
        </c:ser>
        <c:ser>
          <c:idx val="2"/>
          <c:order val="2"/>
          <c:tx>
            <c:v>Valeur mini</c:v>
          </c:tx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432-443E-B571-E1D8C74F746B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'210525 gb base batiment'!$E$50:$W$50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'210525 gb base batiment'!$E$60:$W$60</c:f>
              <c:numCache>
                <c:formatCode>0.0</c:formatCode>
                <c:ptCount val="19"/>
                <c:pt idx="0">
                  <c:v>5.5</c:v>
                </c:pt>
                <c:pt idx="5">
                  <c:v>25</c:v>
                </c:pt>
                <c:pt idx="7">
                  <c:v>46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32-443E-B571-E1D8C74F746B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'210525 gb base batiment'!$E$50:$W$50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'210525 gb base batiment'!$E$59:$W$59</c:f>
              <c:numCache>
                <c:formatCode>0.0</c:formatCode>
                <c:ptCount val="19"/>
                <c:pt idx="0">
                  <c:v>9.5</c:v>
                </c:pt>
                <c:pt idx="5">
                  <c:v>37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32-443E-B571-E1D8C74F7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'200525 BBSG gde plateforme'!$E$50:$Q$50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'200525 BBSG gde plateforme'!$E$57:$W$57</c:f>
              <c:numCache>
                <c:formatCode>0.0</c:formatCode>
                <c:ptCount val="19"/>
                <c:pt idx="0">
                  <c:v>7.3000000000000007</c:v>
                </c:pt>
                <c:pt idx="1">
                  <c:v>9.15</c:v>
                </c:pt>
                <c:pt idx="2">
                  <c:v>11.75</c:v>
                </c:pt>
                <c:pt idx="3">
                  <c:v>15.1</c:v>
                </c:pt>
                <c:pt idx="4">
                  <c:v>20</c:v>
                </c:pt>
                <c:pt idx="5">
                  <c:v>28.950000000000003</c:v>
                </c:pt>
                <c:pt idx="6">
                  <c:v>45.2</c:v>
                </c:pt>
                <c:pt idx="7">
                  <c:v>69.2</c:v>
                </c:pt>
                <c:pt idx="8">
                  <c:v>82.4</c:v>
                </c:pt>
                <c:pt idx="9">
                  <c:v>94.4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162.5</c:v>
                </c:pt>
                <c:pt idx="18" formatCode="0.00">
                  <c:v>5.33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4B-44A5-B6D1-BB10696CCD4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'200525 BBSG gde plateforme'!$E$50:$W$50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'200525 BBSG gde plateforme'!$E$58:$W$58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13</c:v>
                </c:pt>
                <c:pt idx="3">
                  <c:v>17</c:v>
                </c:pt>
                <c:pt idx="4">
                  <c:v>24</c:v>
                </c:pt>
                <c:pt idx="5">
                  <c:v>31</c:v>
                </c:pt>
                <c:pt idx="6">
                  <c:v>44</c:v>
                </c:pt>
                <c:pt idx="7">
                  <c:v>65</c:v>
                </c:pt>
                <c:pt idx="8">
                  <c:v>81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4B-44A5-B6D1-BB10696CCD44}"/>
            </c:ext>
          </c:extLst>
        </c:ser>
        <c:ser>
          <c:idx val="2"/>
          <c:order val="2"/>
          <c:tx>
            <c:v>Valeur mini</c:v>
          </c:tx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44B-44A5-B6D1-BB10696CCD4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'200525 BBSG gde plateforme'!$E$50:$W$50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'200525 BBSG gde plateforme'!$E$60:$W$60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25</c:v>
                </c:pt>
                <c:pt idx="7">
                  <c:v>58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4B-44A5-B6D1-BB10696CCD4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'200525 BBSG gde plateforme'!$E$50:$W$50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'200525 BBSG gde plateforme'!$E$59:$W$59</c:f>
              <c:numCache>
                <c:formatCode>0.0</c:formatCode>
                <c:ptCount val="19"/>
                <c:pt idx="0">
                  <c:v>9.1</c:v>
                </c:pt>
                <c:pt idx="5">
                  <c:v>37</c:v>
                </c:pt>
                <c:pt idx="7">
                  <c:v>72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4B-44A5-B6D1-BB10696C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'200525 gb base plateforme et ba'!$E$50:$Q$50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'200525 gb base plateforme et ba'!$E$57:$W$57</c:f>
              <c:numCache>
                <c:formatCode>0.0</c:formatCode>
                <c:ptCount val="19"/>
                <c:pt idx="0">
                  <c:v>6.65</c:v>
                </c:pt>
                <c:pt idx="1">
                  <c:v>8.6499999999999986</c:v>
                </c:pt>
                <c:pt idx="2">
                  <c:v>11.5</c:v>
                </c:pt>
                <c:pt idx="3">
                  <c:v>15.149999999999999</c:v>
                </c:pt>
                <c:pt idx="4">
                  <c:v>20.7</c:v>
                </c:pt>
                <c:pt idx="5">
                  <c:v>31.099999999999998</c:v>
                </c:pt>
                <c:pt idx="6">
                  <c:v>44.95</c:v>
                </c:pt>
                <c:pt idx="7">
                  <c:v>57.35</c:v>
                </c:pt>
                <c:pt idx="8">
                  <c:v>75.75</c:v>
                </c:pt>
                <c:pt idx="9">
                  <c:v>86.65</c:v>
                </c:pt>
                <c:pt idx="10">
                  <c:v>93.7</c:v>
                </c:pt>
                <c:pt idx="11">
                  <c:v>97.65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180.5</c:v>
                </c:pt>
                <c:pt idx="18" formatCode="0.00">
                  <c:v>4.625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D0-41A1-ABBD-E95F89A9252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'200525 gb base plateforme et ba'!$E$50:$W$50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'200525 gb base plateforme et ba'!$E$58:$W$58</c:f>
              <c:numCache>
                <c:formatCode>0.0</c:formatCode>
                <c:ptCount val="19"/>
                <c:pt idx="0">
                  <c:v>7.5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80</c:v>
                </c:pt>
                <c:pt idx="10">
                  <c:v>93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D0-41A1-ABBD-E95F89A92525}"/>
            </c:ext>
          </c:extLst>
        </c:ser>
        <c:ser>
          <c:idx val="2"/>
          <c:order val="2"/>
          <c:tx>
            <c:v>Valeur mini</c:v>
          </c:tx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5D0-41A1-ABBD-E95F89A9252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'200525 gb base plateforme et ba'!$E$50:$W$50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'200525 gb base plateforme et ba'!$E$60:$W$60</c:f>
              <c:numCache>
                <c:formatCode>0.0</c:formatCode>
                <c:ptCount val="19"/>
                <c:pt idx="0">
                  <c:v>5.5</c:v>
                </c:pt>
                <c:pt idx="5">
                  <c:v>25</c:v>
                </c:pt>
                <c:pt idx="7">
                  <c:v>46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5D0-41A1-ABBD-E95F89A9252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'200525 gb base plateforme et ba'!$E$50:$W$50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'200525 gb base plateforme et ba'!$E$59:$W$59</c:f>
              <c:numCache>
                <c:formatCode>0.0</c:formatCode>
                <c:ptCount val="19"/>
                <c:pt idx="0">
                  <c:v>9.5</c:v>
                </c:pt>
                <c:pt idx="5">
                  <c:v>37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5D0-41A1-ABBD-E95F89A92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'190525 Gb base Quai'!$E$50:$Q$50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'190525 Gb base Quai'!$E$57:$W$57</c:f>
              <c:numCache>
                <c:formatCode>0.0</c:formatCode>
                <c:ptCount val="19"/>
                <c:pt idx="0">
                  <c:v>6.4</c:v>
                </c:pt>
                <c:pt idx="1">
                  <c:v>8.1999999999999993</c:v>
                </c:pt>
                <c:pt idx="2">
                  <c:v>10.85</c:v>
                </c:pt>
                <c:pt idx="3">
                  <c:v>14.149999999999999</c:v>
                </c:pt>
                <c:pt idx="4">
                  <c:v>19.3</c:v>
                </c:pt>
                <c:pt idx="5">
                  <c:v>28.5</c:v>
                </c:pt>
                <c:pt idx="6">
                  <c:v>42.650000000000006</c:v>
                </c:pt>
                <c:pt idx="7">
                  <c:v>58.25</c:v>
                </c:pt>
                <c:pt idx="8">
                  <c:v>68.3</c:v>
                </c:pt>
                <c:pt idx="9">
                  <c:v>81.150000000000006</c:v>
                </c:pt>
                <c:pt idx="10">
                  <c:v>91.8</c:v>
                </c:pt>
                <c:pt idx="11">
                  <c:v>96.35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168.5</c:v>
                </c:pt>
                <c:pt idx="18" formatCode="0.00">
                  <c:v>4.375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Quai'!$E$58:$W$58</c:f>
              <c:numCache>
                <c:formatCode>0.0</c:formatCode>
                <c:ptCount val="19"/>
                <c:pt idx="0">
                  <c:v>7.5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80</c:v>
                </c:pt>
                <c:pt idx="10">
                  <c:v>93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Quai'!$E$60:$W$60</c:f>
              <c:numCache>
                <c:formatCode>0.0</c:formatCode>
                <c:ptCount val="19"/>
                <c:pt idx="0">
                  <c:v>5.5</c:v>
                </c:pt>
                <c:pt idx="5">
                  <c:v>25</c:v>
                </c:pt>
                <c:pt idx="7">
                  <c:v>46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'190525 Gb base Quai'!$E$50:$W$50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'190525 Gb base Quai'!$E$59:$W$59</c:f>
              <c:numCache>
                <c:formatCode>0.0</c:formatCode>
                <c:ptCount val="19"/>
                <c:pt idx="0">
                  <c:v>9.5</c:v>
                </c:pt>
                <c:pt idx="5">
                  <c:v>37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7F6FF1-7432-43D1-B99E-081A5DF4F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A68CC6C-6791-4BEE-A5D6-58DCA34F82B0}"/>
            </a:ext>
          </a:extLst>
        </xdr:cNvPr>
        <xdr:cNvSpPr>
          <a:spLocks noChangeShapeType="1"/>
        </xdr:cNvSpPr>
      </xdr:nvSpPr>
      <xdr:spPr bwMode="auto">
        <a:xfrm>
          <a:off x="8517255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A911DA8-F869-49AC-BB05-5840E800D3F4}"/>
            </a:ext>
          </a:extLst>
        </xdr:cNvPr>
        <xdr:cNvSpPr txBox="1">
          <a:spLocks noChangeArrowheads="1"/>
        </xdr:cNvSpPr>
      </xdr:nvSpPr>
      <xdr:spPr bwMode="auto">
        <a:xfrm>
          <a:off x="8745855" y="796861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4E1F25E-8E23-4D90-A07B-B8720EAE0ED6}"/>
            </a:ext>
          </a:extLst>
        </xdr:cNvPr>
        <xdr:cNvSpPr>
          <a:spLocks noChangeShapeType="1"/>
        </xdr:cNvSpPr>
      </xdr:nvSpPr>
      <xdr:spPr bwMode="auto">
        <a:xfrm>
          <a:off x="11999595" y="809053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613B736-0291-4603-8302-B96FC32BB64B}"/>
            </a:ext>
          </a:extLst>
        </xdr:cNvPr>
        <xdr:cNvSpPr>
          <a:spLocks noChangeShapeType="1"/>
        </xdr:cNvSpPr>
      </xdr:nvSpPr>
      <xdr:spPr bwMode="auto">
        <a:xfrm flipH="1">
          <a:off x="9039225" y="848677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EE35A1A-31DA-460D-8547-FA6D71704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E36B7CB-66DE-4334-A860-5124DC99C0BB}"/>
            </a:ext>
          </a:extLst>
        </xdr:cNvPr>
        <xdr:cNvSpPr txBox="1">
          <a:spLocks noChangeArrowheads="1"/>
        </xdr:cNvSpPr>
      </xdr:nvSpPr>
      <xdr:spPr bwMode="auto">
        <a:xfrm>
          <a:off x="11300460" y="1188720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09BFA40-1362-4CF4-ADC4-4113F7031D19}"/>
            </a:ext>
          </a:extLst>
        </xdr:cNvPr>
        <xdr:cNvSpPr>
          <a:spLocks noChangeShapeType="1"/>
        </xdr:cNvSpPr>
      </xdr:nvSpPr>
      <xdr:spPr bwMode="auto">
        <a:xfrm flipH="1">
          <a:off x="20775930" y="205320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B4748C2-DE50-47B9-8DF6-66C25777066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0332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87B06ED-A72E-41E1-B705-7AB207E2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E31D5A-C420-472F-9200-49746E77C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8C2B66A-9D5F-4EA3-A713-6273A49BE01A}"/>
            </a:ext>
          </a:extLst>
        </xdr:cNvPr>
        <xdr:cNvSpPr>
          <a:spLocks noChangeShapeType="1"/>
        </xdr:cNvSpPr>
      </xdr:nvSpPr>
      <xdr:spPr bwMode="auto">
        <a:xfrm>
          <a:off x="8517255" y="10736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0EC9076-E268-48E2-9075-9607B75E52F6}"/>
            </a:ext>
          </a:extLst>
        </xdr:cNvPr>
        <xdr:cNvSpPr txBox="1">
          <a:spLocks noChangeArrowheads="1"/>
        </xdr:cNvSpPr>
      </xdr:nvSpPr>
      <xdr:spPr bwMode="auto">
        <a:xfrm>
          <a:off x="8745855" y="69703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EA6274B-AF81-4278-AEE7-7D2AEB8854A4}"/>
            </a:ext>
          </a:extLst>
        </xdr:cNvPr>
        <xdr:cNvSpPr>
          <a:spLocks noChangeShapeType="1"/>
        </xdr:cNvSpPr>
      </xdr:nvSpPr>
      <xdr:spPr bwMode="auto">
        <a:xfrm>
          <a:off x="11999595" y="70923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B07DB54-29FA-4BA7-B3AB-A31556BA3615}"/>
            </a:ext>
          </a:extLst>
        </xdr:cNvPr>
        <xdr:cNvSpPr>
          <a:spLocks noChangeShapeType="1"/>
        </xdr:cNvSpPr>
      </xdr:nvSpPr>
      <xdr:spPr bwMode="auto">
        <a:xfrm flipH="1">
          <a:off x="9039225" y="74885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0740278-1814-4274-9628-7EE2C7E7A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9EA2635-F9DB-4739-B004-1C4FFBD7CC84}"/>
            </a:ext>
          </a:extLst>
        </xdr:cNvPr>
        <xdr:cNvSpPr txBox="1">
          <a:spLocks noChangeArrowheads="1"/>
        </xdr:cNvSpPr>
      </xdr:nvSpPr>
      <xdr:spPr bwMode="auto">
        <a:xfrm>
          <a:off x="11300460" y="1088898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7D6BDF1-A9CB-4329-A72B-BEBDC7707FAC}"/>
            </a:ext>
          </a:extLst>
        </xdr:cNvPr>
        <xdr:cNvSpPr>
          <a:spLocks noChangeShapeType="1"/>
        </xdr:cNvSpPr>
      </xdr:nvSpPr>
      <xdr:spPr bwMode="auto">
        <a:xfrm flipH="1">
          <a:off x="20775930" y="1953387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2B6C63A-068A-4176-B211-B17D42CB5AE9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40510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92349C3-D58D-4A82-A2C0-B19300AB7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284ECC-8C9C-46C4-BFCE-8D9D0D92A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ADDC277-5204-41B8-8B5B-6E72795514B9}"/>
            </a:ext>
          </a:extLst>
        </xdr:cNvPr>
        <xdr:cNvSpPr>
          <a:spLocks noChangeShapeType="1"/>
        </xdr:cNvSpPr>
      </xdr:nvSpPr>
      <xdr:spPr bwMode="auto">
        <a:xfrm>
          <a:off x="8517255" y="10736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110E6162-CDA8-4D69-89B7-23B707EFA1CB}"/>
            </a:ext>
          </a:extLst>
        </xdr:cNvPr>
        <xdr:cNvSpPr txBox="1">
          <a:spLocks noChangeArrowheads="1"/>
        </xdr:cNvSpPr>
      </xdr:nvSpPr>
      <xdr:spPr bwMode="auto">
        <a:xfrm>
          <a:off x="8745855" y="69703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B22FF99-4051-4CC9-A61B-E9426130F90A}"/>
            </a:ext>
          </a:extLst>
        </xdr:cNvPr>
        <xdr:cNvSpPr>
          <a:spLocks noChangeShapeType="1"/>
        </xdr:cNvSpPr>
      </xdr:nvSpPr>
      <xdr:spPr bwMode="auto">
        <a:xfrm>
          <a:off x="11999595" y="70923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E6F96B0-F95D-41BC-8BDB-803CA5C5857A}"/>
            </a:ext>
          </a:extLst>
        </xdr:cNvPr>
        <xdr:cNvSpPr>
          <a:spLocks noChangeShapeType="1"/>
        </xdr:cNvSpPr>
      </xdr:nvSpPr>
      <xdr:spPr bwMode="auto">
        <a:xfrm flipH="1">
          <a:off x="9039225" y="74885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26BB845-C522-4FF2-B4C1-55F1756E9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F619CB2-BD40-4B8A-8086-25051036157E}"/>
            </a:ext>
          </a:extLst>
        </xdr:cNvPr>
        <xdr:cNvSpPr txBox="1">
          <a:spLocks noChangeArrowheads="1"/>
        </xdr:cNvSpPr>
      </xdr:nvSpPr>
      <xdr:spPr bwMode="auto">
        <a:xfrm>
          <a:off x="11300460" y="1088898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F2DD00D-FD53-4C20-BE2A-44E84E6ED456}"/>
            </a:ext>
          </a:extLst>
        </xdr:cNvPr>
        <xdr:cNvSpPr>
          <a:spLocks noChangeShapeType="1"/>
        </xdr:cNvSpPr>
      </xdr:nvSpPr>
      <xdr:spPr bwMode="auto">
        <a:xfrm flipH="1">
          <a:off x="20775930" y="1953387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E020E95-2173-445E-AE2F-C2291FB0E2BD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40510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F6F97D7-18B7-4279-AEEA-5EB540F42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526AB5D-7F59-4ABD-8DD7-47CB1694C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7040E49-9E3E-40D8-AFA4-FB59C696DB3D}"/>
            </a:ext>
          </a:extLst>
        </xdr:cNvPr>
        <xdr:cNvSpPr>
          <a:spLocks noChangeShapeType="1"/>
        </xdr:cNvSpPr>
      </xdr:nvSpPr>
      <xdr:spPr bwMode="auto">
        <a:xfrm>
          <a:off x="8517255" y="10736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2B147A0-6220-4660-A6AF-3D3BD9B75D61}"/>
            </a:ext>
          </a:extLst>
        </xdr:cNvPr>
        <xdr:cNvSpPr txBox="1">
          <a:spLocks noChangeArrowheads="1"/>
        </xdr:cNvSpPr>
      </xdr:nvSpPr>
      <xdr:spPr bwMode="auto">
        <a:xfrm>
          <a:off x="8745855" y="69703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0C8EE42-F7FD-40D9-9D22-C6AE19B9C0EF}"/>
            </a:ext>
          </a:extLst>
        </xdr:cNvPr>
        <xdr:cNvSpPr>
          <a:spLocks noChangeShapeType="1"/>
        </xdr:cNvSpPr>
      </xdr:nvSpPr>
      <xdr:spPr bwMode="auto">
        <a:xfrm>
          <a:off x="11999595" y="70923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AF452E1-4F6D-404E-A434-337ED8EFF77D}"/>
            </a:ext>
          </a:extLst>
        </xdr:cNvPr>
        <xdr:cNvSpPr>
          <a:spLocks noChangeShapeType="1"/>
        </xdr:cNvSpPr>
      </xdr:nvSpPr>
      <xdr:spPr bwMode="auto">
        <a:xfrm flipH="1">
          <a:off x="9039225" y="74885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CCF4411-5E15-43B6-8D16-24DA4C442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674C16B-E034-4AD2-80A4-F2059C7867A3}"/>
            </a:ext>
          </a:extLst>
        </xdr:cNvPr>
        <xdr:cNvSpPr txBox="1">
          <a:spLocks noChangeArrowheads="1"/>
        </xdr:cNvSpPr>
      </xdr:nvSpPr>
      <xdr:spPr bwMode="auto">
        <a:xfrm>
          <a:off x="11300460" y="1088898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C1F571D-ED5B-4D98-AEAF-F1668C25C8E3}"/>
            </a:ext>
          </a:extLst>
        </xdr:cNvPr>
        <xdr:cNvSpPr>
          <a:spLocks noChangeShapeType="1"/>
        </xdr:cNvSpPr>
      </xdr:nvSpPr>
      <xdr:spPr bwMode="auto">
        <a:xfrm flipH="1">
          <a:off x="20775930" y="1953387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302B89C-81BF-4655-910D-C6120F892816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40510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DFAA30E-5F7A-457B-89BD-1351C4C5F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8AE8-948A-4B2B-A688-51D6FB94ABEF}">
  <sheetPr>
    <pageSetUpPr fitToPage="1"/>
  </sheetPr>
  <dimension ref="A1:AN70"/>
  <sheetViews>
    <sheetView tabSelected="1" topLeftCell="A41" zoomScaleNormal="100" workbookViewId="0">
      <selection activeCell="N51" sqref="N5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59"/>
      <c r="B1" s="260"/>
      <c r="C1" s="260"/>
      <c r="D1" s="260"/>
      <c r="E1" s="260"/>
      <c r="F1" s="261"/>
      <c r="G1" s="268" t="s">
        <v>33</v>
      </c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70"/>
      <c r="U1" s="271" t="s">
        <v>52</v>
      </c>
      <c r="V1" s="272"/>
      <c r="W1" s="272"/>
      <c r="X1" s="272"/>
      <c r="Y1" s="272"/>
      <c r="Z1" s="273"/>
      <c r="AA1" s="78"/>
    </row>
    <row r="2" spans="1:36" ht="12.6" customHeight="1" x14ac:dyDescent="0.25">
      <c r="A2" s="262"/>
      <c r="B2" s="263"/>
      <c r="C2" s="263"/>
      <c r="D2" s="263"/>
      <c r="E2" s="263"/>
      <c r="F2" s="264"/>
      <c r="G2" s="280" t="s">
        <v>39</v>
      </c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2"/>
      <c r="U2" s="274"/>
      <c r="V2" s="275"/>
      <c r="W2" s="275"/>
      <c r="X2" s="275"/>
      <c r="Y2" s="275"/>
      <c r="Z2" s="276"/>
      <c r="AA2" s="78"/>
    </row>
    <row r="3" spans="1:36" ht="12.6" customHeight="1" x14ac:dyDescent="0.25">
      <c r="A3" s="262"/>
      <c r="B3" s="263"/>
      <c r="C3" s="263"/>
      <c r="D3" s="263"/>
      <c r="E3" s="263"/>
      <c r="F3" s="264"/>
      <c r="G3" s="283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2"/>
      <c r="U3" s="274"/>
      <c r="V3" s="275"/>
      <c r="W3" s="275"/>
      <c r="X3" s="275"/>
      <c r="Y3" s="275"/>
      <c r="Z3" s="276"/>
      <c r="AA3" s="78"/>
    </row>
    <row r="4" spans="1:36" ht="12.6" customHeight="1" x14ac:dyDescent="0.25">
      <c r="A4" s="262"/>
      <c r="B4" s="263"/>
      <c r="C4" s="263"/>
      <c r="D4" s="263"/>
      <c r="E4" s="263"/>
      <c r="F4" s="264"/>
      <c r="G4" s="283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2"/>
      <c r="U4" s="274"/>
      <c r="V4" s="275"/>
      <c r="W4" s="275"/>
      <c r="X4" s="275"/>
      <c r="Y4" s="275"/>
      <c r="Z4" s="276"/>
      <c r="AA4" s="78"/>
    </row>
    <row r="5" spans="1:36" ht="12.6" customHeight="1" x14ac:dyDescent="0.25">
      <c r="A5" s="262"/>
      <c r="B5" s="263"/>
      <c r="C5" s="263"/>
      <c r="D5" s="263"/>
      <c r="E5" s="263"/>
      <c r="F5" s="264"/>
      <c r="G5" s="283" t="s">
        <v>40</v>
      </c>
      <c r="H5" s="281"/>
      <c r="I5" s="2" t="s">
        <v>34</v>
      </c>
      <c r="J5" s="247">
        <v>5</v>
      </c>
      <c r="K5" s="284"/>
      <c r="L5" s="285" t="s">
        <v>53</v>
      </c>
      <c r="M5" s="286"/>
      <c r="N5" s="286"/>
      <c r="O5" s="287"/>
      <c r="P5" s="288">
        <v>45799</v>
      </c>
      <c r="Q5" s="289"/>
      <c r="R5" s="289"/>
      <c r="S5" s="289"/>
      <c r="T5" s="290"/>
      <c r="U5" s="274"/>
      <c r="V5" s="275"/>
      <c r="W5" s="275"/>
      <c r="X5" s="275"/>
      <c r="Y5" s="275"/>
      <c r="Z5" s="276"/>
      <c r="AA5" s="78"/>
    </row>
    <row r="6" spans="1:36" ht="12.6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45" t="s">
        <v>35</v>
      </c>
      <c r="K6" s="245"/>
      <c r="L6" s="245" t="s">
        <v>36</v>
      </c>
      <c r="M6" s="245"/>
      <c r="N6" s="245"/>
      <c r="O6" s="245"/>
      <c r="P6" s="245" t="s">
        <v>37</v>
      </c>
      <c r="Q6" s="245"/>
      <c r="R6" s="245"/>
      <c r="S6" s="245"/>
      <c r="T6" s="256"/>
      <c r="U6" s="277"/>
      <c r="V6" s="278"/>
      <c r="W6" s="278"/>
      <c r="X6" s="278"/>
      <c r="Y6" s="278"/>
      <c r="Z6" s="279"/>
      <c r="AA6" s="78"/>
    </row>
    <row r="7" spans="1:36" ht="36.6" customHeight="1" x14ac:dyDescent="0.25">
      <c r="A7" s="257" t="s">
        <v>38</v>
      </c>
      <c r="B7" s="257"/>
      <c r="C7" s="257"/>
      <c r="D7" s="257"/>
      <c r="E7" s="257"/>
      <c r="F7" s="257"/>
      <c r="G7" s="258" t="s">
        <v>32</v>
      </c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46" t="s">
        <v>27</v>
      </c>
      <c r="C10" s="246"/>
      <c r="D10" s="246"/>
      <c r="E10" s="246"/>
      <c r="F10" s="246"/>
      <c r="G10" s="253" t="s">
        <v>55</v>
      </c>
      <c r="H10" s="253"/>
      <c r="I10" s="253"/>
      <c r="J10" s="253"/>
      <c r="K10" s="253"/>
      <c r="L10" s="253"/>
      <c r="M10" s="246" t="s">
        <v>30</v>
      </c>
      <c r="N10" s="246"/>
      <c r="O10" s="246"/>
      <c r="P10" s="246"/>
      <c r="Q10" s="246"/>
      <c r="R10" s="246"/>
      <c r="S10" s="254" t="s">
        <v>58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46" t="s">
        <v>6</v>
      </c>
      <c r="C11" s="246"/>
      <c r="D11" s="246"/>
      <c r="E11" s="246"/>
      <c r="F11" s="246"/>
      <c r="G11" s="253">
        <v>45799</v>
      </c>
      <c r="H11" s="253"/>
      <c r="I11" s="253"/>
      <c r="J11" s="253"/>
      <c r="K11" s="253"/>
      <c r="L11" s="253"/>
      <c r="M11" s="246" t="s">
        <v>44</v>
      </c>
      <c r="N11" s="246"/>
      <c r="O11" s="246"/>
      <c r="P11" s="246"/>
      <c r="Q11" s="246"/>
      <c r="R11" s="246"/>
      <c r="S11" s="254" t="s">
        <v>74</v>
      </c>
      <c r="T11" s="254"/>
      <c r="U11" s="254"/>
      <c r="V11" s="254"/>
      <c r="W11" s="254"/>
      <c r="X11" s="254"/>
      <c r="Y11" s="254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46" t="s">
        <v>28</v>
      </c>
      <c r="C12" s="246"/>
      <c r="D12" s="246"/>
      <c r="E12" s="246"/>
      <c r="F12" s="246"/>
      <c r="G12" s="253">
        <v>45798</v>
      </c>
      <c r="H12" s="253"/>
      <c r="I12" s="253"/>
      <c r="J12" s="253"/>
      <c r="K12" s="253"/>
      <c r="L12" s="253"/>
      <c r="M12" s="255" t="s">
        <v>43</v>
      </c>
      <c r="N12" s="255"/>
      <c r="O12" s="255"/>
      <c r="P12" s="255"/>
      <c r="Q12" s="255"/>
      <c r="R12" s="255"/>
      <c r="S12" s="254">
        <v>134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2" t="s">
        <v>41</v>
      </c>
      <c r="C13" s="252"/>
      <c r="D13" s="252"/>
      <c r="E13" s="252"/>
      <c r="F13" s="252"/>
      <c r="G13" s="253" t="s">
        <v>56</v>
      </c>
      <c r="H13" s="253"/>
      <c r="I13" s="253"/>
      <c r="J13" s="253"/>
      <c r="K13" s="253"/>
      <c r="L13" s="253"/>
      <c r="M13" s="246" t="s">
        <v>29</v>
      </c>
      <c r="N13" s="246"/>
      <c r="O13" s="246"/>
      <c r="P13" s="246"/>
      <c r="Q13" s="246"/>
      <c r="R13" s="246"/>
      <c r="S13" s="253" t="s">
        <v>68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46" t="s">
        <v>42</v>
      </c>
      <c r="C14" s="246"/>
      <c r="D14" s="246"/>
      <c r="E14" s="246"/>
      <c r="F14" s="246"/>
      <c r="G14" s="253" t="s">
        <v>57</v>
      </c>
      <c r="H14" s="253"/>
      <c r="I14" s="253"/>
      <c r="J14" s="253"/>
      <c r="K14" s="253"/>
      <c r="L14" s="253"/>
      <c r="M14" s="254" t="s">
        <v>26</v>
      </c>
      <c r="N14" s="254"/>
      <c r="O14" s="254"/>
      <c r="P14" s="254"/>
      <c r="Q14" s="254"/>
      <c r="R14" s="254"/>
      <c r="S14" s="254" t="s">
        <v>49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46" t="s">
        <v>19</v>
      </c>
      <c r="C19" s="246"/>
      <c r="D19" s="246"/>
      <c r="E19" s="246"/>
      <c r="F19" s="246"/>
      <c r="G19" s="246"/>
      <c r="H19" s="246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17"/>
      <c r="AA19" s="75"/>
      <c r="AE19" s="20"/>
      <c r="AI19" s="20"/>
    </row>
    <row r="20" spans="1:40" ht="15.9" customHeight="1" x14ac:dyDescent="0.25">
      <c r="A20" s="13"/>
      <c r="B20" s="246" t="s">
        <v>20</v>
      </c>
      <c r="C20" s="246"/>
      <c r="D20" s="246"/>
      <c r="E20" s="246"/>
      <c r="F20" s="246"/>
      <c r="G20" s="246"/>
      <c r="H20" s="246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91.2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48" t="s">
        <v>16</v>
      </c>
      <c r="AE47" s="250">
        <v>2.6709999999999998</v>
      </c>
      <c r="AF47" s="220"/>
      <c r="AG47" s="226"/>
      <c r="AH47" s="39"/>
    </row>
    <row r="48" spans="1:34" ht="12.75" customHeight="1" thickBot="1" x14ac:dyDescent="0.3">
      <c r="A48" s="18"/>
      <c r="Z48" s="87"/>
      <c r="AD48" s="249"/>
      <c r="AE48" s="251"/>
      <c r="AF48" s="225"/>
      <c r="AG48" s="226"/>
    </row>
    <row r="49" spans="1:34" ht="18.75" customHeight="1" thickBot="1" x14ac:dyDescent="0.3">
      <c r="A49" s="18"/>
      <c r="E49" s="227" t="s">
        <v>11</v>
      </c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9" t="s">
        <v>47</v>
      </c>
      <c r="V49" s="230"/>
      <c r="W49" s="231" t="s">
        <v>12</v>
      </c>
      <c r="X49" s="230"/>
      <c r="Y49" s="232" t="s">
        <v>13</v>
      </c>
      <c r="Z49" s="233"/>
      <c r="AA49" s="82"/>
      <c r="AB49" s="236" t="s">
        <v>45</v>
      </c>
      <c r="AC49" s="237"/>
      <c r="AD49" s="240" t="s">
        <v>14</v>
      </c>
      <c r="AE49" s="242" t="s">
        <v>15</v>
      </c>
      <c r="AF49" s="220"/>
      <c r="AG49" s="220"/>
      <c r="AH49" s="40"/>
    </row>
    <row r="50" spans="1:34" ht="24.9" customHeight="1" thickBot="1" x14ac:dyDescent="0.3">
      <c r="A50" s="5"/>
      <c r="B50" s="41" t="s">
        <v>22</v>
      </c>
      <c r="C50" s="221" t="s">
        <v>10</v>
      </c>
      <c r="D50" s="22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1"/>
      <c r="V50" s="173"/>
      <c r="W50" s="172"/>
      <c r="X50" s="173"/>
      <c r="Y50" s="234"/>
      <c r="Z50" s="235"/>
      <c r="AA50" s="82"/>
      <c r="AB50" s="238"/>
      <c r="AC50" s="239"/>
      <c r="AD50" s="241"/>
      <c r="AE50" s="243"/>
      <c r="AF50" s="244"/>
      <c r="AG50" s="220"/>
    </row>
    <row r="51" spans="1:34" ht="24.9" customHeight="1" x14ac:dyDescent="0.25">
      <c r="A51" s="5"/>
      <c r="B51" s="43">
        <v>1</v>
      </c>
      <c r="C51" s="305" t="s">
        <v>76</v>
      </c>
      <c r="D51" s="306"/>
      <c r="E51" s="307">
        <v>7.3</v>
      </c>
      <c r="F51" s="308">
        <v>9.3000000000000007</v>
      </c>
      <c r="G51" s="309">
        <v>12.1</v>
      </c>
      <c r="H51" s="309">
        <v>15.8</v>
      </c>
      <c r="I51" s="309">
        <v>21.3</v>
      </c>
      <c r="J51" s="309">
        <v>31.8</v>
      </c>
      <c r="K51" s="309">
        <v>47.7</v>
      </c>
      <c r="L51" s="309">
        <v>70.3</v>
      </c>
      <c r="M51" s="309">
        <v>86.3</v>
      </c>
      <c r="N51" s="309">
        <v>97.4</v>
      </c>
      <c r="O51" s="309">
        <v>100</v>
      </c>
      <c r="P51" s="309"/>
      <c r="Q51" s="309"/>
      <c r="R51" s="309"/>
      <c r="S51" s="310"/>
      <c r="T51" s="310"/>
      <c r="U51" s="301">
        <v>168</v>
      </c>
      <c r="V51" s="302"/>
      <c r="W51" s="303">
        <v>5.48</v>
      </c>
      <c r="X51" s="304"/>
      <c r="Y51" s="223">
        <f>IF(W51&lt;&gt;0,AE51,"")</f>
        <v>3.4517605983628519</v>
      </c>
      <c r="Z51" s="224"/>
      <c r="AA51" s="80"/>
      <c r="AB51" s="188">
        <f>(100*W51)/(100-W51)</f>
        <v>5.7977147693609821</v>
      </c>
      <c r="AC51" s="189"/>
      <c r="AD51" s="67">
        <f>(0.25*(100-O51)+2.3*(O51-H51)+12*(H51-E51)+150*(E51))/100</f>
        <v>13.906599999999999</v>
      </c>
      <c r="AE51" s="68">
        <f>(AB51*$AE$47)/(2.65*(AD51)^(1/5))</f>
        <v>3.4517605983628519</v>
      </c>
      <c r="AF51" s="29"/>
      <c r="AG51" s="66"/>
    </row>
    <row r="52" spans="1:34" ht="24.9" customHeight="1" x14ac:dyDescent="0.25">
      <c r="A52" s="5"/>
      <c r="B52" s="44">
        <v>2</v>
      </c>
      <c r="C52" s="209"/>
      <c r="D52" s="210"/>
      <c r="E52" s="127"/>
      <c r="F52" s="128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30"/>
      <c r="T52" s="130"/>
      <c r="U52" s="211"/>
      <c r="V52" s="212"/>
      <c r="W52" s="213"/>
      <c r="X52" s="214"/>
      <c r="Y52" s="215" t="str">
        <f>IF(W52&lt;&gt;0,AE52,"")</f>
        <v/>
      </c>
      <c r="Z52" s="216"/>
      <c r="AA52" s="80"/>
      <c r="AB52" s="188">
        <f>(100*W52)/(100-W52)</f>
        <v>0</v>
      </c>
      <c r="AC52" s="189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65"/>
      <c r="D53" s="217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1"/>
      <c r="P53" s="92"/>
      <c r="Q53" s="121"/>
      <c r="R53" s="92"/>
      <c r="S53" s="92"/>
      <c r="T53" s="93"/>
      <c r="U53" s="162"/>
      <c r="V53" s="163"/>
      <c r="W53" s="218"/>
      <c r="X53" s="219"/>
      <c r="Y53" s="215" t="str">
        <f t="shared" ref="Y53:Y54" si="2">IF(W53&lt;&gt;0,AE53,"")</f>
        <v/>
      </c>
      <c r="Z53" s="216"/>
      <c r="AA53" s="80"/>
      <c r="AB53" s="188">
        <f>(100*W53)/(100-W53)</f>
        <v>0</v>
      </c>
      <c r="AC53" s="18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77"/>
      <c r="D54" s="199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2"/>
      <c r="P54" s="96"/>
      <c r="Q54" s="122"/>
      <c r="R54" s="96"/>
      <c r="S54" s="96"/>
      <c r="T54" s="97"/>
      <c r="U54" s="200"/>
      <c r="V54" s="201"/>
      <c r="W54" s="202"/>
      <c r="X54" s="203"/>
      <c r="Y54" s="204" t="str">
        <f t="shared" si="2"/>
        <v/>
      </c>
      <c r="Z54" s="205"/>
      <c r="AA54" s="80"/>
      <c r="AB54" s="188">
        <f>(100*W54)/(100-W54)</f>
        <v>0</v>
      </c>
      <c r="AC54" s="18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3"/>
      <c r="P55" s="46"/>
      <c r="Q55" s="123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06" t="s">
        <v>8</v>
      </c>
      <c r="C56" s="207"/>
      <c r="D56" s="208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4"/>
      <c r="P56" s="47"/>
      <c r="Q56" s="124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79" t="s">
        <v>7</v>
      </c>
      <c r="C57" s="180"/>
      <c r="D57" s="181"/>
      <c r="E57" s="125">
        <f t="shared" ref="E57:T57" si="3">IF(E51&lt;&gt;0,AVERAGE(E51:E54),"")</f>
        <v>7.3</v>
      </c>
      <c r="F57" s="125">
        <f t="shared" si="3"/>
        <v>9.3000000000000007</v>
      </c>
      <c r="G57" s="125">
        <f t="shared" si="3"/>
        <v>12.1</v>
      </c>
      <c r="H57" s="125">
        <f t="shared" si="3"/>
        <v>15.8</v>
      </c>
      <c r="I57" s="125">
        <f t="shared" si="3"/>
        <v>21.3</v>
      </c>
      <c r="J57" s="125">
        <f t="shared" si="3"/>
        <v>31.8</v>
      </c>
      <c r="K57" s="125">
        <f t="shared" si="3"/>
        <v>47.7</v>
      </c>
      <c r="L57" s="125">
        <f t="shared" si="3"/>
        <v>70.3</v>
      </c>
      <c r="M57" s="125">
        <f t="shared" si="3"/>
        <v>86.3</v>
      </c>
      <c r="N57" s="125">
        <f t="shared" si="3"/>
        <v>97.4</v>
      </c>
      <c r="O57" s="126">
        <f t="shared" si="3"/>
        <v>100</v>
      </c>
      <c r="P57" s="125"/>
      <c r="Q57" s="126"/>
      <c r="R57" s="98"/>
      <c r="S57" s="98" t="str">
        <f t="shared" si="3"/>
        <v/>
      </c>
      <c r="T57" s="99" t="str">
        <f t="shared" si="3"/>
        <v/>
      </c>
      <c r="U57" s="182">
        <f>IF(U51&lt;&gt;0,AVERAGE(U51:V54),"")</f>
        <v>168</v>
      </c>
      <c r="V57" s="183"/>
      <c r="W57" s="184">
        <f>IF(W51&lt;&gt;0,AVERAGE(W51:X54),"")</f>
        <v>5.48</v>
      </c>
      <c r="X57" s="185"/>
      <c r="Y57" s="186">
        <f>IF(W51&lt;&gt;0,AVERAGE(Y51:Z54),"")</f>
        <v>3.4517605983628519</v>
      </c>
      <c r="Z57" s="187"/>
      <c r="AA57" s="66"/>
      <c r="AB57" s="188">
        <f>(100*W57)/(100-W57)</f>
        <v>5.7977147693609821</v>
      </c>
      <c r="AC57" s="189"/>
      <c r="AD57" s="67">
        <f t="shared" si="0"/>
        <v>13.906599999999999</v>
      </c>
      <c r="AE57" s="68">
        <f t="shared" si="1"/>
        <v>3.4517605983628519</v>
      </c>
      <c r="AF57" s="29"/>
      <c r="AG57" s="66"/>
    </row>
    <row r="58" spans="1:34" ht="21" customHeight="1" x14ac:dyDescent="0.25">
      <c r="A58" s="5"/>
      <c r="B58" s="190" t="s">
        <v>9</v>
      </c>
      <c r="C58" s="191"/>
      <c r="D58" s="192"/>
      <c r="E58" s="114">
        <v>7.1</v>
      </c>
      <c r="F58" s="114">
        <v>9</v>
      </c>
      <c r="G58" s="114">
        <v>13</v>
      </c>
      <c r="H58" s="114">
        <v>17</v>
      </c>
      <c r="I58" s="114">
        <v>24</v>
      </c>
      <c r="J58" s="114">
        <v>31</v>
      </c>
      <c r="K58" s="114">
        <v>44</v>
      </c>
      <c r="L58" s="114">
        <v>65</v>
      </c>
      <c r="M58" s="114">
        <v>81</v>
      </c>
      <c r="N58" s="114">
        <v>96</v>
      </c>
      <c r="O58" s="115">
        <v>100</v>
      </c>
      <c r="P58" s="114"/>
      <c r="Q58" s="115"/>
      <c r="R58" s="100"/>
      <c r="S58" s="100"/>
      <c r="T58" s="101"/>
      <c r="U58" s="193"/>
      <c r="V58" s="194"/>
      <c r="W58" s="195">
        <v>5.3</v>
      </c>
      <c r="X58" s="196"/>
      <c r="Y58" s="197">
        <f>AE58</f>
        <v>3.3397373854480432</v>
      </c>
      <c r="Z58" s="198"/>
      <c r="AA58" s="66"/>
      <c r="AB58" s="188">
        <f>(100*W58)/(100-W58)</f>
        <v>5.5966209081309399</v>
      </c>
      <c r="AC58" s="189"/>
      <c r="AD58" s="67">
        <f t="shared" si="0"/>
        <v>13.747</v>
      </c>
      <c r="AE58" s="68">
        <f t="shared" si="1"/>
        <v>3.3397373854480432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9.1</v>
      </c>
      <c r="F59" s="92"/>
      <c r="G59" s="92"/>
      <c r="H59" s="92"/>
      <c r="I59" s="92"/>
      <c r="J59" s="92">
        <f>J58+6</f>
        <v>37</v>
      </c>
      <c r="K59" s="92"/>
      <c r="L59" s="92">
        <f>L58+7</f>
        <v>72</v>
      </c>
      <c r="M59" s="92"/>
      <c r="N59" s="92"/>
      <c r="O59" s="92"/>
      <c r="P59" s="92"/>
      <c r="Q59" s="92"/>
      <c r="R59" s="92"/>
      <c r="S59" s="92"/>
      <c r="T59" s="93"/>
      <c r="U59" s="162"/>
      <c r="V59" s="163"/>
      <c r="W59" s="164">
        <f>W58+0.5</f>
        <v>5.8</v>
      </c>
      <c r="X59" s="163"/>
      <c r="Y59" s="165"/>
      <c r="Z59" s="166"/>
      <c r="AA59" s="83"/>
      <c r="AB59" s="71"/>
      <c r="AC59" s="69"/>
      <c r="AD59" s="167"/>
      <c r="AE59" s="169" t="s">
        <v>46</v>
      </c>
      <c r="AF59" s="29"/>
      <c r="AG59" s="66"/>
    </row>
    <row r="60" spans="1:34" ht="13.5" customHeight="1" thickBot="1" x14ac:dyDescent="0.3">
      <c r="A60" s="5"/>
      <c r="B60" s="171" t="s">
        <v>24</v>
      </c>
      <c r="C60" s="172"/>
      <c r="D60" s="173"/>
      <c r="E60" s="102">
        <f>E58-2</f>
        <v>5.0999999999999996</v>
      </c>
      <c r="F60" s="102"/>
      <c r="G60" s="103"/>
      <c r="H60" s="103"/>
      <c r="I60" s="103"/>
      <c r="J60" s="102">
        <f>J58-6</f>
        <v>25</v>
      </c>
      <c r="K60" s="103"/>
      <c r="L60" s="102">
        <f>L58-7</f>
        <v>58</v>
      </c>
      <c r="M60" s="102"/>
      <c r="N60" s="103"/>
      <c r="O60" s="103"/>
      <c r="P60" s="103"/>
      <c r="Q60" s="102"/>
      <c r="R60" s="103"/>
      <c r="S60" s="103"/>
      <c r="T60" s="104"/>
      <c r="U60" s="174"/>
      <c r="V60" s="175"/>
      <c r="W60" s="176">
        <f>W58-0.5</f>
        <v>4.8</v>
      </c>
      <c r="X60" s="175"/>
      <c r="Y60" s="177"/>
      <c r="Z60" s="178"/>
      <c r="AA60" s="84"/>
      <c r="AB60" s="72"/>
      <c r="AC60" s="73"/>
      <c r="AD60" s="168"/>
      <c r="AE60" s="17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5"/>
      <c r="V63" s="145"/>
      <c r="W63" s="145"/>
      <c r="X63" s="145"/>
      <c r="Y63" s="145"/>
      <c r="Z63" s="146"/>
      <c r="AA63" s="81"/>
      <c r="AB63" s="58"/>
      <c r="AC63" s="58"/>
      <c r="AD63" s="59"/>
    </row>
    <row r="64" spans="1:34" ht="26.4" customHeight="1" x14ac:dyDescent="0.25">
      <c r="A64" s="147" t="s">
        <v>48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9"/>
      <c r="R64" s="138" t="s">
        <v>31</v>
      </c>
      <c r="S64" s="139"/>
      <c r="T64" s="140"/>
      <c r="U64" s="150" t="s">
        <v>62</v>
      </c>
      <c r="V64" s="151"/>
      <c r="W64" s="151"/>
      <c r="X64" s="151"/>
      <c r="Y64" s="151"/>
      <c r="Z64" s="152"/>
      <c r="AA64" s="76"/>
      <c r="AB64" s="60"/>
      <c r="AC64" s="60"/>
      <c r="AD64" s="59"/>
    </row>
    <row r="65" spans="1:30" ht="26.4" customHeight="1" x14ac:dyDescent="0.25">
      <c r="A65" s="153" t="s">
        <v>61</v>
      </c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5"/>
      <c r="R65" s="138" t="s">
        <v>51</v>
      </c>
      <c r="S65" s="139"/>
      <c r="T65" s="140"/>
      <c r="U65" s="156" t="s">
        <v>63</v>
      </c>
      <c r="V65" s="157"/>
      <c r="W65" s="157"/>
      <c r="X65" s="157"/>
      <c r="Y65" s="157"/>
      <c r="Z65" s="15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38"/>
      <c r="S66" s="139"/>
      <c r="T66" s="140"/>
      <c r="U66" s="159"/>
      <c r="V66" s="160"/>
      <c r="W66" s="160"/>
      <c r="X66" s="160"/>
      <c r="Y66" s="160"/>
      <c r="Z66" s="161"/>
      <c r="AA66" s="76"/>
      <c r="AB66" s="60"/>
      <c r="AC66" s="60"/>
      <c r="AD66" s="59"/>
    </row>
    <row r="67" spans="1:30" ht="15.6" customHeight="1" x14ac:dyDescent="0.2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  <c r="R67" s="138" t="s">
        <v>25</v>
      </c>
      <c r="S67" s="139"/>
      <c r="T67" s="140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2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4"/>
      <c r="R68" s="138"/>
      <c r="S68" s="139"/>
      <c r="T68" s="140"/>
      <c r="U68" s="108"/>
      <c r="V68" s="144"/>
      <c r="W68" s="144"/>
      <c r="X68" s="144"/>
      <c r="Y68" s="144"/>
      <c r="Z68" s="109"/>
      <c r="AA68" s="77"/>
      <c r="AB68" s="65"/>
      <c r="AC68" s="65"/>
      <c r="AD68" s="59"/>
    </row>
    <row r="69" spans="1:30" ht="15.6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  <c r="R69" s="138"/>
      <c r="S69" s="139"/>
      <c r="T69" s="140"/>
      <c r="U69" s="108"/>
      <c r="V69" s="144"/>
      <c r="W69" s="144"/>
      <c r="X69" s="144"/>
      <c r="Y69" s="144"/>
      <c r="Z69" s="109"/>
      <c r="AA69" s="77"/>
      <c r="AB69" s="65"/>
      <c r="AC69" s="65"/>
      <c r="AD69" s="59"/>
    </row>
    <row r="70" spans="1:30" ht="15.6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  <c r="R70" s="141"/>
      <c r="S70" s="142"/>
      <c r="T70" s="143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A67:Q70"/>
    <mergeCell ref="R67:T70"/>
    <mergeCell ref="V68:Y69"/>
    <mergeCell ref="C51:D51"/>
    <mergeCell ref="U51:V51"/>
    <mergeCell ref="W51:X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G49:AG50"/>
    <mergeCell ref="C50:D50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C5F9-F884-4A37-B99A-5CA2EDBB4CEB}">
  <sheetPr>
    <pageSetUpPr fitToPage="1"/>
  </sheetPr>
  <dimension ref="A1:AN70"/>
  <sheetViews>
    <sheetView topLeftCell="A41" zoomScaleNormal="100" workbookViewId="0">
      <selection activeCell="Q51" sqref="Q51:Q5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59"/>
      <c r="B1" s="260"/>
      <c r="C1" s="260"/>
      <c r="D1" s="260"/>
      <c r="E1" s="260"/>
      <c r="F1" s="261"/>
      <c r="G1" s="268" t="s">
        <v>33</v>
      </c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70"/>
      <c r="U1" s="271" t="s">
        <v>52</v>
      </c>
      <c r="V1" s="272"/>
      <c r="W1" s="272"/>
      <c r="X1" s="272"/>
      <c r="Y1" s="272"/>
      <c r="Z1" s="273"/>
      <c r="AA1" s="78"/>
    </row>
    <row r="2" spans="1:36" ht="12.6" customHeight="1" x14ac:dyDescent="0.25">
      <c r="A2" s="262"/>
      <c r="B2" s="263"/>
      <c r="C2" s="263"/>
      <c r="D2" s="263"/>
      <c r="E2" s="263"/>
      <c r="F2" s="264"/>
      <c r="G2" s="280" t="s">
        <v>39</v>
      </c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2"/>
      <c r="U2" s="274"/>
      <c r="V2" s="275"/>
      <c r="W2" s="275"/>
      <c r="X2" s="275"/>
      <c r="Y2" s="275"/>
      <c r="Z2" s="276"/>
      <c r="AA2" s="78"/>
    </row>
    <row r="3" spans="1:36" ht="12.6" customHeight="1" x14ac:dyDescent="0.25">
      <c r="A3" s="262"/>
      <c r="B3" s="263"/>
      <c r="C3" s="263"/>
      <c r="D3" s="263"/>
      <c r="E3" s="263"/>
      <c r="F3" s="264"/>
      <c r="G3" s="283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2"/>
      <c r="U3" s="274"/>
      <c r="V3" s="275"/>
      <c r="W3" s="275"/>
      <c r="X3" s="275"/>
      <c r="Y3" s="275"/>
      <c r="Z3" s="276"/>
      <c r="AA3" s="78"/>
    </row>
    <row r="4" spans="1:36" ht="12.6" customHeight="1" x14ac:dyDescent="0.25">
      <c r="A4" s="262"/>
      <c r="B4" s="263"/>
      <c r="C4" s="263"/>
      <c r="D4" s="263"/>
      <c r="E4" s="263"/>
      <c r="F4" s="264"/>
      <c r="G4" s="283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2"/>
      <c r="U4" s="274"/>
      <c r="V4" s="275"/>
      <c r="W4" s="275"/>
      <c r="X4" s="275"/>
      <c r="Y4" s="275"/>
      <c r="Z4" s="276"/>
      <c r="AA4" s="78"/>
    </row>
    <row r="5" spans="1:36" ht="12.6" customHeight="1" x14ac:dyDescent="0.25">
      <c r="A5" s="262"/>
      <c r="B5" s="263"/>
      <c r="C5" s="263"/>
      <c r="D5" s="263"/>
      <c r="E5" s="263"/>
      <c r="F5" s="264"/>
      <c r="G5" s="283" t="s">
        <v>40</v>
      </c>
      <c r="H5" s="281"/>
      <c r="I5" s="2" t="s">
        <v>34</v>
      </c>
      <c r="J5" s="247">
        <v>4</v>
      </c>
      <c r="K5" s="284"/>
      <c r="L5" s="285" t="s">
        <v>53</v>
      </c>
      <c r="M5" s="286"/>
      <c r="N5" s="286"/>
      <c r="O5" s="287"/>
      <c r="P5" s="288">
        <v>45799</v>
      </c>
      <c r="Q5" s="289"/>
      <c r="R5" s="289"/>
      <c r="S5" s="289"/>
      <c r="T5" s="290"/>
      <c r="U5" s="274"/>
      <c r="V5" s="275"/>
      <c r="W5" s="275"/>
      <c r="X5" s="275"/>
      <c r="Y5" s="275"/>
      <c r="Z5" s="276"/>
      <c r="AA5" s="78"/>
    </row>
    <row r="6" spans="1:36" ht="12.6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45" t="s">
        <v>35</v>
      </c>
      <c r="K6" s="245"/>
      <c r="L6" s="245" t="s">
        <v>36</v>
      </c>
      <c r="M6" s="245"/>
      <c r="N6" s="245"/>
      <c r="O6" s="245"/>
      <c r="P6" s="245" t="s">
        <v>37</v>
      </c>
      <c r="Q6" s="245"/>
      <c r="R6" s="245"/>
      <c r="S6" s="245"/>
      <c r="T6" s="256"/>
      <c r="U6" s="277"/>
      <c r="V6" s="278"/>
      <c r="W6" s="278"/>
      <c r="X6" s="278"/>
      <c r="Y6" s="278"/>
      <c r="Z6" s="279"/>
      <c r="AA6" s="78"/>
    </row>
    <row r="7" spans="1:36" ht="36.6" customHeight="1" x14ac:dyDescent="0.25">
      <c r="A7" s="257" t="s">
        <v>38</v>
      </c>
      <c r="B7" s="257"/>
      <c r="C7" s="257"/>
      <c r="D7" s="257"/>
      <c r="E7" s="257"/>
      <c r="F7" s="257"/>
      <c r="G7" s="258" t="s">
        <v>32</v>
      </c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46" t="s">
        <v>27</v>
      </c>
      <c r="C10" s="246"/>
      <c r="D10" s="246"/>
      <c r="E10" s="246"/>
      <c r="F10" s="246"/>
      <c r="G10" s="253" t="s">
        <v>55</v>
      </c>
      <c r="H10" s="253"/>
      <c r="I10" s="253"/>
      <c r="J10" s="253"/>
      <c r="K10" s="253"/>
      <c r="L10" s="253"/>
      <c r="M10" s="246" t="s">
        <v>30</v>
      </c>
      <c r="N10" s="246"/>
      <c r="O10" s="246"/>
      <c r="P10" s="246"/>
      <c r="Q10" s="246"/>
      <c r="R10" s="246"/>
      <c r="S10" s="254" t="s">
        <v>58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46" t="s">
        <v>6</v>
      </c>
      <c r="C11" s="246"/>
      <c r="D11" s="246"/>
      <c r="E11" s="246"/>
      <c r="F11" s="246"/>
      <c r="G11" s="253">
        <v>45799</v>
      </c>
      <c r="H11" s="253"/>
      <c r="I11" s="253"/>
      <c r="J11" s="253"/>
      <c r="K11" s="253"/>
      <c r="L11" s="253"/>
      <c r="M11" s="246" t="s">
        <v>44</v>
      </c>
      <c r="N11" s="246"/>
      <c r="O11" s="246"/>
      <c r="P11" s="246"/>
      <c r="Q11" s="246"/>
      <c r="R11" s="246"/>
      <c r="S11" s="254" t="s">
        <v>74</v>
      </c>
      <c r="T11" s="254"/>
      <c r="U11" s="254"/>
      <c r="V11" s="254"/>
      <c r="W11" s="254"/>
      <c r="X11" s="254"/>
      <c r="Y11" s="254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46" t="s">
        <v>28</v>
      </c>
      <c r="C12" s="246"/>
      <c r="D12" s="246"/>
      <c r="E12" s="246"/>
      <c r="F12" s="246"/>
      <c r="G12" s="253">
        <v>45798</v>
      </c>
      <c r="H12" s="253"/>
      <c r="I12" s="253"/>
      <c r="J12" s="253"/>
      <c r="K12" s="253"/>
      <c r="L12" s="253"/>
      <c r="M12" s="255" t="s">
        <v>43</v>
      </c>
      <c r="N12" s="255"/>
      <c r="O12" s="255"/>
      <c r="P12" s="255"/>
      <c r="Q12" s="255"/>
      <c r="R12" s="255"/>
      <c r="S12" s="254">
        <v>231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2" t="s">
        <v>41</v>
      </c>
      <c r="C13" s="252"/>
      <c r="D13" s="252"/>
      <c r="E13" s="252"/>
      <c r="F13" s="252"/>
      <c r="G13" s="253" t="s">
        <v>56</v>
      </c>
      <c r="H13" s="253"/>
      <c r="I13" s="253"/>
      <c r="J13" s="253"/>
      <c r="K13" s="253"/>
      <c r="L13" s="253"/>
      <c r="M13" s="246" t="s">
        <v>29</v>
      </c>
      <c r="N13" s="246"/>
      <c r="O13" s="246"/>
      <c r="P13" s="246"/>
      <c r="Q13" s="246"/>
      <c r="R13" s="246"/>
      <c r="S13" s="253" t="s">
        <v>60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46" t="s">
        <v>42</v>
      </c>
      <c r="C14" s="246"/>
      <c r="D14" s="246"/>
      <c r="E14" s="246"/>
      <c r="F14" s="246"/>
      <c r="G14" s="253" t="s">
        <v>69</v>
      </c>
      <c r="H14" s="253"/>
      <c r="I14" s="253"/>
      <c r="J14" s="253"/>
      <c r="K14" s="253"/>
      <c r="L14" s="253"/>
      <c r="M14" s="254" t="s">
        <v>26</v>
      </c>
      <c r="N14" s="254"/>
      <c r="O14" s="254"/>
      <c r="P14" s="254"/>
      <c r="Q14" s="254"/>
      <c r="R14" s="254"/>
      <c r="S14" s="254" t="s">
        <v>49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46" t="s">
        <v>19</v>
      </c>
      <c r="C19" s="246"/>
      <c r="D19" s="246"/>
      <c r="E19" s="246"/>
      <c r="F19" s="246"/>
      <c r="G19" s="246"/>
      <c r="H19" s="246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17"/>
      <c r="AA19" s="75"/>
      <c r="AE19" s="20"/>
      <c r="AI19" s="20"/>
    </row>
    <row r="20" spans="1:40" ht="15.9" customHeight="1" x14ac:dyDescent="0.25">
      <c r="A20" s="13"/>
      <c r="B20" s="246" t="s">
        <v>20</v>
      </c>
      <c r="C20" s="246"/>
      <c r="D20" s="246"/>
      <c r="E20" s="246"/>
      <c r="F20" s="246"/>
      <c r="G20" s="246"/>
      <c r="H20" s="246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48" t="s">
        <v>16</v>
      </c>
      <c r="AE47" s="250">
        <v>2.694</v>
      </c>
      <c r="AF47" s="220"/>
      <c r="AG47" s="226"/>
      <c r="AH47" s="39"/>
    </row>
    <row r="48" spans="1:34" ht="12.75" customHeight="1" thickBot="1" x14ac:dyDescent="0.3">
      <c r="A48" s="18"/>
      <c r="Z48" s="87"/>
      <c r="AD48" s="249"/>
      <c r="AE48" s="251"/>
      <c r="AF48" s="225"/>
      <c r="AG48" s="226"/>
    </row>
    <row r="49" spans="1:34" ht="18.75" customHeight="1" thickBot="1" x14ac:dyDescent="0.3">
      <c r="A49" s="18"/>
      <c r="E49" s="227" t="s">
        <v>11</v>
      </c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9" t="s">
        <v>47</v>
      </c>
      <c r="V49" s="230"/>
      <c r="W49" s="231" t="s">
        <v>12</v>
      </c>
      <c r="X49" s="230"/>
      <c r="Y49" s="232" t="s">
        <v>13</v>
      </c>
      <c r="Z49" s="233"/>
      <c r="AA49" s="82"/>
      <c r="AB49" s="236" t="s">
        <v>45</v>
      </c>
      <c r="AC49" s="237"/>
      <c r="AD49" s="240" t="s">
        <v>14</v>
      </c>
      <c r="AE49" s="242" t="s">
        <v>15</v>
      </c>
      <c r="AF49" s="220"/>
      <c r="AG49" s="220"/>
      <c r="AH49" s="40"/>
    </row>
    <row r="50" spans="1:34" ht="24.9" customHeight="1" thickBot="1" x14ac:dyDescent="0.3">
      <c r="A50" s="5"/>
      <c r="B50" s="41" t="s">
        <v>22</v>
      </c>
      <c r="C50" s="221" t="s">
        <v>10</v>
      </c>
      <c r="D50" s="22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1"/>
      <c r="V50" s="173"/>
      <c r="W50" s="172"/>
      <c r="X50" s="173"/>
      <c r="Y50" s="234"/>
      <c r="Z50" s="235"/>
      <c r="AA50" s="82"/>
      <c r="AB50" s="238"/>
      <c r="AC50" s="239"/>
      <c r="AD50" s="241"/>
      <c r="AE50" s="243"/>
      <c r="AF50" s="244"/>
      <c r="AG50" s="220"/>
    </row>
    <row r="51" spans="1:34" ht="24.9" customHeight="1" x14ac:dyDescent="0.25">
      <c r="A51" s="5"/>
      <c r="B51" s="43">
        <v>1</v>
      </c>
      <c r="C51" s="305" t="s">
        <v>75</v>
      </c>
      <c r="D51" s="306"/>
      <c r="E51" s="297">
        <v>6.8</v>
      </c>
      <c r="F51" s="298">
        <v>8.6999999999999993</v>
      </c>
      <c r="G51" s="299">
        <v>11.3</v>
      </c>
      <c r="H51" s="299">
        <v>14.6</v>
      </c>
      <c r="I51" s="299">
        <v>19.600000000000001</v>
      </c>
      <c r="J51" s="299">
        <v>29.2</v>
      </c>
      <c r="K51" s="299">
        <v>46.3</v>
      </c>
      <c r="L51" s="299">
        <v>58.2</v>
      </c>
      <c r="M51" s="299">
        <v>72.599999999999994</v>
      </c>
      <c r="N51" s="299">
        <v>82.6</v>
      </c>
      <c r="O51" s="299">
        <v>92.1</v>
      </c>
      <c r="P51" s="299">
        <v>96</v>
      </c>
      <c r="Q51" s="299">
        <v>100</v>
      </c>
      <c r="R51" s="299"/>
      <c r="S51" s="300"/>
      <c r="T51" s="300"/>
      <c r="U51" s="301">
        <v>165</v>
      </c>
      <c r="V51" s="302"/>
      <c r="W51" s="303">
        <v>4.34</v>
      </c>
      <c r="X51" s="304"/>
      <c r="Y51" s="223">
        <f>IF(W51&lt;&gt;0,AE51,"")</f>
        <v>2.763986787727124</v>
      </c>
      <c r="Z51" s="224"/>
      <c r="AA51" s="80"/>
      <c r="AB51" s="188">
        <f>(100*W51)/(100-W51)</f>
        <v>4.5369015262387622</v>
      </c>
      <c r="AC51" s="189"/>
      <c r="AD51" s="67">
        <f>(0.25*(100-O51)+2.3*(O51-H51)+12*(H51-E51)+150*(E51))/100</f>
        <v>12.93825</v>
      </c>
      <c r="AE51" s="68">
        <f>(AB51*$AE$47)/(2.65*(AD51)^(1/5))</f>
        <v>2.763986787727124</v>
      </c>
      <c r="AF51" s="29"/>
      <c r="AG51" s="66"/>
    </row>
    <row r="52" spans="1:34" ht="24.9" customHeight="1" x14ac:dyDescent="0.25">
      <c r="A52" s="5"/>
      <c r="B52" s="44">
        <v>2</v>
      </c>
      <c r="C52" s="209"/>
      <c r="D52" s="210"/>
      <c r="E52" s="127"/>
      <c r="F52" s="128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31"/>
      <c r="R52" s="129"/>
      <c r="S52" s="130"/>
      <c r="T52" s="130"/>
      <c r="U52" s="211"/>
      <c r="V52" s="212"/>
      <c r="W52" s="213"/>
      <c r="X52" s="214"/>
      <c r="Y52" s="215" t="str">
        <f>IF(W52&lt;&gt;0,AE52,"")</f>
        <v/>
      </c>
      <c r="Z52" s="216"/>
      <c r="AA52" s="80"/>
      <c r="AB52" s="188">
        <f>(100*W52)/(100-W52)</f>
        <v>0</v>
      </c>
      <c r="AC52" s="189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65"/>
      <c r="D53" s="217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1"/>
      <c r="R53" s="92"/>
      <c r="S53" s="92"/>
      <c r="T53" s="93"/>
      <c r="U53" s="162"/>
      <c r="V53" s="163"/>
      <c r="W53" s="218"/>
      <c r="X53" s="219"/>
      <c r="Y53" s="215" t="str">
        <f t="shared" ref="Y53:Y54" si="2">IF(W53&lt;&gt;0,AE53,"")</f>
        <v/>
      </c>
      <c r="Z53" s="216"/>
      <c r="AA53" s="80"/>
      <c r="AB53" s="188">
        <f>(100*W53)/(100-W53)</f>
        <v>0</v>
      </c>
      <c r="AC53" s="18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77"/>
      <c r="D54" s="199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2"/>
      <c r="R54" s="96"/>
      <c r="S54" s="96"/>
      <c r="T54" s="97"/>
      <c r="U54" s="200"/>
      <c r="V54" s="201"/>
      <c r="W54" s="202"/>
      <c r="X54" s="203"/>
      <c r="Y54" s="204" t="str">
        <f t="shared" si="2"/>
        <v/>
      </c>
      <c r="Z54" s="205"/>
      <c r="AA54" s="80"/>
      <c r="AB54" s="188">
        <f>(100*W54)/(100-W54)</f>
        <v>0</v>
      </c>
      <c r="AC54" s="18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3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06" t="s">
        <v>8</v>
      </c>
      <c r="C56" s="207"/>
      <c r="D56" s="208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4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79" t="s">
        <v>7</v>
      </c>
      <c r="C57" s="180"/>
      <c r="D57" s="181"/>
      <c r="E57" s="125">
        <f t="shared" ref="E57:T57" si="3">IF(E51&lt;&gt;0,AVERAGE(E51:E54),"")</f>
        <v>6.8</v>
      </c>
      <c r="F57" s="125">
        <f t="shared" si="3"/>
        <v>8.6999999999999993</v>
      </c>
      <c r="G57" s="125">
        <f t="shared" si="3"/>
        <v>11.3</v>
      </c>
      <c r="H57" s="125">
        <f t="shared" si="3"/>
        <v>14.6</v>
      </c>
      <c r="I57" s="125">
        <f t="shared" si="3"/>
        <v>19.600000000000001</v>
      </c>
      <c r="J57" s="125">
        <f t="shared" si="3"/>
        <v>29.2</v>
      </c>
      <c r="K57" s="125">
        <f t="shared" si="3"/>
        <v>46.3</v>
      </c>
      <c r="L57" s="125">
        <f t="shared" si="3"/>
        <v>58.2</v>
      </c>
      <c r="M57" s="125">
        <f t="shared" si="3"/>
        <v>72.599999999999994</v>
      </c>
      <c r="N57" s="125">
        <f t="shared" si="3"/>
        <v>82.6</v>
      </c>
      <c r="O57" s="125">
        <f t="shared" si="3"/>
        <v>92.1</v>
      </c>
      <c r="P57" s="125">
        <f t="shared" si="3"/>
        <v>96</v>
      </c>
      <c r="Q57" s="126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182">
        <f>IF(U51&lt;&gt;0,AVERAGE(U51:V54),"")</f>
        <v>165</v>
      </c>
      <c r="V57" s="183"/>
      <c r="W57" s="184">
        <f>IF(W51&lt;&gt;0,AVERAGE(W51:X54),"")</f>
        <v>4.34</v>
      </c>
      <c r="X57" s="185"/>
      <c r="Y57" s="186">
        <f>IF(W51&lt;&gt;0,AVERAGE(Y51:Z54),"")</f>
        <v>2.763986787727124</v>
      </c>
      <c r="Z57" s="187"/>
      <c r="AA57" s="66"/>
      <c r="AB57" s="188">
        <f>(100*W57)/(100-W57)</f>
        <v>4.5369015262387622</v>
      </c>
      <c r="AC57" s="189"/>
      <c r="AD57" s="67">
        <f t="shared" si="0"/>
        <v>12.93825</v>
      </c>
      <c r="AE57" s="68">
        <f t="shared" si="1"/>
        <v>2.763986787727124</v>
      </c>
      <c r="AF57" s="29"/>
      <c r="AG57" s="66"/>
    </row>
    <row r="58" spans="1:34" ht="21" customHeight="1" x14ac:dyDescent="0.25">
      <c r="A58" s="5"/>
      <c r="B58" s="190" t="s">
        <v>9</v>
      </c>
      <c r="C58" s="191"/>
      <c r="D58" s="192"/>
      <c r="E58" s="114">
        <v>7.5</v>
      </c>
      <c r="F58" s="114">
        <v>10</v>
      </c>
      <c r="G58" s="114">
        <v>13</v>
      </c>
      <c r="H58" s="114">
        <v>18</v>
      </c>
      <c r="I58" s="114">
        <v>23</v>
      </c>
      <c r="J58" s="114">
        <v>31</v>
      </c>
      <c r="K58" s="114">
        <v>43</v>
      </c>
      <c r="L58" s="114">
        <v>53</v>
      </c>
      <c r="M58" s="114">
        <v>65</v>
      </c>
      <c r="N58" s="114">
        <v>80</v>
      </c>
      <c r="O58" s="114">
        <v>93</v>
      </c>
      <c r="P58" s="114">
        <v>97</v>
      </c>
      <c r="Q58" s="115">
        <v>100</v>
      </c>
      <c r="R58" s="100"/>
      <c r="S58" s="100"/>
      <c r="T58" s="101"/>
      <c r="U58" s="193"/>
      <c r="V58" s="194"/>
      <c r="W58" s="195">
        <v>4.4000000000000004</v>
      </c>
      <c r="X58" s="196"/>
      <c r="Y58" s="197">
        <f>AE58</f>
        <v>2.750225418988284</v>
      </c>
      <c r="Z58" s="198"/>
      <c r="AA58" s="66"/>
      <c r="AB58" s="188">
        <f>(100*W58)/(100-W58)</f>
        <v>4.6025104602510467</v>
      </c>
      <c r="AC58" s="189"/>
      <c r="AD58" s="67">
        <f t="shared" si="0"/>
        <v>14.2525</v>
      </c>
      <c r="AE58" s="68">
        <f t="shared" si="1"/>
        <v>2.750225418988284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9.5</v>
      </c>
      <c r="F59" s="92"/>
      <c r="G59" s="92"/>
      <c r="H59" s="92"/>
      <c r="I59" s="92"/>
      <c r="J59" s="92">
        <f>J58+6</f>
        <v>37</v>
      </c>
      <c r="K59" s="92"/>
      <c r="L59" s="92">
        <f>L58+7</f>
        <v>60</v>
      </c>
      <c r="M59" s="92"/>
      <c r="N59" s="92"/>
      <c r="O59" s="92"/>
      <c r="P59" s="92"/>
      <c r="Q59" s="92"/>
      <c r="R59" s="92"/>
      <c r="S59" s="92"/>
      <c r="T59" s="93"/>
      <c r="U59" s="162"/>
      <c r="V59" s="163"/>
      <c r="W59" s="164">
        <f>W58+0.5</f>
        <v>4.9000000000000004</v>
      </c>
      <c r="X59" s="163"/>
      <c r="Y59" s="165"/>
      <c r="Z59" s="166"/>
      <c r="AA59" s="83"/>
      <c r="AB59" s="71"/>
      <c r="AC59" s="69"/>
      <c r="AD59" s="167"/>
      <c r="AE59" s="169" t="s">
        <v>46</v>
      </c>
      <c r="AF59" s="29"/>
      <c r="AG59" s="66"/>
    </row>
    <row r="60" spans="1:34" ht="13.5" customHeight="1" thickBot="1" x14ac:dyDescent="0.3">
      <c r="A60" s="5"/>
      <c r="B60" s="171" t="s">
        <v>24</v>
      </c>
      <c r="C60" s="172"/>
      <c r="D60" s="173"/>
      <c r="E60" s="102">
        <f>E58-2</f>
        <v>5.5</v>
      </c>
      <c r="F60" s="102"/>
      <c r="G60" s="103"/>
      <c r="H60" s="103"/>
      <c r="I60" s="103"/>
      <c r="J60" s="102">
        <f>J58-6</f>
        <v>25</v>
      </c>
      <c r="K60" s="103"/>
      <c r="L60" s="102">
        <f>L58-7</f>
        <v>46</v>
      </c>
      <c r="M60" s="102"/>
      <c r="N60" s="103"/>
      <c r="O60" s="103"/>
      <c r="P60" s="103"/>
      <c r="Q60" s="102"/>
      <c r="R60" s="103"/>
      <c r="S60" s="103"/>
      <c r="T60" s="104"/>
      <c r="U60" s="174"/>
      <c r="V60" s="175"/>
      <c r="W60" s="176">
        <f>W58-0.5</f>
        <v>3.9000000000000004</v>
      </c>
      <c r="X60" s="175"/>
      <c r="Y60" s="177"/>
      <c r="Z60" s="178"/>
      <c r="AA60" s="84"/>
      <c r="AB60" s="72"/>
      <c r="AC60" s="73"/>
      <c r="AD60" s="168"/>
      <c r="AE60" s="17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5"/>
      <c r="V63" s="145"/>
      <c r="W63" s="145"/>
      <c r="X63" s="145"/>
      <c r="Y63" s="145"/>
      <c r="Z63" s="146"/>
      <c r="AA63" s="81"/>
      <c r="AB63" s="58"/>
      <c r="AC63" s="58"/>
      <c r="AD63" s="59"/>
    </row>
    <row r="64" spans="1:34" ht="26.4" customHeight="1" x14ac:dyDescent="0.25">
      <c r="A64" s="147" t="s">
        <v>48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9"/>
      <c r="R64" s="138" t="s">
        <v>31</v>
      </c>
      <c r="S64" s="139"/>
      <c r="T64" s="140"/>
      <c r="U64" s="150" t="s">
        <v>62</v>
      </c>
      <c r="V64" s="151"/>
      <c r="W64" s="151"/>
      <c r="X64" s="151"/>
      <c r="Y64" s="151"/>
      <c r="Z64" s="152"/>
      <c r="AA64" s="76"/>
      <c r="AB64" s="60"/>
      <c r="AC64" s="60"/>
      <c r="AD64" s="59"/>
    </row>
    <row r="65" spans="1:30" ht="26.4" customHeight="1" x14ac:dyDescent="0.25">
      <c r="A65" s="153" t="s">
        <v>61</v>
      </c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5"/>
      <c r="R65" s="138" t="s">
        <v>51</v>
      </c>
      <c r="S65" s="139"/>
      <c r="T65" s="140"/>
      <c r="U65" s="156" t="s">
        <v>63</v>
      </c>
      <c r="V65" s="157"/>
      <c r="W65" s="157"/>
      <c r="X65" s="157"/>
      <c r="Y65" s="157"/>
      <c r="Z65" s="15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38"/>
      <c r="S66" s="139"/>
      <c r="T66" s="140"/>
      <c r="U66" s="159"/>
      <c r="V66" s="160"/>
      <c r="W66" s="160"/>
      <c r="X66" s="160"/>
      <c r="Y66" s="160"/>
      <c r="Z66" s="161"/>
      <c r="AA66" s="76"/>
      <c r="AB66" s="60"/>
      <c r="AC66" s="60"/>
      <c r="AD66" s="59"/>
    </row>
    <row r="67" spans="1:30" ht="15.6" customHeight="1" x14ac:dyDescent="0.2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  <c r="R67" s="138" t="s">
        <v>25</v>
      </c>
      <c r="S67" s="139"/>
      <c r="T67" s="140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2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4"/>
      <c r="R68" s="138"/>
      <c r="S68" s="139"/>
      <c r="T68" s="140"/>
      <c r="U68" s="108"/>
      <c r="V68" s="144"/>
      <c r="W68" s="144"/>
      <c r="X68" s="144"/>
      <c r="Y68" s="144"/>
      <c r="Z68" s="109"/>
      <c r="AA68" s="77"/>
      <c r="AB68" s="65"/>
      <c r="AC68" s="65"/>
      <c r="AD68" s="59"/>
    </row>
    <row r="69" spans="1:30" ht="15.6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  <c r="R69" s="138"/>
      <c r="S69" s="139"/>
      <c r="T69" s="140"/>
      <c r="U69" s="108"/>
      <c r="V69" s="144"/>
      <c r="W69" s="144"/>
      <c r="X69" s="144"/>
      <c r="Y69" s="144"/>
      <c r="Z69" s="109"/>
      <c r="AA69" s="77"/>
      <c r="AB69" s="65"/>
      <c r="AC69" s="65"/>
      <c r="AD69" s="59"/>
    </row>
    <row r="70" spans="1:30" ht="15.6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  <c r="R70" s="141"/>
      <c r="S70" s="142"/>
      <c r="T70" s="143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A67:Q70"/>
    <mergeCell ref="R67:T70"/>
    <mergeCell ref="V68:Y69"/>
    <mergeCell ref="U51:V51"/>
    <mergeCell ref="W51:X51"/>
    <mergeCell ref="C51:D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G49:AG50"/>
    <mergeCell ref="C50:D50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B19D-B5E0-4690-80C4-23A0F5BD3C92}">
  <sheetPr>
    <pageSetUpPr fitToPage="1"/>
  </sheetPr>
  <dimension ref="A1:AN70"/>
  <sheetViews>
    <sheetView topLeftCell="A53" zoomScaleNormal="100" workbookViewId="0">
      <selection activeCell="AE23" sqref="AE2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59"/>
      <c r="B1" s="260"/>
      <c r="C1" s="260"/>
      <c r="D1" s="260"/>
      <c r="E1" s="260"/>
      <c r="F1" s="261"/>
      <c r="G1" s="268" t="s">
        <v>33</v>
      </c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70"/>
      <c r="U1" s="271" t="s">
        <v>52</v>
      </c>
      <c r="V1" s="272"/>
      <c r="W1" s="272"/>
      <c r="X1" s="272"/>
      <c r="Y1" s="272"/>
      <c r="Z1" s="273"/>
      <c r="AA1" s="78"/>
    </row>
    <row r="2" spans="1:36" ht="12.6" customHeight="1" x14ac:dyDescent="0.25">
      <c r="A2" s="262"/>
      <c r="B2" s="263"/>
      <c r="C2" s="263"/>
      <c r="D2" s="263"/>
      <c r="E2" s="263"/>
      <c r="F2" s="264"/>
      <c r="G2" s="280" t="s">
        <v>39</v>
      </c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2"/>
      <c r="U2" s="274"/>
      <c r="V2" s="275"/>
      <c r="W2" s="275"/>
      <c r="X2" s="275"/>
      <c r="Y2" s="275"/>
      <c r="Z2" s="276"/>
      <c r="AA2" s="78"/>
    </row>
    <row r="3" spans="1:36" ht="12.6" customHeight="1" x14ac:dyDescent="0.25">
      <c r="A3" s="262"/>
      <c r="B3" s="263"/>
      <c r="C3" s="263"/>
      <c r="D3" s="263"/>
      <c r="E3" s="263"/>
      <c r="F3" s="264"/>
      <c r="G3" s="283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2"/>
      <c r="U3" s="274"/>
      <c r="V3" s="275"/>
      <c r="W3" s="275"/>
      <c r="X3" s="275"/>
      <c r="Y3" s="275"/>
      <c r="Z3" s="276"/>
      <c r="AA3" s="78"/>
    </row>
    <row r="4" spans="1:36" ht="12.6" customHeight="1" x14ac:dyDescent="0.25">
      <c r="A4" s="262"/>
      <c r="B4" s="263"/>
      <c r="C4" s="263"/>
      <c r="D4" s="263"/>
      <c r="E4" s="263"/>
      <c r="F4" s="264"/>
      <c r="G4" s="283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2"/>
      <c r="U4" s="274"/>
      <c r="V4" s="275"/>
      <c r="W4" s="275"/>
      <c r="X4" s="275"/>
      <c r="Y4" s="275"/>
      <c r="Z4" s="276"/>
      <c r="AA4" s="78"/>
    </row>
    <row r="5" spans="1:36" ht="12.6" customHeight="1" x14ac:dyDescent="0.25">
      <c r="A5" s="262"/>
      <c r="B5" s="263"/>
      <c r="C5" s="263"/>
      <c r="D5" s="263"/>
      <c r="E5" s="263"/>
      <c r="F5" s="264"/>
      <c r="G5" s="283" t="s">
        <v>40</v>
      </c>
      <c r="H5" s="281"/>
      <c r="I5" s="2" t="s">
        <v>34</v>
      </c>
      <c r="J5" s="247">
        <v>3</v>
      </c>
      <c r="K5" s="284"/>
      <c r="L5" s="285" t="s">
        <v>53</v>
      </c>
      <c r="M5" s="286"/>
      <c r="N5" s="286"/>
      <c r="O5" s="287"/>
      <c r="P5" s="288">
        <v>45798</v>
      </c>
      <c r="Q5" s="289"/>
      <c r="R5" s="289"/>
      <c r="S5" s="289"/>
      <c r="T5" s="290"/>
      <c r="U5" s="274"/>
      <c r="V5" s="275"/>
      <c r="W5" s="275"/>
      <c r="X5" s="275"/>
      <c r="Y5" s="275"/>
      <c r="Z5" s="276"/>
      <c r="AA5" s="78"/>
    </row>
    <row r="6" spans="1:36" ht="12.6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45" t="s">
        <v>35</v>
      </c>
      <c r="K6" s="245"/>
      <c r="L6" s="245" t="s">
        <v>36</v>
      </c>
      <c r="M6" s="245"/>
      <c r="N6" s="245"/>
      <c r="O6" s="245"/>
      <c r="P6" s="245" t="s">
        <v>37</v>
      </c>
      <c r="Q6" s="245"/>
      <c r="R6" s="245"/>
      <c r="S6" s="245"/>
      <c r="T6" s="256"/>
      <c r="U6" s="277"/>
      <c r="V6" s="278"/>
      <c r="W6" s="278"/>
      <c r="X6" s="278"/>
      <c r="Y6" s="278"/>
      <c r="Z6" s="279"/>
      <c r="AA6" s="78"/>
    </row>
    <row r="7" spans="1:36" ht="36.6" customHeight="1" x14ac:dyDescent="0.25">
      <c r="A7" s="257" t="s">
        <v>38</v>
      </c>
      <c r="B7" s="257"/>
      <c r="C7" s="257"/>
      <c r="D7" s="257"/>
      <c r="E7" s="257"/>
      <c r="F7" s="257"/>
      <c r="G7" s="258" t="s">
        <v>32</v>
      </c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46" t="s">
        <v>27</v>
      </c>
      <c r="C10" s="246"/>
      <c r="D10" s="246"/>
      <c r="E10" s="246"/>
      <c r="F10" s="246"/>
      <c r="G10" s="253" t="s">
        <v>55</v>
      </c>
      <c r="H10" s="253"/>
      <c r="I10" s="253"/>
      <c r="J10" s="253"/>
      <c r="K10" s="253"/>
      <c r="L10" s="253"/>
      <c r="M10" s="246" t="s">
        <v>30</v>
      </c>
      <c r="N10" s="246"/>
      <c r="O10" s="246"/>
      <c r="P10" s="246"/>
      <c r="Q10" s="246"/>
      <c r="R10" s="246"/>
      <c r="S10" s="254" t="s">
        <v>58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46" t="s">
        <v>6</v>
      </c>
      <c r="C11" s="246"/>
      <c r="D11" s="246"/>
      <c r="E11" s="246"/>
      <c r="F11" s="246"/>
      <c r="G11" s="253">
        <v>45798</v>
      </c>
      <c r="H11" s="253"/>
      <c r="I11" s="253"/>
      <c r="J11" s="253"/>
      <c r="K11" s="253"/>
      <c r="L11" s="253"/>
      <c r="M11" s="246" t="s">
        <v>44</v>
      </c>
      <c r="N11" s="246"/>
      <c r="O11" s="246"/>
      <c r="P11" s="246"/>
      <c r="Q11" s="246"/>
      <c r="R11" s="246"/>
      <c r="S11" s="254" t="s">
        <v>67</v>
      </c>
      <c r="T11" s="254"/>
      <c r="U11" s="254"/>
      <c r="V11" s="254"/>
      <c r="W11" s="254"/>
      <c r="X11" s="254"/>
      <c r="Y11" s="254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46" t="s">
        <v>28</v>
      </c>
      <c r="C12" s="246"/>
      <c r="D12" s="246"/>
      <c r="E12" s="246"/>
      <c r="F12" s="246"/>
      <c r="G12" s="253">
        <v>45797</v>
      </c>
      <c r="H12" s="253"/>
      <c r="I12" s="253"/>
      <c r="J12" s="253"/>
      <c r="K12" s="253"/>
      <c r="L12" s="253"/>
      <c r="M12" s="255" t="s">
        <v>43</v>
      </c>
      <c r="N12" s="255"/>
      <c r="O12" s="255"/>
      <c r="P12" s="255"/>
      <c r="Q12" s="255"/>
      <c r="R12" s="255"/>
      <c r="S12" s="254">
        <v>134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2" t="s">
        <v>41</v>
      </c>
      <c r="C13" s="252"/>
      <c r="D13" s="252"/>
      <c r="E13" s="252"/>
      <c r="F13" s="252"/>
      <c r="G13" s="253" t="s">
        <v>56</v>
      </c>
      <c r="H13" s="253"/>
      <c r="I13" s="253"/>
      <c r="J13" s="253"/>
      <c r="K13" s="253"/>
      <c r="L13" s="253"/>
      <c r="M13" s="246" t="s">
        <v>29</v>
      </c>
      <c r="N13" s="246"/>
      <c r="O13" s="246"/>
      <c r="P13" s="246"/>
      <c r="Q13" s="246"/>
      <c r="R13" s="246"/>
      <c r="S13" s="253" t="s">
        <v>68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46" t="s">
        <v>42</v>
      </c>
      <c r="C14" s="246"/>
      <c r="D14" s="246"/>
      <c r="E14" s="246"/>
      <c r="F14" s="246"/>
      <c r="G14" s="253" t="s">
        <v>57</v>
      </c>
      <c r="H14" s="253"/>
      <c r="I14" s="253"/>
      <c r="J14" s="253"/>
      <c r="K14" s="253"/>
      <c r="L14" s="253"/>
      <c r="M14" s="254" t="s">
        <v>26</v>
      </c>
      <c r="N14" s="254"/>
      <c r="O14" s="254"/>
      <c r="P14" s="254"/>
      <c r="Q14" s="254"/>
      <c r="R14" s="254"/>
      <c r="S14" s="254" t="s">
        <v>49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46" t="s">
        <v>19</v>
      </c>
      <c r="C19" s="246"/>
      <c r="D19" s="246"/>
      <c r="E19" s="246"/>
      <c r="F19" s="246"/>
      <c r="G19" s="246"/>
      <c r="H19" s="246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17"/>
      <c r="AA19" s="75"/>
      <c r="AE19" s="20"/>
      <c r="AI19" s="20"/>
    </row>
    <row r="20" spans="1:40" ht="15.9" customHeight="1" x14ac:dyDescent="0.25">
      <c r="A20" s="13"/>
      <c r="B20" s="246" t="s">
        <v>20</v>
      </c>
      <c r="C20" s="246"/>
      <c r="D20" s="246"/>
      <c r="E20" s="246"/>
      <c r="F20" s="246"/>
      <c r="G20" s="246"/>
      <c r="H20" s="246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91.2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48" t="s">
        <v>16</v>
      </c>
      <c r="AE47" s="250">
        <v>2.6709999999999998</v>
      </c>
      <c r="AF47" s="220"/>
      <c r="AG47" s="226"/>
      <c r="AH47" s="39"/>
    </row>
    <row r="48" spans="1:34" ht="12.75" customHeight="1" thickBot="1" x14ac:dyDescent="0.3">
      <c r="A48" s="18"/>
      <c r="Z48" s="87"/>
      <c r="AD48" s="249"/>
      <c r="AE48" s="251"/>
      <c r="AF48" s="225"/>
      <c r="AG48" s="226"/>
    </row>
    <row r="49" spans="1:34" ht="18.75" customHeight="1" thickBot="1" x14ac:dyDescent="0.3">
      <c r="A49" s="18"/>
      <c r="E49" s="227" t="s">
        <v>11</v>
      </c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9" t="s">
        <v>47</v>
      </c>
      <c r="V49" s="230"/>
      <c r="W49" s="231" t="s">
        <v>12</v>
      </c>
      <c r="X49" s="230"/>
      <c r="Y49" s="232" t="s">
        <v>13</v>
      </c>
      <c r="Z49" s="233"/>
      <c r="AA49" s="82"/>
      <c r="AB49" s="236" t="s">
        <v>45</v>
      </c>
      <c r="AC49" s="237"/>
      <c r="AD49" s="240" t="s">
        <v>14</v>
      </c>
      <c r="AE49" s="242" t="s">
        <v>15</v>
      </c>
      <c r="AF49" s="220"/>
      <c r="AG49" s="220"/>
      <c r="AH49" s="40"/>
    </row>
    <row r="50" spans="1:34" ht="24.9" customHeight="1" thickBot="1" x14ac:dyDescent="0.3">
      <c r="A50" s="5"/>
      <c r="B50" s="41" t="s">
        <v>22</v>
      </c>
      <c r="C50" s="221" t="s">
        <v>10</v>
      </c>
      <c r="D50" s="22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1"/>
      <c r="V50" s="173"/>
      <c r="W50" s="172"/>
      <c r="X50" s="173"/>
      <c r="Y50" s="234"/>
      <c r="Z50" s="235"/>
      <c r="AA50" s="82"/>
      <c r="AB50" s="238"/>
      <c r="AC50" s="239"/>
      <c r="AD50" s="241"/>
      <c r="AE50" s="243"/>
      <c r="AF50" s="244"/>
      <c r="AG50" s="220"/>
    </row>
    <row r="51" spans="1:34" ht="24.9" customHeight="1" x14ac:dyDescent="0.25">
      <c r="A51" s="5"/>
      <c r="B51" s="43">
        <v>1</v>
      </c>
      <c r="C51" s="209" t="s">
        <v>70</v>
      </c>
      <c r="D51" s="210"/>
      <c r="E51" s="127">
        <v>7.2</v>
      </c>
      <c r="F51" s="128">
        <v>9</v>
      </c>
      <c r="G51" s="129">
        <v>11.5</v>
      </c>
      <c r="H51" s="129">
        <v>14.7</v>
      </c>
      <c r="I51" s="129">
        <v>19.5</v>
      </c>
      <c r="J51" s="129">
        <v>28.1</v>
      </c>
      <c r="K51" s="129">
        <v>43.9</v>
      </c>
      <c r="L51" s="129">
        <v>67.7</v>
      </c>
      <c r="M51" s="129">
        <v>81.900000000000006</v>
      </c>
      <c r="N51" s="129">
        <v>93.4</v>
      </c>
      <c r="O51" s="129">
        <v>100</v>
      </c>
      <c r="P51" s="129"/>
      <c r="Q51" s="129"/>
      <c r="R51" s="129"/>
      <c r="S51" s="130"/>
      <c r="T51" s="130"/>
      <c r="U51" s="211">
        <v>165</v>
      </c>
      <c r="V51" s="212"/>
      <c r="W51" s="213">
        <v>5.37</v>
      </c>
      <c r="X51" s="214"/>
      <c r="Y51" s="223">
        <f>IF(W51&lt;&gt;0,AE51,"")</f>
        <v>3.390558478609385</v>
      </c>
      <c r="Z51" s="224"/>
      <c r="AA51" s="80"/>
      <c r="AB51" s="188">
        <f>(100*W51)/(100-W51)</f>
        <v>5.674733171298743</v>
      </c>
      <c r="AC51" s="189"/>
      <c r="AD51" s="67">
        <f>(0.25*(100-O51)+2.3*(O51-H51)+12*(H51-E51)+150*(E51))/100</f>
        <v>13.661900000000001</v>
      </c>
      <c r="AE51" s="68">
        <f>(AB51*$AE$47)/(2.65*(AD51)^(1/5))</f>
        <v>3.390558478609385</v>
      </c>
      <c r="AF51" s="29"/>
      <c r="AG51" s="66"/>
    </row>
    <row r="52" spans="1:34" ht="24.9" customHeight="1" x14ac:dyDescent="0.25">
      <c r="A52" s="5"/>
      <c r="B52" s="44">
        <v>2</v>
      </c>
      <c r="C52" s="209" t="s">
        <v>71</v>
      </c>
      <c r="D52" s="210"/>
      <c r="E52" s="127">
        <v>7.4</v>
      </c>
      <c r="F52" s="128">
        <v>9.3000000000000007</v>
      </c>
      <c r="G52" s="129">
        <v>12</v>
      </c>
      <c r="H52" s="129">
        <v>15.5</v>
      </c>
      <c r="I52" s="129">
        <v>20.5</v>
      </c>
      <c r="J52" s="129">
        <v>29.8</v>
      </c>
      <c r="K52" s="129">
        <v>46.5</v>
      </c>
      <c r="L52" s="129">
        <v>70.7</v>
      </c>
      <c r="M52" s="129">
        <v>82.9</v>
      </c>
      <c r="N52" s="129">
        <v>95.4</v>
      </c>
      <c r="O52" s="129">
        <v>100</v>
      </c>
      <c r="P52" s="129"/>
      <c r="Q52" s="129"/>
      <c r="R52" s="129"/>
      <c r="S52" s="130"/>
      <c r="T52" s="130"/>
      <c r="U52" s="211">
        <v>160</v>
      </c>
      <c r="V52" s="212"/>
      <c r="W52" s="213">
        <v>5.29</v>
      </c>
      <c r="X52" s="214"/>
      <c r="Y52" s="215">
        <f>IF(W52&lt;&gt;0,AE52,"")</f>
        <v>3.3202144119032138</v>
      </c>
      <c r="Z52" s="216"/>
      <c r="AA52" s="80"/>
      <c r="AB52" s="188">
        <f>(100*W52)/(100-W52)</f>
        <v>5.585471439129976</v>
      </c>
      <c r="AC52" s="189"/>
      <c r="AD52" s="67">
        <f t="shared" ref="AD52:AD58" si="0">(0.25*(100-O52)+2.3*(O52-H52)+12*(H52-E52)+150*(E52))/100</f>
        <v>14.015499999999999</v>
      </c>
      <c r="AE52" s="68">
        <f t="shared" ref="AE52:AE58" si="1">(AB52*$AE$47)/(2.65*(AD52)^(1/5))</f>
        <v>3.3202144119032138</v>
      </c>
      <c r="AF52" s="29"/>
      <c r="AG52" s="66"/>
    </row>
    <row r="53" spans="1:34" ht="24.9" customHeight="1" x14ac:dyDescent="0.25">
      <c r="A53" s="5"/>
      <c r="B53" s="44">
        <v>3</v>
      </c>
      <c r="C53" s="165"/>
      <c r="D53" s="217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1"/>
      <c r="P53" s="92"/>
      <c r="Q53" s="121"/>
      <c r="R53" s="92"/>
      <c r="S53" s="92"/>
      <c r="T53" s="93"/>
      <c r="U53" s="162"/>
      <c r="V53" s="163"/>
      <c r="W53" s="218"/>
      <c r="X53" s="219"/>
      <c r="Y53" s="215" t="str">
        <f t="shared" ref="Y53:Y54" si="2">IF(W53&lt;&gt;0,AE53,"")</f>
        <v/>
      </c>
      <c r="Z53" s="216"/>
      <c r="AA53" s="80"/>
      <c r="AB53" s="188">
        <f>(100*W53)/(100-W53)</f>
        <v>0</v>
      </c>
      <c r="AC53" s="18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77"/>
      <c r="D54" s="199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2"/>
      <c r="P54" s="96"/>
      <c r="Q54" s="122"/>
      <c r="R54" s="96"/>
      <c r="S54" s="96"/>
      <c r="T54" s="97"/>
      <c r="U54" s="200"/>
      <c r="V54" s="201"/>
      <c r="W54" s="202"/>
      <c r="X54" s="203"/>
      <c r="Y54" s="204" t="str">
        <f t="shared" si="2"/>
        <v/>
      </c>
      <c r="Z54" s="205"/>
      <c r="AA54" s="80"/>
      <c r="AB54" s="188">
        <f>(100*W54)/(100-W54)</f>
        <v>0</v>
      </c>
      <c r="AC54" s="18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3"/>
      <c r="P55" s="46"/>
      <c r="Q55" s="123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06" t="s">
        <v>8</v>
      </c>
      <c r="C56" s="207"/>
      <c r="D56" s="208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4"/>
      <c r="P56" s="47"/>
      <c r="Q56" s="124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79" t="s">
        <v>7</v>
      </c>
      <c r="C57" s="180"/>
      <c r="D57" s="181"/>
      <c r="E57" s="125">
        <f t="shared" ref="E57:T57" si="3">IF(E51&lt;&gt;0,AVERAGE(E51:E54),"")</f>
        <v>7.3000000000000007</v>
      </c>
      <c r="F57" s="125">
        <f t="shared" si="3"/>
        <v>9.15</v>
      </c>
      <c r="G57" s="125">
        <f t="shared" si="3"/>
        <v>11.75</v>
      </c>
      <c r="H57" s="125">
        <f t="shared" si="3"/>
        <v>15.1</v>
      </c>
      <c r="I57" s="125">
        <f t="shared" si="3"/>
        <v>20</v>
      </c>
      <c r="J57" s="125">
        <f t="shared" si="3"/>
        <v>28.950000000000003</v>
      </c>
      <c r="K57" s="125">
        <f t="shared" si="3"/>
        <v>45.2</v>
      </c>
      <c r="L57" s="125">
        <f t="shared" si="3"/>
        <v>69.2</v>
      </c>
      <c r="M57" s="125">
        <f t="shared" si="3"/>
        <v>82.4</v>
      </c>
      <c r="N57" s="125">
        <f t="shared" si="3"/>
        <v>94.4</v>
      </c>
      <c r="O57" s="126">
        <f t="shared" si="3"/>
        <v>100</v>
      </c>
      <c r="P57" s="125"/>
      <c r="Q57" s="126"/>
      <c r="R57" s="98"/>
      <c r="S57" s="98" t="str">
        <f t="shared" si="3"/>
        <v/>
      </c>
      <c r="T57" s="99" t="str">
        <f t="shared" si="3"/>
        <v/>
      </c>
      <c r="U57" s="182">
        <f>IF(U51&lt;&gt;0,AVERAGE(U51:V54),"")</f>
        <v>162.5</v>
      </c>
      <c r="V57" s="183"/>
      <c r="W57" s="184">
        <f>IF(W51&lt;&gt;0,AVERAGE(W51:X54),"")</f>
        <v>5.33</v>
      </c>
      <c r="X57" s="185"/>
      <c r="Y57" s="186">
        <f>IF(W51&lt;&gt;0,AVERAGE(Y51:Z54),"")</f>
        <v>3.3553864452562996</v>
      </c>
      <c r="Z57" s="187"/>
      <c r="AA57" s="66"/>
      <c r="AB57" s="188">
        <f>(100*W57)/(100-W57)</f>
        <v>5.6300834477659238</v>
      </c>
      <c r="AC57" s="189"/>
      <c r="AD57" s="67">
        <f t="shared" si="0"/>
        <v>13.838699999999999</v>
      </c>
      <c r="AE57" s="68">
        <f t="shared" si="1"/>
        <v>3.3552415173702559</v>
      </c>
      <c r="AF57" s="29"/>
      <c r="AG57" s="66"/>
    </row>
    <row r="58" spans="1:34" ht="21" customHeight="1" x14ac:dyDescent="0.25">
      <c r="A58" s="5"/>
      <c r="B58" s="190" t="s">
        <v>9</v>
      </c>
      <c r="C58" s="191"/>
      <c r="D58" s="192"/>
      <c r="E58" s="114">
        <v>7.1</v>
      </c>
      <c r="F58" s="114">
        <v>9</v>
      </c>
      <c r="G58" s="114">
        <v>13</v>
      </c>
      <c r="H58" s="114">
        <v>17</v>
      </c>
      <c r="I58" s="114">
        <v>24</v>
      </c>
      <c r="J58" s="114">
        <v>31</v>
      </c>
      <c r="K58" s="114">
        <v>44</v>
      </c>
      <c r="L58" s="114">
        <v>65</v>
      </c>
      <c r="M58" s="114">
        <v>81</v>
      </c>
      <c r="N58" s="114">
        <v>96</v>
      </c>
      <c r="O58" s="115">
        <v>100</v>
      </c>
      <c r="P58" s="114"/>
      <c r="Q58" s="115"/>
      <c r="R58" s="100"/>
      <c r="S58" s="100"/>
      <c r="T58" s="101"/>
      <c r="U58" s="193"/>
      <c r="V58" s="194"/>
      <c r="W58" s="195">
        <v>5.3</v>
      </c>
      <c r="X58" s="196"/>
      <c r="Y58" s="197">
        <f>AE58</f>
        <v>3.3397373854480432</v>
      </c>
      <c r="Z58" s="198"/>
      <c r="AA58" s="66"/>
      <c r="AB58" s="188">
        <f>(100*W58)/(100-W58)</f>
        <v>5.5966209081309399</v>
      </c>
      <c r="AC58" s="189"/>
      <c r="AD58" s="67">
        <f t="shared" si="0"/>
        <v>13.747</v>
      </c>
      <c r="AE58" s="68">
        <f t="shared" si="1"/>
        <v>3.3397373854480432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9.1</v>
      </c>
      <c r="F59" s="92"/>
      <c r="G59" s="92"/>
      <c r="H59" s="92"/>
      <c r="I59" s="92"/>
      <c r="J59" s="92">
        <f>J58+6</f>
        <v>37</v>
      </c>
      <c r="K59" s="92"/>
      <c r="L59" s="92">
        <f>L58+7</f>
        <v>72</v>
      </c>
      <c r="M59" s="92"/>
      <c r="N59" s="92"/>
      <c r="O59" s="92"/>
      <c r="P59" s="92"/>
      <c r="Q59" s="92"/>
      <c r="R59" s="92"/>
      <c r="S59" s="92"/>
      <c r="T59" s="93"/>
      <c r="U59" s="162"/>
      <c r="V59" s="163"/>
      <c r="W59" s="164">
        <f>W58+0.5</f>
        <v>5.8</v>
      </c>
      <c r="X59" s="163"/>
      <c r="Y59" s="165"/>
      <c r="Z59" s="166"/>
      <c r="AA59" s="83"/>
      <c r="AB59" s="71"/>
      <c r="AC59" s="69"/>
      <c r="AD59" s="167"/>
      <c r="AE59" s="169" t="s">
        <v>46</v>
      </c>
      <c r="AF59" s="29"/>
      <c r="AG59" s="66"/>
    </row>
    <row r="60" spans="1:34" ht="13.5" customHeight="1" thickBot="1" x14ac:dyDescent="0.3">
      <c r="A60" s="5"/>
      <c r="B60" s="171" t="s">
        <v>24</v>
      </c>
      <c r="C60" s="172"/>
      <c r="D60" s="173"/>
      <c r="E60" s="102">
        <f>E58-2</f>
        <v>5.0999999999999996</v>
      </c>
      <c r="F60" s="102"/>
      <c r="G60" s="103"/>
      <c r="H60" s="103"/>
      <c r="I60" s="103"/>
      <c r="J60" s="102">
        <f>J58-6</f>
        <v>25</v>
      </c>
      <c r="K60" s="103"/>
      <c r="L60" s="102">
        <f>L58-7</f>
        <v>58</v>
      </c>
      <c r="M60" s="102"/>
      <c r="N60" s="103"/>
      <c r="O60" s="103"/>
      <c r="P60" s="103"/>
      <c r="Q60" s="102"/>
      <c r="R60" s="103"/>
      <c r="S60" s="103"/>
      <c r="T60" s="104"/>
      <c r="U60" s="174"/>
      <c r="V60" s="175"/>
      <c r="W60" s="176">
        <f>W58-0.5</f>
        <v>4.8</v>
      </c>
      <c r="X60" s="175"/>
      <c r="Y60" s="177"/>
      <c r="Z60" s="178"/>
      <c r="AA60" s="84"/>
      <c r="AB60" s="72"/>
      <c r="AC60" s="73"/>
      <c r="AD60" s="168"/>
      <c r="AE60" s="17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5"/>
      <c r="V63" s="145"/>
      <c r="W63" s="145"/>
      <c r="X63" s="145"/>
      <c r="Y63" s="145"/>
      <c r="Z63" s="146"/>
      <c r="AA63" s="81"/>
      <c r="AB63" s="58"/>
      <c r="AC63" s="58"/>
      <c r="AD63" s="59"/>
    </row>
    <row r="64" spans="1:34" ht="26.4" customHeight="1" x14ac:dyDescent="0.25">
      <c r="A64" s="147" t="s">
        <v>48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9"/>
      <c r="R64" s="138" t="s">
        <v>31</v>
      </c>
      <c r="S64" s="139"/>
      <c r="T64" s="140"/>
      <c r="U64" s="150" t="s">
        <v>62</v>
      </c>
      <c r="V64" s="151"/>
      <c r="W64" s="151"/>
      <c r="X64" s="151"/>
      <c r="Y64" s="151"/>
      <c r="Z64" s="152"/>
      <c r="AA64" s="76"/>
      <c r="AB64" s="60"/>
      <c r="AC64" s="60"/>
      <c r="AD64" s="59"/>
    </row>
    <row r="65" spans="1:30" ht="26.4" customHeight="1" x14ac:dyDescent="0.25">
      <c r="A65" s="153" t="s">
        <v>61</v>
      </c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5"/>
      <c r="R65" s="138" t="s">
        <v>51</v>
      </c>
      <c r="S65" s="139"/>
      <c r="T65" s="140"/>
      <c r="U65" s="156" t="s">
        <v>63</v>
      </c>
      <c r="V65" s="157"/>
      <c r="W65" s="157"/>
      <c r="X65" s="157"/>
      <c r="Y65" s="157"/>
      <c r="Z65" s="15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38"/>
      <c r="S66" s="139"/>
      <c r="T66" s="140"/>
      <c r="U66" s="159"/>
      <c r="V66" s="160"/>
      <c r="W66" s="160"/>
      <c r="X66" s="160"/>
      <c r="Y66" s="160"/>
      <c r="Z66" s="161"/>
      <c r="AA66" s="76"/>
      <c r="AB66" s="60"/>
      <c r="AC66" s="60"/>
      <c r="AD66" s="59"/>
    </row>
    <row r="67" spans="1:30" ht="15.6" customHeight="1" x14ac:dyDescent="0.2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  <c r="R67" s="138" t="s">
        <v>25</v>
      </c>
      <c r="S67" s="139"/>
      <c r="T67" s="140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2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4"/>
      <c r="R68" s="138"/>
      <c r="S68" s="139"/>
      <c r="T68" s="140"/>
      <c r="U68" s="108"/>
      <c r="V68" s="144"/>
      <c r="W68" s="144"/>
      <c r="X68" s="144"/>
      <c r="Y68" s="144"/>
      <c r="Z68" s="109"/>
      <c r="AA68" s="77"/>
      <c r="AB68" s="65"/>
      <c r="AC68" s="65"/>
      <c r="AD68" s="59"/>
    </row>
    <row r="69" spans="1:30" ht="15.6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  <c r="R69" s="138"/>
      <c r="S69" s="139"/>
      <c r="T69" s="140"/>
      <c r="U69" s="108"/>
      <c r="V69" s="144"/>
      <c r="W69" s="144"/>
      <c r="X69" s="144"/>
      <c r="Y69" s="144"/>
      <c r="Z69" s="109"/>
      <c r="AA69" s="77"/>
      <c r="AB69" s="65"/>
      <c r="AC69" s="65"/>
      <c r="AD69" s="59"/>
    </row>
    <row r="70" spans="1:30" ht="15.6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  <c r="R70" s="141"/>
      <c r="S70" s="142"/>
      <c r="T70" s="143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C51:D51"/>
    <mergeCell ref="U51:V51"/>
    <mergeCell ref="W51:X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9521-9904-4CFA-B167-8279741506D5}">
  <sheetPr>
    <pageSetUpPr fitToPage="1"/>
  </sheetPr>
  <dimension ref="A1:AN70"/>
  <sheetViews>
    <sheetView topLeftCell="A53" zoomScaleNormal="100" workbookViewId="0">
      <selection activeCell="Q51" sqref="Q51:Q5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59"/>
      <c r="B1" s="260"/>
      <c r="C1" s="260"/>
      <c r="D1" s="260"/>
      <c r="E1" s="260"/>
      <c r="F1" s="261"/>
      <c r="G1" s="268" t="s">
        <v>33</v>
      </c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70"/>
      <c r="U1" s="271" t="s">
        <v>52</v>
      </c>
      <c r="V1" s="272"/>
      <c r="W1" s="272"/>
      <c r="X1" s="272"/>
      <c r="Y1" s="272"/>
      <c r="Z1" s="273"/>
      <c r="AA1" s="78"/>
    </row>
    <row r="2" spans="1:36" ht="12.6" customHeight="1" x14ac:dyDescent="0.25">
      <c r="A2" s="262"/>
      <c r="B2" s="263"/>
      <c r="C2" s="263"/>
      <c r="D2" s="263"/>
      <c r="E2" s="263"/>
      <c r="F2" s="264"/>
      <c r="G2" s="280" t="s">
        <v>39</v>
      </c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2"/>
      <c r="U2" s="274"/>
      <c r="V2" s="275"/>
      <c r="W2" s="275"/>
      <c r="X2" s="275"/>
      <c r="Y2" s="275"/>
      <c r="Z2" s="276"/>
      <c r="AA2" s="78"/>
    </row>
    <row r="3" spans="1:36" ht="12.6" customHeight="1" x14ac:dyDescent="0.25">
      <c r="A3" s="262"/>
      <c r="B3" s="263"/>
      <c r="C3" s="263"/>
      <c r="D3" s="263"/>
      <c r="E3" s="263"/>
      <c r="F3" s="264"/>
      <c r="G3" s="283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2"/>
      <c r="U3" s="274"/>
      <c r="V3" s="275"/>
      <c r="W3" s="275"/>
      <c r="X3" s="275"/>
      <c r="Y3" s="275"/>
      <c r="Z3" s="276"/>
      <c r="AA3" s="78"/>
    </row>
    <row r="4" spans="1:36" ht="12.6" customHeight="1" x14ac:dyDescent="0.25">
      <c r="A4" s="262"/>
      <c r="B4" s="263"/>
      <c r="C4" s="263"/>
      <c r="D4" s="263"/>
      <c r="E4" s="263"/>
      <c r="F4" s="264"/>
      <c r="G4" s="283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2"/>
      <c r="U4" s="274"/>
      <c r="V4" s="275"/>
      <c r="W4" s="275"/>
      <c r="X4" s="275"/>
      <c r="Y4" s="275"/>
      <c r="Z4" s="276"/>
      <c r="AA4" s="78"/>
    </row>
    <row r="5" spans="1:36" ht="12.6" customHeight="1" x14ac:dyDescent="0.25">
      <c r="A5" s="262"/>
      <c r="B5" s="263"/>
      <c r="C5" s="263"/>
      <c r="D5" s="263"/>
      <c r="E5" s="263"/>
      <c r="F5" s="264"/>
      <c r="G5" s="283" t="s">
        <v>40</v>
      </c>
      <c r="H5" s="281"/>
      <c r="I5" s="2" t="s">
        <v>34</v>
      </c>
      <c r="J5" s="247">
        <v>2</v>
      </c>
      <c r="K5" s="284"/>
      <c r="L5" s="285" t="s">
        <v>53</v>
      </c>
      <c r="M5" s="286"/>
      <c r="N5" s="286"/>
      <c r="O5" s="287"/>
      <c r="P5" s="288">
        <v>45798</v>
      </c>
      <c r="Q5" s="289"/>
      <c r="R5" s="289"/>
      <c r="S5" s="289"/>
      <c r="T5" s="290"/>
      <c r="U5" s="274"/>
      <c r="V5" s="275"/>
      <c r="W5" s="275"/>
      <c r="X5" s="275"/>
      <c r="Y5" s="275"/>
      <c r="Z5" s="276"/>
      <c r="AA5" s="78"/>
    </row>
    <row r="6" spans="1:36" ht="12.6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45" t="s">
        <v>35</v>
      </c>
      <c r="K6" s="245"/>
      <c r="L6" s="245" t="s">
        <v>36</v>
      </c>
      <c r="M6" s="245"/>
      <c r="N6" s="245"/>
      <c r="O6" s="245"/>
      <c r="P6" s="245" t="s">
        <v>37</v>
      </c>
      <c r="Q6" s="245"/>
      <c r="R6" s="245"/>
      <c r="S6" s="245"/>
      <c r="T6" s="256"/>
      <c r="U6" s="277"/>
      <c r="V6" s="278"/>
      <c r="W6" s="278"/>
      <c r="X6" s="278"/>
      <c r="Y6" s="278"/>
      <c r="Z6" s="279"/>
      <c r="AA6" s="78"/>
    </row>
    <row r="7" spans="1:36" ht="36.6" customHeight="1" x14ac:dyDescent="0.25">
      <c r="A7" s="257" t="s">
        <v>38</v>
      </c>
      <c r="B7" s="257"/>
      <c r="C7" s="257"/>
      <c r="D7" s="257"/>
      <c r="E7" s="257"/>
      <c r="F7" s="257"/>
      <c r="G7" s="258" t="s">
        <v>32</v>
      </c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46" t="s">
        <v>27</v>
      </c>
      <c r="C10" s="246"/>
      <c r="D10" s="246"/>
      <c r="E10" s="246"/>
      <c r="F10" s="246"/>
      <c r="G10" s="253" t="s">
        <v>55</v>
      </c>
      <c r="H10" s="253"/>
      <c r="I10" s="253"/>
      <c r="J10" s="253"/>
      <c r="K10" s="253"/>
      <c r="L10" s="253"/>
      <c r="M10" s="246" t="s">
        <v>30</v>
      </c>
      <c r="N10" s="246"/>
      <c r="O10" s="246"/>
      <c r="P10" s="246"/>
      <c r="Q10" s="246"/>
      <c r="R10" s="246"/>
      <c r="S10" s="254" t="s">
        <v>58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46" t="s">
        <v>6</v>
      </c>
      <c r="C11" s="246"/>
      <c r="D11" s="246"/>
      <c r="E11" s="246"/>
      <c r="F11" s="246"/>
      <c r="G11" s="253">
        <v>45798</v>
      </c>
      <c r="H11" s="253"/>
      <c r="I11" s="253"/>
      <c r="J11" s="253"/>
      <c r="K11" s="253"/>
      <c r="L11" s="253"/>
      <c r="M11" s="246" t="s">
        <v>44</v>
      </c>
      <c r="N11" s="246"/>
      <c r="O11" s="246"/>
      <c r="P11" s="246"/>
      <c r="Q11" s="246"/>
      <c r="R11" s="246"/>
      <c r="S11" s="254" t="s">
        <v>66</v>
      </c>
      <c r="T11" s="254"/>
      <c r="U11" s="254"/>
      <c r="V11" s="254"/>
      <c r="W11" s="254"/>
      <c r="X11" s="254"/>
      <c r="Y11" s="254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46" t="s">
        <v>28</v>
      </c>
      <c r="C12" s="246"/>
      <c r="D12" s="246"/>
      <c r="E12" s="246"/>
      <c r="F12" s="246"/>
      <c r="G12" s="253">
        <v>45797</v>
      </c>
      <c r="H12" s="253"/>
      <c r="I12" s="253"/>
      <c r="J12" s="253"/>
      <c r="K12" s="253"/>
      <c r="L12" s="253"/>
      <c r="M12" s="255" t="s">
        <v>43</v>
      </c>
      <c r="N12" s="255"/>
      <c r="O12" s="255"/>
      <c r="P12" s="255"/>
      <c r="Q12" s="255"/>
      <c r="R12" s="255"/>
      <c r="S12" s="254">
        <v>231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2" t="s">
        <v>41</v>
      </c>
      <c r="C13" s="252"/>
      <c r="D13" s="252"/>
      <c r="E13" s="252"/>
      <c r="F13" s="252"/>
      <c r="G13" s="253" t="s">
        <v>56</v>
      </c>
      <c r="H13" s="253"/>
      <c r="I13" s="253"/>
      <c r="J13" s="253"/>
      <c r="K13" s="253"/>
      <c r="L13" s="253"/>
      <c r="M13" s="246" t="s">
        <v>29</v>
      </c>
      <c r="N13" s="246"/>
      <c r="O13" s="246"/>
      <c r="P13" s="246"/>
      <c r="Q13" s="246"/>
      <c r="R13" s="246"/>
      <c r="S13" s="253" t="s">
        <v>60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46" t="s">
        <v>42</v>
      </c>
      <c r="C14" s="246"/>
      <c r="D14" s="246"/>
      <c r="E14" s="246"/>
      <c r="F14" s="246"/>
      <c r="G14" s="253" t="s">
        <v>69</v>
      </c>
      <c r="H14" s="253"/>
      <c r="I14" s="253"/>
      <c r="J14" s="253"/>
      <c r="K14" s="253"/>
      <c r="L14" s="253"/>
      <c r="M14" s="254" t="s">
        <v>26</v>
      </c>
      <c r="N14" s="254"/>
      <c r="O14" s="254"/>
      <c r="P14" s="254"/>
      <c r="Q14" s="254"/>
      <c r="R14" s="254"/>
      <c r="S14" s="254" t="s">
        <v>49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46" t="s">
        <v>19</v>
      </c>
      <c r="C19" s="246"/>
      <c r="D19" s="246"/>
      <c r="E19" s="246"/>
      <c r="F19" s="246"/>
      <c r="G19" s="246"/>
      <c r="H19" s="246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17"/>
      <c r="AA19" s="75"/>
      <c r="AE19" s="20"/>
      <c r="AI19" s="20"/>
    </row>
    <row r="20" spans="1:40" ht="15.9" customHeight="1" x14ac:dyDescent="0.25">
      <c r="A20" s="13"/>
      <c r="B20" s="246" t="s">
        <v>20</v>
      </c>
      <c r="C20" s="246"/>
      <c r="D20" s="246"/>
      <c r="E20" s="246"/>
      <c r="F20" s="246"/>
      <c r="G20" s="246"/>
      <c r="H20" s="246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48" t="s">
        <v>16</v>
      </c>
      <c r="AE47" s="250">
        <v>2.694</v>
      </c>
      <c r="AF47" s="220"/>
      <c r="AG47" s="226"/>
      <c r="AH47" s="39"/>
    </row>
    <row r="48" spans="1:34" ht="12.75" customHeight="1" thickBot="1" x14ac:dyDescent="0.3">
      <c r="A48" s="18"/>
      <c r="Z48" s="87"/>
      <c r="AD48" s="249"/>
      <c r="AE48" s="251"/>
      <c r="AF48" s="225"/>
      <c r="AG48" s="226"/>
    </row>
    <row r="49" spans="1:34" ht="18.75" customHeight="1" thickBot="1" x14ac:dyDescent="0.3">
      <c r="A49" s="18"/>
      <c r="E49" s="227" t="s">
        <v>11</v>
      </c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9" t="s">
        <v>47</v>
      </c>
      <c r="V49" s="230"/>
      <c r="W49" s="231" t="s">
        <v>12</v>
      </c>
      <c r="X49" s="230"/>
      <c r="Y49" s="232" t="s">
        <v>13</v>
      </c>
      <c r="Z49" s="233"/>
      <c r="AA49" s="82"/>
      <c r="AB49" s="236" t="s">
        <v>45</v>
      </c>
      <c r="AC49" s="237"/>
      <c r="AD49" s="240" t="s">
        <v>14</v>
      </c>
      <c r="AE49" s="242" t="s">
        <v>15</v>
      </c>
      <c r="AF49" s="220"/>
      <c r="AG49" s="220"/>
      <c r="AH49" s="40"/>
    </row>
    <row r="50" spans="1:34" ht="24.9" customHeight="1" thickBot="1" x14ac:dyDescent="0.3">
      <c r="A50" s="5"/>
      <c r="B50" s="41" t="s">
        <v>22</v>
      </c>
      <c r="C50" s="221" t="s">
        <v>10</v>
      </c>
      <c r="D50" s="22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1"/>
      <c r="V50" s="173"/>
      <c r="W50" s="172"/>
      <c r="X50" s="173"/>
      <c r="Y50" s="234"/>
      <c r="Z50" s="235"/>
      <c r="AA50" s="82"/>
      <c r="AB50" s="238"/>
      <c r="AC50" s="239"/>
      <c r="AD50" s="241"/>
      <c r="AE50" s="243"/>
      <c r="AF50" s="244"/>
      <c r="AG50" s="220"/>
    </row>
    <row r="51" spans="1:34" ht="24.9" customHeight="1" x14ac:dyDescent="0.25">
      <c r="A51" s="5"/>
      <c r="B51" s="43">
        <v>1</v>
      </c>
      <c r="C51" s="209" t="s">
        <v>72</v>
      </c>
      <c r="D51" s="210"/>
      <c r="E51" s="127">
        <v>6.7</v>
      </c>
      <c r="F51" s="128">
        <v>8.6999999999999993</v>
      </c>
      <c r="G51" s="129">
        <v>11.6</v>
      </c>
      <c r="H51" s="129">
        <v>15.1</v>
      </c>
      <c r="I51" s="129">
        <v>20.5</v>
      </c>
      <c r="J51" s="129">
        <v>29.9</v>
      </c>
      <c r="K51" s="129">
        <v>44.6</v>
      </c>
      <c r="L51" s="129">
        <v>57.1</v>
      </c>
      <c r="M51" s="129">
        <v>74.5</v>
      </c>
      <c r="N51" s="129">
        <v>86.3</v>
      </c>
      <c r="O51" s="129">
        <v>93.9</v>
      </c>
      <c r="P51" s="129">
        <v>98.1</v>
      </c>
      <c r="Q51" s="131">
        <v>100</v>
      </c>
      <c r="R51" s="129"/>
      <c r="S51" s="130"/>
      <c r="T51" s="130"/>
      <c r="U51" s="211">
        <v>191</v>
      </c>
      <c r="V51" s="212"/>
      <c r="W51" s="213">
        <v>4.58</v>
      </c>
      <c r="X51" s="214"/>
      <c r="Y51" s="223">
        <f>IF(W51&lt;&gt;0,AE51,"")</f>
        <v>2.9265538318520559</v>
      </c>
      <c r="Z51" s="224"/>
      <c r="AA51" s="80"/>
      <c r="AB51" s="188">
        <f>(100*W51)/(100-W51)</f>
        <v>4.7998323202682878</v>
      </c>
      <c r="AC51" s="189"/>
      <c r="AD51" s="67">
        <f>(0.25*(100-O51)+2.3*(O51-H51)+12*(H51-E51)+150*(E51))/100</f>
        <v>12.88565</v>
      </c>
      <c r="AE51" s="68">
        <f>(AB51*$AE$47)/(2.65*(AD51)^(1/5))</f>
        <v>2.9265538318520559</v>
      </c>
      <c r="AF51" s="29"/>
      <c r="AG51" s="66"/>
    </row>
    <row r="52" spans="1:34" ht="24.9" customHeight="1" x14ac:dyDescent="0.25">
      <c r="A52" s="5"/>
      <c r="B52" s="44">
        <v>2</v>
      </c>
      <c r="C52" s="209" t="s">
        <v>73</v>
      </c>
      <c r="D52" s="210"/>
      <c r="E52" s="127">
        <v>6.6</v>
      </c>
      <c r="F52" s="128">
        <v>8.6</v>
      </c>
      <c r="G52" s="129">
        <v>11.4</v>
      </c>
      <c r="H52" s="129">
        <v>15.2</v>
      </c>
      <c r="I52" s="129">
        <v>20.9</v>
      </c>
      <c r="J52" s="129">
        <v>32.299999999999997</v>
      </c>
      <c r="K52" s="129">
        <v>45.3</v>
      </c>
      <c r="L52" s="129">
        <v>57.6</v>
      </c>
      <c r="M52" s="129">
        <v>77</v>
      </c>
      <c r="N52" s="129">
        <v>87</v>
      </c>
      <c r="O52" s="129">
        <v>93.5</v>
      </c>
      <c r="P52" s="129">
        <v>97.2</v>
      </c>
      <c r="Q52" s="131">
        <v>100</v>
      </c>
      <c r="R52" s="129"/>
      <c r="S52" s="130"/>
      <c r="T52" s="130"/>
      <c r="U52" s="211">
        <v>170</v>
      </c>
      <c r="V52" s="212"/>
      <c r="W52" s="213">
        <v>4.67</v>
      </c>
      <c r="X52" s="214"/>
      <c r="Y52" s="215">
        <f>IF(W52&lt;&gt;0,AE52,"")</f>
        <v>2.9932483985983485</v>
      </c>
      <c r="Z52" s="216"/>
      <c r="AA52" s="80"/>
      <c r="AB52" s="188">
        <f>(100*W52)/(100-W52)</f>
        <v>4.8987726843595931</v>
      </c>
      <c r="AC52" s="189"/>
      <c r="AD52" s="67">
        <f t="shared" ref="AD52:AD58" si="0">(0.25*(100-O52)+2.3*(O52-H52)+12*(H52-E52)+150*(E52))/100</f>
        <v>12.74915</v>
      </c>
      <c r="AE52" s="68">
        <f t="shared" ref="AE52:AE58" si="1">(AB52*$AE$47)/(2.65*(AD52)^(1/5))</f>
        <v>2.9932483985983485</v>
      </c>
      <c r="AF52" s="29"/>
      <c r="AG52" s="66"/>
    </row>
    <row r="53" spans="1:34" ht="24.9" customHeight="1" x14ac:dyDescent="0.25">
      <c r="A53" s="5"/>
      <c r="B53" s="44">
        <v>3</v>
      </c>
      <c r="C53" s="165"/>
      <c r="D53" s="217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1"/>
      <c r="R53" s="92"/>
      <c r="S53" s="92"/>
      <c r="T53" s="93"/>
      <c r="U53" s="162"/>
      <c r="V53" s="163"/>
      <c r="W53" s="218"/>
      <c r="X53" s="219"/>
      <c r="Y53" s="215" t="str">
        <f t="shared" ref="Y53:Y54" si="2">IF(W53&lt;&gt;0,AE53,"")</f>
        <v/>
      </c>
      <c r="Z53" s="216"/>
      <c r="AA53" s="80"/>
      <c r="AB53" s="188">
        <f>(100*W53)/(100-W53)</f>
        <v>0</v>
      </c>
      <c r="AC53" s="18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77"/>
      <c r="D54" s="199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2"/>
      <c r="R54" s="96"/>
      <c r="S54" s="96"/>
      <c r="T54" s="97"/>
      <c r="U54" s="200"/>
      <c r="V54" s="201"/>
      <c r="W54" s="202"/>
      <c r="X54" s="203"/>
      <c r="Y54" s="204" t="str">
        <f t="shared" si="2"/>
        <v/>
      </c>
      <c r="Z54" s="205"/>
      <c r="AA54" s="80"/>
      <c r="AB54" s="188">
        <f>(100*W54)/(100-W54)</f>
        <v>0</v>
      </c>
      <c r="AC54" s="18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3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06" t="s">
        <v>8</v>
      </c>
      <c r="C56" s="207"/>
      <c r="D56" s="208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4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79" t="s">
        <v>7</v>
      </c>
      <c r="C57" s="180"/>
      <c r="D57" s="181"/>
      <c r="E57" s="125">
        <f t="shared" ref="E57:T57" si="3">IF(E51&lt;&gt;0,AVERAGE(E51:E54),"")</f>
        <v>6.65</v>
      </c>
      <c r="F57" s="125">
        <f t="shared" si="3"/>
        <v>8.6499999999999986</v>
      </c>
      <c r="G57" s="125">
        <f t="shared" si="3"/>
        <v>11.5</v>
      </c>
      <c r="H57" s="125">
        <f t="shared" si="3"/>
        <v>15.149999999999999</v>
      </c>
      <c r="I57" s="125">
        <f t="shared" si="3"/>
        <v>20.7</v>
      </c>
      <c r="J57" s="125">
        <f t="shared" si="3"/>
        <v>31.099999999999998</v>
      </c>
      <c r="K57" s="125">
        <f t="shared" si="3"/>
        <v>44.95</v>
      </c>
      <c r="L57" s="125">
        <f t="shared" si="3"/>
        <v>57.35</v>
      </c>
      <c r="M57" s="125">
        <f t="shared" si="3"/>
        <v>75.75</v>
      </c>
      <c r="N57" s="125">
        <f t="shared" si="3"/>
        <v>86.65</v>
      </c>
      <c r="O57" s="125">
        <f t="shared" si="3"/>
        <v>93.7</v>
      </c>
      <c r="P57" s="125">
        <f t="shared" si="3"/>
        <v>97.65</v>
      </c>
      <c r="Q57" s="126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182">
        <f>IF(U51&lt;&gt;0,AVERAGE(U51:V54),"")</f>
        <v>180.5</v>
      </c>
      <c r="V57" s="183"/>
      <c r="W57" s="184">
        <f>IF(W51&lt;&gt;0,AVERAGE(W51:X54),"")</f>
        <v>4.625</v>
      </c>
      <c r="X57" s="185"/>
      <c r="Y57" s="186">
        <f>IF(W51&lt;&gt;0,AVERAGE(Y51:Z54),"")</f>
        <v>2.9599011152252022</v>
      </c>
      <c r="Z57" s="187"/>
      <c r="AA57" s="66"/>
      <c r="AB57" s="188">
        <f>(100*W57)/(100-W57)</f>
        <v>4.8492791612057671</v>
      </c>
      <c r="AC57" s="189"/>
      <c r="AD57" s="67">
        <f t="shared" si="0"/>
        <v>12.817399999999999</v>
      </c>
      <c r="AE57" s="68">
        <f t="shared" si="1"/>
        <v>2.959844640898345</v>
      </c>
      <c r="AF57" s="29"/>
      <c r="AG57" s="66"/>
    </row>
    <row r="58" spans="1:34" ht="21" customHeight="1" x14ac:dyDescent="0.25">
      <c r="A58" s="5"/>
      <c r="B58" s="190" t="s">
        <v>9</v>
      </c>
      <c r="C58" s="191"/>
      <c r="D58" s="192"/>
      <c r="E58" s="114">
        <v>7.5</v>
      </c>
      <c r="F58" s="114">
        <v>10</v>
      </c>
      <c r="G58" s="114">
        <v>13</v>
      </c>
      <c r="H58" s="114">
        <v>18</v>
      </c>
      <c r="I58" s="114">
        <v>23</v>
      </c>
      <c r="J58" s="114">
        <v>31</v>
      </c>
      <c r="K58" s="114">
        <v>43</v>
      </c>
      <c r="L58" s="114">
        <v>53</v>
      </c>
      <c r="M58" s="114">
        <v>65</v>
      </c>
      <c r="N58" s="114">
        <v>80</v>
      </c>
      <c r="O58" s="114">
        <v>93</v>
      </c>
      <c r="P58" s="114">
        <v>97</v>
      </c>
      <c r="Q58" s="115">
        <v>100</v>
      </c>
      <c r="R58" s="100"/>
      <c r="S58" s="100"/>
      <c r="T58" s="101"/>
      <c r="U58" s="193"/>
      <c r="V58" s="194"/>
      <c r="W58" s="195">
        <v>4.4000000000000004</v>
      </c>
      <c r="X58" s="196"/>
      <c r="Y58" s="197">
        <f>AE58</f>
        <v>2.750225418988284</v>
      </c>
      <c r="Z58" s="198"/>
      <c r="AA58" s="66"/>
      <c r="AB58" s="188">
        <f>(100*W58)/(100-W58)</f>
        <v>4.6025104602510467</v>
      </c>
      <c r="AC58" s="189"/>
      <c r="AD58" s="67">
        <f t="shared" si="0"/>
        <v>14.2525</v>
      </c>
      <c r="AE58" s="68">
        <f t="shared" si="1"/>
        <v>2.750225418988284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9.5</v>
      </c>
      <c r="F59" s="92"/>
      <c r="G59" s="92"/>
      <c r="H59" s="92"/>
      <c r="I59" s="92"/>
      <c r="J59" s="92">
        <f>J58+6</f>
        <v>37</v>
      </c>
      <c r="K59" s="92"/>
      <c r="L59" s="92">
        <f>L58+7</f>
        <v>60</v>
      </c>
      <c r="M59" s="92"/>
      <c r="N59" s="92"/>
      <c r="O59" s="92"/>
      <c r="P59" s="92"/>
      <c r="Q59" s="92"/>
      <c r="R59" s="92"/>
      <c r="S59" s="92"/>
      <c r="T59" s="93"/>
      <c r="U59" s="162"/>
      <c r="V59" s="163"/>
      <c r="W59" s="164">
        <f>W58+0.5</f>
        <v>4.9000000000000004</v>
      </c>
      <c r="X59" s="163"/>
      <c r="Y59" s="165"/>
      <c r="Z59" s="166"/>
      <c r="AA59" s="83"/>
      <c r="AB59" s="71"/>
      <c r="AC59" s="69"/>
      <c r="AD59" s="167"/>
      <c r="AE59" s="169" t="s">
        <v>46</v>
      </c>
      <c r="AF59" s="29"/>
      <c r="AG59" s="66"/>
    </row>
    <row r="60" spans="1:34" ht="13.5" customHeight="1" thickBot="1" x14ac:dyDescent="0.3">
      <c r="A60" s="5"/>
      <c r="B60" s="171" t="s">
        <v>24</v>
      </c>
      <c r="C60" s="172"/>
      <c r="D60" s="173"/>
      <c r="E60" s="102">
        <f>E58-2</f>
        <v>5.5</v>
      </c>
      <c r="F60" s="102"/>
      <c r="G60" s="103"/>
      <c r="H60" s="103"/>
      <c r="I60" s="103"/>
      <c r="J60" s="102">
        <f>J58-6</f>
        <v>25</v>
      </c>
      <c r="K60" s="103"/>
      <c r="L60" s="102">
        <f>L58-7</f>
        <v>46</v>
      </c>
      <c r="M60" s="102"/>
      <c r="N60" s="103"/>
      <c r="O60" s="103"/>
      <c r="P60" s="103"/>
      <c r="Q60" s="102"/>
      <c r="R60" s="103"/>
      <c r="S60" s="103"/>
      <c r="T60" s="104"/>
      <c r="U60" s="174"/>
      <c r="V60" s="175"/>
      <c r="W60" s="176">
        <f>W58-0.5</f>
        <v>3.9000000000000004</v>
      </c>
      <c r="X60" s="175"/>
      <c r="Y60" s="177"/>
      <c r="Z60" s="178"/>
      <c r="AA60" s="84"/>
      <c r="AB60" s="72"/>
      <c r="AC60" s="73"/>
      <c r="AD60" s="168"/>
      <c r="AE60" s="17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5"/>
      <c r="V63" s="145"/>
      <c r="W63" s="145"/>
      <c r="X63" s="145"/>
      <c r="Y63" s="145"/>
      <c r="Z63" s="146"/>
      <c r="AA63" s="81"/>
      <c r="AB63" s="58"/>
      <c r="AC63" s="58"/>
      <c r="AD63" s="59"/>
    </row>
    <row r="64" spans="1:34" ht="26.4" customHeight="1" x14ac:dyDescent="0.25">
      <c r="A64" s="147" t="s">
        <v>48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9"/>
      <c r="R64" s="138" t="s">
        <v>31</v>
      </c>
      <c r="S64" s="139"/>
      <c r="T64" s="140"/>
      <c r="U64" s="150" t="s">
        <v>62</v>
      </c>
      <c r="V64" s="151"/>
      <c r="W64" s="151"/>
      <c r="X64" s="151"/>
      <c r="Y64" s="151"/>
      <c r="Z64" s="152"/>
      <c r="AA64" s="76"/>
      <c r="AB64" s="60"/>
      <c r="AC64" s="60"/>
      <c r="AD64" s="59"/>
    </row>
    <row r="65" spans="1:30" ht="26.4" customHeight="1" x14ac:dyDescent="0.25">
      <c r="A65" s="153" t="s">
        <v>61</v>
      </c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5"/>
      <c r="R65" s="138" t="s">
        <v>51</v>
      </c>
      <c r="S65" s="139"/>
      <c r="T65" s="140"/>
      <c r="U65" s="156" t="s">
        <v>63</v>
      </c>
      <c r="V65" s="157"/>
      <c r="W65" s="157"/>
      <c r="X65" s="157"/>
      <c r="Y65" s="157"/>
      <c r="Z65" s="15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38"/>
      <c r="S66" s="139"/>
      <c r="T66" s="140"/>
      <c r="U66" s="159"/>
      <c r="V66" s="160"/>
      <c r="W66" s="160"/>
      <c r="X66" s="160"/>
      <c r="Y66" s="160"/>
      <c r="Z66" s="161"/>
      <c r="AA66" s="76"/>
      <c r="AB66" s="60"/>
      <c r="AC66" s="60"/>
      <c r="AD66" s="59"/>
    </row>
    <row r="67" spans="1:30" ht="15.6" customHeight="1" x14ac:dyDescent="0.2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  <c r="R67" s="138" t="s">
        <v>25</v>
      </c>
      <c r="S67" s="139"/>
      <c r="T67" s="140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2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4"/>
      <c r="R68" s="138"/>
      <c r="S68" s="139"/>
      <c r="T68" s="140"/>
      <c r="U68" s="108"/>
      <c r="V68" s="144"/>
      <c r="W68" s="144"/>
      <c r="X68" s="144"/>
      <c r="Y68" s="144"/>
      <c r="Z68" s="109"/>
      <c r="AA68" s="77"/>
      <c r="AB68" s="65"/>
      <c r="AC68" s="65"/>
      <c r="AD68" s="59"/>
    </row>
    <row r="69" spans="1:30" ht="15.6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  <c r="R69" s="138"/>
      <c r="S69" s="139"/>
      <c r="T69" s="140"/>
      <c r="U69" s="108"/>
      <c r="V69" s="144"/>
      <c r="W69" s="144"/>
      <c r="X69" s="144"/>
      <c r="Y69" s="144"/>
      <c r="Z69" s="109"/>
      <c r="AA69" s="77"/>
      <c r="AB69" s="65"/>
      <c r="AC69" s="65"/>
      <c r="AD69" s="59"/>
    </row>
    <row r="70" spans="1:30" ht="15.6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  <c r="R70" s="141"/>
      <c r="S70" s="142"/>
      <c r="T70" s="143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C51:D51"/>
    <mergeCell ref="U51:V51"/>
    <mergeCell ref="W51:X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0"/>
  <sheetViews>
    <sheetView zoomScaleNormal="100" workbookViewId="0">
      <selection activeCell="G14" sqref="G14:L1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59"/>
      <c r="B1" s="260"/>
      <c r="C1" s="260"/>
      <c r="D1" s="260"/>
      <c r="E1" s="260"/>
      <c r="F1" s="261"/>
      <c r="G1" s="268" t="s">
        <v>33</v>
      </c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70"/>
      <c r="U1" s="271" t="s">
        <v>52</v>
      </c>
      <c r="V1" s="272"/>
      <c r="W1" s="272"/>
      <c r="X1" s="272"/>
      <c r="Y1" s="272"/>
      <c r="Z1" s="273"/>
      <c r="AA1" s="78"/>
    </row>
    <row r="2" spans="1:36" ht="12.6" customHeight="1" x14ac:dyDescent="0.25">
      <c r="A2" s="262"/>
      <c r="B2" s="263"/>
      <c r="C2" s="263"/>
      <c r="D2" s="263"/>
      <c r="E2" s="263"/>
      <c r="F2" s="264"/>
      <c r="G2" s="280" t="s">
        <v>39</v>
      </c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2"/>
      <c r="U2" s="274"/>
      <c r="V2" s="275"/>
      <c r="W2" s="275"/>
      <c r="X2" s="275"/>
      <c r="Y2" s="275"/>
      <c r="Z2" s="276"/>
      <c r="AA2" s="78"/>
    </row>
    <row r="3" spans="1:36" ht="12.6" customHeight="1" x14ac:dyDescent="0.25">
      <c r="A3" s="262"/>
      <c r="B3" s="263"/>
      <c r="C3" s="263"/>
      <c r="D3" s="263"/>
      <c r="E3" s="263"/>
      <c r="F3" s="264"/>
      <c r="G3" s="283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2"/>
      <c r="U3" s="274"/>
      <c r="V3" s="275"/>
      <c r="W3" s="275"/>
      <c r="X3" s="275"/>
      <c r="Y3" s="275"/>
      <c r="Z3" s="276"/>
      <c r="AA3" s="78"/>
    </row>
    <row r="4" spans="1:36" ht="12.6" customHeight="1" x14ac:dyDescent="0.25">
      <c r="A4" s="262"/>
      <c r="B4" s="263"/>
      <c r="C4" s="263"/>
      <c r="D4" s="263"/>
      <c r="E4" s="263"/>
      <c r="F4" s="264"/>
      <c r="G4" s="283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2"/>
      <c r="U4" s="274"/>
      <c r="V4" s="275"/>
      <c r="W4" s="275"/>
      <c r="X4" s="275"/>
      <c r="Y4" s="275"/>
      <c r="Z4" s="276"/>
      <c r="AA4" s="78"/>
    </row>
    <row r="5" spans="1:36" ht="12.6" customHeight="1" x14ac:dyDescent="0.25">
      <c r="A5" s="262"/>
      <c r="B5" s="263"/>
      <c r="C5" s="263"/>
      <c r="D5" s="263"/>
      <c r="E5" s="263"/>
      <c r="F5" s="264"/>
      <c r="G5" s="283" t="s">
        <v>40</v>
      </c>
      <c r="H5" s="281"/>
      <c r="I5" s="2" t="s">
        <v>34</v>
      </c>
      <c r="J5" s="247">
        <v>1</v>
      </c>
      <c r="K5" s="284"/>
      <c r="L5" s="285" t="s">
        <v>53</v>
      </c>
      <c r="M5" s="286"/>
      <c r="N5" s="286"/>
      <c r="O5" s="287"/>
      <c r="P5" s="288" t="s">
        <v>54</v>
      </c>
      <c r="Q5" s="289"/>
      <c r="R5" s="289"/>
      <c r="S5" s="289"/>
      <c r="T5" s="290"/>
      <c r="U5" s="274"/>
      <c r="V5" s="275"/>
      <c r="W5" s="275"/>
      <c r="X5" s="275"/>
      <c r="Y5" s="275"/>
      <c r="Z5" s="276"/>
      <c r="AA5" s="78"/>
    </row>
    <row r="6" spans="1:36" ht="12.6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45" t="s">
        <v>35</v>
      </c>
      <c r="K6" s="245"/>
      <c r="L6" s="245" t="s">
        <v>36</v>
      </c>
      <c r="M6" s="245"/>
      <c r="N6" s="245"/>
      <c r="O6" s="245"/>
      <c r="P6" s="245" t="s">
        <v>37</v>
      </c>
      <c r="Q6" s="245"/>
      <c r="R6" s="245"/>
      <c r="S6" s="245"/>
      <c r="T6" s="256"/>
      <c r="U6" s="277"/>
      <c r="V6" s="278"/>
      <c r="W6" s="278"/>
      <c r="X6" s="278"/>
      <c r="Y6" s="278"/>
      <c r="Z6" s="279"/>
      <c r="AA6" s="78"/>
    </row>
    <row r="7" spans="1:36" ht="36.6" customHeight="1" x14ac:dyDescent="0.25">
      <c r="A7" s="257" t="s">
        <v>38</v>
      </c>
      <c r="B7" s="257"/>
      <c r="C7" s="257"/>
      <c r="D7" s="257"/>
      <c r="E7" s="257"/>
      <c r="F7" s="257"/>
      <c r="G7" s="258" t="s">
        <v>32</v>
      </c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46" t="s">
        <v>27</v>
      </c>
      <c r="C10" s="246"/>
      <c r="D10" s="246"/>
      <c r="E10" s="246"/>
      <c r="F10" s="246"/>
      <c r="G10" s="253" t="s">
        <v>55</v>
      </c>
      <c r="H10" s="253"/>
      <c r="I10" s="253"/>
      <c r="J10" s="253"/>
      <c r="K10" s="253"/>
      <c r="L10" s="253"/>
      <c r="M10" s="246" t="s">
        <v>30</v>
      </c>
      <c r="N10" s="246"/>
      <c r="O10" s="246"/>
      <c r="P10" s="246"/>
      <c r="Q10" s="246"/>
      <c r="R10" s="246"/>
      <c r="S10" s="254" t="s">
        <v>58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46" t="s">
        <v>6</v>
      </c>
      <c r="C11" s="246"/>
      <c r="D11" s="246"/>
      <c r="E11" s="246"/>
      <c r="F11" s="246"/>
      <c r="G11" s="253">
        <v>45797</v>
      </c>
      <c r="H11" s="253"/>
      <c r="I11" s="253"/>
      <c r="J11" s="253"/>
      <c r="K11" s="253"/>
      <c r="L11" s="253"/>
      <c r="M11" s="246" t="s">
        <v>44</v>
      </c>
      <c r="N11" s="246"/>
      <c r="O11" s="246"/>
      <c r="P11" s="246"/>
      <c r="Q11" s="246"/>
      <c r="R11" s="246"/>
      <c r="S11" s="254" t="s">
        <v>59</v>
      </c>
      <c r="T11" s="254"/>
      <c r="U11" s="254"/>
      <c r="V11" s="254"/>
      <c r="W11" s="254"/>
      <c r="X11" s="254"/>
      <c r="Y11" s="254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46" t="s">
        <v>28</v>
      </c>
      <c r="C12" s="246"/>
      <c r="D12" s="246"/>
      <c r="E12" s="246"/>
      <c r="F12" s="246"/>
      <c r="G12" s="253">
        <v>45796</v>
      </c>
      <c r="H12" s="253"/>
      <c r="I12" s="253"/>
      <c r="J12" s="253"/>
      <c r="K12" s="253"/>
      <c r="L12" s="253"/>
      <c r="M12" s="255" t="s">
        <v>43</v>
      </c>
      <c r="N12" s="255"/>
      <c r="O12" s="255"/>
      <c r="P12" s="255"/>
      <c r="Q12" s="255"/>
      <c r="R12" s="255"/>
      <c r="S12" s="254">
        <v>231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2" t="s">
        <v>41</v>
      </c>
      <c r="C13" s="252"/>
      <c r="D13" s="252"/>
      <c r="E13" s="252"/>
      <c r="F13" s="252"/>
      <c r="G13" s="253" t="s">
        <v>56</v>
      </c>
      <c r="H13" s="253"/>
      <c r="I13" s="253"/>
      <c r="J13" s="253"/>
      <c r="K13" s="253"/>
      <c r="L13" s="253"/>
      <c r="M13" s="246" t="s">
        <v>29</v>
      </c>
      <c r="N13" s="246"/>
      <c r="O13" s="246"/>
      <c r="P13" s="246"/>
      <c r="Q13" s="246"/>
      <c r="R13" s="246"/>
      <c r="S13" s="253" t="s">
        <v>60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46" t="s">
        <v>42</v>
      </c>
      <c r="C14" s="246"/>
      <c r="D14" s="246"/>
      <c r="E14" s="246"/>
      <c r="F14" s="246"/>
      <c r="G14" s="253" t="s">
        <v>69</v>
      </c>
      <c r="H14" s="253"/>
      <c r="I14" s="253"/>
      <c r="J14" s="253"/>
      <c r="K14" s="253"/>
      <c r="L14" s="253"/>
      <c r="M14" s="254" t="s">
        <v>26</v>
      </c>
      <c r="N14" s="254"/>
      <c r="O14" s="254"/>
      <c r="P14" s="254"/>
      <c r="Q14" s="254"/>
      <c r="R14" s="254"/>
      <c r="S14" s="254" t="s">
        <v>49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46" t="s">
        <v>19</v>
      </c>
      <c r="C19" s="246"/>
      <c r="D19" s="246"/>
      <c r="E19" s="246"/>
      <c r="F19" s="246"/>
      <c r="G19" s="246"/>
      <c r="H19" s="246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17"/>
      <c r="AA19" s="75"/>
      <c r="AE19" s="20"/>
      <c r="AI19" s="20"/>
    </row>
    <row r="20" spans="1:40" ht="15.9" customHeight="1" x14ac:dyDescent="0.25">
      <c r="A20" s="13"/>
      <c r="B20" s="246" t="s">
        <v>20</v>
      </c>
      <c r="C20" s="246"/>
      <c r="D20" s="246"/>
      <c r="E20" s="246"/>
      <c r="F20" s="246"/>
      <c r="G20" s="246"/>
      <c r="H20" s="246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48" t="s">
        <v>16</v>
      </c>
      <c r="AE47" s="250">
        <v>2.694</v>
      </c>
      <c r="AF47" s="220"/>
      <c r="AG47" s="226"/>
      <c r="AH47" s="39"/>
    </row>
    <row r="48" spans="1:34" ht="12.75" customHeight="1" thickBot="1" x14ac:dyDescent="0.3">
      <c r="A48" s="18"/>
      <c r="Z48" s="87"/>
      <c r="AD48" s="249"/>
      <c r="AE48" s="251"/>
      <c r="AF48" s="225"/>
      <c r="AG48" s="226"/>
    </row>
    <row r="49" spans="1:34" ht="18.75" customHeight="1" thickBot="1" x14ac:dyDescent="0.3">
      <c r="A49" s="18"/>
      <c r="E49" s="227" t="s">
        <v>11</v>
      </c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9" t="s">
        <v>47</v>
      </c>
      <c r="V49" s="230"/>
      <c r="W49" s="231" t="s">
        <v>12</v>
      </c>
      <c r="X49" s="230"/>
      <c r="Y49" s="232" t="s">
        <v>13</v>
      </c>
      <c r="Z49" s="233"/>
      <c r="AA49" s="82"/>
      <c r="AB49" s="236" t="s">
        <v>45</v>
      </c>
      <c r="AC49" s="237"/>
      <c r="AD49" s="240" t="s">
        <v>14</v>
      </c>
      <c r="AE49" s="242" t="s">
        <v>15</v>
      </c>
      <c r="AF49" s="220"/>
      <c r="AG49" s="220"/>
      <c r="AH49" s="40"/>
    </row>
    <row r="50" spans="1:34" ht="24.9" customHeight="1" thickBot="1" x14ac:dyDescent="0.3">
      <c r="A50" s="5"/>
      <c r="B50" s="41" t="s">
        <v>22</v>
      </c>
      <c r="C50" s="221" t="s">
        <v>10</v>
      </c>
      <c r="D50" s="22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1"/>
      <c r="V50" s="173"/>
      <c r="W50" s="172"/>
      <c r="X50" s="173"/>
      <c r="Y50" s="234"/>
      <c r="Z50" s="235"/>
      <c r="AA50" s="82"/>
      <c r="AB50" s="238"/>
      <c r="AC50" s="239"/>
      <c r="AD50" s="241"/>
      <c r="AE50" s="243"/>
      <c r="AF50" s="244"/>
      <c r="AG50" s="220"/>
    </row>
    <row r="51" spans="1:34" ht="24.9" customHeight="1" x14ac:dyDescent="0.25">
      <c r="A51" s="5"/>
      <c r="B51" s="43">
        <v>1</v>
      </c>
      <c r="C51" s="295" t="s">
        <v>64</v>
      </c>
      <c r="D51" s="296"/>
      <c r="E51" s="116">
        <v>6.2</v>
      </c>
      <c r="F51" s="117">
        <v>8</v>
      </c>
      <c r="G51" s="118">
        <v>10.7</v>
      </c>
      <c r="H51" s="118">
        <v>14.1</v>
      </c>
      <c r="I51" s="118">
        <v>19.3</v>
      </c>
      <c r="J51" s="118">
        <v>28.2</v>
      </c>
      <c r="K51" s="118">
        <v>42.2</v>
      </c>
      <c r="L51" s="118">
        <v>57.7</v>
      </c>
      <c r="M51" s="118">
        <v>67</v>
      </c>
      <c r="N51" s="118">
        <v>80.2</v>
      </c>
      <c r="O51" s="118">
        <v>91.1</v>
      </c>
      <c r="P51" s="118">
        <v>96.2</v>
      </c>
      <c r="Q51" s="120">
        <v>100</v>
      </c>
      <c r="R51" s="118"/>
      <c r="S51" s="119"/>
      <c r="T51" s="119"/>
      <c r="U51" s="291">
        <v>167</v>
      </c>
      <c r="V51" s="292"/>
      <c r="W51" s="293">
        <v>4.2</v>
      </c>
      <c r="X51" s="294"/>
      <c r="Y51" s="223">
        <f>IF(W51&lt;&gt;0,AE51,"")</f>
        <v>2.709575046734559</v>
      </c>
      <c r="Z51" s="224"/>
      <c r="AA51" s="80"/>
      <c r="AB51" s="188">
        <f>(100*W51)/(100-W51)</f>
        <v>4.3841336116910234</v>
      </c>
      <c r="AC51" s="189"/>
      <c r="AD51" s="67">
        <f>(0.25*(100-O51)+2.3*(O51-H51)+12*(H51-E51)+150*(E51))/100</f>
        <v>12.04125</v>
      </c>
      <c r="AE51" s="68">
        <f>(AB51*$AE$47)/(2.65*(AD51)^(1/5))</f>
        <v>2.709575046734559</v>
      </c>
      <c r="AF51" s="29"/>
      <c r="AG51" s="66"/>
    </row>
    <row r="52" spans="1:34" ht="24.9" customHeight="1" x14ac:dyDescent="0.25">
      <c r="A52" s="5"/>
      <c r="B52" s="44">
        <v>2</v>
      </c>
      <c r="C52" s="295" t="s">
        <v>65</v>
      </c>
      <c r="D52" s="296"/>
      <c r="E52" s="116">
        <v>6.6</v>
      </c>
      <c r="F52" s="117">
        <v>8.4</v>
      </c>
      <c r="G52" s="118">
        <v>11</v>
      </c>
      <c r="H52" s="118">
        <v>14.2</v>
      </c>
      <c r="I52" s="118">
        <v>19.3</v>
      </c>
      <c r="J52" s="118">
        <v>28.8</v>
      </c>
      <c r="K52" s="118">
        <v>43.1</v>
      </c>
      <c r="L52" s="118">
        <v>58.8</v>
      </c>
      <c r="M52" s="118">
        <v>69.599999999999994</v>
      </c>
      <c r="N52" s="118">
        <v>82.1</v>
      </c>
      <c r="O52" s="118">
        <v>92.5</v>
      </c>
      <c r="P52" s="118">
        <v>96.5</v>
      </c>
      <c r="Q52" s="120">
        <v>100</v>
      </c>
      <c r="R52" s="118"/>
      <c r="S52" s="119"/>
      <c r="T52" s="119"/>
      <c r="U52" s="291">
        <v>170</v>
      </c>
      <c r="V52" s="292"/>
      <c r="W52" s="293">
        <v>4.55</v>
      </c>
      <c r="X52" s="294"/>
      <c r="Y52" s="215">
        <f>IF(W52&lt;&gt;0,AE52,"")</f>
        <v>2.9180663643521303</v>
      </c>
      <c r="Z52" s="216"/>
      <c r="AA52" s="80"/>
      <c r="AB52" s="188">
        <f>(100*W52)/(100-W52)</f>
        <v>4.7668936616029329</v>
      </c>
      <c r="AC52" s="189"/>
      <c r="AD52" s="67">
        <f t="shared" ref="AD52:AD58" si="0">(0.25*(100-O52)+2.3*(O52-H52)+12*(H52-E52)+150*(E52))/100</f>
        <v>12.63165</v>
      </c>
      <c r="AE52" s="68">
        <f t="shared" ref="AE52:AE58" si="1">(AB52*$AE$47)/(2.65*(AD52)^(1/5))</f>
        <v>2.9180663643521303</v>
      </c>
      <c r="AF52" s="29"/>
      <c r="AG52" s="66"/>
    </row>
    <row r="53" spans="1:34" ht="24.9" customHeight="1" x14ac:dyDescent="0.25">
      <c r="A53" s="5"/>
      <c r="B53" s="44">
        <v>3</v>
      </c>
      <c r="C53" s="165"/>
      <c r="D53" s="217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1"/>
      <c r="R53" s="92"/>
      <c r="S53" s="92"/>
      <c r="T53" s="93"/>
      <c r="U53" s="162"/>
      <c r="V53" s="163"/>
      <c r="W53" s="218"/>
      <c r="X53" s="219"/>
      <c r="Y53" s="215" t="str">
        <f t="shared" ref="Y53:Y54" si="2">IF(W53&lt;&gt;0,AE53,"")</f>
        <v/>
      </c>
      <c r="Z53" s="216"/>
      <c r="AA53" s="80"/>
      <c r="AB53" s="188">
        <f>(100*W53)/(100-W53)</f>
        <v>0</v>
      </c>
      <c r="AC53" s="18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77"/>
      <c r="D54" s="199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2"/>
      <c r="R54" s="96"/>
      <c r="S54" s="96"/>
      <c r="T54" s="97"/>
      <c r="U54" s="200"/>
      <c r="V54" s="201"/>
      <c r="W54" s="202"/>
      <c r="X54" s="203"/>
      <c r="Y54" s="204" t="str">
        <f t="shared" si="2"/>
        <v/>
      </c>
      <c r="Z54" s="205"/>
      <c r="AA54" s="80"/>
      <c r="AB54" s="188">
        <f>(100*W54)/(100-W54)</f>
        <v>0</v>
      </c>
      <c r="AC54" s="18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3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06" t="s">
        <v>8</v>
      </c>
      <c r="C56" s="207"/>
      <c r="D56" s="208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4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79" t="s">
        <v>7</v>
      </c>
      <c r="C57" s="180"/>
      <c r="D57" s="181"/>
      <c r="E57" s="125">
        <f t="shared" ref="E57:T57" si="3">IF(E51&lt;&gt;0,AVERAGE(E51:E54),"")</f>
        <v>6.4</v>
      </c>
      <c r="F57" s="125">
        <f t="shared" si="3"/>
        <v>8.1999999999999993</v>
      </c>
      <c r="G57" s="125">
        <f t="shared" si="3"/>
        <v>10.85</v>
      </c>
      <c r="H57" s="125">
        <f t="shared" si="3"/>
        <v>14.149999999999999</v>
      </c>
      <c r="I57" s="125">
        <f t="shared" si="3"/>
        <v>19.3</v>
      </c>
      <c r="J57" s="125">
        <f t="shared" si="3"/>
        <v>28.5</v>
      </c>
      <c r="K57" s="125">
        <f t="shared" si="3"/>
        <v>42.650000000000006</v>
      </c>
      <c r="L57" s="125">
        <f t="shared" si="3"/>
        <v>58.25</v>
      </c>
      <c r="M57" s="125">
        <f t="shared" si="3"/>
        <v>68.3</v>
      </c>
      <c r="N57" s="125">
        <f t="shared" si="3"/>
        <v>81.150000000000006</v>
      </c>
      <c r="O57" s="125">
        <f t="shared" si="3"/>
        <v>91.8</v>
      </c>
      <c r="P57" s="125">
        <f t="shared" si="3"/>
        <v>96.35</v>
      </c>
      <c r="Q57" s="126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182">
        <f>IF(U51&lt;&gt;0,AVERAGE(U51:V54),"")</f>
        <v>168.5</v>
      </c>
      <c r="V57" s="183"/>
      <c r="W57" s="184">
        <f>IF(W51&lt;&gt;0,AVERAGE(W51:X54),"")</f>
        <v>4.375</v>
      </c>
      <c r="X57" s="185"/>
      <c r="Y57" s="186">
        <f>IF(W51&lt;&gt;0,AVERAGE(Y51:Z54),"")</f>
        <v>2.8138207055433444</v>
      </c>
      <c r="Z57" s="187"/>
      <c r="AA57" s="66"/>
      <c r="AB57" s="188">
        <f>(100*W57)/(100-W57)</f>
        <v>4.5751633986928102</v>
      </c>
      <c r="AC57" s="189"/>
      <c r="AD57" s="67">
        <f t="shared" si="0"/>
        <v>12.336449999999999</v>
      </c>
      <c r="AE57" s="68">
        <f t="shared" si="1"/>
        <v>2.8139753325780386</v>
      </c>
      <c r="AF57" s="29"/>
      <c r="AG57" s="66"/>
    </row>
    <row r="58" spans="1:34" ht="21" customHeight="1" x14ac:dyDescent="0.25">
      <c r="A58" s="5"/>
      <c r="B58" s="190" t="s">
        <v>9</v>
      </c>
      <c r="C58" s="191"/>
      <c r="D58" s="192"/>
      <c r="E58" s="114">
        <v>7.5</v>
      </c>
      <c r="F58" s="114">
        <v>10</v>
      </c>
      <c r="G58" s="114">
        <v>13</v>
      </c>
      <c r="H58" s="114">
        <v>18</v>
      </c>
      <c r="I58" s="114">
        <v>23</v>
      </c>
      <c r="J58" s="114">
        <v>31</v>
      </c>
      <c r="K58" s="114">
        <v>43</v>
      </c>
      <c r="L58" s="114">
        <v>53</v>
      </c>
      <c r="M58" s="114">
        <v>65</v>
      </c>
      <c r="N58" s="114">
        <v>80</v>
      </c>
      <c r="O58" s="114">
        <v>93</v>
      </c>
      <c r="P58" s="114">
        <v>97</v>
      </c>
      <c r="Q58" s="115">
        <v>100</v>
      </c>
      <c r="R58" s="100"/>
      <c r="S58" s="100"/>
      <c r="T58" s="101"/>
      <c r="U58" s="193"/>
      <c r="V58" s="194"/>
      <c r="W58" s="195">
        <v>4.4000000000000004</v>
      </c>
      <c r="X58" s="196"/>
      <c r="Y58" s="197">
        <f>AE58</f>
        <v>2.750225418988284</v>
      </c>
      <c r="Z58" s="198"/>
      <c r="AA58" s="66"/>
      <c r="AB58" s="188">
        <f>(100*W58)/(100-W58)</f>
        <v>4.6025104602510467</v>
      </c>
      <c r="AC58" s="189"/>
      <c r="AD58" s="67">
        <f t="shared" si="0"/>
        <v>14.2525</v>
      </c>
      <c r="AE58" s="68">
        <f t="shared" si="1"/>
        <v>2.750225418988284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9.5</v>
      </c>
      <c r="F59" s="92"/>
      <c r="G59" s="92"/>
      <c r="H59" s="92"/>
      <c r="I59" s="92"/>
      <c r="J59" s="92">
        <f>J58+6</f>
        <v>37</v>
      </c>
      <c r="K59" s="92"/>
      <c r="L59" s="92">
        <f>L58+7</f>
        <v>60</v>
      </c>
      <c r="M59" s="92"/>
      <c r="N59" s="92"/>
      <c r="O59" s="92"/>
      <c r="P59" s="92"/>
      <c r="Q59" s="92"/>
      <c r="R59" s="92"/>
      <c r="S59" s="92"/>
      <c r="T59" s="93"/>
      <c r="U59" s="162"/>
      <c r="V59" s="163"/>
      <c r="W59" s="164">
        <f>W58+0.5</f>
        <v>4.9000000000000004</v>
      </c>
      <c r="X59" s="163"/>
      <c r="Y59" s="165"/>
      <c r="Z59" s="166"/>
      <c r="AA59" s="83"/>
      <c r="AB59" s="71"/>
      <c r="AC59" s="69"/>
      <c r="AD59" s="167"/>
      <c r="AE59" s="169" t="s">
        <v>46</v>
      </c>
      <c r="AF59" s="29"/>
      <c r="AG59" s="66"/>
    </row>
    <row r="60" spans="1:34" ht="13.5" customHeight="1" thickBot="1" x14ac:dyDescent="0.3">
      <c r="A60" s="5"/>
      <c r="B60" s="171" t="s">
        <v>24</v>
      </c>
      <c r="C60" s="172"/>
      <c r="D60" s="173"/>
      <c r="E60" s="102">
        <f>E58-2</f>
        <v>5.5</v>
      </c>
      <c r="F60" s="102"/>
      <c r="G60" s="103"/>
      <c r="H60" s="103"/>
      <c r="I60" s="103"/>
      <c r="J60" s="102">
        <f>J58-6</f>
        <v>25</v>
      </c>
      <c r="K60" s="103"/>
      <c r="L60" s="102">
        <f>L58-7</f>
        <v>46</v>
      </c>
      <c r="M60" s="102"/>
      <c r="N60" s="103"/>
      <c r="O60" s="103"/>
      <c r="P60" s="103"/>
      <c r="Q60" s="102"/>
      <c r="R60" s="103"/>
      <c r="S60" s="103"/>
      <c r="T60" s="104"/>
      <c r="U60" s="174"/>
      <c r="V60" s="175"/>
      <c r="W60" s="176">
        <f>W58-0.5</f>
        <v>3.9000000000000004</v>
      </c>
      <c r="X60" s="175"/>
      <c r="Y60" s="177"/>
      <c r="Z60" s="178"/>
      <c r="AA60" s="84"/>
      <c r="AB60" s="72"/>
      <c r="AC60" s="73"/>
      <c r="AD60" s="168"/>
      <c r="AE60" s="17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5"/>
      <c r="V63" s="145"/>
      <c r="W63" s="145"/>
      <c r="X63" s="145"/>
      <c r="Y63" s="145"/>
      <c r="Z63" s="146"/>
      <c r="AA63" s="81"/>
      <c r="AB63" s="58"/>
      <c r="AC63" s="58"/>
      <c r="AD63" s="59"/>
    </row>
    <row r="64" spans="1:34" ht="26.4" customHeight="1" x14ac:dyDescent="0.25">
      <c r="A64" s="147" t="s">
        <v>48</v>
      </c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9"/>
      <c r="R64" s="138" t="s">
        <v>31</v>
      </c>
      <c r="S64" s="139"/>
      <c r="T64" s="140"/>
      <c r="U64" s="150" t="s">
        <v>62</v>
      </c>
      <c r="V64" s="151"/>
      <c r="W64" s="151"/>
      <c r="X64" s="151"/>
      <c r="Y64" s="151"/>
      <c r="Z64" s="152"/>
      <c r="AA64" s="76"/>
      <c r="AB64" s="60"/>
      <c r="AC64" s="60"/>
      <c r="AD64" s="59"/>
    </row>
    <row r="65" spans="1:30" ht="26.4" customHeight="1" x14ac:dyDescent="0.25">
      <c r="A65" s="153" t="s">
        <v>61</v>
      </c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5"/>
      <c r="R65" s="138" t="s">
        <v>51</v>
      </c>
      <c r="S65" s="139"/>
      <c r="T65" s="140"/>
      <c r="U65" s="156" t="s">
        <v>63</v>
      </c>
      <c r="V65" s="157"/>
      <c r="W65" s="157"/>
      <c r="X65" s="157"/>
      <c r="Y65" s="157"/>
      <c r="Z65" s="15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38"/>
      <c r="S66" s="139"/>
      <c r="T66" s="140"/>
      <c r="U66" s="159"/>
      <c r="V66" s="160"/>
      <c r="W66" s="160"/>
      <c r="X66" s="160"/>
      <c r="Y66" s="160"/>
      <c r="Z66" s="161"/>
      <c r="AA66" s="76"/>
      <c r="AB66" s="60"/>
      <c r="AC66" s="60"/>
      <c r="AD66" s="59"/>
    </row>
    <row r="67" spans="1:30" ht="15.6" customHeight="1" x14ac:dyDescent="0.2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  <c r="R67" s="138" t="s">
        <v>25</v>
      </c>
      <c r="S67" s="139"/>
      <c r="T67" s="140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2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4"/>
      <c r="R68" s="138"/>
      <c r="S68" s="139"/>
      <c r="T68" s="140"/>
      <c r="U68" s="108"/>
      <c r="V68" s="144"/>
      <c r="W68" s="144"/>
      <c r="X68" s="144"/>
      <c r="Y68" s="144"/>
      <c r="Z68" s="109"/>
      <c r="AA68" s="77"/>
      <c r="AB68" s="65"/>
      <c r="AC68" s="65"/>
      <c r="AD68" s="59"/>
    </row>
    <row r="69" spans="1:30" ht="15.6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  <c r="R69" s="138"/>
      <c r="S69" s="139"/>
      <c r="T69" s="140"/>
      <c r="U69" s="108"/>
      <c r="V69" s="144"/>
      <c r="W69" s="144"/>
      <c r="X69" s="144"/>
      <c r="Y69" s="144"/>
      <c r="Z69" s="109"/>
      <c r="AA69" s="77"/>
      <c r="AB69" s="65"/>
      <c r="AC69" s="65"/>
      <c r="AD69" s="59"/>
    </row>
    <row r="70" spans="1:30" ht="15.6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  <c r="R70" s="141"/>
      <c r="S70" s="142"/>
      <c r="T70" s="143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W52:X52"/>
    <mergeCell ref="C51:D51"/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Y51:Z51"/>
    <mergeCell ref="Y52:Z52"/>
    <mergeCell ref="U65:Z66"/>
    <mergeCell ref="A67:Q70"/>
    <mergeCell ref="R65:T66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C50:D50"/>
    <mergeCell ref="B56:D56"/>
    <mergeCell ref="C52:D52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I20:Y20"/>
    <mergeCell ref="Y53:Z53"/>
    <mergeCell ref="Y54:Z54"/>
    <mergeCell ref="U53:V53"/>
    <mergeCell ref="U54:V54"/>
    <mergeCell ref="U51:V51"/>
    <mergeCell ref="W51:X51"/>
    <mergeCell ref="AB57:AC57"/>
    <mergeCell ref="U52:V52"/>
    <mergeCell ref="V68:Y69"/>
    <mergeCell ref="A65:Q65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U63:Z63"/>
    <mergeCell ref="U64:Z64"/>
    <mergeCell ref="B58:D58"/>
    <mergeCell ref="R64:T64"/>
    <mergeCell ref="B60:D60"/>
    <mergeCell ref="A64:Q64"/>
    <mergeCell ref="B57:D57"/>
    <mergeCell ref="C53:D53"/>
    <mergeCell ref="C54:D54"/>
    <mergeCell ref="R67:T70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210525 BBSG batiment</vt:lpstr>
      <vt:lpstr>210525 gb base batiment</vt:lpstr>
      <vt:lpstr>200525 BBSG gde plateforme</vt:lpstr>
      <vt:lpstr>200525 gb base plateforme et ba</vt:lpstr>
      <vt:lpstr>190525 Gb base Quai</vt:lpstr>
      <vt:lpstr>'190525 Gb base Quai'!Zone_d_impression</vt:lpstr>
      <vt:lpstr>'200525 BBSG gde plateforme'!Zone_d_impression</vt:lpstr>
      <vt:lpstr>'200525 gb base plateforme et ba'!Zone_d_impression</vt:lpstr>
      <vt:lpstr>'210525 BBSG batiment'!Zone_d_impression</vt:lpstr>
      <vt:lpstr>'210525 gb base batiment'!Zone_d_impression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2025-05-22T06:29:59Z</cp:lastPrinted>
  <dcterms:created xsi:type="dcterms:W3CDTF">2004-11-13T18:13:05Z</dcterms:created>
  <dcterms:modified xsi:type="dcterms:W3CDTF">2025-05-22T06:30:06Z</dcterms:modified>
</cp:coreProperties>
</file>