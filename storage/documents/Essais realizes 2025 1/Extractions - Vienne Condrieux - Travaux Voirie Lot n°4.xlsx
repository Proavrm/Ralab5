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M64C  Vienne Condrieux - Travaux Voirie Lot n°4\Essais de laboratoire\Enrobés\"/>
    </mc:Choice>
  </mc:AlternateContent>
  <xr:revisionPtr revIDLastSave="0" documentId="13_ncr:1_{8A23C655-ADE1-43FD-B960-FED411CFE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60525 BBSG Montfort Eyzin" sheetId="15" r:id="rId1"/>
    <sheet name="070425 BBSG Compostière Eyzin" sheetId="14" r:id="rId2"/>
    <sheet name="070425 GB  Compostière Eyzin" sheetId="13" r:id="rId3"/>
    <sheet name="110424" sheetId="12" r:id="rId4"/>
    <sheet name="210324" sheetId="11" r:id="rId5"/>
    <sheet name="291123" sheetId="10" r:id="rId6"/>
    <sheet name="301023" sheetId="9" r:id="rId7"/>
  </sheets>
  <definedNames>
    <definedName name="_xlnm.Print_Area" localSheetId="0">'060525 BBSG Montfort Eyzin'!$A$1:$Z$70</definedName>
    <definedName name="_xlnm.Print_Area" localSheetId="1">'070425 BBSG Compostière Eyzin'!$A$1:$Z$70</definedName>
    <definedName name="_xlnm.Print_Area" localSheetId="2">'070425 GB  Compostière Eyzin'!$A$1:$Z$70</definedName>
    <definedName name="_xlnm.Print_Area" localSheetId="3">'110424'!$A$1:$Z$70</definedName>
    <definedName name="_xlnm.Print_Area" localSheetId="4">'210324'!$A$1:$Z$70</definedName>
    <definedName name="_xlnm.Print_Area" localSheetId="5">'291123'!$A$1:$Z$70</definedName>
    <definedName name="_xlnm.Print_Area" localSheetId="6">'301023'!$A$1:$Z$70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60" i="15" l="1"/>
  <c r="L60" i="15"/>
  <c r="J60" i="15"/>
  <c r="E60" i="15"/>
  <c r="W59" i="15"/>
  <c r="L59" i="15"/>
  <c r="J59" i="15"/>
  <c r="E59" i="15"/>
  <c r="AD58" i="15"/>
  <c r="AB58" i="15"/>
  <c r="W57" i="15"/>
  <c r="AB57" i="15" s="1"/>
  <c r="U57" i="15"/>
  <c r="T57" i="15"/>
  <c r="S57" i="15"/>
  <c r="O57" i="15"/>
  <c r="N57" i="15"/>
  <c r="M57" i="15"/>
  <c r="L57" i="15"/>
  <c r="K57" i="15"/>
  <c r="J57" i="15"/>
  <c r="I57" i="15"/>
  <c r="H57" i="15"/>
  <c r="G57" i="15"/>
  <c r="F57" i="15"/>
  <c r="E57" i="15"/>
  <c r="AD56" i="15"/>
  <c r="AE56" i="15" s="1"/>
  <c r="AD54" i="15"/>
  <c r="AB54" i="15"/>
  <c r="Y54" i="15"/>
  <c r="AD53" i="15"/>
  <c r="AB53" i="15"/>
  <c r="Y53" i="15"/>
  <c r="AD52" i="15"/>
  <c r="AB52" i="15"/>
  <c r="AD51" i="15"/>
  <c r="AB51" i="15"/>
  <c r="W60" i="14"/>
  <c r="L60" i="14"/>
  <c r="J60" i="14"/>
  <c r="E60" i="14"/>
  <c r="W59" i="14"/>
  <c r="L59" i="14"/>
  <c r="J59" i="14"/>
  <c r="E59" i="14"/>
  <c r="AD58" i="14"/>
  <c r="AB58" i="14"/>
  <c r="W57" i="14"/>
  <c r="AB57" i="14" s="1"/>
  <c r="U57" i="14"/>
  <c r="T57" i="14"/>
  <c r="S57" i="14"/>
  <c r="O57" i="14"/>
  <c r="N57" i="14"/>
  <c r="M57" i="14"/>
  <c r="L57" i="14"/>
  <c r="K57" i="14"/>
  <c r="J57" i="14"/>
  <c r="I57" i="14"/>
  <c r="H57" i="14"/>
  <c r="G57" i="14"/>
  <c r="F57" i="14"/>
  <c r="E57" i="14"/>
  <c r="AD56" i="14"/>
  <c r="AE56" i="14" s="1"/>
  <c r="AD54" i="14"/>
  <c r="AB54" i="14"/>
  <c r="Y54" i="14"/>
  <c r="AD53" i="14"/>
  <c r="AB53" i="14"/>
  <c r="Y53" i="14"/>
  <c r="AD52" i="14"/>
  <c r="AB52" i="14"/>
  <c r="AD51" i="14"/>
  <c r="AB51" i="14"/>
  <c r="K57" i="13"/>
  <c r="P57" i="13"/>
  <c r="Q57" i="13"/>
  <c r="W60" i="13"/>
  <c r="L60" i="13"/>
  <c r="J60" i="13"/>
  <c r="E60" i="13"/>
  <c r="W59" i="13"/>
  <c r="L59" i="13"/>
  <c r="J59" i="13"/>
  <c r="E59" i="13"/>
  <c r="AD58" i="13"/>
  <c r="AB58" i="13"/>
  <c r="W57" i="13"/>
  <c r="AB57" i="13" s="1"/>
  <c r="U57" i="13"/>
  <c r="T57" i="13"/>
  <c r="S57" i="13"/>
  <c r="O57" i="13"/>
  <c r="N57" i="13"/>
  <c r="M57" i="13"/>
  <c r="L57" i="13"/>
  <c r="J57" i="13"/>
  <c r="I57" i="13"/>
  <c r="H57" i="13"/>
  <c r="G57" i="13"/>
  <c r="F57" i="13"/>
  <c r="E57" i="13"/>
  <c r="AD56" i="13"/>
  <c r="AE56" i="13" s="1"/>
  <c r="AD54" i="13"/>
  <c r="AB54" i="13"/>
  <c r="Y54" i="13"/>
  <c r="AD53" i="13"/>
  <c r="AB53" i="13"/>
  <c r="AD52" i="13"/>
  <c r="AB52" i="13"/>
  <c r="AD51" i="13"/>
  <c r="AB51" i="13"/>
  <c r="W60" i="12"/>
  <c r="L60" i="12"/>
  <c r="J60" i="12"/>
  <c r="E60" i="12"/>
  <c r="W59" i="12"/>
  <c r="L59" i="12"/>
  <c r="J59" i="12"/>
  <c r="E59" i="12"/>
  <c r="AD58" i="12"/>
  <c r="AB58" i="12"/>
  <c r="W57" i="12"/>
  <c r="AB57" i="12" s="1"/>
  <c r="U57" i="12"/>
  <c r="T57" i="12"/>
  <c r="S57" i="12"/>
  <c r="O57" i="12"/>
  <c r="N57" i="12"/>
  <c r="M57" i="12"/>
  <c r="L57" i="12"/>
  <c r="K57" i="12"/>
  <c r="J57" i="12"/>
  <c r="I57" i="12"/>
  <c r="H57" i="12"/>
  <c r="G57" i="12"/>
  <c r="F57" i="12"/>
  <c r="E57" i="12"/>
  <c r="AD56" i="12"/>
  <c r="AE56" i="12" s="1"/>
  <c r="AD54" i="12"/>
  <c r="AB54" i="12"/>
  <c r="Y54" i="12"/>
  <c r="AD53" i="12"/>
  <c r="AB53" i="12"/>
  <c r="Y53" i="12"/>
  <c r="AD52" i="12"/>
  <c r="AB52" i="12"/>
  <c r="AD51" i="12"/>
  <c r="AB51" i="12"/>
  <c r="W60" i="11"/>
  <c r="L60" i="11"/>
  <c r="J60" i="11"/>
  <c r="E60" i="11"/>
  <c r="W59" i="11"/>
  <c r="L59" i="11"/>
  <c r="J59" i="11"/>
  <c r="E59" i="11"/>
  <c r="AD58" i="11"/>
  <c r="AB58" i="11"/>
  <c r="W57" i="11"/>
  <c r="AB57" i="11" s="1"/>
  <c r="U57" i="11"/>
  <c r="T57" i="11"/>
  <c r="S57" i="11"/>
  <c r="O57" i="11"/>
  <c r="N57" i="11"/>
  <c r="M57" i="11"/>
  <c r="L57" i="11"/>
  <c r="K57" i="11"/>
  <c r="J57" i="11"/>
  <c r="I57" i="11"/>
  <c r="H57" i="11"/>
  <c r="G57" i="11"/>
  <c r="F57" i="11"/>
  <c r="E57" i="11"/>
  <c r="AD56" i="11"/>
  <c r="AE56" i="11" s="1"/>
  <c r="AD54" i="11"/>
  <c r="AB54" i="11"/>
  <c r="Y54" i="11"/>
  <c r="AD53" i="11"/>
  <c r="AB53" i="11"/>
  <c r="Y53" i="11"/>
  <c r="AD52" i="11"/>
  <c r="AB52" i="11"/>
  <c r="AD51" i="11"/>
  <c r="AB51" i="11"/>
  <c r="W60" i="10"/>
  <c r="L60" i="10"/>
  <c r="J60" i="10"/>
  <c r="E60" i="10"/>
  <c r="W59" i="10"/>
  <c r="L59" i="10"/>
  <c r="J59" i="10"/>
  <c r="E59" i="10"/>
  <c r="AD58" i="10"/>
  <c r="AB58" i="10"/>
  <c r="W57" i="10"/>
  <c r="AB57" i="10" s="1"/>
  <c r="U57" i="10"/>
  <c r="T57" i="10"/>
  <c r="S57" i="10"/>
  <c r="O57" i="10"/>
  <c r="N57" i="10"/>
  <c r="M57" i="10"/>
  <c r="L57" i="10"/>
  <c r="K57" i="10"/>
  <c r="J57" i="10"/>
  <c r="I57" i="10"/>
  <c r="H57" i="10"/>
  <c r="G57" i="10"/>
  <c r="F57" i="10"/>
  <c r="E57" i="10"/>
  <c r="AD56" i="10"/>
  <c r="AE56" i="10" s="1"/>
  <c r="AD54" i="10"/>
  <c r="AB54" i="10"/>
  <c r="Y54" i="10"/>
  <c r="AD53" i="10"/>
  <c r="AB53" i="10"/>
  <c r="AD52" i="10"/>
  <c r="AB52" i="10"/>
  <c r="AD51" i="10"/>
  <c r="AB51" i="10"/>
  <c r="L59" i="9"/>
  <c r="L60" i="9"/>
  <c r="AE53" i="15" l="1"/>
  <c r="AE54" i="15"/>
  <c r="AE58" i="15"/>
  <c r="Y58" i="15" s="1"/>
  <c r="AE52" i="15"/>
  <c r="Y52" i="15" s="1"/>
  <c r="AE51" i="15"/>
  <c r="Y51" i="15" s="1"/>
  <c r="Y57" i="15" s="1"/>
  <c r="AD57" i="15"/>
  <c r="AE57" i="15" s="1"/>
  <c r="AE52" i="14"/>
  <c r="Y52" i="14" s="1"/>
  <c r="AE54" i="11"/>
  <c r="AE58" i="11"/>
  <c r="Y58" i="11" s="1"/>
  <c r="AE53" i="11"/>
  <c r="AE53" i="12"/>
  <c r="AE58" i="13"/>
  <c r="Y58" i="13" s="1"/>
  <c r="AE53" i="14"/>
  <c r="AE52" i="11"/>
  <c r="Y52" i="11" s="1"/>
  <c r="AE52" i="12"/>
  <c r="Y52" i="12" s="1"/>
  <c r="AE52" i="13"/>
  <c r="Y52" i="13" s="1"/>
  <c r="AE51" i="12"/>
  <c r="Y51" i="12" s="1"/>
  <c r="AD57" i="11"/>
  <c r="AE57" i="11" s="1"/>
  <c r="AD57" i="13"/>
  <c r="AE57" i="13" s="1"/>
  <c r="AD57" i="12"/>
  <c r="AE57" i="12" s="1"/>
  <c r="AE54" i="14"/>
  <c r="AE58" i="14"/>
  <c r="Y58" i="14" s="1"/>
  <c r="AE53" i="13"/>
  <c r="Y53" i="13" s="1"/>
  <c r="AD57" i="14"/>
  <c r="AE57" i="14" s="1"/>
  <c r="AE54" i="12"/>
  <c r="AE58" i="12"/>
  <c r="Y58" i="12" s="1"/>
  <c r="AE54" i="13"/>
  <c r="AE51" i="14"/>
  <c r="Y51" i="14" s="1"/>
  <c r="AE51" i="13"/>
  <c r="Y51" i="13" s="1"/>
  <c r="AE51" i="11"/>
  <c r="Y51" i="11" s="1"/>
  <c r="AE52" i="10"/>
  <c r="Y52" i="10" s="1"/>
  <c r="AE58" i="10"/>
  <c r="Y58" i="10" s="1"/>
  <c r="AD57" i="10"/>
  <c r="AE57" i="10" s="1"/>
  <c r="AE53" i="10"/>
  <c r="Y53" i="10" s="1"/>
  <c r="AE54" i="10"/>
  <c r="AE51" i="10"/>
  <c r="Y51" i="10" s="1"/>
  <c r="U57" i="9"/>
  <c r="W57" i="9"/>
  <c r="Y57" i="14" l="1"/>
  <c r="Y57" i="12"/>
  <c r="Y57" i="11"/>
  <c r="Y57" i="13"/>
  <c r="Y57" i="10"/>
  <c r="AD56" i="9"/>
  <c r="AE56" i="9" s="1"/>
  <c r="AD58" i="9"/>
  <c r="AD52" i="9"/>
  <c r="AD53" i="9"/>
  <c r="AD54" i="9"/>
  <c r="AD51" i="9"/>
  <c r="AB57" i="9" l="1"/>
  <c r="AB54" i="9"/>
  <c r="AE54" i="9" s="1"/>
  <c r="AB53" i="9"/>
  <c r="AE53" i="9" s="1"/>
  <c r="Y53" i="9" s="1"/>
  <c r="AB52" i="9"/>
  <c r="AE52" i="9" s="1"/>
  <c r="AB51" i="9"/>
  <c r="AB58" i="9"/>
  <c r="W60" i="9"/>
  <c r="W59" i="9"/>
  <c r="AE58" i="9" l="1"/>
  <c r="Y58" i="9" s="1"/>
  <c r="AE51" i="9"/>
  <c r="Y51" i="9" s="1"/>
  <c r="Y52" i="9"/>
  <c r="Y54" i="9"/>
  <c r="J60" i="9"/>
  <c r="J59" i="9"/>
  <c r="E60" i="9"/>
  <c r="E59" i="9"/>
  <c r="Y57" i="9" l="1"/>
  <c r="J57" i="9"/>
  <c r="E57" i="9"/>
  <c r="F57" i="9"/>
  <c r="G57" i="9"/>
  <c r="H57" i="9"/>
  <c r="I57" i="9"/>
  <c r="K57" i="9"/>
  <c r="L57" i="9"/>
  <c r="M57" i="9"/>
  <c r="N57" i="9"/>
  <c r="O57" i="9"/>
  <c r="S57" i="9"/>
  <c r="T57" i="9"/>
  <c r="AD57" i="9" l="1"/>
  <c r="AE57" i="9" s="1"/>
</calcChain>
</file>

<file path=xl/sharedStrings.xml><?xml version="1.0" encoding="utf-8"?>
<sst xmlns="http://schemas.openxmlformats.org/spreadsheetml/2006/main" count="459" uniqueCount="93">
  <si>
    <t>RENSEIGNEMENTS GENERAUX</t>
  </si>
  <si>
    <t>1/</t>
  </si>
  <si>
    <t>2/</t>
  </si>
  <si>
    <t>5/</t>
  </si>
  <si>
    <t>4/</t>
  </si>
  <si>
    <t>COMMENTAIRES</t>
  </si>
  <si>
    <t>Date de l'essai :</t>
  </si>
  <si>
    <t>Moyenne</t>
  </si>
  <si>
    <t>Mini</t>
  </si>
  <si>
    <t>Théorique</t>
  </si>
  <si>
    <t>Heure</t>
  </si>
  <si>
    <t>Analyse granulométrique</t>
  </si>
  <si>
    <t>teneur en liant</t>
  </si>
  <si>
    <t>Module  richesse</t>
  </si>
  <si>
    <t>surface spécifique</t>
  </si>
  <si>
    <t>module de richesse</t>
  </si>
  <si>
    <t>MVR granulats:</t>
  </si>
  <si>
    <t>RESULTATS DES ESSAIS</t>
  </si>
  <si>
    <t>CRITERES DE CONFORMITE</t>
  </si>
  <si>
    <t>Source des critères :</t>
  </si>
  <si>
    <t>Définition des critères / objectifs :</t>
  </si>
  <si>
    <t>CONCLUSIONS</t>
  </si>
  <si>
    <t xml:space="preserve">N° </t>
  </si>
  <si>
    <t>Seuil maxi</t>
  </si>
  <si>
    <t>Seuil mini</t>
  </si>
  <si>
    <t>Visa</t>
  </si>
  <si>
    <t>Méthode d'essai :</t>
  </si>
  <si>
    <t>Opérateur :</t>
  </si>
  <si>
    <t>Date de mise en œuvre :</t>
  </si>
  <si>
    <t>Couche de :</t>
  </si>
  <si>
    <t>Lieu de fabrication :</t>
  </si>
  <si>
    <t>Nom</t>
  </si>
  <si>
    <t>Région Rhône Alpes - 29-31 rue des Tâches - ZI Mi-Plaine - 69800 SAINT PRIEST</t>
  </si>
  <si>
    <t>COMPTE RENDU D'ESSAIS</t>
  </si>
  <si>
    <t>n°</t>
  </si>
  <si>
    <t>Chrono</t>
  </si>
  <si>
    <t>N° d'affaire</t>
  </si>
  <si>
    <t>Date de rédaction</t>
  </si>
  <si>
    <t>Laboratoire :</t>
  </si>
  <si>
    <t>CONTRÔLE DE FABRICATION DES ENROBES
 (NF EN 12697-1/ NF EN 12697-2)</t>
  </si>
  <si>
    <t>CFE</t>
  </si>
  <si>
    <t>Appellation européenne :</t>
  </si>
  <si>
    <t>Appellation française :</t>
  </si>
  <si>
    <t xml:space="preserve">Code formule : </t>
  </si>
  <si>
    <t>Destination du produit</t>
  </si>
  <si>
    <t>Teneur en liant ext</t>
  </si>
  <si>
    <t>&gt; 3,4</t>
  </si>
  <si>
    <t>température mesurée</t>
  </si>
  <si>
    <t>Contrôle :</t>
  </si>
  <si>
    <t>Extracteur automatique - NEBA</t>
  </si>
  <si>
    <t>3/</t>
  </si>
  <si>
    <t>9H45</t>
  </si>
  <si>
    <t>Conforme</t>
  </si>
  <si>
    <t>F. MONTET</t>
  </si>
  <si>
    <t>Technicien de laboratoire</t>
  </si>
  <si>
    <t>Vienne Condrieux - Travaux Voirie Lot n°4</t>
  </si>
  <si>
    <t>RA M64C</t>
  </si>
  <si>
    <t>F. Montet</t>
  </si>
  <si>
    <t>30/10/2023</t>
  </si>
  <si>
    <t>BBSG 0/10 Classe 3 R40</t>
  </si>
  <si>
    <t>Sillans</t>
  </si>
  <si>
    <t>Route de jardin</t>
  </si>
  <si>
    <t>100SA4</t>
  </si>
  <si>
    <t>Roulement</t>
  </si>
  <si>
    <t>11H00</t>
  </si>
  <si>
    <t>12H20</t>
  </si>
  <si>
    <t>EB 10 ROUL 35/50</t>
  </si>
  <si>
    <t>100SA2</t>
  </si>
  <si>
    <t>BBSG 0/10 Classe 3 R20</t>
  </si>
  <si>
    <t>EB 10 ROUL 50/70</t>
  </si>
  <si>
    <t>11:30</t>
  </si>
  <si>
    <t>12:15</t>
  </si>
  <si>
    <t>S. Lhopital</t>
  </si>
  <si>
    <t>Chonas - Allée des Muriers</t>
  </si>
  <si>
    <t>EB 10 ROUL 70/100</t>
  </si>
  <si>
    <t>09:00</t>
  </si>
  <si>
    <t>11:55</t>
  </si>
  <si>
    <t>Meyssiez - Chemin du vieux Moulin</t>
  </si>
  <si>
    <t>09:25</t>
  </si>
  <si>
    <t>10:15</t>
  </si>
  <si>
    <t>Eyzin Pinet - Rue Compostière</t>
  </si>
  <si>
    <t>143SA40</t>
  </si>
  <si>
    <t>Fondation</t>
  </si>
  <si>
    <t>09:35</t>
  </si>
  <si>
    <t>10:45</t>
  </si>
  <si>
    <t>GMS - Sillans</t>
  </si>
  <si>
    <t>EB 14 ASSISE 50/70</t>
  </si>
  <si>
    <t>GB 0/14 Cl3 R40</t>
  </si>
  <si>
    <t>14:00</t>
  </si>
  <si>
    <t>14:35</t>
  </si>
  <si>
    <t>Eyzin Pinet - Montfort</t>
  </si>
  <si>
    <t>9H30</t>
  </si>
  <si>
    <t>11H15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</si>
</sst>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5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sz val="11"/>
      <name val="Century Gothic"/>
      <family val="2"/>
    </font>
    <font>
      <b/>
      <u/>
      <sz val="12"/>
      <name val="Century Gothic"/>
      <family val="2"/>
    </font>
    <font>
      <u/>
      <sz val="10"/>
      <name val="Century Gothic"/>
      <family val="2"/>
    </font>
    <font>
      <b/>
      <sz val="10"/>
      <color indexed="10"/>
      <name val="Century Gothic"/>
      <family val="2"/>
    </font>
    <font>
      <b/>
      <sz val="8"/>
      <name val="Century Gothic"/>
      <family val="2"/>
    </font>
    <font>
      <b/>
      <u/>
      <sz val="11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10"/>
      <name val="Arial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8"/>
      <color rgb="FF000000"/>
      <name val="Century Gothic"/>
    </font>
    <font>
      <b/>
      <sz val="10"/>
      <color theme="0"/>
      <name val="Century Gothic"/>
      <family val="2"/>
    </font>
    <font>
      <sz val="10"/>
      <color rgb="FF000000"/>
      <name val="Century Gothic"/>
    </font>
    <font>
      <sz val="10"/>
      <color rgb="FF000000"/>
      <name val="Arial"/>
    </font>
    <font>
      <sz val="9"/>
      <color rgb="FF000000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9"/>
      <color indexed="10"/>
      <name val="Century Gothic"/>
      <family val="2"/>
    </font>
    <font>
      <b/>
      <sz val="9"/>
      <color theme="0"/>
      <name val="Century Gothic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4" fillId="0" borderId="0"/>
    <xf numFmtId="0" fontId="28" fillId="0" borderId="0"/>
    <xf numFmtId="0" fontId="34" fillId="0" borderId="0"/>
  </cellStyleXfs>
  <cellXfs count="3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1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0" borderId="27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28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8" fillId="0" borderId="8" xfId="0" applyFont="1" applyBorder="1" applyAlignment="1" applyProtection="1">
      <alignment horizontal="left" vertical="center"/>
      <protection hidden="1"/>
    </xf>
    <xf numFmtId="0" fontId="1" fillId="0" borderId="5" xfId="0" applyFont="1" applyBorder="1" applyAlignment="1">
      <alignment horizontal="center" vertical="center"/>
    </xf>
    <xf numFmtId="0" fontId="7" fillId="0" borderId="8" xfId="0" applyFont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8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 applyProtection="1">
      <alignment vertical="center"/>
      <protection hidden="1"/>
    </xf>
    <xf numFmtId="0" fontId="1" fillId="0" borderId="29" xfId="0" applyFont="1" applyBorder="1" applyAlignment="1" applyProtection="1">
      <alignment vertical="center"/>
      <protection hidden="1"/>
    </xf>
    <xf numFmtId="0" fontId="5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2" fillId="0" borderId="1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164" fontId="12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1" fillId="0" borderId="47" xfId="0" applyFont="1" applyBorder="1" applyAlignment="1">
      <alignment vertical="center"/>
    </xf>
    <xf numFmtId="0" fontId="5" fillId="0" borderId="45" xfId="0" applyFont="1" applyBorder="1" applyAlignment="1" applyProtection="1">
      <alignment horizontal="center" vertical="center"/>
      <protection hidden="1"/>
    </xf>
    <xf numFmtId="0" fontId="9" fillId="0" borderId="46" xfId="0" applyFont="1" applyBorder="1" applyAlignment="1" applyProtection="1">
      <alignment vertical="center"/>
      <protection hidden="1"/>
    </xf>
    <xf numFmtId="0" fontId="10" fillId="0" borderId="46" xfId="0" applyFont="1" applyBorder="1" applyAlignment="1" applyProtection="1">
      <alignment vertical="center"/>
      <protection hidden="1"/>
    </xf>
    <xf numFmtId="0" fontId="1" fillId="0" borderId="46" xfId="0" applyFont="1" applyBorder="1" applyAlignment="1" applyProtection="1">
      <alignment vertical="center"/>
      <protection hidden="1"/>
    </xf>
    <xf numFmtId="0" fontId="13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 applyProtection="1">
      <alignment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7" fillId="0" borderId="8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 wrapText="1"/>
      <protection locked="0"/>
    </xf>
    <xf numFmtId="2" fontId="1" fillId="0" borderId="0" xfId="0" applyNumberFormat="1" applyFont="1" applyAlignment="1">
      <alignment horizontal="center" vertical="center"/>
    </xf>
    <xf numFmtId="0" fontId="15" fillId="2" borderId="14" xfId="1" applyFont="1" applyFill="1" applyBorder="1" applyAlignment="1" applyProtection="1">
      <alignment horizontal="center" vertical="center"/>
      <protection hidden="1"/>
    </xf>
    <xf numFmtId="2" fontId="15" fillId="2" borderId="33" xfId="1" applyNumberFormat="1" applyFont="1" applyFill="1" applyBorder="1" applyAlignment="1" applyProtection="1">
      <alignment horizontal="center" vertical="center"/>
      <protection hidden="1"/>
    </xf>
    <xf numFmtId="0" fontId="15" fillId="2" borderId="36" xfId="1" applyFont="1" applyFill="1" applyBorder="1" applyAlignment="1" applyProtection="1">
      <alignment vertical="center"/>
      <protection hidden="1"/>
    </xf>
    <xf numFmtId="0" fontId="1" fillId="0" borderId="17" xfId="0" applyFont="1" applyBorder="1" applyAlignment="1">
      <alignment vertical="center"/>
    </xf>
    <xf numFmtId="0" fontId="15" fillId="2" borderId="21" xfId="1" applyFont="1" applyFill="1" applyBorder="1" applyAlignment="1" applyProtection="1">
      <alignment vertical="center"/>
      <protection hidden="1"/>
    </xf>
    <xf numFmtId="0" fontId="15" fillId="2" borderId="24" xfId="1" applyFont="1" applyFill="1" applyBorder="1" applyAlignment="1" applyProtection="1">
      <alignment vertical="center"/>
      <protection hidden="1"/>
    </xf>
    <xf numFmtId="0" fontId="15" fillId="2" borderId="37" xfId="1" applyFont="1" applyFill="1" applyBorder="1" applyAlignment="1" applyProtection="1">
      <alignment vertical="center"/>
      <protection hidden="1"/>
    </xf>
    <xf numFmtId="0" fontId="12" fillId="0" borderId="49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/>
      <protection hidden="1"/>
    </xf>
    <xf numFmtId="2" fontId="1" fillId="0" borderId="0" xfId="0" applyNumberFormat="1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hidden="1"/>
    </xf>
    <xf numFmtId="0" fontId="6" fillId="0" borderId="0" xfId="0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2" borderId="13" xfId="1" applyFont="1" applyFill="1" applyBorder="1" applyAlignment="1" applyProtection="1">
      <alignment vertical="center"/>
      <protection locked="0"/>
    </xf>
    <xf numFmtId="0" fontId="15" fillId="2" borderId="0" xfId="1" applyFont="1" applyFill="1" applyAlignment="1" applyProtection="1">
      <alignment vertical="center"/>
      <protection locked="0"/>
    </xf>
    <xf numFmtId="0" fontId="1" fillId="0" borderId="44" xfId="0" applyFont="1" applyBorder="1" applyAlignment="1">
      <alignment vertical="center"/>
    </xf>
    <xf numFmtId="164" fontId="6" fillId="0" borderId="17" xfId="0" applyNumberFormat="1" applyFont="1" applyBorder="1" applyAlignment="1">
      <alignment vertical="center"/>
    </xf>
    <xf numFmtId="165" fontId="12" fillId="0" borderId="2" xfId="0" applyNumberFormat="1" applyFont="1" applyBorder="1" applyAlignment="1" applyProtection="1">
      <alignment horizontal="center" vertical="center"/>
      <protection locked="0"/>
    </xf>
    <xf numFmtId="164" fontId="1" fillId="0" borderId="19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>
      <alignment horizontal="center" vertical="center" wrapText="1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164" fontId="1" fillId="0" borderId="25" xfId="0" applyNumberFormat="1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164" fontId="2" fillId="0" borderId="2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 applyProtection="1">
      <alignment horizontal="center" vertical="center"/>
      <protection locked="0"/>
    </xf>
    <xf numFmtId="0" fontId="1" fillId="0" borderId="26" xfId="0" applyFont="1" applyBorder="1" applyAlignment="1" applyProtection="1">
      <alignment horizontal="center" vertical="center"/>
      <protection locked="0"/>
    </xf>
    <xf numFmtId="0" fontId="1" fillId="0" borderId="42" xfId="0" applyFont="1" applyBorder="1" applyAlignment="1" applyProtection="1">
      <alignment horizontal="center" vertical="center"/>
      <protection locked="0"/>
    </xf>
    <xf numFmtId="0" fontId="1" fillId="0" borderId="27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28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29" xfId="0" applyFont="1" applyBorder="1" applyAlignment="1" applyProtection="1">
      <alignment vertical="center"/>
      <protection locked="0"/>
    </xf>
    <xf numFmtId="164" fontId="20" fillId="0" borderId="63" xfId="0" applyNumberFormat="1" applyFont="1" applyBorder="1" applyAlignment="1">
      <alignment horizontal="center" vertical="center" wrapText="1"/>
    </xf>
    <xf numFmtId="164" fontId="20" fillId="0" borderId="63" xfId="0" applyNumberFormat="1" applyFont="1" applyBorder="1" applyAlignment="1" applyProtection="1">
      <alignment horizontal="center" vertical="center"/>
      <protection locked="0"/>
    </xf>
    <xf numFmtId="164" fontId="20" fillId="0" borderId="6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vertical="center"/>
      <protection hidden="1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1" fontId="20" fillId="0" borderId="63" xfId="0" applyNumberFormat="1" applyFont="1" applyBorder="1" applyAlignment="1" applyProtection="1">
      <alignment horizontal="center" vertical="center"/>
      <protection locked="0"/>
    </xf>
    <xf numFmtId="164" fontId="11" fillId="0" borderId="23" xfId="0" applyNumberFormat="1" applyFont="1" applyBorder="1" applyAlignment="1">
      <alignment horizontal="center" vertical="center"/>
    </xf>
    <xf numFmtId="1" fontId="11" fillId="0" borderId="23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" fontId="1" fillId="0" borderId="25" xfId="0" applyNumberFormat="1" applyFont="1" applyBorder="1" applyAlignment="1" applyProtection="1">
      <alignment horizontal="center" vertical="center"/>
      <protection locked="0"/>
    </xf>
    <xf numFmtId="1" fontId="6" fillId="0" borderId="0" xfId="0" applyNumberFormat="1" applyFont="1" applyAlignment="1">
      <alignment vertical="center"/>
    </xf>
    <xf numFmtId="1" fontId="12" fillId="0" borderId="10" xfId="0" applyNumberFormat="1" applyFont="1" applyBorder="1" applyAlignment="1">
      <alignment horizontal="center" vertical="center"/>
    </xf>
    <xf numFmtId="1" fontId="2" fillId="0" borderId="20" xfId="0" applyNumberFormat="1" applyFont="1" applyBorder="1" applyAlignment="1">
      <alignment horizontal="center" vertical="center"/>
    </xf>
    <xf numFmtId="164" fontId="25" fillId="0" borderId="63" xfId="0" applyNumberFormat="1" applyFont="1" applyBorder="1" applyAlignment="1">
      <alignment horizontal="center" vertical="center" wrapText="1"/>
    </xf>
    <xf numFmtId="164" fontId="25" fillId="0" borderId="62" xfId="0" applyNumberFormat="1" applyFont="1" applyBorder="1" applyAlignment="1" applyProtection="1">
      <alignment horizontal="center" vertical="center"/>
      <protection locked="0"/>
    </xf>
    <xf numFmtId="164" fontId="25" fillId="0" borderId="63" xfId="0" applyNumberFormat="1" applyFont="1" applyBorder="1" applyAlignment="1" applyProtection="1">
      <alignment horizontal="center" vertical="center"/>
      <protection locked="0"/>
    </xf>
    <xf numFmtId="164" fontId="25" fillId="0" borderId="60" xfId="0" applyNumberFormat="1" applyFont="1" applyBorder="1" applyAlignment="1" applyProtection="1">
      <alignment horizontal="center" vertical="center"/>
      <protection locked="0"/>
    </xf>
    <xf numFmtId="164" fontId="26" fillId="0" borderId="23" xfId="0" applyNumberFormat="1" applyFont="1" applyBorder="1" applyAlignment="1">
      <alignment horizontal="center" vertical="center"/>
    </xf>
    <xf numFmtId="164" fontId="25" fillId="0" borderId="63" xfId="2" applyNumberFormat="1" applyFont="1" applyBorder="1" applyAlignment="1">
      <alignment horizontal="center" vertical="center" wrapText="1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164" fontId="25" fillId="0" borderId="63" xfId="2" applyNumberFormat="1" applyFont="1" applyBorder="1" applyAlignment="1" applyProtection="1">
      <alignment horizontal="center" vertical="center"/>
      <protection locked="0"/>
    </xf>
    <xf numFmtId="164" fontId="25" fillId="0" borderId="60" xfId="2" applyNumberFormat="1" applyFont="1" applyBorder="1" applyAlignment="1" applyProtection="1">
      <alignment horizontal="center" vertical="center"/>
      <protection locked="0"/>
    </xf>
    <xf numFmtId="1" fontId="25" fillId="0" borderId="63" xfId="0" applyNumberFormat="1" applyFont="1" applyBorder="1" applyAlignment="1" applyProtection="1">
      <alignment horizontal="center" vertical="center"/>
      <protection locked="0"/>
    </xf>
    <xf numFmtId="1" fontId="25" fillId="0" borderId="63" xfId="2" applyNumberFormat="1" applyFont="1" applyBorder="1" applyAlignment="1" applyProtection="1">
      <alignment horizontal="center" vertical="center"/>
      <protection locked="0"/>
    </xf>
    <xf numFmtId="164" fontId="29" fillId="0" borderId="63" xfId="2" applyNumberFormat="1" applyFont="1" applyBorder="1" applyAlignment="1">
      <alignment horizontal="center" vertical="center" wrapText="1"/>
    </xf>
    <xf numFmtId="164" fontId="29" fillId="0" borderId="62" xfId="2" applyNumberFormat="1" applyFont="1" applyBorder="1" applyAlignment="1" applyProtection="1">
      <alignment horizontal="center" vertical="center"/>
      <protection locked="0"/>
    </xf>
    <xf numFmtId="164" fontId="29" fillId="0" borderId="63" xfId="2" applyNumberFormat="1" applyFont="1" applyBorder="1" applyAlignment="1" applyProtection="1">
      <alignment horizontal="center" vertical="center"/>
      <protection locked="0"/>
    </xf>
    <xf numFmtId="164" fontId="29" fillId="0" borderId="60" xfId="2" applyNumberFormat="1" applyFont="1" applyBorder="1" applyAlignment="1" applyProtection="1">
      <alignment horizontal="center" vertical="center"/>
      <protection locked="0"/>
    </xf>
    <xf numFmtId="164" fontId="30" fillId="0" borderId="20" xfId="0" applyNumberFormat="1" applyFont="1" applyBorder="1" applyAlignment="1">
      <alignment horizontal="center" vertical="center"/>
    </xf>
    <xf numFmtId="1" fontId="30" fillId="0" borderId="20" xfId="0" applyNumberFormat="1" applyFont="1" applyBorder="1" applyAlignment="1">
      <alignment horizontal="center" vertical="center"/>
    </xf>
    <xf numFmtId="164" fontId="30" fillId="0" borderId="31" xfId="0" applyNumberFormat="1" applyFont="1" applyBorder="1" applyAlignment="1">
      <alignment horizontal="center" vertical="center"/>
    </xf>
    <xf numFmtId="164" fontId="32" fillId="0" borderId="23" xfId="0" applyNumberFormat="1" applyFont="1" applyBorder="1" applyAlignment="1">
      <alignment horizontal="center" vertical="center"/>
    </xf>
    <xf numFmtId="164" fontId="33" fillId="0" borderId="23" xfId="0" applyNumberFormat="1" applyFont="1" applyBorder="1" applyAlignment="1">
      <alignment horizontal="center" vertical="center"/>
    </xf>
    <xf numFmtId="1" fontId="32" fillId="0" borderId="23" xfId="0" applyNumberFormat="1" applyFont="1" applyBorder="1" applyAlignment="1">
      <alignment horizontal="center" vertical="center"/>
    </xf>
    <xf numFmtId="164" fontId="32" fillId="0" borderId="27" xfId="0" applyNumberFormat="1" applyFont="1" applyBorder="1" applyAlignment="1">
      <alignment horizontal="center" vertical="center"/>
    </xf>
    <xf numFmtId="0" fontId="8" fillId="0" borderId="5" xfId="0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8" xfId="0" applyFont="1" applyBorder="1" applyAlignment="1" applyProtection="1">
      <alignment horizontal="left" vertical="center" wrapText="1"/>
      <protection locked="0"/>
    </xf>
    <xf numFmtId="0" fontId="8" fillId="0" borderId="6" xfId="0" applyFont="1" applyBorder="1" applyAlignment="1" applyProtection="1">
      <alignment horizontal="left" vertical="center" wrapText="1"/>
      <protection locked="0"/>
    </xf>
    <xf numFmtId="0" fontId="8" fillId="0" borderId="7" xfId="0" applyFont="1" applyBorder="1" applyAlignment="1" applyProtection="1">
      <alignment horizontal="left" vertical="center" wrapText="1"/>
      <protection locked="0"/>
    </xf>
    <xf numFmtId="0" fontId="8" fillId="0" borderId="29" xfId="0" applyFont="1" applyBorder="1" applyAlignment="1" applyProtection="1">
      <alignment horizontal="left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13" fillId="0" borderId="6" xfId="0" applyFont="1" applyBorder="1" applyAlignment="1" applyProtection="1">
      <alignment horizontal="center" vertical="center"/>
      <protection hidden="1"/>
    </xf>
    <xf numFmtId="0" fontId="13" fillId="0" borderId="7" xfId="0" applyFont="1" applyBorder="1" applyAlignment="1" applyProtection="1">
      <alignment horizontal="center" vertical="center"/>
      <protection hidden="1"/>
    </xf>
    <xf numFmtId="0" fontId="13" fillId="0" borderId="29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164" fontId="25" fillId="0" borderId="64" xfId="2" applyNumberFormat="1" applyFont="1" applyBorder="1" applyAlignment="1" applyProtection="1">
      <alignment horizontal="center" vertical="center"/>
      <protection locked="0"/>
    </xf>
    <xf numFmtId="164" fontId="25" fillId="0" borderId="62" xfId="2" applyNumberFormat="1" applyFont="1" applyBorder="1" applyAlignment="1" applyProtection="1">
      <alignment horizontal="center" vertical="center"/>
      <protection locked="0"/>
    </xf>
    <xf numFmtId="2" fontId="25" fillId="0" borderId="60" xfId="2" applyNumberFormat="1" applyFont="1" applyBorder="1" applyAlignment="1" applyProtection="1">
      <alignment horizontal="center" vertical="center"/>
      <protection locked="0"/>
    </xf>
    <xf numFmtId="2" fontId="25" fillId="0" borderId="62" xfId="2" applyNumberFormat="1" applyFont="1" applyBorder="1" applyAlignment="1" applyProtection="1">
      <alignment horizontal="center" vertical="center"/>
      <protection locked="0"/>
    </xf>
    <xf numFmtId="0" fontId="27" fillId="0" borderId="60" xfId="2" applyFont="1" applyBorder="1" applyAlignment="1">
      <alignment horizontal="center" vertical="center" wrapText="1"/>
    </xf>
    <xf numFmtId="0" fontId="27" fillId="0" borderId="62" xfId="2" applyFont="1" applyBorder="1" applyAlignment="1">
      <alignment horizontal="center" vertical="center" wrapText="1"/>
    </xf>
    <xf numFmtId="0" fontId="13" fillId="0" borderId="41" xfId="0" applyFont="1" applyBorder="1" applyAlignment="1" applyProtection="1">
      <alignment horizontal="center" vertical="center" wrapText="1"/>
      <protection hidden="1"/>
    </xf>
    <xf numFmtId="0" fontId="13" fillId="0" borderId="36" xfId="0" applyFont="1" applyBorder="1" applyAlignment="1" applyProtection="1">
      <alignment horizontal="center" vertical="center" wrapText="1"/>
      <protection hidden="1"/>
    </xf>
    <xf numFmtId="0" fontId="18" fillId="0" borderId="57" xfId="0" applyFont="1" applyBorder="1" applyAlignment="1" applyProtection="1">
      <alignment horizontal="center" vertical="center"/>
      <protection hidden="1"/>
    </xf>
    <xf numFmtId="0" fontId="18" fillId="0" borderId="58" xfId="0" applyFont="1" applyBorder="1" applyAlignment="1" applyProtection="1">
      <alignment horizontal="center" vertical="center"/>
      <protection hidden="1"/>
    </xf>
    <xf numFmtId="0" fontId="18" fillId="0" borderId="59" xfId="0" applyFont="1" applyBorder="1" applyAlignment="1" applyProtection="1">
      <alignment horizontal="center" vertical="center"/>
      <protection hidden="1"/>
    </xf>
    <xf numFmtId="0" fontId="22" fillId="0" borderId="65" xfId="0" applyFont="1" applyBorder="1" applyAlignment="1" applyProtection="1">
      <alignment horizontal="center" vertical="center"/>
      <protection locked="0"/>
    </xf>
    <xf numFmtId="0" fontId="22" fillId="0" borderId="66" xfId="0" applyFont="1" applyBorder="1" applyAlignment="1" applyProtection="1">
      <alignment horizontal="center" vertical="center"/>
      <protection locked="0"/>
    </xf>
    <xf numFmtId="0" fontId="22" fillId="0" borderId="67" xfId="0" applyFont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hidden="1"/>
    </xf>
    <xf numFmtId="0" fontId="18" fillId="0" borderId="61" xfId="0" applyFont="1" applyBorder="1" applyAlignment="1" applyProtection="1">
      <alignment horizontal="center" vertical="center"/>
      <protection hidden="1"/>
    </xf>
    <xf numFmtId="0" fontId="18" fillId="0" borderId="62" xfId="0" applyFont="1" applyBorder="1" applyAlignment="1" applyProtection="1">
      <alignment horizontal="center" vertical="center"/>
      <protection hidden="1"/>
    </xf>
    <xf numFmtId="0" fontId="8" fillId="0" borderId="27" xfId="0" applyFont="1" applyBorder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28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29" xfId="0" applyFont="1" applyBorder="1" applyAlignment="1" applyProtection="1">
      <alignment horizontal="center" vertical="center"/>
      <protection locked="0"/>
    </xf>
    <xf numFmtId="164" fontId="1" fillId="0" borderId="21" xfId="0" applyNumberFormat="1" applyFont="1" applyBorder="1" applyAlignment="1" applyProtection="1">
      <alignment horizontal="center" vertical="center"/>
      <protection locked="0"/>
    </xf>
    <xf numFmtId="164" fontId="1" fillId="0" borderId="36" xfId="0" applyNumberFormat="1" applyFont="1" applyBorder="1" applyAlignment="1" applyProtection="1">
      <alignment horizontal="center" vertical="center"/>
      <protection locked="0"/>
    </xf>
    <xf numFmtId="164" fontId="1" fillId="0" borderId="34" xfId="0" applyNumberFormat="1" applyFont="1" applyBorder="1" applyAlignment="1" applyProtection="1">
      <alignment horizontal="center" vertical="center"/>
      <protection locked="0"/>
    </xf>
    <xf numFmtId="0" fontId="1" fillId="0" borderId="3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5" fillId="2" borderId="23" xfId="1" applyFont="1" applyFill="1" applyBorder="1" applyAlignment="1" applyProtection="1">
      <alignment horizontal="center" vertical="center"/>
      <protection hidden="1"/>
    </xf>
    <xf numFmtId="0" fontId="15" fillId="2" borderId="26" xfId="1" applyFont="1" applyFill="1" applyBorder="1" applyAlignment="1" applyProtection="1">
      <alignment horizontal="center" vertical="center"/>
      <protection hidden="1"/>
    </xf>
    <xf numFmtId="2" fontId="15" fillId="2" borderId="35" xfId="1" applyNumberFormat="1" applyFont="1" applyFill="1" applyBorder="1" applyAlignment="1" applyProtection="1">
      <alignment horizontal="center" vertical="center"/>
      <protection hidden="1"/>
    </xf>
    <xf numFmtId="2" fontId="15" fillId="2" borderId="43" xfId="1" applyNumberFormat="1" applyFont="1" applyFill="1" applyBorder="1" applyAlignment="1" applyProtection="1">
      <alignment horizontal="center" vertical="center"/>
      <protection hidden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1" fillId="0" borderId="24" xfId="0" applyFont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/>
      <protection locked="0"/>
    </xf>
    <xf numFmtId="164" fontId="1" fillId="0" borderId="38" xfId="0" applyNumberFormat="1" applyFont="1" applyBorder="1" applyAlignment="1" applyProtection="1">
      <alignment horizontal="center" vertical="center"/>
      <protection locked="0"/>
    </xf>
    <xf numFmtId="0" fontId="1" fillId="0" borderId="38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164" fontId="31" fillId="0" borderId="30" xfId="0" applyNumberFormat="1" applyFont="1" applyBorder="1" applyAlignment="1">
      <alignment horizontal="center" vertical="center"/>
    </xf>
    <xf numFmtId="164" fontId="31" fillId="0" borderId="50" xfId="0" applyNumberFormat="1" applyFont="1" applyBorder="1" applyAlignment="1">
      <alignment horizontal="center" vertical="center"/>
    </xf>
    <xf numFmtId="2" fontId="31" fillId="0" borderId="31" xfId="0" applyNumberFormat="1" applyFont="1" applyBorder="1" applyAlignment="1">
      <alignment horizontal="center" vertical="center"/>
    </xf>
    <xf numFmtId="2" fontId="31" fillId="0" borderId="5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54" xfId="0" applyNumberFormat="1" applyFont="1" applyBorder="1" applyAlignment="1">
      <alignment horizontal="center" vertical="center"/>
    </xf>
    <xf numFmtId="2" fontId="15" fillId="2" borderId="21" xfId="1" applyNumberFormat="1" applyFont="1" applyFill="1" applyBorder="1" applyAlignment="1" applyProtection="1">
      <alignment horizontal="center" vertical="center"/>
      <protection hidden="1"/>
    </xf>
    <xf numFmtId="2" fontId="15" fillId="2" borderId="36" xfId="1" applyNumberFormat="1" applyFont="1" applyFill="1" applyBorder="1" applyAlignment="1" applyProtection="1">
      <alignment horizontal="center" vertical="center"/>
      <protection hidden="1"/>
    </xf>
    <xf numFmtId="0" fontId="2" fillId="0" borderId="2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164" fontId="32" fillId="0" borderId="21" xfId="0" applyNumberFormat="1" applyFont="1" applyBorder="1" applyAlignment="1">
      <alignment horizontal="center" vertical="center"/>
    </xf>
    <xf numFmtId="164" fontId="32" fillId="0" borderId="36" xfId="0" applyNumberFormat="1" applyFont="1" applyBorder="1" applyAlignment="1">
      <alignment horizontal="center" vertical="center"/>
    </xf>
    <xf numFmtId="2" fontId="32" fillId="0" borderId="34" xfId="0" applyNumberFormat="1" applyFont="1" applyBorder="1" applyAlignment="1">
      <alignment horizontal="center" vertical="center"/>
    </xf>
    <xf numFmtId="2" fontId="32" fillId="0" borderId="36" xfId="0" applyNumberFormat="1" applyFont="1" applyBorder="1" applyAlignment="1">
      <alignment horizontal="center" vertical="center"/>
    </xf>
    <xf numFmtId="2" fontId="1" fillId="0" borderId="34" xfId="0" applyNumberFormat="1" applyFont="1" applyBorder="1" applyAlignment="1">
      <alignment horizontal="center" vertical="center"/>
    </xf>
    <xf numFmtId="2" fontId="1" fillId="0" borderId="55" xfId="0" applyNumberFormat="1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164" fontId="1" fillId="0" borderId="24" xfId="0" applyNumberFormat="1" applyFont="1" applyBorder="1" applyAlignment="1" applyProtection="1">
      <alignment horizontal="center" vertical="center"/>
      <protection locked="0"/>
    </xf>
    <xf numFmtId="164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53" xfId="0" applyNumberFormat="1" applyFont="1" applyBorder="1" applyAlignment="1" applyProtection="1">
      <alignment horizontal="center" vertical="center"/>
      <protection locked="0"/>
    </xf>
    <xf numFmtId="2" fontId="1" fillId="0" borderId="37" xfId="0" applyNumberFormat="1" applyFont="1" applyBorder="1" applyAlignment="1" applyProtection="1">
      <alignment horizontal="center" vertical="center"/>
      <protection locked="0"/>
    </xf>
    <xf numFmtId="2" fontId="1" fillId="0" borderId="38" xfId="0" applyNumberFormat="1" applyFont="1" applyBorder="1" applyAlignment="1" applyProtection="1">
      <alignment horizontal="center" vertical="center"/>
      <protection locked="0"/>
    </xf>
    <xf numFmtId="2" fontId="1" fillId="0" borderId="56" xfId="0" applyNumberFormat="1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2" fontId="1" fillId="0" borderId="34" xfId="0" applyNumberFormat="1" applyFont="1" applyBorder="1" applyAlignment="1" applyProtection="1">
      <alignment horizontal="center" vertical="center"/>
      <protection locked="0"/>
    </xf>
    <xf numFmtId="2" fontId="1" fillId="0" borderId="55" xfId="0" applyNumberFormat="1" applyFont="1" applyBorder="1" applyAlignment="1" applyProtection="1">
      <alignment horizontal="center" vertical="center"/>
      <protection locked="0"/>
    </xf>
    <xf numFmtId="0" fontId="1" fillId="0" borderId="36" xfId="0" applyFont="1" applyBorder="1" applyAlignment="1">
      <alignment horizontal="center" vertical="center"/>
    </xf>
    <xf numFmtId="164" fontId="25" fillId="0" borderId="64" xfId="0" applyNumberFormat="1" applyFont="1" applyBorder="1" applyAlignment="1" applyProtection="1">
      <alignment horizontal="center" vertical="center"/>
      <protection locked="0"/>
    </xf>
    <xf numFmtId="164" fontId="25" fillId="0" borderId="62" xfId="0" applyNumberFormat="1" applyFont="1" applyBorder="1" applyAlignment="1" applyProtection="1">
      <alignment horizontal="center" vertical="center"/>
      <protection locked="0"/>
    </xf>
    <xf numFmtId="2" fontId="25" fillId="0" borderId="60" xfId="0" applyNumberFormat="1" applyFont="1" applyBorder="1" applyAlignment="1" applyProtection="1">
      <alignment horizontal="center" vertical="center"/>
      <protection locked="0"/>
    </xf>
    <xf numFmtId="2" fontId="25" fillId="0" borderId="62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2" fontId="1" fillId="0" borderId="54" xfId="0" applyNumberFormat="1" applyFont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16" fillId="2" borderId="9" xfId="1" applyFont="1" applyFill="1" applyBorder="1" applyAlignment="1" applyProtection="1">
      <alignment horizontal="center" vertical="center" wrapText="1"/>
      <protection locked="0"/>
    </xf>
    <xf numFmtId="0" fontId="16" fillId="2" borderId="11" xfId="1" applyFont="1" applyFill="1" applyBorder="1" applyAlignment="1" applyProtection="1">
      <alignment horizontal="center" vertical="center" wrapText="1"/>
      <protection locked="0"/>
    </xf>
    <xf numFmtId="0" fontId="16" fillId="2" borderId="16" xfId="1" applyFont="1" applyFill="1" applyBorder="1" applyAlignment="1" applyProtection="1">
      <alignment horizontal="center" vertical="center" wrapText="1"/>
      <protection locked="0"/>
    </xf>
    <xf numFmtId="0" fontId="16" fillId="2" borderId="18" xfId="1" applyFont="1" applyFill="1" applyBorder="1" applyAlignment="1" applyProtection="1">
      <alignment horizontal="center" vertical="center" wrapText="1"/>
      <protection locked="0"/>
    </xf>
    <xf numFmtId="0" fontId="16" fillId="2" borderId="48" xfId="1" applyFont="1" applyFill="1" applyBorder="1" applyAlignment="1" applyProtection="1">
      <alignment horizontal="center" vertical="center" wrapText="1"/>
      <protection locked="0"/>
    </xf>
    <xf numFmtId="0" fontId="16" fillId="0" borderId="44" xfId="1" applyFont="1" applyBorder="1" applyAlignment="1" applyProtection="1">
      <alignment vertical="center" wrapText="1"/>
      <protection locked="0"/>
    </xf>
    <xf numFmtId="0" fontId="16" fillId="2" borderId="40" xfId="1" applyFont="1" applyFill="1" applyBorder="1" applyAlignment="1" applyProtection="1">
      <alignment horizontal="center" vertical="center" wrapText="1"/>
      <protection locked="0"/>
    </xf>
    <xf numFmtId="0" fontId="16" fillId="2" borderId="43" xfId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vertical="center" wrapText="1"/>
    </xf>
    <xf numFmtId="0" fontId="8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6" fillId="2" borderId="51" xfId="1" applyFont="1" applyFill="1" applyBorder="1" applyAlignment="1" applyProtection="1">
      <alignment horizontal="center" vertical="center" wrapText="1"/>
      <protection locked="0"/>
    </xf>
    <xf numFmtId="0" fontId="16" fillId="2" borderId="52" xfId="1" applyFont="1" applyFill="1" applyBorder="1" applyAlignment="1" applyProtection="1">
      <alignment horizontal="center" vertical="center" wrapText="1"/>
      <protection locked="0"/>
    </xf>
    <xf numFmtId="0" fontId="17" fillId="2" borderId="51" xfId="1" applyFont="1" applyFill="1" applyBorder="1" applyAlignment="1" applyProtection="1">
      <alignment horizontal="center" vertical="center" wrapText="1"/>
      <protection locked="0"/>
    </xf>
    <xf numFmtId="0" fontId="17" fillId="2" borderId="52" xfId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hidden="1"/>
    </xf>
    <xf numFmtId="14" fontId="8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14" fontId="22" fillId="0" borderId="0" xfId="0" applyNumberFormat="1" applyFont="1" applyAlignment="1" applyProtection="1">
      <alignment horizontal="left" vertical="center"/>
      <protection locked="0"/>
    </xf>
    <xf numFmtId="0" fontId="8" fillId="0" borderId="0" xfId="0" applyFont="1" applyAlignment="1">
      <alignment horizontal="left" vertical="center"/>
    </xf>
    <xf numFmtId="0" fontId="6" fillId="0" borderId="7" xfId="0" applyFont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hidden="1"/>
    </xf>
    <xf numFmtId="0" fontId="5" fillId="0" borderId="41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1" fillId="0" borderId="27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 vertical="center"/>
      <protection hidden="1"/>
    </xf>
    <xf numFmtId="0" fontId="2" fillId="0" borderId="4" xfId="0" applyFont="1" applyBorder="1" applyAlignment="1" applyProtection="1">
      <alignment horizontal="center" vertical="center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23" fillId="0" borderId="68" xfId="0" applyFont="1" applyBorder="1" applyAlignment="1" applyProtection="1">
      <alignment horizontal="center" vertical="center" wrapText="1"/>
      <protection locked="0"/>
    </xf>
    <xf numFmtId="0" fontId="23" fillId="0" borderId="69" xfId="0" applyFont="1" applyBorder="1" applyAlignment="1" applyProtection="1">
      <alignment horizontal="center" vertical="center" wrapText="1"/>
      <protection locked="0"/>
    </xf>
    <xf numFmtId="0" fontId="23" fillId="0" borderId="70" xfId="0" applyFont="1" applyBorder="1" applyAlignment="1" applyProtection="1">
      <alignment horizontal="center" vertical="center" wrapText="1"/>
      <protection locked="0"/>
    </xf>
    <xf numFmtId="0" fontId="23" fillId="0" borderId="71" xfId="0" applyFont="1" applyBorder="1" applyAlignment="1" applyProtection="1">
      <alignment horizontal="center" vertical="center" wrapText="1"/>
      <protection locked="0"/>
    </xf>
    <xf numFmtId="0" fontId="23" fillId="0" borderId="0" xfId="0" applyFont="1" applyAlignment="1" applyProtection="1">
      <alignment horizontal="center" vertical="center" wrapText="1"/>
      <protection locked="0"/>
    </xf>
    <xf numFmtId="0" fontId="23" fillId="0" borderId="72" xfId="0" applyFont="1" applyBorder="1" applyAlignment="1" applyProtection="1">
      <alignment horizontal="center" vertical="center" wrapText="1"/>
      <protection locked="0"/>
    </xf>
    <xf numFmtId="0" fontId="23" fillId="0" borderId="60" xfId="0" applyFont="1" applyBorder="1" applyAlignment="1" applyProtection="1">
      <alignment horizontal="center" vertical="center" wrapText="1"/>
      <protection locked="0"/>
    </xf>
    <xf numFmtId="0" fontId="23" fillId="0" borderId="61" xfId="0" applyFont="1" applyBorder="1" applyAlignment="1" applyProtection="1">
      <alignment horizontal="center" vertical="center" wrapText="1"/>
      <protection locked="0"/>
    </xf>
    <xf numFmtId="0" fontId="23" fillId="0" borderId="6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/>
      <protection locked="0"/>
    </xf>
    <xf numFmtId="0" fontId="24" fillId="0" borderId="72" xfId="0" applyFont="1" applyBorder="1" applyAlignment="1" applyProtection="1">
      <alignment horizontal="center" vertical="center"/>
      <protection locked="0"/>
    </xf>
    <xf numFmtId="0" fontId="24" fillId="0" borderId="71" xfId="0" applyFont="1" applyBorder="1" applyAlignment="1" applyProtection="1">
      <alignment horizontal="center" vertical="center"/>
      <protection locked="0"/>
    </xf>
    <xf numFmtId="14" fontId="24" fillId="0" borderId="71" xfId="0" applyNumberFormat="1" applyFont="1" applyBorder="1" applyAlignment="1" applyProtection="1">
      <alignment horizontal="center" vertical="center" wrapText="1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14" fontId="24" fillId="0" borderId="72" xfId="0" applyNumberFormat="1" applyFont="1" applyBorder="1" applyAlignment="1" applyProtection="1">
      <alignment horizontal="center" vertical="center"/>
      <protection locked="0"/>
    </xf>
    <xf numFmtId="164" fontId="29" fillId="0" borderId="64" xfId="2" applyNumberFormat="1" applyFont="1" applyBorder="1" applyAlignment="1" applyProtection="1">
      <alignment horizontal="center" vertical="center"/>
      <protection locked="0"/>
    </xf>
    <xf numFmtId="164" fontId="29" fillId="0" borderId="62" xfId="2" applyNumberFormat="1" applyFont="1" applyBorder="1" applyAlignment="1" applyProtection="1">
      <alignment horizontal="center" vertical="center"/>
      <protection locked="0"/>
    </xf>
    <xf numFmtId="2" fontId="29" fillId="0" borderId="60" xfId="2" applyNumberFormat="1" applyFont="1" applyBorder="1" applyAlignment="1" applyProtection="1">
      <alignment horizontal="center" vertical="center"/>
      <protection locked="0"/>
    </xf>
    <xf numFmtId="2" fontId="29" fillId="0" borderId="62" xfId="2" applyNumberFormat="1" applyFont="1" applyBorder="1" applyAlignment="1" applyProtection="1">
      <alignment horizontal="center" vertical="center"/>
      <protection locked="0"/>
    </xf>
    <xf numFmtId="0" fontId="29" fillId="0" borderId="60" xfId="2" applyFont="1" applyBorder="1" applyAlignment="1">
      <alignment horizontal="center" vertical="center" wrapText="1"/>
    </xf>
    <xf numFmtId="0" fontId="29" fillId="0" borderId="62" xfId="2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/>
    </xf>
    <xf numFmtId="164" fontId="1" fillId="0" borderId="50" xfId="0" applyNumberFormat="1" applyFont="1" applyBorder="1" applyAlignment="1">
      <alignment horizontal="center" vertical="center"/>
    </xf>
    <xf numFmtId="2" fontId="1" fillId="0" borderId="31" xfId="0" applyNumberFormat="1" applyFont="1" applyBorder="1" applyAlignment="1">
      <alignment horizontal="center" vertical="center"/>
    </xf>
    <xf numFmtId="2" fontId="1" fillId="0" borderId="50" xfId="0" applyNumberFormat="1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164" fontId="11" fillId="0" borderId="36" xfId="0" applyNumberFormat="1" applyFont="1" applyBorder="1" applyAlignment="1">
      <alignment horizontal="center" vertical="center"/>
    </xf>
    <xf numFmtId="2" fontId="11" fillId="0" borderId="34" xfId="0" applyNumberFormat="1" applyFont="1" applyBorder="1" applyAlignment="1">
      <alignment horizontal="center" vertical="center"/>
    </xf>
    <xf numFmtId="2" fontId="11" fillId="0" borderId="36" xfId="0" applyNumberFormat="1" applyFont="1" applyBorder="1" applyAlignment="1">
      <alignment horizontal="center" vertical="center"/>
    </xf>
    <xf numFmtId="0" fontId="27" fillId="0" borderId="60" xfId="0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1" fillId="0" borderId="62" xfId="0" applyFont="1" applyBorder="1" applyAlignment="1">
      <alignment horizontal="center" vertical="center" wrapText="1"/>
    </xf>
    <xf numFmtId="0" fontId="19" fillId="0" borderId="62" xfId="0" applyFont="1" applyBorder="1" applyAlignment="1">
      <alignment horizontal="center" vertical="center" wrapText="1"/>
    </xf>
    <xf numFmtId="164" fontId="20" fillId="0" borderId="64" xfId="0" applyNumberFormat="1" applyFont="1" applyBorder="1" applyAlignment="1" applyProtection="1">
      <alignment horizontal="center" vertical="center"/>
      <protection locked="0"/>
    </xf>
    <xf numFmtId="164" fontId="20" fillId="0" borderId="62" xfId="0" applyNumberFormat="1" applyFont="1" applyBorder="1" applyAlignment="1" applyProtection="1">
      <alignment horizontal="center" vertical="center"/>
      <protection locked="0"/>
    </xf>
    <xf numFmtId="2" fontId="20" fillId="0" borderId="60" xfId="0" applyNumberFormat="1" applyFont="1" applyBorder="1" applyAlignment="1" applyProtection="1">
      <alignment horizontal="center" vertical="center"/>
      <protection locked="0"/>
    </xf>
    <xf numFmtId="2" fontId="20" fillId="0" borderId="62" xfId="0" applyNumberFormat="1" applyFont="1" applyBorder="1" applyAlignment="1" applyProtection="1">
      <alignment horizontal="center" vertical="center"/>
      <protection locked="0"/>
    </xf>
    <xf numFmtId="164" fontId="20" fillId="0" borderId="63" xfId="3" applyNumberFormat="1" applyFont="1" applyBorder="1" applyAlignment="1">
      <alignment horizontal="center" vertical="center" wrapText="1"/>
    </xf>
    <xf numFmtId="164" fontId="20" fillId="0" borderId="62" xfId="3" applyNumberFormat="1" applyFont="1" applyBorder="1" applyAlignment="1" applyProtection="1">
      <alignment horizontal="center" vertical="center"/>
      <protection locked="0"/>
    </xf>
    <xf numFmtId="164" fontId="20" fillId="0" borderId="63" xfId="3" applyNumberFormat="1" applyFont="1" applyBorder="1" applyAlignment="1" applyProtection="1">
      <alignment horizontal="center" vertical="center"/>
      <protection locked="0"/>
    </xf>
    <xf numFmtId="164" fontId="20" fillId="0" borderId="60" xfId="3" applyNumberFormat="1" applyFont="1" applyBorder="1" applyAlignment="1" applyProtection="1">
      <alignment horizontal="center" vertical="center"/>
      <protection locked="0"/>
    </xf>
    <xf numFmtId="164" fontId="20" fillId="0" borderId="64" xfId="3" applyNumberFormat="1" applyFont="1" applyBorder="1" applyAlignment="1" applyProtection="1">
      <alignment horizontal="center" vertical="center"/>
      <protection locked="0"/>
    </xf>
    <xf numFmtId="164" fontId="20" fillId="0" borderId="62" xfId="3" applyNumberFormat="1" applyFont="1" applyBorder="1" applyAlignment="1" applyProtection="1">
      <alignment horizontal="center" vertical="center"/>
      <protection locked="0"/>
    </xf>
    <xf numFmtId="2" fontId="20" fillId="0" borderId="60" xfId="3" applyNumberFormat="1" applyFont="1" applyBorder="1" applyAlignment="1" applyProtection="1">
      <alignment horizontal="center" vertical="center"/>
      <protection locked="0"/>
    </xf>
    <xf numFmtId="2" fontId="20" fillId="0" borderId="62" xfId="3" applyNumberFormat="1" applyFont="1" applyBorder="1" applyAlignment="1" applyProtection="1">
      <alignment horizontal="center" vertical="center"/>
      <protection locked="0"/>
    </xf>
  </cellXfs>
  <cellStyles count="4">
    <cellStyle name="Normal" xfId="0" builtinId="0"/>
    <cellStyle name="Normal 2" xfId="1" xr:uid="{00000000-0005-0000-0000-000001000000}"/>
    <cellStyle name="Normal 3" xfId="2" xr:uid="{2692B500-FFBD-4DAA-BB51-F55EC863C0F6}"/>
    <cellStyle name="Normal 4" xfId="3" xr:uid="{D53A659D-273C-4144-BBAD-64C96A0ED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'060525 BBSG Montfort Eyzin'!$E$50:$Q$50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'060525 BBSG Montfort Eyzin'!$E$57:$W$57</c:f>
              <c:numCache>
                <c:formatCode>0.0</c:formatCode>
                <c:ptCount val="19"/>
                <c:pt idx="0">
                  <c:v>8.35</c:v>
                </c:pt>
                <c:pt idx="1">
                  <c:v>10.55</c:v>
                </c:pt>
                <c:pt idx="2">
                  <c:v>13.75</c:v>
                </c:pt>
                <c:pt idx="3">
                  <c:v>17.649999999999999</c:v>
                </c:pt>
                <c:pt idx="4">
                  <c:v>23.35</c:v>
                </c:pt>
                <c:pt idx="5">
                  <c:v>33.450000000000003</c:v>
                </c:pt>
                <c:pt idx="6">
                  <c:v>49.150000000000006</c:v>
                </c:pt>
                <c:pt idx="7">
                  <c:v>66.400000000000006</c:v>
                </c:pt>
                <c:pt idx="8">
                  <c:v>82.5</c:v>
                </c:pt>
                <c:pt idx="9">
                  <c:v>97.1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169</c:v>
                </c:pt>
                <c:pt idx="18" formatCode="0.00">
                  <c:v>5.1750000000000007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8C-41AD-B507-FBA22907795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'060525 BBSG Montfort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BBSG Montfort Eyzin'!$E$58:$W$58</c:f>
              <c:numCache>
                <c:formatCode>0.0</c:formatCode>
                <c:ptCount val="19"/>
                <c:pt idx="0">
                  <c:v>8</c:v>
                </c:pt>
                <c:pt idx="1">
                  <c:v>#N/A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63</c:v>
                </c:pt>
                <c:pt idx="8">
                  <c:v>81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8C-41AD-B507-FBA229077956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BE8C-41AD-B507-FBA22907795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'060525 BBSG Montfort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BBSG Montfort Eyzin'!$E$60:$W$60</c:f>
              <c:numCache>
                <c:formatCode>0.0</c:formatCode>
                <c:ptCount val="19"/>
                <c:pt idx="0">
                  <c:v>6</c:v>
                </c:pt>
                <c:pt idx="5">
                  <c:v>27</c:v>
                </c:pt>
                <c:pt idx="7">
                  <c:v>56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8C-41AD-B507-FBA22907795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'060525 BBSG Montfort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'060525 BBSG Montfort Eyzin'!$E$59:$W$59</c:f>
              <c:numCache>
                <c:formatCode>0.0</c:formatCode>
                <c:ptCount val="19"/>
                <c:pt idx="0">
                  <c:v>10</c:v>
                </c:pt>
                <c:pt idx="5">
                  <c:v>39</c:v>
                </c:pt>
                <c:pt idx="7">
                  <c:v>70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E8C-41AD-B507-FBA2290779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'070425 BBSG Compostière Eyzin'!$E$50:$Q$50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'070425 BBSG Compostière Eyzin'!$E$57:$W$57</c:f>
              <c:numCache>
                <c:formatCode>0.0</c:formatCode>
                <c:ptCount val="19"/>
                <c:pt idx="0">
                  <c:v>7.85</c:v>
                </c:pt>
                <c:pt idx="1">
                  <c:v>10.1</c:v>
                </c:pt>
                <c:pt idx="2">
                  <c:v>13.15</c:v>
                </c:pt>
                <c:pt idx="3">
                  <c:v>16.850000000000001</c:v>
                </c:pt>
                <c:pt idx="4">
                  <c:v>22</c:v>
                </c:pt>
                <c:pt idx="5">
                  <c:v>30.5</c:v>
                </c:pt>
                <c:pt idx="6">
                  <c:v>43.05</c:v>
                </c:pt>
                <c:pt idx="7">
                  <c:v>59.55</c:v>
                </c:pt>
                <c:pt idx="8">
                  <c:v>76.7</c:v>
                </c:pt>
                <c:pt idx="9">
                  <c:v>95.8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159</c:v>
                </c:pt>
                <c:pt idx="18" formatCode="0.00">
                  <c:v>5.0549999999999997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A3-47A1-97BE-37CF6741105E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'070425 BBSG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BBSG Compostière Eyzin'!$E$58:$W$58</c:f>
              <c:numCache>
                <c:formatCode>0.0</c:formatCode>
                <c:ptCount val="19"/>
                <c:pt idx="0">
                  <c:v>8</c:v>
                </c:pt>
                <c:pt idx="1">
                  <c:v>#N/A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63</c:v>
                </c:pt>
                <c:pt idx="8">
                  <c:v>81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A3-47A1-97BE-37CF6741105E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2CA3-47A1-97BE-37CF6741105E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'070425 BBSG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BBSG Compostière Eyzin'!$E$60:$W$60</c:f>
              <c:numCache>
                <c:formatCode>0.0</c:formatCode>
                <c:ptCount val="19"/>
                <c:pt idx="0">
                  <c:v>6</c:v>
                </c:pt>
                <c:pt idx="5">
                  <c:v>27</c:v>
                </c:pt>
                <c:pt idx="7">
                  <c:v>56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A3-47A1-97BE-37CF6741105E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'070425 BBSG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BBSG Compostière Eyzin'!$E$59:$W$59</c:f>
              <c:numCache>
                <c:formatCode>0.0</c:formatCode>
                <c:ptCount val="19"/>
                <c:pt idx="0">
                  <c:v>10</c:v>
                </c:pt>
                <c:pt idx="5">
                  <c:v>39</c:v>
                </c:pt>
                <c:pt idx="7">
                  <c:v>70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A3-47A1-97BE-37CF67411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'070425 GB  Compostière Eyzin'!$E$50:$Q$50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'070425 GB  Compostière Eyzin'!$E$57:$W$57</c:f>
              <c:numCache>
                <c:formatCode>0.0</c:formatCode>
                <c:ptCount val="19"/>
                <c:pt idx="0">
                  <c:v>6.9333333333333327</c:v>
                </c:pt>
                <c:pt idx="1">
                  <c:v>8.9666666666666668</c:v>
                </c:pt>
                <c:pt idx="2">
                  <c:v>11.766666666666666</c:v>
                </c:pt>
                <c:pt idx="3">
                  <c:v>15.200000000000001</c:v>
                </c:pt>
                <c:pt idx="4">
                  <c:v>20.333333333333332</c:v>
                </c:pt>
                <c:pt idx="5">
                  <c:v>29.033333333333331</c:v>
                </c:pt>
                <c:pt idx="6">
                  <c:v>41.699999999999996</c:v>
                </c:pt>
                <c:pt idx="7">
                  <c:v>58.266666666666659</c:v>
                </c:pt>
                <c:pt idx="8">
                  <c:v>68.3</c:v>
                </c:pt>
                <c:pt idx="9">
                  <c:v>80.666666666666671</c:v>
                </c:pt>
                <c:pt idx="10" formatCode="0">
                  <c:v>93.7</c:v>
                </c:pt>
                <c:pt idx="11" formatCode="0">
                  <c:v>98.100000000000009</c:v>
                </c:pt>
                <c:pt idx="12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165</c:v>
                </c:pt>
                <c:pt idx="18" formatCode="0.00">
                  <c:v>4.33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0C-4B19-83DE-AD5D9E6EB50B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'070425 GB 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GB  Compostière Eyzin'!$E$58:$W$58</c:f>
              <c:numCache>
                <c:formatCode>0.0</c:formatCode>
                <c:ptCount val="19"/>
                <c:pt idx="0">
                  <c:v>7.2</c:v>
                </c:pt>
                <c:pt idx="1">
                  <c:v>#N/A</c:v>
                </c:pt>
                <c:pt idx="2">
                  <c:v>12</c:v>
                </c:pt>
                <c:pt idx="3">
                  <c:v>16</c:v>
                </c:pt>
                <c:pt idx="4">
                  <c:v>21</c:v>
                </c:pt>
                <c:pt idx="5">
                  <c:v>30</c:v>
                </c:pt>
                <c:pt idx="6">
                  <c:v>43</c:v>
                </c:pt>
                <c:pt idx="7">
                  <c:v>60</c:v>
                </c:pt>
                <c:pt idx="8">
                  <c:v>72</c:v>
                </c:pt>
                <c:pt idx="9">
                  <c:v>82</c:v>
                </c:pt>
                <c:pt idx="10" formatCode="0">
                  <c:v>97</c:v>
                </c:pt>
                <c:pt idx="11">
                  <c:v>99</c:v>
                </c:pt>
                <c:pt idx="12" formatCode="0">
                  <c:v>100</c:v>
                </c:pt>
                <c:pt idx="18" formatCode="0.00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0C-4B19-83DE-AD5D9E6EB50B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7E0C-4B19-83DE-AD5D9E6EB50B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'070425 GB 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GB  Compostière Eyzin'!$E$60:$W$60</c:f>
              <c:numCache>
                <c:formatCode>0.0</c:formatCode>
                <c:ptCount val="19"/>
                <c:pt idx="0">
                  <c:v>5.2</c:v>
                </c:pt>
                <c:pt idx="5">
                  <c:v>24</c:v>
                </c:pt>
                <c:pt idx="7">
                  <c:v>53</c:v>
                </c:pt>
                <c:pt idx="18">
                  <c:v>3.9000000000000004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0C-4B19-83DE-AD5D9E6EB50B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'070425 GB  Compostière Eyzin'!$E$50:$W$50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'070425 GB  Compostière Eyzin'!$E$59:$W$59</c:f>
              <c:numCache>
                <c:formatCode>0.0</c:formatCode>
                <c:ptCount val="19"/>
                <c:pt idx="0">
                  <c:v>9.1999999999999993</c:v>
                </c:pt>
                <c:pt idx="5">
                  <c:v>36</c:v>
                </c:pt>
                <c:pt idx="7">
                  <c:v>67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0C-4B19-83DE-AD5D9E6EB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'110424'!$E$50:$Q$50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'110424'!$E$57:$W$57</c:f>
              <c:numCache>
                <c:formatCode>0.0</c:formatCode>
                <c:ptCount val="19"/>
                <c:pt idx="0">
                  <c:v>7.85</c:v>
                </c:pt>
                <c:pt idx="1">
                  <c:v>9.8000000000000007</c:v>
                </c:pt>
                <c:pt idx="2">
                  <c:v>12.7</c:v>
                </c:pt>
                <c:pt idx="3">
                  <c:v>16.25</c:v>
                </c:pt>
                <c:pt idx="4">
                  <c:v>21.2</c:v>
                </c:pt>
                <c:pt idx="5">
                  <c:v>30.35</c:v>
                </c:pt>
                <c:pt idx="6">
                  <c:v>44.4</c:v>
                </c:pt>
                <c:pt idx="7">
                  <c:v>61.9</c:v>
                </c:pt>
                <c:pt idx="8">
                  <c:v>80.599999999999994</c:v>
                </c:pt>
                <c:pt idx="9">
                  <c:v>97.2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167.5</c:v>
                </c:pt>
                <c:pt idx="18" formatCode="0.00">
                  <c:v>5.2249999999999996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7-4121-BE57-FD40418FEA92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'110424'!$E$50:$W$50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'110424'!$E$58:$W$58</c:f>
              <c:numCache>
                <c:formatCode>0.0</c:formatCode>
                <c:ptCount val="19"/>
                <c:pt idx="0">
                  <c:v>8</c:v>
                </c:pt>
                <c:pt idx="1">
                  <c:v>#N/A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63</c:v>
                </c:pt>
                <c:pt idx="8">
                  <c:v>81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57-4121-BE57-FD40418FEA92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6457-4121-BE57-FD40418FEA92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'110424'!$E$50:$W$50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'110424'!$E$60:$W$60</c:f>
              <c:numCache>
                <c:formatCode>0.0</c:formatCode>
                <c:ptCount val="19"/>
                <c:pt idx="0">
                  <c:v>6</c:v>
                </c:pt>
                <c:pt idx="5">
                  <c:v>27</c:v>
                </c:pt>
                <c:pt idx="7">
                  <c:v>56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457-4121-BE57-FD40418FEA92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'110424'!$E$50:$W$50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'110424'!$E$59:$W$59</c:f>
              <c:numCache>
                <c:formatCode>0.0</c:formatCode>
                <c:ptCount val="19"/>
                <c:pt idx="0">
                  <c:v>10</c:v>
                </c:pt>
                <c:pt idx="5">
                  <c:v>39</c:v>
                </c:pt>
                <c:pt idx="7">
                  <c:v>70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457-4121-BE57-FD40418FE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'210324'!$E$50:$Q$50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'210324'!$E$57:$W$57</c:f>
              <c:numCache>
                <c:formatCode>0.0</c:formatCode>
                <c:ptCount val="19"/>
                <c:pt idx="0">
                  <c:v>7.6</c:v>
                </c:pt>
                <c:pt idx="1">
                  <c:v>9.6499999999999986</c:v>
                </c:pt>
                <c:pt idx="2">
                  <c:v>12.55</c:v>
                </c:pt>
                <c:pt idx="3">
                  <c:v>16.05</c:v>
                </c:pt>
                <c:pt idx="4">
                  <c:v>21</c:v>
                </c:pt>
                <c:pt idx="5">
                  <c:v>30.3</c:v>
                </c:pt>
                <c:pt idx="6">
                  <c:v>46.2</c:v>
                </c:pt>
                <c:pt idx="7">
                  <c:v>63</c:v>
                </c:pt>
                <c:pt idx="8">
                  <c:v>82.35</c:v>
                </c:pt>
                <c:pt idx="9">
                  <c:v>97.1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</c:v>
                </c:pt>
                <c:pt idx="18" formatCode="0.00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CB-4A74-B5EE-1FA6F7408A58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'210324'!$E$50:$W$50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'210324'!$E$58:$W$58</c:f>
              <c:numCache>
                <c:formatCode>0.0</c:formatCode>
                <c:ptCount val="19"/>
                <c:pt idx="0">
                  <c:v>8</c:v>
                </c:pt>
                <c:pt idx="1">
                  <c:v>#N/A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63</c:v>
                </c:pt>
                <c:pt idx="8">
                  <c:v>81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CB-4A74-B5EE-1FA6F7408A58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DBCB-4A74-B5EE-1FA6F7408A58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'210324'!$E$60:$W$60</c:f>
              <c:numCache>
                <c:formatCode>0.0</c:formatCode>
                <c:ptCount val="19"/>
                <c:pt idx="0">
                  <c:v>6</c:v>
                </c:pt>
                <c:pt idx="5">
                  <c:v>27</c:v>
                </c:pt>
                <c:pt idx="7">
                  <c:v>56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CB-4A74-B5EE-1FA6F7408A58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'210324'!$E$50:$W$50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'210324'!$E$59:$W$59</c:f>
              <c:numCache>
                <c:formatCode>0.0</c:formatCode>
                <c:ptCount val="19"/>
                <c:pt idx="0">
                  <c:v>10</c:v>
                </c:pt>
                <c:pt idx="5">
                  <c:v>39</c:v>
                </c:pt>
                <c:pt idx="7">
                  <c:v>70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CB-4A74-B5EE-1FA6F7408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'291123'!$E$50:$Q$50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'291123'!$E$57:$W$57</c:f>
              <c:numCache>
                <c:formatCode>0.0</c:formatCode>
                <c:ptCount val="19"/>
                <c:pt idx="0">
                  <c:v>6.9</c:v>
                </c:pt>
                <c:pt idx="1">
                  <c:v>8.8000000000000007</c:v>
                </c:pt>
                <c:pt idx="2">
                  <c:v>11.5</c:v>
                </c:pt>
                <c:pt idx="3">
                  <c:v>15.05</c:v>
                </c:pt>
                <c:pt idx="4">
                  <c:v>20.049999999999997</c:v>
                </c:pt>
                <c:pt idx="5">
                  <c:v>29.4</c:v>
                </c:pt>
                <c:pt idx="6">
                  <c:v>44.3</c:v>
                </c:pt>
                <c:pt idx="7">
                  <c:v>64.55</c:v>
                </c:pt>
                <c:pt idx="8">
                  <c:v>81.150000000000006</c:v>
                </c:pt>
                <c:pt idx="9">
                  <c:v>95.5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166.5</c:v>
                </c:pt>
                <c:pt idx="18" formatCode="0.00">
                  <c:v>5.1099999999999994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CA-4552-99CB-172A39AA8FB7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'291123'!$E$50:$W$50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'291123'!$E$58:$W$58</c:f>
              <c:numCache>
                <c:formatCode>0.0</c:formatCode>
                <c:ptCount val="19"/>
                <c:pt idx="0">
                  <c:v>7.4</c:v>
                </c:pt>
                <c:pt idx="1">
                  <c:v>#N/A</c:v>
                </c:pt>
                <c:pt idx="2">
                  <c:v>13</c:v>
                </c:pt>
                <c:pt idx="3">
                  <c:v>17</c:v>
                </c:pt>
                <c:pt idx="4">
                  <c:v>24</c:v>
                </c:pt>
                <c:pt idx="5">
                  <c:v>34</c:v>
                </c:pt>
                <c:pt idx="6">
                  <c:v>49</c:v>
                </c:pt>
                <c:pt idx="7">
                  <c:v>66</c:v>
                </c:pt>
                <c:pt idx="8">
                  <c:v>82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CA-4552-99CB-172A39AA8FB7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98CA-4552-99CB-172A39AA8FB7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'291123'!$E$60:$W$60</c:f>
              <c:numCache>
                <c:formatCode>0.0</c:formatCode>
                <c:ptCount val="19"/>
                <c:pt idx="0">
                  <c:v>5.4</c:v>
                </c:pt>
                <c:pt idx="5">
                  <c:v>28</c:v>
                </c:pt>
                <c:pt idx="7">
                  <c:v>59</c:v>
                </c:pt>
                <c:pt idx="18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CA-4552-99CB-172A39AA8FB7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'291123'!$E$50:$W$50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'291123'!$E$59:$W$59</c:f>
              <c:numCache>
                <c:formatCode>0.0</c:formatCode>
                <c:ptCount val="19"/>
                <c:pt idx="0">
                  <c:v>9.4</c:v>
                </c:pt>
                <c:pt idx="5">
                  <c:v>40</c:v>
                </c:pt>
                <c:pt idx="7">
                  <c:v>73</c:v>
                </c:pt>
                <c:pt idx="18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CA-4552-99CB-172A39AA8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00735718463802E-2"/>
          <c:y val="5.0420305990420362E-2"/>
          <c:w val="0.84096156822169987"/>
          <c:h val="0.78711699907267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'301023'!$E$50:$Q$50</c:f>
              <c:numCache>
                <c:formatCode>0.000</c:formatCode>
                <c:ptCount val="13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</c:numCache>
            </c:numRef>
          </c:xVal>
          <c:yVal>
            <c:numRef>
              <c:f>'301023'!$E$57:$W$57</c:f>
              <c:numCache>
                <c:formatCode>0.0</c:formatCode>
                <c:ptCount val="19"/>
                <c:pt idx="0">
                  <c:v>8</c:v>
                </c:pt>
                <c:pt idx="1">
                  <c:v>10.066666666666668</c:v>
                </c:pt>
                <c:pt idx="2">
                  <c:v>12.933333333333332</c:v>
                </c:pt>
                <c:pt idx="3">
                  <c:v>16.666666666666668</c:v>
                </c:pt>
                <c:pt idx="4">
                  <c:v>22.8</c:v>
                </c:pt>
                <c:pt idx="5">
                  <c:v>31.466666666666665</c:v>
                </c:pt>
                <c:pt idx="6">
                  <c:v>46.766666666666673</c:v>
                </c:pt>
                <c:pt idx="7">
                  <c:v>66</c:v>
                </c:pt>
                <c:pt idx="8">
                  <c:v>82.333333333333329</c:v>
                </c:pt>
                <c:pt idx="9">
                  <c:v>96.766666666666652</c:v>
                </c:pt>
                <c:pt idx="10" formatCode="0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157</c:v>
                </c:pt>
                <c:pt idx="18" formatCode="0.00">
                  <c:v>5.416666666666667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8-40C6-B809-2985C4D61FC6}"/>
            </c:ext>
          </c:extLst>
        </c:ser>
        <c:ser>
          <c:idx val="1"/>
          <c:order val="1"/>
          <c:tx>
            <c:v>courbe théorique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'301023'!$E$58:$W$58</c:f>
              <c:numCache>
                <c:formatCode>0.0</c:formatCode>
                <c:ptCount val="19"/>
                <c:pt idx="0">
                  <c:v>8</c:v>
                </c:pt>
                <c:pt idx="2">
                  <c:v>13</c:v>
                </c:pt>
                <c:pt idx="3">
                  <c:v>17</c:v>
                </c:pt>
                <c:pt idx="4">
                  <c:v>23</c:v>
                </c:pt>
                <c:pt idx="5">
                  <c:v>33</c:v>
                </c:pt>
                <c:pt idx="6">
                  <c:v>46</c:v>
                </c:pt>
                <c:pt idx="7">
                  <c:v>63</c:v>
                </c:pt>
                <c:pt idx="8">
                  <c:v>81</c:v>
                </c:pt>
                <c:pt idx="9">
                  <c:v>95</c:v>
                </c:pt>
                <c:pt idx="10" formatCode="0">
                  <c:v>100</c:v>
                </c:pt>
                <c:pt idx="18" formatCode="0.00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18-40C6-B809-2985C4D61FC6}"/>
            </c:ext>
          </c:extLst>
        </c:ser>
        <c:ser>
          <c:idx val="2"/>
          <c:order val="2"/>
          <c:tx>
            <c:v>Valeur mini</c:v>
          </c:tx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'301023'!$E$56:$W$56</c:f>
            </c:numRef>
          </c:yVal>
          <c:smooth val="1"/>
          <c:extLst>
            <c:ext xmlns:c16="http://schemas.microsoft.com/office/drawing/2014/chart" uri="{C3380CC4-5D6E-409C-BE32-E72D297353CC}">
              <c16:uniqueId val="{00000002-EE18-40C6-B809-2985C4D61FC6}"/>
            </c:ext>
          </c:extLst>
        </c:ser>
        <c:ser>
          <c:idx val="3"/>
          <c:order val="3"/>
          <c:tx>
            <c:v>Seuil mini</c:v>
          </c:tx>
          <c:spPr>
            <a:ln w="12700">
              <a:solidFill>
                <a:srgbClr val="FFFFFF"/>
              </a:solidFill>
              <a:prstDash val="solid"/>
            </a:ln>
          </c:spPr>
          <c:marker>
            <c:symbol val="dash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'301023'!$E$60:$W$60</c:f>
              <c:numCache>
                <c:formatCode>0.0</c:formatCode>
                <c:ptCount val="19"/>
                <c:pt idx="0">
                  <c:v>6</c:v>
                </c:pt>
                <c:pt idx="5">
                  <c:v>27</c:v>
                </c:pt>
                <c:pt idx="7">
                  <c:v>56</c:v>
                </c:pt>
                <c:pt idx="1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E18-40C6-B809-2985C4D61FC6}"/>
            </c:ext>
          </c:extLst>
        </c:ser>
        <c:ser>
          <c:idx val="4"/>
          <c:order val="4"/>
          <c:tx>
            <c:v>Seuil maxi</c:v>
          </c:tx>
          <c:spPr>
            <a:ln w="28575">
              <a:noFill/>
            </a:ln>
          </c:spPr>
          <c:marker>
            <c:symbol val="dash"/>
            <c:size val="6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'301023'!$E$50:$W$50</c:f>
              <c:numCache>
                <c:formatCode>0.000</c:formatCode>
                <c:ptCount val="19"/>
                <c:pt idx="0">
                  <c:v>6.3E-2</c:v>
                </c:pt>
                <c:pt idx="1">
                  <c:v>0.125</c:v>
                </c:pt>
                <c:pt idx="2" formatCode="General">
                  <c:v>0.25</c:v>
                </c:pt>
                <c:pt idx="3" formatCode="General">
                  <c:v>0.5</c:v>
                </c:pt>
                <c:pt idx="4" formatCode="General">
                  <c:v>1</c:v>
                </c:pt>
                <c:pt idx="5" formatCode="General">
                  <c:v>2</c:v>
                </c:pt>
                <c:pt idx="6" formatCode="General">
                  <c:v>4</c:v>
                </c:pt>
                <c:pt idx="7" formatCode="General">
                  <c:v>6.3</c:v>
                </c:pt>
                <c:pt idx="8" formatCode="General">
                  <c:v>8</c:v>
                </c:pt>
                <c:pt idx="9" formatCode="General">
                  <c:v>10</c:v>
                </c:pt>
                <c:pt idx="10" formatCode="General">
                  <c:v>12.5</c:v>
                </c:pt>
                <c:pt idx="11" formatCode="General">
                  <c:v>14</c:v>
                </c:pt>
                <c:pt idx="12" formatCode="General">
                  <c:v>16</c:v>
                </c:pt>
                <c:pt idx="13" formatCode="General">
                  <c:v>20</c:v>
                </c:pt>
              </c:numCache>
            </c:numRef>
          </c:xVal>
          <c:yVal>
            <c:numRef>
              <c:f>'301023'!$E$59:$W$59</c:f>
              <c:numCache>
                <c:formatCode>0.0</c:formatCode>
                <c:ptCount val="19"/>
                <c:pt idx="0">
                  <c:v>10</c:v>
                </c:pt>
                <c:pt idx="5">
                  <c:v>39</c:v>
                </c:pt>
                <c:pt idx="7">
                  <c:v>70</c:v>
                </c:pt>
                <c:pt idx="18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E18-40C6-B809-2985C4D61F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97064"/>
        <c:axId val="214297456"/>
      </c:scatterChart>
      <c:valAx>
        <c:axId val="214297064"/>
        <c:scaling>
          <c:logBase val="10"/>
          <c:orientation val="minMax"/>
          <c:max val="1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Tamis (mm)</a:t>
                </a:r>
              </a:p>
            </c:rich>
          </c:tx>
          <c:layout>
            <c:manualLayout>
              <c:xMode val="edge"/>
              <c:yMode val="edge"/>
              <c:x val="0.45766620486470372"/>
              <c:y val="0.91877015373078363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456"/>
        <c:crosses val="autoZero"/>
        <c:crossBetween val="midCat"/>
      </c:valAx>
      <c:valAx>
        <c:axId val="214297456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Passants (%)</a:t>
                </a:r>
              </a:p>
            </c:rich>
          </c:tx>
          <c:layout>
            <c:manualLayout>
              <c:xMode val="edge"/>
              <c:yMode val="edge"/>
              <c:x val="5.7208494817880505E-3"/>
              <c:y val="0.316527492886918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214297064"/>
        <c:crossesAt val="0.01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84905505965429"/>
          <c:y val="7.2829425733548017E-2"/>
          <c:w val="0.20594976296114434"/>
          <c:h val="0.271709565716050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3.xml"/><Relationship Id="rId4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89E4987-7626-4AFD-948E-3DDEB3279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6EF19CCB-4CF8-427D-A237-AA829E977566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167343F5-8BE3-4434-B938-E21E861E01F6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E4C3EAB-D4CB-4F7F-9A47-5ED4EBF3AE42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23E7B23-BCE4-45CB-8AC2-01B7365D1029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AEDC622C-0F3B-4F44-8342-22E0A583F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0A5CA167-8ED9-42FD-B7AB-9ABF7240CAC2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C19AE666-8EE8-4C2B-97F1-CAD3E5C7D140}"/>
            </a:ext>
          </a:extLst>
        </xdr:cNvPr>
        <xdr:cNvSpPr>
          <a:spLocks noChangeShapeType="1"/>
        </xdr:cNvSpPr>
      </xdr:nvSpPr>
      <xdr:spPr bwMode="auto">
        <a:xfrm flipH="1">
          <a:off x="20770215" y="197224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FD1DD361-5D97-48A6-95DC-C49C1C11CDEB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E56B256-83EE-4128-B036-D43B7D371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A6E831C-9B50-452D-8B23-662F93433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0B24DE8-526C-40D3-A645-EB1B88175AB9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F2F63821-CCC4-4D2E-8917-91F7D9C002F1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706586C7-F2ED-4974-816D-257712C8119B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9AA2D675-23F1-4076-AB13-11705558A0F4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461BF7DF-7BF1-4DBB-9828-B4104954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D814B296-A0D6-4207-9CA3-8816409D4247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FE949C07-3A71-433A-8702-9F72BFF0BCB5}"/>
            </a:ext>
          </a:extLst>
        </xdr:cNvPr>
        <xdr:cNvSpPr>
          <a:spLocks noChangeShapeType="1"/>
        </xdr:cNvSpPr>
      </xdr:nvSpPr>
      <xdr:spPr bwMode="auto">
        <a:xfrm flipH="1">
          <a:off x="20770215" y="197224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ABF74B2-A0C3-4CD9-A287-4C815D09BF06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4EA6AC03-FABC-4D99-94CA-1D0B74FB4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D3BDE0-A06E-4D39-9D9B-5FB3CB85B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BD87CC1D-A5FF-49B4-A298-608EEC4CEBF3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EA8FA8A9-3C27-4228-B248-1F4B4F7E5EC9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F37D761-D628-4F62-AFC3-99FFC618ABA5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0565B039-8377-4670-9A00-0E8804E3C8DE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0324318-8B9B-4920-9BB3-08148C1DC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1064B250-C4D6-4D04-954F-518C3B1E08CC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B5F81585-28BA-4C1F-854F-E9A4EE9D82E2}"/>
            </a:ext>
          </a:extLst>
        </xdr:cNvPr>
        <xdr:cNvSpPr>
          <a:spLocks noChangeShapeType="1"/>
        </xdr:cNvSpPr>
      </xdr:nvSpPr>
      <xdr:spPr bwMode="auto">
        <a:xfrm flipH="1">
          <a:off x="20770215" y="197224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E6968B23-F4F5-47D4-9829-0053EABF191D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3A5097A-C280-46F0-931D-111E38D52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0645" cy="3295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21</xdr:col>
      <xdr:colOff>0</xdr:colOff>
      <xdr:row>67</xdr:row>
      <xdr:rowOff>0</xdr:rowOff>
    </xdr:from>
    <xdr:to>
      <xdr:col>25</xdr:col>
      <xdr:colOff>38100</xdr:colOff>
      <xdr:row>69</xdr:row>
      <xdr:rowOff>38100</xdr:rowOff>
    </xdr:to>
    <xdr:pic>
      <xdr:nvPicPr>
        <xdr:cNvPr id="14" name="Image 13">
          <a:extLst>
            <a:ext uri="{FF2B5EF4-FFF2-40B4-BE49-F238E27FC236}">
              <a16:creationId xmlns:a16="http://schemas.microsoft.com/office/drawing/2014/main" id="{62FBA01E-7F9F-4867-BE24-BF84E0ACC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2106275"/>
          <a:ext cx="1447800" cy="4381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71F9B97-6AA2-4840-9BA1-9886C32428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D7FE2CDC-1530-4DA0-B4C6-18DFD2357AE5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73ADD626-B192-4DDB-A63C-462A8EB2DD02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5476780E-6097-4A8D-82A6-9FD61941921F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CB427A8D-88CB-487A-8667-B2C715127F48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D2F3F4C0-1D25-45E7-9EA8-ED2231331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EE9296CD-DB1F-47E0-89FE-AA516CAEE030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2E28EEE-1E1B-4474-83DB-E143B4584A4A}"/>
            </a:ext>
          </a:extLst>
        </xdr:cNvPr>
        <xdr:cNvSpPr>
          <a:spLocks noChangeShapeType="1"/>
        </xdr:cNvSpPr>
      </xdr:nvSpPr>
      <xdr:spPr bwMode="auto">
        <a:xfrm flipH="1">
          <a:off x="20775930" y="195414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674822EA-F00F-4A36-8676-8CF86CBE982F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323850</xdr:colOff>
      <xdr:row>3</xdr:row>
      <xdr:rowOff>131445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DE020B08-D5D2-43A0-BE4E-BF58BD46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7D8E5EF-5013-42EA-A431-81EFB9DAE5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F29E6AE7-330E-44EF-99D9-8518E1914587}"/>
            </a:ext>
          </a:extLst>
        </xdr:cNvPr>
        <xdr:cNvSpPr>
          <a:spLocks noChangeShapeType="1"/>
        </xdr:cNvSpPr>
      </xdr:nvSpPr>
      <xdr:spPr bwMode="auto">
        <a:xfrm>
          <a:off x="8561070" y="10829925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2C6A7E28-9D21-4FC8-95DC-79FE3EE1FE17}"/>
            </a:ext>
          </a:extLst>
        </xdr:cNvPr>
        <xdr:cNvSpPr txBox="1">
          <a:spLocks noChangeArrowheads="1"/>
        </xdr:cNvSpPr>
      </xdr:nvSpPr>
      <xdr:spPr bwMode="auto">
        <a:xfrm>
          <a:off x="8789670" y="7027545"/>
          <a:ext cx="3236595" cy="5124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2206B0EF-F9BE-4B6C-86BC-1EBB81F9E93D}"/>
            </a:ext>
          </a:extLst>
        </xdr:cNvPr>
        <xdr:cNvSpPr>
          <a:spLocks noChangeShapeType="1"/>
        </xdr:cNvSpPr>
      </xdr:nvSpPr>
      <xdr:spPr bwMode="auto">
        <a:xfrm>
          <a:off x="12037695" y="7151371"/>
          <a:ext cx="354330" cy="3848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F12DF52-C81A-4DDA-A390-77879B289C06}"/>
            </a:ext>
          </a:extLst>
        </xdr:cNvPr>
        <xdr:cNvSpPr>
          <a:spLocks noChangeShapeType="1"/>
        </xdr:cNvSpPr>
      </xdr:nvSpPr>
      <xdr:spPr bwMode="auto">
        <a:xfrm flipH="1">
          <a:off x="9088755" y="7551420"/>
          <a:ext cx="1524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DD2A358-1F4E-4B94-BEF2-38F54C642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" y="643890"/>
          <a:ext cx="203454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BD85092-BC15-41D1-BDBA-322905AD1593}"/>
            </a:ext>
          </a:extLst>
        </xdr:cNvPr>
        <xdr:cNvSpPr txBox="1">
          <a:spLocks noChangeArrowheads="1"/>
        </xdr:cNvSpPr>
      </xdr:nvSpPr>
      <xdr:spPr bwMode="auto">
        <a:xfrm>
          <a:off x="11344275" y="10982325"/>
          <a:ext cx="2472690" cy="285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E521CCFF-D56E-425F-AE6C-48E2B1284491}"/>
            </a:ext>
          </a:extLst>
        </xdr:cNvPr>
        <xdr:cNvSpPr>
          <a:spLocks noChangeShapeType="1"/>
        </xdr:cNvSpPr>
      </xdr:nvSpPr>
      <xdr:spPr bwMode="auto">
        <a:xfrm flipH="1">
          <a:off x="20770215" y="19722465"/>
          <a:ext cx="0" cy="1962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B52065A6-5AF4-4B6D-B5A6-A708125285C1}"/>
            </a:ext>
          </a:extLst>
        </xdr:cNvPr>
        <xdr:cNvSpPr>
          <a:spLocks noChangeShapeType="1"/>
        </xdr:cNvSpPr>
      </xdr:nvSpPr>
      <xdr:spPr bwMode="auto">
        <a:xfrm flipH="1" flipV="1">
          <a:off x="4560570" y="10500359"/>
          <a:ext cx="6772275" cy="5410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0F17C715-A9F6-4049-A457-63FD98B4D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1465"/>
          <a:ext cx="1354455" cy="325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AB2BCAE-3088-415B-BFEF-67F080CEAF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3" name="Line 24">
          <a:extLst>
            <a:ext uri="{FF2B5EF4-FFF2-40B4-BE49-F238E27FC236}">
              <a16:creationId xmlns:a16="http://schemas.microsoft.com/office/drawing/2014/main" id="{EEF12B66-1BB7-41AB-9EEE-B602EFFC0E9E}"/>
            </a:ext>
          </a:extLst>
        </xdr:cNvPr>
        <xdr:cNvSpPr>
          <a:spLocks noChangeShapeType="1"/>
        </xdr:cNvSpPr>
      </xdr:nvSpPr>
      <xdr:spPr bwMode="auto">
        <a:xfrm>
          <a:off x="8517255" y="1073658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4" name="Text Box 28">
          <a:extLst>
            <a:ext uri="{FF2B5EF4-FFF2-40B4-BE49-F238E27FC236}">
              <a16:creationId xmlns:a16="http://schemas.microsoft.com/office/drawing/2014/main" id="{CA2A7B6C-C134-46B7-8734-D58A5BC26C62}"/>
            </a:ext>
          </a:extLst>
        </xdr:cNvPr>
        <xdr:cNvSpPr txBox="1">
          <a:spLocks noChangeArrowheads="1"/>
        </xdr:cNvSpPr>
      </xdr:nvSpPr>
      <xdr:spPr bwMode="auto">
        <a:xfrm>
          <a:off x="8745855" y="6970395"/>
          <a:ext cx="3244215" cy="50863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5" name="Line 29">
          <a:extLst>
            <a:ext uri="{FF2B5EF4-FFF2-40B4-BE49-F238E27FC236}">
              <a16:creationId xmlns:a16="http://schemas.microsoft.com/office/drawing/2014/main" id="{DECD3FD4-632F-40FC-9F2B-15711F786F48}"/>
            </a:ext>
          </a:extLst>
        </xdr:cNvPr>
        <xdr:cNvSpPr>
          <a:spLocks noChangeShapeType="1"/>
        </xdr:cNvSpPr>
      </xdr:nvSpPr>
      <xdr:spPr bwMode="auto">
        <a:xfrm>
          <a:off x="11999595" y="7092316"/>
          <a:ext cx="352425" cy="3771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B814CF8B-6D0A-4098-9BA3-977F96A4A7D7}"/>
            </a:ext>
          </a:extLst>
        </xdr:cNvPr>
        <xdr:cNvSpPr>
          <a:spLocks noChangeShapeType="1"/>
        </xdr:cNvSpPr>
      </xdr:nvSpPr>
      <xdr:spPr bwMode="auto">
        <a:xfrm flipH="1">
          <a:off x="9039225" y="7488555"/>
          <a:ext cx="19050" cy="2724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7" name="Picture 32">
          <a:extLst>
            <a:ext uri="{FF2B5EF4-FFF2-40B4-BE49-F238E27FC236}">
              <a16:creationId xmlns:a16="http://schemas.microsoft.com/office/drawing/2014/main" id="{0A7DAAC4-6763-4BB9-82F4-E80C0DDA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970" y="636270"/>
          <a:ext cx="201739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8" name="Text Box 51">
          <a:extLst>
            <a:ext uri="{FF2B5EF4-FFF2-40B4-BE49-F238E27FC236}">
              <a16:creationId xmlns:a16="http://schemas.microsoft.com/office/drawing/2014/main" id="{71077B6D-0179-4E01-BF54-6665A1B6AC03}"/>
            </a:ext>
          </a:extLst>
        </xdr:cNvPr>
        <xdr:cNvSpPr txBox="1">
          <a:spLocks noChangeArrowheads="1"/>
        </xdr:cNvSpPr>
      </xdr:nvSpPr>
      <xdr:spPr bwMode="auto">
        <a:xfrm>
          <a:off x="11300460" y="10888980"/>
          <a:ext cx="2487930" cy="28194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9" name="Line 52">
          <a:extLst>
            <a:ext uri="{FF2B5EF4-FFF2-40B4-BE49-F238E27FC236}">
              <a16:creationId xmlns:a16="http://schemas.microsoft.com/office/drawing/2014/main" id="{AD77ED90-0A0B-4B71-A825-1B9E0744A96F}"/>
            </a:ext>
          </a:extLst>
        </xdr:cNvPr>
        <xdr:cNvSpPr>
          <a:spLocks noChangeShapeType="1"/>
        </xdr:cNvSpPr>
      </xdr:nvSpPr>
      <xdr:spPr bwMode="auto">
        <a:xfrm flipH="1">
          <a:off x="20775930" y="19541490"/>
          <a:ext cx="0" cy="1885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10" name="Line 53">
          <a:extLst>
            <a:ext uri="{FF2B5EF4-FFF2-40B4-BE49-F238E27FC236}">
              <a16:creationId xmlns:a16="http://schemas.microsoft.com/office/drawing/2014/main" id="{23C4836C-598B-4564-A8EB-1A9FA2B51E4B}"/>
            </a:ext>
          </a:extLst>
        </xdr:cNvPr>
        <xdr:cNvSpPr>
          <a:spLocks noChangeShapeType="1"/>
        </xdr:cNvSpPr>
      </xdr:nvSpPr>
      <xdr:spPr bwMode="auto">
        <a:xfrm flipH="1" flipV="1">
          <a:off x="4539615" y="10405109"/>
          <a:ext cx="6751320" cy="53911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1" name="Image 1">
          <a:extLst>
            <a:ext uri="{FF2B5EF4-FFF2-40B4-BE49-F238E27FC236}">
              <a16:creationId xmlns:a16="http://schemas.microsoft.com/office/drawing/2014/main" id="{AABFBCFD-E9DB-477A-B2DD-7B52EE46C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" y="293370"/>
          <a:ext cx="1343025" cy="32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24</xdr:row>
      <xdr:rowOff>123825</xdr:rowOff>
    </xdr:from>
    <xdr:to>
      <xdr:col>25</xdr:col>
      <xdr:colOff>171450</xdr:colOff>
      <xdr:row>46</xdr:row>
      <xdr:rowOff>0</xdr:rowOff>
    </xdr:to>
    <xdr:graphicFrame macro="">
      <xdr:nvGraphicFramePr>
        <xdr:cNvPr id="6236" name="Graphique 1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104775</xdr:colOff>
      <xdr:row>62</xdr:row>
      <xdr:rowOff>0</xdr:rowOff>
    </xdr:from>
    <xdr:to>
      <xdr:col>24</xdr:col>
      <xdr:colOff>104775</xdr:colOff>
      <xdr:row>62</xdr:row>
      <xdr:rowOff>0</xdr:rowOff>
    </xdr:to>
    <xdr:sp macro="" textlink="">
      <xdr:nvSpPr>
        <xdr:cNvPr id="6237" name="Line 24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SpPr>
          <a:spLocks noChangeShapeType="1"/>
        </xdr:cNvSpPr>
      </xdr:nvSpPr>
      <xdr:spPr bwMode="auto">
        <a:xfrm>
          <a:off x="8334375" y="113728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333375</xdr:colOff>
      <xdr:row>42</xdr:row>
      <xdr:rowOff>66675</xdr:rowOff>
    </xdr:from>
    <xdr:to>
      <xdr:col>30</xdr:col>
      <xdr:colOff>171450</xdr:colOff>
      <xdr:row>45</xdr:row>
      <xdr:rowOff>95250</xdr:rowOff>
    </xdr:to>
    <xdr:sp macro="" textlink="">
      <xdr:nvSpPr>
        <xdr:cNvPr id="6172" name="Text Box 28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SpPr txBox="1">
          <a:spLocks noChangeArrowheads="1"/>
        </xdr:cNvSpPr>
      </xdr:nvSpPr>
      <xdr:spPr bwMode="auto">
        <a:xfrm>
          <a:off x="8562975" y="7562850"/>
          <a:ext cx="280987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 pas oublier de renseigner la MVR granulats</a:t>
          </a:r>
        </a:p>
      </xdr:txBody>
    </xdr:sp>
    <xdr:clientData fPrintsWithSheet="0"/>
  </xdr:twoCellAnchor>
  <xdr:twoCellAnchor>
    <xdr:from>
      <xdr:col>30</xdr:col>
      <xdr:colOff>180975</xdr:colOff>
      <xdr:row>43</xdr:row>
      <xdr:rowOff>28576</xdr:rowOff>
    </xdr:from>
    <xdr:to>
      <xdr:col>30</xdr:col>
      <xdr:colOff>533400</xdr:colOff>
      <xdr:row>45</xdr:row>
      <xdr:rowOff>85726</xdr:rowOff>
    </xdr:to>
    <xdr:sp macro="" textlink="">
      <xdr:nvSpPr>
        <xdr:cNvPr id="6239" name="Line 29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SpPr>
          <a:spLocks noChangeShapeType="1"/>
        </xdr:cNvSpPr>
      </xdr:nvSpPr>
      <xdr:spPr bwMode="auto">
        <a:xfrm>
          <a:off x="11382375" y="7686676"/>
          <a:ext cx="352425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25</xdr:col>
      <xdr:colOff>276225</xdr:colOff>
      <xdr:row>45</xdr:row>
      <xdr:rowOff>104775</xdr:rowOff>
    </xdr:from>
    <xdr:to>
      <xdr:col>25</xdr:col>
      <xdr:colOff>295275</xdr:colOff>
      <xdr:row>47</xdr:row>
      <xdr:rowOff>133350</xdr:rowOff>
    </xdr:to>
    <xdr:sp macro="" textlink="">
      <xdr:nvSpPr>
        <xdr:cNvPr id="6240" name="Line 30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SpPr>
          <a:spLocks noChangeShapeType="1"/>
        </xdr:cNvSpPr>
      </xdr:nvSpPr>
      <xdr:spPr bwMode="auto">
        <a:xfrm flipH="1">
          <a:off x="8848725" y="8086725"/>
          <a:ext cx="19050" cy="2762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</xdr:col>
      <xdr:colOff>171450</xdr:colOff>
      <xdr:row>3</xdr:row>
      <xdr:rowOff>209550</xdr:rowOff>
    </xdr:from>
    <xdr:to>
      <xdr:col>7</xdr:col>
      <xdr:colOff>85725</xdr:colOff>
      <xdr:row>3</xdr:row>
      <xdr:rowOff>209550</xdr:rowOff>
    </xdr:to>
    <xdr:pic>
      <xdr:nvPicPr>
        <xdr:cNvPr id="6241" name="Picture 32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47700"/>
          <a:ext cx="197167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29</xdr:col>
      <xdr:colOff>266700</xdr:colOff>
      <xdr:row>62</xdr:row>
      <xdr:rowOff>152400</xdr:rowOff>
    </xdr:from>
    <xdr:to>
      <xdr:col>32</xdr:col>
      <xdr:colOff>400050</xdr:colOff>
      <xdr:row>63</xdr:row>
      <xdr:rowOff>228600</xdr:rowOff>
    </xdr:to>
    <xdr:sp macro="" textlink="">
      <xdr:nvSpPr>
        <xdr:cNvPr id="6195" name="Text Box 51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SpPr txBox="1">
          <a:spLocks noChangeArrowheads="1"/>
        </xdr:cNvSpPr>
      </xdr:nvSpPr>
      <xdr:spPr bwMode="auto">
        <a:xfrm>
          <a:off x="8763000" y="11515725"/>
          <a:ext cx="1533525" cy="514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fr-F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Ne renseigner le fuseau que si exigé au CCTP</a:t>
          </a:r>
        </a:p>
      </xdr:txBody>
    </xdr:sp>
    <xdr:clientData fPrintsWithSheet="0"/>
  </xdr:twoCellAnchor>
  <xdr:twoCellAnchor>
    <xdr:from>
      <xdr:col>41</xdr:col>
      <xdr:colOff>323850</xdr:colOff>
      <xdr:row>113</xdr:row>
      <xdr:rowOff>57150</xdr:rowOff>
    </xdr:from>
    <xdr:to>
      <xdr:col>41</xdr:col>
      <xdr:colOff>323850</xdr:colOff>
      <xdr:row>114</xdr:row>
      <xdr:rowOff>85725</xdr:rowOff>
    </xdr:to>
    <xdr:sp macro="" textlink="">
      <xdr:nvSpPr>
        <xdr:cNvPr id="6243" name="Line 52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SpPr>
          <a:spLocks noChangeShapeType="1"/>
        </xdr:cNvSpPr>
      </xdr:nvSpPr>
      <xdr:spPr bwMode="auto">
        <a:xfrm flipH="1">
          <a:off x="19907250" y="20688300"/>
          <a:ext cx="0" cy="190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>
    <xdr:from>
      <xdr:col>12</xdr:col>
      <xdr:colOff>333375</xdr:colOff>
      <xdr:row>59</xdr:row>
      <xdr:rowOff>19049</xdr:rowOff>
    </xdr:from>
    <xdr:to>
      <xdr:col>29</xdr:col>
      <xdr:colOff>257175</xdr:colOff>
      <xdr:row>62</xdr:row>
      <xdr:rowOff>352424</xdr:rowOff>
    </xdr:to>
    <xdr:sp macro="" textlink="">
      <xdr:nvSpPr>
        <xdr:cNvPr id="6244" name="Line 53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SpPr>
          <a:spLocks noChangeShapeType="1"/>
        </xdr:cNvSpPr>
      </xdr:nvSpPr>
      <xdr:spPr bwMode="auto">
        <a:xfrm flipH="1" flipV="1">
          <a:off x="4448175" y="11029949"/>
          <a:ext cx="6248400" cy="695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 fPrintsWithSheet="0"/>
  </xdr:twoCellAnchor>
  <xdr:twoCellAnchor editAs="oneCell">
    <xdr:from>
      <xdr:col>1</xdr:col>
      <xdr:colOff>28575</xdr:colOff>
      <xdr:row>1</xdr:row>
      <xdr:rowOff>133350</xdr:rowOff>
    </xdr:from>
    <xdr:to>
      <xdr:col>4</xdr:col>
      <xdr:colOff>320040</xdr:colOff>
      <xdr:row>3</xdr:row>
      <xdr:rowOff>135255</xdr:rowOff>
    </xdr:to>
    <xdr:pic>
      <xdr:nvPicPr>
        <xdr:cNvPr id="16" name="Imag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275"/>
          <a:ext cx="13144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FF7B9-2321-4D62-ADC8-39BAC09ADEA8}">
  <sheetPr>
    <pageSetUpPr fitToPage="1"/>
  </sheetPr>
  <dimension ref="A1:AN70"/>
  <sheetViews>
    <sheetView tabSelected="1" topLeftCell="A48" zoomScaleNormal="100" workbookViewId="0">
      <selection activeCell="E51" sqref="E51:X52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7</v>
      </c>
      <c r="K5" s="301"/>
      <c r="L5" s="302" t="s">
        <v>56</v>
      </c>
      <c r="M5" s="300"/>
      <c r="N5" s="300"/>
      <c r="O5" s="301"/>
      <c r="P5" s="303">
        <v>45784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85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45784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90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45783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62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74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59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2.6960000000000002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161" t="s">
        <v>91</v>
      </c>
      <c r="D51" s="162"/>
      <c r="E51" s="329">
        <v>8.6</v>
      </c>
      <c r="F51" s="330">
        <v>10.8</v>
      </c>
      <c r="G51" s="331">
        <v>14</v>
      </c>
      <c r="H51" s="331">
        <v>17.899999999999999</v>
      </c>
      <c r="I51" s="331">
        <v>23.7</v>
      </c>
      <c r="J51" s="331">
        <v>34.200000000000003</v>
      </c>
      <c r="K51" s="331">
        <v>50.6</v>
      </c>
      <c r="L51" s="331">
        <v>68</v>
      </c>
      <c r="M51" s="331">
        <v>84.6</v>
      </c>
      <c r="N51" s="331">
        <v>97.8</v>
      </c>
      <c r="O51" s="331">
        <v>100</v>
      </c>
      <c r="P51" s="331"/>
      <c r="Q51" s="331"/>
      <c r="R51" s="331"/>
      <c r="S51" s="332"/>
      <c r="T51" s="332"/>
      <c r="U51" s="333">
        <v>168</v>
      </c>
      <c r="V51" s="334"/>
      <c r="W51" s="335">
        <v>5.19</v>
      </c>
      <c r="X51" s="336"/>
      <c r="Y51" s="237">
        <f>IF(W51&lt;&gt;0,AE51,"")</f>
        <v>3.2024644201540271</v>
      </c>
      <c r="Z51" s="238"/>
      <c r="AA51" s="80"/>
      <c r="AB51" s="206">
        <f>(100*W51)/(100-W51)</f>
        <v>5.4741061069507433</v>
      </c>
      <c r="AC51" s="207"/>
      <c r="AD51" s="67">
        <f>(0.25*(100-O51)+2.3*(O51-H51)+12*(H51-E51)+150*(E51))/100</f>
        <v>15.904299999999999</v>
      </c>
      <c r="AE51" s="68">
        <f>(AB51*$AE$47)/(2.65*(AD51)^(1/5))</f>
        <v>3.2024644201540271</v>
      </c>
      <c r="AF51" s="29"/>
      <c r="AG51" s="66"/>
    </row>
    <row r="52" spans="1:34" ht="24.9" customHeight="1" x14ac:dyDescent="0.25">
      <c r="A52" s="5"/>
      <c r="B52" s="44">
        <v>2</v>
      </c>
      <c r="C52" s="161" t="s">
        <v>92</v>
      </c>
      <c r="D52" s="162"/>
      <c r="E52" s="329">
        <v>8.1</v>
      </c>
      <c r="F52" s="330">
        <v>10.3</v>
      </c>
      <c r="G52" s="331">
        <v>13.5</v>
      </c>
      <c r="H52" s="331">
        <v>17.399999999999999</v>
      </c>
      <c r="I52" s="331">
        <v>23</v>
      </c>
      <c r="J52" s="331">
        <v>32.700000000000003</v>
      </c>
      <c r="K52" s="331">
        <v>47.7</v>
      </c>
      <c r="L52" s="331">
        <v>64.8</v>
      </c>
      <c r="M52" s="331">
        <v>80.400000000000006</v>
      </c>
      <c r="N52" s="331">
        <v>96.4</v>
      </c>
      <c r="O52" s="331">
        <v>100</v>
      </c>
      <c r="P52" s="331"/>
      <c r="Q52" s="331"/>
      <c r="R52" s="331"/>
      <c r="S52" s="332"/>
      <c r="T52" s="332"/>
      <c r="U52" s="333">
        <v>170</v>
      </c>
      <c r="V52" s="334"/>
      <c r="W52" s="335">
        <v>5.16</v>
      </c>
      <c r="X52" s="336"/>
      <c r="Y52" s="227">
        <f>IF(W52&lt;&gt;0,AE52,"")</f>
        <v>3.2133579437761042</v>
      </c>
      <c r="Z52" s="228"/>
      <c r="AA52" s="80"/>
      <c r="AB52" s="206">
        <f>(100*W52)/(100-W52)</f>
        <v>5.4407423028258117</v>
      </c>
      <c r="AC52" s="207"/>
      <c r="AD52" s="67">
        <f t="shared" ref="AD52:AD58" si="0">(0.25*(100-O52)+2.3*(O52-H52)+12*(H52-E52)+150*(E52))/100</f>
        <v>15.165799999999999</v>
      </c>
      <c r="AE52" s="68">
        <f t="shared" ref="AE52:AE58" si="1">(AB52*$AE$47)/(2.65*(AD52)^(1/5))</f>
        <v>3.2133579437761042</v>
      </c>
      <c r="AF52" s="29"/>
      <c r="AG52" s="66"/>
    </row>
    <row r="53" spans="1:34" ht="24.9" customHeight="1" x14ac:dyDescent="0.25">
      <c r="A53" s="5"/>
      <c r="B53" s="44">
        <v>3</v>
      </c>
      <c r="C53" s="183"/>
      <c r="D53" s="229"/>
      <c r="E53" s="12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5"/>
      <c r="T53" s="125"/>
      <c r="U53" s="230"/>
      <c r="V53" s="231"/>
      <c r="W53" s="232"/>
      <c r="X53" s="233"/>
      <c r="Y53" s="227" t="str">
        <f t="shared" ref="Y53:Y54" si="2">IF(W53&lt;&gt;0,AE53,"")</f>
        <v/>
      </c>
      <c r="Z53" s="228"/>
      <c r="AA53" s="80"/>
      <c r="AB53" s="206">
        <f>(100*W53)/(100-W53)</f>
        <v>0</v>
      </c>
      <c r="AC53" s="20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137">
        <f t="shared" ref="E57:T57" si="3">IF(E51&lt;&gt;0,AVERAGE(E51:E54),"")</f>
        <v>8.35</v>
      </c>
      <c r="F57" s="137">
        <f t="shared" si="3"/>
        <v>10.55</v>
      </c>
      <c r="G57" s="137">
        <f t="shared" si="3"/>
        <v>13.75</v>
      </c>
      <c r="H57" s="137">
        <f t="shared" si="3"/>
        <v>17.649999999999999</v>
      </c>
      <c r="I57" s="137">
        <f t="shared" si="3"/>
        <v>23.35</v>
      </c>
      <c r="J57" s="137">
        <f t="shared" si="3"/>
        <v>33.450000000000003</v>
      </c>
      <c r="K57" s="137">
        <f t="shared" si="3"/>
        <v>49.150000000000006</v>
      </c>
      <c r="L57" s="137">
        <f t="shared" si="3"/>
        <v>66.400000000000006</v>
      </c>
      <c r="M57" s="137">
        <f t="shared" si="3"/>
        <v>82.5</v>
      </c>
      <c r="N57" s="137">
        <f t="shared" si="3"/>
        <v>97.1</v>
      </c>
      <c r="O57" s="138">
        <f t="shared" si="3"/>
        <v>100</v>
      </c>
      <c r="P57" s="137"/>
      <c r="Q57" s="137"/>
      <c r="R57" s="137"/>
      <c r="S57" s="137" t="str">
        <f t="shared" si="3"/>
        <v/>
      </c>
      <c r="T57" s="139" t="str">
        <f t="shared" si="3"/>
        <v/>
      </c>
      <c r="U57" s="200">
        <f>IF(U51&lt;&gt;0,AVERAGE(U51:V54),"")</f>
        <v>169</v>
      </c>
      <c r="V57" s="201"/>
      <c r="W57" s="202">
        <f>IF(W51&lt;&gt;0,AVERAGE(W51:X54),"")</f>
        <v>5.1750000000000007</v>
      </c>
      <c r="X57" s="203"/>
      <c r="Y57" s="204">
        <f>IF(W51&lt;&gt;0,AVERAGE(Y51:Z54),"")</f>
        <v>3.2079111819650654</v>
      </c>
      <c r="Z57" s="205"/>
      <c r="AA57" s="66"/>
      <c r="AB57" s="206">
        <f>(100*W57)/(100-W57)</f>
        <v>5.4574215660427114</v>
      </c>
      <c r="AC57" s="207"/>
      <c r="AD57" s="67">
        <f t="shared" si="0"/>
        <v>15.535050000000002</v>
      </c>
      <c r="AE57" s="68">
        <f t="shared" si="1"/>
        <v>3.2077387137047402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40">
        <v>8</v>
      </c>
      <c r="F58" s="141" t="e">
        <v>#N/A</v>
      </c>
      <c r="G58" s="140">
        <v>13</v>
      </c>
      <c r="H58" s="140">
        <v>17</v>
      </c>
      <c r="I58" s="140">
        <v>23</v>
      </c>
      <c r="J58" s="140">
        <v>33</v>
      </c>
      <c r="K58" s="140">
        <v>46</v>
      </c>
      <c r="L58" s="140">
        <v>63</v>
      </c>
      <c r="M58" s="140">
        <v>81</v>
      </c>
      <c r="N58" s="140">
        <v>95</v>
      </c>
      <c r="O58" s="142">
        <v>100</v>
      </c>
      <c r="P58" s="140"/>
      <c r="Q58" s="140"/>
      <c r="R58" s="140"/>
      <c r="S58" s="140"/>
      <c r="T58" s="143"/>
      <c r="U58" s="211"/>
      <c r="V58" s="212"/>
      <c r="W58" s="213">
        <v>5.5</v>
      </c>
      <c r="X58" s="214"/>
      <c r="Y58" s="215">
        <f>AE58</f>
        <v>3.4454849956172735</v>
      </c>
      <c r="Z58" s="216"/>
      <c r="AA58" s="66"/>
      <c r="AB58" s="206">
        <f>(100*W58)/(100-W58)</f>
        <v>5.8201058201058204</v>
      </c>
      <c r="AC58" s="207"/>
      <c r="AD58" s="67">
        <f t="shared" si="0"/>
        <v>14.989000000000001</v>
      </c>
      <c r="AE58" s="68">
        <f t="shared" si="1"/>
        <v>3.4454849956172735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10</v>
      </c>
      <c r="F59" s="90"/>
      <c r="G59" s="90"/>
      <c r="H59" s="90"/>
      <c r="I59" s="90"/>
      <c r="J59" s="90">
        <f>J58+6</f>
        <v>39</v>
      </c>
      <c r="K59" s="90"/>
      <c r="L59" s="90">
        <f>L58+7</f>
        <v>70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6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6</v>
      </c>
      <c r="F60" s="98"/>
      <c r="G60" s="99"/>
      <c r="H60" s="99"/>
      <c r="I60" s="99"/>
      <c r="J60" s="98">
        <f>J58-6</f>
        <v>27</v>
      </c>
      <c r="K60" s="99"/>
      <c r="L60" s="98">
        <f>L58-7</f>
        <v>56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5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A67:Q70"/>
    <mergeCell ref="R67:T70"/>
    <mergeCell ref="V68:Y69"/>
    <mergeCell ref="U51:V51"/>
    <mergeCell ref="W51:X51"/>
    <mergeCell ref="U52:V52"/>
    <mergeCell ref="W52:X52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C52:D52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C51:D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0877-9F92-47BD-9BD7-97851C416DA4}">
  <sheetPr>
    <pageSetUpPr fitToPage="1"/>
  </sheetPr>
  <dimension ref="A1:AN70"/>
  <sheetViews>
    <sheetView zoomScaleNormal="100" workbookViewId="0">
      <selection activeCell="AG63" sqref="AG6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6</v>
      </c>
      <c r="K5" s="301"/>
      <c r="L5" s="302" t="s">
        <v>56</v>
      </c>
      <c r="M5" s="300"/>
      <c r="N5" s="300"/>
      <c r="O5" s="301"/>
      <c r="P5" s="303">
        <v>45755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85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45755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80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45754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62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74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59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2.6960000000000002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161" t="s">
        <v>88</v>
      </c>
      <c r="D51" s="162"/>
      <c r="E51" s="127">
        <v>7.7</v>
      </c>
      <c r="F51" s="128">
        <v>10</v>
      </c>
      <c r="G51" s="129">
        <v>13</v>
      </c>
      <c r="H51" s="129">
        <v>16.7</v>
      </c>
      <c r="I51" s="129">
        <v>21.8</v>
      </c>
      <c r="J51" s="129">
        <v>29.7</v>
      </c>
      <c r="K51" s="129">
        <v>41.4</v>
      </c>
      <c r="L51" s="129">
        <v>57.3</v>
      </c>
      <c r="M51" s="129">
        <v>75.5</v>
      </c>
      <c r="N51" s="129">
        <v>95.5</v>
      </c>
      <c r="O51" s="129">
        <v>100</v>
      </c>
      <c r="P51" s="129"/>
      <c r="Q51" s="129"/>
      <c r="R51" s="129"/>
      <c r="S51" s="130"/>
      <c r="T51" s="130"/>
      <c r="U51" s="157">
        <v>158</v>
      </c>
      <c r="V51" s="158"/>
      <c r="W51" s="159">
        <v>5.08</v>
      </c>
      <c r="X51" s="160"/>
      <c r="Y51" s="237">
        <f>IF(W51&lt;&gt;0,AE51,"")</f>
        <v>3.1873655706119757</v>
      </c>
      <c r="Z51" s="238"/>
      <c r="AA51" s="80"/>
      <c r="AB51" s="206">
        <f>(100*W51)/(100-W51)</f>
        <v>5.3518752633796884</v>
      </c>
      <c r="AC51" s="207"/>
      <c r="AD51" s="67">
        <f>(0.25*(100-O51)+2.3*(O51-H51)+12*(H51-E51)+150*(E51))/100</f>
        <v>14.5459</v>
      </c>
      <c r="AE51" s="68">
        <f>(AB51*$AE$47)/(2.65*(AD51)^(1/5))</f>
        <v>3.1873655706119757</v>
      </c>
      <c r="AF51" s="29"/>
      <c r="AG51" s="66"/>
    </row>
    <row r="52" spans="1:34" ht="24.9" customHeight="1" x14ac:dyDescent="0.25">
      <c r="A52" s="5"/>
      <c r="B52" s="44">
        <v>2</v>
      </c>
      <c r="C52" s="161" t="s">
        <v>89</v>
      </c>
      <c r="D52" s="162"/>
      <c r="E52" s="127">
        <v>8</v>
      </c>
      <c r="F52" s="128">
        <v>10.199999999999999</v>
      </c>
      <c r="G52" s="129">
        <v>13.3</v>
      </c>
      <c r="H52" s="129">
        <v>17</v>
      </c>
      <c r="I52" s="129">
        <v>22.2</v>
      </c>
      <c r="J52" s="129">
        <v>31.3</v>
      </c>
      <c r="K52" s="129">
        <v>44.7</v>
      </c>
      <c r="L52" s="129">
        <v>61.8</v>
      </c>
      <c r="M52" s="129">
        <v>77.900000000000006</v>
      </c>
      <c r="N52" s="129">
        <v>96.1</v>
      </c>
      <c r="O52" s="129">
        <v>100</v>
      </c>
      <c r="P52" s="129"/>
      <c r="Q52" s="129"/>
      <c r="R52" s="129"/>
      <c r="S52" s="130"/>
      <c r="T52" s="130"/>
      <c r="U52" s="157">
        <v>160</v>
      </c>
      <c r="V52" s="158"/>
      <c r="W52" s="159">
        <v>5.03</v>
      </c>
      <c r="X52" s="160"/>
      <c r="Y52" s="227">
        <f>IF(W52&lt;&gt;0,AE52,"")</f>
        <v>3.1354582985856521</v>
      </c>
      <c r="Z52" s="228"/>
      <c r="AA52" s="80"/>
      <c r="AB52" s="206">
        <f>(100*W52)/(100-W52)</f>
        <v>5.2964093924397178</v>
      </c>
      <c r="AC52" s="207"/>
      <c r="AD52" s="67">
        <f t="shared" ref="AD52:AD58" si="0">(0.25*(100-O52)+2.3*(O52-H52)+12*(H52-E52)+150*(E52))/100</f>
        <v>14.989000000000001</v>
      </c>
      <c r="AE52" s="68">
        <f t="shared" ref="AE52:AE58" si="1">(AB52*$AE$47)/(2.65*(AD52)^(1/5))</f>
        <v>3.1354582985856521</v>
      </c>
      <c r="AF52" s="29"/>
      <c r="AG52" s="66"/>
    </row>
    <row r="53" spans="1:34" ht="24.9" customHeight="1" x14ac:dyDescent="0.25">
      <c r="A53" s="5"/>
      <c r="B53" s="44">
        <v>3</v>
      </c>
      <c r="C53" s="183"/>
      <c r="D53" s="229"/>
      <c r="E53" s="12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5"/>
      <c r="T53" s="125"/>
      <c r="U53" s="230"/>
      <c r="V53" s="231"/>
      <c r="W53" s="232"/>
      <c r="X53" s="233"/>
      <c r="Y53" s="227" t="str">
        <f t="shared" ref="Y53:Y54" si="2">IF(W53&lt;&gt;0,AE53,"")</f>
        <v/>
      </c>
      <c r="Z53" s="228"/>
      <c r="AA53" s="80"/>
      <c r="AB53" s="206">
        <f>(100*W53)/(100-W53)</f>
        <v>0</v>
      </c>
      <c r="AC53" s="20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137">
        <f t="shared" ref="E57:T57" si="3">IF(E51&lt;&gt;0,AVERAGE(E51:E54),"")</f>
        <v>7.85</v>
      </c>
      <c r="F57" s="137">
        <f t="shared" si="3"/>
        <v>10.1</v>
      </c>
      <c r="G57" s="137">
        <f t="shared" si="3"/>
        <v>13.15</v>
      </c>
      <c r="H57" s="137">
        <f t="shared" si="3"/>
        <v>16.850000000000001</v>
      </c>
      <c r="I57" s="137">
        <f t="shared" si="3"/>
        <v>22</v>
      </c>
      <c r="J57" s="137">
        <f t="shared" si="3"/>
        <v>30.5</v>
      </c>
      <c r="K57" s="137">
        <f t="shared" si="3"/>
        <v>43.05</v>
      </c>
      <c r="L57" s="137">
        <f t="shared" si="3"/>
        <v>59.55</v>
      </c>
      <c r="M57" s="137">
        <f t="shared" si="3"/>
        <v>76.7</v>
      </c>
      <c r="N57" s="137">
        <f t="shared" si="3"/>
        <v>95.8</v>
      </c>
      <c r="O57" s="138">
        <f t="shared" si="3"/>
        <v>100</v>
      </c>
      <c r="P57" s="137"/>
      <c r="Q57" s="137"/>
      <c r="R57" s="137"/>
      <c r="S57" s="137" t="str">
        <f t="shared" si="3"/>
        <v/>
      </c>
      <c r="T57" s="139" t="str">
        <f t="shared" si="3"/>
        <v/>
      </c>
      <c r="U57" s="200">
        <f>IF(U51&lt;&gt;0,AVERAGE(U51:V54),"")</f>
        <v>159</v>
      </c>
      <c r="V57" s="201"/>
      <c r="W57" s="202">
        <f>IF(W51&lt;&gt;0,AVERAGE(W51:X54),"")</f>
        <v>5.0549999999999997</v>
      </c>
      <c r="X57" s="203"/>
      <c r="Y57" s="204">
        <f>IF(W51&lt;&gt;0,AVERAGE(Y51:Z54),"")</f>
        <v>3.1614119345988136</v>
      </c>
      <c r="Z57" s="205"/>
      <c r="AA57" s="66"/>
      <c r="AB57" s="206">
        <f>(100*W57)/(100-W57)</f>
        <v>5.3241350255411035</v>
      </c>
      <c r="AC57" s="207"/>
      <c r="AD57" s="67">
        <f t="shared" si="0"/>
        <v>14.767449999999998</v>
      </c>
      <c r="AE57" s="68">
        <f t="shared" si="1"/>
        <v>3.1612727897136579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40">
        <v>8</v>
      </c>
      <c r="F58" s="141" t="e">
        <v>#N/A</v>
      </c>
      <c r="G58" s="140">
        <v>13</v>
      </c>
      <c r="H58" s="140">
        <v>17</v>
      </c>
      <c r="I58" s="140">
        <v>23</v>
      </c>
      <c r="J58" s="140">
        <v>33</v>
      </c>
      <c r="K58" s="140">
        <v>46</v>
      </c>
      <c r="L58" s="140">
        <v>63</v>
      </c>
      <c r="M58" s="140">
        <v>81</v>
      </c>
      <c r="N58" s="140">
        <v>95</v>
      </c>
      <c r="O58" s="142">
        <v>100</v>
      </c>
      <c r="P58" s="140"/>
      <c r="Q58" s="140"/>
      <c r="R58" s="140"/>
      <c r="S58" s="140"/>
      <c r="T58" s="143"/>
      <c r="U58" s="211"/>
      <c r="V58" s="212"/>
      <c r="W58" s="213">
        <v>5.5</v>
      </c>
      <c r="X58" s="214"/>
      <c r="Y58" s="215">
        <f>AE58</f>
        <v>3.4454849956172735</v>
      </c>
      <c r="Z58" s="216"/>
      <c r="AA58" s="66"/>
      <c r="AB58" s="206">
        <f>(100*W58)/(100-W58)</f>
        <v>5.8201058201058204</v>
      </c>
      <c r="AC58" s="207"/>
      <c r="AD58" s="67">
        <f t="shared" si="0"/>
        <v>14.989000000000001</v>
      </c>
      <c r="AE58" s="68">
        <f t="shared" si="1"/>
        <v>3.4454849956172735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10</v>
      </c>
      <c r="F59" s="90"/>
      <c r="G59" s="90"/>
      <c r="H59" s="90"/>
      <c r="I59" s="90"/>
      <c r="J59" s="90">
        <f>J58+6</f>
        <v>39</v>
      </c>
      <c r="K59" s="90"/>
      <c r="L59" s="90">
        <f>L58+7</f>
        <v>70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6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6</v>
      </c>
      <c r="F60" s="98"/>
      <c r="G60" s="99"/>
      <c r="H60" s="99"/>
      <c r="I60" s="99"/>
      <c r="J60" s="98">
        <f>J58-6</f>
        <v>27</v>
      </c>
      <c r="K60" s="99"/>
      <c r="L60" s="98">
        <f>L58-7</f>
        <v>56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5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7:Q70"/>
    <mergeCell ref="R67:T70"/>
    <mergeCell ref="V68:Y69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EA57-E120-4FA8-9889-A3679AE66B08}">
  <sheetPr>
    <pageSetUpPr fitToPage="1"/>
  </sheetPr>
  <dimension ref="A1:AN70"/>
  <sheetViews>
    <sheetView zoomScaleNormal="100" workbookViewId="0">
      <selection activeCell="V68" sqref="V68:Y6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5</v>
      </c>
      <c r="K5" s="301"/>
      <c r="L5" s="302" t="s">
        <v>56</v>
      </c>
      <c r="M5" s="300"/>
      <c r="N5" s="300"/>
      <c r="O5" s="301"/>
      <c r="P5" s="303">
        <v>45755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85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45755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80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45754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81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86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82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87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2.6579999999999999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161" t="s">
        <v>75</v>
      </c>
      <c r="D51" s="162"/>
      <c r="E51" s="127">
        <v>6</v>
      </c>
      <c r="F51" s="128">
        <v>7.9</v>
      </c>
      <c r="G51" s="129">
        <v>10.4</v>
      </c>
      <c r="H51" s="129">
        <v>13.5</v>
      </c>
      <c r="I51" s="129">
        <v>18.7</v>
      </c>
      <c r="J51" s="129">
        <v>26.1</v>
      </c>
      <c r="K51" s="129">
        <v>36.5</v>
      </c>
      <c r="L51" s="129">
        <v>53.9</v>
      </c>
      <c r="M51" s="129">
        <v>62.2</v>
      </c>
      <c r="N51" s="129">
        <v>75.3</v>
      </c>
      <c r="O51" s="129">
        <v>92.4</v>
      </c>
      <c r="P51" s="129">
        <v>96.7</v>
      </c>
      <c r="Q51" s="132">
        <v>100</v>
      </c>
      <c r="R51" s="129"/>
      <c r="S51" s="130"/>
      <c r="T51" s="130"/>
      <c r="U51" s="157">
        <v>160</v>
      </c>
      <c r="V51" s="158"/>
      <c r="W51" s="159">
        <v>4.3499999999999996</v>
      </c>
      <c r="X51" s="160"/>
      <c r="Y51" s="237">
        <f>IF(W51&lt;&gt;0,AE51,"")</f>
        <v>2.7875738976590707</v>
      </c>
      <c r="Z51" s="238"/>
      <c r="AA51" s="80"/>
      <c r="AB51" s="206">
        <f>(100*W51)/(100-W51)</f>
        <v>4.5478306325143745</v>
      </c>
      <c r="AC51" s="207"/>
      <c r="AD51" s="67">
        <f>(0.25*(100-O51)+2.3*(O51-H51)+12*(H51-E51)+150*(E51))/100</f>
        <v>11.733699999999999</v>
      </c>
      <c r="AE51" s="68">
        <f>(AB51*$AE$47)/(2.65*(AD51)^(1/5))</f>
        <v>2.7875738976590707</v>
      </c>
      <c r="AF51" s="29"/>
      <c r="AG51" s="66"/>
    </row>
    <row r="52" spans="1:34" ht="24.9" customHeight="1" x14ac:dyDescent="0.25">
      <c r="A52" s="5"/>
      <c r="B52" s="44">
        <v>2</v>
      </c>
      <c r="C52" s="161" t="s">
        <v>83</v>
      </c>
      <c r="D52" s="162"/>
      <c r="E52" s="127">
        <v>7.7</v>
      </c>
      <c r="F52" s="128">
        <v>10</v>
      </c>
      <c r="G52" s="129">
        <v>13.1</v>
      </c>
      <c r="H52" s="129">
        <v>17</v>
      </c>
      <c r="I52" s="129">
        <v>22.6</v>
      </c>
      <c r="J52" s="129">
        <v>33.799999999999997</v>
      </c>
      <c r="K52" s="129">
        <v>49.7</v>
      </c>
      <c r="L52" s="129">
        <v>66.8</v>
      </c>
      <c r="M52" s="129">
        <v>78.2</v>
      </c>
      <c r="N52" s="129">
        <v>87.2</v>
      </c>
      <c r="O52" s="129">
        <v>94.9</v>
      </c>
      <c r="P52" s="129">
        <v>99.1</v>
      </c>
      <c r="Q52" s="132">
        <v>100</v>
      </c>
      <c r="R52" s="129"/>
      <c r="S52" s="130"/>
      <c r="T52" s="130"/>
      <c r="U52" s="157">
        <v>165</v>
      </c>
      <c r="V52" s="158"/>
      <c r="W52" s="159">
        <v>4.72</v>
      </c>
      <c r="X52" s="160"/>
      <c r="Y52" s="227">
        <f>IF(W52&lt;&gt;0,AE52,"")</f>
        <v>2.9117423654999595</v>
      </c>
      <c r="Z52" s="228"/>
      <c r="AA52" s="80"/>
      <c r="AB52" s="206">
        <f>(100*W52)/(100-W52)</f>
        <v>4.9538203190596137</v>
      </c>
      <c r="AC52" s="207"/>
      <c r="AD52" s="67">
        <f t="shared" ref="AD52:AD58" si="0">(0.25*(100-O52)+2.3*(O52-H52)+12*(H52-E52)+150*(E52))/100</f>
        <v>14.470450000000001</v>
      </c>
      <c r="AE52" s="68">
        <f t="shared" ref="AE52:AE58" si="1">(AB52*$AE$47)/(2.65*(AD52)^(1/5))</f>
        <v>2.9117423654999595</v>
      </c>
      <c r="AF52" s="29"/>
      <c r="AG52" s="66"/>
    </row>
    <row r="53" spans="1:34" ht="24.9" customHeight="1" x14ac:dyDescent="0.25">
      <c r="A53" s="5"/>
      <c r="B53" s="44">
        <v>3</v>
      </c>
      <c r="C53" s="161" t="s">
        <v>84</v>
      </c>
      <c r="D53" s="162"/>
      <c r="E53" s="127">
        <v>7.1</v>
      </c>
      <c r="F53" s="128">
        <v>9</v>
      </c>
      <c r="G53" s="129">
        <v>11.8</v>
      </c>
      <c r="H53" s="129">
        <v>15.1</v>
      </c>
      <c r="I53" s="129">
        <v>19.7</v>
      </c>
      <c r="J53" s="129">
        <v>27.2</v>
      </c>
      <c r="K53" s="129">
        <v>38.9</v>
      </c>
      <c r="L53" s="129">
        <v>54.1</v>
      </c>
      <c r="M53" s="129">
        <v>64.5</v>
      </c>
      <c r="N53" s="129">
        <v>79.5</v>
      </c>
      <c r="O53" s="129">
        <v>93.8</v>
      </c>
      <c r="P53" s="129">
        <v>98.5</v>
      </c>
      <c r="Q53" s="132">
        <v>100</v>
      </c>
      <c r="R53" s="129"/>
      <c r="S53" s="130"/>
      <c r="T53" s="130"/>
      <c r="U53" s="157">
        <v>170</v>
      </c>
      <c r="V53" s="158"/>
      <c r="W53" s="159">
        <v>3.92</v>
      </c>
      <c r="X53" s="160"/>
      <c r="Y53" s="227">
        <f t="shared" ref="Y53:Y54" si="2">IF(W53&lt;&gt;0,AE53,"")</f>
        <v>2.4339450108119789</v>
      </c>
      <c r="Z53" s="228"/>
      <c r="AA53" s="80"/>
      <c r="AB53" s="206">
        <f>(100*W53)/(100-W53)</f>
        <v>4.0799333888426315</v>
      </c>
      <c r="AC53" s="207"/>
      <c r="AD53" s="67">
        <f t="shared" si="0"/>
        <v>13.435599999999999</v>
      </c>
      <c r="AE53" s="68">
        <f t="shared" si="1"/>
        <v>2.4339450108119789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118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119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120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137">
        <f t="shared" ref="E57:T57" si="3">IF(E51&lt;&gt;0,AVERAGE(E51:E54),"")</f>
        <v>6.9333333333333327</v>
      </c>
      <c r="F57" s="137">
        <f t="shared" si="3"/>
        <v>8.9666666666666668</v>
      </c>
      <c r="G57" s="137">
        <f t="shared" si="3"/>
        <v>11.766666666666666</v>
      </c>
      <c r="H57" s="137">
        <f t="shared" si="3"/>
        <v>15.200000000000001</v>
      </c>
      <c r="I57" s="137">
        <f t="shared" si="3"/>
        <v>20.333333333333332</v>
      </c>
      <c r="J57" s="137">
        <f t="shared" si="3"/>
        <v>29.033333333333331</v>
      </c>
      <c r="K57" s="137">
        <f>IF(K51&lt;&gt;0,AVERAGE(K51:K54),"")</f>
        <v>41.699999999999996</v>
      </c>
      <c r="L57" s="137">
        <f t="shared" si="3"/>
        <v>58.266666666666659</v>
      </c>
      <c r="M57" s="137">
        <f t="shared" si="3"/>
        <v>68.3</v>
      </c>
      <c r="N57" s="137">
        <f t="shared" si="3"/>
        <v>80.666666666666671</v>
      </c>
      <c r="O57" s="138">
        <f t="shared" si="3"/>
        <v>93.7</v>
      </c>
      <c r="P57" s="138">
        <f t="shared" si="3"/>
        <v>98.100000000000009</v>
      </c>
      <c r="Q57" s="138">
        <f t="shared" si="3"/>
        <v>100</v>
      </c>
      <c r="R57" s="137"/>
      <c r="S57" s="137" t="str">
        <f t="shared" si="3"/>
        <v/>
      </c>
      <c r="T57" s="139" t="str">
        <f t="shared" si="3"/>
        <v/>
      </c>
      <c r="U57" s="200">
        <f>IF(U51&lt;&gt;0,AVERAGE(U51:V54),"")</f>
        <v>165</v>
      </c>
      <c r="V57" s="201"/>
      <c r="W57" s="202">
        <f>IF(W51&lt;&gt;0,AVERAGE(W51:X54),"")</f>
        <v>4.33</v>
      </c>
      <c r="X57" s="203"/>
      <c r="Y57" s="204">
        <f>IF(W51&lt;&gt;0,AVERAGE(Y51:Z54),"")</f>
        <v>2.7110870913236695</v>
      </c>
      <c r="Z57" s="205"/>
      <c r="AA57" s="66"/>
      <c r="AB57" s="206">
        <f>(100*W57)/(100-W57)</f>
        <v>4.5259747047141214</v>
      </c>
      <c r="AC57" s="207"/>
      <c r="AD57" s="67">
        <f t="shared" si="0"/>
        <v>13.21325</v>
      </c>
      <c r="AE57" s="68">
        <f t="shared" si="1"/>
        <v>2.7090641842840779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40">
        <v>7.2</v>
      </c>
      <c r="F58" s="141" t="e">
        <v>#N/A</v>
      </c>
      <c r="G58" s="140">
        <v>12</v>
      </c>
      <c r="H58" s="140">
        <v>16</v>
      </c>
      <c r="I58" s="140">
        <v>21</v>
      </c>
      <c r="J58" s="140">
        <v>30</v>
      </c>
      <c r="K58" s="140">
        <v>43</v>
      </c>
      <c r="L58" s="140">
        <v>60</v>
      </c>
      <c r="M58" s="140">
        <v>72</v>
      </c>
      <c r="N58" s="140">
        <v>82</v>
      </c>
      <c r="O58" s="142">
        <v>97</v>
      </c>
      <c r="P58" s="140">
        <v>99</v>
      </c>
      <c r="Q58" s="142">
        <v>100</v>
      </c>
      <c r="R58" s="140"/>
      <c r="S58" s="140"/>
      <c r="T58" s="143"/>
      <c r="U58" s="211"/>
      <c r="V58" s="212"/>
      <c r="W58" s="213">
        <v>4.4000000000000004</v>
      </c>
      <c r="X58" s="214"/>
      <c r="Y58" s="215">
        <f>AE58</f>
        <v>2.7339585382142335</v>
      </c>
      <c r="Z58" s="216"/>
      <c r="AA58" s="66"/>
      <c r="AB58" s="206">
        <f>(100*W58)/(100-W58)</f>
        <v>4.6025104602510467</v>
      </c>
      <c r="AC58" s="207"/>
      <c r="AD58" s="67">
        <f t="shared" si="0"/>
        <v>13.726500000000001</v>
      </c>
      <c r="AE58" s="68">
        <f t="shared" si="1"/>
        <v>2.7339585382142335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9.1999999999999993</v>
      </c>
      <c r="F59" s="90"/>
      <c r="G59" s="90"/>
      <c r="H59" s="90"/>
      <c r="I59" s="90"/>
      <c r="J59" s="90">
        <f>J58+6</f>
        <v>36</v>
      </c>
      <c r="K59" s="90"/>
      <c r="L59" s="90">
        <f>L58+7</f>
        <v>67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4.9000000000000004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5.2</v>
      </c>
      <c r="F60" s="98"/>
      <c r="G60" s="99"/>
      <c r="H60" s="99"/>
      <c r="I60" s="99"/>
      <c r="J60" s="98">
        <f>J58-6</f>
        <v>24</v>
      </c>
      <c r="K60" s="99"/>
      <c r="L60" s="98">
        <f>L58-7</f>
        <v>53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3.9000000000000004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W54:X54"/>
    <mergeCell ref="Y54:Z54"/>
    <mergeCell ref="AB54:AC54"/>
    <mergeCell ref="B56:D56"/>
    <mergeCell ref="Y52:Z52"/>
    <mergeCell ref="AB52:AC52"/>
    <mergeCell ref="Y53:Z53"/>
    <mergeCell ref="AB53:AC53"/>
    <mergeCell ref="AG49:AG50"/>
    <mergeCell ref="C50:D50"/>
    <mergeCell ref="Y51:Z51"/>
    <mergeCell ref="AB51:AC51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67:Q70"/>
    <mergeCell ref="R67:T70"/>
    <mergeCell ref="V68:Y69"/>
    <mergeCell ref="C53:D53"/>
    <mergeCell ref="U53:V53"/>
    <mergeCell ref="W53:X53"/>
    <mergeCell ref="U51:V51"/>
    <mergeCell ref="W51:X51"/>
    <mergeCell ref="C52:D52"/>
    <mergeCell ref="U52:V52"/>
    <mergeCell ref="W52:X52"/>
    <mergeCell ref="C51:D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DD1E-0655-4DBF-AB7E-2047B10B8EEC}">
  <sheetPr>
    <pageSetUpPr fitToPage="1"/>
  </sheetPr>
  <dimension ref="A1:AN70"/>
  <sheetViews>
    <sheetView zoomScaleNormal="100" workbookViewId="0">
      <selection activeCell="O53" sqref="O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4</v>
      </c>
      <c r="K5" s="301"/>
      <c r="L5" s="302" t="s">
        <v>56</v>
      </c>
      <c r="M5" s="300"/>
      <c r="N5" s="300"/>
      <c r="O5" s="301"/>
      <c r="P5" s="303">
        <v>45394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60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45394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77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45393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62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74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59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2.6960000000000002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310" t="s">
        <v>78</v>
      </c>
      <c r="D51" s="311"/>
      <c r="E51" s="133">
        <v>7.8</v>
      </c>
      <c r="F51" s="134">
        <v>9.9</v>
      </c>
      <c r="G51" s="135">
        <v>12.8</v>
      </c>
      <c r="H51" s="135">
        <v>16.399999999999999</v>
      </c>
      <c r="I51" s="135">
        <v>21.5</v>
      </c>
      <c r="J51" s="135">
        <v>30.2</v>
      </c>
      <c r="K51" s="135">
        <v>42.8</v>
      </c>
      <c r="L51" s="135">
        <v>59.8</v>
      </c>
      <c r="M51" s="135">
        <v>78.8</v>
      </c>
      <c r="N51" s="135">
        <v>96.9</v>
      </c>
      <c r="O51" s="135">
        <v>100</v>
      </c>
      <c r="P51" s="135"/>
      <c r="Q51" s="135"/>
      <c r="R51" s="135"/>
      <c r="S51" s="136"/>
      <c r="T51" s="136"/>
      <c r="U51" s="306">
        <v>170</v>
      </c>
      <c r="V51" s="307"/>
      <c r="W51" s="308">
        <v>5.19</v>
      </c>
      <c r="X51" s="309"/>
      <c r="Y51" s="237">
        <f>IF(W51&lt;&gt;0,AE51,"")</f>
        <v>3.2553017077495316</v>
      </c>
      <c r="Z51" s="238"/>
      <c r="AA51" s="80"/>
      <c r="AB51" s="206">
        <f>(100*W51)/(100-W51)</f>
        <v>5.4741061069507433</v>
      </c>
      <c r="AC51" s="207"/>
      <c r="AD51" s="67">
        <f>(0.25*(100-O51)+2.3*(O51-H51)+12*(H51-E51)+150*(E51))/100</f>
        <v>14.6548</v>
      </c>
      <c r="AE51" s="68">
        <f>(AB51*$AE$47)/(2.65*(AD51)^(1/5))</f>
        <v>3.2553017077495316</v>
      </c>
      <c r="AF51" s="29"/>
      <c r="AG51" s="66"/>
    </row>
    <row r="52" spans="1:34" ht="24.9" customHeight="1" x14ac:dyDescent="0.25">
      <c r="A52" s="5"/>
      <c r="B52" s="44">
        <v>2</v>
      </c>
      <c r="C52" s="310" t="s">
        <v>79</v>
      </c>
      <c r="D52" s="311"/>
      <c r="E52" s="133">
        <v>7.9</v>
      </c>
      <c r="F52" s="134">
        <v>9.6999999999999993</v>
      </c>
      <c r="G52" s="135">
        <v>12.6</v>
      </c>
      <c r="H52" s="135">
        <v>16.100000000000001</v>
      </c>
      <c r="I52" s="135">
        <v>20.9</v>
      </c>
      <c r="J52" s="135">
        <v>30.5</v>
      </c>
      <c r="K52" s="135">
        <v>46</v>
      </c>
      <c r="L52" s="135">
        <v>64</v>
      </c>
      <c r="M52" s="135">
        <v>82.4</v>
      </c>
      <c r="N52" s="135">
        <v>97.5</v>
      </c>
      <c r="O52" s="135">
        <v>100</v>
      </c>
      <c r="P52" s="135"/>
      <c r="Q52" s="135"/>
      <c r="R52" s="135"/>
      <c r="S52" s="136"/>
      <c r="T52" s="136"/>
      <c r="U52" s="306">
        <v>165</v>
      </c>
      <c r="V52" s="307"/>
      <c r="W52" s="308">
        <v>5.26</v>
      </c>
      <c r="X52" s="309"/>
      <c r="Y52" s="227">
        <f>IF(W52&lt;&gt;0,AE52,"")</f>
        <v>3.2967600239003643</v>
      </c>
      <c r="Z52" s="228"/>
      <c r="AA52" s="80"/>
      <c r="AB52" s="206">
        <f>(100*W52)/(100-W52)</f>
        <v>5.5520371543170786</v>
      </c>
      <c r="AC52" s="207"/>
      <c r="AD52" s="67">
        <f t="shared" ref="AD52:AD58" si="0">(0.25*(100-O52)+2.3*(O52-H52)+12*(H52-E52)+150*(E52))/100</f>
        <v>14.763699999999998</v>
      </c>
      <c r="AE52" s="68">
        <f t="shared" ref="AE52:AE58" si="1">(AB52*$AE$47)/(2.65*(AD52)^(1/5))</f>
        <v>3.2967600239003643</v>
      </c>
      <c r="AF52" s="29"/>
      <c r="AG52" s="66"/>
    </row>
    <row r="53" spans="1:34" ht="24.9" customHeight="1" x14ac:dyDescent="0.25">
      <c r="A53" s="5"/>
      <c r="B53" s="44">
        <v>3</v>
      </c>
      <c r="C53" s="183"/>
      <c r="D53" s="229"/>
      <c r="E53" s="12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5"/>
      <c r="T53" s="125"/>
      <c r="U53" s="230"/>
      <c r="V53" s="231"/>
      <c r="W53" s="232"/>
      <c r="X53" s="233"/>
      <c r="Y53" s="227" t="str">
        <f t="shared" ref="Y53:Y54" si="2">IF(W53&lt;&gt;0,AE53,"")</f>
        <v/>
      </c>
      <c r="Z53" s="228"/>
      <c r="AA53" s="80"/>
      <c r="AB53" s="206">
        <f>(100*W53)/(100-W53)</f>
        <v>0</v>
      </c>
      <c r="AC53" s="20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137">
        <f t="shared" ref="E57:T57" si="3">IF(E51&lt;&gt;0,AVERAGE(E51:E54),"")</f>
        <v>7.85</v>
      </c>
      <c r="F57" s="137">
        <f t="shared" si="3"/>
        <v>9.8000000000000007</v>
      </c>
      <c r="G57" s="137">
        <f t="shared" si="3"/>
        <v>12.7</v>
      </c>
      <c r="H57" s="137">
        <f t="shared" si="3"/>
        <v>16.25</v>
      </c>
      <c r="I57" s="137">
        <f t="shared" si="3"/>
        <v>21.2</v>
      </c>
      <c r="J57" s="137">
        <f t="shared" si="3"/>
        <v>30.35</v>
      </c>
      <c r="K57" s="137">
        <f t="shared" si="3"/>
        <v>44.4</v>
      </c>
      <c r="L57" s="137">
        <f t="shared" si="3"/>
        <v>61.9</v>
      </c>
      <c r="M57" s="137">
        <f t="shared" si="3"/>
        <v>80.599999999999994</v>
      </c>
      <c r="N57" s="137">
        <f t="shared" si="3"/>
        <v>97.2</v>
      </c>
      <c r="O57" s="138">
        <f t="shared" si="3"/>
        <v>100</v>
      </c>
      <c r="P57" s="137"/>
      <c r="Q57" s="137"/>
      <c r="R57" s="137"/>
      <c r="S57" s="137" t="str">
        <f t="shared" si="3"/>
        <v/>
      </c>
      <c r="T57" s="139" t="str">
        <f t="shared" si="3"/>
        <v/>
      </c>
      <c r="U57" s="200">
        <f>IF(U51&lt;&gt;0,AVERAGE(U51:V54),"")</f>
        <v>167.5</v>
      </c>
      <c r="V57" s="201"/>
      <c r="W57" s="202">
        <f>IF(W51&lt;&gt;0,AVERAGE(W51:X54),"")</f>
        <v>5.2249999999999996</v>
      </c>
      <c r="X57" s="203"/>
      <c r="Y57" s="204">
        <f>IF(W51&lt;&gt;0,AVERAGE(Y51:Z54),"")</f>
        <v>3.2760308658249482</v>
      </c>
      <c r="Z57" s="205"/>
      <c r="AA57" s="66"/>
      <c r="AB57" s="206">
        <f>(100*W57)/(100-W57)</f>
        <v>5.513057240833553</v>
      </c>
      <c r="AC57" s="207"/>
      <c r="AD57" s="67">
        <f t="shared" si="0"/>
        <v>14.709249999999999</v>
      </c>
      <c r="AE57" s="68">
        <f t="shared" si="1"/>
        <v>3.2760340705108848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40">
        <v>8</v>
      </c>
      <c r="F58" s="141" t="e">
        <v>#N/A</v>
      </c>
      <c r="G58" s="140">
        <v>13</v>
      </c>
      <c r="H58" s="140">
        <v>17</v>
      </c>
      <c r="I58" s="140">
        <v>23</v>
      </c>
      <c r="J58" s="140">
        <v>33</v>
      </c>
      <c r="K58" s="140">
        <v>46</v>
      </c>
      <c r="L58" s="140">
        <v>63</v>
      </c>
      <c r="M58" s="140">
        <v>81</v>
      </c>
      <c r="N58" s="140">
        <v>95</v>
      </c>
      <c r="O58" s="142">
        <v>100</v>
      </c>
      <c r="P58" s="140"/>
      <c r="Q58" s="140"/>
      <c r="R58" s="140"/>
      <c r="S58" s="140"/>
      <c r="T58" s="143"/>
      <c r="U58" s="211"/>
      <c r="V58" s="212"/>
      <c r="W58" s="213">
        <v>5.5</v>
      </c>
      <c r="X58" s="214"/>
      <c r="Y58" s="215">
        <f>AE58</f>
        <v>3.4454849956172735</v>
      </c>
      <c r="Z58" s="216"/>
      <c r="AA58" s="66"/>
      <c r="AB58" s="206">
        <f>(100*W58)/(100-W58)</f>
        <v>5.8201058201058204</v>
      </c>
      <c r="AC58" s="207"/>
      <c r="AD58" s="67">
        <f t="shared" si="0"/>
        <v>14.989000000000001</v>
      </c>
      <c r="AE58" s="68">
        <f t="shared" si="1"/>
        <v>3.4454849956172735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10</v>
      </c>
      <c r="F59" s="90"/>
      <c r="G59" s="90"/>
      <c r="H59" s="90"/>
      <c r="I59" s="90"/>
      <c r="J59" s="90">
        <f>J58+6</f>
        <v>39</v>
      </c>
      <c r="K59" s="90"/>
      <c r="L59" s="90">
        <f>L58+7</f>
        <v>70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6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6</v>
      </c>
      <c r="F60" s="98"/>
      <c r="G60" s="99"/>
      <c r="H60" s="99"/>
      <c r="I60" s="99"/>
      <c r="J60" s="98">
        <f>J58-6</f>
        <v>27</v>
      </c>
      <c r="K60" s="99"/>
      <c r="L60" s="98">
        <f>L58-7</f>
        <v>56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5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B19:H19"/>
    <mergeCell ref="I19:Y19"/>
    <mergeCell ref="L6:O6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AG49:AG50"/>
    <mergeCell ref="C50:D50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U51:V51"/>
    <mergeCell ref="W51:X51"/>
    <mergeCell ref="C51:D51"/>
    <mergeCell ref="C54:D54"/>
    <mergeCell ref="U54:V54"/>
    <mergeCell ref="W54:X54"/>
    <mergeCell ref="Y54:Z54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C52:D52"/>
    <mergeCell ref="U52:V52"/>
    <mergeCell ref="W52:X52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2CA7-9394-4D17-9765-ED48D1709650}">
  <sheetPr>
    <pageSetUpPr fitToPage="1"/>
  </sheetPr>
  <dimension ref="A1:AN70"/>
  <sheetViews>
    <sheetView zoomScaleNormal="100" workbookViewId="0">
      <selection activeCell="P53" sqref="P53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3</v>
      </c>
      <c r="K5" s="301"/>
      <c r="L5" s="302" t="s">
        <v>56</v>
      </c>
      <c r="M5" s="300"/>
      <c r="N5" s="300"/>
      <c r="O5" s="301"/>
      <c r="P5" s="303">
        <v>45372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72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60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45372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73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45372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62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74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59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2.6960000000000002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161" t="s">
        <v>75</v>
      </c>
      <c r="D51" s="162"/>
      <c r="E51" s="127">
        <v>7.5</v>
      </c>
      <c r="F51" s="128">
        <v>9.6</v>
      </c>
      <c r="G51" s="129">
        <v>12.5</v>
      </c>
      <c r="H51" s="129">
        <v>15.9</v>
      </c>
      <c r="I51" s="129">
        <v>20.8</v>
      </c>
      <c r="J51" s="129">
        <v>30</v>
      </c>
      <c r="K51" s="129">
        <v>45.2</v>
      </c>
      <c r="L51" s="129">
        <v>63.4</v>
      </c>
      <c r="M51" s="129">
        <v>81.400000000000006</v>
      </c>
      <c r="N51" s="129">
        <v>97.1</v>
      </c>
      <c r="O51" s="129">
        <v>100</v>
      </c>
      <c r="P51" s="129"/>
      <c r="Q51" s="129"/>
      <c r="R51" s="129"/>
      <c r="S51" s="130"/>
      <c r="T51" s="130"/>
      <c r="U51" s="157">
        <v>164</v>
      </c>
      <c r="V51" s="158"/>
      <c r="W51" s="159">
        <v>5.17</v>
      </c>
      <c r="X51" s="160"/>
      <c r="Y51" s="237">
        <f>IF(W51&lt;&gt;0,AE51,"")</f>
        <v>3.2629337038579997</v>
      </c>
      <c r="Z51" s="238"/>
      <c r="AA51" s="80"/>
      <c r="AB51" s="206">
        <f>(100*W51)/(100-W51)</f>
        <v>5.4518612253506271</v>
      </c>
      <c r="AC51" s="207"/>
      <c r="AD51" s="67">
        <f>(0.25*(100-O51)+2.3*(O51-H51)+12*(H51-E51)+150*(E51))/100</f>
        <v>14.192299999999999</v>
      </c>
      <c r="AE51" s="68">
        <f>(AB51*$AE$47)/(2.65*(AD51)^(1/5))</f>
        <v>3.2629337038579997</v>
      </c>
      <c r="AF51" s="29"/>
      <c r="AG51" s="66"/>
    </row>
    <row r="52" spans="1:34" ht="24.9" customHeight="1" x14ac:dyDescent="0.25">
      <c r="A52" s="5"/>
      <c r="B52" s="44">
        <v>2</v>
      </c>
      <c r="C52" s="161" t="s">
        <v>76</v>
      </c>
      <c r="D52" s="162"/>
      <c r="E52" s="127">
        <v>7.7</v>
      </c>
      <c r="F52" s="128">
        <v>9.6999999999999993</v>
      </c>
      <c r="G52" s="129">
        <v>12.6</v>
      </c>
      <c r="H52" s="129">
        <v>16.2</v>
      </c>
      <c r="I52" s="129">
        <v>21.2</v>
      </c>
      <c r="J52" s="129">
        <v>30.6</v>
      </c>
      <c r="K52" s="129">
        <v>47.2</v>
      </c>
      <c r="L52" s="129">
        <v>62.6</v>
      </c>
      <c r="M52" s="129">
        <v>83.3</v>
      </c>
      <c r="N52" s="129">
        <v>97.1</v>
      </c>
      <c r="O52" s="129">
        <v>100</v>
      </c>
      <c r="P52" s="129"/>
      <c r="Q52" s="129"/>
      <c r="R52" s="129"/>
      <c r="S52" s="130"/>
      <c r="T52" s="130"/>
      <c r="U52" s="157">
        <v>168</v>
      </c>
      <c r="V52" s="158"/>
      <c r="W52" s="159">
        <v>5.03</v>
      </c>
      <c r="X52" s="160"/>
      <c r="Y52" s="227">
        <f>IF(W52&lt;&gt;0,AE52,"")</f>
        <v>3.1564399875212206</v>
      </c>
      <c r="Z52" s="228"/>
      <c r="AA52" s="80"/>
      <c r="AB52" s="206">
        <f>(100*W52)/(100-W52)</f>
        <v>5.2964093924397178</v>
      </c>
      <c r="AC52" s="207"/>
      <c r="AD52" s="67">
        <f t="shared" ref="AD52:AD58" si="0">(0.25*(100-O52)+2.3*(O52-H52)+12*(H52-E52)+150*(E52))/100</f>
        <v>14.497400000000001</v>
      </c>
      <c r="AE52" s="68">
        <f t="shared" ref="AE52:AE58" si="1">(AB52*$AE$47)/(2.65*(AD52)^(1/5))</f>
        <v>3.1564399875212206</v>
      </c>
      <c r="AF52" s="29"/>
      <c r="AG52" s="66"/>
    </row>
    <row r="53" spans="1:34" ht="24.9" customHeight="1" x14ac:dyDescent="0.25">
      <c r="A53" s="5"/>
      <c r="B53" s="44">
        <v>3</v>
      </c>
      <c r="C53" s="183"/>
      <c r="D53" s="229"/>
      <c r="E53" s="12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5"/>
      <c r="T53" s="125"/>
      <c r="U53" s="230"/>
      <c r="V53" s="231"/>
      <c r="W53" s="232"/>
      <c r="X53" s="233"/>
      <c r="Y53" s="227" t="str">
        <f t="shared" ref="Y53:Y54" si="2">IF(W53&lt;&gt;0,AE53,"")</f>
        <v/>
      </c>
      <c r="Z53" s="228"/>
      <c r="AA53" s="80"/>
      <c r="AB53" s="206">
        <f>(100*W53)/(100-W53)</f>
        <v>0</v>
      </c>
      <c r="AC53" s="20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96">
        <f t="shared" ref="E57:T57" si="3">IF(E51&lt;&gt;0,AVERAGE(E51:E54),"")</f>
        <v>7.6</v>
      </c>
      <c r="F57" s="96">
        <f t="shared" si="3"/>
        <v>9.6499999999999986</v>
      </c>
      <c r="G57" s="96">
        <f t="shared" si="3"/>
        <v>12.55</v>
      </c>
      <c r="H57" s="96">
        <f t="shared" si="3"/>
        <v>16.05</v>
      </c>
      <c r="I57" s="96">
        <f t="shared" si="3"/>
        <v>21</v>
      </c>
      <c r="J57" s="96">
        <f t="shared" si="3"/>
        <v>30.3</v>
      </c>
      <c r="K57" s="96">
        <f t="shared" si="3"/>
        <v>46.2</v>
      </c>
      <c r="L57" s="96">
        <f t="shared" si="3"/>
        <v>63</v>
      </c>
      <c r="M57" s="96">
        <f t="shared" si="3"/>
        <v>82.35</v>
      </c>
      <c r="N57" s="96">
        <f t="shared" si="3"/>
        <v>97.1</v>
      </c>
      <c r="O57" s="121">
        <f t="shared" si="3"/>
        <v>100</v>
      </c>
      <c r="P57" s="96"/>
      <c r="Q57" s="96"/>
      <c r="R57" s="96"/>
      <c r="S57" s="96" t="str">
        <f t="shared" si="3"/>
        <v/>
      </c>
      <c r="T57" s="97" t="str">
        <f t="shared" si="3"/>
        <v/>
      </c>
      <c r="U57" s="312">
        <f>IF(U51&lt;&gt;0,AVERAGE(U51:V54),"")</f>
        <v>166</v>
      </c>
      <c r="V57" s="313"/>
      <c r="W57" s="314">
        <f>IF(W51&lt;&gt;0,AVERAGE(W51:X54),"")</f>
        <v>5.0999999999999996</v>
      </c>
      <c r="X57" s="315"/>
      <c r="Y57" s="204">
        <f>IF(W51&lt;&gt;0,AVERAGE(Y51:Z54),"")</f>
        <v>3.2096868456896104</v>
      </c>
      <c r="Z57" s="205"/>
      <c r="AA57" s="66"/>
      <c r="AB57" s="206">
        <f>(100*W57)/(100-W57)</f>
        <v>5.3740779768177021</v>
      </c>
      <c r="AC57" s="207"/>
      <c r="AD57" s="67">
        <f t="shared" si="0"/>
        <v>14.344850000000001</v>
      </c>
      <c r="AE57" s="68">
        <f t="shared" si="1"/>
        <v>3.2095103115944803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15">
        <v>8</v>
      </c>
      <c r="F58" s="126" t="e">
        <v>#N/A</v>
      </c>
      <c r="G58" s="115">
        <v>13</v>
      </c>
      <c r="H58" s="115">
        <v>17</v>
      </c>
      <c r="I58" s="115">
        <v>23</v>
      </c>
      <c r="J58" s="115">
        <v>33</v>
      </c>
      <c r="K58" s="115">
        <v>46</v>
      </c>
      <c r="L58" s="115">
        <v>63</v>
      </c>
      <c r="M58" s="115">
        <v>81</v>
      </c>
      <c r="N58" s="115">
        <v>95</v>
      </c>
      <c r="O58" s="116">
        <v>100</v>
      </c>
      <c r="P58" s="115"/>
      <c r="Q58" s="115"/>
      <c r="R58" s="115"/>
      <c r="S58" s="115"/>
      <c r="T58" s="117"/>
      <c r="U58" s="316"/>
      <c r="V58" s="317"/>
      <c r="W58" s="318">
        <v>5.5</v>
      </c>
      <c r="X58" s="319"/>
      <c r="Y58" s="215">
        <f>AE58</f>
        <v>3.4454849956172735</v>
      </c>
      <c r="Z58" s="216"/>
      <c r="AA58" s="66"/>
      <c r="AB58" s="206">
        <f>(100*W58)/(100-W58)</f>
        <v>5.8201058201058204</v>
      </c>
      <c r="AC58" s="207"/>
      <c r="AD58" s="67">
        <f t="shared" si="0"/>
        <v>14.989000000000001</v>
      </c>
      <c r="AE58" s="68">
        <f t="shared" si="1"/>
        <v>3.4454849956172735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10</v>
      </c>
      <c r="F59" s="90"/>
      <c r="G59" s="90"/>
      <c r="H59" s="90"/>
      <c r="I59" s="90"/>
      <c r="J59" s="90">
        <f>J58+6</f>
        <v>39</v>
      </c>
      <c r="K59" s="90"/>
      <c r="L59" s="90">
        <f>L58+7</f>
        <v>70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6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6</v>
      </c>
      <c r="F60" s="98"/>
      <c r="G60" s="99"/>
      <c r="H60" s="99"/>
      <c r="I60" s="99"/>
      <c r="J60" s="98">
        <f>J58-6</f>
        <v>27</v>
      </c>
      <c r="K60" s="99"/>
      <c r="L60" s="98">
        <f>L58-7</f>
        <v>56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5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A67:Q70"/>
    <mergeCell ref="R67:T70"/>
    <mergeCell ref="V68:Y69"/>
    <mergeCell ref="C52:D52"/>
    <mergeCell ref="U52:V52"/>
    <mergeCell ref="W52:X52"/>
    <mergeCell ref="C51:D51"/>
    <mergeCell ref="U51:V51"/>
    <mergeCell ref="W51:X51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C54:D54"/>
    <mergeCell ref="U54:V54"/>
    <mergeCell ref="W54:X54"/>
    <mergeCell ref="Y54:Z54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B11:F11"/>
    <mergeCell ref="G11:L11"/>
    <mergeCell ref="M11:R11"/>
    <mergeCell ref="S11:Y11"/>
    <mergeCell ref="B12:F12"/>
    <mergeCell ref="G12:L12"/>
    <mergeCell ref="M12:R12"/>
    <mergeCell ref="S12:Y12"/>
    <mergeCell ref="AG49:AG50"/>
    <mergeCell ref="C50:D50"/>
    <mergeCell ref="B19:H19"/>
    <mergeCell ref="I19:Y19"/>
    <mergeCell ref="B20:H20"/>
    <mergeCell ref="I20:Y20"/>
    <mergeCell ref="AD47:AD48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P6:T6"/>
    <mergeCell ref="A7:F7"/>
    <mergeCell ref="G7:Z7"/>
    <mergeCell ref="B10:F10"/>
    <mergeCell ref="G10:L10"/>
    <mergeCell ref="M10:R10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1CB09-A80D-4D0F-A601-5F3DD27B927B}">
  <sheetPr>
    <pageSetUpPr fitToPage="1"/>
  </sheetPr>
  <dimension ref="A1:AN70"/>
  <sheetViews>
    <sheetView zoomScaleNormal="100" workbookViewId="0">
      <selection activeCell="AB66" sqref="AB66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2</v>
      </c>
      <c r="K5" s="301"/>
      <c r="L5" s="302" t="s">
        <v>56</v>
      </c>
      <c r="M5" s="300"/>
      <c r="N5" s="300"/>
      <c r="O5" s="301"/>
      <c r="P5" s="303">
        <v>45260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60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>
        <v>45260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61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>
        <v>45259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67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69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68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2.6989999999999998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320" t="s">
        <v>70</v>
      </c>
      <c r="D51" s="321"/>
      <c r="E51" s="122">
        <v>6.8</v>
      </c>
      <c r="F51" s="123">
        <v>8.6</v>
      </c>
      <c r="G51" s="124">
        <v>11.3</v>
      </c>
      <c r="H51" s="124">
        <v>14.8</v>
      </c>
      <c r="I51" s="124">
        <v>19.7</v>
      </c>
      <c r="J51" s="124">
        <v>28.6</v>
      </c>
      <c r="K51" s="124">
        <v>42.4</v>
      </c>
      <c r="L51" s="124">
        <v>61.6</v>
      </c>
      <c r="M51" s="124">
        <v>79.3</v>
      </c>
      <c r="N51" s="124">
        <v>96.2</v>
      </c>
      <c r="O51" s="131">
        <v>100</v>
      </c>
      <c r="P51" s="124"/>
      <c r="Q51" s="124"/>
      <c r="R51" s="124"/>
      <c r="S51" s="125"/>
      <c r="T51" s="125"/>
      <c r="U51" s="230">
        <v>168</v>
      </c>
      <c r="V51" s="231"/>
      <c r="W51" s="232">
        <v>5.01</v>
      </c>
      <c r="X51" s="233"/>
      <c r="Y51" s="237">
        <f>IF(W51&lt;&gt;0,AE51,"")</f>
        <v>3.2102047275824224</v>
      </c>
      <c r="Z51" s="238"/>
      <c r="AA51" s="80"/>
      <c r="AB51" s="206">
        <f>(100*W51)/(100-W51)</f>
        <v>5.2742393936203813</v>
      </c>
      <c r="AC51" s="207"/>
      <c r="AD51" s="67">
        <f>(0.25*(100-O51)+2.3*(O51-H51)+12*(H51-E51)+150*(E51))/100</f>
        <v>13.1196</v>
      </c>
      <c r="AE51" s="68">
        <f>(AB51*$AE$47)/(2.65*(AD51)^(1/5))</f>
        <v>3.2102047275824224</v>
      </c>
      <c r="AF51" s="29"/>
      <c r="AG51" s="66"/>
    </row>
    <row r="52" spans="1:34" ht="24.9" customHeight="1" x14ac:dyDescent="0.25">
      <c r="A52" s="5"/>
      <c r="B52" s="44">
        <v>2</v>
      </c>
      <c r="C52" s="161" t="s">
        <v>71</v>
      </c>
      <c r="D52" s="162"/>
      <c r="E52" s="127">
        <v>7</v>
      </c>
      <c r="F52" s="128">
        <v>9</v>
      </c>
      <c r="G52" s="129">
        <v>11.7</v>
      </c>
      <c r="H52" s="129">
        <v>15.3</v>
      </c>
      <c r="I52" s="129">
        <v>20.399999999999999</v>
      </c>
      <c r="J52" s="129">
        <v>30.2</v>
      </c>
      <c r="K52" s="129">
        <v>46.2</v>
      </c>
      <c r="L52" s="129">
        <v>67.5</v>
      </c>
      <c r="M52" s="129">
        <v>83</v>
      </c>
      <c r="N52" s="129">
        <v>94.8</v>
      </c>
      <c r="O52" s="132">
        <v>100</v>
      </c>
      <c r="P52" s="129"/>
      <c r="Q52" s="129"/>
      <c r="R52" s="129"/>
      <c r="S52" s="130"/>
      <c r="T52" s="130"/>
      <c r="U52" s="157">
        <v>165</v>
      </c>
      <c r="V52" s="158"/>
      <c r="W52" s="159">
        <v>5.21</v>
      </c>
      <c r="X52" s="160"/>
      <c r="Y52" s="227">
        <f>IF(W52&lt;&gt;0,AE52,"")</f>
        <v>3.3290925112450438</v>
      </c>
      <c r="Z52" s="228"/>
      <c r="AA52" s="80"/>
      <c r="AB52" s="206">
        <f>(100*W52)/(100-W52)</f>
        <v>5.4963603755670425</v>
      </c>
      <c r="AC52" s="207"/>
      <c r="AD52" s="67">
        <f t="shared" ref="AD52:AD58" si="0">(0.25*(100-O52)+2.3*(O52-H52)+12*(H52-E52)+150*(E52))/100</f>
        <v>13.444100000000001</v>
      </c>
      <c r="AE52" s="68">
        <f t="shared" ref="AE52:AE58" si="1">(AB52*$AE$47)/(2.65*(AD52)^(1/5))</f>
        <v>3.3290925112450438</v>
      </c>
      <c r="AF52" s="29"/>
      <c r="AG52" s="66"/>
    </row>
    <row r="53" spans="1:34" ht="24.9" customHeight="1" x14ac:dyDescent="0.25">
      <c r="A53" s="5"/>
      <c r="B53" s="44">
        <v>3</v>
      </c>
      <c r="C53" s="183"/>
      <c r="D53" s="229"/>
      <c r="E53" s="122"/>
      <c r="F53" s="123"/>
      <c r="G53" s="124"/>
      <c r="H53" s="124"/>
      <c r="I53" s="124"/>
      <c r="J53" s="124"/>
      <c r="K53" s="124"/>
      <c r="L53" s="124"/>
      <c r="M53" s="124"/>
      <c r="N53" s="124"/>
      <c r="O53" s="124"/>
      <c r="P53" s="124"/>
      <c r="Q53" s="124"/>
      <c r="R53" s="124"/>
      <c r="S53" s="125"/>
      <c r="T53" s="125"/>
      <c r="U53" s="230"/>
      <c r="V53" s="231"/>
      <c r="W53" s="232"/>
      <c r="X53" s="233"/>
      <c r="Y53" s="227" t="str">
        <f t="shared" ref="Y53:Y54" si="2">IF(W53&lt;&gt;0,AE53,"")</f>
        <v/>
      </c>
      <c r="Z53" s="228"/>
      <c r="AA53" s="80"/>
      <c r="AB53" s="206">
        <f>(100*W53)/(100-W53)</f>
        <v>0</v>
      </c>
      <c r="AC53" s="207"/>
      <c r="AD53" s="67">
        <f t="shared" si="0"/>
        <v>0.25</v>
      </c>
      <c r="AE53" s="68">
        <f t="shared" si="1"/>
        <v>0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96">
        <f t="shared" ref="E57:T57" si="3">IF(E51&lt;&gt;0,AVERAGE(E51:E54),"")</f>
        <v>6.9</v>
      </c>
      <c r="F57" s="96">
        <f t="shared" si="3"/>
        <v>8.8000000000000007</v>
      </c>
      <c r="G57" s="96">
        <f t="shared" si="3"/>
        <v>11.5</v>
      </c>
      <c r="H57" s="96">
        <f t="shared" si="3"/>
        <v>15.05</v>
      </c>
      <c r="I57" s="96">
        <f t="shared" si="3"/>
        <v>20.049999999999997</v>
      </c>
      <c r="J57" s="96">
        <f t="shared" si="3"/>
        <v>29.4</v>
      </c>
      <c r="K57" s="96">
        <f t="shared" si="3"/>
        <v>44.3</v>
      </c>
      <c r="L57" s="96">
        <f t="shared" si="3"/>
        <v>64.55</v>
      </c>
      <c r="M57" s="96">
        <f t="shared" si="3"/>
        <v>81.150000000000006</v>
      </c>
      <c r="N57" s="96">
        <f t="shared" si="3"/>
        <v>95.5</v>
      </c>
      <c r="O57" s="121">
        <f t="shared" si="3"/>
        <v>100</v>
      </c>
      <c r="P57" s="96"/>
      <c r="Q57" s="96"/>
      <c r="R57" s="96"/>
      <c r="S57" s="96" t="str">
        <f t="shared" si="3"/>
        <v/>
      </c>
      <c r="T57" s="97" t="str">
        <f t="shared" si="3"/>
        <v/>
      </c>
      <c r="U57" s="312">
        <f>IF(U51&lt;&gt;0,AVERAGE(U51:V54),"")</f>
        <v>166.5</v>
      </c>
      <c r="V57" s="313"/>
      <c r="W57" s="314">
        <f>IF(W51&lt;&gt;0,AVERAGE(W51:X54),"")</f>
        <v>5.1099999999999994</v>
      </c>
      <c r="X57" s="315"/>
      <c r="Y57" s="204">
        <f>IF(W51&lt;&gt;0,AVERAGE(Y51:Z54),"")</f>
        <v>3.2696486194137329</v>
      </c>
      <c r="Z57" s="205"/>
      <c r="AA57" s="66"/>
      <c r="AB57" s="206">
        <f>(100*W57)/(100-W57)</f>
        <v>5.3851828432922328</v>
      </c>
      <c r="AC57" s="207"/>
      <c r="AD57" s="67">
        <f t="shared" si="0"/>
        <v>13.281849999999999</v>
      </c>
      <c r="AE57" s="68">
        <f t="shared" si="1"/>
        <v>3.2696837573464133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15">
        <v>7.4</v>
      </c>
      <c r="F58" s="126" t="e">
        <v>#N/A</v>
      </c>
      <c r="G58" s="115">
        <v>13</v>
      </c>
      <c r="H58" s="115">
        <v>17</v>
      </c>
      <c r="I58" s="115">
        <v>24</v>
      </c>
      <c r="J58" s="115">
        <v>34</v>
      </c>
      <c r="K58" s="115">
        <v>49</v>
      </c>
      <c r="L58" s="115">
        <v>66</v>
      </c>
      <c r="M58" s="115">
        <v>82</v>
      </c>
      <c r="N58" s="115">
        <v>95</v>
      </c>
      <c r="O58" s="116">
        <v>100</v>
      </c>
      <c r="P58" s="115"/>
      <c r="Q58" s="115"/>
      <c r="R58" s="115"/>
      <c r="S58" s="115"/>
      <c r="T58" s="117"/>
      <c r="U58" s="316"/>
      <c r="V58" s="317"/>
      <c r="W58" s="318">
        <v>5.4</v>
      </c>
      <c r="X58" s="319"/>
      <c r="Y58" s="215">
        <f>AE58</f>
        <v>3.4216914885095822</v>
      </c>
      <c r="Z58" s="216"/>
      <c r="AA58" s="66"/>
      <c r="AB58" s="206">
        <f>(100*W58)/(100-W58)</f>
        <v>5.7082452431289648</v>
      </c>
      <c r="AC58" s="207"/>
      <c r="AD58" s="67">
        <f t="shared" si="0"/>
        <v>14.161</v>
      </c>
      <c r="AE58" s="68">
        <f t="shared" si="1"/>
        <v>3.4216914885095822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9.4</v>
      </c>
      <c r="F59" s="90"/>
      <c r="G59" s="90"/>
      <c r="H59" s="90"/>
      <c r="I59" s="90"/>
      <c r="J59" s="90">
        <f>J58+6</f>
        <v>40</v>
      </c>
      <c r="K59" s="90"/>
      <c r="L59" s="90">
        <f>L58+7</f>
        <v>73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5.9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5.4</v>
      </c>
      <c r="F60" s="98"/>
      <c r="G60" s="99"/>
      <c r="H60" s="99"/>
      <c r="I60" s="99"/>
      <c r="J60" s="98">
        <f>J58-6</f>
        <v>28</v>
      </c>
      <c r="K60" s="99"/>
      <c r="L60" s="98">
        <f>L58-7</f>
        <v>59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4.9000000000000004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A67:Q70"/>
    <mergeCell ref="R67:T70"/>
    <mergeCell ref="V68:Y69"/>
    <mergeCell ref="U63:Z63"/>
    <mergeCell ref="A64:Q64"/>
    <mergeCell ref="R64:T64"/>
    <mergeCell ref="U64:Z64"/>
    <mergeCell ref="A65:Q65"/>
    <mergeCell ref="R65:T66"/>
    <mergeCell ref="U65:Z66"/>
    <mergeCell ref="U59:V59"/>
    <mergeCell ref="W59:X59"/>
    <mergeCell ref="Y59:Z59"/>
    <mergeCell ref="AD59:AD60"/>
    <mergeCell ref="AE59:AE60"/>
    <mergeCell ref="B60:D60"/>
    <mergeCell ref="U60:V60"/>
    <mergeCell ref="W60:X60"/>
    <mergeCell ref="Y60:Z60"/>
    <mergeCell ref="B57:D57"/>
    <mergeCell ref="U57:V57"/>
    <mergeCell ref="W57:X57"/>
    <mergeCell ref="Y57:Z57"/>
    <mergeCell ref="AB57:AC57"/>
    <mergeCell ref="B58:D58"/>
    <mergeCell ref="U58:V58"/>
    <mergeCell ref="W58:X58"/>
    <mergeCell ref="Y58:Z58"/>
    <mergeCell ref="AB58:AC58"/>
    <mergeCell ref="C54:D54"/>
    <mergeCell ref="U54:V54"/>
    <mergeCell ref="W54:X54"/>
    <mergeCell ref="Y54:Z54"/>
    <mergeCell ref="AB54:AC54"/>
    <mergeCell ref="B56:D56"/>
    <mergeCell ref="Y52:Z52"/>
    <mergeCell ref="AB52:AC52"/>
    <mergeCell ref="C53:D53"/>
    <mergeCell ref="U53:V53"/>
    <mergeCell ref="W53:X53"/>
    <mergeCell ref="Y53:Z53"/>
    <mergeCell ref="AB53:AC53"/>
    <mergeCell ref="AG49:AG50"/>
    <mergeCell ref="C50:D50"/>
    <mergeCell ref="C51:D51"/>
    <mergeCell ref="U51:V51"/>
    <mergeCell ref="W51:X51"/>
    <mergeCell ref="Y51:Z51"/>
    <mergeCell ref="AB51:AC51"/>
    <mergeCell ref="AF47:AF48"/>
    <mergeCell ref="AG47:AG48"/>
    <mergeCell ref="E49:T49"/>
    <mergeCell ref="U49:V50"/>
    <mergeCell ref="W49:X50"/>
    <mergeCell ref="Y49:Z50"/>
    <mergeCell ref="AB49:AC50"/>
    <mergeCell ref="AD49:AD50"/>
    <mergeCell ref="AE49:AE50"/>
    <mergeCell ref="AF49:AF50"/>
    <mergeCell ref="AE47:AE48"/>
    <mergeCell ref="B13:F13"/>
    <mergeCell ref="G13:L13"/>
    <mergeCell ref="M13:R13"/>
    <mergeCell ref="S13:Y13"/>
    <mergeCell ref="B14:F14"/>
    <mergeCell ref="G14:L14"/>
    <mergeCell ref="M14:R14"/>
    <mergeCell ref="S14:Y14"/>
    <mergeCell ref="J5:K5"/>
    <mergeCell ref="L5:O5"/>
    <mergeCell ref="P5:T5"/>
    <mergeCell ref="J6:K6"/>
    <mergeCell ref="A1:F6"/>
    <mergeCell ref="G1:T1"/>
    <mergeCell ref="U1:Z6"/>
    <mergeCell ref="G2:T4"/>
    <mergeCell ref="G5:H5"/>
    <mergeCell ref="B19:H19"/>
    <mergeCell ref="I19:Y19"/>
    <mergeCell ref="B20:H20"/>
    <mergeCell ref="I20:Y20"/>
    <mergeCell ref="AD47:AD48"/>
    <mergeCell ref="L6:O6"/>
    <mergeCell ref="C52:D52"/>
    <mergeCell ref="U52:V52"/>
    <mergeCell ref="W52:X52"/>
    <mergeCell ref="B11:F11"/>
    <mergeCell ref="G11:L11"/>
    <mergeCell ref="M11:R11"/>
    <mergeCell ref="S11:Y11"/>
    <mergeCell ref="B12:F12"/>
    <mergeCell ref="G12:L12"/>
    <mergeCell ref="M12:R12"/>
    <mergeCell ref="S12:Y12"/>
    <mergeCell ref="P6:T6"/>
    <mergeCell ref="A7:F7"/>
    <mergeCell ref="G7:Z7"/>
    <mergeCell ref="B10:F10"/>
    <mergeCell ref="G10:L10"/>
    <mergeCell ref="M10:R10"/>
    <mergeCell ref="S10:Y10"/>
  </mergeCells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0"/>
  <sheetViews>
    <sheetView zoomScaleNormal="100" workbookViewId="0">
      <selection activeCell="AC19" sqref="AC19"/>
    </sheetView>
  </sheetViews>
  <sheetFormatPr baseColWidth="10" defaultColWidth="11.44140625" defaultRowHeight="12.75" customHeight="1" x14ac:dyDescent="0.25"/>
  <cols>
    <col min="1" max="2" width="5.109375" style="29" customWidth="1"/>
    <col min="3" max="27" width="5.109375" style="1" customWidth="1"/>
    <col min="28" max="41" width="11.44140625" style="1" customWidth="1"/>
    <col min="42" max="16384" width="11.44140625" style="1"/>
  </cols>
  <sheetData>
    <row r="1" spans="1:36" ht="12.6" customHeight="1" x14ac:dyDescent="0.25">
      <c r="A1" s="275"/>
      <c r="B1" s="276"/>
      <c r="C1" s="276"/>
      <c r="D1" s="276"/>
      <c r="E1" s="276"/>
      <c r="F1" s="277"/>
      <c r="G1" s="284" t="s">
        <v>33</v>
      </c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6"/>
      <c r="U1" s="287" t="s">
        <v>55</v>
      </c>
      <c r="V1" s="288"/>
      <c r="W1" s="288"/>
      <c r="X1" s="288"/>
      <c r="Y1" s="288"/>
      <c r="Z1" s="289"/>
      <c r="AA1" s="78"/>
    </row>
    <row r="2" spans="1:36" ht="12.6" customHeight="1" x14ac:dyDescent="0.25">
      <c r="A2" s="278"/>
      <c r="B2" s="279"/>
      <c r="C2" s="279"/>
      <c r="D2" s="279"/>
      <c r="E2" s="279"/>
      <c r="F2" s="280"/>
      <c r="G2" s="296" t="s">
        <v>39</v>
      </c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8"/>
      <c r="U2" s="290"/>
      <c r="V2" s="291"/>
      <c r="W2" s="291"/>
      <c r="X2" s="291"/>
      <c r="Y2" s="291"/>
      <c r="Z2" s="292"/>
      <c r="AA2" s="78"/>
    </row>
    <row r="3" spans="1:36" ht="12.6" customHeight="1" x14ac:dyDescent="0.25">
      <c r="A3" s="278"/>
      <c r="B3" s="279"/>
      <c r="C3" s="279"/>
      <c r="D3" s="279"/>
      <c r="E3" s="279"/>
      <c r="F3" s="280"/>
      <c r="G3" s="299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297"/>
      <c r="S3" s="297"/>
      <c r="T3" s="298"/>
      <c r="U3" s="290"/>
      <c r="V3" s="291"/>
      <c r="W3" s="291"/>
      <c r="X3" s="291"/>
      <c r="Y3" s="291"/>
      <c r="Z3" s="292"/>
      <c r="AA3" s="78"/>
    </row>
    <row r="4" spans="1:36" ht="12.6" customHeight="1" x14ac:dyDescent="0.25">
      <c r="A4" s="278"/>
      <c r="B4" s="279"/>
      <c r="C4" s="279"/>
      <c r="D4" s="279"/>
      <c r="E4" s="279"/>
      <c r="F4" s="280"/>
      <c r="G4" s="299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297"/>
      <c r="S4" s="297"/>
      <c r="T4" s="298"/>
      <c r="U4" s="290"/>
      <c r="V4" s="291"/>
      <c r="W4" s="291"/>
      <c r="X4" s="291"/>
      <c r="Y4" s="291"/>
      <c r="Z4" s="292"/>
      <c r="AA4" s="78"/>
    </row>
    <row r="5" spans="1:36" ht="12.6" customHeight="1" x14ac:dyDescent="0.25">
      <c r="A5" s="278"/>
      <c r="B5" s="279"/>
      <c r="C5" s="279"/>
      <c r="D5" s="279"/>
      <c r="E5" s="279"/>
      <c r="F5" s="280"/>
      <c r="G5" s="299" t="s">
        <v>40</v>
      </c>
      <c r="H5" s="297"/>
      <c r="I5" s="2" t="s">
        <v>34</v>
      </c>
      <c r="J5" s="300">
        <v>1</v>
      </c>
      <c r="K5" s="301"/>
      <c r="L5" s="302" t="s">
        <v>56</v>
      </c>
      <c r="M5" s="300"/>
      <c r="N5" s="300"/>
      <c r="O5" s="301"/>
      <c r="P5" s="303">
        <v>45230</v>
      </c>
      <c r="Q5" s="304"/>
      <c r="R5" s="304"/>
      <c r="S5" s="304"/>
      <c r="T5" s="305"/>
      <c r="U5" s="290"/>
      <c r="V5" s="291"/>
      <c r="W5" s="291"/>
      <c r="X5" s="291"/>
      <c r="Y5" s="291"/>
      <c r="Z5" s="292"/>
      <c r="AA5" s="78"/>
    </row>
    <row r="6" spans="1:36" ht="12.6" customHeight="1" x14ac:dyDescent="0.25">
      <c r="A6" s="281"/>
      <c r="B6" s="282"/>
      <c r="C6" s="282"/>
      <c r="D6" s="282"/>
      <c r="E6" s="282"/>
      <c r="F6" s="283"/>
      <c r="G6" s="3"/>
      <c r="H6" s="4"/>
      <c r="I6" s="4"/>
      <c r="J6" s="271" t="s">
        <v>35</v>
      </c>
      <c r="K6" s="271"/>
      <c r="L6" s="271" t="s">
        <v>36</v>
      </c>
      <c r="M6" s="271"/>
      <c r="N6" s="271"/>
      <c r="O6" s="271"/>
      <c r="P6" s="271" t="s">
        <v>37</v>
      </c>
      <c r="Q6" s="271"/>
      <c r="R6" s="271"/>
      <c r="S6" s="271"/>
      <c r="T6" s="272"/>
      <c r="U6" s="293"/>
      <c r="V6" s="294"/>
      <c r="W6" s="294"/>
      <c r="X6" s="294"/>
      <c r="Y6" s="294"/>
      <c r="Z6" s="295"/>
      <c r="AA6" s="78"/>
    </row>
    <row r="7" spans="1:36" ht="36.6" customHeight="1" x14ac:dyDescent="0.25">
      <c r="A7" s="273" t="s">
        <v>38</v>
      </c>
      <c r="B7" s="273"/>
      <c r="C7" s="273"/>
      <c r="D7" s="273"/>
      <c r="E7" s="273"/>
      <c r="F7" s="273"/>
      <c r="G7" s="274" t="s">
        <v>32</v>
      </c>
      <c r="H7" s="274"/>
      <c r="I7" s="274"/>
      <c r="J7" s="274"/>
      <c r="K7" s="274"/>
      <c r="L7" s="274"/>
      <c r="M7" s="274"/>
      <c r="N7" s="274"/>
      <c r="O7" s="274"/>
      <c r="P7" s="274"/>
      <c r="Q7" s="274"/>
      <c r="R7" s="274"/>
      <c r="S7" s="274"/>
      <c r="T7" s="274"/>
      <c r="U7" s="274"/>
      <c r="V7" s="274"/>
      <c r="W7" s="274"/>
      <c r="X7" s="274"/>
      <c r="Y7" s="274"/>
      <c r="Z7" s="274"/>
      <c r="AA7" s="79"/>
      <c r="AE7" s="6"/>
      <c r="AI7" s="6"/>
    </row>
    <row r="8" spans="1:36" ht="15.9" customHeight="1" x14ac:dyDescent="0.25">
      <c r="A8" s="7" t="s">
        <v>1</v>
      </c>
      <c r="B8" s="8" t="s">
        <v>0</v>
      </c>
      <c r="C8" s="9"/>
      <c r="D8" s="10"/>
      <c r="E8" s="10"/>
      <c r="F8" s="10"/>
      <c r="G8" s="10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1"/>
      <c r="AA8" s="14"/>
      <c r="AB8" s="12"/>
      <c r="AC8" s="12"/>
      <c r="AD8" s="12"/>
      <c r="AE8" s="6"/>
      <c r="AF8" s="12"/>
      <c r="AI8" s="6"/>
    </row>
    <row r="9" spans="1:36" ht="7.8" customHeight="1" x14ac:dyDescent="0.25">
      <c r="A9" s="13"/>
      <c r="B9" s="14"/>
      <c r="C9" s="14"/>
      <c r="D9" s="15"/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6"/>
      <c r="AA9" s="14"/>
      <c r="AB9" s="12"/>
      <c r="AC9" s="12"/>
      <c r="AD9" s="12"/>
      <c r="AE9" s="6"/>
      <c r="AF9" s="12"/>
      <c r="AI9" s="6"/>
    </row>
    <row r="10" spans="1:36" ht="15.9" customHeight="1" x14ac:dyDescent="0.25">
      <c r="A10" s="13"/>
      <c r="B10" s="259" t="s">
        <v>27</v>
      </c>
      <c r="C10" s="259"/>
      <c r="D10" s="259"/>
      <c r="E10" s="259"/>
      <c r="F10" s="259"/>
      <c r="G10" s="269" t="s">
        <v>57</v>
      </c>
      <c r="H10" s="269"/>
      <c r="I10" s="269"/>
      <c r="J10" s="269"/>
      <c r="K10" s="269"/>
      <c r="L10" s="269"/>
      <c r="M10" s="259" t="s">
        <v>30</v>
      </c>
      <c r="N10" s="259"/>
      <c r="O10" s="259"/>
      <c r="P10" s="259"/>
      <c r="Q10" s="259"/>
      <c r="R10" s="259"/>
      <c r="S10" s="268" t="s">
        <v>60</v>
      </c>
      <c r="T10" s="268"/>
      <c r="U10" s="268"/>
      <c r="V10" s="268"/>
      <c r="W10" s="268"/>
      <c r="X10" s="268"/>
      <c r="Y10" s="268"/>
      <c r="Z10" s="17"/>
      <c r="AA10" s="75"/>
      <c r="AB10" s="12"/>
      <c r="AC10" s="12"/>
      <c r="AD10" s="12"/>
      <c r="AE10" s="112"/>
      <c r="AF10" s="112"/>
      <c r="AG10" s="112"/>
      <c r="AH10" s="112"/>
      <c r="AI10" s="112"/>
    </row>
    <row r="11" spans="1:36" ht="15.9" customHeight="1" x14ac:dyDescent="0.25">
      <c r="A11" s="13"/>
      <c r="B11" s="259" t="s">
        <v>6</v>
      </c>
      <c r="C11" s="259"/>
      <c r="D11" s="259"/>
      <c r="E11" s="259"/>
      <c r="F11" s="259"/>
      <c r="G11" s="269" t="s">
        <v>58</v>
      </c>
      <c r="H11" s="269"/>
      <c r="I11" s="269"/>
      <c r="J11" s="269"/>
      <c r="K11" s="269"/>
      <c r="L11" s="269"/>
      <c r="M11" s="259" t="s">
        <v>44</v>
      </c>
      <c r="N11" s="259"/>
      <c r="O11" s="259"/>
      <c r="P11" s="259"/>
      <c r="Q11" s="259"/>
      <c r="R11" s="259"/>
      <c r="S11" s="268" t="s">
        <v>61</v>
      </c>
      <c r="T11" s="268"/>
      <c r="U11" s="268"/>
      <c r="V11" s="268"/>
      <c r="W11" s="268"/>
      <c r="X11" s="268"/>
      <c r="Y11" s="268"/>
      <c r="Z11" s="17"/>
      <c r="AA11" s="75"/>
      <c r="AB11" s="12"/>
      <c r="AC11" s="12"/>
      <c r="AD11" s="12"/>
      <c r="AE11" s="112"/>
      <c r="AF11" s="112"/>
      <c r="AG11" s="112"/>
      <c r="AH11" s="112"/>
      <c r="AI11" s="112"/>
    </row>
    <row r="12" spans="1:36" ht="15.9" customHeight="1" x14ac:dyDescent="0.25">
      <c r="A12" s="13"/>
      <c r="B12" s="259" t="s">
        <v>28</v>
      </c>
      <c r="C12" s="259"/>
      <c r="D12" s="259"/>
      <c r="E12" s="259"/>
      <c r="F12" s="259"/>
      <c r="G12" s="269" t="s">
        <v>58</v>
      </c>
      <c r="H12" s="269"/>
      <c r="I12" s="269"/>
      <c r="J12" s="269"/>
      <c r="K12" s="269"/>
      <c r="L12" s="269"/>
      <c r="M12" s="270" t="s">
        <v>43</v>
      </c>
      <c r="N12" s="270"/>
      <c r="O12" s="270"/>
      <c r="P12" s="270"/>
      <c r="Q12" s="270"/>
      <c r="R12" s="270"/>
      <c r="S12" s="268" t="s">
        <v>62</v>
      </c>
      <c r="T12" s="268"/>
      <c r="U12" s="268"/>
      <c r="V12" s="268"/>
      <c r="W12" s="268"/>
      <c r="X12" s="268"/>
      <c r="Y12" s="268"/>
      <c r="Z12" s="17"/>
      <c r="AA12" s="75"/>
      <c r="AB12" s="12"/>
      <c r="AC12" s="12"/>
      <c r="AD12" s="12"/>
      <c r="AE12" s="6"/>
      <c r="AF12" s="12"/>
      <c r="AI12" s="6"/>
    </row>
    <row r="13" spans="1:36" ht="15.9" customHeight="1" x14ac:dyDescent="0.25">
      <c r="A13" s="13"/>
      <c r="B13" s="266" t="s">
        <v>41</v>
      </c>
      <c r="C13" s="266"/>
      <c r="D13" s="266"/>
      <c r="E13" s="266"/>
      <c r="F13" s="266"/>
      <c r="G13" s="267" t="s">
        <v>66</v>
      </c>
      <c r="H13" s="267"/>
      <c r="I13" s="267"/>
      <c r="J13" s="267"/>
      <c r="K13" s="267"/>
      <c r="L13" s="267"/>
      <c r="M13" s="259" t="s">
        <v>29</v>
      </c>
      <c r="N13" s="259"/>
      <c r="O13" s="259"/>
      <c r="P13" s="259"/>
      <c r="Q13" s="259"/>
      <c r="R13" s="259"/>
      <c r="S13" s="267" t="s">
        <v>63</v>
      </c>
      <c r="T13" s="267"/>
      <c r="U13" s="267"/>
      <c r="V13" s="267"/>
      <c r="W13" s="267"/>
      <c r="X13" s="267"/>
      <c r="Y13" s="267"/>
      <c r="Z13" s="17"/>
      <c r="AA13" s="75"/>
      <c r="AB13" s="12"/>
      <c r="AC13" s="12"/>
      <c r="AD13" s="12"/>
      <c r="AE13" s="112"/>
      <c r="AF13" s="112"/>
      <c r="AG13" s="112"/>
      <c r="AH13" s="112"/>
      <c r="AI13" s="112"/>
      <c r="AJ13" s="112"/>
    </row>
    <row r="14" spans="1:36" ht="15.9" customHeight="1" x14ac:dyDescent="0.25">
      <c r="A14" s="18"/>
      <c r="B14" s="259" t="s">
        <v>42</v>
      </c>
      <c r="C14" s="259"/>
      <c r="D14" s="259"/>
      <c r="E14" s="259"/>
      <c r="F14" s="259"/>
      <c r="G14" s="267" t="s">
        <v>59</v>
      </c>
      <c r="H14" s="267"/>
      <c r="I14" s="267"/>
      <c r="J14" s="267"/>
      <c r="K14" s="267"/>
      <c r="L14" s="267"/>
      <c r="M14" s="268" t="s">
        <v>26</v>
      </c>
      <c r="N14" s="268"/>
      <c r="O14" s="268"/>
      <c r="P14" s="268"/>
      <c r="Q14" s="268"/>
      <c r="R14" s="268"/>
      <c r="S14" s="268" t="s">
        <v>49</v>
      </c>
      <c r="T14" s="268"/>
      <c r="U14" s="268"/>
      <c r="V14" s="268"/>
      <c r="W14" s="268"/>
      <c r="X14" s="268"/>
      <c r="Y14" s="268"/>
      <c r="Z14" s="19"/>
      <c r="AA14" s="12"/>
      <c r="AB14" s="12"/>
      <c r="AC14" s="12"/>
      <c r="AD14" s="12"/>
      <c r="AE14" s="112"/>
      <c r="AF14" s="112"/>
      <c r="AG14" s="112"/>
      <c r="AH14" s="112"/>
      <c r="AI14" s="112"/>
      <c r="AJ14" s="112"/>
    </row>
    <row r="15" spans="1:36" ht="6" customHeight="1" x14ac:dyDescent="0.25">
      <c r="A15" s="24"/>
      <c r="B15" s="25"/>
      <c r="C15" s="26"/>
      <c r="D15" s="26"/>
      <c r="E15" s="26"/>
      <c r="F15" s="25"/>
      <c r="G15" s="25"/>
      <c r="H15" s="25"/>
      <c r="I15" s="25"/>
      <c r="J15" s="25"/>
      <c r="K15" s="25"/>
      <c r="L15" s="25"/>
      <c r="M15" s="25"/>
      <c r="N15" s="26"/>
      <c r="O15" s="26"/>
      <c r="P15" s="26"/>
      <c r="Q15" s="26"/>
      <c r="R15" s="26"/>
      <c r="S15" s="26"/>
      <c r="T15" s="27"/>
      <c r="U15" s="27"/>
      <c r="V15" s="26"/>
      <c r="W15" s="26"/>
      <c r="X15" s="26"/>
      <c r="Y15" s="26"/>
      <c r="Z15" s="28"/>
      <c r="AE15" s="112"/>
      <c r="AF15" s="112"/>
      <c r="AG15" s="112"/>
      <c r="AH15" s="112"/>
      <c r="AI15" s="112"/>
      <c r="AJ15" s="112"/>
    </row>
    <row r="16" spans="1:36" ht="6" customHeight="1" x14ac:dyDescent="0.25">
      <c r="F16" s="29"/>
      <c r="G16" s="29"/>
      <c r="H16" s="29"/>
      <c r="I16" s="29"/>
      <c r="J16" s="29"/>
      <c r="K16" s="29"/>
      <c r="L16" s="29"/>
      <c r="M16" s="29"/>
      <c r="T16" s="30"/>
      <c r="U16" s="30"/>
      <c r="AE16" s="112"/>
      <c r="AF16" s="112"/>
      <c r="AG16" s="112"/>
      <c r="AH16" s="112"/>
      <c r="AI16" s="112"/>
      <c r="AJ16" s="112"/>
    </row>
    <row r="17" spans="1:40" ht="15.9" customHeight="1" x14ac:dyDescent="0.25">
      <c r="A17" s="7" t="s">
        <v>2</v>
      </c>
      <c r="B17" s="8" t="s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1"/>
      <c r="AA17" s="14"/>
      <c r="AE17" s="20"/>
      <c r="AI17" s="20"/>
    </row>
    <row r="18" spans="1:40" ht="8.25" customHeight="1" x14ac:dyDescent="0.25">
      <c r="A18" s="13"/>
      <c r="B18" s="31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6"/>
      <c r="AA18" s="14"/>
      <c r="AE18" s="20"/>
      <c r="AI18" s="20"/>
    </row>
    <row r="19" spans="1:40" ht="15.9" customHeight="1" x14ac:dyDescent="0.25">
      <c r="A19" s="13"/>
      <c r="B19" s="259" t="s">
        <v>19</v>
      </c>
      <c r="C19" s="259"/>
      <c r="D19" s="259"/>
      <c r="E19" s="259"/>
      <c r="F19" s="259"/>
      <c r="G19" s="259"/>
      <c r="H19" s="259"/>
      <c r="I19" s="260"/>
      <c r="J19" s="260"/>
      <c r="K19" s="260"/>
      <c r="L19" s="260"/>
      <c r="M19" s="260"/>
      <c r="N19" s="260"/>
      <c r="O19" s="260"/>
      <c r="P19" s="260"/>
      <c r="Q19" s="260"/>
      <c r="R19" s="260"/>
      <c r="S19" s="260"/>
      <c r="T19" s="260"/>
      <c r="U19" s="260"/>
      <c r="V19" s="260"/>
      <c r="W19" s="260"/>
      <c r="X19" s="260"/>
      <c r="Y19" s="260"/>
      <c r="Z19" s="17"/>
      <c r="AA19" s="75"/>
      <c r="AE19" s="20"/>
      <c r="AI19" s="20"/>
    </row>
    <row r="20" spans="1:40" ht="15.9" customHeight="1" x14ac:dyDescent="0.25">
      <c r="A20" s="13"/>
      <c r="B20" s="259" t="s">
        <v>20</v>
      </c>
      <c r="C20" s="259"/>
      <c r="D20" s="259"/>
      <c r="E20" s="259"/>
      <c r="F20" s="259"/>
      <c r="G20" s="259"/>
      <c r="H20" s="259"/>
      <c r="I20" s="261"/>
      <c r="J20" s="261"/>
      <c r="K20" s="261"/>
      <c r="L20" s="261"/>
      <c r="M20" s="261"/>
      <c r="N20" s="261"/>
      <c r="O20" s="261"/>
      <c r="P20" s="261"/>
      <c r="Q20" s="261"/>
      <c r="R20" s="261"/>
      <c r="S20" s="261"/>
      <c r="T20" s="261"/>
      <c r="U20" s="261"/>
      <c r="V20" s="261"/>
      <c r="W20" s="261"/>
      <c r="X20" s="261"/>
      <c r="Y20" s="261"/>
      <c r="Z20" s="17"/>
      <c r="AA20" s="75"/>
      <c r="AE20" s="20"/>
      <c r="AI20" s="20"/>
    </row>
    <row r="21" spans="1:40" ht="7.5" customHeight="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2"/>
      <c r="AA21" s="14"/>
      <c r="AE21" s="20"/>
      <c r="AI21" s="20"/>
    </row>
    <row r="22" spans="1:40" ht="5.25" customHeight="1" x14ac:dyDescent="0.25">
      <c r="F22" s="29"/>
      <c r="G22" s="29"/>
      <c r="H22" s="29"/>
      <c r="I22" s="29"/>
      <c r="J22" s="29"/>
      <c r="K22" s="29"/>
      <c r="L22" s="29"/>
      <c r="M22" s="29"/>
      <c r="T22" s="30"/>
      <c r="U22" s="30"/>
      <c r="AE22" s="20"/>
      <c r="AI22" s="20"/>
      <c r="AM22" s="12"/>
      <c r="AN22" s="12"/>
    </row>
    <row r="23" spans="1:40" ht="15.9" customHeight="1" x14ac:dyDescent="0.25">
      <c r="A23" s="33" t="s">
        <v>50</v>
      </c>
      <c r="B23" s="34" t="s">
        <v>17</v>
      </c>
      <c r="C23" s="34"/>
      <c r="D23" s="35"/>
      <c r="E23" s="35"/>
      <c r="F23" s="36"/>
      <c r="G23" s="36"/>
      <c r="H23" s="36"/>
      <c r="I23" s="36"/>
      <c r="J23" s="36"/>
      <c r="K23" s="36"/>
      <c r="L23" s="36"/>
      <c r="M23" s="36"/>
      <c r="N23" s="35"/>
      <c r="O23" s="35"/>
      <c r="P23" s="35"/>
      <c r="Q23" s="35"/>
      <c r="R23" s="35"/>
      <c r="S23" s="37"/>
      <c r="T23" s="37"/>
      <c r="U23" s="37"/>
      <c r="V23" s="37"/>
      <c r="W23" s="37"/>
      <c r="X23" s="37"/>
      <c r="Y23" s="37"/>
      <c r="Z23" s="38"/>
      <c r="AM23" s="21"/>
      <c r="AN23" s="22"/>
    </row>
    <row r="24" spans="1:40" ht="9" customHeight="1" x14ac:dyDescent="0.25">
      <c r="A24" s="18"/>
      <c r="Z24" s="23"/>
    </row>
    <row r="25" spans="1:40" ht="12.75" customHeight="1" x14ac:dyDescent="0.25">
      <c r="A25" s="18"/>
      <c r="Z25" s="23"/>
    </row>
    <row r="26" spans="1:40" ht="12.75" customHeight="1" x14ac:dyDescent="0.25">
      <c r="A26" s="18"/>
      <c r="Z26" s="23"/>
    </row>
    <row r="27" spans="1:40" ht="12.75" customHeight="1" x14ac:dyDescent="0.25">
      <c r="A27" s="18"/>
      <c r="Z27" s="23"/>
    </row>
    <row r="28" spans="1:40" ht="12.75" customHeight="1" x14ac:dyDescent="0.25">
      <c r="A28" s="18"/>
      <c r="Z28" s="23"/>
    </row>
    <row r="29" spans="1:40" ht="12.75" customHeight="1" x14ac:dyDescent="0.25">
      <c r="A29" s="18"/>
      <c r="Z29" s="23"/>
    </row>
    <row r="30" spans="1:40" ht="12.75" customHeight="1" x14ac:dyDescent="0.25">
      <c r="A30" s="18"/>
      <c r="Z30" s="23"/>
    </row>
    <row r="31" spans="1:40" ht="12.75" customHeight="1" x14ac:dyDescent="0.25">
      <c r="A31" s="18"/>
      <c r="Z31" s="23"/>
    </row>
    <row r="32" spans="1:40" ht="12.75" customHeight="1" x14ac:dyDescent="0.25">
      <c r="A32" s="18"/>
      <c r="Z32" s="23"/>
    </row>
    <row r="33" spans="1:34" ht="12.75" customHeight="1" x14ac:dyDescent="0.25">
      <c r="A33" s="18"/>
      <c r="Z33" s="23"/>
    </row>
    <row r="34" spans="1:34" ht="12.75" customHeight="1" x14ac:dyDescent="0.25">
      <c r="A34" s="18"/>
      <c r="Z34" s="23"/>
    </row>
    <row r="35" spans="1:34" ht="12.75" customHeight="1" x14ac:dyDescent="0.25">
      <c r="A35" s="18"/>
      <c r="Z35" s="23"/>
    </row>
    <row r="36" spans="1:34" ht="12.75" customHeight="1" x14ac:dyDescent="0.25">
      <c r="A36" s="18"/>
      <c r="Z36" s="23"/>
    </row>
    <row r="37" spans="1:34" ht="12.75" customHeight="1" x14ac:dyDescent="0.25">
      <c r="A37" s="18"/>
      <c r="Z37" s="23"/>
    </row>
    <row r="38" spans="1:34" ht="12.75" customHeight="1" x14ac:dyDescent="0.25">
      <c r="A38" s="18"/>
      <c r="Z38" s="23"/>
    </row>
    <row r="39" spans="1:34" ht="12.75" customHeight="1" x14ac:dyDescent="0.25">
      <c r="A39" s="18"/>
      <c r="Z39" s="23"/>
    </row>
    <row r="40" spans="1:34" ht="12.75" customHeight="1" x14ac:dyDescent="0.25">
      <c r="A40" s="18"/>
      <c r="Z40" s="23"/>
    </row>
    <row r="41" spans="1:34" ht="12.75" customHeight="1" x14ac:dyDescent="0.25">
      <c r="A41" s="18"/>
      <c r="Z41" s="23"/>
    </row>
    <row r="42" spans="1:34" ht="12.75" customHeight="1" x14ac:dyDescent="0.25">
      <c r="A42" s="18"/>
      <c r="Z42" s="23"/>
    </row>
    <row r="43" spans="1:34" ht="12.75" customHeight="1" x14ac:dyDescent="0.25">
      <c r="A43" s="18"/>
      <c r="Z43" s="23"/>
    </row>
    <row r="44" spans="1:34" ht="12.75" customHeight="1" x14ac:dyDescent="0.25">
      <c r="A44" s="18"/>
      <c r="Z44" s="23"/>
    </row>
    <row r="45" spans="1:34" ht="12.75" customHeight="1" x14ac:dyDescent="0.25">
      <c r="A45" s="18"/>
      <c r="Z45" s="23"/>
    </row>
    <row r="46" spans="1:34" ht="9.75" customHeight="1" thickBot="1" x14ac:dyDescent="0.3">
      <c r="A46" s="18"/>
      <c r="Z46" s="23"/>
    </row>
    <row r="47" spans="1:34" ht="9.75" customHeight="1" x14ac:dyDescent="0.25">
      <c r="A47" s="18"/>
      <c r="Z47" s="23"/>
      <c r="AD47" s="262" t="s">
        <v>16</v>
      </c>
      <c r="AE47" s="264">
        <v>2.6960000000000002</v>
      </c>
      <c r="AF47" s="234"/>
      <c r="AG47" s="240"/>
      <c r="AH47" s="39"/>
    </row>
    <row r="48" spans="1:34" ht="12.75" customHeight="1" thickBot="1" x14ac:dyDescent="0.3">
      <c r="A48" s="18"/>
      <c r="Z48" s="87"/>
      <c r="AD48" s="263"/>
      <c r="AE48" s="265"/>
      <c r="AF48" s="239"/>
      <c r="AG48" s="240"/>
    </row>
    <row r="49" spans="1:34" ht="18.75" customHeight="1" thickBot="1" x14ac:dyDescent="0.3">
      <c r="A49" s="18"/>
      <c r="E49" s="241" t="s">
        <v>11</v>
      </c>
      <c r="F49" s="242"/>
      <c r="G49" s="242"/>
      <c r="H49" s="242"/>
      <c r="I49" s="242"/>
      <c r="J49" s="242"/>
      <c r="K49" s="242"/>
      <c r="L49" s="242"/>
      <c r="M49" s="242"/>
      <c r="N49" s="242"/>
      <c r="O49" s="242"/>
      <c r="P49" s="242"/>
      <c r="Q49" s="242"/>
      <c r="R49" s="242"/>
      <c r="S49" s="242"/>
      <c r="T49" s="242"/>
      <c r="U49" s="243" t="s">
        <v>47</v>
      </c>
      <c r="V49" s="244"/>
      <c r="W49" s="245" t="s">
        <v>12</v>
      </c>
      <c r="X49" s="244"/>
      <c r="Y49" s="246" t="s">
        <v>13</v>
      </c>
      <c r="Z49" s="247"/>
      <c r="AA49" s="82"/>
      <c r="AB49" s="250" t="s">
        <v>45</v>
      </c>
      <c r="AC49" s="251"/>
      <c r="AD49" s="254" t="s">
        <v>14</v>
      </c>
      <c r="AE49" s="256" t="s">
        <v>15</v>
      </c>
      <c r="AF49" s="234"/>
      <c r="AG49" s="234"/>
      <c r="AH49" s="40"/>
    </row>
    <row r="50" spans="1:34" ht="24.9" customHeight="1" thickBot="1" x14ac:dyDescent="0.3">
      <c r="A50" s="5"/>
      <c r="B50" s="41" t="s">
        <v>22</v>
      </c>
      <c r="C50" s="235" t="s">
        <v>10</v>
      </c>
      <c r="D50" s="236"/>
      <c r="E50" s="89">
        <v>6.3E-2</v>
      </c>
      <c r="F50" s="89">
        <v>0.125</v>
      </c>
      <c r="G50" s="42">
        <v>0.25</v>
      </c>
      <c r="H50" s="42">
        <v>0.5</v>
      </c>
      <c r="I50" s="42">
        <v>1</v>
      </c>
      <c r="J50" s="42">
        <v>2</v>
      </c>
      <c r="K50" s="42">
        <v>4</v>
      </c>
      <c r="L50" s="42">
        <v>6.3</v>
      </c>
      <c r="M50" s="42">
        <v>8</v>
      </c>
      <c r="N50" s="42">
        <v>10</v>
      </c>
      <c r="O50" s="42">
        <v>12.5</v>
      </c>
      <c r="P50" s="42">
        <v>14</v>
      </c>
      <c r="Q50" s="74">
        <v>16</v>
      </c>
      <c r="R50" s="74">
        <v>20</v>
      </c>
      <c r="S50" s="42"/>
      <c r="T50" s="74"/>
      <c r="U50" s="189"/>
      <c r="V50" s="191"/>
      <c r="W50" s="190"/>
      <c r="X50" s="191"/>
      <c r="Y50" s="248"/>
      <c r="Z50" s="249"/>
      <c r="AA50" s="82"/>
      <c r="AB50" s="252"/>
      <c r="AC50" s="253"/>
      <c r="AD50" s="255"/>
      <c r="AE50" s="257"/>
      <c r="AF50" s="258"/>
      <c r="AG50" s="234"/>
    </row>
    <row r="51" spans="1:34" ht="24.9" customHeight="1" x14ac:dyDescent="0.25">
      <c r="A51" s="5"/>
      <c r="B51" s="43">
        <v>1</v>
      </c>
      <c r="C51" s="322" t="s">
        <v>51</v>
      </c>
      <c r="D51" s="324"/>
      <c r="E51" s="109">
        <v>8.1</v>
      </c>
      <c r="F51" s="113">
        <v>10.3</v>
      </c>
      <c r="G51" s="110">
        <v>13.2</v>
      </c>
      <c r="H51" s="110">
        <v>17</v>
      </c>
      <c r="I51" s="110">
        <v>25</v>
      </c>
      <c r="J51" s="110">
        <v>32.299999999999997</v>
      </c>
      <c r="K51" s="110">
        <v>48.6</v>
      </c>
      <c r="L51" s="110">
        <v>69.3</v>
      </c>
      <c r="M51" s="110">
        <v>85.4</v>
      </c>
      <c r="N51" s="110">
        <v>97.8</v>
      </c>
      <c r="O51" s="114">
        <v>100</v>
      </c>
      <c r="P51" s="110"/>
      <c r="Q51" s="110"/>
      <c r="R51" s="110"/>
      <c r="S51" s="111"/>
      <c r="T51" s="111"/>
      <c r="U51" s="325">
        <v>157</v>
      </c>
      <c r="V51" s="326"/>
      <c r="W51" s="327">
        <v>5.5</v>
      </c>
      <c r="X51" s="328"/>
      <c r="Y51" s="237">
        <f>IF(W51&lt;&gt;0,AE51,"")</f>
        <v>3.4391754622993647</v>
      </c>
      <c r="Z51" s="238"/>
      <c r="AA51" s="80"/>
      <c r="AB51" s="206">
        <f>(100*W51)/(100-W51)</f>
        <v>5.8201058201058204</v>
      </c>
      <c r="AC51" s="207"/>
      <c r="AD51" s="67">
        <f>(0.25*(100-O51)+2.3*(O51-H51)+12*(H51-E51)+150*(E51))/100</f>
        <v>15.127000000000001</v>
      </c>
      <c r="AE51" s="68">
        <f>(AB51*$AE$47)/(2.65*(AD51)^(1/5))</f>
        <v>3.4391754622993647</v>
      </c>
      <c r="AF51" s="29"/>
      <c r="AG51" s="66"/>
    </row>
    <row r="52" spans="1:34" ht="24.9" customHeight="1" x14ac:dyDescent="0.25">
      <c r="A52" s="5"/>
      <c r="B52" s="44">
        <v>2</v>
      </c>
      <c r="C52" s="322" t="s">
        <v>64</v>
      </c>
      <c r="D52" s="323"/>
      <c r="E52" s="122">
        <v>7.8</v>
      </c>
      <c r="F52" s="123">
        <v>9.8000000000000007</v>
      </c>
      <c r="G52" s="124">
        <v>12.7</v>
      </c>
      <c r="H52" s="124">
        <v>16.399999999999999</v>
      </c>
      <c r="I52" s="124">
        <v>21.7</v>
      </c>
      <c r="J52" s="124">
        <v>31.4</v>
      </c>
      <c r="K52" s="124">
        <v>47.1</v>
      </c>
      <c r="L52" s="124">
        <v>67.5</v>
      </c>
      <c r="M52" s="124">
        <v>82.8</v>
      </c>
      <c r="N52" s="124">
        <v>97.1</v>
      </c>
      <c r="O52" s="124">
        <v>100</v>
      </c>
      <c r="P52" s="124"/>
      <c r="Q52" s="124"/>
      <c r="R52" s="124"/>
      <c r="S52" s="125"/>
      <c r="T52" s="125"/>
      <c r="U52" s="230">
        <v>158</v>
      </c>
      <c r="V52" s="231"/>
      <c r="W52" s="232">
        <v>5.3</v>
      </c>
      <c r="X52" s="233"/>
      <c r="Y52" s="227">
        <f>IF(W52&lt;&gt;0,AE52,"")</f>
        <v>3.3281579209310928</v>
      </c>
      <c r="Z52" s="228"/>
      <c r="AA52" s="80"/>
      <c r="AB52" s="206">
        <f>(100*W52)/(100-W52)</f>
        <v>5.5966209081309399</v>
      </c>
      <c r="AC52" s="207"/>
      <c r="AD52" s="67">
        <f t="shared" ref="AD52:AD58" si="0">(0.25*(100-O52)+2.3*(O52-H52)+12*(H52-E52)+150*(E52))/100</f>
        <v>14.6548</v>
      </c>
      <c r="AE52" s="68">
        <f t="shared" ref="AE52:AE58" si="1">(AB52*$AE$47)/(2.65*(AD52)^(1/5))</f>
        <v>3.3281579209310928</v>
      </c>
      <c r="AF52" s="29"/>
      <c r="AG52" s="66"/>
    </row>
    <row r="53" spans="1:34" ht="24.9" customHeight="1" x14ac:dyDescent="0.25">
      <c r="A53" s="5"/>
      <c r="B53" s="44">
        <v>3</v>
      </c>
      <c r="C53" s="183" t="s">
        <v>65</v>
      </c>
      <c r="D53" s="229"/>
      <c r="E53" s="122">
        <v>8.1</v>
      </c>
      <c r="F53" s="123">
        <v>10.1</v>
      </c>
      <c r="G53" s="124">
        <v>12.9</v>
      </c>
      <c r="H53" s="124">
        <v>16.600000000000001</v>
      </c>
      <c r="I53" s="124">
        <v>21.7</v>
      </c>
      <c r="J53" s="124">
        <v>30.7</v>
      </c>
      <c r="K53" s="124">
        <v>44.6</v>
      </c>
      <c r="L53" s="124">
        <v>61.2</v>
      </c>
      <c r="M53" s="124">
        <v>78.8</v>
      </c>
      <c r="N53" s="124">
        <v>95.4</v>
      </c>
      <c r="O53" s="124">
        <v>100</v>
      </c>
      <c r="P53" s="124"/>
      <c r="Q53" s="124"/>
      <c r="R53" s="124"/>
      <c r="S53" s="125"/>
      <c r="T53" s="125"/>
      <c r="U53" s="230">
        <v>156</v>
      </c>
      <c r="V53" s="231"/>
      <c r="W53" s="232">
        <v>5.45</v>
      </c>
      <c r="X53" s="233"/>
      <c r="Y53" s="227">
        <f t="shared" ref="Y53:Y54" si="2">IF(W53&lt;&gt;0,AE53,"")</f>
        <v>3.407858050791627</v>
      </c>
      <c r="Z53" s="228"/>
      <c r="AA53" s="80"/>
      <c r="AB53" s="206">
        <f>(100*W53)/(100-W53)</f>
        <v>5.7641459545214175</v>
      </c>
      <c r="AC53" s="207"/>
      <c r="AD53" s="67">
        <f t="shared" si="0"/>
        <v>15.088200000000002</v>
      </c>
      <c r="AE53" s="68">
        <f t="shared" si="1"/>
        <v>3.407858050791627</v>
      </c>
      <c r="AF53" s="29"/>
      <c r="AG53" s="66"/>
    </row>
    <row r="54" spans="1:34" ht="24.9" customHeight="1" thickBot="1" x14ac:dyDescent="0.3">
      <c r="A54" s="5"/>
      <c r="B54" s="45">
        <v>4</v>
      </c>
      <c r="C54" s="195"/>
      <c r="D54" s="217"/>
      <c r="E54" s="92"/>
      <c r="F54" s="93"/>
      <c r="G54" s="93"/>
      <c r="H54" s="94"/>
      <c r="I54" s="94"/>
      <c r="J54" s="94"/>
      <c r="K54" s="94"/>
      <c r="L54" s="94"/>
      <c r="M54" s="94"/>
      <c r="N54" s="94"/>
      <c r="O54" s="118"/>
      <c r="P54" s="94"/>
      <c r="Q54" s="94"/>
      <c r="R54" s="94"/>
      <c r="S54" s="94"/>
      <c r="T54" s="95"/>
      <c r="U54" s="218"/>
      <c r="V54" s="219"/>
      <c r="W54" s="220"/>
      <c r="X54" s="221"/>
      <c r="Y54" s="222" t="str">
        <f t="shared" si="2"/>
        <v/>
      </c>
      <c r="Z54" s="223"/>
      <c r="AA54" s="80"/>
      <c r="AB54" s="206">
        <f>(100*W54)/(100-W54)</f>
        <v>0</v>
      </c>
      <c r="AC54" s="207"/>
      <c r="AD54" s="67">
        <f t="shared" si="0"/>
        <v>0.25</v>
      </c>
      <c r="AE54" s="68">
        <f t="shared" si="1"/>
        <v>0</v>
      </c>
      <c r="AF54" s="29"/>
      <c r="AG54" s="66"/>
    </row>
    <row r="55" spans="1:34" ht="10.5" customHeight="1" thickBot="1" x14ac:dyDescent="0.3">
      <c r="A55" s="5"/>
      <c r="B55" s="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119"/>
      <c r="P55" s="46"/>
      <c r="Q55" s="46"/>
      <c r="R55" s="46"/>
      <c r="S55" s="46"/>
      <c r="T55" s="46"/>
      <c r="U55" s="46"/>
      <c r="V55" s="46"/>
      <c r="W55" s="88"/>
      <c r="Z55" s="70"/>
      <c r="AB55" s="85"/>
      <c r="AC55" s="86"/>
      <c r="AD55" s="67"/>
      <c r="AE55" s="68"/>
      <c r="AF55" s="29"/>
      <c r="AG55" s="66"/>
    </row>
    <row r="56" spans="1:34" ht="24.75" hidden="1" customHeight="1" x14ac:dyDescent="0.25">
      <c r="A56" s="5"/>
      <c r="B56" s="224" t="s">
        <v>8</v>
      </c>
      <c r="C56" s="225"/>
      <c r="D56" s="226"/>
      <c r="E56" s="47"/>
      <c r="F56" s="47"/>
      <c r="G56" s="47"/>
      <c r="H56" s="47"/>
      <c r="I56" s="47"/>
      <c r="J56" s="47"/>
      <c r="K56" s="47"/>
      <c r="L56" s="47"/>
      <c r="M56" s="47">
        <v>10</v>
      </c>
      <c r="N56" s="47">
        <v>10</v>
      </c>
      <c r="O56" s="120"/>
      <c r="P56" s="47"/>
      <c r="Q56" s="47">
        <v>50</v>
      </c>
      <c r="R56" s="47"/>
      <c r="S56" s="47">
        <v>70</v>
      </c>
      <c r="T56" s="47"/>
      <c r="U56" s="47"/>
      <c r="V56" s="47"/>
      <c r="W56" s="47"/>
      <c r="X56" s="48"/>
      <c r="Y56" s="49">
        <v>4.5</v>
      </c>
      <c r="Z56" s="49"/>
      <c r="AA56" s="29"/>
      <c r="AB56" s="85"/>
      <c r="AC56" s="86"/>
      <c r="AD56" s="67">
        <f t="shared" si="0"/>
        <v>0.25</v>
      </c>
      <c r="AE56" s="68">
        <f t="shared" si="1"/>
        <v>0</v>
      </c>
      <c r="AF56" s="29"/>
      <c r="AG56" s="66"/>
    </row>
    <row r="57" spans="1:34" ht="18.75" customHeight="1" x14ac:dyDescent="0.25">
      <c r="A57" s="5"/>
      <c r="B57" s="197" t="s">
        <v>7</v>
      </c>
      <c r="C57" s="198"/>
      <c r="D57" s="199"/>
      <c r="E57" s="96">
        <f t="shared" ref="E57:T57" si="3">IF(E51&lt;&gt;0,AVERAGE(E51:E54),"")</f>
        <v>8</v>
      </c>
      <c r="F57" s="96">
        <f t="shared" si="3"/>
        <v>10.066666666666668</v>
      </c>
      <c r="G57" s="96">
        <f t="shared" si="3"/>
        <v>12.933333333333332</v>
      </c>
      <c r="H57" s="96">
        <f t="shared" si="3"/>
        <v>16.666666666666668</v>
      </c>
      <c r="I57" s="96">
        <f t="shared" si="3"/>
        <v>22.8</v>
      </c>
      <c r="J57" s="96">
        <f t="shared" si="3"/>
        <v>31.466666666666665</v>
      </c>
      <c r="K57" s="96">
        <f t="shared" si="3"/>
        <v>46.766666666666673</v>
      </c>
      <c r="L57" s="96">
        <f t="shared" si="3"/>
        <v>66</v>
      </c>
      <c r="M57" s="96">
        <f t="shared" si="3"/>
        <v>82.333333333333329</v>
      </c>
      <c r="N57" s="96">
        <f t="shared" si="3"/>
        <v>96.766666666666652</v>
      </c>
      <c r="O57" s="121">
        <f t="shared" si="3"/>
        <v>100</v>
      </c>
      <c r="P57" s="96"/>
      <c r="Q57" s="96"/>
      <c r="R57" s="96"/>
      <c r="S57" s="96" t="str">
        <f t="shared" si="3"/>
        <v/>
      </c>
      <c r="T57" s="97" t="str">
        <f t="shared" si="3"/>
        <v/>
      </c>
      <c r="U57" s="312">
        <f>IF(U51&lt;&gt;0,AVERAGE(U51:V54),"")</f>
        <v>157</v>
      </c>
      <c r="V57" s="313"/>
      <c r="W57" s="314">
        <f>IF(W51&lt;&gt;0,AVERAGE(W51:X54),"")</f>
        <v>5.416666666666667</v>
      </c>
      <c r="X57" s="315"/>
      <c r="Y57" s="204">
        <f>IF(W51&lt;&gt;0,AVERAGE(Y51:Z54),"")</f>
        <v>3.391730478007362</v>
      </c>
      <c r="Z57" s="205"/>
      <c r="AA57" s="66"/>
      <c r="AB57" s="206">
        <f>(100*W57)/(100-W57)</f>
        <v>5.7268722466960362</v>
      </c>
      <c r="AC57" s="207"/>
      <c r="AD57" s="67">
        <f t="shared" si="0"/>
        <v>14.956666666666665</v>
      </c>
      <c r="AE57" s="68">
        <f t="shared" si="1"/>
        <v>3.3917555637394083</v>
      </c>
      <c r="AF57" s="29"/>
      <c r="AG57" s="66"/>
    </row>
    <row r="58" spans="1:34" ht="21" customHeight="1" x14ac:dyDescent="0.25">
      <c r="A58" s="5"/>
      <c r="B58" s="208" t="s">
        <v>9</v>
      </c>
      <c r="C58" s="209"/>
      <c r="D58" s="210"/>
      <c r="E58" s="115">
        <v>8</v>
      </c>
      <c r="F58" s="115"/>
      <c r="G58" s="115">
        <v>13</v>
      </c>
      <c r="H58" s="115">
        <v>17</v>
      </c>
      <c r="I58" s="115">
        <v>23</v>
      </c>
      <c r="J58" s="115">
        <v>33</v>
      </c>
      <c r="K58" s="115">
        <v>46</v>
      </c>
      <c r="L58" s="115">
        <v>63</v>
      </c>
      <c r="M58" s="115">
        <v>81</v>
      </c>
      <c r="N58" s="115">
        <v>95</v>
      </c>
      <c r="O58" s="116">
        <v>100</v>
      </c>
      <c r="P58" s="115"/>
      <c r="Q58" s="115"/>
      <c r="R58" s="115"/>
      <c r="S58" s="115"/>
      <c r="T58" s="117"/>
      <c r="U58" s="316"/>
      <c r="V58" s="317"/>
      <c r="W58" s="318">
        <v>5.5</v>
      </c>
      <c r="X58" s="319"/>
      <c r="Y58" s="215">
        <f>AE58</f>
        <v>3.4454849956172735</v>
      </c>
      <c r="Z58" s="216"/>
      <c r="AA58" s="66"/>
      <c r="AB58" s="206">
        <f>(100*W58)/(100-W58)</f>
        <v>5.8201058201058204</v>
      </c>
      <c r="AC58" s="207"/>
      <c r="AD58" s="67">
        <f t="shared" si="0"/>
        <v>14.989000000000001</v>
      </c>
      <c r="AE58" s="68">
        <f t="shared" si="1"/>
        <v>3.4454849956172735</v>
      </c>
      <c r="AF58" s="29"/>
      <c r="AG58" s="66"/>
    </row>
    <row r="59" spans="1:34" ht="13.5" customHeight="1" x14ac:dyDescent="0.25">
      <c r="A59" s="5"/>
      <c r="B59" s="50"/>
      <c r="C59" s="51" t="s">
        <v>23</v>
      </c>
      <c r="D59" s="52"/>
      <c r="E59" s="90">
        <f>E58+2</f>
        <v>10</v>
      </c>
      <c r="F59" s="90"/>
      <c r="G59" s="90"/>
      <c r="H59" s="90"/>
      <c r="I59" s="90"/>
      <c r="J59" s="90">
        <f>J58+6</f>
        <v>39</v>
      </c>
      <c r="K59" s="90"/>
      <c r="L59" s="90">
        <f>L58+7</f>
        <v>70</v>
      </c>
      <c r="M59" s="90"/>
      <c r="N59" s="90"/>
      <c r="O59" s="90"/>
      <c r="P59" s="90"/>
      <c r="Q59" s="90"/>
      <c r="R59" s="90"/>
      <c r="S59" s="90"/>
      <c r="T59" s="91"/>
      <c r="U59" s="180"/>
      <c r="V59" s="181"/>
      <c r="W59" s="182">
        <f>W58+0.5</f>
        <v>6</v>
      </c>
      <c r="X59" s="181"/>
      <c r="Y59" s="183"/>
      <c r="Z59" s="184"/>
      <c r="AA59" s="83"/>
      <c r="AB59" s="71"/>
      <c r="AC59" s="69"/>
      <c r="AD59" s="185"/>
      <c r="AE59" s="187" t="s">
        <v>46</v>
      </c>
      <c r="AF59" s="29"/>
      <c r="AG59" s="66"/>
    </row>
    <row r="60" spans="1:34" ht="13.5" customHeight="1" thickBot="1" x14ac:dyDescent="0.3">
      <c r="A60" s="5"/>
      <c r="B60" s="189" t="s">
        <v>24</v>
      </c>
      <c r="C60" s="190"/>
      <c r="D60" s="191"/>
      <c r="E60" s="98">
        <f>E58-2</f>
        <v>6</v>
      </c>
      <c r="F60" s="98"/>
      <c r="G60" s="99"/>
      <c r="H60" s="99"/>
      <c r="I60" s="99"/>
      <c r="J60" s="98">
        <f>J58-6</f>
        <v>27</v>
      </c>
      <c r="K60" s="99"/>
      <c r="L60" s="98">
        <f>L58-7</f>
        <v>56</v>
      </c>
      <c r="M60" s="98"/>
      <c r="N60" s="99"/>
      <c r="O60" s="99"/>
      <c r="P60" s="99"/>
      <c r="Q60" s="98"/>
      <c r="R60" s="99"/>
      <c r="S60" s="99"/>
      <c r="T60" s="100"/>
      <c r="U60" s="192"/>
      <c r="V60" s="193"/>
      <c r="W60" s="194">
        <f>W58-0.5</f>
        <v>5</v>
      </c>
      <c r="X60" s="193"/>
      <c r="Y60" s="195"/>
      <c r="Z60" s="196"/>
      <c r="AA60" s="84"/>
      <c r="AB60" s="72"/>
      <c r="AC60" s="73"/>
      <c r="AD60" s="186"/>
      <c r="AE60" s="188"/>
      <c r="AF60" s="29"/>
      <c r="AG60" s="66"/>
    </row>
    <row r="61" spans="1:34" ht="6.75" customHeight="1" x14ac:dyDescent="0.25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53"/>
    </row>
    <row r="62" spans="1:34" ht="8.25" customHeight="1" x14ac:dyDescent="0.25"/>
    <row r="63" spans="1:34" ht="16.2" customHeight="1" x14ac:dyDescent="0.25">
      <c r="A63" s="54" t="s">
        <v>4</v>
      </c>
      <c r="B63" s="55" t="s">
        <v>21</v>
      </c>
      <c r="C63" s="56"/>
      <c r="D63" s="56"/>
      <c r="E63" s="56"/>
      <c r="F63" s="57"/>
      <c r="G63" s="57"/>
      <c r="H63" s="57"/>
      <c r="I63" s="9"/>
      <c r="J63" s="9"/>
      <c r="K63" s="9"/>
      <c r="L63" s="9"/>
      <c r="M63" s="9"/>
      <c r="N63" s="9"/>
      <c r="O63" s="9"/>
      <c r="P63" s="9"/>
      <c r="Q63" s="57"/>
      <c r="R63" s="9"/>
      <c r="S63" s="9"/>
      <c r="T63" s="9"/>
      <c r="U63" s="163"/>
      <c r="V63" s="163"/>
      <c r="W63" s="163"/>
      <c r="X63" s="163"/>
      <c r="Y63" s="163"/>
      <c r="Z63" s="164"/>
      <c r="AA63" s="81"/>
      <c r="AB63" s="58"/>
      <c r="AC63" s="58"/>
      <c r="AD63" s="59"/>
    </row>
    <row r="64" spans="1:34" ht="26.4" customHeight="1" x14ac:dyDescent="0.25">
      <c r="A64" s="165" t="s">
        <v>48</v>
      </c>
      <c r="B64" s="166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7"/>
      <c r="R64" s="150" t="s">
        <v>31</v>
      </c>
      <c r="S64" s="151"/>
      <c r="T64" s="152"/>
      <c r="U64" s="168" t="s">
        <v>53</v>
      </c>
      <c r="V64" s="169"/>
      <c r="W64" s="169"/>
      <c r="X64" s="169"/>
      <c r="Y64" s="169"/>
      <c r="Z64" s="170"/>
      <c r="AA64" s="76"/>
      <c r="AB64" s="60"/>
      <c r="AC64" s="60"/>
      <c r="AD64" s="59"/>
    </row>
    <row r="65" spans="1:30" ht="26.4" customHeight="1" x14ac:dyDescent="0.25">
      <c r="A65" s="171" t="s">
        <v>52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3"/>
      <c r="R65" s="150"/>
      <c r="S65" s="151"/>
      <c r="T65" s="152"/>
      <c r="U65" s="174" t="s">
        <v>54</v>
      </c>
      <c r="V65" s="175"/>
      <c r="W65" s="175"/>
      <c r="X65" s="175"/>
      <c r="Y65" s="175"/>
      <c r="Z65" s="176"/>
      <c r="AA65" s="76"/>
      <c r="AB65" s="60"/>
      <c r="AC65" s="60"/>
      <c r="AD65" s="59"/>
    </row>
    <row r="66" spans="1:30" ht="15.6" customHeight="1" x14ac:dyDescent="0.25">
      <c r="A66" s="61" t="s">
        <v>3</v>
      </c>
      <c r="B66" s="62" t="s">
        <v>5</v>
      </c>
      <c r="C66" s="14"/>
      <c r="D66" s="14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150"/>
      <c r="S66" s="151"/>
      <c r="T66" s="152"/>
      <c r="U66" s="177"/>
      <c r="V66" s="178"/>
      <c r="W66" s="178"/>
      <c r="X66" s="178"/>
      <c r="Y66" s="178"/>
      <c r="Z66" s="179"/>
      <c r="AA66" s="76"/>
      <c r="AB66" s="60"/>
      <c r="AC66" s="60"/>
      <c r="AD66" s="59"/>
    </row>
    <row r="67" spans="1:30" ht="15.6" customHeight="1" x14ac:dyDescent="0.25">
      <c r="A67" s="144"/>
      <c r="B67" s="145"/>
      <c r="C67" s="145"/>
      <c r="D67" s="145"/>
      <c r="E67" s="145"/>
      <c r="F67" s="145"/>
      <c r="G67" s="145"/>
      <c r="H67" s="145"/>
      <c r="I67" s="145"/>
      <c r="J67" s="145"/>
      <c r="K67" s="145"/>
      <c r="L67" s="145"/>
      <c r="M67" s="145"/>
      <c r="N67" s="145"/>
      <c r="O67" s="145"/>
      <c r="P67" s="145"/>
      <c r="Q67" s="146"/>
      <c r="R67" s="150" t="s">
        <v>25</v>
      </c>
      <c r="S67" s="151"/>
      <c r="T67" s="152"/>
      <c r="U67" s="101"/>
      <c r="V67" s="102"/>
      <c r="W67" s="102"/>
      <c r="X67" s="102"/>
      <c r="Y67" s="102"/>
      <c r="Z67" s="103"/>
      <c r="AA67" s="77"/>
      <c r="AB67" s="65"/>
      <c r="AC67" s="65"/>
      <c r="AD67" s="59"/>
    </row>
    <row r="68" spans="1:30" ht="15.6" customHeight="1" x14ac:dyDescent="0.25">
      <c r="A68" s="144"/>
      <c r="B68" s="145"/>
      <c r="C68" s="145"/>
      <c r="D68" s="145"/>
      <c r="E68" s="145"/>
      <c r="F68" s="145"/>
      <c r="G68" s="145"/>
      <c r="H68" s="145"/>
      <c r="I68" s="145"/>
      <c r="J68" s="145"/>
      <c r="K68" s="145"/>
      <c r="L68" s="145"/>
      <c r="M68" s="145"/>
      <c r="N68" s="145"/>
      <c r="O68" s="145"/>
      <c r="P68" s="145"/>
      <c r="Q68" s="146"/>
      <c r="R68" s="150"/>
      <c r="S68" s="151"/>
      <c r="T68" s="152"/>
      <c r="U68" s="104"/>
      <c r="V68" s="156"/>
      <c r="W68" s="156"/>
      <c r="X68" s="156"/>
      <c r="Y68" s="156"/>
      <c r="Z68" s="105"/>
      <c r="AA68" s="77"/>
      <c r="AB68" s="65"/>
      <c r="AC68" s="65"/>
      <c r="AD68" s="59"/>
    </row>
    <row r="69" spans="1:30" ht="15.6" customHeight="1" x14ac:dyDescent="0.25">
      <c r="A69" s="144"/>
      <c r="B69" s="145"/>
      <c r="C69" s="145"/>
      <c r="D69" s="145"/>
      <c r="E69" s="145"/>
      <c r="F69" s="145"/>
      <c r="G69" s="145"/>
      <c r="H69" s="145"/>
      <c r="I69" s="145"/>
      <c r="J69" s="145"/>
      <c r="K69" s="145"/>
      <c r="L69" s="145"/>
      <c r="M69" s="145"/>
      <c r="N69" s="145"/>
      <c r="O69" s="145"/>
      <c r="P69" s="145"/>
      <c r="Q69" s="146"/>
      <c r="R69" s="150"/>
      <c r="S69" s="151"/>
      <c r="T69" s="152"/>
      <c r="U69" s="104"/>
      <c r="V69" s="156"/>
      <c r="W69" s="156"/>
      <c r="X69" s="156"/>
      <c r="Y69" s="156"/>
      <c r="Z69" s="105"/>
      <c r="AA69" s="77"/>
      <c r="AB69" s="65"/>
      <c r="AC69" s="65"/>
      <c r="AD69" s="59"/>
    </row>
    <row r="70" spans="1:30" ht="15.6" customHeight="1" x14ac:dyDescent="0.25">
      <c r="A70" s="147"/>
      <c r="B70" s="148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  <c r="R70" s="153"/>
      <c r="S70" s="154"/>
      <c r="T70" s="155"/>
      <c r="U70" s="106"/>
      <c r="V70" s="107"/>
      <c r="W70" s="107"/>
      <c r="X70" s="107"/>
      <c r="Y70" s="107"/>
      <c r="Z70" s="108"/>
      <c r="AA70" s="77"/>
      <c r="AB70" s="65"/>
      <c r="AC70" s="65"/>
      <c r="AD70" s="59"/>
    </row>
  </sheetData>
  <mergeCells count="101">
    <mergeCell ref="B14:F14"/>
    <mergeCell ref="S11:Y11"/>
    <mergeCell ref="M11:R11"/>
    <mergeCell ref="B12:F12"/>
    <mergeCell ref="G11:L11"/>
    <mergeCell ref="B11:F11"/>
    <mergeCell ref="G12:L12"/>
    <mergeCell ref="G13:L13"/>
    <mergeCell ref="G14:L14"/>
    <mergeCell ref="B13:F13"/>
    <mergeCell ref="B19:H19"/>
    <mergeCell ref="I19:Y19"/>
    <mergeCell ref="R67:T70"/>
    <mergeCell ref="U65:Z66"/>
    <mergeCell ref="A67:Q70"/>
    <mergeCell ref="R65:T66"/>
    <mergeCell ref="S10:Y10"/>
    <mergeCell ref="A1:F6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A7:F7"/>
    <mergeCell ref="G7:Z7"/>
    <mergeCell ref="B10:F10"/>
    <mergeCell ref="G10:L10"/>
    <mergeCell ref="M10:R10"/>
    <mergeCell ref="B20:H20"/>
    <mergeCell ref="AG47:AG48"/>
    <mergeCell ref="AF49:AF50"/>
    <mergeCell ref="AG49:AG50"/>
    <mergeCell ref="AF47:AF48"/>
    <mergeCell ref="AD49:AD50"/>
    <mergeCell ref="AE49:AE50"/>
    <mergeCell ref="E49:T49"/>
    <mergeCell ref="U49:V50"/>
    <mergeCell ref="W49:X50"/>
    <mergeCell ref="Y49:Z50"/>
    <mergeCell ref="AB49:AC50"/>
    <mergeCell ref="AD47:AD48"/>
    <mergeCell ref="AE47:AE48"/>
    <mergeCell ref="C51:D51"/>
    <mergeCell ref="C50:D50"/>
    <mergeCell ref="B56:D56"/>
    <mergeCell ref="Y51:Z51"/>
    <mergeCell ref="Y52:Z52"/>
    <mergeCell ref="Y53:Z53"/>
    <mergeCell ref="Y54:Z54"/>
    <mergeCell ref="U51:V51"/>
    <mergeCell ref="U52:V52"/>
    <mergeCell ref="U53:V53"/>
    <mergeCell ref="U54:V54"/>
    <mergeCell ref="W51:X51"/>
    <mergeCell ref="C53:D53"/>
    <mergeCell ref="C54:D54"/>
    <mergeCell ref="AB57:AC57"/>
    <mergeCell ref="AB58:AC58"/>
    <mergeCell ref="AE59:AE60"/>
    <mergeCell ref="M12:R12"/>
    <mergeCell ref="S12:Y12"/>
    <mergeCell ref="M13:R13"/>
    <mergeCell ref="S13:Y13"/>
    <mergeCell ref="M14:R14"/>
    <mergeCell ref="S14:Y14"/>
    <mergeCell ref="AD59:AD60"/>
    <mergeCell ref="AB51:AC51"/>
    <mergeCell ref="AB52:AC52"/>
    <mergeCell ref="AB53:AC53"/>
    <mergeCell ref="AB54:AC54"/>
    <mergeCell ref="U57:V57"/>
    <mergeCell ref="Y57:Z57"/>
    <mergeCell ref="I20:Y20"/>
    <mergeCell ref="V68:Y69"/>
    <mergeCell ref="A65:Q65"/>
    <mergeCell ref="W52:X52"/>
    <mergeCell ref="W53:X53"/>
    <mergeCell ref="W54:X54"/>
    <mergeCell ref="Y58:Z58"/>
    <mergeCell ref="Y59:Z59"/>
    <mergeCell ref="Y60:Z60"/>
    <mergeCell ref="U58:V58"/>
    <mergeCell ref="U59:V59"/>
    <mergeCell ref="U60:V60"/>
    <mergeCell ref="W57:X57"/>
    <mergeCell ref="W58:X58"/>
    <mergeCell ref="W59:X59"/>
    <mergeCell ref="W60:X60"/>
    <mergeCell ref="C52:D52"/>
    <mergeCell ref="U63:Z63"/>
    <mergeCell ref="U64:Z64"/>
    <mergeCell ref="B58:D58"/>
    <mergeCell ref="R64:T64"/>
    <mergeCell ref="B60:D60"/>
    <mergeCell ref="A64:Q64"/>
    <mergeCell ref="B57:D57"/>
  </mergeCells>
  <phoneticPr fontId="0" type="noConversion"/>
  <printOptions horizontalCentered="1" verticalCentered="1"/>
  <pageMargins left="0.27559055118110237" right="0.19685039370078741" top="0.27559055118110237" bottom="0.19685039370078741" header="0.35433070866141736" footer="0.15748031496062992"/>
  <pageSetup paperSize="9" scale="76" orientation="portrait" horizontalDpi="300" verticalDpi="300" r:id="rId1"/>
  <headerFooter alignWithMargins="0">
    <oddFooter>&amp;RDG-Q / RE CFE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7</vt:i4>
      </vt:variant>
    </vt:vector>
  </HeadingPairs>
  <TitlesOfParts>
    <vt:vector size="14" baseType="lpstr">
      <vt:lpstr>060525 BBSG Montfort Eyzin</vt:lpstr>
      <vt:lpstr>070425 BBSG Compostière Eyzin</vt:lpstr>
      <vt:lpstr>070425 GB  Compostière Eyzin</vt:lpstr>
      <vt:lpstr>110424</vt:lpstr>
      <vt:lpstr>210324</vt:lpstr>
      <vt:lpstr>291123</vt:lpstr>
      <vt:lpstr>301023</vt:lpstr>
      <vt:lpstr>'060525 BBSG Montfort Eyzin'!Zone_d_impression</vt:lpstr>
      <vt:lpstr>'070425 BBSG Compostière Eyzin'!Zone_d_impression</vt:lpstr>
      <vt:lpstr>'070425 GB  Compostière Eyzin'!Zone_d_impression</vt:lpstr>
      <vt:lpstr>'110424'!Zone_d_impression</vt:lpstr>
      <vt:lpstr>'210324'!Zone_d_impression</vt:lpstr>
      <vt:lpstr>'291123'!Zone_d_impression</vt:lpstr>
      <vt:lpstr>'301023'!Zone_d_impression</vt:lpstr>
    </vt:vector>
  </TitlesOfParts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MONTET F.</dc:creator>
  <cp:lastModifiedBy>MONTET Frédéric</cp:lastModifiedBy>
  <cp:lastPrinted>2025-05-07T08:38:51Z</cp:lastPrinted>
  <dcterms:created xsi:type="dcterms:W3CDTF">2004-11-13T18:13:05Z</dcterms:created>
  <dcterms:modified xsi:type="dcterms:W3CDTF">2025-05-07T08:39:14Z</dcterms:modified>
</cp:coreProperties>
</file>