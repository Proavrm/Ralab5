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AAIN Renault trucks Bourg en Bresse\Essais de laboratoire\Portances\"/>
    </mc:Choice>
  </mc:AlternateContent>
  <xr:revisionPtr revIDLastSave="0" documentId="13_ncr:1_{95B2740E-9899-42B4-A999-7E1A839E8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0425" sheetId="1" r:id="rId1"/>
  </sheets>
  <definedNames>
    <definedName name="_xlnm.Print_Area" localSheetId="0">'010425'!$A$1:$Z$69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<sst xmlns="http://schemas.openxmlformats.org/spreadsheetml/2006/main" count="54" uniqueCount="53">
  <si>
    <t>COMPTE RENDU D'ESSAIS</t>
  </si>
  <si>
    <t>PORTANCES DES PLATES-FORMES DYNAPLAQUE 
(NF P 94-117-2 d'octobre 2004)</t>
  </si>
  <si>
    <t>PLD N°</t>
  </si>
  <si>
    <t>RA AAIN</t>
  </si>
  <si>
    <t>01/04/2025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</si>
  <si>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</si>
  <si>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</si>
  <si>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</si>
  <si>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</si>
  <si>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</si>
  <si>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</si>
  <si>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</si>
  <si>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</si>
  <si>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</si>
  <si>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</si>
  <si>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 en place</t>
  </si>
  <si>
    <t>Date de(s) essai(s) :</t>
  </si>
  <si>
    <t>Météo :</t>
  </si>
  <si>
    <t>Beau</t>
  </si>
  <si>
    <t>Partie de l'ouvrage :</t>
  </si>
  <si>
    <t>Plate-forme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</si>
  <si>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</si>
  <si>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</si>
  <si>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</si>
  <si>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</si>
  <si>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</si>
  <si>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</si>
  <si>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</si>
  <si>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</si>
  <si>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</si>
  <si>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</si>
  <si>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</si>
  <si>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</si>
  <si>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</si>
  <si>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</si>
  <si>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</si>
  <si>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</si>
  <si>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</si>
  <si>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</si>
  <si>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</si>
  <si>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</si>
  <si>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</si>
  <si>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</si>
  <si>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</si>
  <si>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</si>
  <si>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Pour information</t>
  </si>
  <si>
    <t>Fonction</t>
  </si>
  <si>
    <t>Technicien de laboratoire</t>
  </si>
  <si>
    <t>6/</t>
  </si>
  <si>
    <t>COMMENTAIRES</t>
  </si>
  <si>
    <t>Visa</t>
  </si>
  <si>
    <t>Renault trucks - Bourg en Bresse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</si>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</sst>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topLeftCell="A48" workbookViewId="0">
      <selection activeCell="AC56" sqref="AC5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51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1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20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52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24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25</v>
      </c>
      <c r="C18" s="111"/>
      <c r="D18" s="111"/>
      <c r="E18" s="111"/>
      <c r="F18" s="111"/>
      <c r="G18" s="111"/>
      <c r="H18" s="111"/>
      <c r="I18" s="164" t="s">
        <v>26</v>
      </c>
      <c r="J18" s="164"/>
      <c r="K18" s="27"/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6" t="s">
        <v>30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31</v>
      </c>
      <c r="C23" s="91" t="s">
        <v>32</v>
      </c>
      <c r="D23" s="91"/>
      <c r="E23" s="91"/>
      <c r="F23" s="91"/>
      <c r="G23" s="92"/>
      <c r="H23" s="171" t="s">
        <v>33</v>
      </c>
      <c r="I23" s="172"/>
      <c r="J23" s="173"/>
      <c r="K23" s="91" t="s">
        <v>34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35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182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138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146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>
        <v>4</v>
      </c>
      <c r="C28" s="75"/>
      <c r="D28" s="76"/>
      <c r="E28" s="76"/>
      <c r="F28" s="76"/>
      <c r="G28" s="77"/>
      <c r="H28" s="165">
        <v>156</v>
      </c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>
        <v>5</v>
      </c>
      <c r="C29" s="75"/>
      <c r="D29" s="76"/>
      <c r="E29" s="76"/>
      <c r="F29" s="76"/>
      <c r="G29" s="77"/>
      <c r="H29" s="165">
        <v>168</v>
      </c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>
        <v>6</v>
      </c>
      <c r="C30" s="75"/>
      <c r="D30" s="76"/>
      <c r="E30" s="76"/>
      <c r="F30" s="76"/>
      <c r="G30" s="77"/>
      <c r="H30" s="165">
        <v>108</v>
      </c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>
        <v>7</v>
      </c>
      <c r="C31" s="75"/>
      <c r="D31" s="76"/>
      <c r="E31" s="76"/>
      <c r="F31" s="76"/>
      <c r="G31" s="77"/>
      <c r="H31" s="165">
        <v>131</v>
      </c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>
        <v>8</v>
      </c>
      <c r="C32" s="75"/>
      <c r="D32" s="76"/>
      <c r="E32" s="76"/>
      <c r="F32" s="76"/>
      <c r="G32" s="77"/>
      <c r="H32" s="165">
        <v>161</v>
      </c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45">
        <v>9</v>
      </c>
      <c r="C33" s="75"/>
      <c r="D33" s="76"/>
      <c r="E33" s="76"/>
      <c r="F33" s="76"/>
      <c r="G33" s="77"/>
      <c r="H33" s="165">
        <v>148</v>
      </c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45">
        <v>10</v>
      </c>
      <c r="C34" s="75"/>
      <c r="D34" s="76"/>
      <c r="E34" s="76"/>
      <c r="F34" s="76"/>
      <c r="G34" s="77"/>
      <c r="H34" s="165">
        <v>166</v>
      </c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45">
        <v>11</v>
      </c>
      <c r="C35" s="75"/>
      <c r="D35" s="76"/>
      <c r="E35" s="76"/>
      <c r="F35" s="76"/>
      <c r="G35" s="77"/>
      <c r="H35" s="165">
        <v>101</v>
      </c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45">
        <v>12</v>
      </c>
      <c r="C36" s="75"/>
      <c r="D36" s="76"/>
      <c r="E36" s="76"/>
      <c r="F36" s="76"/>
      <c r="G36" s="77"/>
      <c r="H36" s="165">
        <v>109</v>
      </c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45">
        <v>13</v>
      </c>
      <c r="C37" s="75"/>
      <c r="D37" s="76"/>
      <c r="E37" s="76"/>
      <c r="F37" s="76"/>
      <c r="G37" s="77"/>
      <c r="H37" s="165">
        <v>127</v>
      </c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45">
        <v>14</v>
      </c>
      <c r="C38" s="75"/>
      <c r="D38" s="76"/>
      <c r="E38" s="76"/>
      <c r="F38" s="76"/>
      <c r="G38" s="77"/>
      <c r="H38" s="165">
        <v>122</v>
      </c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45">
        <v>15</v>
      </c>
      <c r="C39" s="75"/>
      <c r="D39" s="76"/>
      <c r="E39" s="76"/>
      <c r="F39" s="76"/>
      <c r="G39" s="77"/>
      <c r="H39" s="165">
        <v>98</v>
      </c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45">
        <v>16</v>
      </c>
      <c r="C40" s="75"/>
      <c r="D40" s="76"/>
      <c r="E40" s="76"/>
      <c r="F40" s="76"/>
      <c r="G40" s="77"/>
      <c r="H40" s="165">
        <v>130</v>
      </c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45">
        <v>17</v>
      </c>
      <c r="C41" s="75"/>
      <c r="D41" s="76"/>
      <c r="E41" s="76"/>
      <c r="F41" s="76"/>
      <c r="G41" s="77"/>
      <c r="H41" s="165">
        <v>113</v>
      </c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45">
        <v>18</v>
      </c>
      <c r="C42" s="75"/>
      <c r="D42" s="76"/>
      <c r="E42" s="76"/>
      <c r="F42" s="76"/>
      <c r="G42" s="77"/>
      <c r="H42" s="165">
        <v>95</v>
      </c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45">
        <v>19</v>
      </c>
      <c r="C43" s="75"/>
      <c r="D43" s="76"/>
      <c r="E43" s="76"/>
      <c r="F43" s="76"/>
      <c r="G43" s="77"/>
      <c r="H43" s="165">
        <v>162</v>
      </c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45">
        <v>20</v>
      </c>
      <c r="C44" s="75"/>
      <c r="D44" s="76"/>
      <c r="E44" s="76"/>
      <c r="F44" s="76"/>
      <c r="G44" s="77"/>
      <c r="H44" s="165">
        <v>137</v>
      </c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5">
        <v>21</v>
      </c>
      <c r="C45" s="75"/>
      <c r="D45" s="76"/>
      <c r="E45" s="76"/>
      <c r="F45" s="76"/>
      <c r="G45" s="77"/>
      <c r="H45" s="165">
        <v>145</v>
      </c>
      <c r="I45" s="166"/>
      <c r="J45" s="167"/>
      <c r="K45" s="75"/>
      <c r="L45" s="76"/>
      <c r="M45" s="76"/>
      <c r="N45" s="76"/>
      <c r="O45" s="76"/>
      <c r="P45" s="77"/>
      <c r="Z45" s="11"/>
    </row>
    <row r="46" spans="1:26" ht="19.5" customHeight="1" x14ac:dyDescent="0.25">
      <c r="A46" s="9"/>
      <c r="B46" s="45">
        <v>22</v>
      </c>
      <c r="C46" s="75"/>
      <c r="D46" s="76"/>
      <c r="E46" s="76"/>
      <c r="F46" s="76"/>
      <c r="G46" s="77"/>
      <c r="H46" s="165">
        <v>132</v>
      </c>
      <c r="I46" s="166"/>
      <c r="J46" s="167"/>
      <c r="K46" s="75"/>
      <c r="L46" s="76"/>
      <c r="M46" s="76"/>
      <c r="N46" s="76"/>
      <c r="O46" s="76"/>
      <c r="P46" s="77"/>
      <c r="Z46" s="11"/>
    </row>
    <row r="47" spans="1:26" ht="19.5" customHeight="1" x14ac:dyDescent="0.25">
      <c r="A47" s="9"/>
      <c r="B47" s="45">
        <v>23</v>
      </c>
      <c r="C47" s="75"/>
      <c r="D47" s="76"/>
      <c r="E47" s="76"/>
      <c r="F47" s="76"/>
      <c r="G47" s="77"/>
      <c r="H47" s="165">
        <v>77</v>
      </c>
      <c r="I47" s="166"/>
      <c r="J47" s="167"/>
      <c r="K47" s="75"/>
      <c r="L47" s="76"/>
      <c r="M47" s="76"/>
      <c r="N47" s="76"/>
      <c r="O47" s="76"/>
      <c r="P47" s="77"/>
      <c r="Z47" s="11"/>
    </row>
    <row r="48" spans="1:26" ht="19.5" customHeight="1" x14ac:dyDescent="0.25">
      <c r="A48" s="9"/>
      <c r="B48" s="45">
        <v>24</v>
      </c>
      <c r="C48" s="75"/>
      <c r="D48" s="76"/>
      <c r="E48" s="76"/>
      <c r="F48" s="76"/>
      <c r="G48" s="77"/>
      <c r="H48" s="165">
        <v>53</v>
      </c>
      <c r="I48" s="166"/>
      <c r="J48" s="167"/>
      <c r="K48" s="75"/>
      <c r="L48" s="76"/>
      <c r="M48" s="76"/>
      <c r="N48" s="76"/>
      <c r="O48" s="76"/>
      <c r="P48" s="77"/>
      <c r="Z48" s="11"/>
    </row>
    <row r="49" spans="1:26" ht="19.5" customHeight="1" x14ac:dyDescent="0.25">
      <c r="A49" s="9"/>
      <c r="B49" s="45">
        <v>25</v>
      </c>
      <c r="C49" s="75"/>
      <c r="D49" s="76"/>
      <c r="E49" s="76"/>
      <c r="F49" s="76"/>
      <c r="G49" s="77"/>
      <c r="H49" s="165">
        <v>60</v>
      </c>
      <c r="I49" s="166"/>
      <c r="J49" s="167"/>
      <c r="K49" s="75"/>
      <c r="L49" s="76"/>
      <c r="M49" s="76"/>
      <c r="N49" s="76"/>
      <c r="O49" s="76"/>
      <c r="P49" s="77"/>
      <c r="Z49" s="11"/>
    </row>
    <row r="50" spans="1:26" ht="19.5" customHeight="1" x14ac:dyDescent="0.25">
      <c r="A50" s="9"/>
      <c r="B50" s="45">
        <v>26</v>
      </c>
      <c r="C50" s="75"/>
      <c r="D50" s="76"/>
      <c r="E50" s="76"/>
      <c r="F50" s="76"/>
      <c r="G50" s="77"/>
      <c r="H50" s="165">
        <v>107</v>
      </c>
      <c r="I50" s="166"/>
      <c r="J50" s="167"/>
      <c r="K50" s="75"/>
      <c r="L50" s="76"/>
      <c r="M50" s="76"/>
      <c r="N50" s="76"/>
      <c r="O50" s="76"/>
      <c r="P50" s="77"/>
      <c r="Z50" s="11"/>
    </row>
    <row r="51" spans="1:26" ht="19.5" customHeight="1" x14ac:dyDescent="0.25">
      <c r="A51" s="9"/>
      <c r="B51" s="45">
        <v>27</v>
      </c>
      <c r="C51" s="75"/>
      <c r="D51" s="76"/>
      <c r="E51" s="76"/>
      <c r="F51" s="76"/>
      <c r="G51" s="77"/>
      <c r="H51" s="165">
        <v>98</v>
      </c>
      <c r="I51" s="166"/>
      <c r="J51" s="167"/>
      <c r="K51" s="75"/>
      <c r="L51" s="76"/>
      <c r="M51" s="76"/>
      <c r="N51" s="76"/>
      <c r="O51" s="76"/>
      <c r="P51" s="77"/>
      <c r="Z51" s="11"/>
    </row>
    <row r="52" spans="1:26" ht="19.5" customHeight="1" x14ac:dyDescent="0.25">
      <c r="A52" s="9"/>
      <c r="B52" s="45">
        <v>28</v>
      </c>
      <c r="C52" s="75"/>
      <c r="D52" s="76"/>
      <c r="E52" s="76"/>
      <c r="F52" s="76"/>
      <c r="G52" s="77"/>
      <c r="H52" s="165">
        <v>35</v>
      </c>
      <c r="I52" s="166"/>
      <c r="J52" s="167"/>
      <c r="K52" s="75"/>
      <c r="L52" s="76"/>
      <c r="M52" s="76"/>
      <c r="N52" s="76"/>
      <c r="O52" s="76"/>
      <c r="P52" s="77"/>
      <c r="Z52" s="11"/>
    </row>
    <row r="53" spans="1:26" ht="19.5" customHeight="1" x14ac:dyDescent="0.25">
      <c r="A53" s="9"/>
      <c r="B53" s="45">
        <v>29</v>
      </c>
      <c r="C53" s="75"/>
      <c r="D53" s="76"/>
      <c r="E53" s="76"/>
      <c r="F53" s="76"/>
      <c r="G53" s="77"/>
      <c r="H53" s="165">
        <v>75</v>
      </c>
      <c r="I53" s="166"/>
      <c r="J53" s="167"/>
      <c r="K53" s="75"/>
      <c r="L53" s="76"/>
      <c r="M53" s="76"/>
      <c r="N53" s="76"/>
      <c r="O53" s="76"/>
      <c r="P53" s="77"/>
      <c r="Z53" s="11"/>
    </row>
    <row r="54" spans="1:26" ht="19.5" customHeight="1" x14ac:dyDescent="0.25">
      <c r="A54" s="9"/>
      <c r="B54" s="46"/>
      <c r="C54" s="100"/>
      <c r="D54" s="100"/>
      <c r="E54" s="100"/>
      <c r="F54" s="100"/>
      <c r="G54" s="101"/>
      <c r="H54" s="96"/>
      <c r="I54" s="97"/>
      <c r="J54" s="98"/>
      <c r="K54" s="99"/>
      <c r="L54" s="100"/>
      <c r="M54" s="100"/>
      <c r="N54" s="100"/>
      <c r="O54" s="100"/>
      <c r="P54" s="101"/>
      <c r="Z54" s="11"/>
    </row>
    <row r="55" spans="1:26" ht="15.75" customHeight="1" x14ac:dyDescent="0.25">
      <c r="A55" s="9"/>
      <c r="B55" s="183" t="s">
        <v>36</v>
      </c>
      <c r="C55" s="184"/>
      <c r="D55" s="184"/>
      <c r="E55" s="184"/>
      <c r="F55" s="184"/>
      <c r="G55" s="185"/>
      <c r="H55" s="105">
        <f>AVERAGE(H25:J54)</f>
        <v>120</v>
      </c>
      <c r="I55" s="106"/>
      <c r="J55" s="107"/>
      <c r="K55" s="84"/>
      <c r="L55" s="85"/>
      <c r="M55" s="78" t="s">
        <v>37</v>
      </c>
      <c r="N55" s="78"/>
      <c r="O55" s="78"/>
      <c r="P55" s="79"/>
      <c r="Z55" s="11"/>
    </row>
    <row r="56" spans="1:26" ht="15.75" customHeight="1" x14ac:dyDescent="0.25">
      <c r="A56" s="9"/>
      <c r="B56" s="177" t="s">
        <v>38</v>
      </c>
      <c r="C56" s="178"/>
      <c r="D56" s="178"/>
      <c r="E56" s="178"/>
      <c r="F56" s="178"/>
      <c r="G56" s="179"/>
      <c r="H56" s="108">
        <f>IF(COUNTIF(H25:J54,"*&lt;20*"),"&lt;20",MIN(H25:J54))</f>
        <v>35</v>
      </c>
      <c r="I56" s="109"/>
      <c r="J56" s="110"/>
      <c r="K56" s="86"/>
      <c r="L56" s="87"/>
      <c r="M56" s="80"/>
      <c r="N56" s="80"/>
      <c r="O56" s="80"/>
      <c r="P56" s="81"/>
      <c r="Z56" s="11"/>
    </row>
    <row r="57" spans="1:26" ht="15.75" customHeight="1" x14ac:dyDescent="0.25">
      <c r="A57" s="9"/>
      <c r="B57" s="180" t="s">
        <v>39</v>
      </c>
      <c r="C57" s="181"/>
      <c r="D57" s="181"/>
      <c r="E57" s="181"/>
      <c r="F57" s="181"/>
      <c r="G57" s="182"/>
      <c r="H57" s="102">
        <f>IF(COUNTIF(H25:J54,"*&gt;250*"),"&gt;250",MAX(H25:J54))</f>
        <v>182</v>
      </c>
      <c r="I57" s="103"/>
      <c r="J57" s="104"/>
      <c r="K57" s="88"/>
      <c r="L57" s="89"/>
      <c r="M57" s="82"/>
      <c r="N57" s="82"/>
      <c r="O57" s="82"/>
      <c r="P57" s="83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40</v>
      </c>
      <c r="B60" s="5" t="s">
        <v>41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55" t="s">
        <v>42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7"/>
      <c r="R61" s="149" t="s">
        <v>43</v>
      </c>
      <c r="S61" s="150"/>
      <c r="T61" s="151"/>
      <c r="U61" s="186" t="s">
        <v>44</v>
      </c>
      <c r="V61" s="187"/>
      <c r="W61" s="187"/>
      <c r="X61" s="188"/>
      <c r="Y61" s="188"/>
      <c r="Z61" s="189"/>
    </row>
    <row r="62" spans="1:26" s="17" customFormat="1" ht="15.6" customHeight="1" x14ac:dyDescent="0.25">
      <c r="A62" s="158" t="s">
        <v>45</v>
      </c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60"/>
      <c r="R62" s="149" t="s">
        <v>46</v>
      </c>
      <c r="S62" s="150"/>
      <c r="T62" s="151"/>
      <c r="U62" s="190" t="s">
        <v>47</v>
      </c>
      <c r="V62" s="191"/>
      <c r="W62" s="191"/>
      <c r="X62" s="192"/>
      <c r="Y62" s="192"/>
      <c r="Z62" s="193"/>
    </row>
    <row r="63" spans="1:26" s="17" customFormat="1" ht="15.6" customHeight="1" x14ac:dyDescent="0.25">
      <c r="A63" s="161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3"/>
      <c r="R63" s="149"/>
      <c r="S63" s="150"/>
      <c r="T63" s="151"/>
      <c r="U63" s="194"/>
      <c r="V63" s="80"/>
      <c r="W63" s="80"/>
      <c r="X63" s="195"/>
      <c r="Y63" s="195"/>
      <c r="Z63" s="196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49"/>
      <c r="S64" s="150"/>
      <c r="T64" s="151"/>
      <c r="U64" s="197"/>
      <c r="V64" s="198"/>
      <c r="W64" s="198"/>
      <c r="X64" s="199"/>
      <c r="Y64" s="199"/>
      <c r="Z64" s="200"/>
    </row>
    <row r="65" spans="1:26" s="17" customFormat="1" ht="15.6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5"/>
      <c r="R65" s="149" t="s">
        <v>50</v>
      </c>
      <c r="S65" s="150"/>
      <c r="T65" s="151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  <c r="R66" s="149"/>
      <c r="S66" s="150"/>
      <c r="T66" s="151"/>
      <c r="U66" s="61"/>
      <c r="V66" s="80"/>
      <c r="W66" s="80"/>
      <c r="X66" s="80"/>
      <c r="Y66" s="80"/>
      <c r="Z66" s="62"/>
    </row>
    <row r="67" spans="1:26" s="17" customFormat="1" ht="15.6" customHeight="1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5"/>
      <c r="R67" s="149"/>
      <c r="S67" s="150"/>
      <c r="T67" s="151"/>
      <c r="U67" s="61"/>
      <c r="V67" s="80"/>
      <c r="W67" s="80"/>
      <c r="X67" s="80"/>
      <c r="Y67" s="80"/>
      <c r="Z67" s="62"/>
    </row>
    <row r="68" spans="1:26" s="17" customFormat="1" ht="15.6" customHeight="1" x14ac:dyDescent="0.25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8"/>
      <c r="R68" s="152"/>
      <c r="S68" s="153"/>
      <c r="T68" s="154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42">
    <mergeCell ref="C52:G52"/>
    <mergeCell ref="H52:J52"/>
    <mergeCell ref="K52:P52"/>
    <mergeCell ref="C53:G53"/>
    <mergeCell ref="H53:J53"/>
    <mergeCell ref="K53:P53"/>
    <mergeCell ref="C50:G50"/>
    <mergeCell ref="H50:J50"/>
    <mergeCell ref="K50:P50"/>
    <mergeCell ref="C51:G51"/>
    <mergeCell ref="H51:J51"/>
    <mergeCell ref="K51:P51"/>
    <mergeCell ref="C48:G48"/>
    <mergeCell ref="H48:J48"/>
    <mergeCell ref="K48:P48"/>
    <mergeCell ref="C49:G49"/>
    <mergeCell ref="H49:J49"/>
    <mergeCell ref="K49:P49"/>
    <mergeCell ref="C46:G46"/>
    <mergeCell ref="H46:J46"/>
    <mergeCell ref="K46:P46"/>
    <mergeCell ref="C47:G47"/>
    <mergeCell ref="H47:J47"/>
    <mergeCell ref="K47:P47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010425</vt:lpstr>
      <vt:lpstr>'010425'!Zone_d_impression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2025-04-01T11:41:57Z</cp:lastPrinted>
  <dcterms:created xsi:type="dcterms:W3CDTF">2004-11-13T18:13:05Z</dcterms:created>
  <dcterms:modified xsi:type="dcterms:W3CDTF">2025-04-01T11:42:03Z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