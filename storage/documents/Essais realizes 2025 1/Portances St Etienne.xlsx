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42\RA P75D Plateforme STAM St Etienne\Essais de laboratoire\Portances\"/>
    </mc:Choice>
  </mc:AlternateContent>
  <xr:revisionPtr revIDLastSave="0" documentId="13_ncr:1_{46845823-CD25-4AB1-BDF4-9210E07489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20725" sheetId="1" r:id="rId1"/>
  </sheets>
  <definedNames>
    <definedName name="_xlnm.Print_Area" localSheetId="0">'220725'!$A$1:$Z$61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8" i="1" l="1"/>
  <c r="Q37" i="1"/>
  <c r="Q47" i="1" s="1"/>
  <c r="N49" i="1"/>
  <c r="K49" i="1"/>
  <c r="H49" i="1"/>
  <c r="Q48" i="1"/>
  <c r="N48" i="1"/>
  <c r="K48" i="1"/>
  <c r="H48" i="1"/>
  <c r="N47" i="1"/>
  <c r="K47" i="1"/>
  <c r="H47" i="1"/>
  <c r="Q49" i="1" l="1"/>
</calcChain>
</file>

<file path=xl/sharedStrings.xml><?xml version="1.0" encoding="utf-8"?>
<sst xmlns="http://schemas.openxmlformats.org/spreadsheetml/2006/main" count="59" uniqueCount="58">
  <si>
    <t>COMPTE RENDU D'ESSAIS</t>
  </si>
  <si>
    <t>PORTANCES DES PLATES-FORMES  
( NF P 94-117-1 et NF P 94-117-3 )</t>
  </si>
  <si>
    <t>PLW12 N°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</si>
  <si>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</si>
  <si>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</si>
  <si>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</si>
  <si>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</si>
  <si>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</si>
  <si>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</si>
  <si>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</si>
  <si>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</si>
  <si>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</si>
  <si>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Nature du matériau :</t>
  </si>
  <si>
    <t>Béton</t>
  </si>
  <si>
    <t>Date de(s) essai(s) :</t>
  </si>
  <si>
    <t>Météo :</t>
  </si>
  <si>
    <t>Beau</t>
  </si>
  <si>
    <t>Partie de l'ouvrage :</t>
  </si>
  <si>
    <t>Plan de situation :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</si>
  <si>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</si>
  <si>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</si>
  <si>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</si>
  <si>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</si>
  <si>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</si>
  <si>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</si>
  <si>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</si>
  <si>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</si>
  <si>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</si>
  <si>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</si>
  <si>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</si>
  <si>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Westergaard Kw</t>
  </si>
  <si>
    <t>Module EV1</t>
  </si>
  <si>
    <t>Module EV2</t>
  </si>
  <si>
    <t>EV2 / EV1</t>
  </si>
  <si>
    <t>Observations</t>
  </si>
  <si>
    <t>MPa/m</t>
  </si>
  <si>
    <t>MPa</t>
  </si>
  <si>
    <t>Moyenne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</si>
  <si>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</si>
  <si>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</si>
  <si>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</si>
  <si>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</si>
  <si>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</si>
  <si>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</si>
  <si>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</si>
  <si>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F. MONTET</t>
  </si>
  <si>
    <t>Conforme</t>
  </si>
  <si>
    <t>Fonction</t>
  </si>
  <si>
    <t>Technicien de laboratoire</t>
  </si>
  <si>
    <t>6/</t>
  </si>
  <si>
    <t>COMMENTAIRES</t>
  </si>
  <si>
    <t>Visa</t>
  </si>
  <si>
    <t xml:space="preserve"> et Kw ≥ 100</t>
  </si>
  <si>
    <t>RA P75D</t>
  </si>
  <si>
    <t>Oui</t>
  </si>
  <si>
    <t>Dalle béton</t>
  </si>
  <si>
    <t>21 et 22/07/2025</t>
  </si>
  <si>
    <t>Plateforme STAM - St Etienne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</si>
</sst>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sz val="8"/>
      <color rgb="FF000000"/>
      <name val="Century Gothic"/>
    </font>
    <font>
      <b/>
      <sz val="14"/>
      <color rgb="FF000000"/>
      <name val="Century Gothic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b/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7" fillId="0" borderId="4" xfId="0" applyFont="1" applyBorder="1" applyAlignment="1" applyProtection="1">
      <alignment vertical="center"/>
      <protection hidden="1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14" fillId="0" borderId="0" xfId="0" applyFont="1" applyAlignment="1" applyProtection="1">
      <alignment horizontal="left"/>
      <protection locked="0"/>
    </xf>
    <xf numFmtId="0" fontId="7" fillId="0" borderId="21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4" fontId="7" fillId="0" borderId="21" xfId="0" applyNumberFormat="1" applyFont="1" applyBorder="1" applyAlignment="1">
      <alignment horizontal="center"/>
    </xf>
    <xf numFmtId="0" fontId="7" fillId="0" borderId="9" xfId="0" applyFont="1" applyBorder="1"/>
    <xf numFmtId="164" fontId="7" fillId="0" borderId="10" xfId="0" applyNumberFormat="1" applyFont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 wrapText="1"/>
    </xf>
    <xf numFmtId="0" fontId="7" fillId="0" borderId="10" xfId="0" applyFont="1" applyBorder="1"/>
    <xf numFmtId="2" fontId="7" fillId="0" borderId="21" xfId="0" applyNumberFormat="1" applyFont="1" applyBorder="1" applyAlignment="1">
      <alignment horizontal="center"/>
    </xf>
    <xf numFmtId="0" fontId="7" fillId="0" borderId="0" xfId="0" applyFont="1" applyAlignment="1" applyProtection="1">
      <alignment horizontal="left" vertic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164" fontId="6" fillId="0" borderId="14" xfId="0" applyNumberFormat="1" applyFont="1" applyBorder="1" applyAlignment="1">
      <alignment horizontal="center" vertical="center"/>
    </xf>
    <xf numFmtId="0" fontId="7" fillId="0" borderId="15" xfId="0" applyFont="1" applyBorder="1"/>
    <xf numFmtId="0" fontId="7" fillId="0" borderId="16" xfId="0" applyFont="1" applyBorder="1"/>
    <xf numFmtId="0" fontId="6" fillId="0" borderId="1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2" fillId="0" borderId="18" xfId="0" applyFont="1" applyBorder="1" applyAlignment="1" applyProtection="1">
      <alignment horizontal="center" vertical="center"/>
      <protection hidden="1"/>
    </xf>
    <xf numFmtId="0" fontId="2" fillId="0" borderId="19" xfId="0" applyFont="1" applyBorder="1" applyAlignment="1" applyProtection="1">
      <alignment horizontal="center" vertical="center"/>
      <protection hidden="1"/>
    </xf>
    <xf numFmtId="0" fontId="2" fillId="0" borderId="20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6" fillId="0" borderId="2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4" fontId="6" fillId="0" borderId="21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0" fillId="0" borderId="2" xfId="0" applyFont="1" applyBorder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 wrapText="1"/>
      <protection locked="0"/>
    </xf>
    <xf numFmtId="0" fontId="7" fillId="0" borderId="30" xfId="0" applyFont="1" applyBorder="1" applyAlignment="1" applyProtection="1">
      <alignment horizontal="center" vertical="center" wrapText="1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32" xfId="0" applyFont="1" applyBorder="1" applyAlignment="1" applyProtection="1">
      <alignment horizontal="center" vertical="center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1" xfId="0" applyFont="1" applyBorder="1"/>
    <xf numFmtId="0" fontId="7" fillId="0" borderId="2" xfId="0" applyFont="1" applyBorder="1"/>
    <xf numFmtId="0" fontId="7" fillId="0" borderId="8" xfId="0" applyFont="1" applyBorder="1"/>
    <xf numFmtId="0" fontId="7" fillId="0" borderId="0" xfId="0" applyFont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1" fillId="0" borderId="6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5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14" fontId="14" fillId="0" borderId="0" xfId="0" applyNumberFormat="1" applyFont="1" applyAlignment="1" applyProtection="1">
      <alignment horizontal="left" vertical="center"/>
      <protection locked="0"/>
    </xf>
    <xf numFmtId="0" fontId="7" fillId="0" borderId="33" xfId="0" applyFont="1" applyBorder="1" applyAlignment="1" applyProtection="1">
      <alignment horizontal="center" vertical="center"/>
      <protection hidden="1"/>
    </xf>
    <xf numFmtId="0" fontId="7" fillId="0" borderId="34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7" fillId="0" borderId="32" xfId="0" applyFont="1" applyBorder="1" applyAlignment="1" applyProtection="1">
      <alignment horizontal="center"/>
      <protection locked="0"/>
    </xf>
    <xf numFmtId="0" fontId="7" fillId="0" borderId="29" xfId="0" applyFont="1" applyBorder="1" applyAlignment="1" applyProtection="1">
      <alignment horizontal="center"/>
      <protection locked="0"/>
    </xf>
    <xf numFmtId="0" fontId="7" fillId="0" borderId="35" xfId="0" applyFont="1" applyBorder="1" applyAlignment="1" applyProtection="1">
      <alignment horizontal="center"/>
      <protection locked="0"/>
    </xf>
    <xf numFmtId="164" fontId="7" fillId="0" borderId="32" xfId="0" applyNumberFormat="1" applyFont="1" applyBorder="1" applyAlignment="1">
      <alignment horizontal="center"/>
    </xf>
    <xf numFmtId="164" fontId="7" fillId="0" borderId="29" xfId="0" applyNumberFormat="1" applyFont="1" applyBorder="1" applyAlignment="1">
      <alignment horizontal="center"/>
    </xf>
    <xf numFmtId="164" fontId="7" fillId="0" borderId="35" xfId="0" applyNumberFormat="1" applyFont="1" applyBorder="1" applyAlignment="1">
      <alignment horizontal="center"/>
    </xf>
    <xf numFmtId="2" fontId="7" fillId="0" borderId="32" xfId="0" applyNumberFormat="1" applyFont="1" applyBorder="1" applyAlignment="1">
      <alignment horizontal="center"/>
    </xf>
    <xf numFmtId="2" fontId="7" fillId="0" borderId="29" xfId="0" applyNumberFormat="1" applyFont="1" applyBorder="1" applyAlignment="1">
      <alignment horizontal="center"/>
    </xf>
    <xf numFmtId="2" fontId="7" fillId="0" borderId="35" xfId="0" applyNumberFormat="1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4" xfId="0" applyFont="1" applyBorder="1"/>
    <xf numFmtId="0" fontId="1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8"/>
  <sheetViews>
    <sheetView tabSelected="1" topLeftCell="A34" workbookViewId="0">
      <selection activeCell="V58" sqref="V58:Y59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55"/>
      <c r="B1" s="156"/>
      <c r="C1" s="156"/>
      <c r="D1" s="156"/>
      <c r="E1" s="156"/>
      <c r="F1" s="157"/>
      <c r="G1" s="164" t="s">
        <v>0</v>
      </c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6"/>
      <c r="U1" s="177" t="s">
        <v>57</v>
      </c>
      <c r="V1" s="178"/>
      <c r="W1" s="178"/>
      <c r="X1" s="178"/>
      <c r="Y1" s="178"/>
      <c r="Z1" s="179"/>
    </row>
    <row r="2" spans="1:26" ht="12.75" customHeight="1" x14ac:dyDescent="0.25">
      <c r="A2" s="158"/>
      <c r="B2" s="159"/>
      <c r="C2" s="159"/>
      <c r="D2" s="159"/>
      <c r="E2" s="159"/>
      <c r="F2" s="160"/>
      <c r="G2" s="167" t="s">
        <v>1</v>
      </c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9"/>
      <c r="U2" s="180"/>
      <c r="V2" s="181"/>
      <c r="W2" s="181"/>
      <c r="X2" s="181"/>
      <c r="Y2" s="181"/>
      <c r="Z2" s="182"/>
    </row>
    <row r="3" spans="1:26" ht="12.75" customHeight="1" x14ac:dyDescent="0.25">
      <c r="A3" s="158"/>
      <c r="B3" s="159"/>
      <c r="C3" s="159"/>
      <c r="D3" s="159"/>
      <c r="E3" s="159"/>
      <c r="F3" s="160"/>
      <c r="G3" s="167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  <c r="U3" s="180"/>
      <c r="V3" s="181"/>
      <c r="W3" s="181"/>
      <c r="X3" s="181"/>
      <c r="Y3" s="181"/>
      <c r="Z3" s="182"/>
    </row>
    <row r="4" spans="1:26" ht="12.75" customHeight="1" x14ac:dyDescent="0.25">
      <c r="A4" s="158"/>
      <c r="B4" s="159"/>
      <c r="C4" s="159"/>
      <c r="D4" s="159"/>
      <c r="E4" s="159"/>
      <c r="F4" s="160"/>
      <c r="G4" s="167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180"/>
      <c r="V4" s="181"/>
      <c r="W4" s="181"/>
      <c r="X4" s="181"/>
      <c r="Y4" s="181"/>
      <c r="Z4" s="182"/>
    </row>
    <row r="5" spans="1:26" ht="12.75" customHeight="1" x14ac:dyDescent="0.25">
      <c r="A5" s="158"/>
      <c r="B5" s="159"/>
      <c r="C5" s="159"/>
      <c r="D5" s="159"/>
      <c r="E5" s="159"/>
      <c r="F5" s="160"/>
      <c r="G5" s="170" t="s">
        <v>2</v>
      </c>
      <c r="H5" s="171"/>
      <c r="I5" s="175">
        <v>1</v>
      </c>
      <c r="J5" s="175"/>
      <c r="K5" s="176"/>
      <c r="L5" s="186" t="s">
        <v>53</v>
      </c>
      <c r="M5" s="187"/>
      <c r="N5" s="187"/>
      <c r="O5" s="188"/>
      <c r="P5" s="189">
        <v>45860</v>
      </c>
      <c r="Q5" s="190"/>
      <c r="R5" s="190"/>
      <c r="S5" s="190"/>
      <c r="T5" s="191"/>
      <c r="U5" s="180"/>
      <c r="V5" s="181"/>
      <c r="W5" s="181"/>
      <c r="X5" s="181"/>
      <c r="Y5" s="181"/>
      <c r="Z5" s="182"/>
    </row>
    <row r="6" spans="1:26" ht="12.75" customHeight="1" x14ac:dyDescent="0.25">
      <c r="A6" s="161"/>
      <c r="B6" s="162"/>
      <c r="C6" s="162"/>
      <c r="D6" s="162"/>
      <c r="E6" s="162"/>
      <c r="F6" s="163"/>
      <c r="G6" s="2"/>
      <c r="H6" s="3"/>
      <c r="I6" s="130" t="s">
        <v>3</v>
      </c>
      <c r="J6" s="130"/>
      <c r="K6" s="130"/>
      <c r="L6" s="130" t="s">
        <v>4</v>
      </c>
      <c r="M6" s="130"/>
      <c r="N6" s="130"/>
      <c r="O6" s="130"/>
      <c r="P6" s="130" t="s">
        <v>5</v>
      </c>
      <c r="Q6" s="130"/>
      <c r="R6" s="130"/>
      <c r="S6" s="130"/>
      <c r="T6" s="131"/>
      <c r="U6" s="183"/>
      <c r="V6" s="184"/>
      <c r="W6" s="184"/>
      <c r="X6" s="184"/>
      <c r="Y6" s="184"/>
      <c r="Z6" s="185"/>
    </row>
    <row r="7" spans="1:26" ht="36.6" customHeight="1" x14ac:dyDescent="0.25">
      <c r="A7" s="172" t="s">
        <v>6</v>
      </c>
      <c r="B7" s="172"/>
      <c r="C7" s="172"/>
      <c r="D7" s="172"/>
      <c r="E7" s="172"/>
      <c r="F7" s="172"/>
      <c r="G7" s="173" t="s">
        <v>7</v>
      </c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</row>
    <row r="8" spans="1:26" ht="15.9" customHeight="1" x14ac:dyDescent="0.25">
      <c r="A8" s="4" t="s">
        <v>8</v>
      </c>
      <c r="B8" s="5" t="s">
        <v>9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22" t="s">
        <v>10</v>
      </c>
      <c r="C10" s="122"/>
      <c r="D10" s="122"/>
      <c r="E10" s="122"/>
      <c r="F10" s="122"/>
      <c r="G10" s="122"/>
      <c r="H10" s="174" t="s">
        <v>11</v>
      </c>
      <c r="I10" s="174"/>
      <c r="J10" s="174"/>
      <c r="K10" s="174"/>
      <c r="L10" s="174"/>
      <c r="M10" s="174"/>
      <c r="N10" s="122" t="s">
        <v>12</v>
      </c>
      <c r="O10" s="122"/>
      <c r="P10" s="122"/>
      <c r="Q10" s="122"/>
      <c r="R10" s="122"/>
      <c r="S10" s="75" t="s">
        <v>13</v>
      </c>
      <c r="T10" s="75"/>
      <c r="U10" s="75"/>
      <c r="V10" s="75"/>
      <c r="W10" s="75"/>
      <c r="X10" s="75"/>
      <c r="Y10" s="75"/>
      <c r="Z10" s="12"/>
    </row>
    <row r="11" spans="1:26" ht="15.9" customHeight="1" x14ac:dyDescent="0.25">
      <c r="A11" s="9"/>
      <c r="B11" s="122" t="s">
        <v>14</v>
      </c>
      <c r="C11" s="122"/>
      <c r="D11" s="122"/>
      <c r="E11" s="122"/>
      <c r="F11" s="122"/>
      <c r="G11" s="122"/>
      <c r="H11" s="192" t="s">
        <v>56</v>
      </c>
      <c r="I11" s="174"/>
      <c r="J11" s="174"/>
      <c r="K11" s="174"/>
      <c r="L11" s="174"/>
      <c r="M11" s="174"/>
      <c r="N11" s="122" t="s">
        <v>15</v>
      </c>
      <c r="O11" s="122"/>
      <c r="P11" s="122"/>
      <c r="Q11" s="122"/>
      <c r="R11" s="122"/>
      <c r="S11" s="75" t="s">
        <v>16</v>
      </c>
      <c r="T11" s="75"/>
      <c r="U11" s="75"/>
      <c r="V11" s="75"/>
      <c r="W11" s="75"/>
      <c r="X11" s="75"/>
      <c r="Y11" s="75"/>
      <c r="Z11" s="12"/>
    </row>
    <row r="12" spans="1:26" ht="15.9" customHeight="1" x14ac:dyDescent="0.25">
      <c r="A12" s="9"/>
      <c r="B12" s="122" t="s">
        <v>17</v>
      </c>
      <c r="C12" s="122"/>
      <c r="D12" s="122"/>
      <c r="E12" s="122"/>
      <c r="F12" s="122"/>
      <c r="G12" s="122"/>
      <c r="H12" s="192" t="s">
        <v>55</v>
      </c>
      <c r="I12" s="174"/>
      <c r="J12" s="174"/>
      <c r="K12" s="174"/>
      <c r="L12" s="174"/>
      <c r="M12" s="174"/>
      <c r="N12" s="122" t="s">
        <v>18</v>
      </c>
      <c r="O12" s="122"/>
      <c r="P12" s="122"/>
      <c r="Q12" s="122"/>
      <c r="R12" s="122"/>
      <c r="S12" s="146" t="s">
        <v>54</v>
      </c>
      <c r="T12" s="75"/>
      <c r="U12" s="75"/>
      <c r="V12" s="75"/>
      <c r="W12" s="75"/>
      <c r="X12" s="75"/>
      <c r="Y12" s="75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19</v>
      </c>
      <c r="B15" s="21" t="s">
        <v>20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21" t="s">
        <v>21</v>
      </c>
      <c r="C17" s="121"/>
      <c r="D17" s="121"/>
      <c r="E17" s="121"/>
      <c r="F17" s="121"/>
      <c r="G17" s="121"/>
      <c r="H17" s="121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28"/>
    </row>
    <row r="18" spans="1:26" s="17" customFormat="1" ht="15" customHeight="1" x14ac:dyDescent="0.25">
      <c r="A18" s="24"/>
      <c r="B18" s="121" t="s">
        <v>22</v>
      </c>
      <c r="C18" s="121"/>
      <c r="D18" s="121"/>
      <c r="E18" s="121"/>
      <c r="F18" s="121"/>
      <c r="G18" s="121"/>
      <c r="H18" s="121"/>
      <c r="I18" s="76" t="s">
        <v>23</v>
      </c>
      <c r="J18" s="77"/>
      <c r="K18" s="27">
        <v>100</v>
      </c>
      <c r="L18" s="27" t="s">
        <v>24</v>
      </c>
      <c r="M18" s="27"/>
      <c r="N18" s="64" t="s">
        <v>52</v>
      </c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25</v>
      </c>
      <c r="B21" s="5" t="s">
        <v>26</v>
      </c>
      <c r="C21" s="33"/>
      <c r="D21" s="34"/>
      <c r="E21" s="34"/>
      <c r="F21" s="34"/>
      <c r="G21" s="34"/>
      <c r="H21" s="33"/>
      <c r="I21" s="33"/>
      <c r="J21" s="195" t="s">
        <v>27</v>
      </c>
      <c r="K21" s="195"/>
      <c r="L21" s="195"/>
      <c r="M21" s="195"/>
      <c r="N21" s="195"/>
      <c r="O21" s="195"/>
      <c r="P21" s="195"/>
      <c r="Q21" s="42">
        <v>600</v>
      </c>
      <c r="R21" s="43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Z22" s="11"/>
    </row>
    <row r="23" spans="1:26" ht="15.75" customHeight="1" x14ac:dyDescent="0.25">
      <c r="A23" s="9"/>
      <c r="B23" s="193" t="s">
        <v>28</v>
      </c>
      <c r="C23" s="147" t="s">
        <v>29</v>
      </c>
      <c r="D23" s="147"/>
      <c r="E23" s="147"/>
      <c r="F23" s="147"/>
      <c r="G23" s="148"/>
      <c r="H23" s="208" t="s">
        <v>30</v>
      </c>
      <c r="I23" s="209"/>
      <c r="J23" s="210"/>
      <c r="K23" s="132" t="s">
        <v>31</v>
      </c>
      <c r="L23" s="147"/>
      <c r="M23" s="148"/>
      <c r="N23" s="132" t="s">
        <v>32</v>
      </c>
      <c r="O23" s="133"/>
      <c r="P23" s="134"/>
      <c r="Q23" s="132" t="s">
        <v>33</v>
      </c>
      <c r="R23" s="133"/>
      <c r="S23" s="134"/>
      <c r="T23" s="147" t="s">
        <v>34</v>
      </c>
      <c r="U23" s="147"/>
      <c r="V23" s="147"/>
      <c r="W23" s="147"/>
      <c r="X23" s="147"/>
      <c r="Y23" s="148"/>
      <c r="Z23" s="11"/>
    </row>
    <row r="24" spans="1:26" ht="15.75" customHeight="1" x14ac:dyDescent="0.25">
      <c r="A24" s="9"/>
      <c r="B24" s="194"/>
      <c r="C24" s="149"/>
      <c r="D24" s="149"/>
      <c r="E24" s="149"/>
      <c r="F24" s="149"/>
      <c r="G24" s="150"/>
      <c r="H24" s="205" t="s">
        <v>35</v>
      </c>
      <c r="I24" s="152"/>
      <c r="J24" s="206"/>
      <c r="K24" s="207" t="s">
        <v>36</v>
      </c>
      <c r="L24" s="149"/>
      <c r="M24" s="150"/>
      <c r="N24" s="207" t="s">
        <v>36</v>
      </c>
      <c r="O24" s="152"/>
      <c r="P24" s="153"/>
      <c r="Q24" s="151"/>
      <c r="R24" s="152"/>
      <c r="S24" s="153"/>
      <c r="T24" s="149"/>
      <c r="U24" s="149"/>
      <c r="V24" s="149"/>
      <c r="W24" s="149"/>
      <c r="X24" s="149"/>
      <c r="Y24" s="150"/>
      <c r="Z24" s="11"/>
    </row>
    <row r="25" spans="1:26" ht="19.5" customHeight="1" x14ac:dyDescent="0.25">
      <c r="A25" s="9"/>
      <c r="B25" s="44">
        <v>1</v>
      </c>
      <c r="C25" s="65"/>
      <c r="D25" s="66"/>
      <c r="E25" s="66"/>
      <c r="F25" s="66"/>
      <c r="G25" s="67"/>
      <c r="H25" s="68">
        <v>104</v>
      </c>
      <c r="I25" s="69"/>
      <c r="J25" s="70"/>
      <c r="K25" s="68">
        <v>52.08</v>
      </c>
      <c r="L25" s="71"/>
      <c r="M25" s="70"/>
      <c r="N25" s="72">
        <v>125</v>
      </c>
      <c r="O25" s="69"/>
      <c r="P25" s="73"/>
      <c r="Q25" s="74">
        <v>2.4</v>
      </c>
      <c r="R25" s="69"/>
      <c r="S25" s="73"/>
      <c r="T25" s="65"/>
      <c r="U25" s="66"/>
      <c r="V25" s="66"/>
      <c r="W25" s="66"/>
      <c r="X25" s="66"/>
      <c r="Y25" s="67"/>
      <c r="Z25" s="11"/>
    </row>
    <row r="26" spans="1:26" ht="19.5" customHeight="1" x14ac:dyDescent="0.25">
      <c r="A26" s="9"/>
      <c r="B26" s="44">
        <v>2</v>
      </c>
      <c r="C26" s="65"/>
      <c r="D26" s="66"/>
      <c r="E26" s="66"/>
      <c r="F26" s="66"/>
      <c r="G26" s="67"/>
      <c r="H26" s="68">
        <v>125.27</v>
      </c>
      <c r="I26" s="69"/>
      <c r="J26" s="70"/>
      <c r="K26" s="68">
        <v>56.25</v>
      </c>
      <c r="L26" s="71"/>
      <c r="M26" s="70"/>
      <c r="N26" s="72">
        <v>187.5</v>
      </c>
      <c r="O26" s="69"/>
      <c r="P26" s="73"/>
      <c r="Q26" s="74">
        <v>3.33</v>
      </c>
      <c r="R26" s="69"/>
      <c r="S26" s="73"/>
      <c r="T26" s="65"/>
      <c r="U26" s="66"/>
      <c r="V26" s="66"/>
      <c r="W26" s="66"/>
      <c r="X26" s="66"/>
      <c r="Y26" s="67"/>
      <c r="Z26" s="11"/>
    </row>
    <row r="27" spans="1:26" ht="19.5" customHeight="1" x14ac:dyDescent="0.25">
      <c r="A27" s="9"/>
      <c r="B27" s="44">
        <v>3</v>
      </c>
      <c r="C27" s="65"/>
      <c r="D27" s="66"/>
      <c r="E27" s="66"/>
      <c r="F27" s="66"/>
      <c r="G27" s="67"/>
      <c r="H27" s="68">
        <v>114.83</v>
      </c>
      <c r="I27" s="69"/>
      <c r="J27" s="70"/>
      <c r="K27" s="68">
        <v>78.13</v>
      </c>
      <c r="L27" s="71"/>
      <c r="M27" s="70"/>
      <c r="N27" s="72">
        <v>118.4</v>
      </c>
      <c r="O27" s="69"/>
      <c r="P27" s="73"/>
      <c r="Q27" s="74">
        <v>1.52</v>
      </c>
      <c r="R27" s="69"/>
      <c r="S27" s="73"/>
      <c r="T27" s="65"/>
      <c r="U27" s="66"/>
      <c r="V27" s="66"/>
      <c r="W27" s="66"/>
      <c r="X27" s="66"/>
      <c r="Y27" s="67"/>
      <c r="Z27" s="11"/>
    </row>
    <row r="28" spans="1:26" ht="19.5" customHeight="1" x14ac:dyDescent="0.25">
      <c r="A28" s="9"/>
      <c r="B28" s="44">
        <v>4</v>
      </c>
      <c r="C28" s="65"/>
      <c r="D28" s="66"/>
      <c r="E28" s="66"/>
      <c r="F28" s="66"/>
      <c r="G28" s="67"/>
      <c r="H28" s="68">
        <v>137.80000000000001</v>
      </c>
      <c r="I28" s="69"/>
      <c r="J28" s="70"/>
      <c r="K28" s="68">
        <v>112.5</v>
      </c>
      <c r="L28" s="71"/>
      <c r="M28" s="70"/>
      <c r="N28" s="72">
        <v>132.30000000000001</v>
      </c>
      <c r="O28" s="69"/>
      <c r="P28" s="73"/>
      <c r="Q28" s="74">
        <v>1.18</v>
      </c>
      <c r="R28" s="69"/>
      <c r="S28" s="73"/>
      <c r="T28" s="65"/>
      <c r="U28" s="66"/>
      <c r="V28" s="66"/>
      <c r="W28" s="66"/>
      <c r="X28" s="66"/>
      <c r="Y28" s="67"/>
      <c r="Z28" s="11"/>
    </row>
    <row r="29" spans="1:26" ht="19.5" customHeight="1" x14ac:dyDescent="0.25">
      <c r="A29" s="9"/>
      <c r="B29" s="44">
        <v>5</v>
      </c>
      <c r="C29" s="65"/>
      <c r="D29" s="66"/>
      <c r="E29" s="66"/>
      <c r="F29" s="66"/>
      <c r="G29" s="67"/>
      <c r="H29" s="68">
        <v>105.2</v>
      </c>
      <c r="I29" s="69"/>
      <c r="J29" s="70"/>
      <c r="K29" s="68">
        <v>83.96</v>
      </c>
      <c r="L29" s="71"/>
      <c r="M29" s="70"/>
      <c r="N29" s="72">
        <v>136.4</v>
      </c>
      <c r="O29" s="69"/>
      <c r="P29" s="73"/>
      <c r="Q29" s="74">
        <v>1.62</v>
      </c>
      <c r="R29" s="69"/>
      <c r="S29" s="73"/>
      <c r="T29" s="65"/>
      <c r="U29" s="66"/>
      <c r="V29" s="66"/>
      <c r="W29" s="66"/>
      <c r="X29" s="66"/>
      <c r="Y29" s="67"/>
      <c r="Z29" s="11"/>
    </row>
    <row r="30" spans="1:26" ht="19.5" customHeight="1" x14ac:dyDescent="0.25">
      <c r="A30" s="9"/>
      <c r="B30" s="44">
        <v>6</v>
      </c>
      <c r="C30" s="65"/>
      <c r="D30" s="66"/>
      <c r="E30" s="66"/>
      <c r="F30" s="66"/>
      <c r="G30" s="67"/>
      <c r="H30" s="68">
        <v>344.49</v>
      </c>
      <c r="I30" s="69"/>
      <c r="J30" s="70"/>
      <c r="K30" s="68">
        <v>187.5</v>
      </c>
      <c r="L30" s="71"/>
      <c r="M30" s="70"/>
      <c r="N30" s="72">
        <v>204.6</v>
      </c>
      <c r="O30" s="69"/>
      <c r="P30" s="73"/>
      <c r="Q30" s="74">
        <v>1.0900000000000001</v>
      </c>
      <c r="R30" s="69"/>
      <c r="S30" s="73"/>
      <c r="T30" s="65"/>
      <c r="U30" s="66"/>
      <c r="V30" s="66"/>
      <c r="W30" s="66"/>
      <c r="X30" s="66"/>
      <c r="Y30" s="67"/>
      <c r="Z30" s="11"/>
    </row>
    <row r="31" spans="1:26" ht="19.5" customHeight="1" x14ac:dyDescent="0.25">
      <c r="A31" s="9"/>
      <c r="B31" s="44">
        <v>7</v>
      </c>
      <c r="C31" s="65"/>
      <c r="D31" s="66"/>
      <c r="E31" s="66"/>
      <c r="F31" s="66"/>
      <c r="G31" s="67"/>
      <c r="H31" s="68">
        <v>183.73</v>
      </c>
      <c r="I31" s="69"/>
      <c r="J31" s="70"/>
      <c r="K31" s="68">
        <v>78.13</v>
      </c>
      <c r="L31" s="71"/>
      <c r="M31" s="70"/>
      <c r="N31" s="72">
        <v>150</v>
      </c>
      <c r="O31" s="69"/>
      <c r="P31" s="73"/>
      <c r="Q31" s="74">
        <v>1.92</v>
      </c>
      <c r="R31" s="69"/>
      <c r="S31" s="73"/>
      <c r="T31" s="65"/>
      <c r="U31" s="66"/>
      <c r="V31" s="66"/>
      <c r="W31" s="66"/>
      <c r="X31" s="66"/>
      <c r="Y31" s="67"/>
      <c r="Z31" s="11"/>
    </row>
    <row r="32" spans="1:26" ht="19.5" customHeight="1" x14ac:dyDescent="0.25">
      <c r="A32" s="9"/>
      <c r="B32" s="44">
        <v>8</v>
      </c>
      <c r="C32" s="65"/>
      <c r="D32" s="66"/>
      <c r="E32" s="66"/>
      <c r="F32" s="66"/>
      <c r="G32" s="67"/>
      <c r="H32" s="68">
        <v>183.73</v>
      </c>
      <c r="I32" s="69"/>
      <c r="J32" s="70"/>
      <c r="K32" s="68">
        <v>127.84</v>
      </c>
      <c r="L32" s="71"/>
      <c r="M32" s="70"/>
      <c r="N32" s="72">
        <v>128.6</v>
      </c>
      <c r="O32" s="69"/>
      <c r="P32" s="73"/>
      <c r="Q32" s="74">
        <v>1.01</v>
      </c>
      <c r="R32" s="69"/>
      <c r="S32" s="73"/>
      <c r="T32" s="65"/>
      <c r="U32" s="66"/>
      <c r="V32" s="66"/>
      <c r="W32" s="66"/>
      <c r="X32" s="66"/>
      <c r="Y32" s="67"/>
      <c r="Z32" s="11"/>
    </row>
    <row r="33" spans="1:26" ht="19.5" customHeight="1" x14ac:dyDescent="0.25">
      <c r="A33" s="9"/>
      <c r="B33" s="44">
        <v>9</v>
      </c>
      <c r="C33" s="65"/>
      <c r="D33" s="66"/>
      <c r="E33" s="66"/>
      <c r="F33" s="66"/>
      <c r="G33" s="67"/>
      <c r="H33" s="68">
        <v>131.22999999999999</v>
      </c>
      <c r="I33" s="69"/>
      <c r="J33" s="70"/>
      <c r="K33" s="68">
        <v>85.23</v>
      </c>
      <c r="L33" s="71"/>
      <c r="M33" s="70"/>
      <c r="N33" s="72">
        <v>121.6</v>
      </c>
      <c r="O33" s="69"/>
      <c r="P33" s="73"/>
      <c r="Q33" s="74">
        <v>1.43</v>
      </c>
      <c r="R33" s="69"/>
      <c r="S33" s="73"/>
      <c r="T33" s="65"/>
      <c r="U33" s="66"/>
      <c r="V33" s="66"/>
      <c r="W33" s="66"/>
      <c r="X33" s="66"/>
      <c r="Y33" s="67"/>
      <c r="Z33" s="11"/>
    </row>
    <row r="34" spans="1:26" ht="19.5" customHeight="1" x14ac:dyDescent="0.25">
      <c r="A34" s="9"/>
      <c r="B34" s="44">
        <v>10</v>
      </c>
      <c r="C34" s="65"/>
      <c r="D34" s="66"/>
      <c r="E34" s="66"/>
      <c r="F34" s="66"/>
      <c r="G34" s="67"/>
      <c r="H34" s="68">
        <v>137.80000000000001</v>
      </c>
      <c r="I34" s="69"/>
      <c r="J34" s="70"/>
      <c r="K34" s="68">
        <v>98.68</v>
      </c>
      <c r="L34" s="71"/>
      <c r="M34" s="70"/>
      <c r="N34" s="72">
        <v>132.30000000000001</v>
      </c>
      <c r="O34" s="69"/>
      <c r="P34" s="73"/>
      <c r="Q34" s="74">
        <v>1.34</v>
      </c>
      <c r="R34" s="69"/>
      <c r="S34" s="73"/>
      <c r="T34" s="65"/>
      <c r="U34" s="66"/>
      <c r="V34" s="66"/>
      <c r="W34" s="66"/>
      <c r="X34" s="66"/>
      <c r="Y34" s="67"/>
      <c r="Z34" s="11"/>
    </row>
    <row r="35" spans="1:26" ht="19.5" customHeight="1" x14ac:dyDescent="0.25">
      <c r="A35" s="9"/>
      <c r="B35" s="44">
        <v>11</v>
      </c>
      <c r="C35" s="65"/>
      <c r="D35" s="66"/>
      <c r="E35" s="66"/>
      <c r="F35" s="66"/>
      <c r="G35" s="67"/>
      <c r="H35" s="68">
        <v>110.24</v>
      </c>
      <c r="I35" s="69"/>
      <c r="J35" s="70"/>
      <c r="K35" s="68">
        <v>80.36</v>
      </c>
      <c r="L35" s="71"/>
      <c r="M35" s="70"/>
      <c r="N35" s="72">
        <v>140.6</v>
      </c>
      <c r="O35" s="69"/>
      <c r="P35" s="73"/>
      <c r="Q35" s="74">
        <v>1.75</v>
      </c>
      <c r="R35" s="69"/>
      <c r="S35" s="73"/>
      <c r="T35" s="65"/>
      <c r="U35" s="66"/>
      <c r="V35" s="66"/>
      <c r="W35" s="66"/>
      <c r="X35" s="66"/>
      <c r="Y35" s="67"/>
      <c r="Z35" s="11"/>
    </row>
    <row r="36" spans="1:26" ht="19.5" customHeight="1" x14ac:dyDescent="0.25">
      <c r="A36" s="9"/>
      <c r="B36" s="44">
        <v>12</v>
      </c>
      <c r="C36" s="65"/>
      <c r="D36" s="66"/>
      <c r="E36" s="66"/>
      <c r="F36" s="66"/>
      <c r="G36" s="67"/>
      <c r="H36" s="68">
        <v>275.58999999999997</v>
      </c>
      <c r="I36" s="69"/>
      <c r="J36" s="70"/>
      <c r="K36" s="68">
        <v>234.38</v>
      </c>
      <c r="L36" s="71"/>
      <c r="M36" s="70"/>
      <c r="N36" s="72">
        <v>160.69999999999999</v>
      </c>
      <c r="O36" s="69"/>
      <c r="P36" s="73"/>
      <c r="Q36" s="74">
        <v>0.69</v>
      </c>
      <c r="R36" s="69"/>
      <c r="S36" s="73"/>
      <c r="T36" s="65"/>
      <c r="U36" s="66"/>
      <c r="V36" s="66"/>
      <c r="W36" s="66"/>
      <c r="X36" s="66"/>
      <c r="Y36" s="67"/>
      <c r="Z36" s="11"/>
    </row>
    <row r="37" spans="1:26" ht="19.5" customHeight="1" x14ac:dyDescent="0.25">
      <c r="A37" s="9"/>
      <c r="B37" s="44">
        <v>13</v>
      </c>
      <c r="C37" s="65"/>
      <c r="D37" s="66"/>
      <c r="E37" s="66"/>
      <c r="F37" s="66"/>
      <c r="G37" s="67"/>
      <c r="H37" s="68">
        <v>153.69999999999999</v>
      </c>
      <c r="I37" s="69"/>
      <c r="J37" s="70"/>
      <c r="K37" s="68">
        <v>100.2</v>
      </c>
      <c r="L37" s="71"/>
      <c r="M37" s="70"/>
      <c r="N37" s="72">
        <v>170.5</v>
      </c>
      <c r="O37" s="69"/>
      <c r="P37" s="73"/>
      <c r="Q37" s="74">
        <f>N37/K37</f>
        <v>1.7015968063872255</v>
      </c>
      <c r="R37" s="69"/>
      <c r="S37" s="73"/>
      <c r="T37" s="65"/>
      <c r="U37" s="66"/>
      <c r="V37" s="66"/>
      <c r="W37" s="66"/>
      <c r="X37" s="66"/>
      <c r="Y37" s="67"/>
      <c r="Z37" s="11"/>
    </row>
    <row r="38" spans="1:26" ht="19.5" customHeight="1" x14ac:dyDescent="0.25">
      <c r="A38" s="9"/>
      <c r="B38" s="44">
        <v>14</v>
      </c>
      <c r="C38" s="65"/>
      <c r="D38" s="66"/>
      <c r="E38" s="66"/>
      <c r="F38" s="66"/>
      <c r="G38" s="67"/>
      <c r="H38" s="68">
        <v>112.8</v>
      </c>
      <c r="I38" s="69"/>
      <c r="J38" s="70"/>
      <c r="K38" s="68">
        <v>92.8</v>
      </c>
      <c r="L38" s="71"/>
      <c r="M38" s="70"/>
      <c r="N38" s="72">
        <v>135.80000000000001</v>
      </c>
      <c r="O38" s="69"/>
      <c r="P38" s="73"/>
      <c r="Q38" s="74">
        <f>N38/K38</f>
        <v>1.4633620689655173</v>
      </c>
      <c r="R38" s="69"/>
      <c r="S38" s="73"/>
      <c r="T38" s="65"/>
      <c r="U38" s="66"/>
      <c r="V38" s="66"/>
      <c r="W38" s="66"/>
      <c r="X38" s="66"/>
      <c r="Y38" s="67"/>
      <c r="Z38" s="11"/>
    </row>
    <row r="39" spans="1:26" ht="19.5" customHeight="1" x14ac:dyDescent="0.25">
      <c r="A39" s="9"/>
      <c r="B39" s="44"/>
      <c r="C39" s="65"/>
      <c r="D39" s="66"/>
      <c r="E39" s="66"/>
      <c r="F39" s="66"/>
      <c r="G39" s="67"/>
      <c r="H39" s="68"/>
      <c r="I39" s="69"/>
      <c r="J39" s="70"/>
      <c r="K39" s="68"/>
      <c r="L39" s="71"/>
      <c r="M39" s="70"/>
      <c r="N39" s="72"/>
      <c r="O39" s="69"/>
      <c r="P39" s="73"/>
      <c r="Q39" s="74"/>
      <c r="R39" s="69"/>
      <c r="S39" s="73"/>
      <c r="T39" s="65"/>
      <c r="U39" s="66"/>
      <c r="V39" s="66"/>
      <c r="W39" s="66"/>
      <c r="X39" s="66"/>
      <c r="Y39" s="67"/>
      <c r="Z39" s="11"/>
    </row>
    <row r="40" spans="1:26" ht="19.5" customHeight="1" x14ac:dyDescent="0.25">
      <c r="A40" s="9"/>
      <c r="B40" s="44"/>
      <c r="C40" s="65"/>
      <c r="D40" s="66"/>
      <c r="E40" s="66"/>
      <c r="F40" s="66"/>
      <c r="G40" s="67"/>
      <c r="H40" s="68"/>
      <c r="I40" s="69"/>
      <c r="J40" s="70"/>
      <c r="K40" s="68"/>
      <c r="L40" s="71"/>
      <c r="M40" s="70"/>
      <c r="N40" s="72"/>
      <c r="O40" s="69"/>
      <c r="P40" s="73"/>
      <c r="Q40" s="74"/>
      <c r="R40" s="69"/>
      <c r="S40" s="73"/>
      <c r="T40" s="65"/>
      <c r="U40" s="66"/>
      <c r="V40" s="66"/>
      <c r="W40" s="66"/>
      <c r="X40" s="66"/>
      <c r="Y40" s="67"/>
      <c r="Z40" s="11"/>
    </row>
    <row r="41" spans="1:26" ht="19.5" customHeight="1" x14ac:dyDescent="0.25">
      <c r="A41" s="9"/>
      <c r="B41" s="44"/>
      <c r="C41" s="65"/>
      <c r="D41" s="66"/>
      <c r="E41" s="66"/>
      <c r="F41" s="66"/>
      <c r="G41" s="67"/>
      <c r="H41" s="68"/>
      <c r="I41" s="69"/>
      <c r="J41" s="70"/>
      <c r="K41" s="68"/>
      <c r="L41" s="71"/>
      <c r="M41" s="70"/>
      <c r="N41" s="72"/>
      <c r="O41" s="69"/>
      <c r="P41" s="73"/>
      <c r="Q41" s="74"/>
      <c r="R41" s="69"/>
      <c r="S41" s="73"/>
      <c r="T41" s="65"/>
      <c r="U41" s="66"/>
      <c r="V41" s="66"/>
      <c r="W41" s="66"/>
      <c r="X41" s="66"/>
      <c r="Y41" s="67"/>
      <c r="Z41" s="11"/>
    </row>
    <row r="42" spans="1:26" ht="19.5" customHeight="1" x14ac:dyDescent="0.25">
      <c r="A42" s="9"/>
      <c r="B42" s="44"/>
      <c r="C42" s="65"/>
      <c r="D42" s="66"/>
      <c r="E42" s="66"/>
      <c r="F42" s="66"/>
      <c r="G42" s="67"/>
      <c r="H42" s="68"/>
      <c r="I42" s="69"/>
      <c r="J42" s="70"/>
      <c r="K42" s="68"/>
      <c r="L42" s="71"/>
      <c r="M42" s="70"/>
      <c r="N42" s="72"/>
      <c r="O42" s="69"/>
      <c r="P42" s="73"/>
      <c r="Q42" s="74"/>
      <c r="R42" s="69"/>
      <c r="S42" s="73"/>
      <c r="T42" s="65"/>
      <c r="U42" s="66"/>
      <c r="V42" s="66"/>
      <c r="W42" s="66"/>
      <c r="X42" s="66"/>
      <c r="Y42" s="67"/>
      <c r="Z42" s="11"/>
    </row>
    <row r="43" spans="1:26" ht="19.5" customHeight="1" x14ac:dyDescent="0.25">
      <c r="A43" s="9"/>
      <c r="B43" s="44"/>
      <c r="C43" s="65"/>
      <c r="D43" s="66"/>
      <c r="E43" s="66"/>
      <c r="F43" s="66"/>
      <c r="G43" s="67"/>
      <c r="H43" s="68"/>
      <c r="I43" s="69"/>
      <c r="J43" s="70"/>
      <c r="K43" s="68"/>
      <c r="L43" s="71"/>
      <c r="M43" s="70"/>
      <c r="N43" s="72"/>
      <c r="O43" s="69"/>
      <c r="P43" s="73"/>
      <c r="Q43" s="74"/>
      <c r="R43" s="69"/>
      <c r="S43" s="73"/>
      <c r="T43" s="65"/>
      <c r="U43" s="66"/>
      <c r="V43" s="66"/>
      <c r="W43" s="66"/>
      <c r="X43" s="66"/>
      <c r="Y43" s="67"/>
      <c r="Z43" s="11"/>
    </row>
    <row r="44" spans="1:26" ht="19.5" customHeight="1" x14ac:dyDescent="0.25">
      <c r="A44" s="9"/>
      <c r="B44" s="44"/>
      <c r="C44" s="65"/>
      <c r="D44" s="66"/>
      <c r="E44" s="66"/>
      <c r="F44" s="66"/>
      <c r="G44" s="67"/>
      <c r="H44" s="68"/>
      <c r="I44" s="69"/>
      <c r="J44" s="70"/>
      <c r="K44" s="68"/>
      <c r="L44" s="71"/>
      <c r="M44" s="70"/>
      <c r="N44" s="72"/>
      <c r="O44" s="69"/>
      <c r="P44" s="73"/>
      <c r="Q44" s="74"/>
      <c r="R44" s="69"/>
      <c r="S44" s="73"/>
      <c r="T44" s="65"/>
      <c r="U44" s="66"/>
      <c r="V44" s="66"/>
      <c r="W44" s="66"/>
      <c r="X44" s="66"/>
      <c r="Y44" s="67"/>
      <c r="Z44" s="11"/>
    </row>
    <row r="45" spans="1:26" ht="19.5" customHeight="1" x14ac:dyDescent="0.25">
      <c r="A45" s="9"/>
      <c r="B45" s="44"/>
      <c r="C45" s="65"/>
      <c r="D45" s="66"/>
      <c r="E45" s="66"/>
      <c r="F45" s="66"/>
      <c r="G45" s="67"/>
      <c r="H45" s="68"/>
      <c r="I45" s="69"/>
      <c r="J45" s="70"/>
      <c r="K45" s="68"/>
      <c r="L45" s="71"/>
      <c r="M45" s="70"/>
      <c r="N45" s="72"/>
      <c r="O45" s="69"/>
      <c r="P45" s="73"/>
      <c r="Q45" s="74"/>
      <c r="R45" s="69"/>
      <c r="S45" s="73"/>
      <c r="T45" s="65"/>
      <c r="U45" s="66"/>
      <c r="V45" s="66"/>
      <c r="W45" s="66"/>
      <c r="X45" s="66"/>
      <c r="Y45" s="67"/>
      <c r="Z45" s="11"/>
    </row>
    <row r="46" spans="1:26" ht="19.5" customHeight="1" x14ac:dyDescent="0.25">
      <c r="A46" s="9"/>
      <c r="B46" s="45"/>
      <c r="C46" s="196"/>
      <c r="D46" s="197"/>
      <c r="E46" s="197"/>
      <c r="F46" s="197"/>
      <c r="G46" s="198"/>
      <c r="H46" s="199"/>
      <c r="I46" s="200"/>
      <c r="J46" s="201"/>
      <c r="K46" s="199"/>
      <c r="L46" s="200"/>
      <c r="M46" s="201"/>
      <c r="N46" s="199"/>
      <c r="O46" s="200"/>
      <c r="P46" s="201"/>
      <c r="Q46" s="202"/>
      <c r="R46" s="203"/>
      <c r="S46" s="204"/>
      <c r="T46" s="196"/>
      <c r="U46" s="197"/>
      <c r="V46" s="197"/>
      <c r="W46" s="197"/>
      <c r="X46" s="197"/>
      <c r="Y46" s="198"/>
      <c r="Z46" s="11"/>
    </row>
    <row r="47" spans="1:26" ht="15.75" customHeight="1" x14ac:dyDescent="0.25">
      <c r="A47" s="9"/>
      <c r="B47" s="127" t="s">
        <v>37</v>
      </c>
      <c r="C47" s="128"/>
      <c r="D47" s="128"/>
      <c r="E47" s="128"/>
      <c r="F47" s="128"/>
      <c r="G47" s="129"/>
      <c r="H47" s="126">
        <f>AVERAGE(H25:J46)</f>
        <v>158.60071428571428</v>
      </c>
      <c r="I47" s="69"/>
      <c r="J47" s="73"/>
      <c r="K47" s="126">
        <f>AVERAGE(K25:M46)</f>
        <v>104.86</v>
      </c>
      <c r="L47" s="69"/>
      <c r="M47" s="73"/>
      <c r="N47" s="126">
        <f>AVERAGE(N25:P46)</f>
        <v>146.02142857142854</v>
      </c>
      <c r="O47" s="69"/>
      <c r="P47" s="73"/>
      <c r="Q47" s="126">
        <f>AVERAGE(Q25:S46)</f>
        <v>1.6032113482394816</v>
      </c>
      <c r="R47" s="69"/>
      <c r="S47" s="73"/>
      <c r="T47" s="140">
        <v>100</v>
      </c>
      <c r="U47" s="141"/>
      <c r="V47" s="135" t="s">
        <v>38</v>
      </c>
      <c r="W47" s="135"/>
      <c r="X47" s="135"/>
      <c r="Y47" s="136"/>
      <c r="Z47" s="11"/>
    </row>
    <row r="48" spans="1:26" ht="15.75" customHeight="1" x14ac:dyDescent="0.25">
      <c r="A48" s="9"/>
      <c r="B48" s="123" t="s">
        <v>39</v>
      </c>
      <c r="C48" s="124"/>
      <c r="D48" s="124"/>
      <c r="E48" s="124"/>
      <c r="F48" s="124"/>
      <c r="G48" s="125"/>
      <c r="H48" s="126">
        <f>IF(H25&lt;&gt;"",MIN(H25:J46),"")</f>
        <v>104</v>
      </c>
      <c r="I48" s="69"/>
      <c r="J48" s="73"/>
      <c r="K48" s="126">
        <f>IF(K25&lt;&gt;"",MIN(K25:M46),"")</f>
        <v>52.08</v>
      </c>
      <c r="L48" s="69"/>
      <c r="M48" s="73"/>
      <c r="N48" s="126">
        <f>IF(COUNTIF(N25:P46,"*&lt;20*"),"&lt;20",MIN(N25:P46))</f>
        <v>118.4</v>
      </c>
      <c r="O48" s="69"/>
      <c r="P48" s="73"/>
      <c r="Q48" s="126">
        <f>IF(Q25&lt;&gt;"",MIN(Q25:S46),"")</f>
        <v>0.69</v>
      </c>
      <c r="R48" s="69"/>
      <c r="S48" s="73"/>
      <c r="T48" s="142"/>
      <c r="U48" s="143"/>
      <c r="V48" s="78"/>
      <c r="W48" s="78"/>
      <c r="X48" s="78"/>
      <c r="Y48" s="137"/>
      <c r="Z48" s="11"/>
    </row>
    <row r="49" spans="1:26" ht="15.75" customHeight="1" x14ac:dyDescent="0.25">
      <c r="A49" s="9"/>
      <c r="B49" s="82" t="s">
        <v>40</v>
      </c>
      <c r="C49" s="83"/>
      <c r="D49" s="83"/>
      <c r="E49" s="83"/>
      <c r="F49" s="83"/>
      <c r="G49" s="84"/>
      <c r="H49" s="79">
        <f>IF(H25&lt;&gt;"",MAX(H25:J46),"")</f>
        <v>344.49</v>
      </c>
      <c r="I49" s="80"/>
      <c r="J49" s="81"/>
      <c r="K49" s="79">
        <f>IF(K25&lt;&gt;"",MAX(K25:M46),"")</f>
        <v>234.38</v>
      </c>
      <c r="L49" s="80"/>
      <c r="M49" s="81"/>
      <c r="N49" s="79">
        <f>IF(COUNTIF(N25:P46,"*&gt;250*"),"&gt;250",MAX(N25:P46))</f>
        <v>204.6</v>
      </c>
      <c r="O49" s="80"/>
      <c r="P49" s="81"/>
      <c r="Q49" s="79">
        <f>IF(Q25&lt;&gt;"",MAX(Q25:S46),"")</f>
        <v>3.33</v>
      </c>
      <c r="R49" s="80"/>
      <c r="S49" s="81"/>
      <c r="T49" s="144"/>
      <c r="U49" s="145"/>
      <c r="V49" s="138"/>
      <c r="W49" s="138"/>
      <c r="X49" s="138"/>
      <c r="Y49" s="139"/>
      <c r="Z49" s="11"/>
    </row>
    <row r="50" spans="1:26" ht="15.9" customHeight="1" x14ac:dyDescent="0.25">
      <c r="A50" s="35"/>
      <c r="B50" s="36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6"/>
    </row>
    <row r="51" spans="1:26" ht="12.75" customHeight="1" x14ac:dyDescent="0.25">
      <c r="A51" s="37"/>
      <c r="B51" s="38"/>
    </row>
    <row r="52" spans="1:26" s="17" customFormat="1" ht="15.6" customHeight="1" x14ac:dyDescent="0.25">
      <c r="A52" s="46" t="s">
        <v>41</v>
      </c>
      <c r="B52" s="5" t="s">
        <v>42</v>
      </c>
      <c r="C52" s="47"/>
      <c r="D52" s="47"/>
      <c r="E52" s="47"/>
      <c r="F52" s="48"/>
      <c r="G52" s="48"/>
      <c r="H52" s="48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49"/>
      <c r="V52" s="50"/>
      <c r="W52" s="50"/>
      <c r="X52" s="40"/>
      <c r="Y52" s="40"/>
      <c r="Z52" s="41"/>
    </row>
    <row r="53" spans="1:26" s="17" customFormat="1" ht="28.5" customHeight="1" x14ac:dyDescent="0.25">
      <c r="A53" s="85" t="s">
        <v>43</v>
      </c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7"/>
      <c r="R53" s="88" t="s">
        <v>44</v>
      </c>
      <c r="S53" s="89"/>
      <c r="T53" s="90"/>
      <c r="U53" s="91" t="s">
        <v>45</v>
      </c>
      <c r="V53" s="92"/>
      <c r="W53" s="92"/>
      <c r="X53" s="93"/>
      <c r="Y53" s="93"/>
      <c r="Z53" s="94"/>
    </row>
    <row r="54" spans="1:26" s="17" customFormat="1" ht="15.6" customHeight="1" x14ac:dyDescent="0.25">
      <c r="A54" s="95" t="s">
        <v>46</v>
      </c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7"/>
      <c r="R54" s="88" t="s">
        <v>47</v>
      </c>
      <c r="S54" s="89"/>
      <c r="T54" s="90"/>
      <c r="U54" s="101" t="s">
        <v>48</v>
      </c>
      <c r="V54" s="102"/>
      <c r="W54" s="102"/>
      <c r="X54" s="103"/>
      <c r="Y54" s="103"/>
      <c r="Z54" s="104"/>
    </row>
    <row r="55" spans="1:26" s="17" customFormat="1" ht="15.6" customHeight="1" x14ac:dyDescent="0.25">
      <c r="A55" s="98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100"/>
      <c r="R55" s="88"/>
      <c r="S55" s="89"/>
      <c r="T55" s="90"/>
      <c r="U55" s="105"/>
      <c r="V55" s="78"/>
      <c r="W55" s="78"/>
      <c r="X55" s="106"/>
      <c r="Y55" s="106"/>
      <c r="Z55" s="107"/>
    </row>
    <row r="56" spans="1:26" s="17" customFormat="1" ht="15.6" customHeight="1" x14ac:dyDescent="0.25">
      <c r="A56" s="53" t="s">
        <v>49</v>
      </c>
      <c r="B56" s="54" t="s">
        <v>50</v>
      </c>
      <c r="C56" s="1"/>
      <c r="D56" s="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5"/>
      <c r="R56" s="88"/>
      <c r="S56" s="89"/>
      <c r="T56" s="90"/>
      <c r="U56" s="108"/>
      <c r="V56" s="109"/>
      <c r="W56" s="109"/>
      <c r="X56" s="110"/>
      <c r="Y56" s="110"/>
      <c r="Z56" s="111"/>
    </row>
    <row r="57" spans="1:26" s="17" customFormat="1" ht="15.6" customHeight="1" x14ac:dyDescent="0.25">
      <c r="A57" s="112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4"/>
      <c r="R57" s="88" t="s">
        <v>51</v>
      </c>
      <c r="S57" s="89"/>
      <c r="T57" s="90"/>
      <c r="U57" s="56"/>
      <c r="V57" s="57"/>
      <c r="W57" s="57"/>
      <c r="X57" s="57"/>
      <c r="Y57" s="57"/>
      <c r="Z57" s="58"/>
    </row>
    <row r="58" spans="1:26" s="17" customFormat="1" ht="15.6" customHeight="1" x14ac:dyDescent="0.25">
      <c r="A58" s="112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4"/>
      <c r="R58" s="88"/>
      <c r="S58" s="89"/>
      <c r="T58" s="90"/>
      <c r="U58" s="59"/>
      <c r="V58" s="78"/>
      <c r="W58" s="78"/>
      <c r="X58" s="78"/>
      <c r="Y58" s="78"/>
      <c r="Z58" s="60"/>
    </row>
    <row r="59" spans="1:26" s="17" customFormat="1" ht="15.6" customHeight="1" x14ac:dyDescent="0.25">
      <c r="A59" s="112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4"/>
      <c r="R59" s="88"/>
      <c r="S59" s="89"/>
      <c r="T59" s="90"/>
      <c r="U59" s="59"/>
      <c r="V59" s="78"/>
      <c r="W59" s="78"/>
      <c r="X59" s="78"/>
      <c r="Y59" s="78"/>
      <c r="Z59" s="60"/>
    </row>
    <row r="60" spans="1:26" s="17" customFormat="1" ht="15.6" customHeight="1" x14ac:dyDescent="0.25">
      <c r="A60" s="115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7"/>
      <c r="R60" s="118"/>
      <c r="S60" s="119"/>
      <c r="T60" s="120"/>
      <c r="U60" s="61"/>
      <c r="V60" s="62"/>
      <c r="W60" s="62"/>
      <c r="X60" s="62"/>
      <c r="Y60" s="62"/>
      <c r="Z60" s="63"/>
    </row>
    <row r="61" spans="1:26" s="17" customFormat="1" ht="15" customHeight="1" x14ac:dyDescent="0.2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52"/>
      <c r="S61" s="52"/>
      <c r="T61" s="52"/>
      <c r="U61" s="39"/>
      <c r="V61" s="39"/>
      <c r="W61" s="39"/>
      <c r="X61" s="39"/>
      <c r="Y61" s="39"/>
      <c r="Z61" s="39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</sheetData>
  <sheetProtection formatCells="0" formatColumns="0" formatRows="0" insertColumns="0" insertRows="0" insertHyperlinks="0" deleteColumns="0" deleteRows="0" selectLockedCells="1" sort="0" autoFilter="0" pivotTables="0"/>
  <mergeCells count="198">
    <mergeCell ref="B11:G11"/>
    <mergeCell ref="N12:R12"/>
    <mergeCell ref="H12:M12"/>
    <mergeCell ref="H11:M11"/>
    <mergeCell ref="B18:H18"/>
    <mergeCell ref="B23:B24"/>
    <mergeCell ref="C23:G24"/>
    <mergeCell ref="J21:P21"/>
    <mergeCell ref="T46:Y46"/>
    <mergeCell ref="C46:G46"/>
    <mergeCell ref="H46:J46"/>
    <mergeCell ref="K46:M46"/>
    <mergeCell ref="N46:P46"/>
    <mergeCell ref="Q46:S46"/>
    <mergeCell ref="C25:G25"/>
    <mergeCell ref="H25:J25"/>
    <mergeCell ref="H24:J24"/>
    <mergeCell ref="K24:M24"/>
    <mergeCell ref="N24:P24"/>
    <mergeCell ref="T25:Y25"/>
    <mergeCell ref="K25:M25"/>
    <mergeCell ref="N25:P25"/>
    <mergeCell ref="H23:J23"/>
    <mergeCell ref="K23:M23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U1:Z6"/>
    <mergeCell ref="L5:O5"/>
    <mergeCell ref="P5:T5"/>
    <mergeCell ref="L6:O6"/>
    <mergeCell ref="N23:P23"/>
    <mergeCell ref="V47:Y49"/>
    <mergeCell ref="T47:U49"/>
    <mergeCell ref="S12:Y12"/>
    <mergeCell ref="Q25:S25"/>
    <mergeCell ref="T23:Y24"/>
    <mergeCell ref="Q23:S24"/>
    <mergeCell ref="I17:Y17"/>
    <mergeCell ref="T36:Y36"/>
    <mergeCell ref="T37:Y37"/>
    <mergeCell ref="T38:Y38"/>
    <mergeCell ref="T39:Y39"/>
    <mergeCell ref="T40:Y40"/>
    <mergeCell ref="T41:Y41"/>
    <mergeCell ref="T42:Y42"/>
    <mergeCell ref="T43:Y43"/>
    <mergeCell ref="T44:Y44"/>
    <mergeCell ref="N26:P26"/>
    <mergeCell ref="Q26:S26"/>
    <mergeCell ref="T45:Y45"/>
    <mergeCell ref="B17:H17"/>
    <mergeCell ref="B12:G12"/>
    <mergeCell ref="B48:G48"/>
    <mergeCell ref="K48:M48"/>
    <mergeCell ref="K47:M47"/>
    <mergeCell ref="H48:J48"/>
    <mergeCell ref="H47:J47"/>
    <mergeCell ref="B47:G47"/>
    <mergeCell ref="P6:T6"/>
    <mergeCell ref="N11:R11"/>
    <mergeCell ref="N47:P47"/>
    <mergeCell ref="N48:P48"/>
    <mergeCell ref="Q47:S47"/>
    <mergeCell ref="Q48:S48"/>
    <mergeCell ref="T26:Y26"/>
    <mergeCell ref="T27:Y27"/>
    <mergeCell ref="T28:Y28"/>
    <mergeCell ref="T29:Y29"/>
    <mergeCell ref="T30:Y30"/>
    <mergeCell ref="T31:Y31"/>
    <mergeCell ref="T32:Y32"/>
    <mergeCell ref="T33:Y33"/>
    <mergeCell ref="T34:Y34"/>
    <mergeCell ref="T35:Y35"/>
    <mergeCell ref="S11:Y11"/>
    <mergeCell ref="I18:J18"/>
    <mergeCell ref="V58:Y59"/>
    <mergeCell ref="N49:P49"/>
    <mergeCell ref="Q49:S49"/>
    <mergeCell ref="B49:G49"/>
    <mergeCell ref="H49:J49"/>
    <mergeCell ref="K49:M49"/>
    <mergeCell ref="A53:Q53"/>
    <mergeCell ref="R53:T53"/>
    <mergeCell ref="U53:Z53"/>
    <mergeCell ref="A54:Q55"/>
    <mergeCell ref="R54:T56"/>
    <mergeCell ref="U54:Z56"/>
    <mergeCell ref="A57:Q60"/>
    <mergeCell ref="R57:T60"/>
    <mergeCell ref="C27:G27"/>
    <mergeCell ref="H27:J27"/>
    <mergeCell ref="K27:M27"/>
    <mergeCell ref="N27:P27"/>
    <mergeCell ref="Q27:S27"/>
    <mergeCell ref="C26:G26"/>
    <mergeCell ref="H26:J26"/>
    <mergeCell ref="K26:M26"/>
    <mergeCell ref="C29:G29"/>
    <mergeCell ref="H29:J29"/>
    <mergeCell ref="K29:M29"/>
    <mergeCell ref="N29:P29"/>
    <mergeCell ref="Q29:S29"/>
    <mergeCell ref="C28:G28"/>
    <mergeCell ref="H28:J28"/>
    <mergeCell ref="K28:M28"/>
    <mergeCell ref="N28:P28"/>
    <mergeCell ref="Q28:S28"/>
    <mergeCell ref="C31:G31"/>
    <mergeCell ref="H31:J31"/>
    <mergeCell ref="K31:M31"/>
    <mergeCell ref="N31:P31"/>
    <mergeCell ref="Q31:S31"/>
    <mergeCell ref="C30:G30"/>
    <mergeCell ref="H30:J30"/>
    <mergeCell ref="K30:M30"/>
    <mergeCell ref="N30:P30"/>
    <mergeCell ref="Q30:S30"/>
    <mergeCell ref="C33:G33"/>
    <mergeCell ref="H33:J33"/>
    <mergeCell ref="K33:M33"/>
    <mergeCell ref="N33:P33"/>
    <mergeCell ref="Q33:S33"/>
    <mergeCell ref="C32:G32"/>
    <mergeCell ref="H32:J32"/>
    <mergeCell ref="K32:M32"/>
    <mergeCell ref="N32:P32"/>
    <mergeCell ref="Q32:S32"/>
    <mergeCell ref="C35:G35"/>
    <mergeCell ref="H35:J35"/>
    <mergeCell ref="K35:M35"/>
    <mergeCell ref="N35:P35"/>
    <mergeCell ref="Q35:S35"/>
    <mergeCell ref="C34:G34"/>
    <mergeCell ref="H34:J34"/>
    <mergeCell ref="K34:M34"/>
    <mergeCell ref="N34:P34"/>
    <mergeCell ref="Q34:S34"/>
    <mergeCell ref="C37:G37"/>
    <mergeCell ref="H37:J37"/>
    <mergeCell ref="K37:M37"/>
    <mergeCell ref="N37:P37"/>
    <mergeCell ref="Q37:S37"/>
    <mergeCell ref="C36:G36"/>
    <mergeCell ref="H36:J36"/>
    <mergeCell ref="K36:M36"/>
    <mergeCell ref="N36:P36"/>
    <mergeCell ref="Q36:S36"/>
    <mergeCell ref="C39:G39"/>
    <mergeCell ref="H39:J39"/>
    <mergeCell ref="K39:M39"/>
    <mergeCell ref="N39:P39"/>
    <mergeCell ref="Q39:S39"/>
    <mergeCell ref="C38:G38"/>
    <mergeCell ref="H38:J38"/>
    <mergeCell ref="K38:M38"/>
    <mergeCell ref="N38:P38"/>
    <mergeCell ref="Q38:S38"/>
    <mergeCell ref="C41:G41"/>
    <mergeCell ref="H41:J41"/>
    <mergeCell ref="K41:M41"/>
    <mergeCell ref="N41:P41"/>
    <mergeCell ref="Q41:S41"/>
    <mergeCell ref="C40:G40"/>
    <mergeCell ref="H40:J40"/>
    <mergeCell ref="K40:M40"/>
    <mergeCell ref="N40:P40"/>
    <mergeCell ref="Q40:S40"/>
    <mergeCell ref="C43:G43"/>
    <mergeCell ref="H43:J43"/>
    <mergeCell ref="K43:M43"/>
    <mergeCell ref="N43:P43"/>
    <mergeCell ref="Q43:S43"/>
    <mergeCell ref="C42:G42"/>
    <mergeCell ref="H42:J42"/>
    <mergeCell ref="K42:M42"/>
    <mergeCell ref="N42:P42"/>
    <mergeCell ref="Q42:S42"/>
    <mergeCell ref="C45:G45"/>
    <mergeCell ref="H45:J45"/>
    <mergeCell ref="K45:M45"/>
    <mergeCell ref="N45:P45"/>
    <mergeCell ref="Q45:S45"/>
    <mergeCell ref="C44:G44"/>
    <mergeCell ref="H44:J44"/>
    <mergeCell ref="K44:M44"/>
    <mergeCell ref="N44:P44"/>
    <mergeCell ref="Q44:S4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220725</vt:lpstr>
      <vt:lpstr>'220725'!Zone_d_impression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2025-07-21T14:14:12Z</cp:lastPrinted>
  <dcterms:created xsi:type="dcterms:W3CDTF">2004-11-13T18:13:05Z</dcterms:created>
  <dcterms:modified xsi:type="dcterms:W3CDTF">2025-07-21T14:14:25Z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