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0\69\RA J10C  Vaulx en Velin - Tase\Essais de Laboratoire\Enrobés\"/>
    </mc:Choice>
  </mc:AlternateContent>
  <xr:revisionPtr revIDLastSave="0" documentId="13_ncr:1_{D941934C-2142-49CA-962A-11585513873B}" xr6:coauthVersionLast="45" xr6:coauthVersionMax="45" xr10:uidLastSave="{00000000-0000-0000-0000-000000000000}"/>
  <bookViews>
    <workbookView xWindow="47880" yWindow="-120" windowWidth="19440" windowHeight="15600" xr2:uid="{00000000-000D-0000-FFFF-FFFF00000000}"/>
  </bookViews>
  <sheets>
    <sheet name="CRE" sheetId="1" r:id="rId1"/>
  </sheets>
  <definedNames>
    <definedName name="_xlnm.Print_Area" localSheetId="0">CRE!$A$1:$Z$65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63" i="1" l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N51" i="1"/>
  <c r="Q51" i="1" s="1"/>
  <c r="T51" i="1" s="1"/>
  <c r="AD45" i="1"/>
  <c r="N50" i="1"/>
  <c r="Q50" i="1" s="1"/>
  <c r="T50" i="1" s="1"/>
  <c r="AD44" i="1"/>
  <c r="AD43" i="1"/>
  <c r="F31" i="1" l="1"/>
  <c r="N43" i="1" l="1"/>
  <c r="Q43" i="1" s="1"/>
  <c r="T43" i="1" s="1"/>
  <c r="N44" i="1"/>
  <c r="Q44" i="1" s="1"/>
  <c r="T44" i="1" s="1"/>
</calcChain>
</file>

<file path=xl/sharedStrings.xml><?xml version="1.0" encoding="utf-8"?>
<sst xmlns="http://schemas.openxmlformats.org/spreadsheetml/2006/main" count="71" uniqueCount="62">
  <si>
    <t>COMPTE RENDU D'ESSAIS</t>
  </si>
  <si>
    <t>MASSE VOLUMIQUE DES ENROBES
(NF EN 12697-6-A1)</t>
  </si>
  <si>
    <t>n°</t>
  </si>
  <si>
    <t>27/11/2020</t>
  </si>
  <si>
    <t>Chrono</t>
  </si>
  <si>
    <t>N° d'affaire</t>
  </si>
  <si>
    <t>Date de rédaction</t>
  </si>
  <si>
    <t>Laboratoire :</t>
  </si>
  <si>
    <t>Laboratoire Rhône-Alpes - 29-31 rue des Tâches - ZI mi-plaine - 69800 SAINT PRIEST</t>
  </si>
  <si>
    <t>1/</t>
  </si>
  <si>
    <t>RENSEIGNEMENTS GENERAUX</t>
  </si>
  <si>
    <t>Sylvain LHOPITAL</t>
  </si>
  <si>
    <t>26/11/2020</t>
  </si>
  <si>
    <t>Opérateur :</t>
  </si>
  <si>
    <t>Nature du produit :</t>
  </si>
  <si>
    <t>BBSG 0/10 Classe 3</t>
  </si>
  <si>
    <t>Date de(s) prélèvement(s) :</t>
  </si>
  <si>
    <t>Provenance :</t>
  </si>
  <si>
    <t>P2R</t>
  </si>
  <si>
    <t>Date de(s) essai(s) :</t>
  </si>
  <si>
    <t>Couche :</t>
  </si>
  <si>
    <t>Roulement</t>
  </si>
  <si>
    <t>2/</t>
  </si>
  <si>
    <t>CRITERES DE CONFORMITE</t>
  </si>
  <si>
    <t>Source des critères :</t>
  </si>
  <si>
    <t>Définition des critères / objectifs :</t>
  </si>
  <si>
    <t>3/</t>
  </si>
  <si>
    <t>RESULTATS DES ESSAIS</t>
  </si>
  <si>
    <t>Température mesurée de l'eau :
(±1 - °C)</t>
  </si>
  <si>
    <t>°C</t>
  </si>
  <si>
    <t xml:space="preserve">Masse volumique de la paraffine: </t>
  </si>
  <si>
    <r>
      <t>kg/m</t>
    </r>
    <r>
      <rPr>
        <b/>
        <vertAlign val="superscript"/>
        <sz val="10"/>
        <color rgb="FF000000"/>
        <rFont val="Century Gothic"/>
        <family val="2"/>
      </rPr>
      <t>3</t>
    </r>
  </si>
  <si>
    <t>Masse volumique de l'eau :</t>
  </si>
  <si>
    <t>kg/m3</t>
  </si>
  <si>
    <t>MVR :</t>
  </si>
  <si>
    <t>Référence de l'éprouvette</t>
  </si>
  <si>
    <t>Masse séche
(g)</t>
  </si>
  <si>
    <t>Masse sèche paraffinée
(g)</t>
  </si>
  <si>
    <t>Masse dans l'eau
(g)</t>
  </si>
  <si>
    <r>
      <t>Masse volumique de l'éprouvette
(kg/m</t>
    </r>
    <r>
      <rPr>
        <b/>
        <vertAlign val="superscript"/>
        <sz val="10"/>
        <color rgb="FF000000"/>
        <rFont val="Century Gothic"/>
        <family val="2"/>
      </rPr>
      <t>3)</t>
    </r>
  </si>
  <si>
    <t>Compacité %</t>
  </si>
  <si>
    <t>% vides</t>
  </si>
  <si>
    <t>Hauteur de l'éprouvette (cm)</t>
  </si>
  <si>
    <t>Température mesurée au 1°C</t>
  </si>
  <si>
    <t>Facteur de correction K</t>
  </si>
  <si>
    <t>Facteur de correction à utiliser</t>
  </si>
  <si>
    <t>SC3'</t>
  </si>
  <si>
    <t>SC5'</t>
  </si>
  <si>
    <t>4/</t>
  </si>
  <si>
    <t>CONCLUSIONS</t>
  </si>
  <si>
    <t>Contrôle</t>
  </si>
  <si>
    <t>Nom</t>
  </si>
  <si>
    <t>Pour information</t>
  </si>
  <si>
    <t>Fonction</t>
  </si>
  <si>
    <t>Chef de section laboratoire</t>
  </si>
  <si>
    <t>7/</t>
  </si>
  <si>
    <t>COMMENTAIRES</t>
  </si>
  <si>
    <t>Visa</t>
  </si>
  <si>
    <t>RA J10C</t>
  </si>
  <si>
    <t>Vaulx en Velin
TASE</t>
  </si>
  <si>
    <t>Rappel : SC3 GL</t>
  </si>
  <si>
    <t>RAppel : SC5 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</si>
</sst>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0"/>
  </numFmts>
  <fonts count="14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sz val="11"/>
      <color rgb="FF000000"/>
      <name val="Calibri"/>
      <family val="2"/>
    </font>
    <font>
      <sz val="11"/>
      <color rgb="FF000000"/>
      <name val="Century Gothic"/>
      <family val="2"/>
    </font>
    <font>
      <sz val="8"/>
      <color rgb="FF000000"/>
      <name val="Century Gothic"/>
      <family val="2"/>
    </font>
    <font>
      <b/>
      <sz val="14"/>
      <color rgb="FF000000"/>
      <name val="Century Gothic"/>
      <family val="2"/>
    </font>
    <font>
      <b/>
      <vertAlign val="superscript"/>
      <sz val="10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2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7" fillId="0" borderId="4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0" fontId="8" fillId="0" borderId="0" xfId="0" applyFont="1" applyAlignment="1">
      <alignment horizontal="right"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1" fillId="0" borderId="0" xfId="0" applyFont="1"/>
    <xf numFmtId="0" fontId="8" fillId="0" borderId="0" xfId="0" applyFont="1" applyAlignment="1">
      <alignment horizontal="right"/>
    </xf>
    <xf numFmtId="164" fontId="1" fillId="0" borderId="7" xfId="0" applyNumberFormat="1" applyFont="1" applyBorder="1" applyAlignment="1" applyProtection="1">
      <alignment vertical="center"/>
      <protection hidden="1"/>
    </xf>
    <xf numFmtId="164" fontId="1" fillId="0" borderId="0" xfId="0" applyNumberFormat="1" applyFont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164" fontId="1" fillId="0" borderId="8" xfId="0" applyNumberFormat="1" applyFont="1" applyBorder="1" applyAlignment="1" applyProtection="1">
      <alignment vertical="center"/>
      <protection hidden="1"/>
    </xf>
    <xf numFmtId="0" fontId="8" fillId="0" borderId="1" xfId="0" applyFont="1" applyBorder="1" applyAlignment="1" applyProtection="1">
      <alignment horizontal="center" vertical="center"/>
      <protection hidden="1"/>
    </xf>
    <xf numFmtId="0" fontId="8" fillId="0" borderId="2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7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9" fillId="0" borderId="0" xfId="0" applyFont="1"/>
    <xf numFmtId="0" fontId="9" fillId="0" borderId="0" xfId="0" applyFont="1"/>
    <xf numFmtId="0" fontId="9" fillId="0" borderId="0" xfId="0" applyFont="1"/>
    <xf numFmtId="0" fontId="9" fillId="0" borderId="0" xfId="0" applyFont="1"/>
    <xf numFmtId="0" fontId="9" fillId="0" borderId="0" xfId="0" applyFont="1"/>
    <xf numFmtId="0" fontId="6" fillId="0" borderId="3" xfId="0" applyFont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10" fillId="0" borderId="4" xfId="0" applyFont="1" applyBorder="1" applyAlignment="1" applyProtection="1">
      <alignment vertical="center"/>
      <protection hidden="1"/>
    </xf>
    <xf numFmtId="0" fontId="5" fillId="0" borderId="4" xfId="0" applyFont="1" applyBorder="1" applyProtection="1">
      <protection hidden="1"/>
    </xf>
    <xf numFmtId="0" fontId="10" fillId="0" borderId="4" xfId="0" applyFont="1" applyBorder="1" applyProtection="1">
      <protection hidden="1"/>
    </xf>
    <xf numFmtId="0" fontId="10" fillId="0" borderId="6" xfId="0" applyFont="1" applyBorder="1" applyProtection="1">
      <protection hidden="1"/>
    </xf>
    <xf numFmtId="0" fontId="6" fillId="0" borderId="0" xfId="0" applyFont="1" applyProtection="1">
      <protection hidden="1"/>
    </xf>
    <xf numFmtId="0" fontId="10" fillId="0" borderId="0" xfId="0" applyFont="1" applyProtection="1">
      <protection hidden="1"/>
    </xf>
    <xf numFmtId="0" fontId="0" fillId="0" borderId="0" xfId="0"/>
    <xf numFmtId="0" fontId="8" fillId="0" borderId="0" xfId="0" applyFont="1" applyBorder="1" applyAlignment="1">
      <alignment horizontal="center" vertical="center" wrapText="1"/>
    </xf>
    <xf numFmtId="165" fontId="8" fillId="0" borderId="0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3" fillId="0" borderId="0" xfId="0" applyFont="1" applyBorder="1" applyAlignment="1" applyProtection="1">
      <alignment vertical="center"/>
      <protection hidden="1"/>
    </xf>
    <xf numFmtId="0" fontId="7" fillId="0" borderId="0" xfId="0" applyFont="1" applyBorder="1" applyAlignment="1" applyProtection="1">
      <alignment vertical="center"/>
      <protection hidden="1"/>
    </xf>
    <xf numFmtId="0" fontId="7" fillId="0" borderId="0" xfId="0" applyFont="1" applyBorder="1" applyAlignment="1" applyProtection="1">
      <alignment horizontal="center" vertical="center"/>
      <protection hidden="1"/>
    </xf>
    <xf numFmtId="0" fontId="1" fillId="0" borderId="0" xfId="0" applyFont="1" applyBorder="1" applyAlignment="1" applyProtection="1">
      <alignment vertical="center"/>
      <protection hidden="1"/>
    </xf>
    <xf numFmtId="0" fontId="10" fillId="0" borderId="15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2" xfId="0" applyFont="1" applyBorder="1" applyAlignment="1" applyProtection="1">
      <alignment horizontal="center" vertical="center"/>
      <protection hidden="1"/>
    </xf>
    <xf numFmtId="0" fontId="11" fillId="0" borderId="8" xfId="0" applyFont="1" applyBorder="1" applyAlignment="1" applyProtection="1">
      <alignment horizontal="center" vertical="center"/>
      <protection hidden="1"/>
    </xf>
    <xf numFmtId="0" fontId="6" fillId="0" borderId="11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left" vertical="center"/>
      <protection hidden="1"/>
    </xf>
    <xf numFmtId="0" fontId="10" fillId="0" borderId="0" xfId="0" applyFont="1" applyAlignment="1" applyProtection="1">
      <alignment horizontal="left" vertical="center"/>
      <protection locked="0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8" fillId="0" borderId="3" xfId="0" applyFont="1" applyBorder="1" applyAlignment="1" applyProtection="1">
      <alignment horizontal="center"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12" fillId="0" borderId="3" xfId="0" applyFont="1" applyBorder="1" applyAlignment="1" applyProtection="1">
      <alignment horizontal="center" vertical="center" wrapText="1"/>
      <protection locked="0"/>
    </xf>
    <xf numFmtId="0" fontId="12" fillId="0" borderId="4" xfId="0" applyFont="1" applyBorder="1" applyAlignment="1" applyProtection="1">
      <alignment horizontal="center" vertical="center" wrapText="1"/>
      <protection locked="0"/>
    </xf>
    <xf numFmtId="0" fontId="12" fillId="0" borderId="5" xfId="0" applyFont="1" applyBorder="1" applyAlignment="1" applyProtection="1">
      <alignment horizontal="center" vertical="center" wrapText="1"/>
      <protection locked="0"/>
    </xf>
    <xf numFmtId="0" fontId="12" fillId="0" borderId="6" xfId="0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2" fillId="0" borderId="7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12" fillId="0" borderId="2" xfId="0" applyFont="1" applyBorder="1" applyAlignment="1" applyProtection="1">
      <alignment horizontal="center" vertical="center" wrapText="1"/>
      <protection locked="0"/>
    </xf>
    <xf numFmtId="0" fontId="12" fillId="0" borderId="8" xfId="0" applyFont="1" applyBorder="1" applyAlignment="1" applyProtection="1">
      <alignment horizontal="center" vertical="center" wrapText="1"/>
      <protection locked="0"/>
    </xf>
    <xf numFmtId="0" fontId="12" fillId="0" borderId="6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2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166" fontId="6" fillId="0" borderId="0" xfId="0" applyNumberFormat="1" applyFont="1" applyAlignment="1" applyProtection="1">
      <alignment horizontal="center" vertical="center"/>
      <protection locked="0"/>
    </xf>
    <xf numFmtId="166" fontId="6" fillId="0" borderId="7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165" fontId="10" fillId="0" borderId="16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165" fontId="10" fillId="0" borderId="34" xfId="0" applyNumberFormat="1" applyFont="1" applyBorder="1" applyAlignment="1">
      <alignment horizontal="center" vertical="center"/>
    </xf>
    <xf numFmtId="165" fontId="10" fillId="0" borderId="35" xfId="0" applyNumberFormat="1" applyFont="1" applyBorder="1" applyAlignment="1">
      <alignment horizontal="center" vertical="center"/>
    </xf>
    <xf numFmtId="165" fontId="10" fillId="0" borderId="36" xfId="0" applyNumberFormat="1" applyFont="1" applyBorder="1" applyAlignment="1">
      <alignment horizontal="center" vertical="center"/>
    </xf>
    <xf numFmtId="0" fontId="10" fillId="0" borderId="0" xfId="0" applyFont="1" applyAlignment="1" applyProtection="1">
      <alignment horizontal="left"/>
      <protection locked="0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65" fontId="10" fillId="0" borderId="18" xfId="0" applyNumberFormat="1" applyFont="1" applyBorder="1" applyAlignment="1">
      <alignment horizontal="center" vertical="center"/>
    </xf>
    <xf numFmtId="165" fontId="10" fillId="0" borderId="11" xfId="0" applyNumberFormat="1" applyFont="1" applyBorder="1" applyAlignment="1">
      <alignment horizontal="center" vertical="center"/>
    </xf>
    <xf numFmtId="165" fontId="10" fillId="0" borderId="17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4" fontId="10" fillId="0" borderId="0" xfId="0" applyNumberFormat="1" applyFont="1" applyAlignment="1" applyProtection="1">
      <alignment horizontal="left" vertical="center"/>
      <protection locked="0"/>
    </xf>
    <xf numFmtId="0" fontId="10" fillId="0" borderId="0" xfId="0" applyFont="1" applyAlignment="1" applyProtection="1">
      <alignment horizontal="left"/>
      <protection hidden="1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5" fontId="8" fillId="0" borderId="2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0" fillId="0" borderId="34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10" fillId="0" borderId="37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6" fillId="0" borderId="6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6" fillId="0" borderId="29" xfId="0" applyFont="1" applyBorder="1" applyAlignment="1" applyProtection="1">
      <alignment horizontal="center" vertical="center"/>
      <protection hidden="1"/>
    </xf>
    <xf numFmtId="0" fontId="6" fillId="0" borderId="30" xfId="0" applyFont="1" applyBorder="1" applyAlignment="1" applyProtection="1">
      <alignment horizontal="center" vertical="center"/>
      <protection hidden="1"/>
    </xf>
    <xf numFmtId="0" fontId="6" fillId="0" borderId="31" xfId="0" applyFont="1" applyBorder="1" applyAlignment="1" applyProtection="1">
      <alignment horizontal="center" vertical="center"/>
      <protection hidden="1"/>
    </xf>
    <xf numFmtId="0" fontId="10" fillId="0" borderId="6" xfId="0" applyFont="1" applyBorder="1" applyAlignment="1" applyProtection="1">
      <alignment horizontal="left" vertical="center" wrapText="1"/>
      <protection locked="0"/>
    </xf>
    <xf numFmtId="0" fontId="10" fillId="0" borderId="0" xfId="0" applyFont="1" applyAlignment="1" applyProtection="1">
      <alignment horizontal="left" vertical="center" wrapText="1"/>
      <protection locked="0"/>
    </xf>
    <xf numFmtId="0" fontId="10" fillId="0" borderId="7" xfId="0" applyFont="1" applyBorder="1" applyAlignment="1" applyProtection="1">
      <alignment horizontal="left" vertical="center" wrapText="1"/>
      <protection locked="0"/>
    </xf>
    <xf numFmtId="0" fontId="10" fillId="0" borderId="1" xfId="0" applyFont="1" applyBorder="1" applyAlignment="1" applyProtection="1">
      <alignment horizontal="left" vertical="center" wrapText="1"/>
      <protection locked="0"/>
    </xf>
    <xf numFmtId="0" fontId="10" fillId="0" borderId="2" xfId="0" applyFont="1" applyBorder="1" applyAlignment="1" applyProtection="1">
      <alignment horizontal="left" vertical="center" wrapText="1"/>
      <protection locked="0"/>
    </xf>
    <xf numFmtId="0" fontId="10" fillId="0" borderId="8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5" fillId="0" borderId="11" xfId="0" applyFont="1" applyBorder="1" applyAlignment="1" applyProtection="1">
      <alignment horizontal="center" vertical="center" wrapText="1"/>
      <protection hidden="1"/>
    </xf>
    <xf numFmtId="0" fontId="1" fillId="0" borderId="11" xfId="0" applyFont="1" applyBorder="1" applyAlignment="1" applyProtection="1">
      <alignment horizontal="center" vertical="center" wrapText="1"/>
      <protection hidden="1"/>
    </xf>
    <xf numFmtId="0" fontId="1" fillId="0" borderId="17" xfId="0" applyFont="1" applyBorder="1" applyAlignment="1" applyProtection="1">
      <alignment horizontal="center" vertical="center" wrapText="1"/>
      <protection hidden="1"/>
    </xf>
    <xf numFmtId="0" fontId="10" fillId="0" borderId="18" xfId="0" applyFont="1" applyBorder="1" applyAlignment="1" applyProtection="1">
      <alignment horizontal="center" vertical="center" wrapText="1"/>
      <protection locked="0"/>
    </xf>
    <xf numFmtId="0" fontId="10" fillId="0" borderId="11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</xdr:row>
      <xdr:rowOff>0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72"/>
  <sheetViews>
    <sheetView tabSelected="1" topLeftCell="A40" workbookViewId="0">
      <selection activeCell="AA36" sqref="AA36"/>
    </sheetView>
  </sheetViews>
  <sheetFormatPr baseColWidth="10" defaultColWidth="11.44140625" defaultRowHeight="12.75" customHeight="1" x14ac:dyDescent="0.25"/>
  <cols>
    <col min="1" max="1" width="5.109375" style="54" customWidth="1"/>
    <col min="2" max="26" width="5.109375" style="1" customWidth="1"/>
    <col min="27" max="27" width="20" style="1" customWidth="1"/>
    <col min="28" max="28" width="28.109375" style="1" customWidth="1"/>
    <col min="29" max="29" width="22.88671875" style="1" customWidth="1"/>
    <col min="30" max="30" width="29.33203125" style="1" customWidth="1"/>
    <col min="31" max="31" width="11.44140625" style="1"/>
  </cols>
  <sheetData>
    <row r="1" spans="1:32" ht="12.75" customHeight="1" x14ac:dyDescent="0.25">
      <c r="A1" s="104"/>
      <c r="B1" s="105"/>
      <c r="C1" s="105"/>
      <c r="D1" s="105"/>
      <c r="E1" s="105"/>
      <c r="F1" s="106"/>
      <c r="G1" s="113" t="s">
        <v>0</v>
      </c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5"/>
      <c r="U1" s="116" t="s">
        <v>59</v>
      </c>
      <c r="V1" s="117"/>
      <c r="W1" s="117"/>
      <c r="X1" s="117"/>
      <c r="Y1" s="117"/>
      <c r="Z1" s="118"/>
    </row>
    <row r="2" spans="1:32" ht="12.75" customHeight="1" x14ac:dyDescent="0.3">
      <c r="A2" s="107"/>
      <c r="B2" s="108"/>
      <c r="C2" s="108"/>
      <c r="D2" s="108"/>
      <c r="E2" s="108"/>
      <c r="F2" s="109"/>
      <c r="G2" s="125" t="s">
        <v>1</v>
      </c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7"/>
      <c r="U2" s="119"/>
      <c r="V2" s="120"/>
      <c r="W2" s="120"/>
      <c r="X2" s="120"/>
      <c r="Y2" s="120"/>
      <c r="Z2" s="121"/>
      <c r="AA2" s="68"/>
      <c r="AB2" s="68"/>
    </row>
    <row r="3" spans="1:32" ht="12.75" customHeight="1" x14ac:dyDescent="0.3">
      <c r="A3" s="107"/>
      <c r="B3" s="108"/>
      <c r="C3" s="108"/>
      <c r="D3" s="108"/>
      <c r="E3" s="108"/>
      <c r="F3" s="109"/>
      <c r="G3" s="125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7"/>
      <c r="U3" s="119"/>
      <c r="V3" s="120"/>
      <c r="W3" s="120"/>
      <c r="X3" s="120"/>
      <c r="Y3" s="120"/>
      <c r="Z3" s="121"/>
      <c r="AA3" s="68"/>
      <c r="AB3" s="68"/>
    </row>
    <row r="4" spans="1:32" ht="12.75" customHeight="1" x14ac:dyDescent="0.3">
      <c r="A4" s="107"/>
      <c r="B4" s="108"/>
      <c r="C4" s="108"/>
      <c r="D4" s="108"/>
      <c r="E4" s="108"/>
      <c r="F4" s="109"/>
      <c r="G4" s="125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7"/>
      <c r="U4" s="119"/>
      <c r="V4" s="120"/>
      <c r="W4" s="120"/>
      <c r="X4" s="120"/>
      <c r="Y4" s="120"/>
      <c r="Z4" s="121"/>
      <c r="AA4" s="68"/>
      <c r="AB4" s="68"/>
    </row>
    <row r="5" spans="1:32" ht="12.75" customHeight="1" x14ac:dyDescent="0.3">
      <c r="A5" s="107"/>
      <c r="B5" s="108"/>
      <c r="C5" s="108"/>
      <c r="D5" s="108"/>
      <c r="E5" s="108"/>
      <c r="F5" s="109"/>
      <c r="G5" s="128"/>
      <c r="H5" s="129"/>
      <c r="I5" s="2" t="s">
        <v>2</v>
      </c>
      <c r="J5" s="130">
        <v>1</v>
      </c>
      <c r="K5" s="131"/>
      <c r="L5" s="132" t="s">
        <v>58</v>
      </c>
      <c r="M5" s="133"/>
      <c r="N5" s="133"/>
      <c r="O5" s="134"/>
      <c r="P5" s="135" t="s">
        <v>3</v>
      </c>
      <c r="Q5" s="136"/>
      <c r="R5" s="136"/>
      <c r="S5" s="136"/>
      <c r="T5" s="137"/>
      <c r="U5" s="119"/>
      <c r="V5" s="120"/>
      <c r="W5" s="120"/>
      <c r="X5" s="120"/>
      <c r="Y5" s="120"/>
      <c r="Z5" s="121"/>
      <c r="AA5" s="68"/>
      <c r="AB5" s="68"/>
    </row>
    <row r="6" spans="1:32" ht="12.75" customHeight="1" x14ac:dyDescent="0.25">
      <c r="A6" s="110"/>
      <c r="B6" s="111"/>
      <c r="C6" s="111"/>
      <c r="D6" s="111"/>
      <c r="E6" s="111"/>
      <c r="F6" s="112"/>
      <c r="G6" s="3"/>
      <c r="H6" s="4"/>
      <c r="I6" s="4"/>
      <c r="J6" s="98" t="s">
        <v>4</v>
      </c>
      <c r="K6" s="98"/>
      <c r="L6" s="98" t="s">
        <v>5</v>
      </c>
      <c r="M6" s="98"/>
      <c r="N6" s="98"/>
      <c r="O6" s="98"/>
      <c r="P6" s="98" t="s">
        <v>6</v>
      </c>
      <c r="Q6" s="98"/>
      <c r="R6" s="98"/>
      <c r="S6" s="98"/>
      <c r="T6" s="99"/>
      <c r="U6" s="122"/>
      <c r="V6" s="123"/>
      <c r="W6" s="123"/>
      <c r="X6" s="123"/>
      <c r="Y6" s="123"/>
      <c r="Z6" s="124"/>
    </row>
    <row r="7" spans="1:32" ht="37.5" customHeight="1" x14ac:dyDescent="0.25">
      <c r="A7" s="100" t="s">
        <v>7</v>
      </c>
      <c r="B7" s="100"/>
      <c r="C7" s="100"/>
      <c r="D7" s="100"/>
      <c r="E7" s="100"/>
      <c r="F7" s="100"/>
      <c r="G7" s="101" t="s">
        <v>8</v>
      </c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</row>
    <row r="8" spans="1:32" ht="15.9" customHeight="1" x14ac:dyDescent="0.3">
      <c r="A8" s="73" t="s">
        <v>9</v>
      </c>
      <c r="B8" s="74" t="s">
        <v>10</v>
      </c>
      <c r="C8" s="75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  <c r="AB8" s="72"/>
      <c r="AF8" s="69" t="s">
        <v>11</v>
      </c>
    </row>
    <row r="9" spans="1:32" ht="8.25" customHeight="1" x14ac:dyDescent="0.3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  <c r="AB9" s="72"/>
      <c r="AF9" s="69" t="s">
        <v>12</v>
      </c>
    </row>
    <row r="10" spans="1:32" ht="15.9" customHeight="1" x14ac:dyDescent="0.3">
      <c r="A10" s="10"/>
      <c r="B10" s="102" t="s">
        <v>13</v>
      </c>
      <c r="C10" s="102"/>
      <c r="D10" s="102"/>
      <c r="E10" s="102"/>
      <c r="F10" s="102"/>
      <c r="G10" s="102"/>
      <c r="H10" s="163" t="s">
        <v>11</v>
      </c>
      <c r="I10" s="163"/>
      <c r="J10" s="163"/>
      <c r="K10" s="163"/>
      <c r="L10" s="163"/>
      <c r="M10" s="163"/>
      <c r="N10" s="102" t="s">
        <v>14</v>
      </c>
      <c r="O10" s="102"/>
      <c r="P10" s="102"/>
      <c r="Q10" s="102"/>
      <c r="R10" s="102"/>
      <c r="S10" s="103" t="s">
        <v>15</v>
      </c>
      <c r="T10" s="103"/>
      <c r="U10" s="103"/>
      <c r="V10" s="103"/>
      <c r="W10" s="103"/>
      <c r="X10" s="103"/>
      <c r="Y10" s="103"/>
      <c r="Z10" s="14"/>
      <c r="AB10" s="72"/>
      <c r="AF10" s="69" t="s">
        <v>3</v>
      </c>
    </row>
    <row r="11" spans="1:32" ht="15.9" customHeight="1" x14ac:dyDescent="0.3">
      <c r="A11" s="10"/>
      <c r="B11" s="102" t="s">
        <v>16</v>
      </c>
      <c r="C11" s="102"/>
      <c r="D11" s="102"/>
      <c r="E11" s="102"/>
      <c r="F11" s="102"/>
      <c r="G11" s="102"/>
      <c r="H11" s="163" t="s">
        <v>12</v>
      </c>
      <c r="I11" s="163"/>
      <c r="J11" s="163"/>
      <c r="K11" s="163"/>
      <c r="L11" s="163"/>
      <c r="M11" s="163"/>
      <c r="N11" s="102" t="s">
        <v>17</v>
      </c>
      <c r="O11" s="102"/>
      <c r="P11" s="102"/>
      <c r="Q11" s="102"/>
      <c r="R11" s="102"/>
      <c r="S11" s="103" t="s">
        <v>18</v>
      </c>
      <c r="T11" s="103"/>
      <c r="U11" s="103"/>
      <c r="V11" s="103"/>
      <c r="W11" s="103"/>
      <c r="X11" s="103"/>
      <c r="Y11" s="103"/>
      <c r="Z11" s="14"/>
      <c r="AB11" s="72"/>
      <c r="AF11" s="69" t="s">
        <v>15</v>
      </c>
    </row>
    <row r="12" spans="1:32" ht="15.9" customHeight="1" x14ac:dyDescent="0.3">
      <c r="A12" s="10"/>
      <c r="B12" s="102" t="s">
        <v>19</v>
      </c>
      <c r="C12" s="102"/>
      <c r="D12" s="102"/>
      <c r="E12" s="102"/>
      <c r="F12" s="102"/>
      <c r="G12" s="102"/>
      <c r="H12" s="163" t="s">
        <v>3</v>
      </c>
      <c r="I12" s="163"/>
      <c r="J12" s="163"/>
      <c r="K12" s="163"/>
      <c r="L12" s="163"/>
      <c r="M12" s="163"/>
      <c r="N12" s="102" t="s">
        <v>20</v>
      </c>
      <c r="O12" s="102"/>
      <c r="P12" s="102"/>
      <c r="Q12" s="102"/>
      <c r="R12" s="102"/>
      <c r="S12" s="103" t="s">
        <v>21</v>
      </c>
      <c r="T12" s="103"/>
      <c r="U12" s="103"/>
      <c r="V12" s="103"/>
      <c r="W12" s="103"/>
      <c r="X12" s="103"/>
      <c r="Y12" s="103"/>
      <c r="Z12" s="14"/>
      <c r="AB12" s="72"/>
      <c r="AF12" s="69" t="s">
        <v>18</v>
      </c>
    </row>
    <row r="13" spans="1:32" ht="8.25" customHeight="1" x14ac:dyDescent="0.3">
      <c r="A13" s="15"/>
      <c r="B13" s="4"/>
      <c r="C13" s="4"/>
      <c r="D13" s="16"/>
      <c r="E13" s="16"/>
      <c r="F13" s="16"/>
      <c r="G13" s="16"/>
      <c r="H13" s="4"/>
      <c r="I13" s="4"/>
      <c r="J13" s="4"/>
      <c r="K13" s="4"/>
      <c r="L13" s="4"/>
      <c r="M13" s="4"/>
      <c r="N13" s="17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18"/>
      <c r="AB13" s="72"/>
      <c r="AF13" s="69" t="s">
        <v>21</v>
      </c>
    </row>
    <row r="14" spans="1:32" s="19" customFormat="1" ht="15" customHeight="1" x14ac:dyDescent="0.25">
      <c r="B14" s="20"/>
      <c r="C14" s="20"/>
      <c r="K14" s="21"/>
      <c r="L14" s="20"/>
      <c r="M14" s="22"/>
    </row>
    <row r="15" spans="1:32" s="19" customFormat="1" ht="13.8" customHeight="1" x14ac:dyDescent="0.25">
      <c r="A15" s="73" t="s">
        <v>22</v>
      </c>
      <c r="B15" s="76" t="s">
        <v>23</v>
      </c>
      <c r="C15" s="77"/>
      <c r="D15" s="77"/>
      <c r="E15" s="77"/>
      <c r="F15" s="77"/>
      <c r="G15" s="77"/>
      <c r="H15" s="77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4"/>
    </row>
    <row r="16" spans="1:32" s="19" customFormat="1" ht="13.8" customHeight="1" x14ac:dyDescent="0.25">
      <c r="A16" s="78"/>
      <c r="B16" s="79"/>
      <c r="C16" s="80"/>
      <c r="D16" s="80"/>
      <c r="E16" s="80"/>
      <c r="F16" s="80"/>
      <c r="G16" s="80"/>
      <c r="H16" s="80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6"/>
    </row>
    <row r="17" spans="1:31" s="19" customFormat="1" ht="15" customHeight="1" x14ac:dyDescent="0.25">
      <c r="A17" s="78"/>
      <c r="B17" s="164" t="s">
        <v>24</v>
      </c>
      <c r="C17" s="164"/>
      <c r="D17" s="164"/>
      <c r="E17" s="164"/>
      <c r="F17" s="164"/>
      <c r="G17" s="164"/>
      <c r="H17" s="16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27"/>
    </row>
    <row r="18" spans="1:31" s="19" customFormat="1" ht="15" customHeight="1" x14ac:dyDescent="0.25">
      <c r="A18" s="78"/>
      <c r="B18" s="164" t="s">
        <v>25</v>
      </c>
      <c r="C18" s="164"/>
      <c r="D18" s="164"/>
      <c r="E18" s="164"/>
      <c r="F18" s="164"/>
      <c r="G18" s="164"/>
      <c r="H18" s="16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27"/>
    </row>
    <row r="19" spans="1:31" s="19" customFormat="1" ht="13.2" customHeight="1" x14ac:dyDescent="0.25">
      <c r="A19" s="28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30"/>
    </row>
    <row r="20" spans="1:31" ht="12.75" customHeight="1" x14ac:dyDescent="0.25">
      <c r="A20" s="12"/>
      <c r="B20" s="11"/>
      <c r="C20" s="11"/>
      <c r="D20" s="12"/>
      <c r="E20" s="12"/>
      <c r="F20" s="12"/>
      <c r="G20" s="12"/>
      <c r="H20" s="11"/>
      <c r="I20" s="11"/>
      <c r="J20" s="11"/>
      <c r="K20" s="11"/>
      <c r="L20" s="11"/>
      <c r="M20" s="11"/>
      <c r="N20" s="3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 spans="1:31" ht="15.9" customHeight="1" x14ac:dyDescent="0.25">
      <c r="A21" s="5" t="s">
        <v>26</v>
      </c>
      <c r="B21" s="6" t="s">
        <v>27</v>
      </c>
      <c r="C21" s="32"/>
      <c r="D21" s="33"/>
      <c r="E21" s="33"/>
      <c r="F21" s="33"/>
      <c r="G21" s="33"/>
      <c r="H21" s="32"/>
      <c r="I21" s="32"/>
      <c r="J21" s="32"/>
      <c r="K21" s="32"/>
      <c r="L21" s="32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9"/>
    </row>
    <row r="22" spans="1:31" s="81" customFormat="1" ht="15.9" customHeight="1" x14ac:dyDescent="0.25">
      <c r="A22" s="41"/>
      <c r="B22" s="86"/>
      <c r="C22" s="87"/>
      <c r="D22" s="88"/>
      <c r="E22" s="88"/>
      <c r="F22" s="88"/>
      <c r="G22" s="88"/>
      <c r="H22" s="87"/>
      <c r="I22" s="87"/>
      <c r="J22" s="87"/>
      <c r="K22" s="87"/>
      <c r="L22" s="87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13"/>
      <c r="AA22" s="11"/>
      <c r="AB22" s="11"/>
      <c r="AC22" s="11"/>
      <c r="AD22" s="11"/>
      <c r="AE22" s="11"/>
    </row>
    <row r="23" spans="1:31" s="81" customFormat="1" ht="15.9" customHeight="1" x14ac:dyDescent="0.25">
      <c r="A23" s="41"/>
      <c r="B23" s="86"/>
      <c r="C23" s="87"/>
      <c r="D23" s="88"/>
      <c r="E23" s="88"/>
      <c r="F23" s="88"/>
      <c r="G23" s="88"/>
      <c r="H23" s="87"/>
      <c r="I23" s="87"/>
      <c r="J23" s="87"/>
      <c r="K23" s="87"/>
      <c r="L23" s="87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13"/>
      <c r="AA23" s="11"/>
      <c r="AB23" s="11"/>
      <c r="AC23" s="11"/>
      <c r="AD23" s="11"/>
      <c r="AE23" s="11"/>
    </row>
    <row r="24" spans="1:31" s="81" customFormat="1" ht="15.9" customHeight="1" x14ac:dyDescent="0.25">
      <c r="A24" s="41"/>
      <c r="B24" s="86"/>
      <c r="C24" s="87"/>
      <c r="D24" s="88"/>
      <c r="E24" s="88"/>
      <c r="F24" s="88"/>
      <c r="G24" s="88"/>
      <c r="H24" s="87"/>
      <c r="I24" s="87"/>
      <c r="J24" s="87"/>
      <c r="K24" s="87"/>
      <c r="L24" s="87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13"/>
      <c r="AA24" s="11"/>
      <c r="AB24" s="11"/>
      <c r="AC24" s="11"/>
      <c r="AD24" s="11"/>
      <c r="AE24" s="11"/>
    </row>
    <row r="25" spans="1:31" s="81" customFormat="1" ht="15.9" customHeight="1" x14ac:dyDescent="0.25">
      <c r="A25" s="41"/>
      <c r="B25" s="86"/>
      <c r="C25" s="87"/>
      <c r="D25" s="88"/>
      <c r="E25" s="88"/>
      <c r="F25" s="88"/>
      <c r="G25" s="88"/>
      <c r="H25" s="87"/>
      <c r="I25" s="87"/>
      <c r="J25" s="87"/>
      <c r="K25" s="87"/>
      <c r="L25" s="87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13"/>
      <c r="AA25" s="11"/>
      <c r="AB25" s="11"/>
      <c r="AC25" s="11"/>
      <c r="AD25" s="11"/>
      <c r="AE25" s="11"/>
    </row>
    <row r="26" spans="1:31" ht="12.75" customHeight="1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3"/>
    </row>
    <row r="27" spans="1:31" ht="12.75" customHeight="1" x14ac:dyDescent="0.2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3"/>
    </row>
    <row r="28" spans="1:31" ht="12.75" customHeight="1" x14ac:dyDescent="0.25">
      <c r="A28" s="10"/>
      <c r="B28" s="152" t="s">
        <v>28</v>
      </c>
      <c r="C28" s="153"/>
      <c r="D28" s="153"/>
      <c r="E28" s="153"/>
      <c r="F28" s="153">
        <v>21</v>
      </c>
      <c r="G28" s="153"/>
      <c r="H28" s="153"/>
      <c r="I28" s="153"/>
      <c r="J28" s="165" t="s">
        <v>29</v>
      </c>
      <c r="K28" s="165"/>
      <c r="L28" s="166"/>
      <c r="M28" s="11"/>
      <c r="N28" s="11"/>
      <c r="O28" s="152" t="s">
        <v>30</v>
      </c>
      <c r="P28" s="158"/>
      <c r="Q28" s="158"/>
      <c r="R28" s="158"/>
      <c r="S28" s="153">
        <v>890</v>
      </c>
      <c r="T28" s="153"/>
      <c r="U28" s="153"/>
      <c r="V28" s="153"/>
      <c r="W28" s="165" t="s">
        <v>31</v>
      </c>
      <c r="X28" s="165"/>
      <c r="Y28" s="166"/>
      <c r="Z28" s="13"/>
      <c r="AA28" s="81"/>
    </row>
    <row r="29" spans="1:31" ht="12.75" customHeight="1" x14ac:dyDescent="0.25">
      <c r="A29" s="10"/>
      <c r="B29" s="154"/>
      <c r="C29" s="155"/>
      <c r="D29" s="155"/>
      <c r="E29" s="155"/>
      <c r="F29" s="155"/>
      <c r="G29" s="155"/>
      <c r="H29" s="155"/>
      <c r="I29" s="155"/>
      <c r="J29" s="167"/>
      <c r="K29" s="167"/>
      <c r="L29" s="168"/>
      <c r="M29" s="11"/>
      <c r="N29" s="11"/>
      <c r="O29" s="159"/>
      <c r="P29" s="160"/>
      <c r="Q29" s="160"/>
      <c r="R29" s="160"/>
      <c r="S29" s="155"/>
      <c r="T29" s="155"/>
      <c r="U29" s="155"/>
      <c r="V29" s="155"/>
      <c r="W29" s="167"/>
      <c r="X29" s="167"/>
      <c r="Y29" s="168"/>
      <c r="Z29" s="13"/>
      <c r="AA29" s="81"/>
    </row>
    <row r="30" spans="1:31" ht="12.75" customHeight="1" x14ac:dyDescent="0.25">
      <c r="A30" s="10"/>
      <c r="B30" s="156"/>
      <c r="C30" s="157"/>
      <c r="D30" s="157"/>
      <c r="E30" s="157"/>
      <c r="F30" s="157"/>
      <c r="G30" s="157"/>
      <c r="H30" s="157"/>
      <c r="I30" s="157"/>
      <c r="J30" s="169"/>
      <c r="K30" s="169"/>
      <c r="L30" s="170"/>
      <c r="M30" s="11"/>
      <c r="N30" s="11"/>
      <c r="O30" s="161"/>
      <c r="P30" s="162"/>
      <c r="Q30" s="162"/>
      <c r="R30" s="162"/>
      <c r="S30" s="157"/>
      <c r="T30" s="157"/>
      <c r="U30" s="157"/>
      <c r="V30" s="157"/>
      <c r="W30" s="169"/>
      <c r="X30" s="169"/>
      <c r="Y30" s="170"/>
      <c r="Z30" s="13"/>
      <c r="AA30" s="81"/>
    </row>
    <row r="31" spans="1:31" ht="12.75" customHeight="1" x14ac:dyDescent="0.25">
      <c r="A31" s="10"/>
      <c r="B31" s="152" t="s">
        <v>32</v>
      </c>
      <c r="C31" s="158"/>
      <c r="D31" s="158"/>
      <c r="E31" s="158"/>
      <c r="F31" s="171">
        <f>IF(F28&lt;&gt;"",(997.1*(SUM(AD43:AD63))),"")</f>
        <v>998.09709999999995</v>
      </c>
      <c r="G31" s="171"/>
      <c r="H31" s="171"/>
      <c r="I31" s="171"/>
      <c r="J31" s="165" t="s">
        <v>33</v>
      </c>
      <c r="K31" s="165"/>
      <c r="L31" s="166"/>
      <c r="M31" s="11"/>
      <c r="N31" s="11"/>
      <c r="O31" s="174" t="s">
        <v>34</v>
      </c>
      <c r="P31" s="153"/>
      <c r="Q31" s="153"/>
      <c r="R31" s="153"/>
      <c r="S31" s="153">
        <v>2500</v>
      </c>
      <c r="T31" s="153"/>
      <c r="U31" s="153"/>
      <c r="V31" s="153"/>
      <c r="W31" s="165" t="s">
        <v>33</v>
      </c>
      <c r="X31" s="165"/>
      <c r="Y31" s="166"/>
      <c r="Z31" s="13"/>
      <c r="AA31" s="81"/>
    </row>
    <row r="32" spans="1:31" ht="12.75" customHeight="1" x14ac:dyDescent="0.25">
      <c r="A32" s="10"/>
      <c r="B32" s="159"/>
      <c r="C32" s="160"/>
      <c r="D32" s="160"/>
      <c r="E32" s="160"/>
      <c r="F32" s="172"/>
      <c r="G32" s="172"/>
      <c r="H32" s="172"/>
      <c r="I32" s="172"/>
      <c r="J32" s="167"/>
      <c r="K32" s="167"/>
      <c r="L32" s="168"/>
      <c r="M32" s="11"/>
      <c r="N32" s="11"/>
      <c r="O32" s="154"/>
      <c r="P32" s="155"/>
      <c r="Q32" s="155"/>
      <c r="R32" s="155"/>
      <c r="S32" s="155"/>
      <c r="T32" s="155"/>
      <c r="U32" s="155"/>
      <c r="V32" s="155"/>
      <c r="W32" s="167"/>
      <c r="X32" s="167"/>
      <c r="Y32" s="168"/>
      <c r="Z32" s="13"/>
      <c r="AA32" s="81"/>
    </row>
    <row r="33" spans="1:32" ht="12.75" customHeight="1" x14ac:dyDescent="0.25">
      <c r="A33" s="10"/>
      <c r="B33" s="161"/>
      <c r="C33" s="162"/>
      <c r="D33" s="162"/>
      <c r="E33" s="162"/>
      <c r="F33" s="173"/>
      <c r="G33" s="173"/>
      <c r="H33" s="173"/>
      <c r="I33" s="173"/>
      <c r="J33" s="169"/>
      <c r="K33" s="169"/>
      <c r="L33" s="170"/>
      <c r="M33" s="11"/>
      <c r="N33" s="11"/>
      <c r="O33" s="156"/>
      <c r="P33" s="157"/>
      <c r="Q33" s="157"/>
      <c r="R33" s="157"/>
      <c r="S33" s="157"/>
      <c r="T33" s="157"/>
      <c r="U33" s="157"/>
      <c r="V33" s="157"/>
      <c r="W33" s="169"/>
      <c r="X33" s="169"/>
      <c r="Y33" s="170"/>
      <c r="Z33" s="13"/>
    </row>
    <row r="34" spans="1:32" s="81" customFormat="1" ht="12.75" customHeight="1" x14ac:dyDescent="0.25">
      <c r="A34" s="10"/>
      <c r="B34" s="82"/>
      <c r="C34" s="82"/>
      <c r="D34" s="82"/>
      <c r="E34" s="82"/>
      <c r="F34" s="83"/>
      <c r="G34" s="83"/>
      <c r="H34" s="83"/>
      <c r="I34" s="83"/>
      <c r="J34" s="84"/>
      <c r="K34" s="84"/>
      <c r="L34" s="84"/>
      <c r="M34" s="11"/>
      <c r="N34" s="11"/>
      <c r="O34" s="85"/>
      <c r="P34" s="85"/>
      <c r="Q34" s="85"/>
      <c r="R34" s="85"/>
      <c r="S34" s="85"/>
      <c r="T34" s="85"/>
      <c r="U34" s="85"/>
      <c r="V34" s="85"/>
      <c r="W34" s="84"/>
      <c r="X34" s="84"/>
      <c r="Y34" s="84"/>
      <c r="Z34" s="13"/>
      <c r="AA34" s="11"/>
      <c r="AB34" s="11"/>
      <c r="AC34" s="11"/>
      <c r="AD34" s="11"/>
      <c r="AE34" s="11"/>
    </row>
    <row r="35" spans="1:32" s="81" customFormat="1" ht="12.75" customHeight="1" x14ac:dyDescent="0.25">
      <c r="A35" s="10"/>
      <c r="B35" s="82"/>
      <c r="C35" s="82"/>
      <c r="D35" s="82"/>
      <c r="E35" s="82"/>
      <c r="F35" s="83"/>
      <c r="G35" s="83"/>
      <c r="H35" s="83"/>
      <c r="I35" s="83"/>
      <c r="J35" s="84"/>
      <c r="K35" s="84"/>
      <c r="L35" s="84"/>
      <c r="M35" s="11"/>
      <c r="N35" s="11"/>
      <c r="O35" s="85"/>
      <c r="P35" s="85"/>
      <c r="Q35" s="85"/>
      <c r="R35" s="85"/>
      <c r="S35" s="85"/>
      <c r="T35" s="85"/>
      <c r="U35" s="85"/>
      <c r="V35" s="85"/>
      <c r="W35" s="84"/>
      <c r="X35" s="84"/>
      <c r="Y35" s="84"/>
      <c r="Z35" s="13"/>
      <c r="AA35" s="11"/>
      <c r="AB35" s="11"/>
      <c r="AC35" s="11"/>
      <c r="AD35" s="11"/>
      <c r="AE35" s="11"/>
    </row>
    <row r="36" spans="1:32" s="81" customFormat="1" ht="12.75" customHeight="1" x14ac:dyDescent="0.25">
      <c r="A36" s="10"/>
      <c r="B36" s="82"/>
      <c r="C36" s="82"/>
      <c r="D36" s="82"/>
      <c r="E36" s="82"/>
      <c r="F36" s="83"/>
      <c r="G36" s="83"/>
      <c r="H36" s="83"/>
      <c r="I36" s="83"/>
      <c r="J36" s="84"/>
      <c r="K36" s="84"/>
      <c r="L36" s="84"/>
      <c r="M36" s="11"/>
      <c r="N36" s="11"/>
      <c r="O36" s="85"/>
      <c r="P36" s="85"/>
      <c r="Q36" s="85"/>
      <c r="R36" s="85"/>
      <c r="S36" s="85"/>
      <c r="T36" s="85"/>
      <c r="U36" s="85"/>
      <c r="V36" s="85"/>
      <c r="W36" s="84"/>
      <c r="X36" s="84"/>
      <c r="Y36" s="84"/>
      <c r="Z36" s="13"/>
      <c r="AA36" s="11"/>
      <c r="AB36" s="11"/>
      <c r="AC36" s="11"/>
      <c r="AD36" s="11"/>
      <c r="AE36" s="11"/>
    </row>
    <row r="37" spans="1:32" s="81" customFormat="1" ht="12.75" customHeight="1" x14ac:dyDescent="0.25">
      <c r="A37" s="10"/>
      <c r="B37" s="82"/>
      <c r="C37" s="82"/>
      <c r="D37" s="82"/>
      <c r="E37" s="82"/>
      <c r="F37" s="83"/>
      <c r="G37" s="83"/>
      <c r="H37" s="83"/>
      <c r="I37" s="83"/>
      <c r="J37" s="84"/>
      <c r="K37" s="84"/>
      <c r="L37" s="84"/>
      <c r="M37" s="11"/>
      <c r="N37" s="11"/>
      <c r="O37" s="85"/>
      <c r="P37" s="85"/>
      <c r="Q37" s="85"/>
      <c r="R37" s="85"/>
      <c r="S37" s="85"/>
      <c r="T37" s="85"/>
      <c r="U37" s="85"/>
      <c r="V37" s="85"/>
      <c r="W37" s="84"/>
      <c r="X37" s="84"/>
      <c r="Y37" s="84"/>
      <c r="Z37" s="13"/>
      <c r="AA37" s="11"/>
      <c r="AB37" s="11"/>
      <c r="AC37" s="11"/>
      <c r="AD37" s="11"/>
      <c r="AE37" s="11"/>
    </row>
    <row r="38" spans="1:32" ht="12.75" customHeight="1" x14ac:dyDescent="0.3">
      <c r="A38" s="10"/>
      <c r="B38" s="34"/>
      <c r="C38" s="35"/>
      <c r="D38" s="36"/>
      <c r="I38" s="37"/>
      <c r="J38" s="37"/>
      <c r="K38" s="11"/>
      <c r="L38" s="11"/>
      <c r="M38" s="11"/>
      <c r="N38" s="11"/>
      <c r="O38" s="11"/>
      <c r="P38" s="35"/>
      <c r="Q38" s="35"/>
      <c r="R38" s="35"/>
      <c r="S38" s="35"/>
      <c r="T38" s="35"/>
      <c r="U38" s="35"/>
      <c r="V38" s="35"/>
      <c r="W38" s="36"/>
      <c r="X38" s="11"/>
      <c r="Y38" s="11"/>
      <c r="Z38" s="13"/>
      <c r="AA38" s="70"/>
      <c r="AB38" s="70"/>
      <c r="AC38" s="70"/>
      <c r="AD38" s="70"/>
      <c r="AE38" s="70"/>
      <c r="AF38" s="70"/>
    </row>
    <row r="39" spans="1:32" ht="12.75" customHeight="1" x14ac:dyDescent="0.25">
      <c r="A39" s="10"/>
      <c r="B39" s="34"/>
      <c r="C39" s="35"/>
      <c r="D39" s="36"/>
      <c r="E39" s="37"/>
      <c r="F39" s="38"/>
      <c r="G39" s="35"/>
      <c r="H39" s="36"/>
      <c r="I39" s="37"/>
      <c r="J39" s="37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3"/>
    </row>
    <row r="40" spans="1:32" ht="19.5" customHeight="1" x14ac:dyDescent="0.25">
      <c r="A40" s="10"/>
      <c r="B40" s="182" t="s">
        <v>35</v>
      </c>
      <c r="C40" s="175"/>
      <c r="D40" s="175"/>
      <c r="E40" s="175" t="s">
        <v>36</v>
      </c>
      <c r="F40" s="175"/>
      <c r="G40" s="175"/>
      <c r="H40" s="175" t="s">
        <v>37</v>
      </c>
      <c r="I40" s="175"/>
      <c r="J40" s="175"/>
      <c r="K40" s="175" t="s">
        <v>38</v>
      </c>
      <c r="L40" s="175"/>
      <c r="M40" s="175"/>
      <c r="N40" s="175" t="s">
        <v>39</v>
      </c>
      <c r="O40" s="175"/>
      <c r="P40" s="175"/>
      <c r="Q40" s="175" t="s">
        <v>40</v>
      </c>
      <c r="R40" s="175"/>
      <c r="S40" s="175"/>
      <c r="T40" s="177" t="s">
        <v>41</v>
      </c>
      <c r="U40" s="177"/>
      <c r="V40" s="177"/>
      <c r="W40" s="175" t="s">
        <v>42</v>
      </c>
      <c r="X40" s="175"/>
      <c r="Y40" s="179"/>
      <c r="Z40" s="13"/>
      <c r="AB40" s="104" t="s">
        <v>43</v>
      </c>
      <c r="AC40" s="105" t="s">
        <v>44</v>
      </c>
      <c r="AD40" s="106" t="s">
        <v>45</v>
      </c>
    </row>
    <row r="41" spans="1:32" ht="19.5" customHeight="1" x14ac:dyDescent="0.25">
      <c r="A41" s="10"/>
      <c r="B41" s="183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55"/>
      <c r="U41" s="155"/>
      <c r="V41" s="155"/>
      <c r="W41" s="160"/>
      <c r="X41" s="160"/>
      <c r="Y41" s="180"/>
      <c r="Z41" s="13"/>
      <c r="AB41" s="107"/>
      <c r="AC41" s="108"/>
      <c r="AD41" s="109"/>
    </row>
    <row r="42" spans="1:32" ht="19.5" customHeight="1" thickBot="1" x14ac:dyDescent="0.3">
      <c r="A42" s="10"/>
      <c r="B42" s="184"/>
      <c r="C42" s="176"/>
      <c r="D42" s="176"/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8"/>
      <c r="U42" s="178"/>
      <c r="V42" s="178"/>
      <c r="W42" s="176"/>
      <c r="X42" s="176"/>
      <c r="Y42" s="181"/>
      <c r="Z42" s="13"/>
      <c r="AB42" s="110"/>
      <c r="AC42" s="111"/>
      <c r="AD42" s="112"/>
    </row>
    <row r="43" spans="1:32" ht="25.5" customHeight="1" x14ac:dyDescent="0.25">
      <c r="A43" s="10"/>
      <c r="B43" s="205" t="s">
        <v>46</v>
      </c>
      <c r="C43" s="199"/>
      <c r="D43" s="206"/>
      <c r="E43" s="151">
        <v>1573.8</v>
      </c>
      <c r="F43" s="151"/>
      <c r="G43" s="151"/>
      <c r="H43" s="151">
        <v>1608.2</v>
      </c>
      <c r="I43" s="151"/>
      <c r="J43" s="151"/>
      <c r="K43" s="151">
        <v>879.5</v>
      </c>
      <c r="L43" s="151"/>
      <c r="M43" s="151"/>
      <c r="N43" s="141">
        <f>IF(E43&lt;&gt;"",E43/(((H43-K43)/$F$31)-((H43-E43)/$S$28)),"")</f>
        <v>2276.127298488319</v>
      </c>
      <c r="O43" s="142"/>
      <c r="P43" s="143"/>
      <c r="Q43" s="141">
        <f>IF(N43&lt;&gt;"",(N43/$S$31)*100,"")</f>
        <v>91.045091939532767</v>
      </c>
      <c r="R43" s="142"/>
      <c r="S43" s="143"/>
      <c r="T43" s="141">
        <f>IF(Q43&lt;&gt;"",100-Q43,"")</f>
        <v>8.9549080604672326</v>
      </c>
      <c r="U43" s="142"/>
      <c r="V43" s="143"/>
      <c r="W43" s="198">
        <v>6</v>
      </c>
      <c r="X43" s="199"/>
      <c r="Y43" s="200"/>
      <c r="Z43" s="13"/>
      <c r="AB43" s="10">
        <v>10</v>
      </c>
      <c r="AC43" s="12">
        <v>1.0026999999999999</v>
      </c>
      <c r="AD43" s="39" t="str">
        <f t="shared" ref="AD43:AD63" si="0">IF($F$28=AB43,AC43,"")</f>
        <v/>
      </c>
    </row>
    <row r="44" spans="1:32" ht="25.5" customHeight="1" x14ac:dyDescent="0.25">
      <c r="A44" s="10"/>
      <c r="B44" s="90" t="s">
        <v>47</v>
      </c>
      <c r="C44" s="91"/>
      <c r="D44" s="92"/>
      <c r="E44" s="147">
        <v>1632.5</v>
      </c>
      <c r="F44" s="147"/>
      <c r="G44" s="147"/>
      <c r="H44" s="147">
        <v>1656.6</v>
      </c>
      <c r="I44" s="147"/>
      <c r="J44" s="147"/>
      <c r="K44" s="147">
        <v>936.5</v>
      </c>
      <c r="L44" s="147"/>
      <c r="M44" s="147"/>
      <c r="N44" s="148">
        <f>IF(E44&lt;&gt;"",E44/(((H44-K44)/$F$31)-((H44-E44)/$S$28)),"")</f>
        <v>2350.9699650828852</v>
      </c>
      <c r="O44" s="149"/>
      <c r="P44" s="150"/>
      <c r="Q44" s="148">
        <f>IF(N44&lt;&gt;"",(N44/$S$31)*100,"")</f>
        <v>94.038798603315414</v>
      </c>
      <c r="R44" s="149"/>
      <c r="S44" s="150"/>
      <c r="T44" s="148">
        <f>IF(Q44&lt;&gt;"",100-Q44,"")</f>
        <v>5.9612013966845865</v>
      </c>
      <c r="U44" s="149"/>
      <c r="V44" s="150"/>
      <c r="W44" s="93">
        <v>6</v>
      </c>
      <c r="X44" s="91"/>
      <c r="Y44" s="94"/>
      <c r="Z44" s="13"/>
      <c r="AB44" s="10">
        <v>11</v>
      </c>
      <c r="AC44" s="12">
        <v>1.0025999999999999</v>
      </c>
      <c r="AD44" s="39" t="str">
        <f t="shared" si="0"/>
        <v/>
      </c>
    </row>
    <row r="45" spans="1:32" s="81" customFormat="1" ht="25.5" customHeight="1" x14ac:dyDescent="0.25">
      <c r="A45" s="10"/>
      <c r="B45" s="90"/>
      <c r="C45" s="91"/>
      <c r="D45" s="92"/>
      <c r="E45" s="93"/>
      <c r="F45" s="91"/>
      <c r="G45" s="92"/>
      <c r="H45" s="93"/>
      <c r="I45" s="91"/>
      <c r="J45" s="92"/>
      <c r="K45" s="93"/>
      <c r="L45" s="91"/>
      <c r="M45" s="92"/>
      <c r="N45" s="93"/>
      <c r="O45" s="91"/>
      <c r="P45" s="92"/>
      <c r="Q45" s="93"/>
      <c r="R45" s="91"/>
      <c r="S45" s="92"/>
      <c r="T45" s="93"/>
      <c r="U45" s="91"/>
      <c r="V45" s="92"/>
      <c r="W45" s="93"/>
      <c r="X45" s="91"/>
      <c r="Y45" s="94"/>
      <c r="Z45" s="13"/>
      <c r="AA45" s="11"/>
      <c r="AB45" s="10">
        <v>12</v>
      </c>
      <c r="AC45" s="12">
        <v>1.0024999999999999</v>
      </c>
      <c r="AD45" s="39" t="str">
        <f t="shared" si="0"/>
        <v/>
      </c>
      <c r="AE45" s="11"/>
    </row>
    <row r="46" spans="1:32" s="81" customFormat="1" ht="25.5" customHeight="1" x14ac:dyDescent="0.25">
      <c r="A46" s="10"/>
      <c r="B46" s="95" t="s">
        <v>60</v>
      </c>
      <c r="C46" s="96"/>
      <c r="D46" s="97"/>
      <c r="E46" s="93"/>
      <c r="F46" s="91"/>
      <c r="G46" s="92"/>
      <c r="H46" s="93"/>
      <c r="I46" s="91"/>
      <c r="J46" s="92"/>
      <c r="K46" s="93"/>
      <c r="L46" s="91"/>
      <c r="M46" s="92"/>
      <c r="N46" s="93"/>
      <c r="O46" s="91"/>
      <c r="P46" s="92"/>
      <c r="Q46" s="93"/>
      <c r="R46" s="91"/>
      <c r="S46" s="92"/>
      <c r="T46" s="93">
        <v>10.199999999999999</v>
      </c>
      <c r="U46" s="91"/>
      <c r="V46" s="92"/>
      <c r="W46" s="93"/>
      <c r="X46" s="91"/>
      <c r="Y46" s="94"/>
      <c r="Z46" s="13"/>
      <c r="AA46" s="11"/>
      <c r="AB46" s="10">
        <v>13</v>
      </c>
      <c r="AC46" s="12">
        <v>1.0023</v>
      </c>
      <c r="AD46" s="39" t="str">
        <f t="shared" si="0"/>
        <v/>
      </c>
      <c r="AE46" s="11"/>
    </row>
    <row r="47" spans="1:32" s="81" customFormat="1" ht="25.5" customHeight="1" x14ac:dyDescent="0.25">
      <c r="A47" s="10"/>
      <c r="B47" s="95" t="s">
        <v>61</v>
      </c>
      <c r="C47" s="96"/>
      <c r="D47" s="97"/>
      <c r="E47" s="93"/>
      <c r="F47" s="91"/>
      <c r="G47" s="92"/>
      <c r="H47" s="93"/>
      <c r="I47" s="91"/>
      <c r="J47" s="92"/>
      <c r="K47" s="93"/>
      <c r="L47" s="91"/>
      <c r="M47" s="92"/>
      <c r="N47" s="93"/>
      <c r="O47" s="91"/>
      <c r="P47" s="92"/>
      <c r="Q47" s="93"/>
      <c r="R47" s="91"/>
      <c r="S47" s="92"/>
      <c r="T47" s="93">
        <v>9.6999999999999993</v>
      </c>
      <c r="U47" s="91"/>
      <c r="V47" s="92"/>
      <c r="W47" s="93"/>
      <c r="X47" s="91"/>
      <c r="Y47" s="94"/>
      <c r="Z47" s="13"/>
      <c r="AA47" s="11"/>
      <c r="AB47" s="10">
        <v>14</v>
      </c>
      <c r="AC47" s="12">
        <v>1.0022</v>
      </c>
      <c r="AD47" s="39" t="str">
        <f t="shared" si="0"/>
        <v/>
      </c>
      <c r="AE47" s="11"/>
    </row>
    <row r="48" spans="1:32" s="81" customFormat="1" ht="25.5" customHeight="1" x14ac:dyDescent="0.25">
      <c r="A48" s="10"/>
      <c r="B48" s="90"/>
      <c r="C48" s="91"/>
      <c r="D48" s="92"/>
      <c r="E48" s="93"/>
      <c r="F48" s="91"/>
      <c r="G48" s="92"/>
      <c r="H48" s="93"/>
      <c r="I48" s="91"/>
      <c r="J48" s="92"/>
      <c r="K48" s="93"/>
      <c r="L48" s="91"/>
      <c r="M48" s="92"/>
      <c r="N48" s="93"/>
      <c r="O48" s="91"/>
      <c r="P48" s="92"/>
      <c r="Q48" s="93"/>
      <c r="R48" s="91"/>
      <c r="S48" s="92"/>
      <c r="T48" s="93"/>
      <c r="U48" s="91"/>
      <c r="V48" s="92"/>
      <c r="W48" s="93"/>
      <c r="X48" s="91"/>
      <c r="Y48" s="94"/>
      <c r="Z48" s="13"/>
      <c r="AA48" s="11"/>
      <c r="AB48" s="10">
        <v>15</v>
      </c>
      <c r="AC48" s="12">
        <v>1.0021</v>
      </c>
      <c r="AD48" s="39" t="str">
        <f t="shared" si="0"/>
        <v/>
      </c>
      <c r="AE48" s="11"/>
    </row>
    <row r="49" spans="1:31" s="81" customFormat="1" ht="25.5" customHeight="1" x14ac:dyDescent="0.25">
      <c r="A49" s="10"/>
      <c r="B49" s="90"/>
      <c r="C49" s="91"/>
      <c r="D49" s="92"/>
      <c r="E49" s="93"/>
      <c r="F49" s="91"/>
      <c r="G49" s="92"/>
      <c r="H49" s="93"/>
      <c r="I49" s="91"/>
      <c r="J49" s="92"/>
      <c r="K49" s="93"/>
      <c r="L49" s="91"/>
      <c r="M49" s="92"/>
      <c r="N49" s="93"/>
      <c r="O49" s="91"/>
      <c r="P49" s="92"/>
      <c r="Q49" s="93"/>
      <c r="R49" s="91"/>
      <c r="S49" s="92"/>
      <c r="T49" s="93"/>
      <c r="U49" s="91"/>
      <c r="V49" s="92"/>
      <c r="W49" s="93"/>
      <c r="X49" s="91"/>
      <c r="Y49" s="94"/>
      <c r="Z49" s="13"/>
      <c r="AA49" s="11"/>
      <c r="AB49" s="10">
        <v>16</v>
      </c>
      <c r="AC49" s="12">
        <v>1.0019</v>
      </c>
      <c r="AD49" s="39" t="str">
        <f t="shared" si="0"/>
        <v/>
      </c>
      <c r="AE49" s="11"/>
    </row>
    <row r="50" spans="1:31" ht="25.5" customHeight="1" x14ac:dyDescent="0.25">
      <c r="A50" s="10"/>
      <c r="B50" s="185"/>
      <c r="C50" s="139"/>
      <c r="D50" s="139"/>
      <c r="E50" s="147"/>
      <c r="F50" s="147"/>
      <c r="G50" s="147"/>
      <c r="H50" s="147"/>
      <c r="I50" s="147"/>
      <c r="J50" s="147"/>
      <c r="K50" s="147"/>
      <c r="L50" s="147"/>
      <c r="M50" s="147"/>
      <c r="N50" s="138" t="str">
        <f>IF(E50&lt;&gt;"",E50/(((H50-K50)/$F$31)-((H50-E50)/$S$28)),"")</f>
        <v/>
      </c>
      <c r="O50" s="138"/>
      <c r="P50" s="138"/>
      <c r="Q50" s="138" t="str">
        <f>IF(N50&lt;&gt;"",(N50/$S$31)*100,"")</f>
        <v/>
      </c>
      <c r="R50" s="138"/>
      <c r="S50" s="138"/>
      <c r="T50" s="138" t="str">
        <f>IF(Q50&lt;&gt;"",100-Q50,"")</f>
        <v/>
      </c>
      <c r="U50" s="138"/>
      <c r="V50" s="138"/>
      <c r="W50" s="139"/>
      <c r="X50" s="139"/>
      <c r="Y50" s="140"/>
      <c r="Z50" s="13"/>
      <c r="AB50" s="10">
        <v>17</v>
      </c>
      <c r="AC50" s="12">
        <v>1.0017</v>
      </c>
      <c r="AD50" s="39" t="str">
        <f t="shared" si="0"/>
        <v/>
      </c>
    </row>
    <row r="51" spans="1:31" ht="25.5" customHeight="1" x14ac:dyDescent="0.25">
      <c r="A51" s="10"/>
      <c r="B51" s="90"/>
      <c r="C51" s="91"/>
      <c r="D51" s="91"/>
      <c r="E51" s="147"/>
      <c r="F51" s="147"/>
      <c r="G51" s="147"/>
      <c r="H51" s="147"/>
      <c r="I51" s="147"/>
      <c r="J51" s="147"/>
      <c r="K51" s="147"/>
      <c r="L51" s="147"/>
      <c r="M51" s="147"/>
      <c r="N51" s="138" t="str">
        <f>IF(E51&lt;&gt;"",E51/(((H51-K51)/$F$31)-((H51-E51)/$S$28)),"")</f>
        <v/>
      </c>
      <c r="O51" s="138"/>
      <c r="P51" s="138"/>
      <c r="Q51" s="138" t="str">
        <f>IF(N51&lt;&gt;"",(N51/$S$31)*100,"")</f>
        <v/>
      </c>
      <c r="R51" s="138"/>
      <c r="S51" s="138"/>
      <c r="T51" s="138" t="str">
        <f>IF(Q51&lt;&gt;"",100-Q51,"")</f>
        <v/>
      </c>
      <c r="U51" s="138"/>
      <c r="V51" s="138"/>
      <c r="W51" s="91"/>
      <c r="X51" s="91"/>
      <c r="Y51" s="94"/>
      <c r="Z51" s="13"/>
      <c r="AB51" s="10">
        <v>18</v>
      </c>
      <c r="AC51" s="12">
        <v>1.0016</v>
      </c>
      <c r="AD51" s="39" t="str">
        <f t="shared" si="0"/>
        <v/>
      </c>
    </row>
    <row r="52" spans="1:31" ht="25.5" customHeight="1" x14ac:dyDescent="0.25">
      <c r="A52" s="10"/>
      <c r="B52" s="201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6"/>
      <c r="Z52" s="13"/>
      <c r="AB52" s="10">
        <v>19</v>
      </c>
      <c r="AC52" s="12">
        <v>1.0014000000000001</v>
      </c>
      <c r="AD52" s="39" t="str">
        <f t="shared" si="0"/>
        <v/>
      </c>
    </row>
    <row r="53" spans="1:31" ht="12.75" customHeight="1" x14ac:dyDescent="0.25">
      <c r="A53" s="12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6"/>
      <c r="O53" s="56"/>
      <c r="P53" s="56"/>
      <c r="Q53" s="57"/>
      <c r="R53" s="57"/>
      <c r="S53" s="57"/>
      <c r="T53" s="57"/>
      <c r="U53" s="57"/>
      <c r="V53" s="57"/>
      <c r="W53" s="55"/>
      <c r="X53" s="55"/>
      <c r="Y53" s="55"/>
      <c r="Z53" s="13"/>
      <c r="AB53" s="10">
        <v>20</v>
      </c>
      <c r="AC53" s="12">
        <v>1.0012000000000001</v>
      </c>
      <c r="AD53" s="39" t="str">
        <f t="shared" si="0"/>
        <v/>
      </c>
    </row>
    <row r="54" spans="1:31" ht="15.9" customHeight="1" x14ac:dyDescent="0.25">
      <c r="A54" s="44"/>
      <c r="B54" s="45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18"/>
      <c r="AB54" s="10">
        <v>21</v>
      </c>
      <c r="AC54" s="40">
        <v>1.0009999999999999</v>
      </c>
      <c r="AD54" s="39">
        <f t="shared" si="0"/>
        <v>1.0009999999999999</v>
      </c>
    </row>
    <row r="55" spans="1:31" ht="12.75" customHeight="1" x14ac:dyDescent="0.25">
      <c r="A55" s="46"/>
      <c r="B55" s="47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AB55" s="10">
        <v>22</v>
      </c>
      <c r="AC55" s="12">
        <v>1.0006999999999999</v>
      </c>
      <c r="AD55" s="39" t="str">
        <f t="shared" si="0"/>
        <v/>
      </c>
    </row>
    <row r="56" spans="1:31" s="19" customFormat="1" ht="30.75" customHeight="1" x14ac:dyDescent="0.3">
      <c r="A56" s="48" t="s">
        <v>48</v>
      </c>
      <c r="B56" s="49" t="s">
        <v>49</v>
      </c>
      <c r="C56" s="50"/>
      <c r="D56" s="50"/>
      <c r="E56" s="50"/>
      <c r="F56" s="51"/>
      <c r="G56" s="51"/>
      <c r="H56" s="51"/>
      <c r="I56" s="7"/>
      <c r="J56" s="7"/>
      <c r="K56" s="7"/>
      <c r="L56" s="7"/>
      <c r="M56" s="7"/>
      <c r="N56" s="7"/>
      <c r="O56" s="7"/>
      <c r="P56" s="7"/>
      <c r="Q56" s="51"/>
      <c r="R56" s="7"/>
      <c r="S56" s="7"/>
      <c r="T56" s="7"/>
      <c r="U56" s="225"/>
      <c r="V56" s="225"/>
      <c r="W56" s="225"/>
      <c r="X56" s="226"/>
      <c r="Y56" s="226"/>
      <c r="Z56" s="227"/>
      <c r="AA56" s="71"/>
      <c r="AB56" s="10">
        <v>23</v>
      </c>
      <c r="AC56" s="12">
        <v>1.0004999999999999</v>
      </c>
      <c r="AD56" s="39" t="str">
        <f t="shared" si="0"/>
        <v/>
      </c>
    </row>
    <row r="57" spans="1:31" s="19" customFormat="1" ht="28.5" customHeight="1" x14ac:dyDescent="0.3">
      <c r="A57" s="213" t="s">
        <v>50</v>
      </c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5"/>
      <c r="R57" s="202" t="s">
        <v>51</v>
      </c>
      <c r="S57" s="203"/>
      <c r="T57" s="204"/>
      <c r="U57" s="228" t="s">
        <v>11</v>
      </c>
      <c r="V57" s="229"/>
      <c r="W57" s="229"/>
      <c r="X57" s="230"/>
      <c r="Y57" s="230"/>
      <c r="Z57" s="231"/>
      <c r="AA57" s="71"/>
      <c r="AB57" s="10">
        <v>24</v>
      </c>
      <c r="AC57" s="12">
        <v>1.0003</v>
      </c>
      <c r="AD57" s="39" t="str">
        <f t="shared" si="0"/>
        <v/>
      </c>
    </row>
    <row r="58" spans="1:31" s="19" customFormat="1" ht="14.25" customHeight="1" x14ac:dyDescent="0.3">
      <c r="A58" s="207" t="s">
        <v>52</v>
      </c>
      <c r="B58" s="208"/>
      <c r="C58" s="208"/>
      <c r="D58" s="208"/>
      <c r="E58" s="208"/>
      <c r="F58" s="208"/>
      <c r="G58" s="208"/>
      <c r="H58" s="208"/>
      <c r="I58" s="208"/>
      <c r="J58" s="208"/>
      <c r="K58" s="208"/>
      <c r="L58" s="208"/>
      <c r="M58" s="208"/>
      <c r="N58" s="208"/>
      <c r="O58" s="208"/>
      <c r="P58" s="208"/>
      <c r="Q58" s="209"/>
      <c r="R58" s="202" t="s">
        <v>53</v>
      </c>
      <c r="S58" s="203"/>
      <c r="T58" s="204"/>
      <c r="U58" s="186" t="s">
        <v>54</v>
      </c>
      <c r="V58" s="187"/>
      <c r="W58" s="187"/>
      <c r="X58" s="188"/>
      <c r="Y58" s="188"/>
      <c r="Z58" s="189"/>
      <c r="AA58" s="71"/>
      <c r="AB58" s="10">
        <v>25</v>
      </c>
      <c r="AC58" s="40">
        <v>1</v>
      </c>
      <c r="AD58" s="39" t="str">
        <f t="shared" si="0"/>
        <v/>
      </c>
    </row>
    <row r="59" spans="1:31" s="19" customFormat="1" ht="9" customHeight="1" x14ac:dyDescent="0.3">
      <c r="A59" s="207"/>
      <c r="B59" s="208"/>
      <c r="C59" s="208"/>
      <c r="D59" s="208"/>
      <c r="E59" s="208"/>
      <c r="F59" s="208"/>
      <c r="G59" s="208"/>
      <c r="H59" s="208"/>
      <c r="I59" s="208"/>
      <c r="J59" s="208"/>
      <c r="K59" s="208"/>
      <c r="L59" s="208"/>
      <c r="M59" s="208"/>
      <c r="N59" s="208"/>
      <c r="O59" s="208"/>
      <c r="P59" s="208"/>
      <c r="Q59" s="209"/>
      <c r="R59" s="202"/>
      <c r="S59" s="203"/>
      <c r="T59" s="204"/>
      <c r="U59" s="190"/>
      <c r="V59" s="191"/>
      <c r="W59" s="191"/>
      <c r="X59" s="192"/>
      <c r="Y59" s="192"/>
      <c r="Z59" s="193"/>
      <c r="AA59" s="71"/>
      <c r="AB59" s="10">
        <v>26</v>
      </c>
      <c r="AC59" s="12">
        <v>0.99970000000000003</v>
      </c>
      <c r="AD59" s="39" t="str">
        <f t="shared" si="0"/>
        <v/>
      </c>
    </row>
    <row r="60" spans="1:31" s="19" customFormat="1" ht="12.75" customHeight="1" x14ac:dyDescent="0.3">
      <c r="A60" s="210"/>
      <c r="B60" s="211"/>
      <c r="C60" s="211"/>
      <c r="D60" s="211"/>
      <c r="E60" s="211"/>
      <c r="F60" s="211"/>
      <c r="G60" s="211"/>
      <c r="H60" s="211"/>
      <c r="I60" s="211"/>
      <c r="J60" s="211"/>
      <c r="K60" s="211"/>
      <c r="L60" s="211"/>
      <c r="M60" s="211"/>
      <c r="N60" s="211"/>
      <c r="O60" s="211"/>
      <c r="P60" s="211"/>
      <c r="Q60" s="212"/>
      <c r="R60" s="202"/>
      <c r="S60" s="203"/>
      <c r="T60" s="204"/>
      <c r="U60" s="190"/>
      <c r="V60" s="191"/>
      <c r="W60" s="191"/>
      <c r="X60" s="192"/>
      <c r="Y60" s="192"/>
      <c r="Z60" s="193"/>
      <c r="AA60" s="71"/>
      <c r="AB60" s="10">
        <v>27</v>
      </c>
      <c r="AC60" s="12">
        <v>0.99950000000000006</v>
      </c>
      <c r="AD60" s="39" t="str">
        <f t="shared" si="0"/>
        <v/>
      </c>
    </row>
    <row r="61" spans="1:31" s="19" customFormat="1" ht="14.25" customHeight="1" x14ac:dyDescent="0.25">
      <c r="A61" s="41" t="s">
        <v>55</v>
      </c>
      <c r="B61" s="52" t="s">
        <v>56</v>
      </c>
      <c r="C61" s="11"/>
      <c r="D61" s="11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42"/>
      <c r="R61" s="202"/>
      <c r="S61" s="203"/>
      <c r="T61" s="204"/>
      <c r="U61" s="194"/>
      <c r="V61" s="195"/>
      <c r="W61" s="195"/>
      <c r="X61" s="196"/>
      <c r="Y61" s="196"/>
      <c r="Z61" s="197"/>
      <c r="AB61" s="10">
        <v>28</v>
      </c>
      <c r="AC61" s="12">
        <v>0.99919999999999998</v>
      </c>
      <c r="AD61" s="39" t="str">
        <f t="shared" si="0"/>
        <v/>
      </c>
    </row>
    <row r="62" spans="1:31" s="19" customFormat="1" ht="12.75" customHeight="1" x14ac:dyDescent="0.25">
      <c r="A62" s="216"/>
      <c r="B62" s="217"/>
      <c r="C62" s="217"/>
      <c r="D62" s="217"/>
      <c r="E62" s="217"/>
      <c r="F62" s="217"/>
      <c r="G62" s="217"/>
      <c r="H62" s="217"/>
      <c r="I62" s="217"/>
      <c r="J62" s="217"/>
      <c r="K62" s="217"/>
      <c r="L62" s="217"/>
      <c r="M62" s="217"/>
      <c r="N62" s="217"/>
      <c r="O62" s="217"/>
      <c r="P62" s="217"/>
      <c r="Q62" s="218"/>
      <c r="R62" s="202" t="s">
        <v>57</v>
      </c>
      <c r="S62" s="203"/>
      <c r="T62" s="204"/>
      <c r="U62" s="58"/>
      <c r="V62" s="59"/>
      <c r="W62" s="59"/>
      <c r="X62" s="60"/>
      <c r="Y62" s="60"/>
      <c r="Z62" s="61"/>
      <c r="AB62" s="10">
        <v>29</v>
      </c>
      <c r="AC62" s="12">
        <v>0.99890000000000001</v>
      </c>
      <c r="AD62" s="39" t="str">
        <f t="shared" si="0"/>
        <v/>
      </c>
    </row>
    <row r="63" spans="1:31" s="19" customFormat="1" ht="16.5" customHeight="1" x14ac:dyDescent="0.25">
      <c r="A63" s="216"/>
      <c r="B63" s="217"/>
      <c r="C63" s="217"/>
      <c r="D63" s="217"/>
      <c r="E63" s="217"/>
      <c r="F63" s="217"/>
      <c r="G63" s="217"/>
      <c r="H63" s="217"/>
      <c r="I63" s="217"/>
      <c r="J63" s="217"/>
      <c r="K63" s="217"/>
      <c r="L63" s="217"/>
      <c r="M63" s="217"/>
      <c r="N63" s="217"/>
      <c r="O63" s="217"/>
      <c r="P63" s="217"/>
      <c r="Q63" s="218"/>
      <c r="R63" s="202"/>
      <c r="S63" s="203"/>
      <c r="T63" s="204"/>
      <c r="U63" s="62"/>
      <c r="V63" s="192"/>
      <c r="W63" s="192"/>
      <c r="X63" s="192"/>
      <c r="Y63" s="192"/>
      <c r="Z63" s="63"/>
      <c r="AB63" s="15">
        <v>30</v>
      </c>
      <c r="AC63" s="16">
        <v>0.99860000000000004</v>
      </c>
      <c r="AD63" s="43" t="str">
        <f t="shared" si="0"/>
        <v/>
      </c>
    </row>
    <row r="64" spans="1:31" s="19" customFormat="1" ht="15.6" customHeight="1" x14ac:dyDescent="0.25">
      <c r="A64" s="216"/>
      <c r="B64" s="217"/>
      <c r="C64" s="217"/>
      <c r="D64" s="217"/>
      <c r="E64" s="217"/>
      <c r="F64" s="217"/>
      <c r="G64" s="217"/>
      <c r="H64" s="217"/>
      <c r="I64" s="217"/>
      <c r="J64" s="217"/>
      <c r="K64" s="217"/>
      <c r="L64" s="217"/>
      <c r="M64" s="217"/>
      <c r="N64" s="217"/>
      <c r="O64" s="217"/>
      <c r="P64" s="217"/>
      <c r="Q64" s="218"/>
      <c r="R64" s="202"/>
      <c r="S64" s="203"/>
      <c r="T64" s="204"/>
      <c r="U64" s="62"/>
      <c r="V64" s="192"/>
      <c r="W64" s="192"/>
      <c r="X64" s="192"/>
      <c r="Y64" s="192"/>
      <c r="Z64" s="63"/>
      <c r="AB64" s="1"/>
      <c r="AC64" s="1"/>
      <c r="AD64" s="1"/>
    </row>
    <row r="65" spans="1:30" s="19" customFormat="1" ht="15" customHeight="1" x14ac:dyDescent="0.25">
      <c r="A65" s="219"/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0"/>
      <c r="Q65" s="221"/>
      <c r="R65" s="222"/>
      <c r="S65" s="223"/>
      <c r="T65" s="224"/>
      <c r="U65" s="64"/>
      <c r="V65" s="65"/>
      <c r="W65" s="65"/>
      <c r="X65" s="66"/>
      <c r="Y65" s="66"/>
      <c r="Z65" s="67"/>
      <c r="AB65" s="1"/>
      <c r="AC65" s="1"/>
      <c r="AD65" s="1"/>
    </row>
    <row r="67" spans="1:30" ht="12.75" customHeight="1" x14ac:dyDescent="0.25">
      <c r="P67" s="11"/>
      <c r="Q67" s="11"/>
      <c r="R67" s="11"/>
      <c r="S67" s="11"/>
      <c r="T67" s="11"/>
      <c r="U67" s="11"/>
      <c r="V67" s="11"/>
      <c r="W67" s="11"/>
    </row>
    <row r="68" spans="1:30" ht="12.75" customHeight="1" x14ac:dyDescent="0.25">
      <c r="P68" s="11"/>
      <c r="Q68" s="11"/>
      <c r="R68" s="11"/>
      <c r="S68" s="11"/>
      <c r="T68" s="11"/>
      <c r="U68" s="11"/>
      <c r="V68" s="11"/>
      <c r="W68" s="11"/>
    </row>
    <row r="69" spans="1:30" ht="12.75" customHeight="1" x14ac:dyDescent="0.25">
      <c r="P69" s="11"/>
      <c r="Q69" s="11"/>
      <c r="R69" s="11"/>
      <c r="S69" s="11"/>
      <c r="T69" s="11"/>
      <c r="U69" s="11"/>
      <c r="V69" s="11"/>
      <c r="W69" s="11"/>
    </row>
    <row r="70" spans="1:30" ht="12.75" customHeight="1" x14ac:dyDescent="0.25">
      <c r="P70" s="11"/>
      <c r="Q70" s="11"/>
      <c r="R70" s="11"/>
      <c r="S70" s="11"/>
      <c r="T70" s="11"/>
      <c r="U70" s="11"/>
      <c r="V70" s="11"/>
      <c r="W70" s="11"/>
    </row>
    <row r="71" spans="1:30" ht="12.75" customHeight="1" x14ac:dyDescent="0.25">
      <c r="P71" s="11"/>
      <c r="Q71" s="11"/>
      <c r="R71" s="11"/>
      <c r="S71" s="11"/>
      <c r="T71" s="11"/>
      <c r="U71" s="11"/>
      <c r="V71" s="11"/>
      <c r="W71" s="11"/>
    </row>
    <row r="72" spans="1:30" ht="12.75" customHeight="1" x14ac:dyDescent="0.25">
      <c r="P72" s="11"/>
      <c r="Q72" s="11"/>
      <c r="R72" s="11"/>
      <c r="S72" s="11"/>
      <c r="T72" s="11"/>
      <c r="U72" s="11"/>
      <c r="V72" s="11"/>
      <c r="W72" s="11"/>
    </row>
  </sheetData>
  <sheetProtection formatCells="0" formatColumns="0" formatRows="0" insertColumns="0" insertRows="0" insertHyperlinks="0" deleteColumns="0" deleteRows="0" selectLockedCells="1" sort="0" autoFilter="0" pivotTables="0"/>
  <mergeCells count="142">
    <mergeCell ref="A58:Q60"/>
    <mergeCell ref="A57:Q57"/>
    <mergeCell ref="V63:Y64"/>
    <mergeCell ref="A62:Q65"/>
    <mergeCell ref="R62:T65"/>
    <mergeCell ref="H52:J52"/>
    <mergeCell ref="K52:M52"/>
    <mergeCell ref="N52:P52"/>
    <mergeCell ref="Q52:S52"/>
    <mergeCell ref="R57:T57"/>
    <mergeCell ref="U56:Z56"/>
    <mergeCell ref="U57:Z57"/>
    <mergeCell ref="B40:D42"/>
    <mergeCell ref="E40:G42"/>
    <mergeCell ref="H40:J42"/>
    <mergeCell ref="B50:D50"/>
    <mergeCell ref="E50:G50"/>
    <mergeCell ref="H50:J50"/>
    <mergeCell ref="U58:Z61"/>
    <mergeCell ref="T43:V43"/>
    <mergeCell ref="W43:Y43"/>
    <mergeCell ref="B52:D52"/>
    <mergeCell ref="E52:G52"/>
    <mergeCell ref="R58:T61"/>
    <mergeCell ref="K50:M50"/>
    <mergeCell ref="N50:P50"/>
    <mergeCell ref="B51:D51"/>
    <mergeCell ref="E51:G51"/>
    <mergeCell ref="N51:P51"/>
    <mergeCell ref="B43:D43"/>
    <mergeCell ref="E43:G43"/>
    <mergeCell ref="B44:D44"/>
    <mergeCell ref="E44:G44"/>
    <mergeCell ref="H44:J44"/>
    <mergeCell ref="K44:M44"/>
    <mergeCell ref="N44:P44"/>
    <mergeCell ref="AD40:AD42"/>
    <mergeCell ref="J28:L30"/>
    <mergeCell ref="J31:L33"/>
    <mergeCell ref="F28:I30"/>
    <mergeCell ref="F31:I33"/>
    <mergeCell ref="S28:V30"/>
    <mergeCell ref="W28:Y30"/>
    <mergeCell ref="O28:R30"/>
    <mergeCell ref="O31:R33"/>
    <mergeCell ref="S31:V33"/>
    <mergeCell ref="W31:Y33"/>
    <mergeCell ref="AB40:AB42"/>
    <mergeCell ref="AC40:AC42"/>
    <mergeCell ref="K40:M42"/>
    <mergeCell ref="N40:P42"/>
    <mergeCell ref="Q40:S42"/>
    <mergeCell ref="T40:V42"/>
    <mergeCell ref="W40:Y42"/>
    <mergeCell ref="B28:E30"/>
    <mergeCell ref="B31:E33"/>
    <mergeCell ref="N10:R10"/>
    <mergeCell ref="N11:R11"/>
    <mergeCell ref="N12:R12"/>
    <mergeCell ref="H10:M10"/>
    <mergeCell ref="H11:M11"/>
    <mergeCell ref="H12:M12"/>
    <mergeCell ref="B18:H18"/>
    <mergeCell ref="B12:G12"/>
    <mergeCell ref="B11:G11"/>
    <mergeCell ref="B17:H17"/>
    <mergeCell ref="I18:Y18"/>
    <mergeCell ref="S11:Y11"/>
    <mergeCell ref="S12:Y12"/>
    <mergeCell ref="Q50:S50"/>
    <mergeCell ref="T50:V50"/>
    <mergeCell ref="W50:Y50"/>
    <mergeCell ref="Q43:S43"/>
    <mergeCell ref="I17:Y17"/>
    <mergeCell ref="T52:V52"/>
    <mergeCell ref="W52:Y52"/>
    <mergeCell ref="H51:J51"/>
    <mergeCell ref="K51:M51"/>
    <mergeCell ref="Q44:S44"/>
    <mergeCell ref="T44:V44"/>
    <mergeCell ref="W44:Y44"/>
    <mergeCell ref="H43:J43"/>
    <mergeCell ref="K43:M43"/>
    <mergeCell ref="N43:P43"/>
    <mergeCell ref="T51:V51"/>
    <mergeCell ref="W51:Y51"/>
    <mergeCell ref="Q45:S45"/>
    <mergeCell ref="T45:V45"/>
    <mergeCell ref="W45:Y45"/>
    <mergeCell ref="Q49:S49"/>
    <mergeCell ref="T49:V49"/>
    <mergeCell ref="W49:Y49"/>
    <mergeCell ref="Q51:S51"/>
    <mergeCell ref="P6:T6"/>
    <mergeCell ref="A7:F7"/>
    <mergeCell ref="G7:Z7"/>
    <mergeCell ref="B10:G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46:D46"/>
    <mergeCell ref="E46:G46"/>
    <mergeCell ref="H46:J46"/>
    <mergeCell ref="K46:M46"/>
    <mergeCell ref="N46:P46"/>
    <mergeCell ref="Q46:S46"/>
    <mergeCell ref="T46:V46"/>
    <mergeCell ref="W46:Y46"/>
    <mergeCell ref="B45:D45"/>
    <mergeCell ref="E45:G45"/>
    <mergeCell ref="H45:J45"/>
    <mergeCell ref="K45:M45"/>
    <mergeCell ref="N45:P45"/>
    <mergeCell ref="B49:D49"/>
    <mergeCell ref="E49:G49"/>
    <mergeCell ref="H49:J49"/>
    <mergeCell ref="K49:M49"/>
    <mergeCell ref="N49:P49"/>
    <mergeCell ref="Q47:S47"/>
    <mergeCell ref="T47:V47"/>
    <mergeCell ref="W47:Y47"/>
    <mergeCell ref="B48:D48"/>
    <mergeCell ref="E48:G48"/>
    <mergeCell ref="H48:J48"/>
    <mergeCell ref="K48:M48"/>
    <mergeCell ref="N48:P48"/>
    <mergeCell ref="Q48:S48"/>
    <mergeCell ref="T48:V48"/>
    <mergeCell ref="W48:Y48"/>
    <mergeCell ref="B47:D47"/>
    <mergeCell ref="E47:G47"/>
    <mergeCell ref="H47:J47"/>
    <mergeCell ref="K47:M47"/>
    <mergeCell ref="N47:P47"/>
  </mergeCells>
  <printOptions horizontalCentered="1" verticalCentered="1"/>
  <pageMargins left="0.27559055118109999" right="0.35433070866142002" top="3.9370078740157001E-2" bottom="0.39370078740157" header="0.35433070866142002" footer="0.19685039370078999"/>
  <pageSetup paperSize="9" scale="74" orientation="portrait" r:id="rId1"/>
  <headerFooter alignWithMargins="0">
    <oddFooter>&amp;RDG-Q / RE ID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CRE</vt:lpstr>
      <vt:lpstr>CRE!Zone_d_impression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LHOPITAL Sylvain</cp:lastModifiedBy>
  <cp:lastPrinted>2020-11-27T09:16:00Z</cp:lastPrinted>
  <dcterms:created xsi:type="dcterms:W3CDTF">2004-11-13T18:13:05Z</dcterms:created>
  <dcterms:modified xsi:type="dcterms:W3CDTF">2020-11-27T09:22:08Z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