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S:\Labo\St Priest\Chantiers 2024\01\RA O03A  CD01 - Viriat RD975 Ch. Gare Giratoire\Essais de laboratoire\Enrobés\"/>
    </mc:Choice>
  </mc:AlternateContent>
  <xr:revisionPtr revIDLastSave="0" documentId="13_ncr:1_{3813F0CB-B664-490B-879B-B257E1984F9C}" xr6:coauthVersionLast="47" xr6:coauthVersionMax="47" xr10:uidLastSave="{00000000-0000-0000-0000-000000000000}"/>
  <bookViews>
    <workbookView xWindow="47880" yWindow="-120" windowWidth="29040" windowHeight="15840" xr2:uid="{00000000-000D-0000-FFFF-FFFF00000000}"/>
  </bookViews>
  <sheets>
    <sheet name="010824 BBSG" sheetId="15" r:id="rId1"/>
    <sheet name="310724 BBMB" sheetId="14" r:id="rId2"/>
    <sheet name="300724" sheetId="13" r:id="rId3"/>
    <sheet name="290724" sheetId="12" r:id="rId4"/>
    <sheet name="220724" sheetId="11" r:id="rId5"/>
    <sheet name="170724" sheetId="10" r:id="rId6"/>
    <sheet name="150724" sheetId="9" r:id="rId7"/>
  </sheets>
  <definedNames>
    <definedName name="_xlnm.Print_Area" localSheetId="0">'010824 BBSG'!$A$1:$Z$79</definedName>
    <definedName name="_xlnm.Print_Area" localSheetId="6">'150724'!$A$1:$Z$70</definedName>
    <definedName name="_xlnm.Print_Area" localSheetId="5">'170724'!$A$1:$Z$70</definedName>
    <definedName name="_xlnm.Print_Area" localSheetId="4">'220724'!$A$1:$Z$70</definedName>
    <definedName name="_xlnm.Print_Area" localSheetId="3">'290724'!$A$1:$Z$79</definedName>
    <definedName name="_xlnm.Print_Area" localSheetId="2">'300724'!$A$1:$Z$79</definedName>
    <definedName name="_xlnm.Print_Area" localSheetId="1">'310724 BBMB'!$A$1:$Z$79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9" i="15" l="1"/>
  <c r="L69" i="15"/>
  <c r="J69" i="15"/>
  <c r="E69" i="15"/>
  <c r="W68" i="15"/>
  <c r="L68" i="15"/>
  <c r="J68" i="15"/>
  <c r="E68" i="15"/>
  <c r="AD67" i="15"/>
  <c r="AB67" i="15"/>
  <c r="W66" i="15"/>
  <c r="AB66" i="15" s="1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AD65" i="15"/>
  <c r="AE65" i="15" s="1"/>
  <c r="AD63" i="15"/>
  <c r="AB63" i="15"/>
  <c r="Y63" i="15"/>
  <c r="AD62" i="15"/>
  <c r="AB62" i="15"/>
  <c r="Y62" i="15"/>
  <c r="AD61" i="15"/>
  <c r="AB61" i="15"/>
  <c r="AD60" i="15"/>
  <c r="AB60" i="15"/>
  <c r="W69" i="14"/>
  <c r="L69" i="14"/>
  <c r="J69" i="14"/>
  <c r="E69" i="14"/>
  <c r="W68" i="14"/>
  <c r="L68" i="14"/>
  <c r="J68" i="14"/>
  <c r="E68" i="14"/>
  <c r="AD67" i="14"/>
  <c r="AB67" i="14"/>
  <c r="W66" i="14"/>
  <c r="AB66" i="14" s="1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AD65" i="14"/>
  <c r="AE65" i="14" s="1"/>
  <c r="AD63" i="14"/>
  <c r="AB63" i="14"/>
  <c r="Y63" i="14"/>
  <c r="AD62" i="14"/>
  <c r="AB62" i="14"/>
  <c r="Y62" i="14"/>
  <c r="AD61" i="14"/>
  <c r="AB61" i="14"/>
  <c r="AD60" i="14"/>
  <c r="AB60" i="14"/>
  <c r="W69" i="13"/>
  <c r="L69" i="13"/>
  <c r="J69" i="13"/>
  <c r="E69" i="13"/>
  <c r="W68" i="13"/>
  <c r="L68" i="13"/>
  <c r="J68" i="13"/>
  <c r="E68" i="13"/>
  <c r="AD67" i="13"/>
  <c r="AB67" i="13"/>
  <c r="W66" i="13"/>
  <c r="AB66" i="13" s="1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G66" i="13"/>
  <c r="F66" i="13"/>
  <c r="E66" i="13"/>
  <c r="AD65" i="13"/>
  <c r="AE65" i="13" s="1"/>
  <c r="AD63" i="13"/>
  <c r="AB63" i="13"/>
  <c r="Y63" i="13"/>
  <c r="AD62" i="13"/>
  <c r="AB62" i="13"/>
  <c r="Y62" i="13"/>
  <c r="AD61" i="13"/>
  <c r="AB61" i="13"/>
  <c r="AD60" i="13"/>
  <c r="AB60" i="13"/>
  <c r="W69" i="12"/>
  <c r="L69" i="12"/>
  <c r="J69" i="12"/>
  <c r="E69" i="12"/>
  <c r="W68" i="12"/>
  <c r="L68" i="12"/>
  <c r="J68" i="12"/>
  <c r="E68" i="12"/>
  <c r="AD67" i="12"/>
  <c r="AB67" i="12"/>
  <c r="W66" i="12"/>
  <c r="AB66" i="12" s="1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AD65" i="12"/>
  <c r="AE65" i="12" s="1"/>
  <c r="AD63" i="12"/>
  <c r="AB63" i="12"/>
  <c r="Y63" i="12"/>
  <c r="AD62" i="12"/>
  <c r="AB62" i="12"/>
  <c r="Y62" i="12"/>
  <c r="AD61" i="12"/>
  <c r="AB61" i="12"/>
  <c r="AD60" i="12"/>
  <c r="AB60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Y53" i="10"/>
  <c r="AD52" i="10"/>
  <c r="AB52" i="10"/>
  <c r="AD51" i="10"/>
  <c r="AB51" i="10"/>
  <c r="AE60" i="15" l="1"/>
  <c r="Y60" i="15" s="1"/>
  <c r="AE63" i="15"/>
  <c r="AE61" i="15"/>
  <c r="Y61" i="15" s="1"/>
  <c r="AE62" i="15"/>
  <c r="AE67" i="15"/>
  <c r="Y67" i="15" s="1"/>
  <c r="AD66" i="15"/>
  <c r="AE66" i="15" s="1"/>
  <c r="AE61" i="14"/>
  <c r="Y61" i="14" s="1"/>
  <c r="AE63" i="14"/>
  <c r="AE62" i="14"/>
  <c r="AE60" i="14"/>
  <c r="Y60" i="14" s="1"/>
  <c r="AD66" i="14"/>
  <c r="AE66" i="14" s="1"/>
  <c r="AE67" i="14"/>
  <c r="Y67" i="14" s="1"/>
  <c r="AE62" i="13"/>
  <c r="AD66" i="13"/>
  <c r="AE66" i="13" s="1"/>
  <c r="AE67" i="13"/>
  <c r="Y67" i="13" s="1"/>
  <c r="AE63" i="13"/>
  <c r="AE60" i="13"/>
  <c r="Y60" i="13" s="1"/>
  <c r="AE61" i="13"/>
  <c r="Y61" i="13" s="1"/>
  <c r="AE60" i="12"/>
  <c r="Y60" i="12" s="1"/>
  <c r="AE63" i="12"/>
  <c r="AE58" i="11"/>
  <c r="Y58" i="11" s="1"/>
  <c r="AD66" i="12"/>
  <c r="AE66" i="12" s="1"/>
  <c r="AE61" i="12"/>
  <c r="Y61" i="12" s="1"/>
  <c r="AE54" i="11"/>
  <c r="AE52" i="11"/>
  <c r="Y52" i="11" s="1"/>
  <c r="AE53" i="11"/>
  <c r="AD57" i="11"/>
  <c r="AE57" i="11" s="1"/>
  <c r="AD57" i="10"/>
  <c r="AE57" i="10" s="1"/>
  <c r="AE62" i="12"/>
  <c r="AE67" i="12"/>
  <c r="Y67" i="12" s="1"/>
  <c r="AE51" i="11"/>
  <c r="Y51" i="11" s="1"/>
  <c r="AE51" i="10"/>
  <c r="Y51" i="10" s="1"/>
  <c r="AE58" i="10"/>
  <c r="Y58" i="10" s="1"/>
  <c r="AE53" i="10"/>
  <c r="AE54" i="10"/>
  <c r="AE52" i="10"/>
  <c r="Y52" i="10" s="1"/>
  <c r="Q57" i="9"/>
  <c r="R57" i="9"/>
  <c r="Y66" i="15" l="1"/>
  <c r="Y66" i="14"/>
  <c r="Y66" i="13"/>
  <c r="Y66" i="12"/>
  <c r="Y57" i="11"/>
  <c r="Y57" i="10"/>
  <c r="L59" i="9"/>
  <c r="L60" i="9"/>
  <c r="U57" i="9" l="1"/>
  <c r="W57" i="9"/>
  <c r="AD56" i="9" l="1"/>
  <c r="AE56" i="9" s="1"/>
  <c r="AD58" i="9"/>
  <c r="AD52" i="9"/>
  <c r="AD53" i="9"/>
  <c r="AD54" i="9"/>
  <c r="AD51" i="9"/>
  <c r="AB57" i="9" l="1"/>
  <c r="AB54" i="9"/>
  <c r="AE54" i="9" s="1"/>
  <c r="AB53" i="9"/>
  <c r="AE53" i="9" s="1"/>
  <c r="AB52" i="9"/>
  <c r="AE52" i="9" s="1"/>
  <c r="AB51" i="9"/>
  <c r="AB58" i="9"/>
  <c r="W60" i="9"/>
  <c r="W59" i="9"/>
  <c r="Y53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P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<sst xmlns="http://schemas.openxmlformats.org/spreadsheetml/2006/main" count="463" uniqueCount="90">
  <si>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</si>
  <si>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</si>
  <si>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</si>
  <si>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</si>
  <si>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</si>
  <si>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</si>
  <si>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</si>
  <si>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</si>
  <si>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</si>
  <si>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</si>
  <si>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</si>
  <si>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</si>
  <si>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</si>
  <si>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</si>
  <si>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</si>
  <si>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</si>
  <si>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</si>
  <si>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</si>
  <si>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</si>
  <si>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</si>
  <si>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</si>
  <si>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</si>
  <si>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</si>
  <si>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</si>
  <si>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</si>
  <si>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</si>
  <si>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</si>
  <si>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</si>
  <si>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</si>
  <si>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</si>
  <si>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</si>
  <si>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</si>
  <si>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</si>
  <si>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</si>
  <si>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</si>
  <si>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</si>
  <si>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</si>
  <si>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</si>
  <si>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</si>
  <si>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</si>
  <si>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</si>
  <si>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</si>
  <si>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</si>
  <si>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</si>
  <si>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</si>
  <si>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</si>
  <si>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</si>
  <si>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</si>
  <si>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</si>
  <si>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</si>
  <si>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</si>
  <si>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Fonction</t>
  </si>
  <si>
    <t>CONFORME</t>
  </si>
  <si>
    <t>RA O03A</t>
  </si>
  <si>
    <t xml:space="preserve"> F. MONTET</t>
  </si>
  <si>
    <t>Technicien de laboratoire</t>
  </si>
  <si>
    <t>Viriat chemin de la gare - giratoire</t>
  </si>
  <si>
    <t>F. Montet</t>
  </si>
  <si>
    <t>15/07/2024</t>
  </si>
  <si>
    <t>GB 0/14 Classe 4 R30</t>
  </si>
  <si>
    <t>EB 14 ASSISE 50/70</t>
  </si>
  <si>
    <t>SEG</t>
  </si>
  <si>
    <t>Giratoire</t>
  </si>
  <si>
    <t>144PA30</t>
  </si>
  <si>
    <t>Fondation / Base</t>
  </si>
  <si>
    <t>08:50</t>
  </si>
  <si>
    <t>11:00</t>
  </si>
  <si>
    <t>Base</t>
  </si>
  <si>
    <t>09:10</t>
  </si>
  <si>
    <t>10:00</t>
  </si>
  <si>
    <t>12:30</t>
  </si>
  <si>
    <t>Sylvain LHOPITAL</t>
  </si>
  <si>
    <t>EB 10 ROUL</t>
  </si>
  <si>
    <t>BBMB 0/10 Cl.3 Styrelf eXcel40</t>
  </si>
  <si>
    <t>104PM</t>
  </si>
  <si>
    <t>Roulement</t>
  </si>
  <si>
    <t>09:15</t>
  </si>
  <si>
    <t>10:30</t>
  </si>
  <si>
    <t>Chef de Section Laboratoire</t>
  </si>
  <si>
    <t>Voiries</t>
  </si>
  <si>
    <t>9H20</t>
  </si>
  <si>
    <t>10H30</t>
  </si>
  <si>
    <t>CD01 - RD975/RD29a
Viriat - Ch. de la Gare
Aménagement carrefour et giratoire</t>
  </si>
  <si>
    <t>Voirie Ch. Tefy / Verdaz / RD975</t>
  </si>
  <si>
    <t>21:25</t>
  </si>
  <si>
    <t>22:45</t>
  </si>
  <si>
    <t>BBSG 0/10 Cl.3 Styrelf eXcel40</t>
  </si>
  <si>
    <t>Giratoire RD975 / Ch. Gare / Nationale</t>
  </si>
  <si>
    <t>100PMA20</t>
  </si>
  <si>
    <t>21:50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</si>
</sst>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9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b/>
      <sz val="10"/>
      <color theme="0"/>
      <name val="Century Gothic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Century Gothic"/>
      <family val="2"/>
    </font>
    <font>
      <sz val="8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14" fillId="0" borderId="0"/>
    <xf numFmtId="0" fontId="25" fillId="0" borderId="0"/>
    <xf numFmtId="0" fontId="26" fillId="0" borderId="0"/>
  </cellStyleXfs>
  <cellXfs count="3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4" fillId="0" borderId="23" xfId="0" applyNumberFormat="1" applyFont="1" applyBorder="1" applyAlignment="1">
      <alignment horizontal="center" vertical="center"/>
    </xf>
    <xf numFmtId="1" fontId="1" fillId="0" borderId="19" xfId="0" applyNumberFormat="1" applyFont="1" applyBorder="1" applyAlignment="1" applyProtection="1">
      <alignment horizontal="center" vertical="center"/>
      <protection locked="0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64" fontId="20" fillId="0" borderId="63" xfId="2" applyNumberFormat="1" applyFont="1" applyBorder="1" applyAlignment="1">
      <alignment horizontal="center" vertical="center" wrapText="1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164" fontId="20" fillId="0" borderId="63" xfId="2" applyNumberFormat="1" applyFont="1" applyBorder="1" applyAlignment="1" applyProtection="1">
      <alignment horizontal="center" vertical="center"/>
      <protection locked="0"/>
    </xf>
    <xf numFmtId="164" fontId="20" fillId="0" borderId="60" xfId="2" applyNumberFormat="1" applyFont="1" applyBorder="1" applyAlignment="1" applyProtection="1">
      <alignment horizontal="center" vertical="center"/>
      <protection locked="0"/>
    </xf>
    <xf numFmtId="164" fontId="27" fillId="0" borderId="63" xfId="3" applyNumberFormat="1" applyFont="1" applyBorder="1" applyAlignment="1">
      <alignment horizontal="center" vertical="center" wrapText="1"/>
    </xf>
    <xf numFmtId="164" fontId="27" fillId="0" borderId="62" xfId="3" applyNumberFormat="1" applyFont="1" applyBorder="1" applyAlignment="1" applyProtection="1">
      <alignment horizontal="center" vertical="center"/>
      <protection locked="0"/>
    </xf>
    <xf numFmtId="164" fontId="27" fillId="0" borderId="63" xfId="3" applyNumberFormat="1" applyFont="1" applyBorder="1" applyAlignment="1" applyProtection="1">
      <alignment horizontal="center" vertical="center"/>
      <protection locked="0"/>
    </xf>
    <xf numFmtId="164" fontId="27" fillId="0" borderId="60" xfId="3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164" fontId="28" fillId="0" borderId="63" xfId="0" applyNumberFormat="1" applyFont="1" applyBorder="1" applyAlignment="1">
      <alignment horizontal="center" vertical="center" wrapText="1"/>
    </xf>
    <xf numFmtId="164" fontId="28" fillId="0" borderId="62" xfId="0" applyNumberFormat="1" applyFont="1" applyBorder="1" applyAlignment="1" applyProtection="1">
      <alignment horizontal="center" vertical="center"/>
      <protection locked="0"/>
    </xf>
    <xf numFmtId="164" fontId="28" fillId="0" borderId="63" xfId="0" applyNumberFormat="1" applyFont="1" applyBorder="1" applyAlignment="1" applyProtection="1">
      <alignment horizontal="center" vertical="center"/>
      <protection locked="0"/>
    </xf>
    <xf numFmtId="164" fontId="28" fillId="0" borderId="60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21" fillId="0" borderId="65" xfId="0" applyFont="1" applyBorder="1" applyAlignment="1" applyProtection="1">
      <alignment horizontal="center" vertical="center" wrapText="1"/>
      <protection locked="0"/>
    </xf>
    <xf numFmtId="0" fontId="21" fillId="0" borderId="66" xfId="0" applyFont="1" applyBorder="1" applyAlignment="1" applyProtection="1">
      <alignment horizontal="center" vertical="center" wrapText="1"/>
      <protection locked="0"/>
    </xf>
    <xf numFmtId="0" fontId="22" fillId="0" borderId="66" xfId="0" applyFont="1" applyBorder="1" applyAlignment="1" applyProtection="1">
      <alignment horizontal="center" vertical="center" wrapText="1"/>
      <protection locked="0"/>
    </xf>
    <xf numFmtId="0" fontId="22" fillId="0" borderId="67" xfId="0" applyFont="1" applyBorder="1" applyAlignment="1" applyProtection="1">
      <alignment horizontal="center" vertical="center" wrapText="1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2" fontId="1" fillId="0" borderId="41" xfId="0" applyNumberFormat="1" applyFont="1" applyBorder="1" applyAlignment="1" applyProtection="1">
      <alignment horizontal="center" vertical="center"/>
      <protection locked="0"/>
    </xf>
    <xf numFmtId="2" fontId="1" fillId="0" borderId="36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1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3" fillId="0" borderId="73" xfId="0" applyFont="1" applyBorder="1" applyAlignment="1" applyProtection="1">
      <alignment horizontal="center" vertical="center" wrapText="1"/>
      <protection locked="0"/>
    </xf>
    <xf numFmtId="0" fontId="23" fillId="0" borderId="69" xfId="0" applyFont="1" applyBorder="1" applyAlignment="1" applyProtection="1">
      <alignment horizontal="center" vertical="center" wrapText="1"/>
      <protection locked="0"/>
    </xf>
    <xf numFmtId="0" fontId="23" fillId="0" borderId="70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72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3" fillId="0" borderId="7" xfId="0" applyFont="1" applyBorder="1" applyAlignment="1" applyProtection="1">
      <alignment horizontal="center" vertical="center" wrapText="1"/>
      <protection locked="0"/>
    </xf>
    <xf numFmtId="0" fontId="23" fillId="0" borderId="7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center" vertical="center"/>
      <protection locked="0"/>
    </xf>
    <xf numFmtId="14" fontId="4" fillId="0" borderId="8" xfId="0" applyNumberFormat="1" applyFont="1" applyBorder="1" applyAlignment="1" applyProtection="1">
      <alignment horizontal="center" vertical="center"/>
      <protection locked="0"/>
    </xf>
    <xf numFmtId="164" fontId="28" fillId="0" borderId="64" xfId="0" applyNumberFormat="1" applyFont="1" applyBorder="1" applyAlignment="1" applyProtection="1">
      <alignment horizontal="center" vertical="center"/>
      <protection locked="0"/>
    </xf>
    <xf numFmtId="164" fontId="28" fillId="0" borderId="62" xfId="0" applyNumberFormat="1" applyFont="1" applyBorder="1" applyAlignment="1" applyProtection="1">
      <alignment horizontal="center" vertical="center"/>
      <protection locked="0"/>
    </xf>
    <xf numFmtId="2" fontId="28" fillId="0" borderId="60" xfId="0" applyNumberFormat="1" applyFont="1" applyBorder="1" applyAlignment="1" applyProtection="1">
      <alignment horizontal="center" vertical="center"/>
      <protection locked="0"/>
    </xf>
    <xf numFmtId="2" fontId="28" fillId="0" borderId="62" xfId="0" applyNumberFormat="1" applyFont="1" applyBorder="1" applyAlignment="1" applyProtection="1">
      <alignment horizontal="center" vertical="center"/>
      <protection locked="0"/>
    </xf>
    <xf numFmtId="0" fontId="22" fillId="0" borderId="60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27" fillId="0" borderId="64" xfId="3" applyNumberFormat="1" applyFont="1" applyBorder="1" applyAlignment="1" applyProtection="1">
      <alignment horizontal="center" vertical="center"/>
      <protection locked="0"/>
    </xf>
    <xf numFmtId="164" fontId="27" fillId="0" borderId="62" xfId="3" applyNumberFormat="1" applyFont="1" applyBorder="1" applyAlignment="1" applyProtection="1">
      <alignment horizontal="center" vertical="center"/>
      <protection locked="0"/>
    </xf>
    <xf numFmtId="2" fontId="27" fillId="0" borderId="60" xfId="3" applyNumberFormat="1" applyFont="1" applyBorder="1" applyAlignment="1" applyProtection="1">
      <alignment horizontal="center" vertical="center"/>
      <protection locked="0"/>
    </xf>
    <xf numFmtId="2" fontId="27" fillId="0" borderId="62" xfId="3" applyNumberFormat="1" applyFont="1" applyBorder="1" applyAlignment="1" applyProtection="1">
      <alignment horizontal="center" vertical="center"/>
      <protection locked="0"/>
    </xf>
    <xf numFmtId="0" fontId="23" fillId="0" borderId="68" xfId="0" applyFont="1" applyBorder="1" applyAlignment="1" applyProtection="1">
      <alignment horizontal="center" vertical="center" wrapText="1"/>
      <protection locked="0"/>
    </xf>
    <xf numFmtId="0" fontId="23" fillId="0" borderId="71" xfId="0" applyFont="1" applyBorder="1" applyAlignment="1" applyProtection="1">
      <alignment horizontal="center" vertical="center" wrapText="1"/>
      <protection locked="0"/>
    </xf>
    <xf numFmtId="0" fontId="23" fillId="0" borderId="60" xfId="0" applyFont="1" applyBorder="1" applyAlignment="1" applyProtection="1">
      <alignment horizontal="center" vertical="center" wrapText="1"/>
      <protection locked="0"/>
    </xf>
    <xf numFmtId="0" fontId="23" fillId="0" borderId="61" xfId="0" applyFont="1" applyBorder="1" applyAlignment="1" applyProtection="1">
      <alignment horizontal="center" vertical="center" wrapText="1"/>
      <protection locked="0"/>
    </xf>
    <xf numFmtId="0" fontId="23" fillId="0" borderId="62" xfId="0" applyFont="1" applyBorder="1" applyAlignment="1" applyProtection="1">
      <alignment horizontal="center" vertical="center" wrapText="1"/>
      <protection locked="0"/>
    </xf>
    <xf numFmtId="164" fontId="20" fillId="0" borderId="64" xfId="2" applyNumberFormat="1" applyFont="1" applyBorder="1" applyAlignment="1" applyProtection="1">
      <alignment horizontal="center" vertical="center"/>
      <protection locked="0"/>
    </xf>
    <xf numFmtId="164" fontId="20" fillId="0" borderId="62" xfId="2" applyNumberFormat="1" applyFont="1" applyBorder="1" applyAlignment="1" applyProtection="1">
      <alignment horizontal="center" vertical="center"/>
      <protection locked="0"/>
    </xf>
    <xf numFmtId="2" fontId="20" fillId="0" borderId="60" xfId="2" applyNumberFormat="1" applyFont="1" applyBorder="1" applyAlignment="1" applyProtection="1">
      <alignment horizontal="center" vertical="center"/>
      <protection locked="0"/>
    </xf>
    <xf numFmtId="2" fontId="20" fillId="0" borderId="62" xfId="2" applyNumberFormat="1" applyFont="1" applyBorder="1" applyAlignment="1" applyProtection="1">
      <alignment horizontal="center" vertical="center"/>
      <protection locked="0"/>
    </xf>
    <xf numFmtId="0" fontId="19" fillId="0" borderId="60" xfId="2" applyFont="1" applyBorder="1" applyAlignment="1">
      <alignment horizontal="center" vertical="center" wrapText="1"/>
    </xf>
    <xf numFmtId="0" fontId="19" fillId="0" borderId="62" xfId="2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</cellXfs>
  <cellStyles count="4">
    <cellStyle name="Normal" xfId="0" builtinId="0"/>
    <cellStyle name="Normal 2" xfId="1" xr:uid="{00000000-0005-0000-0000-000001000000}"/>
    <cellStyle name="Normal 3" xfId="2" xr:uid="{98672E5F-4A6F-465E-9619-23F638E07460}"/>
    <cellStyle name="Normal 4" xfId="3" xr:uid="{1C7FEBCC-7F95-4A21-B541-BB288C9CB1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'010824 BBSG'!$E$59:$O$59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'010824 BBSG'!$E$66:$O$66</c:f>
              <c:numCache>
                <c:formatCode>0.0</c:formatCode>
                <c:ptCount val="11"/>
                <c:pt idx="0">
                  <c:v>6.9</c:v>
                </c:pt>
                <c:pt idx="1">
                  <c:v>8.8000000000000007</c:v>
                </c:pt>
                <c:pt idx="2">
                  <c:v>11.65</c:v>
                </c:pt>
                <c:pt idx="3">
                  <c:v>15.2</c:v>
                </c:pt>
                <c:pt idx="4">
                  <c:v>20.399999999999999</c:v>
                </c:pt>
                <c:pt idx="5">
                  <c:v>29</c:v>
                </c:pt>
                <c:pt idx="6">
                  <c:v>43.55</c:v>
                </c:pt>
                <c:pt idx="7">
                  <c:v>59.55</c:v>
                </c:pt>
                <c:pt idx="8">
                  <c:v>78</c:v>
                </c:pt>
                <c:pt idx="9">
                  <c:v>94.5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F2-44C2-8FD6-CB6B1A9EA64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'010824 BBSG'!$E$59:$W$59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'010824 BBSG'!$E$67:$W$67</c:f>
              <c:numCache>
                <c:formatCode>0.0</c:formatCode>
                <c:ptCount val="19"/>
                <c:pt idx="0">
                  <c:v>6.9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22</c:v>
                </c:pt>
                <c:pt idx="5">
                  <c:v>32</c:v>
                </c:pt>
                <c:pt idx="6">
                  <c:v>46</c:v>
                </c:pt>
                <c:pt idx="7">
                  <c:v>65</c:v>
                </c:pt>
                <c:pt idx="8">
                  <c:v>82</c:v>
                </c:pt>
                <c:pt idx="9">
                  <c:v>96</c:v>
                </c:pt>
                <c:pt idx="1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F2-44C2-8FD6-CB6B1A9EA647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4F2-44C2-8FD6-CB6B1A9EA64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'010824 BBSG'!$E$59:$W$59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'010824 BBSG'!$E$69:$W$69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26</c:v>
                </c:pt>
                <c:pt idx="7">
                  <c:v>58</c:v>
                </c:pt>
                <c:pt idx="18">
                  <c:v>5.1000000000000005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F2-44C2-8FD6-CB6B1A9EA64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'010824 BBSG'!$E$59:$W$59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'010824 BBSG'!$E$68:$W$68</c:f>
              <c:numCache>
                <c:formatCode>0.0</c:formatCode>
                <c:ptCount val="19"/>
                <c:pt idx="0">
                  <c:v>8.9</c:v>
                </c:pt>
                <c:pt idx="5">
                  <c:v>38</c:v>
                </c:pt>
                <c:pt idx="7">
                  <c:v>72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F2-44C2-8FD6-CB6B1A9EA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'310724 BBMB'!$E$59:$O$59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'310724 BBMB'!$E$66:$O$66</c:f>
              <c:numCache>
                <c:formatCode>0.0</c:formatCode>
                <c:ptCount val="11"/>
                <c:pt idx="0">
                  <c:v>7.3</c:v>
                </c:pt>
                <c:pt idx="1">
                  <c:v>9.1999999999999993</c:v>
                </c:pt>
                <c:pt idx="2">
                  <c:v>11.850000000000001</c:v>
                </c:pt>
                <c:pt idx="3">
                  <c:v>15.15</c:v>
                </c:pt>
                <c:pt idx="4">
                  <c:v>20.049999999999997</c:v>
                </c:pt>
                <c:pt idx="5">
                  <c:v>28.6</c:v>
                </c:pt>
                <c:pt idx="6">
                  <c:v>40.049999999999997</c:v>
                </c:pt>
                <c:pt idx="7">
                  <c:v>50.05</c:v>
                </c:pt>
                <c:pt idx="8">
                  <c:v>70.5</c:v>
                </c:pt>
                <c:pt idx="9">
                  <c:v>93.1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1-41E0-8A11-D2833266CF9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'310724 BBMB'!$E$59:$W$59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'310724 BBMB'!$E$67:$W$67</c:f>
              <c:numCache>
                <c:formatCode>0.0</c:formatCode>
                <c:ptCount val="19"/>
                <c:pt idx="0">
                  <c:v>6.9</c:v>
                </c:pt>
                <c:pt idx="1">
                  <c:v>#N/A</c:v>
                </c:pt>
                <c:pt idx="2">
                  <c:v>11</c:v>
                </c:pt>
                <c:pt idx="3">
                  <c:v>15</c:v>
                </c:pt>
                <c:pt idx="4">
                  <c:v>22</c:v>
                </c:pt>
                <c:pt idx="5">
                  <c:v>31</c:v>
                </c:pt>
                <c:pt idx="6">
                  <c:v>42</c:v>
                </c:pt>
                <c:pt idx="7">
                  <c:v>49</c:v>
                </c:pt>
                <c:pt idx="8">
                  <c:v>72</c:v>
                </c:pt>
                <c:pt idx="9">
                  <c:v>93</c:v>
                </c:pt>
                <c:pt idx="1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31-41E0-8A11-D2833266CF96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8731-41E0-8A11-D2833266CF9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'310724 BBMB'!$E$59:$W$59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'310724 BBMB'!$E$69:$W$69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25</c:v>
                </c:pt>
                <c:pt idx="7">
                  <c:v>42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31-41E0-8A11-D2833266CF9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'310724 BBMB'!$E$59:$W$59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'310724 BBMB'!$E$68:$W$68</c:f>
              <c:numCache>
                <c:formatCode>0.0</c:formatCode>
                <c:ptCount val="19"/>
                <c:pt idx="0">
                  <c:v>8.9</c:v>
                </c:pt>
                <c:pt idx="5">
                  <c:v>37</c:v>
                </c:pt>
                <c:pt idx="7">
                  <c:v>56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731-41E0-8A11-D2833266C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'300724'!$E$59:$O$59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'300724'!$E$66:$O$66</c:f>
              <c:numCache>
                <c:formatCode>0.0</c:formatCode>
                <c:ptCount val="11"/>
                <c:pt idx="0">
                  <c:v>7.35</c:v>
                </c:pt>
                <c:pt idx="1">
                  <c:v>9.25</c:v>
                </c:pt>
                <c:pt idx="2">
                  <c:v>11.85</c:v>
                </c:pt>
                <c:pt idx="3">
                  <c:v>15.25</c:v>
                </c:pt>
                <c:pt idx="4">
                  <c:v>20.149999999999999</c:v>
                </c:pt>
                <c:pt idx="5">
                  <c:v>29.1</c:v>
                </c:pt>
                <c:pt idx="6">
                  <c:v>42.7</c:v>
                </c:pt>
                <c:pt idx="7">
                  <c:v>51.6</c:v>
                </c:pt>
                <c:pt idx="8">
                  <c:v>72.3</c:v>
                </c:pt>
                <c:pt idx="9">
                  <c:v>93.800000000000011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42-4E64-902E-A43E6EA38B8C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'300724'!$E$59:$W$59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'300724'!$E$67:$W$67</c:f>
              <c:numCache>
                <c:formatCode>0.0</c:formatCode>
                <c:ptCount val="19"/>
                <c:pt idx="0">
                  <c:v>6.9</c:v>
                </c:pt>
                <c:pt idx="1">
                  <c:v>#N/A</c:v>
                </c:pt>
                <c:pt idx="2">
                  <c:v>11</c:v>
                </c:pt>
                <c:pt idx="3">
                  <c:v>15</c:v>
                </c:pt>
                <c:pt idx="4">
                  <c:v>22</c:v>
                </c:pt>
                <c:pt idx="5">
                  <c:v>31</c:v>
                </c:pt>
                <c:pt idx="6">
                  <c:v>42</c:v>
                </c:pt>
                <c:pt idx="7">
                  <c:v>49</c:v>
                </c:pt>
                <c:pt idx="8">
                  <c:v>72</c:v>
                </c:pt>
                <c:pt idx="9">
                  <c:v>93</c:v>
                </c:pt>
                <c:pt idx="1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42-4E64-902E-A43E6EA38B8C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F42-4E64-902E-A43E6EA38B8C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'300724'!$E$69:$W$69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25</c:v>
                </c:pt>
                <c:pt idx="7">
                  <c:v>42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42-4E64-902E-A43E6EA38B8C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'300724'!$E$68:$W$68</c:f>
              <c:numCache>
                <c:formatCode>0.0</c:formatCode>
                <c:ptCount val="19"/>
                <c:pt idx="0">
                  <c:v>8.9</c:v>
                </c:pt>
                <c:pt idx="5">
                  <c:v>37</c:v>
                </c:pt>
                <c:pt idx="7">
                  <c:v>56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42-4E64-902E-A43E6EA3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'290724'!$E$59:$O$59</c:f>
              <c:numCache>
                <c:formatCode>0.000</c:formatCode>
                <c:ptCount val="11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</c:numCache>
            </c:numRef>
          </c:xVal>
          <c:yVal>
            <c:numRef>
              <c:f>'290724'!$E$66:$O$66</c:f>
              <c:numCache>
                <c:formatCode>0.0</c:formatCode>
                <c:ptCount val="11"/>
                <c:pt idx="0">
                  <c:v>6.75</c:v>
                </c:pt>
                <c:pt idx="1">
                  <c:v>8.8999999999999986</c:v>
                </c:pt>
                <c:pt idx="2">
                  <c:v>11.95</c:v>
                </c:pt>
                <c:pt idx="3">
                  <c:v>15.55</c:v>
                </c:pt>
                <c:pt idx="4">
                  <c:v>20.55</c:v>
                </c:pt>
                <c:pt idx="5">
                  <c:v>29.75</c:v>
                </c:pt>
                <c:pt idx="6">
                  <c:v>42.9</c:v>
                </c:pt>
                <c:pt idx="7">
                  <c:v>53.55</c:v>
                </c:pt>
                <c:pt idx="8">
                  <c:v>74.199999999999989</c:v>
                </c:pt>
                <c:pt idx="9">
                  <c:v>94.05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6B-4E15-8A5F-CAFF67E2D90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'290724'!$E$67:$W$67</c:f>
              <c:numCache>
                <c:formatCode>0.0</c:formatCode>
                <c:ptCount val="19"/>
                <c:pt idx="0">
                  <c:v>6.9</c:v>
                </c:pt>
                <c:pt idx="1">
                  <c:v>#N/A</c:v>
                </c:pt>
                <c:pt idx="2">
                  <c:v>11</c:v>
                </c:pt>
                <c:pt idx="3">
                  <c:v>15</c:v>
                </c:pt>
                <c:pt idx="4">
                  <c:v>22</c:v>
                </c:pt>
                <c:pt idx="5">
                  <c:v>31</c:v>
                </c:pt>
                <c:pt idx="6">
                  <c:v>42</c:v>
                </c:pt>
                <c:pt idx="7">
                  <c:v>49</c:v>
                </c:pt>
                <c:pt idx="8">
                  <c:v>72</c:v>
                </c:pt>
                <c:pt idx="9">
                  <c:v>93</c:v>
                </c:pt>
                <c:pt idx="10">
                  <c:v>100</c:v>
                </c:pt>
                <c:pt idx="18" formatCode="0.00">
                  <c:v>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6B-4E15-8A5F-CAFF67E2D90B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386B-4E15-8A5F-CAFF67E2D90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'290724'!$E$69:$W$69</c:f>
              <c:numCache>
                <c:formatCode>0.0</c:formatCode>
                <c:ptCount val="19"/>
                <c:pt idx="0">
                  <c:v>4.9000000000000004</c:v>
                </c:pt>
                <c:pt idx="5">
                  <c:v>25</c:v>
                </c:pt>
                <c:pt idx="7">
                  <c:v>42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6B-4E15-8A5F-CAFF67E2D90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'290724'!$E$59:$W$59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'290724'!$E$68:$W$68</c:f>
              <c:numCache>
                <c:formatCode>0.0</c:formatCode>
                <c:ptCount val="19"/>
                <c:pt idx="0">
                  <c:v>8.9</c:v>
                </c:pt>
                <c:pt idx="5">
                  <c:v>37</c:v>
                </c:pt>
                <c:pt idx="7">
                  <c:v>56</c:v>
                </c:pt>
                <c:pt idx="18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6B-4E15-8A5F-CAFF67E2D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'220724'!$E$50:$Q$50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'220724'!$E$57:$W$57</c:f>
              <c:numCache>
                <c:formatCode>0.0</c:formatCode>
                <c:ptCount val="19"/>
                <c:pt idx="0">
                  <c:v>8.8500000000000014</c:v>
                </c:pt>
                <c:pt idx="1">
                  <c:v>11.05</c:v>
                </c:pt>
                <c:pt idx="2">
                  <c:v>13.95</c:v>
                </c:pt>
                <c:pt idx="3">
                  <c:v>17.450000000000003</c:v>
                </c:pt>
                <c:pt idx="4">
                  <c:v>22.65</c:v>
                </c:pt>
                <c:pt idx="5">
                  <c:v>31.85</c:v>
                </c:pt>
                <c:pt idx="6">
                  <c:v>46.55</c:v>
                </c:pt>
                <c:pt idx="7">
                  <c:v>65.099999999999994</c:v>
                </c:pt>
                <c:pt idx="8">
                  <c:v>73.650000000000006</c:v>
                </c:pt>
                <c:pt idx="9">
                  <c:v>84.25</c:v>
                </c:pt>
                <c:pt idx="10">
                  <c:v>93.1</c:v>
                </c:pt>
                <c:pt idx="11">
                  <c:v>97.8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4.4950000000000001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8-42AF-95CF-A2EE9CA9600F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'220724'!$E$50:$W$50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'220724'!$E$58:$W$58</c:f>
              <c:numCache>
                <c:formatCode>0.0</c:formatCode>
                <c:ptCount val="19"/>
                <c:pt idx="0">
                  <c:v>8.4</c:v>
                </c:pt>
                <c:pt idx="1">
                  <c:v>#N/A</c:v>
                </c:pt>
                <c:pt idx="2">
                  <c:v>14</c:v>
                </c:pt>
                <c:pt idx="3">
                  <c:v>18</c:v>
                </c:pt>
                <c:pt idx="4">
                  <c:v>23</c:v>
                </c:pt>
                <c:pt idx="5">
                  <c:v>32</c:v>
                </c:pt>
                <c:pt idx="6">
                  <c:v>46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>
                  <c:v>91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08-42AF-95CF-A2EE9CA9600F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808-42AF-95CF-A2EE9CA9600F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'220724'!$E$50:$W$50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'220724'!$E$60:$W$60</c:f>
              <c:numCache>
                <c:formatCode>0.0</c:formatCode>
                <c:ptCount val="19"/>
                <c:pt idx="0">
                  <c:v>6.4</c:v>
                </c:pt>
                <c:pt idx="5">
                  <c:v>26</c:v>
                </c:pt>
                <c:pt idx="7">
                  <c:v>54</c:v>
                </c:pt>
                <c:pt idx="18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08-42AF-95CF-A2EE9CA9600F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'220724'!$E$50:$W$50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'220724'!$E$59:$W$59</c:f>
              <c:numCache>
                <c:formatCode>0.0</c:formatCode>
                <c:ptCount val="19"/>
                <c:pt idx="0">
                  <c:v>10.4</c:v>
                </c:pt>
                <c:pt idx="5">
                  <c:v>38</c:v>
                </c:pt>
                <c:pt idx="7">
                  <c:v>68</c:v>
                </c:pt>
                <c:pt idx="18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08-42AF-95CF-A2EE9CA9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'170724'!$E$50:$Q$50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'170724'!$E$57:$W$57</c:f>
              <c:numCache>
                <c:formatCode>0.0</c:formatCode>
                <c:ptCount val="19"/>
                <c:pt idx="0">
                  <c:v>8.6499999999999986</c:v>
                </c:pt>
                <c:pt idx="1">
                  <c:v>10.95</c:v>
                </c:pt>
                <c:pt idx="2">
                  <c:v>13.85</c:v>
                </c:pt>
                <c:pt idx="3">
                  <c:v>17.5</c:v>
                </c:pt>
                <c:pt idx="4">
                  <c:v>22.65</c:v>
                </c:pt>
                <c:pt idx="5">
                  <c:v>31.4</c:v>
                </c:pt>
                <c:pt idx="6">
                  <c:v>44.8</c:v>
                </c:pt>
                <c:pt idx="7">
                  <c:v>62.55</c:v>
                </c:pt>
                <c:pt idx="8">
                  <c:v>72.849999999999994</c:v>
                </c:pt>
                <c:pt idx="9">
                  <c:v>82.5</c:v>
                </c:pt>
                <c:pt idx="10">
                  <c:v>92.55</c:v>
                </c:pt>
                <c:pt idx="11">
                  <c:v>97.5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4.5449999999999999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0A-40A4-B464-CFD8D6D0CCFD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'170724'!$E$50:$W$50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'170724'!$E$58:$W$58</c:f>
              <c:numCache>
                <c:formatCode>0.0</c:formatCode>
                <c:ptCount val="19"/>
                <c:pt idx="0">
                  <c:v>8.4</c:v>
                </c:pt>
                <c:pt idx="1">
                  <c:v>#N/A</c:v>
                </c:pt>
                <c:pt idx="2">
                  <c:v>14</c:v>
                </c:pt>
                <c:pt idx="3">
                  <c:v>18</c:v>
                </c:pt>
                <c:pt idx="4">
                  <c:v>23</c:v>
                </c:pt>
                <c:pt idx="5">
                  <c:v>32</c:v>
                </c:pt>
                <c:pt idx="6">
                  <c:v>46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>
                  <c:v>91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0A-40A4-B464-CFD8D6D0CCFD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0B0A-40A4-B464-CFD8D6D0CCFD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'170724'!$E$60:$W$60</c:f>
              <c:numCache>
                <c:formatCode>0.0</c:formatCode>
                <c:ptCount val="19"/>
                <c:pt idx="0">
                  <c:v>6.4</c:v>
                </c:pt>
                <c:pt idx="5">
                  <c:v>26</c:v>
                </c:pt>
                <c:pt idx="7">
                  <c:v>54</c:v>
                </c:pt>
                <c:pt idx="18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B0A-40A4-B464-CFD8D6D0CCFD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'170724'!$E$50:$W$50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'170724'!$E$59:$W$59</c:f>
              <c:numCache>
                <c:formatCode>0.0</c:formatCode>
                <c:ptCount val="19"/>
                <c:pt idx="0">
                  <c:v>10.4</c:v>
                </c:pt>
                <c:pt idx="5">
                  <c:v>38</c:v>
                </c:pt>
                <c:pt idx="7">
                  <c:v>68</c:v>
                </c:pt>
                <c:pt idx="18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B0A-40A4-B464-CFD8D6D0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'150724'!$E$50:$Q$50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'150724'!$E$57:$W$57</c:f>
              <c:numCache>
                <c:formatCode>0.0</c:formatCode>
                <c:ptCount val="19"/>
                <c:pt idx="0">
                  <c:v>8.5</c:v>
                </c:pt>
                <c:pt idx="1">
                  <c:v>10.75</c:v>
                </c:pt>
                <c:pt idx="2">
                  <c:v>13.649999999999999</c:v>
                </c:pt>
                <c:pt idx="3">
                  <c:v>17.200000000000003</c:v>
                </c:pt>
                <c:pt idx="4">
                  <c:v>22.35</c:v>
                </c:pt>
                <c:pt idx="5">
                  <c:v>31.4</c:v>
                </c:pt>
                <c:pt idx="6">
                  <c:v>45.4</c:v>
                </c:pt>
                <c:pt idx="7">
                  <c:v>63.2</c:v>
                </c:pt>
                <c:pt idx="8">
                  <c:v>72.900000000000006</c:v>
                </c:pt>
                <c:pt idx="9">
                  <c:v>82.550000000000011</c:v>
                </c:pt>
                <c:pt idx="10">
                  <c:v>92.15</c:v>
                </c:pt>
                <c:pt idx="11">
                  <c:v>96.6</c:v>
                </c:pt>
                <c:pt idx="12" formatCode="0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175.5</c:v>
                </c:pt>
                <c:pt idx="18" formatCode="0.00">
                  <c:v>4.665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'150724'!$E$58:$W$58</c:f>
              <c:numCache>
                <c:formatCode>0.0</c:formatCode>
                <c:ptCount val="19"/>
                <c:pt idx="0">
                  <c:v>8.4</c:v>
                </c:pt>
                <c:pt idx="1">
                  <c:v>#N/A</c:v>
                </c:pt>
                <c:pt idx="2">
                  <c:v>14</c:v>
                </c:pt>
                <c:pt idx="3">
                  <c:v>18</c:v>
                </c:pt>
                <c:pt idx="4">
                  <c:v>23</c:v>
                </c:pt>
                <c:pt idx="5">
                  <c:v>32</c:v>
                </c:pt>
                <c:pt idx="6">
                  <c:v>46</c:v>
                </c:pt>
                <c:pt idx="7">
                  <c:v>61</c:v>
                </c:pt>
                <c:pt idx="8">
                  <c:v>70</c:v>
                </c:pt>
                <c:pt idx="9">
                  <c:v>79</c:v>
                </c:pt>
                <c:pt idx="10">
                  <c:v>91</c:v>
                </c:pt>
                <c:pt idx="11">
                  <c:v>97</c:v>
                </c:pt>
                <c:pt idx="12" formatCode="0">
                  <c:v>100</c:v>
                </c:pt>
                <c:pt idx="18" formatCode="0.00">
                  <c:v>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'150724'!$E$60:$W$60</c:f>
              <c:numCache>
                <c:formatCode>0.0</c:formatCode>
                <c:ptCount val="19"/>
                <c:pt idx="0">
                  <c:v>6.4</c:v>
                </c:pt>
                <c:pt idx="5">
                  <c:v>26</c:v>
                </c:pt>
                <c:pt idx="7">
                  <c:v>54</c:v>
                </c:pt>
                <c:pt idx="18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'150724'!$E$50:$W$50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'150724'!$E$59:$W$59</c:f>
              <c:numCache>
                <c:formatCode>0.0</c:formatCode>
                <c:ptCount val="19"/>
                <c:pt idx="0">
                  <c:v>10.4</c:v>
                </c:pt>
                <c:pt idx="5">
                  <c:v>38</c:v>
                </c:pt>
                <c:pt idx="7">
                  <c:v>68</c:v>
                </c:pt>
                <c:pt idx="18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9525</xdr:rowOff>
    </xdr:from>
    <xdr:to>
      <xdr:col>25</xdr:col>
      <xdr:colOff>167640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15DE21D-48CB-4B87-BB57-009641793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19D3396-3275-48EF-855F-4797D7E94B2B}"/>
            </a:ext>
          </a:extLst>
        </xdr:cNvPr>
        <xdr:cNvSpPr>
          <a:spLocks noChangeShapeType="1"/>
        </xdr:cNvSpPr>
      </xdr:nvSpPr>
      <xdr:spPr bwMode="auto">
        <a:xfrm>
          <a:off x="8561070" y="12049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47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4FA4D3F3-D654-4FD3-B6D0-428BE0C45ABE}"/>
            </a:ext>
          </a:extLst>
        </xdr:cNvPr>
        <xdr:cNvSpPr txBox="1">
          <a:spLocks noChangeArrowheads="1"/>
        </xdr:cNvSpPr>
      </xdr:nvSpPr>
      <xdr:spPr bwMode="auto">
        <a:xfrm>
          <a:off x="8789670" y="7599045"/>
          <a:ext cx="3236595" cy="11601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48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61B7192-BD37-40BE-99D4-94F90015B966}"/>
            </a:ext>
          </a:extLst>
        </xdr:cNvPr>
        <xdr:cNvSpPr>
          <a:spLocks noChangeShapeType="1"/>
        </xdr:cNvSpPr>
      </xdr:nvSpPr>
      <xdr:spPr bwMode="auto">
        <a:xfrm>
          <a:off x="12037695" y="7722871"/>
          <a:ext cx="354330" cy="10325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26AD84DA-68E5-4AD3-9EBA-6A182283666A}"/>
            </a:ext>
          </a:extLst>
        </xdr:cNvPr>
        <xdr:cNvSpPr>
          <a:spLocks noChangeShapeType="1"/>
        </xdr:cNvSpPr>
      </xdr:nvSpPr>
      <xdr:spPr bwMode="auto">
        <a:xfrm flipH="1">
          <a:off x="9088755" y="87706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07FF2FC-D21D-453E-92D3-6F1927A1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3803ED78-4222-4BD4-81BF-B9D3AA80C274}"/>
            </a:ext>
          </a:extLst>
        </xdr:cNvPr>
        <xdr:cNvSpPr txBox="1">
          <a:spLocks noChangeArrowheads="1"/>
        </xdr:cNvSpPr>
      </xdr:nvSpPr>
      <xdr:spPr bwMode="auto">
        <a:xfrm>
          <a:off x="11344275" y="122015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AC8E27A-C11C-4337-A8E5-25BE4CD9920A}"/>
            </a:ext>
          </a:extLst>
        </xdr:cNvPr>
        <xdr:cNvSpPr>
          <a:spLocks noChangeShapeType="1"/>
        </xdr:cNvSpPr>
      </xdr:nvSpPr>
      <xdr:spPr bwMode="auto">
        <a:xfrm flipH="1">
          <a:off x="20770215" y="209321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1235D21-6F75-4BEB-AB57-D500E1BFFF1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7195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8D2C7867-21F2-4367-A6E4-12CA3CE97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75</xdr:row>
      <xdr:rowOff>57150</xdr:rowOff>
    </xdr:from>
    <xdr:to>
      <xdr:col>25</xdr:col>
      <xdr:colOff>134396</xdr:colOff>
      <xdr:row>78</xdr:row>
      <xdr:rowOff>131445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FE43D1C6-EC0C-4B5F-B607-BB011AED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3169265"/>
          <a:ext cx="1744121" cy="689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9525</xdr:rowOff>
    </xdr:from>
    <xdr:to>
      <xdr:col>25</xdr:col>
      <xdr:colOff>167640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87DAA7-B021-4889-9134-3C16416B6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00836CAC-3A1A-4796-8DC0-EEA417E4A9C9}"/>
            </a:ext>
          </a:extLst>
        </xdr:cNvPr>
        <xdr:cNvSpPr>
          <a:spLocks noChangeShapeType="1"/>
        </xdr:cNvSpPr>
      </xdr:nvSpPr>
      <xdr:spPr bwMode="auto">
        <a:xfrm>
          <a:off x="8561070" y="12049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47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D9D4A660-E609-42E0-8B0D-2197E347F7C1}"/>
            </a:ext>
          </a:extLst>
        </xdr:cNvPr>
        <xdr:cNvSpPr txBox="1">
          <a:spLocks noChangeArrowheads="1"/>
        </xdr:cNvSpPr>
      </xdr:nvSpPr>
      <xdr:spPr bwMode="auto">
        <a:xfrm>
          <a:off x="8789670" y="7599045"/>
          <a:ext cx="3236595" cy="11601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48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8A998017-7F91-4312-9102-A0470D52490A}"/>
            </a:ext>
          </a:extLst>
        </xdr:cNvPr>
        <xdr:cNvSpPr>
          <a:spLocks noChangeShapeType="1"/>
        </xdr:cNvSpPr>
      </xdr:nvSpPr>
      <xdr:spPr bwMode="auto">
        <a:xfrm>
          <a:off x="12037695" y="7722871"/>
          <a:ext cx="354330" cy="10325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47A7843E-62A3-416A-B46C-81667545A8B3}"/>
            </a:ext>
          </a:extLst>
        </xdr:cNvPr>
        <xdr:cNvSpPr>
          <a:spLocks noChangeShapeType="1"/>
        </xdr:cNvSpPr>
      </xdr:nvSpPr>
      <xdr:spPr bwMode="auto">
        <a:xfrm flipH="1">
          <a:off x="9088755" y="87706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C7E66F5-F6AA-4512-9AD5-6C80FF186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A8F149DC-AE26-498F-86D8-EB102E3A769C}"/>
            </a:ext>
          </a:extLst>
        </xdr:cNvPr>
        <xdr:cNvSpPr txBox="1">
          <a:spLocks noChangeArrowheads="1"/>
        </xdr:cNvSpPr>
      </xdr:nvSpPr>
      <xdr:spPr bwMode="auto">
        <a:xfrm>
          <a:off x="11344275" y="122015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32DBF84-FAC8-486B-9172-23207EB82ED6}"/>
            </a:ext>
          </a:extLst>
        </xdr:cNvPr>
        <xdr:cNvSpPr>
          <a:spLocks noChangeShapeType="1"/>
        </xdr:cNvSpPr>
      </xdr:nvSpPr>
      <xdr:spPr bwMode="auto">
        <a:xfrm flipH="1">
          <a:off x="20770215" y="209321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C4F04275-C5F3-41EF-9DB1-ACBDC62B8FD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7195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1CFEA2AC-D0A5-4C2C-AFEF-03FADE42A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75</xdr:row>
      <xdr:rowOff>57150</xdr:rowOff>
    </xdr:from>
    <xdr:to>
      <xdr:col>25</xdr:col>
      <xdr:colOff>130586</xdr:colOff>
      <xdr:row>78</xdr:row>
      <xdr:rowOff>140970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AAFE8187-E4F4-4BBF-2179-EFC52E37C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13173075"/>
          <a:ext cx="1740311" cy="6877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9525</xdr:rowOff>
    </xdr:from>
    <xdr:to>
      <xdr:col>25</xdr:col>
      <xdr:colOff>167640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787D4B-B5EF-4D51-BE6C-5F60F9BBC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74F4D66-6E5E-4498-9D3A-5AF675839C52}"/>
            </a:ext>
          </a:extLst>
        </xdr:cNvPr>
        <xdr:cNvSpPr>
          <a:spLocks noChangeShapeType="1"/>
        </xdr:cNvSpPr>
      </xdr:nvSpPr>
      <xdr:spPr bwMode="auto">
        <a:xfrm>
          <a:off x="8561070" y="120491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47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4594FFF-04CB-488E-8FAC-F56EAEE02F62}"/>
            </a:ext>
          </a:extLst>
        </xdr:cNvPr>
        <xdr:cNvSpPr txBox="1">
          <a:spLocks noChangeArrowheads="1"/>
        </xdr:cNvSpPr>
      </xdr:nvSpPr>
      <xdr:spPr bwMode="auto">
        <a:xfrm>
          <a:off x="8789670" y="7599045"/>
          <a:ext cx="3236595" cy="11601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48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6F4BD3C-F795-45BD-8B4A-D6BEEA598445}"/>
            </a:ext>
          </a:extLst>
        </xdr:cNvPr>
        <xdr:cNvSpPr>
          <a:spLocks noChangeShapeType="1"/>
        </xdr:cNvSpPr>
      </xdr:nvSpPr>
      <xdr:spPr bwMode="auto">
        <a:xfrm>
          <a:off x="12037695" y="7722871"/>
          <a:ext cx="354330" cy="10325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5AECFA44-7433-4C74-BE9D-F966A498BA3D}"/>
            </a:ext>
          </a:extLst>
        </xdr:cNvPr>
        <xdr:cNvSpPr>
          <a:spLocks noChangeShapeType="1"/>
        </xdr:cNvSpPr>
      </xdr:nvSpPr>
      <xdr:spPr bwMode="auto">
        <a:xfrm flipH="1">
          <a:off x="9088755" y="87706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D263807-F5A7-4E42-B70E-ADB2CF4A6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623883E1-801F-4107-A90A-6C0FCB41B1B9}"/>
            </a:ext>
          </a:extLst>
        </xdr:cNvPr>
        <xdr:cNvSpPr txBox="1">
          <a:spLocks noChangeArrowheads="1"/>
        </xdr:cNvSpPr>
      </xdr:nvSpPr>
      <xdr:spPr bwMode="auto">
        <a:xfrm>
          <a:off x="11344275" y="122015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45BDE34-82CB-4127-AFAB-FBA9958A371E}"/>
            </a:ext>
          </a:extLst>
        </xdr:cNvPr>
        <xdr:cNvSpPr>
          <a:spLocks noChangeShapeType="1"/>
        </xdr:cNvSpPr>
      </xdr:nvSpPr>
      <xdr:spPr bwMode="auto">
        <a:xfrm flipH="1">
          <a:off x="20770215" y="209321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D23FF713-EB96-4CF9-A0D3-2D565F30098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17195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594A14D8-9938-4FE8-BABE-06CDBA4D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9525</xdr:rowOff>
    </xdr:from>
    <xdr:to>
      <xdr:col>25</xdr:col>
      <xdr:colOff>167640</xdr:colOff>
      <xdr:row>55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DBD8C75-A886-4A76-9DC9-E8E778E10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71</xdr:row>
      <xdr:rowOff>0</xdr:rowOff>
    </xdr:from>
    <xdr:to>
      <xdr:col>24</xdr:col>
      <xdr:colOff>104775</xdr:colOff>
      <xdr:row>71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8C3BAAF-97FE-430B-B671-28CE32E3F0AC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47</xdr:row>
      <xdr:rowOff>66675</xdr:rowOff>
    </xdr:from>
    <xdr:to>
      <xdr:col>30</xdr:col>
      <xdr:colOff>171450</xdr:colOff>
      <xdr:row>54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0DADE27-3059-4B1E-BE08-DA5907771EAD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48</xdr:row>
      <xdr:rowOff>28576</xdr:rowOff>
    </xdr:from>
    <xdr:to>
      <xdr:col>30</xdr:col>
      <xdr:colOff>533400</xdr:colOff>
      <xdr:row>54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55ED0E3-7F45-42EB-BAEA-DE043438FDC0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54</xdr:row>
      <xdr:rowOff>104775</xdr:rowOff>
    </xdr:from>
    <xdr:to>
      <xdr:col>25</xdr:col>
      <xdr:colOff>295275</xdr:colOff>
      <xdr:row>56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3081B692-A938-4F4C-9F9F-A3656286294F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3EA39298-A8D1-46DA-9DCA-8ED27BE30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71</xdr:row>
      <xdr:rowOff>152400</xdr:rowOff>
    </xdr:from>
    <xdr:to>
      <xdr:col>32</xdr:col>
      <xdr:colOff>400050</xdr:colOff>
      <xdr:row>72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1001F8E-300C-470D-BE7F-9C667D0029F9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122</xdr:row>
      <xdr:rowOff>57150</xdr:rowOff>
    </xdr:from>
    <xdr:to>
      <xdr:col>41</xdr:col>
      <xdr:colOff>323850</xdr:colOff>
      <xdr:row>123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1EA75F1A-74D3-4FD4-A617-3B366F3B18B0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68</xdr:row>
      <xdr:rowOff>19049</xdr:rowOff>
    </xdr:from>
    <xdr:to>
      <xdr:col>29</xdr:col>
      <xdr:colOff>257175</xdr:colOff>
      <xdr:row>71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98C4DB37-588A-40E2-BDAA-D9039EB41E8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32A659A-805C-418D-B6CB-7D5321C0B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B3F8AFE-85E5-4641-BF81-07C0EEDF17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74B34090-696D-4CE7-8572-302089E1ACFC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8683DDAD-3A20-4B86-A303-22FBDAF19B5A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536ADF6-2538-4703-B9B3-8B6B877F3947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7BAE7084-D3A8-4E0F-9F86-AB0B417882B1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BDD6A32-98DB-4CB4-9959-A3411A831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02BC3A9-4DF9-4B4F-91A2-6B45DF938992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C3DBE64-B3BB-4056-82E2-738BE748D280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07933059-575D-4B12-B3BD-45E767FFE8E8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233A1DCE-3089-4347-8E17-1EA0012CB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BC287C8-F2CE-4D00-A01F-198C120DD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C498146-E66F-4856-830A-DAF814B68F57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DD545C4-C3B3-45F1-836D-F74F65EEEB2E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90087246-60EE-4BAD-8B19-C810AF89740A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FEE7F760-FCFC-4BFF-911B-41CF8979A443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5144479B-786D-4BE6-9DB5-D802869D2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94CF794-DA2F-436F-9533-3654C03C0752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D3E96BB1-4BB9-4ED9-8F66-D23DD6B6D513}"/>
            </a:ext>
          </a:extLst>
        </xdr:cNvPr>
        <xdr:cNvSpPr>
          <a:spLocks noChangeShapeType="1"/>
        </xdr:cNvSpPr>
      </xdr:nvSpPr>
      <xdr:spPr bwMode="auto">
        <a:xfrm flipH="1">
          <a:off x="20770215" y="19712940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77AE588A-2AF1-46A4-9BC3-99BCEC5264E5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314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9E647768-127F-4934-B8C4-515A95011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7A19-AE79-4C77-B303-A46D5FDD3D80}">
  <sheetPr>
    <pageSetUpPr fitToPage="1"/>
  </sheetPr>
  <dimension ref="A1:AN79"/>
  <sheetViews>
    <sheetView tabSelected="1" topLeftCell="A49" zoomScaleNormal="100" workbookViewId="0">
      <selection activeCell="AH52" sqref="AH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279" t="s">
        <v>82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2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282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282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7</v>
      </c>
      <c r="K5" s="292"/>
      <c r="L5" s="293" t="s">
        <v>53</v>
      </c>
      <c r="M5" s="252"/>
      <c r="N5" s="252"/>
      <c r="O5" s="292"/>
      <c r="P5" s="294">
        <v>45506</v>
      </c>
      <c r="Q5" s="295"/>
      <c r="R5" s="295"/>
      <c r="S5" s="295"/>
      <c r="T5" s="296"/>
      <c r="U5" s="282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285"/>
      <c r="V6" s="286"/>
      <c r="W6" s="286"/>
      <c r="X6" s="286"/>
      <c r="Y6" s="286"/>
      <c r="Z6" s="287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71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45506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318" t="s">
        <v>87</v>
      </c>
      <c r="T11" s="318"/>
      <c r="U11" s="318"/>
      <c r="V11" s="318"/>
      <c r="W11" s="318"/>
      <c r="X11" s="318"/>
      <c r="Y11" s="318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45505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88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72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75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86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26" ht="12.75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254" t="s">
        <v>16</v>
      </c>
      <c r="AE56" s="256">
        <v>2.6619999999999999</v>
      </c>
      <c r="AF56" s="226"/>
      <c r="AG56" s="232"/>
      <c r="AH56" s="39"/>
    </row>
    <row r="57" spans="1:34" ht="12.75" customHeight="1" thickBot="1" x14ac:dyDescent="0.3">
      <c r="A57" s="18"/>
      <c r="Z57" s="87"/>
      <c r="AD57" s="255"/>
      <c r="AE57" s="257"/>
      <c r="AF57" s="231"/>
      <c r="AG57" s="232"/>
    </row>
    <row r="58" spans="1:34" ht="18.75" customHeight="1" thickBot="1" x14ac:dyDescent="0.3">
      <c r="A58" s="18"/>
      <c r="E58" s="233" t="s">
        <v>11</v>
      </c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5" t="s">
        <v>47</v>
      </c>
      <c r="V58" s="236"/>
      <c r="W58" s="237" t="s">
        <v>12</v>
      </c>
      <c r="X58" s="236"/>
      <c r="Y58" s="238" t="s">
        <v>13</v>
      </c>
      <c r="Z58" s="239"/>
      <c r="AA58" s="82"/>
      <c r="AB58" s="242" t="s">
        <v>45</v>
      </c>
      <c r="AC58" s="243"/>
      <c r="AD58" s="246" t="s">
        <v>14</v>
      </c>
      <c r="AE58" s="248" t="s">
        <v>15</v>
      </c>
      <c r="AF58" s="226"/>
      <c r="AG58" s="226"/>
      <c r="AH58" s="40"/>
    </row>
    <row r="59" spans="1:34" ht="24.9" customHeight="1" thickBot="1" x14ac:dyDescent="0.3">
      <c r="A59" s="5"/>
      <c r="B59" s="41" t="s">
        <v>22</v>
      </c>
      <c r="C59" s="227" t="s">
        <v>10</v>
      </c>
      <c r="D59" s="22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77"/>
      <c r="V59" s="179"/>
      <c r="W59" s="178"/>
      <c r="X59" s="179"/>
      <c r="Y59" s="240"/>
      <c r="Z59" s="241"/>
      <c r="AA59" s="82"/>
      <c r="AB59" s="244"/>
      <c r="AC59" s="245"/>
      <c r="AD59" s="247"/>
      <c r="AE59" s="249"/>
      <c r="AF59" s="250"/>
      <c r="AG59" s="226"/>
    </row>
    <row r="60" spans="1:34" ht="24.9" customHeight="1" x14ac:dyDescent="0.25">
      <c r="A60" s="5"/>
      <c r="B60" s="43">
        <v>1</v>
      </c>
      <c r="C60" s="215" t="s">
        <v>89</v>
      </c>
      <c r="D60" s="216"/>
      <c r="E60" s="129">
        <v>7.1</v>
      </c>
      <c r="F60" s="130">
        <v>9</v>
      </c>
      <c r="G60" s="131">
        <v>11.9</v>
      </c>
      <c r="H60" s="131">
        <v>15.5</v>
      </c>
      <c r="I60" s="131">
        <v>20.7</v>
      </c>
      <c r="J60" s="131">
        <v>29.6</v>
      </c>
      <c r="K60" s="131">
        <v>43</v>
      </c>
      <c r="L60" s="131">
        <v>59.2</v>
      </c>
      <c r="M60" s="131">
        <v>78.599999999999994</v>
      </c>
      <c r="N60" s="131">
        <v>94.7</v>
      </c>
      <c r="O60" s="131">
        <v>100</v>
      </c>
      <c r="P60" s="131"/>
      <c r="Q60" s="131"/>
      <c r="R60" s="131"/>
      <c r="S60" s="132"/>
      <c r="T60" s="132"/>
      <c r="U60" s="217">
        <v>176</v>
      </c>
      <c r="V60" s="218"/>
      <c r="W60" s="219">
        <v>5.24</v>
      </c>
      <c r="X60" s="220"/>
      <c r="Y60" s="229">
        <f>IF(W60&lt;&gt;0,AE60,"")</f>
        <v>3.2957256418403582</v>
      </c>
      <c r="Z60" s="230"/>
      <c r="AA60" s="80"/>
      <c r="AB60" s="194">
        <f>(100*W60)/(100-W60)</f>
        <v>5.5297593921485859</v>
      </c>
      <c r="AC60" s="195"/>
      <c r="AD60" s="67">
        <f>(0.25*(100-O60)+2.3*(O60-H60)+12*(H60-E60)+150*(E60))/100</f>
        <v>13.601500000000001</v>
      </c>
      <c r="AE60" s="68">
        <f>(AB60*$AE$56)/(2.65*(AD60)^(1/5))</f>
        <v>3.2957256418403582</v>
      </c>
      <c r="AF60" s="29"/>
      <c r="AG60" s="66"/>
    </row>
    <row r="61" spans="1:34" ht="24.9" customHeight="1" x14ac:dyDescent="0.25">
      <c r="A61" s="5"/>
      <c r="B61" s="44">
        <v>2</v>
      </c>
      <c r="C61" s="215" t="s">
        <v>85</v>
      </c>
      <c r="D61" s="216"/>
      <c r="E61" s="129">
        <v>6.7</v>
      </c>
      <c r="F61" s="130">
        <v>8.6</v>
      </c>
      <c r="G61" s="131">
        <v>11.4</v>
      </c>
      <c r="H61" s="131">
        <v>14.9</v>
      </c>
      <c r="I61" s="131">
        <v>20.100000000000001</v>
      </c>
      <c r="J61" s="131">
        <v>28.4</v>
      </c>
      <c r="K61" s="131">
        <v>44.1</v>
      </c>
      <c r="L61" s="131">
        <v>59.9</v>
      </c>
      <c r="M61" s="131">
        <v>77.400000000000006</v>
      </c>
      <c r="N61" s="131">
        <v>94.3</v>
      </c>
      <c r="O61" s="131">
        <v>100</v>
      </c>
      <c r="P61" s="131"/>
      <c r="Q61" s="131"/>
      <c r="R61" s="131"/>
      <c r="S61" s="132"/>
      <c r="T61" s="132"/>
      <c r="U61" s="217">
        <v>168</v>
      </c>
      <c r="V61" s="218"/>
      <c r="W61" s="219">
        <v>5.16</v>
      </c>
      <c r="X61" s="220"/>
      <c r="Y61" s="221">
        <f>IF(W61&lt;&gt;0,AE61,"")</f>
        <v>3.2725765280642887</v>
      </c>
      <c r="Z61" s="222"/>
      <c r="AA61" s="80"/>
      <c r="AB61" s="194">
        <f>(100*W61)/(100-W61)</f>
        <v>5.4407423028258117</v>
      </c>
      <c r="AC61" s="195"/>
      <c r="AD61" s="67">
        <f t="shared" ref="AD61:AD67" si="0">(0.25*(100-O61)+2.3*(O61-H61)+12*(H61-E61)+150*(E61))/100</f>
        <v>12.991299999999999</v>
      </c>
      <c r="AE61" s="68">
        <f t="shared" ref="AE61:AE67" si="1">(AB61*$AE$56)/(2.65*(AD61)^(1/5))</f>
        <v>3.2725765280642887</v>
      </c>
      <c r="AF61" s="29"/>
      <c r="AG61" s="66"/>
    </row>
    <row r="62" spans="1:34" ht="24.9" customHeight="1" x14ac:dyDescent="0.25">
      <c r="A62" s="5"/>
      <c r="B62" s="44">
        <v>3</v>
      </c>
      <c r="C62" s="171"/>
      <c r="D62" s="223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15"/>
      <c r="R62" s="92"/>
      <c r="S62" s="92"/>
      <c r="T62" s="93"/>
      <c r="U62" s="168"/>
      <c r="V62" s="169"/>
      <c r="W62" s="224"/>
      <c r="X62" s="225"/>
      <c r="Y62" s="221" t="str">
        <f t="shared" ref="Y62:Y63" si="2">IF(W62&lt;&gt;0,AE62,"")</f>
        <v/>
      </c>
      <c r="Z62" s="222"/>
      <c r="AA62" s="80"/>
      <c r="AB62" s="194">
        <f>(100*W62)/(100-W62)</f>
        <v>0</v>
      </c>
      <c r="AC62" s="195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183"/>
      <c r="D63" s="205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16"/>
      <c r="R63" s="96"/>
      <c r="S63" s="96"/>
      <c r="T63" s="97"/>
      <c r="U63" s="206"/>
      <c r="V63" s="207"/>
      <c r="W63" s="208"/>
      <c r="X63" s="209"/>
      <c r="Y63" s="210" t="str">
        <f t="shared" si="2"/>
        <v/>
      </c>
      <c r="Z63" s="211"/>
      <c r="AA63" s="80"/>
      <c r="AB63" s="194">
        <f>(100*W63)/(100-W63)</f>
        <v>0</v>
      </c>
      <c r="AC63" s="195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17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12" t="s">
        <v>8</v>
      </c>
      <c r="C65" s="213"/>
      <c r="D65" s="214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18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185" t="s">
        <v>7</v>
      </c>
      <c r="C66" s="186"/>
      <c r="D66" s="187"/>
      <c r="E66" s="98">
        <f t="shared" ref="E66:T66" si="3">IF(E60&lt;&gt;0,AVERAGE(E60:E63),"")</f>
        <v>6.9</v>
      </c>
      <c r="F66" s="98">
        <f t="shared" si="3"/>
        <v>8.8000000000000007</v>
      </c>
      <c r="G66" s="98">
        <f t="shared" si="3"/>
        <v>11.65</v>
      </c>
      <c r="H66" s="98">
        <f t="shared" si="3"/>
        <v>15.2</v>
      </c>
      <c r="I66" s="98">
        <f t="shared" si="3"/>
        <v>20.399999999999999</v>
      </c>
      <c r="J66" s="98">
        <f t="shared" si="3"/>
        <v>29</v>
      </c>
      <c r="K66" s="98">
        <f t="shared" si="3"/>
        <v>43.55</v>
      </c>
      <c r="L66" s="98">
        <f t="shared" si="3"/>
        <v>59.55</v>
      </c>
      <c r="M66" s="98">
        <f t="shared" si="3"/>
        <v>78</v>
      </c>
      <c r="N66" s="98">
        <f t="shared" si="3"/>
        <v>94.5</v>
      </c>
      <c r="O66" s="98">
        <f t="shared" si="3"/>
        <v>100</v>
      </c>
      <c r="P66" s="98" t="str">
        <f t="shared" si="3"/>
        <v/>
      </c>
      <c r="Q66" s="119" t="str">
        <f t="shared" si="3"/>
        <v/>
      </c>
      <c r="R66" s="98" t="str">
        <f t="shared" si="3"/>
        <v/>
      </c>
      <c r="S66" s="98" t="str">
        <f t="shared" si="3"/>
        <v/>
      </c>
      <c r="T66" s="99" t="str">
        <f t="shared" si="3"/>
        <v/>
      </c>
      <c r="U66" s="188">
        <f>IF(U60&lt;&gt;0,AVERAGE(U60:V63),"")</f>
        <v>172</v>
      </c>
      <c r="V66" s="189"/>
      <c r="W66" s="190">
        <f>IF(W60&lt;&gt;0,AVERAGE(W60:X63),"")</f>
        <v>5.2</v>
      </c>
      <c r="X66" s="191"/>
      <c r="Y66" s="192">
        <f>IF(W60&lt;&gt;0,AVERAGE(Y60:Z63),"")</f>
        <v>3.2841510849523234</v>
      </c>
      <c r="Z66" s="193"/>
      <c r="AA66" s="66"/>
      <c r="AB66" s="194">
        <f>(100*W66)/(100-W66)</f>
        <v>5.485232067510549</v>
      </c>
      <c r="AC66" s="195"/>
      <c r="AD66" s="67">
        <f t="shared" si="0"/>
        <v>13.296399999999998</v>
      </c>
      <c r="AE66" s="68">
        <f t="shared" si="1"/>
        <v>3.2840546012881902</v>
      </c>
      <c r="AF66" s="29"/>
      <c r="AG66" s="66"/>
    </row>
    <row r="67" spans="1:33" ht="21" customHeight="1" x14ac:dyDescent="0.25">
      <c r="A67" s="5"/>
      <c r="B67" s="196" t="s">
        <v>9</v>
      </c>
      <c r="C67" s="197"/>
      <c r="D67" s="198"/>
      <c r="E67" s="100">
        <v>6.9</v>
      </c>
      <c r="F67" s="114" t="e">
        <v>#N/A</v>
      </c>
      <c r="G67" s="100">
        <v>12</v>
      </c>
      <c r="H67" s="100">
        <v>16</v>
      </c>
      <c r="I67" s="100">
        <v>22</v>
      </c>
      <c r="J67" s="100">
        <v>32</v>
      </c>
      <c r="K67" s="100">
        <v>46</v>
      </c>
      <c r="L67" s="100">
        <v>65</v>
      </c>
      <c r="M67" s="100">
        <v>82</v>
      </c>
      <c r="N67" s="100">
        <v>96</v>
      </c>
      <c r="O67" s="100">
        <v>100</v>
      </c>
      <c r="P67" s="100"/>
      <c r="Q67" s="120"/>
      <c r="R67" s="100"/>
      <c r="S67" s="100"/>
      <c r="T67" s="101"/>
      <c r="U67" s="199"/>
      <c r="V67" s="200"/>
      <c r="W67" s="201">
        <v>5.4</v>
      </c>
      <c r="X67" s="202"/>
      <c r="Y67" s="203">
        <f>AE67</f>
        <v>3.4135992690024417</v>
      </c>
      <c r="Z67" s="204"/>
      <c r="AA67" s="66"/>
      <c r="AB67" s="194">
        <f>(100*W67)/(100-W67)</f>
        <v>5.7082452431289648</v>
      </c>
      <c r="AC67" s="195"/>
      <c r="AD67" s="67">
        <f t="shared" si="0"/>
        <v>13.374000000000001</v>
      </c>
      <c r="AE67" s="68">
        <f t="shared" si="1"/>
        <v>3.4135992690024417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38</v>
      </c>
      <c r="K68" s="92"/>
      <c r="L68" s="92">
        <f>L67+7</f>
        <v>72</v>
      </c>
      <c r="M68" s="92"/>
      <c r="N68" s="92"/>
      <c r="O68" s="92"/>
      <c r="P68" s="92"/>
      <c r="Q68" s="92"/>
      <c r="R68" s="92"/>
      <c r="S68" s="92"/>
      <c r="T68" s="93"/>
      <c r="U68" s="168"/>
      <c r="V68" s="169"/>
      <c r="W68" s="170">
        <f>W67+0.5</f>
        <v>5.9</v>
      </c>
      <c r="X68" s="169"/>
      <c r="Y68" s="171"/>
      <c r="Z68" s="172"/>
      <c r="AA68" s="83"/>
      <c r="AB68" s="71"/>
      <c r="AC68" s="69"/>
      <c r="AD68" s="173"/>
      <c r="AE68" s="175" t="s">
        <v>46</v>
      </c>
      <c r="AF68" s="29"/>
      <c r="AG68" s="66"/>
    </row>
    <row r="69" spans="1:33" ht="13.5" customHeight="1" thickBot="1" x14ac:dyDescent="0.3">
      <c r="A69" s="5"/>
      <c r="B69" s="177" t="s">
        <v>24</v>
      </c>
      <c r="C69" s="178"/>
      <c r="D69" s="179"/>
      <c r="E69" s="102">
        <f>E67-2</f>
        <v>4.9000000000000004</v>
      </c>
      <c r="F69" s="102"/>
      <c r="G69" s="103"/>
      <c r="H69" s="103"/>
      <c r="I69" s="103"/>
      <c r="J69" s="102">
        <f>J67-6</f>
        <v>26</v>
      </c>
      <c r="K69" s="103"/>
      <c r="L69" s="102">
        <f>L67-7</f>
        <v>58</v>
      </c>
      <c r="M69" s="102"/>
      <c r="N69" s="103"/>
      <c r="O69" s="103"/>
      <c r="P69" s="103"/>
      <c r="Q69" s="102"/>
      <c r="R69" s="103"/>
      <c r="S69" s="103"/>
      <c r="T69" s="104"/>
      <c r="U69" s="180"/>
      <c r="V69" s="181"/>
      <c r="W69" s="182">
        <f>W67-0.3</f>
        <v>5.1000000000000005</v>
      </c>
      <c r="X69" s="181"/>
      <c r="Y69" s="183"/>
      <c r="Z69" s="184"/>
      <c r="AA69" s="84"/>
      <c r="AB69" s="72"/>
      <c r="AC69" s="73"/>
      <c r="AD69" s="174"/>
      <c r="AE69" s="176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150"/>
      <c r="V72" s="150"/>
      <c r="W72" s="150"/>
      <c r="X72" s="150"/>
      <c r="Y72" s="150"/>
      <c r="Z72" s="151"/>
      <c r="AA72" s="81"/>
      <c r="AB72" s="58"/>
      <c r="AC72" s="58"/>
      <c r="AD72" s="59"/>
    </row>
    <row r="73" spans="1:33" ht="26.4" customHeight="1" x14ac:dyDescent="0.25">
      <c r="A73" s="152" t="s">
        <v>48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4"/>
      <c r="R73" s="143" t="s">
        <v>31</v>
      </c>
      <c r="S73" s="144"/>
      <c r="T73" s="145"/>
      <c r="U73" s="155" t="s">
        <v>71</v>
      </c>
      <c r="V73" s="156"/>
      <c r="W73" s="156"/>
      <c r="X73" s="157"/>
      <c r="Y73" s="157"/>
      <c r="Z73" s="158"/>
      <c r="AA73" s="76"/>
      <c r="AB73" s="60"/>
      <c r="AC73" s="60"/>
      <c r="AD73" s="59"/>
    </row>
    <row r="74" spans="1:33" ht="26.4" customHeight="1" x14ac:dyDescent="0.25">
      <c r="A74" s="159" t="s">
        <v>52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  <c r="R74" s="143" t="s">
        <v>51</v>
      </c>
      <c r="S74" s="144"/>
      <c r="T74" s="145"/>
      <c r="U74" s="162" t="s">
        <v>78</v>
      </c>
      <c r="V74" s="163"/>
      <c r="W74" s="163"/>
      <c r="X74" s="163"/>
      <c r="Y74" s="163"/>
      <c r="Z74" s="164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43"/>
      <c r="S75" s="144"/>
      <c r="T75" s="145"/>
      <c r="U75" s="165"/>
      <c r="V75" s="166"/>
      <c r="W75" s="166"/>
      <c r="X75" s="166"/>
      <c r="Y75" s="166"/>
      <c r="Z75" s="167"/>
      <c r="AA75" s="76"/>
      <c r="AB75" s="60"/>
      <c r="AC75" s="60"/>
      <c r="AD75" s="59"/>
    </row>
    <row r="76" spans="1:33" ht="15.6" customHeight="1" x14ac:dyDescent="0.25">
      <c r="A76" s="137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  <c r="R76" s="143" t="s">
        <v>25</v>
      </c>
      <c r="S76" s="144"/>
      <c r="T76" s="145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137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9"/>
      <c r="R77" s="143"/>
      <c r="S77" s="144"/>
      <c r="T77" s="145"/>
      <c r="U77" s="108"/>
      <c r="V77" s="149"/>
      <c r="W77" s="149"/>
      <c r="X77" s="149"/>
      <c r="Y77" s="149"/>
      <c r="Z77" s="109"/>
      <c r="AA77" s="77"/>
      <c r="AB77" s="65"/>
      <c r="AC77" s="65"/>
      <c r="AD77" s="59"/>
    </row>
    <row r="78" spans="1:33" ht="15.6" customHeight="1" x14ac:dyDescent="0.25">
      <c r="A78" s="137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9"/>
      <c r="R78" s="143"/>
      <c r="S78" s="144"/>
      <c r="T78" s="145"/>
      <c r="U78" s="108"/>
      <c r="V78" s="149"/>
      <c r="W78" s="149"/>
      <c r="X78" s="149"/>
      <c r="Y78" s="149"/>
      <c r="Z78" s="109"/>
      <c r="AA78" s="77"/>
      <c r="AB78" s="65"/>
      <c r="AC78" s="65"/>
      <c r="AD78" s="59"/>
    </row>
    <row r="79" spans="1:33" ht="15.6" customHeight="1" x14ac:dyDescent="0.25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2"/>
      <c r="R79" s="146"/>
      <c r="S79" s="147"/>
      <c r="T79" s="148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F92C-BDAD-43CA-8DC9-020FA592AC65}">
  <sheetPr>
    <pageSetUpPr fitToPage="1"/>
  </sheetPr>
  <dimension ref="A1:AN79"/>
  <sheetViews>
    <sheetView zoomScaleNormal="100" workbookViewId="0">
      <selection activeCell="AH19" sqref="AH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279" t="s">
        <v>82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2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282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282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6</v>
      </c>
      <c r="K5" s="292"/>
      <c r="L5" s="293" t="s">
        <v>53</v>
      </c>
      <c r="M5" s="252"/>
      <c r="N5" s="252"/>
      <c r="O5" s="292"/>
      <c r="P5" s="294">
        <v>45505</v>
      </c>
      <c r="Q5" s="295"/>
      <c r="R5" s="295"/>
      <c r="S5" s="295"/>
      <c r="T5" s="296"/>
      <c r="U5" s="282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285"/>
      <c r="V6" s="286"/>
      <c r="W6" s="286"/>
      <c r="X6" s="286"/>
      <c r="Y6" s="286"/>
      <c r="Z6" s="287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71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45505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83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45504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74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72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75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73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26" ht="12.75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254" t="s">
        <v>16</v>
      </c>
      <c r="AE56" s="256">
        <v>2.6709999999999998</v>
      </c>
      <c r="AF56" s="226"/>
      <c r="AG56" s="232"/>
      <c r="AH56" s="39"/>
    </row>
    <row r="57" spans="1:34" ht="12.75" customHeight="1" thickBot="1" x14ac:dyDescent="0.3">
      <c r="A57" s="18"/>
      <c r="Z57" s="87"/>
      <c r="AD57" s="255"/>
      <c r="AE57" s="257"/>
      <c r="AF57" s="231"/>
      <c r="AG57" s="232"/>
    </row>
    <row r="58" spans="1:34" ht="18.75" customHeight="1" thickBot="1" x14ac:dyDescent="0.3">
      <c r="A58" s="18"/>
      <c r="E58" s="233" t="s">
        <v>11</v>
      </c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5" t="s">
        <v>47</v>
      </c>
      <c r="V58" s="236"/>
      <c r="W58" s="237" t="s">
        <v>12</v>
      </c>
      <c r="X58" s="236"/>
      <c r="Y58" s="238" t="s">
        <v>13</v>
      </c>
      <c r="Z58" s="239"/>
      <c r="AA58" s="82"/>
      <c r="AB58" s="242" t="s">
        <v>45</v>
      </c>
      <c r="AC58" s="243"/>
      <c r="AD58" s="246" t="s">
        <v>14</v>
      </c>
      <c r="AE58" s="248" t="s">
        <v>15</v>
      </c>
      <c r="AF58" s="226"/>
      <c r="AG58" s="226"/>
      <c r="AH58" s="40"/>
    </row>
    <row r="59" spans="1:34" ht="24.9" customHeight="1" thickBot="1" x14ac:dyDescent="0.3">
      <c r="A59" s="5"/>
      <c r="B59" s="41" t="s">
        <v>22</v>
      </c>
      <c r="C59" s="227" t="s">
        <v>10</v>
      </c>
      <c r="D59" s="22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77"/>
      <c r="V59" s="179"/>
      <c r="W59" s="178"/>
      <c r="X59" s="179"/>
      <c r="Y59" s="240"/>
      <c r="Z59" s="241"/>
      <c r="AA59" s="82"/>
      <c r="AB59" s="244"/>
      <c r="AC59" s="245"/>
      <c r="AD59" s="247"/>
      <c r="AE59" s="249"/>
      <c r="AF59" s="250"/>
      <c r="AG59" s="226"/>
    </row>
    <row r="60" spans="1:34" ht="24.9" customHeight="1" x14ac:dyDescent="0.25">
      <c r="A60" s="5"/>
      <c r="B60" s="43">
        <v>1</v>
      </c>
      <c r="C60" s="215" t="s">
        <v>84</v>
      </c>
      <c r="D60" s="216"/>
      <c r="E60" s="129">
        <v>6.8</v>
      </c>
      <c r="F60" s="130">
        <v>8.6999999999999993</v>
      </c>
      <c r="G60" s="131">
        <v>11.4</v>
      </c>
      <c r="H60" s="131">
        <v>14.8</v>
      </c>
      <c r="I60" s="131">
        <v>19.899999999999999</v>
      </c>
      <c r="J60" s="131">
        <v>28.8</v>
      </c>
      <c r="K60" s="131">
        <v>40.9</v>
      </c>
      <c r="L60" s="131">
        <v>51.1</v>
      </c>
      <c r="M60" s="131">
        <v>71.900000000000006</v>
      </c>
      <c r="N60" s="131">
        <v>93.2</v>
      </c>
      <c r="O60" s="131">
        <v>100</v>
      </c>
      <c r="P60" s="131"/>
      <c r="Q60" s="131"/>
      <c r="R60" s="131"/>
      <c r="S60" s="132"/>
      <c r="T60" s="132"/>
      <c r="U60" s="217">
        <v>182</v>
      </c>
      <c r="V60" s="218"/>
      <c r="W60" s="219">
        <v>5.23</v>
      </c>
      <c r="X60" s="220"/>
      <c r="Y60" s="229">
        <f>IF(W60&lt;&gt;0,AE60,"")</f>
        <v>3.3241047697103392</v>
      </c>
      <c r="Z60" s="230"/>
      <c r="AA60" s="80"/>
      <c r="AB60" s="194">
        <f>(100*W60)/(100-W60)</f>
        <v>5.5186240371425557</v>
      </c>
      <c r="AC60" s="195"/>
      <c r="AD60" s="67">
        <f>(0.25*(100-O60)+2.3*(O60-H60)+12*(H60-E60)+150*(E60))/100</f>
        <v>13.1196</v>
      </c>
      <c r="AE60" s="68">
        <f>(AB60*$AE$56)/(2.65*(AD60)^(1/5))</f>
        <v>3.3241047697103392</v>
      </c>
      <c r="AF60" s="29"/>
      <c r="AG60" s="66"/>
    </row>
    <row r="61" spans="1:34" ht="24.9" customHeight="1" x14ac:dyDescent="0.25">
      <c r="A61" s="5"/>
      <c r="B61" s="44">
        <v>2</v>
      </c>
      <c r="C61" s="215" t="s">
        <v>85</v>
      </c>
      <c r="D61" s="216"/>
      <c r="E61" s="129">
        <v>7.8</v>
      </c>
      <c r="F61" s="130">
        <v>9.6999999999999993</v>
      </c>
      <c r="G61" s="131">
        <v>12.3</v>
      </c>
      <c r="H61" s="131">
        <v>15.5</v>
      </c>
      <c r="I61" s="131">
        <v>20.2</v>
      </c>
      <c r="J61" s="131">
        <v>28.4</v>
      </c>
      <c r="K61" s="131">
        <v>39.200000000000003</v>
      </c>
      <c r="L61" s="131">
        <v>49</v>
      </c>
      <c r="M61" s="131">
        <v>69.099999999999994</v>
      </c>
      <c r="N61" s="131">
        <v>93</v>
      </c>
      <c r="O61" s="131">
        <v>100</v>
      </c>
      <c r="P61" s="131"/>
      <c r="Q61" s="131"/>
      <c r="R61" s="131"/>
      <c r="S61" s="132"/>
      <c r="T61" s="132"/>
      <c r="U61" s="217">
        <v>177</v>
      </c>
      <c r="V61" s="218"/>
      <c r="W61" s="219">
        <v>5.0599999999999996</v>
      </c>
      <c r="X61" s="220"/>
      <c r="Y61" s="221">
        <f>IF(W61&lt;&gt;0,AE61,"")</f>
        <v>3.1437810963087371</v>
      </c>
      <c r="Z61" s="222"/>
      <c r="AA61" s="80"/>
      <c r="AB61" s="194">
        <f>(100*W61)/(100-W61)</f>
        <v>5.3296819043606485</v>
      </c>
      <c r="AC61" s="195"/>
      <c r="AD61" s="67">
        <f t="shared" ref="AD61:AD67" si="0">(0.25*(100-O61)+2.3*(O61-H61)+12*(H61-E61)+150*(E61))/100</f>
        <v>14.567500000000001</v>
      </c>
      <c r="AE61" s="68">
        <f t="shared" ref="AE61:AE67" si="1">(AB61*$AE$56)/(2.65*(AD61)^(1/5))</f>
        <v>3.1437810963087371</v>
      </c>
      <c r="AF61" s="29"/>
      <c r="AG61" s="66"/>
    </row>
    <row r="62" spans="1:34" ht="24.9" customHeight="1" x14ac:dyDescent="0.25">
      <c r="A62" s="5"/>
      <c r="B62" s="44">
        <v>3</v>
      </c>
      <c r="C62" s="171"/>
      <c r="D62" s="223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15"/>
      <c r="R62" s="92"/>
      <c r="S62" s="92"/>
      <c r="T62" s="93"/>
      <c r="U62" s="168"/>
      <c r="V62" s="169"/>
      <c r="W62" s="224"/>
      <c r="X62" s="225"/>
      <c r="Y62" s="221" t="str">
        <f t="shared" ref="Y62:Y63" si="2">IF(W62&lt;&gt;0,AE62,"")</f>
        <v/>
      </c>
      <c r="Z62" s="222"/>
      <c r="AA62" s="80"/>
      <c r="AB62" s="194">
        <f>(100*W62)/(100-W62)</f>
        <v>0</v>
      </c>
      <c r="AC62" s="195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183"/>
      <c r="D63" s="205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16"/>
      <c r="R63" s="96"/>
      <c r="S63" s="96"/>
      <c r="T63" s="97"/>
      <c r="U63" s="206"/>
      <c r="V63" s="207"/>
      <c r="W63" s="208"/>
      <c r="X63" s="209"/>
      <c r="Y63" s="210" t="str">
        <f t="shared" si="2"/>
        <v/>
      </c>
      <c r="Z63" s="211"/>
      <c r="AA63" s="80"/>
      <c r="AB63" s="194">
        <f>(100*W63)/(100-W63)</f>
        <v>0</v>
      </c>
      <c r="AC63" s="195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17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12" t="s">
        <v>8</v>
      </c>
      <c r="C65" s="213"/>
      <c r="D65" s="214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18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185" t="s">
        <v>7</v>
      </c>
      <c r="C66" s="186"/>
      <c r="D66" s="187"/>
      <c r="E66" s="98">
        <f t="shared" ref="E66:T66" si="3">IF(E60&lt;&gt;0,AVERAGE(E60:E63),"")</f>
        <v>7.3</v>
      </c>
      <c r="F66" s="98">
        <f t="shared" si="3"/>
        <v>9.1999999999999993</v>
      </c>
      <c r="G66" s="98">
        <f t="shared" si="3"/>
        <v>11.850000000000001</v>
      </c>
      <c r="H66" s="98">
        <f t="shared" si="3"/>
        <v>15.15</v>
      </c>
      <c r="I66" s="98">
        <f t="shared" si="3"/>
        <v>20.049999999999997</v>
      </c>
      <c r="J66" s="98">
        <f t="shared" si="3"/>
        <v>28.6</v>
      </c>
      <c r="K66" s="98">
        <f t="shared" si="3"/>
        <v>40.049999999999997</v>
      </c>
      <c r="L66" s="98">
        <f t="shared" si="3"/>
        <v>50.05</v>
      </c>
      <c r="M66" s="98">
        <f t="shared" si="3"/>
        <v>70.5</v>
      </c>
      <c r="N66" s="98">
        <f t="shared" si="3"/>
        <v>93.1</v>
      </c>
      <c r="O66" s="98">
        <f t="shared" si="3"/>
        <v>100</v>
      </c>
      <c r="P66" s="98" t="str">
        <f t="shared" si="3"/>
        <v/>
      </c>
      <c r="Q66" s="119" t="str">
        <f t="shared" si="3"/>
        <v/>
      </c>
      <c r="R66" s="98" t="str">
        <f t="shared" si="3"/>
        <v/>
      </c>
      <c r="S66" s="98" t="str">
        <f t="shared" si="3"/>
        <v/>
      </c>
      <c r="T66" s="99" t="str">
        <f t="shared" si="3"/>
        <v/>
      </c>
      <c r="U66" s="188">
        <f>IF(U60&lt;&gt;0,AVERAGE(U60:V63),"")</f>
        <v>179.5</v>
      </c>
      <c r="V66" s="189"/>
      <c r="W66" s="190">
        <f>IF(W60&lt;&gt;0,AVERAGE(W60:X63),"")</f>
        <v>5.1449999999999996</v>
      </c>
      <c r="X66" s="191"/>
      <c r="Y66" s="192">
        <f>IF(W60&lt;&gt;0,AVERAGE(Y60:Z63),"")</f>
        <v>3.2339429330095379</v>
      </c>
      <c r="Z66" s="193"/>
      <c r="AA66" s="66"/>
      <c r="AB66" s="194">
        <f>(100*W66)/(100-W66)</f>
        <v>5.4240683147962674</v>
      </c>
      <c r="AC66" s="195"/>
      <c r="AD66" s="67">
        <f t="shared" si="0"/>
        <v>13.84355</v>
      </c>
      <c r="AE66" s="68">
        <f t="shared" si="1"/>
        <v>3.2322405179146307</v>
      </c>
      <c r="AF66" s="29"/>
      <c r="AG66" s="66"/>
    </row>
    <row r="67" spans="1:33" ht="21" customHeight="1" x14ac:dyDescent="0.25">
      <c r="A67" s="5"/>
      <c r="B67" s="196" t="s">
        <v>9</v>
      </c>
      <c r="C67" s="197"/>
      <c r="D67" s="198"/>
      <c r="E67" s="100">
        <v>6.9</v>
      </c>
      <c r="F67" s="114" t="e">
        <v>#N/A</v>
      </c>
      <c r="G67" s="100">
        <v>11</v>
      </c>
      <c r="H67" s="100">
        <v>15</v>
      </c>
      <c r="I67" s="100">
        <v>22</v>
      </c>
      <c r="J67" s="100">
        <v>31</v>
      </c>
      <c r="K67" s="100">
        <v>42</v>
      </c>
      <c r="L67" s="100">
        <v>49</v>
      </c>
      <c r="M67" s="100">
        <v>72</v>
      </c>
      <c r="N67" s="100">
        <v>93</v>
      </c>
      <c r="O67" s="100">
        <v>100</v>
      </c>
      <c r="P67" s="100"/>
      <c r="Q67" s="120"/>
      <c r="R67" s="100"/>
      <c r="S67" s="100"/>
      <c r="T67" s="101"/>
      <c r="U67" s="199"/>
      <c r="V67" s="200"/>
      <c r="W67" s="201">
        <v>5.3</v>
      </c>
      <c r="X67" s="202"/>
      <c r="Y67" s="203">
        <f>AE67</f>
        <v>3.3630545642531597</v>
      </c>
      <c r="Z67" s="204"/>
      <c r="AA67" s="66"/>
      <c r="AB67" s="194">
        <f>(100*W67)/(100-W67)</f>
        <v>5.5966209081309399</v>
      </c>
      <c r="AC67" s="195"/>
      <c r="AD67" s="67">
        <f t="shared" si="0"/>
        <v>13.276999999999997</v>
      </c>
      <c r="AE67" s="68">
        <f t="shared" si="1"/>
        <v>3.3630545642531597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37</v>
      </c>
      <c r="K68" s="92"/>
      <c r="L68" s="92">
        <f>L67+7</f>
        <v>56</v>
      </c>
      <c r="M68" s="92"/>
      <c r="N68" s="92"/>
      <c r="O68" s="92"/>
      <c r="P68" s="92"/>
      <c r="Q68" s="92"/>
      <c r="R68" s="92"/>
      <c r="S68" s="92"/>
      <c r="T68" s="93"/>
      <c r="U68" s="168"/>
      <c r="V68" s="169"/>
      <c r="W68" s="170">
        <f>W67+0.5</f>
        <v>5.8</v>
      </c>
      <c r="X68" s="169"/>
      <c r="Y68" s="171"/>
      <c r="Z68" s="172"/>
      <c r="AA68" s="83"/>
      <c r="AB68" s="71"/>
      <c r="AC68" s="69"/>
      <c r="AD68" s="173"/>
      <c r="AE68" s="175" t="s">
        <v>46</v>
      </c>
      <c r="AF68" s="29"/>
      <c r="AG68" s="66"/>
    </row>
    <row r="69" spans="1:33" ht="13.5" customHeight="1" thickBot="1" x14ac:dyDescent="0.3">
      <c r="A69" s="5"/>
      <c r="B69" s="177" t="s">
        <v>24</v>
      </c>
      <c r="C69" s="178"/>
      <c r="D69" s="179"/>
      <c r="E69" s="102">
        <f>E67-2</f>
        <v>4.9000000000000004</v>
      </c>
      <c r="F69" s="102"/>
      <c r="G69" s="103"/>
      <c r="H69" s="103"/>
      <c r="I69" s="103"/>
      <c r="J69" s="102">
        <f>J67-6</f>
        <v>25</v>
      </c>
      <c r="K69" s="103"/>
      <c r="L69" s="102">
        <f>L67-7</f>
        <v>42</v>
      </c>
      <c r="M69" s="102"/>
      <c r="N69" s="103"/>
      <c r="O69" s="103"/>
      <c r="P69" s="103"/>
      <c r="Q69" s="102"/>
      <c r="R69" s="103"/>
      <c r="S69" s="103"/>
      <c r="T69" s="104"/>
      <c r="U69" s="180"/>
      <c r="V69" s="181"/>
      <c r="W69" s="182">
        <f>W67-0.3</f>
        <v>5</v>
      </c>
      <c r="X69" s="181"/>
      <c r="Y69" s="183"/>
      <c r="Z69" s="184"/>
      <c r="AA69" s="84"/>
      <c r="AB69" s="72"/>
      <c r="AC69" s="73"/>
      <c r="AD69" s="174"/>
      <c r="AE69" s="176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150"/>
      <c r="V72" s="150"/>
      <c r="W72" s="150"/>
      <c r="X72" s="150"/>
      <c r="Y72" s="150"/>
      <c r="Z72" s="151"/>
      <c r="AA72" s="81"/>
      <c r="AB72" s="58"/>
      <c r="AC72" s="58"/>
      <c r="AD72" s="59"/>
    </row>
    <row r="73" spans="1:33" ht="26.4" customHeight="1" x14ac:dyDescent="0.25">
      <c r="A73" s="152" t="s">
        <v>48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4"/>
      <c r="R73" s="143" t="s">
        <v>31</v>
      </c>
      <c r="S73" s="144"/>
      <c r="T73" s="145"/>
      <c r="U73" s="155" t="s">
        <v>71</v>
      </c>
      <c r="V73" s="156"/>
      <c r="W73" s="156"/>
      <c r="X73" s="157"/>
      <c r="Y73" s="157"/>
      <c r="Z73" s="158"/>
      <c r="AA73" s="76"/>
      <c r="AB73" s="60"/>
      <c r="AC73" s="60"/>
      <c r="AD73" s="59"/>
    </row>
    <row r="74" spans="1:33" ht="26.4" customHeight="1" x14ac:dyDescent="0.25">
      <c r="A74" s="159" t="s">
        <v>52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  <c r="R74" s="143" t="s">
        <v>51</v>
      </c>
      <c r="S74" s="144"/>
      <c r="T74" s="145"/>
      <c r="U74" s="162" t="s">
        <v>78</v>
      </c>
      <c r="V74" s="163"/>
      <c r="W74" s="163"/>
      <c r="X74" s="163"/>
      <c r="Y74" s="163"/>
      <c r="Z74" s="164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43"/>
      <c r="S75" s="144"/>
      <c r="T75" s="145"/>
      <c r="U75" s="165"/>
      <c r="V75" s="166"/>
      <c r="W75" s="166"/>
      <c r="X75" s="166"/>
      <c r="Y75" s="166"/>
      <c r="Z75" s="167"/>
      <c r="AA75" s="76"/>
      <c r="AB75" s="60"/>
      <c r="AC75" s="60"/>
      <c r="AD75" s="59"/>
    </row>
    <row r="76" spans="1:33" ht="15.6" customHeight="1" x14ac:dyDescent="0.25">
      <c r="A76" s="137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  <c r="R76" s="143" t="s">
        <v>25</v>
      </c>
      <c r="S76" s="144"/>
      <c r="T76" s="145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137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9"/>
      <c r="R77" s="143"/>
      <c r="S77" s="144"/>
      <c r="T77" s="145"/>
      <c r="U77" s="108"/>
      <c r="V77" s="149"/>
      <c r="W77" s="149"/>
      <c r="X77" s="149"/>
      <c r="Y77" s="149"/>
      <c r="Z77" s="109"/>
      <c r="AA77" s="77"/>
      <c r="AB77" s="65"/>
      <c r="AC77" s="65"/>
      <c r="AD77" s="59"/>
    </row>
    <row r="78" spans="1:33" ht="15.6" customHeight="1" x14ac:dyDescent="0.25">
      <c r="A78" s="137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9"/>
      <c r="R78" s="143"/>
      <c r="S78" s="144"/>
      <c r="T78" s="145"/>
      <c r="U78" s="108"/>
      <c r="V78" s="149"/>
      <c r="W78" s="149"/>
      <c r="X78" s="149"/>
      <c r="Y78" s="149"/>
      <c r="Z78" s="109"/>
      <c r="AA78" s="77"/>
      <c r="AB78" s="65"/>
      <c r="AC78" s="65"/>
      <c r="AD78" s="59"/>
    </row>
    <row r="79" spans="1:33" ht="15.6" customHeight="1" x14ac:dyDescent="0.25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2"/>
      <c r="R79" s="146"/>
      <c r="S79" s="147"/>
      <c r="T79" s="148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541A-5412-4978-831B-9C06790084BF}">
  <sheetPr>
    <pageSetUpPr fitToPage="1"/>
  </sheetPr>
  <dimension ref="A1:AN79"/>
  <sheetViews>
    <sheetView zoomScaleNormal="100" workbookViewId="0">
      <selection activeCell="U63" sqref="U63:V6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279" t="s">
        <v>56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2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282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282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5</v>
      </c>
      <c r="K5" s="292"/>
      <c r="L5" s="293" t="s">
        <v>53</v>
      </c>
      <c r="M5" s="252"/>
      <c r="N5" s="252"/>
      <c r="O5" s="292"/>
      <c r="P5" s="294">
        <v>45504</v>
      </c>
      <c r="Q5" s="295"/>
      <c r="R5" s="295"/>
      <c r="S5" s="295"/>
      <c r="T5" s="296"/>
      <c r="U5" s="282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285"/>
      <c r="V6" s="286"/>
      <c r="W6" s="286"/>
      <c r="X6" s="286"/>
      <c r="Y6" s="286"/>
      <c r="Z6" s="287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57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45504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79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45412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74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72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75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73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26" ht="12.75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254" t="s">
        <v>16</v>
      </c>
      <c r="AE56" s="256">
        <v>2.6709999999999998</v>
      </c>
      <c r="AF56" s="226"/>
      <c r="AG56" s="232"/>
      <c r="AH56" s="39"/>
    </row>
    <row r="57" spans="1:34" ht="12.75" customHeight="1" thickBot="1" x14ac:dyDescent="0.3">
      <c r="A57" s="18"/>
      <c r="Z57" s="87"/>
      <c r="AD57" s="255"/>
      <c r="AE57" s="257"/>
      <c r="AF57" s="231"/>
      <c r="AG57" s="232"/>
    </row>
    <row r="58" spans="1:34" ht="18.75" customHeight="1" thickBot="1" x14ac:dyDescent="0.3">
      <c r="A58" s="18"/>
      <c r="E58" s="233" t="s">
        <v>11</v>
      </c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5" t="s">
        <v>47</v>
      </c>
      <c r="V58" s="236"/>
      <c r="W58" s="237" t="s">
        <v>12</v>
      </c>
      <c r="X58" s="236"/>
      <c r="Y58" s="238" t="s">
        <v>13</v>
      </c>
      <c r="Z58" s="239"/>
      <c r="AA58" s="82"/>
      <c r="AB58" s="242" t="s">
        <v>45</v>
      </c>
      <c r="AC58" s="243"/>
      <c r="AD58" s="246" t="s">
        <v>14</v>
      </c>
      <c r="AE58" s="248" t="s">
        <v>15</v>
      </c>
      <c r="AF58" s="226"/>
      <c r="AG58" s="226"/>
      <c r="AH58" s="40"/>
    </row>
    <row r="59" spans="1:34" ht="24.9" customHeight="1" thickBot="1" x14ac:dyDescent="0.3">
      <c r="A59" s="5"/>
      <c r="B59" s="41" t="s">
        <v>22</v>
      </c>
      <c r="C59" s="227" t="s">
        <v>10</v>
      </c>
      <c r="D59" s="22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77"/>
      <c r="V59" s="179"/>
      <c r="W59" s="178"/>
      <c r="X59" s="179"/>
      <c r="Y59" s="240"/>
      <c r="Z59" s="241"/>
      <c r="AA59" s="82"/>
      <c r="AB59" s="244"/>
      <c r="AC59" s="245"/>
      <c r="AD59" s="247"/>
      <c r="AE59" s="249"/>
      <c r="AF59" s="250"/>
      <c r="AG59" s="226"/>
    </row>
    <row r="60" spans="1:34" ht="24.9" customHeight="1" x14ac:dyDescent="0.25">
      <c r="A60" s="5"/>
      <c r="B60" s="43">
        <v>1</v>
      </c>
      <c r="C60" s="215" t="s">
        <v>80</v>
      </c>
      <c r="D60" s="216"/>
      <c r="E60" s="133">
        <v>6.5</v>
      </c>
      <c r="F60" s="134">
        <v>8.3000000000000007</v>
      </c>
      <c r="G60" s="135">
        <v>10.7</v>
      </c>
      <c r="H60" s="135">
        <v>13.7</v>
      </c>
      <c r="I60" s="135">
        <v>18.3</v>
      </c>
      <c r="J60" s="135">
        <v>26.5</v>
      </c>
      <c r="K60" s="135">
        <v>38.700000000000003</v>
      </c>
      <c r="L60" s="135">
        <v>50</v>
      </c>
      <c r="M60" s="135">
        <v>69.099999999999994</v>
      </c>
      <c r="N60" s="135">
        <v>92.2</v>
      </c>
      <c r="O60" s="135">
        <v>100</v>
      </c>
      <c r="P60" s="135"/>
      <c r="Q60" s="135"/>
      <c r="R60" s="135"/>
      <c r="S60" s="136"/>
      <c r="T60" s="136"/>
      <c r="U60" s="297">
        <v>172</v>
      </c>
      <c r="V60" s="298"/>
      <c r="W60" s="299">
        <v>5.12</v>
      </c>
      <c r="X60" s="300"/>
      <c r="Y60" s="229">
        <f>IF(W60&lt;&gt;0,AE60,"")</f>
        <v>3.2768515961943785</v>
      </c>
      <c r="Z60" s="230"/>
      <c r="AA60" s="80"/>
      <c r="AB60" s="194">
        <f>(100*W60)/(100-W60)</f>
        <v>5.3962900505902196</v>
      </c>
      <c r="AC60" s="195"/>
      <c r="AD60" s="67">
        <f>(0.25*(100-O60)+2.3*(O60-H60)+12*(H60-E60)+150*(E60))/100</f>
        <v>12.598899999999999</v>
      </c>
      <c r="AE60" s="68">
        <f>(AB60*$AE$56)/(2.65*(AD60)^(1/5))</f>
        <v>3.2768515961943785</v>
      </c>
      <c r="AF60" s="29"/>
      <c r="AG60" s="66"/>
    </row>
    <row r="61" spans="1:34" ht="24.9" customHeight="1" x14ac:dyDescent="0.25">
      <c r="A61" s="5"/>
      <c r="B61" s="44">
        <v>2</v>
      </c>
      <c r="C61" s="215" t="s">
        <v>81</v>
      </c>
      <c r="D61" s="216"/>
      <c r="E61" s="133">
        <v>8.1999999999999993</v>
      </c>
      <c r="F61" s="134">
        <v>10.199999999999999</v>
      </c>
      <c r="G61" s="135">
        <v>13</v>
      </c>
      <c r="H61" s="135">
        <v>16.8</v>
      </c>
      <c r="I61" s="135">
        <v>22</v>
      </c>
      <c r="J61" s="135">
        <v>31.7</v>
      </c>
      <c r="K61" s="135">
        <v>46.7</v>
      </c>
      <c r="L61" s="135">
        <v>53.2</v>
      </c>
      <c r="M61" s="135">
        <v>75.5</v>
      </c>
      <c r="N61" s="135">
        <v>95.4</v>
      </c>
      <c r="O61" s="135">
        <v>100</v>
      </c>
      <c r="P61" s="135"/>
      <c r="Q61" s="135"/>
      <c r="R61" s="135"/>
      <c r="S61" s="136"/>
      <c r="T61" s="136"/>
      <c r="U61" s="297">
        <v>170</v>
      </c>
      <c r="V61" s="298"/>
      <c r="W61" s="299">
        <v>5.04</v>
      </c>
      <c r="X61" s="300"/>
      <c r="Y61" s="221">
        <f>IF(W61&lt;&gt;0,AE61,"")</f>
        <v>3.1023367707136815</v>
      </c>
      <c r="Z61" s="222"/>
      <c r="AA61" s="80"/>
      <c r="AB61" s="194">
        <f>(100*W61)/(100-W61)</f>
        <v>5.3074978938500426</v>
      </c>
      <c r="AC61" s="195"/>
      <c r="AD61" s="67">
        <f t="shared" ref="AD61:AD67" si="0">(0.25*(100-O61)+2.3*(O61-H61)+12*(H61-E61)+150*(E61))/100</f>
        <v>15.2456</v>
      </c>
      <c r="AE61" s="68">
        <f t="shared" ref="AE61:AE67" si="1">(AB61*$AE$56)/(2.65*(AD61)^(1/5))</f>
        <v>3.1023367707136815</v>
      </c>
      <c r="AF61" s="29"/>
      <c r="AG61" s="66"/>
    </row>
    <row r="62" spans="1:34" ht="24.9" customHeight="1" x14ac:dyDescent="0.25">
      <c r="A62" s="5"/>
      <c r="B62" s="44">
        <v>3</v>
      </c>
      <c r="C62" s="171"/>
      <c r="D62" s="223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15"/>
      <c r="R62" s="92"/>
      <c r="S62" s="92"/>
      <c r="T62" s="93"/>
      <c r="U62" s="168"/>
      <c r="V62" s="169"/>
      <c r="W62" s="224"/>
      <c r="X62" s="225"/>
      <c r="Y62" s="221" t="str">
        <f t="shared" ref="Y62:Y63" si="2">IF(W62&lt;&gt;0,AE62,"")</f>
        <v/>
      </c>
      <c r="Z62" s="222"/>
      <c r="AA62" s="80"/>
      <c r="AB62" s="194">
        <f>(100*W62)/(100-W62)</f>
        <v>0</v>
      </c>
      <c r="AC62" s="195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183"/>
      <c r="D63" s="205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16"/>
      <c r="R63" s="96"/>
      <c r="S63" s="96"/>
      <c r="T63" s="97"/>
      <c r="U63" s="206"/>
      <c r="V63" s="207"/>
      <c r="W63" s="208"/>
      <c r="X63" s="209"/>
      <c r="Y63" s="210" t="str">
        <f t="shared" si="2"/>
        <v/>
      </c>
      <c r="Z63" s="211"/>
      <c r="AA63" s="80"/>
      <c r="AB63" s="194">
        <f>(100*W63)/(100-W63)</f>
        <v>0</v>
      </c>
      <c r="AC63" s="195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17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12" t="s">
        <v>8</v>
      </c>
      <c r="C65" s="213"/>
      <c r="D65" s="214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18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185" t="s">
        <v>7</v>
      </c>
      <c r="C66" s="186"/>
      <c r="D66" s="187"/>
      <c r="E66" s="98">
        <f t="shared" ref="E66:T66" si="3">IF(E60&lt;&gt;0,AVERAGE(E60:E63),"")</f>
        <v>7.35</v>
      </c>
      <c r="F66" s="98">
        <f t="shared" si="3"/>
        <v>9.25</v>
      </c>
      <c r="G66" s="98">
        <f t="shared" si="3"/>
        <v>11.85</v>
      </c>
      <c r="H66" s="98">
        <f t="shared" si="3"/>
        <v>15.25</v>
      </c>
      <c r="I66" s="98">
        <f t="shared" si="3"/>
        <v>20.149999999999999</v>
      </c>
      <c r="J66" s="98">
        <f t="shared" si="3"/>
        <v>29.1</v>
      </c>
      <c r="K66" s="98">
        <f t="shared" si="3"/>
        <v>42.7</v>
      </c>
      <c r="L66" s="98">
        <f t="shared" si="3"/>
        <v>51.6</v>
      </c>
      <c r="M66" s="98">
        <f t="shared" si="3"/>
        <v>72.3</v>
      </c>
      <c r="N66" s="98">
        <f t="shared" si="3"/>
        <v>93.800000000000011</v>
      </c>
      <c r="O66" s="98">
        <f t="shared" si="3"/>
        <v>100</v>
      </c>
      <c r="P66" s="98" t="str">
        <f t="shared" si="3"/>
        <v/>
      </c>
      <c r="Q66" s="119" t="str">
        <f t="shared" si="3"/>
        <v/>
      </c>
      <c r="R66" s="98" t="str">
        <f t="shared" si="3"/>
        <v/>
      </c>
      <c r="S66" s="98" t="str">
        <f t="shared" si="3"/>
        <v/>
      </c>
      <c r="T66" s="99" t="str">
        <f t="shared" si="3"/>
        <v/>
      </c>
      <c r="U66" s="188">
        <f>IF(U60&lt;&gt;0,AVERAGE(U60:V63),"")</f>
        <v>171</v>
      </c>
      <c r="V66" s="189"/>
      <c r="W66" s="190">
        <f>IF(W60&lt;&gt;0,AVERAGE(W60:X63),"")</f>
        <v>5.08</v>
      </c>
      <c r="X66" s="191"/>
      <c r="Y66" s="192">
        <f>IF(W60&lt;&gt;0,AVERAGE(Y60:Z63),"")</f>
        <v>3.1895941834540302</v>
      </c>
      <c r="Z66" s="193"/>
      <c r="AA66" s="66"/>
      <c r="AB66" s="194">
        <f>(100*W66)/(100-W66)</f>
        <v>5.3518752633796884</v>
      </c>
      <c r="AC66" s="195"/>
      <c r="AD66" s="67">
        <f t="shared" si="0"/>
        <v>13.922249999999998</v>
      </c>
      <c r="AE66" s="68">
        <f t="shared" si="1"/>
        <v>3.1856063707532387</v>
      </c>
      <c r="AF66" s="29"/>
      <c r="AG66" s="66"/>
    </row>
    <row r="67" spans="1:33" ht="21" customHeight="1" x14ac:dyDescent="0.25">
      <c r="A67" s="5"/>
      <c r="B67" s="196" t="s">
        <v>9</v>
      </c>
      <c r="C67" s="197"/>
      <c r="D67" s="198"/>
      <c r="E67" s="100">
        <v>6.9</v>
      </c>
      <c r="F67" s="114" t="e">
        <v>#N/A</v>
      </c>
      <c r="G67" s="100">
        <v>11</v>
      </c>
      <c r="H67" s="100">
        <v>15</v>
      </c>
      <c r="I67" s="100">
        <v>22</v>
      </c>
      <c r="J67" s="100">
        <v>31</v>
      </c>
      <c r="K67" s="100">
        <v>42</v>
      </c>
      <c r="L67" s="100">
        <v>49</v>
      </c>
      <c r="M67" s="100">
        <v>72</v>
      </c>
      <c r="N67" s="100">
        <v>93</v>
      </c>
      <c r="O67" s="100">
        <v>100</v>
      </c>
      <c r="P67" s="100"/>
      <c r="Q67" s="120"/>
      <c r="R67" s="100"/>
      <c r="S67" s="100"/>
      <c r="T67" s="101"/>
      <c r="U67" s="199"/>
      <c r="V67" s="200"/>
      <c r="W67" s="201">
        <v>5.3</v>
      </c>
      <c r="X67" s="202"/>
      <c r="Y67" s="203">
        <f>AE67</f>
        <v>3.3630545642531597</v>
      </c>
      <c r="Z67" s="204"/>
      <c r="AA67" s="66"/>
      <c r="AB67" s="194">
        <f>(100*W67)/(100-W67)</f>
        <v>5.5966209081309399</v>
      </c>
      <c r="AC67" s="195"/>
      <c r="AD67" s="67">
        <f t="shared" si="0"/>
        <v>13.276999999999997</v>
      </c>
      <c r="AE67" s="68">
        <f t="shared" si="1"/>
        <v>3.3630545642531597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37</v>
      </c>
      <c r="K68" s="92"/>
      <c r="L68" s="92">
        <f>L67+7</f>
        <v>56</v>
      </c>
      <c r="M68" s="92"/>
      <c r="N68" s="92"/>
      <c r="O68" s="92"/>
      <c r="P68" s="92"/>
      <c r="Q68" s="92"/>
      <c r="R68" s="92"/>
      <c r="S68" s="92"/>
      <c r="T68" s="93"/>
      <c r="U68" s="168"/>
      <c r="V68" s="169"/>
      <c r="W68" s="170">
        <f>W67+0.5</f>
        <v>5.8</v>
      </c>
      <c r="X68" s="169"/>
      <c r="Y68" s="171"/>
      <c r="Z68" s="172"/>
      <c r="AA68" s="83"/>
      <c r="AB68" s="71"/>
      <c r="AC68" s="69"/>
      <c r="AD68" s="173"/>
      <c r="AE68" s="175" t="s">
        <v>46</v>
      </c>
      <c r="AF68" s="29"/>
      <c r="AG68" s="66"/>
    </row>
    <row r="69" spans="1:33" ht="13.5" customHeight="1" thickBot="1" x14ac:dyDescent="0.3">
      <c r="A69" s="5"/>
      <c r="B69" s="177" t="s">
        <v>24</v>
      </c>
      <c r="C69" s="178"/>
      <c r="D69" s="179"/>
      <c r="E69" s="102">
        <f>E67-2</f>
        <v>4.9000000000000004</v>
      </c>
      <c r="F69" s="102"/>
      <c r="G69" s="103"/>
      <c r="H69" s="103"/>
      <c r="I69" s="103"/>
      <c r="J69" s="102">
        <f>J67-6</f>
        <v>25</v>
      </c>
      <c r="K69" s="103"/>
      <c r="L69" s="102">
        <f>L67-7</f>
        <v>42</v>
      </c>
      <c r="M69" s="102"/>
      <c r="N69" s="103"/>
      <c r="O69" s="103"/>
      <c r="P69" s="103"/>
      <c r="Q69" s="102"/>
      <c r="R69" s="103"/>
      <c r="S69" s="103"/>
      <c r="T69" s="104"/>
      <c r="U69" s="180"/>
      <c r="V69" s="181"/>
      <c r="W69" s="182">
        <f>W67-0.3</f>
        <v>5</v>
      </c>
      <c r="X69" s="181"/>
      <c r="Y69" s="183"/>
      <c r="Z69" s="184"/>
      <c r="AA69" s="84"/>
      <c r="AB69" s="72"/>
      <c r="AC69" s="73"/>
      <c r="AD69" s="174"/>
      <c r="AE69" s="176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150"/>
      <c r="V72" s="150"/>
      <c r="W72" s="150"/>
      <c r="X72" s="150"/>
      <c r="Y72" s="150"/>
      <c r="Z72" s="151"/>
      <c r="AA72" s="81"/>
      <c r="AB72" s="58"/>
      <c r="AC72" s="58"/>
      <c r="AD72" s="59"/>
    </row>
    <row r="73" spans="1:33" ht="26.4" customHeight="1" x14ac:dyDescent="0.25">
      <c r="A73" s="152" t="s">
        <v>48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4"/>
      <c r="R73" s="143" t="s">
        <v>31</v>
      </c>
      <c r="S73" s="144"/>
      <c r="T73" s="145"/>
      <c r="U73" s="155" t="s">
        <v>54</v>
      </c>
      <c r="V73" s="156"/>
      <c r="W73" s="156"/>
      <c r="X73" s="157"/>
      <c r="Y73" s="157"/>
      <c r="Z73" s="158"/>
      <c r="AA73" s="76"/>
      <c r="AB73" s="60"/>
      <c r="AC73" s="60"/>
      <c r="AD73" s="59"/>
    </row>
    <row r="74" spans="1:33" ht="26.4" customHeight="1" x14ac:dyDescent="0.25">
      <c r="A74" s="159" t="s">
        <v>52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  <c r="R74" s="143" t="s">
        <v>51</v>
      </c>
      <c r="S74" s="144"/>
      <c r="T74" s="145"/>
      <c r="U74" s="162" t="s">
        <v>55</v>
      </c>
      <c r="V74" s="163"/>
      <c r="W74" s="163"/>
      <c r="X74" s="163"/>
      <c r="Y74" s="163"/>
      <c r="Z74" s="164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43"/>
      <c r="S75" s="144"/>
      <c r="T75" s="145"/>
      <c r="U75" s="165"/>
      <c r="V75" s="166"/>
      <c r="W75" s="166"/>
      <c r="X75" s="166"/>
      <c r="Y75" s="166"/>
      <c r="Z75" s="167"/>
      <c r="AA75" s="76"/>
      <c r="AB75" s="60"/>
      <c r="AC75" s="60"/>
      <c r="AD75" s="59"/>
    </row>
    <row r="76" spans="1:33" ht="15.6" customHeight="1" x14ac:dyDescent="0.25">
      <c r="A76" s="137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  <c r="R76" s="143" t="s">
        <v>25</v>
      </c>
      <c r="S76" s="144"/>
      <c r="T76" s="145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137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9"/>
      <c r="R77" s="143"/>
      <c r="S77" s="144"/>
      <c r="T77" s="145"/>
      <c r="U77" s="108"/>
      <c r="V77" s="149"/>
      <c r="W77" s="149"/>
      <c r="X77" s="149"/>
      <c r="Y77" s="149"/>
      <c r="Z77" s="109"/>
      <c r="AA77" s="77"/>
      <c r="AB77" s="65"/>
      <c r="AC77" s="65"/>
      <c r="AD77" s="59"/>
    </row>
    <row r="78" spans="1:33" ht="15.6" customHeight="1" x14ac:dyDescent="0.25">
      <c r="A78" s="137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9"/>
      <c r="R78" s="143"/>
      <c r="S78" s="144"/>
      <c r="T78" s="145"/>
      <c r="U78" s="108"/>
      <c r="V78" s="149"/>
      <c r="W78" s="149"/>
      <c r="X78" s="149"/>
      <c r="Y78" s="149"/>
      <c r="Z78" s="109"/>
      <c r="AA78" s="77"/>
      <c r="AB78" s="65"/>
      <c r="AC78" s="65"/>
      <c r="AD78" s="59"/>
    </row>
    <row r="79" spans="1:33" ht="15.6" customHeight="1" x14ac:dyDescent="0.25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2"/>
      <c r="R79" s="146"/>
      <c r="S79" s="147"/>
      <c r="T79" s="148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AG58:AG59"/>
    <mergeCell ref="C59:D59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J6:K6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D4C2-99C2-4A3C-A664-E06ABA19745E}">
  <sheetPr>
    <pageSetUpPr fitToPage="1"/>
  </sheetPr>
  <dimension ref="A1:AN79"/>
  <sheetViews>
    <sheetView zoomScaleNormal="100" workbookViewId="0">
      <selection activeCell="G7" sqref="G7:Z7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279" t="s">
        <v>82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282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282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282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4</v>
      </c>
      <c r="K5" s="292"/>
      <c r="L5" s="293" t="s">
        <v>53</v>
      </c>
      <c r="M5" s="252"/>
      <c r="N5" s="252"/>
      <c r="O5" s="292"/>
      <c r="P5" s="294">
        <v>45503</v>
      </c>
      <c r="Q5" s="295"/>
      <c r="R5" s="295"/>
      <c r="S5" s="295"/>
      <c r="T5" s="296"/>
      <c r="U5" s="282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285"/>
      <c r="V6" s="286"/>
      <c r="W6" s="286"/>
      <c r="X6" s="286"/>
      <c r="Y6" s="286"/>
      <c r="Z6" s="287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71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45503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79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45411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74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72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75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73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9" customHeight="1" x14ac:dyDescent="0.25">
      <c r="A25" s="18"/>
      <c r="Z25" s="23"/>
    </row>
    <row r="26" spans="1:40" ht="9" customHeight="1" x14ac:dyDescent="0.25">
      <c r="A26" s="18"/>
      <c r="Z26" s="23"/>
    </row>
    <row r="27" spans="1:40" ht="9" customHeight="1" x14ac:dyDescent="0.25">
      <c r="A27" s="18"/>
      <c r="Z27" s="23"/>
    </row>
    <row r="28" spans="1:40" ht="9" customHeight="1" x14ac:dyDescent="0.25">
      <c r="A28" s="18"/>
      <c r="Z28" s="23"/>
    </row>
    <row r="29" spans="1:40" ht="9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26" ht="12.75" customHeight="1" x14ac:dyDescent="0.25">
      <c r="A33" s="18"/>
      <c r="Z33" s="23"/>
    </row>
    <row r="34" spans="1:26" ht="12.75" customHeight="1" x14ac:dyDescent="0.25">
      <c r="A34" s="18"/>
      <c r="Z34" s="23"/>
    </row>
    <row r="35" spans="1:26" ht="12.75" customHeight="1" x14ac:dyDescent="0.25">
      <c r="A35" s="18"/>
      <c r="Z35" s="23"/>
    </row>
    <row r="36" spans="1:26" ht="12.75" customHeight="1" x14ac:dyDescent="0.25">
      <c r="A36" s="18"/>
      <c r="Z36" s="23"/>
    </row>
    <row r="37" spans="1:26" ht="12.75" customHeight="1" x14ac:dyDescent="0.25">
      <c r="A37" s="18"/>
      <c r="Z37" s="23"/>
    </row>
    <row r="38" spans="1:26" ht="12.75" customHeight="1" x14ac:dyDescent="0.25">
      <c r="A38" s="18"/>
      <c r="Z38" s="23"/>
    </row>
    <row r="39" spans="1:26" ht="12.75" customHeight="1" x14ac:dyDescent="0.25">
      <c r="A39" s="18"/>
      <c r="Z39" s="23"/>
    </row>
    <row r="40" spans="1:26" ht="12.75" customHeight="1" x14ac:dyDescent="0.25">
      <c r="A40" s="18"/>
      <c r="Z40" s="23"/>
    </row>
    <row r="41" spans="1:26" ht="12.75" customHeight="1" x14ac:dyDescent="0.25">
      <c r="A41" s="18"/>
      <c r="Z41" s="23"/>
    </row>
    <row r="42" spans="1:26" ht="12.75" customHeight="1" x14ac:dyDescent="0.25">
      <c r="A42" s="18"/>
      <c r="Z42" s="23"/>
    </row>
    <row r="43" spans="1:26" ht="12.75" customHeight="1" x14ac:dyDescent="0.25">
      <c r="A43" s="18"/>
      <c r="Z43" s="23"/>
    </row>
    <row r="44" spans="1:26" ht="12.75" customHeight="1" x14ac:dyDescent="0.25">
      <c r="A44" s="18"/>
      <c r="Z44" s="23"/>
    </row>
    <row r="45" spans="1:26" ht="12.75" customHeight="1" x14ac:dyDescent="0.25">
      <c r="A45" s="18"/>
      <c r="Z45" s="23"/>
    </row>
    <row r="46" spans="1:26" ht="12.75" customHeight="1" x14ac:dyDescent="0.25">
      <c r="A46" s="18"/>
      <c r="Z46" s="23"/>
    </row>
    <row r="47" spans="1:26" ht="12.75" customHeight="1" x14ac:dyDescent="0.25">
      <c r="A47" s="18"/>
      <c r="Z47" s="23"/>
    </row>
    <row r="48" spans="1:26" ht="12.75" customHeight="1" x14ac:dyDescent="0.25">
      <c r="A48" s="18"/>
      <c r="Z48" s="23"/>
    </row>
    <row r="49" spans="1:34" ht="12.75" customHeight="1" x14ac:dyDescent="0.25">
      <c r="A49" s="18"/>
      <c r="Z49" s="23"/>
    </row>
    <row r="50" spans="1:34" ht="12.75" customHeight="1" x14ac:dyDescent="0.25">
      <c r="A50" s="18"/>
      <c r="Z50" s="23"/>
    </row>
    <row r="51" spans="1:34" ht="12.75" customHeight="1" x14ac:dyDescent="0.25">
      <c r="A51" s="18"/>
      <c r="Z51" s="23"/>
    </row>
    <row r="52" spans="1:34" ht="12.75" customHeight="1" x14ac:dyDescent="0.25">
      <c r="A52" s="18"/>
      <c r="Z52" s="23"/>
    </row>
    <row r="53" spans="1:34" ht="12.75" customHeight="1" x14ac:dyDescent="0.25">
      <c r="A53" s="18"/>
      <c r="Z53" s="23"/>
    </row>
    <row r="54" spans="1:34" ht="12.75" customHeight="1" x14ac:dyDescent="0.25">
      <c r="A54" s="18"/>
      <c r="Z54" s="23"/>
    </row>
    <row r="55" spans="1:34" ht="9.75" customHeight="1" thickBot="1" x14ac:dyDescent="0.3">
      <c r="A55" s="18"/>
      <c r="Z55" s="23"/>
    </row>
    <row r="56" spans="1:34" ht="9.75" customHeight="1" x14ac:dyDescent="0.25">
      <c r="A56" s="18"/>
      <c r="Z56" s="23"/>
      <c r="AD56" s="254" t="s">
        <v>16</v>
      </c>
      <c r="AE56" s="256">
        <v>2.6709999999999998</v>
      </c>
      <c r="AF56" s="226"/>
      <c r="AG56" s="232"/>
      <c r="AH56" s="39"/>
    </row>
    <row r="57" spans="1:34" ht="12.75" customHeight="1" thickBot="1" x14ac:dyDescent="0.3">
      <c r="A57" s="18"/>
      <c r="Z57" s="87"/>
      <c r="AD57" s="255"/>
      <c r="AE57" s="257"/>
      <c r="AF57" s="231"/>
      <c r="AG57" s="232"/>
    </row>
    <row r="58" spans="1:34" ht="18.75" customHeight="1" thickBot="1" x14ac:dyDescent="0.3">
      <c r="A58" s="18"/>
      <c r="E58" s="233" t="s">
        <v>11</v>
      </c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Q58" s="234"/>
      <c r="R58" s="234"/>
      <c r="S58" s="234"/>
      <c r="T58" s="234"/>
      <c r="U58" s="235" t="s">
        <v>47</v>
      </c>
      <c r="V58" s="236"/>
      <c r="W58" s="237" t="s">
        <v>12</v>
      </c>
      <c r="X58" s="236"/>
      <c r="Y58" s="238" t="s">
        <v>13</v>
      </c>
      <c r="Z58" s="239"/>
      <c r="AA58" s="82"/>
      <c r="AB58" s="242" t="s">
        <v>45</v>
      </c>
      <c r="AC58" s="243"/>
      <c r="AD58" s="246" t="s">
        <v>14</v>
      </c>
      <c r="AE58" s="248" t="s">
        <v>15</v>
      </c>
      <c r="AF58" s="226"/>
      <c r="AG58" s="226"/>
      <c r="AH58" s="40"/>
    </row>
    <row r="59" spans="1:34" ht="24.9" customHeight="1" thickBot="1" x14ac:dyDescent="0.3">
      <c r="A59" s="5"/>
      <c r="B59" s="41" t="s">
        <v>22</v>
      </c>
      <c r="C59" s="227" t="s">
        <v>10</v>
      </c>
      <c r="D59" s="228"/>
      <c r="E59" s="89">
        <v>6.3E-2</v>
      </c>
      <c r="F59" s="89">
        <v>0.125</v>
      </c>
      <c r="G59" s="42">
        <v>0.25</v>
      </c>
      <c r="H59" s="42">
        <v>0.5</v>
      </c>
      <c r="I59" s="42">
        <v>1</v>
      </c>
      <c r="J59" s="42">
        <v>2</v>
      </c>
      <c r="K59" s="42">
        <v>4</v>
      </c>
      <c r="L59" s="42">
        <v>6.3</v>
      </c>
      <c r="M59" s="42">
        <v>8</v>
      </c>
      <c r="N59" s="42">
        <v>10</v>
      </c>
      <c r="O59" s="42">
        <v>12.5</v>
      </c>
      <c r="P59" s="42">
        <v>14</v>
      </c>
      <c r="Q59" s="74">
        <v>16</v>
      </c>
      <c r="R59" s="74">
        <v>20</v>
      </c>
      <c r="S59" s="42"/>
      <c r="T59" s="74"/>
      <c r="U59" s="177"/>
      <c r="V59" s="179"/>
      <c r="W59" s="178"/>
      <c r="X59" s="179"/>
      <c r="Y59" s="240"/>
      <c r="Z59" s="241"/>
      <c r="AA59" s="82"/>
      <c r="AB59" s="244"/>
      <c r="AC59" s="245"/>
      <c r="AD59" s="247"/>
      <c r="AE59" s="249"/>
      <c r="AF59" s="250"/>
      <c r="AG59" s="226"/>
    </row>
    <row r="60" spans="1:34" ht="24.9" customHeight="1" x14ac:dyDescent="0.25">
      <c r="A60" s="5"/>
      <c r="B60" s="43">
        <v>1</v>
      </c>
      <c r="C60" s="215" t="s">
        <v>76</v>
      </c>
      <c r="D60" s="216"/>
      <c r="E60" s="129">
        <v>6.8</v>
      </c>
      <c r="F60" s="130">
        <v>9.1</v>
      </c>
      <c r="G60" s="131">
        <v>12.4</v>
      </c>
      <c r="H60" s="131">
        <v>16</v>
      </c>
      <c r="I60" s="131">
        <v>20.8</v>
      </c>
      <c r="J60" s="131">
        <v>29.2</v>
      </c>
      <c r="K60" s="131">
        <v>41.4</v>
      </c>
      <c r="L60" s="131">
        <v>51.1</v>
      </c>
      <c r="M60" s="131">
        <v>72.099999999999994</v>
      </c>
      <c r="N60" s="131">
        <v>93.6</v>
      </c>
      <c r="O60" s="131">
        <v>100</v>
      </c>
      <c r="P60" s="131"/>
      <c r="Q60" s="131"/>
      <c r="R60" s="131"/>
      <c r="S60" s="132"/>
      <c r="T60" s="132"/>
      <c r="U60" s="217">
        <v>175</v>
      </c>
      <c r="V60" s="218"/>
      <c r="W60" s="219">
        <v>5.04</v>
      </c>
      <c r="X60" s="220"/>
      <c r="Y60" s="229">
        <f>IF(W60&lt;&gt;0,AE60,"")</f>
        <v>3.1912916279392558</v>
      </c>
      <c r="Z60" s="230"/>
      <c r="AA60" s="80"/>
      <c r="AB60" s="194">
        <f>(100*W60)/(100-W60)</f>
        <v>5.3074978938500426</v>
      </c>
      <c r="AC60" s="195"/>
      <c r="AD60" s="67">
        <f>(0.25*(100-O60)+2.3*(O60-H60)+12*(H60-E60)+150*(E60))/100</f>
        <v>13.235999999999999</v>
      </c>
      <c r="AE60" s="68">
        <f>(AB60*$AE$56)/(2.65*(AD60)^(1/5))</f>
        <v>3.1912916279392558</v>
      </c>
      <c r="AF60" s="29"/>
      <c r="AG60" s="66"/>
    </row>
    <row r="61" spans="1:34" ht="24.9" customHeight="1" x14ac:dyDescent="0.25">
      <c r="A61" s="5"/>
      <c r="B61" s="44">
        <v>2</v>
      </c>
      <c r="C61" s="215" t="s">
        <v>77</v>
      </c>
      <c r="D61" s="216"/>
      <c r="E61" s="129">
        <v>6.7</v>
      </c>
      <c r="F61" s="130">
        <v>8.6999999999999993</v>
      </c>
      <c r="G61" s="131">
        <v>11.5</v>
      </c>
      <c r="H61" s="131">
        <v>15.1</v>
      </c>
      <c r="I61" s="131">
        <v>20.3</v>
      </c>
      <c r="J61" s="131">
        <v>30.3</v>
      </c>
      <c r="K61" s="131">
        <v>44.4</v>
      </c>
      <c r="L61" s="131">
        <v>56</v>
      </c>
      <c r="M61" s="131">
        <v>76.3</v>
      </c>
      <c r="N61" s="131">
        <v>94.5</v>
      </c>
      <c r="O61" s="131">
        <v>100</v>
      </c>
      <c r="P61" s="131"/>
      <c r="Q61" s="131"/>
      <c r="R61" s="131"/>
      <c r="S61" s="132"/>
      <c r="T61" s="132"/>
      <c r="U61" s="217">
        <v>168</v>
      </c>
      <c r="V61" s="218"/>
      <c r="W61" s="219">
        <v>5.0599999999999996</v>
      </c>
      <c r="X61" s="220"/>
      <c r="Y61" s="221">
        <f>IF(W61&lt;&gt;0,AE61,"")</f>
        <v>3.2156529473922868</v>
      </c>
      <c r="Z61" s="222"/>
      <c r="AA61" s="80"/>
      <c r="AB61" s="194">
        <f>(100*W61)/(100-W61)</f>
        <v>5.3296819043606485</v>
      </c>
      <c r="AC61" s="195"/>
      <c r="AD61" s="67">
        <f t="shared" ref="AD61:AD67" si="0">(0.25*(100-O61)+2.3*(O61-H61)+12*(H61-E61)+150*(E61))/100</f>
        <v>13.0107</v>
      </c>
      <c r="AE61" s="68">
        <f t="shared" ref="AE61:AE67" si="1">(AB61*$AE$56)/(2.65*(AD61)^(1/5))</f>
        <v>3.2156529473922868</v>
      </c>
      <c r="AF61" s="29"/>
      <c r="AG61" s="66"/>
    </row>
    <row r="62" spans="1:34" ht="24.9" customHeight="1" x14ac:dyDescent="0.25">
      <c r="A62" s="5"/>
      <c r="B62" s="44">
        <v>3</v>
      </c>
      <c r="C62" s="171"/>
      <c r="D62" s="223"/>
      <c r="E62" s="90"/>
      <c r="F62" s="91"/>
      <c r="G62" s="91"/>
      <c r="H62" s="92"/>
      <c r="I62" s="92"/>
      <c r="J62" s="92"/>
      <c r="K62" s="92"/>
      <c r="L62" s="92"/>
      <c r="M62" s="92"/>
      <c r="N62" s="92"/>
      <c r="O62" s="92"/>
      <c r="P62" s="92"/>
      <c r="Q62" s="115"/>
      <c r="R62" s="92"/>
      <c r="S62" s="92"/>
      <c r="T62" s="93"/>
      <c r="U62" s="168"/>
      <c r="V62" s="169"/>
      <c r="W62" s="224"/>
      <c r="X62" s="225"/>
      <c r="Y62" s="221" t="str">
        <f t="shared" ref="Y62:Y63" si="2">IF(W62&lt;&gt;0,AE62,"")</f>
        <v/>
      </c>
      <c r="Z62" s="222"/>
      <c r="AA62" s="80"/>
      <c r="AB62" s="194">
        <f>(100*W62)/(100-W62)</f>
        <v>0</v>
      </c>
      <c r="AC62" s="195"/>
      <c r="AD62" s="67">
        <f t="shared" si="0"/>
        <v>0.25</v>
      </c>
      <c r="AE62" s="68">
        <f t="shared" si="1"/>
        <v>0</v>
      </c>
      <c r="AF62" s="29"/>
      <c r="AG62" s="66"/>
    </row>
    <row r="63" spans="1:34" ht="24.9" customHeight="1" thickBot="1" x14ac:dyDescent="0.3">
      <c r="A63" s="5"/>
      <c r="B63" s="45">
        <v>4</v>
      </c>
      <c r="C63" s="183"/>
      <c r="D63" s="205"/>
      <c r="E63" s="94"/>
      <c r="F63" s="95"/>
      <c r="G63" s="95"/>
      <c r="H63" s="96"/>
      <c r="I63" s="96"/>
      <c r="J63" s="96"/>
      <c r="K63" s="96"/>
      <c r="L63" s="96"/>
      <c r="M63" s="96"/>
      <c r="N63" s="96"/>
      <c r="O63" s="96"/>
      <c r="P63" s="96"/>
      <c r="Q63" s="116"/>
      <c r="R63" s="96"/>
      <c r="S63" s="96"/>
      <c r="T63" s="97"/>
      <c r="U63" s="206"/>
      <c r="V63" s="207"/>
      <c r="W63" s="208"/>
      <c r="X63" s="209"/>
      <c r="Y63" s="210" t="str">
        <f t="shared" si="2"/>
        <v/>
      </c>
      <c r="Z63" s="211"/>
      <c r="AA63" s="80"/>
      <c r="AB63" s="194">
        <f>(100*W63)/(100-W63)</f>
        <v>0</v>
      </c>
      <c r="AC63" s="195"/>
      <c r="AD63" s="67">
        <f t="shared" si="0"/>
        <v>0.25</v>
      </c>
      <c r="AE63" s="68">
        <f t="shared" si="1"/>
        <v>0</v>
      </c>
      <c r="AF63" s="29"/>
      <c r="AG63" s="66"/>
    </row>
    <row r="64" spans="1:34" ht="10.5" customHeight="1" thickBot="1" x14ac:dyDescent="0.3">
      <c r="A64" s="5"/>
      <c r="B64" s="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117"/>
      <c r="R64" s="46"/>
      <c r="S64" s="46"/>
      <c r="T64" s="46"/>
      <c r="U64" s="46"/>
      <c r="V64" s="46"/>
      <c r="W64" s="88"/>
      <c r="Z64" s="70"/>
      <c r="AB64" s="85"/>
      <c r="AC64" s="86"/>
      <c r="AD64" s="67"/>
      <c r="AE64" s="68"/>
      <c r="AF64" s="29"/>
      <c r="AG64" s="66"/>
    </row>
    <row r="65" spans="1:33" ht="24.75" hidden="1" customHeight="1" x14ac:dyDescent="0.25">
      <c r="A65" s="5"/>
      <c r="B65" s="212" t="s">
        <v>8</v>
      </c>
      <c r="C65" s="213"/>
      <c r="D65" s="214"/>
      <c r="E65" s="47"/>
      <c r="F65" s="47"/>
      <c r="G65" s="47"/>
      <c r="H65" s="47"/>
      <c r="I65" s="47"/>
      <c r="J65" s="47"/>
      <c r="K65" s="47"/>
      <c r="L65" s="47"/>
      <c r="M65" s="47">
        <v>10</v>
      </c>
      <c r="N65" s="47">
        <v>10</v>
      </c>
      <c r="O65" s="47"/>
      <c r="P65" s="47"/>
      <c r="Q65" s="118">
        <v>50</v>
      </c>
      <c r="R65" s="47"/>
      <c r="S65" s="47">
        <v>70</v>
      </c>
      <c r="T65" s="47"/>
      <c r="U65" s="47"/>
      <c r="V65" s="47"/>
      <c r="W65" s="47"/>
      <c r="X65" s="48"/>
      <c r="Y65" s="49">
        <v>4.5</v>
      </c>
      <c r="Z65" s="49"/>
      <c r="AA65" s="29"/>
      <c r="AB65" s="85"/>
      <c r="AC65" s="86"/>
      <c r="AD65" s="67">
        <f t="shared" si="0"/>
        <v>0.25</v>
      </c>
      <c r="AE65" s="68">
        <f t="shared" si="1"/>
        <v>0</v>
      </c>
      <c r="AF65" s="29"/>
      <c r="AG65" s="66"/>
    </row>
    <row r="66" spans="1:33" ht="18.75" customHeight="1" x14ac:dyDescent="0.25">
      <c r="A66" s="5"/>
      <c r="B66" s="185" t="s">
        <v>7</v>
      </c>
      <c r="C66" s="186"/>
      <c r="D66" s="187"/>
      <c r="E66" s="98">
        <f t="shared" ref="E66:T66" si="3">IF(E60&lt;&gt;0,AVERAGE(E60:E63),"")</f>
        <v>6.75</v>
      </c>
      <c r="F66" s="98">
        <f t="shared" si="3"/>
        <v>8.8999999999999986</v>
      </c>
      <c r="G66" s="98">
        <f t="shared" si="3"/>
        <v>11.95</v>
      </c>
      <c r="H66" s="98">
        <f t="shared" si="3"/>
        <v>15.55</v>
      </c>
      <c r="I66" s="98">
        <f t="shared" si="3"/>
        <v>20.55</v>
      </c>
      <c r="J66" s="98">
        <f t="shared" si="3"/>
        <v>29.75</v>
      </c>
      <c r="K66" s="98">
        <f t="shared" si="3"/>
        <v>42.9</v>
      </c>
      <c r="L66" s="98">
        <f t="shared" si="3"/>
        <v>53.55</v>
      </c>
      <c r="M66" s="98">
        <f t="shared" si="3"/>
        <v>74.199999999999989</v>
      </c>
      <c r="N66" s="98">
        <f t="shared" si="3"/>
        <v>94.05</v>
      </c>
      <c r="O66" s="98">
        <f t="shared" si="3"/>
        <v>100</v>
      </c>
      <c r="P66" s="98" t="str">
        <f t="shared" si="3"/>
        <v/>
      </c>
      <c r="Q66" s="119" t="str">
        <f t="shared" si="3"/>
        <v/>
      </c>
      <c r="R66" s="98" t="str">
        <f t="shared" si="3"/>
        <v/>
      </c>
      <c r="S66" s="98" t="str">
        <f t="shared" si="3"/>
        <v/>
      </c>
      <c r="T66" s="99" t="str">
        <f t="shared" si="3"/>
        <v/>
      </c>
      <c r="U66" s="188">
        <f>IF(U60&lt;&gt;0,AVERAGE(U60:V63),"")</f>
        <v>171.5</v>
      </c>
      <c r="V66" s="189"/>
      <c r="W66" s="190">
        <f>IF(W60&lt;&gt;0,AVERAGE(W60:X63),"")</f>
        <v>5.05</v>
      </c>
      <c r="X66" s="191"/>
      <c r="Y66" s="192">
        <f>IF(W60&lt;&gt;0,AVERAGE(Y60:Z63),"")</f>
        <v>3.2034722876657713</v>
      </c>
      <c r="Z66" s="193"/>
      <c r="AA66" s="66"/>
      <c r="AB66" s="194">
        <f>(100*W66)/(100-W66)</f>
        <v>5.3185887309110056</v>
      </c>
      <c r="AC66" s="195"/>
      <c r="AD66" s="67">
        <f t="shared" si="0"/>
        <v>13.12335</v>
      </c>
      <c r="AE66" s="68">
        <f t="shared" si="1"/>
        <v>3.2034317879342877</v>
      </c>
      <c r="AF66" s="29"/>
      <c r="AG66" s="66"/>
    </row>
    <row r="67" spans="1:33" ht="21" customHeight="1" x14ac:dyDescent="0.25">
      <c r="A67" s="5"/>
      <c r="B67" s="196" t="s">
        <v>9</v>
      </c>
      <c r="C67" s="197"/>
      <c r="D67" s="198"/>
      <c r="E67" s="100">
        <v>6.9</v>
      </c>
      <c r="F67" s="114" t="e">
        <v>#N/A</v>
      </c>
      <c r="G67" s="100">
        <v>11</v>
      </c>
      <c r="H67" s="100">
        <v>15</v>
      </c>
      <c r="I67" s="100">
        <v>22</v>
      </c>
      <c r="J67" s="100">
        <v>31</v>
      </c>
      <c r="K67" s="100">
        <v>42</v>
      </c>
      <c r="L67" s="100">
        <v>49</v>
      </c>
      <c r="M67" s="100">
        <v>72</v>
      </c>
      <c r="N67" s="100">
        <v>93</v>
      </c>
      <c r="O67" s="100">
        <v>100</v>
      </c>
      <c r="P67" s="100"/>
      <c r="Q67" s="120"/>
      <c r="R67" s="100"/>
      <c r="S67" s="100"/>
      <c r="T67" s="101"/>
      <c r="U67" s="199"/>
      <c r="V67" s="200"/>
      <c r="W67" s="201">
        <v>5.3</v>
      </c>
      <c r="X67" s="202"/>
      <c r="Y67" s="203">
        <f>AE67</f>
        <v>3.3630545642531597</v>
      </c>
      <c r="Z67" s="204"/>
      <c r="AA67" s="66"/>
      <c r="AB67" s="194">
        <f>(100*W67)/(100-W67)</f>
        <v>5.5966209081309399</v>
      </c>
      <c r="AC67" s="195"/>
      <c r="AD67" s="67">
        <f t="shared" si="0"/>
        <v>13.276999999999997</v>
      </c>
      <c r="AE67" s="68">
        <f t="shared" si="1"/>
        <v>3.3630545642531597</v>
      </c>
      <c r="AF67" s="29"/>
      <c r="AG67" s="66"/>
    </row>
    <row r="68" spans="1:33" ht="13.5" customHeight="1" x14ac:dyDescent="0.25">
      <c r="A68" s="5"/>
      <c r="B68" s="50"/>
      <c r="C68" s="51" t="s">
        <v>23</v>
      </c>
      <c r="D68" s="52"/>
      <c r="E68" s="92">
        <f>E67+2</f>
        <v>8.9</v>
      </c>
      <c r="F68" s="92"/>
      <c r="G68" s="92"/>
      <c r="H68" s="92"/>
      <c r="I68" s="92"/>
      <c r="J68" s="92">
        <f>J67+6</f>
        <v>37</v>
      </c>
      <c r="K68" s="92"/>
      <c r="L68" s="92">
        <f>L67+7</f>
        <v>56</v>
      </c>
      <c r="M68" s="92"/>
      <c r="N68" s="92"/>
      <c r="O68" s="92"/>
      <c r="P68" s="92"/>
      <c r="Q68" s="92"/>
      <c r="R68" s="92"/>
      <c r="S68" s="92"/>
      <c r="T68" s="93"/>
      <c r="U68" s="168"/>
      <c r="V68" s="169"/>
      <c r="W68" s="170">
        <f>W67+0.5</f>
        <v>5.8</v>
      </c>
      <c r="X68" s="169"/>
      <c r="Y68" s="171"/>
      <c r="Z68" s="172"/>
      <c r="AA68" s="83"/>
      <c r="AB68" s="71"/>
      <c r="AC68" s="69"/>
      <c r="AD68" s="173"/>
      <c r="AE68" s="175" t="s">
        <v>46</v>
      </c>
      <c r="AF68" s="29"/>
      <c r="AG68" s="66"/>
    </row>
    <row r="69" spans="1:33" ht="13.5" customHeight="1" thickBot="1" x14ac:dyDescent="0.3">
      <c r="A69" s="5"/>
      <c r="B69" s="177" t="s">
        <v>24</v>
      </c>
      <c r="C69" s="178"/>
      <c r="D69" s="179"/>
      <c r="E69" s="102">
        <f>E67-2</f>
        <v>4.9000000000000004</v>
      </c>
      <c r="F69" s="102"/>
      <c r="G69" s="103"/>
      <c r="H69" s="103"/>
      <c r="I69" s="103"/>
      <c r="J69" s="102">
        <f>J67-6</f>
        <v>25</v>
      </c>
      <c r="K69" s="103"/>
      <c r="L69" s="102">
        <f>L67-7</f>
        <v>42</v>
      </c>
      <c r="M69" s="102"/>
      <c r="N69" s="103"/>
      <c r="O69" s="103"/>
      <c r="P69" s="103"/>
      <c r="Q69" s="102"/>
      <c r="R69" s="103"/>
      <c r="S69" s="103"/>
      <c r="T69" s="104"/>
      <c r="U69" s="180"/>
      <c r="V69" s="181"/>
      <c r="W69" s="182">
        <f>W67-0.3</f>
        <v>5</v>
      </c>
      <c r="X69" s="181"/>
      <c r="Y69" s="183"/>
      <c r="Z69" s="184"/>
      <c r="AA69" s="84"/>
      <c r="AB69" s="72"/>
      <c r="AC69" s="73"/>
      <c r="AD69" s="174"/>
      <c r="AE69" s="176"/>
      <c r="AF69" s="29"/>
      <c r="AG69" s="66"/>
    </row>
    <row r="70" spans="1:33" ht="6.75" customHeight="1" x14ac:dyDescent="0.25">
      <c r="A70" s="24"/>
      <c r="B70" s="25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53"/>
    </row>
    <row r="71" spans="1:33" ht="8.25" customHeight="1" x14ac:dyDescent="0.25"/>
    <row r="72" spans="1:33" ht="15.6" customHeight="1" x14ac:dyDescent="0.25">
      <c r="A72" s="54" t="s">
        <v>4</v>
      </c>
      <c r="B72" s="55" t="s">
        <v>21</v>
      </c>
      <c r="C72" s="56"/>
      <c r="D72" s="56"/>
      <c r="E72" s="56"/>
      <c r="F72" s="57"/>
      <c r="G72" s="57"/>
      <c r="H72" s="57"/>
      <c r="I72" s="9"/>
      <c r="J72" s="9"/>
      <c r="K72" s="9"/>
      <c r="L72" s="9"/>
      <c r="M72" s="9"/>
      <c r="N72" s="9"/>
      <c r="O72" s="9"/>
      <c r="P72" s="9"/>
      <c r="Q72" s="57"/>
      <c r="R72" s="9"/>
      <c r="S72" s="9"/>
      <c r="T72" s="9"/>
      <c r="U72" s="150"/>
      <c r="V72" s="150"/>
      <c r="W72" s="150"/>
      <c r="X72" s="150"/>
      <c r="Y72" s="150"/>
      <c r="Z72" s="151"/>
      <c r="AA72" s="81"/>
      <c r="AB72" s="58"/>
      <c r="AC72" s="58"/>
      <c r="AD72" s="59"/>
    </row>
    <row r="73" spans="1:33" ht="26.4" customHeight="1" x14ac:dyDescent="0.25">
      <c r="A73" s="152" t="s">
        <v>48</v>
      </c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4"/>
      <c r="R73" s="143" t="s">
        <v>31</v>
      </c>
      <c r="S73" s="144"/>
      <c r="T73" s="145"/>
      <c r="U73" s="155" t="s">
        <v>71</v>
      </c>
      <c r="V73" s="156"/>
      <c r="W73" s="156"/>
      <c r="X73" s="157"/>
      <c r="Y73" s="157"/>
      <c r="Z73" s="158"/>
      <c r="AA73" s="76"/>
      <c r="AB73" s="60"/>
      <c r="AC73" s="60"/>
      <c r="AD73" s="59"/>
    </row>
    <row r="74" spans="1:33" ht="26.4" customHeight="1" x14ac:dyDescent="0.25">
      <c r="A74" s="159" t="s">
        <v>52</v>
      </c>
      <c r="B74" s="160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  <c r="R74" s="143" t="s">
        <v>51</v>
      </c>
      <c r="S74" s="144"/>
      <c r="T74" s="145"/>
      <c r="U74" s="162" t="s">
        <v>78</v>
      </c>
      <c r="V74" s="163"/>
      <c r="W74" s="163"/>
      <c r="X74" s="163"/>
      <c r="Y74" s="163"/>
      <c r="Z74" s="164"/>
      <c r="AA74" s="76"/>
      <c r="AB74" s="60"/>
      <c r="AC74" s="60"/>
      <c r="AD74" s="59"/>
    </row>
    <row r="75" spans="1:33" ht="15.6" customHeight="1" x14ac:dyDescent="0.25">
      <c r="A75" s="61" t="s">
        <v>3</v>
      </c>
      <c r="B75" s="62" t="s">
        <v>5</v>
      </c>
      <c r="C75" s="14"/>
      <c r="D75" s="14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143"/>
      <c r="S75" s="144"/>
      <c r="T75" s="145"/>
      <c r="U75" s="165"/>
      <c r="V75" s="166"/>
      <c r="W75" s="166"/>
      <c r="X75" s="166"/>
      <c r="Y75" s="166"/>
      <c r="Z75" s="167"/>
      <c r="AA75" s="76"/>
      <c r="AB75" s="60"/>
      <c r="AC75" s="60"/>
      <c r="AD75" s="59"/>
    </row>
    <row r="76" spans="1:33" ht="15.6" customHeight="1" x14ac:dyDescent="0.25">
      <c r="A76" s="137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  <c r="R76" s="143" t="s">
        <v>25</v>
      </c>
      <c r="S76" s="144"/>
      <c r="T76" s="145"/>
      <c r="U76" s="105"/>
      <c r="V76" s="106"/>
      <c r="W76" s="106"/>
      <c r="X76" s="106"/>
      <c r="Y76" s="106"/>
      <c r="Z76" s="107"/>
      <c r="AA76" s="77"/>
      <c r="AB76" s="65"/>
      <c r="AC76" s="65"/>
      <c r="AD76" s="59"/>
    </row>
    <row r="77" spans="1:33" ht="15.6" customHeight="1" x14ac:dyDescent="0.25">
      <c r="A77" s="137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9"/>
      <c r="R77" s="143"/>
      <c r="S77" s="144"/>
      <c r="T77" s="145"/>
      <c r="U77" s="108"/>
      <c r="V77" s="149"/>
      <c r="W77" s="149"/>
      <c r="X77" s="149"/>
      <c r="Y77" s="149"/>
      <c r="Z77" s="109"/>
      <c r="AA77" s="77"/>
      <c r="AB77" s="65"/>
      <c r="AC77" s="65"/>
      <c r="AD77" s="59"/>
    </row>
    <row r="78" spans="1:33" ht="15.6" customHeight="1" x14ac:dyDescent="0.25">
      <c r="A78" s="137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9"/>
      <c r="R78" s="143"/>
      <c r="S78" s="144"/>
      <c r="T78" s="145"/>
      <c r="U78" s="108"/>
      <c r="V78" s="149"/>
      <c r="W78" s="149"/>
      <c r="X78" s="149"/>
      <c r="Y78" s="149"/>
      <c r="Z78" s="109"/>
      <c r="AA78" s="77"/>
      <c r="AB78" s="65"/>
      <c r="AC78" s="65"/>
      <c r="AD78" s="59"/>
    </row>
    <row r="79" spans="1:33" ht="15.6" customHeight="1" x14ac:dyDescent="0.25">
      <c r="A79" s="140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2"/>
      <c r="R79" s="146"/>
      <c r="S79" s="147"/>
      <c r="T79" s="148"/>
      <c r="U79" s="110"/>
      <c r="V79" s="111"/>
      <c r="W79" s="111"/>
      <c r="X79" s="111"/>
      <c r="Y79" s="111"/>
      <c r="Z79" s="112"/>
      <c r="AA79" s="77"/>
      <c r="AB79" s="65"/>
      <c r="AC79" s="65"/>
      <c r="AD79" s="59"/>
    </row>
  </sheetData>
  <mergeCells count="101">
    <mergeCell ref="A76:Q79"/>
    <mergeCell ref="R76:T79"/>
    <mergeCell ref="V77:Y78"/>
    <mergeCell ref="U72:Z72"/>
    <mergeCell ref="A73:Q73"/>
    <mergeCell ref="R73:T73"/>
    <mergeCell ref="U73:Z73"/>
    <mergeCell ref="A74:Q74"/>
    <mergeCell ref="R74:T75"/>
    <mergeCell ref="U74:Z75"/>
    <mergeCell ref="U68:V68"/>
    <mergeCell ref="W68:X68"/>
    <mergeCell ref="Y68:Z68"/>
    <mergeCell ref="AD68:AD69"/>
    <mergeCell ref="AE68:AE69"/>
    <mergeCell ref="B69:D69"/>
    <mergeCell ref="U69:V69"/>
    <mergeCell ref="W69:X69"/>
    <mergeCell ref="Y69:Z69"/>
    <mergeCell ref="B66:D66"/>
    <mergeCell ref="U66:V66"/>
    <mergeCell ref="W66:X66"/>
    <mergeCell ref="Y66:Z66"/>
    <mergeCell ref="AB66:AC66"/>
    <mergeCell ref="B67:D67"/>
    <mergeCell ref="U67:V67"/>
    <mergeCell ref="W67:X67"/>
    <mergeCell ref="Y67:Z67"/>
    <mergeCell ref="AB67:AC67"/>
    <mergeCell ref="C63:D63"/>
    <mergeCell ref="U63:V63"/>
    <mergeCell ref="W63:X63"/>
    <mergeCell ref="Y63:Z63"/>
    <mergeCell ref="AB63:AC63"/>
    <mergeCell ref="B65:D65"/>
    <mergeCell ref="C61:D61"/>
    <mergeCell ref="U61:V61"/>
    <mergeCell ref="W61:X61"/>
    <mergeCell ref="Y61:Z61"/>
    <mergeCell ref="AB61:AC61"/>
    <mergeCell ref="C62:D62"/>
    <mergeCell ref="U62:V62"/>
    <mergeCell ref="W62:X62"/>
    <mergeCell ref="Y62:Z62"/>
    <mergeCell ref="AB62:AC62"/>
    <mergeCell ref="C60:D60"/>
    <mergeCell ref="U60:V60"/>
    <mergeCell ref="W60:X60"/>
    <mergeCell ref="Y60:Z60"/>
    <mergeCell ref="AB60:AC60"/>
    <mergeCell ref="AF56:AF57"/>
    <mergeCell ref="AG56:AG57"/>
    <mergeCell ref="E58:T58"/>
    <mergeCell ref="U58:V59"/>
    <mergeCell ref="W58:X59"/>
    <mergeCell ref="Y58:Z59"/>
    <mergeCell ref="AB58:AC59"/>
    <mergeCell ref="AD58:AD59"/>
    <mergeCell ref="AE58:AE59"/>
    <mergeCell ref="AF58:AF59"/>
    <mergeCell ref="B11:F11"/>
    <mergeCell ref="G11:L11"/>
    <mergeCell ref="M11:R11"/>
    <mergeCell ref="S11:Y11"/>
    <mergeCell ref="B12:F12"/>
    <mergeCell ref="G12:L12"/>
    <mergeCell ref="M12:R12"/>
    <mergeCell ref="S12:Y12"/>
    <mergeCell ref="AG58:AG59"/>
    <mergeCell ref="C59:D59"/>
    <mergeCell ref="B19:H19"/>
    <mergeCell ref="I19:Y19"/>
    <mergeCell ref="B20:H20"/>
    <mergeCell ref="I20:Y20"/>
    <mergeCell ref="AD56:AD57"/>
    <mergeCell ref="AE56:AE57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D9ED-2D0C-4ED9-98D1-0870C51F37CF}">
  <sheetPr>
    <pageSetUpPr fitToPage="1"/>
  </sheetPr>
  <dimension ref="A1:AN70"/>
  <sheetViews>
    <sheetView zoomScaleNormal="100" workbookViewId="0">
      <selection activeCell="D71" sqref="D71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307" t="s">
        <v>56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308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308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308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3</v>
      </c>
      <c r="K5" s="292"/>
      <c r="L5" s="293" t="s">
        <v>53</v>
      </c>
      <c r="M5" s="252"/>
      <c r="N5" s="252"/>
      <c r="O5" s="292"/>
      <c r="P5" s="294">
        <v>45496</v>
      </c>
      <c r="Q5" s="295"/>
      <c r="R5" s="295"/>
      <c r="S5" s="295"/>
      <c r="T5" s="296"/>
      <c r="U5" s="308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309"/>
      <c r="V6" s="310"/>
      <c r="W6" s="310"/>
      <c r="X6" s="310"/>
      <c r="Y6" s="310"/>
      <c r="Z6" s="311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57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45496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62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45495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63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60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67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59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4" t="s">
        <v>16</v>
      </c>
      <c r="AE47" s="256">
        <v>2.6720000000000002</v>
      </c>
      <c r="AF47" s="226"/>
      <c r="AG47" s="232"/>
      <c r="AH47" s="39"/>
    </row>
    <row r="48" spans="1:34" ht="12.75" customHeight="1" thickBot="1" x14ac:dyDescent="0.3">
      <c r="A48" s="18"/>
      <c r="Z48" s="87"/>
      <c r="AD48" s="255"/>
      <c r="AE48" s="257"/>
      <c r="AF48" s="231"/>
      <c r="AG48" s="232"/>
    </row>
    <row r="49" spans="1:34" ht="18.75" customHeight="1" thickBot="1" x14ac:dyDescent="0.3">
      <c r="A49" s="18"/>
      <c r="E49" s="233" t="s">
        <v>11</v>
      </c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5" t="s">
        <v>47</v>
      </c>
      <c r="V49" s="236"/>
      <c r="W49" s="237" t="s">
        <v>12</v>
      </c>
      <c r="X49" s="236"/>
      <c r="Y49" s="238" t="s">
        <v>13</v>
      </c>
      <c r="Z49" s="239"/>
      <c r="AA49" s="82"/>
      <c r="AB49" s="242" t="s">
        <v>45</v>
      </c>
      <c r="AC49" s="243"/>
      <c r="AD49" s="246" t="s">
        <v>14</v>
      </c>
      <c r="AE49" s="248" t="s">
        <v>15</v>
      </c>
      <c r="AF49" s="226"/>
      <c r="AG49" s="226"/>
      <c r="AH49" s="40"/>
    </row>
    <row r="50" spans="1:34" ht="24.9" customHeight="1" thickBot="1" x14ac:dyDescent="0.3">
      <c r="A50" s="5"/>
      <c r="B50" s="41" t="s">
        <v>22</v>
      </c>
      <c r="C50" s="227" t="s">
        <v>10</v>
      </c>
      <c r="D50" s="228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7"/>
      <c r="V50" s="179"/>
      <c r="W50" s="178"/>
      <c r="X50" s="179"/>
      <c r="Y50" s="240"/>
      <c r="Z50" s="241"/>
      <c r="AA50" s="82"/>
      <c r="AB50" s="244"/>
      <c r="AC50" s="245"/>
      <c r="AD50" s="247"/>
      <c r="AE50" s="249"/>
      <c r="AF50" s="250"/>
      <c r="AG50" s="226"/>
    </row>
    <row r="51" spans="1:34" ht="24.9" customHeight="1" x14ac:dyDescent="0.25">
      <c r="A51" s="5"/>
      <c r="B51" s="43">
        <v>1</v>
      </c>
      <c r="C51" s="301" t="s">
        <v>65</v>
      </c>
      <c r="D51" s="302"/>
      <c r="E51" s="125">
        <v>9.3000000000000007</v>
      </c>
      <c r="F51" s="126">
        <v>11.5</v>
      </c>
      <c r="G51" s="127">
        <v>14.5</v>
      </c>
      <c r="H51" s="127">
        <v>18.100000000000001</v>
      </c>
      <c r="I51" s="127">
        <v>23.2</v>
      </c>
      <c r="J51" s="127">
        <v>32.200000000000003</v>
      </c>
      <c r="K51" s="127">
        <v>46.5</v>
      </c>
      <c r="L51" s="127">
        <v>65.599999999999994</v>
      </c>
      <c r="M51" s="127">
        <v>74.099999999999994</v>
      </c>
      <c r="N51" s="127">
        <v>85.7</v>
      </c>
      <c r="O51" s="127">
        <v>94.5</v>
      </c>
      <c r="P51" s="127">
        <v>98.5</v>
      </c>
      <c r="Q51" s="127">
        <v>100</v>
      </c>
      <c r="R51" s="127"/>
      <c r="S51" s="128"/>
      <c r="T51" s="128"/>
      <c r="U51" s="303">
        <v>165</v>
      </c>
      <c r="V51" s="304"/>
      <c r="W51" s="305">
        <v>4.38</v>
      </c>
      <c r="X51" s="306"/>
      <c r="Y51" s="229">
        <f>IF(W51&lt;&gt;0,AE51,"")</f>
        <v>2.6276852846508096</v>
      </c>
      <c r="Z51" s="230"/>
      <c r="AA51" s="80"/>
      <c r="AB51" s="194">
        <f>(100*W51)/(100-W51)</f>
        <v>4.5806316670152682</v>
      </c>
      <c r="AC51" s="195"/>
      <c r="AD51" s="67">
        <f>(0.25*(100-O51)+2.3*(O51-H51)+12*(H51-E51)+150*(E51))/100</f>
        <v>16.776949999999999</v>
      </c>
      <c r="AE51" s="68">
        <f>(AB51*$AE$47)/(2.65*(AD51)^(1/5))</f>
        <v>2.6276852846508096</v>
      </c>
      <c r="AF51" s="29"/>
      <c r="AG51" s="66"/>
    </row>
    <row r="52" spans="1:34" ht="24.9" customHeight="1" x14ac:dyDescent="0.25">
      <c r="A52" s="5"/>
      <c r="B52" s="44">
        <v>2</v>
      </c>
      <c r="C52" s="301" t="s">
        <v>70</v>
      </c>
      <c r="D52" s="302"/>
      <c r="E52" s="125">
        <v>8.4</v>
      </c>
      <c r="F52" s="126">
        <v>10.6</v>
      </c>
      <c r="G52" s="127">
        <v>13.4</v>
      </c>
      <c r="H52" s="127">
        <v>16.8</v>
      </c>
      <c r="I52" s="127">
        <v>22.1</v>
      </c>
      <c r="J52" s="127">
        <v>31.5</v>
      </c>
      <c r="K52" s="127">
        <v>46.6</v>
      </c>
      <c r="L52" s="127">
        <v>64.599999999999994</v>
      </c>
      <c r="M52" s="127">
        <v>73.2</v>
      </c>
      <c r="N52" s="127">
        <v>82.8</v>
      </c>
      <c r="O52" s="127">
        <v>91.7</v>
      </c>
      <c r="P52" s="127">
        <v>97.1</v>
      </c>
      <c r="Q52" s="127">
        <v>100</v>
      </c>
      <c r="R52" s="127"/>
      <c r="S52" s="128"/>
      <c r="T52" s="128"/>
      <c r="U52" s="303">
        <v>168</v>
      </c>
      <c r="V52" s="304"/>
      <c r="W52" s="305">
        <v>4.6100000000000003</v>
      </c>
      <c r="X52" s="306"/>
      <c r="Y52" s="221">
        <f>IF(W52&lt;&gt;0,AE52,"")</f>
        <v>2.8220114789673572</v>
      </c>
      <c r="Z52" s="222"/>
      <c r="AA52" s="80"/>
      <c r="AB52" s="194">
        <f>(100*W52)/(100-W52)</f>
        <v>4.8327916972428984</v>
      </c>
      <c r="AC52" s="195"/>
      <c r="AD52" s="67">
        <f t="shared" ref="AD52:AD58" si="0">(0.25*(100-O52)+2.3*(O52-H52)+12*(H52-E52)+150*(E52))/100</f>
        <v>15.35145</v>
      </c>
      <c r="AE52" s="68">
        <f t="shared" ref="AE52:AE58" si="1">(AB52*$AE$47)/(2.65*(AD52)^(1/5))</f>
        <v>2.8220114789673572</v>
      </c>
      <c r="AF52" s="29"/>
      <c r="AG52" s="66"/>
    </row>
    <row r="53" spans="1:34" ht="24.9" customHeight="1" x14ac:dyDescent="0.25">
      <c r="A53" s="5"/>
      <c r="B53" s="44">
        <v>3</v>
      </c>
      <c r="C53" s="171"/>
      <c r="D53" s="223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15"/>
      <c r="R53" s="92"/>
      <c r="S53" s="92"/>
      <c r="T53" s="93"/>
      <c r="U53" s="168"/>
      <c r="V53" s="169"/>
      <c r="W53" s="224"/>
      <c r="X53" s="225"/>
      <c r="Y53" s="221" t="str">
        <f t="shared" ref="Y53:Y54" si="2">IF(W53&lt;&gt;0,AE53,"")</f>
        <v/>
      </c>
      <c r="Z53" s="222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3"/>
      <c r="D54" s="205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16"/>
      <c r="R54" s="96"/>
      <c r="S54" s="96"/>
      <c r="T54" s="97"/>
      <c r="U54" s="206"/>
      <c r="V54" s="207"/>
      <c r="W54" s="208"/>
      <c r="X54" s="209"/>
      <c r="Y54" s="210" t="str">
        <f t="shared" si="2"/>
        <v/>
      </c>
      <c r="Z54" s="211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2" t="s">
        <v>8</v>
      </c>
      <c r="C56" s="213"/>
      <c r="D56" s="214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5" t="s">
        <v>7</v>
      </c>
      <c r="C57" s="186"/>
      <c r="D57" s="187"/>
      <c r="E57" s="98">
        <f t="shared" ref="E57:T57" si="3">IF(E51&lt;&gt;0,AVERAGE(E51:E54),"")</f>
        <v>8.8500000000000014</v>
      </c>
      <c r="F57" s="98">
        <f t="shared" si="3"/>
        <v>11.05</v>
      </c>
      <c r="G57" s="98">
        <f t="shared" si="3"/>
        <v>13.95</v>
      </c>
      <c r="H57" s="98">
        <f t="shared" si="3"/>
        <v>17.450000000000003</v>
      </c>
      <c r="I57" s="98">
        <f t="shared" si="3"/>
        <v>22.65</v>
      </c>
      <c r="J57" s="98">
        <f t="shared" si="3"/>
        <v>31.85</v>
      </c>
      <c r="K57" s="98">
        <f t="shared" si="3"/>
        <v>46.55</v>
      </c>
      <c r="L57" s="98">
        <f t="shared" si="3"/>
        <v>65.099999999999994</v>
      </c>
      <c r="M57" s="98">
        <f t="shared" si="3"/>
        <v>73.650000000000006</v>
      </c>
      <c r="N57" s="98">
        <f t="shared" si="3"/>
        <v>84.25</v>
      </c>
      <c r="O57" s="98">
        <f t="shared" si="3"/>
        <v>93.1</v>
      </c>
      <c r="P57" s="98">
        <f t="shared" si="3"/>
        <v>97.8</v>
      </c>
      <c r="Q57" s="11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8">
        <f>IF(U51&lt;&gt;0,AVERAGE(U51:V54),"")</f>
        <v>166.5</v>
      </c>
      <c r="V57" s="189"/>
      <c r="W57" s="190">
        <f>IF(W51&lt;&gt;0,AVERAGE(W51:X54),"")</f>
        <v>4.4950000000000001</v>
      </c>
      <c r="X57" s="191"/>
      <c r="Y57" s="192">
        <f>IF(W51&lt;&gt;0,AVERAGE(Y51:Z54),"")</f>
        <v>2.7248483818090836</v>
      </c>
      <c r="Z57" s="193"/>
      <c r="AA57" s="66"/>
      <c r="AB57" s="194">
        <f>(100*W57)/(100-W57)</f>
        <v>4.7065598659756036</v>
      </c>
      <c r="AC57" s="195"/>
      <c r="AD57" s="67">
        <f t="shared" si="0"/>
        <v>16.0642</v>
      </c>
      <c r="AE57" s="68">
        <f t="shared" si="1"/>
        <v>2.7234684372228775</v>
      </c>
      <c r="AF57" s="29"/>
      <c r="AG57" s="66"/>
    </row>
    <row r="58" spans="1:34" ht="21" customHeight="1" x14ac:dyDescent="0.25">
      <c r="A58" s="5"/>
      <c r="B58" s="196" t="s">
        <v>9</v>
      </c>
      <c r="C58" s="197"/>
      <c r="D58" s="198"/>
      <c r="E58" s="100">
        <v>8.4</v>
      </c>
      <c r="F58" s="114" t="e">
        <v>#N/A</v>
      </c>
      <c r="G58" s="100">
        <v>14</v>
      </c>
      <c r="H58" s="100">
        <v>18</v>
      </c>
      <c r="I58" s="100">
        <v>23</v>
      </c>
      <c r="J58" s="100">
        <v>32</v>
      </c>
      <c r="K58" s="100">
        <v>46</v>
      </c>
      <c r="L58" s="100">
        <v>61</v>
      </c>
      <c r="M58" s="100">
        <v>70</v>
      </c>
      <c r="N58" s="100">
        <v>79</v>
      </c>
      <c r="O58" s="100">
        <v>91</v>
      </c>
      <c r="P58" s="100">
        <v>97</v>
      </c>
      <c r="Q58" s="120">
        <v>100</v>
      </c>
      <c r="R58" s="100"/>
      <c r="S58" s="100"/>
      <c r="T58" s="101"/>
      <c r="U58" s="199"/>
      <c r="V58" s="200"/>
      <c r="W58" s="201">
        <v>4.7</v>
      </c>
      <c r="X58" s="202"/>
      <c r="Y58" s="203">
        <f>AE58</f>
        <v>2.8760085040007062</v>
      </c>
      <c r="Z58" s="204"/>
      <c r="AA58" s="66"/>
      <c r="AB58" s="194">
        <f>(100*W58)/(100-W58)</f>
        <v>4.931794333683106</v>
      </c>
      <c r="AC58" s="195"/>
      <c r="AD58" s="67">
        <f t="shared" si="0"/>
        <v>15.453499999999998</v>
      </c>
      <c r="AE58" s="68">
        <f t="shared" si="1"/>
        <v>2.8760085040007062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10.4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68"/>
      <c r="V59" s="169"/>
      <c r="W59" s="170">
        <f>W58+0.5</f>
        <v>5.2</v>
      </c>
      <c r="X59" s="169"/>
      <c r="Y59" s="171"/>
      <c r="Z59" s="172"/>
      <c r="AA59" s="83"/>
      <c r="AB59" s="71"/>
      <c r="AC59" s="69"/>
      <c r="AD59" s="173"/>
      <c r="AE59" s="175" t="s">
        <v>46</v>
      </c>
      <c r="AF59" s="29"/>
      <c r="AG59" s="66"/>
    </row>
    <row r="60" spans="1:34" ht="13.5" customHeight="1" thickBot="1" x14ac:dyDescent="0.3">
      <c r="A60" s="5"/>
      <c r="B60" s="177" t="s">
        <v>24</v>
      </c>
      <c r="C60" s="178"/>
      <c r="D60" s="179"/>
      <c r="E60" s="102">
        <f>E58-2</f>
        <v>6.4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180"/>
      <c r="V60" s="181"/>
      <c r="W60" s="182">
        <f>W58-0.5</f>
        <v>4.2</v>
      </c>
      <c r="X60" s="181"/>
      <c r="Y60" s="183"/>
      <c r="Z60" s="184"/>
      <c r="AA60" s="84"/>
      <c r="AB60" s="72"/>
      <c r="AC60" s="73"/>
      <c r="AD60" s="174"/>
      <c r="AE60" s="176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50"/>
      <c r="V63" s="150"/>
      <c r="W63" s="150"/>
      <c r="X63" s="150"/>
      <c r="Y63" s="150"/>
      <c r="Z63" s="151"/>
      <c r="AA63" s="81"/>
      <c r="AB63" s="58"/>
      <c r="AC63" s="58"/>
      <c r="AD63" s="59"/>
    </row>
    <row r="64" spans="1:34" ht="26.4" customHeight="1" x14ac:dyDescent="0.25">
      <c r="A64" s="152" t="s">
        <v>48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4"/>
      <c r="R64" s="143" t="s">
        <v>31</v>
      </c>
      <c r="S64" s="144"/>
      <c r="T64" s="145"/>
      <c r="U64" s="155" t="s">
        <v>54</v>
      </c>
      <c r="V64" s="156"/>
      <c r="W64" s="156"/>
      <c r="X64" s="157"/>
      <c r="Y64" s="157"/>
      <c r="Z64" s="158"/>
      <c r="AA64" s="76"/>
      <c r="AB64" s="60"/>
      <c r="AC64" s="60"/>
      <c r="AD64" s="59"/>
    </row>
    <row r="65" spans="1:30" ht="26.4" customHeight="1" x14ac:dyDescent="0.25">
      <c r="A65" s="159" t="s">
        <v>52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1"/>
      <c r="R65" s="143" t="s">
        <v>51</v>
      </c>
      <c r="S65" s="144"/>
      <c r="T65" s="145"/>
      <c r="U65" s="162" t="s">
        <v>55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43"/>
      <c r="S66" s="144"/>
      <c r="T66" s="145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6" customHeight="1" x14ac:dyDescent="0.25">
      <c r="A67" s="137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  <c r="R67" s="143" t="s">
        <v>25</v>
      </c>
      <c r="S67" s="144"/>
      <c r="T67" s="14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9"/>
      <c r="R68" s="143"/>
      <c r="S68" s="144"/>
      <c r="T68" s="145"/>
      <c r="U68" s="108"/>
      <c r="V68" s="149"/>
      <c r="W68" s="149"/>
      <c r="X68" s="149"/>
      <c r="Y68" s="149"/>
      <c r="Z68" s="109"/>
      <c r="AA68" s="77"/>
      <c r="AB68" s="65"/>
      <c r="AC68" s="65"/>
      <c r="AD68" s="59"/>
    </row>
    <row r="69" spans="1:30" ht="15.6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  <c r="R69" s="143"/>
      <c r="S69" s="144"/>
      <c r="T69" s="145"/>
      <c r="U69" s="108"/>
      <c r="V69" s="149"/>
      <c r="W69" s="149"/>
      <c r="X69" s="149"/>
      <c r="Y69" s="149"/>
      <c r="Z69" s="109"/>
      <c r="AA69" s="77"/>
      <c r="AB69" s="65"/>
      <c r="AC69" s="65"/>
      <c r="AD69" s="59"/>
    </row>
    <row r="70" spans="1:30" ht="15.6" customHeight="1" x14ac:dyDescent="0.25">
      <c r="A70" s="140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2"/>
      <c r="R70" s="146"/>
      <c r="S70" s="147"/>
      <c r="T70" s="14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7:Q70"/>
    <mergeCell ref="R67:T70"/>
    <mergeCell ref="V68:Y69"/>
    <mergeCell ref="C51:D51"/>
    <mergeCell ref="U51:V51"/>
    <mergeCell ref="W51:X51"/>
    <mergeCell ref="U52:V52"/>
    <mergeCell ref="W52:X52"/>
    <mergeCell ref="C52:D52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  <mergeCell ref="Y51:Z51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602E-6F4F-4F10-882A-FEA236D1D786}">
  <sheetPr>
    <pageSetUpPr fitToPage="1"/>
  </sheetPr>
  <dimension ref="A1:AN70"/>
  <sheetViews>
    <sheetView topLeftCell="A39" zoomScaleNormal="100" workbookViewId="0">
      <selection activeCell="V68" sqref="V68:Y6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307" t="s">
        <v>56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308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308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308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2</v>
      </c>
      <c r="K5" s="292"/>
      <c r="L5" s="293" t="s">
        <v>53</v>
      </c>
      <c r="M5" s="252"/>
      <c r="N5" s="252"/>
      <c r="O5" s="292"/>
      <c r="P5" s="294">
        <v>45490</v>
      </c>
      <c r="Q5" s="295"/>
      <c r="R5" s="295"/>
      <c r="S5" s="295"/>
      <c r="T5" s="296"/>
      <c r="U5" s="308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309"/>
      <c r="V6" s="310"/>
      <c r="W6" s="310"/>
      <c r="X6" s="310"/>
      <c r="Y6" s="310"/>
      <c r="Z6" s="311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57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45490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62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>
        <v>45490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63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60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67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59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4" t="s">
        <v>16</v>
      </c>
      <c r="AE47" s="256">
        <v>2.6720000000000002</v>
      </c>
      <c r="AF47" s="226"/>
      <c r="AG47" s="232"/>
      <c r="AH47" s="39"/>
    </row>
    <row r="48" spans="1:34" ht="12.75" customHeight="1" thickBot="1" x14ac:dyDescent="0.3">
      <c r="A48" s="18"/>
      <c r="Z48" s="87"/>
      <c r="AD48" s="255"/>
      <c r="AE48" s="257"/>
      <c r="AF48" s="231"/>
      <c r="AG48" s="232"/>
    </row>
    <row r="49" spans="1:34" ht="18.75" customHeight="1" thickBot="1" x14ac:dyDescent="0.3">
      <c r="A49" s="18"/>
      <c r="E49" s="233" t="s">
        <v>11</v>
      </c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5" t="s">
        <v>47</v>
      </c>
      <c r="V49" s="236"/>
      <c r="W49" s="237" t="s">
        <v>12</v>
      </c>
      <c r="X49" s="236"/>
      <c r="Y49" s="238" t="s">
        <v>13</v>
      </c>
      <c r="Z49" s="239"/>
      <c r="AA49" s="82"/>
      <c r="AB49" s="242" t="s">
        <v>45</v>
      </c>
      <c r="AC49" s="243"/>
      <c r="AD49" s="246" t="s">
        <v>14</v>
      </c>
      <c r="AE49" s="248" t="s">
        <v>15</v>
      </c>
      <c r="AF49" s="226"/>
      <c r="AG49" s="226"/>
      <c r="AH49" s="40"/>
    </row>
    <row r="50" spans="1:34" ht="24.9" customHeight="1" thickBot="1" x14ac:dyDescent="0.3">
      <c r="A50" s="5"/>
      <c r="B50" s="41" t="s">
        <v>22</v>
      </c>
      <c r="C50" s="227" t="s">
        <v>10</v>
      </c>
      <c r="D50" s="228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7"/>
      <c r="V50" s="179"/>
      <c r="W50" s="178"/>
      <c r="X50" s="179"/>
      <c r="Y50" s="240"/>
      <c r="Z50" s="241"/>
      <c r="AA50" s="82"/>
      <c r="AB50" s="244"/>
      <c r="AC50" s="245"/>
      <c r="AD50" s="247"/>
      <c r="AE50" s="249"/>
      <c r="AF50" s="250"/>
      <c r="AG50" s="226"/>
    </row>
    <row r="51" spans="1:34" ht="24.9" customHeight="1" x14ac:dyDescent="0.25">
      <c r="A51" s="5"/>
      <c r="B51" s="43">
        <v>1</v>
      </c>
      <c r="C51" s="316" t="s">
        <v>68</v>
      </c>
      <c r="D51" s="317"/>
      <c r="E51" s="121">
        <v>8.6999999999999993</v>
      </c>
      <c r="F51" s="122">
        <v>11</v>
      </c>
      <c r="G51" s="123">
        <v>14</v>
      </c>
      <c r="H51" s="123">
        <v>17.8</v>
      </c>
      <c r="I51" s="123">
        <v>23</v>
      </c>
      <c r="J51" s="123">
        <v>32.1</v>
      </c>
      <c r="K51" s="123">
        <v>45.6</v>
      </c>
      <c r="L51" s="123">
        <v>63</v>
      </c>
      <c r="M51" s="123">
        <v>73.2</v>
      </c>
      <c r="N51" s="123">
        <v>82.7</v>
      </c>
      <c r="O51" s="123">
        <v>93.8</v>
      </c>
      <c r="P51" s="123">
        <v>97.3</v>
      </c>
      <c r="Q51" s="123">
        <v>100</v>
      </c>
      <c r="R51" s="123"/>
      <c r="S51" s="124"/>
      <c r="T51" s="124"/>
      <c r="U51" s="312">
        <v>168</v>
      </c>
      <c r="V51" s="313"/>
      <c r="W51" s="314">
        <v>4.66</v>
      </c>
      <c r="X51" s="315"/>
      <c r="Y51" s="229">
        <f>IF(W51&lt;&gt;0,AE51,"")</f>
        <v>2.8339480432928412</v>
      </c>
      <c r="Z51" s="230"/>
      <c r="AA51" s="80"/>
      <c r="AB51" s="194">
        <f>(100*W51)/(100-W51)</f>
        <v>4.8877700860079711</v>
      </c>
      <c r="AC51" s="195"/>
      <c r="AD51" s="67">
        <f>(0.25*(100-O51)+2.3*(O51-H51)+12*(H51-E51)+150*(E51))/100</f>
        <v>15.9055</v>
      </c>
      <c r="AE51" s="68">
        <f>(AB51*$AE$47)/(2.65*(AD51)^(1/5))</f>
        <v>2.8339480432928412</v>
      </c>
      <c r="AF51" s="29"/>
      <c r="AG51" s="66"/>
    </row>
    <row r="52" spans="1:34" ht="24.9" customHeight="1" x14ac:dyDescent="0.25">
      <c r="A52" s="5"/>
      <c r="B52" s="44">
        <v>2</v>
      </c>
      <c r="C52" s="316" t="s">
        <v>69</v>
      </c>
      <c r="D52" s="317"/>
      <c r="E52" s="121">
        <v>8.6</v>
      </c>
      <c r="F52" s="122">
        <v>10.9</v>
      </c>
      <c r="G52" s="123">
        <v>13.7</v>
      </c>
      <c r="H52" s="123">
        <v>17.2</v>
      </c>
      <c r="I52" s="123">
        <v>22.3</v>
      </c>
      <c r="J52" s="123">
        <v>30.7</v>
      </c>
      <c r="K52" s="123">
        <v>44</v>
      </c>
      <c r="L52" s="123">
        <v>62.1</v>
      </c>
      <c r="M52" s="123">
        <v>72.5</v>
      </c>
      <c r="N52" s="123">
        <v>82.3</v>
      </c>
      <c r="O52" s="123">
        <v>91.3</v>
      </c>
      <c r="P52" s="123">
        <v>97.7</v>
      </c>
      <c r="Q52" s="123">
        <v>100</v>
      </c>
      <c r="R52" s="123"/>
      <c r="S52" s="124"/>
      <c r="T52" s="124"/>
      <c r="U52" s="312">
        <v>165</v>
      </c>
      <c r="V52" s="313"/>
      <c r="W52" s="314">
        <v>4.43</v>
      </c>
      <c r="X52" s="315"/>
      <c r="Y52" s="221">
        <f>IF(W52&lt;&gt;0,AE52,"")</f>
        <v>2.6960328834364531</v>
      </c>
      <c r="Z52" s="222"/>
      <c r="AA52" s="80"/>
      <c r="AB52" s="194">
        <f>(100*W52)/(100-W52)</f>
        <v>4.6353458198179345</v>
      </c>
      <c r="AC52" s="195"/>
      <c r="AD52" s="67">
        <f t="shared" ref="AD52:AD58" si="0">(0.25*(100-O52)+2.3*(O52-H52)+12*(H52-E52)+150*(E52))/100</f>
        <v>15.658049999999998</v>
      </c>
      <c r="AE52" s="68">
        <f t="shared" ref="AE52:AE58" si="1">(AB52*$AE$47)/(2.65*(AD52)^(1/5))</f>
        <v>2.6960328834364531</v>
      </c>
      <c r="AF52" s="29"/>
      <c r="AG52" s="66"/>
    </row>
    <row r="53" spans="1:34" ht="24.9" customHeight="1" x14ac:dyDescent="0.25">
      <c r="A53" s="5"/>
      <c r="B53" s="44">
        <v>3</v>
      </c>
      <c r="C53" s="171"/>
      <c r="D53" s="223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15"/>
      <c r="R53" s="92"/>
      <c r="S53" s="92"/>
      <c r="T53" s="93"/>
      <c r="U53" s="168"/>
      <c r="V53" s="169"/>
      <c r="W53" s="224"/>
      <c r="X53" s="225"/>
      <c r="Y53" s="221" t="str">
        <f t="shared" ref="Y53:Y54" si="2">IF(W53&lt;&gt;0,AE53,"")</f>
        <v/>
      </c>
      <c r="Z53" s="222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3"/>
      <c r="D54" s="205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16"/>
      <c r="R54" s="96"/>
      <c r="S54" s="96"/>
      <c r="T54" s="97"/>
      <c r="U54" s="206"/>
      <c r="V54" s="207"/>
      <c r="W54" s="208"/>
      <c r="X54" s="209"/>
      <c r="Y54" s="210" t="str">
        <f t="shared" si="2"/>
        <v/>
      </c>
      <c r="Z54" s="211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2" t="s">
        <v>8</v>
      </c>
      <c r="C56" s="213"/>
      <c r="D56" s="214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5" t="s">
        <v>7</v>
      </c>
      <c r="C57" s="186"/>
      <c r="D57" s="187"/>
      <c r="E57" s="98">
        <f t="shared" ref="E57:T57" si="3">IF(E51&lt;&gt;0,AVERAGE(E51:E54),"")</f>
        <v>8.6499999999999986</v>
      </c>
      <c r="F57" s="98">
        <f t="shared" si="3"/>
        <v>10.95</v>
      </c>
      <c r="G57" s="98">
        <f t="shared" si="3"/>
        <v>13.85</v>
      </c>
      <c r="H57" s="98">
        <f t="shared" si="3"/>
        <v>17.5</v>
      </c>
      <c r="I57" s="98">
        <f t="shared" si="3"/>
        <v>22.65</v>
      </c>
      <c r="J57" s="98">
        <f t="shared" si="3"/>
        <v>31.4</v>
      </c>
      <c r="K57" s="98">
        <f t="shared" si="3"/>
        <v>44.8</v>
      </c>
      <c r="L57" s="98">
        <f t="shared" si="3"/>
        <v>62.55</v>
      </c>
      <c r="M57" s="98">
        <f t="shared" si="3"/>
        <v>72.849999999999994</v>
      </c>
      <c r="N57" s="98">
        <f t="shared" si="3"/>
        <v>82.5</v>
      </c>
      <c r="O57" s="98">
        <f t="shared" si="3"/>
        <v>92.55</v>
      </c>
      <c r="P57" s="98">
        <f t="shared" si="3"/>
        <v>97.5</v>
      </c>
      <c r="Q57" s="11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8">
        <f>IF(U51&lt;&gt;0,AVERAGE(U51:V54),"")</f>
        <v>166.5</v>
      </c>
      <c r="V57" s="189"/>
      <c r="W57" s="190">
        <f>IF(W51&lt;&gt;0,AVERAGE(W51:X54),"")</f>
        <v>4.5449999999999999</v>
      </c>
      <c r="X57" s="191"/>
      <c r="Y57" s="192">
        <f>IF(W51&lt;&gt;0,AVERAGE(Y51:Z54),"")</f>
        <v>2.7649904633646472</v>
      </c>
      <c r="Z57" s="193"/>
      <c r="AA57" s="66"/>
      <c r="AB57" s="194">
        <f>(100*W57)/(100-W57)</f>
        <v>4.7614058980671521</v>
      </c>
      <c r="AC57" s="195"/>
      <c r="AD57" s="67">
        <f t="shared" si="0"/>
        <v>15.781774999999998</v>
      </c>
      <c r="AE57" s="68">
        <f t="shared" si="1"/>
        <v>2.7649966914667878</v>
      </c>
      <c r="AF57" s="29"/>
      <c r="AG57" s="66"/>
    </row>
    <row r="58" spans="1:34" ht="21" customHeight="1" x14ac:dyDescent="0.25">
      <c r="A58" s="5"/>
      <c r="B58" s="196" t="s">
        <v>9</v>
      </c>
      <c r="C58" s="197"/>
      <c r="D58" s="198"/>
      <c r="E58" s="100">
        <v>8.4</v>
      </c>
      <c r="F58" s="114" t="e">
        <v>#N/A</v>
      </c>
      <c r="G58" s="100">
        <v>14</v>
      </c>
      <c r="H58" s="100">
        <v>18</v>
      </c>
      <c r="I58" s="100">
        <v>23</v>
      </c>
      <c r="J58" s="100">
        <v>32</v>
      </c>
      <c r="K58" s="100">
        <v>46</v>
      </c>
      <c r="L58" s="100">
        <v>61</v>
      </c>
      <c r="M58" s="100">
        <v>70</v>
      </c>
      <c r="N58" s="100">
        <v>79</v>
      </c>
      <c r="O58" s="100">
        <v>91</v>
      </c>
      <c r="P58" s="100">
        <v>97</v>
      </c>
      <c r="Q58" s="120">
        <v>100</v>
      </c>
      <c r="R58" s="100"/>
      <c r="S58" s="100"/>
      <c r="T58" s="101"/>
      <c r="U58" s="199"/>
      <c r="V58" s="200"/>
      <c r="W58" s="201">
        <v>4.7</v>
      </c>
      <c r="X58" s="202"/>
      <c r="Y58" s="203">
        <f>AE58</f>
        <v>2.8760085040007062</v>
      </c>
      <c r="Z58" s="204"/>
      <c r="AA58" s="66"/>
      <c r="AB58" s="194">
        <f>(100*W58)/(100-W58)</f>
        <v>4.931794333683106</v>
      </c>
      <c r="AC58" s="195"/>
      <c r="AD58" s="67">
        <f t="shared" si="0"/>
        <v>15.453499999999998</v>
      </c>
      <c r="AE58" s="68">
        <f t="shared" si="1"/>
        <v>2.8760085040007062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10.4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68"/>
      <c r="V59" s="169"/>
      <c r="W59" s="170">
        <f>W58+0.5</f>
        <v>5.2</v>
      </c>
      <c r="X59" s="169"/>
      <c r="Y59" s="171"/>
      <c r="Z59" s="172"/>
      <c r="AA59" s="83"/>
      <c r="AB59" s="71"/>
      <c r="AC59" s="69"/>
      <c r="AD59" s="173"/>
      <c r="AE59" s="175" t="s">
        <v>46</v>
      </c>
      <c r="AF59" s="29"/>
      <c r="AG59" s="66"/>
    </row>
    <row r="60" spans="1:34" ht="13.5" customHeight="1" thickBot="1" x14ac:dyDescent="0.3">
      <c r="A60" s="5"/>
      <c r="B60" s="177" t="s">
        <v>24</v>
      </c>
      <c r="C60" s="178"/>
      <c r="D60" s="179"/>
      <c r="E60" s="102">
        <f>E58-2</f>
        <v>6.4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180"/>
      <c r="V60" s="181"/>
      <c r="W60" s="182">
        <f>W58-0.5</f>
        <v>4.2</v>
      </c>
      <c r="X60" s="181"/>
      <c r="Y60" s="183"/>
      <c r="Z60" s="184"/>
      <c r="AA60" s="84"/>
      <c r="AB60" s="72"/>
      <c r="AC60" s="73"/>
      <c r="AD60" s="174"/>
      <c r="AE60" s="176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50"/>
      <c r="V63" s="150"/>
      <c r="W63" s="150"/>
      <c r="X63" s="150"/>
      <c r="Y63" s="150"/>
      <c r="Z63" s="151"/>
      <c r="AA63" s="81"/>
      <c r="AB63" s="58"/>
      <c r="AC63" s="58"/>
      <c r="AD63" s="59"/>
    </row>
    <row r="64" spans="1:34" ht="26.4" customHeight="1" x14ac:dyDescent="0.25">
      <c r="A64" s="152" t="s">
        <v>48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4"/>
      <c r="R64" s="143" t="s">
        <v>31</v>
      </c>
      <c r="S64" s="144"/>
      <c r="T64" s="145"/>
      <c r="U64" s="155" t="s">
        <v>54</v>
      </c>
      <c r="V64" s="156"/>
      <c r="W64" s="156"/>
      <c r="X64" s="157"/>
      <c r="Y64" s="157"/>
      <c r="Z64" s="158"/>
      <c r="AA64" s="76"/>
      <c r="AB64" s="60"/>
      <c r="AC64" s="60"/>
      <c r="AD64" s="59"/>
    </row>
    <row r="65" spans="1:30" ht="26.4" customHeight="1" x14ac:dyDescent="0.25">
      <c r="A65" s="159" t="s">
        <v>52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1"/>
      <c r="R65" s="143" t="s">
        <v>51</v>
      </c>
      <c r="S65" s="144"/>
      <c r="T65" s="145"/>
      <c r="U65" s="162" t="s">
        <v>55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43"/>
      <c r="S66" s="144"/>
      <c r="T66" s="145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6" customHeight="1" x14ac:dyDescent="0.25">
      <c r="A67" s="137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  <c r="R67" s="143" t="s">
        <v>25</v>
      </c>
      <c r="S67" s="144"/>
      <c r="T67" s="14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9"/>
      <c r="R68" s="143"/>
      <c r="S68" s="144"/>
      <c r="T68" s="145"/>
      <c r="U68" s="108"/>
      <c r="V68" s="149"/>
      <c r="W68" s="149"/>
      <c r="X68" s="149"/>
      <c r="Y68" s="149"/>
      <c r="Z68" s="109"/>
      <c r="AA68" s="77"/>
      <c r="AB68" s="65"/>
      <c r="AC68" s="65"/>
      <c r="AD68" s="59"/>
    </row>
    <row r="69" spans="1:30" ht="15.6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  <c r="R69" s="143"/>
      <c r="S69" s="144"/>
      <c r="T69" s="145"/>
      <c r="U69" s="108"/>
      <c r="V69" s="149"/>
      <c r="W69" s="149"/>
      <c r="X69" s="149"/>
      <c r="Y69" s="149"/>
      <c r="Z69" s="109"/>
      <c r="AA69" s="77"/>
      <c r="AB69" s="65"/>
      <c r="AC69" s="65"/>
      <c r="AD69" s="59"/>
    </row>
    <row r="70" spans="1:30" ht="15.6" customHeight="1" x14ac:dyDescent="0.25">
      <c r="A70" s="140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2"/>
      <c r="R70" s="146"/>
      <c r="S70" s="147"/>
      <c r="T70" s="14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A67:Q70"/>
    <mergeCell ref="R67:T70"/>
    <mergeCell ref="V68:Y69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  <mergeCell ref="Y51:Z51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C51" sqref="C51:X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67"/>
      <c r="B1" s="268"/>
      <c r="C1" s="268"/>
      <c r="D1" s="268"/>
      <c r="E1" s="268"/>
      <c r="F1" s="269"/>
      <c r="G1" s="276" t="s">
        <v>33</v>
      </c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8"/>
      <c r="U1" s="307" t="s">
        <v>56</v>
      </c>
      <c r="V1" s="280"/>
      <c r="W1" s="280"/>
      <c r="X1" s="280"/>
      <c r="Y1" s="280"/>
      <c r="Z1" s="281"/>
      <c r="AA1" s="78"/>
    </row>
    <row r="2" spans="1:36" ht="12.6" customHeight="1" x14ac:dyDescent="0.25">
      <c r="A2" s="270"/>
      <c r="B2" s="271"/>
      <c r="C2" s="271"/>
      <c r="D2" s="271"/>
      <c r="E2" s="271"/>
      <c r="F2" s="272"/>
      <c r="G2" s="288" t="s">
        <v>39</v>
      </c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90"/>
      <c r="U2" s="308"/>
      <c r="V2" s="283"/>
      <c r="W2" s="283"/>
      <c r="X2" s="283"/>
      <c r="Y2" s="283"/>
      <c r="Z2" s="284"/>
      <c r="AA2" s="78"/>
    </row>
    <row r="3" spans="1:36" ht="12.6" customHeight="1" x14ac:dyDescent="0.25">
      <c r="A3" s="270"/>
      <c r="B3" s="271"/>
      <c r="C3" s="271"/>
      <c r="D3" s="271"/>
      <c r="E3" s="271"/>
      <c r="F3" s="272"/>
      <c r="G3" s="291"/>
      <c r="H3" s="289"/>
      <c r="I3" s="289"/>
      <c r="J3" s="289"/>
      <c r="K3" s="289"/>
      <c r="L3" s="289"/>
      <c r="M3" s="289"/>
      <c r="N3" s="289"/>
      <c r="O3" s="289"/>
      <c r="P3" s="289"/>
      <c r="Q3" s="289"/>
      <c r="R3" s="289"/>
      <c r="S3" s="289"/>
      <c r="T3" s="290"/>
      <c r="U3" s="308"/>
      <c r="V3" s="283"/>
      <c r="W3" s="283"/>
      <c r="X3" s="283"/>
      <c r="Y3" s="283"/>
      <c r="Z3" s="284"/>
      <c r="AA3" s="78"/>
    </row>
    <row r="4" spans="1:36" ht="12.6" customHeight="1" x14ac:dyDescent="0.25">
      <c r="A4" s="270"/>
      <c r="B4" s="271"/>
      <c r="C4" s="271"/>
      <c r="D4" s="271"/>
      <c r="E4" s="271"/>
      <c r="F4" s="272"/>
      <c r="G4" s="291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90"/>
      <c r="U4" s="308"/>
      <c r="V4" s="283"/>
      <c r="W4" s="283"/>
      <c r="X4" s="283"/>
      <c r="Y4" s="283"/>
      <c r="Z4" s="284"/>
      <c r="AA4" s="78"/>
    </row>
    <row r="5" spans="1:36" ht="12.6" customHeight="1" x14ac:dyDescent="0.25">
      <c r="A5" s="270"/>
      <c r="B5" s="271"/>
      <c r="C5" s="271"/>
      <c r="D5" s="271"/>
      <c r="E5" s="271"/>
      <c r="F5" s="272"/>
      <c r="G5" s="291" t="s">
        <v>40</v>
      </c>
      <c r="H5" s="289"/>
      <c r="I5" s="2" t="s">
        <v>34</v>
      </c>
      <c r="J5" s="252">
        <v>1</v>
      </c>
      <c r="K5" s="292"/>
      <c r="L5" s="293" t="s">
        <v>53</v>
      </c>
      <c r="M5" s="252"/>
      <c r="N5" s="252"/>
      <c r="O5" s="292"/>
      <c r="P5" s="294">
        <v>45489</v>
      </c>
      <c r="Q5" s="295"/>
      <c r="R5" s="295"/>
      <c r="S5" s="295"/>
      <c r="T5" s="296"/>
      <c r="U5" s="308"/>
      <c r="V5" s="283"/>
      <c r="W5" s="283"/>
      <c r="X5" s="283"/>
      <c r="Y5" s="283"/>
      <c r="Z5" s="284"/>
      <c r="AA5" s="78"/>
    </row>
    <row r="6" spans="1:36" ht="12.6" customHeight="1" x14ac:dyDescent="0.25">
      <c r="A6" s="273"/>
      <c r="B6" s="274"/>
      <c r="C6" s="274"/>
      <c r="D6" s="274"/>
      <c r="E6" s="274"/>
      <c r="F6" s="275"/>
      <c r="G6" s="3"/>
      <c r="H6" s="4"/>
      <c r="I6" s="4"/>
      <c r="J6" s="263" t="s">
        <v>35</v>
      </c>
      <c r="K6" s="263"/>
      <c r="L6" s="263" t="s">
        <v>36</v>
      </c>
      <c r="M6" s="263"/>
      <c r="N6" s="263"/>
      <c r="O6" s="263"/>
      <c r="P6" s="263" t="s">
        <v>37</v>
      </c>
      <c r="Q6" s="263"/>
      <c r="R6" s="263"/>
      <c r="S6" s="263"/>
      <c r="T6" s="264"/>
      <c r="U6" s="309"/>
      <c r="V6" s="310"/>
      <c r="W6" s="310"/>
      <c r="X6" s="310"/>
      <c r="Y6" s="310"/>
      <c r="Z6" s="311"/>
      <c r="AA6" s="78"/>
    </row>
    <row r="7" spans="1:36" ht="36.6" customHeight="1" x14ac:dyDescent="0.25">
      <c r="A7" s="265" t="s">
        <v>38</v>
      </c>
      <c r="B7" s="265"/>
      <c r="C7" s="265"/>
      <c r="D7" s="265"/>
      <c r="E7" s="265"/>
      <c r="F7" s="265"/>
      <c r="G7" s="266" t="s">
        <v>32</v>
      </c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1" t="s">
        <v>27</v>
      </c>
      <c r="C10" s="251"/>
      <c r="D10" s="251"/>
      <c r="E10" s="251"/>
      <c r="F10" s="251"/>
      <c r="G10" s="261" t="s">
        <v>57</v>
      </c>
      <c r="H10" s="261"/>
      <c r="I10" s="261"/>
      <c r="J10" s="261"/>
      <c r="K10" s="261"/>
      <c r="L10" s="261"/>
      <c r="M10" s="251" t="s">
        <v>30</v>
      </c>
      <c r="N10" s="251"/>
      <c r="O10" s="251"/>
      <c r="P10" s="251"/>
      <c r="Q10" s="251"/>
      <c r="R10" s="251"/>
      <c r="S10" s="260" t="s">
        <v>61</v>
      </c>
      <c r="T10" s="260"/>
      <c r="U10" s="260"/>
      <c r="V10" s="260"/>
      <c r="W10" s="260"/>
      <c r="X10" s="260"/>
      <c r="Y10" s="260"/>
      <c r="Z10" s="17"/>
      <c r="AA10" s="75"/>
      <c r="AB10" s="12"/>
      <c r="AC10" s="12"/>
      <c r="AD10" s="12"/>
      <c r="AE10" s="113"/>
      <c r="AF10" s="113"/>
      <c r="AG10" s="113"/>
      <c r="AH10" s="113"/>
      <c r="AI10" s="113"/>
    </row>
    <row r="11" spans="1:36" ht="15.9" customHeight="1" x14ac:dyDescent="0.25">
      <c r="A11" s="13"/>
      <c r="B11" s="251" t="s">
        <v>6</v>
      </c>
      <c r="C11" s="251"/>
      <c r="D11" s="251"/>
      <c r="E11" s="251"/>
      <c r="F11" s="251"/>
      <c r="G11" s="261">
        <v>45489</v>
      </c>
      <c r="H11" s="261"/>
      <c r="I11" s="261"/>
      <c r="J11" s="261"/>
      <c r="K11" s="261"/>
      <c r="L11" s="261"/>
      <c r="M11" s="251" t="s">
        <v>44</v>
      </c>
      <c r="N11" s="251"/>
      <c r="O11" s="251"/>
      <c r="P11" s="251"/>
      <c r="Q11" s="251"/>
      <c r="R11" s="251"/>
      <c r="S11" s="260" t="s">
        <v>62</v>
      </c>
      <c r="T11" s="260"/>
      <c r="U11" s="260"/>
      <c r="V11" s="260"/>
      <c r="W11" s="260"/>
      <c r="X11" s="260"/>
      <c r="Y11" s="260"/>
      <c r="Z11" s="17"/>
      <c r="AA11" s="75"/>
      <c r="AB11" s="12"/>
      <c r="AC11" s="12"/>
      <c r="AD11" s="12"/>
      <c r="AE11" s="113"/>
      <c r="AF11" s="113"/>
      <c r="AG11" s="113"/>
      <c r="AH11" s="113"/>
      <c r="AI11" s="113"/>
    </row>
    <row r="12" spans="1:36" ht="15.9" customHeight="1" x14ac:dyDescent="0.25">
      <c r="A12" s="13"/>
      <c r="B12" s="251" t="s">
        <v>28</v>
      </c>
      <c r="C12" s="251"/>
      <c r="D12" s="251"/>
      <c r="E12" s="251"/>
      <c r="F12" s="251"/>
      <c r="G12" s="261" t="s">
        <v>58</v>
      </c>
      <c r="H12" s="261"/>
      <c r="I12" s="261"/>
      <c r="J12" s="261"/>
      <c r="K12" s="261"/>
      <c r="L12" s="261"/>
      <c r="M12" s="262" t="s">
        <v>43</v>
      </c>
      <c r="N12" s="262"/>
      <c r="O12" s="262"/>
      <c r="P12" s="262"/>
      <c r="Q12" s="262"/>
      <c r="R12" s="262"/>
      <c r="S12" s="260" t="s">
        <v>63</v>
      </c>
      <c r="T12" s="260"/>
      <c r="U12" s="260"/>
      <c r="V12" s="260"/>
      <c r="W12" s="260"/>
      <c r="X12" s="260"/>
      <c r="Y12" s="260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58" t="s">
        <v>41</v>
      </c>
      <c r="C13" s="258"/>
      <c r="D13" s="258"/>
      <c r="E13" s="258"/>
      <c r="F13" s="258"/>
      <c r="G13" s="259" t="s">
        <v>60</v>
      </c>
      <c r="H13" s="259"/>
      <c r="I13" s="259"/>
      <c r="J13" s="259"/>
      <c r="K13" s="259"/>
      <c r="L13" s="259"/>
      <c r="M13" s="251" t="s">
        <v>29</v>
      </c>
      <c r="N13" s="251"/>
      <c r="O13" s="251"/>
      <c r="P13" s="251"/>
      <c r="Q13" s="251"/>
      <c r="R13" s="251"/>
      <c r="S13" s="259" t="s">
        <v>64</v>
      </c>
      <c r="T13" s="259"/>
      <c r="U13" s="259"/>
      <c r="V13" s="259"/>
      <c r="W13" s="259"/>
      <c r="X13" s="259"/>
      <c r="Y13" s="259"/>
      <c r="Z13" s="17"/>
      <c r="AA13" s="75"/>
      <c r="AB13" s="12"/>
      <c r="AC13" s="12"/>
      <c r="AD13" s="12"/>
      <c r="AE13" s="113"/>
      <c r="AF13" s="113"/>
      <c r="AG13" s="113"/>
      <c r="AH13" s="113"/>
      <c r="AI13" s="113"/>
      <c r="AJ13" s="113"/>
    </row>
    <row r="14" spans="1:36" ht="15.9" customHeight="1" x14ac:dyDescent="0.25">
      <c r="A14" s="18"/>
      <c r="B14" s="251" t="s">
        <v>42</v>
      </c>
      <c r="C14" s="251"/>
      <c r="D14" s="251"/>
      <c r="E14" s="251"/>
      <c r="F14" s="251"/>
      <c r="G14" s="259" t="s">
        <v>59</v>
      </c>
      <c r="H14" s="259"/>
      <c r="I14" s="259"/>
      <c r="J14" s="259"/>
      <c r="K14" s="259"/>
      <c r="L14" s="259"/>
      <c r="M14" s="260" t="s">
        <v>26</v>
      </c>
      <c r="N14" s="260"/>
      <c r="O14" s="260"/>
      <c r="P14" s="260"/>
      <c r="Q14" s="260"/>
      <c r="R14" s="260"/>
      <c r="S14" s="260" t="s">
        <v>49</v>
      </c>
      <c r="T14" s="260"/>
      <c r="U14" s="260"/>
      <c r="V14" s="260"/>
      <c r="W14" s="260"/>
      <c r="X14" s="260"/>
      <c r="Y14" s="260"/>
      <c r="Z14" s="19"/>
      <c r="AA14" s="12"/>
      <c r="AB14" s="12"/>
      <c r="AC14" s="12"/>
      <c r="AD14" s="12"/>
      <c r="AE14" s="113"/>
      <c r="AF14" s="113"/>
      <c r="AG14" s="113"/>
      <c r="AH14" s="113"/>
      <c r="AI14" s="113"/>
      <c r="AJ14" s="113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3"/>
      <c r="AF15" s="113"/>
      <c r="AG15" s="113"/>
      <c r="AH15" s="113"/>
      <c r="AI15" s="113"/>
      <c r="AJ15" s="113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3"/>
      <c r="AF16" s="113"/>
      <c r="AG16" s="113"/>
      <c r="AH16" s="113"/>
      <c r="AI16" s="113"/>
      <c r="AJ16" s="113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1" t="s">
        <v>19</v>
      </c>
      <c r="C19" s="251"/>
      <c r="D19" s="251"/>
      <c r="E19" s="251"/>
      <c r="F19" s="251"/>
      <c r="G19" s="251"/>
      <c r="H19" s="251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Z19" s="17"/>
      <c r="AA19" s="75"/>
      <c r="AE19" s="20"/>
      <c r="AI19" s="20"/>
    </row>
    <row r="20" spans="1:40" ht="15.9" customHeight="1" x14ac:dyDescent="0.25">
      <c r="A20" s="13"/>
      <c r="B20" s="251" t="s">
        <v>20</v>
      </c>
      <c r="C20" s="251"/>
      <c r="D20" s="251"/>
      <c r="E20" s="251"/>
      <c r="F20" s="251"/>
      <c r="G20" s="251"/>
      <c r="H20" s="251"/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54" t="s">
        <v>16</v>
      </c>
      <c r="AE47" s="256">
        <v>2.6720000000000002</v>
      </c>
      <c r="AF47" s="226"/>
      <c r="AG47" s="232"/>
      <c r="AH47" s="39"/>
    </row>
    <row r="48" spans="1:34" ht="12.75" customHeight="1" thickBot="1" x14ac:dyDescent="0.3">
      <c r="A48" s="18"/>
      <c r="Z48" s="87"/>
      <c r="AD48" s="255"/>
      <c r="AE48" s="257"/>
      <c r="AF48" s="231"/>
      <c r="AG48" s="232"/>
    </row>
    <row r="49" spans="1:34" ht="18.75" customHeight="1" thickBot="1" x14ac:dyDescent="0.3">
      <c r="A49" s="18"/>
      <c r="E49" s="233" t="s">
        <v>11</v>
      </c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5" t="s">
        <v>47</v>
      </c>
      <c r="V49" s="236"/>
      <c r="W49" s="237" t="s">
        <v>12</v>
      </c>
      <c r="X49" s="236"/>
      <c r="Y49" s="238" t="s">
        <v>13</v>
      </c>
      <c r="Z49" s="239"/>
      <c r="AA49" s="82"/>
      <c r="AB49" s="242" t="s">
        <v>45</v>
      </c>
      <c r="AC49" s="243"/>
      <c r="AD49" s="246" t="s">
        <v>14</v>
      </c>
      <c r="AE49" s="248" t="s">
        <v>15</v>
      </c>
      <c r="AF49" s="226"/>
      <c r="AG49" s="226"/>
      <c r="AH49" s="40"/>
    </row>
    <row r="50" spans="1:34" ht="24.9" customHeight="1" thickBot="1" x14ac:dyDescent="0.3">
      <c r="A50" s="5"/>
      <c r="B50" s="41" t="s">
        <v>22</v>
      </c>
      <c r="C50" s="227" t="s">
        <v>10</v>
      </c>
      <c r="D50" s="228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77"/>
      <c r="V50" s="179"/>
      <c r="W50" s="178"/>
      <c r="X50" s="179"/>
      <c r="Y50" s="240"/>
      <c r="Z50" s="241"/>
      <c r="AA50" s="82"/>
      <c r="AB50" s="244"/>
      <c r="AC50" s="245"/>
      <c r="AD50" s="247"/>
      <c r="AE50" s="249"/>
      <c r="AF50" s="250"/>
      <c r="AG50" s="226"/>
    </row>
    <row r="51" spans="1:34" ht="24.9" customHeight="1" x14ac:dyDescent="0.25">
      <c r="A51" s="5"/>
      <c r="B51" s="43">
        <v>1</v>
      </c>
      <c r="C51" s="316" t="s">
        <v>65</v>
      </c>
      <c r="D51" s="317"/>
      <c r="E51" s="121">
        <v>8.6999999999999993</v>
      </c>
      <c r="F51" s="122">
        <v>11.1</v>
      </c>
      <c r="G51" s="123">
        <v>14.1</v>
      </c>
      <c r="H51" s="123">
        <v>17.8</v>
      </c>
      <c r="I51" s="123">
        <v>23.2</v>
      </c>
      <c r="J51" s="123">
        <v>33.299999999999997</v>
      </c>
      <c r="K51" s="123">
        <v>49</v>
      </c>
      <c r="L51" s="123">
        <v>67.400000000000006</v>
      </c>
      <c r="M51" s="123">
        <v>77.3</v>
      </c>
      <c r="N51" s="123">
        <v>86.7</v>
      </c>
      <c r="O51" s="123">
        <v>93.3</v>
      </c>
      <c r="P51" s="123">
        <v>97.3</v>
      </c>
      <c r="Q51" s="123">
        <v>100</v>
      </c>
      <c r="R51" s="123"/>
      <c r="S51" s="124"/>
      <c r="T51" s="124"/>
      <c r="U51" s="312">
        <v>175</v>
      </c>
      <c r="V51" s="313"/>
      <c r="W51" s="314">
        <v>4.9400000000000004</v>
      </c>
      <c r="X51" s="315"/>
      <c r="Y51" s="229">
        <f>IF(W51&lt;&gt;0,AE51,"")</f>
        <v>3.0134656560783282</v>
      </c>
      <c r="Z51" s="230"/>
      <c r="AA51" s="80"/>
      <c r="AB51" s="194">
        <f>(100*W51)/(100-W51)</f>
        <v>5.1967178624026937</v>
      </c>
      <c r="AC51" s="195"/>
      <c r="AD51" s="67">
        <f>(0.25*(100-O51)+2.3*(O51-H51)+12*(H51-E51)+150*(E51))/100</f>
        <v>15.895250000000001</v>
      </c>
      <c r="AE51" s="68">
        <f>(AB51*$AE$47)/(2.65*(AD51)^(1/5))</f>
        <v>3.0134656560783282</v>
      </c>
      <c r="AF51" s="29"/>
      <c r="AG51" s="66"/>
    </row>
    <row r="52" spans="1:34" ht="24.9" customHeight="1" x14ac:dyDescent="0.25">
      <c r="A52" s="5"/>
      <c r="B52" s="44">
        <v>2</v>
      </c>
      <c r="C52" s="316" t="s">
        <v>66</v>
      </c>
      <c r="D52" s="317"/>
      <c r="E52" s="121">
        <v>8.3000000000000007</v>
      </c>
      <c r="F52" s="122">
        <v>10.4</v>
      </c>
      <c r="G52" s="123">
        <v>13.2</v>
      </c>
      <c r="H52" s="123">
        <v>16.600000000000001</v>
      </c>
      <c r="I52" s="123">
        <v>21.5</v>
      </c>
      <c r="J52" s="123">
        <v>29.5</v>
      </c>
      <c r="K52" s="123">
        <v>41.8</v>
      </c>
      <c r="L52" s="123">
        <v>59</v>
      </c>
      <c r="M52" s="123">
        <v>68.5</v>
      </c>
      <c r="N52" s="123">
        <v>78.400000000000006</v>
      </c>
      <c r="O52" s="123">
        <v>91</v>
      </c>
      <c r="P52" s="123">
        <v>95.9</v>
      </c>
      <c r="Q52" s="123">
        <v>100</v>
      </c>
      <c r="R52" s="123"/>
      <c r="S52" s="124"/>
      <c r="T52" s="124"/>
      <c r="U52" s="312">
        <v>176</v>
      </c>
      <c r="V52" s="313"/>
      <c r="W52" s="314">
        <v>4.3899999999999997</v>
      </c>
      <c r="X52" s="315"/>
      <c r="Y52" s="221">
        <f>IF(W52&lt;&gt;0,AE52,"")</f>
        <v>2.6871947614507783</v>
      </c>
      <c r="Z52" s="222"/>
      <c r="AA52" s="80"/>
      <c r="AB52" s="194">
        <f>(100*W52)/(100-W52)</f>
        <v>4.591569919464491</v>
      </c>
      <c r="AC52" s="195"/>
      <c r="AD52" s="67">
        <f t="shared" ref="AD52:AD58" si="0">(0.25*(100-O52)+2.3*(O52-H52)+12*(H52-E52)+150*(E52))/100</f>
        <v>15.1797</v>
      </c>
      <c r="AE52" s="68">
        <f t="shared" ref="AE52:AE58" si="1">(AB52*$AE$47)/(2.65*(AD52)^(1/5))</f>
        <v>2.6871947614507783</v>
      </c>
      <c r="AF52" s="29"/>
      <c r="AG52" s="66"/>
    </row>
    <row r="53" spans="1:34" ht="24.9" customHeight="1" x14ac:dyDescent="0.25">
      <c r="A53" s="5"/>
      <c r="B53" s="44">
        <v>3</v>
      </c>
      <c r="C53" s="171"/>
      <c r="D53" s="223"/>
      <c r="E53" s="90"/>
      <c r="F53" s="91"/>
      <c r="G53" s="91"/>
      <c r="H53" s="92"/>
      <c r="I53" s="92"/>
      <c r="J53" s="92"/>
      <c r="K53" s="92"/>
      <c r="L53" s="92"/>
      <c r="M53" s="92"/>
      <c r="N53" s="92"/>
      <c r="O53" s="92"/>
      <c r="P53" s="92"/>
      <c r="Q53" s="115"/>
      <c r="R53" s="92"/>
      <c r="S53" s="92"/>
      <c r="T53" s="93"/>
      <c r="U53" s="168"/>
      <c r="V53" s="169"/>
      <c r="W53" s="224"/>
      <c r="X53" s="225"/>
      <c r="Y53" s="221" t="str">
        <f t="shared" ref="Y53:Y54" si="2">IF(W53&lt;&gt;0,AE53,"")</f>
        <v/>
      </c>
      <c r="Z53" s="222"/>
      <c r="AA53" s="80"/>
      <c r="AB53" s="194">
        <f>(100*W53)/(100-W53)</f>
        <v>0</v>
      </c>
      <c r="AC53" s="195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83"/>
      <c r="D54" s="205"/>
      <c r="E54" s="94"/>
      <c r="F54" s="95"/>
      <c r="G54" s="95"/>
      <c r="H54" s="96"/>
      <c r="I54" s="96"/>
      <c r="J54" s="96"/>
      <c r="K54" s="96"/>
      <c r="L54" s="96"/>
      <c r="M54" s="96"/>
      <c r="N54" s="96"/>
      <c r="O54" s="96"/>
      <c r="P54" s="96"/>
      <c r="Q54" s="116"/>
      <c r="R54" s="96"/>
      <c r="S54" s="96"/>
      <c r="T54" s="97"/>
      <c r="U54" s="206"/>
      <c r="V54" s="207"/>
      <c r="W54" s="208"/>
      <c r="X54" s="209"/>
      <c r="Y54" s="210" t="str">
        <f t="shared" si="2"/>
        <v/>
      </c>
      <c r="Z54" s="211"/>
      <c r="AA54" s="80"/>
      <c r="AB54" s="194">
        <f>(100*W54)/(100-W54)</f>
        <v>0</v>
      </c>
      <c r="AC54" s="195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117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12" t="s">
        <v>8</v>
      </c>
      <c r="C56" s="213"/>
      <c r="D56" s="214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47"/>
      <c r="P56" s="47"/>
      <c r="Q56" s="118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85" t="s">
        <v>7</v>
      </c>
      <c r="C57" s="186"/>
      <c r="D57" s="187"/>
      <c r="E57" s="98">
        <f t="shared" ref="E57:T57" si="3">IF(E51&lt;&gt;0,AVERAGE(E51:E54),"")</f>
        <v>8.5</v>
      </c>
      <c r="F57" s="98">
        <f t="shared" si="3"/>
        <v>10.75</v>
      </c>
      <c r="G57" s="98">
        <f t="shared" si="3"/>
        <v>13.649999999999999</v>
      </c>
      <c r="H57" s="98">
        <f t="shared" si="3"/>
        <v>17.200000000000003</v>
      </c>
      <c r="I57" s="98">
        <f t="shared" si="3"/>
        <v>22.35</v>
      </c>
      <c r="J57" s="98">
        <f t="shared" si="3"/>
        <v>31.4</v>
      </c>
      <c r="K57" s="98">
        <f t="shared" si="3"/>
        <v>45.4</v>
      </c>
      <c r="L57" s="98">
        <f t="shared" si="3"/>
        <v>63.2</v>
      </c>
      <c r="M57" s="98">
        <f t="shared" si="3"/>
        <v>72.900000000000006</v>
      </c>
      <c r="N57" s="98">
        <f t="shared" si="3"/>
        <v>82.550000000000011</v>
      </c>
      <c r="O57" s="98">
        <f t="shared" si="3"/>
        <v>92.15</v>
      </c>
      <c r="P57" s="98">
        <f t="shared" si="3"/>
        <v>96.6</v>
      </c>
      <c r="Q57" s="119">
        <f t="shared" si="3"/>
        <v>100</v>
      </c>
      <c r="R57" s="98" t="str">
        <f t="shared" si="3"/>
        <v/>
      </c>
      <c r="S57" s="98" t="str">
        <f t="shared" si="3"/>
        <v/>
      </c>
      <c r="T57" s="99" t="str">
        <f t="shared" si="3"/>
        <v/>
      </c>
      <c r="U57" s="188">
        <f>IF(U51&lt;&gt;0,AVERAGE(U51:V54),"")</f>
        <v>175.5</v>
      </c>
      <c r="V57" s="189"/>
      <c r="W57" s="190">
        <f>IF(W51&lt;&gt;0,AVERAGE(W51:X54),"")</f>
        <v>4.665</v>
      </c>
      <c r="X57" s="191"/>
      <c r="Y57" s="192">
        <f>IF(W51&lt;&gt;0,AVERAGE(Y51:Z54),"")</f>
        <v>2.8503302087645532</v>
      </c>
      <c r="Z57" s="193"/>
      <c r="AA57" s="66"/>
      <c r="AB57" s="194">
        <f>(100*W57)/(100-W57)</f>
        <v>4.8932710966591495</v>
      </c>
      <c r="AC57" s="195"/>
      <c r="AD57" s="67">
        <f t="shared" si="0"/>
        <v>15.537474999999999</v>
      </c>
      <c r="AE57" s="68">
        <f t="shared" si="1"/>
        <v>2.8504522385416546</v>
      </c>
      <c r="AF57" s="29"/>
      <c r="AG57" s="66"/>
    </row>
    <row r="58" spans="1:34" ht="21" customHeight="1" x14ac:dyDescent="0.25">
      <c r="A58" s="5"/>
      <c r="B58" s="196" t="s">
        <v>9</v>
      </c>
      <c r="C58" s="197"/>
      <c r="D58" s="198"/>
      <c r="E58" s="100">
        <v>8.4</v>
      </c>
      <c r="F58" s="114" t="e">
        <v>#N/A</v>
      </c>
      <c r="G58" s="100">
        <v>14</v>
      </c>
      <c r="H58" s="100">
        <v>18</v>
      </c>
      <c r="I58" s="100">
        <v>23</v>
      </c>
      <c r="J58" s="100">
        <v>32</v>
      </c>
      <c r="K58" s="100">
        <v>46</v>
      </c>
      <c r="L58" s="100">
        <v>61</v>
      </c>
      <c r="M58" s="100">
        <v>70</v>
      </c>
      <c r="N58" s="100">
        <v>79</v>
      </c>
      <c r="O58" s="100">
        <v>91</v>
      </c>
      <c r="P58" s="100">
        <v>97</v>
      </c>
      <c r="Q58" s="120">
        <v>100</v>
      </c>
      <c r="R58" s="100"/>
      <c r="S58" s="100"/>
      <c r="T58" s="101"/>
      <c r="U58" s="199"/>
      <c r="V58" s="200"/>
      <c r="W58" s="201">
        <v>4.7</v>
      </c>
      <c r="X58" s="202"/>
      <c r="Y58" s="203">
        <f>AE58</f>
        <v>2.8760085040007062</v>
      </c>
      <c r="Z58" s="204"/>
      <c r="AA58" s="66"/>
      <c r="AB58" s="194">
        <f>(100*W58)/(100-W58)</f>
        <v>4.931794333683106</v>
      </c>
      <c r="AC58" s="195"/>
      <c r="AD58" s="67">
        <f t="shared" si="0"/>
        <v>15.453499999999998</v>
      </c>
      <c r="AE58" s="68">
        <f t="shared" si="1"/>
        <v>2.8760085040007062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2">
        <f>E58+2</f>
        <v>10.4</v>
      </c>
      <c r="F59" s="92"/>
      <c r="G59" s="92"/>
      <c r="H59" s="92"/>
      <c r="I59" s="92"/>
      <c r="J59" s="92">
        <f>J58+6</f>
        <v>38</v>
      </c>
      <c r="K59" s="92"/>
      <c r="L59" s="92">
        <f>L58+7</f>
        <v>68</v>
      </c>
      <c r="M59" s="92"/>
      <c r="N59" s="92"/>
      <c r="O59" s="92"/>
      <c r="P59" s="92"/>
      <c r="Q59" s="92"/>
      <c r="R59" s="92"/>
      <c r="S59" s="92"/>
      <c r="T59" s="93"/>
      <c r="U59" s="168"/>
      <c r="V59" s="169"/>
      <c r="W59" s="170">
        <f>W58+0.5</f>
        <v>5.2</v>
      </c>
      <c r="X59" s="169"/>
      <c r="Y59" s="171"/>
      <c r="Z59" s="172"/>
      <c r="AA59" s="83"/>
      <c r="AB59" s="71"/>
      <c r="AC59" s="69"/>
      <c r="AD59" s="173"/>
      <c r="AE59" s="175" t="s">
        <v>46</v>
      </c>
      <c r="AF59" s="29"/>
      <c r="AG59" s="66"/>
    </row>
    <row r="60" spans="1:34" ht="13.5" customHeight="1" thickBot="1" x14ac:dyDescent="0.3">
      <c r="A60" s="5"/>
      <c r="B60" s="177" t="s">
        <v>24</v>
      </c>
      <c r="C60" s="178"/>
      <c r="D60" s="179"/>
      <c r="E60" s="102">
        <f>E58-2</f>
        <v>6.4</v>
      </c>
      <c r="F60" s="102"/>
      <c r="G60" s="103"/>
      <c r="H60" s="103"/>
      <c r="I60" s="103"/>
      <c r="J60" s="102">
        <f>J58-6</f>
        <v>26</v>
      </c>
      <c r="K60" s="103"/>
      <c r="L60" s="102">
        <f>L58-7</f>
        <v>54</v>
      </c>
      <c r="M60" s="102"/>
      <c r="N60" s="103"/>
      <c r="O60" s="103"/>
      <c r="P60" s="103"/>
      <c r="Q60" s="102"/>
      <c r="R60" s="103"/>
      <c r="S60" s="103"/>
      <c r="T60" s="104"/>
      <c r="U60" s="180"/>
      <c r="V60" s="181"/>
      <c r="W60" s="182">
        <f>W58-0.5</f>
        <v>4.2</v>
      </c>
      <c r="X60" s="181"/>
      <c r="Y60" s="183"/>
      <c r="Z60" s="184"/>
      <c r="AA60" s="84"/>
      <c r="AB60" s="72"/>
      <c r="AC60" s="73"/>
      <c r="AD60" s="174"/>
      <c r="AE60" s="176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5.6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50"/>
      <c r="V63" s="150"/>
      <c r="W63" s="150"/>
      <c r="X63" s="150"/>
      <c r="Y63" s="150"/>
      <c r="Z63" s="151"/>
      <c r="AA63" s="81"/>
      <c r="AB63" s="58"/>
      <c r="AC63" s="58"/>
      <c r="AD63" s="59"/>
    </row>
    <row r="64" spans="1:34" ht="26.4" customHeight="1" x14ac:dyDescent="0.25">
      <c r="A64" s="152" t="s">
        <v>48</v>
      </c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4"/>
      <c r="R64" s="143" t="s">
        <v>31</v>
      </c>
      <c r="S64" s="144"/>
      <c r="T64" s="145"/>
      <c r="U64" s="155" t="s">
        <v>54</v>
      </c>
      <c r="V64" s="156"/>
      <c r="W64" s="156"/>
      <c r="X64" s="157"/>
      <c r="Y64" s="157"/>
      <c r="Z64" s="158"/>
      <c r="AA64" s="76"/>
      <c r="AB64" s="60"/>
      <c r="AC64" s="60"/>
      <c r="AD64" s="59"/>
    </row>
    <row r="65" spans="1:30" ht="26.4" customHeight="1" x14ac:dyDescent="0.25">
      <c r="A65" s="159" t="s">
        <v>52</v>
      </c>
      <c r="B65" s="160"/>
      <c r="C65" s="160"/>
      <c r="D65" s="160"/>
      <c r="E65" s="160"/>
      <c r="F65" s="160"/>
      <c r="G65" s="160"/>
      <c r="H65" s="160"/>
      <c r="I65" s="160"/>
      <c r="J65" s="160"/>
      <c r="K65" s="160"/>
      <c r="L65" s="160"/>
      <c r="M65" s="160"/>
      <c r="N65" s="160"/>
      <c r="O65" s="160"/>
      <c r="P65" s="160"/>
      <c r="Q65" s="161"/>
      <c r="R65" s="143" t="s">
        <v>51</v>
      </c>
      <c r="S65" s="144"/>
      <c r="T65" s="145"/>
      <c r="U65" s="162" t="s">
        <v>55</v>
      </c>
      <c r="V65" s="163"/>
      <c r="W65" s="163"/>
      <c r="X65" s="163"/>
      <c r="Y65" s="163"/>
      <c r="Z65" s="164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43"/>
      <c r="S66" s="144"/>
      <c r="T66" s="145"/>
      <c r="U66" s="165"/>
      <c r="V66" s="166"/>
      <c r="W66" s="166"/>
      <c r="X66" s="166"/>
      <c r="Y66" s="166"/>
      <c r="Z66" s="167"/>
      <c r="AA66" s="76"/>
      <c r="AB66" s="60"/>
      <c r="AC66" s="60"/>
      <c r="AD66" s="59"/>
    </row>
    <row r="67" spans="1:30" ht="15.6" customHeight="1" x14ac:dyDescent="0.25">
      <c r="A67" s="137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9"/>
      <c r="R67" s="143" t="s">
        <v>25</v>
      </c>
      <c r="S67" s="144"/>
      <c r="T67" s="145"/>
      <c r="U67" s="105"/>
      <c r="V67" s="106"/>
      <c r="W67" s="106"/>
      <c r="X67" s="106"/>
      <c r="Y67" s="106"/>
      <c r="Z67" s="107"/>
      <c r="AA67" s="77"/>
      <c r="AB67" s="65"/>
      <c r="AC67" s="65"/>
      <c r="AD67" s="59"/>
    </row>
    <row r="68" spans="1:30" ht="15.6" customHeight="1" x14ac:dyDescent="0.25">
      <c r="A68" s="137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9"/>
      <c r="R68" s="143"/>
      <c r="S68" s="144"/>
      <c r="T68" s="145"/>
      <c r="U68" s="108"/>
      <c r="V68" s="149"/>
      <c r="W68" s="149"/>
      <c r="X68" s="149"/>
      <c r="Y68" s="149"/>
      <c r="Z68" s="109"/>
      <c r="AA68" s="77"/>
      <c r="AB68" s="65"/>
      <c r="AC68" s="65"/>
      <c r="AD68" s="59"/>
    </row>
    <row r="69" spans="1:30" ht="15.6" customHeight="1" x14ac:dyDescent="0.25">
      <c r="A69" s="137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  <c r="R69" s="143"/>
      <c r="S69" s="144"/>
      <c r="T69" s="145"/>
      <c r="U69" s="108"/>
      <c r="V69" s="149"/>
      <c r="W69" s="149"/>
      <c r="X69" s="149"/>
      <c r="Y69" s="149"/>
      <c r="Z69" s="109"/>
      <c r="AA69" s="77"/>
      <c r="AB69" s="65"/>
      <c r="AC69" s="65"/>
      <c r="AD69" s="59"/>
    </row>
    <row r="70" spans="1:30" ht="15.6" customHeight="1" x14ac:dyDescent="0.25">
      <c r="A70" s="140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2"/>
      <c r="R70" s="146"/>
      <c r="S70" s="147"/>
      <c r="T70" s="148"/>
      <c r="U70" s="110"/>
      <c r="V70" s="111"/>
      <c r="W70" s="111"/>
      <c r="X70" s="111"/>
      <c r="Y70" s="111"/>
      <c r="Z70" s="112"/>
      <c r="AA70" s="77"/>
      <c r="AB70" s="65"/>
      <c r="AC70" s="65"/>
      <c r="AD70" s="59"/>
    </row>
  </sheetData>
  <mergeCells count="101">
    <mergeCell ref="V68:Y69"/>
    <mergeCell ref="A65:Q65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U63:Z63"/>
    <mergeCell ref="U64:Z64"/>
    <mergeCell ref="B58:D58"/>
    <mergeCell ref="R64:T64"/>
    <mergeCell ref="B60:D60"/>
    <mergeCell ref="A64:Q64"/>
    <mergeCell ref="B57:D57"/>
    <mergeCell ref="C53:D53"/>
    <mergeCell ref="C54:D54"/>
    <mergeCell ref="R67:T70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Y53:Z53"/>
    <mergeCell ref="Y54:Z54"/>
    <mergeCell ref="U53:V53"/>
    <mergeCell ref="U54:V54"/>
    <mergeCell ref="U51:V51"/>
    <mergeCell ref="W51:X51"/>
    <mergeCell ref="AB57:AC57"/>
    <mergeCell ref="U52:V52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C50:D50"/>
    <mergeCell ref="B56:D56"/>
    <mergeCell ref="C52:D52"/>
    <mergeCell ref="W52:X52"/>
    <mergeCell ref="C51:D51"/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Y51:Z51"/>
    <mergeCell ref="Y52:Z52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010824 BBSG</vt:lpstr>
      <vt:lpstr>310724 BBMB</vt:lpstr>
      <vt:lpstr>300724</vt:lpstr>
      <vt:lpstr>290724</vt:lpstr>
      <vt:lpstr>220724</vt:lpstr>
      <vt:lpstr>170724</vt:lpstr>
      <vt:lpstr>150724</vt:lpstr>
      <vt:lpstr>'010824 BBSG'!Zone_d_impression</vt:lpstr>
      <vt:lpstr>'150724'!Zone_d_impression</vt:lpstr>
      <vt:lpstr>'170724'!Zone_d_impression</vt:lpstr>
      <vt:lpstr>'220724'!Zone_d_impression</vt:lpstr>
      <vt:lpstr>'290724'!Zone_d_impression</vt:lpstr>
      <vt:lpstr>'300724'!Zone_d_impression</vt:lpstr>
      <vt:lpstr>'310724 BBMB'!Zone_d_impression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LHOPITAL Sylvain</cp:lastModifiedBy>
  <cp:lastPrinted>2024-08-02T02:35:46Z</cp:lastPrinted>
  <dcterms:created xsi:type="dcterms:W3CDTF">2004-11-13T18:13:05Z</dcterms:created>
  <dcterms:modified xsi:type="dcterms:W3CDTF">2024-08-02T02:35:48Z</dcterms:modified>
</cp:coreProperties>
</file>