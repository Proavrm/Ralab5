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S:\Labo\St Priest\Chantiers 2025\69\RA M37C  Villeurbanne - MBDC enrobés lot 6\Essais de laboratoire\Enrobés\"/>
    </mc:Choice>
  </mc:AlternateContent>
  <xr:revisionPtr revIDLastSave="0" documentId="13_ncr:1_{28CA04F0-90B4-4499-96B1-DA672B62A42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60725 BBSG 116 Lacassagne" sheetId="30" r:id="rId1"/>
    <sheet name="160725 BBSG 143 Lacassagne" sheetId="29" r:id="rId2"/>
    <sheet name="150725 BBSG 110 Lacassagne" sheetId="28" r:id="rId3"/>
    <sheet name="150725 EME Lacassagne" sheetId="27" r:id="rId4"/>
    <sheet name="100725 BBSG 116 Lacassagne" sheetId="26" r:id="rId5"/>
    <sheet name="100725 BBSG 143 Lacassagne" sheetId="24" r:id="rId6"/>
    <sheet name="100725 BBSG 110 Lacassagne" sheetId="25" r:id="rId7"/>
    <sheet name="090725 BBSG 110 Lacassagne" sheetId="23" r:id="rId8"/>
    <sheet name="090725 EME Lacassagne" sheetId="22" r:id="rId9"/>
    <sheet name="Nuit 12-130224" sheetId="20" r:id="rId10"/>
    <sheet name="211123 BBSG Pompidou" sheetId="19" r:id="rId11"/>
    <sheet name="161123" sheetId="18" r:id="rId12"/>
    <sheet name="260723" sheetId="17" r:id="rId13"/>
    <sheet name="310523 (2)" sheetId="16" r:id="rId14"/>
    <sheet name="310523" sheetId="15" r:id="rId15"/>
    <sheet name="290722" sheetId="14" r:id="rId16"/>
    <sheet name="280722 (2)" sheetId="13" r:id="rId17"/>
    <sheet name="280722" sheetId="12" r:id="rId18"/>
    <sheet name="270722" sheetId="11" r:id="rId19"/>
    <sheet name="260722 (2)" sheetId="10" r:id="rId20"/>
    <sheet name="260722" sheetId="9" r:id="rId21"/>
  </sheets>
  <definedNames>
    <definedName name="_xlnm.Print_Area" localSheetId="7">'090725 BBSG 110 Lacassagne'!$A$1:$Z$72</definedName>
    <definedName name="_xlnm.Print_Area" localSheetId="8">'090725 EME Lacassagne'!$A$1:$Z$72</definedName>
    <definedName name="_xlnm.Print_Area" localSheetId="6">'100725 BBSG 110 Lacassagne'!$A$1:$Z$72</definedName>
    <definedName name="_xlnm.Print_Area" localSheetId="4">'100725 BBSG 116 Lacassagne'!$A$1:$Z$72</definedName>
    <definedName name="_xlnm.Print_Area" localSheetId="5">'100725 BBSG 143 Lacassagne'!$A$1:$Z$72</definedName>
    <definedName name="_xlnm.Print_Area" localSheetId="2">'150725 BBSG 110 Lacassagne'!$A$1:$Z$72</definedName>
    <definedName name="_xlnm.Print_Area" localSheetId="3">'150725 EME Lacassagne'!$A$1:$Z$72</definedName>
    <definedName name="_xlnm.Print_Area" localSheetId="0">'160725 BBSG 116 Lacassagne'!$A$1:$Z$72</definedName>
    <definedName name="_xlnm.Print_Area" localSheetId="1">'160725 BBSG 143 Lacassagne'!$A$1:$Z$72</definedName>
    <definedName name="_xlnm.Print_Area" localSheetId="11">'161123'!$A$1:$Z$72</definedName>
    <definedName name="_xlnm.Print_Area" localSheetId="10">'211123 BBSG Pompidou'!$A$1:$Z$72</definedName>
    <definedName name="_xlnm.Print_Area" localSheetId="20">'260722'!$A$1:$Z$72</definedName>
    <definedName name="_xlnm.Print_Area" localSheetId="19">'260722 (2)'!$A$1:$Z$72</definedName>
    <definedName name="_xlnm.Print_Area" localSheetId="12">'260723'!$A$1:$Z$72</definedName>
    <definedName name="_xlnm.Print_Area" localSheetId="18">'270722'!$A$1:$Z$72</definedName>
    <definedName name="_xlnm.Print_Area" localSheetId="17">'280722'!$A$1:$Z$72</definedName>
    <definedName name="_xlnm.Print_Area" localSheetId="16">'280722 (2)'!$A$1:$Z$72</definedName>
    <definedName name="_xlnm.Print_Area" localSheetId="15">'290722'!$A$1:$Z$72</definedName>
    <definedName name="_xlnm.Print_Area" localSheetId="14">'310523'!$A$1:$Z$72</definedName>
    <definedName name="_xlnm.Print_Area" localSheetId="13">'310523 (2)'!$A$1:$Z$72</definedName>
    <definedName name="_xlnm.Print_Area" localSheetId="9">'Nuit 12-130224'!$A$1:$Z$72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0" i="30" l="1"/>
  <c r="L60" i="30"/>
  <c r="J60" i="30"/>
  <c r="E60" i="30"/>
  <c r="W59" i="30"/>
  <c r="L59" i="30"/>
  <c r="J59" i="30"/>
  <c r="E59" i="30"/>
  <c r="AD58" i="30"/>
  <c r="AB58" i="30"/>
  <c r="W57" i="30"/>
  <c r="AB57" i="30" s="1"/>
  <c r="U57" i="30"/>
  <c r="T57" i="30"/>
  <c r="S57" i="30"/>
  <c r="O57" i="30"/>
  <c r="N57" i="30"/>
  <c r="M57" i="30"/>
  <c r="L57" i="30"/>
  <c r="K57" i="30"/>
  <c r="J57" i="30"/>
  <c r="I57" i="30"/>
  <c r="H57" i="30"/>
  <c r="G57" i="30"/>
  <c r="F57" i="30"/>
  <c r="E57" i="30"/>
  <c r="AD56" i="30"/>
  <c r="AE56" i="30" s="1"/>
  <c r="AD54" i="30"/>
  <c r="AB54" i="30"/>
  <c r="Y54" i="30"/>
  <c r="AD53" i="30"/>
  <c r="AB53" i="30"/>
  <c r="AE53" i="30" s="1"/>
  <c r="Y53" i="30"/>
  <c r="AD52" i="30"/>
  <c r="AB52" i="30"/>
  <c r="Y52" i="30"/>
  <c r="AD51" i="30"/>
  <c r="AB51" i="30"/>
  <c r="W60" i="29"/>
  <c r="L60" i="29"/>
  <c r="J60" i="29"/>
  <c r="E60" i="29"/>
  <c r="W59" i="29"/>
  <c r="L59" i="29"/>
  <c r="J59" i="29"/>
  <c r="E59" i="29"/>
  <c r="AD58" i="29"/>
  <c r="AB58" i="29"/>
  <c r="AE58" i="29" s="1"/>
  <c r="Y58" i="29" s="1"/>
  <c r="W57" i="29"/>
  <c r="AB57" i="29" s="1"/>
  <c r="U57" i="29"/>
  <c r="T57" i="29"/>
  <c r="S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AD56" i="29"/>
  <c r="AE56" i="29" s="1"/>
  <c r="AD54" i="29"/>
  <c r="AB54" i="29"/>
  <c r="Y54" i="29"/>
  <c r="AD53" i="29"/>
  <c r="AB53" i="29"/>
  <c r="Y53" i="29"/>
  <c r="AD52" i="29"/>
  <c r="AB52" i="29"/>
  <c r="AD51" i="29"/>
  <c r="AB51" i="29"/>
  <c r="W60" i="28"/>
  <c r="L60" i="28"/>
  <c r="J60" i="28"/>
  <c r="E60" i="28"/>
  <c r="W59" i="28"/>
  <c r="L59" i="28"/>
  <c r="J59" i="28"/>
  <c r="E59" i="28"/>
  <c r="AD58" i="28"/>
  <c r="AB58" i="28"/>
  <c r="W57" i="28"/>
  <c r="AB57" i="28" s="1"/>
  <c r="U57" i="28"/>
  <c r="T57" i="28"/>
  <c r="S57" i="28"/>
  <c r="O57" i="28"/>
  <c r="N57" i="28"/>
  <c r="M57" i="28"/>
  <c r="L57" i="28"/>
  <c r="K57" i="28"/>
  <c r="J57" i="28"/>
  <c r="I57" i="28"/>
  <c r="H57" i="28"/>
  <c r="G57" i="28"/>
  <c r="F57" i="28"/>
  <c r="E57" i="28"/>
  <c r="AD56" i="28"/>
  <c r="AE56" i="28" s="1"/>
  <c r="AD54" i="28"/>
  <c r="AB54" i="28"/>
  <c r="Y54" i="28"/>
  <c r="AD53" i="28"/>
  <c r="AB53" i="28"/>
  <c r="Y53" i="28"/>
  <c r="AD52" i="28"/>
  <c r="AB52" i="28"/>
  <c r="AD51" i="28"/>
  <c r="AB51" i="28"/>
  <c r="W60" i="27"/>
  <c r="L60" i="27"/>
  <c r="J60" i="27"/>
  <c r="E60" i="27"/>
  <c r="W59" i="27"/>
  <c r="L59" i="27"/>
  <c r="J59" i="27"/>
  <c r="E59" i="27"/>
  <c r="AD58" i="27"/>
  <c r="AB58" i="27"/>
  <c r="W57" i="27"/>
  <c r="AB57" i="27" s="1"/>
  <c r="U57" i="27"/>
  <c r="T57" i="27"/>
  <c r="S57" i="27"/>
  <c r="Q57" i="27"/>
  <c r="P57" i="27"/>
  <c r="O57" i="27"/>
  <c r="N57" i="27"/>
  <c r="M57" i="27"/>
  <c r="L57" i="27"/>
  <c r="K57" i="27"/>
  <c r="J57" i="27"/>
  <c r="I57" i="27"/>
  <c r="H57" i="27"/>
  <c r="G57" i="27"/>
  <c r="F57" i="27"/>
  <c r="E57" i="27"/>
  <c r="AD56" i="27"/>
  <c r="AE56" i="27" s="1"/>
  <c r="AD54" i="27"/>
  <c r="AB54" i="27"/>
  <c r="Y54" i="27"/>
  <c r="AD53" i="27"/>
  <c r="AB53" i="27"/>
  <c r="Y53" i="27"/>
  <c r="AD52" i="27"/>
  <c r="AB52" i="27"/>
  <c r="AD51" i="27"/>
  <c r="AB51" i="27"/>
  <c r="W60" i="26"/>
  <c r="L60" i="26"/>
  <c r="J60" i="26"/>
  <c r="E60" i="26"/>
  <c r="W59" i="26"/>
  <c r="L59" i="26"/>
  <c r="J59" i="26"/>
  <c r="E59" i="26"/>
  <c r="AD58" i="26"/>
  <c r="AB58" i="26"/>
  <c r="W57" i="26"/>
  <c r="AB57" i="26" s="1"/>
  <c r="U57" i="26"/>
  <c r="T57" i="26"/>
  <c r="S57" i="26"/>
  <c r="O57" i="26"/>
  <c r="N57" i="26"/>
  <c r="M57" i="26"/>
  <c r="L57" i="26"/>
  <c r="K57" i="26"/>
  <c r="J57" i="26"/>
  <c r="I57" i="26"/>
  <c r="H57" i="26"/>
  <c r="G57" i="26"/>
  <c r="F57" i="26"/>
  <c r="E57" i="26"/>
  <c r="AD56" i="26"/>
  <c r="AE56" i="26" s="1"/>
  <c r="AD54" i="26"/>
  <c r="AB54" i="26"/>
  <c r="Y54" i="26"/>
  <c r="AD53" i="26"/>
  <c r="AB53" i="26"/>
  <c r="Y53" i="26"/>
  <c r="AD52" i="26"/>
  <c r="AB52" i="26"/>
  <c r="Y52" i="26"/>
  <c r="AD51" i="26"/>
  <c r="AB51" i="26"/>
  <c r="P57" i="24"/>
  <c r="Q57" i="24"/>
  <c r="W60" i="25"/>
  <c r="L60" i="25"/>
  <c r="J60" i="25"/>
  <c r="E60" i="25"/>
  <c r="W59" i="25"/>
  <c r="L59" i="25"/>
  <c r="J59" i="25"/>
  <c r="E59" i="25"/>
  <c r="AD58" i="25"/>
  <c r="AB58" i="25"/>
  <c r="W57" i="25"/>
  <c r="AB57" i="25" s="1"/>
  <c r="U57" i="25"/>
  <c r="T57" i="25"/>
  <c r="S57" i="25"/>
  <c r="O57" i="25"/>
  <c r="N57" i="25"/>
  <c r="M57" i="25"/>
  <c r="L57" i="25"/>
  <c r="K57" i="25"/>
  <c r="J57" i="25"/>
  <c r="I57" i="25"/>
  <c r="H57" i="25"/>
  <c r="G57" i="25"/>
  <c r="F57" i="25"/>
  <c r="E57" i="25"/>
  <c r="AD56" i="25"/>
  <c r="AE56" i="25" s="1"/>
  <c r="AD54" i="25"/>
  <c r="AB54" i="25"/>
  <c r="Y54" i="25"/>
  <c r="AD53" i="25"/>
  <c r="AB53" i="25"/>
  <c r="Y53" i="25"/>
  <c r="AD52" i="25"/>
  <c r="AB52" i="25"/>
  <c r="Y52" i="25"/>
  <c r="AD51" i="25"/>
  <c r="AB51" i="25"/>
  <c r="W60" i="24"/>
  <c r="L60" i="24"/>
  <c r="J60" i="24"/>
  <c r="E60" i="24"/>
  <c r="W59" i="24"/>
  <c r="L59" i="24"/>
  <c r="J59" i="24"/>
  <c r="E59" i="24"/>
  <c r="AD58" i="24"/>
  <c r="AB58" i="24"/>
  <c r="W57" i="24"/>
  <c r="AB57" i="24" s="1"/>
  <c r="U57" i="24"/>
  <c r="T57" i="24"/>
  <c r="S57" i="24"/>
  <c r="O57" i="24"/>
  <c r="N57" i="24"/>
  <c r="M57" i="24"/>
  <c r="L57" i="24"/>
  <c r="K57" i="24"/>
  <c r="J57" i="24"/>
  <c r="I57" i="24"/>
  <c r="H57" i="24"/>
  <c r="G57" i="24"/>
  <c r="F57" i="24"/>
  <c r="E57" i="24"/>
  <c r="AD56" i="24"/>
  <c r="AE56" i="24" s="1"/>
  <c r="AD54" i="24"/>
  <c r="AB54" i="24"/>
  <c r="Y54" i="24"/>
  <c r="AD53" i="24"/>
  <c r="AB53" i="24"/>
  <c r="Y53" i="24"/>
  <c r="AD52" i="24"/>
  <c r="AB52" i="24"/>
  <c r="AD51" i="24"/>
  <c r="AB51" i="24"/>
  <c r="O57" i="23"/>
  <c r="W60" i="23"/>
  <c r="L60" i="23"/>
  <c r="J60" i="23"/>
  <c r="E60" i="23"/>
  <c r="W59" i="23"/>
  <c r="L59" i="23"/>
  <c r="J59" i="23"/>
  <c r="E59" i="23"/>
  <c r="AD58" i="23"/>
  <c r="AB58" i="23"/>
  <c r="W57" i="23"/>
  <c r="AB57" i="23" s="1"/>
  <c r="U57" i="23"/>
  <c r="T57" i="23"/>
  <c r="S57" i="23"/>
  <c r="N57" i="23"/>
  <c r="M57" i="23"/>
  <c r="L57" i="23"/>
  <c r="K57" i="23"/>
  <c r="J57" i="23"/>
  <c r="I57" i="23"/>
  <c r="H57" i="23"/>
  <c r="G57" i="23"/>
  <c r="F57" i="23"/>
  <c r="E57" i="23"/>
  <c r="AD56" i="23"/>
  <c r="AE56" i="23" s="1"/>
  <c r="AD54" i="23"/>
  <c r="AB54" i="23"/>
  <c r="Y54" i="23"/>
  <c r="AD53" i="23"/>
  <c r="AB53" i="23"/>
  <c r="Y53" i="23"/>
  <c r="AD52" i="23"/>
  <c r="AB52" i="23"/>
  <c r="AD51" i="23"/>
  <c r="AB51" i="23"/>
  <c r="O57" i="22"/>
  <c r="P57" i="22"/>
  <c r="Q57" i="22"/>
  <c r="W60" i="22"/>
  <c r="L60" i="22"/>
  <c r="J60" i="22"/>
  <c r="E60" i="22"/>
  <c r="W59" i="22"/>
  <c r="L59" i="22"/>
  <c r="J59" i="22"/>
  <c r="E59" i="22"/>
  <c r="AD58" i="22"/>
  <c r="AB58" i="22"/>
  <c r="W57" i="22"/>
  <c r="AB57" i="22" s="1"/>
  <c r="U57" i="22"/>
  <c r="T57" i="22"/>
  <c r="S57" i="22"/>
  <c r="N57" i="22"/>
  <c r="M57" i="22"/>
  <c r="L57" i="22"/>
  <c r="K57" i="22"/>
  <c r="J57" i="22"/>
  <c r="I57" i="22"/>
  <c r="H57" i="22"/>
  <c r="G57" i="22"/>
  <c r="F57" i="22"/>
  <c r="E57" i="22"/>
  <c r="AD56" i="22"/>
  <c r="AE56" i="22" s="1"/>
  <c r="AD54" i="22"/>
  <c r="AB54" i="22"/>
  <c r="Y54" i="22"/>
  <c r="AD53" i="22"/>
  <c r="AB53" i="22"/>
  <c r="Y53" i="22"/>
  <c r="AD52" i="22"/>
  <c r="AB52" i="22"/>
  <c r="AD51" i="22"/>
  <c r="AB51" i="22"/>
  <c r="AD57" i="30" l="1"/>
  <c r="AE57" i="30" s="1"/>
  <c r="AE52" i="30"/>
  <c r="AE54" i="30"/>
  <c r="AE52" i="29"/>
  <c r="Y52" i="29" s="1"/>
  <c r="AE51" i="30"/>
  <c r="Y51" i="30" s="1"/>
  <c r="Y57" i="30" s="1"/>
  <c r="AE58" i="30"/>
  <c r="Y58" i="30" s="1"/>
  <c r="AE51" i="29"/>
  <c r="Y51" i="29" s="1"/>
  <c r="Y57" i="29" s="1"/>
  <c r="AD57" i="29"/>
  <c r="AE57" i="29" s="1"/>
  <c r="AE54" i="29"/>
  <c r="AE53" i="29"/>
  <c r="AE58" i="27"/>
  <c r="Y58" i="27" s="1"/>
  <c r="AE54" i="28"/>
  <c r="AE58" i="28"/>
  <c r="Y58" i="28" s="1"/>
  <c r="AE54" i="27"/>
  <c r="AE51" i="27"/>
  <c r="Y51" i="27" s="1"/>
  <c r="AE53" i="27"/>
  <c r="AD57" i="27"/>
  <c r="AE57" i="27" s="1"/>
  <c r="AE53" i="28"/>
  <c r="AE52" i="28"/>
  <c r="Y52" i="28" s="1"/>
  <c r="AD57" i="28"/>
  <c r="AE57" i="28" s="1"/>
  <c r="AE51" i="28"/>
  <c r="Y51" i="28" s="1"/>
  <c r="AE52" i="27"/>
  <c r="Y52" i="27" s="1"/>
  <c r="AE53" i="26"/>
  <c r="AE54" i="26"/>
  <c r="AE58" i="26"/>
  <c r="Y58" i="26" s="1"/>
  <c r="AE51" i="26"/>
  <c r="Y51" i="26" s="1"/>
  <c r="Y57" i="26" s="1"/>
  <c r="AD57" i="26"/>
  <c r="AE57" i="26" s="1"/>
  <c r="AE52" i="26"/>
  <c r="AE53" i="25"/>
  <c r="AE52" i="25"/>
  <c r="AE53" i="24"/>
  <c r="AD57" i="25"/>
  <c r="AE57" i="25" s="1"/>
  <c r="AE54" i="24"/>
  <c r="AE58" i="24"/>
  <c r="Y58" i="24" s="1"/>
  <c r="AE52" i="24"/>
  <c r="Y52" i="24" s="1"/>
  <c r="AE54" i="25"/>
  <c r="AE58" i="25"/>
  <c r="Y58" i="25" s="1"/>
  <c r="AE51" i="25"/>
  <c r="Y51" i="25" s="1"/>
  <c r="Y57" i="25" s="1"/>
  <c r="AE54" i="23"/>
  <c r="AD57" i="24"/>
  <c r="AE57" i="24" s="1"/>
  <c r="AE51" i="24"/>
  <c r="Y51" i="24" s="1"/>
  <c r="AE52" i="23"/>
  <c r="Y52" i="23" s="1"/>
  <c r="AE53" i="23"/>
  <c r="AE58" i="23"/>
  <c r="Y58" i="23" s="1"/>
  <c r="AE51" i="23"/>
  <c r="Y51" i="23" s="1"/>
  <c r="AD57" i="23"/>
  <c r="AE57" i="23" s="1"/>
  <c r="AE52" i="22"/>
  <c r="Y52" i="22" s="1"/>
  <c r="AE54" i="22"/>
  <c r="AE53" i="22"/>
  <c r="AE51" i="22"/>
  <c r="Y51" i="22" s="1"/>
  <c r="AD57" i="22"/>
  <c r="AE57" i="22" s="1"/>
  <c r="AE58" i="22"/>
  <c r="Y58" i="22" s="1"/>
  <c r="W60" i="20"/>
  <c r="L60" i="20"/>
  <c r="J60" i="20"/>
  <c r="E60" i="20"/>
  <c r="W59" i="20"/>
  <c r="L59" i="20"/>
  <c r="J59" i="20"/>
  <c r="E59" i="20"/>
  <c r="AD58" i="20"/>
  <c r="AB58" i="20"/>
  <c r="W57" i="20"/>
  <c r="AB57" i="20" s="1"/>
  <c r="U57" i="20"/>
  <c r="T57" i="20"/>
  <c r="S57" i="20"/>
  <c r="O57" i="20"/>
  <c r="N57" i="20"/>
  <c r="M57" i="20"/>
  <c r="L57" i="20"/>
  <c r="K57" i="20"/>
  <c r="J57" i="20"/>
  <c r="I57" i="20"/>
  <c r="H57" i="20"/>
  <c r="G57" i="20"/>
  <c r="F57" i="20"/>
  <c r="E57" i="20"/>
  <c r="AD56" i="20"/>
  <c r="AE56" i="20" s="1"/>
  <c r="AD54" i="20"/>
  <c r="AB54" i="20"/>
  <c r="Y54" i="20"/>
  <c r="AD53" i="20"/>
  <c r="AB53" i="20"/>
  <c r="Y53" i="20"/>
  <c r="AD52" i="20"/>
  <c r="AB52" i="20"/>
  <c r="Y52" i="20"/>
  <c r="AD51" i="20"/>
  <c r="AB51" i="20"/>
  <c r="W60" i="19"/>
  <c r="L60" i="19"/>
  <c r="J60" i="19"/>
  <c r="E60" i="19"/>
  <c r="W59" i="19"/>
  <c r="L59" i="19"/>
  <c r="J59" i="19"/>
  <c r="E59" i="19"/>
  <c r="AD58" i="19"/>
  <c r="AB58" i="19"/>
  <c r="W57" i="19"/>
  <c r="AB57" i="19" s="1"/>
  <c r="U57" i="19"/>
  <c r="T57" i="19"/>
  <c r="S57" i="19"/>
  <c r="O57" i="19"/>
  <c r="N57" i="19"/>
  <c r="M57" i="19"/>
  <c r="L57" i="19"/>
  <c r="K57" i="19"/>
  <c r="J57" i="19"/>
  <c r="I57" i="19"/>
  <c r="H57" i="19"/>
  <c r="G57" i="19"/>
  <c r="F57" i="19"/>
  <c r="E57" i="19"/>
  <c r="AD56" i="19"/>
  <c r="AE56" i="19" s="1"/>
  <c r="AD54" i="19"/>
  <c r="AB54" i="19"/>
  <c r="Y54" i="19"/>
  <c r="AD53" i="19"/>
  <c r="AB53" i="19"/>
  <c r="Y53" i="19"/>
  <c r="AD52" i="19"/>
  <c r="AB52" i="19"/>
  <c r="AD51" i="19"/>
  <c r="AB51" i="19"/>
  <c r="W60" i="18"/>
  <c r="L60" i="18"/>
  <c r="J60" i="18"/>
  <c r="E60" i="18"/>
  <c r="W59" i="18"/>
  <c r="L59" i="18"/>
  <c r="J59" i="18"/>
  <c r="E59" i="18"/>
  <c r="AD58" i="18"/>
  <c r="AB58" i="18"/>
  <c r="W57" i="18"/>
  <c r="AB57" i="18" s="1"/>
  <c r="U57" i="18"/>
  <c r="T57" i="18"/>
  <c r="S57" i="18"/>
  <c r="O57" i="18"/>
  <c r="N57" i="18"/>
  <c r="M57" i="18"/>
  <c r="L57" i="18"/>
  <c r="K57" i="18"/>
  <c r="J57" i="18"/>
  <c r="I57" i="18"/>
  <c r="H57" i="18"/>
  <c r="G57" i="18"/>
  <c r="F57" i="18"/>
  <c r="E57" i="18"/>
  <c r="AD56" i="18"/>
  <c r="AE56" i="18" s="1"/>
  <c r="AD54" i="18"/>
  <c r="AB54" i="18"/>
  <c r="Y54" i="18"/>
  <c r="AD53" i="18"/>
  <c r="AB53" i="18"/>
  <c r="Y53" i="18"/>
  <c r="AD52" i="18"/>
  <c r="AB52" i="18"/>
  <c r="AD51" i="18"/>
  <c r="AB51" i="18"/>
  <c r="W60" i="17"/>
  <c r="L60" i="17"/>
  <c r="J60" i="17"/>
  <c r="E60" i="17"/>
  <c r="W59" i="17"/>
  <c r="L59" i="17"/>
  <c r="J59" i="17"/>
  <c r="E59" i="17"/>
  <c r="AD58" i="17"/>
  <c r="AB58" i="17"/>
  <c r="W57" i="17"/>
  <c r="AB57" i="17" s="1"/>
  <c r="U57" i="17"/>
  <c r="T57" i="17"/>
  <c r="S57" i="17"/>
  <c r="O57" i="17"/>
  <c r="N57" i="17"/>
  <c r="M57" i="17"/>
  <c r="L57" i="17"/>
  <c r="K57" i="17"/>
  <c r="J57" i="17"/>
  <c r="I57" i="17"/>
  <c r="H57" i="17"/>
  <c r="G57" i="17"/>
  <c r="F57" i="17"/>
  <c r="E57" i="17"/>
  <c r="AD56" i="17"/>
  <c r="AE56" i="17" s="1"/>
  <c r="AD54" i="17"/>
  <c r="AB54" i="17"/>
  <c r="Y54" i="17"/>
  <c r="AD53" i="17"/>
  <c r="AB53" i="17"/>
  <c r="Y53" i="17"/>
  <c r="AD52" i="17"/>
  <c r="AB52" i="17"/>
  <c r="Y52" i="17"/>
  <c r="AD51" i="17"/>
  <c r="AB51" i="17"/>
  <c r="W60" i="16"/>
  <c r="L60" i="16"/>
  <c r="J60" i="16"/>
  <c r="E60" i="16"/>
  <c r="W59" i="16"/>
  <c r="L59" i="16"/>
  <c r="J59" i="16"/>
  <c r="E59" i="16"/>
  <c r="AD58" i="16"/>
  <c r="AB58" i="16"/>
  <c r="Y57" i="16"/>
  <c r="W57" i="16"/>
  <c r="AB57" i="16" s="1"/>
  <c r="U57" i="16"/>
  <c r="T57" i="16"/>
  <c r="S57" i="16"/>
  <c r="O57" i="16"/>
  <c r="N57" i="16"/>
  <c r="M57" i="16"/>
  <c r="L57" i="16"/>
  <c r="K57" i="16"/>
  <c r="J57" i="16"/>
  <c r="I57" i="16"/>
  <c r="H57" i="16"/>
  <c r="G57" i="16"/>
  <c r="F57" i="16"/>
  <c r="E57" i="16"/>
  <c r="AD56" i="16"/>
  <c r="AE56" i="16" s="1"/>
  <c r="AD54" i="16"/>
  <c r="AB54" i="16"/>
  <c r="Y54" i="16"/>
  <c r="AD53" i="16"/>
  <c r="AB53" i="16"/>
  <c r="Y53" i="16"/>
  <c r="AD52" i="16"/>
  <c r="AB52" i="16"/>
  <c r="Y52" i="16"/>
  <c r="AD51" i="16"/>
  <c r="AB51" i="16"/>
  <c r="Y51" i="16"/>
  <c r="P57" i="15"/>
  <c r="Q57" i="15"/>
  <c r="W60" i="15"/>
  <c r="L60" i="15"/>
  <c r="J60" i="15"/>
  <c r="E60" i="15"/>
  <c r="W59" i="15"/>
  <c r="L59" i="15"/>
  <c r="J59" i="15"/>
  <c r="E59" i="15"/>
  <c r="AD58" i="15"/>
  <c r="AB58" i="15"/>
  <c r="W57" i="15"/>
  <c r="AB57" i="15" s="1"/>
  <c r="U57" i="15"/>
  <c r="T57" i="15"/>
  <c r="S57" i="15"/>
  <c r="O57" i="15"/>
  <c r="N57" i="15"/>
  <c r="M57" i="15"/>
  <c r="L57" i="15"/>
  <c r="K57" i="15"/>
  <c r="J57" i="15"/>
  <c r="I57" i="15"/>
  <c r="H57" i="15"/>
  <c r="G57" i="15"/>
  <c r="F57" i="15"/>
  <c r="E57" i="15"/>
  <c r="AD56" i="15"/>
  <c r="AE56" i="15" s="1"/>
  <c r="AD54" i="15"/>
  <c r="AB54" i="15"/>
  <c r="Y54" i="15"/>
  <c r="AD53" i="15"/>
  <c r="AB53" i="15"/>
  <c r="Y53" i="15"/>
  <c r="AD52" i="15"/>
  <c r="AB52" i="15"/>
  <c r="Y52" i="15"/>
  <c r="AD51" i="15"/>
  <c r="AB51" i="15"/>
  <c r="W60" i="14"/>
  <c r="L60" i="14"/>
  <c r="J60" i="14"/>
  <c r="E60" i="14"/>
  <c r="W59" i="14"/>
  <c r="L59" i="14"/>
  <c r="J59" i="14"/>
  <c r="E59" i="14"/>
  <c r="AD58" i="14"/>
  <c r="AB58" i="14"/>
  <c r="W57" i="14"/>
  <c r="AB57" i="14" s="1"/>
  <c r="U57" i="14"/>
  <c r="T57" i="14"/>
  <c r="S57" i="14"/>
  <c r="O57" i="14"/>
  <c r="N57" i="14"/>
  <c r="M57" i="14"/>
  <c r="L57" i="14"/>
  <c r="K57" i="14"/>
  <c r="J57" i="14"/>
  <c r="I57" i="14"/>
  <c r="H57" i="14"/>
  <c r="G57" i="14"/>
  <c r="F57" i="14"/>
  <c r="E57" i="14"/>
  <c r="AD56" i="14"/>
  <c r="AE56" i="14" s="1"/>
  <c r="AD54" i="14"/>
  <c r="AB54" i="14"/>
  <c r="Y54" i="14"/>
  <c r="AD53" i="14"/>
  <c r="AB53" i="14"/>
  <c r="Y53" i="14"/>
  <c r="AD52" i="14"/>
  <c r="AB52" i="14"/>
  <c r="AD51" i="14"/>
  <c r="AB51" i="14"/>
  <c r="Y57" i="27" l="1"/>
  <c r="Y57" i="28"/>
  <c r="Y57" i="24"/>
  <c r="Y57" i="23"/>
  <c r="Y57" i="22"/>
  <c r="AE53" i="20"/>
  <c r="AE54" i="20"/>
  <c r="AE52" i="20"/>
  <c r="AE58" i="20"/>
  <c r="Y58" i="20" s="1"/>
  <c r="AD57" i="20"/>
  <c r="AE57" i="20" s="1"/>
  <c r="AE51" i="20"/>
  <c r="Y51" i="20" s="1"/>
  <c r="Y57" i="20" s="1"/>
  <c r="AE52" i="19"/>
  <c r="Y52" i="19" s="1"/>
  <c r="AE51" i="19"/>
  <c r="Y51" i="19" s="1"/>
  <c r="AE53" i="19"/>
  <c r="AE54" i="19"/>
  <c r="AE58" i="19"/>
  <c r="Y58" i="19" s="1"/>
  <c r="AD57" i="19"/>
  <c r="AE57" i="19" s="1"/>
  <c r="AE52" i="18"/>
  <c r="Y52" i="18" s="1"/>
  <c r="AE53" i="18"/>
  <c r="AD57" i="18"/>
  <c r="AE57" i="18" s="1"/>
  <c r="AE51" i="18"/>
  <c r="Y51" i="18" s="1"/>
  <c r="AE54" i="18"/>
  <c r="AE58" i="18"/>
  <c r="Y58" i="18" s="1"/>
  <c r="AE52" i="16"/>
  <c r="AE53" i="17"/>
  <c r="AE51" i="15"/>
  <c r="Y51" i="15" s="1"/>
  <c r="Y57" i="15" s="1"/>
  <c r="AE51" i="16"/>
  <c r="AE51" i="17"/>
  <c r="Y51" i="17" s="1"/>
  <c r="Y57" i="17" s="1"/>
  <c r="AE53" i="15"/>
  <c r="AE53" i="16"/>
  <c r="AD57" i="17"/>
  <c r="AE57" i="17" s="1"/>
  <c r="AE54" i="15"/>
  <c r="AE52" i="17"/>
  <c r="AE54" i="16"/>
  <c r="AE54" i="17"/>
  <c r="AE52" i="15"/>
  <c r="AD57" i="16"/>
  <c r="AE57" i="16" s="1"/>
  <c r="AE58" i="17"/>
  <c r="Y58" i="17" s="1"/>
  <c r="AE58" i="16"/>
  <c r="Y58" i="16" s="1"/>
  <c r="AE58" i="15"/>
  <c r="Y58" i="15" s="1"/>
  <c r="AD57" i="15"/>
  <c r="AE57" i="15" s="1"/>
  <c r="AE58" i="14"/>
  <c r="Y58" i="14" s="1"/>
  <c r="AE54" i="14"/>
  <c r="AE51" i="14"/>
  <c r="Y51" i="14" s="1"/>
  <c r="AE53" i="14"/>
  <c r="AE52" i="14"/>
  <c r="Y52" i="14" s="1"/>
  <c r="AD57" i="14"/>
  <c r="AE57" i="14" s="1"/>
  <c r="W60" i="13"/>
  <c r="L60" i="13"/>
  <c r="J60" i="13"/>
  <c r="E60" i="13"/>
  <c r="W59" i="13"/>
  <c r="L59" i="13"/>
  <c r="J59" i="13"/>
  <c r="E59" i="13"/>
  <c r="AD58" i="13"/>
  <c r="AB58" i="13"/>
  <c r="W57" i="13"/>
  <c r="AB57" i="13" s="1"/>
  <c r="U57" i="13"/>
  <c r="T57" i="13"/>
  <c r="S57" i="13"/>
  <c r="O57" i="13"/>
  <c r="N57" i="13"/>
  <c r="M57" i="13"/>
  <c r="L57" i="13"/>
  <c r="K57" i="13"/>
  <c r="J57" i="13"/>
  <c r="I57" i="13"/>
  <c r="H57" i="13"/>
  <c r="G57" i="13"/>
  <c r="F57" i="13"/>
  <c r="E57" i="13"/>
  <c r="AD56" i="13"/>
  <c r="AE56" i="13" s="1"/>
  <c r="AD54" i="13"/>
  <c r="AB54" i="13"/>
  <c r="Y54" i="13"/>
  <c r="AD53" i="13"/>
  <c r="AB53" i="13"/>
  <c r="Y53" i="13"/>
  <c r="AD52" i="13"/>
  <c r="AB52" i="13"/>
  <c r="AD51" i="13"/>
  <c r="AB51" i="13"/>
  <c r="W60" i="12"/>
  <c r="L60" i="12"/>
  <c r="J60" i="12"/>
  <c r="E60" i="12"/>
  <c r="W59" i="12"/>
  <c r="L59" i="12"/>
  <c r="J59" i="12"/>
  <c r="E59" i="12"/>
  <c r="AD58" i="12"/>
  <c r="AB58" i="12"/>
  <c r="W57" i="12"/>
  <c r="AB57" i="12" s="1"/>
  <c r="U57" i="12"/>
  <c r="T57" i="12"/>
  <c r="S57" i="12"/>
  <c r="O57" i="12"/>
  <c r="N57" i="12"/>
  <c r="M57" i="12"/>
  <c r="L57" i="12"/>
  <c r="K57" i="12"/>
  <c r="J57" i="12"/>
  <c r="I57" i="12"/>
  <c r="H57" i="12"/>
  <c r="G57" i="12"/>
  <c r="F57" i="12"/>
  <c r="E57" i="12"/>
  <c r="AD56" i="12"/>
  <c r="AE56" i="12" s="1"/>
  <c r="AD54" i="12"/>
  <c r="AB54" i="12"/>
  <c r="Y54" i="12"/>
  <c r="AD53" i="12"/>
  <c r="AB53" i="12"/>
  <c r="Y53" i="12"/>
  <c r="AD52" i="12"/>
  <c r="AB52" i="12"/>
  <c r="Y52" i="12"/>
  <c r="AD51" i="12"/>
  <c r="AB51" i="12"/>
  <c r="W60" i="11"/>
  <c r="L60" i="11"/>
  <c r="J60" i="11"/>
  <c r="E60" i="11"/>
  <c r="W59" i="11"/>
  <c r="L59" i="11"/>
  <c r="J59" i="11"/>
  <c r="E59" i="11"/>
  <c r="AD58" i="11"/>
  <c r="AB58" i="11"/>
  <c r="W57" i="11"/>
  <c r="AB57" i="11" s="1"/>
  <c r="U57" i="11"/>
  <c r="T57" i="11"/>
  <c r="S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AD56" i="11"/>
  <c r="AE56" i="11" s="1"/>
  <c r="AD54" i="11"/>
  <c r="AB54" i="11"/>
  <c r="Y54" i="11"/>
  <c r="AD53" i="11"/>
  <c r="AB53" i="11"/>
  <c r="Y53" i="11"/>
  <c r="AD52" i="11"/>
  <c r="AB52" i="11"/>
  <c r="AD51" i="11"/>
  <c r="AB51" i="11"/>
  <c r="W60" i="10"/>
  <c r="L60" i="10"/>
  <c r="J60" i="10"/>
  <c r="E60" i="10"/>
  <c r="W59" i="10"/>
  <c r="L59" i="10"/>
  <c r="J59" i="10"/>
  <c r="E59" i="10"/>
  <c r="AD58" i="10"/>
  <c r="AB58" i="10"/>
  <c r="W57" i="10"/>
  <c r="AB57" i="10" s="1"/>
  <c r="U57" i="10"/>
  <c r="T57" i="10"/>
  <c r="S57" i="10"/>
  <c r="O57" i="10"/>
  <c r="N57" i="10"/>
  <c r="M57" i="10"/>
  <c r="L57" i="10"/>
  <c r="K57" i="10"/>
  <c r="J57" i="10"/>
  <c r="I57" i="10"/>
  <c r="H57" i="10"/>
  <c r="G57" i="10"/>
  <c r="F57" i="10"/>
  <c r="E57" i="10"/>
  <c r="AD56" i="10"/>
  <c r="AE56" i="10" s="1"/>
  <c r="AD54" i="10"/>
  <c r="AB54" i="10"/>
  <c r="Y54" i="10"/>
  <c r="AD53" i="10"/>
  <c r="AB53" i="10"/>
  <c r="Y53" i="10"/>
  <c r="AD52" i="10"/>
  <c r="AB52" i="10"/>
  <c r="Y52" i="10"/>
  <c r="AD51" i="10"/>
  <c r="AB51" i="10"/>
  <c r="Q57" i="9"/>
  <c r="Y57" i="19" l="1"/>
  <c r="Y57" i="18"/>
  <c r="Y57" i="14"/>
  <c r="AE53" i="12"/>
  <c r="AE54" i="13"/>
  <c r="AE51" i="12"/>
  <c r="Y51" i="12" s="1"/>
  <c r="Y57" i="12" s="1"/>
  <c r="AE52" i="13"/>
  <c r="Y52" i="13" s="1"/>
  <c r="AE58" i="13"/>
  <c r="Y58" i="13" s="1"/>
  <c r="AE54" i="12"/>
  <c r="AE51" i="13"/>
  <c r="Y51" i="13" s="1"/>
  <c r="AD57" i="12"/>
  <c r="AE57" i="12" s="1"/>
  <c r="AE52" i="12"/>
  <c r="AE53" i="13"/>
  <c r="AD57" i="13"/>
  <c r="AE57" i="13" s="1"/>
  <c r="AE58" i="12"/>
  <c r="Y58" i="12" s="1"/>
  <c r="AE54" i="11"/>
  <c r="AD57" i="11"/>
  <c r="AE57" i="11" s="1"/>
  <c r="AE53" i="11"/>
  <c r="AE51" i="11"/>
  <c r="Y51" i="11" s="1"/>
  <c r="AE52" i="11"/>
  <c r="Y52" i="11" s="1"/>
  <c r="AE58" i="11"/>
  <c r="Y58" i="11" s="1"/>
  <c r="AE54" i="10"/>
  <c r="AE53" i="10"/>
  <c r="AE52" i="10"/>
  <c r="AE51" i="10"/>
  <c r="Y51" i="10" s="1"/>
  <c r="Y57" i="10" s="1"/>
  <c r="AE58" i="10"/>
  <c r="Y58" i="10" s="1"/>
  <c r="AD57" i="10"/>
  <c r="AE57" i="10" s="1"/>
  <c r="L59" i="9"/>
  <c r="L60" i="9"/>
  <c r="Y57" i="13" l="1"/>
  <c r="Y57" i="11"/>
  <c r="U57" i="9"/>
  <c r="W57" i="9"/>
  <c r="AD56" i="9" l="1"/>
  <c r="AE56" i="9" s="1"/>
  <c r="AD58" i="9"/>
  <c r="AD52" i="9"/>
  <c r="AD53" i="9"/>
  <c r="AD54" i="9"/>
  <c r="AD51" i="9"/>
  <c r="AB57" i="9" l="1"/>
  <c r="AB54" i="9"/>
  <c r="AE54" i="9" s="1"/>
  <c r="AB53" i="9"/>
  <c r="AE53" i="9" s="1"/>
  <c r="AB52" i="9"/>
  <c r="AE52" i="9" s="1"/>
  <c r="AB51" i="9"/>
  <c r="AB58" i="9"/>
  <c r="W60" i="9"/>
  <c r="W59" i="9"/>
  <c r="Y53" i="9"/>
  <c r="AE58" i="9" l="1"/>
  <c r="Y58" i="9" s="1"/>
  <c r="AE51" i="9"/>
  <c r="Y51" i="9" s="1"/>
  <c r="Y52" i="9"/>
  <c r="Y54" i="9"/>
  <c r="J60" i="9"/>
  <c r="J59" i="9"/>
  <c r="E60" i="9"/>
  <c r="E59" i="9"/>
  <c r="Y57" i="9" l="1"/>
  <c r="J57" i="9"/>
  <c r="P57" i="9"/>
  <c r="E57" i="9"/>
  <c r="F57" i="9"/>
  <c r="G57" i="9"/>
  <c r="H57" i="9"/>
  <c r="I57" i="9"/>
  <c r="K57" i="9"/>
  <c r="L57" i="9"/>
  <c r="M57" i="9"/>
  <c r="N57" i="9"/>
  <c r="O57" i="9"/>
  <c r="S57" i="9"/>
  <c r="T57" i="9"/>
  <c r="AD57" i="9" l="1"/>
  <c r="AE57" i="9" s="1"/>
</calcChain>
</file>

<file path=xl/sharedStrings.xml><?xml version="1.0" encoding="utf-8"?>
<sst xmlns="http://schemas.openxmlformats.org/spreadsheetml/2006/main" count="1369" uniqueCount="129">
  <si>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</si>
  <si>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</si>
  <si>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</si>
  <si>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</si>
  <si>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</si>
  <si>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</si>
  <si>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</si>
  <si>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</si>
  <si>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</si>
  <si>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</si>
  <si>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</si>
  <si>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</si>
  <si>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</si>
  <si>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</si>
  <si>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</si>
  <si>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</si>
  <si>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</si>
  <si>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</si>
  <si>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</si>
  <si>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</si>
  <si>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</si>
  <si>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</si>
  <si>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</si>
  <si>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</si>
  <si>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</si>
  <si>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Fonction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</si>
  <si>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</si>
  <si>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</si>
  <si>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</si>
  <si>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</si>
  <si>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</si>
  <si>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</si>
  <si>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</si>
  <si>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</si>
  <si>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</si>
  <si>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</si>
  <si>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</si>
  <si>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</si>
  <si>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</si>
  <si>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</si>
  <si>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</si>
  <si>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</si>
  <si>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</si>
  <si>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</si>
  <si>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</si>
  <si>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</si>
  <si>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</si>
  <si>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</si>
  <si>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</si>
  <si>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</si>
  <si>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</si>
  <si>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RA M37C</t>
  </si>
  <si>
    <t>Villeurbanne - rue Pressensé</t>
  </si>
  <si>
    <t>F. Montet</t>
  </si>
  <si>
    <t>26/07/2022</t>
  </si>
  <si>
    <t>EB 14 ASSISE 35/50</t>
  </si>
  <si>
    <t>GB 0/14 Classe 4</t>
  </si>
  <si>
    <t>P2R</t>
  </si>
  <si>
    <t>Croisement Pressensé et 8 Mai</t>
  </si>
  <si>
    <t>Base</t>
  </si>
  <si>
    <t>F. MONTET</t>
  </si>
  <si>
    <t>Technicien de laboratoire</t>
  </si>
  <si>
    <t>9h05</t>
  </si>
  <si>
    <t>Conforme</t>
  </si>
  <si>
    <t>EB 10 ROUL Styrelf 13/40</t>
  </si>
  <si>
    <t>BBSG 0/10 CL3 Styrelf 13/40</t>
  </si>
  <si>
    <t>Rue du 8 Mai 1945</t>
  </si>
  <si>
    <t>Roulement</t>
  </si>
  <si>
    <t>13:50</t>
  </si>
  <si>
    <t>Rue Pressensé</t>
  </si>
  <si>
    <t>10:15</t>
  </si>
  <si>
    <t>08:20</t>
  </si>
  <si>
    <t>D. Fontaine</t>
  </si>
  <si>
    <t>9h30</t>
  </si>
  <si>
    <t>10h40</t>
  </si>
  <si>
    <t>11:40</t>
  </si>
  <si>
    <t>08:35</t>
  </si>
  <si>
    <t>Nuit 30-31/05/2023</t>
  </si>
  <si>
    <t>EB 14 ASSISE 20/30 30%AE</t>
  </si>
  <si>
    <t>EME 0/14 Cl2 30%AE</t>
  </si>
  <si>
    <t>Boulevard Stalingrad</t>
  </si>
  <si>
    <t>Villeurbanne - MBDC enrobés Lot6</t>
  </si>
  <si>
    <t>EB 10 ROUL 35/50 15%AE</t>
  </si>
  <si>
    <t>BBSG 0/10 Cl3 15%AE</t>
  </si>
  <si>
    <t>EB 10 ROUL 35/50</t>
  </si>
  <si>
    <t>BBSG 0/10 Cl3</t>
  </si>
  <si>
    <t>Rue Léon Blum (Médipôle)</t>
  </si>
  <si>
    <t>11H15</t>
  </si>
  <si>
    <t>Rue Mansard</t>
  </si>
  <si>
    <t>08:50</t>
  </si>
  <si>
    <t>10:45</t>
  </si>
  <si>
    <t>Villeurbanne
MBDC
Enrobés Lot6</t>
  </si>
  <si>
    <t>Sylvain LHOPITAL</t>
  </si>
  <si>
    <t>21/11/2023</t>
  </si>
  <si>
    <t>Carrefour Pompidou / Baraban</t>
  </si>
  <si>
    <t>BBSG 0/10 Cl2</t>
  </si>
  <si>
    <t>EB 10 ROUL 35/50 10%AE</t>
  </si>
  <si>
    <t>Chef de Section Laboratoire</t>
  </si>
  <si>
    <t>10:20</t>
  </si>
  <si>
    <t>Nuit 12-13/02/2024</t>
  </si>
  <si>
    <t>129 rue Servient Lyon 3</t>
  </si>
  <si>
    <t>0H10</t>
  </si>
  <si>
    <t>EB 14 ASSISE 20/30 dopé 0,4%</t>
  </si>
  <si>
    <t>EME 0/14 Cl2 T° abaissée</t>
  </si>
  <si>
    <t>Avenue Lacassagne</t>
  </si>
  <si>
    <t>08:05</t>
  </si>
  <si>
    <t>09:45</t>
  </si>
  <si>
    <t>Entre rue Paul Bert et avenue Félix Faure</t>
  </si>
  <si>
    <t>15:20</t>
  </si>
  <si>
    <t>Entre avenue Félix Faure et rue du Dauphiné côté bus</t>
  </si>
  <si>
    <t>EB 14 ROUL 35/50 0,3% PrFlex</t>
  </si>
  <si>
    <t>BBSG 0/14 Cl3 20%AE</t>
  </si>
  <si>
    <t>08:30</t>
  </si>
  <si>
    <t>EB 10 ROUL 35/50 0,4% PrFlex</t>
  </si>
  <si>
    <t>BBSG 0/10 Cl3 10%AE</t>
  </si>
  <si>
    <t>12:10</t>
  </si>
  <si>
    <t>13:30</t>
  </si>
  <si>
    <t>15:40</t>
  </si>
  <si>
    <t>3 Avenue Lacassagne Quai bus</t>
  </si>
  <si>
    <t>08:55</t>
  </si>
  <si>
    <t>Entre rue Paul Bert et avenue Félix Faure côté VL.</t>
  </si>
  <si>
    <t>Entre rue Paul Bert et avenue Félix Faure côté VL</t>
  </si>
  <si>
    <t>13:40</t>
  </si>
  <si>
    <t>15:00</t>
  </si>
  <si>
    <t>Entre avenue Félix Faure et rue du Dauphiné</t>
  </si>
  <si>
    <t>Avenue Lacassagne Quai bus</t>
  </si>
  <si>
    <t>11:00</t>
  </si>
  <si>
    <t>08:25</t>
  </si>
  <si>
    <t>09:30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</si>
</sst>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1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b/>
      <sz val="14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Arial"/>
    </font>
    <font>
      <sz val="8"/>
      <color rgb="FF000000"/>
      <name val="Century Gothic"/>
    </font>
    <font>
      <sz val="10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4" fillId="0" borderId="0"/>
    <xf numFmtId="0" fontId="21" fillId="0" borderId="0"/>
    <xf numFmtId="0" fontId="24" fillId="0" borderId="0"/>
    <xf numFmtId="0" fontId="28" fillId="0" borderId="0"/>
  </cellStyleXfs>
  <cellXfs count="35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8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3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30" xfId="0" applyFont="1" applyBorder="1" applyAlignment="1" applyProtection="1">
      <alignment vertical="center"/>
      <protection hidden="1"/>
    </xf>
    <xf numFmtId="0" fontId="5" fillId="0" borderId="28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5" fillId="0" borderId="46" xfId="0" applyFont="1" applyBorder="1" applyAlignment="1" applyProtection="1">
      <alignment horizontal="center" vertical="center"/>
      <protection hidden="1"/>
    </xf>
    <xf numFmtId="0" fontId="9" fillId="0" borderId="47" xfId="0" applyFont="1" applyBorder="1" applyAlignment="1" applyProtection="1">
      <alignment vertical="center"/>
      <protection hidden="1"/>
    </xf>
    <xf numFmtId="0" fontId="10" fillId="0" borderId="47" xfId="0" applyFont="1" applyBorder="1" applyAlignment="1" applyProtection="1">
      <alignment vertical="center"/>
      <protection hidden="1"/>
    </xf>
    <xf numFmtId="0" fontId="1" fillId="0" borderId="47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4" xfId="1" applyNumberFormat="1" applyFont="1" applyFill="1" applyBorder="1" applyAlignment="1" applyProtection="1">
      <alignment horizontal="center"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" fillId="0" borderId="18" xfId="0" applyFont="1" applyBorder="1" applyAlignment="1">
      <alignment vertical="center"/>
    </xf>
    <xf numFmtId="0" fontId="15" fillId="2" borderId="22" xfId="1" applyFont="1" applyFill="1" applyBorder="1" applyAlignment="1" applyProtection="1">
      <alignment vertical="center"/>
      <protection hidden="1"/>
    </xf>
    <xf numFmtId="0" fontId="15" fillId="2" borderId="25" xfId="1" applyFont="1" applyFill="1" applyBorder="1" applyAlignment="1" applyProtection="1">
      <alignment vertical="center"/>
      <protection hidden="1"/>
    </xf>
    <xf numFmtId="0" fontId="15" fillId="2" borderId="38" xfId="1" applyFont="1" applyFill="1" applyBorder="1" applyAlignment="1" applyProtection="1">
      <alignment vertical="center"/>
      <protection hidden="1"/>
    </xf>
    <xf numFmtId="0" fontId="12" fillId="0" borderId="50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5" xfId="0" applyFont="1" applyBorder="1" applyAlignment="1">
      <alignment vertical="center"/>
    </xf>
    <xf numFmtId="164" fontId="6" fillId="0" borderId="18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6" xfId="0" applyNumberFormat="1" applyFont="1" applyBorder="1" applyAlignment="1">
      <alignment horizontal="center" vertical="center" wrapText="1"/>
    </xf>
    <xf numFmtId="164" fontId="1" fillId="0" borderId="30" xfId="0" applyNumberFormat="1" applyFont="1" applyBorder="1" applyAlignment="1" applyProtection="1">
      <alignment horizontal="center" vertical="center"/>
      <protection locked="0"/>
    </xf>
    <xf numFmtId="164" fontId="1" fillId="0" borderId="16" xfId="0" applyNumberFormat="1" applyFont="1" applyBorder="1" applyAlignment="1" applyProtection="1">
      <alignment horizontal="center" vertical="center"/>
      <protection locked="0"/>
    </xf>
    <xf numFmtId="164" fontId="1" fillId="0" borderId="6" xfId="0" applyNumberFormat="1" applyFont="1" applyBorder="1" applyAlignment="1" applyProtection="1">
      <alignment horizontal="center" vertical="center"/>
      <protection locked="0"/>
    </xf>
    <xf numFmtId="164" fontId="1" fillId="0" borderId="20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0" xfId="0" applyNumberFormat="1" applyFont="1" applyBorder="1" applyAlignment="1" applyProtection="1">
      <alignment horizontal="center" vertical="center"/>
      <protection locked="0"/>
    </xf>
    <xf numFmtId="164" fontId="1" fillId="0" borderId="35" xfId="0" applyNumberFormat="1" applyFont="1" applyBorder="1" applyAlignment="1" applyProtection="1">
      <alignment horizontal="center" vertical="center"/>
      <protection locked="0"/>
    </xf>
    <xf numFmtId="164" fontId="1" fillId="0" borderId="26" xfId="0" applyNumberFormat="1" applyFont="1" applyBorder="1" applyAlignment="1">
      <alignment horizontal="center" vertical="center" wrapText="1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164" fontId="1" fillId="0" borderId="39" xfId="0" applyNumberFormat="1" applyFont="1" applyBorder="1" applyAlignment="1" applyProtection="1">
      <alignment horizontal="center" vertical="center"/>
      <protection locked="0"/>
    </xf>
    <xf numFmtId="164" fontId="2" fillId="0" borderId="21" xfId="0" applyNumberFormat="1" applyFont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hidden="1"/>
    </xf>
    <xf numFmtId="1" fontId="11" fillId="0" borderId="24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 applyProtection="1">
      <alignment horizontal="center" vertical="center"/>
      <protection locked="0"/>
    </xf>
    <xf numFmtId="1" fontId="1" fillId="0" borderId="20" xfId="0" applyNumberFormat="1" applyFont="1" applyBorder="1" applyAlignment="1" applyProtection="1">
      <alignment horizontal="center" vertical="center"/>
      <protection locked="0"/>
    </xf>
    <xf numFmtId="1" fontId="1" fillId="0" borderId="26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vertical="center"/>
    </xf>
    <xf numFmtId="1" fontId="12" fillId="0" borderId="10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164" fontId="23" fillId="0" borderId="63" xfId="2" applyNumberFormat="1" applyFont="1" applyBorder="1" applyAlignment="1" applyProtection="1">
      <alignment horizontal="center" vertical="center"/>
      <protection locked="0"/>
    </xf>
    <xf numFmtId="164" fontId="22" fillId="0" borderId="70" xfId="2" applyNumberFormat="1" applyFont="1" applyBorder="1" applyAlignment="1">
      <alignment horizontal="center" vertical="center" wrapText="1"/>
    </xf>
    <xf numFmtId="164" fontId="22" fillId="0" borderId="65" xfId="2" applyNumberFormat="1" applyFont="1" applyBorder="1" applyAlignment="1" applyProtection="1">
      <alignment horizontal="center" vertical="center"/>
      <protection locked="0"/>
    </xf>
    <xf numFmtId="164" fontId="22" fillId="0" borderId="70" xfId="2" applyNumberFormat="1" applyFont="1" applyBorder="1" applyAlignment="1" applyProtection="1">
      <alignment horizontal="center" vertical="center"/>
      <protection locked="0"/>
    </xf>
    <xf numFmtId="1" fontId="22" fillId="0" borderId="70" xfId="2" applyNumberFormat="1" applyFont="1" applyBorder="1" applyAlignment="1" applyProtection="1">
      <alignment horizontal="center" vertical="center"/>
      <protection locked="0"/>
    </xf>
    <xf numFmtId="164" fontId="27" fillId="0" borderId="63" xfId="3" applyNumberFormat="1" applyFont="1" applyBorder="1" applyAlignment="1" applyProtection="1">
      <alignment horizontal="center" vertical="center"/>
      <protection locked="0"/>
    </xf>
    <xf numFmtId="164" fontId="25" fillId="0" borderId="70" xfId="3" applyNumberFormat="1" applyFont="1" applyBorder="1" applyAlignment="1">
      <alignment horizontal="center" vertical="center" wrapText="1"/>
    </xf>
    <xf numFmtId="164" fontId="25" fillId="0" borderId="65" xfId="3" applyNumberFormat="1" applyFont="1" applyBorder="1" applyAlignment="1" applyProtection="1">
      <alignment horizontal="center" vertical="center"/>
      <protection locked="0"/>
    </xf>
    <xf numFmtId="164" fontId="25" fillId="0" borderId="70" xfId="3" applyNumberFormat="1" applyFont="1" applyBorder="1" applyAlignment="1" applyProtection="1">
      <alignment horizontal="center" vertical="center"/>
      <protection locked="0"/>
    </xf>
    <xf numFmtId="1" fontId="25" fillId="0" borderId="70" xfId="3" applyNumberFormat="1" applyFont="1" applyBorder="1" applyAlignment="1" applyProtection="1">
      <alignment horizontal="center" vertical="center"/>
      <protection locked="0"/>
    </xf>
    <xf numFmtId="164" fontId="23" fillId="0" borderId="70" xfId="2" applyNumberFormat="1" applyFont="1" applyBorder="1" applyAlignment="1">
      <alignment horizontal="center" vertical="center" wrapText="1"/>
    </xf>
    <xf numFmtId="164" fontId="23" fillId="0" borderId="65" xfId="2" applyNumberFormat="1" applyFont="1" applyBorder="1" applyAlignment="1" applyProtection="1">
      <alignment horizontal="center" vertical="center"/>
      <protection locked="0"/>
    </xf>
    <xf numFmtId="164" fontId="23" fillId="0" borderId="70" xfId="2" applyNumberFormat="1" applyFont="1" applyBorder="1" applyAlignment="1" applyProtection="1">
      <alignment horizontal="center" vertical="center"/>
      <protection locked="0"/>
    </xf>
    <xf numFmtId="164" fontId="25" fillId="0" borderId="63" xfId="3" applyNumberFormat="1" applyFont="1" applyBorder="1" applyAlignment="1" applyProtection="1">
      <alignment horizontal="center" vertical="center"/>
      <protection locked="0"/>
    </xf>
    <xf numFmtId="164" fontId="23" fillId="0" borderId="70" xfId="0" applyNumberFormat="1" applyFont="1" applyBorder="1" applyAlignment="1">
      <alignment horizontal="center" vertical="center" wrapText="1"/>
    </xf>
    <xf numFmtId="164" fontId="23" fillId="0" borderId="65" xfId="0" applyNumberFormat="1" applyFont="1" applyBorder="1" applyAlignment="1" applyProtection="1">
      <alignment horizontal="center" vertical="center"/>
      <protection locked="0"/>
    </xf>
    <xf numFmtId="164" fontId="23" fillId="0" borderId="70" xfId="0" applyNumberFormat="1" applyFont="1" applyBorder="1" applyAlignment="1" applyProtection="1">
      <alignment horizontal="center" vertical="center"/>
      <protection locked="0"/>
    </xf>
    <xf numFmtId="164" fontId="23" fillId="0" borderId="63" xfId="0" applyNumberFormat="1" applyFont="1" applyBorder="1" applyAlignment="1" applyProtection="1">
      <alignment horizontal="center" vertical="center"/>
      <protection locked="0"/>
    </xf>
    <xf numFmtId="164" fontId="29" fillId="0" borderId="70" xfId="4" applyNumberFormat="1" applyFont="1" applyBorder="1" applyAlignment="1">
      <alignment horizontal="center" vertical="center" wrapText="1"/>
    </xf>
    <xf numFmtId="164" fontId="29" fillId="0" borderId="65" xfId="4" applyNumberFormat="1" applyFont="1" applyBorder="1" applyAlignment="1" applyProtection="1">
      <alignment horizontal="center" vertical="center"/>
      <protection locked="0"/>
    </xf>
    <xf numFmtId="164" fontId="29" fillId="0" borderId="70" xfId="4" applyNumberFormat="1" applyFont="1" applyBorder="1" applyAlignment="1" applyProtection="1">
      <alignment horizontal="center" vertical="center"/>
      <protection locked="0"/>
    </xf>
    <xf numFmtId="1" fontId="29" fillId="0" borderId="70" xfId="4" applyNumberFormat="1" applyFont="1" applyBorder="1" applyAlignment="1" applyProtection="1">
      <alignment horizontal="center" vertical="center"/>
      <protection locked="0"/>
    </xf>
    <xf numFmtId="164" fontId="29" fillId="0" borderId="70" xfId="0" applyNumberFormat="1" applyFont="1" applyBorder="1" applyAlignment="1">
      <alignment horizontal="center" vertical="center" wrapText="1"/>
    </xf>
    <xf numFmtId="164" fontId="29" fillId="0" borderId="65" xfId="0" applyNumberFormat="1" applyFont="1" applyBorder="1" applyAlignment="1" applyProtection="1">
      <alignment horizontal="center" vertical="center"/>
      <protection locked="0"/>
    </xf>
    <xf numFmtId="164" fontId="29" fillId="0" borderId="70" xfId="0" applyNumberFormat="1" applyFont="1" applyBorder="1" applyAlignment="1" applyProtection="1">
      <alignment horizontal="center" vertical="center"/>
      <protection locked="0"/>
    </xf>
    <xf numFmtId="164" fontId="29" fillId="0" borderId="63" xfId="0" applyNumberFormat="1" applyFont="1" applyBorder="1" applyAlignment="1" applyProtection="1">
      <alignment horizontal="center" vertical="center"/>
      <protection locked="0"/>
    </xf>
    <xf numFmtId="164" fontId="29" fillId="0" borderId="63" xfId="4" applyNumberFormat="1" applyFont="1" applyBorder="1" applyAlignment="1" applyProtection="1">
      <alignment horizontal="center" vertical="center"/>
      <protection locked="0"/>
    </xf>
    <xf numFmtId="1" fontId="29" fillId="0" borderId="70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30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30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30" xfId="0" applyFont="1" applyBorder="1" applyAlignment="1" applyProtection="1">
      <alignment horizontal="center" vertical="center"/>
      <protection locked="0"/>
    </xf>
    <xf numFmtId="164" fontId="29" fillId="0" borderId="69" xfId="4" applyNumberFormat="1" applyFont="1" applyBorder="1" applyAlignment="1" applyProtection="1">
      <alignment horizontal="center" vertical="center"/>
      <protection locked="0"/>
    </xf>
    <xf numFmtId="164" fontId="29" fillId="0" borderId="65" xfId="4" applyNumberFormat="1" applyFont="1" applyBorder="1" applyAlignment="1" applyProtection="1">
      <alignment horizontal="center" vertical="center"/>
      <protection locked="0"/>
    </xf>
    <xf numFmtId="2" fontId="29" fillId="0" borderId="63" xfId="4" applyNumberFormat="1" applyFont="1" applyBorder="1" applyAlignment="1" applyProtection="1">
      <alignment horizontal="center" vertical="center"/>
      <protection locked="0"/>
    </xf>
    <xf numFmtId="2" fontId="29" fillId="0" borderId="65" xfId="4" applyNumberFormat="1" applyFont="1" applyBorder="1" applyAlignment="1" applyProtection="1">
      <alignment horizontal="center" vertical="center"/>
      <protection locked="0"/>
    </xf>
    <xf numFmtId="0" fontId="30" fillId="0" borderId="63" xfId="4" applyFont="1" applyBorder="1" applyAlignment="1">
      <alignment horizontal="center" vertical="center" wrapText="1"/>
    </xf>
    <xf numFmtId="0" fontId="30" fillId="0" borderId="65" xfId="4" applyFont="1" applyBorder="1" applyAlignment="1">
      <alignment horizontal="center" vertical="center" wrapText="1"/>
    </xf>
    <xf numFmtId="0" fontId="13" fillId="0" borderId="42" xfId="0" applyFont="1" applyBorder="1" applyAlignment="1" applyProtection="1">
      <alignment horizontal="center" vertical="center" wrapText="1"/>
      <protection hidden="1"/>
    </xf>
    <xf numFmtId="0" fontId="13" fillId="0" borderId="37" xfId="0" applyFont="1" applyBorder="1" applyAlignment="1" applyProtection="1">
      <alignment horizontal="center" vertical="center" wrapText="1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18" fillId="0" borderId="60" xfId="0" applyFont="1" applyBorder="1" applyAlignment="1" applyProtection="1">
      <alignment horizontal="center" vertical="center"/>
      <protection hidden="1"/>
    </xf>
    <xf numFmtId="0" fontId="8" fillId="0" borderId="35" xfId="0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18" fillId="0" borderId="63" xfId="0" applyFont="1" applyBorder="1" applyAlignment="1" applyProtection="1">
      <alignment horizontal="center" vertical="center"/>
      <protection hidden="1"/>
    </xf>
    <xf numFmtId="0" fontId="18" fillId="0" borderId="64" xfId="0" applyFont="1" applyBorder="1" applyAlignment="1" applyProtection="1">
      <alignment horizontal="center" vertical="center"/>
      <protection hidden="1"/>
    </xf>
    <xf numFmtId="0" fontId="18" fillId="0" borderId="65" xfId="0" applyFont="1" applyBorder="1" applyAlignment="1" applyProtection="1">
      <alignment horizontal="center" vertical="center"/>
      <protection hidden="1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center" vertical="center"/>
      <protection locked="0"/>
    </xf>
    <xf numFmtId="164" fontId="1" fillId="0" borderId="22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35" xfId="0" applyNumberFormat="1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5" fillId="2" borderId="24" xfId="1" applyFont="1" applyFill="1" applyBorder="1" applyAlignment="1" applyProtection="1">
      <alignment horizontal="center" vertical="center"/>
      <protection hidden="1"/>
    </xf>
    <xf numFmtId="0" fontId="15" fillId="2" borderId="27" xfId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2" fontId="15" fillId="2" borderId="44" xfId="1" applyNumberFormat="1" applyFont="1" applyFill="1" applyBorder="1" applyAlignment="1" applyProtection="1">
      <alignment horizontal="center" vertical="center"/>
      <protection hidden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1" fillId="0" borderId="25" xfId="0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 applyProtection="1">
      <alignment horizontal="center" vertical="center"/>
      <protection locked="0"/>
    </xf>
    <xf numFmtId="164" fontId="1" fillId="0" borderId="39" xfId="0" applyNumberFormat="1" applyFont="1" applyBorder="1" applyAlignment="1" applyProtection="1">
      <alignment horizontal="center" vertical="center"/>
      <protection locked="0"/>
    </xf>
    <xf numFmtId="0" fontId="1" fillId="0" borderId="39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51" xfId="0" applyNumberFormat="1" applyFont="1" applyBorder="1" applyAlignment="1">
      <alignment horizontal="center" vertical="center"/>
    </xf>
    <xf numFmtId="2" fontId="1" fillId="0" borderId="32" xfId="0" applyNumberFormat="1" applyFont="1" applyBorder="1" applyAlignment="1">
      <alignment horizontal="center" vertical="center"/>
    </xf>
    <xf numFmtId="2" fontId="1" fillId="0" borderId="51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2" fontId="15" fillId="2" borderId="22" xfId="1" applyNumberFormat="1" applyFont="1" applyFill="1" applyBorder="1" applyAlignment="1" applyProtection="1">
      <alignment horizontal="center" vertical="center"/>
      <protection hidden="1"/>
    </xf>
    <xf numFmtId="2" fontId="15" fillId="2" borderId="37" xfId="1" applyNumberFormat="1" applyFont="1" applyFill="1" applyBorder="1" applyAlignment="1" applyProtection="1">
      <alignment horizontal="center" vertical="center"/>
      <protection hidden="1"/>
    </xf>
    <xf numFmtId="0" fontId="2" fillId="0" borderId="2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11" fillId="0" borderId="22" xfId="0" applyNumberFormat="1" applyFont="1" applyBorder="1" applyAlignment="1">
      <alignment horizontal="center" vertical="center"/>
    </xf>
    <xf numFmtId="164" fontId="11" fillId="0" borderId="37" xfId="0" applyNumberFormat="1" applyFont="1" applyBorder="1" applyAlignment="1">
      <alignment horizontal="center" vertical="center"/>
    </xf>
    <xf numFmtId="2" fontId="11" fillId="0" borderId="35" xfId="0" applyNumberFormat="1" applyFont="1" applyBorder="1" applyAlignment="1">
      <alignment horizontal="center" vertical="center"/>
    </xf>
    <xf numFmtId="2" fontId="11" fillId="0" borderId="37" xfId="0" applyNumberFormat="1" applyFont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2" fontId="1" fillId="0" borderId="56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39" xfId="0" applyNumberFormat="1" applyFont="1" applyBorder="1" applyAlignment="1" applyProtection="1">
      <alignment horizontal="center" vertical="center"/>
      <protection locked="0"/>
    </xf>
    <xf numFmtId="2" fontId="1" fillId="0" borderId="57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164" fontId="29" fillId="0" borderId="69" xfId="0" applyNumberFormat="1" applyFont="1" applyBorder="1" applyAlignment="1" applyProtection="1">
      <alignment horizontal="center" vertical="center"/>
      <protection locked="0"/>
    </xf>
    <xf numFmtId="164" fontId="29" fillId="0" borderId="65" xfId="0" applyNumberFormat="1" applyFont="1" applyBorder="1" applyAlignment="1" applyProtection="1">
      <alignment horizontal="center" vertical="center"/>
      <protection locked="0"/>
    </xf>
    <xf numFmtId="2" fontId="29" fillId="0" borderId="63" xfId="0" applyNumberFormat="1" applyFont="1" applyBorder="1" applyAlignment="1" applyProtection="1">
      <alignment horizontal="center" vertical="center"/>
      <protection locked="0"/>
    </xf>
    <xf numFmtId="2" fontId="29" fillId="0" borderId="65" xfId="0" applyNumberFormat="1" applyFont="1" applyBorder="1" applyAlignment="1" applyProtection="1">
      <alignment horizontal="center" vertical="center"/>
      <protection locked="0"/>
    </xf>
    <xf numFmtId="2" fontId="1" fillId="0" borderId="35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>
      <alignment horizontal="center" vertical="center"/>
    </xf>
    <xf numFmtId="2" fontId="1" fillId="0" borderId="42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0" fontId="16" fillId="2" borderId="41" xfId="1" applyFont="1" applyFill="1" applyBorder="1" applyAlignment="1" applyProtection="1">
      <alignment horizontal="center" vertical="center" wrapText="1"/>
      <protection locked="0"/>
    </xf>
    <xf numFmtId="0" fontId="16" fillId="2" borderId="44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5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1" fillId="0" borderId="32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6" fillId="2" borderId="53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3" xfId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7" xfId="1" applyFont="1" applyFill="1" applyBorder="1" applyAlignment="1" applyProtection="1">
      <alignment horizontal="center" vertical="center" wrapText="1"/>
      <protection locked="0"/>
    </xf>
    <xf numFmtId="0" fontId="16" fillId="2" borderId="19" xfId="1" applyFont="1" applyFill="1" applyBorder="1" applyAlignment="1" applyProtection="1">
      <alignment horizontal="center" vertical="center" wrapText="1"/>
      <protection locked="0"/>
    </xf>
    <xf numFmtId="0" fontId="16" fillId="2" borderId="49" xfId="1" applyFont="1" applyFill="1" applyBorder="1" applyAlignment="1" applyProtection="1">
      <alignment horizontal="center" vertical="center" wrapText="1"/>
      <protection locked="0"/>
    </xf>
    <xf numFmtId="0" fontId="16" fillId="0" borderId="45" xfId="1" applyFont="1" applyBorder="1" applyAlignment="1" applyProtection="1">
      <alignment vertical="center" wrapText="1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20" fillId="0" borderId="0" xfId="0" applyFont="1" applyAlignment="1" applyProtection="1">
      <alignment horizontal="left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hidden="1"/>
    </xf>
    <xf numFmtId="0" fontId="5" fillId="0" borderId="42" xfId="0" applyFont="1" applyBorder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 vertical="center"/>
      <protection locked="0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30" xfId="0" applyFont="1" applyBorder="1" applyAlignment="1" applyProtection="1">
      <alignment horizontal="center" vertical="center" wrapText="1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19" fillId="0" borderId="66" xfId="0" applyFont="1" applyBorder="1" applyAlignment="1" applyProtection="1">
      <alignment horizontal="center" vertical="center" wrapText="1"/>
      <protection locked="0"/>
    </xf>
    <xf numFmtId="0" fontId="19" fillId="0" borderId="67" xfId="0" applyFont="1" applyBorder="1" applyAlignment="1" applyProtection="1">
      <alignment horizontal="center" vertical="center" wrapText="1"/>
      <protection locked="0"/>
    </xf>
    <xf numFmtId="0" fontId="19" fillId="0" borderId="68" xfId="0" applyFont="1" applyBorder="1" applyAlignment="1" applyProtection="1">
      <alignment horizontal="center" vertical="center" wrapText="1"/>
      <protection locked="0"/>
    </xf>
    <xf numFmtId="0" fontId="19" fillId="0" borderId="61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62" xfId="0" applyFont="1" applyBorder="1" applyAlignment="1" applyProtection="1">
      <alignment horizontal="center" vertical="center" wrapText="1"/>
      <protection locked="0"/>
    </xf>
    <xf numFmtId="0" fontId="19" fillId="0" borderId="63" xfId="0" applyFont="1" applyBorder="1" applyAlignment="1" applyProtection="1">
      <alignment horizontal="center" vertical="center" wrapText="1"/>
      <protection locked="0"/>
    </xf>
    <xf numFmtId="0" fontId="19" fillId="0" borderId="64" xfId="0" applyFont="1" applyBorder="1" applyAlignment="1" applyProtection="1">
      <alignment horizontal="center" vertical="center" wrapText="1"/>
      <protection locked="0"/>
    </xf>
    <xf numFmtId="0" fontId="19" fillId="0" borderId="65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4" fontId="5" fillId="0" borderId="8" xfId="0" applyNumberFormat="1" applyFont="1" applyBorder="1" applyAlignment="1" applyProtection="1">
      <alignment horizontal="center" vertical="center"/>
      <protection locked="0"/>
    </xf>
    <xf numFmtId="0" fontId="22" fillId="0" borderId="63" xfId="2" applyFont="1" applyBorder="1" applyAlignment="1">
      <alignment horizontal="center" vertical="center" wrapText="1"/>
    </xf>
    <xf numFmtId="0" fontId="22" fillId="0" borderId="65" xfId="2" applyFont="1" applyBorder="1" applyAlignment="1">
      <alignment horizontal="center" vertical="center" wrapText="1"/>
    </xf>
    <xf numFmtId="164" fontId="23" fillId="0" borderId="69" xfId="2" applyNumberFormat="1" applyFont="1" applyBorder="1" applyAlignment="1" applyProtection="1">
      <alignment horizontal="center" vertical="center"/>
      <protection locked="0"/>
    </xf>
    <xf numFmtId="164" fontId="23" fillId="0" borderId="65" xfId="2" applyNumberFormat="1" applyFont="1" applyBorder="1" applyAlignment="1" applyProtection="1">
      <alignment horizontal="center" vertical="center"/>
      <protection locked="0"/>
    </xf>
    <xf numFmtId="2" fontId="23" fillId="0" borderId="63" xfId="2" applyNumberFormat="1" applyFont="1" applyBorder="1" applyAlignment="1" applyProtection="1">
      <alignment horizontal="center" vertical="center"/>
      <protection locked="0"/>
    </xf>
    <xf numFmtId="2" fontId="23" fillId="0" borderId="65" xfId="2" applyNumberFormat="1" applyFont="1" applyBorder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left" vertical="center"/>
      <protection locked="0"/>
    </xf>
    <xf numFmtId="0" fontId="22" fillId="0" borderId="63" xfId="3" applyFont="1" applyBorder="1" applyAlignment="1">
      <alignment horizontal="center" vertical="center" wrapText="1"/>
    </xf>
    <xf numFmtId="0" fontId="25" fillId="0" borderId="65" xfId="3" applyFont="1" applyBorder="1" applyAlignment="1">
      <alignment horizontal="center" vertical="center" wrapText="1"/>
    </xf>
    <xf numFmtId="164" fontId="25" fillId="0" borderId="69" xfId="3" applyNumberFormat="1" applyFont="1" applyBorder="1" applyAlignment="1" applyProtection="1">
      <alignment horizontal="center" vertical="center"/>
      <protection locked="0"/>
    </xf>
    <xf numFmtId="164" fontId="25" fillId="0" borderId="65" xfId="3" applyNumberFormat="1" applyFont="1" applyBorder="1" applyAlignment="1" applyProtection="1">
      <alignment horizontal="center" vertical="center"/>
      <protection locked="0"/>
    </xf>
    <xf numFmtId="2" fontId="25" fillId="0" borderId="63" xfId="3" applyNumberFormat="1" applyFont="1" applyBorder="1" applyAlignment="1" applyProtection="1">
      <alignment horizontal="center" vertical="center"/>
      <protection locked="0"/>
    </xf>
    <xf numFmtId="2" fontId="25" fillId="0" borderId="65" xfId="3" applyNumberFormat="1" applyFont="1" applyBorder="1" applyAlignment="1" applyProtection="1">
      <alignment horizontal="center" vertical="center"/>
      <protection locked="0"/>
    </xf>
    <xf numFmtId="0" fontId="25" fillId="0" borderId="63" xfId="3" applyFont="1" applyBorder="1" applyAlignment="1">
      <alignment horizontal="center" vertical="center" wrapText="1"/>
    </xf>
    <xf numFmtId="0" fontId="22" fillId="0" borderId="63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164" fontId="23" fillId="0" borderId="69" xfId="0" applyNumberFormat="1" applyFont="1" applyBorder="1" applyAlignment="1" applyProtection="1">
      <alignment horizontal="center" vertical="center"/>
      <protection locked="0"/>
    </xf>
    <xf numFmtId="164" fontId="23" fillId="0" borderId="65" xfId="0" applyNumberFormat="1" applyFont="1" applyBorder="1" applyAlignment="1" applyProtection="1">
      <alignment horizontal="center" vertical="center"/>
      <protection locked="0"/>
    </xf>
    <xf numFmtId="2" fontId="23" fillId="0" borderId="63" xfId="0" applyNumberFormat="1" applyFont="1" applyBorder="1" applyAlignment="1" applyProtection="1">
      <alignment horizontal="center" vertical="center"/>
      <protection locked="0"/>
    </xf>
    <xf numFmtId="2" fontId="23" fillId="0" borderId="65" xfId="0" applyNumberFormat="1" applyFont="1" applyBorder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left" vertical="center"/>
      <protection hidden="1"/>
    </xf>
    <xf numFmtId="164" fontId="22" fillId="0" borderId="69" xfId="2" applyNumberFormat="1" applyFont="1" applyBorder="1" applyAlignment="1" applyProtection="1">
      <alignment horizontal="center" vertical="center"/>
      <protection locked="0"/>
    </xf>
    <xf numFmtId="164" fontId="22" fillId="0" borderId="65" xfId="2" applyNumberFormat="1" applyFont="1" applyBorder="1" applyAlignment="1" applyProtection="1">
      <alignment horizontal="center" vertical="center"/>
      <protection locked="0"/>
    </xf>
    <xf numFmtId="2" fontId="22" fillId="0" borderId="63" xfId="2" applyNumberFormat="1" applyFont="1" applyBorder="1" applyAlignment="1" applyProtection="1">
      <alignment horizontal="center" vertical="center"/>
      <protection locked="0"/>
    </xf>
    <xf numFmtId="2" fontId="22" fillId="0" borderId="65" xfId="2" applyNumberFormat="1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164" fontId="1" fillId="0" borderId="31" xfId="0" applyNumberFormat="1" applyFont="1" applyBorder="1" applyAlignment="1" applyProtection="1">
      <alignment horizontal="center" vertical="center"/>
      <protection locked="0"/>
    </xf>
    <xf numFmtId="164" fontId="1" fillId="0" borderId="48" xfId="0" applyNumberFormat="1" applyFont="1" applyBorder="1" applyAlignment="1" applyProtection="1">
      <alignment horizontal="center" vertical="center"/>
      <protection locked="0"/>
    </xf>
    <xf numFmtId="2" fontId="1" fillId="0" borderId="48" xfId="0" applyNumberFormat="1" applyFont="1" applyBorder="1" applyAlignment="1" applyProtection="1">
      <alignment horizontal="center" vertical="center"/>
      <protection locked="0"/>
    </xf>
    <xf numFmtId="164" fontId="29" fillId="0" borderId="70" xfId="4" applyNumberFormat="1" applyFont="1" applyBorder="1" applyAlignment="1">
      <alignment horizontal="center" vertical="center" wrapText="1"/>
    </xf>
    <xf numFmtId="164" fontId="29" fillId="0" borderId="65" xfId="4" applyNumberFormat="1" applyFont="1" applyBorder="1" applyAlignment="1" applyProtection="1">
      <alignment horizontal="center" vertical="center"/>
      <protection locked="0"/>
    </xf>
    <xf numFmtId="164" fontId="29" fillId="0" borderId="70" xfId="4" applyNumberFormat="1" applyFont="1" applyBorder="1" applyAlignment="1" applyProtection="1">
      <alignment horizontal="center" vertical="center"/>
      <protection locked="0"/>
    </xf>
    <xf numFmtId="164" fontId="29" fillId="0" borderId="63" xfId="4" applyNumberFormat="1" applyFont="1" applyBorder="1" applyAlignment="1" applyProtection="1">
      <alignment horizontal="center" vertical="center"/>
      <protection locked="0"/>
    </xf>
  </cellXfs>
  <cellStyles count="5">
    <cellStyle name="Normal" xfId="0" builtinId="0"/>
    <cellStyle name="Normal 2" xfId="1" xr:uid="{00000000-0005-0000-0000-000001000000}"/>
    <cellStyle name="Normal 3" xfId="2" xr:uid="{E8B2F270-7967-4607-B9AB-7876B814027B}"/>
    <cellStyle name="Normal 4" xfId="3" xr:uid="{86888FD8-F5DB-4A51-BE0F-65D9A34D3EC4}"/>
    <cellStyle name="Normal 5" xfId="4" xr:uid="{E23FED10-E8E1-4BA3-B832-FB92F54F45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'160725 BBSG 116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'160725 BBSG 116 Lacassagne'!$E$57:$W$57</c:f>
              <c:numCache>
                <c:formatCode>0.0</c:formatCode>
                <c:ptCount val="19"/>
                <c:pt idx="0">
                  <c:v>7</c:v>
                </c:pt>
                <c:pt idx="1">
                  <c:v>9.1</c:v>
                </c:pt>
                <c:pt idx="2">
                  <c:v>11.6</c:v>
                </c:pt>
                <c:pt idx="3">
                  <c:v>15</c:v>
                </c:pt>
                <c:pt idx="4">
                  <c:v>20.399999999999999</c:v>
                </c:pt>
                <c:pt idx="5">
                  <c:v>30.2</c:v>
                </c:pt>
                <c:pt idx="6">
                  <c:v>43.7</c:v>
                </c:pt>
                <c:pt idx="7">
                  <c:v>61.3</c:v>
                </c:pt>
                <c:pt idx="8">
                  <c:v>73.8</c:v>
                </c:pt>
                <c:pt idx="9">
                  <c:v>94.3</c:v>
                </c:pt>
                <c:pt idx="1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180</c:v>
                </c:pt>
                <c:pt idx="18" formatCode="0.00">
                  <c:v>5.1100000000000003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81-463D-AB03-20A684DAA531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'160725 BBSG 116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'160725 BBSG 116 Lacassagne'!$E$58:$W$58</c:f>
              <c:numCache>
                <c:formatCode>0.0</c:formatCode>
                <c:ptCount val="19"/>
                <c:pt idx="0">
                  <c:v>7.1</c:v>
                </c:pt>
                <c:pt idx="1">
                  <c:v>9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30</c:v>
                </c:pt>
                <c:pt idx="6">
                  <c:v>43</c:v>
                </c:pt>
                <c:pt idx="7">
                  <c:v>62</c:v>
                </c:pt>
                <c:pt idx="8">
                  <c:v>78</c:v>
                </c:pt>
                <c:pt idx="9">
                  <c:v>94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81-463D-AB03-20A684DAA531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E81-463D-AB03-20A684DAA531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'160725 BBSG 116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'160725 BBSG 116 Lacassagne'!$E$60:$W$60</c:f>
              <c:numCache>
                <c:formatCode>0.0</c:formatCode>
                <c:ptCount val="19"/>
                <c:pt idx="0">
                  <c:v>5.0999999999999996</c:v>
                </c:pt>
                <c:pt idx="5">
                  <c:v>24</c:v>
                </c:pt>
                <c:pt idx="7">
                  <c:v>55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81-463D-AB03-20A684DAA531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'160725 BBSG 116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'160725 BBSG 116 Lacassagne'!$E$59:$W$59</c:f>
              <c:numCache>
                <c:formatCode>0.0</c:formatCode>
                <c:ptCount val="19"/>
                <c:pt idx="0">
                  <c:v>9.1</c:v>
                </c:pt>
                <c:pt idx="5">
                  <c:v>36</c:v>
                </c:pt>
                <c:pt idx="7">
                  <c:v>69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81-463D-AB03-20A684DAA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'160725 BBSG 143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'160725 BBSG 143 Lacassagne'!$E$57:$W$57</c:f>
              <c:numCache>
                <c:formatCode>0.0</c:formatCode>
                <c:ptCount val="19"/>
                <c:pt idx="0">
                  <c:v>7.5</c:v>
                </c:pt>
                <c:pt idx="1">
                  <c:v>9.65</c:v>
                </c:pt>
                <c:pt idx="2">
                  <c:v>12.4</c:v>
                </c:pt>
                <c:pt idx="3">
                  <c:v>16.149999999999999</c:v>
                </c:pt>
                <c:pt idx="4">
                  <c:v>21.799999999999997</c:v>
                </c:pt>
                <c:pt idx="5">
                  <c:v>31.85</c:v>
                </c:pt>
                <c:pt idx="6">
                  <c:v>45.85</c:v>
                </c:pt>
                <c:pt idx="7">
                  <c:v>61.7</c:v>
                </c:pt>
                <c:pt idx="8">
                  <c:v>72.050000000000011</c:v>
                </c:pt>
                <c:pt idx="9">
                  <c:v>84.2</c:v>
                </c:pt>
                <c:pt idx="10">
                  <c:v>92.9</c:v>
                </c:pt>
                <c:pt idx="11">
                  <c:v>97.35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4.99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4F-468C-A231-092BB35DBE3B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'160725 BBSG 143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'160725 BBSG 143 Lacassagne'!$E$58:$W$58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21</c:v>
                </c:pt>
                <c:pt idx="5">
                  <c:v>31</c:v>
                </c:pt>
                <c:pt idx="6">
                  <c:v>45</c:v>
                </c:pt>
                <c:pt idx="7">
                  <c:v>61</c:v>
                </c:pt>
                <c:pt idx="8">
                  <c:v>70</c:v>
                </c:pt>
                <c:pt idx="9">
                  <c:v>79</c:v>
                </c:pt>
                <c:pt idx="10" formatCode="0">
                  <c:v>91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4F-468C-A231-092BB35DBE3B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F4F-468C-A231-092BB35DBE3B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'160725 BBSG 143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'160725 BBSG 143 Lacassagne'!$E$60:$W$60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54</c:v>
                </c:pt>
                <c:pt idx="18">
                  <c:v>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4F-468C-A231-092BB35DBE3B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'160725 BBSG 143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'160725 BBSG 143 Lacassagne'!$E$59:$W$59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68</c:v>
                </c:pt>
                <c:pt idx="18">
                  <c:v>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F4F-468C-A231-092BB35DB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'150725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'150725 BBSG 110 Lacassagne'!$E$57:$W$57</c:f>
              <c:numCache>
                <c:formatCode>0.0</c:formatCode>
                <c:ptCount val="19"/>
                <c:pt idx="0">
                  <c:v>6.75</c:v>
                </c:pt>
                <c:pt idx="1">
                  <c:v>8.8000000000000007</c:v>
                </c:pt>
                <c:pt idx="2">
                  <c:v>11.65</c:v>
                </c:pt>
                <c:pt idx="3">
                  <c:v>15.100000000000001</c:v>
                </c:pt>
                <c:pt idx="4">
                  <c:v>19.850000000000001</c:v>
                </c:pt>
                <c:pt idx="5">
                  <c:v>28.4</c:v>
                </c:pt>
                <c:pt idx="6">
                  <c:v>42.9</c:v>
                </c:pt>
                <c:pt idx="7">
                  <c:v>59.95</c:v>
                </c:pt>
                <c:pt idx="8">
                  <c:v>76.449999999999989</c:v>
                </c:pt>
                <c:pt idx="9">
                  <c:v>94.800000000000011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5.0250000000000004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82-46A4-8ABB-531228CB894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'150725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'150725 BBSG 110 Lacassagne'!$E$58:$W$58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82-46A4-8ABB-531228CB8947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8F82-46A4-8ABB-531228CB894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'150725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'150725 BBSG 110 Lacassagne'!$E$60:$W$60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82-46A4-8ABB-531228CB894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'150725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'150725 BBSG 110 Lacassagne'!$E$59:$W$59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82-46A4-8ABB-531228CB8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'150725 EME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'150725 EME Lacassagne'!$E$57:$W$57</c:f>
              <c:numCache>
                <c:formatCode>0.0</c:formatCode>
                <c:ptCount val="19"/>
                <c:pt idx="0">
                  <c:v>7.3</c:v>
                </c:pt>
                <c:pt idx="1">
                  <c:v>9.35</c:v>
                </c:pt>
                <c:pt idx="2">
                  <c:v>12.15</c:v>
                </c:pt>
                <c:pt idx="3">
                  <c:v>15.85</c:v>
                </c:pt>
                <c:pt idx="4">
                  <c:v>20.799999999999997</c:v>
                </c:pt>
                <c:pt idx="5">
                  <c:v>28.9</c:v>
                </c:pt>
                <c:pt idx="6">
                  <c:v>40.35</c:v>
                </c:pt>
                <c:pt idx="7">
                  <c:v>49.9</c:v>
                </c:pt>
                <c:pt idx="8">
                  <c:v>58.900000000000006</c:v>
                </c:pt>
                <c:pt idx="9">
                  <c:v>71.050000000000011</c:v>
                </c:pt>
                <c:pt idx="10">
                  <c:v>85.15</c:v>
                </c:pt>
                <c:pt idx="11">
                  <c:v>94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164.5</c:v>
                </c:pt>
                <c:pt idx="18" formatCode="0.00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A2-433E-B858-63FF9AF79743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'150725 EME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'150725 EME Lacassagne'!$E$58:$W$58</c:f>
              <c:numCache>
                <c:formatCode>0.0</c:formatCode>
                <c:ptCount val="19"/>
                <c:pt idx="0">
                  <c:v>7.1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55</c:v>
                </c:pt>
                <c:pt idx="8">
                  <c:v>63</c:v>
                </c:pt>
                <c:pt idx="9">
                  <c:v>73</c:v>
                </c:pt>
                <c:pt idx="10" formatCode="0">
                  <c:v>89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A2-433E-B858-63FF9AF79743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B2A2-433E-B858-63FF9AF79743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'150725 EME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'150725 EME Lacassagne'!$E$60:$W$60</c:f>
              <c:numCache>
                <c:formatCode>0.0</c:formatCode>
                <c:ptCount val="19"/>
                <c:pt idx="0">
                  <c:v>5.0999999999999996</c:v>
                </c:pt>
                <c:pt idx="5">
                  <c:v>26</c:v>
                </c:pt>
                <c:pt idx="7">
                  <c:v>48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A2-433E-B858-63FF9AF79743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'150725 EME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'150725 EME Lacassagne'!$E$59:$W$59</c:f>
              <c:numCache>
                <c:formatCode>0.0</c:formatCode>
                <c:ptCount val="19"/>
                <c:pt idx="0">
                  <c:v>9.1</c:v>
                </c:pt>
                <c:pt idx="5">
                  <c:v>38</c:v>
                </c:pt>
                <c:pt idx="7">
                  <c:v>62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A2-433E-B858-63FF9AF79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'100725 BBSG 116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116 Lacassagne'!$E$57:$W$57</c:f>
              <c:numCache>
                <c:formatCode>0.0</c:formatCode>
                <c:ptCount val="19"/>
                <c:pt idx="0">
                  <c:v>7.3</c:v>
                </c:pt>
                <c:pt idx="1">
                  <c:v>9.4</c:v>
                </c:pt>
                <c:pt idx="2">
                  <c:v>11.9</c:v>
                </c:pt>
                <c:pt idx="3">
                  <c:v>15.4</c:v>
                </c:pt>
                <c:pt idx="4">
                  <c:v>20.9</c:v>
                </c:pt>
                <c:pt idx="5">
                  <c:v>30.6</c:v>
                </c:pt>
                <c:pt idx="6">
                  <c:v>43.5</c:v>
                </c:pt>
                <c:pt idx="7">
                  <c:v>62.7</c:v>
                </c:pt>
                <c:pt idx="8">
                  <c:v>80</c:v>
                </c:pt>
                <c:pt idx="9">
                  <c:v>95.8</c:v>
                </c:pt>
                <c:pt idx="1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90-42DB-A886-75FFC74E18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'100725 BBSG 116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116 Lacassagne'!$E$58:$W$58</c:f>
              <c:numCache>
                <c:formatCode>0.0</c:formatCode>
                <c:ptCount val="19"/>
                <c:pt idx="0">
                  <c:v>7.1</c:v>
                </c:pt>
                <c:pt idx="1">
                  <c:v>9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30</c:v>
                </c:pt>
                <c:pt idx="6">
                  <c:v>43</c:v>
                </c:pt>
                <c:pt idx="7">
                  <c:v>62</c:v>
                </c:pt>
                <c:pt idx="8">
                  <c:v>78</c:v>
                </c:pt>
                <c:pt idx="9">
                  <c:v>94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90-42DB-A886-75FFC74E18C6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290-42DB-A886-75FFC74E18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'100725 BBSG 116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116 Lacassagne'!$E$60:$W$60</c:f>
              <c:numCache>
                <c:formatCode>0.0</c:formatCode>
                <c:ptCount val="19"/>
                <c:pt idx="0">
                  <c:v>5.0999999999999996</c:v>
                </c:pt>
                <c:pt idx="5">
                  <c:v>24</c:v>
                </c:pt>
                <c:pt idx="7">
                  <c:v>55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90-42DB-A886-75FFC74E18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'100725 BBSG 116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116 Lacassagne'!$E$59:$W$59</c:f>
              <c:numCache>
                <c:formatCode>0.0</c:formatCode>
                <c:ptCount val="19"/>
                <c:pt idx="0">
                  <c:v>9.1</c:v>
                </c:pt>
                <c:pt idx="5">
                  <c:v>36</c:v>
                </c:pt>
                <c:pt idx="7">
                  <c:v>69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90-42DB-A886-75FFC74E1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'100725 BBSG 143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143 Lacassagne'!$E$57:$W$57</c:f>
              <c:numCache>
                <c:formatCode>0.0</c:formatCode>
                <c:ptCount val="19"/>
                <c:pt idx="0">
                  <c:v>7.9</c:v>
                </c:pt>
                <c:pt idx="1">
                  <c:v>10.1</c:v>
                </c:pt>
                <c:pt idx="2">
                  <c:v>12.8</c:v>
                </c:pt>
                <c:pt idx="3">
                  <c:v>16.450000000000003</c:v>
                </c:pt>
                <c:pt idx="4">
                  <c:v>22.049999999999997</c:v>
                </c:pt>
                <c:pt idx="5">
                  <c:v>32</c:v>
                </c:pt>
                <c:pt idx="6">
                  <c:v>46.400000000000006</c:v>
                </c:pt>
                <c:pt idx="7">
                  <c:v>63.75</c:v>
                </c:pt>
                <c:pt idx="8">
                  <c:v>74.150000000000006</c:v>
                </c:pt>
                <c:pt idx="9">
                  <c:v>85</c:v>
                </c:pt>
                <c:pt idx="10">
                  <c:v>93.3</c:v>
                </c:pt>
                <c:pt idx="11">
                  <c:v>97.45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176</c:v>
                </c:pt>
                <c:pt idx="18" formatCode="0.00">
                  <c:v>5.1349999999999998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F-4F49-8A91-4C467986468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'100725 BBSG 143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143 Lacassagne'!$E$58:$W$58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21</c:v>
                </c:pt>
                <c:pt idx="5">
                  <c:v>31</c:v>
                </c:pt>
                <c:pt idx="6">
                  <c:v>45</c:v>
                </c:pt>
                <c:pt idx="7">
                  <c:v>61</c:v>
                </c:pt>
                <c:pt idx="8">
                  <c:v>70</c:v>
                </c:pt>
                <c:pt idx="9">
                  <c:v>79</c:v>
                </c:pt>
                <c:pt idx="10" formatCode="0">
                  <c:v>91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7F-4F49-8A91-4C4679864688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47F-4F49-8A91-4C467986468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'100725 BBSG 143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143 Lacassagne'!$E$60:$W$60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54</c:v>
                </c:pt>
                <c:pt idx="18">
                  <c:v>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7F-4F49-8A91-4C467986468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'100725 BBSG 143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143 Lacassagne'!$E$59:$W$59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68</c:v>
                </c:pt>
                <c:pt idx="18">
                  <c:v>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7F-4F49-8A91-4C4679864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'100725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110 Lacassagne'!$E$57:$W$57</c:f>
              <c:numCache>
                <c:formatCode>0.0</c:formatCode>
                <c:ptCount val="19"/>
                <c:pt idx="0">
                  <c:v>6.8</c:v>
                </c:pt>
                <c:pt idx="1">
                  <c:v>8.8000000000000007</c:v>
                </c:pt>
                <c:pt idx="2">
                  <c:v>11.8</c:v>
                </c:pt>
                <c:pt idx="3">
                  <c:v>15.5</c:v>
                </c:pt>
                <c:pt idx="4">
                  <c:v>20.399999999999999</c:v>
                </c:pt>
                <c:pt idx="5">
                  <c:v>29.6</c:v>
                </c:pt>
                <c:pt idx="6">
                  <c:v>45.3</c:v>
                </c:pt>
                <c:pt idx="7">
                  <c:v>60.8</c:v>
                </c:pt>
                <c:pt idx="8">
                  <c:v>75.7</c:v>
                </c:pt>
                <c:pt idx="9">
                  <c:v>93.3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0F-4300-91E4-8745D7B71C5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110 Lacassagne'!$E$58:$W$58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0F-4300-91E4-8745D7B71C54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270F-4300-91E4-8745D7B71C5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110 Lacassagne'!$E$60:$W$60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0F-4300-91E4-8745D7B71C5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'100725 BBSG 110 Lacassagne'!$E$59:$W$59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0F-4300-91E4-8745D7B71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'090725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'090725 BBSG 110 Lacassagne'!$E$57:$W$57</c:f>
              <c:numCache>
                <c:formatCode>0.0</c:formatCode>
                <c:ptCount val="19"/>
                <c:pt idx="0">
                  <c:v>7.1</c:v>
                </c:pt>
                <c:pt idx="1">
                  <c:v>9</c:v>
                </c:pt>
                <c:pt idx="2">
                  <c:v>11.9</c:v>
                </c:pt>
                <c:pt idx="3">
                  <c:v>15.3</c:v>
                </c:pt>
                <c:pt idx="4">
                  <c:v>20.100000000000001</c:v>
                </c:pt>
                <c:pt idx="5">
                  <c:v>29</c:v>
                </c:pt>
                <c:pt idx="6">
                  <c:v>44.1</c:v>
                </c:pt>
                <c:pt idx="7">
                  <c:v>61.8</c:v>
                </c:pt>
                <c:pt idx="8">
                  <c:v>77.7</c:v>
                </c:pt>
                <c:pt idx="9">
                  <c:v>93.8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32-49C4-B4CE-73A5AEA38F2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'090725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'090725 BBSG 110 Lacassagne'!$E$58:$W$58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32-49C4-B4CE-73A5AEA38F27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9532-49C4-B4CE-73A5AEA38F2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'090725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'090725 BBSG 110 Lacassagne'!$E$60:$W$60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32-49C4-B4CE-73A5AEA38F2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'090725 BBSG 110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'090725 BBSG 110 Lacassagne'!$E$59:$W$59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32-49C4-B4CE-73A5AEA38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'090725 EME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'090725 EME Lacassagne'!$E$57:$W$57</c:f>
              <c:numCache>
                <c:formatCode>0.0</c:formatCode>
                <c:ptCount val="19"/>
                <c:pt idx="0">
                  <c:v>8.0500000000000007</c:v>
                </c:pt>
                <c:pt idx="1">
                  <c:v>10.25</c:v>
                </c:pt>
                <c:pt idx="2">
                  <c:v>13.3</c:v>
                </c:pt>
                <c:pt idx="3">
                  <c:v>17.350000000000001</c:v>
                </c:pt>
                <c:pt idx="4">
                  <c:v>22.95</c:v>
                </c:pt>
                <c:pt idx="5">
                  <c:v>32.85</c:v>
                </c:pt>
                <c:pt idx="6">
                  <c:v>47.7</c:v>
                </c:pt>
                <c:pt idx="7">
                  <c:v>57.2</c:v>
                </c:pt>
                <c:pt idx="8">
                  <c:v>66.650000000000006</c:v>
                </c:pt>
                <c:pt idx="9">
                  <c:v>77.75</c:v>
                </c:pt>
                <c:pt idx="10">
                  <c:v>90.5</c:v>
                </c:pt>
                <c:pt idx="11">
                  <c:v>95.05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160.5</c:v>
                </c:pt>
                <c:pt idx="18" formatCode="0.00">
                  <c:v>5.0350000000000001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FB-4C29-8565-24AD12D7F88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'090725 EME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'090725 EME Lacassagne'!$E$58:$W$58</c:f>
              <c:numCache>
                <c:formatCode>0.0</c:formatCode>
                <c:ptCount val="19"/>
                <c:pt idx="0">
                  <c:v>7.1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55</c:v>
                </c:pt>
                <c:pt idx="8">
                  <c:v>63</c:v>
                </c:pt>
                <c:pt idx="9">
                  <c:v>73</c:v>
                </c:pt>
                <c:pt idx="10" formatCode="0">
                  <c:v>89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FB-4C29-8565-24AD12D7F88C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6FB-4C29-8565-24AD12D7F88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'090725 EME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'090725 EME Lacassagne'!$E$60:$W$60</c:f>
              <c:numCache>
                <c:formatCode>0.0</c:formatCode>
                <c:ptCount val="19"/>
                <c:pt idx="0">
                  <c:v>5.0999999999999996</c:v>
                </c:pt>
                <c:pt idx="5">
                  <c:v>26</c:v>
                </c:pt>
                <c:pt idx="7">
                  <c:v>48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FB-4C29-8565-24AD12D7F88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'090725 EME Lacassagne'!$E$50:$W$50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'090725 EME Lacassagne'!$E$59:$W$59</c:f>
              <c:numCache>
                <c:formatCode>0.0</c:formatCode>
                <c:ptCount val="19"/>
                <c:pt idx="0">
                  <c:v>9.1</c:v>
                </c:pt>
                <c:pt idx="5">
                  <c:v>38</c:v>
                </c:pt>
                <c:pt idx="7">
                  <c:v>62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FB-4C29-8565-24AD12D7F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12-130224'!$E$50:$W$50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12-130224'!$E$57:$W$57</c:f>
              <c:numCache>
                <c:formatCode>0.0</c:formatCode>
                <c:ptCount val="19"/>
                <c:pt idx="0">
                  <c:v>8.1999999999999993</c:v>
                </c:pt>
                <c:pt idx="1">
                  <c:v>10.4</c:v>
                </c:pt>
                <c:pt idx="2">
                  <c:v>13.4</c:v>
                </c:pt>
                <c:pt idx="3">
                  <c:v>17</c:v>
                </c:pt>
                <c:pt idx="4">
                  <c:v>22.6</c:v>
                </c:pt>
                <c:pt idx="5">
                  <c:v>33</c:v>
                </c:pt>
                <c:pt idx="6">
                  <c:v>48.5</c:v>
                </c:pt>
                <c:pt idx="7">
                  <c:v>65</c:v>
                </c:pt>
                <c:pt idx="8">
                  <c:v>87</c:v>
                </c:pt>
                <c:pt idx="9">
                  <c:v>97.5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A3-44F2-BF1C-CC0B16D729B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12-130224'!$E$50:$W$50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12-130224'!$E$58:$W$58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A3-44F2-BF1C-CC0B16D729B7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84A3-44F2-BF1C-CC0B16D729B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12-130224'!$E$50:$W$50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12-130224'!$E$60:$W$60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A3-44F2-BF1C-CC0B16D729B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12-130224'!$E$50:$W$50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12-130224'!$E$59:$W$59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A3-44F2-BF1C-CC0B16D72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'211123 BBSG Pompidou'!$E$50:$W$50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'211123 BBSG Pompidou'!$E$57:$W$57</c:f>
              <c:numCache>
                <c:formatCode>0.0</c:formatCode>
                <c:ptCount val="19"/>
                <c:pt idx="0">
                  <c:v>6.6</c:v>
                </c:pt>
                <c:pt idx="1">
                  <c:v>8.4</c:v>
                </c:pt>
                <c:pt idx="2">
                  <c:v>11</c:v>
                </c:pt>
                <c:pt idx="3">
                  <c:v>14.4</c:v>
                </c:pt>
                <c:pt idx="4">
                  <c:v>19.399999999999999</c:v>
                </c:pt>
                <c:pt idx="5">
                  <c:v>28.8</c:v>
                </c:pt>
                <c:pt idx="6">
                  <c:v>45.1</c:v>
                </c:pt>
                <c:pt idx="7">
                  <c:v>60.7</c:v>
                </c:pt>
                <c:pt idx="8">
                  <c:v>75.900000000000006</c:v>
                </c:pt>
                <c:pt idx="9">
                  <c:v>95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177</c:v>
                </c:pt>
                <c:pt idx="18" formatCode="0.00">
                  <c:v>5.28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7E-43E1-AB28-831F5B20C77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'211123 BBSG Pompidou'!$E$50:$W$50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'211123 BBSG Pompidou'!$E$58:$W$58</c:f>
              <c:numCache>
                <c:formatCode>0.0</c:formatCode>
                <c:ptCount val="19"/>
                <c:pt idx="0">
                  <c:v>6.6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48</c:v>
                </c:pt>
                <c:pt idx="7">
                  <c:v>66</c:v>
                </c:pt>
                <c:pt idx="8">
                  <c:v>80</c:v>
                </c:pt>
                <c:pt idx="9">
                  <c:v>96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7E-43E1-AB28-831F5B20C77C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77E-43E1-AB28-831F5B20C77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'211123 BBSG Pompidou'!$E$50:$W$50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'211123 BBSG Pompidou'!$E$60:$W$60</c:f>
              <c:numCache>
                <c:formatCode>0.0</c:formatCode>
                <c:ptCount val="19"/>
                <c:pt idx="0">
                  <c:v>4.5999999999999996</c:v>
                </c:pt>
                <c:pt idx="5">
                  <c:v>27</c:v>
                </c:pt>
                <c:pt idx="7">
                  <c:v>59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7E-43E1-AB28-831F5B20C77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'211123 BBSG Pompidou'!$E$50:$W$50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'211123 BBSG Pompidou'!$E$59:$W$59</c:f>
              <c:numCache>
                <c:formatCode>0.0</c:formatCode>
                <c:ptCount val="19"/>
                <c:pt idx="0">
                  <c:v>8.6</c:v>
                </c:pt>
                <c:pt idx="5">
                  <c:v>39</c:v>
                </c:pt>
                <c:pt idx="7">
                  <c:v>73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7E-43E1-AB28-831F5B20C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'161123'!$E$50:$W$50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'161123'!$E$57:$W$57</c:f>
              <c:numCache>
                <c:formatCode>0.0</c:formatCode>
                <c:ptCount val="19"/>
                <c:pt idx="0">
                  <c:v>7.0500000000000007</c:v>
                </c:pt>
                <c:pt idx="1">
                  <c:v>8.9</c:v>
                </c:pt>
                <c:pt idx="2">
                  <c:v>11.1</c:v>
                </c:pt>
                <c:pt idx="3">
                  <c:v>14.25</c:v>
                </c:pt>
                <c:pt idx="4">
                  <c:v>19.100000000000001</c:v>
                </c:pt>
                <c:pt idx="5">
                  <c:v>28.1</c:v>
                </c:pt>
                <c:pt idx="6">
                  <c:v>42.75</c:v>
                </c:pt>
                <c:pt idx="7">
                  <c:v>64.95</c:v>
                </c:pt>
                <c:pt idx="8">
                  <c:v>80.550000000000011</c:v>
                </c:pt>
                <c:pt idx="9">
                  <c:v>95.949999999999989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174</c:v>
                </c:pt>
                <c:pt idx="18" formatCode="0.00">
                  <c:v>5.0549999999999997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D1-42F0-AE45-63055B332EA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'161123'!$E$50:$W$50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'161123'!$E$58:$W$58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29</c:v>
                </c:pt>
                <c:pt idx="6">
                  <c:v>42</c:v>
                </c:pt>
                <c:pt idx="7">
                  <c:v>63</c:v>
                </c:pt>
                <c:pt idx="8">
                  <c:v>79</c:v>
                </c:pt>
                <c:pt idx="9">
                  <c:v>94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D1-42F0-AE45-63055B332EA6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FFD1-42F0-AE45-63055B332EA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'161123'!$E$50:$W$50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'161123'!$E$60:$W$60</c:f>
              <c:numCache>
                <c:formatCode>0.0</c:formatCode>
                <c:ptCount val="19"/>
                <c:pt idx="0">
                  <c:v>5</c:v>
                </c:pt>
                <c:pt idx="5">
                  <c:v>23</c:v>
                </c:pt>
                <c:pt idx="7">
                  <c:v>56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D1-42F0-AE45-63055B332EA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'161123'!$E$50:$W$50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'161123'!$E$59:$W$59</c:f>
              <c:numCache>
                <c:formatCode>0.0</c:formatCode>
                <c:ptCount val="19"/>
                <c:pt idx="0">
                  <c:v>9</c:v>
                </c:pt>
                <c:pt idx="5">
                  <c:v>35</c:v>
                </c:pt>
                <c:pt idx="7">
                  <c:v>70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D1-42F0-AE45-63055B332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'260723'!$E$50:$W$50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'260723'!$E$57:$W$57</c:f>
              <c:numCache>
                <c:formatCode>0.0</c:formatCode>
                <c:ptCount val="19"/>
                <c:pt idx="0">
                  <c:v>6.8</c:v>
                </c:pt>
                <c:pt idx="1">
                  <c:v>8.6</c:v>
                </c:pt>
                <c:pt idx="2">
                  <c:v>10.8</c:v>
                </c:pt>
                <c:pt idx="3">
                  <c:v>13.9</c:v>
                </c:pt>
                <c:pt idx="4">
                  <c:v>19</c:v>
                </c:pt>
                <c:pt idx="5">
                  <c:v>29</c:v>
                </c:pt>
                <c:pt idx="6">
                  <c:v>48.5</c:v>
                </c:pt>
                <c:pt idx="7">
                  <c:v>68.7</c:v>
                </c:pt>
                <c:pt idx="8">
                  <c:v>83.9</c:v>
                </c:pt>
                <c:pt idx="9">
                  <c:v>96.7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B7-4581-B321-9A54E9E6A549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'260723'!$E$50:$W$50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'260723'!$E$58:$W$58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29</c:v>
                </c:pt>
                <c:pt idx="6">
                  <c:v>42</c:v>
                </c:pt>
                <c:pt idx="7">
                  <c:v>63</c:v>
                </c:pt>
                <c:pt idx="8">
                  <c:v>79</c:v>
                </c:pt>
                <c:pt idx="9">
                  <c:v>94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B7-4581-B321-9A54E9E6A549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B6B7-4581-B321-9A54E9E6A549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'260723'!$E$50:$W$50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'260723'!$E$60:$W$60</c:f>
              <c:numCache>
                <c:formatCode>0.0</c:formatCode>
                <c:ptCount val="19"/>
                <c:pt idx="0">
                  <c:v>5</c:v>
                </c:pt>
                <c:pt idx="5">
                  <c:v>23</c:v>
                </c:pt>
                <c:pt idx="7">
                  <c:v>56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B7-4581-B321-9A54E9E6A549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'260723'!$E$50:$W$50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'260723'!$E$59:$W$59</c:f>
              <c:numCache>
                <c:formatCode>0.0</c:formatCode>
                <c:ptCount val="19"/>
                <c:pt idx="0">
                  <c:v>9</c:v>
                </c:pt>
                <c:pt idx="5">
                  <c:v>35</c:v>
                </c:pt>
                <c:pt idx="7">
                  <c:v>70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6B7-4581-B321-9A54E9E6A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'310523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'310523 (2)'!$E$57:$W$57</c:f>
              <c:numCache>
                <c:formatCode>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47-4C15-AEAD-1E5FE46B97A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'310523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'310523 (2)'!$E$58:$W$58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47-4C15-AEAD-1E5FE46B97AF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2747-4C15-AEAD-1E5FE46B97A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'310523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'310523 (2)'!$E$60:$W$60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47-4C15-AEAD-1E5FE46B97A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'310523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'310523 (2)'!$E$59:$W$59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47-4C15-AEAD-1E5FE46B9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'310523'!$E$50:$W$50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'310523'!$E$57:$W$57</c:f>
              <c:numCache>
                <c:formatCode>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5C-4D98-AD2B-B459E4F247F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'310523'!$E$50:$W$50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'310523'!$E$58:$W$58</c:f>
              <c:numCache>
                <c:formatCode>0.0</c:formatCode>
                <c:ptCount val="19"/>
                <c:pt idx="0">
                  <c:v>7.2</c:v>
                </c:pt>
                <c:pt idx="1">
                  <c:v>9</c:v>
                </c:pt>
                <c:pt idx="2">
                  <c:v>13</c:v>
                </c:pt>
                <c:pt idx="3">
                  <c:v>17</c:v>
                </c:pt>
                <c:pt idx="4">
                  <c:v>23</c:v>
                </c:pt>
                <c:pt idx="5">
                  <c:v>33</c:v>
                </c:pt>
                <c:pt idx="6">
                  <c:v>46</c:v>
                </c:pt>
                <c:pt idx="7">
                  <c:v>58</c:v>
                </c:pt>
                <c:pt idx="8">
                  <c:v>63</c:v>
                </c:pt>
                <c:pt idx="9">
                  <c:v>72</c:v>
                </c:pt>
                <c:pt idx="10" formatCode="0">
                  <c:v>89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5C-4D98-AD2B-B459E4F247FF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85C-4D98-AD2B-B459E4F247F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'310523'!$E$50:$W$50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'310523'!$E$60:$W$60</c:f>
              <c:numCache>
                <c:formatCode>0.0</c:formatCode>
                <c:ptCount val="19"/>
                <c:pt idx="0">
                  <c:v>5.2</c:v>
                </c:pt>
                <c:pt idx="5">
                  <c:v>27</c:v>
                </c:pt>
                <c:pt idx="7">
                  <c:v>51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5C-4D98-AD2B-B459E4F247F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'310523'!$E$50:$W$50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'310523'!$E$59:$W$59</c:f>
              <c:numCache>
                <c:formatCode>0.0</c:formatCode>
                <c:ptCount val="19"/>
                <c:pt idx="0">
                  <c:v>9.1999999999999993</c:v>
                </c:pt>
                <c:pt idx="5">
                  <c:v>39</c:v>
                </c:pt>
                <c:pt idx="7">
                  <c:v>65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85C-4D98-AD2B-B459E4F24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'290722'!$E$50:$W$50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'290722'!$E$57:$W$57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11.6</c:v>
                </c:pt>
                <c:pt idx="3">
                  <c:v>15.3</c:v>
                </c:pt>
                <c:pt idx="4">
                  <c:v>21.3</c:v>
                </c:pt>
                <c:pt idx="5">
                  <c:v>32</c:v>
                </c:pt>
                <c:pt idx="6">
                  <c:v>48.2</c:v>
                </c:pt>
                <c:pt idx="7">
                  <c:v>67.7</c:v>
                </c:pt>
                <c:pt idx="8">
                  <c:v>82.1</c:v>
                </c:pt>
                <c:pt idx="9">
                  <c:v>94.5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39-4FB7-9F9D-ED67441F364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'290722'!$E$50:$W$50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'290722'!$E$58:$W$58</c:f>
              <c:numCache>
                <c:formatCode>0.0</c:formatCode>
                <c:ptCount val="19"/>
                <c:pt idx="0">
                  <c:v>7.6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21</c:v>
                </c:pt>
                <c:pt idx="5">
                  <c:v>30</c:v>
                </c:pt>
                <c:pt idx="6">
                  <c:v>45</c:v>
                </c:pt>
                <c:pt idx="7">
                  <c:v>65</c:v>
                </c:pt>
                <c:pt idx="8">
                  <c:v>80</c:v>
                </c:pt>
                <c:pt idx="9">
                  <c:v>96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39-4FB7-9F9D-ED67441F364C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4A39-4FB7-9F9D-ED67441F364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'290722'!$E$60:$W$60</c:f>
              <c:numCache>
                <c:formatCode>0.0</c:formatCode>
                <c:ptCount val="19"/>
                <c:pt idx="0">
                  <c:v>5.6</c:v>
                </c:pt>
                <c:pt idx="5">
                  <c:v>24</c:v>
                </c:pt>
                <c:pt idx="7">
                  <c:v>58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39-4FB7-9F9D-ED67441F364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'290722'!$E$59:$W$59</c:f>
              <c:numCache>
                <c:formatCode>0.0</c:formatCode>
                <c:ptCount val="19"/>
                <c:pt idx="0">
                  <c:v>9.6</c:v>
                </c:pt>
                <c:pt idx="5">
                  <c:v>36</c:v>
                </c:pt>
                <c:pt idx="7">
                  <c:v>72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39-4FB7-9F9D-ED67441F3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'280722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'280722 (2)'!$E$57:$W$57</c:f>
              <c:numCache>
                <c:formatCode>0.0</c:formatCode>
                <c:ptCount val="19"/>
                <c:pt idx="0">
                  <c:v>7.15</c:v>
                </c:pt>
                <c:pt idx="1">
                  <c:v>9.0500000000000007</c:v>
                </c:pt>
                <c:pt idx="2">
                  <c:v>11.649999999999999</c:v>
                </c:pt>
                <c:pt idx="3">
                  <c:v>15.4</c:v>
                </c:pt>
                <c:pt idx="4">
                  <c:v>21.3</c:v>
                </c:pt>
                <c:pt idx="5">
                  <c:v>33.1</c:v>
                </c:pt>
                <c:pt idx="6">
                  <c:v>51.45</c:v>
                </c:pt>
                <c:pt idx="7">
                  <c:v>71.150000000000006</c:v>
                </c:pt>
                <c:pt idx="8">
                  <c:v>87.25</c:v>
                </c:pt>
                <c:pt idx="9">
                  <c:v>97.25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67-468C-916B-BED54593E10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'280722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'280722 (2)'!$E$58:$W$58</c:f>
              <c:numCache>
                <c:formatCode>0.0</c:formatCode>
                <c:ptCount val="19"/>
                <c:pt idx="0">
                  <c:v>7.6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21</c:v>
                </c:pt>
                <c:pt idx="5">
                  <c:v>30</c:v>
                </c:pt>
                <c:pt idx="6">
                  <c:v>45</c:v>
                </c:pt>
                <c:pt idx="7">
                  <c:v>65</c:v>
                </c:pt>
                <c:pt idx="8">
                  <c:v>80</c:v>
                </c:pt>
                <c:pt idx="9">
                  <c:v>96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67-468C-916B-BED54593E10E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A67-468C-916B-BED54593E10E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'280722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'280722 (2)'!$E$60:$W$60</c:f>
              <c:numCache>
                <c:formatCode>0.0</c:formatCode>
                <c:ptCount val="19"/>
                <c:pt idx="0">
                  <c:v>5.6</c:v>
                </c:pt>
                <c:pt idx="5">
                  <c:v>24</c:v>
                </c:pt>
                <c:pt idx="7">
                  <c:v>58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67-468C-916B-BED54593E10E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'280722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'280722 (2)'!$E$59:$W$59</c:f>
              <c:numCache>
                <c:formatCode>0.0</c:formatCode>
                <c:ptCount val="19"/>
                <c:pt idx="0">
                  <c:v>9.6</c:v>
                </c:pt>
                <c:pt idx="5">
                  <c:v>36</c:v>
                </c:pt>
                <c:pt idx="7">
                  <c:v>72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67-468C-916B-BED54593E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'280722'!$E$50:$W$50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'280722'!$E$57:$W$57</c:f>
              <c:numCache>
                <c:formatCode>0.0</c:formatCode>
                <c:ptCount val="19"/>
                <c:pt idx="0">
                  <c:v>6.8</c:v>
                </c:pt>
                <c:pt idx="1">
                  <c:v>8.8000000000000007</c:v>
                </c:pt>
                <c:pt idx="2">
                  <c:v>11.3</c:v>
                </c:pt>
                <c:pt idx="3">
                  <c:v>14.9</c:v>
                </c:pt>
                <c:pt idx="4">
                  <c:v>20.7</c:v>
                </c:pt>
                <c:pt idx="5">
                  <c:v>30.9</c:v>
                </c:pt>
                <c:pt idx="6">
                  <c:v>50.3</c:v>
                </c:pt>
                <c:pt idx="7">
                  <c:v>70.2</c:v>
                </c:pt>
                <c:pt idx="8">
                  <c:v>84.6</c:v>
                </c:pt>
                <c:pt idx="9">
                  <c:v>96.9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4.8600000000000003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AE-495C-9B41-1A1B0246CBF9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'280722'!$E$50:$W$50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'280722'!$E$58:$W$58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11</c:v>
                </c:pt>
                <c:pt idx="3">
                  <c:v>15</c:v>
                </c:pt>
                <c:pt idx="4">
                  <c:v>20</c:v>
                </c:pt>
                <c:pt idx="5">
                  <c:v>29</c:v>
                </c:pt>
                <c:pt idx="6">
                  <c:v>42</c:v>
                </c:pt>
                <c:pt idx="7">
                  <c:v>65</c:v>
                </c:pt>
                <c:pt idx="8">
                  <c:v>82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AE-495C-9B41-1A1B0246CBF9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4AE-495C-9B41-1A1B0246CBF9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'280722'!$E$50:$W$50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'280722'!$E$60:$W$60</c:f>
              <c:numCache>
                <c:formatCode>0.0</c:formatCode>
                <c:ptCount val="19"/>
                <c:pt idx="0">
                  <c:v>4.9000000000000004</c:v>
                </c:pt>
                <c:pt idx="5">
                  <c:v>23</c:v>
                </c:pt>
                <c:pt idx="7">
                  <c:v>58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AE-495C-9B41-1A1B0246CBF9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'280722'!$E$50:$W$50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'280722'!$E$59:$W$59</c:f>
              <c:numCache>
                <c:formatCode>0.0</c:formatCode>
                <c:ptCount val="19"/>
                <c:pt idx="0">
                  <c:v>8.9</c:v>
                </c:pt>
                <c:pt idx="5">
                  <c:v>35</c:v>
                </c:pt>
                <c:pt idx="7">
                  <c:v>72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AE-495C-9B41-1A1B0246C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'270722'!$E$50:$W$50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'270722'!$E$57:$W$57</c:f>
              <c:numCache>
                <c:formatCode>0.0</c:formatCode>
                <c:ptCount val="19"/>
                <c:pt idx="0">
                  <c:v>7.1999999999999993</c:v>
                </c:pt>
                <c:pt idx="1">
                  <c:v>9.1999999999999993</c:v>
                </c:pt>
                <c:pt idx="2">
                  <c:v>11.85</c:v>
                </c:pt>
                <c:pt idx="3">
                  <c:v>15.399999999999999</c:v>
                </c:pt>
                <c:pt idx="4">
                  <c:v>20.399999999999999</c:v>
                </c:pt>
                <c:pt idx="5">
                  <c:v>29.799999999999997</c:v>
                </c:pt>
                <c:pt idx="6">
                  <c:v>45.3</c:v>
                </c:pt>
                <c:pt idx="7">
                  <c:v>59.7</c:v>
                </c:pt>
                <c:pt idx="8">
                  <c:v>68.150000000000006</c:v>
                </c:pt>
                <c:pt idx="9">
                  <c:v>78.099999999999994</c:v>
                </c:pt>
                <c:pt idx="10">
                  <c:v>87.8</c:v>
                </c:pt>
                <c:pt idx="11">
                  <c:v>95.550000000000011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4.4550000000000001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C5-4DED-930D-8A663089CA9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'270722'!$E$50:$W$50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'270722'!$E$58:$W$58</c:f>
              <c:numCache>
                <c:formatCode>0.0</c:formatCode>
                <c:ptCount val="19"/>
                <c:pt idx="0">
                  <c:v>6.7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31</c:v>
                </c:pt>
                <c:pt idx="6">
                  <c:v>45</c:v>
                </c:pt>
                <c:pt idx="7">
                  <c:v>60</c:v>
                </c:pt>
                <c:pt idx="8">
                  <c:v>69</c:v>
                </c:pt>
                <c:pt idx="9">
                  <c:v>77</c:v>
                </c:pt>
                <c:pt idx="10">
                  <c:v>91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C5-4DED-930D-8A663089CA9E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9C5-4DED-930D-8A663089CA9E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'270722'!$E$50:$W$50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'270722'!$E$60:$W$60</c:f>
              <c:numCache>
                <c:formatCode>0.0</c:formatCode>
                <c:ptCount val="19"/>
                <c:pt idx="0">
                  <c:v>4.7</c:v>
                </c:pt>
                <c:pt idx="5">
                  <c:v>25</c:v>
                </c:pt>
                <c:pt idx="7">
                  <c:v>53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C5-4DED-930D-8A663089CA9E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'270722'!$E$50:$W$50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'270722'!$E$59:$W$59</c:f>
              <c:numCache>
                <c:formatCode>0.0</c:formatCode>
                <c:ptCount val="19"/>
                <c:pt idx="0">
                  <c:v>8.6999999999999993</c:v>
                </c:pt>
                <c:pt idx="5">
                  <c:v>37</c:v>
                </c:pt>
                <c:pt idx="7">
                  <c:v>67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C5-4DED-930D-8A663089C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'260722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 (2)'!$E$57:$W$57</c:f>
              <c:numCache>
                <c:formatCode>0.0</c:formatCode>
                <c:ptCount val="19"/>
                <c:pt idx="0">
                  <c:v>7.4</c:v>
                </c:pt>
                <c:pt idx="1">
                  <c:v>9.4</c:v>
                </c:pt>
                <c:pt idx="2">
                  <c:v>11.9</c:v>
                </c:pt>
                <c:pt idx="3">
                  <c:v>15.5</c:v>
                </c:pt>
                <c:pt idx="4">
                  <c:v>21.4</c:v>
                </c:pt>
                <c:pt idx="5">
                  <c:v>32.200000000000003</c:v>
                </c:pt>
                <c:pt idx="6">
                  <c:v>48.1</c:v>
                </c:pt>
                <c:pt idx="7">
                  <c:v>67.599999999999994</c:v>
                </c:pt>
                <c:pt idx="8">
                  <c:v>83.3</c:v>
                </c:pt>
                <c:pt idx="9">
                  <c:v>95.4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52-4D98-A0BF-2915BCCE685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'260722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 (2)'!$E$58:$W$58</c:f>
              <c:numCache>
                <c:formatCode>0.0</c:formatCode>
                <c:ptCount val="19"/>
                <c:pt idx="0">
                  <c:v>7.6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21</c:v>
                </c:pt>
                <c:pt idx="5">
                  <c:v>30</c:v>
                </c:pt>
                <c:pt idx="6">
                  <c:v>45</c:v>
                </c:pt>
                <c:pt idx="7">
                  <c:v>65</c:v>
                </c:pt>
                <c:pt idx="8">
                  <c:v>80</c:v>
                </c:pt>
                <c:pt idx="9">
                  <c:v>96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52-4D98-A0BF-2915BCCE685E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952-4D98-A0BF-2915BCCE685E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 (2)'!$E$60:$W$60</c:f>
              <c:numCache>
                <c:formatCode>0.0</c:formatCode>
                <c:ptCount val="19"/>
                <c:pt idx="0">
                  <c:v>5.6</c:v>
                </c:pt>
                <c:pt idx="5">
                  <c:v>24</c:v>
                </c:pt>
                <c:pt idx="7">
                  <c:v>58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52-4D98-A0BF-2915BCCE685E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 (2)'!$E$59:$W$59</c:f>
              <c:numCache>
                <c:formatCode>0.0</c:formatCode>
                <c:ptCount val="19"/>
                <c:pt idx="0">
                  <c:v>9.6</c:v>
                </c:pt>
                <c:pt idx="5">
                  <c:v>36</c:v>
                </c:pt>
                <c:pt idx="7">
                  <c:v>72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52-4D98-A0BF-2915BCCE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'260722'!$E$57:$W$57</c:f>
              <c:numCache>
                <c:formatCode>0.0</c:formatCode>
                <c:ptCount val="19"/>
                <c:pt idx="0">
                  <c:v>7.1</c:v>
                </c:pt>
                <c:pt idx="1">
                  <c:v>9.1</c:v>
                </c:pt>
                <c:pt idx="2">
                  <c:v>12.2</c:v>
                </c:pt>
                <c:pt idx="3">
                  <c:v>16.399999999999999</c:v>
                </c:pt>
                <c:pt idx="4">
                  <c:v>22.1</c:v>
                </c:pt>
                <c:pt idx="5">
                  <c:v>32.799999999999997</c:v>
                </c:pt>
                <c:pt idx="6">
                  <c:v>49.6</c:v>
                </c:pt>
                <c:pt idx="7">
                  <c:v>65.400000000000006</c:v>
                </c:pt>
                <c:pt idx="8">
                  <c:v>75.7</c:v>
                </c:pt>
                <c:pt idx="9">
                  <c:v>84.3</c:v>
                </c:pt>
                <c:pt idx="10">
                  <c:v>92.2</c:v>
                </c:pt>
                <c:pt idx="11">
                  <c:v>98.9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165</c:v>
                </c:pt>
                <c:pt idx="18" formatCode="0.00">
                  <c:v>4.43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'260722'!$E$58:$W$58</c:f>
              <c:numCache>
                <c:formatCode>0.0</c:formatCode>
                <c:ptCount val="19"/>
                <c:pt idx="0">
                  <c:v>6.7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31</c:v>
                </c:pt>
                <c:pt idx="6">
                  <c:v>45</c:v>
                </c:pt>
                <c:pt idx="7">
                  <c:v>60</c:v>
                </c:pt>
                <c:pt idx="8">
                  <c:v>69</c:v>
                </c:pt>
                <c:pt idx="9">
                  <c:v>77</c:v>
                </c:pt>
                <c:pt idx="10">
                  <c:v>91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'260722'!$E$60:$W$60</c:f>
              <c:numCache>
                <c:formatCode>0.0</c:formatCode>
                <c:ptCount val="19"/>
                <c:pt idx="0">
                  <c:v>4.7</c:v>
                </c:pt>
                <c:pt idx="5">
                  <c:v>25</c:v>
                </c:pt>
                <c:pt idx="7">
                  <c:v>53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'260722'!$E$59:$W$59</c:f>
              <c:numCache>
                <c:formatCode>0.0</c:formatCode>
                <c:ptCount val="19"/>
                <c:pt idx="0">
                  <c:v>8.6999999999999993</c:v>
                </c:pt>
                <c:pt idx="5">
                  <c:v>37</c:v>
                </c:pt>
                <c:pt idx="7">
                  <c:v>67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1.xml"/><Relationship Id="rId4" Type="http://schemas.openxmlformats.org/officeDocument/2006/relationships/image" Target="../media/image3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B1199C-8287-4D86-AF83-772148441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8142E45-BD55-4A38-BEE9-55737F74F4AF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E208F443-D2AD-4A6B-B091-9DA3D3DAFA02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591C807-72E8-4930-82B3-D18AB03898FD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FCF2ACA-51DB-4B9C-A747-565A2D8AC584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4114330-2000-4418-84DF-A2A99B7C1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ED50E60-8A46-4904-A652-C185AAB00149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4F9931FF-923B-409D-8B75-0AEE128CB058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E60C673-721C-49B9-95E6-B12ADA9A3115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2C12502-1797-4A78-8A0F-EDEC5FC1B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4EC96E0-4A2B-406C-9650-FB84C613A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19D5747-1309-4D9B-85C9-EA79514C5063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509C9CFF-7425-4EBF-AA9E-252BA380994E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99022B0-4D14-47C5-B3C5-BAC60C5D8049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D51FFE1E-B063-4632-90AE-BCBCA3317DA5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E9F873F-0C79-4081-9ABE-4DECD0622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6D12437-33EF-4B89-B3A1-72FF9B7EDA09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4C4A7BA1-5FEC-4672-A0BD-359B1FE1203D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55D9272-9CE5-4F02-91A0-D38847C2E36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0D856E3-811D-4CC7-B475-1BB74042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07965ED-8E59-48E9-AD0F-BFB9CCD89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827CA3C-3D90-4110-9B89-5296AD830339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153BE51-5C8C-44AD-B96D-4A6D7F44C7B5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C3FA6B2-6888-4944-8A49-98DD4C34A5CF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0DDACF0-DF1B-44E3-A54F-F6E67500FF3D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83EA7D33-8F63-49AA-B5A1-43A5861BF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4919B87-BC67-4FA3-B2F6-F0C1B004933A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5C76E2D-39A2-45D1-81A8-A673CF178526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A6557C9-E414-4B6F-A956-6552EE791ACC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8C9DE9A-ED78-455B-92E1-B5F2152B7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8F310A7-BA4D-415D-A7E8-0E8B2B473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F2BB5C8-04DF-4627-A378-86152535F05F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3689A00-50C2-4A7A-8A57-BA5C6199F7BD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27EC960-D448-47B9-9362-320B2251F78E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71D363B0-318C-4C18-BB51-FD26CBFD0B59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00C5650-ED76-411A-923F-06BF01DD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0517592-D663-4B13-B225-459574E138A9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CE200CD-EDEC-47BC-BFC7-432CF88AD5C4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ACC6064D-A5DB-46DE-B2FA-875EA79D706C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FED873D-AFDA-4315-83AE-853F4B54D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583DD2-64AC-4823-A01C-46F448D69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824095F6-1ECB-4F12-A4E2-442977202BF8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65659D9-6F2A-456D-B757-A307C56B6EE8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0B27453-D2E3-44AD-8968-D1B2CFBA9770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27C1505-48DC-4F91-9F1A-C17BBBC92DE3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09372BE-E86B-4A59-8828-0E471C951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37578D4-825C-448A-A47F-3443863177AE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C29E32F-8675-4C61-ABDD-7230D00AE3A4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10884C6D-DDFF-4A8D-A534-68E02F2412A6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BC5F9F2-AD61-4871-8A63-DDFD29C82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8D56E83-06E4-4F8C-9584-42C03F1CF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99BB8F2-1E19-4B20-9184-A09C58FC52BF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B5FF46F-9579-4811-8536-31BE56E81D47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1D1A9401-B14D-494D-9A28-96B777F92046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7E85FA73-6D47-445C-9E39-AFCD507D16D4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EBCB063-AB87-4662-97A1-9B1451C2A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2122E98-8430-433A-B6E0-0BCDB2E6CE58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D2DF889-BE2A-47E5-A273-885071D1274E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42329AD4-ED34-4325-B49E-DB3B58C8BB29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70C2959-EAA6-4F40-B2CC-29D874CDA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EA96CB-7D5A-4818-A294-6B06D359E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80CDD8B-1D63-445A-9536-13EA25A04EB1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AD5A5CD-017D-4C51-A5F3-6E293C593E7C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722E470-75BF-44EB-A3D2-572C8FAF28D4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96754F5-1453-405B-ACEB-417751AC81DC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CD96FA4-8879-474B-BAC3-AD523E5B6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6424531-F278-4A91-9F24-5E0B2C1EC634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6C797262-74D6-4257-9EB1-DE49BD6084C6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1AB5EBF1-E644-43A7-B023-47414AAC2164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606DC9B-49C2-4C95-BFC9-C7ADB40FF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5CA622B-F9CC-42AE-B4E5-3557C2119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7E5A00F-D99C-4D16-A0A5-C09D09D6B767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BF00319-B807-41F1-A4A2-520353737850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86C00CF-A939-4445-943E-8C8B273A6BF4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1ABF66F-2494-448A-A1BE-426A6F0EC0D0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B2ADAE8-B74F-4024-A66B-9665BB6EA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B38DDBC-578D-44D3-B1C3-FF866BA39A50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91F18B0-0708-4714-99E7-793E2854E8A7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1A6354DA-B0C7-4AF1-973D-F6455DAB1B60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F3732EB9-4269-4E8D-8E14-DFEA139EC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54B3D94-393B-47A0-9C88-2FAA6D2DC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2E11B81-B128-4C62-9397-349EA8072ED2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D291A686-978B-4804-A31B-C2520637E7F3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12A14E2-4CF3-410A-AB53-D89EA85A154E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1B3D985-E4CC-4400-A131-27DA51F7816E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F558A5F-5E85-479E-A043-3F92974F6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01DF56D-88A0-437C-AD2E-5D0866C271ED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D0E2FFC-EB1B-486F-997A-BD8AFA8E3D51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C9D7252-C8D2-49CD-A402-4399039A256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A0EB0EDE-ABDE-4AC3-ADF6-D8F273376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C1724AD-B98E-419F-B5BC-EB9D2DC5F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35AF09B-543E-4D1B-BB69-10B7765DE7C3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F13BFAD-FB40-4992-9969-5D0A508E677D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7FA992C-D7A3-4D26-BB03-08DF7EB808D3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AFCE54C-6B59-4ABF-8EC6-5562E7600D85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9BDE0722-12BA-48B8-9C31-7F2230168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C52DD290-9D99-4EF7-AF54-97CD88E20764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D4BDDDD-7D4B-4C76-9BFF-3F33F2FFC8CD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2AAFCC0-7BB2-45FC-92A4-53E12C8C9822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2A5DA14-490F-466F-B5D8-118EFD9F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7AA3BCF-9EAB-46CB-9DFF-4313CAFE1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37F67E8A-5642-4F84-A68D-69391435FF7D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3262E9B-E579-485B-8006-2424C50C3B83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8CF2972E-D6B2-4A20-A9C8-299D477664EF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29E5DED-D7C8-4E8E-AE7E-C3EE42FCB430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346181B-76A0-4D76-9356-53FE9B819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AD40B13-5D1A-4305-857F-A66387DF0EDE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0E610D9-795A-421D-8DDD-A9289F941CD3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D228812-39A5-4561-BF01-B675E80870E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7FCE6851-6F30-465B-9BB5-4FB280993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161925</xdr:colOff>
      <xdr:row>68</xdr:row>
      <xdr:rowOff>47625</xdr:rowOff>
    </xdr:from>
    <xdr:to>
      <xdr:col>25</xdr:col>
      <xdr:colOff>240030</xdr:colOff>
      <xdr:row>71</xdr:row>
      <xdr:rowOff>169277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9BA86C41-8452-8AD0-4403-C8C77B898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2487275"/>
          <a:ext cx="1838325" cy="7255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FF4BDA-5A18-43E4-9772-908BD3768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37C8AE70-1E2B-424A-93CC-32077D394D03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873AF8B-5657-4EA6-A8FD-77EFC058EE95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DA1C446-EB93-4BBC-A821-F2BB7E180AD0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E2106BB-D381-4BDE-A35C-3F1ACD641B2F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1228DCE3-6838-446A-92D2-9BC6E0F7E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72A9B38-34D7-428E-988B-CA2EA47E5EB6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46973CF-CAB3-4127-A6B0-7C4D6C6C1A51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339B0B9-8455-4EF2-AA99-E06E3666C6B4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2A81877-E421-431E-9F2B-B046BE96A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49FA0C4-8486-4D5D-A598-A617EBD85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2C747D3-062C-4D7A-B63C-2E9B82E2B526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504CCC2-30C1-4562-816F-800B8F979788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F5007B8-9DF3-4DE9-BF62-47801684CC11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9E6A2AE-6E27-4E18-84C8-93AEA9C42F44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68EF620-091A-43B2-A96D-4139CA665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EE15BBD-92CF-4B1C-82D1-854A6F5E79FE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4C29D118-CE8F-4C26-A278-4335734A2626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621D01CC-B15C-4542-B0A0-B5350175A748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19DE7A7-D11A-427A-BBF8-0ED5CD8D8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8B6B74-2309-437B-A34A-89E14578E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9D03FE8-25CE-419D-B299-154A8C235A3F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8C5787E-A8EB-45D9-8EE8-BEBFC77738BE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1C7B405-75FD-40EB-95AA-1B0862DAC730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392136C-FE40-40DB-9833-EA775114531A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9EF739E0-D566-4ECE-8632-8B437397C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AB39C5E6-17F1-4777-BF09-295DD8FCF3CA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0ED61124-3B5D-4C4E-B991-68E8F746FB23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5E58008-21AF-4DEB-8F39-23DFA97D6154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930EA6A5-DDFA-4937-88F0-CC729500C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AE6EC11-5ADC-4206-B226-7478F7154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32F93C8-20A0-4641-A8DC-BB76D7B90C60}"/>
            </a:ext>
          </a:extLst>
        </xdr:cNvPr>
        <xdr:cNvSpPr>
          <a:spLocks noChangeShapeType="1"/>
        </xdr:cNvSpPr>
      </xdr:nvSpPr>
      <xdr:spPr bwMode="auto">
        <a:xfrm>
          <a:off x="865441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034274D-F625-4B4F-AAC7-27FF224B8524}"/>
            </a:ext>
          </a:extLst>
        </xdr:cNvPr>
        <xdr:cNvSpPr txBox="1">
          <a:spLocks noChangeArrowheads="1"/>
        </xdr:cNvSpPr>
      </xdr:nvSpPr>
      <xdr:spPr bwMode="auto">
        <a:xfrm>
          <a:off x="888301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F4502E3-CC8C-4B84-AF70-84FD07BEFF2E}"/>
            </a:ext>
          </a:extLst>
        </xdr:cNvPr>
        <xdr:cNvSpPr>
          <a:spLocks noChangeShapeType="1"/>
        </xdr:cNvSpPr>
      </xdr:nvSpPr>
      <xdr:spPr bwMode="auto">
        <a:xfrm>
          <a:off x="1213675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F591E58-2D3A-4936-8853-3D4DD174F402}"/>
            </a:ext>
          </a:extLst>
        </xdr:cNvPr>
        <xdr:cNvSpPr>
          <a:spLocks noChangeShapeType="1"/>
        </xdr:cNvSpPr>
      </xdr:nvSpPr>
      <xdr:spPr bwMode="auto">
        <a:xfrm flipH="1">
          <a:off x="917638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68325AAE-F158-48FF-81F2-1524128B1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CED20535-31B4-49E6-BD2C-0E9192190B53}"/>
            </a:ext>
          </a:extLst>
        </xdr:cNvPr>
        <xdr:cNvSpPr txBox="1">
          <a:spLocks noChangeArrowheads="1"/>
        </xdr:cNvSpPr>
      </xdr:nvSpPr>
      <xdr:spPr bwMode="auto">
        <a:xfrm>
          <a:off x="1143762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C1894D1-8174-427D-8E89-DBF9E6A66ECD}"/>
            </a:ext>
          </a:extLst>
        </xdr:cNvPr>
        <xdr:cNvSpPr>
          <a:spLocks noChangeShapeType="1"/>
        </xdr:cNvSpPr>
      </xdr:nvSpPr>
      <xdr:spPr bwMode="auto">
        <a:xfrm flipH="1">
          <a:off x="2091309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5F15D73-92F8-40E5-B4BB-9977DB237E5B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88848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7E0457F7-87E1-416D-B20E-A123A4A0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2E0AAB1-7A66-4C07-81AD-233F83471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46514D5-FB36-4F2F-A392-DC08DE3E4E0B}"/>
            </a:ext>
          </a:extLst>
        </xdr:cNvPr>
        <xdr:cNvSpPr>
          <a:spLocks noChangeShapeType="1"/>
        </xdr:cNvSpPr>
      </xdr:nvSpPr>
      <xdr:spPr bwMode="auto">
        <a:xfrm>
          <a:off x="865441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5BD8CB9-DA25-4364-822E-EC832CCC65D5}"/>
            </a:ext>
          </a:extLst>
        </xdr:cNvPr>
        <xdr:cNvSpPr txBox="1">
          <a:spLocks noChangeArrowheads="1"/>
        </xdr:cNvSpPr>
      </xdr:nvSpPr>
      <xdr:spPr bwMode="auto">
        <a:xfrm>
          <a:off x="888301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AE99F15-15A7-4F00-8CDB-4AB236722544}"/>
            </a:ext>
          </a:extLst>
        </xdr:cNvPr>
        <xdr:cNvSpPr>
          <a:spLocks noChangeShapeType="1"/>
        </xdr:cNvSpPr>
      </xdr:nvSpPr>
      <xdr:spPr bwMode="auto">
        <a:xfrm>
          <a:off x="1213675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FE083CF-AFBF-4408-9254-8A5F3B344B23}"/>
            </a:ext>
          </a:extLst>
        </xdr:cNvPr>
        <xdr:cNvSpPr>
          <a:spLocks noChangeShapeType="1"/>
        </xdr:cNvSpPr>
      </xdr:nvSpPr>
      <xdr:spPr bwMode="auto">
        <a:xfrm flipH="1">
          <a:off x="917638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708683B-6B26-44E3-91CB-DC1A3D77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4A27C90-4BEC-4595-B403-F23E83A9D3ED}"/>
            </a:ext>
          </a:extLst>
        </xdr:cNvPr>
        <xdr:cNvSpPr txBox="1">
          <a:spLocks noChangeArrowheads="1"/>
        </xdr:cNvSpPr>
      </xdr:nvSpPr>
      <xdr:spPr bwMode="auto">
        <a:xfrm>
          <a:off x="1143762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18BD182-E1BB-44D7-8027-34DFB24EDA62}"/>
            </a:ext>
          </a:extLst>
        </xdr:cNvPr>
        <xdr:cNvSpPr>
          <a:spLocks noChangeShapeType="1"/>
        </xdr:cNvSpPr>
      </xdr:nvSpPr>
      <xdr:spPr bwMode="auto">
        <a:xfrm flipH="1">
          <a:off x="2091309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9266D65-9C89-49F6-BED4-A47702511007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88848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EFDF042-BF34-482C-9376-2374F923F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79413CE-62F4-4706-B6AE-6288D6DB2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6BD785C-6F83-4C4D-953A-D238FA5240D8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1804DE9-FDE2-46B7-ADEB-FFAB35F56EAC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2134E25-BA6A-4DB6-A483-B0AC7CB1E1E4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BB1CB086-DF35-4B83-9262-21E8064EF8DC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6903658E-5BD0-4351-AB79-1EACF6322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42059CA-9EE5-4023-A6A9-516AD041D4C1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EF391AD-4887-4E60-A007-443781C94CF2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CCBA60C-97A1-426E-B841-8A0FE93B72E5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58C9D6DB-9667-4828-BE7D-317EB91FD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F683B-CAD8-4F61-AD09-1C8B1B7CE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2484F8D-5FA9-4800-B5CB-DB27C1B1AFB2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B27C175-86C8-4ECD-B411-C060781B4A8F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5D83B4F-AE0F-489D-8BDB-5D2096EF3D8E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DCE881A-3DEA-4DEF-BEA1-BC90DCFD068F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743C70D-6FEE-4EE8-84A4-57FF25014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1611A78-9234-4DD7-BAEB-10EFA921818D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9E5A56B-E2F4-4106-9485-CC53459A906F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F84AA7D-3BBF-497A-81A5-02DEDCA4F52B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C35A5F7-092C-401B-B8D0-9B54D2FD5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32A0D8A-11F5-46E3-BF1F-BAB2B0ACD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80083DF2-E01A-457B-A84F-15B12DB26949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7DF4AA6-D76D-49E9-8201-A436E72DC49C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3660045-E968-470D-BB2F-74EBD7E1904B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A31A2EF-347F-43E7-8042-14972C7F9477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F6E6477-CB3F-410B-B1AE-6E2555CAD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A6DF365-B397-4C10-B288-A5E98C6ECDF6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A0B27A5-A069-46E6-8EEF-E72AB49294F8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1951057-3615-4E18-AB0E-5BAFB3456E94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314325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7758AB52-7F61-4286-A9DF-6BD7566A4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3731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DAD5BE8-CF54-442D-94AB-E6031E46E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77BC76D4-D810-4EA6-9B14-E8FB364CEC00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1686509E-D930-4324-93BC-71C12CDD1297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3B2D6F2-0945-4543-937F-DC8043166DED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A01EFC2-04F9-41D0-A9A2-99F4895E9B20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938EA33B-4692-4AD3-A36A-CE609574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0B454A4-E957-47F0-854C-A4F372AC3343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A59D62F-FAF6-47F3-9B9E-647AF47554BC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E29DEF67-4FCC-4577-AE1F-110D7DD0141A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0CE0B20-8BC4-4E49-944B-74B34A12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4683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314325</xdr:colOff>
      <xdr:row>3</xdr:row>
      <xdr:rowOff>133350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22F5-4BC9-4DFE-9749-B24D84080ABF}">
  <sheetPr>
    <pageSetUpPr fitToPage="1"/>
  </sheetPr>
  <dimension ref="A1:AN72"/>
  <sheetViews>
    <sheetView topLeftCell="A41" zoomScaleNormal="100" workbookViewId="0">
      <selection activeCell="C51" sqref="C51:X5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91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21</v>
      </c>
      <c r="K5" s="319"/>
      <c r="L5" s="320" t="s">
        <v>51</v>
      </c>
      <c r="M5" s="318"/>
      <c r="N5" s="318"/>
      <c r="O5" s="319"/>
      <c r="P5" s="321">
        <v>45855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45855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125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45854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116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113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114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2.758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170" t="s">
        <v>126</v>
      </c>
      <c r="D51" s="171"/>
      <c r="E51" s="135">
        <v>7</v>
      </c>
      <c r="F51" s="136">
        <v>9.1</v>
      </c>
      <c r="G51" s="137">
        <v>11.6</v>
      </c>
      <c r="H51" s="137">
        <v>15</v>
      </c>
      <c r="I51" s="137">
        <v>20.399999999999999</v>
      </c>
      <c r="J51" s="137">
        <v>30.2</v>
      </c>
      <c r="K51" s="137">
        <v>43.7</v>
      </c>
      <c r="L51" s="137">
        <v>61.3</v>
      </c>
      <c r="M51" s="137">
        <v>73.8</v>
      </c>
      <c r="N51" s="137">
        <v>94.3</v>
      </c>
      <c r="O51" s="137">
        <v>100</v>
      </c>
      <c r="P51" s="137"/>
      <c r="Q51" s="137"/>
      <c r="R51" s="137"/>
      <c r="S51" s="143"/>
      <c r="T51" s="143"/>
      <c r="U51" s="166">
        <v>180</v>
      </c>
      <c r="V51" s="167"/>
      <c r="W51" s="168">
        <v>5.1100000000000003</v>
      </c>
      <c r="X51" s="169"/>
      <c r="Y51" s="258">
        <f>IF(W51&lt;&gt;0,AE51,"")</f>
        <v>3.3344998790419331</v>
      </c>
      <c r="Z51" s="259"/>
      <c r="AA51" s="80"/>
      <c r="AB51" s="220">
        <f>(100*W51)/(100-W51)</f>
        <v>5.3851828432922337</v>
      </c>
      <c r="AC51" s="221"/>
      <c r="AD51" s="67">
        <f>(0.25*(100-O51)+2.3*(O51-H51)+12*(H51-E51)+150*(E51))/100</f>
        <v>13.414999999999999</v>
      </c>
      <c r="AE51" s="68">
        <f>(AB51*$AE$47)/(2.65*(AD51)^(1/5))</f>
        <v>3.3344998790419331</v>
      </c>
      <c r="AF51" s="29"/>
      <c r="AG51" s="66"/>
    </row>
    <row r="52" spans="1:34" ht="24.9" customHeight="1" x14ac:dyDescent="0.25">
      <c r="A52" s="5"/>
      <c r="B52" s="44">
        <v>2</v>
      </c>
      <c r="C52" s="241"/>
      <c r="D52" s="242"/>
      <c r="E52" s="139"/>
      <c r="F52" s="140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4"/>
      <c r="R52" s="141"/>
      <c r="S52" s="142"/>
      <c r="T52" s="142"/>
      <c r="U52" s="243"/>
      <c r="V52" s="244"/>
      <c r="W52" s="245"/>
      <c r="X52" s="246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</v>
      </c>
      <c r="F57" s="102">
        <f t="shared" si="3"/>
        <v>9.1</v>
      </c>
      <c r="G57" s="102">
        <f t="shared" si="3"/>
        <v>11.6</v>
      </c>
      <c r="H57" s="102">
        <f t="shared" si="3"/>
        <v>15</v>
      </c>
      <c r="I57" s="102">
        <f t="shared" si="3"/>
        <v>20.399999999999999</v>
      </c>
      <c r="J57" s="102">
        <f t="shared" si="3"/>
        <v>30.2</v>
      </c>
      <c r="K57" s="102">
        <f t="shared" si="3"/>
        <v>43.7</v>
      </c>
      <c r="L57" s="102">
        <f t="shared" si="3"/>
        <v>61.3</v>
      </c>
      <c r="M57" s="102">
        <f t="shared" si="3"/>
        <v>73.8</v>
      </c>
      <c r="N57" s="102">
        <f t="shared" si="3"/>
        <v>94.3</v>
      </c>
      <c r="O57" s="102">
        <f t="shared" si="3"/>
        <v>100</v>
      </c>
      <c r="P57" s="102"/>
      <c r="Q57" s="116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180</v>
      </c>
      <c r="V57" s="216"/>
      <c r="W57" s="217">
        <f>IF(W51&lt;&gt;0,AVERAGE(W51:X54),"")</f>
        <v>5.1100000000000003</v>
      </c>
      <c r="X57" s="218"/>
      <c r="Y57" s="217">
        <f>IF(W51&lt;&gt;0,AVERAGE(Y51:Z54),"")</f>
        <v>3.3344998790419331</v>
      </c>
      <c r="Z57" s="219"/>
      <c r="AA57" s="66"/>
      <c r="AB57" s="220">
        <f>(100*W57)/(100-W57)</f>
        <v>5.3851828432922337</v>
      </c>
      <c r="AC57" s="221"/>
      <c r="AD57" s="67">
        <f t="shared" si="0"/>
        <v>13.414999999999999</v>
      </c>
      <c r="AE57" s="68">
        <f t="shared" si="1"/>
        <v>3.3344998790419331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7.1</v>
      </c>
      <c r="F58" s="104">
        <v>9</v>
      </c>
      <c r="G58" s="104">
        <v>11</v>
      </c>
      <c r="H58" s="104">
        <v>14</v>
      </c>
      <c r="I58" s="104">
        <v>20</v>
      </c>
      <c r="J58" s="104">
        <v>30</v>
      </c>
      <c r="K58" s="104">
        <v>43</v>
      </c>
      <c r="L58" s="104">
        <v>62</v>
      </c>
      <c r="M58" s="104">
        <v>78</v>
      </c>
      <c r="N58" s="104">
        <v>94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3.5323832409736107</v>
      </c>
      <c r="Z58" s="230"/>
      <c r="AA58" s="66"/>
      <c r="AB58" s="220">
        <f>(100*W58)/(100-W58)</f>
        <v>5.7082452431289648</v>
      </c>
      <c r="AC58" s="221"/>
      <c r="AD58" s="67">
        <f t="shared" si="0"/>
        <v>13.456</v>
      </c>
      <c r="AE58" s="68">
        <f t="shared" si="1"/>
        <v>3.5323832409736107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9.1</v>
      </c>
      <c r="F59" s="96"/>
      <c r="G59" s="96"/>
      <c r="H59" s="96"/>
      <c r="I59" s="96"/>
      <c r="J59" s="96">
        <f>J58+6</f>
        <v>36</v>
      </c>
      <c r="K59" s="96"/>
      <c r="L59" s="96">
        <f>L58+7</f>
        <v>69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5.0999999999999996</v>
      </c>
      <c r="F60" s="106"/>
      <c r="G60" s="107"/>
      <c r="H60" s="107"/>
      <c r="I60" s="107"/>
      <c r="J60" s="106">
        <f>J58-6</f>
        <v>24</v>
      </c>
      <c r="K60" s="107"/>
      <c r="L60" s="106">
        <f>L58-7</f>
        <v>55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U69:Z72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1A0E-9F12-4F43-890A-D44360F0C1FC}">
  <sheetPr>
    <pageSetUpPr fitToPage="1"/>
  </sheetPr>
  <dimension ref="A1:AN72"/>
  <sheetViews>
    <sheetView tabSelected="1" topLeftCell="A47" zoomScaleNormal="100" workbookViewId="0">
      <selection activeCell="M53" sqref="M5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91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20</v>
      </c>
      <c r="K5" s="319"/>
      <c r="L5" s="320" t="s">
        <v>51</v>
      </c>
      <c r="M5" s="318"/>
      <c r="N5" s="318"/>
      <c r="O5" s="319"/>
      <c r="P5" s="321">
        <v>45855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45855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104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45854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143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110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111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2.7320000000000002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170" t="s">
        <v>127</v>
      </c>
      <c r="D51" s="171"/>
      <c r="E51" s="354">
        <v>7.3</v>
      </c>
      <c r="F51" s="355">
        <v>9.5</v>
      </c>
      <c r="G51" s="356">
        <v>12.3</v>
      </c>
      <c r="H51" s="356">
        <v>16</v>
      </c>
      <c r="I51" s="356">
        <v>21.7</v>
      </c>
      <c r="J51" s="356">
        <v>31.5</v>
      </c>
      <c r="K51" s="356">
        <v>44.7</v>
      </c>
      <c r="L51" s="356">
        <v>60.6</v>
      </c>
      <c r="M51" s="356">
        <v>72.900000000000006</v>
      </c>
      <c r="N51" s="356">
        <v>85.7</v>
      </c>
      <c r="O51" s="356">
        <v>93.9</v>
      </c>
      <c r="P51" s="356">
        <v>98.7</v>
      </c>
      <c r="Q51" s="356">
        <v>100</v>
      </c>
      <c r="R51" s="356"/>
      <c r="S51" s="357"/>
      <c r="T51" s="357"/>
      <c r="U51" s="166">
        <v>168</v>
      </c>
      <c r="V51" s="167"/>
      <c r="W51" s="168">
        <v>5.04</v>
      </c>
      <c r="X51" s="169"/>
      <c r="Y51" s="258">
        <f>IF(W51&lt;&gt;0,AE51,"")</f>
        <v>3.2370011603403057</v>
      </c>
      <c r="Z51" s="259"/>
      <c r="AA51" s="80"/>
      <c r="AB51" s="220">
        <f>(100*W51)/(100-W51)</f>
        <v>5.3074978938500426</v>
      </c>
      <c r="AC51" s="221"/>
      <c r="AD51" s="67">
        <f>(0.25*(100-O51)+2.3*(O51-H51)+12*(H51-E51)+150*(E51))/100</f>
        <v>13.80095</v>
      </c>
      <c r="AE51" s="68">
        <f>(AB51*$AE$47)/(2.65*(AD51)^(1/5))</f>
        <v>3.2370011603403057</v>
      </c>
      <c r="AF51" s="29"/>
      <c r="AG51" s="66"/>
    </row>
    <row r="52" spans="1:34" ht="24.9" customHeight="1" x14ac:dyDescent="0.25">
      <c r="A52" s="5"/>
      <c r="B52" s="44">
        <v>2</v>
      </c>
      <c r="C52" s="170" t="s">
        <v>128</v>
      </c>
      <c r="D52" s="171"/>
      <c r="E52" s="354">
        <v>7.7</v>
      </c>
      <c r="F52" s="355">
        <v>9.8000000000000007</v>
      </c>
      <c r="G52" s="356">
        <v>12.5</v>
      </c>
      <c r="H52" s="356">
        <v>16.3</v>
      </c>
      <c r="I52" s="356">
        <v>21.9</v>
      </c>
      <c r="J52" s="356">
        <v>32.200000000000003</v>
      </c>
      <c r="K52" s="356">
        <v>47</v>
      </c>
      <c r="L52" s="356">
        <v>62.8</v>
      </c>
      <c r="M52" s="356">
        <v>71.2</v>
      </c>
      <c r="N52" s="356">
        <v>82.7</v>
      </c>
      <c r="O52" s="356">
        <v>91.9</v>
      </c>
      <c r="P52" s="356">
        <v>96</v>
      </c>
      <c r="Q52" s="356">
        <v>100</v>
      </c>
      <c r="R52" s="356"/>
      <c r="S52" s="357"/>
      <c r="T52" s="357"/>
      <c r="U52" s="166">
        <v>172</v>
      </c>
      <c r="V52" s="167"/>
      <c r="W52" s="168">
        <v>4.9400000000000004</v>
      </c>
      <c r="X52" s="169"/>
      <c r="Y52" s="247">
        <f>IF(W52&lt;&gt;0,AE52,"")</f>
        <v>3.1451964010365239</v>
      </c>
      <c r="Z52" s="248"/>
      <c r="AA52" s="80"/>
      <c r="AB52" s="220">
        <f>(100*W52)/(100-W52)</f>
        <v>5.1967178624026937</v>
      </c>
      <c r="AC52" s="221"/>
      <c r="AD52" s="67">
        <f t="shared" ref="AD52:AD58" si="0">(0.25*(100-O52)+2.3*(O52-H52)+12*(H52-E52)+150*(E52))/100</f>
        <v>14.341050000000001</v>
      </c>
      <c r="AE52" s="68">
        <f t="shared" ref="AE52:AE58" si="1">(AB52*$AE$47)/(2.65*(AD52)^(1/5))</f>
        <v>3.1451964010365239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7.5</v>
      </c>
      <c r="F57" s="102">
        <f t="shared" si="3"/>
        <v>9.65</v>
      </c>
      <c r="G57" s="102">
        <f t="shared" si="3"/>
        <v>12.4</v>
      </c>
      <c r="H57" s="102">
        <f t="shared" si="3"/>
        <v>16.149999999999999</v>
      </c>
      <c r="I57" s="102">
        <f t="shared" si="3"/>
        <v>21.799999999999997</v>
      </c>
      <c r="J57" s="102">
        <f t="shared" si="3"/>
        <v>31.85</v>
      </c>
      <c r="K57" s="102">
        <f t="shared" si="3"/>
        <v>45.85</v>
      </c>
      <c r="L57" s="102">
        <f t="shared" si="3"/>
        <v>61.7</v>
      </c>
      <c r="M57" s="102">
        <f t="shared" si="3"/>
        <v>72.050000000000011</v>
      </c>
      <c r="N57" s="102">
        <f t="shared" si="3"/>
        <v>84.2</v>
      </c>
      <c r="O57" s="102">
        <f t="shared" si="3"/>
        <v>92.9</v>
      </c>
      <c r="P57" s="102">
        <f t="shared" si="3"/>
        <v>97.35</v>
      </c>
      <c r="Q57" s="116">
        <f t="shared" si="3"/>
        <v>100</v>
      </c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170</v>
      </c>
      <c r="V57" s="216"/>
      <c r="W57" s="217">
        <f>IF(W51&lt;&gt;0,AVERAGE(W51:X54),"")</f>
        <v>4.99</v>
      </c>
      <c r="X57" s="218"/>
      <c r="Y57" s="217">
        <f>IF(W51&lt;&gt;0,AVERAGE(Y51:Z54),"")</f>
        <v>3.1910987806884146</v>
      </c>
      <c r="Z57" s="219"/>
      <c r="AA57" s="66"/>
      <c r="AB57" s="220">
        <f>(100*W57)/(100-W57)</f>
        <v>5.2520787285548884</v>
      </c>
      <c r="AC57" s="221"/>
      <c r="AD57" s="67">
        <f t="shared" si="0"/>
        <v>14.071</v>
      </c>
      <c r="AE57" s="68">
        <f t="shared" si="1"/>
        <v>3.1908108194698124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</v>
      </c>
      <c r="F58" s="104">
        <v>9</v>
      </c>
      <c r="G58" s="104">
        <v>12</v>
      </c>
      <c r="H58" s="104">
        <v>16</v>
      </c>
      <c r="I58" s="104">
        <v>21</v>
      </c>
      <c r="J58" s="104">
        <v>31</v>
      </c>
      <c r="K58" s="104">
        <v>45</v>
      </c>
      <c r="L58" s="104">
        <v>61</v>
      </c>
      <c r="M58" s="104">
        <v>70</v>
      </c>
      <c r="N58" s="104">
        <v>79</v>
      </c>
      <c r="O58" s="110">
        <v>91</v>
      </c>
      <c r="P58" s="104">
        <v>97</v>
      </c>
      <c r="Q58" s="110">
        <v>100</v>
      </c>
      <c r="R58" s="104"/>
      <c r="S58" s="104"/>
      <c r="T58" s="105"/>
      <c r="U58" s="225"/>
      <c r="V58" s="226"/>
      <c r="W58" s="227">
        <v>5.2</v>
      </c>
      <c r="X58" s="228"/>
      <c r="Y58" s="229">
        <f>AE58</f>
        <v>3.3688377045495161</v>
      </c>
      <c r="Z58" s="230"/>
      <c r="AA58" s="66"/>
      <c r="AB58" s="220">
        <f>(100*W58)/(100-W58)</f>
        <v>5.485232067510549</v>
      </c>
      <c r="AC58" s="221"/>
      <c r="AD58" s="67">
        <f t="shared" si="0"/>
        <v>13.327500000000001</v>
      </c>
      <c r="AE58" s="68">
        <f t="shared" si="1"/>
        <v>3.3688377045495161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</v>
      </c>
      <c r="F59" s="96"/>
      <c r="G59" s="96"/>
      <c r="H59" s="96"/>
      <c r="I59" s="96"/>
      <c r="J59" s="96">
        <f>J58+6</f>
        <v>37</v>
      </c>
      <c r="K59" s="96"/>
      <c r="L59" s="96">
        <f>L58+7</f>
        <v>68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5.7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</v>
      </c>
      <c r="F60" s="106"/>
      <c r="G60" s="107"/>
      <c r="H60" s="107"/>
      <c r="I60" s="107"/>
      <c r="J60" s="106">
        <f>J58-6</f>
        <v>25</v>
      </c>
      <c r="K60" s="107"/>
      <c r="L60" s="106">
        <f>L58-7</f>
        <v>54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4.7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 t="s">
        <v>124</v>
      </c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C52:D52"/>
    <mergeCell ref="U52:V52"/>
    <mergeCell ref="W52:X52"/>
    <mergeCell ref="C51:D5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C50:D50"/>
    <mergeCell ref="Y51:Z51"/>
    <mergeCell ref="AB51:AC51"/>
    <mergeCell ref="U51:V51"/>
    <mergeCell ref="W51:X51"/>
    <mergeCell ref="C54:D54"/>
    <mergeCell ref="U54:V54"/>
    <mergeCell ref="W54:X54"/>
    <mergeCell ref="Y54:Z54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9:Q72"/>
    <mergeCell ref="R69:T72"/>
    <mergeCell ref="U69:Z72"/>
    <mergeCell ref="U63:Z63"/>
    <mergeCell ref="A64:Q64"/>
    <mergeCell ref="R64:T64"/>
    <mergeCell ref="U64:Z64"/>
    <mergeCell ref="A65:Q67"/>
    <mergeCell ref="R65:T68"/>
    <mergeCell ref="U65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78C0-725B-42E6-B8D9-1516A5D78E0A}">
  <sheetPr>
    <pageSetUpPr fitToPage="1"/>
  </sheetPr>
  <dimension ref="A1:AN72"/>
  <sheetViews>
    <sheetView zoomScaleNormal="100" workbookViewId="0">
      <selection activeCell="R52" sqref="R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91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19</v>
      </c>
      <c r="K5" s="319"/>
      <c r="L5" s="320" t="s">
        <v>51</v>
      </c>
      <c r="M5" s="318"/>
      <c r="N5" s="318"/>
      <c r="O5" s="319"/>
      <c r="P5" s="321">
        <v>45854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45854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104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45853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110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84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85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2.6469999999999998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170" t="s">
        <v>122</v>
      </c>
      <c r="D51" s="171"/>
      <c r="E51" s="135">
        <v>6.6</v>
      </c>
      <c r="F51" s="136">
        <v>8.6999999999999993</v>
      </c>
      <c r="G51" s="137">
        <v>11.5</v>
      </c>
      <c r="H51" s="137">
        <v>14.9</v>
      </c>
      <c r="I51" s="137">
        <v>19.600000000000001</v>
      </c>
      <c r="J51" s="137">
        <v>27.9</v>
      </c>
      <c r="K51" s="137">
        <v>42.8</v>
      </c>
      <c r="L51" s="137">
        <v>59.3</v>
      </c>
      <c r="M51" s="137">
        <v>75.8</v>
      </c>
      <c r="N51" s="137">
        <v>94.4</v>
      </c>
      <c r="O51" s="137">
        <v>100</v>
      </c>
      <c r="P51" s="137"/>
      <c r="Q51" s="137"/>
      <c r="R51" s="137"/>
      <c r="S51" s="143"/>
      <c r="T51" s="143"/>
      <c r="U51" s="166">
        <v>170</v>
      </c>
      <c r="V51" s="167"/>
      <c r="W51" s="168">
        <v>5.07</v>
      </c>
      <c r="X51" s="169"/>
      <c r="Y51" s="258">
        <f>IF(W51&lt;&gt;0,AE51,"")</f>
        <v>3.2011764773217499</v>
      </c>
      <c r="Z51" s="259"/>
      <c r="AA51" s="80"/>
      <c r="AB51" s="220">
        <f>(100*W51)/(100-W51)</f>
        <v>5.3407774149373219</v>
      </c>
      <c r="AC51" s="221"/>
      <c r="AD51" s="67">
        <f>(0.25*(100-O51)+2.3*(O51-H51)+12*(H51-E51)+150*(E51))/100</f>
        <v>12.853299999999999</v>
      </c>
      <c r="AE51" s="68">
        <f>(AB51*$AE$47)/(2.65*(AD51)^(1/5))</f>
        <v>3.2011764773217499</v>
      </c>
      <c r="AF51" s="29"/>
      <c r="AG51" s="66"/>
    </row>
    <row r="52" spans="1:34" ht="24.9" customHeight="1" x14ac:dyDescent="0.25">
      <c r="A52" s="5"/>
      <c r="B52" s="44">
        <v>2</v>
      </c>
      <c r="C52" s="170" t="s">
        <v>123</v>
      </c>
      <c r="D52" s="171"/>
      <c r="E52" s="135">
        <v>6.9</v>
      </c>
      <c r="F52" s="136">
        <v>8.9</v>
      </c>
      <c r="G52" s="137">
        <v>11.8</v>
      </c>
      <c r="H52" s="137">
        <v>15.3</v>
      </c>
      <c r="I52" s="137">
        <v>20.100000000000001</v>
      </c>
      <c r="J52" s="137">
        <v>28.9</v>
      </c>
      <c r="K52" s="137">
        <v>43</v>
      </c>
      <c r="L52" s="137">
        <v>60.6</v>
      </c>
      <c r="M52" s="137">
        <v>77.099999999999994</v>
      </c>
      <c r="N52" s="137">
        <v>95.2</v>
      </c>
      <c r="O52" s="137">
        <v>100</v>
      </c>
      <c r="P52" s="137"/>
      <c r="Q52" s="137"/>
      <c r="R52" s="137"/>
      <c r="S52" s="143"/>
      <c r="T52" s="143"/>
      <c r="U52" s="166">
        <v>170</v>
      </c>
      <c r="V52" s="167"/>
      <c r="W52" s="168">
        <v>4.9800000000000004</v>
      </c>
      <c r="X52" s="169"/>
      <c r="Y52" s="247">
        <f>IF(W52&lt;&gt;0,AE52,"")</f>
        <v>3.1196956505826297</v>
      </c>
      <c r="Z52" s="248"/>
      <c r="AA52" s="80"/>
      <c r="AB52" s="220">
        <f>(100*W52)/(100-W52)</f>
        <v>5.2410018943380345</v>
      </c>
      <c r="AC52" s="221"/>
      <c r="AD52" s="67">
        <f t="shared" ref="AD52:AD58" si="0">(0.25*(100-O52)+2.3*(O52-H52)+12*(H52-E52)+150*(E52))/100</f>
        <v>13.306100000000001</v>
      </c>
      <c r="AE52" s="68">
        <f t="shared" ref="AE52:AE58" si="1">(AB52*$AE$47)/(2.65*(AD52)^(1/5))</f>
        <v>3.1196956505826297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6.75</v>
      </c>
      <c r="F57" s="102">
        <f t="shared" si="3"/>
        <v>8.8000000000000007</v>
      </c>
      <c r="G57" s="102">
        <f t="shared" si="3"/>
        <v>11.65</v>
      </c>
      <c r="H57" s="102">
        <f t="shared" si="3"/>
        <v>15.100000000000001</v>
      </c>
      <c r="I57" s="102">
        <f t="shared" si="3"/>
        <v>19.850000000000001</v>
      </c>
      <c r="J57" s="102">
        <f t="shared" si="3"/>
        <v>28.4</v>
      </c>
      <c r="K57" s="102">
        <f t="shared" si="3"/>
        <v>42.9</v>
      </c>
      <c r="L57" s="102">
        <f t="shared" si="3"/>
        <v>59.95</v>
      </c>
      <c r="M57" s="102">
        <f t="shared" si="3"/>
        <v>76.449999999999989</v>
      </c>
      <c r="N57" s="102">
        <f t="shared" si="3"/>
        <v>94.800000000000011</v>
      </c>
      <c r="O57" s="116">
        <f t="shared" si="3"/>
        <v>100</v>
      </c>
      <c r="P57" s="102"/>
      <c r="Q57" s="102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170</v>
      </c>
      <c r="V57" s="216"/>
      <c r="W57" s="217">
        <f>IF(W51&lt;&gt;0,AVERAGE(W51:X54),"")</f>
        <v>5.0250000000000004</v>
      </c>
      <c r="X57" s="218"/>
      <c r="Y57" s="217">
        <f>IF(W51&lt;&gt;0,AVERAGE(Y51:Z54),"")</f>
        <v>3.16043606395219</v>
      </c>
      <c r="Z57" s="219"/>
      <c r="AA57" s="66"/>
      <c r="AB57" s="220">
        <f>(100*W57)/(100-W57)</f>
        <v>5.290866017372994</v>
      </c>
      <c r="AC57" s="221"/>
      <c r="AD57" s="67">
        <f t="shared" si="0"/>
        <v>13.079700000000001</v>
      </c>
      <c r="AE57" s="68">
        <f t="shared" si="1"/>
        <v>3.1602051365106849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6.5</v>
      </c>
      <c r="F58" s="104">
        <v>8</v>
      </c>
      <c r="G58" s="104">
        <v>11</v>
      </c>
      <c r="H58" s="104">
        <v>16</v>
      </c>
      <c r="I58" s="104">
        <v>21</v>
      </c>
      <c r="J58" s="104">
        <v>30</v>
      </c>
      <c r="K58" s="104">
        <v>44</v>
      </c>
      <c r="L58" s="104">
        <v>60</v>
      </c>
      <c r="M58" s="104">
        <v>76</v>
      </c>
      <c r="N58" s="104">
        <v>95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3.4230996041984052</v>
      </c>
      <c r="Z58" s="230"/>
      <c r="AA58" s="66"/>
      <c r="AB58" s="220">
        <f>(100*W58)/(100-W58)</f>
        <v>5.7082452431289648</v>
      </c>
      <c r="AC58" s="221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8.5</v>
      </c>
      <c r="F59" s="96"/>
      <c r="G59" s="96"/>
      <c r="H59" s="96"/>
      <c r="I59" s="96"/>
      <c r="J59" s="96">
        <f>J58+6</f>
        <v>36</v>
      </c>
      <c r="K59" s="96"/>
      <c r="L59" s="96">
        <f>L58+7</f>
        <v>67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4.5</v>
      </c>
      <c r="F60" s="106"/>
      <c r="G60" s="107"/>
      <c r="H60" s="107"/>
      <c r="I60" s="107"/>
      <c r="J60" s="106">
        <f>J58-6</f>
        <v>24</v>
      </c>
      <c r="K60" s="107"/>
      <c r="L60" s="106">
        <f>L58-7</f>
        <v>53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 t="s">
        <v>121</v>
      </c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A69:Q72"/>
    <mergeCell ref="R69:T72"/>
    <mergeCell ref="U69:Z72"/>
    <mergeCell ref="U51:V51"/>
    <mergeCell ref="W51:X51"/>
    <mergeCell ref="C52:D52"/>
    <mergeCell ref="U52:V52"/>
    <mergeCell ref="W52:X52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D0E3-C3E1-461E-95A8-9B3CB56CB14A}">
  <sheetPr>
    <pageSetUpPr fitToPage="1"/>
  </sheetPr>
  <dimension ref="A1:AN72"/>
  <sheetViews>
    <sheetView topLeftCell="A38" zoomScaleNormal="100" workbookViewId="0">
      <selection activeCell="AB10" sqref="AB1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91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18</v>
      </c>
      <c r="K5" s="319"/>
      <c r="L5" s="320" t="s">
        <v>51</v>
      </c>
      <c r="M5" s="318"/>
      <c r="N5" s="318"/>
      <c r="O5" s="319"/>
      <c r="P5" s="321">
        <v>45854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45854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104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45853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247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102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59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103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2.6779999999999999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170" t="s">
        <v>119</v>
      </c>
      <c r="D51" s="171"/>
      <c r="E51" s="135">
        <v>7.1</v>
      </c>
      <c r="F51" s="136">
        <v>9.1</v>
      </c>
      <c r="G51" s="137">
        <v>11.9</v>
      </c>
      <c r="H51" s="137">
        <v>15.5</v>
      </c>
      <c r="I51" s="137">
        <v>20.399999999999999</v>
      </c>
      <c r="J51" s="137">
        <v>28.2</v>
      </c>
      <c r="K51" s="137">
        <v>39.200000000000003</v>
      </c>
      <c r="L51" s="137">
        <v>50.4</v>
      </c>
      <c r="M51" s="137">
        <v>59.7</v>
      </c>
      <c r="N51" s="137">
        <v>71.7</v>
      </c>
      <c r="O51" s="137">
        <v>85.7</v>
      </c>
      <c r="P51" s="137">
        <v>94.4</v>
      </c>
      <c r="Q51" s="137">
        <v>100</v>
      </c>
      <c r="R51" s="137"/>
      <c r="S51" s="143"/>
      <c r="T51" s="143"/>
      <c r="U51" s="166">
        <v>155</v>
      </c>
      <c r="V51" s="167"/>
      <c r="W51" s="168">
        <v>4.95</v>
      </c>
      <c r="X51" s="169"/>
      <c r="Y51" s="258">
        <f>IF(W51&lt;&gt;0,AE51,"")</f>
        <v>3.1361218888444031</v>
      </c>
      <c r="Z51" s="259"/>
      <c r="AA51" s="80"/>
      <c r="AB51" s="220">
        <f>(100*W51)/(100-W51)</f>
        <v>5.2077853761178332</v>
      </c>
      <c r="AC51" s="221"/>
      <c r="AD51" s="67">
        <f>(0.25*(100-O51)+2.3*(O51-H51)+12*(H51-E51)+150*(E51))/100</f>
        <v>13.308350000000001</v>
      </c>
      <c r="AE51" s="68">
        <f>(AB51*$AE$47)/(2.65*(AD51)^(1/5))</f>
        <v>3.1361218888444031</v>
      </c>
      <c r="AF51" s="29"/>
      <c r="AG51" s="66"/>
    </row>
    <row r="52" spans="1:34" ht="24.9" customHeight="1" x14ac:dyDescent="0.25">
      <c r="A52" s="5"/>
      <c r="B52" s="44">
        <v>2</v>
      </c>
      <c r="C52" s="170" t="s">
        <v>70</v>
      </c>
      <c r="D52" s="171"/>
      <c r="E52" s="135">
        <v>7.5</v>
      </c>
      <c r="F52" s="136">
        <v>9.6</v>
      </c>
      <c r="G52" s="137">
        <v>12.4</v>
      </c>
      <c r="H52" s="137">
        <v>16.2</v>
      </c>
      <c r="I52" s="137">
        <v>21.2</v>
      </c>
      <c r="J52" s="137">
        <v>29.6</v>
      </c>
      <c r="K52" s="137">
        <v>41.5</v>
      </c>
      <c r="L52" s="137">
        <v>49.4</v>
      </c>
      <c r="M52" s="137">
        <v>58.1</v>
      </c>
      <c r="N52" s="137">
        <v>70.400000000000006</v>
      </c>
      <c r="O52" s="137">
        <v>84.6</v>
      </c>
      <c r="P52" s="137">
        <v>93.6</v>
      </c>
      <c r="Q52" s="137">
        <v>100</v>
      </c>
      <c r="R52" s="137"/>
      <c r="S52" s="143"/>
      <c r="T52" s="143"/>
      <c r="U52" s="166">
        <v>174</v>
      </c>
      <c r="V52" s="167"/>
      <c r="W52" s="168">
        <v>4.8499999999999996</v>
      </c>
      <c r="X52" s="169"/>
      <c r="Y52" s="247">
        <f>IF(W52&lt;&gt;0,AE52,"")</f>
        <v>3.042699573193314</v>
      </c>
      <c r="Z52" s="248"/>
      <c r="AA52" s="80"/>
      <c r="AB52" s="220">
        <f>(100*W52)/(100-W52)</f>
        <v>5.0972149238045183</v>
      </c>
      <c r="AC52" s="221"/>
      <c r="AD52" s="67">
        <f t="shared" ref="AD52:AD58" si="0">(0.25*(100-O52)+2.3*(O52-H52)+12*(H52-E52)+150*(E52))/100</f>
        <v>13.9057</v>
      </c>
      <c r="AE52" s="68">
        <f t="shared" ref="AE52:AE58" si="1">(AB52*$AE$47)/(2.65*(AD52)^(1/5))</f>
        <v>3.042699573193314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7.3</v>
      </c>
      <c r="F57" s="102">
        <f t="shared" si="3"/>
        <v>9.35</v>
      </c>
      <c r="G57" s="102">
        <f t="shared" si="3"/>
        <v>12.15</v>
      </c>
      <c r="H57" s="102">
        <f t="shared" si="3"/>
        <v>15.85</v>
      </c>
      <c r="I57" s="102">
        <f t="shared" si="3"/>
        <v>20.799999999999997</v>
      </c>
      <c r="J57" s="102">
        <f t="shared" si="3"/>
        <v>28.9</v>
      </c>
      <c r="K57" s="102">
        <f t="shared" si="3"/>
        <v>40.35</v>
      </c>
      <c r="L57" s="102">
        <f t="shared" si="3"/>
        <v>49.9</v>
      </c>
      <c r="M57" s="102">
        <f t="shared" si="3"/>
        <v>58.900000000000006</v>
      </c>
      <c r="N57" s="102">
        <f t="shared" si="3"/>
        <v>71.050000000000011</v>
      </c>
      <c r="O57" s="102">
        <f t="shared" si="3"/>
        <v>85.15</v>
      </c>
      <c r="P57" s="102">
        <f t="shared" si="3"/>
        <v>94</v>
      </c>
      <c r="Q57" s="116">
        <f t="shared" si="3"/>
        <v>100</v>
      </c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164.5</v>
      </c>
      <c r="V57" s="216"/>
      <c r="W57" s="217">
        <f>IF(W51&lt;&gt;0,AVERAGE(W51:X54),"")</f>
        <v>4.9000000000000004</v>
      </c>
      <c r="X57" s="218"/>
      <c r="Y57" s="217">
        <f>IF(W51&lt;&gt;0,AVERAGE(Y51:Z54),"")</f>
        <v>3.0894107310188588</v>
      </c>
      <c r="Z57" s="219"/>
      <c r="AA57" s="66"/>
      <c r="AB57" s="220">
        <f>(100*W57)/(100-W57)</f>
        <v>5.152471083070453</v>
      </c>
      <c r="AC57" s="221"/>
      <c r="AD57" s="67">
        <f t="shared" si="0"/>
        <v>13.607025</v>
      </c>
      <c r="AE57" s="68">
        <f t="shared" si="1"/>
        <v>3.0890691146411573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7.1</v>
      </c>
      <c r="F58" s="104">
        <v>9</v>
      </c>
      <c r="G58" s="104">
        <v>12</v>
      </c>
      <c r="H58" s="104">
        <v>15</v>
      </c>
      <c r="I58" s="104">
        <v>22</v>
      </c>
      <c r="J58" s="104">
        <v>32</v>
      </c>
      <c r="K58" s="104">
        <v>47</v>
      </c>
      <c r="L58" s="104">
        <v>55</v>
      </c>
      <c r="M58" s="104">
        <v>63</v>
      </c>
      <c r="N58" s="104">
        <v>73</v>
      </c>
      <c r="O58" s="110">
        <v>89</v>
      </c>
      <c r="P58" s="104">
        <v>97</v>
      </c>
      <c r="Q58" s="110">
        <v>100</v>
      </c>
      <c r="R58" s="104"/>
      <c r="S58" s="104"/>
      <c r="T58" s="105"/>
      <c r="U58" s="225"/>
      <c r="V58" s="226"/>
      <c r="W58" s="227">
        <v>5.3</v>
      </c>
      <c r="X58" s="228"/>
      <c r="Y58" s="229">
        <f>AE58</f>
        <v>3.3693090702590025</v>
      </c>
      <c r="Z58" s="230"/>
      <c r="AA58" s="66"/>
      <c r="AB58" s="220">
        <f>(100*W58)/(100-W58)</f>
        <v>5.5966209081309399</v>
      </c>
      <c r="AC58" s="221"/>
      <c r="AD58" s="67">
        <f t="shared" si="0"/>
        <v>13.327500000000001</v>
      </c>
      <c r="AE58" s="68">
        <f t="shared" si="1"/>
        <v>3.3693090702590025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9.1</v>
      </c>
      <c r="F59" s="96"/>
      <c r="G59" s="96"/>
      <c r="H59" s="96"/>
      <c r="I59" s="96"/>
      <c r="J59" s="96">
        <f>J58+6</f>
        <v>38</v>
      </c>
      <c r="K59" s="96"/>
      <c r="L59" s="96">
        <f>L58+7</f>
        <v>62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5.8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5.0999999999999996</v>
      </c>
      <c r="F60" s="106"/>
      <c r="G60" s="107"/>
      <c r="H60" s="107"/>
      <c r="I60" s="107"/>
      <c r="J60" s="106">
        <f>J58-6</f>
        <v>26</v>
      </c>
      <c r="K60" s="107"/>
      <c r="L60" s="106">
        <f>L58-7</f>
        <v>48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4.8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 t="s">
        <v>120</v>
      </c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A69:Q72"/>
    <mergeCell ref="R69:T72"/>
    <mergeCell ref="U69:Z72"/>
    <mergeCell ref="U51:V51"/>
    <mergeCell ref="W51:X51"/>
    <mergeCell ref="C52:D52"/>
    <mergeCell ref="U52:V52"/>
    <mergeCell ref="W52:X52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DE6A-CDA4-4D6F-9CC0-9694A5E7111F}">
  <sheetPr>
    <pageSetUpPr fitToPage="1"/>
  </sheetPr>
  <dimension ref="A1:AN72"/>
  <sheetViews>
    <sheetView zoomScaleNormal="100" workbookViewId="0">
      <selection activeCell="U69" sqref="U69:Z7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91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17</v>
      </c>
      <c r="K5" s="319"/>
      <c r="L5" s="320" t="s">
        <v>51</v>
      </c>
      <c r="M5" s="318"/>
      <c r="N5" s="318"/>
      <c r="O5" s="319"/>
      <c r="P5" s="321">
        <v>45849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45849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118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45848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116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113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114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2.758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24" t="s">
        <v>117</v>
      </c>
      <c r="D51" s="325"/>
      <c r="E51" s="127">
        <v>7.3</v>
      </c>
      <c r="F51" s="128">
        <v>9.4</v>
      </c>
      <c r="G51" s="129">
        <v>11.9</v>
      </c>
      <c r="H51" s="129">
        <v>15.4</v>
      </c>
      <c r="I51" s="129">
        <v>20.9</v>
      </c>
      <c r="J51" s="129">
        <v>30.6</v>
      </c>
      <c r="K51" s="129">
        <v>43.5</v>
      </c>
      <c r="L51" s="129">
        <v>62.7</v>
      </c>
      <c r="M51" s="129">
        <v>80</v>
      </c>
      <c r="N51" s="129">
        <v>95.8</v>
      </c>
      <c r="O51" s="129">
        <v>100</v>
      </c>
      <c r="P51" s="129"/>
      <c r="Q51" s="129"/>
      <c r="R51" s="129"/>
      <c r="S51" s="117"/>
      <c r="T51" s="117"/>
      <c r="U51" s="326">
        <v>170</v>
      </c>
      <c r="V51" s="327"/>
      <c r="W51" s="328">
        <v>5.12</v>
      </c>
      <c r="X51" s="329"/>
      <c r="Y51" s="258">
        <f>IF(W51&lt;&gt;0,AE51,"")</f>
        <v>3.3192667760745422</v>
      </c>
      <c r="Z51" s="259"/>
      <c r="AA51" s="80"/>
      <c r="AB51" s="220">
        <f>(100*W51)/(100-W51)</f>
        <v>5.3962900505902196</v>
      </c>
      <c r="AC51" s="221"/>
      <c r="AD51" s="67">
        <f>(0.25*(100-O51)+2.3*(O51-H51)+12*(H51-E51)+150*(E51))/100</f>
        <v>13.867799999999999</v>
      </c>
      <c r="AE51" s="68">
        <f>(AB51*$AE$47)/(2.65*(AD51)^(1/5))</f>
        <v>3.3192667760745422</v>
      </c>
      <c r="AF51" s="29"/>
      <c r="AG51" s="66"/>
    </row>
    <row r="52" spans="1:34" ht="24.9" customHeight="1" x14ac:dyDescent="0.25">
      <c r="A52" s="5"/>
      <c r="B52" s="44">
        <v>2</v>
      </c>
      <c r="C52" s="241"/>
      <c r="D52" s="242"/>
      <c r="E52" s="139"/>
      <c r="F52" s="140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4"/>
      <c r="R52" s="141"/>
      <c r="S52" s="142"/>
      <c r="T52" s="142"/>
      <c r="U52" s="243"/>
      <c r="V52" s="244"/>
      <c r="W52" s="245"/>
      <c r="X52" s="246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7.3</v>
      </c>
      <c r="F57" s="102">
        <f t="shared" si="3"/>
        <v>9.4</v>
      </c>
      <c r="G57" s="102">
        <f t="shared" si="3"/>
        <v>11.9</v>
      </c>
      <c r="H57" s="102">
        <f t="shared" si="3"/>
        <v>15.4</v>
      </c>
      <c r="I57" s="102">
        <f t="shared" si="3"/>
        <v>20.9</v>
      </c>
      <c r="J57" s="102">
        <f t="shared" si="3"/>
        <v>30.6</v>
      </c>
      <c r="K57" s="102">
        <f t="shared" si="3"/>
        <v>43.5</v>
      </c>
      <c r="L57" s="102">
        <f t="shared" si="3"/>
        <v>62.7</v>
      </c>
      <c r="M57" s="102">
        <f t="shared" si="3"/>
        <v>80</v>
      </c>
      <c r="N57" s="102">
        <f t="shared" si="3"/>
        <v>95.8</v>
      </c>
      <c r="O57" s="102">
        <f t="shared" si="3"/>
        <v>100</v>
      </c>
      <c r="P57" s="102"/>
      <c r="Q57" s="116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170</v>
      </c>
      <c r="V57" s="216"/>
      <c r="W57" s="217">
        <f>IF(W51&lt;&gt;0,AVERAGE(W51:X54),"")</f>
        <v>5.12</v>
      </c>
      <c r="X57" s="218"/>
      <c r="Y57" s="217">
        <f>IF(W51&lt;&gt;0,AVERAGE(Y51:Z54),"")</f>
        <v>3.3192667760745422</v>
      </c>
      <c r="Z57" s="219"/>
      <c r="AA57" s="66"/>
      <c r="AB57" s="220">
        <f>(100*W57)/(100-W57)</f>
        <v>5.3962900505902196</v>
      </c>
      <c r="AC57" s="221"/>
      <c r="AD57" s="67">
        <f t="shared" si="0"/>
        <v>13.867799999999999</v>
      </c>
      <c r="AE57" s="68">
        <f t="shared" si="1"/>
        <v>3.3192667760745422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7.1</v>
      </c>
      <c r="F58" s="104">
        <v>9</v>
      </c>
      <c r="G58" s="104">
        <v>11</v>
      </c>
      <c r="H58" s="104">
        <v>14</v>
      </c>
      <c r="I58" s="104">
        <v>20</v>
      </c>
      <c r="J58" s="104">
        <v>30</v>
      </c>
      <c r="K58" s="104">
        <v>43</v>
      </c>
      <c r="L58" s="104">
        <v>62</v>
      </c>
      <c r="M58" s="104">
        <v>78</v>
      </c>
      <c r="N58" s="104">
        <v>94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3.5323832409736107</v>
      </c>
      <c r="Z58" s="230"/>
      <c r="AA58" s="66"/>
      <c r="AB58" s="220">
        <f>(100*W58)/(100-W58)</f>
        <v>5.7082452431289648</v>
      </c>
      <c r="AC58" s="221"/>
      <c r="AD58" s="67">
        <f t="shared" si="0"/>
        <v>13.456</v>
      </c>
      <c r="AE58" s="68">
        <f t="shared" si="1"/>
        <v>3.5323832409736107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9.1</v>
      </c>
      <c r="F59" s="96"/>
      <c r="G59" s="96"/>
      <c r="H59" s="96"/>
      <c r="I59" s="96"/>
      <c r="J59" s="96">
        <f>J58+6</f>
        <v>36</v>
      </c>
      <c r="K59" s="96"/>
      <c r="L59" s="96">
        <f>L58+7</f>
        <v>69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5.0999999999999996</v>
      </c>
      <c r="F60" s="106"/>
      <c r="G60" s="107"/>
      <c r="H60" s="107"/>
      <c r="I60" s="107"/>
      <c r="J60" s="106">
        <f>J58-6</f>
        <v>24</v>
      </c>
      <c r="K60" s="107"/>
      <c r="L60" s="106">
        <f>L58-7</f>
        <v>55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U69:Z72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5C76-818F-4A6E-896D-D4A8589EADFA}">
  <sheetPr>
    <pageSetUpPr fitToPage="1"/>
  </sheetPr>
  <dimension ref="A1:AN72"/>
  <sheetViews>
    <sheetView topLeftCell="A44" zoomScaleNormal="100" workbookViewId="0">
      <selection activeCell="AC69" sqref="AC6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91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16</v>
      </c>
      <c r="K5" s="319"/>
      <c r="L5" s="320" t="s">
        <v>51</v>
      </c>
      <c r="M5" s="318"/>
      <c r="N5" s="318"/>
      <c r="O5" s="319"/>
      <c r="P5" s="321">
        <v>45849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45849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104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45848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143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110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111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2.7320000000000002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24" t="s">
        <v>115</v>
      </c>
      <c r="D51" s="325"/>
      <c r="E51" s="127">
        <v>7.8</v>
      </c>
      <c r="F51" s="128">
        <v>10</v>
      </c>
      <c r="G51" s="129">
        <v>12.7</v>
      </c>
      <c r="H51" s="129">
        <v>16.3</v>
      </c>
      <c r="I51" s="129">
        <v>21.7</v>
      </c>
      <c r="J51" s="129">
        <v>31</v>
      </c>
      <c r="K51" s="129">
        <v>44.2</v>
      </c>
      <c r="L51" s="129">
        <v>60.8</v>
      </c>
      <c r="M51" s="129">
        <v>71.900000000000006</v>
      </c>
      <c r="N51" s="129">
        <v>84.6</v>
      </c>
      <c r="O51" s="129">
        <v>93</v>
      </c>
      <c r="P51" s="129">
        <v>97</v>
      </c>
      <c r="Q51" s="129">
        <v>100</v>
      </c>
      <c r="R51" s="129"/>
      <c r="S51" s="117"/>
      <c r="T51" s="117"/>
      <c r="U51" s="326">
        <v>172</v>
      </c>
      <c r="V51" s="327"/>
      <c r="W51" s="328">
        <v>5.0999999999999996</v>
      </c>
      <c r="X51" s="329"/>
      <c r="Y51" s="258">
        <f>IF(W51&lt;&gt;0,AE51,"")</f>
        <v>3.2453056090963619</v>
      </c>
      <c r="Z51" s="259"/>
      <c r="AA51" s="80"/>
      <c r="AB51" s="220">
        <f>(100*W51)/(100-W51)</f>
        <v>5.3740779768177021</v>
      </c>
      <c r="AC51" s="221"/>
      <c r="AD51" s="67">
        <f>(0.25*(100-O51)+2.3*(O51-H51)+12*(H51-E51)+150*(E51))/100</f>
        <v>14.501599999999998</v>
      </c>
      <c r="AE51" s="68">
        <f>(AB51*$AE$47)/(2.65*(AD51)^(1/5))</f>
        <v>3.2453056090963619</v>
      </c>
      <c r="AF51" s="29"/>
      <c r="AG51" s="66"/>
    </row>
    <row r="52" spans="1:34" ht="24.9" customHeight="1" x14ac:dyDescent="0.25">
      <c r="A52" s="5"/>
      <c r="B52" s="44">
        <v>2</v>
      </c>
      <c r="C52" s="324" t="s">
        <v>116</v>
      </c>
      <c r="D52" s="325"/>
      <c r="E52" s="127">
        <v>8</v>
      </c>
      <c r="F52" s="128">
        <v>10.199999999999999</v>
      </c>
      <c r="G52" s="129">
        <v>12.9</v>
      </c>
      <c r="H52" s="129">
        <v>16.600000000000001</v>
      </c>
      <c r="I52" s="129">
        <v>22.4</v>
      </c>
      <c r="J52" s="129">
        <v>33</v>
      </c>
      <c r="K52" s="129">
        <v>48.6</v>
      </c>
      <c r="L52" s="129">
        <v>66.7</v>
      </c>
      <c r="M52" s="129">
        <v>76.400000000000006</v>
      </c>
      <c r="N52" s="129">
        <v>85.4</v>
      </c>
      <c r="O52" s="129">
        <v>93.6</v>
      </c>
      <c r="P52" s="129">
        <v>97.9</v>
      </c>
      <c r="Q52" s="129">
        <v>100</v>
      </c>
      <c r="R52" s="129"/>
      <c r="S52" s="117"/>
      <c r="T52" s="117"/>
      <c r="U52" s="326">
        <v>180</v>
      </c>
      <c r="V52" s="327"/>
      <c r="W52" s="328">
        <v>5.17</v>
      </c>
      <c r="X52" s="329"/>
      <c r="Y52" s="247">
        <f>IF(W52&lt;&gt;0,AE52,"")</f>
        <v>3.2780519657590466</v>
      </c>
      <c r="Z52" s="248"/>
      <c r="AA52" s="80"/>
      <c r="AB52" s="220">
        <f>(100*W52)/(100-W52)</f>
        <v>5.4518612253506271</v>
      </c>
      <c r="AC52" s="221"/>
      <c r="AD52" s="67">
        <f t="shared" ref="AD52:AD58" si="0">(0.25*(100-O52)+2.3*(O52-H52)+12*(H52-E52)+150*(E52))/100</f>
        <v>14.819000000000001</v>
      </c>
      <c r="AE52" s="68">
        <f t="shared" ref="AE52:AE58" si="1">(AB52*$AE$47)/(2.65*(AD52)^(1/5))</f>
        <v>3.2780519657590466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7.9</v>
      </c>
      <c r="F57" s="102">
        <f t="shared" si="3"/>
        <v>10.1</v>
      </c>
      <c r="G57" s="102">
        <f t="shared" si="3"/>
        <v>12.8</v>
      </c>
      <c r="H57" s="102">
        <f t="shared" si="3"/>
        <v>16.450000000000003</v>
      </c>
      <c r="I57" s="102">
        <f t="shared" si="3"/>
        <v>22.049999999999997</v>
      </c>
      <c r="J57" s="102">
        <f t="shared" si="3"/>
        <v>32</v>
      </c>
      <c r="K57" s="102">
        <f t="shared" si="3"/>
        <v>46.400000000000006</v>
      </c>
      <c r="L57" s="102">
        <f t="shared" si="3"/>
        <v>63.75</v>
      </c>
      <c r="M57" s="102">
        <f t="shared" si="3"/>
        <v>74.150000000000006</v>
      </c>
      <c r="N57" s="102">
        <f t="shared" si="3"/>
        <v>85</v>
      </c>
      <c r="O57" s="102">
        <f t="shared" si="3"/>
        <v>93.3</v>
      </c>
      <c r="P57" s="102">
        <f t="shared" si="3"/>
        <v>97.45</v>
      </c>
      <c r="Q57" s="116">
        <f t="shared" si="3"/>
        <v>100</v>
      </c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176</v>
      </c>
      <c r="V57" s="216"/>
      <c r="W57" s="217">
        <f>IF(W51&lt;&gt;0,AVERAGE(W51:X54),"")</f>
        <v>5.1349999999999998</v>
      </c>
      <c r="X57" s="218"/>
      <c r="Y57" s="217">
        <f>IF(W51&lt;&gt;0,AVERAGE(Y51:Z54),"")</f>
        <v>3.2616787874277042</v>
      </c>
      <c r="Z57" s="219"/>
      <c r="AA57" s="66"/>
      <c r="AB57" s="220">
        <f>(100*W57)/(100-W57)</f>
        <v>5.4129552522004953</v>
      </c>
      <c r="AC57" s="221"/>
      <c r="AD57" s="67">
        <f t="shared" si="0"/>
        <v>14.660299999999999</v>
      </c>
      <c r="AE57" s="68">
        <f t="shared" si="1"/>
        <v>3.2616750118593867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</v>
      </c>
      <c r="F58" s="104">
        <v>9</v>
      </c>
      <c r="G58" s="104">
        <v>12</v>
      </c>
      <c r="H58" s="104">
        <v>16</v>
      </c>
      <c r="I58" s="104">
        <v>21</v>
      </c>
      <c r="J58" s="104">
        <v>31</v>
      </c>
      <c r="K58" s="104">
        <v>45</v>
      </c>
      <c r="L58" s="104">
        <v>61</v>
      </c>
      <c r="M58" s="104">
        <v>70</v>
      </c>
      <c r="N58" s="104">
        <v>79</v>
      </c>
      <c r="O58" s="110">
        <v>91</v>
      </c>
      <c r="P58" s="104">
        <v>97</v>
      </c>
      <c r="Q58" s="110">
        <v>100</v>
      </c>
      <c r="R58" s="104"/>
      <c r="S58" s="104"/>
      <c r="T58" s="105"/>
      <c r="U58" s="225"/>
      <c r="V58" s="226"/>
      <c r="W58" s="227">
        <v>5.2</v>
      </c>
      <c r="X58" s="228"/>
      <c r="Y58" s="229">
        <f>AE58</f>
        <v>3.3688377045495161</v>
      </c>
      <c r="Z58" s="230"/>
      <c r="AA58" s="66"/>
      <c r="AB58" s="220">
        <f>(100*W58)/(100-W58)</f>
        <v>5.485232067510549</v>
      </c>
      <c r="AC58" s="221"/>
      <c r="AD58" s="67">
        <f t="shared" si="0"/>
        <v>13.327500000000001</v>
      </c>
      <c r="AE58" s="68">
        <f t="shared" si="1"/>
        <v>3.3688377045495161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</v>
      </c>
      <c r="F59" s="96"/>
      <c r="G59" s="96"/>
      <c r="H59" s="96"/>
      <c r="I59" s="96"/>
      <c r="J59" s="96">
        <f>J58+6</f>
        <v>37</v>
      </c>
      <c r="K59" s="96"/>
      <c r="L59" s="96">
        <f>L58+7</f>
        <v>68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5.7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</v>
      </c>
      <c r="F60" s="106"/>
      <c r="G60" s="107"/>
      <c r="H60" s="107"/>
      <c r="I60" s="107"/>
      <c r="J60" s="106">
        <f>J58-6</f>
        <v>25</v>
      </c>
      <c r="K60" s="107"/>
      <c r="L60" s="106">
        <f>L58-7</f>
        <v>54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4.7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 t="s">
        <v>109</v>
      </c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U69:Z72"/>
    <mergeCell ref="U51:V51"/>
    <mergeCell ref="W51:X51"/>
    <mergeCell ref="C52:D52"/>
    <mergeCell ref="U52:V52"/>
    <mergeCell ref="W52:X52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15BE-A950-44C2-9EA7-5CEAC79843A5}">
  <sheetPr>
    <pageSetUpPr fitToPage="1"/>
  </sheetPr>
  <dimension ref="A1:AN72"/>
  <sheetViews>
    <sheetView topLeftCell="A7" zoomScaleNormal="100" workbookViewId="0">
      <selection activeCell="C51" sqref="C51:X5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91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15</v>
      </c>
      <c r="K5" s="319"/>
      <c r="L5" s="320" t="s">
        <v>51</v>
      </c>
      <c r="M5" s="318"/>
      <c r="N5" s="318"/>
      <c r="O5" s="319"/>
      <c r="P5" s="321">
        <v>45849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45849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104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45848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110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84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85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2.6469999999999998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24" t="s">
        <v>112</v>
      </c>
      <c r="D51" s="325"/>
      <c r="E51" s="127">
        <v>6.8</v>
      </c>
      <c r="F51" s="128">
        <v>8.8000000000000007</v>
      </c>
      <c r="G51" s="129">
        <v>11.8</v>
      </c>
      <c r="H51" s="129">
        <v>15.5</v>
      </c>
      <c r="I51" s="129">
        <v>20.399999999999999</v>
      </c>
      <c r="J51" s="129">
        <v>29.6</v>
      </c>
      <c r="K51" s="129">
        <v>45.3</v>
      </c>
      <c r="L51" s="129">
        <v>60.8</v>
      </c>
      <c r="M51" s="129">
        <v>75.7</v>
      </c>
      <c r="N51" s="129">
        <v>93.3</v>
      </c>
      <c r="O51" s="129">
        <v>100</v>
      </c>
      <c r="P51" s="129"/>
      <c r="Q51" s="129"/>
      <c r="R51" s="129"/>
      <c r="S51" s="117"/>
      <c r="T51" s="117"/>
      <c r="U51" s="326">
        <v>170</v>
      </c>
      <c r="V51" s="327"/>
      <c r="W51" s="328">
        <v>5.26</v>
      </c>
      <c r="X51" s="329"/>
      <c r="Y51" s="258">
        <f>IF(W51&lt;&gt;0,AE51,"")</f>
        <v>3.3107618075352896</v>
      </c>
      <c r="Z51" s="259"/>
      <c r="AA51" s="80"/>
      <c r="AB51" s="220">
        <f>(100*W51)/(100-W51)</f>
        <v>5.5520371543170786</v>
      </c>
      <c r="AC51" s="221"/>
      <c r="AD51" s="67">
        <f>(0.25*(100-O51)+2.3*(O51-H51)+12*(H51-E51)+150*(E51))/100</f>
        <v>13.1875</v>
      </c>
      <c r="AE51" s="68">
        <f>(AB51*$AE$47)/(2.65*(AD51)^(1/5))</f>
        <v>3.3107618075352896</v>
      </c>
      <c r="AF51" s="29"/>
      <c r="AG51" s="66"/>
    </row>
    <row r="52" spans="1:34" ht="24.9" customHeight="1" x14ac:dyDescent="0.25">
      <c r="A52" s="5"/>
      <c r="B52" s="44">
        <v>2</v>
      </c>
      <c r="C52" s="241"/>
      <c r="D52" s="242"/>
      <c r="E52" s="139"/>
      <c r="F52" s="140"/>
      <c r="G52" s="141"/>
      <c r="H52" s="141"/>
      <c r="I52" s="141"/>
      <c r="J52" s="141"/>
      <c r="K52" s="141"/>
      <c r="L52" s="141"/>
      <c r="M52" s="141"/>
      <c r="N52" s="141"/>
      <c r="O52" s="144"/>
      <c r="P52" s="141"/>
      <c r="Q52" s="141"/>
      <c r="R52" s="141"/>
      <c r="S52" s="142"/>
      <c r="T52" s="142"/>
      <c r="U52" s="243"/>
      <c r="V52" s="244"/>
      <c r="W52" s="245"/>
      <c r="X52" s="246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6.8</v>
      </c>
      <c r="F57" s="102">
        <f t="shared" si="3"/>
        <v>8.8000000000000007</v>
      </c>
      <c r="G57" s="102">
        <f t="shared" si="3"/>
        <v>11.8</v>
      </c>
      <c r="H57" s="102">
        <f t="shared" si="3"/>
        <v>15.5</v>
      </c>
      <c r="I57" s="102">
        <f t="shared" si="3"/>
        <v>20.399999999999999</v>
      </c>
      <c r="J57" s="102">
        <f t="shared" si="3"/>
        <v>29.6</v>
      </c>
      <c r="K57" s="102">
        <f t="shared" si="3"/>
        <v>45.3</v>
      </c>
      <c r="L57" s="102">
        <f t="shared" si="3"/>
        <v>60.8</v>
      </c>
      <c r="M57" s="102">
        <f t="shared" si="3"/>
        <v>75.7</v>
      </c>
      <c r="N57" s="102">
        <f t="shared" si="3"/>
        <v>93.3</v>
      </c>
      <c r="O57" s="116">
        <f t="shared" si="3"/>
        <v>100</v>
      </c>
      <c r="P57" s="102"/>
      <c r="Q57" s="102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170</v>
      </c>
      <c r="V57" s="216"/>
      <c r="W57" s="217">
        <f>IF(W51&lt;&gt;0,AVERAGE(W51:X54),"")</f>
        <v>5.26</v>
      </c>
      <c r="X57" s="218"/>
      <c r="Y57" s="217">
        <f>IF(W51&lt;&gt;0,AVERAGE(Y51:Z54),"")</f>
        <v>3.3107618075352896</v>
      </c>
      <c r="Z57" s="219"/>
      <c r="AA57" s="66"/>
      <c r="AB57" s="220">
        <f>(100*W57)/(100-W57)</f>
        <v>5.5520371543170786</v>
      </c>
      <c r="AC57" s="221"/>
      <c r="AD57" s="67">
        <f t="shared" si="0"/>
        <v>13.1875</v>
      </c>
      <c r="AE57" s="68">
        <f t="shared" si="1"/>
        <v>3.3107618075352896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6.5</v>
      </c>
      <c r="F58" s="104">
        <v>8</v>
      </c>
      <c r="G58" s="104">
        <v>11</v>
      </c>
      <c r="H58" s="104">
        <v>16</v>
      </c>
      <c r="I58" s="104">
        <v>21</v>
      </c>
      <c r="J58" s="104">
        <v>30</v>
      </c>
      <c r="K58" s="104">
        <v>44</v>
      </c>
      <c r="L58" s="104">
        <v>60</v>
      </c>
      <c r="M58" s="104">
        <v>76</v>
      </c>
      <c r="N58" s="104">
        <v>95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3.4230996041984052</v>
      </c>
      <c r="Z58" s="230"/>
      <c r="AA58" s="66"/>
      <c r="AB58" s="220">
        <f>(100*W58)/(100-W58)</f>
        <v>5.7082452431289648</v>
      </c>
      <c r="AC58" s="221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8.5</v>
      </c>
      <c r="F59" s="96"/>
      <c r="G59" s="96"/>
      <c r="H59" s="96"/>
      <c r="I59" s="96"/>
      <c r="J59" s="96">
        <f>J58+6</f>
        <v>36</v>
      </c>
      <c r="K59" s="96"/>
      <c r="L59" s="96">
        <f>L58+7</f>
        <v>67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4.5</v>
      </c>
      <c r="F60" s="106"/>
      <c r="G60" s="107"/>
      <c r="H60" s="107"/>
      <c r="I60" s="107"/>
      <c r="J60" s="106">
        <f>J58-6</f>
        <v>24</v>
      </c>
      <c r="K60" s="107"/>
      <c r="L60" s="106">
        <f>L58-7</f>
        <v>53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 t="s">
        <v>107</v>
      </c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U69:Z72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2F40-3D5A-4448-8013-D6E2B41CAA56}">
  <sheetPr>
    <pageSetUpPr fitToPage="1"/>
  </sheetPr>
  <dimension ref="A1:AN72"/>
  <sheetViews>
    <sheetView topLeftCell="A47" zoomScaleNormal="100" workbookViewId="0">
      <selection activeCell="AD19" sqref="AD1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91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14</v>
      </c>
      <c r="K5" s="319"/>
      <c r="L5" s="320" t="s">
        <v>51</v>
      </c>
      <c r="M5" s="318"/>
      <c r="N5" s="318"/>
      <c r="O5" s="319"/>
      <c r="P5" s="321">
        <v>45849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45848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104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45847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110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84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85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2.6469999999999998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170" t="s">
        <v>108</v>
      </c>
      <c r="D51" s="171"/>
      <c r="E51" s="135">
        <v>7.1</v>
      </c>
      <c r="F51" s="136">
        <v>9</v>
      </c>
      <c r="G51" s="137">
        <v>11.9</v>
      </c>
      <c r="H51" s="137">
        <v>15.3</v>
      </c>
      <c r="I51" s="137">
        <v>20.100000000000001</v>
      </c>
      <c r="J51" s="137">
        <v>29</v>
      </c>
      <c r="K51" s="137">
        <v>44.1</v>
      </c>
      <c r="L51" s="137">
        <v>61.8</v>
      </c>
      <c r="M51" s="137">
        <v>77.7</v>
      </c>
      <c r="N51" s="137">
        <v>93.8</v>
      </c>
      <c r="O51" s="138">
        <v>100</v>
      </c>
      <c r="P51" s="137"/>
      <c r="Q51" s="137"/>
      <c r="R51" s="137"/>
      <c r="S51" s="143"/>
      <c r="T51" s="143"/>
      <c r="U51" s="166">
        <v>172</v>
      </c>
      <c r="V51" s="167"/>
      <c r="W51" s="168">
        <v>5.17</v>
      </c>
      <c r="X51" s="169"/>
      <c r="Y51" s="258">
        <f>IF(W51&lt;&gt;0,AE51,"")</f>
        <v>3.2319116135413997</v>
      </c>
      <c r="Z51" s="259"/>
      <c r="AA51" s="80"/>
      <c r="AB51" s="220">
        <f>(100*W51)/(100-W51)</f>
        <v>5.4518612253506271</v>
      </c>
      <c r="AC51" s="221"/>
      <c r="AD51" s="67">
        <f>(0.25*(100-O51)+2.3*(O51-H51)+12*(H51-E51)+150*(E51))/100</f>
        <v>13.582100000000001</v>
      </c>
      <c r="AE51" s="68">
        <f>(AB51*$AE$47)/(2.65*(AD51)^(1/5))</f>
        <v>3.2319116135413997</v>
      </c>
      <c r="AF51" s="29"/>
      <c r="AG51" s="66"/>
    </row>
    <row r="52" spans="1:34" ht="24.9" customHeight="1" x14ac:dyDescent="0.25">
      <c r="A52" s="5"/>
      <c r="B52" s="44">
        <v>2</v>
      </c>
      <c r="C52" s="241"/>
      <c r="D52" s="242"/>
      <c r="E52" s="139"/>
      <c r="F52" s="140"/>
      <c r="G52" s="141"/>
      <c r="H52" s="141"/>
      <c r="I52" s="141"/>
      <c r="J52" s="141"/>
      <c r="K52" s="141"/>
      <c r="L52" s="141"/>
      <c r="M52" s="141"/>
      <c r="N52" s="141"/>
      <c r="O52" s="144"/>
      <c r="P52" s="141"/>
      <c r="Q52" s="141"/>
      <c r="R52" s="141"/>
      <c r="S52" s="142"/>
      <c r="T52" s="142"/>
      <c r="U52" s="243"/>
      <c r="V52" s="244"/>
      <c r="W52" s="245"/>
      <c r="X52" s="246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7.1</v>
      </c>
      <c r="F57" s="102">
        <f t="shared" si="3"/>
        <v>9</v>
      </c>
      <c r="G57" s="102">
        <f t="shared" si="3"/>
        <v>11.9</v>
      </c>
      <c r="H57" s="102">
        <f t="shared" si="3"/>
        <v>15.3</v>
      </c>
      <c r="I57" s="102">
        <f t="shared" si="3"/>
        <v>20.100000000000001</v>
      </c>
      <c r="J57" s="102">
        <f t="shared" si="3"/>
        <v>29</v>
      </c>
      <c r="K57" s="102">
        <f t="shared" si="3"/>
        <v>44.1</v>
      </c>
      <c r="L57" s="102">
        <f t="shared" si="3"/>
        <v>61.8</v>
      </c>
      <c r="M57" s="102">
        <f t="shared" si="3"/>
        <v>77.7</v>
      </c>
      <c r="N57" s="102">
        <f t="shared" si="3"/>
        <v>93.8</v>
      </c>
      <c r="O57" s="116">
        <f t="shared" si="3"/>
        <v>100</v>
      </c>
      <c r="P57" s="102"/>
      <c r="Q57" s="102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172</v>
      </c>
      <c r="V57" s="216"/>
      <c r="W57" s="217">
        <f>IF(W51&lt;&gt;0,AVERAGE(W51:X54),"")</f>
        <v>5.17</v>
      </c>
      <c r="X57" s="218"/>
      <c r="Y57" s="217">
        <f>IF(W51&lt;&gt;0,AVERAGE(Y51:Z54),"")</f>
        <v>3.2319116135413997</v>
      </c>
      <c r="Z57" s="219"/>
      <c r="AA57" s="66"/>
      <c r="AB57" s="220">
        <f>(100*W57)/(100-W57)</f>
        <v>5.4518612253506271</v>
      </c>
      <c r="AC57" s="221"/>
      <c r="AD57" s="67">
        <f t="shared" si="0"/>
        <v>13.582100000000001</v>
      </c>
      <c r="AE57" s="68">
        <f t="shared" si="1"/>
        <v>3.2319116135413997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6.5</v>
      </c>
      <c r="F58" s="104">
        <v>8</v>
      </c>
      <c r="G58" s="104">
        <v>11</v>
      </c>
      <c r="H58" s="104">
        <v>16</v>
      </c>
      <c r="I58" s="104">
        <v>21</v>
      </c>
      <c r="J58" s="104">
        <v>30</v>
      </c>
      <c r="K58" s="104">
        <v>44</v>
      </c>
      <c r="L58" s="104">
        <v>60</v>
      </c>
      <c r="M58" s="104">
        <v>76</v>
      </c>
      <c r="N58" s="104">
        <v>95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3.4230996041984052</v>
      </c>
      <c r="Z58" s="230"/>
      <c r="AA58" s="66"/>
      <c r="AB58" s="220">
        <f>(100*W58)/(100-W58)</f>
        <v>5.7082452431289648</v>
      </c>
      <c r="AC58" s="221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8.5</v>
      </c>
      <c r="F59" s="96"/>
      <c r="G59" s="96"/>
      <c r="H59" s="96"/>
      <c r="I59" s="96"/>
      <c r="J59" s="96">
        <f>J58+6</f>
        <v>36</v>
      </c>
      <c r="K59" s="96"/>
      <c r="L59" s="96">
        <f>L58+7</f>
        <v>67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4.5</v>
      </c>
      <c r="F60" s="106"/>
      <c r="G60" s="107"/>
      <c r="H60" s="107"/>
      <c r="I60" s="107"/>
      <c r="J60" s="106">
        <f>J58-6</f>
        <v>24</v>
      </c>
      <c r="K60" s="107"/>
      <c r="L60" s="106">
        <f>L58-7</f>
        <v>53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 t="s">
        <v>107</v>
      </c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U69:Z72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28B3-4458-4B10-B332-567B2A982477}">
  <sheetPr>
    <pageSetUpPr fitToPage="1"/>
  </sheetPr>
  <dimension ref="A1:AN72"/>
  <sheetViews>
    <sheetView zoomScaleNormal="100" workbookViewId="0">
      <selection activeCell="U69" sqref="U69:Z7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91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13</v>
      </c>
      <c r="K5" s="319"/>
      <c r="L5" s="320" t="s">
        <v>51</v>
      </c>
      <c r="M5" s="318"/>
      <c r="N5" s="318"/>
      <c r="O5" s="319"/>
      <c r="P5" s="321">
        <v>45849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45848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104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45847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247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102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59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103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2.6779999999999999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241" t="s">
        <v>105</v>
      </c>
      <c r="D51" s="242"/>
      <c r="E51" s="139">
        <v>8</v>
      </c>
      <c r="F51" s="140">
        <v>10.199999999999999</v>
      </c>
      <c r="G51" s="141">
        <v>13.2</v>
      </c>
      <c r="H51" s="141">
        <v>17.3</v>
      </c>
      <c r="I51" s="141">
        <v>23.2</v>
      </c>
      <c r="J51" s="141">
        <v>33.700000000000003</v>
      </c>
      <c r="K51" s="141">
        <v>49.5</v>
      </c>
      <c r="L51" s="141">
        <v>59.4</v>
      </c>
      <c r="M51" s="141">
        <v>67.900000000000006</v>
      </c>
      <c r="N51" s="141">
        <v>78.7</v>
      </c>
      <c r="O51" s="141">
        <v>91</v>
      </c>
      <c r="P51" s="141">
        <v>95.6</v>
      </c>
      <c r="Q51" s="144">
        <v>100</v>
      </c>
      <c r="R51" s="141"/>
      <c r="S51" s="142"/>
      <c r="T51" s="142"/>
      <c r="U51" s="243">
        <v>162</v>
      </c>
      <c r="V51" s="244"/>
      <c r="W51" s="245">
        <v>5.1100000000000003</v>
      </c>
      <c r="X51" s="246"/>
      <c r="Y51" s="258">
        <f>IF(W51&lt;&gt;0,AE51,"")</f>
        <v>3.1733343988741312</v>
      </c>
      <c r="Z51" s="259"/>
      <c r="AA51" s="80"/>
      <c r="AB51" s="220">
        <f>(100*W51)/(100-W51)</f>
        <v>5.3851828432922337</v>
      </c>
      <c r="AC51" s="221"/>
      <c r="AD51" s="67">
        <f>(0.25*(100-O51)+2.3*(O51-H51)+12*(H51-E51)+150*(E51))/100</f>
        <v>14.833600000000001</v>
      </c>
      <c r="AE51" s="68">
        <f>(AB51*$AE$47)/(2.65*(AD51)^(1/5))</f>
        <v>3.1733343988741312</v>
      </c>
      <c r="AF51" s="29"/>
      <c r="AG51" s="66"/>
    </row>
    <row r="52" spans="1:34" ht="24.9" customHeight="1" x14ac:dyDescent="0.25">
      <c r="A52" s="5"/>
      <c r="B52" s="44">
        <v>2</v>
      </c>
      <c r="C52" s="241" t="s">
        <v>106</v>
      </c>
      <c r="D52" s="242"/>
      <c r="E52" s="139">
        <v>8.1</v>
      </c>
      <c r="F52" s="140">
        <v>10.3</v>
      </c>
      <c r="G52" s="141">
        <v>13.4</v>
      </c>
      <c r="H52" s="141">
        <v>17.399999999999999</v>
      </c>
      <c r="I52" s="141">
        <v>22.7</v>
      </c>
      <c r="J52" s="141">
        <v>32</v>
      </c>
      <c r="K52" s="141">
        <v>45.9</v>
      </c>
      <c r="L52" s="141">
        <v>55</v>
      </c>
      <c r="M52" s="141">
        <v>65.400000000000006</v>
      </c>
      <c r="N52" s="141">
        <v>76.8</v>
      </c>
      <c r="O52" s="141">
        <v>90</v>
      </c>
      <c r="P52" s="141">
        <v>94.5</v>
      </c>
      <c r="Q52" s="144">
        <v>100</v>
      </c>
      <c r="R52" s="141"/>
      <c r="S52" s="142"/>
      <c r="T52" s="142"/>
      <c r="U52" s="243">
        <v>159</v>
      </c>
      <c r="V52" s="244"/>
      <c r="W52" s="245">
        <v>4.96</v>
      </c>
      <c r="X52" s="246"/>
      <c r="Y52" s="247">
        <f>IF(W52&lt;&gt;0,AE52,"")</f>
        <v>3.0700749929475535</v>
      </c>
      <c r="Z52" s="248"/>
      <c r="AA52" s="80"/>
      <c r="AB52" s="220">
        <f>(100*W52)/(100-W52)</f>
        <v>5.2188552188552189</v>
      </c>
      <c r="AC52" s="221"/>
      <c r="AD52" s="67">
        <f t="shared" ref="AD52:AD58" si="0">(0.25*(100-O52)+2.3*(O52-H52)+12*(H52-E52)+150*(E52))/100</f>
        <v>14.960799999999999</v>
      </c>
      <c r="AE52" s="68">
        <f t="shared" ref="AE52:AE58" si="1">(AB52*$AE$47)/(2.65*(AD52)^(1/5))</f>
        <v>3.0700749929475535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8.0500000000000007</v>
      </c>
      <c r="F57" s="102">
        <f t="shared" si="3"/>
        <v>10.25</v>
      </c>
      <c r="G57" s="102">
        <f t="shared" si="3"/>
        <v>13.3</v>
      </c>
      <c r="H57" s="102">
        <f t="shared" si="3"/>
        <v>17.350000000000001</v>
      </c>
      <c r="I57" s="102">
        <f t="shared" si="3"/>
        <v>22.95</v>
      </c>
      <c r="J57" s="102">
        <f t="shared" si="3"/>
        <v>32.85</v>
      </c>
      <c r="K57" s="102">
        <f t="shared" si="3"/>
        <v>47.7</v>
      </c>
      <c r="L57" s="102">
        <f t="shared" si="3"/>
        <v>57.2</v>
      </c>
      <c r="M57" s="102">
        <f t="shared" si="3"/>
        <v>66.650000000000006</v>
      </c>
      <c r="N57" s="102">
        <f t="shared" si="3"/>
        <v>77.75</v>
      </c>
      <c r="O57" s="102">
        <f t="shared" si="3"/>
        <v>90.5</v>
      </c>
      <c r="P57" s="102">
        <f t="shared" si="3"/>
        <v>95.05</v>
      </c>
      <c r="Q57" s="116">
        <f t="shared" si="3"/>
        <v>100</v>
      </c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160.5</v>
      </c>
      <c r="V57" s="216"/>
      <c r="W57" s="217">
        <f>IF(W51&lt;&gt;0,AVERAGE(W51:X54),"")</f>
        <v>5.0350000000000001</v>
      </c>
      <c r="X57" s="218"/>
      <c r="Y57" s="217">
        <f>IF(W51&lt;&gt;0,AVERAGE(Y51:Z54),"")</f>
        <v>3.1217046959108421</v>
      </c>
      <c r="Z57" s="219"/>
      <c r="AA57" s="66"/>
      <c r="AB57" s="220">
        <f>(100*W57)/(100-W57)</f>
        <v>5.3019533512346655</v>
      </c>
      <c r="AC57" s="221"/>
      <c r="AD57" s="67">
        <f t="shared" si="0"/>
        <v>14.8972</v>
      </c>
      <c r="AE57" s="68">
        <f t="shared" si="1"/>
        <v>3.1216173895852233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7.1</v>
      </c>
      <c r="F58" s="104">
        <v>9</v>
      </c>
      <c r="G58" s="104">
        <v>12</v>
      </c>
      <c r="H58" s="104">
        <v>15</v>
      </c>
      <c r="I58" s="104">
        <v>22</v>
      </c>
      <c r="J58" s="104">
        <v>32</v>
      </c>
      <c r="K58" s="104">
        <v>47</v>
      </c>
      <c r="L58" s="104">
        <v>55</v>
      </c>
      <c r="M58" s="104">
        <v>63</v>
      </c>
      <c r="N58" s="104">
        <v>73</v>
      </c>
      <c r="O58" s="110">
        <v>89</v>
      </c>
      <c r="P58" s="104">
        <v>97</v>
      </c>
      <c r="Q58" s="110">
        <v>100</v>
      </c>
      <c r="R58" s="104"/>
      <c r="S58" s="104"/>
      <c r="T58" s="105"/>
      <c r="U58" s="225"/>
      <c r="V58" s="226"/>
      <c r="W58" s="227">
        <v>5.3</v>
      </c>
      <c r="X58" s="228"/>
      <c r="Y58" s="229">
        <f>AE58</f>
        <v>3.3693090702590025</v>
      </c>
      <c r="Z58" s="230"/>
      <c r="AA58" s="66"/>
      <c r="AB58" s="220">
        <f>(100*W58)/(100-W58)</f>
        <v>5.5966209081309399</v>
      </c>
      <c r="AC58" s="221"/>
      <c r="AD58" s="67">
        <f t="shared" si="0"/>
        <v>13.327500000000001</v>
      </c>
      <c r="AE58" s="68">
        <f t="shared" si="1"/>
        <v>3.3693090702590025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9.1</v>
      </c>
      <c r="F59" s="96"/>
      <c r="G59" s="96"/>
      <c r="H59" s="96"/>
      <c r="I59" s="96"/>
      <c r="J59" s="96">
        <f>J58+6</f>
        <v>38</v>
      </c>
      <c r="K59" s="96"/>
      <c r="L59" s="96">
        <f>L58+7</f>
        <v>62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5.8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5.0999999999999996</v>
      </c>
      <c r="F60" s="106"/>
      <c r="G60" s="107"/>
      <c r="H60" s="107"/>
      <c r="I60" s="107"/>
      <c r="J60" s="106">
        <f>J58-6</f>
        <v>26</v>
      </c>
      <c r="K60" s="107"/>
      <c r="L60" s="106">
        <f>L58-7</f>
        <v>48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4.8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 t="s">
        <v>107</v>
      </c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9:Q72"/>
    <mergeCell ref="R69:T72"/>
    <mergeCell ref="U69:Z72"/>
    <mergeCell ref="U63:Z63"/>
    <mergeCell ref="A64:Q64"/>
    <mergeCell ref="R64:T64"/>
    <mergeCell ref="U64:Z64"/>
    <mergeCell ref="A65:Q67"/>
    <mergeCell ref="R65:T68"/>
    <mergeCell ref="U65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5953-7328-4CF2-9D20-1C967B7B9159}">
  <sheetPr>
    <pageSetUpPr fitToPage="1"/>
  </sheetPr>
  <dimension ref="A1:AN72"/>
  <sheetViews>
    <sheetView zoomScaleNormal="100" workbookViewId="0">
      <selection activeCell="P51" sqref="P5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81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12</v>
      </c>
      <c r="K5" s="319"/>
      <c r="L5" s="320" t="s">
        <v>51</v>
      </c>
      <c r="M5" s="318"/>
      <c r="N5" s="318"/>
      <c r="O5" s="319"/>
      <c r="P5" s="321">
        <v>45335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330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 t="s">
        <v>99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100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 t="s">
        <v>99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110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82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83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2.6469999999999998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31" t="s">
        <v>101</v>
      </c>
      <c r="D51" s="332"/>
      <c r="E51" s="135">
        <v>8.1999999999999993</v>
      </c>
      <c r="F51" s="136">
        <v>10.4</v>
      </c>
      <c r="G51" s="137">
        <v>13.4</v>
      </c>
      <c r="H51" s="137">
        <v>17</v>
      </c>
      <c r="I51" s="137">
        <v>22.6</v>
      </c>
      <c r="J51" s="137">
        <v>33</v>
      </c>
      <c r="K51" s="137">
        <v>48.5</v>
      </c>
      <c r="L51" s="137">
        <v>65</v>
      </c>
      <c r="M51" s="137">
        <v>87</v>
      </c>
      <c r="N51" s="137">
        <v>97.5</v>
      </c>
      <c r="O51" s="138">
        <v>100</v>
      </c>
      <c r="P51" s="125"/>
      <c r="Q51" s="125"/>
      <c r="R51" s="125"/>
      <c r="S51" s="122"/>
      <c r="T51" s="122"/>
      <c r="U51" s="333">
        <v>170</v>
      </c>
      <c r="V51" s="334"/>
      <c r="W51" s="335">
        <v>5.16</v>
      </c>
      <c r="X51" s="336"/>
      <c r="Y51" s="258">
        <f>IF(W51&lt;&gt;0,AE51,"")</f>
        <v>3.1508437127593711</v>
      </c>
      <c r="Z51" s="259"/>
      <c r="AA51" s="80"/>
      <c r="AB51" s="220">
        <f>(100*W51)/(100-W51)</f>
        <v>5.4407423028258117</v>
      </c>
      <c r="AC51" s="221"/>
      <c r="AD51" s="67">
        <f>(0.25*(100-O51)+2.3*(O51-H51)+12*(H51-E51)+150*(E51))/100</f>
        <v>15.265000000000001</v>
      </c>
      <c r="AE51" s="68">
        <f>(AB51*$AE$47)/(2.65*(AD51)^(1/5))</f>
        <v>3.1508437127593711</v>
      </c>
      <c r="AF51" s="29"/>
      <c r="AG51" s="66"/>
    </row>
    <row r="52" spans="1:34" ht="24.9" customHeight="1" x14ac:dyDescent="0.25">
      <c r="A52" s="5"/>
      <c r="B52" s="44">
        <v>2</v>
      </c>
      <c r="C52" s="337"/>
      <c r="D52" s="332"/>
      <c r="E52" s="123"/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2"/>
      <c r="T52" s="122"/>
      <c r="U52" s="333"/>
      <c r="V52" s="334"/>
      <c r="W52" s="335"/>
      <c r="X52" s="336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96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00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8.1999999999999993</v>
      </c>
      <c r="F57" s="102">
        <f t="shared" si="3"/>
        <v>10.4</v>
      </c>
      <c r="G57" s="102">
        <f t="shared" si="3"/>
        <v>13.4</v>
      </c>
      <c r="H57" s="102">
        <f t="shared" si="3"/>
        <v>17</v>
      </c>
      <c r="I57" s="102">
        <f t="shared" si="3"/>
        <v>22.6</v>
      </c>
      <c r="J57" s="102">
        <f t="shared" si="3"/>
        <v>33</v>
      </c>
      <c r="K57" s="102">
        <f t="shared" si="3"/>
        <v>48.5</v>
      </c>
      <c r="L57" s="102">
        <f t="shared" si="3"/>
        <v>65</v>
      </c>
      <c r="M57" s="102">
        <f t="shared" si="3"/>
        <v>87</v>
      </c>
      <c r="N57" s="102">
        <f t="shared" si="3"/>
        <v>97.5</v>
      </c>
      <c r="O57" s="116">
        <f t="shared" si="3"/>
        <v>100</v>
      </c>
      <c r="P57" s="116"/>
      <c r="Q57" s="116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170</v>
      </c>
      <c r="V57" s="216"/>
      <c r="W57" s="217">
        <f>IF(W51&lt;&gt;0,AVERAGE(W51:X54),"")</f>
        <v>5.16</v>
      </c>
      <c r="X57" s="218"/>
      <c r="Y57" s="217">
        <f>IF(W51&lt;&gt;0,AVERAGE(Y51:Z54),"")</f>
        <v>3.1508437127593711</v>
      </c>
      <c r="Z57" s="219"/>
      <c r="AA57" s="66"/>
      <c r="AB57" s="220">
        <f>(100*W57)/(100-W57)</f>
        <v>5.4407423028258117</v>
      </c>
      <c r="AC57" s="221"/>
      <c r="AD57" s="67">
        <f t="shared" si="0"/>
        <v>15.265000000000001</v>
      </c>
      <c r="AE57" s="68">
        <f t="shared" si="1"/>
        <v>3.1508437127593711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6.5</v>
      </c>
      <c r="F58" s="104">
        <v>8</v>
      </c>
      <c r="G58" s="104">
        <v>11</v>
      </c>
      <c r="H58" s="104">
        <v>16</v>
      </c>
      <c r="I58" s="104">
        <v>21</v>
      </c>
      <c r="J58" s="104">
        <v>30</v>
      </c>
      <c r="K58" s="104">
        <v>44</v>
      </c>
      <c r="L58" s="104">
        <v>60</v>
      </c>
      <c r="M58" s="104">
        <v>76</v>
      </c>
      <c r="N58" s="104">
        <v>95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3.4230996041984052</v>
      </c>
      <c r="Z58" s="230"/>
      <c r="AA58" s="66"/>
      <c r="AB58" s="220">
        <f>(100*W58)/(100-W58)</f>
        <v>5.7082452431289648</v>
      </c>
      <c r="AC58" s="221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8.5</v>
      </c>
      <c r="F59" s="96"/>
      <c r="G59" s="96"/>
      <c r="H59" s="96"/>
      <c r="I59" s="96"/>
      <c r="J59" s="96">
        <f>J58+6</f>
        <v>36</v>
      </c>
      <c r="K59" s="96"/>
      <c r="L59" s="96">
        <f>L58+7</f>
        <v>67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4.5</v>
      </c>
      <c r="F60" s="106"/>
      <c r="G60" s="107"/>
      <c r="H60" s="107"/>
      <c r="I60" s="107"/>
      <c r="J60" s="106">
        <f>J58-6</f>
        <v>24</v>
      </c>
      <c r="K60" s="107"/>
      <c r="L60" s="106">
        <f>L58-7</f>
        <v>53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A69:Q72"/>
    <mergeCell ref="R69:T72"/>
    <mergeCell ref="U69:Z72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7B6B-F00F-40BB-9308-3DBF3EDCBFE1}">
  <sheetPr>
    <pageSetUpPr fitToPage="1"/>
  </sheetPr>
  <dimension ref="A1:AN72"/>
  <sheetViews>
    <sheetView zoomScaleNormal="100" workbookViewId="0">
      <selection activeCell="AB29" sqref="AB2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91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11</v>
      </c>
      <c r="K5" s="319"/>
      <c r="L5" s="320" t="s">
        <v>51</v>
      </c>
      <c r="M5" s="318"/>
      <c r="N5" s="318"/>
      <c r="O5" s="319"/>
      <c r="P5" s="321">
        <v>45251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92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 t="s">
        <v>93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94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 t="s">
        <v>93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106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96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95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2.645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38" t="s">
        <v>98</v>
      </c>
      <c r="D51" s="339"/>
      <c r="E51" s="131">
        <v>6.6</v>
      </c>
      <c r="F51" s="132">
        <v>8.4</v>
      </c>
      <c r="G51" s="133">
        <v>11</v>
      </c>
      <c r="H51" s="133">
        <v>14.4</v>
      </c>
      <c r="I51" s="133">
        <v>19.399999999999999</v>
      </c>
      <c r="J51" s="133">
        <v>28.8</v>
      </c>
      <c r="K51" s="133">
        <v>45.1</v>
      </c>
      <c r="L51" s="133">
        <v>60.7</v>
      </c>
      <c r="M51" s="133">
        <v>75.900000000000006</v>
      </c>
      <c r="N51" s="133">
        <v>95</v>
      </c>
      <c r="O51" s="133">
        <v>100</v>
      </c>
      <c r="P51" s="133"/>
      <c r="Q51" s="133"/>
      <c r="R51" s="133"/>
      <c r="S51" s="134"/>
      <c r="T51" s="134"/>
      <c r="U51" s="340">
        <v>177</v>
      </c>
      <c r="V51" s="341"/>
      <c r="W51" s="342">
        <v>5.28</v>
      </c>
      <c r="X51" s="343"/>
      <c r="Y51" s="258">
        <f>IF(W51&lt;&gt;0,AE51,"")</f>
        <v>3.3411615558960293</v>
      </c>
      <c r="Z51" s="259"/>
      <c r="AA51" s="80"/>
      <c r="AB51" s="220">
        <f>(100*W51)/(100-W51)</f>
        <v>5.5743243243243246</v>
      </c>
      <c r="AC51" s="221"/>
      <c r="AD51" s="67">
        <f>(0.25*(100-O51)+2.3*(O51-H51)+12*(H51-E51)+150*(E51))/100</f>
        <v>12.8048</v>
      </c>
      <c r="AE51" s="68">
        <f>(AB51*$AE$47)/(2.65*(AD51)^(1/5))</f>
        <v>3.3411615558960293</v>
      </c>
      <c r="AF51" s="29"/>
      <c r="AG51" s="66"/>
    </row>
    <row r="52" spans="1:34" ht="24.9" customHeight="1" x14ac:dyDescent="0.25">
      <c r="A52" s="5"/>
      <c r="B52" s="44">
        <v>2</v>
      </c>
      <c r="C52" s="337"/>
      <c r="D52" s="332"/>
      <c r="E52" s="123"/>
      <c r="F52" s="124"/>
      <c r="G52" s="125"/>
      <c r="H52" s="125"/>
      <c r="I52" s="125"/>
      <c r="J52" s="125"/>
      <c r="K52" s="125"/>
      <c r="L52" s="125"/>
      <c r="M52" s="125"/>
      <c r="N52" s="125"/>
      <c r="O52" s="126"/>
      <c r="P52" s="125"/>
      <c r="Q52" s="125"/>
      <c r="R52" s="125"/>
      <c r="S52" s="130"/>
      <c r="T52" s="130"/>
      <c r="U52" s="333"/>
      <c r="V52" s="334"/>
      <c r="W52" s="335"/>
      <c r="X52" s="336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6.6</v>
      </c>
      <c r="F57" s="102">
        <f t="shared" si="3"/>
        <v>8.4</v>
      </c>
      <c r="G57" s="102">
        <f t="shared" si="3"/>
        <v>11</v>
      </c>
      <c r="H57" s="102">
        <f t="shared" si="3"/>
        <v>14.4</v>
      </c>
      <c r="I57" s="102">
        <f t="shared" si="3"/>
        <v>19.399999999999999</v>
      </c>
      <c r="J57" s="102">
        <f t="shared" si="3"/>
        <v>28.8</v>
      </c>
      <c r="K57" s="102">
        <f t="shared" si="3"/>
        <v>45.1</v>
      </c>
      <c r="L57" s="102">
        <f t="shared" si="3"/>
        <v>60.7</v>
      </c>
      <c r="M57" s="102">
        <f t="shared" si="3"/>
        <v>75.900000000000006</v>
      </c>
      <c r="N57" s="102">
        <f t="shared" si="3"/>
        <v>95</v>
      </c>
      <c r="O57" s="116">
        <f t="shared" si="3"/>
        <v>100</v>
      </c>
      <c r="P57" s="116"/>
      <c r="Q57" s="116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177</v>
      </c>
      <c r="V57" s="216"/>
      <c r="W57" s="217">
        <f>IF(W51&lt;&gt;0,AVERAGE(W51:X54),"")</f>
        <v>5.28</v>
      </c>
      <c r="X57" s="218"/>
      <c r="Y57" s="217">
        <f>IF(W51&lt;&gt;0,AVERAGE(Y51:Z54),"")</f>
        <v>3.3411615558960293</v>
      </c>
      <c r="Z57" s="219"/>
      <c r="AA57" s="66"/>
      <c r="AB57" s="220">
        <f>(100*W57)/(100-W57)</f>
        <v>5.5743243243243246</v>
      </c>
      <c r="AC57" s="221"/>
      <c r="AD57" s="67">
        <f t="shared" si="0"/>
        <v>12.8048</v>
      </c>
      <c r="AE57" s="68">
        <f t="shared" si="1"/>
        <v>3.3411615558960293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6.6</v>
      </c>
      <c r="F58" s="104">
        <v>9</v>
      </c>
      <c r="G58" s="104">
        <v>12</v>
      </c>
      <c r="H58" s="104">
        <v>16</v>
      </c>
      <c r="I58" s="104">
        <v>23</v>
      </c>
      <c r="J58" s="104">
        <v>33</v>
      </c>
      <c r="K58" s="104">
        <v>48</v>
      </c>
      <c r="L58" s="104">
        <v>66</v>
      </c>
      <c r="M58" s="104">
        <v>80</v>
      </c>
      <c r="N58" s="104">
        <v>96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3.4131975525572882</v>
      </c>
      <c r="Z58" s="230"/>
      <c r="AA58" s="66"/>
      <c r="AB58" s="220">
        <f>(100*W58)/(100-W58)</f>
        <v>5.7082452431289648</v>
      </c>
      <c r="AC58" s="221"/>
      <c r="AD58" s="67">
        <f t="shared" si="0"/>
        <v>12.96</v>
      </c>
      <c r="AE58" s="68">
        <f t="shared" si="1"/>
        <v>3.4131975525572882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8.6</v>
      </c>
      <c r="F59" s="96"/>
      <c r="G59" s="96"/>
      <c r="H59" s="96"/>
      <c r="I59" s="96"/>
      <c r="J59" s="96">
        <f>J58+6</f>
        <v>39</v>
      </c>
      <c r="K59" s="96"/>
      <c r="L59" s="96">
        <f>L58+7</f>
        <v>73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4.5999999999999996</v>
      </c>
      <c r="F60" s="106"/>
      <c r="G60" s="107"/>
      <c r="H60" s="107"/>
      <c r="I60" s="107"/>
      <c r="J60" s="106">
        <f>J58-6</f>
        <v>27</v>
      </c>
      <c r="K60" s="107"/>
      <c r="L60" s="106">
        <f>L58-7</f>
        <v>59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92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97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9:Q72"/>
    <mergeCell ref="R69:T72"/>
    <mergeCell ref="U69:Z72"/>
    <mergeCell ref="U63:Z63"/>
    <mergeCell ref="A64:Q64"/>
    <mergeCell ref="R64:T64"/>
    <mergeCell ref="U64:Z64"/>
    <mergeCell ref="A65:Q67"/>
    <mergeCell ref="R65:T68"/>
    <mergeCell ref="U65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858D-AB5E-46A5-AE5F-16E4CABA9D75}">
  <sheetPr>
    <pageSetUpPr fitToPage="1"/>
  </sheetPr>
  <dimension ref="A1:AN72"/>
  <sheetViews>
    <sheetView zoomScaleNormal="100" workbookViewId="0">
      <selection activeCell="W54" sqref="W54:X5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81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10</v>
      </c>
      <c r="K5" s="319"/>
      <c r="L5" s="320" t="s">
        <v>51</v>
      </c>
      <c r="M5" s="318"/>
      <c r="N5" s="318"/>
      <c r="O5" s="319"/>
      <c r="P5" s="321">
        <v>45246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330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45246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344" t="s">
        <v>88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45246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114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84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85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2.7290000000000001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37" t="s">
        <v>89</v>
      </c>
      <c r="D51" s="332"/>
      <c r="E51" s="123">
        <v>6.9</v>
      </c>
      <c r="F51" s="124">
        <v>8.8000000000000007</v>
      </c>
      <c r="G51" s="125">
        <v>11.2</v>
      </c>
      <c r="H51" s="125">
        <v>14.4</v>
      </c>
      <c r="I51" s="125">
        <v>19.2</v>
      </c>
      <c r="J51" s="125">
        <v>28</v>
      </c>
      <c r="K51" s="125">
        <v>41.7</v>
      </c>
      <c r="L51" s="125">
        <v>63.5</v>
      </c>
      <c r="M51" s="125">
        <v>80.400000000000006</v>
      </c>
      <c r="N51" s="125">
        <v>96.1</v>
      </c>
      <c r="O51" s="126">
        <v>100</v>
      </c>
      <c r="P51" s="125"/>
      <c r="Q51" s="125"/>
      <c r="R51" s="125"/>
      <c r="S51" s="130"/>
      <c r="T51" s="130"/>
      <c r="U51" s="333">
        <v>173</v>
      </c>
      <c r="V51" s="334"/>
      <c r="W51" s="335">
        <v>5.08</v>
      </c>
      <c r="X51" s="336"/>
      <c r="Y51" s="258">
        <f>IF(W51&lt;&gt;0,AE51,"")</f>
        <v>3.2887074195716628</v>
      </c>
      <c r="Z51" s="259"/>
      <c r="AA51" s="80"/>
      <c r="AB51" s="220">
        <f>(100*W51)/(100-W51)</f>
        <v>5.3518752633796884</v>
      </c>
      <c r="AC51" s="221"/>
      <c r="AD51" s="67">
        <f>(0.25*(100-O51)+2.3*(O51-H51)+12*(H51-E51)+150*(E51))/100</f>
        <v>13.218800000000002</v>
      </c>
      <c r="AE51" s="68">
        <f>(AB51*$AE$47)/(2.65*(AD51)^(1/5))</f>
        <v>3.2887074195716628</v>
      </c>
      <c r="AF51" s="29"/>
      <c r="AG51" s="66"/>
    </row>
    <row r="52" spans="1:34" ht="24.9" customHeight="1" x14ac:dyDescent="0.25">
      <c r="A52" s="5"/>
      <c r="B52" s="44">
        <v>2</v>
      </c>
      <c r="C52" s="337" t="s">
        <v>90</v>
      </c>
      <c r="D52" s="332"/>
      <c r="E52" s="123">
        <v>7.2</v>
      </c>
      <c r="F52" s="124">
        <v>9</v>
      </c>
      <c r="G52" s="125">
        <v>11</v>
      </c>
      <c r="H52" s="125">
        <v>14.1</v>
      </c>
      <c r="I52" s="125">
        <v>19</v>
      </c>
      <c r="J52" s="125">
        <v>28.2</v>
      </c>
      <c r="K52" s="125">
        <v>43.8</v>
      </c>
      <c r="L52" s="125">
        <v>66.400000000000006</v>
      </c>
      <c r="M52" s="125">
        <v>80.7</v>
      </c>
      <c r="N52" s="125">
        <v>95.8</v>
      </c>
      <c r="O52" s="126">
        <v>100</v>
      </c>
      <c r="P52" s="125"/>
      <c r="Q52" s="125"/>
      <c r="R52" s="125"/>
      <c r="S52" s="130"/>
      <c r="T52" s="130"/>
      <c r="U52" s="333">
        <v>175</v>
      </c>
      <c r="V52" s="334"/>
      <c r="W52" s="335">
        <v>5.03</v>
      </c>
      <c r="X52" s="336"/>
      <c r="Y52" s="247">
        <f>IF(W52&lt;&gt;0,AE52,"")</f>
        <v>3.2359946847573986</v>
      </c>
      <c r="Z52" s="248"/>
      <c r="AA52" s="80"/>
      <c r="AB52" s="220">
        <f>(100*W52)/(100-W52)</f>
        <v>5.2964093924397178</v>
      </c>
      <c r="AC52" s="221"/>
      <c r="AD52" s="67">
        <f t="shared" ref="AD52:AD58" si="0">(0.25*(100-O52)+2.3*(O52-H52)+12*(H52-E52)+150*(E52))/100</f>
        <v>13.603699999999998</v>
      </c>
      <c r="AE52" s="68">
        <f t="shared" ref="AE52:AE58" si="1">(AB52*$AE$47)/(2.65*(AD52)^(1/5))</f>
        <v>3.2359946847573986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112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13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7.0500000000000007</v>
      </c>
      <c r="F57" s="102">
        <f t="shared" si="3"/>
        <v>8.9</v>
      </c>
      <c r="G57" s="102">
        <f t="shared" si="3"/>
        <v>11.1</v>
      </c>
      <c r="H57" s="102">
        <f t="shared" si="3"/>
        <v>14.25</v>
      </c>
      <c r="I57" s="102">
        <f t="shared" si="3"/>
        <v>19.100000000000001</v>
      </c>
      <c r="J57" s="102">
        <f t="shared" si="3"/>
        <v>28.1</v>
      </c>
      <c r="K57" s="102">
        <f t="shared" si="3"/>
        <v>42.75</v>
      </c>
      <c r="L57" s="102">
        <f t="shared" si="3"/>
        <v>64.95</v>
      </c>
      <c r="M57" s="102">
        <f t="shared" si="3"/>
        <v>80.550000000000011</v>
      </c>
      <c r="N57" s="102">
        <f t="shared" si="3"/>
        <v>95.949999999999989</v>
      </c>
      <c r="O57" s="116">
        <f t="shared" si="3"/>
        <v>100</v>
      </c>
      <c r="P57" s="116"/>
      <c r="Q57" s="116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174</v>
      </c>
      <c r="V57" s="216"/>
      <c r="W57" s="217">
        <f>IF(W51&lt;&gt;0,AVERAGE(W51:X54),"")</f>
        <v>5.0549999999999997</v>
      </c>
      <c r="X57" s="218"/>
      <c r="Y57" s="217">
        <f>IF(W51&lt;&gt;0,AVERAGE(Y51:Z54),"")</f>
        <v>3.2623510521645307</v>
      </c>
      <c r="Z57" s="219"/>
      <c r="AA57" s="66"/>
      <c r="AB57" s="220">
        <f>(100*W57)/(100-W57)</f>
        <v>5.3241350255411035</v>
      </c>
      <c r="AC57" s="221"/>
      <c r="AD57" s="67">
        <f t="shared" si="0"/>
        <v>13.411250000000001</v>
      </c>
      <c r="AE57" s="68">
        <f t="shared" si="1"/>
        <v>3.2622171847265582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</v>
      </c>
      <c r="F58" s="104">
        <v>9</v>
      </c>
      <c r="G58" s="104">
        <v>12</v>
      </c>
      <c r="H58" s="104">
        <v>15</v>
      </c>
      <c r="I58" s="104">
        <v>20</v>
      </c>
      <c r="J58" s="104">
        <v>29</v>
      </c>
      <c r="K58" s="104">
        <v>42</v>
      </c>
      <c r="L58" s="104">
        <v>63</v>
      </c>
      <c r="M58" s="104">
        <v>79</v>
      </c>
      <c r="N58" s="104">
        <v>94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3.4973745850308045</v>
      </c>
      <c r="Z58" s="230"/>
      <c r="AA58" s="66"/>
      <c r="AB58" s="220">
        <f>(100*W58)/(100-W58)</f>
        <v>5.7082452431289648</v>
      </c>
      <c r="AC58" s="221"/>
      <c r="AD58" s="67">
        <f t="shared" si="0"/>
        <v>13.414999999999999</v>
      </c>
      <c r="AE58" s="68">
        <f t="shared" si="1"/>
        <v>3.4973745850308045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</v>
      </c>
      <c r="F59" s="96"/>
      <c r="G59" s="96"/>
      <c r="H59" s="96"/>
      <c r="I59" s="96"/>
      <c r="J59" s="96">
        <f>J58+6</f>
        <v>35</v>
      </c>
      <c r="K59" s="96"/>
      <c r="L59" s="96">
        <f>L58+7</f>
        <v>70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</v>
      </c>
      <c r="F60" s="106"/>
      <c r="G60" s="107"/>
      <c r="H60" s="107"/>
      <c r="I60" s="107"/>
      <c r="J60" s="106">
        <f>J58-6</f>
        <v>23</v>
      </c>
      <c r="K60" s="107"/>
      <c r="L60" s="106">
        <f>L58-7</f>
        <v>56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A69:Q72"/>
    <mergeCell ref="R69:T72"/>
    <mergeCell ref="U69:Z72"/>
    <mergeCell ref="C51:D51"/>
    <mergeCell ref="U51:V51"/>
    <mergeCell ref="W51:X51"/>
    <mergeCell ref="C52:D52"/>
    <mergeCell ref="U52:V52"/>
    <mergeCell ref="W52:X52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243B-3C29-45F1-8F09-68F35794C6E6}">
  <sheetPr>
    <pageSetUpPr fitToPage="1"/>
  </sheetPr>
  <dimension ref="A1:AN72"/>
  <sheetViews>
    <sheetView zoomScaleNormal="100" workbookViewId="0">
      <selection activeCell="AB70" sqref="AB7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81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9</v>
      </c>
      <c r="K5" s="319"/>
      <c r="L5" s="320" t="s">
        <v>51</v>
      </c>
      <c r="M5" s="318"/>
      <c r="N5" s="318"/>
      <c r="O5" s="319"/>
      <c r="P5" s="321">
        <v>45133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330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45133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86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45133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114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84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85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2.7290000000000001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37" t="s">
        <v>87</v>
      </c>
      <c r="D51" s="332"/>
      <c r="E51" s="127">
        <v>6.8</v>
      </c>
      <c r="F51" s="128">
        <v>8.6</v>
      </c>
      <c r="G51" s="129">
        <v>10.8</v>
      </c>
      <c r="H51" s="129">
        <v>13.9</v>
      </c>
      <c r="I51" s="129">
        <v>19</v>
      </c>
      <c r="J51" s="129">
        <v>29</v>
      </c>
      <c r="K51" s="129">
        <v>48.5</v>
      </c>
      <c r="L51" s="129">
        <v>68.7</v>
      </c>
      <c r="M51" s="129">
        <v>83.9</v>
      </c>
      <c r="N51" s="129">
        <v>96.7</v>
      </c>
      <c r="O51" s="129">
        <v>100</v>
      </c>
      <c r="P51" s="129"/>
      <c r="Q51" s="129"/>
      <c r="R51" s="129"/>
      <c r="S51" s="117"/>
      <c r="T51" s="117"/>
      <c r="U51" s="326">
        <v>170</v>
      </c>
      <c r="V51" s="327"/>
      <c r="W51" s="328">
        <v>5.15</v>
      </c>
      <c r="X51" s="329"/>
      <c r="Y51" s="258">
        <f>IF(W51&lt;&gt;0,AE51,"")</f>
        <v>3.3459800083375315</v>
      </c>
      <c r="Z51" s="259"/>
      <c r="AA51" s="80"/>
      <c r="AB51" s="220">
        <f>(100*W51)/(100-W51)</f>
        <v>5.4296257248286768</v>
      </c>
      <c r="AC51" s="221"/>
      <c r="AD51" s="67">
        <f>(0.25*(100-O51)+2.3*(O51-H51)+12*(H51-E51)+150*(E51))/100</f>
        <v>13.032299999999999</v>
      </c>
      <c r="AE51" s="68">
        <f>(AB51*$AE$47)/(2.65*(AD51)^(1/5))</f>
        <v>3.3459800083375315</v>
      </c>
      <c r="AF51" s="29"/>
      <c r="AG51" s="66"/>
    </row>
    <row r="52" spans="1:34" ht="24.9" customHeight="1" x14ac:dyDescent="0.25">
      <c r="A52" s="5"/>
      <c r="B52" s="44">
        <v>2</v>
      </c>
      <c r="C52" s="337"/>
      <c r="D52" s="332"/>
      <c r="E52" s="123"/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2"/>
      <c r="T52" s="122"/>
      <c r="U52" s="333"/>
      <c r="V52" s="334"/>
      <c r="W52" s="335"/>
      <c r="X52" s="336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96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00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6.8</v>
      </c>
      <c r="F57" s="102">
        <f t="shared" si="3"/>
        <v>8.6</v>
      </c>
      <c r="G57" s="102">
        <f t="shared" si="3"/>
        <v>10.8</v>
      </c>
      <c r="H57" s="102">
        <f t="shared" si="3"/>
        <v>13.9</v>
      </c>
      <c r="I57" s="102">
        <f t="shared" si="3"/>
        <v>19</v>
      </c>
      <c r="J57" s="102">
        <f t="shared" si="3"/>
        <v>29</v>
      </c>
      <c r="K57" s="102">
        <f t="shared" si="3"/>
        <v>48.5</v>
      </c>
      <c r="L57" s="102">
        <f t="shared" si="3"/>
        <v>68.7</v>
      </c>
      <c r="M57" s="102">
        <f t="shared" si="3"/>
        <v>83.9</v>
      </c>
      <c r="N57" s="102">
        <f t="shared" si="3"/>
        <v>96.7</v>
      </c>
      <c r="O57" s="116">
        <f t="shared" si="3"/>
        <v>100</v>
      </c>
      <c r="P57" s="116"/>
      <c r="Q57" s="116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170</v>
      </c>
      <c r="V57" s="216"/>
      <c r="W57" s="217">
        <f>IF(W51&lt;&gt;0,AVERAGE(W51:X54),"")</f>
        <v>5.15</v>
      </c>
      <c r="X57" s="218"/>
      <c r="Y57" s="217">
        <f>IF(W51&lt;&gt;0,AVERAGE(Y51:Z54),"")</f>
        <v>3.3459800083375315</v>
      </c>
      <c r="Z57" s="219"/>
      <c r="AA57" s="66"/>
      <c r="AB57" s="220">
        <f>(100*W57)/(100-W57)</f>
        <v>5.4296257248286768</v>
      </c>
      <c r="AC57" s="221"/>
      <c r="AD57" s="67">
        <f t="shared" si="0"/>
        <v>13.032299999999999</v>
      </c>
      <c r="AE57" s="68">
        <f t="shared" si="1"/>
        <v>3.3459800083375315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</v>
      </c>
      <c r="F58" s="104">
        <v>9</v>
      </c>
      <c r="G58" s="104">
        <v>12</v>
      </c>
      <c r="H58" s="104">
        <v>15</v>
      </c>
      <c r="I58" s="104">
        <v>20</v>
      </c>
      <c r="J58" s="104">
        <v>29</v>
      </c>
      <c r="K58" s="104">
        <v>42</v>
      </c>
      <c r="L58" s="104">
        <v>63</v>
      </c>
      <c r="M58" s="104">
        <v>79</v>
      </c>
      <c r="N58" s="104">
        <v>94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3.4973745850308045</v>
      </c>
      <c r="Z58" s="230"/>
      <c r="AA58" s="66"/>
      <c r="AB58" s="220">
        <f>(100*W58)/(100-W58)</f>
        <v>5.7082452431289648</v>
      </c>
      <c r="AC58" s="221"/>
      <c r="AD58" s="67">
        <f t="shared" si="0"/>
        <v>13.414999999999999</v>
      </c>
      <c r="AE58" s="68">
        <f t="shared" si="1"/>
        <v>3.4973745850308045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</v>
      </c>
      <c r="F59" s="96"/>
      <c r="G59" s="96"/>
      <c r="H59" s="96"/>
      <c r="I59" s="96"/>
      <c r="J59" s="96">
        <f>J58+6</f>
        <v>35</v>
      </c>
      <c r="K59" s="96"/>
      <c r="L59" s="96">
        <f>L58+7</f>
        <v>70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</v>
      </c>
      <c r="F60" s="106"/>
      <c r="G60" s="107"/>
      <c r="H60" s="107"/>
      <c r="I60" s="107"/>
      <c r="J60" s="106">
        <f>J58-6</f>
        <v>23</v>
      </c>
      <c r="K60" s="107"/>
      <c r="L60" s="106">
        <f>L58-7</f>
        <v>56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C51:D51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U69:Z72"/>
    <mergeCell ref="U51:V51"/>
    <mergeCell ref="W51:X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AE80-705B-4E6E-83D7-2EBBC523DFA3}">
  <sheetPr>
    <pageSetUpPr fitToPage="1"/>
  </sheetPr>
  <dimension ref="A1:AN72"/>
  <sheetViews>
    <sheetView zoomScaleNormal="100" workbookViewId="0">
      <selection activeCell="AE49" sqref="AE49:AE5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81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8</v>
      </c>
      <c r="K5" s="319"/>
      <c r="L5" s="320" t="s">
        <v>51</v>
      </c>
      <c r="M5" s="318"/>
      <c r="N5" s="318"/>
      <c r="O5" s="319"/>
      <c r="P5" s="321">
        <v>45077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330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 t="s">
        <v>77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80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 t="s">
        <v>77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110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82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83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2.6469999999999998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37"/>
      <c r="D51" s="332"/>
      <c r="E51" s="123"/>
      <c r="F51" s="124"/>
      <c r="G51" s="125"/>
      <c r="H51" s="125"/>
      <c r="I51" s="125"/>
      <c r="J51" s="125"/>
      <c r="K51" s="125"/>
      <c r="L51" s="125"/>
      <c r="M51" s="125"/>
      <c r="N51" s="125"/>
      <c r="O51" s="126"/>
      <c r="P51" s="125"/>
      <c r="Q51" s="125"/>
      <c r="R51" s="125"/>
      <c r="S51" s="122"/>
      <c r="T51" s="122"/>
      <c r="U51" s="333"/>
      <c r="V51" s="334"/>
      <c r="W51" s="335"/>
      <c r="X51" s="336"/>
      <c r="Y51" s="258" t="str">
        <f>IF(W51&lt;&gt;0,AE51,"")</f>
        <v/>
      </c>
      <c r="Z51" s="259"/>
      <c r="AA51" s="80"/>
      <c r="AB51" s="220">
        <f>(100*W51)/(100-W51)</f>
        <v>0</v>
      </c>
      <c r="AC51" s="221"/>
      <c r="AD51" s="67">
        <f>(0.25*(100-O51)+2.3*(O51-H51)+12*(H51-E51)+150*(E51))/100</f>
        <v>0.25</v>
      </c>
      <c r="AE51" s="68">
        <f>(AB51*$AE$47)/(2.65*(AD51)^(1/5))</f>
        <v>0</v>
      </c>
      <c r="AF51" s="29"/>
      <c r="AG51" s="66"/>
    </row>
    <row r="52" spans="1:34" ht="24.9" customHeight="1" x14ac:dyDescent="0.25">
      <c r="A52" s="5"/>
      <c r="B52" s="44">
        <v>2</v>
      </c>
      <c r="C52" s="337"/>
      <c r="D52" s="332"/>
      <c r="E52" s="123"/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2"/>
      <c r="T52" s="122"/>
      <c r="U52" s="333"/>
      <c r="V52" s="334"/>
      <c r="W52" s="335"/>
      <c r="X52" s="336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96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00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 t="str">
        <f t="shared" ref="E57:T57" si="3">IF(E51&lt;&gt;0,AVERAGE(E51:E54),"")</f>
        <v/>
      </c>
      <c r="F57" s="102" t="str">
        <f t="shared" si="3"/>
        <v/>
      </c>
      <c r="G57" s="102" t="str">
        <f t="shared" si="3"/>
        <v/>
      </c>
      <c r="H57" s="102" t="str">
        <f t="shared" si="3"/>
        <v/>
      </c>
      <c r="I57" s="102" t="str">
        <f t="shared" si="3"/>
        <v/>
      </c>
      <c r="J57" s="102" t="str">
        <f t="shared" si="3"/>
        <v/>
      </c>
      <c r="K57" s="102" t="str">
        <f t="shared" si="3"/>
        <v/>
      </c>
      <c r="L57" s="102" t="str">
        <f t="shared" si="3"/>
        <v/>
      </c>
      <c r="M57" s="102" t="str">
        <f t="shared" si="3"/>
        <v/>
      </c>
      <c r="N57" s="102" t="str">
        <f t="shared" si="3"/>
        <v/>
      </c>
      <c r="O57" s="116" t="str">
        <f t="shared" si="3"/>
        <v/>
      </c>
      <c r="P57" s="116"/>
      <c r="Q57" s="116"/>
      <c r="R57" s="102"/>
      <c r="S57" s="102" t="str">
        <f t="shared" si="3"/>
        <v/>
      </c>
      <c r="T57" s="103" t="str">
        <f t="shared" si="3"/>
        <v/>
      </c>
      <c r="U57" s="215" t="str">
        <f>IF(U51&lt;&gt;0,AVERAGE(U51:V54),"")</f>
        <v/>
      </c>
      <c r="V57" s="216"/>
      <c r="W57" s="217" t="str">
        <f>IF(W51&lt;&gt;0,AVERAGE(W51:X54),"")</f>
        <v/>
      </c>
      <c r="X57" s="218"/>
      <c r="Y57" s="217" t="str">
        <f>IF(W51&lt;&gt;0,AVERAGE(Y51:Z54),"")</f>
        <v/>
      </c>
      <c r="Z57" s="219"/>
      <c r="AA57" s="66"/>
      <c r="AB57" s="220" t="e">
        <f>(100*W57)/(100-W57)</f>
        <v>#VALUE!</v>
      </c>
      <c r="AC57" s="221"/>
      <c r="AD57" s="67" t="e">
        <f t="shared" si="0"/>
        <v>#VALUE!</v>
      </c>
      <c r="AE57" s="68" t="e">
        <f t="shared" si="1"/>
        <v>#VALUE!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6.5</v>
      </c>
      <c r="F58" s="104">
        <v>8</v>
      </c>
      <c r="G58" s="104">
        <v>11</v>
      </c>
      <c r="H58" s="104">
        <v>16</v>
      </c>
      <c r="I58" s="104">
        <v>21</v>
      </c>
      <c r="J58" s="104">
        <v>30</v>
      </c>
      <c r="K58" s="104">
        <v>44</v>
      </c>
      <c r="L58" s="104">
        <v>60</v>
      </c>
      <c r="M58" s="104">
        <v>76</v>
      </c>
      <c r="N58" s="104">
        <v>95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3.4230996041984052</v>
      </c>
      <c r="Z58" s="230"/>
      <c r="AA58" s="66"/>
      <c r="AB58" s="220">
        <f>(100*W58)/(100-W58)</f>
        <v>5.7082452431289648</v>
      </c>
      <c r="AC58" s="221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8.5</v>
      </c>
      <c r="F59" s="96"/>
      <c r="G59" s="96"/>
      <c r="H59" s="96"/>
      <c r="I59" s="96"/>
      <c r="J59" s="96">
        <f>J58+6</f>
        <v>36</v>
      </c>
      <c r="K59" s="96"/>
      <c r="L59" s="96">
        <f>L58+7</f>
        <v>67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4.5</v>
      </c>
      <c r="F60" s="106"/>
      <c r="G60" s="107"/>
      <c r="H60" s="107"/>
      <c r="I60" s="107"/>
      <c r="J60" s="106">
        <f>J58-6</f>
        <v>24</v>
      </c>
      <c r="K60" s="107"/>
      <c r="L60" s="106">
        <f>L58-7</f>
        <v>53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A69:Q72"/>
    <mergeCell ref="R69:T72"/>
    <mergeCell ref="U69:Z72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5" orientation="portrait" horizontalDpi="300" verticalDpi="300" r:id="rId1"/>
  <headerFooter alignWithMargins="0">
    <oddFooter>&amp;RDG-Q / RE CFE du 28/06/06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B65B-9124-4410-8819-1953BD7FB8E6}">
  <sheetPr>
    <pageSetUpPr fitToPage="1"/>
  </sheetPr>
  <dimension ref="A1:AN72"/>
  <sheetViews>
    <sheetView zoomScaleNormal="100" workbookViewId="0">
      <selection activeCell="U1" sqref="U1:Z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81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7</v>
      </c>
      <c r="K5" s="319"/>
      <c r="L5" s="320" t="s">
        <v>51</v>
      </c>
      <c r="M5" s="318"/>
      <c r="N5" s="318"/>
      <c r="O5" s="319"/>
      <c r="P5" s="321">
        <v>45077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330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 t="s">
        <v>77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80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 t="s">
        <v>77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147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78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59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79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2.68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37"/>
      <c r="D51" s="332"/>
      <c r="E51" s="123"/>
      <c r="F51" s="124"/>
      <c r="G51" s="125"/>
      <c r="H51" s="125"/>
      <c r="I51" s="125"/>
      <c r="J51" s="125"/>
      <c r="K51" s="125"/>
      <c r="L51" s="125"/>
      <c r="M51" s="125"/>
      <c r="N51" s="125"/>
      <c r="O51" s="126"/>
      <c r="P51" s="125"/>
      <c r="Q51" s="125"/>
      <c r="R51" s="125"/>
      <c r="S51" s="122"/>
      <c r="T51" s="122"/>
      <c r="U51" s="333"/>
      <c r="V51" s="334"/>
      <c r="W51" s="335"/>
      <c r="X51" s="336"/>
      <c r="Y51" s="258" t="str">
        <f>IF(W51&lt;&gt;0,AE51,"")</f>
        <v/>
      </c>
      <c r="Z51" s="259"/>
      <c r="AA51" s="80"/>
      <c r="AB51" s="220">
        <f>(100*W51)/(100-W51)</f>
        <v>0</v>
      </c>
      <c r="AC51" s="221"/>
      <c r="AD51" s="67">
        <f>(0.25*(100-O51)+2.3*(O51-H51)+12*(H51-E51)+150*(E51))/100</f>
        <v>0.25</v>
      </c>
      <c r="AE51" s="68">
        <f>(AB51*$AE$47)/(2.65*(AD51)^(1/5))</f>
        <v>0</v>
      </c>
      <c r="AF51" s="29"/>
      <c r="AG51" s="66"/>
    </row>
    <row r="52" spans="1:34" ht="24.9" customHeight="1" x14ac:dyDescent="0.25">
      <c r="A52" s="5"/>
      <c r="B52" s="44">
        <v>2</v>
      </c>
      <c r="C52" s="337"/>
      <c r="D52" s="332"/>
      <c r="E52" s="123"/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2"/>
      <c r="T52" s="122"/>
      <c r="U52" s="333"/>
      <c r="V52" s="334"/>
      <c r="W52" s="335"/>
      <c r="X52" s="336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96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00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 t="str">
        <f t="shared" ref="E57:T57" si="3">IF(E51&lt;&gt;0,AVERAGE(E51:E54),"")</f>
        <v/>
      </c>
      <c r="F57" s="102" t="str">
        <f t="shared" si="3"/>
        <v/>
      </c>
      <c r="G57" s="102" t="str">
        <f t="shared" si="3"/>
        <v/>
      </c>
      <c r="H57" s="102" t="str">
        <f t="shared" si="3"/>
        <v/>
      </c>
      <c r="I57" s="102" t="str">
        <f t="shared" si="3"/>
        <v/>
      </c>
      <c r="J57" s="102" t="str">
        <f t="shared" si="3"/>
        <v/>
      </c>
      <c r="K57" s="102" t="str">
        <f t="shared" si="3"/>
        <v/>
      </c>
      <c r="L57" s="102" t="str">
        <f t="shared" si="3"/>
        <v/>
      </c>
      <c r="M57" s="102" t="str">
        <f t="shared" si="3"/>
        <v/>
      </c>
      <c r="N57" s="102" t="str">
        <f t="shared" si="3"/>
        <v/>
      </c>
      <c r="O57" s="116" t="str">
        <f t="shared" si="3"/>
        <v/>
      </c>
      <c r="P57" s="116" t="str">
        <f t="shared" si="3"/>
        <v/>
      </c>
      <c r="Q57" s="116" t="str">
        <f t="shared" si="3"/>
        <v/>
      </c>
      <c r="R57" s="102"/>
      <c r="S57" s="102" t="str">
        <f t="shared" si="3"/>
        <v/>
      </c>
      <c r="T57" s="103" t="str">
        <f t="shared" si="3"/>
        <v/>
      </c>
      <c r="U57" s="215" t="str">
        <f>IF(U51&lt;&gt;0,AVERAGE(U51:V54),"")</f>
        <v/>
      </c>
      <c r="V57" s="216"/>
      <c r="W57" s="217" t="str">
        <f>IF(W51&lt;&gt;0,AVERAGE(W51:X54),"")</f>
        <v/>
      </c>
      <c r="X57" s="218"/>
      <c r="Y57" s="217" t="str">
        <f>IF(W51&lt;&gt;0,AVERAGE(Y51:Z54),"")</f>
        <v/>
      </c>
      <c r="Z57" s="219"/>
      <c r="AA57" s="66"/>
      <c r="AB57" s="220" t="e">
        <f>(100*W57)/(100-W57)</f>
        <v>#VALUE!</v>
      </c>
      <c r="AC57" s="221"/>
      <c r="AD57" s="67" t="e">
        <f t="shared" si="0"/>
        <v>#VALUE!</v>
      </c>
      <c r="AE57" s="68" t="e">
        <f t="shared" si="1"/>
        <v>#VALUE!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7.2</v>
      </c>
      <c r="F58" s="104">
        <v>9</v>
      </c>
      <c r="G58" s="104">
        <v>13</v>
      </c>
      <c r="H58" s="104">
        <v>17</v>
      </c>
      <c r="I58" s="104">
        <v>23</v>
      </c>
      <c r="J58" s="104">
        <v>33</v>
      </c>
      <c r="K58" s="104">
        <v>46</v>
      </c>
      <c r="L58" s="104">
        <v>58</v>
      </c>
      <c r="M58" s="104">
        <v>63</v>
      </c>
      <c r="N58" s="104">
        <v>72</v>
      </c>
      <c r="O58" s="110">
        <v>89</v>
      </c>
      <c r="P58" s="104">
        <v>97</v>
      </c>
      <c r="Q58" s="110">
        <v>100</v>
      </c>
      <c r="R58" s="104"/>
      <c r="S58" s="104"/>
      <c r="T58" s="105"/>
      <c r="U58" s="225"/>
      <c r="V58" s="226"/>
      <c r="W58" s="227">
        <v>5.3</v>
      </c>
      <c r="X58" s="228"/>
      <c r="Y58" s="229">
        <f>AE58</f>
        <v>3.3552729081571675</v>
      </c>
      <c r="Z58" s="230"/>
      <c r="AA58" s="66"/>
      <c r="AB58" s="220">
        <f>(100*W58)/(100-W58)</f>
        <v>5.5966209081309399</v>
      </c>
      <c r="AC58" s="221"/>
      <c r="AD58" s="67">
        <f t="shared" si="0"/>
        <v>13.659500000000001</v>
      </c>
      <c r="AE58" s="68">
        <f t="shared" si="1"/>
        <v>3.3552729081571675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9.1999999999999993</v>
      </c>
      <c r="F59" s="96"/>
      <c r="G59" s="96"/>
      <c r="H59" s="96"/>
      <c r="I59" s="96"/>
      <c r="J59" s="96">
        <f>J58+6</f>
        <v>39</v>
      </c>
      <c r="K59" s="96"/>
      <c r="L59" s="96">
        <f>L58+7</f>
        <v>65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5.8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5.2</v>
      </c>
      <c r="F60" s="106"/>
      <c r="G60" s="107"/>
      <c r="H60" s="107"/>
      <c r="I60" s="107"/>
      <c r="J60" s="106">
        <f>J58-6</f>
        <v>27</v>
      </c>
      <c r="K60" s="107"/>
      <c r="L60" s="106">
        <f>L58-7</f>
        <v>51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4.8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A69:Q72"/>
    <mergeCell ref="R69:T72"/>
    <mergeCell ref="U69:Z72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5" orientation="portrait" horizontalDpi="300" verticalDpi="300" r:id="rId1"/>
  <headerFooter alignWithMargins="0">
    <oddFooter>&amp;RDG-Q / RE CFE du 28/06/06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5BB8-1ADC-434E-98D1-DEEC0FC2919B}">
  <sheetPr>
    <pageSetUpPr fitToPage="1"/>
  </sheetPr>
  <dimension ref="A1:AN72"/>
  <sheetViews>
    <sheetView topLeftCell="A53" zoomScaleNormal="100" workbookViewId="0">
      <selection activeCell="Q52" sqref="Q52"/>
    </sheetView>
  </sheetViews>
  <sheetFormatPr baseColWidth="10" defaultColWidth="11.44140625" defaultRowHeight="12.75" customHeight="1" x14ac:dyDescent="0.25"/>
  <cols>
    <col min="1" max="2" width="5.109375" style="29" customWidth="1"/>
    <col min="3" max="14" width="5.109375" style="1" customWidth="1"/>
    <col min="15" max="15" width="5.77734375" style="1" customWidth="1"/>
    <col min="16" max="16" width="6.44140625" style="1" customWidth="1"/>
    <col min="17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52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6</v>
      </c>
      <c r="K5" s="319"/>
      <c r="L5" s="320" t="s">
        <v>51</v>
      </c>
      <c r="M5" s="318"/>
      <c r="N5" s="318"/>
      <c r="O5" s="319"/>
      <c r="P5" s="321">
        <v>44771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330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44771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69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44770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115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64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65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2.73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37" t="s">
        <v>76</v>
      </c>
      <c r="D51" s="332"/>
      <c r="E51" s="123">
        <v>7</v>
      </c>
      <c r="F51" s="124">
        <v>9</v>
      </c>
      <c r="G51" s="125">
        <v>11.6</v>
      </c>
      <c r="H51" s="125">
        <v>15.3</v>
      </c>
      <c r="I51" s="125">
        <v>21.3</v>
      </c>
      <c r="J51" s="125">
        <v>32</v>
      </c>
      <c r="K51" s="125">
        <v>48.2</v>
      </c>
      <c r="L51" s="125">
        <v>67.7</v>
      </c>
      <c r="M51" s="125">
        <v>82.1</v>
      </c>
      <c r="N51" s="125">
        <v>94.5</v>
      </c>
      <c r="O51" s="126">
        <v>100</v>
      </c>
      <c r="P51" s="125"/>
      <c r="Q51" s="125"/>
      <c r="R51" s="125"/>
      <c r="S51" s="122"/>
      <c r="T51" s="122"/>
      <c r="U51" s="333">
        <v>170</v>
      </c>
      <c r="V51" s="334"/>
      <c r="W51" s="335">
        <v>5.24</v>
      </c>
      <c r="X51" s="336"/>
      <c r="Y51" s="258">
        <f>IF(W51&lt;&gt;0,AE51,"")</f>
        <v>3.3877913998757463</v>
      </c>
      <c r="Z51" s="259"/>
      <c r="AA51" s="80"/>
      <c r="AB51" s="220">
        <f>(100*W51)/(100-W51)</f>
        <v>5.5297593921485859</v>
      </c>
      <c r="AC51" s="221"/>
      <c r="AD51" s="67">
        <f>(0.25*(100-O51)+2.3*(O51-H51)+12*(H51-E51)+150*(E51))/100</f>
        <v>13.444100000000001</v>
      </c>
      <c r="AE51" s="68">
        <f>(AB51*$AE$47)/(2.65*(AD51)^(1/5))</f>
        <v>3.3877913998757463</v>
      </c>
      <c r="AF51" s="29"/>
      <c r="AG51" s="66"/>
    </row>
    <row r="52" spans="1:34" ht="24.9" customHeight="1" x14ac:dyDescent="0.25">
      <c r="A52" s="5"/>
      <c r="B52" s="44">
        <v>2</v>
      </c>
      <c r="C52" s="337"/>
      <c r="D52" s="332"/>
      <c r="E52" s="123"/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2"/>
      <c r="T52" s="122"/>
      <c r="U52" s="333"/>
      <c r="V52" s="334"/>
      <c r="W52" s="335"/>
      <c r="X52" s="336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96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00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</v>
      </c>
      <c r="F57" s="102">
        <f t="shared" si="3"/>
        <v>9</v>
      </c>
      <c r="G57" s="102">
        <f t="shared" si="3"/>
        <v>11.6</v>
      </c>
      <c r="H57" s="102">
        <f t="shared" si="3"/>
        <v>15.3</v>
      </c>
      <c r="I57" s="102">
        <f t="shared" si="3"/>
        <v>21.3</v>
      </c>
      <c r="J57" s="102">
        <f t="shared" si="3"/>
        <v>32</v>
      </c>
      <c r="K57" s="102">
        <f t="shared" si="3"/>
        <v>48.2</v>
      </c>
      <c r="L57" s="102">
        <f t="shared" si="3"/>
        <v>67.7</v>
      </c>
      <c r="M57" s="102">
        <f t="shared" si="3"/>
        <v>82.1</v>
      </c>
      <c r="N57" s="102">
        <f t="shared" si="3"/>
        <v>94.5</v>
      </c>
      <c r="O57" s="116">
        <f t="shared" si="3"/>
        <v>100</v>
      </c>
      <c r="P57" s="102"/>
      <c r="Q57" s="116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170</v>
      </c>
      <c r="V57" s="216"/>
      <c r="W57" s="217">
        <f>IF(W51&lt;&gt;0,AVERAGE(W51:X54),"")</f>
        <v>5.24</v>
      </c>
      <c r="X57" s="218"/>
      <c r="Y57" s="217">
        <f>IF(W51&lt;&gt;0,AVERAGE(Y51:Z54),"")</f>
        <v>3.3877913998757463</v>
      </c>
      <c r="Z57" s="219"/>
      <c r="AA57" s="66"/>
      <c r="AB57" s="220">
        <f>(100*W57)/(100-W57)</f>
        <v>5.5297593921485859</v>
      </c>
      <c r="AC57" s="221"/>
      <c r="AD57" s="67">
        <f t="shared" si="0"/>
        <v>13.444100000000001</v>
      </c>
      <c r="AE57" s="68">
        <f t="shared" si="1"/>
        <v>3.3877913998757463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7.6</v>
      </c>
      <c r="F58" s="104">
        <v>9</v>
      </c>
      <c r="G58" s="104">
        <v>12</v>
      </c>
      <c r="H58" s="104">
        <v>15</v>
      </c>
      <c r="I58" s="104">
        <v>21</v>
      </c>
      <c r="J58" s="104">
        <v>30</v>
      </c>
      <c r="K58" s="104">
        <v>45</v>
      </c>
      <c r="L58" s="104">
        <v>65</v>
      </c>
      <c r="M58" s="104">
        <v>80</v>
      </c>
      <c r="N58" s="104">
        <v>96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3.4569977881057974</v>
      </c>
      <c r="Z58" s="230"/>
      <c r="AA58" s="66"/>
      <c r="AB58" s="220">
        <f>(100*W58)/(100-W58)</f>
        <v>5.7082452431289648</v>
      </c>
      <c r="AC58" s="221"/>
      <c r="AD58" s="67">
        <f t="shared" si="0"/>
        <v>14.243</v>
      </c>
      <c r="AE58" s="68">
        <f t="shared" si="1"/>
        <v>3.4569977881057974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9.6</v>
      </c>
      <c r="F59" s="96"/>
      <c r="G59" s="96"/>
      <c r="H59" s="96"/>
      <c r="I59" s="96"/>
      <c r="J59" s="96">
        <f>J58+6</f>
        <v>36</v>
      </c>
      <c r="K59" s="96"/>
      <c r="L59" s="96">
        <f>L58+7</f>
        <v>72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5.6</v>
      </c>
      <c r="F60" s="106"/>
      <c r="G60" s="107"/>
      <c r="H60" s="107"/>
      <c r="I60" s="107"/>
      <c r="J60" s="106">
        <f>J58-6</f>
        <v>24</v>
      </c>
      <c r="K60" s="107"/>
      <c r="L60" s="106">
        <f>L58-7</f>
        <v>58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U69:Z72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5" orientation="portrait" horizontalDpi="300" verticalDpi="300" r:id="rId1"/>
  <headerFooter alignWithMargins="0">
    <oddFooter>&amp;RDG-Q / RE CFE du 28/06/06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CDF7-3D2A-4BA7-B433-2C198F151DB0}">
  <sheetPr>
    <pageSetUpPr fitToPage="1"/>
  </sheetPr>
  <dimension ref="A1:AN72"/>
  <sheetViews>
    <sheetView topLeftCell="A9" zoomScaleNormal="100" workbookViewId="0">
      <selection activeCell="U69" sqref="U69:Z72"/>
    </sheetView>
  </sheetViews>
  <sheetFormatPr baseColWidth="10" defaultColWidth="11.44140625" defaultRowHeight="12.75" customHeight="1" x14ac:dyDescent="0.25"/>
  <cols>
    <col min="1" max="2" width="5.109375" style="29" customWidth="1"/>
    <col min="3" max="14" width="5.109375" style="1" customWidth="1"/>
    <col min="15" max="15" width="5.77734375" style="1" customWidth="1"/>
    <col min="16" max="16" width="6.44140625" style="1" customWidth="1"/>
    <col min="17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52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5</v>
      </c>
      <c r="K5" s="319"/>
      <c r="L5" s="320" t="s">
        <v>51</v>
      </c>
      <c r="M5" s="318"/>
      <c r="N5" s="318"/>
      <c r="O5" s="319"/>
      <c r="P5" s="321">
        <v>44770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72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44770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69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44770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115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64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65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2.73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24" t="s">
        <v>74</v>
      </c>
      <c r="D51" s="325"/>
      <c r="E51" s="118">
        <v>6.9</v>
      </c>
      <c r="F51" s="119">
        <v>8.6999999999999993</v>
      </c>
      <c r="G51" s="120">
        <v>11.2</v>
      </c>
      <c r="H51" s="120">
        <v>14.8</v>
      </c>
      <c r="I51" s="120">
        <v>20.6</v>
      </c>
      <c r="J51" s="120">
        <v>31.6</v>
      </c>
      <c r="K51" s="120">
        <v>49.3</v>
      </c>
      <c r="L51" s="120">
        <v>70.400000000000006</v>
      </c>
      <c r="M51" s="120">
        <v>87</v>
      </c>
      <c r="N51" s="120">
        <v>96.6</v>
      </c>
      <c r="O51" s="120">
        <v>100</v>
      </c>
      <c r="P51" s="120"/>
      <c r="Q51" s="120"/>
      <c r="R51" s="120"/>
      <c r="S51" s="117"/>
      <c r="T51" s="117"/>
      <c r="U51" s="345">
        <v>170</v>
      </c>
      <c r="V51" s="346"/>
      <c r="W51" s="347">
        <v>5.27</v>
      </c>
      <c r="X51" s="348"/>
      <c r="Y51" s="258">
        <f>IF(W51&lt;&gt;0,AE51,"")</f>
        <v>3.4178017568925019</v>
      </c>
      <c r="Z51" s="259"/>
      <c r="AA51" s="80"/>
      <c r="AB51" s="220">
        <f>(100*W51)/(100-W51)</f>
        <v>5.5631795629684362</v>
      </c>
      <c r="AC51" s="221"/>
      <c r="AD51" s="67">
        <f>(0.25*(100-O51)+2.3*(O51-H51)+12*(H51-E51)+150*(E51))/100</f>
        <v>13.2576</v>
      </c>
      <c r="AE51" s="68">
        <f>(AB51*$AE$47)/(2.65*(AD51)^(1/5))</f>
        <v>3.4178017568925019</v>
      </c>
      <c r="AF51" s="29"/>
      <c r="AG51" s="66"/>
    </row>
    <row r="52" spans="1:34" ht="24.9" customHeight="1" x14ac:dyDescent="0.25">
      <c r="A52" s="5"/>
      <c r="B52" s="44">
        <v>2</v>
      </c>
      <c r="C52" s="337" t="s">
        <v>75</v>
      </c>
      <c r="D52" s="332"/>
      <c r="E52" s="123">
        <v>7.4</v>
      </c>
      <c r="F52" s="124">
        <v>9.4</v>
      </c>
      <c r="G52" s="125">
        <v>12.1</v>
      </c>
      <c r="H52" s="125">
        <v>16</v>
      </c>
      <c r="I52" s="125">
        <v>22</v>
      </c>
      <c r="J52" s="125">
        <v>34.6</v>
      </c>
      <c r="K52" s="125">
        <v>53.6</v>
      </c>
      <c r="L52" s="125">
        <v>71.900000000000006</v>
      </c>
      <c r="M52" s="125">
        <v>87.5</v>
      </c>
      <c r="N52" s="125">
        <v>97.9</v>
      </c>
      <c r="O52" s="125">
        <v>100</v>
      </c>
      <c r="P52" s="125"/>
      <c r="Q52" s="125"/>
      <c r="R52" s="125"/>
      <c r="S52" s="122"/>
      <c r="T52" s="122"/>
      <c r="U52" s="333">
        <v>170</v>
      </c>
      <c r="V52" s="334"/>
      <c r="W52" s="335">
        <v>5.48</v>
      </c>
      <c r="X52" s="336"/>
      <c r="Y52" s="247">
        <f>IF(W52&lt;&gt;0,AE52,"")</f>
        <v>3.5200744348107533</v>
      </c>
      <c r="Z52" s="248"/>
      <c r="AA52" s="80"/>
      <c r="AB52" s="220">
        <f>(100*W52)/(100-W52)</f>
        <v>5.7977147693609821</v>
      </c>
      <c r="AC52" s="221"/>
      <c r="AD52" s="67">
        <f t="shared" ref="AD52:AD58" si="0">(0.25*(100-O52)+2.3*(O52-H52)+12*(H52-E52)+150*(E52))/100</f>
        <v>14.064</v>
      </c>
      <c r="AE52" s="68">
        <f t="shared" ref="AE52:AE58" si="1">(AB52*$AE$47)/(2.65*(AD52)^(1/5))</f>
        <v>3.5200744348107533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96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00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7.15</v>
      </c>
      <c r="F57" s="102">
        <f t="shared" si="3"/>
        <v>9.0500000000000007</v>
      </c>
      <c r="G57" s="102">
        <f t="shared" si="3"/>
        <v>11.649999999999999</v>
      </c>
      <c r="H57" s="102">
        <f t="shared" si="3"/>
        <v>15.4</v>
      </c>
      <c r="I57" s="102">
        <f t="shared" si="3"/>
        <v>21.3</v>
      </c>
      <c r="J57" s="102">
        <f t="shared" si="3"/>
        <v>33.1</v>
      </c>
      <c r="K57" s="102">
        <f t="shared" si="3"/>
        <v>51.45</v>
      </c>
      <c r="L57" s="102">
        <f t="shared" si="3"/>
        <v>71.150000000000006</v>
      </c>
      <c r="M57" s="102">
        <f t="shared" si="3"/>
        <v>87.25</v>
      </c>
      <c r="N57" s="102">
        <f t="shared" si="3"/>
        <v>97.25</v>
      </c>
      <c r="O57" s="116">
        <f t="shared" si="3"/>
        <v>100</v>
      </c>
      <c r="P57" s="102"/>
      <c r="Q57" s="116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170</v>
      </c>
      <c r="V57" s="216"/>
      <c r="W57" s="217">
        <f>IF(W51&lt;&gt;0,AVERAGE(W51:X54),"")</f>
        <v>5.375</v>
      </c>
      <c r="X57" s="218"/>
      <c r="Y57" s="217">
        <f>IF(W51&lt;&gt;0,AVERAGE(Y51:Z54),"")</f>
        <v>3.4689380958516276</v>
      </c>
      <c r="Z57" s="219"/>
      <c r="AA57" s="66"/>
      <c r="AB57" s="220">
        <f>(100*W57)/(100-W57)</f>
        <v>5.680317040951123</v>
      </c>
      <c r="AC57" s="221"/>
      <c r="AD57" s="67">
        <f t="shared" si="0"/>
        <v>13.6608</v>
      </c>
      <c r="AE57" s="68">
        <f t="shared" si="1"/>
        <v>3.4689187081949928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7.6</v>
      </c>
      <c r="F58" s="104">
        <v>9</v>
      </c>
      <c r="G58" s="104">
        <v>12</v>
      </c>
      <c r="H58" s="104">
        <v>15</v>
      </c>
      <c r="I58" s="104">
        <v>21</v>
      </c>
      <c r="J58" s="104">
        <v>30</v>
      </c>
      <c r="K58" s="104">
        <v>45</v>
      </c>
      <c r="L58" s="104">
        <v>65</v>
      </c>
      <c r="M58" s="104">
        <v>80</v>
      </c>
      <c r="N58" s="104">
        <v>96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3.4569977881057974</v>
      </c>
      <c r="Z58" s="230"/>
      <c r="AA58" s="66"/>
      <c r="AB58" s="220">
        <f>(100*W58)/(100-W58)</f>
        <v>5.7082452431289648</v>
      </c>
      <c r="AC58" s="221"/>
      <c r="AD58" s="67">
        <f t="shared" si="0"/>
        <v>14.243</v>
      </c>
      <c r="AE58" s="68">
        <f t="shared" si="1"/>
        <v>3.4569977881057974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9.6</v>
      </c>
      <c r="F59" s="96"/>
      <c r="G59" s="96"/>
      <c r="H59" s="96"/>
      <c r="I59" s="96"/>
      <c r="J59" s="96">
        <f>J58+6</f>
        <v>36</v>
      </c>
      <c r="K59" s="96"/>
      <c r="L59" s="96">
        <f>L58+7</f>
        <v>72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5.6</v>
      </c>
      <c r="F60" s="106"/>
      <c r="G60" s="107"/>
      <c r="H60" s="107"/>
      <c r="I60" s="107"/>
      <c r="J60" s="106">
        <f>J58-6</f>
        <v>24</v>
      </c>
      <c r="K60" s="107"/>
      <c r="L60" s="106">
        <f>L58-7</f>
        <v>58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AE59:AE60"/>
    <mergeCell ref="B60:D60"/>
    <mergeCell ref="U60:V60"/>
    <mergeCell ref="W60:X60"/>
    <mergeCell ref="Y60:Z60"/>
    <mergeCell ref="A69:Q72"/>
    <mergeCell ref="R69:T72"/>
    <mergeCell ref="U69:Z72"/>
    <mergeCell ref="U63:Z63"/>
    <mergeCell ref="A64:Q64"/>
    <mergeCell ref="R64:T64"/>
    <mergeCell ref="U64:Z64"/>
    <mergeCell ref="A65:Q67"/>
    <mergeCell ref="R65:T68"/>
    <mergeCell ref="U65:Z68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B56:D56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U52:V52"/>
    <mergeCell ref="W52:X52"/>
    <mergeCell ref="C52:D52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5" orientation="portrait" horizontalDpi="300" verticalDpi="300" r:id="rId1"/>
  <headerFooter alignWithMargins="0">
    <oddFooter>&amp;RDG-Q / RE CFE du 28/06/06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ACB8-3DC9-4482-9FF6-02B29394CF80}">
  <sheetPr>
    <pageSetUpPr fitToPage="1"/>
  </sheetPr>
  <dimension ref="A1:AN72"/>
  <sheetViews>
    <sheetView topLeftCell="A6" zoomScaleNormal="100" workbookViewId="0">
      <selection activeCell="AB68" sqref="AB68"/>
    </sheetView>
  </sheetViews>
  <sheetFormatPr baseColWidth="10" defaultColWidth="11.44140625" defaultRowHeight="12.75" customHeight="1" x14ac:dyDescent="0.25"/>
  <cols>
    <col min="1" max="2" width="5.109375" style="29" customWidth="1"/>
    <col min="3" max="14" width="5.109375" style="1" customWidth="1"/>
    <col min="15" max="15" width="5.6640625" style="1" customWidth="1"/>
    <col min="16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52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4</v>
      </c>
      <c r="K5" s="319"/>
      <c r="L5" s="320" t="s">
        <v>51</v>
      </c>
      <c r="M5" s="318"/>
      <c r="N5" s="318"/>
      <c r="O5" s="319"/>
      <c r="P5" s="321">
        <v>44770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72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44770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58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44770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56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64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65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2.6949999999999998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24" t="s">
        <v>73</v>
      </c>
      <c r="D51" s="325"/>
      <c r="E51" s="118">
        <v>6.8</v>
      </c>
      <c r="F51" s="119">
        <v>8.8000000000000007</v>
      </c>
      <c r="G51" s="120">
        <v>11.3</v>
      </c>
      <c r="H51" s="120">
        <v>14.9</v>
      </c>
      <c r="I51" s="120">
        <v>20.7</v>
      </c>
      <c r="J51" s="120">
        <v>30.9</v>
      </c>
      <c r="K51" s="120">
        <v>50.3</v>
      </c>
      <c r="L51" s="120">
        <v>70.2</v>
      </c>
      <c r="M51" s="120">
        <v>84.6</v>
      </c>
      <c r="N51" s="120">
        <v>96.9</v>
      </c>
      <c r="O51" s="120">
        <v>100</v>
      </c>
      <c r="P51" s="120"/>
      <c r="Q51" s="120"/>
      <c r="R51" s="120"/>
      <c r="S51" s="117"/>
      <c r="T51" s="117"/>
      <c r="U51" s="345">
        <v>170</v>
      </c>
      <c r="V51" s="346"/>
      <c r="W51" s="347">
        <v>4.8600000000000003</v>
      </c>
      <c r="X51" s="348"/>
      <c r="Y51" s="258">
        <f>IF(W51&lt;&gt;0,AE51,"")</f>
        <v>3.1041142918938944</v>
      </c>
      <c r="Z51" s="259"/>
      <c r="AA51" s="80"/>
      <c r="AB51" s="220">
        <f>(100*W51)/(100-W51)</f>
        <v>5.1082615093546355</v>
      </c>
      <c r="AC51" s="221"/>
      <c r="AD51" s="67">
        <f>(0.25*(100-O51)+2.3*(O51-H51)+12*(H51-E51)+150*(E51))/100</f>
        <v>13.129299999999999</v>
      </c>
      <c r="AE51" s="68">
        <f>(AB51*$AE$47)/(2.65*(AD51)^(1/5))</f>
        <v>3.1041142918938944</v>
      </c>
      <c r="AF51" s="29"/>
      <c r="AG51" s="66"/>
    </row>
    <row r="52" spans="1:34" ht="24.9" customHeight="1" x14ac:dyDescent="0.25">
      <c r="A52" s="5"/>
      <c r="B52" s="44">
        <v>2</v>
      </c>
      <c r="C52" s="198"/>
      <c r="D52" s="249"/>
      <c r="E52" s="90"/>
      <c r="F52" s="91"/>
      <c r="G52" s="91"/>
      <c r="H52" s="92"/>
      <c r="I52" s="92"/>
      <c r="J52" s="92"/>
      <c r="K52" s="92"/>
      <c r="L52" s="92"/>
      <c r="M52" s="92"/>
      <c r="N52" s="92"/>
      <c r="O52" s="92"/>
      <c r="P52" s="92"/>
      <c r="Q52" s="111"/>
      <c r="R52" s="92"/>
      <c r="S52" s="92"/>
      <c r="T52" s="93"/>
      <c r="U52" s="195"/>
      <c r="V52" s="196"/>
      <c r="W52" s="250"/>
      <c r="X52" s="251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96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00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6.8</v>
      </c>
      <c r="F57" s="102">
        <f t="shared" si="3"/>
        <v>8.8000000000000007</v>
      </c>
      <c r="G57" s="102">
        <f t="shared" si="3"/>
        <v>11.3</v>
      </c>
      <c r="H57" s="102">
        <f t="shared" si="3"/>
        <v>14.9</v>
      </c>
      <c r="I57" s="102">
        <f t="shared" si="3"/>
        <v>20.7</v>
      </c>
      <c r="J57" s="102">
        <f t="shared" si="3"/>
        <v>30.9</v>
      </c>
      <c r="K57" s="102">
        <f t="shared" si="3"/>
        <v>50.3</v>
      </c>
      <c r="L57" s="102">
        <f t="shared" si="3"/>
        <v>70.2</v>
      </c>
      <c r="M57" s="102">
        <f t="shared" si="3"/>
        <v>84.6</v>
      </c>
      <c r="N57" s="102">
        <f t="shared" si="3"/>
        <v>96.9</v>
      </c>
      <c r="O57" s="116">
        <f t="shared" si="3"/>
        <v>100</v>
      </c>
      <c r="P57" s="102"/>
      <c r="Q57" s="116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170</v>
      </c>
      <c r="V57" s="216"/>
      <c r="W57" s="217">
        <f>IF(W51&lt;&gt;0,AVERAGE(W51:X54),"")</f>
        <v>4.8600000000000003</v>
      </c>
      <c r="X57" s="218"/>
      <c r="Y57" s="217">
        <f>IF(W51&lt;&gt;0,AVERAGE(Y51:Z54),"")</f>
        <v>3.1041142918938944</v>
      </c>
      <c r="Z57" s="219"/>
      <c r="AA57" s="66"/>
      <c r="AB57" s="220">
        <f>(100*W57)/(100-W57)</f>
        <v>5.1082615093546355</v>
      </c>
      <c r="AC57" s="221"/>
      <c r="AD57" s="67">
        <f t="shared" si="0"/>
        <v>13.129299999999999</v>
      </c>
      <c r="AE57" s="68">
        <f t="shared" si="1"/>
        <v>3.1041142918938944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6.9</v>
      </c>
      <c r="F58" s="104">
        <v>9</v>
      </c>
      <c r="G58" s="104">
        <v>11</v>
      </c>
      <c r="H58" s="104">
        <v>15</v>
      </c>
      <c r="I58" s="104">
        <v>20</v>
      </c>
      <c r="J58" s="104">
        <v>29</v>
      </c>
      <c r="K58" s="104">
        <v>42</v>
      </c>
      <c r="L58" s="104">
        <v>65</v>
      </c>
      <c r="M58" s="104">
        <v>82</v>
      </c>
      <c r="N58" s="104">
        <v>95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5.3</v>
      </c>
      <c r="X58" s="228"/>
      <c r="Y58" s="229">
        <f>AE58</f>
        <v>3.3932729504538623</v>
      </c>
      <c r="Z58" s="230"/>
      <c r="AA58" s="66"/>
      <c r="AB58" s="220">
        <f>(100*W58)/(100-W58)</f>
        <v>5.5966209081309399</v>
      </c>
      <c r="AC58" s="221"/>
      <c r="AD58" s="67">
        <f t="shared" si="0"/>
        <v>13.276999999999997</v>
      </c>
      <c r="AE58" s="68">
        <f t="shared" si="1"/>
        <v>3.3932729504538623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8.9</v>
      </c>
      <c r="F59" s="96"/>
      <c r="G59" s="96"/>
      <c r="H59" s="96"/>
      <c r="I59" s="96"/>
      <c r="J59" s="96">
        <f>J58+6</f>
        <v>35</v>
      </c>
      <c r="K59" s="96"/>
      <c r="L59" s="96">
        <f>L58+7</f>
        <v>72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5.8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4.9000000000000004</v>
      </c>
      <c r="F60" s="106"/>
      <c r="G60" s="107"/>
      <c r="H60" s="107"/>
      <c r="I60" s="107"/>
      <c r="J60" s="106">
        <f>J58-6</f>
        <v>23</v>
      </c>
      <c r="K60" s="107"/>
      <c r="L60" s="106">
        <f>L58-7</f>
        <v>58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4.8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A69:Q72"/>
    <mergeCell ref="R69:T72"/>
    <mergeCell ref="U69:Z72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5" orientation="portrait" horizontalDpi="300" verticalDpi="300" r:id="rId1"/>
  <headerFooter alignWithMargins="0">
    <oddFooter>&amp;RDG-Q / RE CFE du 28/06/06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4EBE-D264-4574-9DD2-AC517B2ADAA2}">
  <sheetPr>
    <pageSetUpPr fitToPage="1"/>
  </sheetPr>
  <dimension ref="A1:AN72"/>
  <sheetViews>
    <sheetView topLeftCell="A2" zoomScaleNormal="100" workbookViewId="0">
      <selection activeCell="AG19" sqref="AG1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52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3</v>
      </c>
      <c r="K5" s="319"/>
      <c r="L5" s="320" t="s">
        <v>51</v>
      </c>
      <c r="M5" s="318"/>
      <c r="N5" s="318"/>
      <c r="O5" s="319"/>
      <c r="P5" s="321">
        <v>44770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>
        <v>44769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69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>
        <v>44769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167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55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59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56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2.661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24" t="s">
        <v>70</v>
      </c>
      <c r="D51" s="325"/>
      <c r="E51" s="118">
        <v>7.1</v>
      </c>
      <c r="F51" s="119">
        <v>9.1999999999999993</v>
      </c>
      <c r="G51" s="120">
        <v>11.7</v>
      </c>
      <c r="H51" s="120">
        <v>15.2</v>
      </c>
      <c r="I51" s="120">
        <v>19.899999999999999</v>
      </c>
      <c r="J51" s="120">
        <v>28.4</v>
      </c>
      <c r="K51" s="120">
        <v>42.5</v>
      </c>
      <c r="L51" s="120">
        <v>56.8</v>
      </c>
      <c r="M51" s="120">
        <v>64.900000000000006</v>
      </c>
      <c r="N51" s="120">
        <v>73.900000000000006</v>
      </c>
      <c r="O51" s="120">
        <v>85.8</v>
      </c>
      <c r="P51" s="120">
        <v>94.7</v>
      </c>
      <c r="Q51" s="121">
        <v>100</v>
      </c>
      <c r="R51" s="120"/>
      <c r="S51" s="117"/>
      <c r="T51" s="117"/>
      <c r="U51" s="345">
        <v>167</v>
      </c>
      <c r="V51" s="346"/>
      <c r="W51" s="347">
        <v>4.33</v>
      </c>
      <c r="X51" s="348"/>
      <c r="Y51" s="258">
        <f>IF(W51&lt;&gt;0,AE51,"")</f>
        <v>2.7093368608256445</v>
      </c>
      <c r="Z51" s="259"/>
      <c r="AA51" s="80"/>
      <c r="AB51" s="220">
        <f>(100*W51)/(100-W51)</f>
        <v>4.5259747047141214</v>
      </c>
      <c r="AC51" s="221"/>
      <c r="AD51" s="67">
        <f>(0.25*(100-O51)+2.3*(O51-H51)+12*(H51-E51)+150*(E51))/100</f>
        <v>13.281300000000002</v>
      </c>
      <c r="AE51" s="68">
        <f>(AB51*$AE$47)/(2.65*(AD51)^(1/5))</f>
        <v>2.7093368608256445</v>
      </c>
      <c r="AF51" s="29"/>
      <c r="AG51" s="66"/>
    </row>
    <row r="52" spans="1:34" ht="24.9" customHeight="1" x14ac:dyDescent="0.25">
      <c r="A52" s="5"/>
      <c r="B52" s="44">
        <v>2</v>
      </c>
      <c r="C52" s="324" t="s">
        <v>71</v>
      </c>
      <c r="D52" s="325"/>
      <c r="E52" s="118">
        <v>7.3</v>
      </c>
      <c r="F52" s="119">
        <v>9.1999999999999993</v>
      </c>
      <c r="G52" s="120">
        <v>12</v>
      </c>
      <c r="H52" s="120">
        <v>15.6</v>
      </c>
      <c r="I52" s="120">
        <v>20.9</v>
      </c>
      <c r="J52" s="120">
        <v>31.2</v>
      </c>
      <c r="K52" s="120">
        <v>48.1</v>
      </c>
      <c r="L52" s="120">
        <v>62.6</v>
      </c>
      <c r="M52" s="120">
        <v>71.400000000000006</v>
      </c>
      <c r="N52" s="120">
        <v>82.3</v>
      </c>
      <c r="O52" s="120">
        <v>89.8</v>
      </c>
      <c r="P52" s="120">
        <v>96.4</v>
      </c>
      <c r="Q52" s="121">
        <v>100</v>
      </c>
      <c r="R52" s="120"/>
      <c r="S52" s="117"/>
      <c r="T52" s="117"/>
      <c r="U52" s="345">
        <v>169</v>
      </c>
      <c r="V52" s="346"/>
      <c r="W52" s="347">
        <v>4.58</v>
      </c>
      <c r="X52" s="348"/>
      <c r="Y52" s="247">
        <f>IF(W52&lt;&gt;0,AE52,"")</f>
        <v>2.8564058344855003</v>
      </c>
      <c r="Z52" s="248"/>
      <c r="AA52" s="80"/>
      <c r="AB52" s="220">
        <f>(100*W52)/(100-W52)</f>
        <v>4.7998323202682878</v>
      </c>
      <c r="AC52" s="221"/>
      <c r="AD52" s="67">
        <f t="shared" ref="AD52:AD58" si="0">(0.25*(100-O52)+2.3*(O52-H52)+12*(H52-E52)+150*(E52))/100</f>
        <v>13.678099999999999</v>
      </c>
      <c r="AE52" s="68">
        <f t="shared" ref="AE52:AE58" si="1">(AB52*$AE$47)/(2.65*(AD52)^(1/5))</f>
        <v>2.8564058344855003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96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00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7.1999999999999993</v>
      </c>
      <c r="F57" s="102">
        <f t="shared" si="3"/>
        <v>9.1999999999999993</v>
      </c>
      <c r="G57" s="102">
        <f t="shared" si="3"/>
        <v>11.85</v>
      </c>
      <c r="H57" s="102">
        <f t="shared" si="3"/>
        <v>15.399999999999999</v>
      </c>
      <c r="I57" s="102">
        <f t="shared" si="3"/>
        <v>20.399999999999999</v>
      </c>
      <c r="J57" s="102">
        <f t="shared" si="3"/>
        <v>29.799999999999997</v>
      </c>
      <c r="K57" s="102">
        <f t="shared" si="3"/>
        <v>45.3</v>
      </c>
      <c r="L57" s="102">
        <f t="shared" si="3"/>
        <v>59.7</v>
      </c>
      <c r="M57" s="102">
        <f t="shared" si="3"/>
        <v>68.150000000000006</v>
      </c>
      <c r="N57" s="102">
        <f t="shared" si="3"/>
        <v>78.099999999999994</v>
      </c>
      <c r="O57" s="102">
        <f t="shared" si="3"/>
        <v>87.8</v>
      </c>
      <c r="P57" s="102">
        <f t="shared" si="3"/>
        <v>95.550000000000011</v>
      </c>
      <c r="Q57" s="116">
        <f t="shared" si="3"/>
        <v>100</v>
      </c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168</v>
      </c>
      <c r="V57" s="216"/>
      <c r="W57" s="217">
        <f>IF(W51&lt;&gt;0,AVERAGE(W51:X54),"")</f>
        <v>4.4550000000000001</v>
      </c>
      <c r="X57" s="218"/>
      <c r="Y57" s="217">
        <f>IF(W51&lt;&gt;0,AVERAGE(Y51:Z54),"")</f>
        <v>2.7828713476555724</v>
      </c>
      <c r="Z57" s="219"/>
      <c r="AA57" s="66"/>
      <c r="AB57" s="220">
        <f>(100*W57)/(100-W57)</f>
        <v>4.6627243707153694</v>
      </c>
      <c r="AC57" s="221"/>
      <c r="AD57" s="67">
        <f t="shared" si="0"/>
        <v>13.479700000000001</v>
      </c>
      <c r="AE57" s="68">
        <f t="shared" si="1"/>
        <v>2.7829326679731854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6.7</v>
      </c>
      <c r="F58" s="104">
        <v>9</v>
      </c>
      <c r="G58" s="104">
        <v>12</v>
      </c>
      <c r="H58" s="104">
        <v>16</v>
      </c>
      <c r="I58" s="104">
        <v>22</v>
      </c>
      <c r="J58" s="104">
        <v>31</v>
      </c>
      <c r="K58" s="104">
        <v>45</v>
      </c>
      <c r="L58" s="104">
        <v>60</v>
      </c>
      <c r="M58" s="104">
        <v>69</v>
      </c>
      <c r="N58" s="104">
        <v>77</v>
      </c>
      <c r="O58" s="104">
        <v>91</v>
      </c>
      <c r="P58" s="104">
        <v>98</v>
      </c>
      <c r="Q58" s="110">
        <v>100</v>
      </c>
      <c r="R58" s="104"/>
      <c r="S58" s="104"/>
      <c r="T58" s="105"/>
      <c r="U58" s="225"/>
      <c r="V58" s="226"/>
      <c r="W58" s="227">
        <v>4.4000000000000004</v>
      </c>
      <c r="X58" s="228"/>
      <c r="Y58" s="229">
        <f>AE58</f>
        <v>2.7706712065926888</v>
      </c>
      <c r="Z58" s="230"/>
      <c r="AA58" s="66"/>
      <c r="AB58" s="220">
        <f>(100*W58)/(100-W58)</f>
        <v>4.6025104602510467</v>
      </c>
      <c r="AC58" s="221"/>
      <c r="AD58" s="67">
        <f t="shared" si="0"/>
        <v>12.913499999999999</v>
      </c>
      <c r="AE58" s="68">
        <f t="shared" si="1"/>
        <v>2.7706712065926888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8.6999999999999993</v>
      </c>
      <c r="F59" s="96"/>
      <c r="G59" s="96"/>
      <c r="H59" s="96"/>
      <c r="I59" s="96"/>
      <c r="J59" s="96">
        <f>J58+6</f>
        <v>37</v>
      </c>
      <c r="K59" s="96"/>
      <c r="L59" s="96">
        <f>L58+7</f>
        <v>67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4.9000000000000004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4.7</v>
      </c>
      <c r="F60" s="106"/>
      <c r="G60" s="107"/>
      <c r="H60" s="107"/>
      <c r="I60" s="107"/>
      <c r="J60" s="106">
        <f>J58-6</f>
        <v>25</v>
      </c>
      <c r="K60" s="107"/>
      <c r="L60" s="106">
        <f>L58-7</f>
        <v>53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3.9000000000000004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U69:Z72"/>
    <mergeCell ref="U51:V51"/>
    <mergeCell ref="W51:X51"/>
    <mergeCell ref="C52:D52"/>
    <mergeCell ref="U52:V52"/>
    <mergeCell ref="W52:X52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F3AE-AF7C-4AD5-9FB7-CF1F6E581959}">
  <sheetPr>
    <pageSetUpPr fitToPage="1"/>
  </sheetPr>
  <dimension ref="A1:AN72"/>
  <sheetViews>
    <sheetView topLeftCell="A37" zoomScaleNormal="100" workbookViewId="0">
      <selection activeCell="R57" sqref="R57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52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2</v>
      </c>
      <c r="K5" s="319"/>
      <c r="L5" s="320" t="s">
        <v>51</v>
      </c>
      <c r="M5" s="318"/>
      <c r="N5" s="318"/>
      <c r="O5" s="319"/>
      <c r="P5" s="321">
        <v>44769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 t="s">
        <v>54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66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 t="s">
        <v>54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115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64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67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65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2.73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24" t="s">
        <v>68</v>
      </c>
      <c r="D51" s="325"/>
      <c r="E51" s="118">
        <v>7.4</v>
      </c>
      <c r="F51" s="119">
        <v>9.4</v>
      </c>
      <c r="G51" s="120">
        <v>11.9</v>
      </c>
      <c r="H51" s="120">
        <v>15.5</v>
      </c>
      <c r="I51" s="120">
        <v>21.4</v>
      </c>
      <c r="J51" s="120">
        <v>32.200000000000003</v>
      </c>
      <c r="K51" s="120">
        <v>48.1</v>
      </c>
      <c r="L51" s="120">
        <v>67.599999999999994</v>
      </c>
      <c r="M51" s="120">
        <v>83.3</v>
      </c>
      <c r="N51" s="120">
        <v>95.4</v>
      </c>
      <c r="O51" s="120">
        <v>100</v>
      </c>
      <c r="P51" s="120"/>
      <c r="Q51" s="120"/>
      <c r="R51" s="120"/>
      <c r="S51" s="117"/>
      <c r="T51" s="117"/>
      <c r="U51" s="345">
        <v>170</v>
      </c>
      <c r="V51" s="346"/>
      <c r="W51" s="347">
        <v>5.22</v>
      </c>
      <c r="X51" s="348"/>
      <c r="Y51" s="258">
        <f>IF(W51&lt;&gt;0,AE51,"")</f>
        <v>3.3461765595902473</v>
      </c>
      <c r="Z51" s="259"/>
      <c r="AA51" s="80"/>
      <c r="AB51" s="220">
        <f>(100*W51)/(100-W51)</f>
        <v>5.5074910318632622</v>
      </c>
      <c r="AC51" s="221"/>
      <c r="AD51" s="67">
        <f>(0.25*(100-O51)+2.3*(O51-H51)+12*(H51-E51)+150*(E51))/100</f>
        <v>14.015499999999999</v>
      </c>
      <c r="AE51" s="68">
        <f>(AB51*$AE$47)/(2.65*(AD51)^(1/5))</f>
        <v>3.3461765595902473</v>
      </c>
      <c r="AF51" s="29"/>
      <c r="AG51" s="66"/>
    </row>
    <row r="52" spans="1:34" ht="24.9" customHeight="1" x14ac:dyDescent="0.25">
      <c r="A52" s="5"/>
      <c r="B52" s="44">
        <v>2</v>
      </c>
      <c r="C52" s="198"/>
      <c r="D52" s="249"/>
      <c r="E52" s="90"/>
      <c r="F52" s="91"/>
      <c r="G52" s="91"/>
      <c r="H52" s="92"/>
      <c r="I52" s="92"/>
      <c r="J52" s="92"/>
      <c r="K52" s="92"/>
      <c r="L52" s="92"/>
      <c r="M52" s="92"/>
      <c r="N52" s="92"/>
      <c r="O52" s="92"/>
      <c r="P52" s="92"/>
      <c r="Q52" s="111"/>
      <c r="R52" s="92"/>
      <c r="S52" s="92"/>
      <c r="T52" s="93"/>
      <c r="U52" s="195"/>
      <c r="V52" s="196"/>
      <c r="W52" s="250"/>
      <c r="X52" s="251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96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00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7.4</v>
      </c>
      <c r="F57" s="102">
        <f t="shared" si="3"/>
        <v>9.4</v>
      </c>
      <c r="G57" s="102">
        <f t="shared" si="3"/>
        <v>11.9</v>
      </c>
      <c r="H57" s="102">
        <f t="shared" si="3"/>
        <v>15.5</v>
      </c>
      <c r="I57" s="102">
        <f t="shared" si="3"/>
        <v>21.4</v>
      </c>
      <c r="J57" s="102">
        <f t="shared" si="3"/>
        <v>32.200000000000003</v>
      </c>
      <c r="K57" s="102">
        <f t="shared" si="3"/>
        <v>48.1</v>
      </c>
      <c r="L57" s="102">
        <f t="shared" si="3"/>
        <v>67.599999999999994</v>
      </c>
      <c r="M57" s="102">
        <f t="shared" si="3"/>
        <v>83.3</v>
      </c>
      <c r="N57" s="102">
        <f t="shared" si="3"/>
        <v>95.4</v>
      </c>
      <c r="O57" s="116">
        <f t="shared" si="3"/>
        <v>100</v>
      </c>
      <c r="P57" s="102"/>
      <c r="Q57" s="116"/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170</v>
      </c>
      <c r="V57" s="216"/>
      <c r="W57" s="217">
        <f>IF(W51&lt;&gt;0,AVERAGE(W51:X54),"")</f>
        <v>5.22</v>
      </c>
      <c r="X57" s="218"/>
      <c r="Y57" s="217">
        <f>IF(W51&lt;&gt;0,AVERAGE(Y51:Z54),"")</f>
        <v>3.3461765595902473</v>
      </c>
      <c r="Z57" s="219"/>
      <c r="AA57" s="66"/>
      <c r="AB57" s="220">
        <f>(100*W57)/(100-W57)</f>
        <v>5.5074910318632622</v>
      </c>
      <c r="AC57" s="221"/>
      <c r="AD57" s="67">
        <f t="shared" si="0"/>
        <v>14.015499999999999</v>
      </c>
      <c r="AE57" s="68">
        <f t="shared" si="1"/>
        <v>3.3461765595902473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7.6</v>
      </c>
      <c r="F58" s="104">
        <v>9</v>
      </c>
      <c r="G58" s="104">
        <v>12</v>
      </c>
      <c r="H58" s="104">
        <v>15</v>
      </c>
      <c r="I58" s="104">
        <v>21</v>
      </c>
      <c r="J58" s="104">
        <v>30</v>
      </c>
      <c r="K58" s="104">
        <v>45</v>
      </c>
      <c r="L58" s="104">
        <v>65</v>
      </c>
      <c r="M58" s="104">
        <v>80</v>
      </c>
      <c r="N58" s="104">
        <v>96</v>
      </c>
      <c r="O58" s="110">
        <v>100</v>
      </c>
      <c r="P58" s="104"/>
      <c r="Q58" s="110"/>
      <c r="R58" s="104"/>
      <c r="S58" s="104"/>
      <c r="T58" s="105"/>
      <c r="U58" s="225"/>
      <c r="V58" s="226"/>
      <c r="W58" s="227">
        <v>5.4</v>
      </c>
      <c r="X58" s="228"/>
      <c r="Y58" s="229">
        <f>AE58</f>
        <v>3.4569977881057974</v>
      </c>
      <c r="Z58" s="230"/>
      <c r="AA58" s="66"/>
      <c r="AB58" s="220">
        <f>(100*W58)/(100-W58)</f>
        <v>5.7082452431289648</v>
      </c>
      <c r="AC58" s="221"/>
      <c r="AD58" s="67">
        <f t="shared" si="0"/>
        <v>14.243</v>
      </c>
      <c r="AE58" s="68">
        <f t="shared" si="1"/>
        <v>3.4569977881057974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9.6</v>
      </c>
      <c r="F59" s="96"/>
      <c r="G59" s="96"/>
      <c r="H59" s="96"/>
      <c r="I59" s="96"/>
      <c r="J59" s="96">
        <f>J58+6</f>
        <v>36</v>
      </c>
      <c r="K59" s="96"/>
      <c r="L59" s="96">
        <f>L58+7</f>
        <v>72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5.9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5.6</v>
      </c>
      <c r="F60" s="106"/>
      <c r="G60" s="107"/>
      <c r="H60" s="107"/>
      <c r="I60" s="107"/>
      <c r="J60" s="106">
        <f>J58-6</f>
        <v>24</v>
      </c>
      <c r="K60" s="107"/>
      <c r="L60" s="106">
        <f>L58-7</f>
        <v>58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4.9000000000000004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U69:Z72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zoomScaleNormal="100" workbookViewId="0">
      <selection activeCell="S11" sqref="S11:Y1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3"/>
      <c r="B1" s="294"/>
      <c r="C1" s="294"/>
      <c r="D1" s="294"/>
      <c r="E1" s="294"/>
      <c r="F1" s="295"/>
      <c r="G1" s="302" t="s">
        <v>34</v>
      </c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4"/>
      <c r="U1" s="305" t="s">
        <v>52</v>
      </c>
      <c r="V1" s="306"/>
      <c r="W1" s="306"/>
      <c r="X1" s="306"/>
      <c r="Y1" s="306"/>
      <c r="Z1" s="307"/>
      <c r="AA1" s="78"/>
    </row>
    <row r="2" spans="1:36" ht="12.75" customHeight="1" x14ac:dyDescent="0.25">
      <c r="A2" s="296"/>
      <c r="B2" s="297"/>
      <c r="C2" s="297"/>
      <c r="D2" s="297"/>
      <c r="E2" s="297"/>
      <c r="F2" s="298"/>
      <c r="G2" s="314" t="s">
        <v>40</v>
      </c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6"/>
      <c r="U2" s="308"/>
      <c r="V2" s="309"/>
      <c r="W2" s="309"/>
      <c r="X2" s="309"/>
      <c r="Y2" s="309"/>
      <c r="Z2" s="310"/>
      <c r="AA2" s="78"/>
    </row>
    <row r="3" spans="1:36" ht="12.75" customHeight="1" x14ac:dyDescent="0.25">
      <c r="A3" s="296"/>
      <c r="B3" s="297"/>
      <c r="C3" s="297"/>
      <c r="D3" s="297"/>
      <c r="E3" s="297"/>
      <c r="F3" s="298"/>
      <c r="G3" s="317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6"/>
      <c r="U3" s="308"/>
      <c r="V3" s="309"/>
      <c r="W3" s="309"/>
      <c r="X3" s="309"/>
      <c r="Y3" s="309"/>
      <c r="Z3" s="310"/>
      <c r="AA3" s="78"/>
    </row>
    <row r="4" spans="1:36" ht="12.75" customHeight="1" x14ac:dyDescent="0.25">
      <c r="A4" s="296"/>
      <c r="B4" s="297"/>
      <c r="C4" s="297"/>
      <c r="D4" s="297"/>
      <c r="E4" s="297"/>
      <c r="F4" s="298"/>
      <c r="G4" s="317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08"/>
      <c r="V4" s="309"/>
      <c r="W4" s="309"/>
      <c r="X4" s="309"/>
      <c r="Y4" s="309"/>
      <c r="Z4" s="310"/>
      <c r="AA4" s="78"/>
    </row>
    <row r="5" spans="1:36" ht="12.75" customHeight="1" x14ac:dyDescent="0.25">
      <c r="A5" s="296"/>
      <c r="B5" s="297"/>
      <c r="C5" s="297"/>
      <c r="D5" s="297"/>
      <c r="E5" s="297"/>
      <c r="F5" s="298"/>
      <c r="G5" s="317" t="s">
        <v>41</v>
      </c>
      <c r="H5" s="315"/>
      <c r="I5" s="2" t="s">
        <v>35</v>
      </c>
      <c r="J5" s="318">
        <v>1</v>
      </c>
      <c r="K5" s="319"/>
      <c r="L5" s="320" t="s">
        <v>51</v>
      </c>
      <c r="M5" s="318"/>
      <c r="N5" s="318"/>
      <c r="O5" s="319"/>
      <c r="P5" s="321">
        <v>44768</v>
      </c>
      <c r="Q5" s="322"/>
      <c r="R5" s="322"/>
      <c r="S5" s="322"/>
      <c r="T5" s="323"/>
      <c r="U5" s="308"/>
      <c r="V5" s="309"/>
      <c r="W5" s="309"/>
      <c r="X5" s="309"/>
      <c r="Y5" s="309"/>
      <c r="Z5" s="310"/>
      <c r="AA5" s="78"/>
    </row>
    <row r="6" spans="1:36" ht="12.75" customHeight="1" x14ac:dyDescent="0.25">
      <c r="A6" s="299"/>
      <c r="B6" s="300"/>
      <c r="C6" s="300"/>
      <c r="D6" s="300"/>
      <c r="E6" s="300"/>
      <c r="F6" s="301"/>
      <c r="G6" s="3"/>
      <c r="H6" s="4"/>
      <c r="I6" s="4"/>
      <c r="J6" s="288" t="s">
        <v>36</v>
      </c>
      <c r="K6" s="288"/>
      <c r="L6" s="288" t="s">
        <v>37</v>
      </c>
      <c r="M6" s="288"/>
      <c r="N6" s="288"/>
      <c r="O6" s="288"/>
      <c r="P6" s="288" t="s">
        <v>38</v>
      </c>
      <c r="Q6" s="288"/>
      <c r="R6" s="288"/>
      <c r="S6" s="288"/>
      <c r="T6" s="289"/>
      <c r="U6" s="311"/>
      <c r="V6" s="312"/>
      <c r="W6" s="312"/>
      <c r="X6" s="312"/>
      <c r="Y6" s="312"/>
      <c r="Z6" s="313"/>
      <c r="AA6" s="78"/>
    </row>
    <row r="7" spans="1:36" ht="37.5" customHeight="1" x14ac:dyDescent="0.25">
      <c r="A7" s="290" t="s">
        <v>39</v>
      </c>
      <c r="B7" s="290"/>
      <c r="C7" s="290"/>
      <c r="D7" s="290"/>
      <c r="E7" s="290"/>
      <c r="F7" s="290"/>
      <c r="G7" s="291" t="s">
        <v>33</v>
      </c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1" t="s">
        <v>28</v>
      </c>
      <c r="C10" s="281"/>
      <c r="D10" s="281"/>
      <c r="E10" s="281"/>
      <c r="F10" s="281"/>
      <c r="G10" s="285" t="s">
        <v>53</v>
      </c>
      <c r="H10" s="285"/>
      <c r="I10" s="285"/>
      <c r="J10" s="285"/>
      <c r="K10" s="285"/>
      <c r="L10" s="285"/>
      <c r="M10" s="281" t="s">
        <v>31</v>
      </c>
      <c r="N10" s="281"/>
      <c r="O10" s="281"/>
      <c r="P10" s="281"/>
      <c r="Q10" s="281"/>
      <c r="R10" s="281"/>
      <c r="S10" s="292" t="s">
        <v>57</v>
      </c>
      <c r="T10" s="292"/>
      <c r="U10" s="292"/>
      <c r="V10" s="292"/>
      <c r="W10" s="292"/>
      <c r="X10" s="292"/>
      <c r="Y10" s="292"/>
      <c r="Z10" s="17"/>
      <c r="AA10" s="75"/>
      <c r="AB10" s="12"/>
      <c r="AC10" s="12"/>
      <c r="AD10" s="12"/>
      <c r="AE10" s="281"/>
      <c r="AF10" s="281"/>
      <c r="AG10" s="281"/>
      <c r="AH10" s="281"/>
      <c r="AI10" s="281"/>
    </row>
    <row r="11" spans="1:36" ht="15.9" customHeight="1" x14ac:dyDescent="0.25">
      <c r="A11" s="13"/>
      <c r="B11" s="281" t="s">
        <v>6</v>
      </c>
      <c r="C11" s="281"/>
      <c r="D11" s="281"/>
      <c r="E11" s="281"/>
      <c r="F11" s="281"/>
      <c r="G11" s="285" t="s">
        <v>54</v>
      </c>
      <c r="H11" s="285"/>
      <c r="I11" s="285"/>
      <c r="J11" s="285"/>
      <c r="K11" s="285"/>
      <c r="L11" s="285"/>
      <c r="M11" s="281" t="s">
        <v>45</v>
      </c>
      <c r="N11" s="281"/>
      <c r="O11" s="281"/>
      <c r="P11" s="281"/>
      <c r="Q11" s="281"/>
      <c r="R11" s="281"/>
      <c r="S11" s="287" t="s">
        <v>58</v>
      </c>
      <c r="T11" s="287"/>
      <c r="U11" s="287"/>
      <c r="V11" s="287"/>
      <c r="W11" s="287"/>
      <c r="X11" s="287"/>
      <c r="Y11" s="287"/>
      <c r="Z11" s="17"/>
      <c r="AA11" s="75"/>
      <c r="AB11" s="12"/>
      <c r="AC11" s="12"/>
      <c r="AD11" s="12"/>
      <c r="AE11" s="281"/>
      <c r="AF11" s="281"/>
      <c r="AG11" s="281"/>
      <c r="AH11" s="281"/>
      <c r="AI11" s="281"/>
    </row>
    <row r="12" spans="1:36" ht="15.9" customHeight="1" x14ac:dyDescent="0.25">
      <c r="A12" s="13"/>
      <c r="B12" s="281" t="s">
        <v>29</v>
      </c>
      <c r="C12" s="281"/>
      <c r="D12" s="281"/>
      <c r="E12" s="281"/>
      <c r="F12" s="281"/>
      <c r="G12" s="285" t="s">
        <v>54</v>
      </c>
      <c r="H12" s="285"/>
      <c r="I12" s="285"/>
      <c r="J12" s="285"/>
      <c r="K12" s="285"/>
      <c r="L12" s="285"/>
      <c r="M12" s="286" t="s">
        <v>44</v>
      </c>
      <c r="N12" s="286"/>
      <c r="O12" s="286"/>
      <c r="P12" s="286"/>
      <c r="Q12" s="286"/>
      <c r="R12" s="286"/>
      <c r="S12" s="284">
        <v>167</v>
      </c>
      <c r="T12" s="284"/>
      <c r="U12" s="284"/>
      <c r="V12" s="284"/>
      <c r="W12" s="284"/>
      <c r="X12" s="284"/>
      <c r="Y12" s="28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9" t="s">
        <v>42</v>
      </c>
      <c r="C13" s="109"/>
      <c r="D13" s="109"/>
      <c r="E13" s="109"/>
      <c r="F13" s="109"/>
      <c r="G13" s="283" t="s">
        <v>55</v>
      </c>
      <c r="H13" s="283"/>
      <c r="I13" s="283"/>
      <c r="J13" s="283"/>
      <c r="K13" s="283"/>
      <c r="L13" s="283"/>
      <c r="M13" s="281" t="s">
        <v>30</v>
      </c>
      <c r="N13" s="281"/>
      <c r="O13" s="281"/>
      <c r="P13" s="281"/>
      <c r="Q13" s="281"/>
      <c r="R13" s="281"/>
      <c r="S13" s="283" t="s">
        <v>59</v>
      </c>
      <c r="T13" s="283"/>
      <c r="U13" s="283"/>
      <c r="V13" s="283"/>
      <c r="W13" s="283"/>
      <c r="X13" s="283"/>
      <c r="Y13" s="283"/>
      <c r="Z13" s="17"/>
      <c r="AA13" s="75"/>
      <c r="AB13" s="12"/>
      <c r="AC13" s="12"/>
      <c r="AD13" s="12"/>
      <c r="AE13" s="281"/>
      <c r="AF13" s="281"/>
      <c r="AG13" s="281"/>
      <c r="AH13" s="281"/>
      <c r="AI13" s="281"/>
      <c r="AJ13" s="281"/>
    </row>
    <row r="14" spans="1:36" ht="15.9" customHeight="1" x14ac:dyDescent="0.25">
      <c r="A14" s="18"/>
      <c r="B14" s="281" t="s">
        <v>43</v>
      </c>
      <c r="C14" s="281"/>
      <c r="D14" s="281"/>
      <c r="E14" s="281"/>
      <c r="F14" s="281"/>
      <c r="G14" s="283" t="s">
        <v>56</v>
      </c>
      <c r="H14" s="283"/>
      <c r="I14" s="283"/>
      <c r="J14" s="283"/>
      <c r="K14" s="283"/>
      <c r="L14" s="283"/>
      <c r="M14" s="284" t="s">
        <v>27</v>
      </c>
      <c r="N14" s="284"/>
      <c r="O14" s="284"/>
      <c r="P14" s="284"/>
      <c r="Q14" s="284"/>
      <c r="R14" s="284"/>
      <c r="S14" s="284" t="s">
        <v>50</v>
      </c>
      <c r="T14" s="284"/>
      <c r="U14" s="284"/>
      <c r="V14" s="284"/>
      <c r="W14" s="284"/>
      <c r="X14" s="284"/>
      <c r="Y14" s="284"/>
      <c r="Z14" s="19"/>
      <c r="AA14" s="12"/>
      <c r="AB14" s="12"/>
      <c r="AC14" s="12"/>
      <c r="AD14" s="12"/>
      <c r="AE14" s="281"/>
      <c r="AF14" s="281"/>
      <c r="AG14" s="281"/>
      <c r="AH14" s="281"/>
      <c r="AI14" s="281"/>
      <c r="AJ14" s="28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1"/>
      <c r="AF15" s="281"/>
      <c r="AG15" s="281"/>
      <c r="AH15" s="281"/>
      <c r="AI15" s="281"/>
      <c r="AJ15" s="28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1"/>
      <c r="AF16" s="281"/>
      <c r="AG16" s="281"/>
      <c r="AH16" s="281"/>
      <c r="AI16" s="281"/>
      <c r="AJ16" s="28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1" t="s">
        <v>19</v>
      </c>
      <c r="C19" s="281"/>
      <c r="D19" s="281"/>
      <c r="E19" s="281"/>
      <c r="F19" s="281"/>
      <c r="G19" s="281"/>
      <c r="H19" s="281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17"/>
      <c r="AA19" s="75"/>
      <c r="AE19" s="20"/>
      <c r="AI19" s="20"/>
    </row>
    <row r="20" spans="1:40" ht="15.9" customHeight="1" x14ac:dyDescent="0.25">
      <c r="A20" s="13"/>
      <c r="B20" s="281" t="s">
        <v>20</v>
      </c>
      <c r="C20" s="281"/>
      <c r="D20" s="281"/>
      <c r="E20" s="281"/>
      <c r="F20" s="281"/>
      <c r="G20" s="281"/>
      <c r="H20" s="281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0" t="s">
        <v>16</v>
      </c>
      <c r="AE47" s="262">
        <v>2.661</v>
      </c>
      <c r="AF47" s="254"/>
      <c r="AG47" s="265"/>
      <c r="AH47" s="39"/>
    </row>
    <row r="48" spans="1:34" ht="12.75" customHeight="1" thickBot="1" x14ac:dyDescent="0.3">
      <c r="A48" s="18"/>
      <c r="Z48" s="87"/>
      <c r="AD48" s="261"/>
      <c r="AE48" s="263"/>
      <c r="AF48" s="264"/>
      <c r="AG48" s="265"/>
    </row>
    <row r="49" spans="1:34" ht="18.75" customHeight="1" thickBot="1" x14ac:dyDescent="0.3">
      <c r="A49" s="18"/>
      <c r="E49" s="266" t="s">
        <v>11</v>
      </c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 t="s">
        <v>48</v>
      </c>
      <c r="V49" s="269"/>
      <c r="W49" s="270" t="s">
        <v>12</v>
      </c>
      <c r="X49" s="269"/>
      <c r="Y49" s="271" t="s">
        <v>13</v>
      </c>
      <c r="Z49" s="272"/>
      <c r="AA49" s="82"/>
      <c r="AB49" s="275" t="s">
        <v>46</v>
      </c>
      <c r="AC49" s="276"/>
      <c r="AD49" s="279" t="s">
        <v>14</v>
      </c>
      <c r="AE49" s="252" t="s">
        <v>15</v>
      </c>
      <c r="AF49" s="254"/>
      <c r="AG49" s="254"/>
      <c r="AH49" s="40"/>
    </row>
    <row r="50" spans="1:34" ht="24.9" customHeight="1" thickBot="1" x14ac:dyDescent="0.3">
      <c r="A50" s="5"/>
      <c r="B50" s="41" t="s">
        <v>22</v>
      </c>
      <c r="C50" s="256" t="s">
        <v>10</v>
      </c>
      <c r="D50" s="25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4"/>
      <c r="V50" s="206"/>
      <c r="W50" s="205"/>
      <c r="X50" s="206"/>
      <c r="Y50" s="273"/>
      <c r="Z50" s="274"/>
      <c r="AA50" s="82"/>
      <c r="AB50" s="277"/>
      <c r="AC50" s="278"/>
      <c r="AD50" s="280"/>
      <c r="AE50" s="253"/>
      <c r="AF50" s="255"/>
      <c r="AG50" s="254"/>
    </row>
    <row r="51" spans="1:34" ht="24.9" customHeight="1" x14ac:dyDescent="0.25">
      <c r="A51" s="5"/>
      <c r="B51" s="43">
        <v>1</v>
      </c>
      <c r="C51" s="349" t="s">
        <v>62</v>
      </c>
      <c r="D51" s="350"/>
      <c r="E51" s="90">
        <v>7.1</v>
      </c>
      <c r="F51" s="91">
        <v>9.1</v>
      </c>
      <c r="G51" s="91">
        <v>12.2</v>
      </c>
      <c r="H51" s="92">
        <v>16.399999999999999</v>
      </c>
      <c r="I51" s="92">
        <v>22.1</v>
      </c>
      <c r="J51" s="92">
        <v>32.799999999999997</v>
      </c>
      <c r="K51" s="92">
        <v>49.6</v>
      </c>
      <c r="L51" s="92">
        <v>65.400000000000006</v>
      </c>
      <c r="M51" s="92">
        <v>75.7</v>
      </c>
      <c r="N51" s="92">
        <v>84.3</v>
      </c>
      <c r="O51" s="92">
        <v>92.2</v>
      </c>
      <c r="P51" s="92">
        <v>98.9</v>
      </c>
      <c r="Q51" s="111">
        <v>100</v>
      </c>
      <c r="R51" s="92"/>
      <c r="S51" s="92"/>
      <c r="T51" s="93"/>
      <c r="U51" s="351">
        <v>165</v>
      </c>
      <c r="V51" s="352"/>
      <c r="W51" s="258">
        <v>4.43</v>
      </c>
      <c r="X51" s="353"/>
      <c r="Y51" s="258">
        <f>IF(W51&lt;&gt;0,AE51,"")</f>
        <v>2.7645767003353239</v>
      </c>
      <c r="Z51" s="259"/>
      <c r="AA51" s="80"/>
      <c r="AB51" s="220">
        <f>(100*W51)/(100-W51)</f>
        <v>4.6353458198179345</v>
      </c>
      <c r="AC51" s="221"/>
      <c r="AD51" s="67">
        <f>(0.25*(100-O51)+2.3*(O51-H51)+12*(H51-E51)+150*(E51))/100</f>
        <v>13.528899999999998</v>
      </c>
      <c r="AE51" s="68">
        <f>(AB51*$AE$47)/(2.65*(AD51)^(1/5))</f>
        <v>2.7645767003353239</v>
      </c>
      <c r="AF51" s="29"/>
      <c r="AG51" s="66"/>
    </row>
    <row r="52" spans="1:34" ht="24.9" customHeight="1" x14ac:dyDescent="0.25">
      <c r="A52" s="5"/>
      <c r="B52" s="44">
        <v>2</v>
      </c>
      <c r="C52" s="198"/>
      <c r="D52" s="249"/>
      <c r="E52" s="90"/>
      <c r="F52" s="91"/>
      <c r="G52" s="91"/>
      <c r="H52" s="92"/>
      <c r="I52" s="92"/>
      <c r="J52" s="92"/>
      <c r="K52" s="92"/>
      <c r="L52" s="92"/>
      <c r="M52" s="92"/>
      <c r="N52" s="92"/>
      <c r="O52" s="92"/>
      <c r="P52" s="92"/>
      <c r="Q52" s="111"/>
      <c r="R52" s="92"/>
      <c r="S52" s="92"/>
      <c r="T52" s="93"/>
      <c r="U52" s="195"/>
      <c r="V52" s="196"/>
      <c r="W52" s="250"/>
      <c r="X52" s="251"/>
      <c r="Y52" s="247" t="str">
        <f>IF(W52&lt;&gt;0,AE52,"")</f>
        <v/>
      </c>
      <c r="Z52" s="248"/>
      <c r="AA52" s="80"/>
      <c r="AB52" s="220">
        <f>(100*W52)/(100-W52)</f>
        <v>0</v>
      </c>
      <c r="AC52" s="221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8"/>
      <c r="D53" s="249"/>
      <c r="E53" s="94"/>
      <c r="F53" s="95"/>
      <c r="G53" s="95"/>
      <c r="H53" s="96"/>
      <c r="I53" s="96"/>
      <c r="J53" s="96"/>
      <c r="K53" s="96"/>
      <c r="L53" s="96"/>
      <c r="M53" s="96"/>
      <c r="N53" s="96"/>
      <c r="O53" s="96"/>
      <c r="P53" s="96"/>
      <c r="Q53" s="112"/>
      <c r="R53" s="96"/>
      <c r="S53" s="96"/>
      <c r="T53" s="97"/>
      <c r="U53" s="195"/>
      <c r="V53" s="196"/>
      <c r="W53" s="250"/>
      <c r="X53" s="251"/>
      <c r="Y53" s="247" t="str">
        <f t="shared" ref="Y53:Y54" si="2">IF(W53&lt;&gt;0,AE53,"")</f>
        <v/>
      </c>
      <c r="Z53" s="248"/>
      <c r="AA53" s="80"/>
      <c r="AB53" s="220">
        <f>(100*W53)/(100-W53)</f>
        <v>0</v>
      </c>
      <c r="AC53" s="221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10"/>
      <c r="D54" s="231"/>
      <c r="E54" s="98"/>
      <c r="F54" s="99"/>
      <c r="G54" s="99"/>
      <c r="H54" s="100"/>
      <c r="I54" s="100"/>
      <c r="J54" s="100"/>
      <c r="K54" s="100"/>
      <c r="L54" s="100"/>
      <c r="M54" s="100"/>
      <c r="N54" s="100"/>
      <c r="O54" s="100"/>
      <c r="P54" s="100"/>
      <c r="Q54" s="113"/>
      <c r="R54" s="100"/>
      <c r="S54" s="100"/>
      <c r="T54" s="101"/>
      <c r="U54" s="232"/>
      <c r="V54" s="233"/>
      <c r="W54" s="234"/>
      <c r="X54" s="235"/>
      <c r="Y54" s="236" t="str">
        <f t="shared" si="2"/>
        <v/>
      </c>
      <c r="Z54" s="237"/>
      <c r="AA54" s="80"/>
      <c r="AB54" s="220">
        <f>(100*W54)/(100-W54)</f>
        <v>0</v>
      </c>
      <c r="AC54" s="221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8" t="s">
        <v>8</v>
      </c>
      <c r="C56" s="239"/>
      <c r="D56" s="240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12" t="s">
        <v>7</v>
      </c>
      <c r="C57" s="213"/>
      <c r="D57" s="214"/>
      <c r="E57" s="102">
        <f t="shared" ref="E57:T57" si="3">IF(E51&lt;&gt;0,AVERAGE(E51:E54),"")</f>
        <v>7.1</v>
      </c>
      <c r="F57" s="102">
        <f t="shared" si="3"/>
        <v>9.1</v>
      </c>
      <c r="G57" s="102">
        <f t="shared" si="3"/>
        <v>12.2</v>
      </c>
      <c r="H57" s="102">
        <f t="shared" si="3"/>
        <v>16.399999999999999</v>
      </c>
      <c r="I57" s="102">
        <f t="shared" si="3"/>
        <v>22.1</v>
      </c>
      <c r="J57" s="102">
        <f t="shared" si="3"/>
        <v>32.799999999999997</v>
      </c>
      <c r="K57" s="102">
        <f t="shared" si="3"/>
        <v>49.6</v>
      </c>
      <c r="L57" s="102">
        <f t="shared" si="3"/>
        <v>65.400000000000006</v>
      </c>
      <c r="M57" s="102">
        <f t="shared" si="3"/>
        <v>75.7</v>
      </c>
      <c r="N57" s="102">
        <f t="shared" si="3"/>
        <v>84.3</v>
      </c>
      <c r="O57" s="102">
        <f t="shared" si="3"/>
        <v>92.2</v>
      </c>
      <c r="P57" s="102">
        <f t="shared" si="3"/>
        <v>98.9</v>
      </c>
      <c r="Q57" s="116">
        <f t="shared" si="3"/>
        <v>100</v>
      </c>
      <c r="R57" s="102"/>
      <c r="S57" s="102" t="str">
        <f t="shared" si="3"/>
        <v/>
      </c>
      <c r="T57" s="103" t="str">
        <f t="shared" si="3"/>
        <v/>
      </c>
      <c r="U57" s="215">
        <f>IF(U51&lt;&gt;0,AVERAGE(U51:V54),"")</f>
        <v>165</v>
      </c>
      <c r="V57" s="216"/>
      <c r="W57" s="217">
        <f>IF(W51&lt;&gt;0,AVERAGE(W51:X54),"")</f>
        <v>4.43</v>
      </c>
      <c r="X57" s="218"/>
      <c r="Y57" s="217">
        <f>IF(W51&lt;&gt;0,AVERAGE(Y51:Z54),"")</f>
        <v>2.7645767003353239</v>
      </c>
      <c r="Z57" s="219"/>
      <c r="AA57" s="66"/>
      <c r="AB57" s="220">
        <f>(100*W57)/(100-W57)</f>
        <v>4.6353458198179345</v>
      </c>
      <c r="AC57" s="221"/>
      <c r="AD57" s="67">
        <f t="shared" si="0"/>
        <v>13.528899999999998</v>
      </c>
      <c r="AE57" s="68">
        <f t="shared" si="1"/>
        <v>2.7645767003353239</v>
      </c>
      <c r="AF57" s="29"/>
      <c r="AG57" s="66"/>
    </row>
    <row r="58" spans="1:34" ht="21" customHeight="1" x14ac:dyDescent="0.25">
      <c r="A58" s="5"/>
      <c r="B58" s="222" t="s">
        <v>9</v>
      </c>
      <c r="C58" s="223"/>
      <c r="D58" s="224"/>
      <c r="E58" s="104">
        <v>6.7</v>
      </c>
      <c r="F58" s="104">
        <v>9</v>
      </c>
      <c r="G58" s="104">
        <v>12</v>
      </c>
      <c r="H58" s="104">
        <v>16</v>
      </c>
      <c r="I58" s="104">
        <v>22</v>
      </c>
      <c r="J58" s="104">
        <v>31</v>
      </c>
      <c r="K58" s="104">
        <v>45</v>
      </c>
      <c r="L58" s="104">
        <v>60</v>
      </c>
      <c r="M58" s="104">
        <v>69</v>
      </c>
      <c r="N58" s="104">
        <v>77</v>
      </c>
      <c r="O58" s="104">
        <v>91</v>
      </c>
      <c r="P58" s="104">
        <v>98</v>
      </c>
      <c r="Q58" s="110">
        <v>100</v>
      </c>
      <c r="R58" s="104"/>
      <c r="S58" s="104"/>
      <c r="T58" s="105"/>
      <c r="U58" s="225"/>
      <c r="V58" s="226"/>
      <c r="W58" s="227">
        <v>4.4000000000000004</v>
      </c>
      <c r="X58" s="228"/>
      <c r="Y58" s="229">
        <f>AE58</f>
        <v>2.7706712065926888</v>
      </c>
      <c r="Z58" s="230"/>
      <c r="AA58" s="66"/>
      <c r="AB58" s="220">
        <f>(100*W58)/(100-W58)</f>
        <v>4.6025104602510467</v>
      </c>
      <c r="AC58" s="221"/>
      <c r="AD58" s="67">
        <f t="shared" si="0"/>
        <v>12.913499999999999</v>
      </c>
      <c r="AE58" s="68">
        <f t="shared" si="1"/>
        <v>2.7706712065926888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6">
        <f>E58+2</f>
        <v>8.6999999999999993</v>
      </c>
      <c r="F59" s="96"/>
      <c r="G59" s="96"/>
      <c r="H59" s="96"/>
      <c r="I59" s="96"/>
      <c r="J59" s="96">
        <f>J58+6</f>
        <v>37</v>
      </c>
      <c r="K59" s="96"/>
      <c r="L59" s="96">
        <f>L58+7</f>
        <v>67</v>
      </c>
      <c r="M59" s="96"/>
      <c r="N59" s="96"/>
      <c r="O59" s="96"/>
      <c r="P59" s="96"/>
      <c r="Q59" s="96"/>
      <c r="R59" s="96"/>
      <c r="S59" s="96"/>
      <c r="T59" s="97"/>
      <c r="U59" s="195"/>
      <c r="V59" s="196"/>
      <c r="W59" s="197">
        <f>W58+0.5</f>
        <v>4.9000000000000004</v>
      </c>
      <c r="X59" s="196"/>
      <c r="Y59" s="198"/>
      <c r="Z59" s="199"/>
      <c r="AA59" s="83"/>
      <c r="AB59" s="71"/>
      <c r="AC59" s="69"/>
      <c r="AD59" s="200"/>
      <c r="AE59" s="202" t="s">
        <v>47</v>
      </c>
      <c r="AF59" s="29"/>
      <c r="AG59" s="66"/>
    </row>
    <row r="60" spans="1:34" ht="13.5" customHeight="1" thickBot="1" x14ac:dyDescent="0.3">
      <c r="A60" s="5"/>
      <c r="B60" s="204" t="s">
        <v>24</v>
      </c>
      <c r="C60" s="205"/>
      <c r="D60" s="206"/>
      <c r="E60" s="106">
        <f>E58-2</f>
        <v>4.7</v>
      </c>
      <c r="F60" s="106"/>
      <c r="G60" s="107"/>
      <c r="H60" s="107"/>
      <c r="I60" s="107"/>
      <c r="J60" s="106">
        <f>J58-6</f>
        <v>25</v>
      </c>
      <c r="K60" s="107"/>
      <c r="L60" s="106">
        <f>L58-7</f>
        <v>53</v>
      </c>
      <c r="M60" s="106"/>
      <c r="N60" s="107"/>
      <c r="O60" s="107"/>
      <c r="P60" s="107"/>
      <c r="Q60" s="106"/>
      <c r="R60" s="107"/>
      <c r="S60" s="107"/>
      <c r="T60" s="108"/>
      <c r="U60" s="207"/>
      <c r="V60" s="208"/>
      <c r="W60" s="209">
        <f>W58-0.5</f>
        <v>3.9000000000000004</v>
      </c>
      <c r="X60" s="208"/>
      <c r="Y60" s="210"/>
      <c r="Z60" s="211"/>
      <c r="AA60" s="84"/>
      <c r="AB60" s="72"/>
      <c r="AC60" s="73"/>
      <c r="AD60" s="201"/>
      <c r="AE60" s="20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72"/>
      <c r="V63" s="172"/>
      <c r="W63" s="172"/>
      <c r="X63" s="172"/>
      <c r="Y63" s="172"/>
      <c r="Z63" s="173"/>
      <c r="AA63" s="81"/>
      <c r="AB63" s="58"/>
      <c r="AC63" s="58"/>
      <c r="AD63" s="59"/>
    </row>
    <row r="64" spans="1:34" ht="27" customHeight="1" x14ac:dyDescent="0.25">
      <c r="A64" s="174" t="s">
        <v>49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  <c r="R64" s="151" t="s">
        <v>32</v>
      </c>
      <c r="S64" s="152"/>
      <c r="T64" s="153"/>
      <c r="U64" s="177" t="s">
        <v>60</v>
      </c>
      <c r="V64" s="178"/>
      <c r="W64" s="178"/>
      <c r="X64" s="178"/>
      <c r="Y64" s="178"/>
      <c r="Z64" s="179"/>
      <c r="AA64" s="76"/>
      <c r="AB64" s="60"/>
      <c r="AC64" s="60"/>
      <c r="AD64" s="59"/>
    </row>
    <row r="65" spans="1:30" ht="15.75" customHeight="1" x14ac:dyDescent="0.25">
      <c r="A65" s="180" t="s">
        <v>63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51" t="s">
        <v>25</v>
      </c>
      <c r="S65" s="152"/>
      <c r="T65" s="153"/>
      <c r="U65" s="186" t="s">
        <v>61</v>
      </c>
      <c r="V65" s="187"/>
      <c r="W65" s="187"/>
      <c r="X65" s="187"/>
      <c r="Y65" s="187"/>
      <c r="Z65" s="188"/>
      <c r="AA65" s="76"/>
      <c r="AB65" s="60"/>
      <c r="AC65" s="60"/>
      <c r="AD65" s="59"/>
    </row>
    <row r="66" spans="1:30" ht="9" customHeight="1" x14ac:dyDescent="0.2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51"/>
      <c r="S66" s="152"/>
      <c r="T66" s="153"/>
      <c r="U66" s="189"/>
      <c r="V66" s="190"/>
      <c r="W66" s="190"/>
      <c r="X66" s="190"/>
      <c r="Y66" s="190"/>
      <c r="Z66" s="191"/>
      <c r="AA66" s="76"/>
      <c r="AB66" s="60"/>
      <c r="AC66" s="60"/>
      <c r="AD66" s="59"/>
    </row>
    <row r="67" spans="1:30" ht="15.9" customHeigh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5"/>
      <c r="R67" s="151"/>
      <c r="S67" s="152"/>
      <c r="T67" s="153"/>
      <c r="U67" s="189"/>
      <c r="V67" s="190"/>
      <c r="W67" s="190"/>
      <c r="X67" s="190"/>
      <c r="Y67" s="190"/>
      <c r="Z67" s="191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1"/>
      <c r="S68" s="152"/>
      <c r="T68" s="153"/>
      <c r="U68" s="192"/>
      <c r="V68" s="193"/>
      <c r="W68" s="193"/>
      <c r="X68" s="193"/>
      <c r="Y68" s="193"/>
      <c r="Z68" s="194"/>
      <c r="AA68" s="76"/>
      <c r="AB68" s="60"/>
      <c r="AC68" s="60"/>
      <c r="AD68" s="59"/>
    </row>
    <row r="69" spans="1:30" ht="15.75" customHeight="1" x14ac:dyDescent="0.25">
      <c r="A69" s="145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7"/>
      <c r="R69" s="151" t="s">
        <v>26</v>
      </c>
      <c r="S69" s="152"/>
      <c r="T69" s="153"/>
      <c r="U69" s="157"/>
      <c r="V69" s="158"/>
      <c r="W69" s="158"/>
      <c r="X69" s="158"/>
      <c r="Y69" s="158"/>
      <c r="Z69" s="159"/>
      <c r="AA69" s="77"/>
      <c r="AB69" s="65"/>
      <c r="AC69" s="65"/>
      <c r="AD69" s="59"/>
    </row>
    <row r="70" spans="1:30" ht="15.9" customHeight="1" x14ac:dyDescent="0.25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  <c r="R70" s="151"/>
      <c r="S70" s="152"/>
      <c r="T70" s="153"/>
      <c r="U70" s="160"/>
      <c r="V70" s="161"/>
      <c r="W70" s="161"/>
      <c r="X70" s="161"/>
      <c r="Y70" s="161"/>
      <c r="Z70" s="162"/>
      <c r="AA70" s="77"/>
      <c r="AB70" s="65"/>
      <c r="AC70" s="65"/>
      <c r="AD70" s="59"/>
    </row>
    <row r="71" spans="1:30" ht="15.9" customHeight="1" x14ac:dyDescent="0.25">
      <c r="A71" s="145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  <c r="R71" s="151"/>
      <c r="S71" s="152"/>
      <c r="T71" s="153"/>
      <c r="U71" s="160"/>
      <c r="V71" s="161"/>
      <c r="W71" s="161"/>
      <c r="X71" s="161"/>
      <c r="Y71" s="161"/>
      <c r="Z71" s="162"/>
      <c r="AA71" s="77"/>
      <c r="AB71" s="65"/>
      <c r="AC71" s="65"/>
      <c r="AD71" s="59"/>
    </row>
    <row r="72" spans="1:30" ht="15.75" customHeight="1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50"/>
      <c r="R72" s="154"/>
      <c r="S72" s="155"/>
      <c r="T72" s="156"/>
      <c r="U72" s="163"/>
      <c r="V72" s="164"/>
      <c r="W72" s="164"/>
      <c r="X72" s="164"/>
      <c r="Y72" s="164"/>
      <c r="Z72" s="165"/>
      <c r="AA72" s="77"/>
      <c r="AB72" s="65"/>
      <c r="AC72" s="65"/>
      <c r="AD72" s="59"/>
    </row>
  </sheetData>
  <mergeCells count="106">
    <mergeCell ref="A65:Q67"/>
    <mergeCell ref="W52:X52"/>
    <mergeCell ref="W53:X53"/>
    <mergeCell ref="W54:X54"/>
    <mergeCell ref="Y58:Z58"/>
    <mergeCell ref="Y59:Z59"/>
    <mergeCell ref="Y60:Z60"/>
    <mergeCell ref="U58:V58"/>
    <mergeCell ref="U59:V59"/>
    <mergeCell ref="U60:V60"/>
    <mergeCell ref="W57:X57"/>
    <mergeCell ref="W58:X58"/>
    <mergeCell ref="W59:X59"/>
    <mergeCell ref="W60:X60"/>
    <mergeCell ref="C52:D52"/>
    <mergeCell ref="U63:Z63"/>
    <mergeCell ref="U64:Z64"/>
    <mergeCell ref="B58:D58"/>
    <mergeCell ref="R64:T64"/>
    <mergeCell ref="B60:D60"/>
    <mergeCell ref="A64:Q64"/>
    <mergeCell ref="B57:D57"/>
    <mergeCell ref="AB57:AC57"/>
    <mergeCell ref="AB58:AC58"/>
    <mergeCell ref="AE59:AE60"/>
    <mergeCell ref="M12:R12"/>
    <mergeCell ref="S12:Y12"/>
    <mergeCell ref="M13:R13"/>
    <mergeCell ref="S13:Y13"/>
    <mergeCell ref="M14:R14"/>
    <mergeCell ref="S14:Y14"/>
    <mergeCell ref="AD59:AD60"/>
    <mergeCell ref="AB51:AC51"/>
    <mergeCell ref="AB52:AC52"/>
    <mergeCell ref="AB53:AC53"/>
    <mergeCell ref="AB54:AC54"/>
    <mergeCell ref="U57:V57"/>
    <mergeCell ref="Y57:Z57"/>
    <mergeCell ref="B20:H20"/>
    <mergeCell ref="I20:Y20"/>
    <mergeCell ref="C51:D51"/>
    <mergeCell ref="C50:D50"/>
    <mergeCell ref="B56:D56"/>
    <mergeCell ref="Y51:Z51"/>
    <mergeCell ref="Y52:Z52"/>
    <mergeCell ref="Y53:Z53"/>
    <mergeCell ref="Y54:Z54"/>
    <mergeCell ref="U51:V51"/>
    <mergeCell ref="U52:V52"/>
    <mergeCell ref="U53:V53"/>
    <mergeCell ref="U54:V54"/>
    <mergeCell ref="W51:X51"/>
    <mergeCell ref="C53:D53"/>
    <mergeCell ref="C54:D54"/>
    <mergeCell ref="AG47:AG48"/>
    <mergeCell ref="AF49:AF50"/>
    <mergeCell ref="AG49:AG50"/>
    <mergeCell ref="AF47:AF48"/>
    <mergeCell ref="AD49:AD50"/>
    <mergeCell ref="AE49:AE50"/>
    <mergeCell ref="E49:T49"/>
    <mergeCell ref="U49:V50"/>
    <mergeCell ref="W49:X50"/>
    <mergeCell ref="Y49:Z50"/>
    <mergeCell ref="AB49:AC50"/>
    <mergeCell ref="AD47:AD48"/>
    <mergeCell ref="AE47:AE48"/>
    <mergeCell ref="B19:H19"/>
    <mergeCell ref="I19:Y19"/>
    <mergeCell ref="R69:T72"/>
    <mergeCell ref="U65:Z68"/>
    <mergeCell ref="A69:Q72"/>
    <mergeCell ref="U69:Z72"/>
    <mergeCell ref="R65:T68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AE10:AI10"/>
    <mergeCell ref="AE11:AI11"/>
    <mergeCell ref="AE13:AJ13"/>
    <mergeCell ref="AE14:AJ14"/>
    <mergeCell ref="AE15:AJ15"/>
    <mergeCell ref="AE16:AJ16"/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Plages nommées</vt:lpstr>
      </vt:variant>
      <vt:variant>
        <vt:i4>21</vt:i4>
      </vt:variant>
    </vt:vector>
  </HeadingPairs>
  <TitlesOfParts>
    <vt:vector size="42" baseType="lpstr">
      <vt:lpstr>160725 BBSG 116 Lacassagne</vt:lpstr>
      <vt:lpstr>160725 BBSG 143 Lacassagne</vt:lpstr>
      <vt:lpstr>150725 BBSG 110 Lacassagne</vt:lpstr>
      <vt:lpstr>150725 EME Lacassagne</vt:lpstr>
      <vt:lpstr>100725 BBSG 116 Lacassagne</vt:lpstr>
      <vt:lpstr>100725 BBSG 143 Lacassagne</vt:lpstr>
      <vt:lpstr>100725 BBSG 110 Lacassagne</vt:lpstr>
      <vt:lpstr>090725 BBSG 110 Lacassagne</vt:lpstr>
      <vt:lpstr>090725 EME Lacassagne</vt:lpstr>
      <vt:lpstr>Nuit 12-130224</vt:lpstr>
      <vt:lpstr>211123 BBSG Pompidou</vt:lpstr>
      <vt:lpstr>161123</vt:lpstr>
      <vt:lpstr>260723</vt:lpstr>
      <vt:lpstr>310523 (2)</vt:lpstr>
      <vt:lpstr>310523</vt:lpstr>
      <vt:lpstr>290722</vt:lpstr>
      <vt:lpstr>280722 (2)</vt:lpstr>
      <vt:lpstr>280722</vt:lpstr>
      <vt:lpstr>270722</vt:lpstr>
      <vt:lpstr>260722 (2)</vt:lpstr>
      <vt:lpstr>260722</vt:lpstr>
      <vt:lpstr>'090725 BBSG 110 Lacassagne'!Zone_d_impression</vt:lpstr>
      <vt:lpstr>'090725 EME Lacassagne'!Zone_d_impression</vt:lpstr>
      <vt:lpstr>'100725 BBSG 110 Lacassagne'!Zone_d_impression</vt:lpstr>
      <vt:lpstr>'100725 BBSG 116 Lacassagne'!Zone_d_impression</vt:lpstr>
      <vt:lpstr>'100725 BBSG 143 Lacassagne'!Zone_d_impression</vt:lpstr>
      <vt:lpstr>'150725 BBSG 110 Lacassagne'!Zone_d_impression</vt:lpstr>
      <vt:lpstr>'150725 EME Lacassagne'!Zone_d_impression</vt:lpstr>
      <vt:lpstr>'160725 BBSG 116 Lacassagne'!Zone_d_impression</vt:lpstr>
      <vt:lpstr>'160725 BBSG 143 Lacassagne'!Zone_d_impression</vt:lpstr>
      <vt:lpstr>'161123'!Zone_d_impression</vt:lpstr>
      <vt:lpstr>'211123 BBSG Pompidou'!Zone_d_impression</vt:lpstr>
      <vt:lpstr>'260722'!Zone_d_impression</vt:lpstr>
      <vt:lpstr>'260722 (2)'!Zone_d_impression</vt:lpstr>
      <vt:lpstr>'260723'!Zone_d_impression</vt:lpstr>
      <vt:lpstr>'270722'!Zone_d_impression</vt:lpstr>
      <vt:lpstr>'280722'!Zone_d_impression</vt:lpstr>
      <vt:lpstr>'280722 (2)'!Zone_d_impression</vt:lpstr>
      <vt:lpstr>'290722'!Zone_d_impression</vt:lpstr>
      <vt:lpstr>'310523'!Zone_d_impression</vt:lpstr>
      <vt:lpstr>'310523 (2)'!Zone_d_impression</vt:lpstr>
      <vt:lpstr>'Nuit 12-130224'!Zone_d_impression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Frédéric MONTET</cp:lastModifiedBy>
  <cp:lastPrinted>2025-07-17T09:45:12Z</cp:lastPrinted>
  <dcterms:created xsi:type="dcterms:W3CDTF">2004-11-13T18:13:05Z</dcterms:created>
  <dcterms:modified xsi:type="dcterms:W3CDTF">2025-07-17T09:45:18Z</dcterms:modified>
</cp:coreProperties>
</file>