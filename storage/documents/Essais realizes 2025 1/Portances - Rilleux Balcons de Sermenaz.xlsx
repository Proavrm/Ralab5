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L2HC Les Balcons de Sermenaz Rilleux la Pape\"/>
    </mc:Choice>
  </mc:AlternateContent>
  <xr:revisionPtr revIDLastSave="0" documentId="13_ncr:1_{D9509A98-CE07-4894-B112-03282481E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1025 Allée Francoise Vallet" sheetId="1" r:id="rId1"/>
  </sheets>
  <definedNames>
    <definedName name="_xlnm.Print_Area" localSheetId="0">'221025 Allée Francoise Vallet'!$A$1:$Z$69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<sst xmlns="http://schemas.openxmlformats.org/spreadsheetml/2006/main" count="66" uniqueCount="54">
  <si>
    <t>COMPTE RENDU D'ESSAIS</t>
  </si>
  <si>
    <t>PORTANCES DES PLATES-FORMES DYNAPLAQUE 
(NF P 94-117-2 d'octobre 2004)</t>
  </si>
  <si>
    <t>PLD N°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</si>
  <si>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</si>
  <si>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</si>
  <si>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</si>
  <si>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</si>
  <si>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</si>
  <si>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</si>
  <si>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</si>
  <si>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</si>
  <si>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Nature du matériau :</t>
  </si>
  <si>
    <t>Date de(s) essai(s) :</t>
  </si>
  <si>
    <t>Météo :</t>
  </si>
  <si>
    <t>Partie de l'ouvrage :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</si>
  <si>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</si>
  <si>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</si>
  <si>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</si>
  <si>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</si>
  <si>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</si>
  <si>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</si>
  <si>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</si>
  <si>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</si>
  <si>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</si>
  <si>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</si>
  <si>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</si>
  <si>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</si>
  <si>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</si>
  <si>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</si>
  <si>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</si>
  <si>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</si>
  <si>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</si>
  <si>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</si>
  <si>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</si>
  <si>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</si>
  <si>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</si>
  <si>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</si>
  <si>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</si>
  <si>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</si>
  <si>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</si>
  <si>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</si>
  <si>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</si>
  <si>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</si>
  <si>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</si>
  <si>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</si>
  <si>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In situ</t>
  </si>
  <si>
    <t>RA L2HC</t>
  </si>
  <si>
    <t>Rilleux la Pape                         Les balcons de Sermenaz</t>
  </si>
  <si>
    <t>Jérémy DECHEVRE</t>
  </si>
  <si>
    <t>Allée Françoise Vallet</t>
  </si>
  <si>
    <t>Beau</t>
  </si>
  <si>
    <t>Oui</t>
  </si>
  <si>
    <t>Voir plan en annexe</t>
  </si>
  <si>
    <t>Christelle CHADEYRAS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</si>
</sst>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6" fillId="0" borderId="15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2" fillId="0" borderId="14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21</xdr:col>
      <xdr:colOff>0</xdr:colOff>
      <xdr:row>65</xdr:row>
      <xdr:rowOff>0</xdr:rowOff>
    </xdr:from>
    <xdr:to>
      <xdr:col>25</xdr:col>
      <xdr:colOff>75538</xdr:colOff>
      <xdr:row>67</xdr:row>
      <xdr:rowOff>45720</xdr:rowOff>
    </xdr:to>
    <xdr:grpSp>
      <xdr:nvGrpSpPr>
        <xdr:cNvPr id="3" name="Group 21">
          <a:extLst>
            <a:ext uri="{FF2B5EF4-FFF2-40B4-BE49-F238E27FC236}">
              <a16:creationId xmlns:a16="http://schemas.microsoft.com/office/drawing/2014/main" id="{93D6977F-7E12-4B10-BD50-C6ACA9F30F29}"/>
            </a:ext>
          </a:extLst>
        </xdr:cNvPr>
        <xdr:cNvGrpSpPr>
          <a:grpSpLocks/>
        </xdr:cNvGrpSpPr>
      </xdr:nvGrpSpPr>
      <xdr:grpSpPr bwMode="auto">
        <a:xfrm>
          <a:off x="7360920" y="14074140"/>
          <a:ext cx="1477618" cy="441960"/>
          <a:chOff x="302" y="93"/>
          <a:chExt cx="299" cy="116"/>
        </a:xfrm>
      </xdr:grpSpPr>
      <xdr:grpSp>
        <xdr:nvGrpSpPr>
          <xdr:cNvPr id="4" name="Group 22">
            <a:extLst>
              <a:ext uri="{FF2B5EF4-FFF2-40B4-BE49-F238E27FC236}">
                <a16:creationId xmlns:a16="http://schemas.microsoft.com/office/drawing/2014/main" id="{575772B1-03B4-C68A-893B-0C7C0B3CD7AC}"/>
              </a:ext>
            </a:extLst>
          </xdr:cNvPr>
          <xdr:cNvGrpSpPr>
            <a:grpSpLocks/>
          </xdr:cNvGrpSpPr>
        </xdr:nvGrpSpPr>
        <xdr:grpSpPr bwMode="auto">
          <a:xfrm>
            <a:off x="302" y="93"/>
            <a:ext cx="290" cy="116"/>
            <a:chOff x="302" y="160"/>
            <a:chExt cx="157" cy="49"/>
          </a:xfrm>
        </xdr:grpSpPr>
        <xdr:sp macro="" textlink="">
          <xdr:nvSpPr>
            <xdr:cNvPr id="7" name="Freeform 23">
              <a:extLst>
                <a:ext uri="{FF2B5EF4-FFF2-40B4-BE49-F238E27FC236}">
                  <a16:creationId xmlns:a16="http://schemas.microsoft.com/office/drawing/2014/main" id="{B969F249-EA86-C844-A7F3-08C22C6EC289}"/>
                </a:ext>
              </a:extLst>
            </xdr:cNvPr>
            <xdr:cNvSpPr>
              <a:spLocks/>
            </xdr:cNvSpPr>
          </xdr:nvSpPr>
          <xdr:spPr bwMode="auto">
            <a:xfrm>
              <a:off x="302" y="160"/>
              <a:ext cx="157" cy="49"/>
            </a:xfrm>
            <a:custGeom>
              <a:avLst/>
              <a:gdLst>
                <a:gd name="T0" fmla="*/ 0 w 446"/>
                <a:gd name="T1" fmla="*/ 0 h 132"/>
                <a:gd name="T2" fmla="*/ 0 w 446"/>
                <a:gd name="T3" fmla="*/ 0 h 132"/>
                <a:gd name="T4" fmla="*/ 0 w 446"/>
                <a:gd name="T5" fmla="*/ 0 h 132"/>
                <a:gd name="T6" fmla="*/ 0 w 446"/>
                <a:gd name="T7" fmla="*/ 0 h 132"/>
                <a:gd name="T8" fmla="*/ 0 w 446"/>
                <a:gd name="T9" fmla="*/ 0 h 132"/>
                <a:gd name="T10" fmla="*/ 0 w 446"/>
                <a:gd name="T11" fmla="*/ 0 h 132"/>
                <a:gd name="T12" fmla="*/ 0 w 446"/>
                <a:gd name="T13" fmla="*/ 0 h 132"/>
                <a:gd name="T14" fmla="*/ 0 w 446"/>
                <a:gd name="T15" fmla="*/ 0 h 132"/>
                <a:gd name="T16" fmla="*/ 0 w 446"/>
                <a:gd name="T17" fmla="*/ 0 h 132"/>
                <a:gd name="T18" fmla="*/ 0 w 446"/>
                <a:gd name="T19" fmla="*/ 0 h 132"/>
                <a:gd name="T20" fmla="*/ 0 w 446"/>
                <a:gd name="T21" fmla="*/ 0 h 132"/>
                <a:gd name="T22" fmla="*/ 0 w 446"/>
                <a:gd name="T23" fmla="*/ 0 h 132"/>
                <a:gd name="T24" fmla="*/ 0 w 446"/>
                <a:gd name="T25" fmla="*/ 0 h 132"/>
                <a:gd name="T26" fmla="*/ 0 w 446"/>
                <a:gd name="T27" fmla="*/ 0 h 132"/>
                <a:gd name="T28" fmla="*/ 0 w 446"/>
                <a:gd name="T29" fmla="*/ 0 h 132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</a:gdLst>
              <a:ahLst/>
              <a:cxnLst>
                <a:cxn ang="T30">
                  <a:pos x="T0" y="T1"/>
                </a:cxn>
                <a:cxn ang="T31">
                  <a:pos x="T2" y="T3"/>
                </a:cxn>
                <a:cxn ang="T32">
                  <a:pos x="T4" y="T5"/>
                </a:cxn>
                <a:cxn ang="T33">
                  <a:pos x="T6" y="T7"/>
                </a:cxn>
                <a:cxn ang="T34">
                  <a:pos x="T8" y="T9"/>
                </a:cxn>
                <a:cxn ang="T35">
                  <a:pos x="T10" y="T11"/>
                </a:cxn>
                <a:cxn ang="T36">
                  <a:pos x="T12" y="T13"/>
                </a:cxn>
                <a:cxn ang="T37">
                  <a:pos x="T14" y="T15"/>
                </a:cxn>
                <a:cxn ang="T38">
                  <a:pos x="T16" y="T17"/>
                </a:cxn>
                <a:cxn ang="T39">
                  <a:pos x="T18" y="T19"/>
                </a:cxn>
                <a:cxn ang="T40">
                  <a:pos x="T20" y="T21"/>
                </a:cxn>
                <a:cxn ang="T41">
                  <a:pos x="T22" y="T23"/>
                </a:cxn>
                <a:cxn ang="T42">
                  <a:pos x="T24" y="T25"/>
                </a:cxn>
                <a:cxn ang="T43">
                  <a:pos x="T26" y="T27"/>
                </a:cxn>
                <a:cxn ang="T44">
                  <a:pos x="T28" y="T29"/>
                </a:cxn>
              </a:cxnLst>
              <a:rect l="0" t="0" r="r" b="b"/>
              <a:pathLst>
                <a:path w="446" h="132">
                  <a:moveTo>
                    <a:pt x="124" y="56"/>
                  </a:moveTo>
                  <a:cubicBezTo>
                    <a:pt x="143" y="54"/>
                    <a:pt x="162" y="53"/>
                    <a:pt x="182" y="49"/>
                  </a:cubicBezTo>
                  <a:cubicBezTo>
                    <a:pt x="202" y="45"/>
                    <a:pt x="229" y="38"/>
                    <a:pt x="247" y="31"/>
                  </a:cubicBezTo>
                  <a:cubicBezTo>
                    <a:pt x="265" y="24"/>
                    <a:pt x="285" y="14"/>
                    <a:pt x="292" y="9"/>
                  </a:cubicBezTo>
                  <a:cubicBezTo>
                    <a:pt x="299" y="4"/>
                    <a:pt x="300" y="2"/>
                    <a:pt x="290" y="1"/>
                  </a:cubicBezTo>
                  <a:cubicBezTo>
                    <a:pt x="280" y="0"/>
                    <a:pt x="254" y="1"/>
                    <a:pt x="233" y="5"/>
                  </a:cubicBezTo>
                  <a:cubicBezTo>
                    <a:pt x="212" y="9"/>
                    <a:pt x="189" y="15"/>
                    <a:pt x="165" y="23"/>
                  </a:cubicBezTo>
                  <a:cubicBezTo>
                    <a:pt x="141" y="31"/>
                    <a:pt x="108" y="45"/>
                    <a:pt x="86" y="56"/>
                  </a:cubicBezTo>
                  <a:cubicBezTo>
                    <a:pt x="64" y="67"/>
                    <a:pt x="44" y="78"/>
                    <a:pt x="30" y="88"/>
                  </a:cubicBezTo>
                  <a:cubicBezTo>
                    <a:pt x="16" y="98"/>
                    <a:pt x="4" y="109"/>
                    <a:pt x="2" y="116"/>
                  </a:cubicBezTo>
                  <a:cubicBezTo>
                    <a:pt x="0" y="123"/>
                    <a:pt x="3" y="132"/>
                    <a:pt x="20" y="131"/>
                  </a:cubicBezTo>
                  <a:cubicBezTo>
                    <a:pt x="37" y="130"/>
                    <a:pt x="69" y="121"/>
                    <a:pt x="105" y="112"/>
                  </a:cubicBezTo>
                  <a:cubicBezTo>
                    <a:pt x="141" y="103"/>
                    <a:pt x="198" y="88"/>
                    <a:pt x="238" y="78"/>
                  </a:cubicBezTo>
                  <a:cubicBezTo>
                    <a:pt x="278" y="68"/>
                    <a:pt x="307" y="60"/>
                    <a:pt x="342" y="51"/>
                  </a:cubicBezTo>
                  <a:cubicBezTo>
                    <a:pt x="377" y="42"/>
                    <a:pt x="411" y="31"/>
                    <a:pt x="446" y="21"/>
                  </a:cubicBezTo>
                </a:path>
              </a:pathLst>
            </a:custGeom>
            <a:noFill/>
            <a:ln w="317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</a:extLst>
          </xdr:spPr>
        </xdr:sp>
        <xdr:sp macro="" textlink="">
          <xdr:nvSpPr>
            <xdr:cNvPr id="8" name="Freeform 24">
              <a:extLst>
                <a:ext uri="{FF2B5EF4-FFF2-40B4-BE49-F238E27FC236}">
                  <a16:creationId xmlns:a16="http://schemas.microsoft.com/office/drawing/2014/main" id="{83B70617-1CFB-8BED-05A2-7EA8AB807EA5}"/>
                </a:ext>
              </a:extLst>
            </xdr:cNvPr>
            <xdr:cNvSpPr>
              <a:spLocks/>
            </xdr:cNvSpPr>
          </xdr:nvSpPr>
          <xdr:spPr bwMode="auto">
            <a:xfrm>
              <a:off x="347" y="169"/>
              <a:ext cx="31" cy="26"/>
            </a:xfrm>
            <a:custGeom>
              <a:avLst/>
              <a:gdLst>
                <a:gd name="T0" fmla="*/ 0 w 86"/>
                <a:gd name="T1" fmla="*/ 0 h 69"/>
                <a:gd name="T2" fmla="*/ 0 w 86"/>
                <a:gd name="T3" fmla="*/ 0 h 69"/>
                <a:gd name="T4" fmla="*/ 0 w 86"/>
                <a:gd name="T5" fmla="*/ 0 h 69"/>
                <a:gd name="T6" fmla="*/ 0 w 86"/>
                <a:gd name="T7" fmla="*/ 0 h 69"/>
                <a:gd name="T8" fmla="*/ 0 w 86"/>
                <a:gd name="T9" fmla="*/ 0 h 69"/>
                <a:gd name="T10" fmla="*/ 0 w 86"/>
                <a:gd name="T11" fmla="*/ 0 h 69"/>
                <a:gd name="T12" fmla="*/ 0 w 86"/>
                <a:gd name="T13" fmla="*/ 0 h 69"/>
                <a:gd name="T14" fmla="*/ 0 w 86"/>
                <a:gd name="T15" fmla="*/ 0 h 69"/>
                <a:gd name="T16" fmla="*/ 0 w 86"/>
                <a:gd name="T17" fmla="*/ 0 h 69"/>
                <a:gd name="T18" fmla="*/ 0 w 86"/>
                <a:gd name="T19" fmla="*/ 0 h 69"/>
                <a:gd name="T20" fmla="*/ 0 w 86"/>
                <a:gd name="T21" fmla="*/ 0 h 69"/>
                <a:gd name="T22" fmla="*/ 0 w 86"/>
                <a:gd name="T23" fmla="*/ 0 h 69"/>
                <a:gd name="T24" fmla="*/ 0 w 86"/>
                <a:gd name="T25" fmla="*/ 0 h 69"/>
                <a:gd name="T26" fmla="*/ 0 w 86"/>
                <a:gd name="T27" fmla="*/ 0 h 69"/>
                <a:gd name="T28" fmla="*/ 0 w 86"/>
                <a:gd name="T29" fmla="*/ 0 h 69"/>
                <a:gd name="T30" fmla="*/ 0 w 86"/>
                <a:gd name="T31" fmla="*/ 0 h 69"/>
                <a:gd name="T32" fmla="*/ 0 w 86"/>
                <a:gd name="T33" fmla="*/ 0 h 69"/>
                <a:gd name="T34" fmla="*/ 0 w 86"/>
                <a:gd name="T35" fmla="*/ 0 h 69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60000 65536"/>
                <a:gd name="T52" fmla="*/ 0 60000 65536"/>
                <a:gd name="T53" fmla="*/ 0 60000 65536"/>
              </a:gdLst>
              <a:ahLst/>
              <a:cxnLst>
                <a:cxn ang="T36">
                  <a:pos x="T0" y="T1"/>
                </a:cxn>
                <a:cxn ang="T37">
                  <a:pos x="T2" y="T3"/>
                </a:cxn>
                <a:cxn ang="T38">
                  <a:pos x="T4" y="T5"/>
                </a:cxn>
                <a:cxn ang="T39">
                  <a:pos x="T6" y="T7"/>
                </a:cxn>
                <a:cxn ang="T40">
                  <a:pos x="T8" y="T9"/>
                </a:cxn>
                <a:cxn ang="T41">
                  <a:pos x="T10" y="T11"/>
                </a:cxn>
                <a:cxn ang="T42">
                  <a:pos x="T12" y="T13"/>
                </a:cxn>
                <a:cxn ang="T43">
                  <a:pos x="T14" y="T15"/>
                </a:cxn>
                <a:cxn ang="T44">
                  <a:pos x="T16" y="T17"/>
                </a:cxn>
                <a:cxn ang="T45">
                  <a:pos x="T18" y="T19"/>
                </a:cxn>
                <a:cxn ang="T46">
                  <a:pos x="T20" y="T21"/>
                </a:cxn>
                <a:cxn ang="T47">
                  <a:pos x="T22" y="T23"/>
                </a:cxn>
                <a:cxn ang="T48">
                  <a:pos x="T24" y="T25"/>
                </a:cxn>
                <a:cxn ang="T49">
                  <a:pos x="T26" y="T27"/>
                </a:cxn>
                <a:cxn ang="T50">
                  <a:pos x="T28" y="T29"/>
                </a:cxn>
                <a:cxn ang="T51">
                  <a:pos x="T30" y="T31"/>
                </a:cxn>
                <a:cxn ang="T52">
                  <a:pos x="T32" y="T33"/>
                </a:cxn>
                <a:cxn ang="T53">
                  <a:pos x="T34" y="T35"/>
                </a:cxn>
              </a:cxnLst>
              <a:rect l="0" t="0" r="r" b="b"/>
              <a:pathLst>
                <a:path w="86" h="69">
                  <a:moveTo>
                    <a:pt x="58" y="13"/>
                  </a:moveTo>
                  <a:cubicBezTo>
                    <a:pt x="56" y="8"/>
                    <a:pt x="55" y="4"/>
                    <a:pt x="49" y="2"/>
                  </a:cubicBezTo>
                  <a:cubicBezTo>
                    <a:pt x="43" y="0"/>
                    <a:pt x="30" y="0"/>
                    <a:pt x="23" y="3"/>
                  </a:cubicBezTo>
                  <a:cubicBezTo>
                    <a:pt x="16" y="6"/>
                    <a:pt x="10" y="12"/>
                    <a:pt x="6" y="18"/>
                  </a:cubicBezTo>
                  <a:cubicBezTo>
                    <a:pt x="2" y="24"/>
                    <a:pt x="0" y="35"/>
                    <a:pt x="1" y="42"/>
                  </a:cubicBezTo>
                  <a:cubicBezTo>
                    <a:pt x="2" y="49"/>
                    <a:pt x="5" y="58"/>
                    <a:pt x="10" y="62"/>
                  </a:cubicBezTo>
                  <a:cubicBezTo>
                    <a:pt x="15" y="66"/>
                    <a:pt x="24" y="69"/>
                    <a:pt x="30" y="68"/>
                  </a:cubicBezTo>
                  <a:cubicBezTo>
                    <a:pt x="36" y="67"/>
                    <a:pt x="44" y="63"/>
                    <a:pt x="49" y="57"/>
                  </a:cubicBezTo>
                  <a:cubicBezTo>
                    <a:pt x="54" y="51"/>
                    <a:pt x="57" y="38"/>
                    <a:pt x="59" y="29"/>
                  </a:cubicBezTo>
                  <a:cubicBezTo>
                    <a:pt x="61" y="20"/>
                    <a:pt x="58" y="8"/>
                    <a:pt x="59" y="4"/>
                  </a:cubicBezTo>
                  <a:cubicBezTo>
                    <a:pt x="60" y="0"/>
                    <a:pt x="66" y="3"/>
                    <a:pt x="66" y="6"/>
                  </a:cubicBezTo>
                  <a:cubicBezTo>
                    <a:pt x="66" y="9"/>
                    <a:pt x="63" y="14"/>
                    <a:pt x="62" y="21"/>
                  </a:cubicBezTo>
                  <a:cubicBezTo>
                    <a:pt x="61" y="28"/>
                    <a:pt x="59" y="44"/>
                    <a:pt x="58" y="50"/>
                  </a:cubicBezTo>
                  <a:cubicBezTo>
                    <a:pt x="57" y="56"/>
                    <a:pt x="58" y="58"/>
                    <a:pt x="59" y="57"/>
                  </a:cubicBezTo>
                  <a:cubicBezTo>
                    <a:pt x="60" y="56"/>
                    <a:pt x="61" y="44"/>
                    <a:pt x="63" y="42"/>
                  </a:cubicBezTo>
                  <a:cubicBezTo>
                    <a:pt x="65" y="40"/>
                    <a:pt x="71" y="45"/>
                    <a:pt x="74" y="46"/>
                  </a:cubicBezTo>
                  <a:cubicBezTo>
                    <a:pt x="77" y="47"/>
                    <a:pt x="79" y="46"/>
                    <a:pt x="81" y="46"/>
                  </a:cubicBezTo>
                  <a:cubicBezTo>
                    <a:pt x="83" y="46"/>
                    <a:pt x="85" y="44"/>
                    <a:pt x="86" y="44"/>
                  </a:cubicBezTo>
                </a:path>
              </a:pathLst>
            </a:custGeom>
            <a:noFill/>
            <a:ln w="31750" cap="flat" cmpd="sng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</a:extLst>
          </xdr:spPr>
        </xdr:sp>
        <xdr:sp macro="" textlink="">
          <xdr:nvSpPr>
            <xdr:cNvPr id="9" name="Oval 25">
              <a:extLst>
                <a:ext uri="{FF2B5EF4-FFF2-40B4-BE49-F238E27FC236}">
                  <a16:creationId xmlns:a16="http://schemas.microsoft.com/office/drawing/2014/main" id="{4A3B2943-DE63-9857-6E43-1B82E1BCF2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4" y="183"/>
              <a:ext cx="1" cy="1"/>
            </a:xfrm>
            <a:prstGeom prst="ellipse">
              <a:avLst/>
            </a:prstGeom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n w="317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</xdr:spPr>
        </xdr:sp>
      </xdr:grpSp>
      <xdr:sp macro="" textlink="">
        <xdr:nvSpPr>
          <xdr:cNvPr id="5" name="Freeform 26">
            <a:extLst>
              <a:ext uri="{FF2B5EF4-FFF2-40B4-BE49-F238E27FC236}">
                <a16:creationId xmlns:a16="http://schemas.microsoft.com/office/drawing/2014/main" id="{B8E1BBD6-3AC7-E92F-43D4-BEB5456CFCC7}"/>
              </a:ext>
            </a:extLst>
          </xdr:cNvPr>
          <xdr:cNvSpPr>
            <a:spLocks/>
          </xdr:cNvSpPr>
        </xdr:nvSpPr>
        <xdr:spPr bwMode="auto">
          <a:xfrm>
            <a:off x="370" y="141"/>
            <a:ext cx="16" cy="4"/>
          </a:xfrm>
          <a:custGeom>
            <a:avLst/>
            <a:gdLst>
              <a:gd name="T0" fmla="*/ 0 w 16"/>
              <a:gd name="T1" fmla="*/ 4 h 4"/>
              <a:gd name="T2" fmla="*/ 13 w 16"/>
              <a:gd name="T3" fmla="*/ 0 h 4"/>
              <a:gd name="T4" fmla="*/ 16 w 16"/>
              <a:gd name="T5" fmla="*/ 3 h 4"/>
              <a:gd name="T6" fmla="*/ 0 w 16"/>
              <a:gd name="T7" fmla="*/ 4 h 4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6" h="4">
                <a:moveTo>
                  <a:pt x="0" y="4"/>
                </a:moveTo>
                <a:lnTo>
                  <a:pt x="13" y="0"/>
                </a:lnTo>
                <a:lnTo>
                  <a:pt x="16" y="3"/>
                </a:lnTo>
                <a:lnTo>
                  <a:pt x="0" y="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" name="Freeform 27">
            <a:extLst>
              <a:ext uri="{FF2B5EF4-FFF2-40B4-BE49-F238E27FC236}">
                <a16:creationId xmlns:a16="http://schemas.microsoft.com/office/drawing/2014/main" id="{66513F3B-3BDA-932B-E845-CDC2312BD871}"/>
              </a:ext>
            </a:extLst>
          </xdr:cNvPr>
          <xdr:cNvSpPr>
            <a:spLocks/>
          </xdr:cNvSpPr>
        </xdr:nvSpPr>
        <xdr:spPr bwMode="auto">
          <a:xfrm>
            <a:off x="587" y="106"/>
            <a:ext cx="14" cy="7"/>
          </a:xfrm>
          <a:custGeom>
            <a:avLst/>
            <a:gdLst>
              <a:gd name="T0" fmla="*/ 0 w 14"/>
              <a:gd name="T1" fmla="*/ 6 h 7"/>
              <a:gd name="T2" fmla="*/ 14 w 14"/>
              <a:gd name="T3" fmla="*/ 0 h 7"/>
              <a:gd name="T4" fmla="*/ 5 w 14"/>
              <a:gd name="T5" fmla="*/ 7 h 7"/>
              <a:gd name="T6" fmla="*/ 0 w 14"/>
              <a:gd name="T7" fmla="*/ 6 h 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4" h="7">
                <a:moveTo>
                  <a:pt x="0" y="6"/>
                </a:moveTo>
                <a:lnTo>
                  <a:pt x="14" y="0"/>
                </a:lnTo>
                <a:lnTo>
                  <a:pt x="5" y="7"/>
                </a:lnTo>
                <a:lnTo>
                  <a:pt x="0" y="6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AB67" sqref="AB6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41"/>
      <c r="B1" s="142"/>
      <c r="C1" s="142"/>
      <c r="D1" s="142"/>
      <c r="E1" s="142"/>
      <c r="F1" s="143"/>
      <c r="G1" s="150" t="s">
        <v>0</v>
      </c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2"/>
      <c r="U1" s="98" t="s">
        <v>47</v>
      </c>
      <c r="V1" s="99"/>
      <c r="W1" s="99"/>
      <c r="X1" s="99"/>
      <c r="Y1" s="99"/>
      <c r="Z1" s="100"/>
    </row>
    <row r="2" spans="1:26" ht="12.75" customHeight="1" x14ac:dyDescent="0.25">
      <c r="A2" s="144"/>
      <c r="B2" s="145"/>
      <c r="C2" s="145"/>
      <c r="D2" s="145"/>
      <c r="E2" s="145"/>
      <c r="F2" s="146"/>
      <c r="G2" s="153" t="s">
        <v>1</v>
      </c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5"/>
      <c r="U2" s="101"/>
      <c r="V2" s="102"/>
      <c r="W2" s="102"/>
      <c r="X2" s="102"/>
      <c r="Y2" s="102"/>
      <c r="Z2" s="103"/>
    </row>
    <row r="3" spans="1:26" ht="12.75" customHeight="1" x14ac:dyDescent="0.25">
      <c r="A3" s="144"/>
      <c r="B3" s="145"/>
      <c r="C3" s="145"/>
      <c r="D3" s="145"/>
      <c r="E3" s="145"/>
      <c r="F3" s="146"/>
      <c r="G3" s="153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5"/>
      <c r="U3" s="101"/>
      <c r="V3" s="102"/>
      <c r="W3" s="102"/>
      <c r="X3" s="102"/>
      <c r="Y3" s="102"/>
      <c r="Z3" s="103"/>
    </row>
    <row r="4" spans="1:26" ht="12.75" customHeight="1" x14ac:dyDescent="0.25">
      <c r="A4" s="144"/>
      <c r="B4" s="145"/>
      <c r="C4" s="145"/>
      <c r="D4" s="145"/>
      <c r="E4" s="145"/>
      <c r="F4" s="146"/>
      <c r="G4" s="153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01"/>
      <c r="V4" s="102"/>
      <c r="W4" s="102"/>
      <c r="X4" s="102"/>
      <c r="Y4" s="102"/>
      <c r="Z4" s="103"/>
    </row>
    <row r="5" spans="1:26" ht="12.75" customHeight="1" x14ac:dyDescent="0.25">
      <c r="A5" s="144"/>
      <c r="B5" s="145"/>
      <c r="C5" s="145"/>
      <c r="D5" s="145"/>
      <c r="E5" s="145"/>
      <c r="F5" s="146"/>
      <c r="G5" s="156" t="s">
        <v>2</v>
      </c>
      <c r="H5" s="157"/>
      <c r="I5" s="161">
        <v>1</v>
      </c>
      <c r="J5" s="161"/>
      <c r="K5" s="162"/>
      <c r="L5" s="164" t="s">
        <v>46</v>
      </c>
      <c r="M5" s="165"/>
      <c r="N5" s="165"/>
      <c r="O5" s="166"/>
      <c r="P5" s="167">
        <v>45953</v>
      </c>
      <c r="Q5" s="168"/>
      <c r="R5" s="168"/>
      <c r="S5" s="168"/>
      <c r="T5" s="169"/>
      <c r="U5" s="101"/>
      <c r="V5" s="102"/>
      <c r="W5" s="102"/>
      <c r="X5" s="102"/>
      <c r="Y5" s="102"/>
      <c r="Z5" s="103"/>
    </row>
    <row r="6" spans="1:26" ht="12.75" customHeight="1" x14ac:dyDescent="0.25">
      <c r="A6" s="147"/>
      <c r="B6" s="148"/>
      <c r="C6" s="148"/>
      <c r="D6" s="148"/>
      <c r="E6" s="148"/>
      <c r="F6" s="149"/>
      <c r="G6" s="2"/>
      <c r="H6" s="3"/>
      <c r="I6" s="163" t="s">
        <v>3</v>
      </c>
      <c r="J6" s="163"/>
      <c r="K6" s="163"/>
      <c r="L6" s="163" t="s">
        <v>4</v>
      </c>
      <c r="M6" s="163"/>
      <c r="N6" s="163"/>
      <c r="O6" s="163"/>
      <c r="P6" s="163" t="s">
        <v>5</v>
      </c>
      <c r="Q6" s="163"/>
      <c r="R6" s="163"/>
      <c r="S6" s="163"/>
      <c r="T6" s="170"/>
      <c r="U6" s="104"/>
      <c r="V6" s="105"/>
      <c r="W6" s="105"/>
      <c r="X6" s="105"/>
      <c r="Y6" s="105"/>
      <c r="Z6" s="106"/>
    </row>
    <row r="7" spans="1:26" ht="36.6" customHeight="1" x14ac:dyDescent="0.25">
      <c r="A7" s="158" t="s">
        <v>6</v>
      </c>
      <c r="B7" s="158"/>
      <c r="C7" s="158"/>
      <c r="D7" s="158"/>
      <c r="E7" s="158"/>
      <c r="F7" s="158"/>
      <c r="G7" s="159" t="s">
        <v>7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 spans="1:26" ht="15.9" customHeight="1" x14ac:dyDescent="0.25">
      <c r="A8" s="4" t="s">
        <v>8</v>
      </c>
      <c r="B8" s="5" t="s">
        <v>9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40" t="s">
        <v>10</v>
      </c>
      <c r="C10" s="140"/>
      <c r="D10" s="140"/>
      <c r="E10" s="140"/>
      <c r="F10" s="140"/>
      <c r="G10" s="140"/>
      <c r="H10" s="160" t="s">
        <v>48</v>
      </c>
      <c r="I10" s="160"/>
      <c r="J10" s="160"/>
      <c r="K10" s="160"/>
      <c r="L10" s="160"/>
      <c r="M10" s="160"/>
      <c r="N10" s="140" t="s">
        <v>11</v>
      </c>
      <c r="O10" s="140"/>
      <c r="P10" s="140"/>
      <c r="Q10" s="140"/>
      <c r="R10" s="140"/>
      <c r="S10" s="118" t="s">
        <v>45</v>
      </c>
      <c r="T10" s="118"/>
      <c r="U10" s="118"/>
      <c r="V10" s="118"/>
      <c r="W10" s="118"/>
      <c r="X10" s="118"/>
      <c r="Y10" s="118"/>
      <c r="Z10" s="12"/>
    </row>
    <row r="11" spans="1:26" ht="15.9" customHeight="1" x14ac:dyDescent="0.25">
      <c r="A11" s="9"/>
      <c r="B11" s="140" t="s">
        <v>12</v>
      </c>
      <c r="C11" s="140"/>
      <c r="D11" s="140"/>
      <c r="E11" s="140"/>
      <c r="F11" s="140"/>
      <c r="G11" s="140"/>
      <c r="H11" s="160">
        <v>45952</v>
      </c>
      <c r="I11" s="160"/>
      <c r="J11" s="160"/>
      <c r="K11" s="160"/>
      <c r="L11" s="160"/>
      <c r="M11" s="160"/>
      <c r="N11" s="140" t="s">
        <v>13</v>
      </c>
      <c r="O11" s="140"/>
      <c r="P11" s="140"/>
      <c r="Q11" s="140"/>
      <c r="R11" s="140"/>
      <c r="S11" s="118" t="s">
        <v>50</v>
      </c>
      <c r="T11" s="118"/>
      <c r="U11" s="118"/>
      <c r="V11" s="118"/>
      <c r="W11" s="118"/>
      <c r="X11" s="118"/>
      <c r="Y11" s="118"/>
      <c r="Z11" s="12"/>
    </row>
    <row r="12" spans="1:26" ht="15.9" customHeight="1" x14ac:dyDescent="0.25">
      <c r="A12" s="9"/>
      <c r="B12" s="140" t="s">
        <v>14</v>
      </c>
      <c r="C12" s="140"/>
      <c r="D12" s="140"/>
      <c r="E12" s="140"/>
      <c r="F12" s="140"/>
      <c r="G12" s="140"/>
      <c r="H12" s="160" t="s">
        <v>49</v>
      </c>
      <c r="I12" s="160"/>
      <c r="J12" s="160"/>
      <c r="K12" s="160"/>
      <c r="L12" s="160"/>
      <c r="M12" s="160"/>
      <c r="N12" s="140" t="s">
        <v>15</v>
      </c>
      <c r="O12" s="140"/>
      <c r="P12" s="140"/>
      <c r="Q12" s="140"/>
      <c r="R12" s="140"/>
      <c r="S12" s="118" t="s">
        <v>51</v>
      </c>
      <c r="T12" s="118"/>
      <c r="U12" s="118"/>
      <c r="V12" s="118"/>
      <c r="W12" s="118"/>
      <c r="X12" s="118"/>
      <c r="Y12" s="118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16</v>
      </c>
      <c r="B15" s="21" t="s">
        <v>17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39" t="s">
        <v>18</v>
      </c>
      <c r="C17" s="139"/>
      <c r="D17" s="139"/>
      <c r="E17" s="139"/>
      <c r="F17" s="139"/>
      <c r="G17" s="139"/>
      <c r="H17" s="139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28"/>
    </row>
    <row r="18" spans="1:26" s="17" customFormat="1" ht="15" customHeight="1" x14ac:dyDescent="0.25">
      <c r="A18" s="24"/>
      <c r="B18" s="139" t="s">
        <v>19</v>
      </c>
      <c r="C18" s="139"/>
      <c r="D18" s="139"/>
      <c r="E18" s="139"/>
      <c r="F18" s="139"/>
      <c r="G18" s="139"/>
      <c r="H18" s="139"/>
      <c r="I18" s="183" t="s">
        <v>20</v>
      </c>
      <c r="J18" s="183"/>
      <c r="K18" s="27">
        <v>50</v>
      </c>
      <c r="L18" s="27" t="s">
        <v>21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22</v>
      </c>
      <c r="B21" s="38" t="s">
        <v>23</v>
      </c>
      <c r="C21" s="33"/>
      <c r="D21" s="34"/>
      <c r="E21" s="34"/>
      <c r="F21" s="34"/>
      <c r="G21" s="34"/>
      <c r="H21" s="33"/>
      <c r="I21" s="33"/>
      <c r="J21" s="195" t="s">
        <v>24</v>
      </c>
      <c r="K21" s="195"/>
      <c r="L21" s="195"/>
      <c r="M21" s="195"/>
      <c r="N21" s="195"/>
      <c r="O21" s="195"/>
      <c r="P21" s="195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93" t="s">
        <v>25</v>
      </c>
      <c r="C23" s="119" t="s">
        <v>26</v>
      </c>
      <c r="D23" s="119"/>
      <c r="E23" s="119"/>
      <c r="F23" s="119"/>
      <c r="G23" s="120"/>
      <c r="H23" s="190" t="s">
        <v>27</v>
      </c>
      <c r="I23" s="191"/>
      <c r="J23" s="192"/>
      <c r="K23" s="119" t="s">
        <v>28</v>
      </c>
      <c r="L23" s="119"/>
      <c r="M23" s="119"/>
      <c r="N23" s="119"/>
      <c r="O23" s="119"/>
      <c r="P23" s="120"/>
      <c r="Z23" s="11"/>
    </row>
    <row r="24" spans="1:26" ht="15.75" customHeight="1" x14ac:dyDescent="0.25">
      <c r="A24" s="9"/>
      <c r="B24" s="194"/>
      <c r="C24" s="121"/>
      <c r="D24" s="121"/>
      <c r="E24" s="121"/>
      <c r="F24" s="121"/>
      <c r="G24" s="122"/>
      <c r="H24" s="187" t="s">
        <v>29</v>
      </c>
      <c r="I24" s="188"/>
      <c r="J24" s="189"/>
      <c r="K24" s="121"/>
      <c r="L24" s="121"/>
      <c r="M24" s="121"/>
      <c r="N24" s="121"/>
      <c r="O24" s="121"/>
      <c r="P24" s="122"/>
      <c r="Z24" s="11"/>
    </row>
    <row r="25" spans="1:26" ht="19.5" customHeight="1" x14ac:dyDescent="0.25">
      <c r="A25" s="9"/>
      <c r="B25" s="45">
        <v>1</v>
      </c>
      <c r="C25" s="186"/>
      <c r="D25" s="68"/>
      <c r="E25" s="68"/>
      <c r="F25" s="68"/>
      <c r="G25" s="69"/>
      <c r="H25" s="70">
        <v>120</v>
      </c>
      <c r="I25" s="184"/>
      <c r="J25" s="185"/>
      <c r="K25" s="67" t="s">
        <v>52</v>
      </c>
      <c r="L25" s="68"/>
      <c r="M25" s="68"/>
      <c r="N25" s="68"/>
      <c r="O25" s="68"/>
      <c r="P25" s="69"/>
      <c r="Z25" s="11"/>
    </row>
    <row r="26" spans="1:26" ht="19.5" customHeight="1" x14ac:dyDescent="0.25">
      <c r="A26" s="9"/>
      <c r="B26" s="45">
        <v>2</v>
      </c>
      <c r="C26" s="186"/>
      <c r="D26" s="68"/>
      <c r="E26" s="68"/>
      <c r="F26" s="68"/>
      <c r="G26" s="69"/>
      <c r="H26" s="70">
        <v>116</v>
      </c>
      <c r="I26" s="184"/>
      <c r="J26" s="185"/>
      <c r="K26" s="67" t="s">
        <v>52</v>
      </c>
      <c r="L26" s="68"/>
      <c r="M26" s="68"/>
      <c r="N26" s="68"/>
      <c r="O26" s="68"/>
      <c r="P26" s="69"/>
      <c r="Z26" s="11"/>
    </row>
    <row r="27" spans="1:26" ht="19.5" customHeight="1" x14ac:dyDescent="0.25">
      <c r="A27" s="9"/>
      <c r="B27" s="45">
        <v>3</v>
      </c>
      <c r="C27" s="67"/>
      <c r="D27" s="68"/>
      <c r="E27" s="68"/>
      <c r="F27" s="68"/>
      <c r="G27" s="69"/>
      <c r="H27" s="70">
        <v>133</v>
      </c>
      <c r="I27" s="71"/>
      <c r="J27" s="72"/>
      <c r="K27" s="67" t="s">
        <v>52</v>
      </c>
      <c r="L27" s="68"/>
      <c r="M27" s="68"/>
      <c r="N27" s="68"/>
      <c r="O27" s="68"/>
      <c r="P27" s="69"/>
      <c r="Z27" s="11"/>
    </row>
    <row r="28" spans="1:26" ht="19.5" customHeight="1" x14ac:dyDescent="0.25">
      <c r="A28" s="9"/>
      <c r="B28" s="45">
        <v>4</v>
      </c>
      <c r="C28" s="67"/>
      <c r="D28" s="68"/>
      <c r="E28" s="68"/>
      <c r="F28" s="68"/>
      <c r="G28" s="69"/>
      <c r="H28" s="70">
        <v>163</v>
      </c>
      <c r="I28" s="71"/>
      <c r="J28" s="72"/>
      <c r="K28" s="67" t="s">
        <v>52</v>
      </c>
      <c r="L28" s="68"/>
      <c r="M28" s="68"/>
      <c r="N28" s="68"/>
      <c r="O28" s="68"/>
      <c r="P28" s="69"/>
      <c r="Z28" s="11"/>
    </row>
    <row r="29" spans="1:26" ht="19.5" customHeight="1" x14ac:dyDescent="0.25">
      <c r="A29" s="9"/>
      <c r="B29" s="45">
        <v>5</v>
      </c>
      <c r="C29" s="67"/>
      <c r="D29" s="68"/>
      <c r="E29" s="68"/>
      <c r="F29" s="68"/>
      <c r="G29" s="69"/>
      <c r="H29" s="70">
        <v>113</v>
      </c>
      <c r="I29" s="71"/>
      <c r="J29" s="72"/>
      <c r="K29" s="67" t="s">
        <v>52</v>
      </c>
      <c r="L29" s="68"/>
      <c r="M29" s="68"/>
      <c r="N29" s="68"/>
      <c r="O29" s="68"/>
      <c r="P29" s="69"/>
      <c r="Z29" s="11"/>
    </row>
    <row r="30" spans="1:26" ht="19.5" customHeight="1" x14ac:dyDescent="0.25">
      <c r="A30" s="9"/>
      <c r="B30" s="45">
        <v>6</v>
      </c>
      <c r="C30" s="67"/>
      <c r="D30" s="68"/>
      <c r="E30" s="68"/>
      <c r="F30" s="68"/>
      <c r="G30" s="69"/>
      <c r="H30" s="70">
        <v>118</v>
      </c>
      <c r="I30" s="71"/>
      <c r="J30" s="72"/>
      <c r="K30" s="67" t="s">
        <v>52</v>
      </c>
      <c r="L30" s="68"/>
      <c r="M30" s="68"/>
      <c r="N30" s="68"/>
      <c r="O30" s="68"/>
      <c r="P30" s="69"/>
      <c r="Z30" s="11"/>
    </row>
    <row r="31" spans="1:26" ht="19.5" customHeight="1" x14ac:dyDescent="0.25">
      <c r="A31" s="9"/>
      <c r="B31" s="45">
        <v>7</v>
      </c>
      <c r="C31" s="67"/>
      <c r="D31" s="68"/>
      <c r="E31" s="68"/>
      <c r="F31" s="68"/>
      <c r="G31" s="69"/>
      <c r="H31" s="70">
        <v>147</v>
      </c>
      <c r="I31" s="71"/>
      <c r="J31" s="72"/>
      <c r="K31" s="67" t="s">
        <v>52</v>
      </c>
      <c r="L31" s="68"/>
      <c r="M31" s="68"/>
      <c r="N31" s="68"/>
      <c r="O31" s="68"/>
      <c r="P31" s="69"/>
      <c r="Z31" s="11"/>
    </row>
    <row r="32" spans="1:26" ht="19.5" customHeight="1" x14ac:dyDescent="0.25">
      <c r="A32" s="9"/>
      <c r="B32" s="45">
        <v>8</v>
      </c>
      <c r="C32" s="67"/>
      <c r="D32" s="68"/>
      <c r="E32" s="68"/>
      <c r="F32" s="68"/>
      <c r="G32" s="69"/>
      <c r="H32" s="70">
        <v>111</v>
      </c>
      <c r="I32" s="71"/>
      <c r="J32" s="72"/>
      <c r="K32" s="67" t="s">
        <v>52</v>
      </c>
      <c r="L32" s="68"/>
      <c r="M32" s="68"/>
      <c r="N32" s="68"/>
      <c r="O32" s="68"/>
      <c r="P32" s="69"/>
      <c r="Z32" s="11"/>
    </row>
    <row r="33" spans="1:26" ht="19.5" customHeight="1" x14ac:dyDescent="0.25">
      <c r="A33" s="9"/>
      <c r="B33" s="45">
        <v>9</v>
      </c>
      <c r="C33" s="67"/>
      <c r="D33" s="68"/>
      <c r="E33" s="68"/>
      <c r="F33" s="68"/>
      <c r="G33" s="69"/>
      <c r="H33" s="70">
        <v>98</v>
      </c>
      <c r="I33" s="71"/>
      <c r="J33" s="72"/>
      <c r="K33" s="67" t="s">
        <v>52</v>
      </c>
      <c r="L33" s="68"/>
      <c r="M33" s="68"/>
      <c r="N33" s="68"/>
      <c r="O33" s="68"/>
      <c r="P33" s="69"/>
      <c r="Z33" s="11"/>
    </row>
    <row r="34" spans="1:26" ht="19.5" customHeight="1" x14ac:dyDescent="0.25">
      <c r="A34" s="9"/>
      <c r="B34" s="45">
        <v>10</v>
      </c>
      <c r="C34" s="67"/>
      <c r="D34" s="68"/>
      <c r="E34" s="68"/>
      <c r="F34" s="68"/>
      <c r="G34" s="69"/>
      <c r="H34" s="70">
        <v>101</v>
      </c>
      <c r="I34" s="71"/>
      <c r="J34" s="72"/>
      <c r="K34" s="67" t="s">
        <v>52</v>
      </c>
      <c r="L34" s="68"/>
      <c r="M34" s="68"/>
      <c r="N34" s="68"/>
      <c r="O34" s="68"/>
      <c r="P34" s="69"/>
      <c r="Z34" s="11"/>
    </row>
    <row r="35" spans="1:26" ht="19.5" customHeight="1" x14ac:dyDescent="0.25">
      <c r="A35" s="9"/>
      <c r="B35" s="45">
        <v>11</v>
      </c>
      <c r="C35" s="67"/>
      <c r="D35" s="68"/>
      <c r="E35" s="68"/>
      <c r="F35" s="68"/>
      <c r="G35" s="69"/>
      <c r="H35" s="70">
        <v>52</v>
      </c>
      <c r="I35" s="71"/>
      <c r="J35" s="72"/>
      <c r="K35" s="67" t="s">
        <v>52</v>
      </c>
      <c r="L35" s="68"/>
      <c r="M35" s="68"/>
      <c r="N35" s="68"/>
      <c r="O35" s="68"/>
      <c r="P35" s="69"/>
      <c r="Z35" s="11"/>
    </row>
    <row r="36" spans="1:26" ht="19.5" customHeight="1" x14ac:dyDescent="0.25">
      <c r="A36" s="9"/>
      <c r="B36" s="45">
        <v>12</v>
      </c>
      <c r="C36" s="67"/>
      <c r="D36" s="68"/>
      <c r="E36" s="68"/>
      <c r="F36" s="68"/>
      <c r="G36" s="69"/>
      <c r="H36" s="70">
        <v>108</v>
      </c>
      <c r="I36" s="71"/>
      <c r="J36" s="72"/>
      <c r="K36" s="67" t="s">
        <v>52</v>
      </c>
      <c r="L36" s="68"/>
      <c r="M36" s="68"/>
      <c r="N36" s="68"/>
      <c r="O36" s="68"/>
      <c r="P36" s="69"/>
      <c r="Z36" s="11"/>
    </row>
    <row r="37" spans="1:26" ht="19.5" customHeight="1" x14ac:dyDescent="0.25">
      <c r="A37" s="9"/>
      <c r="B37" s="45">
        <v>13</v>
      </c>
      <c r="C37" s="67"/>
      <c r="D37" s="68"/>
      <c r="E37" s="68"/>
      <c r="F37" s="68"/>
      <c r="G37" s="69"/>
      <c r="H37" s="70">
        <v>72</v>
      </c>
      <c r="I37" s="71"/>
      <c r="J37" s="72"/>
      <c r="K37" s="67" t="s">
        <v>52</v>
      </c>
      <c r="L37" s="68"/>
      <c r="M37" s="68"/>
      <c r="N37" s="68"/>
      <c r="O37" s="68"/>
      <c r="P37" s="69"/>
      <c r="Z37" s="11"/>
    </row>
    <row r="38" spans="1:26" ht="19.5" customHeight="1" x14ac:dyDescent="0.25">
      <c r="A38" s="9"/>
      <c r="B38" s="45"/>
      <c r="C38" s="67"/>
      <c r="D38" s="68"/>
      <c r="E38" s="68"/>
      <c r="F38" s="68"/>
      <c r="G38" s="69"/>
      <c r="H38" s="70"/>
      <c r="I38" s="71"/>
      <c r="J38" s="72"/>
      <c r="K38" s="67"/>
      <c r="L38" s="68"/>
      <c r="M38" s="68"/>
      <c r="N38" s="68"/>
      <c r="O38" s="68"/>
      <c r="P38" s="69"/>
      <c r="Z38" s="11"/>
    </row>
    <row r="39" spans="1:26" ht="19.5" customHeight="1" x14ac:dyDescent="0.25">
      <c r="A39" s="9"/>
      <c r="B39" s="45"/>
      <c r="C39" s="67"/>
      <c r="D39" s="68"/>
      <c r="E39" s="68"/>
      <c r="F39" s="68"/>
      <c r="G39" s="69"/>
      <c r="H39" s="70"/>
      <c r="I39" s="71"/>
      <c r="J39" s="72"/>
      <c r="K39" s="67"/>
      <c r="L39" s="68"/>
      <c r="M39" s="68"/>
      <c r="N39" s="68"/>
      <c r="O39" s="68"/>
      <c r="P39" s="69"/>
      <c r="Z39" s="11"/>
    </row>
    <row r="40" spans="1:26" ht="19.5" customHeight="1" x14ac:dyDescent="0.25">
      <c r="A40" s="9"/>
      <c r="B40" s="66"/>
      <c r="C40" s="67"/>
      <c r="D40" s="68"/>
      <c r="E40" s="68"/>
      <c r="F40" s="68"/>
      <c r="G40" s="69"/>
      <c r="H40" s="70"/>
      <c r="I40" s="71"/>
      <c r="J40" s="72"/>
      <c r="K40" s="67"/>
      <c r="L40" s="68"/>
      <c r="M40" s="68"/>
      <c r="N40" s="68"/>
      <c r="O40" s="68"/>
      <c r="P40" s="69"/>
      <c r="Z40" s="11"/>
    </row>
    <row r="41" spans="1:26" ht="19.5" customHeight="1" x14ac:dyDescent="0.25">
      <c r="A41" s="9"/>
      <c r="B41" s="66"/>
      <c r="C41" s="67"/>
      <c r="D41" s="68"/>
      <c r="E41" s="68"/>
      <c r="F41" s="68"/>
      <c r="G41" s="69"/>
      <c r="H41" s="70"/>
      <c r="I41" s="71"/>
      <c r="J41" s="72"/>
      <c r="K41" s="67"/>
      <c r="L41" s="68"/>
      <c r="M41" s="68"/>
      <c r="N41" s="68"/>
      <c r="O41" s="68"/>
      <c r="P41" s="69"/>
      <c r="Z41" s="11"/>
    </row>
    <row r="42" spans="1:26" ht="19.5" customHeight="1" x14ac:dyDescent="0.25">
      <c r="A42" s="9"/>
      <c r="B42" s="66"/>
      <c r="C42" s="67"/>
      <c r="D42" s="68"/>
      <c r="E42" s="68"/>
      <c r="F42" s="68"/>
      <c r="G42" s="69"/>
      <c r="H42" s="70"/>
      <c r="I42" s="71"/>
      <c r="J42" s="72"/>
      <c r="K42" s="67"/>
      <c r="L42" s="68"/>
      <c r="M42" s="68"/>
      <c r="N42" s="68"/>
      <c r="O42" s="68"/>
      <c r="P42" s="69"/>
      <c r="Z42" s="11"/>
    </row>
    <row r="43" spans="1:26" ht="19.5" customHeight="1" x14ac:dyDescent="0.25">
      <c r="A43" s="9"/>
      <c r="B43" s="66"/>
      <c r="C43" s="67"/>
      <c r="D43" s="68"/>
      <c r="E43" s="68"/>
      <c r="F43" s="68"/>
      <c r="G43" s="69"/>
      <c r="H43" s="70"/>
      <c r="I43" s="71"/>
      <c r="J43" s="72"/>
      <c r="K43" s="67"/>
      <c r="L43" s="68"/>
      <c r="M43" s="68"/>
      <c r="N43" s="68"/>
      <c r="O43" s="68"/>
      <c r="P43" s="69"/>
      <c r="Z43" s="11"/>
    </row>
    <row r="44" spans="1:26" ht="19.5" customHeight="1" x14ac:dyDescent="0.25">
      <c r="A44" s="9"/>
      <c r="B44" s="66"/>
      <c r="C44" s="67"/>
      <c r="D44" s="68"/>
      <c r="E44" s="68"/>
      <c r="F44" s="68"/>
      <c r="G44" s="69"/>
      <c r="H44" s="70"/>
      <c r="I44" s="71"/>
      <c r="J44" s="72"/>
      <c r="K44" s="67"/>
      <c r="L44" s="68"/>
      <c r="M44" s="68"/>
      <c r="N44" s="68"/>
      <c r="O44" s="68"/>
      <c r="P44" s="69"/>
      <c r="Z44" s="11"/>
    </row>
    <row r="45" spans="1:26" ht="19.5" customHeight="1" x14ac:dyDescent="0.25">
      <c r="A45" s="9"/>
      <c r="B45" s="66"/>
      <c r="C45" s="67"/>
      <c r="D45" s="68"/>
      <c r="E45" s="68"/>
      <c r="F45" s="68"/>
      <c r="G45" s="69"/>
      <c r="H45" s="70"/>
      <c r="I45" s="71"/>
      <c r="J45" s="72"/>
      <c r="K45" s="67"/>
      <c r="L45" s="68"/>
      <c r="M45" s="68"/>
      <c r="N45" s="68"/>
      <c r="O45" s="68"/>
      <c r="P45" s="69"/>
      <c r="Z45" s="11"/>
    </row>
    <row r="46" spans="1:26" ht="19.5" customHeight="1" x14ac:dyDescent="0.25">
      <c r="A46" s="9"/>
      <c r="B46" s="66"/>
      <c r="C46" s="67"/>
      <c r="D46" s="68"/>
      <c r="E46" s="68"/>
      <c r="F46" s="68"/>
      <c r="G46" s="69"/>
      <c r="H46" s="70"/>
      <c r="I46" s="71"/>
      <c r="J46" s="72"/>
      <c r="K46" s="67"/>
      <c r="L46" s="68"/>
      <c r="M46" s="68"/>
      <c r="N46" s="68"/>
      <c r="O46" s="68"/>
      <c r="P46" s="69"/>
      <c r="Z46" s="11"/>
    </row>
    <row r="47" spans="1:26" ht="19.5" customHeight="1" x14ac:dyDescent="0.25">
      <c r="A47" s="9"/>
      <c r="B47" s="66"/>
      <c r="C47" s="67"/>
      <c r="D47" s="68"/>
      <c r="E47" s="68"/>
      <c r="F47" s="68"/>
      <c r="G47" s="69"/>
      <c r="H47" s="70"/>
      <c r="I47" s="71"/>
      <c r="J47" s="72"/>
      <c r="K47" s="67"/>
      <c r="L47" s="68"/>
      <c r="M47" s="68"/>
      <c r="N47" s="68"/>
      <c r="O47" s="68"/>
      <c r="P47" s="69"/>
      <c r="Z47" s="11"/>
    </row>
    <row r="48" spans="1:26" ht="19.5" customHeight="1" x14ac:dyDescent="0.25">
      <c r="A48" s="9"/>
      <c r="B48" s="66"/>
      <c r="C48" s="67"/>
      <c r="D48" s="68"/>
      <c r="E48" s="68"/>
      <c r="F48" s="68"/>
      <c r="G48" s="69"/>
      <c r="H48" s="70"/>
      <c r="I48" s="71"/>
      <c r="J48" s="72"/>
      <c r="K48" s="67"/>
      <c r="L48" s="68"/>
      <c r="M48" s="68"/>
      <c r="N48" s="68"/>
      <c r="O48" s="68"/>
      <c r="P48" s="69"/>
      <c r="Z48" s="11"/>
    </row>
    <row r="49" spans="1:26" ht="19.5" customHeight="1" x14ac:dyDescent="0.25">
      <c r="A49" s="9"/>
      <c r="B49" s="66"/>
      <c r="C49" s="67"/>
      <c r="D49" s="68"/>
      <c r="E49" s="68"/>
      <c r="F49" s="68"/>
      <c r="G49" s="69"/>
      <c r="H49" s="70"/>
      <c r="I49" s="71"/>
      <c r="J49" s="72"/>
      <c r="K49" s="67"/>
      <c r="L49" s="68"/>
      <c r="M49" s="68"/>
      <c r="N49" s="68"/>
      <c r="O49" s="68"/>
      <c r="P49" s="69"/>
      <c r="Z49" s="11"/>
    </row>
    <row r="50" spans="1:26" ht="19.5" customHeight="1" x14ac:dyDescent="0.25">
      <c r="A50" s="9"/>
      <c r="B50" s="66"/>
      <c r="C50" s="67"/>
      <c r="D50" s="68"/>
      <c r="E50" s="68"/>
      <c r="F50" s="68"/>
      <c r="G50" s="69"/>
      <c r="H50" s="70"/>
      <c r="I50" s="71"/>
      <c r="J50" s="72"/>
      <c r="K50" s="67"/>
      <c r="L50" s="68"/>
      <c r="M50" s="68"/>
      <c r="N50" s="68"/>
      <c r="O50" s="68"/>
      <c r="P50" s="69"/>
      <c r="Z50" s="11"/>
    </row>
    <row r="51" spans="1:26" ht="19.5" customHeight="1" x14ac:dyDescent="0.25">
      <c r="A51" s="9"/>
      <c r="B51" s="66"/>
      <c r="C51" s="67"/>
      <c r="D51" s="68"/>
      <c r="E51" s="68"/>
      <c r="F51" s="68"/>
      <c r="G51" s="69"/>
      <c r="H51" s="70"/>
      <c r="I51" s="71"/>
      <c r="J51" s="72"/>
      <c r="K51" s="67"/>
      <c r="L51" s="68"/>
      <c r="M51" s="68"/>
      <c r="N51" s="68"/>
      <c r="O51" s="68"/>
      <c r="P51" s="69"/>
      <c r="Z51" s="11"/>
    </row>
    <row r="52" spans="1:26" ht="19.5" customHeight="1" x14ac:dyDescent="0.25">
      <c r="A52" s="9"/>
      <c r="B52" s="66"/>
      <c r="C52" s="67"/>
      <c r="D52" s="68"/>
      <c r="E52" s="68"/>
      <c r="F52" s="68"/>
      <c r="G52" s="69"/>
      <c r="H52" s="70"/>
      <c r="I52" s="71"/>
      <c r="J52" s="72"/>
      <c r="K52" s="67"/>
      <c r="L52" s="68"/>
      <c r="M52" s="68"/>
      <c r="N52" s="68"/>
      <c r="O52" s="68"/>
      <c r="P52" s="69"/>
      <c r="Z52" s="11"/>
    </row>
    <row r="53" spans="1:26" ht="19.5" customHeight="1" x14ac:dyDescent="0.25">
      <c r="A53" s="9"/>
      <c r="B53" s="66"/>
      <c r="C53" s="67"/>
      <c r="D53" s="68"/>
      <c r="E53" s="68"/>
      <c r="F53" s="68"/>
      <c r="G53" s="69"/>
      <c r="H53" s="70"/>
      <c r="I53" s="71"/>
      <c r="J53" s="72"/>
      <c r="K53" s="67"/>
      <c r="L53" s="68"/>
      <c r="M53" s="68"/>
      <c r="N53" s="68"/>
      <c r="O53" s="68"/>
      <c r="P53" s="69"/>
      <c r="Z53" s="11"/>
    </row>
    <row r="54" spans="1:26" ht="19.5" customHeight="1" x14ac:dyDescent="0.25">
      <c r="A54" s="9"/>
      <c r="B54" s="46"/>
      <c r="C54" s="127"/>
      <c r="D54" s="128"/>
      <c r="E54" s="128"/>
      <c r="F54" s="128"/>
      <c r="G54" s="129"/>
      <c r="H54" s="124"/>
      <c r="I54" s="125"/>
      <c r="J54" s="126"/>
      <c r="K54" s="127"/>
      <c r="L54" s="128"/>
      <c r="M54" s="128"/>
      <c r="N54" s="128"/>
      <c r="O54" s="128"/>
      <c r="P54" s="129"/>
      <c r="Z54" s="11"/>
    </row>
    <row r="55" spans="1:26" ht="15.75" customHeight="1" x14ac:dyDescent="0.25">
      <c r="A55" s="9"/>
      <c r="B55" s="202" t="s">
        <v>30</v>
      </c>
      <c r="C55" s="203"/>
      <c r="D55" s="203"/>
      <c r="E55" s="203"/>
      <c r="F55" s="203"/>
      <c r="G55" s="204"/>
      <c r="H55" s="133">
        <f>AVERAGE(H25:J54)</f>
        <v>111.69230769230769</v>
      </c>
      <c r="I55" s="134"/>
      <c r="J55" s="135"/>
      <c r="K55" s="112" t="s">
        <v>31</v>
      </c>
      <c r="L55" s="113"/>
      <c r="M55" s="107" t="s">
        <v>32</v>
      </c>
      <c r="N55" s="107"/>
      <c r="O55" s="107"/>
      <c r="P55" s="108"/>
      <c r="Z55" s="11"/>
    </row>
    <row r="56" spans="1:26" ht="15.75" customHeight="1" x14ac:dyDescent="0.25">
      <c r="A56" s="9"/>
      <c r="B56" s="196" t="s">
        <v>33</v>
      </c>
      <c r="C56" s="197"/>
      <c r="D56" s="197"/>
      <c r="E56" s="197"/>
      <c r="F56" s="197"/>
      <c r="G56" s="198"/>
      <c r="H56" s="136">
        <f>IF(COUNTIF(H25:J54,"*&lt;20*"),"&lt;20",MIN(H25:J54))</f>
        <v>52</v>
      </c>
      <c r="I56" s="137"/>
      <c r="J56" s="138"/>
      <c r="K56" s="114"/>
      <c r="L56" s="115"/>
      <c r="M56" s="91"/>
      <c r="N56" s="91"/>
      <c r="O56" s="91"/>
      <c r="P56" s="109"/>
      <c r="Z56" s="11"/>
    </row>
    <row r="57" spans="1:26" ht="15.75" customHeight="1" x14ac:dyDescent="0.25">
      <c r="A57" s="9"/>
      <c r="B57" s="199" t="s">
        <v>34</v>
      </c>
      <c r="C57" s="200"/>
      <c r="D57" s="200"/>
      <c r="E57" s="200"/>
      <c r="F57" s="200"/>
      <c r="G57" s="201"/>
      <c r="H57" s="130">
        <f>IF(COUNTIF(H25:J54,"*&gt;250*"),"&gt;250",MAX(H25:J54))</f>
        <v>163</v>
      </c>
      <c r="I57" s="131"/>
      <c r="J57" s="132"/>
      <c r="K57" s="116"/>
      <c r="L57" s="117"/>
      <c r="M57" s="110"/>
      <c r="N57" s="110"/>
      <c r="O57" s="110"/>
      <c r="P57" s="111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35</v>
      </c>
      <c r="B60" s="5" t="s">
        <v>36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80" t="s">
        <v>37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2"/>
      <c r="R61" s="83" t="s">
        <v>38</v>
      </c>
      <c r="S61" s="84"/>
      <c r="T61" s="85"/>
      <c r="U61" s="73" t="s">
        <v>53</v>
      </c>
      <c r="V61" s="74"/>
      <c r="W61" s="74"/>
      <c r="X61" s="75"/>
      <c r="Y61" s="75"/>
      <c r="Z61" s="76"/>
    </row>
    <row r="62" spans="1:26" s="17" customFormat="1" ht="15.6" customHeight="1" x14ac:dyDescent="0.25">
      <c r="A62" s="77" t="s">
        <v>39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9"/>
      <c r="R62" s="83" t="s">
        <v>40</v>
      </c>
      <c r="S62" s="84"/>
      <c r="T62" s="85"/>
      <c r="U62" s="86" t="s">
        <v>41</v>
      </c>
      <c r="V62" s="87"/>
      <c r="W62" s="87"/>
      <c r="X62" s="88"/>
      <c r="Y62" s="88"/>
      <c r="Z62" s="89"/>
    </row>
    <row r="63" spans="1:26" s="17" customFormat="1" ht="15.6" customHeight="1" x14ac:dyDescent="0.25">
      <c r="A63" s="80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2"/>
      <c r="R63" s="83"/>
      <c r="S63" s="84"/>
      <c r="T63" s="85"/>
      <c r="U63" s="90"/>
      <c r="V63" s="91"/>
      <c r="W63" s="91"/>
      <c r="X63" s="92"/>
      <c r="Y63" s="92"/>
      <c r="Z63" s="93"/>
    </row>
    <row r="64" spans="1:26" s="17" customFormat="1" ht="15.6" customHeight="1" x14ac:dyDescent="0.25">
      <c r="A64" s="55" t="s">
        <v>42</v>
      </c>
      <c r="B64" s="56" t="s">
        <v>43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83"/>
      <c r="S64" s="84"/>
      <c r="T64" s="85"/>
      <c r="U64" s="94"/>
      <c r="V64" s="95"/>
      <c r="W64" s="95"/>
      <c r="X64" s="96"/>
      <c r="Y64" s="96"/>
      <c r="Z64" s="97"/>
    </row>
    <row r="65" spans="1:26" s="17" customFormat="1" ht="15.6" customHeight="1" x14ac:dyDescent="0.25">
      <c r="A65" s="171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83" t="s">
        <v>44</v>
      </c>
      <c r="S65" s="84"/>
      <c r="T65" s="85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71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3"/>
      <c r="R66" s="83"/>
      <c r="S66" s="84"/>
      <c r="T66" s="85"/>
      <c r="U66" s="61"/>
      <c r="V66" s="91"/>
      <c r="W66" s="91"/>
      <c r="X66" s="91"/>
      <c r="Y66" s="91"/>
      <c r="Z66" s="62"/>
    </row>
    <row r="67" spans="1:26" s="17" customFormat="1" ht="15.6" customHeight="1" x14ac:dyDescent="0.25">
      <c r="A67" s="171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3"/>
      <c r="R67" s="83"/>
      <c r="S67" s="84"/>
      <c r="T67" s="85"/>
      <c r="U67" s="61"/>
      <c r="V67" s="91"/>
      <c r="W67" s="91"/>
      <c r="X67" s="91"/>
      <c r="Y67" s="91"/>
      <c r="Z67" s="62"/>
    </row>
    <row r="68" spans="1:26" s="17" customFormat="1" ht="15.6" customHeight="1" x14ac:dyDescent="0.25">
      <c r="A68" s="174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6"/>
      <c r="R68" s="177"/>
      <c r="S68" s="178"/>
      <c r="T68" s="179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42"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C26:G26"/>
    <mergeCell ref="H26:J26"/>
    <mergeCell ref="A65:Q68"/>
    <mergeCell ref="R65:T68"/>
    <mergeCell ref="K26:P26"/>
    <mergeCell ref="A61:Q61"/>
    <mergeCell ref="R61:T61"/>
    <mergeCell ref="C39:G39"/>
    <mergeCell ref="C40:G40"/>
    <mergeCell ref="C41:G41"/>
    <mergeCell ref="C42:G42"/>
    <mergeCell ref="C43:G43"/>
    <mergeCell ref="C44:G44"/>
    <mergeCell ref="C45:G45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U61:Z61"/>
    <mergeCell ref="A62:Q63"/>
    <mergeCell ref="R62:T64"/>
    <mergeCell ref="U62:Z64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51:G51"/>
    <mergeCell ref="C52:G52"/>
    <mergeCell ref="C53:G53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C46:G46"/>
    <mergeCell ref="C47:G47"/>
    <mergeCell ref="C48:G48"/>
    <mergeCell ref="C49:G49"/>
    <mergeCell ref="C50:G50"/>
    <mergeCell ref="K36:P36"/>
    <mergeCell ref="K37:P37"/>
    <mergeCell ref="K38:P38"/>
    <mergeCell ref="H45:J45"/>
    <mergeCell ref="H46:J46"/>
    <mergeCell ref="H47:J47"/>
    <mergeCell ref="H48:J48"/>
    <mergeCell ref="H49:J49"/>
    <mergeCell ref="H40:J40"/>
    <mergeCell ref="H41:J41"/>
    <mergeCell ref="H42:J42"/>
    <mergeCell ref="H43:J43"/>
    <mergeCell ref="H44:J44"/>
    <mergeCell ref="K27:P27"/>
    <mergeCell ref="K28:P28"/>
    <mergeCell ref="K29:P29"/>
    <mergeCell ref="K30:P30"/>
    <mergeCell ref="K31:P31"/>
    <mergeCell ref="K32:P32"/>
    <mergeCell ref="K33:P33"/>
    <mergeCell ref="K34:P34"/>
    <mergeCell ref="K35:P35"/>
    <mergeCell ref="K39:P39"/>
    <mergeCell ref="K40:P40"/>
    <mergeCell ref="K41:P41"/>
    <mergeCell ref="K42:P42"/>
    <mergeCell ref="K43:P43"/>
    <mergeCell ref="H50:J50"/>
    <mergeCell ref="H51:J51"/>
    <mergeCell ref="H52:J52"/>
    <mergeCell ref="H53:J53"/>
    <mergeCell ref="K49:P49"/>
    <mergeCell ref="K50:P50"/>
    <mergeCell ref="K51:P51"/>
    <mergeCell ref="K52:P52"/>
    <mergeCell ref="K53:P53"/>
    <mergeCell ref="K44:P44"/>
    <mergeCell ref="K45:P45"/>
    <mergeCell ref="K46:P46"/>
    <mergeCell ref="K47:P47"/>
    <mergeCell ref="K48:P4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221025 Allée Francoise Vallet</vt:lpstr>
      <vt:lpstr>'221025 Allée Francoise Vallet'!Zone_d_impression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Christelle CHADEYRAS</cp:lastModifiedBy>
  <cp:lastPrinted>2025-03-13T10:29:27Z</cp:lastPrinted>
  <dcterms:created xsi:type="dcterms:W3CDTF">2004-11-13T18:13:05Z</dcterms:created>
  <dcterms:modified xsi:type="dcterms:W3CDTF">2025-10-23T07:10:40Z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