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3\RA O99D  Yssingeaux - Leygatech\Essais de Laboratoire\"/>
    </mc:Choice>
  </mc:AlternateContent>
  <xr:revisionPtr revIDLastSave="0" documentId="13_ncr:1_{B7758EE6-6C63-4694-8353-4F68DB596C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30625 CdR Bât." sheetId="3" r:id="rId1"/>
    <sheet name="071124  (corrigé)" sheetId="2" r:id="rId2"/>
    <sheet name="071124 " sheetId="1" r:id="rId3"/>
  </sheets>
  <definedNames>
    <definedName name="_xlnm.Print_Area" localSheetId="0">'030625 CdR Bât.'!$A$1:$Z$69</definedName>
    <definedName name="_xlnm.Print_Area" localSheetId="2">'071124 '!$A$1:$Z$69</definedName>
    <definedName name="_xlnm.Print_Area" localSheetId="1">'071124  (corrigé)'!$A$1:$Z$69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3" l="1"/>
  <c r="H56" i="3"/>
  <c r="H57" i="3"/>
  <c r="Q57" i="2"/>
  <c r="N57" i="2"/>
  <c r="K57" i="2"/>
  <c r="H57" i="2"/>
  <c r="Q56" i="2"/>
  <c r="N56" i="2"/>
  <c r="K56" i="2"/>
  <c r="H56" i="2"/>
  <c r="Q55" i="2"/>
  <c r="N55" i="2"/>
  <c r="K55" i="2"/>
  <c r="H55" i="2"/>
  <c r="Q57" i="1"/>
  <c r="N57" i="1"/>
  <c r="K57" i="1"/>
  <c r="H57" i="1"/>
  <c r="Q56" i="1"/>
  <c r="N56" i="1"/>
  <c r="K56" i="1"/>
  <c r="H56" i="1"/>
  <c r="Q55" i="1"/>
  <c r="N55" i="1"/>
  <c r="K55" i="1"/>
  <c r="H55" i="1"/>
</calcChain>
</file>

<file path=xl/sharedStrings.xml><?xml version="1.0" encoding="utf-8"?>
<sst xmlns="http://schemas.openxmlformats.org/spreadsheetml/2006/main" count="185" uniqueCount="69">
  <si>
    <t>COMPTE RENDU D'ESSAIS</t>
  </si>
  <si>
    <t>PORTANCES DES PLATES-FORMES  
( NF P 94-117-1 et NF P 94-117-3 )</t>
  </si>
  <si>
    <t>PLW12 N°</t>
  </si>
  <si>
    <t>07/11/2024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</si>
  <si>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</si>
  <si>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</si>
  <si>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</si>
  <si>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</si>
  <si>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</si>
  <si>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</si>
  <si>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</si>
  <si>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</si>
  <si>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</si>
  <si>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</si>
  <si>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concassée 0/63</t>
  </si>
  <si>
    <t>Date de(s) essai(s) :</t>
  </si>
  <si>
    <t>Météo :</t>
  </si>
  <si>
    <t>Beau</t>
  </si>
  <si>
    <t>Partie de l'ouvrage :</t>
  </si>
  <si>
    <t>PF batiment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</si>
  <si>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</si>
  <si>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</si>
  <si>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</si>
  <si>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</si>
  <si>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</si>
  <si>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</si>
  <si>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</si>
  <si>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</si>
  <si>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Diametre de la plaque pour Kw:</t>
  </si>
  <si>
    <t>N°</t>
  </si>
  <si>
    <t>Localisation de l'essai</t>
  </si>
  <si>
    <t>Westergaard Kw</t>
  </si>
  <si>
    <t>Module EV1</t>
  </si>
  <si>
    <t>Module EV2</t>
  </si>
  <si>
    <t>EV2 / EV1</t>
  </si>
  <si>
    <t>Observations</t>
  </si>
  <si>
    <t>MPa/m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</si>
  <si>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</si>
  <si>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</si>
  <si>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</si>
  <si>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</si>
  <si>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</si>
  <si>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</si>
  <si>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</si>
  <si>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</si>
  <si>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</si>
  <si>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Fonction</t>
  </si>
  <si>
    <t>6/</t>
  </si>
  <si>
    <t>COMMENTAIRES</t>
  </si>
  <si>
    <t>Visa</t>
  </si>
  <si>
    <t>bar/cm</t>
  </si>
  <si>
    <t>bar</t>
  </si>
  <si>
    <r>
      <t xml:space="preserve">Kw </t>
    </r>
    <r>
      <rPr>
        <sz val="10"/>
        <color rgb="FF000000"/>
        <rFont val="Aptos Narrow"/>
        <family val="2"/>
      </rPr>
      <t>≥</t>
    </r>
    <r>
      <rPr>
        <sz val="10"/>
        <color rgb="FF000000"/>
        <rFont val="Century Gothic"/>
        <family val="2"/>
      </rPr>
      <t xml:space="preserve"> </t>
    </r>
  </si>
  <si>
    <r>
      <t xml:space="preserve">EV1 </t>
    </r>
    <r>
      <rPr>
        <sz val="10"/>
        <color rgb="FF000000"/>
        <rFont val="Aptos Narrow"/>
        <family val="2"/>
      </rPr>
      <t>≥</t>
    </r>
    <r>
      <rPr>
        <sz val="10"/>
        <color rgb="FF000000"/>
        <rFont val="Century Gothic"/>
        <family val="2"/>
      </rPr>
      <t xml:space="preserve"> </t>
    </r>
  </si>
  <si>
    <r>
      <t xml:space="preserve">EV2/EV1 </t>
    </r>
    <r>
      <rPr>
        <sz val="10"/>
        <color rgb="FF000000"/>
        <rFont val="Aptos Narrow"/>
        <family val="2"/>
      </rPr>
      <t>≤</t>
    </r>
    <r>
      <rPr>
        <sz val="10"/>
        <color rgb="FF000000"/>
        <rFont val="Century Gothic"/>
        <family val="2"/>
      </rPr>
      <t xml:space="preserve"> </t>
    </r>
  </si>
  <si>
    <t>Chef de Section Laboratoire</t>
  </si>
  <si>
    <t xml:space="preserve">Yssingeaux
Plateforme Leygatech </t>
  </si>
  <si>
    <t>Pour information</t>
  </si>
  <si>
    <t>RA O99D</t>
  </si>
  <si>
    <t xml:space="preserve"> 100.00</t>
  </si>
  <si>
    <t>Cellule gauche</t>
  </si>
  <si>
    <t>Cellule centrale</t>
  </si>
  <si>
    <t>Cellule droite</t>
  </si>
  <si>
    <t>PF Bâtiment</t>
  </si>
  <si>
    <t>Couvert</t>
  </si>
  <si>
    <t>03/06/2025</t>
  </si>
  <si>
    <t>GNT 0/31,5</t>
  </si>
  <si>
    <t>PLD N°</t>
  </si>
  <si>
    <t>PORTANCES DES PLATES-FORMES DYNAPLAQUE 
(NF P 94-117-2 d'octobre 2004)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</si>
</sst>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rgb="FF000000"/>
      <name val="Aptos Narrow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7" fillId="0" borderId="4" xfId="0" applyFont="1" applyBorder="1" applyAlignment="1" applyProtection="1">
      <alignment vertical="center"/>
      <protection hidden="1"/>
    </xf>
    <xf numFmtId="0" fontId="6" fillId="0" borderId="11" xfId="0" applyFont="1" applyBorder="1" applyAlignment="1">
      <alignment horizontal="center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2" xfId="0" applyFont="1" applyBorder="1" applyAlignment="1" applyProtection="1">
      <alignment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164" fontId="7" fillId="0" borderId="15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5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2" fontId="7" fillId="0" borderId="15" xfId="0" applyNumberFormat="1" applyFont="1" applyBorder="1" applyAlignment="1">
      <alignment horizontal="center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13" fillId="0" borderId="0" xfId="0" applyFont="1" applyProtection="1">
      <protection hidden="1"/>
    </xf>
    <xf numFmtId="0" fontId="6" fillId="0" borderId="34" xfId="0" applyFont="1" applyBorder="1" applyAlignment="1">
      <alignment horizontal="center"/>
    </xf>
    <xf numFmtId="0" fontId="7" fillId="0" borderId="0" xfId="0" applyFont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17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7" fillId="0" borderId="4" xfId="0" applyFont="1" applyBorder="1" applyAlignment="1">
      <alignment horizontal="center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3" fillId="0" borderId="4" xfId="0" applyFont="1" applyBorder="1"/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3" fillId="0" borderId="5" xfId="0" applyFont="1" applyBorder="1"/>
    <xf numFmtId="0" fontId="13" fillId="0" borderId="1" xfId="0" applyFont="1" applyBorder="1"/>
    <xf numFmtId="0" fontId="13" fillId="0" borderId="2" xfId="0" applyFont="1" applyBorder="1"/>
    <xf numFmtId="0" fontId="13" fillId="0" borderId="8" xfId="0" applyFont="1" applyBorder="1"/>
    <xf numFmtId="0" fontId="15" fillId="0" borderId="1" xfId="0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5" xfId="0" applyNumberFormat="1" applyFont="1" applyBorder="1" applyAlignment="1">
      <alignment horizontal="center"/>
    </xf>
    <xf numFmtId="0" fontId="7" fillId="0" borderId="9" xfId="0" applyFont="1" applyBorder="1"/>
    <xf numFmtId="164" fontId="7" fillId="0" borderId="10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 wrapText="1"/>
    </xf>
    <xf numFmtId="0" fontId="7" fillId="0" borderId="10" xfId="0" applyFont="1" applyBorder="1"/>
    <xf numFmtId="2" fontId="7" fillId="0" borderId="15" xfId="0" applyNumberFormat="1" applyFont="1" applyBorder="1" applyAlignment="1">
      <alignment horizontal="center"/>
    </xf>
    <xf numFmtId="0" fontId="7" fillId="0" borderId="30" xfId="0" applyFont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32" xfId="0" applyFont="1" applyBorder="1" applyAlignment="1" applyProtection="1">
      <alignment horizontal="center"/>
      <protection locked="0"/>
    </xf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7" fillId="0" borderId="32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2" fontId="7" fillId="0" borderId="32" xfId="0" applyNumberFormat="1" applyFont="1" applyBorder="1" applyAlignment="1">
      <alignment horizontal="center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0" fontId="7" fillId="0" borderId="31" xfId="0" applyFont="1" applyBorder="1"/>
    <xf numFmtId="0" fontId="7" fillId="0" borderId="32" xfId="0" applyFont="1" applyBorder="1"/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26" xfId="0" applyFont="1" applyBorder="1" applyAlignment="1" applyProtection="1">
      <alignment horizontal="center" vertical="center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25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35" xfId="0" applyNumberFormat="1" applyFont="1" applyBorder="1" applyAlignment="1">
      <alignment horizontal="center" vertical="top"/>
    </xf>
    <xf numFmtId="0" fontId="7" fillId="0" borderId="10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164" fontId="7" fillId="0" borderId="15" xfId="0" applyNumberFormat="1" applyFont="1" applyBorder="1" applyAlignment="1">
      <alignment horizontal="center" vertical="center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8" xfId="0" applyFont="1" applyBorder="1"/>
    <xf numFmtId="0" fontId="7" fillId="0" borderId="2" xfId="0" applyFont="1" applyBorder="1"/>
    <xf numFmtId="0" fontId="6" fillId="0" borderId="1" xfId="0" applyFont="1" applyBorder="1" applyAlignment="1">
      <alignment horizontal="center" vertical="center"/>
    </xf>
    <xf numFmtId="0" fontId="7" fillId="0" borderId="5" xfId="0" applyFont="1" applyBorder="1"/>
    <xf numFmtId="0" fontId="7" fillId="0" borderId="4" xfId="0" applyFont="1" applyBorder="1"/>
    <xf numFmtId="0" fontId="6" fillId="0" borderId="3" xfId="0" applyFont="1" applyBorder="1" applyAlignment="1">
      <alignment horizontal="center" vertical="center"/>
    </xf>
    <xf numFmtId="0" fontId="1" fillId="0" borderId="6" xfId="0" applyFont="1" applyBorder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86BB793-B4BD-4A1A-BC97-F883E12BC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142875</xdr:colOff>
      <xdr:row>64</xdr:row>
      <xdr:rowOff>47625</xdr:rowOff>
    </xdr:from>
    <xdr:ext cx="1790700" cy="706655"/>
    <xdr:pic>
      <xdr:nvPicPr>
        <xdr:cNvPr id="3" name="Image 2">
          <a:extLst>
            <a:ext uri="{FF2B5EF4-FFF2-40B4-BE49-F238E27FC236}">
              <a16:creationId xmlns:a16="http://schemas.microsoft.com/office/drawing/2014/main" id="{80006098-ED71-45F9-9977-909090EF9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1970" y="11022330"/>
          <a:ext cx="1790700" cy="70665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90BB5CB-0463-4A18-8B89-6D8AEA128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142875</xdr:colOff>
      <xdr:row>64</xdr:row>
      <xdr:rowOff>47625</xdr:rowOff>
    </xdr:from>
    <xdr:to>
      <xdr:col>25</xdr:col>
      <xdr:colOff>169545</xdr:colOff>
      <xdr:row>67</xdr:row>
      <xdr:rowOff>156110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D7F7ABE-DA1F-4742-994D-D73406A50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9470" y="14089380"/>
          <a:ext cx="1798320" cy="706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142875</xdr:colOff>
      <xdr:row>64</xdr:row>
      <xdr:rowOff>47625</xdr:rowOff>
    </xdr:from>
    <xdr:to>
      <xdr:col>25</xdr:col>
      <xdr:colOff>177165</xdr:colOff>
      <xdr:row>67</xdr:row>
      <xdr:rowOff>156110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68E378D-F4E5-3009-2AA7-FCB92727A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14087475"/>
          <a:ext cx="1800225" cy="708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7B4F-BEE1-43DF-9617-0AE4A9544D16}">
  <sheetPr>
    <pageSetUpPr fitToPage="1"/>
  </sheetPr>
  <dimension ref="A1:AA76"/>
  <sheetViews>
    <sheetView tabSelected="1" workbookViewId="0">
      <selection activeCell="AD24" sqref="AD24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86"/>
      <c r="B1" s="87"/>
      <c r="C1" s="87"/>
      <c r="D1" s="87"/>
      <c r="E1" s="87"/>
      <c r="F1" s="88"/>
      <c r="G1" s="95" t="s">
        <v>0</v>
      </c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7"/>
      <c r="U1" s="98" t="s">
        <v>56</v>
      </c>
      <c r="V1" s="99"/>
      <c r="W1" s="99"/>
      <c r="X1" s="99"/>
      <c r="Y1" s="99"/>
      <c r="Z1" s="100"/>
    </row>
    <row r="2" spans="1:26" ht="12.75" customHeight="1" x14ac:dyDescent="0.25">
      <c r="A2" s="89"/>
      <c r="B2" s="90"/>
      <c r="C2" s="90"/>
      <c r="D2" s="90"/>
      <c r="E2" s="90"/>
      <c r="F2" s="91"/>
      <c r="G2" s="110" t="s">
        <v>68</v>
      </c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9"/>
      <c r="U2" s="101"/>
      <c r="V2" s="102"/>
      <c r="W2" s="102"/>
      <c r="X2" s="102"/>
      <c r="Y2" s="102"/>
      <c r="Z2" s="103"/>
    </row>
    <row r="3" spans="1:26" ht="12.75" customHeight="1" x14ac:dyDescent="0.25">
      <c r="A3" s="89"/>
      <c r="B3" s="90"/>
      <c r="C3" s="90"/>
      <c r="D3" s="90"/>
      <c r="E3" s="90"/>
      <c r="F3" s="91"/>
      <c r="G3" s="110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9"/>
      <c r="U3" s="101"/>
      <c r="V3" s="102"/>
      <c r="W3" s="102"/>
      <c r="X3" s="102"/>
      <c r="Y3" s="102"/>
      <c r="Z3" s="103"/>
    </row>
    <row r="4" spans="1:26" ht="12.75" customHeight="1" x14ac:dyDescent="0.25">
      <c r="A4" s="89"/>
      <c r="B4" s="90"/>
      <c r="C4" s="90"/>
      <c r="D4" s="90"/>
      <c r="E4" s="90"/>
      <c r="F4" s="91"/>
      <c r="G4" s="110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01"/>
      <c r="V4" s="102"/>
      <c r="W4" s="102"/>
      <c r="X4" s="102"/>
      <c r="Y4" s="102"/>
      <c r="Z4" s="103"/>
    </row>
    <row r="5" spans="1:26" ht="12.75" customHeight="1" x14ac:dyDescent="0.25">
      <c r="A5" s="89"/>
      <c r="B5" s="90"/>
      <c r="C5" s="90"/>
      <c r="D5" s="90"/>
      <c r="E5" s="90"/>
      <c r="F5" s="91"/>
      <c r="G5" s="111" t="s">
        <v>67</v>
      </c>
      <c r="H5" s="112"/>
      <c r="I5" s="113">
        <v>2</v>
      </c>
      <c r="J5" s="113"/>
      <c r="K5" s="114"/>
      <c r="L5" s="115" t="s">
        <v>58</v>
      </c>
      <c r="M5" s="116"/>
      <c r="N5" s="116"/>
      <c r="O5" s="117"/>
      <c r="P5" s="118" t="s">
        <v>65</v>
      </c>
      <c r="Q5" s="119"/>
      <c r="R5" s="119"/>
      <c r="S5" s="119"/>
      <c r="T5" s="120"/>
      <c r="U5" s="101"/>
      <c r="V5" s="102"/>
      <c r="W5" s="102"/>
      <c r="X5" s="102"/>
      <c r="Y5" s="102"/>
      <c r="Z5" s="103"/>
    </row>
    <row r="6" spans="1:26" ht="12.75" customHeight="1" x14ac:dyDescent="0.25">
      <c r="A6" s="92"/>
      <c r="B6" s="93"/>
      <c r="C6" s="93"/>
      <c r="D6" s="93"/>
      <c r="E6" s="93"/>
      <c r="F6" s="94"/>
      <c r="G6" s="2"/>
      <c r="H6" s="3"/>
      <c r="I6" s="78" t="s">
        <v>4</v>
      </c>
      <c r="J6" s="78"/>
      <c r="K6" s="78"/>
      <c r="L6" s="78" t="s">
        <v>5</v>
      </c>
      <c r="M6" s="78"/>
      <c r="N6" s="78"/>
      <c r="O6" s="78"/>
      <c r="P6" s="78" t="s">
        <v>6</v>
      </c>
      <c r="Q6" s="78"/>
      <c r="R6" s="78"/>
      <c r="S6" s="78"/>
      <c r="T6" s="82"/>
      <c r="U6" s="104"/>
      <c r="V6" s="105"/>
      <c r="W6" s="105"/>
      <c r="X6" s="105"/>
      <c r="Y6" s="105"/>
      <c r="Z6" s="106"/>
    </row>
    <row r="7" spans="1:26" ht="36.6" customHeight="1" x14ac:dyDescent="0.25">
      <c r="A7" s="83" t="s">
        <v>7</v>
      </c>
      <c r="B7" s="83"/>
      <c r="C7" s="83"/>
      <c r="D7" s="83"/>
      <c r="E7" s="83"/>
      <c r="F7" s="83"/>
      <c r="G7" s="85" t="s">
        <v>8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79" t="s">
        <v>11</v>
      </c>
      <c r="C10" s="79"/>
      <c r="D10" s="79"/>
      <c r="E10" s="79"/>
      <c r="F10" s="79"/>
      <c r="G10" s="79"/>
      <c r="H10" s="80" t="s">
        <v>12</v>
      </c>
      <c r="I10" s="80"/>
      <c r="J10" s="80"/>
      <c r="K10" s="80"/>
      <c r="L10" s="80"/>
      <c r="M10" s="80"/>
      <c r="N10" s="79" t="s">
        <v>13</v>
      </c>
      <c r="O10" s="79"/>
      <c r="P10" s="79"/>
      <c r="Q10" s="79"/>
      <c r="R10" s="79"/>
      <c r="S10" s="81" t="s">
        <v>66</v>
      </c>
      <c r="T10" s="81"/>
      <c r="U10" s="81"/>
      <c r="V10" s="81"/>
      <c r="W10" s="81"/>
      <c r="X10" s="81"/>
      <c r="Y10" s="81"/>
      <c r="Z10" s="12"/>
    </row>
    <row r="11" spans="1:26" ht="15.9" customHeight="1" x14ac:dyDescent="0.25">
      <c r="A11" s="9"/>
      <c r="B11" s="79" t="s">
        <v>15</v>
      </c>
      <c r="C11" s="79"/>
      <c r="D11" s="79"/>
      <c r="E11" s="79"/>
      <c r="F11" s="79"/>
      <c r="G11" s="79"/>
      <c r="H11" s="80" t="s">
        <v>65</v>
      </c>
      <c r="I11" s="80"/>
      <c r="J11" s="80"/>
      <c r="K11" s="80"/>
      <c r="L11" s="80"/>
      <c r="M11" s="80"/>
      <c r="N11" s="79" t="s">
        <v>16</v>
      </c>
      <c r="O11" s="79"/>
      <c r="P11" s="79"/>
      <c r="Q11" s="79"/>
      <c r="R11" s="79"/>
      <c r="S11" s="81" t="s">
        <v>64</v>
      </c>
      <c r="T11" s="81"/>
      <c r="U11" s="81"/>
      <c r="V11" s="81"/>
      <c r="W11" s="81"/>
      <c r="X11" s="81"/>
      <c r="Y11" s="81"/>
      <c r="Z11" s="12"/>
    </row>
    <row r="12" spans="1:26" ht="15.9" customHeight="1" x14ac:dyDescent="0.25">
      <c r="A12" s="9"/>
      <c r="B12" s="79" t="s">
        <v>18</v>
      </c>
      <c r="C12" s="79"/>
      <c r="D12" s="79"/>
      <c r="E12" s="79"/>
      <c r="F12" s="79"/>
      <c r="G12" s="79"/>
      <c r="H12" s="80" t="s">
        <v>63</v>
      </c>
      <c r="I12" s="80"/>
      <c r="J12" s="80"/>
      <c r="K12" s="80"/>
      <c r="L12" s="80"/>
      <c r="M12" s="80"/>
      <c r="N12" s="79" t="s">
        <v>20</v>
      </c>
      <c r="O12" s="79"/>
      <c r="P12" s="79"/>
      <c r="Q12" s="79"/>
      <c r="R12" s="79"/>
      <c r="S12" s="81" t="s">
        <v>21</v>
      </c>
      <c r="T12" s="81"/>
      <c r="U12" s="81"/>
      <c r="V12" s="81"/>
      <c r="W12" s="81"/>
      <c r="X12" s="81"/>
      <c r="Y12" s="81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21" t="s">
        <v>24</v>
      </c>
      <c r="C17" s="121"/>
      <c r="D17" s="121"/>
      <c r="E17" s="121"/>
      <c r="F17" s="121"/>
      <c r="G17" s="121"/>
      <c r="H17" s="121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27"/>
    </row>
    <row r="18" spans="1:26" s="17" customFormat="1" ht="15" customHeight="1" x14ac:dyDescent="0.3">
      <c r="A18" s="24"/>
      <c r="B18" s="121" t="s">
        <v>25</v>
      </c>
      <c r="C18" s="121"/>
      <c r="D18" s="121"/>
      <c r="E18" s="121"/>
      <c r="F18" s="121"/>
      <c r="G18" s="121"/>
      <c r="H18" s="121"/>
      <c r="I18" s="72" t="s">
        <v>52</v>
      </c>
      <c r="J18" s="73">
        <v>5</v>
      </c>
      <c r="K18" s="74" t="s">
        <v>50</v>
      </c>
      <c r="L18" s="74"/>
      <c r="M18" s="74" t="s">
        <v>53</v>
      </c>
      <c r="N18" s="75">
        <v>280</v>
      </c>
      <c r="O18" s="74" t="s">
        <v>51</v>
      </c>
      <c r="P18" s="74"/>
      <c r="Q18" s="74" t="s">
        <v>54</v>
      </c>
      <c r="R18" s="74"/>
      <c r="S18" s="74">
        <v>2</v>
      </c>
      <c r="T18" s="77"/>
      <c r="U18" s="77"/>
      <c r="V18" s="77"/>
      <c r="W18" s="77"/>
      <c r="X18" s="77"/>
      <c r="Y18" s="77"/>
      <c r="Z18" s="27"/>
    </row>
    <row r="19" spans="1:26" s="17" customFormat="1" ht="13.2" customHeight="1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/>
    </row>
    <row r="20" spans="1:26" ht="12.75" customHeight="1" x14ac:dyDescent="0.25">
      <c r="D20" s="10"/>
      <c r="E20" s="10"/>
      <c r="F20" s="10"/>
      <c r="G20" s="10"/>
      <c r="N20" s="31"/>
    </row>
    <row r="21" spans="1:26" ht="15.9" customHeight="1" x14ac:dyDescent="0.25">
      <c r="A21" s="4" t="s">
        <v>26</v>
      </c>
      <c r="B21" s="247" t="s">
        <v>27</v>
      </c>
      <c r="C21" s="32"/>
      <c r="D21" s="33"/>
      <c r="E21" s="33"/>
      <c r="F21" s="33"/>
      <c r="G21" s="33"/>
      <c r="H21" s="32"/>
      <c r="I21" s="32"/>
      <c r="J21" s="124" t="s">
        <v>28</v>
      </c>
      <c r="K21" s="124"/>
      <c r="L21" s="124"/>
      <c r="M21" s="124"/>
      <c r="N21" s="124"/>
      <c r="O21" s="124"/>
      <c r="P21" s="124"/>
      <c r="Q21" s="41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246"/>
      <c r="Z22" s="11"/>
    </row>
    <row r="23" spans="1:26" ht="15.75" customHeight="1" x14ac:dyDescent="0.25">
      <c r="A23" s="9"/>
      <c r="B23" s="125" t="s">
        <v>29</v>
      </c>
      <c r="C23" s="127" t="s">
        <v>30</v>
      </c>
      <c r="D23" s="127"/>
      <c r="E23" s="127"/>
      <c r="F23" s="127"/>
      <c r="G23" s="128"/>
      <c r="H23" s="245" t="s">
        <v>33</v>
      </c>
      <c r="I23" s="244"/>
      <c r="J23" s="243"/>
      <c r="K23" s="127" t="s">
        <v>35</v>
      </c>
      <c r="L23" s="127"/>
      <c r="M23" s="127"/>
      <c r="N23" s="127"/>
      <c r="O23" s="127"/>
      <c r="P23" s="128"/>
      <c r="Z23" s="11"/>
    </row>
    <row r="24" spans="1:26" ht="15.75" customHeight="1" x14ac:dyDescent="0.25">
      <c r="A24" s="9"/>
      <c r="B24" s="126"/>
      <c r="C24" s="129"/>
      <c r="D24" s="129"/>
      <c r="E24" s="129"/>
      <c r="F24" s="129"/>
      <c r="G24" s="130"/>
      <c r="H24" s="242" t="s">
        <v>37</v>
      </c>
      <c r="I24" s="241"/>
      <c r="J24" s="240"/>
      <c r="K24" s="129"/>
      <c r="L24" s="129"/>
      <c r="M24" s="129"/>
      <c r="N24" s="129"/>
      <c r="O24" s="129"/>
      <c r="P24" s="130"/>
      <c r="Z24" s="11"/>
    </row>
    <row r="25" spans="1:26" ht="19.5" customHeight="1" x14ac:dyDescent="0.25">
      <c r="A25" s="9"/>
      <c r="B25" s="43">
        <v>1</v>
      </c>
      <c r="C25" s="239" t="s">
        <v>62</v>
      </c>
      <c r="D25" s="238"/>
      <c r="E25" s="238"/>
      <c r="F25" s="238"/>
      <c r="G25" s="237"/>
      <c r="H25" s="232">
        <v>95</v>
      </c>
      <c r="I25" s="231"/>
      <c r="J25" s="230"/>
      <c r="K25" s="144"/>
      <c r="L25" s="145"/>
      <c r="M25" s="145"/>
      <c r="N25" s="145"/>
      <c r="O25" s="145"/>
      <c r="P25" s="146"/>
      <c r="Z25" s="11"/>
    </row>
    <row r="26" spans="1:26" ht="19.5" customHeight="1" x14ac:dyDescent="0.25">
      <c r="A26" s="9"/>
      <c r="B26" s="43">
        <v>2</v>
      </c>
      <c r="C26" s="184"/>
      <c r="D26" s="185"/>
      <c r="E26" s="185"/>
      <c r="F26" s="185"/>
      <c r="G26" s="236"/>
      <c r="H26" s="232">
        <v>110</v>
      </c>
      <c r="I26" s="231"/>
      <c r="J26" s="230"/>
      <c r="K26" s="144"/>
      <c r="L26" s="145"/>
      <c r="M26" s="145"/>
      <c r="N26" s="145"/>
      <c r="O26" s="145"/>
      <c r="P26" s="146"/>
      <c r="Z26" s="11"/>
    </row>
    <row r="27" spans="1:26" ht="19.5" customHeight="1" x14ac:dyDescent="0.25">
      <c r="A27" s="9"/>
      <c r="B27" s="43">
        <v>3</v>
      </c>
      <c r="C27" s="184"/>
      <c r="D27" s="185"/>
      <c r="E27" s="185"/>
      <c r="F27" s="185"/>
      <c r="G27" s="236"/>
      <c r="H27" s="232">
        <v>94</v>
      </c>
      <c r="I27" s="231"/>
      <c r="J27" s="230"/>
      <c r="K27" s="144"/>
      <c r="L27" s="145"/>
      <c r="M27" s="145"/>
      <c r="N27" s="145"/>
      <c r="O27" s="145"/>
      <c r="P27" s="146"/>
      <c r="Z27" s="11"/>
    </row>
    <row r="28" spans="1:26" ht="19.5" customHeight="1" x14ac:dyDescent="0.25">
      <c r="A28" s="9"/>
      <c r="B28" s="43">
        <v>4</v>
      </c>
      <c r="C28" s="184"/>
      <c r="D28" s="185"/>
      <c r="E28" s="185"/>
      <c r="F28" s="185"/>
      <c r="G28" s="236"/>
      <c r="H28" s="232">
        <v>86</v>
      </c>
      <c r="I28" s="231"/>
      <c r="J28" s="230"/>
      <c r="K28" s="144"/>
      <c r="L28" s="145"/>
      <c r="M28" s="145"/>
      <c r="N28" s="145"/>
      <c r="O28" s="145"/>
      <c r="P28" s="146"/>
      <c r="Z28" s="11"/>
    </row>
    <row r="29" spans="1:26" ht="19.5" customHeight="1" x14ac:dyDescent="0.25">
      <c r="A29" s="9"/>
      <c r="B29" s="43">
        <v>5</v>
      </c>
      <c r="C29" s="184"/>
      <c r="D29" s="185"/>
      <c r="E29" s="185"/>
      <c r="F29" s="185"/>
      <c r="G29" s="236"/>
      <c r="H29" s="232">
        <v>88</v>
      </c>
      <c r="I29" s="231"/>
      <c r="J29" s="230"/>
      <c r="K29" s="144"/>
      <c r="L29" s="145"/>
      <c r="M29" s="145"/>
      <c r="N29" s="145"/>
      <c r="O29" s="145"/>
      <c r="P29" s="146"/>
      <c r="Z29" s="11"/>
    </row>
    <row r="30" spans="1:26" ht="19.5" customHeight="1" x14ac:dyDescent="0.25">
      <c r="A30" s="9"/>
      <c r="B30" s="43">
        <v>6</v>
      </c>
      <c r="C30" s="235"/>
      <c r="D30" s="234"/>
      <c r="E30" s="234"/>
      <c r="F30" s="234"/>
      <c r="G30" s="233"/>
      <c r="H30" s="232">
        <v>97</v>
      </c>
      <c r="I30" s="231"/>
      <c r="J30" s="230"/>
      <c r="K30" s="144"/>
      <c r="L30" s="145"/>
      <c r="M30" s="145"/>
      <c r="N30" s="145"/>
      <c r="O30" s="145"/>
      <c r="P30" s="146"/>
      <c r="Z30" s="11"/>
    </row>
    <row r="31" spans="1:26" ht="19.5" customHeight="1" x14ac:dyDescent="0.25">
      <c r="A31" s="9"/>
      <c r="B31" s="43">
        <v>7</v>
      </c>
      <c r="C31" s="239" t="s">
        <v>61</v>
      </c>
      <c r="D31" s="238"/>
      <c r="E31" s="238"/>
      <c r="F31" s="238"/>
      <c r="G31" s="237"/>
      <c r="H31" s="232">
        <v>89</v>
      </c>
      <c r="I31" s="231"/>
      <c r="J31" s="230"/>
      <c r="K31" s="144"/>
      <c r="L31" s="145"/>
      <c r="M31" s="145"/>
      <c r="N31" s="145"/>
      <c r="O31" s="145"/>
      <c r="P31" s="146"/>
      <c r="Z31" s="11"/>
    </row>
    <row r="32" spans="1:26" ht="19.5" customHeight="1" x14ac:dyDescent="0.25">
      <c r="A32" s="9"/>
      <c r="B32" s="43">
        <v>8</v>
      </c>
      <c r="C32" s="184"/>
      <c r="D32" s="185"/>
      <c r="E32" s="185"/>
      <c r="F32" s="185"/>
      <c r="G32" s="236"/>
      <c r="H32" s="232">
        <v>94</v>
      </c>
      <c r="I32" s="231"/>
      <c r="J32" s="230"/>
      <c r="K32" s="144"/>
      <c r="L32" s="145"/>
      <c r="M32" s="145"/>
      <c r="N32" s="145"/>
      <c r="O32" s="145"/>
      <c r="P32" s="146"/>
      <c r="Z32" s="11"/>
    </row>
    <row r="33" spans="1:26" ht="19.5" customHeight="1" x14ac:dyDescent="0.25">
      <c r="A33" s="9"/>
      <c r="B33" s="43">
        <v>9</v>
      </c>
      <c r="C33" s="184"/>
      <c r="D33" s="185"/>
      <c r="E33" s="185"/>
      <c r="F33" s="185"/>
      <c r="G33" s="236"/>
      <c r="H33" s="232">
        <v>128</v>
      </c>
      <c r="I33" s="231"/>
      <c r="J33" s="230"/>
      <c r="K33" s="144"/>
      <c r="L33" s="145"/>
      <c r="M33" s="145"/>
      <c r="N33" s="145"/>
      <c r="O33" s="145"/>
      <c r="P33" s="146"/>
      <c r="Z33" s="11"/>
    </row>
    <row r="34" spans="1:26" ht="19.5" customHeight="1" x14ac:dyDescent="0.25">
      <c r="A34" s="9"/>
      <c r="B34" s="43">
        <v>10</v>
      </c>
      <c r="C34" s="184"/>
      <c r="D34" s="185"/>
      <c r="E34" s="185"/>
      <c r="F34" s="185"/>
      <c r="G34" s="236"/>
      <c r="H34" s="232">
        <v>101</v>
      </c>
      <c r="I34" s="231"/>
      <c r="J34" s="230"/>
      <c r="K34" s="144"/>
      <c r="L34" s="145"/>
      <c r="M34" s="145"/>
      <c r="N34" s="145"/>
      <c r="O34" s="145"/>
      <c r="P34" s="146"/>
      <c r="Z34" s="11"/>
    </row>
    <row r="35" spans="1:26" ht="19.5" customHeight="1" x14ac:dyDescent="0.25">
      <c r="A35" s="9"/>
      <c r="B35" s="43">
        <v>11</v>
      </c>
      <c r="C35" s="184"/>
      <c r="D35" s="185"/>
      <c r="E35" s="185"/>
      <c r="F35" s="185"/>
      <c r="G35" s="236"/>
      <c r="H35" s="232">
        <v>101</v>
      </c>
      <c r="I35" s="231"/>
      <c r="J35" s="230"/>
      <c r="K35" s="144"/>
      <c r="L35" s="145"/>
      <c r="M35" s="145"/>
      <c r="N35" s="145"/>
      <c r="O35" s="145"/>
      <c r="P35" s="146"/>
      <c r="Z35" s="11"/>
    </row>
    <row r="36" spans="1:26" ht="19.5" customHeight="1" x14ac:dyDescent="0.25">
      <c r="A36" s="9"/>
      <c r="B36" s="43">
        <v>12</v>
      </c>
      <c r="C36" s="184"/>
      <c r="D36" s="185"/>
      <c r="E36" s="185"/>
      <c r="F36" s="185"/>
      <c r="G36" s="236"/>
      <c r="H36" s="232">
        <v>118</v>
      </c>
      <c r="I36" s="231"/>
      <c r="J36" s="230"/>
      <c r="K36" s="144"/>
      <c r="L36" s="145"/>
      <c r="M36" s="145"/>
      <c r="N36" s="145"/>
      <c r="O36" s="145"/>
      <c r="P36" s="146"/>
      <c r="Z36" s="11"/>
    </row>
    <row r="37" spans="1:26" ht="19.5" customHeight="1" x14ac:dyDescent="0.25">
      <c r="A37" s="9"/>
      <c r="B37" s="43">
        <v>13</v>
      </c>
      <c r="C37" s="184"/>
      <c r="D37" s="185"/>
      <c r="E37" s="185"/>
      <c r="F37" s="185"/>
      <c r="G37" s="236"/>
      <c r="H37" s="232">
        <v>91</v>
      </c>
      <c r="I37" s="231"/>
      <c r="J37" s="230"/>
      <c r="K37" s="144"/>
      <c r="L37" s="145"/>
      <c r="M37" s="145"/>
      <c r="N37" s="145"/>
      <c r="O37" s="145"/>
      <c r="P37" s="146"/>
      <c r="Z37" s="11"/>
    </row>
    <row r="38" spans="1:26" ht="19.5" customHeight="1" x14ac:dyDescent="0.25">
      <c r="A38" s="9"/>
      <c r="B38" s="43">
        <v>14</v>
      </c>
      <c r="C38" s="184"/>
      <c r="D38" s="185"/>
      <c r="E38" s="185"/>
      <c r="F38" s="185"/>
      <c r="G38" s="236"/>
      <c r="H38" s="232">
        <v>109</v>
      </c>
      <c r="I38" s="231"/>
      <c r="J38" s="230"/>
      <c r="K38" s="144"/>
      <c r="L38" s="145"/>
      <c r="M38" s="145"/>
      <c r="N38" s="145"/>
      <c r="O38" s="145"/>
      <c r="P38" s="146"/>
      <c r="Z38" s="11"/>
    </row>
    <row r="39" spans="1:26" ht="19.5" customHeight="1" x14ac:dyDescent="0.25">
      <c r="A39" s="9"/>
      <c r="B39" s="43">
        <v>15</v>
      </c>
      <c r="C39" s="184"/>
      <c r="D39" s="185"/>
      <c r="E39" s="185"/>
      <c r="F39" s="185"/>
      <c r="G39" s="236"/>
      <c r="H39" s="232">
        <v>86</v>
      </c>
      <c r="I39" s="231"/>
      <c r="J39" s="230"/>
      <c r="K39" s="144"/>
      <c r="L39" s="145"/>
      <c r="M39" s="145"/>
      <c r="N39" s="145"/>
      <c r="O39" s="145"/>
      <c r="P39" s="146"/>
      <c r="Z39" s="11"/>
    </row>
    <row r="40" spans="1:26" ht="19.5" customHeight="1" x14ac:dyDescent="0.25">
      <c r="A40" s="9"/>
      <c r="B40" s="43">
        <v>16</v>
      </c>
      <c r="C40" s="184"/>
      <c r="D40" s="185"/>
      <c r="E40" s="185"/>
      <c r="F40" s="185"/>
      <c r="G40" s="236"/>
      <c r="H40" s="232">
        <v>112</v>
      </c>
      <c r="I40" s="231"/>
      <c r="J40" s="230"/>
      <c r="K40" s="144"/>
      <c r="L40" s="145"/>
      <c r="M40" s="145"/>
      <c r="N40" s="145"/>
      <c r="O40" s="145"/>
      <c r="P40" s="146"/>
      <c r="Z40" s="11"/>
    </row>
    <row r="41" spans="1:26" ht="19.5" customHeight="1" x14ac:dyDescent="0.25">
      <c r="A41" s="9"/>
      <c r="B41" s="43">
        <v>17</v>
      </c>
      <c r="C41" s="184"/>
      <c r="D41" s="185"/>
      <c r="E41" s="185"/>
      <c r="F41" s="185"/>
      <c r="G41" s="236"/>
      <c r="H41" s="232">
        <v>106</v>
      </c>
      <c r="I41" s="231"/>
      <c r="J41" s="230"/>
      <c r="K41" s="144"/>
      <c r="L41" s="145"/>
      <c r="M41" s="145"/>
      <c r="N41" s="145"/>
      <c r="O41" s="145"/>
      <c r="P41" s="146"/>
      <c r="Z41" s="11"/>
    </row>
    <row r="42" spans="1:26" ht="19.5" customHeight="1" x14ac:dyDescent="0.25">
      <c r="A42" s="9"/>
      <c r="B42" s="43">
        <v>18</v>
      </c>
      <c r="C42" s="184"/>
      <c r="D42" s="185"/>
      <c r="E42" s="185"/>
      <c r="F42" s="185"/>
      <c r="G42" s="236"/>
      <c r="H42" s="232">
        <v>79</v>
      </c>
      <c r="I42" s="231"/>
      <c r="J42" s="230"/>
      <c r="K42" s="144"/>
      <c r="L42" s="145"/>
      <c r="M42" s="145"/>
      <c r="N42" s="145"/>
      <c r="O42" s="145"/>
      <c r="P42" s="146"/>
      <c r="Z42" s="11"/>
    </row>
    <row r="43" spans="1:26" ht="19.5" customHeight="1" x14ac:dyDescent="0.25">
      <c r="A43" s="9"/>
      <c r="B43" s="43">
        <v>19</v>
      </c>
      <c r="C43" s="184"/>
      <c r="D43" s="185"/>
      <c r="E43" s="185"/>
      <c r="F43" s="185"/>
      <c r="G43" s="236"/>
      <c r="H43" s="232">
        <v>79</v>
      </c>
      <c r="I43" s="231"/>
      <c r="J43" s="230"/>
      <c r="K43" s="144"/>
      <c r="L43" s="145"/>
      <c r="M43" s="145"/>
      <c r="N43" s="145"/>
      <c r="O43" s="145"/>
      <c r="P43" s="146"/>
      <c r="Z43" s="11"/>
    </row>
    <row r="44" spans="1:26" ht="19.5" customHeight="1" x14ac:dyDescent="0.25">
      <c r="A44" s="9"/>
      <c r="B44" s="43">
        <v>20</v>
      </c>
      <c r="C44" s="184"/>
      <c r="D44" s="185"/>
      <c r="E44" s="185"/>
      <c r="F44" s="185"/>
      <c r="G44" s="236"/>
      <c r="H44" s="232">
        <v>87</v>
      </c>
      <c r="I44" s="231"/>
      <c r="J44" s="230"/>
      <c r="K44" s="144"/>
      <c r="L44" s="145"/>
      <c r="M44" s="145"/>
      <c r="N44" s="145"/>
      <c r="O44" s="145"/>
      <c r="P44" s="146"/>
      <c r="Z44" s="11"/>
    </row>
    <row r="45" spans="1:26" ht="19.5" customHeight="1" x14ac:dyDescent="0.25">
      <c r="A45" s="9"/>
      <c r="B45" s="43">
        <v>21</v>
      </c>
      <c r="C45" s="184"/>
      <c r="D45" s="185"/>
      <c r="E45" s="185"/>
      <c r="F45" s="185"/>
      <c r="G45" s="236"/>
      <c r="H45" s="232">
        <v>77</v>
      </c>
      <c r="I45" s="231"/>
      <c r="J45" s="230"/>
      <c r="K45" s="144"/>
      <c r="L45" s="145"/>
      <c r="M45" s="145"/>
      <c r="N45" s="145"/>
      <c r="O45" s="145"/>
      <c r="P45" s="146"/>
      <c r="Z45" s="11"/>
    </row>
    <row r="46" spans="1:26" ht="19.5" customHeight="1" x14ac:dyDescent="0.25">
      <c r="A46" s="9"/>
      <c r="B46" s="43">
        <v>22</v>
      </c>
      <c r="C46" s="184"/>
      <c r="D46" s="185"/>
      <c r="E46" s="185"/>
      <c r="F46" s="185"/>
      <c r="G46" s="236"/>
      <c r="H46" s="232">
        <v>89</v>
      </c>
      <c r="I46" s="231"/>
      <c r="J46" s="230"/>
      <c r="K46" s="144"/>
      <c r="L46" s="145"/>
      <c r="M46" s="145"/>
      <c r="N46" s="145"/>
      <c r="O46" s="145"/>
      <c r="P46" s="146"/>
      <c r="Z46" s="11"/>
    </row>
    <row r="47" spans="1:26" ht="19.5" customHeight="1" x14ac:dyDescent="0.25">
      <c r="A47" s="9"/>
      <c r="B47" s="43">
        <v>23</v>
      </c>
      <c r="C47" s="184"/>
      <c r="D47" s="185"/>
      <c r="E47" s="185"/>
      <c r="F47" s="185"/>
      <c r="G47" s="236"/>
      <c r="H47" s="232">
        <v>87</v>
      </c>
      <c r="I47" s="231"/>
      <c r="J47" s="230"/>
      <c r="K47" s="144"/>
      <c r="L47" s="145"/>
      <c r="M47" s="145"/>
      <c r="N47" s="145"/>
      <c r="O47" s="145"/>
      <c r="P47" s="146"/>
      <c r="Z47" s="11"/>
    </row>
    <row r="48" spans="1:26" ht="19.5" customHeight="1" x14ac:dyDescent="0.25">
      <c r="A48" s="9"/>
      <c r="B48" s="43">
        <v>24</v>
      </c>
      <c r="C48" s="235"/>
      <c r="D48" s="234"/>
      <c r="E48" s="234"/>
      <c r="F48" s="234"/>
      <c r="G48" s="233"/>
      <c r="H48" s="232">
        <v>92</v>
      </c>
      <c r="I48" s="231"/>
      <c r="J48" s="230"/>
      <c r="K48" s="144"/>
      <c r="L48" s="145"/>
      <c r="M48" s="145"/>
      <c r="N48" s="145"/>
      <c r="O48" s="145"/>
      <c r="P48" s="146"/>
      <c r="Z48" s="11"/>
    </row>
    <row r="49" spans="1:26" ht="19.5" customHeight="1" x14ac:dyDescent="0.25">
      <c r="A49" s="9"/>
      <c r="B49" s="43">
        <v>25</v>
      </c>
      <c r="C49" s="239" t="s">
        <v>60</v>
      </c>
      <c r="D49" s="238"/>
      <c r="E49" s="238"/>
      <c r="F49" s="238"/>
      <c r="G49" s="237"/>
      <c r="H49" s="232">
        <v>85</v>
      </c>
      <c r="I49" s="231"/>
      <c r="J49" s="230"/>
      <c r="K49" s="144"/>
      <c r="L49" s="145"/>
      <c r="M49" s="145"/>
      <c r="N49" s="145"/>
      <c r="O49" s="145"/>
      <c r="P49" s="146"/>
      <c r="Z49" s="11"/>
    </row>
    <row r="50" spans="1:26" ht="19.5" customHeight="1" x14ac:dyDescent="0.25">
      <c r="A50" s="9"/>
      <c r="B50" s="43">
        <v>26</v>
      </c>
      <c r="C50" s="184"/>
      <c r="D50" s="185"/>
      <c r="E50" s="185"/>
      <c r="F50" s="185"/>
      <c r="G50" s="236"/>
      <c r="H50" s="232">
        <v>94</v>
      </c>
      <c r="I50" s="231"/>
      <c r="J50" s="230"/>
      <c r="K50" s="144"/>
      <c r="L50" s="145"/>
      <c r="M50" s="145"/>
      <c r="N50" s="145"/>
      <c r="O50" s="145"/>
      <c r="P50" s="146"/>
      <c r="Z50" s="11"/>
    </row>
    <row r="51" spans="1:26" ht="19.5" customHeight="1" x14ac:dyDescent="0.25">
      <c r="A51" s="9"/>
      <c r="B51" s="43">
        <v>27</v>
      </c>
      <c r="C51" s="184"/>
      <c r="D51" s="185"/>
      <c r="E51" s="185"/>
      <c r="F51" s="185"/>
      <c r="G51" s="236"/>
      <c r="H51" s="232">
        <v>77</v>
      </c>
      <c r="I51" s="231"/>
      <c r="J51" s="230"/>
      <c r="K51" s="144"/>
      <c r="L51" s="145"/>
      <c r="M51" s="145"/>
      <c r="N51" s="145"/>
      <c r="O51" s="145"/>
      <c r="P51" s="146"/>
      <c r="Z51" s="11"/>
    </row>
    <row r="52" spans="1:26" ht="19.5" customHeight="1" x14ac:dyDescent="0.25">
      <c r="A52" s="9"/>
      <c r="B52" s="43">
        <v>28</v>
      </c>
      <c r="C52" s="184"/>
      <c r="D52" s="185"/>
      <c r="E52" s="185"/>
      <c r="F52" s="185"/>
      <c r="G52" s="236"/>
      <c r="H52" s="232">
        <v>80</v>
      </c>
      <c r="I52" s="231"/>
      <c r="J52" s="230"/>
      <c r="K52" s="144"/>
      <c r="L52" s="145"/>
      <c r="M52" s="145"/>
      <c r="N52" s="145"/>
      <c r="O52" s="145"/>
      <c r="P52" s="146"/>
      <c r="Z52" s="11"/>
    </row>
    <row r="53" spans="1:26" ht="19.5" customHeight="1" x14ac:dyDescent="0.25">
      <c r="A53" s="9"/>
      <c r="B53" s="43">
        <v>29</v>
      </c>
      <c r="C53" s="184"/>
      <c r="D53" s="185"/>
      <c r="E53" s="185"/>
      <c r="F53" s="185"/>
      <c r="G53" s="236"/>
      <c r="H53" s="232">
        <v>83</v>
      </c>
      <c r="I53" s="231"/>
      <c r="J53" s="230"/>
      <c r="K53" s="144"/>
      <c r="L53" s="145"/>
      <c r="M53" s="145"/>
      <c r="N53" s="145"/>
      <c r="O53" s="145"/>
      <c r="P53" s="146"/>
      <c r="Z53" s="11"/>
    </row>
    <row r="54" spans="1:26" ht="19.5" customHeight="1" thickBot="1" x14ac:dyDescent="0.3">
      <c r="A54" s="9"/>
      <c r="B54" s="43">
        <v>30</v>
      </c>
      <c r="C54" s="235"/>
      <c r="D54" s="234"/>
      <c r="E54" s="234"/>
      <c r="F54" s="234"/>
      <c r="G54" s="233"/>
      <c r="H54" s="232">
        <v>86</v>
      </c>
      <c r="I54" s="231"/>
      <c r="J54" s="230"/>
      <c r="K54" s="144"/>
      <c r="L54" s="145"/>
      <c r="M54" s="145"/>
      <c r="N54" s="145"/>
      <c r="O54" s="145"/>
      <c r="P54" s="146"/>
      <c r="Z54" s="11"/>
    </row>
    <row r="55" spans="1:26" ht="15.75" customHeight="1" x14ac:dyDescent="0.25">
      <c r="A55" s="9"/>
      <c r="B55" s="179" t="s">
        <v>38</v>
      </c>
      <c r="C55" s="180"/>
      <c r="D55" s="180"/>
      <c r="E55" s="180"/>
      <c r="F55" s="180"/>
      <c r="G55" s="181"/>
      <c r="H55" s="229">
        <f>AVERAGE(H25:J54)</f>
        <v>93.333333333333329</v>
      </c>
      <c r="I55" s="228"/>
      <c r="J55" s="227"/>
      <c r="K55" s="182" t="s">
        <v>59</v>
      </c>
      <c r="L55" s="183"/>
      <c r="M55" s="163" t="s">
        <v>39</v>
      </c>
      <c r="N55" s="163"/>
      <c r="O55" s="163"/>
      <c r="P55" s="164"/>
      <c r="Z55" s="11"/>
    </row>
    <row r="56" spans="1:26" ht="15.75" customHeight="1" x14ac:dyDescent="0.25">
      <c r="A56" s="9"/>
      <c r="B56" s="169" t="s">
        <v>40</v>
      </c>
      <c r="C56" s="170"/>
      <c r="D56" s="170"/>
      <c r="E56" s="170"/>
      <c r="F56" s="170"/>
      <c r="G56" s="171"/>
      <c r="H56" s="172">
        <f>IF(COUNTIF(H25:J54,"*&lt;20*"),"&lt;20",MIN(H25:J54))</f>
        <v>77</v>
      </c>
      <c r="I56" s="148"/>
      <c r="J56" s="152"/>
      <c r="K56" s="184"/>
      <c r="L56" s="185"/>
      <c r="M56" s="165"/>
      <c r="N56" s="165"/>
      <c r="O56" s="165"/>
      <c r="P56" s="166"/>
      <c r="Z56" s="11"/>
    </row>
    <row r="57" spans="1:26" ht="15.75" customHeight="1" thickBot="1" x14ac:dyDescent="0.3">
      <c r="A57" s="9"/>
      <c r="B57" s="173" t="s">
        <v>41</v>
      </c>
      <c r="C57" s="174"/>
      <c r="D57" s="174"/>
      <c r="E57" s="174"/>
      <c r="F57" s="174"/>
      <c r="G57" s="175"/>
      <c r="H57" s="176">
        <f>IF(COUNTIF(H25:J54,"*&gt;250*"),"&gt;250",MAX(H25:J54))</f>
        <v>128</v>
      </c>
      <c r="I57" s="177"/>
      <c r="J57" s="178"/>
      <c r="K57" s="186"/>
      <c r="L57" s="187"/>
      <c r="M57" s="167"/>
      <c r="N57" s="167"/>
      <c r="O57" s="167"/>
      <c r="P57" s="168"/>
      <c r="Z57" s="11"/>
    </row>
    <row r="58" spans="1:26" ht="15.9" customHeight="1" x14ac:dyDescent="0.25">
      <c r="A58" s="34"/>
      <c r="B58" s="22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4" t="s">
        <v>42</v>
      </c>
      <c r="B60" s="5" t="s">
        <v>43</v>
      </c>
      <c r="C60" s="45"/>
      <c r="D60" s="45"/>
      <c r="E60" s="45"/>
      <c r="F60" s="46"/>
      <c r="G60" s="46"/>
      <c r="H60" s="4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47"/>
      <c r="V60" s="48"/>
      <c r="W60" s="48"/>
      <c r="X60" s="39"/>
      <c r="Y60" s="39"/>
      <c r="Z60" s="40"/>
    </row>
    <row r="61" spans="1:26" s="17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94" t="s">
        <v>45</v>
      </c>
      <c r="S61" s="195"/>
      <c r="T61" s="196"/>
      <c r="U61" s="203" t="s">
        <v>12</v>
      </c>
      <c r="V61" s="204"/>
      <c r="W61" s="204"/>
      <c r="X61" s="205"/>
      <c r="Y61" s="205"/>
      <c r="Z61" s="206"/>
    </row>
    <row r="62" spans="1:26" s="17" customFormat="1" ht="15.6" customHeight="1" x14ac:dyDescent="0.25">
      <c r="A62" s="225" t="s">
        <v>57</v>
      </c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9"/>
      <c r="R62" s="194" t="s">
        <v>46</v>
      </c>
      <c r="S62" s="195"/>
      <c r="T62" s="196"/>
      <c r="U62" s="213" t="s">
        <v>55</v>
      </c>
      <c r="V62" s="214"/>
      <c r="W62" s="214"/>
      <c r="X62" s="215"/>
      <c r="Y62" s="215"/>
      <c r="Z62" s="216"/>
    </row>
    <row r="63" spans="1:26" s="17" customFormat="1" ht="15.6" customHeight="1" x14ac:dyDescent="0.25">
      <c r="A63" s="210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2"/>
      <c r="R63" s="194"/>
      <c r="S63" s="195"/>
      <c r="T63" s="196"/>
      <c r="U63" s="217"/>
      <c r="V63" s="165"/>
      <c r="W63" s="165"/>
      <c r="X63" s="218"/>
      <c r="Y63" s="218"/>
      <c r="Z63" s="219"/>
    </row>
    <row r="64" spans="1:26" s="17" customFormat="1" ht="15.6" customHeight="1" x14ac:dyDescent="0.25">
      <c r="A64" s="51" t="s">
        <v>47</v>
      </c>
      <c r="B64" s="62" t="s">
        <v>48</v>
      </c>
      <c r="C64" s="1"/>
      <c r="D64" s="1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63"/>
      <c r="R64" s="194"/>
      <c r="S64" s="195"/>
      <c r="T64" s="196"/>
      <c r="U64" s="220"/>
      <c r="V64" s="221"/>
      <c r="W64" s="221"/>
      <c r="X64" s="222"/>
      <c r="Y64" s="222"/>
      <c r="Z64" s="223"/>
    </row>
    <row r="65" spans="1:26" s="17" customFormat="1" ht="15.6" customHeight="1" x14ac:dyDescent="0.25">
      <c r="A65" s="188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90"/>
      <c r="R65" s="194" t="s">
        <v>49</v>
      </c>
      <c r="S65" s="195"/>
      <c r="T65" s="196"/>
      <c r="U65" s="64"/>
      <c r="V65" s="65"/>
      <c r="W65" s="65"/>
      <c r="X65" s="65"/>
      <c r="Y65" s="65"/>
      <c r="Z65" s="66"/>
    </row>
    <row r="66" spans="1:26" s="17" customFormat="1" ht="15.6" customHeight="1" x14ac:dyDescent="0.25">
      <c r="A66" s="188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90"/>
      <c r="R66" s="194"/>
      <c r="S66" s="195"/>
      <c r="T66" s="196"/>
      <c r="U66" s="67"/>
      <c r="V66" s="165"/>
      <c r="W66" s="165"/>
      <c r="X66" s="165"/>
      <c r="Y66" s="165"/>
      <c r="Z66" s="68"/>
    </row>
    <row r="67" spans="1:26" s="17" customFormat="1" ht="15.6" customHeight="1" x14ac:dyDescent="0.25">
      <c r="A67" s="188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90"/>
      <c r="R67" s="194"/>
      <c r="S67" s="195"/>
      <c r="T67" s="196"/>
      <c r="U67" s="67"/>
      <c r="V67" s="165"/>
      <c r="W67" s="165"/>
      <c r="X67" s="165"/>
      <c r="Y67" s="165"/>
      <c r="Z67" s="68"/>
    </row>
    <row r="68" spans="1:26" s="17" customFormat="1" ht="15.6" customHeight="1" x14ac:dyDescent="0.25">
      <c r="A68" s="191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3"/>
      <c r="R68" s="197"/>
      <c r="S68" s="198"/>
      <c r="T68" s="199"/>
      <c r="U68" s="69"/>
      <c r="V68" s="70"/>
      <c r="W68" s="70"/>
      <c r="X68" s="70"/>
      <c r="Y68" s="70"/>
      <c r="Z68" s="71"/>
    </row>
    <row r="69" spans="1:26" s="17" customFormat="1" ht="15" customHeight="1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50"/>
      <c r="S69" s="50"/>
      <c r="T69" s="50"/>
      <c r="U69" s="224"/>
      <c r="V69" s="224"/>
      <c r="W69" s="224"/>
      <c r="X69" s="224"/>
      <c r="Y69" s="224"/>
      <c r="Z69" s="224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14">
    <mergeCell ref="H56:J56"/>
    <mergeCell ref="B17:H17"/>
    <mergeCell ref="B12:G12"/>
    <mergeCell ref="B11:G11"/>
    <mergeCell ref="U1:Z6"/>
    <mergeCell ref="K25:P25"/>
    <mergeCell ref="M55:P57"/>
    <mergeCell ref="K55:L57"/>
    <mergeCell ref="S12:Y12"/>
    <mergeCell ref="K23:P24"/>
    <mergeCell ref="I17:Y17"/>
    <mergeCell ref="S11:Y11"/>
    <mergeCell ref="H57:J57"/>
    <mergeCell ref="H55:J55"/>
    <mergeCell ref="H10:M10"/>
    <mergeCell ref="I5:K5"/>
    <mergeCell ref="I6:K6"/>
    <mergeCell ref="L5:O5"/>
    <mergeCell ref="P5:T5"/>
    <mergeCell ref="L6:O6"/>
    <mergeCell ref="P6:T6"/>
    <mergeCell ref="K27:P2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A65:Q68"/>
    <mergeCell ref="R65:T68"/>
    <mergeCell ref="A61:Q61"/>
    <mergeCell ref="R61:T61"/>
    <mergeCell ref="A62:Q63"/>
    <mergeCell ref="R62:T64"/>
    <mergeCell ref="B55:G55"/>
    <mergeCell ref="U61:Z61"/>
    <mergeCell ref="U62:Z64"/>
    <mergeCell ref="N12:R12"/>
    <mergeCell ref="H12:M12"/>
    <mergeCell ref="H11:M11"/>
    <mergeCell ref="N11:R11"/>
    <mergeCell ref="H26:J26"/>
    <mergeCell ref="K26:P26"/>
    <mergeCell ref="H27:J27"/>
    <mergeCell ref="V66:Y67"/>
    <mergeCell ref="H25:J25"/>
    <mergeCell ref="H24:J24"/>
    <mergeCell ref="H23:J23"/>
    <mergeCell ref="B18:H18"/>
    <mergeCell ref="B23:B24"/>
    <mergeCell ref="C23:G24"/>
    <mergeCell ref="J21:P21"/>
    <mergeCell ref="B56:G56"/>
    <mergeCell ref="B57:G57"/>
    <mergeCell ref="H30:J30"/>
    <mergeCell ref="K30:P30"/>
    <mergeCell ref="H31:J31"/>
    <mergeCell ref="K31:P31"/>
    <mergeCell ref="H28:J28"/>
    <mergeCell ref="K28:P28"/>
    <mergeCell ref="H29:J29"/>
    <mergeCell ref="K29:P29"/>
    <mergeCell ref="H34:J34"/>
    <mergeCell ref="K34:P34"/>
    <mergeCell ref="H35:J35"/>
    <mergeCell ref="K35:P35"/>
    <mergeCell ref="H32:J32"/>
    <mergeCell ref="K32:P32"/>
    <mergeCell ref="H33:J33"/>
    <mergeCell ref="K33:P33"/>
    <mergeCell ref="H38:J38"/>
    <mergeCell ref="K38:P38"/>
    <mergeCell ref="H39:J39"/>
    <mergeCell ref="K39:P39"/>
    <mergeCell ref="H36:J36"/>
    <mergeCell ref="K36:P36"/>
    <mergeCell ref="H37:J37"/>
    <mergeCell ref="K37:P37"/>
    <mergeCell ref="H42:J42"/>
    <mergeCell ref="K42:P42"/>
    <mergeCell ref="H43:J43"/>
    <mergeCell ref="K43:P43"/>
    <mergeCell ref="H40:J40"/>
    <mergeCell ref="K40:P40"/>
    <mergeCell ref="H41:J41"/>
    <mergeCell ref="K41:P41"/>
    <mergeCell ref="H46:J46"/>
    <mergeCell ref="K46:P46"/>
    <mergeCell ref="H47:J47"/>
    <mergeCell ref="K47:P47"/>
    <mergeCell ref="H44:J44"/>
    <mergeCell ref="K44:P44"/>
    <mergeCell ref="H45:J45"/>
    <mergeCell ref="K45:P45"/>
    <mergeCell ref="K50:P50"/>
    <mergeCell ref="H51:J51"/>
    <mergeCell ref="K51:P51"/>
    <mergeCell ref="H48:J48"/>
    <mergeCell ref="K48:P48"/>
    <mergeCell ref="H49:J49"/>
    <mergeCell ref="K49:P49"/>
    <mergeCell ref="H54:J54"/>
    <mergeCell ref="K54:P54"/>
    <mergeCell ref="C25:G30"/>
    <mergeCell ref="C31:G48"/>
    <mergeCell ref="C49:G54"/>
    <mergeCell ref="H52:J52"/>
    <mergeCell ref="K52:P52"/>
    <mergeCell ref="H53:J53"/>
    <mergeCell ref="K53:P53"/>
    <mergeCell ref="H50:J5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8BEE-3D8A-4085-BCFC-9C76B34F5BB8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86"/>
      <c r="B1" s="87"/>
      <c r="C1" s="87"/>
      <c r="D1" s="87"/>
      <c r="E1" s="87"/>
      <c r="F1" s="88"/>
      <c r="G1" s="95" t="s">
        <v>0</v>
      </c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7"/>
      <c r="U1" s="98" t="s">
        <v>56</v>
      </c>
      <c r="V1" s="99"/>
      <c r="W1" s="99"/>
      <c r="X1" s="99"/>
      <c r="Y1" s="99"/>
      <c r="Z1" s="100"/>
    </row>
    <row r="2" spans="1:26" ht="12.75" customHeight="1" x14ac:dyDescent="0.25">
      <c r="A2" s="89"/>
      <c r="B2" s="90"/>
      <c r="C2" s="90"/>
      <c r="D2" s="90"/>
      <c r="E2" s="90"/>
      <c r="F2" s="91"/>
      <c r="G2" s="107" t="s">
        <v>1</v>
      </c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9"/>
      <c r="U2" s="101"/>
      <c r="V2" s="102"/>
      <c r="W2" s="102"/>
      <c r="X2" s="102"/>
      <c r="Y2" s="102"/>
      <c r="Z2" s="103"/>
    </row>
    <row r="3" spans="1:26" ht="12.75" customHeight="1" x14ac:dyDescent="0.25">
      <c r="A3" s="89"/>
      <c r="B3" s="90"/>
      <c r="C3" s="90"/>
      <c r="D3" s="90"/>
      <c r="E3" s="90"/>
      <c r="F3" s="91"/>
      <c r="G3" s="110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9"/>
      <c r="U3" s="101"/>
      <c r="V3" s="102"/>
      <c r="W3" s="102"/>
      <c r="X3" s="102"/>
      <c r="Y3" s="102"/>
      <c r="Z3" s="103"/>
    </row>
    <row r="4" spans="1:26" ht="12.75" customHeight="1" x14ac:dyDescent="0.25">
      <c r="A4" s="89"/>
      <c r="B4" s="90"/>
      <c r="C4" s="90"/>
      <c r="D4" s="90"/>
      <c r="E4" s="90"/>
      <c r="F4" s="91"/>
      <c r="G4" s="110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01"/>
      <c r="V4" s="102"/>
      <c r="W4" s="102"/>
      <c r="X4" s="102"/>
      <c r="Y4" s="102"/>
      <c r="Z4" s="103"/>
    </row>
    <row r="5" spans="1:26" ht="12.75" customHeight="1" x14ac:dyDescent="0.25">
      <c r="A5" s="89"/>
      <c r="B5" s="90"/>
      <c r="C5" s="90"/>
      <c r="D5" s="90"/>
      <c r="E5" s="90"/>
      <c r="F5" s="91"/>
      <c r="G5" s="111" t="s">
        <v>2</v>
      </c>
      <c r="H5" s="112"/>
      <c r="I5" s="113">
        <v>1</v>
      </c>
      <c r="J5" s="113"/>
      <c r="K5" s="114"/>
      <c r="L5" s="115" t="s">
        <v>58</v>
      </c>
      <c r="M5" s="116"/>
      <c r="N5" s="116"/>
      <c r="O5" s="117"/>
      <c r="P5" s="118" t="s">
        <v>3</v>
      </c>
      <c r="Q5" s="119"/>
      <c r="R5" s="119"/>
      <c r="S5" s="119"/>
      <c r="T5" s="120"/>
      <c r="U5" s="101"/>
      <c r="V5" s="102"/>
      <c r="W5" s="102"/>
      <c r="X5" s="102"/>
      <c r="Y5" s="102"/>
      <c r="Z5" s="103"/>
    </row>
    <row r="6" spans="1:26" ht="12.75" customHeight="1" x14ac:dyDescent="0.25">
      <c r="A6" s="92"/>
      <c r="B6" s="93"/>
      <c r="C6" s="93"/>
      <c r="D6" s="93"/>
      <c r="E6" s="93"/>
      <c r="F6" s="94"/>
      <c r="G6" s="2"/>
      <c r="H6" s="3"/>
      <c r="I6" s="78" t="s">
        <v>4</v>
      </c>
      <c r="J6" s="78"/>
      <c r="K6" s="78"/>
      <c r="L6" s="78" t="s">
        <v>5</v>
      </c>
      <c r="M6" s="78"/>
      <c r="N6" s="78"/>
      <c r="O6" s="78"/>
      <c r="P6" s="78" t="s">
        <v>6</v>
      </c>
      <c r="Q6" s="78"/>
      <c r="R6" s="78"/>
      <c r="S6" s="78"/>
      <c r="T6" s="82"/>
      <c r="U6" s="104"/>
      <c r="V6" s="105"/>
      <c r="W6" s="105"/>
      <c r="X6" s="105"/>
      <c r="Y6" s="105"/>
      <c r="Z6" s="106"/>
    </row>
    <row r="7" spans="1:26" ht="36.6" customHeight="1" x14ac:dyDescent="0.25">
      <c r="A7" s="83" t="s">
        <v>7</v>
      </c>
      <c r="B7" s="83"/>
      <c r="C7" s="83"/>
      <c r="D7" s="83"/>
      <c r="E7" s="83"/>
      <c r="F7" s="83"/>
      <c r="G7" s="84" t="s">
        <v>8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79" t="s">
        <v>11</v>
      </c>
      <c r="C10" s="79"/>
      <c r="D10" s="79"/>
      <c r="E10" s="79"/>
      <c r="F10" s="79"/>
      <c r="G10" s="79"/>
      <c r="H10" s="80" t="s">
        <v>12</v>
      </c>
      <c r="I10" s="80"/>
      <c r="J10" s="80"/>
      <c r="K10" s="80"/>
      <c r="L10" s="80"/>
      <c r="M10" s="80"/>
      <c r="N10" s="79" t="s">
        <v>13</v>
      </c>
      <c r="O10" s="79"/>
      <c r="P10" s="79"/>
      <c r="Q10" s="79"/>
      <c r="R10" s="79"/>
      <c r="S10" s="81" t="s">
        <v>14</v>
      </c>
      <c r="T10" s="81"/>
      <c r="U10" s="81"/>
      <c r="V10" s="81"/>
      <c r="W10" s="81"/>
      <c r="X10" s="81"/>
      <c r="Y10" s="81"/>
      <c r="Z10" s="12"/>
    </row>
    <row r="11" spans="1:26" ht="15.9" customHeight="1" x14ac:dyDescent="0.25">
      <c r="A11" s="9"/>
      <c r="B11" s="79" t="s">
        <v>15</v>
      </c>
      <c r="C11" s="79"/>
      <c r="D11" s="79"/>
      <c r="E11" s="79"/>
      <c r="F11" s="79"/>
      <c r="G11" s="79"/>
      <c r="H11" s="80" t="s">
        <v>3</v>
      </c>
      <c r="I11" s="80"/>
      <c r="J11" s="80"/>
      <c r="K11" s="80"/>
      <c r="L11" s="80"/>
      <c r="M11" s="80"/>
      <c r="N11" s="79" t="s">
        <v>16</v>
      </c>
      <c r="O11" s="79"/>
      <c r="P11" s="79"/>
      <c r="Q11" s="79"/>
      <c r="R11" s="79"/>
      <c r="S11" s="81" t="s">
        <v>17</v>
      </c>
      <c r="T11" s="81"/>
      <c r="U11" s="81"/>
      <c r="V11" s="81"/>
      <c r="W11" s="81"/>
      <c r="X11" s="81"/>
      <c r="Y11" s="81"/>
      <c r="Z11" s="12"/>
    </row>
    <row r="12" spans="1:26" ht="15.9" customHeight="1" x14ac:dyDescent="0.25">
      <c r="A12" s="9"/>
      <c r="B12" s="79" t="s">
        <v>18</v>
      </c>
      <c r="C12" s="79"/>
      <c r="D12" s="79"/>
      <c r="E12" s="79"/>
      <c r="F12" s="79"/>
      <c r="G12" s="79"/>
      <c r="H12" s="80" t="s">
        <v>19</v>
      </c>
      <c r="I12" s="80"/>
      <c r="J12" s="80"/>
      <c r="K12" s="80"/>
      <c r="L12" s="80"/>
      <c r="M12" s="80"/>
      <c r="N12" s="79" t="s">
        <v>20</v>
      </c>
      <c r="O12" s="79"/>
      <c r="P12" s="79"/>
      <c r="Q12" s="79"/>
      <c r="R12" s="79"/>
      <c r="S12" s="81" t="s">
        <v>21</v>
      </c>
      <c r="T12" s="81"/>
      <c r="U12" s="81"/>
      <c r="V12" s="81"/>
      <c r="W12" s="81"/>
      <c r="X12" s="81"/>
      <c r="Y12" s="81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21" t="s">
        <v>24</v>
      </c>
      <c r="C17" s="121"/>
      <c r="D17" s="121"/>
      <c r="E17" s="121"/>
      <c r="F17" s="121"/>
      <c r="G17" s="121"/>
      <c r="H17" s="121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27"/>
    </row>
    <row r="18" spans="1:26" s="17" customFormat="1" ht="15" customHeight="1" x14ac:dyDescent="0.3">
      <c r="A18" s="24"/>
      <c r="B18" s="121" t="s">
        <v>25</v>
      </c>
      <c r="C18" s="121"/>
      <c r="D18" s="121"/>
      <c r="E18" s="121"/>
      <c r="F18" s="121"/>
      <c r="G18" s="121"/>
      <c r="H18" s="121"/>
      <c r="I18" s="72" t="s">
        <v>52</v>
      </c>
      <c r="J18" s="73">
        <v>4</v>
      </c>
      <c r="K18" s="74" t="s">
        <v>50</v>
      </c>
      <c r="L18" s="74"/>
      <c r="M18" s="74" t="s">
        <v>53</v>
      </c>
      <c r="N18" s="75">
        <v>220</v>
      </c>
      <c r="O18" s="74" t="s">
        <v>51</v>
      </c>
      <c r="P18" s="74"/>
      <c r="Q18" s="74" t="s">
        <v>54</v>
      </c>
      <c r="R18" s="74"/>
      <c r="S18" s="74">
        <v>2.2000000000000002</v>
      </c>
      <c r="T18" s="74"/>
      <c r="U18" s="74"/>
      <c r="V18" s="123"/>
      <c r="W18" s="123"/>
      <c r="X18" s="74"/>
      <c r="Y18" s="74"/>
      <c r="Z18" s="27"/>
    </row>
    <row r="19" spans="1:26" s="17" customFormat="1" ht="13.2" customHeight="1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/>
    </row>
    <row r="20" spans="1:26" ht="12.75" customHeight="1" x14ac:dyDescent="0.25">
      <c r="D20" s="10"/>
      <c r="E20" s="10"/>
      <c r="F20" s="10"/>
      <c r="G20" s="10"/>
      <c r="N20" s="31"/>
    </row>
    <row r="21" spans="1:26" ht="15.9" customHeight="1" x14ac:dyDescent="0.25">
      <c r="A21" s="4" t="s">
        <v>26</v>
      </c>
      <c r="B21" s="5" t="s">
        <v>27</v>
      </c>
      <c r="C21" s="32"/>
      <c r="D21" s="33"/>
      <c r="E21" s="33"/>
      <c r="F21" s="33"/>
      <c r="G21" s="33"/>
      <c r="H21" s="32"/>
      <c r="I21" s="32"/>
      <c r="J21" s="124" t="s">
        <v>28</v>
      </c>
      <c r="K21" s="124"/>
      <c r="L21" s="124"/>
      <c r="M21" s="124"/>
      <c r="N21" s="124"/>
      <c r="O21" s="124"/>
      <c r="P21" s="124"/>
      <c r="Q21" s="41">
        <v>600</v>
      </c>
      <c r="R21" s="42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Z22" s="11"/>
    </row>
    <row r="23" spans="1:26" ht="15.75" customHeight="1" x14ac:dyDescent="0.25">
      <c r="A23" s="9"/>
      <c r="B23" s="125" t="s">
        <v>29</v>
      </c>
      <c r="C23" s="127" t="s">
        <v>30</v>
      </c>
      <c r="D23" s="127"/>
      <c r="E23" s="127"/>
      <c r="F23" s="127"/>
      <c r="G23" s="128"/>
      <c r="H23" s="131" t="s">
        <v>31</v>
      </c>
      <c r="I23" s="132"/>
      <c r="J23" s="133"/>
      <c r="K23" s="131" t="s">
        <v>32</v>
      </c>
      <c r="L23" s="134"/>
      <c r="M23" s="133"/>
      <c r="N23" s="131" t="s">
        <v>33</v>
      </c>
      <c r="O23" s="132"/>
      <c r="P23" s="135"/>
      <c r="Q23" s="131" t="s">
        <v>34</v>
      </c>
      <c r="R23" s="132"/>
      <c r="S23" s="135"/>
      <c r="T23" s="127" t="s">
        <v>35</v>
      </c>
      <c r="U23" s="127"/>
      <c r="V23" s="127"/>
      <c r="W23" s="127"/>
      <c r="X23" s="127"/>
      <c r="Y23" s="128"/>
      <c r="Z23" s="11"/>
    </row>
    <row r="24" spans="1:26" ht="15.75" customHeight="1" x14ac:dyDescent="0.25">
      <c r="A24" s="9"/>
      <c r="B24" s="126"/>
      <c r="C24" s="129"/>
      <c r="D24" s="129"/>
      <c r="E24" s="129"/>
      <c r="F24" s="129"/>
      <c r="G24" s="130"/>
      <c r="H24" s="139" t="s">
        <v>36</v>
      </c>
      <c r="I24" s="137"/>
      <c r="J24" s="140"/>
      <c r="K24" s="141" t="s">
        <v>37</v>
      </c>
      <c r="L24" s="142"/>
      <c r="M24" s="143"/>
      <c r="N24" s="141" t="s">
        <v>37</v>
      </c>
      <c r="O24" s="137"/>
      <c r="P24" s="138"/>
      <c r="Q24" s="136"/>
      <c r="R24" s="137"/>
      <c r="S24" s="138"/>
      <c r="T24" s="129"/>
      <c r="U24" s="129"/>
      <c r="V24" s="129"/>
      <c r="W24" s="129"/>
      <c r="X24" s="129"/>
      <c r="Y24" s="130"/>
      <c r="Z24" s="11"/>
    </row>
    <row r="25" spans="1:26" ht="19.5" customHeight="1" x14ac:dyDescent="0.25">
      <c r="A25" s="9"/>
      <c r="B25" s="43">
        <v>1</v>
      </c>
      <c r="C25" s="144"/>
      <c r="D25" s="145"/>
      <c r="E25" s="145"/>
      <c r="F25" s="145"/>
      <c r="G25" s="146"/>
      <c r="H25" s="147">
        <v>110.24</v>
      </c>
      <c r="I25" s="148"/>
      <c r="J25" s="149"/>
      <c r="K25" s="147">
        <v>61.1</v>
      </c>
      <c r="L25" s="150"/>
      <c r="M25" s="149"/>
      <c r="N25" s="151">
        <v>128.6</v>
      </c>
      <c r="O25" s="148"/>
      <c r="P25" s="152"/>
      <c r="Q25" s="153">
        <v>2.1</v>
      </c>
      <c r="R25" s="148"/>
      <c r="S25" s="152"/>
      <c r="T25" s="144"/>
      <c r="U25" s="145"/>
      <c r="V25" s="145"/>
      <c r="W25" s="145"/>
      <c r="X25" s="145"/>
      <c r="Y25" s="146"/>
      <c r="Z25" s="11"/>
    </row>
    <row r="26" spans="1:26" ht="19.5" customHeight="1" x14ac:dyDescent="0.25">
      <c r="A26" s="9"/>
      <c r="B26" s="43">
        <v>2</v>
      </c>
      <c r="C26" s="144"/>
      <c r="D26" s="145"/>
      <c r="E26" s="145"/>
      <c r="F26" s="145"/>
      <c r="G26" s="146"/>
      <c r="H26" s="147">
        <v>81.06</v>
      </c>
      <c r="I26" s="148"/>
      <c r="J26" s="149"/>
      <c r="K26" s="147">
        <v>55.15</v>
      </c>
      <c r="L26" s="150"/>
      <c r="M26" s="149"/>
      <c r="N26" s="151">
        <v>95.7</v>
      </c>
      <c r="O26" s="148"/>
      <c r="P26" s="152"/>
      <c r="Q26" s="153">
        <v>1.74</v>
      </c>
      <c r="R26" s="148"/>
      <c r="S26" s="152"/>
      <c r="T26" s="144"/>
      <c r="U26" s="145"/>
      <c r="V26" s="145"/>
      <c r="W26" s="145"/>
      <c r="X26" s="145"/>
      <c r="Y26" s="146"/>
      <c r="Z26" s="11"/>
    </row>
    <row r="27" spans="1:26" ht="19.5" customHeight="1" x14ac:dyDescent="0.25">
      <c r="A27" s="9"/>
      <c r="B27" s="43">
        <v>3</v>
      </c>
      <c r="C27" s="144"/>
      <c r="D27" s="145"/>
      <c r="E27" s="145"/>
      <c r="F27" s="145"/>
      <c r="G27" s="146"/>
      <c r="H27" s="147">
        <v>74.48</v>
      </c>
      <c r="I27" s="148"/>
      <c r="J27" s="149"/>
      <c r="K27" s="147">
        <v>37.75</v>
      </c>
      <c r="L27" s="150"/>
      <c r="M27" s="149"/>
      <c r="N27" s="151">
        <v>75</v>
      </c>
      <c r="O27" s="148"/>
      <c r="P27" s="152"/>
      <c r="Q27" s="153">
        <v>1.99</v>
      </c>
      <c r="R27" s="148"/>
      <c r="S27" s="152"/>
      <c r="T27" s="144"/>
      <c r="U27" s="145"/>
      <c r="V27" s="145"/>
      <c r="W27" s="145"/>
      <c r="X27" s="145"/>
      <c r="Y27" s="146"/>
      <c r="Z27" s="11"/>
    </row>
    <row r="28" spans="1:26" ht="19.5" customHeight="1" x14ac:dyDescent="0.25">
      <c r="A28" s="9"/>
      <c r="B28" s="43">
        <v>4</v>
      </c>
      <c r="C28" s="144"/>
      <c r="D28" s="145"/>
      <c r="E28" s="145"/>
      <c r="F28" s="145"/>
      <c r="G28" s="146"/>
      <c r="H28" s="147">
        <v>76.55</v>
      </c>
      <c r="I28" s="148"/>
      <c r="J28" s="149"/>
      <c r="K28" s="147">
        <v>53.6</v>
      </c>
      <c r="L28" s="150"/>
      <c r="M28" s="149"/>
      <c r="N28" s="151">
        <v>115.4</v>
      </c>
      <c r="O28" s="148"/>
      <c r="P28" s="152"/>
      <c r="Q28" s="153">
        <v>2.15</v>
      </c>
      <c r="R28" s="148"/>
      <c r="S28" s="152"/>
      <c r="T28" s="144"/>
      <c r="U28" s="145"/>
      <c r="V28" s="145"/>
      <c r="W28" s="145"/>
      <c r="X28" s="145"/>
      <c r="Y28" s="146"/>
      <c r="Z28" s="11"/>
    </row>
    <row r="29" spans="1:26" ht="19.5" customHeight="1" x14ac:dyDescent="0.25">
      <c r="A29" s="9"/>
      <c r="B29" s="43">
        <v>5</v>
      </c>
      <c r="C29" s="144"/>
      <c r="D29" s="145"/>
      <c r="E29" s="145"/>
      <c r="F29" s="145"/>
      <c r="G29" s="146"/>
      <c r="H29" s="147">
        <v>65.62</v>
      </c>
      <c r="I29" s="148"/>
      <c r="J29" s="149"/>
      <c r="K29" s="147">
        <v>42.61</v>
      </c>
      <c r="L29" s="150"/>
      <c r="M29" s="149"/>
      <c r="N29" s="151">
        <v>75</v>
      </c>
      <c r="O29" s="148"/>
      <c r="P29" s="152"/>
      <c r="Q29" s="153">
        <v>1.76</v>
      </c>
      <c r="R29" s="148"/>
      <c r="S29" s="152"/>
      <c r="T29" s="144"/>
      <c r="U29" s="145"/>
      <c r="V29" s="145"/>
      <c r="W29" s="145"/>
      <c r="X29" s="145"/>
      <c r="Y29" s="146"/>
      <c r="Z29" s="11"/>
    </row>
    <row r="30" spans="1:26" ht="19.5" customHeight="1" x14ac:dyDescent="0.25">
      <c r="A30" s="9"/>
      <c r="B30" s="43">
        <v>6</v>
      </c>
      <c r="C30" s="144"/>
      <c r="D30" s="145"/>
      <c r="E30" s="145"/>
      <c r="F30" s="145"/>
      <c r="G30" s="146"/>
      <c r="H30" s="147">
        <v>110.24</v>
      </c>
      <c r="I30" s="148"/>
      <c r="J30" s="149"/>
      <c r="K30" s="147">
        <v>45.73</v>
      </c>
      <c r="L30" s="150"/>
      <c r="M30" s="149"/>
      <c r="N30" s="151">
        <v>93.8</v>
      </c>
      <c r="O30" s="148"/>
      <c r="P30" s="152"/>
      <c r="Q30" s="153">
        <v>2.0499999999999998</v>
      </c>
      <c r="R30" s="148"/>
      <c r="S30" s="152"/>
      <c r="T30" s="144"/>
      <c r="U30" s="145"/>
      <c r="V30" s="145"/>
      <c r="W30" s="145"/>
      <c r="X30" s="145"/>
      <c r="Y30" s="146"/>
      <c r="Z30" s="11"/>
    </row>
    <row r="31" spans="1:26" ht="19.5" customHeight="1" x14ac:dyDescent="0.25">
      <c r="A31" s="9"/>
      <c r="B31" s="43"/>
      <c r="C31" s="58"/>
      <c r="D31" s="59"/>
      <c r="E31" s="59"/>
      <c r="F31" s="59"/>
      <c r="G31" s="60"/>
      <c r="H31" s="52"/>
      <c r="I31" s="56"/>
      <c r="J31" s="54"/>
      <c r="K31" s="52"/>
      <c r="L31" s="53"/>
      <c r="M31" s="54"/>
      <c r="N31" s="55"/>
      <c r="O31" s="56"/>
      <c r="P31" s="57"/>
      <c r="Q31" s="61"/>
      <c r="R31" s="56"/>
      <c r="S31" s="57"/>
      <c r="T31" s="58"/>
      <c r="U31" s="59"/>
      <c r="V31" s="59"/>
      <c r="W31" s="59"/>
      <c r="X31" s="59"/>
      <c r="Y31" s="60"/>
      <c r="Z31" s="11"/>
    </row>
    <row r="32" spans="1:26" ht="19.5" customHeight="1" x14ac:dyDescent="0.25">
      <c r="A32" s="9"/>
      <c r="B32" s="43"/>
      <c r="C32" s="58"/>
      <c r="D32" s="59"/>
      <c r="E32" s="59"/>
      <c r="F32" s="59"/>
      <c r="G32" s="60"/>
      <c r="H32" s="52"/>
      <c r="I32" s="56"/>
      <c r="J32" s="54"/>
      <c r="K32" s="52"/>
      <c r="L32" s="53"/>
      <c r="M32" s="54"/>
      <c r="N32" s="55"/>
      <c r="O32" s="56"/>
      <c r="P32" s="57"/>
      <c r="Q32" s="61"/>
      <c r="R32" s="56"/>
      <c r="S32" s="57"/>
      <c r="T32" s="58"/>
      <c r="U32" s="59"/>
      <c r="V32" s="59"/>
      <c r="W32" s="59"/>
      <c r="X32" s="59"/>
      <c r="Y32" s="60"/>
      <c r="Z32" s="11"/>
    </row>
    <row r="33" spans="1:26" ht="19.5" customHeight="1" x14ac:dyDescent="0.25">
      <c r="A33" s="9"/>
      <c r="B33" s="43"/>
      <c r="C33" s="58"/>
      <c r="D33" s="59"/>
      <c r="E33" s="59"/>
      <c r="F33" s="59"/>
      <c r="G33" s="60"/>
      <c r="H33" s="52"/>
      <c r="I33" s="56"/>
      <c r="J33" s="54"/>
      <c r="K33" s="52"/>
      <c r="L33" s="53"/>
      <c r="M33" s="54"/>
      <c r="N33" s="55"/>
      <c r="O33" s="56"/>
      <c r="P33" s="57"/>
      <c r="Q33" s="61"/>
      <c r="R33" s="56"/>
      <c r="S33" s="57"/>
      <c r="T33" s="58"/>
      <c r="U33" s="59"/>
      <c r="V33" s="59"/>
      <c r="W33" s="59"/>
      <c r="X33" s="59"/>
      <c r="Y33" s="60"/>
      <c r="Z33" s="11"/>
    </row>
    <row r="34" spans="1:26" ht="19.5" customHeight="1" x14ac:dyDescent="0.25">
      <c r="A34" s="9"/>
      <c r="B34" s="43"/>
      <c r="C34" s="58"/>
      <c r="D34" s="59"/>
      <c r="E34" s="59"/>
      <c r="F34" s="59"/>
      <c r="G34" s="60"/>
      <c r="H34" s="52"/>
      <c r="I34" s="56"/>
      <c r="J34" s="54"/>
      <c r="K34" s="52"/>
      <c r="L34" s="53"/>
      <c r="M34" s="54"/>
      <c r="N34" s="55"/>
      <c r="O34" s="56"/>
      <c r="P34" s="57"/>
      <c r="Q34" s="61"/>
      <c r="R34" s="56"/>
      <c r="S34" s="57"/>
      <c r="T34" s="58"/>
      <c r="U34" s="59"/>
      <c r="V34" s="59"/>
      <c r="W34" s="59"/>
      <c r="X34" s="59"/>
      <c r="Y34" s="60"/>
      <c r="Z34" s="11"/>
    </row>
    <row r="35" spans="1:26" ht="19.5" customHeight="1" x14ac:dyDescent="0.25">
      <c r="A35" s="9"/>
      <c r="B35" s="43"/>
      <c r="C35" s="58"/>
      <c r="D35" s="59"/>
      <c r="E35" s="59"/>
      <c r="F35" s="59"/>
      <c r="G35" s="60"/>
      <c r="H35" s="52"/>
      <c r="I35" s="56"/>
      <c r="J35" s="54"/>
      <c r="K35" s="52"/>
      <c r="L35" s="53"/>
      <c r="M35" s="54"/>
      <c r="N35" s="55"/>
      <c r="O35" s="56"/>
      <c r="P35" s="57"/>
      <c r="Q35" s="61"/>
      <c r="R35" s="56"/>
      <c r="S35" s="57"/>
      <c r="T35" s="58"/>
      <c r="U35" s="59"/>
      <c r="V35" s="59"/>
      <c r="W35" s="59"/>
      <c r="X35" s="59"/>
      <c r="Y35" s="60"/>
      <c r="Z35" s="11"/>
    </row>
    <row r="36" spans="1:26" ht="19.5" customHeight="1" x14ac:dyDescent="0.25">
      <c r="A36" s="9"/>
      <c r="B36" s="43"/>
      <c r="C36" s="58"/>
      <c r="D36" s="59"/>
      <c r="E36" s="59"/>
      <c r="F36" s="59"/>
      <c r="G36" s="60"/>
      <c r="H36" s="52"/>
      <c r="I36" s="56"/>
      <c r="J36" s="54"/>
      <c r="K36" s="52"/>
      <c r="L36" s="53"/>
      <c r="M36" s="54"/>
      <c r="N36" s="55"/>
      <c r="O36" s="56"/>
      <c r="P36" s="57"/>
      <c r="Q36" s="61"/>
      <c r="R36" s="56"/>
      <c r="S36" s="57"/>
      <c r="T36" s="58"/>
      <c r="U36" s="59"/>
      <c r="V36" s="59"/>
      <c r="W36" s="59"/>
      <c r="X36" s="59"/>
      <c r="Y36" s="60"/>
      <c r="Z36" s="11"/>
    </row>
    <row r="37" spans="1:26" ht="19.5" customHeight="1" x14ac:dyDescent="0.25">
      <c r="A37" s="9"/>
      <c r="B37" s="43"/>
      <c r="C37" s="58"/>
      <c r="D37" s="59"/>
      <c r="E37" s="59"/>
      <c r="F37" s="59"/>
      <c r="G37" s="60"/>
      <c r="H37" s="52"/>
      <c r="I37" s="56"/>
      <c r="J37" s="54"/>
      <c r="K37" s="52"/>
      <c r="L37" s="53"/>
      <c r="M37" s="54"/>
      <c r="N37" s="55"/>
      <c r="O37" s="56"/>
      <c r="P37" s="57"/>
      <c r="Q37" s="61"/>
      <c r="R37" s="56"/>
      <c r="S37" s="57"/>
      <c r="T37" s="58"/>
      <c r="U37" s="59"/>
      <c r="V37" s="59"/>
      <c r="W37" s="59"/>
      <c r="X37" s="59"/>
      <c r="Y37" s="60"/>
      <c r="Z37" s="11"/>
    </row>
    <row r="38" spans="1:26" ht="19.5" customHeight="1" x14ac:dyDescent="0.25">
      <c r="A38" s="9"/>
      <c r="B38" s="43"/>
      <c r="C38" s="58"/>
      <c r="D38" s="59"/>
      <c r="E38" s="59"/>
      <c r="F38" s="59"/>
      <c r="G38" s="60"/>
      <c r="H38" s="52"/>
      <c r="I38" s="56"/>
      <c r="J38" s="54"/>
      <c r="K38" s="52"/>
      <c r="L38" s="53"/>
      <c r="M38" s="54"/>
      <c r="N38" s="55"/>
      <c r="O38" s="56"/>
      <c r="P38" s="57"/>
      <c r="Q38" s="61"/>
      <c r="R38" s="56"/>
      <c r="S38" s="57"/>
      <c r="T38" s="58"/>
      <c r="U38" s="59"/>
      <c r="V38" s="59"/>
      <c r="W38" s="59"/>
      <c r="X38" s="59"/>
      <c r="Y38" s="60"/>
      <c r="Z38" s="11"/>
    </row>
    <row r="39" spans="1:26" ht="19.5" customHeight="1" x14ac:dyDescent="0.25">
      <c r="A39" s="9"/>
      <c r="B39" s="43"/>
      <c r="C39" s="58"/>
      <c r="D39" s="59"/>
      <c r="E39" s="59"/>
      <c r="F39" s="59"/>
      <c r="G39" s="60"/>
      <c r="H39" s="52"/>
      <c r="I39" s="56"/>
      <c r="J39" s="54"/>
      <c r="K39" s="52"/>
      <c r="L39" s="53"/>
      <c r="M39" s="54"/>
      <c r="N39" s="55"/>
      <c r="O39" s="56"/>
      <c r="P39" s="57"/>
      <c r="Q39" s="61"/>
      <c r="R39" s="56"/>
      <c r="S39" s="57"/>
      <c r="T39" s="58"/>
      <c r="U39" s="59"/>
      <c r="V39" s="59"/>
      <c r="W39" s="59"/>
      <c r="X39" s="59"/>
      <c r="Y39" s="60"/>
      <c r="Z39" s="11"/>
    </row>
    <row r="40" spans="1:26" ht="19.5" customHeight="1" x14ac:dyDescent="0.25">
      <c r="A40" s="9"/>
      <c r="B40" s="43"/>
      <c r="C40" s="58"/>
      <c r="D40" s="59"/>
      <c r="E40" s="59"/>
      <c r="F40" s="59"/>
      <c r="G40" s="60"/>
      <c r="H40" s="52"/>
      <c r="I40" s="56"/>
      <c r="J40" s="54"/>
      <c r="K40" s="52"/>
      <c r="L40" s="53"/>
      <c r="M40" s="54"/>
      <c r="N40" s="55"/>
      <c r="O40" s="56"/>
      <c r="P40" s="57"/>
      <c r="Q40" s="61"/>
      <c r="R40" s="56"/>
      <c r="S40" s="57"/>
      <c r="T40" s="58"/>
      <c r="U40" s="59"/>
      <c r="V40" s="59"/>
      <c r="W40" s="59"/>
      <c r="X40" s="59"/>
      <c r="Y40" s="60"/>
      <c r="Z40" s="11"/>
    </row>
    <row r="41" spans="1:26" ht="19.5" customHeight="1" x14ac:dyDescent="0.25">
      <c r="A41" s="9"/>
      <c r="B41" s="43"/>
      <c r="C41" s="58"/>
      <c r="D41" s="59"/>
      <c r="E41" s="59"/>
      <c r="F41" s="59"/>
      <c r="G41" s="60"/>
      <c r="H41" s="52"/>
      <c r="I41" s="56"/>
      <c r="J41" s="54"/>
      <c r="K41" s="52"/>
      <c r="L41" s="53"/>
      <c r="M41" s="54"/>
      <c r="N41" s="55"/>
      <c r="O41" s="56"/>
      <c r="P41" s="57"/>
      <c r="Q41" s="61"/>
      <c r="R41" s="56"/>
      <c r="S41" s="57"/>
      <c r="T41" s="58"/>
      <c r="U41" s="59"/>
      <c r="V41" s="59"/>
      <c r="W41" s="59"/>
      <c r="X41" s="59"/>
      <c r="Y41" s="60"/>
      <c r="Z41" s="11"/>
    </row>
    <row r="42" spans="1:26" ht="19.5" customHeight="1" x14ac:dyDescent="0.25">
      <c r="A42" s="9"/>
      <c r="B42" s="43"/>
      <c r="C42" s="58"/>
      <c r="D42" s="59"/>
      <c r="E42" s="59"/>
      <c r="F42" s="59"/>
      <c r="G42" s="60"/>
      <c r="H42" s="52"/>
      <c r="I42" s="56"/>
      <c r="J42" s="54"/>
      <c r="K42" s="52"/>
      <c r="L42" s="53"/>
      <c r="M42" s="54"/>
      <c r="N42" s="55"/>
      <c r="O42" s="56"/>
      <c r="P42" s="57"/>
      <c r="Q42" s="61"/>
      <c r="R42" s="56"/>
      <c r="S42" s="57"/>
      <c r="T42" s="58"/>
      <c r="U42" s="59"/>
      <c r="V42" s="59"/>
      <c r="W42" s="59"/>
      <c r="X42" s="59"/>
      <c r="Y42" s="60"/>
      <c r="Z42" s="11"/>
    </row>
    <row r="43" spans="1:26" ht="19.5" customHeight="1" x14ac:dyDescent="0.25">
      <c r="A43" s="9"/>
      <c r="B43" s="43"/>
      <c r="C43" s="58"/>
      <c r="D43" s="59"/>
      <c r="E43" s="59"/>
      <c r="F43" s="59"/>
      <c r="G43" s="60"/>
      <c r="H43" s="52"/>
      <c r="I43" s="56"/>
      <c r="J43" s="54"/>
      <c r="K43" s="52"/>
      <c r="L43" s="53"/>
      <c r="M43" s="54"/>
      <c r="N43" s="55"/>
      <c r="O43" s="56"/>
      <c r="P43" s="57"/>
      <c r="Q43" s="61"/>
      <c r="R43" s="56"/>
      <c r="S43" s="57"/>
      <c r="T43" s="58"/>
      <c r="U43" s="59"/>
      <c r="V43" s="59"/>
      <c r="W43" s="59"/>
      <c r="X43" s="59"/>
      <c r="Y43" s="60"/>
      <c r="Z43" s="11"/>
    </row>
    <row r="44" spans="1:26" ht="19.5" customHeight="1" x14ac:dyDescent="0.25">
      <c r="A44" s="9"/>
      <c r="B44" s="43"/>
      <c r="C44" s="58"/>
      <c r="D44" s="59"/>
      <c r="E44" s="59"/>
      <c r="F44" s="59"/>
      <c r="G44" s="60"/>
      <c r="H44" s="52"/>
      <c r="I44" s="56"/>
      <c r="J44" s="54"/>
      <c r="K44" s="52"/>
      <c r="L44" s="53"/>
      <c r="M44" s="54"/>
      <c r="N44" s="55"/>
      <c r="O44" s="56"/>
      <c r="P44" s="57"/>
      <c r="Q44" s="61"/>
      <c r="R44" s="56"/>
      <c r="S44" s="57"/>
      <c r="T44" s="58"/>
      <c r="U44" s="59"/>
      <c r="V44" s="59"/>
      <c r="W44" s="59"/>
      <c r="X44" s="59"/>
      <c r="Y44" s="60"/>
      <c r="Z44" s="11"/>
    </row>
    <row r="45" spans="1:26" ht="19.5" customHeight="1" x14ac:dyDescent="0.25">
      <c r="A45" s="9"/>
      <c r="B45" s="43"/>
      <c r="C45" s="58"/>
      <c r="D45" s="59"/>
      <c r="E45" s="59"/>
      <c r="F45" s="59"/>
      <c r="G45" s="60"/>
      <c r="H45" s="52"/>
      <c r="I45" s="56"/>
      <c r="J45" s="54"/>
      <c r="K45" s="52"/>
      <c r="L45" s="53"/>
      <c r="M45" s="54"/>
      <c r="N45" s="55"/>
      <c r="O45" s="56"/>
      <c r="P45" s="57"/>
      <c r="Q45" s="61"/>
      <c r="R45" s="56"/>
      <c r="S45" s="57"/>
      <c r="T45" s="58"/>
      <c r="U45" s="59"/>
      <c r="V45" s="59"/>
      <c r="W45" s="59"/>
      <c r="X45" s="59"/>
      <c r="Y45" s="60"/>
      <c r="Z45" s="11"/>
    </row>
    <row r="46" spans="1:26" ht="19.5" customHeight="1" x14ac:dyDescent="0.25">
      <c r="A46" s="9"/>
      <c r="B46" s="43"/>
      <c r="C46" s="58"/>
      <c r="D46" s="59"/>
      <c r="E46" s="59"/>
      <c r="F46" s="59"/>
      <c r="G46" s="60"/>
      <c r="H46" s="52"/>
      <c r="I46" s="56"/>
      <c r="J46" s="54"/>
      <c r="K46" s="52"/>
      <c r="L46" s="53"/>
      <c r="M46" s="54"/>
      <c r="N46" s="55"/>
      <c r="O46" s="56"/>
      <c r="P46" s="57"/>
      <c r="Q46" s="61"/>
      <c r="R46" s="56"/>
      <c r="S46" s="57"/>
      <c r="T46" s="58"/>
      <c r="U46" s="59"/>
      <c r="V46" s="59"/>
      <c r="W46" s="59"/>
      <c r="X46" s="59"/>
      <c r="Y46" s="60"/>
      <c r="Z46" s="11"/>
    </row>
    <row r="47" spans="1:26" ht="19.5" customHeight="1" x14ac:dyDescent="0.25">
      <c r="A47" s="9"/>
      <c r="B47" s="43"/>
      <c r="C47" s="58"/>
      <c r="D47" s="59"/>
      <c r="E47" s="59"/>
      <c r="F47" s="59"/>
      <c r="G47" s="60"/>
      <c r="H47" s="52"/>
      <c r="I47" s="56"/>
      <c r="J47" s="54"/>
      <c r="K47" s="52"/>
      <c r="L47" s="53"/>
      <c r="M47" s="54"/>
      <c r="N47" s="55"/>
      <c r="O47" s="56"/>
      <c r="P47" s="57"/>
      <c r="Q47" s="61"/>
      <c r="R47" s="56"/>
      <c r="S47" s="57"/>
      <c r="T47" s="58"/>
      <c r="U47" s="59"/>
      <c r="V47" s="59"/>
      <c r="W47" s="59"/>
      <c r="X47" s="59"/>
      <c r="Y47" s="60"/>
      <c r="Z47" s="11"/>
    </row>
    <row r="48" spans="1:26" ht="19.5" customHeight="1" x14ac:dyDescent="0.25">
      <c r="A48" s="9"/>
      <c r="B48" s="43"/>
      <c r="C48" s="58"/>
      <c r="D48" s="59"/>
      <c r="E48" s="59"/>
      <c r="F48" s="59"/>
      <c r="G48" s="60"/>
      <c r="H48" s="52"/>
      <c r="I48" s="56"/>
      <c r="J48" s="54"/>
      <c r="K48" s="52"/>
      <c r="L48" s="53"/>
      <c r="M48" s="54"/>
      <c r="N48" s="55"/>
      <c r="O48" s="56"/>
      <c r="P48" s="57"/>
      <c r="Q48" s="61"/>
      <c r="R48" s="56"/>
      <c r="S48" s="57"/>
      <c r="T48" s="58"/>
      <c r="U48" s="59"/>
      <c r="V48" s="59"/>
      <c r="W48" s="59"/>
      <c r="X48" s="59"/>
      <c r="Y48" s="60"/>
      <c r="Z48" s="11"/>
    </row>
    <row r="49" spans="1:26" ht="19.5" customHeight="1" x14ac:dyDescent="0.25">
      <c r="A49" s="9"/>
      <c r="B49" s="43"/>
      <c r="C49" s="58"/>
      <c r="D49" s="59"/>
      <c r="E49" s="59"/>
      <c r="F49" s="59"/>
      <c r="G49" s="60"/>
      <c r="H49" s="52"/>
      <c r="I49" s="56"/>
      <c r="J49" s="54"/>
      <c r="K49" s="52"/>
      <c r="L49" s="53"/>
      <c r="M49" s="54"/>
      <c r="N49" s="55"/>
      <c r="O49" s="56"/>
      <c r="P49" s="57"/>
      <c r="Q49" s="61"/>
      <c r="R49" s="56"/>
      <c r="S49" s="57"/>
      <c r="T49" s="58"/>
      <c r="U49" s="59"/>
      <c r="V49" s="59"/>
      <c r="W49" s="59"/>
      <c r="X49" s="59"/>
      <c r="Y49" s="60"/>
      <c r="Z49" s="11"/>
    </row>
    <row r="50" spans="1:26" ht="19.5" customHeight="1" x14ac:dyDescent="0.25">
      <c r="A50" s="9"/>
      <c r="B50" s="43"/>
      <c r="C50" s="58"/>
      <c r="D50" s="59"/>
      <c r="E50" s="59"/>
      <c r="F50" s="59"/>
      <c r="G50" s="60"/>
      <c r="H50" s="52"/>
      <c r="I50" s="56"/>
      <c r="J50" s="54"/>
      <c r="K50" s="52"/>
      <c r="L50" s="53"/>
      <c r="M50" s="54"/>
      <c r="N50" s="55"/>
      <c r="O50" s="56"/>
      <c r="P50" s="57"/>
      <c r="Q50" s="61"/>
      <c r="R50" s="56"/>
      <c r="S50" s="57"/>
      <c r="T50" s="58"/>
      <c r="U50" s="59"/>
      <c r="V50" s="59"/>
      <c r="W50" s="59"/>
      <c r="X50" s="59"/>
      <c r="Y50" s="60"/>
      <c r="Z50" s="11"/>
    </row>
    <row r="51" spans="1:26" ht="19.5" customHeight="1" x14ac:dyDescent="0.25">
      <c r="A51" s="9"/>
      <c r="B51" s="43"/>
      <c r="C51" s="58"/>
      <c r="D51" s="59"/>
      <c r="E51" s="59"/>
      <c r="F51" s="59"/>
      <c r="G51" s="60"/>
      <c r="H51" s="52"/>
      <c r="I51" s="56"/>
      <c r="J51" s="54"/>
      <c r="K51" s="52"/>
      <c r="L51" s="53"/>
      <c r="M51" s="54"/>
      <c r="N51" s="55"/>
      <c r="O51" s="56"/>
      <c r="P51" s="57"/>
      <c r="Q51" s="61"/>
      <c r="R51" s="56"/>
      <c r="S51" s="57"/>
      <c r="T51" s="58"/>
      <c r="U51" s="59"/>
      <c r="V51" s="59"/>
      <c r="W51" s="59"/>
      <c r="X51" s="59"/>
      <c r="Y51" s="60"/>
      <c r="Z51" s="11"/>
    </row>
    <row r="52" spans="1:26" ht="19.5" customHeight="1" x14ac:dyDescent="0.25">
      <c r="A52" s="9"/>
      <c r="B52" s="43"/>
      <c r="C52" s="58"/>
      <c r="D52" s="59"/>
      <c r="E52" s="59"/>
      <c r="F52" s="59"/>
      <c r="G52" s="60"/>
      <c r="H52" s="52"/>
      <c r="I52" s="56"/>
      <c r="J52" s="54"/>
      <c r="K52" s="52"/>
      <c r="L52" s="53"/>
      <c r="M52" s="54"/>
      <c r="N52" s="55"/>
      <c r="O52" s="56"/>
      <c r="P52" s="57"/>
      <c r="Q52" s="61"/>
      <c r="R52" s="56"/>
      <c r="S52" s="57"/>
      <c r="T52" s="58"/>
      <c r="U52" s="59"/>
      <c r="V52" s="59"/>
      <c r="W52" s="59"/>
      <c r="X52" s="59"/>
      <c r="Y52" s="60"/>
      <c r="Z52" s="11"/>
    </row>
    <row r="53" spans="1:26" ht="19.5" customHeight="1" x14ac:dyDescent="0.25">
      <c r="A53" s="9"/>
      <c r="B53" s="43"/>
      <c r="C53" s="58"/>
      <c r="D53" s="59"/>
      <c r="E53" s="59"/>
      <c r="F53" s="59"/>
      <c r="G53" s="60"/>
      <c r="H53" s="52"/>
      <c r="I53" s="56"/>
      <c r="J53" s="54"/>
      <c r="K53" s="52"/>
      <c r="L53" s="53"/>
      <c r="M53" s="54"/>
      <c r="N53" s="55"/>
      <c r="O53" s="56"/>
      <c r="P53" s="57"/>
      <c r="Q53" s="61"/>
      <c r="R53" s="56"/>
      <c r="S53" s="57"/>
      <c r="T53" s="58"/>
      <c r="U53" s="59"/>
      <c r="V53" s="59"/>
      <c r="W53" s="59"/>
      <c r="X53" s="59"/>
      <c r="Y53" s="60"/>
      <c r="Z53" s="11"/>
    </row>
    <row r="54" spans="1:26" ht="19.5" customHeight="1" thickBot="1" x14ac:dyDescent="0.3">
      <c r="A54" s="9"/>
      <c r="B54" s="76"/>
      <c r="C54" s="154"/>
      <c r="D54" s="155"/>
      <c r="E54" s="155"/>
      <c r="F54" s="155"/>
      <c r="G54" s="156"/>
      <c r="H54" s="157"/>
      <c r="I54" s="158"/>
      <c r="J54" s="159"/>
      <c r="K54" s="157"/>
      <c r="L54" s="158"/>
      <c r="M54" s="159"/>
      <c r="N54" s="157"/>
      <c r="O54" s="158"/>
      <c r="P54" s="159"/>
      <c r="Q54" s="160"/>
      <c r="R54" s="161"/>
      <c r="S54" s="162"/>
      <c r="T54" s="154"/>
      <c r="U54" s="155"/>
      <c r="V54" s="155"/>
      <c r="W54" s="155"/>
      <c r="X54" s="155"/>
      <c r="Y54" s="156"/>
      <c r="Z54" s="11"/>
    </row>
    <row r="55" spans="1:26" ht="15.75" customHeight="1" x14ac:dyDescent="0.25">
      <c r="A55" s="9"/>
      <c r="B55" s="179" t="s">
        <v>38</v>
      </c>
      <c r="C55" s="180"/>
      <c r="D55" s="180"/>
      <c r="E55" s="180"/>
      <c r="F55" s="180"/>
      <c r="G55" s="181"/>
      <c r="H55" s="172">
        <f>AVERAGE(H25:J54)</f>
        <v>86.365000000000009</v>
      </c>
      <c r="I55" s="148"/>
      <c r="J55" s="152"/>
      <c r="K55" s="172">
        <f>AVERAGE(K25:M54)</f>
        <v>49.323333333333331</v>
      </c>
      <c r="L55" s="148"/>
      <c r="M55" s="152"/>
      <c r="N55" s="172">
        <f>AVERAGE(N25:P54)</f>
        <v>97.25</v>
      </c>
      <c r="O55" s="148"/>
      <c r="P55" s="152"/>
      <c r="Q55" s="172">
        <f>AVERAGE(Q25:S54)</f>
        <v>1.9649999999999999</v>
      </c>
      <c r="R55" s="148"/>
      <c r="S55" s="152"/>
      <c r="T55" s="182"/>
      <c r="U55" s="183"/>
      <c r="V55" s="163" t="s">
        <v>39</v>
      </c>
      <c r="W55" s="163"/>
      <c r="X55" s="163"/>
      <c r="Y55" s="164"/>
      <c r="Z55" s="11"/>
    </row>
    <row r="56" spans="1:26" ht="15.75" customHeight="1" x14ac:dyDescent="0.25">
      <c r="A56" s="9"/>
      <c r="B56" s="169" t="s">
        <v>40</v>
      </c>
      <c r="C56" s="170"/>
      <c r="D56" s="170"/>
      <c r="E56" s="170"/>
      <c r="F56" s="170"/>
      <c r="G56" s="171"/>
      <c r="H56" s="172">
        <f>IF(H25&lt;&gt;"",MIN(H25:J54),"")</f>
        <v>65.62</v>
      </c>
      <c r="I56" s="148"/>
      <c r="J56" s="152"/>
      <c r="K56" s="172">
        <f>IF(K25&lt;&gt;"",MIN(K25:M54),"")</f>
        <v>37.75</v>
      </c>
      <c r="L56" s="148"/>
      <c r="M56" s="152"/>
      <c r="N56" s="172">
        <f>IF(COUNTIF(N25:P54,"*&lt;20*"),"&lt;20",MIN(N25:P54))</f>
        <v>75</v>
      </c>
      <c r="O56" s="148"/>
      <c r="P56" s="152"/>
      <c r="Q56" s="172">
        <f>IF(Q25&lt;&gt;"",MIN(Q25:S54),"")</f>
        <v>1.74</v>
      </c>
      <c r="R56" s="148"/>
      <c r="S56" s="152"/>
      <c r="T56" s="184"/>
      <c r="U56" s="185"/>
      <c r="V56" s="165"/>
      <c r="W56" s="165"/>
      <c r="X56" s="165"/>
      <c r="Y56" s="166"/>
      <c r="Z56" s="11"/>
    </row>
    <row r="57" spans="1:26" ht="15.75" customHeight="1" thickBot="1" x14ac:dyDescent="0.3">
      <c r="A57" s="9"/>
      <c r="B57" s="173" t="s">
        <v>41</v>
      </c>
      <c r="C57" s="174"/>
      <c r="D57" s="174"/>
      <c r="E57" s="174"/>
      <c r="F57" s="174"/>
      <c r="G57" s="175"/>
      <c r="H57" s="176">
        <f>IF(H25&lt;&gt;"",MAX(H25:J54),"")</f>
        <v>110.24</v>
      </c>
      <c r="I57" s="177"/>
      <c r="J57" s="178"/>
      <c r="K57" s="176">
        <f>IF(K25&lt;&gt;"",MAX(K25:M54),"")</f>
        <v>61.1</v>
      </c>
      <c r="L57" s="177"/>
      <c r="M57" s="178"/>
      <c r="N57" s="176">
        <f>IF(COUNTIF(N25:P54,"*&gt;250*"),"&gt;250",MAX(N25:P54))</f>
        <v>128.6</v>
      </c>
      <c r="O57" s="177"/>
      <c r="P57" s="178"/>
      <c r="Q57" s="176">
        <f>IF(Q25&lt;&gt;"",MAX(Q25:S54),"")</f>
        <v>2.15</v>
      </c>
      <c r="R57" s="177"/>
      <c r="S57" s="178"/>
      <c r="T57" s="186"/>
      <c r="U57" s="187"/>
      <c r="V57" s="167"/>
      <c r="W57" s="167"/>
      <c r="X57" s="167"/>
      <c r="Y57" s="168"/>
      <c r="Z57" s="11"/>
    </row>
    <row r="58" spans="1:26" ht="15.9" customHeight="1" x14ac:dyDescent="0.25">
      <c r="A58" s="34"/>
      <c r="B58" s="3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4" t="s">
        <v>42</v>
      </c>
      <c r="B60" s="5" t="s">
        <v>43</v>
      </c>
      <c r="C60" s="45"/>
      <c r="D60" s="45"/>
      <c r="E60" s="45"/>
      <c r="F60" s="46"/>
      <c r="G60" s="46"/>
      <c r="H60" s="4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47"/>
      <c r="V60" s="48"/>
      <c r="W60" s="48"/>
      <c r="X60" s="39"/>
      <c r="Y60" s="39"/>
      <c r="Z60" s="40"/>
    </row>
    <row r="61" spans="1:26" s="17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94" t="s">
        <v>45</v>
      </c>
      <c r="S61" s="195"/>
      <c r="T61" s="196"/>
      <c r="U61" s="203" t="s">
        <v>12</v>
      </c>
      <c r="V61" s="204"/>
      <c r="W61" s="204"/>
      <c r="X61" s="205"/>
      <c r="Y61" s="205"/>
      <c r="Z61" s="206"/>
    </row>
    <row r="62" spans="1:26" s="17" customFormat="1" ht="15.6" customHeight="1" x14ac:dyDescent="0.25">
      <c r="A62" s="207" t="s">
        <v>57</v>
      </c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9"/>
      <c r="R62" s="194" t="s">
        <v>46</v>
      </c>
      <c r="S62" s="195"/>
      <c r="T62" s="196"/>
      <c r="U62" s="213" t="s">
        <v>55</v>
      </c>
      <c r="V62" s="214"/>
      <c r="W62" s="214"/>
      <c r="X62" s="215"/>
      <c r="Y62" s="215"/>
      <c r="Z62" s="216"/>
    </row>
    <row r="63" spans="1:26" s="17" customFormat="1" ht="15.6" customHeight="1" x14ac:dyDescent="0.25">
      <c r="A63" s="210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2"/>
      <c r="R63" s="194"/>
      <c r="S63" s="195"/>
      <c r="T63" s="196"/>
      <c r="U63" s="217"/>
      <c r="V63" s="165"/>
      <c r="W63" s="165"/>
      <c r="X63" s="218"/>
      <c r="Y63" s="218"/>
      <c r="Z63" s="219"/>
    </row>
    <row r="64" spans="1:26" s="17" customFormat="1" ht="15.6" customHeight="1" x14ac:dyDescent="0.25">
      <c r="A64" s="51" t="s">
        <v>47</v>
      </c>
      <c r="B64" s="62" t="s">
        <v>48</v>
      </c>
      <c r="C64" s="1"/>
      <c r="D64" s="1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63"/>
      <c r="R64" s="194"/>
      <c r="S64" s="195"/>
      <c r="T64" s="196"/>
      <c r="U64" s="220"/>
      <c r="V64" s="221"/>
      <c r="W64" s="221"/>
      <c r="X64" s="222"/>
      <c r="Y64" s="222"/>
      <c r="Z64" s="223"/>
    </row>
    <row r="65" spans="1:26" s="17" customFormat="1" ht="15.6" customHeight="1" x14ac:dyDescent="0.25">
      <c r="A65" s="188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90"/>
      <c r="R65" s="194" t="s">
        <v>49</v>
      </c>
      <c r="S65" s="195"/>
      <c r="T65" s="196"/>
      <c r="U65" s="64"/>
      <c r="V65" s="65"/>
      <c r="W65" s="65"/>
      <c r="X65" s="65"/>
      <c r="Y65" s="65"/>
      <c r="Z65" s="66"/>
    </row>
    <row r="66" spans="1:26" s="17" customFormat="1" ht="15.6" customHeight="1" x14ac:dyDescent="0.25">
      <c r="A66" s="188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90"/>
      <c r="R66" s="194"/>
      <c r="S66" s="195"/>
      <c r="T66" s="196"/>
      <c r="U66" s="67"/>
      <c r="V66" s="165"/>
      <c r="W66" s="165"/>
      <c r="X66" s="165"/>
      <c r="Y66" s="165"/>
      <c r="Z66" s="68"/>
    </row>
    <row r="67" spans="1:26" s="17" customFormat="1" ht="15.6" customHeight="1" x14ac:dyDescent="0.25">
      <c r="A67" s="188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90"/>
      <c r="R67" s="194"/>
      <c r="S67" s="195"/>
      <c r="T67" s="196"/>
      <c r="U67" s="67"/>
      <c r="V67" s="165"/>
      <c r="W67" s="165"/>
      <c r="X67" s="165"/>
      <c r="Y67" s="165"/>
      <c r="Z67" s="68"/>
    </row>
    <row r="68" spans="1:26" s="17" customFormat="1" ht="15.6" customHeight="1" x14ac:dyDescent="0.25">
      <c r="A68" s="191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3"/>
      <c r="R68" s="197"/>
      <c r="S68" s="198"/>
      <c r="T68" s="199"/>
      <c r="U68" s="69"/>
      <c r="V68" s="70"/>
      <c r="W68" s="70"/>
      <c r="X68" s="70"/>
      <c r="Y68" s="70"/>
      <c r="Z68" s="71"/>
    </row>
    <row r="69" spans="1:26" s="17" customFormat="1" ht="15" customHeight="1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50"/>
      <c r="S69" s="50"/>
      <c r="T69" s="50"/>
      <c r="U69" s="38"/>
      <c r="V69" s="38"/>
      <c r="W69" s="38"/>
      <c r="X69" s="38"/>
      <c r="Y69" s="38"/>
      <c r="Z69" s="38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08">
    <mergeCell ref="A65:Q68"/>
    <mergeCell ref="R65:T68"/>
    <mergeCell ref="V66:Y67"/>
    <mergeCell ref="A61:Q61"/>
    <mergeCell ref="R61:T61"/>
    <mergeCell ref="U61:Z61"/>
    <mergeCell ref="A62:Q63"/>
    <mergeCell ref="R62:T64"/>
    <mergeCell ref="U62:Z64"/>
    <mergeCell ref="V55:Y57"/>
    <mergeCell ref="B56:G56"/>
    <mergeCell ref="H56:J56"/>
    <mergeCell ref="K56:M56"/>
    <mergeCell ref="N56:P56"/>
    <mergeCell ref="Q56:S56"/>
    <mergeCell ref="B57:G57"/>
    <mergeCell ref="H57:J57"/>
    <mergeCell ref="K57:M57"/>
    <mergeCell ref="N57:P57"/>
    <mergeCell ref="B55:G55"/>
    <mergeCell ref="H55:J55"/>
    <mergeCell ref="K55:M55"/>
    <mergeCell ref="N55:P55"/>
    <mergeCell ref="Q55:S55"/>
    <mergeCell ref="T55:U57"/>
    <mergeCell ref="Q57:S57"/>
    <mergeCell ref="C54:G54"/>
    <mergeCell ref="H54:J54"/>
    <mergeCell ref="K54:M54"/>
    <mergeCell ref="N54:P54"/>
    <mergeCell ref="Q54:S54"/>
    <mergeCell ref="T54:Y54"/>
    <mergeCell ref="C30:G30"/>
    <mergeCell ref="H30:J30"/>
    <mergeCell ref="K30:M30"/>
    <mergeCell ref="N30:P30"/>
    <mergeCell ref="Q30:S30"/>
    <mergeCell ref="T30:Y30"/>
    <mergeCell ref="T27:Y27"/>
    <mergeCell ref="T25:Y25"/>
    <mergeCell ref="C26:G26"/>
    <mergeCell ref="H26:J26"/>
    <mergeCell ref="K26:M26"/>
    <mergeCell ref="N26:P26"/>
    <mergeCell ref="Q26:S26"/>
    <mergeCell ref="T26:Y26"/>
    <mergeCell ref="C29:G29"/>
    <mergeCell ref="H29:J29"/>
    <mergeCell ref="K29:M29"/>
    <mergeCell ref="N29:P29"/>
    <mergeCell ref="Q29:S29"/>
    <mergeCell ref="T29:Y29"/>
    <mergeCell ref="C28:G28"/>
    <mergeCell ref="H28:J28"/>
    <mergeCell ref="K28:M28"/>
    <mergeCell ref="N28:P28"/>
    <mergeCell ref="Q28:S28"/>
    <mergeCell ref="T28:Y28"/>
    <mergeCell ref="C25:G25"/>
    <mergeCell ref="H25:J25"/>
    <mergeCell ref="K25:M25"/>
    <mergeCell ref="N25:P25"/>
    <mergeCell ref="Q25:S25"/>
    <mergeCell ref="C27:G27"/>
    <mergeCell ref="H27:J27"/>
    <mergeCell ref="K27:M27"/>
    <mergeCell ref="N27:P27"/>
    <mergeCell ref="Q27:S27"/>
    <mergeCell ref="I6:K6"/>
    <mergeCell ref="B17:H17"/>
    <mergeCell ref="I17:Y17"/>
    <mergeCell ref="B18:H18"/>
    <mergeCell ref="V18:W18"/>
    <mergeCell ref="J21:P21"/>
    <mergeCell ref="B23:B24"/>
    <mergeCell ref="C23:G24"/>
    <mergeCell ref="H23:J23"/>
    <mergeCell ref="K23:M23"/>
    <mergeCell ref="N23:P23"/>
    <mergeCell ref="Q23:S24"/>
    <mergeCell ref="T23:Y24"/>
    <mergeCell ref="H24:J24"/>
    <mergeCell ref="K24:M24"/>
    <mergeCell ref="N24:P24"/>
    <mergeCell ref="L6:O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workbookViewId="0">
      <selection activeCell="AD12" sqref="AD12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86"/>
      <c r="B1" s="87"/>
      <c r="C1" s="87"/>
      <c r="D1" s="87"/>
      <c r="E1" s="87"/>
      <c r="F1" s="88"/>
      <c r="G1" s="95" t="s">
        <v>0</v>
      </c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7"/>
      <c r="U1" s="98" t="s">
        <v>56</v>
      </c>
      <c r="V1" s="99"/>
      <c r="W1" s="99"/>
      <c r="X1" s="99"/>
      <c r="Y1" s="99"/>
      <c r="Z1" s="100"/>
    </row>
    <row r="2" spans="1:26" ht="12.75" customHeight="1" x14ac:dyDescent="0.25">
      <c r="A2" s="89"/>
      <c r="B2" s="90"/>
      <c r="C2" s="90"/>
      <c r="D2" s="90"/>
      <c r="E2" s="90"/>
      <c r="F2" s="91"/>
      <c r="G2" s="107" t="s">
        <v>1</v>
      </c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9"/>
      <c r="U2" s="101"/>
      <c r="V2" s="102"/>
      <c r="W2" s="102"/>
      <c r="X2" s="102"/>
      <c r="Y2" s="102"/>
      <c r="Z2" s="103"/>
    </row>
    <row r="3" spans="1:26" ht="12.75" customHeight="1" x14ac:dyDescent="0.25">
      <c r="A3" s="89"/>
      <c r="B3" s="90"/>
      <c r="C3" s="90"/>
      <c r="D3" s="90"/>
      <c r="E3" s="90"/>
      <c r="F3" s="91"/>
      <c r="G3" s="110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9"/>
      <c r="U3" s="101"/>
      <c r="V3" s="102"/>
      <c r="W3" s="102"/>
      <c r="X3" s="102"/>
      <c r="Y3" s="102"/>
      <c r="Z3" s="103"/>
    </row>
    <row r="4" spans="1:26" ht="12.75" customHeight="1" x14ac:dyDescent="0.25">
      <c r="A4" s="89"/>
      <c r="B4" s="90"/>
      <c r="C4" s="90"/>
      <c r="D4" s="90"/>
      <c r="E4" s="90"/>
      <c r="F4" s="91"/>
      <c r="G4" s="110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01"/>
      <c r="V4" s="102"/>
      <c r="W4" s="102"/>
      <c r="X4" s="102"/>
      <c r="Y4" s="102"/>
      <c r="Z4" s="103"/>
    </row>
    <row r="5" spans="1:26" ht="12.75" customHeight="1" x14ac:dyDescent="0.25">
      <c r="A5" s="89"/>
      <c r="B5" s="90"/>
      <c r="C5" s="90"/>
      <c r="D5" s="90"/>
      <c r="E5" s="90"/>
      <c r="F5" s="91"/>
      <c r="G5" s="111" t="s">
        <v>2</v>
      </c>
      <c r="H5" s="112"/>
      <c r="I5" s="113">
        <v>1</v>
      </c>
      <c r="J5" s="113"/>
      <c r="K5" s="114"/>
      <c r="L5" s="115" t="s">
        <v>58</v>
      </c>
      <c r="M5" s="116"/>
      <c r="N5" s="116"/>
      <c r="O5" s="117"/>
      <c r="P5" s="118" t="s">
        <v>3</v>
      </c>
      <c r="Q5" s="119"/>
      <c r="R5" s="119"/>
      <c r="S5" s="119"/>
      <c r="T5" s="120"/>
      <c r="U5" s="101"/>
      <c r="V5" s="102"/>
      <c r="W5" s="102"/>
      <c r="X5" s="102"/>
      <c r="Y5" s="102"/>
      <c r="Z5" s="103"/>
    </row>
    <row r="6" spans="1:26" ht="12.75" customHeight="1" x14ac:dyDescent="0.25">
      <c r="A6" s="92"/>
      <c r="B6" s="93"/>
      <c r="C6" s="93"/>
      <c r="D6" s="93"/>
      <c r="E6" s="93"/>
      <c r="F6" s="94"/>
      <c r="G6" s="2"/>
      <c r="H6" s="3"/>
      <c r="I6" s="78" t="s">
        <v>4</v>
      </c>
      <c r="J6" s="78"/>
      <c r="K6" s="78"/>
      <c r="L6" s="78" t="s">
        <v>5</v>
      </c>
      <c r="M6" s="78"/>
      <c r="N6" s="78"/>
      <c r="O6" s="78"/>
      <c r="P6" s="78" t="s">
        <v>6</v>
      </c>
      <c r="Q6" s="78"/>
      <c r="R6" s="78"/>
      <c r="S6" s="78"/>
      <c r="T6" s="82"/>
      <c r="U6" s="104"/>
      <c r="V6" s="105"/>
      <c r="W6" s="105"/>
      <c r="X6" s="105"/>
      <c r="Y6" s="105"/>
      <c r="Z6" s="106"/>
    </row>
    <row r="7" spans="1:26" ht="36.6" customHeight="1" x14ac:dyDescent="0.25">
      <c r="A7" s="83" t="s">
        <v>7</v>
      </c>
      <c r="B7" s="83"/>
      <c r="C7" s="83"/>
      <c r="D7" s="83"/>
      <c r="E7" s="83"/>
      <c r="F7" s="83"/>
      <c r="G7" s="84" t="s">
        <v>8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79" t="s">
        <v>11</v>
      </c>
      <c r="C10" s="79"/>
      <c r="D10" s="79"/>
      <c r="E10" s="79"/>
      <c r="F10" s="79"/>
      <c r="G10" s="79"/>
      <c r="H10" s="80" t="s">
        <v>12</v>
      </c>
      <c r="I10" s="80"/>
      <c r="J10" s="80"/>
      <c r="K10" s="80"/>
      <c r="L10" s="80"/>
      <c r="M10" s="80"/>
      <c r="N10" s="79" t="s">
        <v>13</v>
      </c>
      <c r="O10" s="79"/>
      <c r="P10" s="79"/>
      <c r="Q10" s="79"/>
      <c r="R10" s="79"/>
      <c r="S10" s="81" t="s">
        <v>14</v>
      </c>
      <c r="T10" s="81"/>
      <c r="U10" s="81"/>
      <c r="V10" s="81"/>
      <c r="W10" s="81"/>
      <c r="X10" s="81"/>
      <c r="Y10" s="81"/>
      <c r="Z10" s="12"/>
    </row>
    <row r="11" spans="1:26" ht="15.9" customHeight="1" x14ac:dyDescent="0.25">
      <c r="A11" s="9"/>
      <c r="B11" s="79" t="s">
        <v>15</v>
      </c>
      <c r="C11" s="79"/>
      <c r="D11" s="79"/>
      <c r="E11" s="79"/>
      <c r="F11" s="79"/>
      <c r="G11" s="79"/>
      <c r="H11" s="80" t="s">
        <v>3</v>
      </c>
      <c r="I11" s="80"/>
      <c r="J11" s="80"/>
      <c r="K11" s="80"/>
      <c r="L11" s="80"/>
      <c r="M11" s="80"/>
      <c r="N11" s="79" t="s">
        <v>16</v>
      </c>
      <c r="O11" s="79"/>
      <c r="P11" s="79"/>
      <c r="Q11" s="79"/>
      <c r="R11" s="79"/>
      <c r="S11" s="81" t="s">
        <v>17</v>
      </c>
      <c r="T11" s="81"/>
      <c r="U11" s="81"/>
      <c r="V11" s="81"/>
      <c r="W11" s="81"/>
      <c r="X11" s="81"/>
      <c r="Y11" s="81"/>
      <c r="Z11" s="12"/>
    </row>
    <row r="12" spans="1:26" ht="15.9" customHeight="1" x14ac:dyDescent="0.25">
      <c r="A12" s="9"/>
      <c r="B12" s="79" t="s">
        <v>18</v>
      </c>
      <c r="C12" s="79"/>
      <c r="D12" s="79"/>
      <c r="E12" s="79"/>
      <c r="F12" s="79"/>
      <c r="G12" s="79"/>
      <c r="H12" s="80" t="s">
        <v>19</v>
      </c>
      <c r="I12" s="80"/>
      <c r="J12" s="80"/>
      <c r="K12" s="80"/>
      <c r="L12" s="80"/>
      <c r="M12" s="80"/>
      <c r="N12" s="79" t="s">
        <v>20</v>
      </c>
      <c r="O12" s="79"/>
      <c r="P12" s="79"/>
      <c r="Q12" s="79"/>
      <c r="R12" s="79"/>
      <c r="S12" s="81" t="s">
        <v>21</v>
      </c>
      <c r="T12" s="81"/>
      <c r="U12" s="81"/>
      <c r="V12" s="81"/>
      <c r="W12" s="81"/>
      <c r="X12" s="81"/>
      <c r="Y12" s="81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21" t="s">
        <v>24</v>
      </c>
      <c r="C17" s="121"/>
      <c r="D17" s="121"/>
      <c r="E17" s="121"/>
      <c r="F17" s="121"/>
      <c r="G17" s="121"/>
      <c r="H17" s="121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27"/>
    </row>
    <row r="18" spans="1:26" s="17" customFormat="1" ht="15" customHeight="1" x14ac:dyDescent="0.3">
      <c r="A18" s="24"/>
      <c r="B18" s="121" t="s">
        <v>25</v>
      </c>
      <c r="C18" s="121"/>
      <c r="D18" s="121"/>
      <c r="E18" s="121"/>
      <c r="F18" s="121"/>
      <c r="G18" s="121"/>
      <c r="H18" s="121"/>
      <c r="I18" s="72" t="s">
        <v>52</v>
      </c>
      <c r="J18" s="73">
        <v>4</v>
      </c>
      <c r="K18" s="74" t="s">
        <v>50</v>
      </c>
      <c r="L18" s="74"/>
      <c r="M18" s="74" t="s">
        <v>53</v>
      </c>
      <c r="N18" s="75">
        <v>220</v>
      </c>
      <c r="O18" s="74" t="s">
        <v>51</v>
      </c>
      <c r="P18" s="74"/>
      <c r="Q18" s="74" t="s">
        <v>54</v>
      </c>
      <c r="R18" s="74"/>
      <c r="S18" s="74">
        <v>2.2000000000000002</v>
      </c>
      <c r="T18" s="74"/>
      <c r="U18" s="74"/>
      <c r="V18" s="123"/>
      <c r="W18" s="123"/>
      <c r="X18" s="74"/>
      <c r="Y18" s="74"/>
      <c r="Z18" s="27"/>
    </row>
    <row r="19" spans="1:26" s="17" customFormat="1" ht="13.2" customHeight="1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/>
    </row>
    <row r="20" spans="1:26" ht="12.75" customHeight="1" x14ac:dyDescent="0.25">
      <c r="D20" s="10"/>
      <c r="E20" s="10"/>
      <c r="F20" s="10"/>
      <c r="G20" s="10"/>
      <c r="N20" s="31"/>
    </row>
    <row r="21" spans="1:26" ht="15.9" customHeight="1" x14ac:dyDescent="0.25">
      <c r="A21" s="4" t="s">
        <v>26</v>
      </c>
      <c r="B21" s="5" t="s">
        <v>27</v>
      </c>
      <c r="C21" s="32"/>
      <c r="D21" s="33"/>
      <c r="E21" s="33"/>
      <c r="F21" s="33"/>
      <c r="G21" s="33"/>
      <c r="H21" s="32"/>
      <c r="I21" s="32"/>
      <c r="J21" s="124" t="s">
        <v>28</v>
      </c>
      <c r="K21" s="124"/>
      <c r="L21" s="124"/>
      <c r="M21" s="124"/>
      <c r="N21" s="124"/>
      <c r="O21" s="124"/>
      <c r="P21" s="124"/>
      <c r="Q21" s="41">
        <v>600</v>
      </c>
      <c r="R21" s="42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Z22" s="11"/>
    </row>
    <row r="23" spans="1:26" ht="15.75" customHeight="1" x14ac:dyDescent="0.25">
      <c r="A23" s="9"/>
      <c r="B23" s="125" t="s">
        <v>29</v>
      </c>
      <c r="C23" s="127" t="s">
        <v>30</v>
      </c>
      <c r="D23" s="127"/>
      <c r="E23" s="127"/>
      <c r="F23" s="127"/>
      <c r="G23" s="128"/>
      <c r="H23" s="131" t="s">
        <v>31</v>
      </c>
      <c r="I23" s="132"/>
      <c r="J23" s="133"/>
      <c r="K23" s="131" t="s">
        <v>32</v>
      </c>
      <c r="L23" s="134"/>
      <c r="M23" s="133"/>
      <c r="N23" s="131" t="s">
        <v>33</v>
      </c>
      <c r="O23" s="132"/>
      <c r="P23" s="135"/>
      <c r="Q23" s="131" t="s">
        <v>34</v>
      </c>
      <c r="R23" s="132"/>
      <c r="S23" s="135"/>
      <c r="T23" s="127" t="s">
        <v>35</v>
      </c>
      <c r="U23" s="127"/>
      <c r="V23" s="127"/>
      <c r="W23" s="127"/>
      <c r="X23" s="127"/>
      <c r="Y23" s="128"/>
      <c r="Z23" s="11"/>
    </row>
    <row r="24" spans="1:26" ht="15.75" customHeight="1" x14ac:dyDescent="0.25">
      <c r="A24" s="9"/>
      <c r="B24" s="126"/>
      <c r="C24" s="129"/>
      <c r="D24" s="129"/>
      <c r="E24" s="129"/>
      <c r="F24" s="129"/>
      <c r="G24" s="130"/>
      <c r="H24" s="139" t="s">
        <v>36</v>
      </c>
      <c r="I24" s="137"/>
      <c r="J24" s="140"/>
      <c r="K24" s="141" t="s">
        <v>37</v>
      </c>
      <c r="L24" s="142"/>
      <c r="M24" s="143"/>
      <c r="N24" s="141" t="s">
        <v>37</v>
      </c>
      <c r="O24" s="137"/>
      <c r="P24" s="138"/>
      <c r="Q24" s="136"/>
      <c r="R24" s="137"/>
      <c r="S24" s="138"/>
      <c r="T24" s="129"/>
      <c r="U24" s="129"/>
      <c r="V24" s="129"/>
      <c r="W24" s="129"/>
      <c r="X24" s="129"/>
      <c r="Y24" s="130"/>
      <c r="Z24" s="11"/>
    </row>
    <row r="25" spans="1:26" ht="19.5" customHeight="1" x14ac:dyDescent="0.25">
      <c r="A25" s="9"/>
      <c r="B25" s="43">
        <v>1</v>
      </c>
      <c r="C25" s="144"/>
      <c r="D25" s="145"/>
      <c r="E25" s="145"/>
      <c r="F25" s="145"/>
      <c r="G25" s="146"/>
      <c r="H25" s="147">
        <v>110.24</v>
      </c>
      <c r="I25" s="148"/>
      <c r="J25" s="149"/>
      <c r="K25" s="147">
        <v>56.25</v>
      </c>
      <c r="L25" s="150"/>
      <c r="M25" s="149"/>
      <c r="N25" s="151">
        <v>128.6</v>
      </c>
      <c r="O25" s="148"/>
      <c r="P25" s="152"/>
      <c r="Q25" s="153">
        <v>2.29</v>
      </c>
      <c r="R25" s="148"/>
      <c r="S25" s="152"/>
      <c r="T25" s="144"/>
      <c r="U25" s="145"/>
      <c r="V25" s="145"/>
      <c r="W25" s="145"/>
      <c r="X25" s="145"/>
      <c r="Y25" s="146"/>
      <c r="Z25" s="11"/>
    </row>
    <row r="26" spans="1:26" ht="19.5" customHeight="1" x14ac:dyDescent="0.25">
      <c r="A26" s="9"/>
      <c r="B26" s="43">
        <v>2</v>
      </c>
      <c r="C26" s="144"/>
      <c r="D26" s="145"/>
      <c r="E26" s="145"/>
      <c r="F26" s="145"/>
      <c r="G26" s="146"/>
      <c r="H26" s="147">
        <v>81.06</v>
      </c>
      <c r="I26" s="148"/>
      <c r="J26" s="149"/>
      <c r="K26" s="147">
        <v>55.15</v>
      </c>
      <c r="L26" s="150"/>
      <c r="M26" s="149"/>
      <c r="N26" s="151">
        <v>95.7</v>
      </c>
      <c r="O26" s="148"/>
      <c r="P26" s="152"/>
      <c r="Q26" s="153">
        <v>1.74</v>
      </c>
      <c r="R26" s="148"/>
      <c r="S26" s="152"/>
      <c r="T26" s="144"/>
      <c r="U26" s="145"/>
      <c r="V26" s="145"/>
      <c r="W26" s="145"/>
      <c r="X26" s="145"/>
      <c r="Y26" s="146"/>
      <c r="Z26" s="11"/>
    </row>
    <row r="27" spans="1:26" ht="19.5" customHeight="1" x14ac:dyDescent="0.25">
      <c r="A27" s="9"/>
      <c r="B27" s="43">
        <v>3</v>
      </c>
      <c r="C27" s="144"/>
      <c r="D27" s="145"/>
      <c r="E27" s="145"/>
      <c r="F27" s="145"/>
      <c r="G27" s="146"/>
      <c r="H27" s="147">
        <v>74.48</v>
      </c>
      <c r="I27" s="148"/>
      <c r="J27" s="149"/>
      <c r="K27" s="147">
        <v>37.75</v>
      </c>
      <c r="L27" s="150"/>
      <c r="M27" s="149"/>
      <c r="N27" s="151">
        <v>75</v>
      </c>
      <c r="O27" s="148"/>
      <c r="P27" s="152"/>
      <c r="Q27" s="153">
        <v>1.99</v>
      </c>
      <c r="R27" s="148"/>
      <c r="S27" s="152"/>
      <c r="T27" s="144"/>
      <c r="U27" s="145"/>
      <c r="V27" s="145"/>
      <c r="W27" s="145"/>
      <c r="X27" s="145"/>
      <c r="Y27" s="146"/>
      <c r="Z27" s="11"/>
    </row>
    <row r="28" spans="1:26" ht="19.5" customHeight="1" x14ac:dyDescent="0.25">
      <c r="A28" s="9"/>
      <c r="B28" s="43">
        <v>4</v>
      </c>
      <c r="C28" s="144"/>
      <c r="D28" s="145"/>
      <c r="E28" s="145"/>
      <c r="F28" s="145"/>
      <c r="G28" s="146"/>
      <c r="H28" s="147">
        <v>76.55</v>
      </c>
      <c r="I28" s="148"/>
      <c r="J28" s="149"/>
      <c r="K28" s="147">
        <v>48.91</v>
      </c>
      <c r="L28" s="150"/>
      <c r="M28" s="149"/>
      <c r="N28" s="151">
        <v>115.4</v>
      </c>
      <c r="O28" s="148"/>
      <c r="P28" s="152"/>
      <c r="Q28" s="153">
        <v>2.36</v>
      </c>
      <c r="R28" s="148"/>
      <c r="S28" s="152"/>
      <c r="T28" s="144"/>
      <c r="U28" s="145"/>
      <c r="V28" s="145"/>
      <c r="W28" s="145"/>
      <c r="X28" s="145"/>
      <c r="Y28" s="146"/>
      <c r="Z28" s="11"/>
    </row>
    <row r="29" spans="1:26" ht="19.5" customHeight="1" x14ac:dyDescent="0.25">
      <c r="A29" s="9"/>
      <c r="B29" s="43">
        <v>5</v>
      </c>
      <c r="C29" s="144"/>
      <c r="D29" s="145"/>
      <c r="E29" s="145"/>
      <c r="F29" s="145"/>
      <c r="G29" s="146"/>
      <c r="H29" s="147">
        <v>65.62</v>
      </c>
      <c r="I29" s="148"/>
      <c r="J29" s="149"/>
      <c r="K29" s="147">
        <v>42.61</v>
      </c>
      <c r="L29" s="150"/>
      <c r="M29" s="149"/>
      <c r="N29" s="151">
        <v>75</v>
      </c>
      <c r="O29" s="148"/>
      <c r="P29" s="152"/>
      <c r="Q29" s="153">
        <v>1.76</v>
      </c>
      <c r="R29" s="148"/>
      <c r="S29" s="152"/>
      <c r="T29" s="144"/>
      <c r="U29" s="145"/>
      <c r="V29" s="145"/>
      <c r="W29" s="145"/>
      <c r="X29" s="145"/>
      <c r="Y29" s="146"/>
      <c r="Z29" s="11"/>
    </row>
    <row r="30" spans="1:26" ht="19.5" customHeight="1" x14ac:dyDescent="0.25">
      <c r="A30" s="9"/>
      <c r="B30" s="43">
        <v>6</v>
      </c>
      <c r="C30" s="144"/>
      <c r="D30" s="145"/>
      <c r="E30" s="145"/>
      <c r="F30" s="145"/>
      <c r="G30" s="146"/>
      <c r="H30" s="147">
        <v>110.24</v>
      </c>
      <c r="I30" s="148"/>
      <c r="J30" s="149"/>
      <c r="K30" s="147">
        <v>33.89</v>
      </c>
      <c r="L30" s="150"/>
      <c r="M30" s="149"/>
      <c r="N30" s="151">
        <v>93.8</v>
      </c>
      <c r="O30" s="148"/>
      <c r="P30" s="152"/>
      <c r="Q30" s="153">
        <v>2.77</v>
      </c>
      <c r="R30" s="148"/>
      <c r="S30" s="152"/>
      <c r="T30" s="144"/>
      <c r="U30" s="145"/>
      <c r="V30" s="145"/>
      <c r="W30" s="145"/>
      <c r="X30" s="145"/>
      <c r="Y30" s="146"/>
      <c r="Z30" s="11"/>
    </row>
    <row r="31" spans="1:26" ht="19.5" customHeight="1" x14ac:dyDescent="0.25">
      <c r="A31" s="9"/>
      <c r="B31" s="43"/>
      <c r="C31" s="58"/>
      <c r="D31" s="59"/>
      <c r="E31" s="59"/>
      <c r="F31" s="59"/>
      <c r="G31" s="60"/>
      <c r="H31" s="52"/>
      <c r="I31" s="56"/>
      <c r="J31" s="54"/>
      <c r="K31" s="52"/>
      <c r="L31" s="53"/>
      <c r="M31" s="54"/>
      <c r="N31" s="55"/>
      <c r="O31" s="56"/>
      <c r="P31" s="57"/>
      <c r="Q31" s="61"/>
      <c r="R31" s="56"/>
      <c r="S31" s="57"/>
      <c r="T31" s="58"/>
      <c r="U31" s="59"/>
      <c r="V31" s="59"/>
      <c r="W31" s="59"/>
      <c r="X31" s="59"/>
      <c r="Y31" s="60"/>
      <c r="Z31" s="11"/>
    </row>
    <row r="32" spans="1:26" ht="19.5" customHeight="1" x14ac:dyDescent="0.25">
      <c r="A32" s="9"/>
      <c r="B32" s="43"/>
      <c r="C32" s="58"/>
      <c r="D32" s="59"/>
      <c r="E32" s="59"/>
      <c r="F32" s="59"/>
      <c r="G32" s="60"/>
      <c r="H32" s="52"/>
      <c r="I32" s="56"/>
      <c r="J32" s="54"/>
      <c r="K32" s="52"/>
      <c r="L32" s="53"/>
      <c r="M32" s="54"/>
      <c r="N32" s="55"/>
      <c r="O32" s="56"/>
      <c r="P32" s="57"/>
      <c r="Q32" s="61"/>
      <c r="R32" s="56"/>
      <c r="S32" s="57"/>
      <c r="T32" s="58"/>
      <c r="U32" s="59"/>
      <c r="V32" s="59"/>
      <c r="W32" s="59"/>
      <c r="X32" s="59"/>
      <c r="Y32" s="60"/>
      <c r="Z32" s="11"/>
    </row>
    <row r="33" spans="1:26" ht="19.5" customHeight="1" x14ac:dyDescent="0.25">
      <c r="A33" s="9"/>
      <c r="B33" s="43"/>
      <c r="C33" s="58"/>
      <c r="D33" s="59"/>
      <c r="E33" s="59"/>
      <c r="F33" s="59"/>
      <c r="G33" s="60"/>
      <c r="H33" s="52"/>
      <c r="I33" s="56"/>
      <c r="J33" s="54"/>
      <c r="K33" s="52"/>
      <c r="L33" s="53"/>
      <c r="M33" s="54"/>
      <c r="N33" s="55"/>
      <c r="O33" s="56"/>
      <c r="P33" s="57"/>
      <c r="Q33" s="61"/>
      <c r="R33" s="56"/>
      <c r="S33" s="57"/>
      <c r="T33" s="58"/>
      <c r="U33" s="59"/>
      <c r="V33" s="59"/>
      <c r="W33" s="59"/>
      <c r="X33" s="59"/>
      <c r="Y33" s="60"/>
      <c r="Z33" s="11"/>
    </row>
    <row r="34" spans="1:26" ht="19.5" customHeight="1" x14ac:dyDescent="0.25">
      <c r="A34" s="9"/>
      <c r="B34" s="43"/>
      <c r="C34" s="58"/>
      <c r="D34" s="59"/>
      <c r="E34" s="59"/>
      <c r="F34" s="59"/>
      <c r="G34" s="60"/>
      <c r="H34" s="52"/>
      <c r="I34" s="56"/>
      <c r="J34" s="54"/>
      <c r="K34" s="52"/>
      <c r="L34" s="53"/>
      <c r="M34" s="54"/>
      <c r="N34" s="55"/>
      <c r="O34" s="56"/>
      <c r="P34" s="57"/>
      <c r="Q34" s="61"/>
      <c r="R34" s="56"/>
      <c r="S34" s="57"/>
      <c r="T34" s="58"/>
      <c r="U34" s="59"/>
      <c r="V34" s="59"/>
      <c r="W34" s="59"/>
      <c r="X34" s="59"/>
      <c r="Y34" s="60"/>
      <c r="Z34" s="11"/>
    </row>
    <row r="35" spans="1:26" ht="19.5" customHeight="1" x14ac:dyDescent="0.25">
      <c r="A35" s="9"/>
      <c r="B35" s="43"/>
      <c r="C35" s="58"/>
      <c r="D35" s="59"/>
      <c r="E35" s="59"/>
      <c r="F35" s="59"/>
      <c r="G35" s="60"/>
      <c r="H35" s="52"/>
      <c r="I35" s="56"/>
      <c r="J35" s="54"/>
      <c r="K35" s="52"/>
      <c r="L35" s="53"/>
      <c r="M35" s="54"/>
      <c r="N35" s="55"/>
      <c r="O35" s="56"/>
      <c r="P35" s="57"/>
      <c r="Q35" s="61"/>
      <c r="R35" s="56"/>
      <c r="S35" s="57"/>
      <c r="T35" s="58"/>
      <c r="U35" s="59"/>
      <c r="V35" s="59"/>
      <c r="W35" s="59"/>
      <c r="X35" s="59"/>
      <c r="Y35" s="60"/>
      <c r="Z35" s="11"/>
    </row>
    <row r="36" spans="1:26" ht="19.5" customHeight="1" x14ac:dyDescent="0.25">
      <c r="A36" s="9"/>
      <c r="B36" s="43"/>
      <c r="C36" s="58"/>
      <c r="D36" s="59"/>
      <c r="E36" s="59"/>
      <c r="F36" s="59"/>
      <c r="G36" s="60"/>
      <c r="H36" s="52"/>
      <c r="I36" s="56"/>
      <c r="J36" s="54"/>
      <c r="K36" s="52"/>
      <c r="L36" s="53"/>
      <c r="M36" s="54"/>
      <c r="N36" s="55"/>
      <c r="O36" s="56"/>
      <c r="P36" s="57"/>
      <c r="Q36" s="61"/>
      <c r="R36" s="56"/>
      <c r="S36" s="57"/>
      <c r="T36" s="58"/>
      <c r="U36" s="59"/>
      <c r="V36" s="59"/>
      <c r="W36" s="59"/>
      <c r="X36" s="59"/>
      <c r="Y36" s="60"/>
      <c r="Z36" s="11"/>
    </row>
    <row r="37" spans="1:26" ht="19.5" customHeight="1" x14ac:dyDescent="0.25">
      <c r="A37" s="9"/>
      <c r="B37" s="43"/>
      <c r="C37" s="58"/>
      <c r="D37" s="59"/>
      <c r="E37" s="59"/>
      <c r="F37" s="59"/>
      <c r="G37" s="60"/>
      <c r="H37" s="52"/>
      <c r="I37" s="56"/>
      <c r="J37" s="54"/>
      <c r="K37" s="52"/>
      <c r="L37" s="53"/>
      <c r="M37" s="54"/>
      <c r="N37" s="55"/>
      <c r="O37" s="56"/>
      <c r="P37" s="57"/>
      <c r="Q37" s="61"/>
      <c r="R37" s="56"/>
      <c r="S37" s="57"/>
      <c r="T37" s="58"/>
      <c r="U37" s="59"/>
      <c r="V37" s="59"/>
      <c r="W37" s="59"/>
      <c r="X37" s="59"/>
      <c r="Y37" s="60"/>
      <c r="Z37" s="11"/>
    </row>
    <row r="38" spans="1:26" ht="19.5" customHeight="1" x14ac:dyDescent="0.25">
      <c r="A38" s="9"/>
      <c r="B38" s="43"/>
      <c r="C38" s="58"/>
      <c r="D38" s="59"/>
      <c r="E38" s="59"/>
      <c r="F38" s="59"/>
      <c r="G38" s="60"/>
      <c r="H38" s="52"/>
      <c r="I38" s="56"/>
      <c r="J38" s="54"/>
      <c r="K38" s="52"/>
      <c r="L38" s="53"/>
      <c r="M38" s="54"/>
      <c r="N38" s="55"/>
      <c r="O38" s="56"/>
      <c r="P38" s="57"/>
      <c r="Q38" s="61"/>
      <c r="R38" s="56"/>
      <c r="S38" s="57"/>
      <c r="T38" s="58"/>
      <c r="U38" s="59"/>
      <c r="V38" s="59"/>
      <c r="W38" s="59"/>
      <c r="X38" s="59"/>
      <c r="Y38" s="60"/>
      <c r="Z38" s="11"/>
    </row>
    <row r="39" spans="1:26" ht="19.5" customHeight="1" x14ac:dyDescent="0.25">
      <c r="A39" s="9"/>
      <c r="B39" s="43"/>
      <c r="C39" s="58"/>
      <c r="D39" s="59"/>
      <c r="E39" s="59"/>
      <c r="F39" s="59"/>
      <c r="G39" s="60"/>
      <c r="H39" s="52"/>
      <c r="I39" s="56"/>
      <c r="J39" s="54"/>
      <c r="K39" s="52"/>
      <c r="L39" s="53"/>
      <c r="M39" s="54"/>
      <c r="N39" s="55"/>
      <c r="O39" s="56"/>
      <c r="P39" s="57"/>
      <c r="Q39" s="61"/>
      <c r="R39" s="56"/>
      <c r="S39" s="57"/>
      <c r="T39" s="58"/>
      <c r="U39" s="59"/>
      <c r="V39" s="59"/>
      <c r="W39" s="59"/>
      <c r="X39" s="59"/>
      <c r="Y39" s="60"/>
      <c r="Z39" s="11"/>
    </row>
    <row r="40" spans="1:26" ht="19.5" customHeight="1" x14ac:dyDescent="0.25">
      <c r="A40" s="9"/>
      <c r="B40" s="43"/>
      <c r="C40" s="58"/>
      <c r="D40" s="59"/>
      <c r="E40" s="59"/>
      <c r="F40" s="59"/>
      <c r="G40" s="60"/>
      <c r="H40" s="52"/>
      <c r="I40" s="56"/>
      <c r="J40" s="54"/>
      <c r="K40" s="52"/>
      <c r="L40" s="53"/>
      <c r="M40" s="54"/>
      <c r="N40" s="55"/>
      <c r="O40" s="56"/>
      <c r="P40" s="57"/>
      <c r="Q40" s="61"/>
      <c r="R40" s="56"/>
      <c r="S40" s="57"/>
      <c r="T40" s="58"/>
      <c r="U40" s="59"/>
      <c r="V40" s="59"/>
      <c r="W40" s="59"/>
      <c r="X40" s="59"/>
      <c r="Y40" s="60"/>
      <c r="Z40" s="11"/>
    </row>
    <row r="41" spans="1:26" ht="19.5" customHeight="1" x14ac:dyDescent="0.25">
      <c r="A41" s="9"/>
      <c r="B41" s="43"/>
      <c r="C41" s="58"/>
      <c r="D41" s="59"/>
      <c r="E41" s="59"/>
      <c r="F41" s="59"/>
      <c r="G41" s="60"/>
      <c r="H41" s="52"/>
      <c r="I41" s="56"/>
      <c r="J41" s="54"/>
      <c r="K41" s="52"/>
      <c r="L41" s="53"/>
      <c r="M41" s="54"/>
      <c r="N41" s="55"/>
      <c r="O41" s="56"/>
      <c r="P41" s="57"/>
      <c r="Q41" s="61"/>
      <c r="R41" s="56"/>
      <c r="S41" s="57"/>
      <c r="T41" s="58"/>
      <c r="U41" s="59"/>
      <c r="V41" s="59"/>
      <c r="W41" s="59"/>
      <c r="X41" s="59"/>
      <c r="Y41" s="60"/>
      <c r="Z41" s="11"/>
    </row>
    <row r="42" spans="1:26" ht="19.5" customHeight="1" x14ac:dyDescent="0.25">
      <c r="A42" s="9"/>
      <c r="B42" s="43"/>
      <c r="C42" s="58"/>
      <c r="D42" s="59"/>
      <c r="E42" s="59"/>
      <c r="F42" s="59"/>
      <c r="G42" s="60"/>
      <c r="H42" s="52"/>
      <c r="I42" s="56"/>
      <c r="J42" s="54"/>
      <c r="K42" s="52"/>
      <c r="L42" s="53"/>
      <c r="M42" s="54"/>
      <c r="N42" s="55"/>
      <c r="O42" s="56"/>
      <c r="P42" s="57"/>
      <c r="Q42" s="61"/>
      <c r="R42" s="56"/>
      <c r="S42" s="57"/>
      <c r="T42" s="58"/>
      <c r="U42" s="59"/>
      <c r="V42" s="59"/>
      <c r="W42" s="59"/>
      <c r="X42" s="59"/>
      <c r="Y42" s="60"/>
      <c r="Z42" s="11"/>
    </row>
    <row r="43" spans="1:26" ht="19.5" customHeight="1" x14ac:dyDescent="0.25">
      <c r="A43" s="9"/>
      <c r="B43" s="43"/>
      <c r="C43" s="58"/>
      <c r="D43" s="59"/>
      <c r="E43" s="59"/>
      <c r="F43" s="59"/>
      <c r="G43" s="60"/>
      <c r="H43" s="52"/>
      <c r="I43" s="56"/>
      <c r="J43" s="54"/>
      <c r="K43" s="52"/>
      <c r="L43" s="53"/>
      <c r="M43" s="54"/>
      <c r="N43" s="55"/>
      <c r="O43" s="56"/>
      <c r="P43" s="57"/>
      <c r="Q43" s="61"/>
      <c r="R43" s="56"/>
      <c r="S43" s="57"/>
      <c r="T43" s="58"/>
      <c r="U43" s="59"/>
      <c r="V43" s="59"/>
      <c r="W43" s="59"/>
      <c r="X43" s="59"/>
      <c r="Y43" s="60"/>
      <c r="Z43" s="11"/>
    </row>
    <row r="44" spans="1:26" ht="19.5" customHeight="1" x14ac:dyDescent="0.25">
      <c r="A44" s="9"/>
      <c r="B44" s="43"/>
      <c r="C44" s="58"/>
      <c r="D44" s="59"/>
      <c r="E44" s="59"/>
      <c r="F44" s="59"/>
      <c r="G44" s="60"/>
      <c r="H44" s="52"/>
      <c r="I44" s="56"/>
      <c r="J44" s="54"/>
      <c r="K44" s="52"/>
      <c r="L44" s="53"/>
      <c r="M44" s="54"/>
      <c r="N44" s="55"/>
      <c r="O44" s="56"/>
      <c r="P44" s="57"/>
      <c r="Q44" s="61"/>
      <c r="R44" s="56"/>
      <c r="S44" s="57"/>
      <c r="T44" s="58"/>
      <c r="U44" s="59"/>
      <c r="V44" s="59"/>
      <c r="W44" s="59"/>
      <c r="X44" s="59"/>
      <c r="Y44" s="60"/>
      <c r="Z44" s="11"/>
    </row>
    <row r="45" spans="1:26" ht="19.5" customHeight="1" x14ac:dyDescent="0.25">
      <c r="A45" s="9"/>
      <c r="B45" s="43"/>
      <c r="C45" s="58"/>
      <c r="D45" s="59"/>
      <c r="E45" s="59"/>
      <c r="F45" s="59"/>
      <c r="G45" s="60"/>
      <c r="H45" s="52"/>
      <c r="I45" s="56"/>
      <c r="J45" s="54"/>
      <c r="K45" s="52"/>
      <c r="L45" s="53"/>
      <c r="M45" s="54"/>
      <c r="N45" s="55"/>
      <c r="O45" s="56"/>
      <c r="P45" s="57"/>
      <c r="Q45" s="61"/>
      <c r="R45" s="56"/>
      <c r="S45" s="57"/>
      <c r="T45" s="58"/>
      <c r="U45" s="59"/>
      <c r="V45" s="59"/>
      <c r="W45" s="59"/>
      <c r="X45" s="59"/>
      <c r="Y45" s="60"/>
      <c r="Z45" s="11"/>
    </row>
    <row r="46" spans="1:26" ht="19.5" customHeight="1" x14ac:dyDescent="0.25">
      <c r="A46" s="9"/>
      <c r="B46" s="43"/>
      <c r="C46" s="58"/>
      <c r="D46" s="59"/>
      <c r="E46" s="59"/>
      <c r="F46" s="59"/>
      <c r="G46" s="60"/>
      <c r="H46" s="52"/>
      <c r="I46" s="56"/>
      <c r="J46" s="54"/>
      <c r="K46" s="52"/>
      <c r="L46" s="53"/>
      <c r="M46" s="54"/>
      <c r="N46" s="55"/>
      <c r="O46" s="56"/>
      <c r="P46" s="57"/>
      <c r="Q46" s="61"/>
      <c r="R46" s="56"/>
      <c r="S46" s="57"/>
      <c r="T46" s="58"/>
      <c r="U46" s="59"/>
      <c r="V46" s="59"/>
      <c r="W46" s="59"/>
      <c r="X46" s="59"/>
      <c r="Y46" s="60"/>
      <c r="Z46" s="11"/>
    </row>
    <row r="47" spans="1:26" ht="19.5" customHeight="1" x14ac:dyDescent="0.25">
      <c r="A47" s="9"/>
      <c r="B47" s="43"/>
      <c r="C47" s="58"/>
      <c r="D47" s="59"/>
      <c r="E47" s="59"/>
      <c r="F47" s="59"/>
      <c r="G47" s="60"/>
      <c r="H47" s="52"/>
      <c r="I47" s="56"/>
      <c r="J47" s="54"/>
      <c r="K47" s="52"/>
      <c r="L47" s="53"/>
      <c r="M47" s="54"/>
      <c r="N47" s="55"/>
      <c r="O47" s="56"/>
      <c r="P47" s="57"/>
      <c r="Q47" s="61"/>
      <c r="R47" s="56"/>
      <c r="S47" s="57"/>
      <c r="T47" s="58"/>
      <c r="U47" s="59"/>
      <c r="V47" s="59"/>
      <c r="W47" s="59"/>
      <c r="X47" s="59"/>
      <c r="Y47" s="60"/>
      <c r="Z47" s="11"/>
    </row>
    <row r="48" spans="1:26" ht="19.5" customHeight="1" x14ac:dyDescent="0.25">
      <c r="A48" s="9"/>
      <c r="B48" s="43"/>
      <c r="C48" s="58"/>
      <c r="D48" s="59"/>
      <c r="E48" s="59"/>
      <c r="F48" s="59"/>
      <c r="G48" s="60"/>
      <c r="H48" s="52"/>
      <c r="I48" s="56"/>
      <c r="J48" s="54"/>
      <c r="K48" s="52"/>
      <c r="L48" s="53"/>
      <c r="M48" s="54"/>
      <c r="N48" s="55"/>
      <c r="O48" s="56"/>
      <c r="P48" s="57"/>
      <c r="Q48" s="61"/>
      <c r="R48" s="56"/>
      <c r="S48" s="57"/>
      <c r="T48" s="58"/>
      <c r="U48" s="59"/>
      <c r="V48" s="59"/>
      <c r="W48" s="59"/>
      <c r="X48" s="59"/>
      <c r="Y48" s="60"/>
      <c r="Z48" s="11"/>
    </row>
    <row r="49" spans="1:26" ht="19.5" customHeight="1" x14ac:dyDescent="0.25">
      <c r="A49" s="9"/>
      <c r="B49" s="43"/>
      <c r="C49" s="58"/>
      <c r="D49" s="59"/>
      <c r="E49" s="59"/>
      <c r="F49" s="59"/>
      <c r="G49" s="60"/>
      <c r="H49" s="52"/>
      <c r="I49" s="56"/>
      <c r="J49" s="54"/>
      <c r="K49" s="52"/>
      <c r="L49" s="53"/>
      <c r="M49" s="54"/>
      <c r="N49" s="55"/>
      <c r="O49" s="56"/>
      <c r="P49" s="57"/>
      <c r="Q49" s="61"/>
      <c r="R49" s="56"/>
      <c r="S49" s="57"/>
      <c r="T49" s="58"/>
      <c r="U49" s="59"/>
      <c r="V49" s="59"/>
      <c r="W49" s="59"/>
      <c r="X49" s="59"/>
      <c r="Y49" s="60"/>
      <c r="Z49" s="11"/>
    </row>
    <row r="50" spans="1:26" ht="19.5" customHeight="1" x14ac:dyDescent="0.25">
      <c r="A50" s="9"/>
      <c r="B50" s="43"/>
      <c r="C50" s="58"/>
      <c r="D50" s="59"/>
      <c r="E50" s="59"/>
      <c r="F50" s="59"/>
      <c r="G50" s="60"/>
      <c r="H50" s="52"/>
      <c r="I50" s="56"/>
      <c r="J50" s="54"/>
      <c r="K50" s="52"/>
      <c r="L50" s="53"/>
      <c r="M50" s="54"/>
      <c r="N50" s="55"/>
      <c r="O50" s="56"/>
      <c r="P50" s="57"/>
      <c r="Q50" s="61"/>
      <c r="R50" s="56"/>
      <c r="S50" s="57"/>
      <c r="T50" s="58"/>
      <c r="U50" s="59"/>
      <c r="V50" s="59"/>
      <c r="W50" s="59"/>
      <c r="X50" s="59"/>
      <c r="Y50" s="60"/>
      <c r="Z50" s="11"/>
    </row>
    <row r="51" spans="1:26" ht="19.5" customHeight="1" x14ac:dyDescent="0.25">
      <c r="A51" s="9"/>
      <c r="B51" s="43"/>
      <c r="C51" s="58"/>
      <c r="D51" s="59"/>
      <c r="E51" s="59"/>
      <c r="F51" s="59"/>
      <c r="G51" s="60"/>
      <c r="H51" s="52"/>
      <c r="I51" s="56"/>
      <c r="J51" s="54"/>
      <c r="K51" s="52"/>
      <c r="L51" s="53"/>
      <c r="M51" s="54"/>
      <c r="N51" s="55"/>
      <c r="O51" s="56"/>
      <c r="P51" s="57"/>
      <c r="Q51" s="61"/>
      <c r="R51" s="56"/>
      <c r="S51" s="57"/>
      <c r="T51" s="58"/>
      <c r="U51" s="59"/>
      <c r="V51" s="59"/>
      <c r="W51" s="59"/>
      <c r="X51" s="59"/>
      <c r="Y51" s="60"/>
      <c r="Z51" s="11"/>
    </row>
    <row r="52" spans="1:26" ht="19.5" customHeight="1" x14ac:dyDescent="0.25">
      <c r="A52" s="9"/>
      <c r="B52" s="43"/>
      <c r="C52" s="58"/>
      <c r="D52" s="59"/>
      <c r="E52" s="59"/>
      <c r="F52" s="59"/>
      <c r="G52" s="60"/>
      <c r="H52" s="52"/>
      <c r="I52" s="56"/>
      <c r="J52" s="54"/>
      <c r="K52" s="52"/>
      <c r="L52" s="53"/>
      <c r="M52" s="54"/>
      <c r="N52" s="55"/>
      <c r="O52" s="56"/>
      <c r="P52" s="57"/>
      <c r="Q52" s="61"/>
      <c r="R52" s="56"/>
      <c r="S52" s="57"/>
      <c r="T52" s="58"/>
      <c r="U52" s="59"/>
      <c r="V52" s="59"/>
      <c r="W52" s="59"/>
      <c r="X52" s="59"/>
      <c r="Y52" s="60"/>
      <c r="Z52" s="11"/>
    </row>
    <row r="53" spans="1:26" ht="19.5" customHeight="1" x14ac:dyDescent="0.25">
      <c r="A53" s="9"/>
      <c r="B53" s="43"/>
      <c r="C53" s="58"/>
      <c r="D53" s="59"/>
      <c r="E53" s="59"/>
      <c r="F53" s="59"/>
      <c r="G53" s="60"/>
      <c r="H53" s="52"/>
      <c r="I53" s="56"/>
      <c r="J53" s="54"/>
      <c r="K53" s="52"/>
      <c r="L53" s="53"/>
      <c r="M53" s="54"/>
      <c r="N53" s="55"/>
      <c r="O53" s="56"/>
      <c r="P53" s="57"/>
      <c r="Q53" s="61"/>
      <c r="R53" s="56"/>
      <c r="S53" s="57"/>
      <c r="T53" s="58"/>
      <c r="U53" s="59"/>
      <c r="V53" s="59"/>
      <c r="W53" s="59"/>
      <c r="X53" s="59"/>
      <c r="Y53" s="60"/>
      <c r="Z53" s="11"/>
    </row>
    <row r="54" spans="1:26" ht="19.5" customHeight="1" x14ac:dyDescent="0.25">
      <c r="A54" s="9"/>
      <c r="B54" s="76"/>
      <c r="C54" s="154"/>
      <c r="D54" s="155"/>
      <c r="E54" s="155"/>
      <c r="F54" s="155"/>
      <c r="G54" s="156"/>
      <c r="H54" s="157"/>
      <c r="I54" s="158"/>
      <c r="J54" s="159"/>
      <c r="K54" s="157"/>
      <c r="L54" s="158"/>
      <c r="M54" s="159"/>
      <c r="N54" s="157"/>
      <c r="O54" s="158"/>
      <c r="P54" s="159"/>
      <c r="Q54" s="160"/>
      <c r="R54" s="161"/>
      <c r="S54" s="162"/>
      <c r="T54" s="154"/>
      <c r="U54" s="155"/>
      <c r="V54" s="155"/>
      <c r="W54" s="155"/>
      <c r="X54" s="155"/>
      <c r="Y54" s="156"/>
      <c r="Z54" s="11"/>
    </row>
    <row r="55" spans="1:26" ht="15.75" customHeight="1" x14ac:dyDescent="0.25">
      <c r="A55" s="9"/>
      <c r="B55" s="179" t="s">
        <v>38</v>
      </c>
      <c r="C55" s="180"/>
      <c r="D55" s="180"/>
      <c r="E55" s="180"/>
      <c r="F55" s="180"/>
      <c r="G55" s="181"/>
      <c r="H55" s="172">
        <f>AVERAGE(H25:J54)</f>
        <v>86.365000000000009</v>
      </c>
      <c r="I55" s="148"/>
      <c r="J55" s="152"/>
      <c r="K55" s="172">
        <f>AVERAGE(K25:M54)</f>
        <v>45.76</v>
      </c>
      <c r="L55" s="148"/>
      <c r="M55" s="152"/>
      <c r="N55" s="172">
        <f>AVERAGE(N25:P54)</f>
        <v>97.25</v>
      </c>
      <c r="O55" s="148"/>
      <c r="P55" s="152"/>
      <c r="Q55" s="172">
        <f>AVERAGE(Q25:S54)</f>
        <v>2.1516666666666668</v>
      </c>
      <c r="R55" s="148"/>
      <c r="S55" s="152"/>
      <c r="T55" s="182"/>
      <c r="U55" s="183"/>
      <c r="V55" s="163" t="s">
        <v>39</v>
      </c>
      <c r="W55" s="163"/>
      <c r="X55" s="163"/>
      <c r="Y55" s="164"/>
      <c r="Z55" s="11"/>
    </row>
    <row r="56" spans="1:26" ht="15.75" customHeight="1" x14ac:dyDescent="0.25">
      <c r="A56" s="9"/>
      <c r="B56" s="169" t="s">
        <v>40</v>
      </c>
      <c r="C56" s="170"/>
      <c r="D56" s="170"/>
      <c r="E56" s="170"/>
      <c r="F56" s="170"/>
      <c r="G56" s="171"/>
      <c r="H56" s="172">
        <f>IF(H25&lt;&gt;"",MIN(H25:J54),"")</f>
        <v>65.62</v>
      </c>
      <c r="I56" s="148"/>
      <c r="J56" s="152"/>
      <c r="K56" s="172">
        <f>IF(K25&lt;&gt;"",MIN(K25:M54),"")</f>
        <v>33.89</v>
      </c>
      <c r="L56" s="148"/>
      <c r="M56" s="152"/>
      <c r="N56" s="172">
        <f>IF(COUNTIF(N25:P54,"*&lt;20*"),"&lt;20",MIN(N25:P54))</f>
        <v>75</v>
      </c>
      <c r="O56" s="148"/>
      <c r="P56" s="152"/>
      <c r="Q56" s="172">
        <f>IF(Q25&lt;&gt;"",MIN(Q25:S54),"")</f>
        <v>1.74</v>
      </c>
      <c r="R56" s="148"/>
      <c r="S56" s="152"/>
      <c r="T56" s="184"/>
      <c r="U56" s="185"/>
      <c r="V56" s="165"/>
      <c r="W56" s="165"/>
      <c r="X56" s="165"/>
      <c r="Y56" s="166"/>
      <c r="Z56" s="11"/>
    </row>
    <row r="57" spans="1:26" ht="15.75" customHeight="1" x14ac:dyDescent="0.25">
      <c r="A57" s="9"/>
      <c r="B57" s="173" t="s">
        <v>41</v>
      </c>
      <c r="C57" s="174"/>
      <c r="D57" s="174"/>
      <c r="E57" s="174"/>
      <c r="F57" s="174"/>
      <c r="G57" s="175"/>
      <c r="H57" s="176">
        <f>IF(H25&lt;&gt;"",MAX(H25:J54),"")</f>
        <v>110.24</v>
      </c>
      <c r="I57" s="177"/>
      <c r="J57" s="178"/>
      <c r="K57" s="176">
        <f>IF(K25&lt;&gt;"",MAX(K25:M54),"")</f>
        <v>56.25</v>
      </c>
      <c r="L57" s="177"/>
      <c r="M57" s="178"/>
      <c r="N57" s="176">
        <f>IF(COUNTIF(N25:P54,"*&gt;250*"),"&gt;250",MAX(N25:P54))</f>
        <v>128.6</v>
      </c>
      <c r="O57" s="177"/>
      <c r="P57" s="178"/>
      <c r="Q57" s="176">
        <f>IF(Q25&lt;&gt;"",MAX(Q25:S54),"")</f>
        <v>2.77</v>
      </c>
      <c r="R57" s="177"/>
      <c r="S57" s="178"/>
      <c r="T57" s="186"/>
      <c r="U57" s="187"/>
      <c r="V57" s="167"/>
      <c r="W57" s="167"/>
      <c r="X57" s="167"/>
      <c r="Y57" s="168"/>
      <c r="Z57" s="11"/>
    </row>
    <row r="58" spans="1:26" ht="15.9" customHeight="1" x14ac:dyDescent="0.25">
      <c r="A58" s="34"/>
      <c r="B58" s="3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4" t="s">
        <v>42</v>
      </c>
      <c r="B60" s="5" t="s">
        <v>43</v>
      </c>
      <c r="C60" s="45"/>
      <c r="D60" s="45"/>
      <c r="E60" s="45"/>
      <c r="F60" s="46"/>
      <c r="G60" s="46"/>
      <c r="H60" s="4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47"/>
      <c r="V60" s="48"/>
      <c r="W60" s="48"/>
      <c r="X60" s="39"/>
      <c r="Y60" s="39"/>
      <c r="Z60" s="40"/>
    </row>
    <row r="61" spans="1:26" s="17" customFormat="1" ht="28.5" customHeight="1" x14ac:dyDescent="0.25">
      <c r="A61" s="200" t="s">
        <v>44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2"/>
      <c r="R61" s="194" t="s">
        <v>45</v>
      </c>
      <c r="S61" s="195"/>
      <c r="T61" s="196"/>
      <c r="U61" s="203" t="s">
        <v>12</v>
      </c>
      <c r="V61" s="204"/>
      <c r="W61" s="204"/>
      <c r="X61" s="205"/>
      <c r="Y61" s="205"/>
      <c r="Z61" s="206"/>
    </row>
    <row r="62" spans="1:26" s="17" customFormat="1" ht="15.6" customHeight="1" x14ac:dyDescent="0.25">
      <c r="A62" s="207" t="s">
        <v>57</v>
      </c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9"/>
      <c r="R62" s="194" t="s">
        <v>46</v>
      </c>
      <c r="S62" s="195"/>
      <c r="T62" s="196"/>
      <c r="U62" s="213" t="s">
        <v>55</v>
      </c>
      <c r="V62" s="214"/>
      <c r="W62" s="214"/>
      <c r="X62" s="215"/>
      <c r="Y62" s="215"/>
      <c r="Z62" s="216"/>
    </row>
    <row r="63" spans="1:26" s="17" customFormat="1" ht="15.6" customHeight="1" x14ac:dyDescent="0.25">
      <c r="A63" s="210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2"/>
      <c r="R63" s="194"/>
      <c r="S63" s="195"/>
      <c r="T63" s="196"/>
      <c r="U63" s="217"/>
      <c r="V63" s="165"/>
      <c r="W63" s="165"/>
      <c r="X63" s="218"/>
      <c r="Y63" s="218"/>
      <c r="Z63" s="219"/>
    </row>
    <row r="64" spans="1:26" s="17" customFormat="1" ht="15.6" customHeight="1" x14ac:dyDescent="0.25">
      <c r="A64" s="51" t="s">
        <v>47</v>
      </c>
      <c r="B64" s="62" t="s">
        <v>48</v>
      </c>
      <c r="C64" s="1"/>
      <c r="D64" s="1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63"/>
      <c r="R64" s="194"/>
      <c r="S64" s="195"/>
      <c r="T64" s="196"/>
      <c r="U64" s="220"/>
      <c r="V64" s="221"/>
      <c r="W64" s="221"/>
      <c r="X64" s="222"/>
      <c r="Y64" s="222"/>
      <c r="Z64" s="223"/>
    </row>
    <row r="65" spans="1:26" s="17" customFormat="1" ht="15.6" customHeight="1" x14ac:dyDescent="0.25">
      <c r="A65" s="188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90"/>
      <c r="R65" s="194" t="s">
        <v>49</v>
      </c>
      <c r="S65" s="195"/>
      <c r="T65" s="196"/>
      <c r="U65" s="64"/>
      <c r="V65" s="65"/>
      <c r="W65" s="65"/>
      <c r="X65" s="65"/>
      <c r="Y65" s="65"/>
      <c r="Z65" s="66"/>
    </row>
    <row r="66" spans="1:26" s="17" customFormat="1" ht="15.6" customHeight="1" x14ac:dyDescent="0.25">
      <c r="A66" s="188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90"/>
      <c r="R66" s="194"/>
      <c r="S66" s="195"/>
      <c r="T66" s="196"/>
      <c r="U66" s="67"/>
      <c r="V66" s="165"/>
      <c r="W66" s="165"/>
      <c r="X66" s="165"/>
      <c r="Y66" s="165"/>
      <c r="Z66" s="68"/>
    </row>
    <row r="67" spans="1:26" s="17" customFormat="1" ht="15.6" customHeight="1" x14ac:dyDescent="0.25">
      <c r="A67" s="188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90"/>
      <c r="R67" s="194"/>
      <c r="S67" s="195"/>
      <c r="T67" s="196"/>
      <c r="U67" s="67"/>
      <c r="V67" s="165"/>
      <c r="W67" s="165"/>
      <c r="X67" s="165"/>
      <c r="Y67" s="165"/>
      <c r="Z67" s="68"/>
    </row>
    <row r="68" spans="1:26" s="17" customFormat="1" ht="15.6" customHeight="1" x14ac:dyDescent="0.25">
      <c r="A68" s="191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3"/>
      <c r="R68" s="197"/>
      <c r="S68" s="198"/>
      <c r="T68" s="199"/>
      <c r="U68" s="69"/>
      <c r="V68" s="70"/>
      <c r="W68" s="70"/>
      <c r="X68" s="70"/>
      <c r="Y68" s="70"/>
      <c r="Z68" s="71"/>
    </row>
    <row r="69" spans="1:26" s="17" customFormat="1" ht="15" customHeight="1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50"/>
      <c r="S69" s="50"/>
      <c r="T69" s="50"/>
      <c r="U69" s="38"/>
      <c r="V69" s="38"/>
      <c r="W69" s="38"/>
      <c r="X69" s="38"/>
      <c r="Y69" s="38"/>
      <c r="Z69" s="38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08">
    <mergeCell ref="T27:Y27"/>
    <mergeCell ref="C28:G28"/>
    <mergeCell ref="H28:J28"/>
    <mergeCell ref="K28:M28"/>
    <mergeCell ref="N28:P28"/>
    <mergeCell ref="Q28:S28"/>
    <mergeCell ref="T28:Y28"/>
    <mergeCell ref="C27:G27"/>
    <mergeCell ref="H27:J27"/>
    <mergeCell ref="K27:M27"/>
    <mergeCell ref="N27:P27"/>
    <mergeCell ref="T29:Y29"/>
    <mergeCell ref="C30:G30"/>
    <mergeCell ref="H30:J30"/>
    <mergeCell ref="K30:M30"/>
    <mergeCell ref="N30:P30"/>
    <mergeCell ref="Q30:S30"/>
    <mergeCell ref="T30:Y30"/>
    <mergeCell ref="C29:G29"/>
    <mergeCell ref="H29:J29"/>
    <mergeCell ref="K29:M29"/>
    <mergeCell ref="N29:P29"/>
    <mergeCell ref="Q29:S29"/>
    <mergeCell ref="P6:T6"/>
    <mergeCell ref="Q27:S27"/>
    <mergeCell ref="B18:H18"/>
    <mergeCell ref="B23:B24"/>
    <mergeCell ref="C23:G24"/>
    <mergeCell ref="J21:P21"/>
    <mergeCell ref="T54:Y54"/>
    <mergeCell ref="C54:G54"/>
    <mergeCell ref="H54:J54"/>
    <mergeCell ref="K54:M54"/>
    <mergeCell ref="N54:P54"/>
    <mergeCell ref="Q54:S54"/>
    <mergeCell ref="C26:G26"/>
    <mergeCell ref="H26:J26"/>
    <mergeCell ref="K26:M26"/>
    <mergeCell ref="N26:P26"/>
    <mergeCell ref="Q26:S26"/>
    <mergeCell ref="T26:Y26"/>
    <mergeCell ref="C25:G25"/>
    <mergeCell ref="H25:J25"/>
    <mergeCell ref="H24:J24"/>
    <mergeCell ref="K24:M24"/>
    <mergeCell ref="N24:P24"/>
    <mergeCell ref="T25:Y25"/>
    <mergeCell ref="Q55:S55"/>
    <mergeCell ref="Q56:S56"/>
    <mergeCell ref="B17:H17"/>
    <mergeCell ref="B12:G12"/>
    <mergeCell ref="B11:G11"/>
    <mergeCell ref="N12:R12"/>
    <mergeCell ref="H12:M12"/>
    <mergeCell ref="H11:M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U1:Z6"/>
    <mergeCell ref="L5:O5"/>
    <mergeCell ref="P5:T5"/>
    <mergeCell ref="L6:O6"/>
    <mergeCell ref="S12:Y12"/>
    <mergeCell ref="Q25:S25"/>
    <mergeCell ref="T23:Y24"/>
    <mergeCell ref="Q23:S24"/>
    <mergeCell ref="I17:Y17"/>
    <mergeCell ref="S11:Y11"/>
    <mergeCell ref="K25:M25"/>
    <mergeCell ref="N25:P25"/>
    <mergeCell ref="H23:J23"/>
    <mergeCell ref="K23:M23"/>
    <mergeCell ref="N23:P23"/>
    <mergeCell ref="N11:R11"/>
    <mergeCell ref="V18:W18"/>
    <mergeCell ref="B56:G56"/>
    <mergeCell ref="K56:M56"/>
    <mergeCell ref="K55:M55"/>
    <mergeCell ref="H56:J56"/>
    <mergeCell ref="H55:J55"/>
    <mergeCell ref="B55:G55"/>
    <mergeCell ref="V66:Y67"/>
    <mergeCell ref="N57:P57"/>
    <mergeCell ref="Q57:S57"/>
    <mergeCell ref="B57:G57"/>
    <mergeCell ref="H57:J57"/>
    <mergeCell ref="K57:M57"/>
    <mergeCell ref="A61:Q61"/>
    <mergeCell ref="R61:T61"/>
    <mergeCell ref="U61:Z61"/>
    <mergeCell ref="A62:Q63"/>
    <mergeCell ref="R62:T64"/>
    <mergeCell ref="U62:Z64"/>
    <mergeCell ref="A65:Q68"/>
    <mergeCell ref="R65:T68"/>
    <mergeCell ref="V55:Y57"/>
    <mergeCell ref="T55:U57"/>
    <mergeCell ref="N55:P55"/>
    <mergeCell ref="N56:P56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030625 CdR Bât.</vt:lpstr>
      <vt:lpstr>071124  (corrigé)</vt:lpstr>
      <vt:lpstr>071124 </vt:lpstr>
      <vt:lpstr>'030625 CdR Bât.'!Zone_d_impression</vt:lpstr>
      <vt:lpstr>'071124 '!Zone_d_impression</vt:lpstr>
      <vt:lpstr>'071124  (corrigé)'!Zone_d_impression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2025-06-03T09:41:19Z</cp:lastPrinted>
  <dcterms:created xsi:type="dcterms:W3CDTF">2004-11-13T18:13:05Z</dcterms:created>
  <dcterms:modified xsi:type="dcterms:W3CDTF">2025-06-03T09:41:21Z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