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ustomProperty18.bin" ContentType="application/vnd.openxmlformats-officedocument.spreadsheetml.customProperty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Etudes RA\RLM\2018\11 NOVEMBRE\18-11-12 VAULX EN VELIN - Esplanade TASE\7 - Mise au point du marché\SPIGAO\"/>
    </mc:Choice>
  </mc:AlternateContent>
  <bookViews>
    <workbookView xWindow="120" yWindow="240" windowWidth="20736" windowHeight="11640"/>
  </bookViews>
  <sheets>
    <sheet name="Spigao" sheetId="1" r:id="rId1"/>
    <sheet name="SPECIFICITE" sheetId="3" r:id="rId2"/>
    <sheet name="Styles" sheetId="2" state="hidden" r:id="rId3"/>
  </sheets>
  <definedNames>
    <definedName name="_xlnm._FilterDatabase" localSheetId="0" hidden="1">Spigao!$B$3:$J$4</definedName>
    <definedName name="cell_CoefGeneral">Spigao!$G$3</definedName>
    <definedName name="cell_Title">Spigao!$C$1</definedName>
    <definedName name="cell_Total_HT">Spigao!$I$3</definedName>
    <definedName name="col_Coef">Spigao!$G:$G</definedName>
    <definedName name="col_Designation">Spigao!$C:$C</definedName>
    <definedName name="col_ID">Spigao!$A:$A</definedName>
    <definedName name="col_Max">Spigao!$J:$J</definedName>
    <definedName name="col_Min">Spigao!$B:$B</definedName>
    <definedName name="col_PriceNumber">Spigao!$B:$B</definedName>
    <definedName name="col_PriceStrength">Spigao!$J:$J</definedName>
    <definedName name="col_Quantity">Spigao!$E:$E</definedName>
    <definedName name="col_report_MT">Spigao!$K:$K</definedName>
    <definedName name="col_TotalPrice">Spigao!$I:$I</definedName>
    <definedName name="col_Unit">Spigao!$D:$D</definedName>
    <definedName name="col_UnitPrice">Spigao!$H:$H</definedName>
    <definedName name="col_UnitPriceWithoutCoef">Spigao!$F:$F</definedName>
    <definedName name="EURO">6.55957</definedName>
    <definedName name="_xlnm.Print_Titles" localSheetId="0">Spigao!$1:$4</definedName>
    <definedName name="row_Start">Spigao!$5:$5</definedName>
    <definedName name="row_Title">Spigao!$4:$4</definedName>
    <definedName name="rowImportantRule">SPECIFICITE!$35:$35</definedName>
    <definedName name="rowInfosGenerales">SPECIFICITE!$13:$13</definedName>
    <definedName name="TVA">0.2</definedName>
    <definedName name="_xlnm.Print_Area" localSheetId="0">Spigao!$B:$I</definedName>
  </definedNames>
  <calcPr calcId="162913"/>
</workbook>
</file>

<file path=xl/calcChain.xml><?xml version="1.0" encoding="utf-8"?>
<calcChain xmlns="http://schemas.openxmlformats.org/spreadsheetml/2006/main">
  <c r="I1910" i="1" l="1"/>
  <c r="I1909" i="1"/>
  <c r="I1908" i="1"/>
  <c r="H1899" i="1"/>
  <c r="I1899" i="1" s="1"/>
  <c r="K1899" i="1" s="1"/>
  <c r="H1898" i="1"/>
  <c r="I1898" i="1" s="1"/>
  <c r="H1897" i="1"/>
  <c r="I1897" i="1" s="1"/>
  <c r="K1897" i="1" s="1"/>
  <c r="H1896" i="1"/>
  <c r="I1896" i="1" s="1"/>
  <c r="H1895" i="1"/>
  <c r="I1895" i="1" s="1"/>
  <c r="H1894" i="1"/>
  <c r="I1894" i="1" s="1"/>
  <c r="I1893" i="1"/>
  <c r="K1893" i="1" s="1"/>
  <c r="H1893" i="1"/>
  <c r="H1892" i="1"/>
  <c r="I1892" i="1" s="1"/>
  <c r="H1891" i="1"/>
  <c r="I1891" i="1" s="1"/>
  <c r="H1887" i="1"/>
  <c r="I1887" i="1" s="1"/>
  <c r="H1886" i="1"/>
  <c r="I1886" i="1" s="1"/>
  <c r="H1884" i="1"/>
  <c r="I1884" i="1" s="1"/>
  <c r="K1884" i="1" s="1"/>
  <c r="H1883" i="1"/>
  <c r="I1883" i="1" s="1"/>
  <c r="K1883" i="1" s="1"/>
  <c r="H1882" i="1"/>
  <c r="I1882" i="1" s="1"/>
  <c r="H1881" i="1"/>
  <c r="I1881" i="1" s="1"/>
  <c r="K1881" i="1" s="1"/>
  <c r="H1880" i="1"/>
  <c r="I1880" i="1" s="1"/>
  <c r="I1879" i="1"/>
  <c r="H1879" i="1"/>
  <c r="H1878" i="1"/>
  <c r="I1878" i="1" s="1"/>
  <c r="H1877" i="1"/>
  <c r="I1877" i="1" s="1"/>
  <c r="H1876" i="1"/>
  <c r="I1876" i="1" s="1"/>
  <c r="H1874" i="1"/>
  <c r="I1874" i="1" s="1"/>
  <c r="H1873" i="1"/>
  <c r="I1873" i="1" s="1"/>
  <c r="H1872" i="1"/>
  <c r="I1872" i="1" s="1"/>
  <c r="H1871" i="1"/>
  <c r="I1871" i="1" s="1"/>
  <c r="K1871" i="1" s="1"/>
  <c r="H1870" i="1"/>
  <c r="I1870" i="1" s="1"/>
  <c r="H1869" i="1"/>
  <c r="I1869" i="1" s="1"/>
  <c r="H1868" i="1"/>
  <c r="I1868" i="1" s="1"/>
  <c r="I1867" i="1"/>
  <c r="K1867" i="1" s="1"/>
  <c r="H1867" i="1"/>
  <c r="H1866" i="1"/>
  <c r="I1866" i="1" s="1"/>
  <c r="K1866" i="1" s="1"/>
  <c r="H1865" i="1"/>
  <c r="I1865" i="1" s="1"/>
  <c r="H1864" i="1"/>
  <c r="I1864" i="1" s="1"/>
  <c r="H1863" i="1"/>
  <c r="I1863" i="1" s="1"/>
  <c r="K1863" i="1" s="1"/>
  <c r="H1862" i="1"/>
  <c r="I1862" i="1" s="1"/>
  <c r="K1862" i="1" s="1"/>
  <c r="H1861" i="1"/>
  <c r="I1861" i="1" s="1"/>
  <c r="K1861" i="1" s="1"/>
  <c r="H1859" i="1"/>
  <c r="I1859" i="1" s="1"/>
  <c r="H1856" i="1"/>
  <c r="I1856" i="1" s="1"/>
  <c r="H1855" i="1"/>
  <c r="I1855" i="1" s="1"/>
  <c r="K1855" i="1" s="1"/>
  <c r="H1854" i="1"/>
  <c r="I1854" i="1" s="1"/>
  <c r="H1853" i="1"/>
  <c r="I1853" i="1" s="1"/>
  <c r="H1852" i="1"/>
  <c r="I1852" i="1" s="1"/>
  <c r="H1851" i="1"/>
  <c r="I1851" i="1" s="1"/>
  <c r="K1851" i="1" s="1"/>
  <c r="H1850" i="1"/>
  <c r="I1850" i="1" s="1"/>
  <c r="H1849" i="1"/>
  <c r="I1849" i="1" s="1"/>
  <c r="K1849" i="1" s="1"/>
  <c r="H1848" i="1"/>
  <c r="I1848" i="1" s="1"/>
  <c r="H1847" i="1"/>
  <c r="I1847" i="1" s="1"/>
  <c r="K1847" i="1" s="1"/>
  <c r="H1846" i="1"/>
  <c r="I1846" i="1" s="1"/>
  <c r="H1844" i="1"/>
  <c r="I1844" i="1" s="1"/>
  <c r="H1841" i="1"/>
  <c r="I1841" i="1" s="1"/>
  <c r="I1840" i="1"/>
  <c r="K1840" i="1" s="1"/>
  <c r="H1840" i="1"/>
  <c r="H1839" i="1"/>
  <c r="I1839" i="1" s="1"/>
  <c r="H1838" i="1"/>
  <c r="I1838" i="1" s="1"/>
  <c r="H1837" i="1"/>
  <c r="I1837" i="1" s="1"/>
  <c r="H1836" i="1"/>
  <c r="I1836" i="1" s="1"/>
  <c r="H1835" i="1"/>
  <c r="I1835" i="1" s="1"/>
  <c r="H1834" i="1"/>
  <c r="I1834" i="1" s="1"/>
  <c r="K1834" i="1" s="1"/>
  <c r="H1833" i="1"/>
  <c r="I1833" i="1" s="1"/>
  <c r="H1832" i="1"/>
  <c r="I1832" i="1" s="1"/>
  <c r="K1832" i="1" s="1"/>
  <c r="H1831" i="1"/>
  <c r="I1831" i="1" s="1"/>
  <c r="H1829" i="1"/>
  <c r="I1829" i="1" s="1"/>
  <c r="K1829" i="1" s="1"/>
  <c r="H1828" i="1"/>
  <c r="I1828" i="1" s="1"/>
  <c r="H1824" i="1"/>
  <c r="I1824" i="1" s="1"/>
  <c r="K1824" i="1" s="1"/>
  <c r="H1823" i="1"/>
  <c r="I1823" i="1" s="1"/>
  <c r="H1822" i="1"/>
  <c r="I1822" i="1" s="1"/>
  <c r="H1821" i="1"/>
  <c r="I1821" i="1" s="1"/>
  <c r="I1819" i="1"/>
  <c r="K1819" i="1" s="1"/>
  <c r="I1818" i="1" s="1"/>
  <c r="H1819" i="1"/>
  <c r="H1815" i="1"/>
  <c r="I1815" i="1" s="1"/>
  <c r="K1815" i="1" s="1"/>
  <c r="H1814" i="1"/>
  <c r="I1814" i="1" s="1"/>
  <c r="K1814" i="1" s="1"/>
  <c r="I1813" i="1" s="1"/>
  <c r="H1812" i="1"/>
  <c r="I1812" i="1" s="1"/>
  <c r="K1812" i="1" s="1"/>
  <c r="I1811" i="1"/>
  <c r="H1811" i="1"/>
  <c r="H1807" i="1"/>
  <c r="I1807" i="1" s="1"/>
  <c r="H1806" i="1"/>
  <c r="I1806" i="1" s="1"/>
  <c r="K1806" i="1" s="1"/>
  <c r="H1805" i="1"/>
  <c r="I1805" i="1" s="1"/>
  <c r="H1804" i="1"/>
  <c r="I1804" i="1" s="1"/>
  <c r="K1804" i="1" s="1"/>
  <c r="H1803" i="1"/>
  <c r="I1803" i="1" s="1"/>
  <c r="K1803" i="1" s="1"/>
  <c r="H1802" i="1"/>
  <c r="I1802" i="1" s="1"/>
  <c r="H1800" i="1"/>
  <c r="I1800" i="1" s="1"/>
  <c r="K1800" i="1" s="1"/>
  <c r="I1799" i="1"/>
  <c r="K1799" i="1" s="1"/>
  <c r="H1799" i="1"/>
  <c r="H1798" i="1"/>
  <c r="I1798" i="1" s="1"/>
  <c r="K1798" i="1" s="1"/>
  <c r="I1797" i="1"/>
  <c r="K1797" i="1" s="1"/>
  <c r="H1797" i="1"/>
  <c r="H1796" i="1"/>
  <c r="I1796" i="1" s="1"/>
  <c r="K1796" i="1" s="1"/>
  <c r="H1794" i="1"/>
  <c r="I1794" i="1" s="1"/>
  <c r="K1794" i="1" s="1"/>
  <c r="H1793" i="1"/>
  <c r="I1793" i="1" s="1"/>
  <c r="H1792" i="1"/>
  <c r="I1792" i="1" s="1"/>
  <c r="H1791" i="1"/>
  <c r="I1791" i="1" s="1"/>
  <c r="K1791" i="1" s="1"/>
  <c r="H1790" i="1"/>
  <c r="I1790" i="1" s="1"/>
  <c r="H1788" i="1"/>
  <c r="I1788" i="1" s="1"/>
  <c r="H1787" i="1"/>
  <c r="I1787" i="1" s="1"/>
  <c r="I1786" i="1"/>
  <c r="H1786" i="1"/>
  <c r="H1782" i="1"/>
  <c r="I1782" i="1" s="1"/>
  <c r="H1781" i="1"/>
  <c r="I1781" i="1" s="1"/>
  <c r="H1780" i="1"/>
  <c r="I1780" i="1" s="1"/>
  <c r="H1779" i="1"/>
  <c r="I1779" i="1" s="1"/>
  <c r="K1779" i="1" s="1"/>
  <c r="H1778" i="1"/>
  <c r="I1778" i="1" s="1"/>
  <c r="I1776" i="1"/>
  <c r="H1776" i="1"/>
  <c r="H1775" i="1"/>
  <c r="I1775" i="1" s="1"/>
  <c r="K1775" i="1" s="1"/>
  <c r="I1774" i="1"/>
  <c r="H1774" i="1"/>
  <c r="H1772" i="1"/>
  <c r="I1772" i="1" s="1"/>
  <c r="H1771" i="1"/>
  <c r="I1771" i="1" s="1"/>
  <c r="H1767" i="1"/>
  <c r="I1767" i="1" s="1"/>
  <c r="K1767" i="1" s="1"/>
  <c r="H1766" i="1"/>
  <c r="I1766" i="1" s="1"/>
  <c r="K1766" i="1" s="1"/>
  <c r="H1765" i="1"/>
  <c r="I1765" i="1" s="1"/>
  <c r="K1765" i="1" s="1"/>
  <c r="H1764" i="1"/>
  <c r="I1764" i="1" s="1"/>
  <c r="K1764" i="1" s="1"/>
  <c r="H1763" i="1"/>
  <c r="I1763" i="1" s="1"/>
  <c r="K1763" i="1" s="1"/>
  <c r="H1761" i="1"/>
  <c r="I1761" i="1" s="1"/>
  <c r="H1760" i="1"/>
  <c r="I1760" i="1" s="1"/>
  <c r="H1759" i="1"/>
  <c r="I1759" i="1" s="1"/>
  <c r="H1758" i="1"/>
  <c r="I1758" i="1" s="1"/>
  <c r="H1757" i="1"/>
  <c r="I1757" i="1" s="1"/>
  <c r="H1755" i="1"/>
  <c r="I1755" i="1" s="1"/>
  <c r="K1755" i="1" s="1"/>
  <c r="I1754" i="1" s="1"/>
  <c r="H1753" i="1"/>
  <c r="I1753" i="1" s="1"/>
  <c r="K1753" i="1" s="1"/>
  <c r="H1752" i="1"/>
  <c r="I1752" i="1" s="1"/>
  <c r="H1751" i="1"/>
  <c r="I1751" i="1" s="1"/>
  <c r="K1751" i="1" s="1"/>
  <c r="H1750" i="1"/>
  <c r="I1750" i="1" s="1"/>
  <c r="I1748" i="1"/>
  <c r="K1748" i="1" s="1"/>
  <c r="H1748" i="1"/>
  <c r="H1747" i="1"/>
  <c r="I1747" i="1" s="1"/>
  <c r="H1746" i="1"/>
  <c r="I1746" i="1" s="1"/>
  <c r="H1742" i="1"/>
  <c r="I1742" i="1" s="1"/>
  <c r="K1742" i="1" s="1"/>
  <c r="H1741" i="1"/>
  <c r="I1741" i="1" s="1"/>
  <c r="K1741" i="1" s="1"/>
  <c r="H1740" i="1"/>
  <c r="I1740" i="1" s="1"/>
  <c r="H1739" i="1"/>
  <c r="I1739" i="1" s="1"/>
  <c r="H1738" i="1"/>
  <c r="I1738" i="1" s="1"/>
  <c r="H1736" i="1"/>
  <c r="I1736" i="1" s="1"/>
  <c r="H1735" i="1"/>
  <c r="I1735" i="1" s="1"/>
  <c r="K1735" i="1" s="1"/>
  <c r="H1734" i="1"/>
  <c r="I1734" i="1" s="1"/>
  <c r="K1734" i="1" s="1"/>
  <c r="H1733" i="1"/>
  <c r="I1733" i="1" s="1"/>
  <c r="H1732" i="1"/>
  <c r="I1732" i="1" s="1"/>
  <c r="H1731" i="1"/>
  <c r="I1731" i="1" s="1"/>
  <c r="K1731" i="1" s="1"/>
  <c r="H1730" i="1"/>
  <c r="I1730" i="1" s="1"/>
  <c r="K1730" i="1" s="1"/>
  <c r="H1729" i="1"/>
  <c r="I1729" i="1" s="1"/>
  <c r="H1728" i="1"/>
  <c r="I1728" i="1" s="1"/>
  <c r="H1727" i="1"/>
  <c r="I1727" i="1" s="1"/>
  <c r="H1726" i="1"/>
  <c r="I1726" i="1" s="1"/>
  <c r="K1726" i="1" s="1"/>
  <c r="H1725" i="1"/>
  <c r="I1725" i="1" s="1"/>
  <c r="H1723" i="1"/>
  <c r="I1723" i="1" s="1"/>
  <c r="H1722" i="1"/>
  <c r="I1722" i="1" s="1"/>
  <c r="K1722" i="1" s="1"/>
  <c r="H1721" i="1"/>
  <c r="I1721" i="1" s="1"/>
  <c r="H1719" i="1"/>
  <c r="I1719" i="1" s="1"/>
  <c r="H1718" i="1"/>
  <c r="I1718" i="1" s="1"/>
  <c r="H1717" i="1"/>
  <c r="I1717" i="1" s="1"/>
  <c r="K1717" i="1" s="1"/>
  <c r="H1715" i="1"/>
  <c r="I1715" i="1" s="1"/>
  <c r="H1712" i="1"/>
  <c r="I1712" i="1" s="1"/>
  <c r="H1711" i="1"/>
  <c r="I1711" i="1" s="1"/>
  <c r="H1710" i="1"/>
  <c r="I1710" i="1" s="1"/>
  <c r="K1710" i="1" s="1"/>
  <c r="H1709" i="1"/>
  <c r="I1709" i="1" s="1"/>
  <c r="H1708" i="1"/>
  <c r="I1708" i="1" s="1"/>
  <c r="K1708" i="1" s="1"/>
  <c r="H1707" i="1"/>
  <c r="I1707" i="1" s="1"/>
  <c r="K1707" i="1" s="1"/>
  <c r="I1706" i="1" s="1"/>
  <c r="H1705" i="1"/>
  <c r="I1705" i="1" s="1"/>
  <c r="K1705" i="1" s="1"/>
  <c r="H1704" i="1"/>
  <c r="I1704" i="1" s="1"/>
  <c r="H1703" i="1"/>
  <c r="I1703" i="1" s="1"/>
  <c r="H1701" i="1"/>
  <c r="I1701" i="1" s="1"/>
  <c r="H1698" i="1"/>
  <c r="I1698" i="1" s="1"/>
  <c r="H1697" i="1"/>
  <c r="I1697" i="1" s="1"/>
  <c r="H1696" i="1"/>
  <c r="I1696" i="1" s="1"/>
  <c r="K1696" i="1" s="1"/>
  <c r="H1695" i="1"/>
  <c r="I1695" i="1" s="1"/>
  <c r="H1693" i="1"/>
  <c r="I1693" i="1" s="1"/>
  <c r="H1692" i="1"/>
  <c r="I1692" i="1" s="1"/>
  <c r="I1691" i="1"/>
  <c r="K1691" i="1" s="1"/>
  <c r="H1691" i="1"/>
  <c r="I1689" i="1"/>
  <c r="H1689" i="1"/>
  <c r="H1688" i="1"/>
  <c r="I1688" i="1" s="1"/>
  <c r="K1688" i="1" s="1"/>
  <c r="H1686" i="1"/>
  <c r="I1686" i="1" s="1"/>
  <c r="H1685" i="1"/>
  <c r="I1685" i="1" s="1"/>
  <c r="H1682" i="1"/>
  <c r="I1682" i="1" s="1"/>
  <c r="H1680" i="1"/>
  <c r="I1680" i="1" s="1"/>
  <c r="K1680" i="1" s="1"/>
  <c r="H1679" i="1"/>
  <c r="I1679" i="1" s="1"/>
  <c r="H1678" i="1"/>
  <c r="I1678" i="1" s="1"/>
  <c r="H1677" i="1"/>
  <c r="I1677" i="1" s="1"/>
  <c r="K1677" i="1" s="1"/>
  <c r="H1676" i="1"/>
  <c r="I1676" i="1" s="1"/>
  <c r="H1674" i="1"/>
  <c r="I1674" i="1" s="1"/>
  <c r="K1674" i="1" s="1"/>
  <c r="H1673" i="1"/>
  <c r="I1673" i="1" s="1"/>
  <c r="I1672" i="1"/>
  <c r="K1672" i="1" s="1"/>
  <c r="H1672" i="1"/>
  <c r="H1671" i="1"/>
  <c r="I1671" i="1" s="1"/>
  <c r="K1671" i="1" s="1"/>
  <c r="H1670" i="1"/>
  <c r="I1670" i="1" s="1"/>
  <c r="H1669" i="1"/>
  <c r="I1669" i="1" s="1"/>
  <c r="H1668" i="1"/>
  <c r="I1668" i="1" s="1"/>
  <c r="H1667" i="1"/>
  <c r="I1667" i="1" s="1"/>
  <c r="H1666" i="1"/>
  <c r="I1666" i="1" s="1"/>
  <c r="K1666" i="1" s="1"/>
  <c r="H1665" i="1"/>
  <c r="I1665" i="1" s="1"/>
  <c r="H1664" i="1"/>
  <c r="I1664" i="1" s="1"/>
  <c r="K1664" i="1" s="1"/>
  <c r="H1663" i="1"/>
  <c r="I1663" i="1" s="1"/>
  <c r="K1663" i="1" s="1"/>
  <c r="H1662" i="1"/>
  <c r="I1662" i="1" s="1"/>
  <c r="K1662" i="1" s="1"/>
  <c r="H1661" i="1"/>
  <c r="I1661" i="1" s="1"/>
  <c r="H1660" i="1"/>
  <c r="I1660" i="1" s="1"/>
  <c r="K1660" i="1" s="1"/>
  <c r="H1659" i="1"/>
  <c r="I1659" i="1" s="1"/>
  <c r="H1655" i="1"/>
  <c r="I1655" i="1" s="1"/>
  <c r="K1655" i="1" s="1"/>
  <c r="H1654" i="1"/>
  <c r="I1654" i="1" s="1"/>
  <c r="H1653" i="1"/>
  <c r="I1653" i="1" s="1"/>
  <c r="K1653" i="1" s="1"/>
  <c r="I1652" i="1" s="1"/>
  <c r="H1651" i="1"/>
  <c r="I1651" i="1" s="1"/>
  <c r="H1650" i="1"/>
  <c r="I1650" i="1" s="1"/>
  <c r="H1649" i="1"/>
  <c r="I1649" i="1" s="1"/>
  <c r="I1648" i="1"/>
  <c r="K1648" i="1" s="1"/>
  <c r="I1647" i="1" s="1"/>
  <c r="H1648" i="1"/>
  <c r="I1646" i="1"/>
  <c r="H1646" i="1"/>
  <c r="H1645" i="1"/>
  <c r="I1645" i="1" s="1"/>
  <c r="K1645" i="1" s="1"/>
  <c r="H1644" i="1"/>
  <c r="I1644" i="1" s="1"/>
  <c r="H1642" i="1"/>
  <c r="I1642" i="1" s="1"/>
  <c r="H1640" i="1"/>
  <c r="I1640" i="1" s="1"/>
  <c r="H1639" i="1"/>
  <c r="I1639" i="1" s="1"/>
  <c r="K1639" i="1" s="1"/>
  <c r="H1637" i="1"/>
  <c r="I1637" i="1" s="1"/>
  <c r="I1636" i="1"/>
  <c r="H1636" i="1"/>
  <c r="I1634" i="1"/>
  <c r="K1634" i="1" s="1"/>
  <c r="H1634" i="1"/>
  <c r="H1633" i="1"/>
  <c r="I1633" i="1" s="1"/>
  <c r="H1632" i="1"/>
  <c r="I1632" i="1" s="1"/>
  <c r="H1630" i="1"/>
  <c r="I1630" i="1" s="1"/>
  <c r="K1630" i="1" s="1"/>
  <c r="I1629" i="1" s="1"/>
  <c r="H1628" i="1"/>
  <c r="I1628" i="1" s="1"/>
  <c r="H1627" i="1"/>
  <c r="I1627" i="1" s="1"/>
  <c r="H1625" i="1"/>
  <c r="I1625" i="1" s="1"/>
  <c r="I1624" i="1"/>
  <c r="K1624" i="1" s="1"/>
  <c r="H1624" i="1"/>
  <c r="I1622" i="1"/>
  <c r="H1622" i="1"/>
  <c r="H1621" i="1"/>
  <c r="I1621" i="1" s="1"/>
  <c r="K1621" i="1" s="1"/>
  <c r="H1619" i="1"/>
  <c r="I1619" i="1" s="1"/>
  <c r="K1619" i="1" s="1"/>
  <c r="H1618" i="1"/>
  <c r="I1618" i="1" s="1"/>
  <c r="H1616" i="1"/>
  <c r="I1616" i="1" s="1"/>
  <c r="I1614" i="1"/>
  <c r="H1614" i="1"/>
  <c r="H1612" i="1"/>
  <c r="I1612" i="1" s="1"/>
  <c r="H1611" i="1"/>
  <c r="I1611" i="1" s="1"/>
  <c r="I1609" i="1"/>
  <c r="K1609" i="1" s="1"/>
  <c r="H1609" i="1"/>
  <c r="I1608" i="1"/>
  <c r="H1608" i="1"/>
  <c r="H1606" i="1"/>
  <c r="I1606" i="1" s="1"/>
  <c r="K1606" i="1" s="1"/>
  <c r="H1605" i="1"/>
  <c r="I1605" i="1" s="1"/>
  <c r="K1605" i="1" s="1"/>
  <c r="H1604" i="1"/>
  <c r="I1604" i="1" s="1"/>
  <c r="H1603" i="1"/>
  <c r="I1603" i="1" s="1"/>
  <c r="H1599" i="1"/>
  <c r="I1599" i="1" s="1"/>
  <c r="H1598" i="1"/>
  <c r="I1598" i="1" s="1"/>
  <c r="H1597" i="1"/>
  <c r="I1597" i="1" s="1"/>
  <c r="K1597" i="1" s="1"/>
  <c r="H1596" i="1"/>
  <c r="I1596" i="1" s="1"/>
  <c r="K1596" i="1" s="1"/>
  <c r="H1595" i="1"/>
  <c r="I1595" i="1" s="1"/>
  <c r="H1594" i="1"/>
  <c r="I1594" i="1" s="1"/>
  <c r="H1593" i="1"/>
  <c r="I1593" i="1" s="1"/>
  <c r="K1593" i="1" s="1"/>
  <c r="H1592" i="1"/>
  <c r="I1592" i="1" s="1"/>
  <c r="H1591" i="1"/>
  <c r="I1591" i="1" s="1"/>
  <c r="H1590" i="1"/>
  <c r="I1590" i="1" s="1"/>
  <c r="I1589" i="1"/>
  <c r="H1589" i="1"/>
  <c r="H1587" i="1"/>
  <c r="I1587" i="1" s="1"/>
  <c r="H1586" i="1"/>
  <c r="I1586" i="1" s="1"/>
  <c r="H1585" i="1"/>
  <c r="I1585" i="1" s="1"/>
  <c r="K1585" i="1" s="1"/>
  <c r="H1584" i="1"/>
  <c r="I1584" i="1" s="1"/>
  <c r="I1583" i="1"/>
  <c r="H1583" i="1"/>
  <c r="H1582" i="1"/>
  <c r="I1582" i="1" s="1"/>
  <c r="H1581" i="1"/>
  <c r="I1581" i="1" s="1"/>
  <c r="H1580" i="1"/>
  <c r="I1580" i="1" s="1"/>
  <c r="H1577" i="1"/>
  <c r="I1577" i="1" s="1"/>
  <c r="H1576" i="1"/>
  <c r="I1576" i="1" s="1"/>
  <c r="K1576" i="1" s="1"/>
  <c r="H1574" i="1"/>
  <c r="I1574" i="1" s="1"/>
  <c r="K1574" i="1" s="1"/>
  <c r="H1573" i="1"/>
  <c r="I1573" i="1" s="1"/>
  <c r="H1572" i="1"/>
  <c r="I1572" i="1" s="1"/>
  <c r="H1570" i="1"/>
  <c r="I1570" i="1" s="1"/>
  <c r="K1570" i="1" s="1"/>
  <c r="H1569" i="1"/>
  <c r="I1569" i="1" s="1"/>
  <c r="H1568" i="1"/>
  <c r="I1568" i="1" s="1"/>
  <c r="H1567" i="1"/>
  <c r="I1567" i="1" s="1"/>
  <c r="K1567" i="1" s="1"/>
  <c r="H1566" i="1"/>
  <c r="I1566" i="1" s="1"/>
  <c r="K1566" i="1" s="1"/>
  <c r="H1565" i="1"/>
  <c r="I1565" i="1" s="1"/>
  <c r="K1565" i="1" s="1"/>
  <c r="I1564" i="1"/>
  <c r="H1564" i="1"/>
  <c r="H1563" i="1"/>
  <c r="I1563" i="1" s="1"/>
  <c r="K1563" i="1" s="1"/>
  <c r="I1562" i="1"/>
  <c r="H1562" i="1"/>
  <c r="H1560" i="1"/>
  <c r="I1560" i="1" s="1"/>
  <c r="H1559" i="1"/>
  <c r="I1559" i="1" s="1"/>
  <c r="K1559" i="1" s="1"/>
  <c r="I1558" i="1"/>
  <c r="H1558" i="1"/>
  <c r="H1557" i="1"/>
  <c r="I1557" i="1" s="1"/>
  <c r="H1556" i="1"/>
  <c r="I1556" i="1" s="1"/>
  <c r="K1556" i="1" s="1"/>
  <c r="I1555" i="1" s="1"/>
  <c r="H1554" i="1"/>
  <c r="I1554" i="1" s="1"/>
  <c r="H1553" i="1"/>
  <c r="I1553" i="1" s="1"/>
  <c r="H1552" i="1"/>
  <c r="I1552" i="1" s="1"/>
  <c r="I1551" i="1"/>
  <c r="K1551" i="1" s="1"/>
  <c r="I1550" i="1" s="1"/>
  <c r="H1551" i="1"/>
  <c r="H1549" i="1"/>
  <c r="I1549" i="1" s="1"/>
  <c r="H1548" i="1"/>
  <c r="I1548" i="1" s="1"/>
  <c r="H1547" i="1"/>
  <c r="I1547" i="1" s="1"/>
  <c r="K1547" i="1" s="1"/>
  <c r="H1545" i="1"/>
  <c r="I1545" i="1" s="1"/>
  <c r="H1544" i="1"/>
  <c r="I1544" i="1" s="1"/>
  <c r="K1544" i="1" s="1"/>
  <c r="H1543" i="1"/>
  <c r="I1543" i="1" s="1"/>
  <c r="K1543" i="1" s="1"/>
  <c r="H1542" i="1"/>
  <c r="I1542" i="1" s="1"/>
  <c r="K1542" i="1" s="1"/>
  <c r="H1541" i="1"/>
  <c r="I1541" i="1" s="1"/>
  <c r="H1537" i="1"/>
  <c r="I1537" i="1" s="1"/>
  <c r="H1536" i="1"/>
  <c r="I1536" i="1" s="1"/>
  <c r="K1536" i="1" s="1"/>
  <c r="H1535" i="1"/>
  <c r="I1535" i="1" s="1"/>
  <c r="H1534" i="1"/>
  <c r="I1534" i="1" s="1"/>
  <c r="H1533" i="1"/>
  <c r="I1533" i="1" s="1"/>
  <c r="H1532" i="1"/>
  <c r="I1532" i="1" s="1"/>
  <c r="K1532" i="1" s="1"/>
  <c r="H1531" i="1"/>
  <c r="I1531" i="1" s="1"/>
  <c r="K1531" i="1" s="1"/>
  <c r="H1530" i="1"/>
  <c r="I1530" i="1" s="1"/>
  <c r="H1529" i="1"/>
  <c r="I1529" i="1" s="1"/>
  <c r="H1528" i="1"/>
  <c r="I1528" i="1" s="1"/>
  <c r="H1526" i="1"/>
  <c r="I1526" i="1" s="1"/>
  <c r="H1525" i="1"/>
  <c r="I1525" i="1" s="1"/>
  <c r="I1520" i="1"/>
  <c r="H1520" i="1"/>
  <c r="I1519" i="1"/>
  <c r="K1519" i="1" s="1"/>
  <c r="H1519" i="1"/>
  <c r="I1518" i="1"/>
  <c r="H1518" i="1"/>
  <c r="I1517" i="1"/>
  <c r="K1517" i="1" s="1"/>
  <c r="H1517" i="1"/>
  <c r="I1516" i="1"/>
  <c r="H1516" i="1"/>
  <c r="I1515" i="1"/>
  <c r="K1515" i="1" s="1"/>
  <c r="H1515" i="1"/>
  <c r="I1514" i="1"/>
  <c r="H1514" i="1"/>
  <c r="I1513" i="1"/>
  <c r="K1513" i="1" s="1"/>
  <c r="H1513" i="1"/>
  <c r="I1512" i="1"/>
  <c r="H1512" i="1"/>
  <c r="H1508" i="1"/>
  <c r="I1508" i="1" s="1"/>
  <c r="K1508" i="1" s="1"/>
  <c r="H1507" i="1"/>
  <c r="I1507" i="1" s="1"/>
  <c r="H1505" i="1"/>
  <c r="I1505" i="1" s="1"/>
  <c r="K1505" i="1" s="1"/>
  <c r="H1504" i="1"/>
  <c r="I1504" i="1" s="1"/>
  <c r="K1504" i="1" s="1"/>
  <c r="H1503" i="1"/>
  <c r="I1503" i="1" s="1"/>
  <c r="H1502" i="1"/>
  <c r="I1502" i="1" s="1"/>
  <c r="K1502" i="1" s="1"/>
  <c r="H1501" i="1"/>
  <c r="I1501" i="1" s="1"/>
  <c r="I1500" i="1"/>
  <c r="K1500" i="1" s="1"/>
  <c r="H1500" i="1"/>
  <c r="H1499" i="1"/>
  <c r="I1499" i="1" s="1"/>
  <c r="K1499" i="1" s="1"/>
  <c r="H1498" i="1"/>
  <c r="I1498" i="1" s="1"/>
  <c r="K1498" i="1" s="1"/>
  <c r="H1497" i="1"/>
  <c r="I1497" i="1" s="1"/>
  <c r="H1495" i="1"/>
  <c r="I1495" i="1" s="1"/>
  <c r="H1494" i="1"/>
  <c r="I1494" i="1" s="1"/>
  <c r="H1493" i="1"/>
  <c r="I1493" i="1" s="1"/>
  <c r="H1492" i="1"/>
  <c r="I1492" i="1" s="1"/>
  <c r="H1491" i="1"/>
  <c r="I1491" i="1" s="1"/>
  <c r="H1490" i="1"/>
  <c r="I1490" i="1" s="1"/>
  <c r="H1489" i="1"/>
  <c r="I1489" i="1" s="1"/>
  <c r="H1488" i="1"/>
  <c r="I1488" i="1" s="1"/>
  <c r="H1487" i="1"/>
  <c r="I1487" i="1" s="1"/>
  <c r="I1486" i="1"/>
  <c r="H1486" i="1"/>
  <c r="H1485" i="1"/>
  <c r="I1485" i="1" s="1"/>
  <c r="H1484" i="1"/>
  <c r="I1484" i="1" s="1"/>
  <c r="H1483" i="1"/>
  <c r="I1483" i="1" s="1"/>
  <c r="H1482" i="1"/>
  <c r="I1482" i="1" s="1"/>
  <c r="K1482" i="1" s="1"/>
  <c r="H1480" i="1"/>
  <c r="I1480" i="1" s="1"/>
  <c r="H1477" i="1"/>
  <c r="I1477" i="1" s="1"/>
  <c r="H1476" i="1"/>
  <c r="I1476" i="1" s="1"/>
  <c r="H1475" i="1"/>
  <c r="I1475" i="1" s="1"/>
  <c r="H1474" i="1"/>
  <c r="I1474" i="1" s="1"/>
  <c r="K1474" i="1" s="1"/>
  <c r="H1473" i="1"/>
  <c r="I1473" i="1" s="1"/>
  <c r="H1472" i="1"/>
  <c r="I1472" i="1" s="1"/>
  <c r="H1471" i="1"/>
  <c r="I1471" i="1" s="1"/>
  <c r="H1470" i="1"/>
  <c r="I1470" i="1" s="1"/>
  <c r="K1470" i="1" s="1"/>
  <c r="H1469" i="1"/>
  <c r="I1469" i="1" s="1"/>
  <c r="H1468" i="1"/>
  <c r="I1468" i="1" s="1"/>
  <c r="H1467" i="1"/>
  <c r="I1467" i="1" s="1"/>
  <c r="H1465" i="1"/>
  <c r="I1465" i="1" s="1"/>
  <c r="H1462" i="1"/>
  <c r="I1462" i="1" s="1"/>
  <c r="I1461" i="1"/>
  <c r="H1461" i="1"/>
  <c r="H1460" i="1"/>
  <c r="I1460" i="1" s="1"/>
  <c r="H1459" i="1"/>
  <c r="I1459" i="1" s="1"/>
  <c r="H1458" i="1"/>
  <c r="I1458" i="1" s="1"/>
  <c r="H1457" i="1"/>
  <c r="I1457" i="1" s="1"/>
  <c r="H1456" i="1"/>
  <c r="I1456" i="1" s="1"/>
  <c r="H1455" i="1"/>
  <c r="I1455" i="1" s="1"/>
  <c r="H1454" i="1"/>
  <c r="I1454" i="1" s="1"/>
  <c r="H1453" i="1"/>
  <c r="I1453" i="1" s="1"/>
  <c r="K1453" i="1" s="1"/>
  <c r="H1452" i="1"/>
  <c r="I1452" i="1" s="1"/>
  <c r="K1452" i="1" s="1"/>
  <c r="H1450" i="1"/>
  <c r="I1450" i="1" s="1"/>
  <c r="H1449" i="1"/>
  <c r="I1449" i="1" s="1"/>
  <c r="H1445" i="1"/>
  <c r="I1445" i="1" s="1"/>
  <c r="H1444" i="1"/>
  <c r="I1444" i="1" s="1"/>
  <c r="H1443" i="1"/>
  <c r="I1443" i="1" s="1"/>
  <c r="H1442" i="1"/>
  <c r="I1442" i="1" s="1"/>
  <c r="I1440" i="1"/>
  <c r="H1440" i="1"/>
  <c r="H1436" i="1"/>
  <c r="I1436" i="1" s="1"/>
  <c r="H1435" i="1"/>
  <c r="I1435" i="1" s="1"/>
  <c r="H1433" i="1"/>
  <c r="I1433" i="1" s="1"/>
  <c r="H1432" i="1"/>
  <c r="I1432" i="1" s="1"/>
  <c r="H1428" i="1"/>
  <c r="I1428" i="1" s="1"/>
  <c r="H1427" i="1"/>
  <c r="I1427" i="1" s="1"/>
  <c r="H1426" i="1"/>
  <c r="I1426" i="1" s="1"/>
  <c r="H1425" i="1"/>
  <c r="I1425" i="1" s="1"/>
  <c r="K1425" i="1" s="1"/>
  <c r="H1424" i="1"/>
  <c r="I1424" i="1" s="1"/>
  <c r="K1424" i="1" s="1"/>
  <c r="H1423" i="1"/>
  <c r="I1423" i="1" s="1"/>
  <c r="H1421" i="1"/>
  <c r="I1421" i="1" s="1"/>
  <c r="H1420" i="1"/>
  <c r="I1420" i="1" s="1"/>
  <c r="H1419" i="1"/>
  <c r="I1419" i="1" s="1"/>
  <c r="K1419" i="1" s="1"/>
  <c r="I1418" i="1"/>
  <c r="H1418" i="1"/>
  <c r="H1417" i="1"/>
  <c r="I1417" i="1" s="1"/>
  <c r="H1415" i="1"/>
  <c r="I1415" i="1" s="1"/>
  <c r="H1414" i="1"/>
  <c r="I1414" i="1" s="1"/>
  <c r="H1413" i="1"/>
  <c r="I1413" i="1" s="1"/>
  <c r="H1412" i="1"/>
  <c r="I1412" i="1" s="1"/>
  <c r="K1412" i="1" s="1"/>
  <c r="H1411" i="1"/>
  <c r="I1411" i="1" s="1"/>
  <c r="H1409" i="1"/>
  <c r="I1409" i="1" s="1"/>
  <c r="K1409" i="1" s="1"/>
  <c r="H1408" i="1"/>
  <c r="I1408" i="1" s="1"/>
  <c r="I1407" i="1"/>
  <c r="K1407" i="1" s="1"/>
  <c r="H1407" i="1"/>
  <c r="H1403" i="1"/>
  <c r="I1403" i="1" s="1"/>
  <c r="H1402" i="1"/>
  <c r="I1402" i="1" s="1"/>
  <c r="K1402" i="1" s="1"/>
  <c r="H1401" i="1"/>
  <c r="I1401" i="1" s="1"/>
  <c r="H1400" i="1"/>
  <c r="I1400" i="1" s="1"/>
  <c r="H1399" i="1"/>
  <c r="I1399" i="1" s="1"/>
  <c r="H1397" i="1"/>
  <c r="I1397" i="1" s="1"/>
  <c r="H1396" i="1"/>
  <c r="I1396" i="1" s="1"/>
  <c r="H1395" i="1"/>
  <c r="I1395" i="1" s="1"/>
  <c r="K1395" i="1" s="1"/>
  <c r="I1394" i="1" s="1"/>
  <c r="I1393" i="1"/>
  <c r="H1393" i="1"/>
  <c r="H1392" i="1"/>
  <c r="I1392" i="1" s="1"/>
  <c r="H1388" i="1"/>
  <c r="I1388" i="1" s="1"/>
  <c r="I1387" i="1"/>
  <c r="H1387" i="1"/>
  <c r="H1386" i="1"/>
  <c r="I1386" i="1" s="1"/>
  <c r="H1385" i="1"/>
  <c r="I1385" i="1" s="1"/>
  <c r="K1385" i="1" s="1"/>
  <c r="H1384" i="1"/>
  <c r="I1384" i="1" s="1"/>
  <c r="H1382" i="1"/>
  <c r="I1382" i="1" s="1"/>
  <c r="H1381" i="1"/>
  <c r="I1381" i="1" s="1"/>
  <c r="K1381" i="1" s="1"/>
  <c r="H1380" i="1"/>
  <c r="I1380" i="1" s="1"/>
  <c r="H1379" i="1"/>
  <c r="I1379" i="1" s="1"/>
  <c r="H1378" i="1"/>
  <c r="I1378" i="1" s="1"/>
  <c r="I1376" i="1"/>
  <c r="K1376" i="1" s="1"/>
  <c r="I1375" i="1" s="1"/>
  <c r="H1376" i="1"/>
  <c r="H1374" i="1"/>
  <c r="I1374" i="1" s="1"/>
  <c r="H1373" i="1"/>
  <c r="I1373" i="1" s="1"/>
  <c r="I1372" i="1"/>
  <c r="K1372" i="1" s="1"/>
  <c r="H1372" i="1"/>
  <c r="H1371" i="1"/>
  <c r="I1371" i="1" s="1"/>
  <c r="H1369" i="1"/>
  <c r="I1369" i="1" s="1"/>
  <c r="K1369" i="1" s="1"/>
  <c r="H1368" i="1"/>
  <c r="I1368" i="1" s="1"/>
  <c r="K1368" i="1" s="1"/>
  <c r="H1367" i="1"/>
  <c r="I1367" i="1" s="1"/>
  <c r="H1363" i="1"/>
  <c r="I1363" i="1" s="1"/>
  <c r="I1362" i="1"/>
  <c r="H1362" i="1"/>
  <c r="H1361" i="1"/>
  <c r="I1361" i="1" s="1"/>
  <c r="H1360" i="1"/>
  <c r="I1360" i="1" s="1"/>
  <c r="K1360" i="1" s="1"/>
  <c r="H1359" i="1"/>
  <c r="I1359" i="1" s="1"/>
  <c r="H1357" i="1"/>
  <c r="I1357" i="1" s="1"/>
  <c r="H1356" i="1"/>
  <c r="I1356" i="1" s="1"/>
  <c r="I1355" i="1"/>
  <c r="K1355" i="1" s="1"/>
  <c r="H1355" i="1"/>
  <c r="H1354" i="1"/>
  <c r="I1354" i="1" s="1"/>
  <c r="H1353" i="1"/>
  <c r="I1353" i="1" s="1"/>
  <c r="H1352" i="1"/>
  <c r="I1352" i="1" s="1"/>
  <c r="H1351" i="1"/>
  <c r="I1351" i="1" s="1"/>
  <c r="K1351" i="1" s="1"/>
  <c r="H1350" i="1"/>
  <c r="I1350" i="1" s="1"/>
  <c r="H1349" i="1"/>
  <c r="I1349" i="1" s="1"/>
  <c r="K1349" i="1" s="1"/>
  <c r="H1348" i="1"/>
  <c r="I1348" i="1" s="1"/>
  <c r="I1347" i="1"/>
  <c r="H1347" i="1"/>
  <c r="H1346" i="1"/>
  <c r="I1346" i="1" s="1"/>
  <c r="H1344" i="1"/>
  <c r="I1344" i="1" s="1"/>
  <c r="H1343" i="1"/>
  <c r="I1343" i="1" s="1"/>
  <c r="H1342" i="1"/>
  <c r="I1342" i="1" s="1"/>
  <c r="I1340" i="1"/>
  <c r="H1340" i="1"/>
  <c r="I1339" i="1"/>
  <c r="H1339" i="1"/>
  <c r="I1338" i="1"/>
  <c r="H1338" i="1"/>
  <c r="I1336" i="1"/>
  <c r="H1336" i="1"/>
  <c r="I1333" i="1"/>
  <c r="H1333" i="1"/>
  <c r="H1332" i="1"/>
  <c r="I1332" i="1" s="1"/>
  <c r="K1332" i="1" s="1"/>
  <c r="H1331" i="1"/>
  <c r="I1331" i="1" s="1"/>
  <c r="H1330" i="1"/>
  <c r="I1330" i="1" s="1"/>
  <c r="H1329" i="1"/>
  <c r="I1329" i="1" s="1"/>
  <c r="H1328" i="1"/>
  <c r="I1328" i="1" s="1"/>
  <c r="K1328" i="1" s="1"/>
  <c r="H1326" i="1"/>
  <c r="I1326" i="1" s="1"/>
  <c r="K1326" i="1" s="1"/>
  <c r="H1325" i="1"/>
  <c r="I1325" i="1" s="1"/>
  <c r="H1324" i="1"/>
  <c r="I1324" i="1" s="1"/>
  <c r="K1324" i="1" s="1"/>
  <c r="I1322" i="1"/>
  <c r="H1322" i="1"/>
  <c r="H1319" i="1"/>
  <c r="I1319" i="1" s="1"/>
  <c r="H1318" i="1"/>
  <c r="I1318" i="1" s="1"/>
  <c r="K1318" i="1" s="1"/>
  <c r="H1317" i="1"/>
  <c r="I1317" i="1" s="1"/>
  <c r="H1316" i="1"/>
  <c r="I1316" i="1" s="1"/>
  <c r="H1314" i="1"/>
  <c r="I1314" i="1" s="1"/>
  <c r="K1314" i="1" s="1"/>
  <c r="I1313" i="1"/>
  <c r="H1313" i="1"/>
  <c r="H1312" i="1"/>
  <c r="I1312" i="1" s="1"/>
  <c r="K1312" i="1" s="1"/>
  <c r="H1310" i="1"/>
  <c r="I1310" i="1" s="1"/>
  <c r="H1309" i="1"/>
  <c r="I1309" i="1" s="1"/>
  <c r="H1307" i="1"/>
  <c r="I1307" i="1" s="1"/>
  <c r="K1307" i="1" s="1"/>
  <c r="H1306" i="1"/>
  <c r="I1306" i="1" s="1"/>
  <c r="H1303" i="1"/>
  <c r="I1303" i="1" s="1"/>
  <c r="H1301" i="1"/>
  <c r="I1301" i="1" s="1"/>
  <c r="H1300" i="1"/>
  <c r="I1300" i="1" s="1"/>
  <c r="K1300" i="1" s="1"/>
  <c r="H1299" i="1"/>
  <c r="I1299" i="1" s="1"/>
  <c r="H1298" i="1"/>
  <c r="I1298" i="1" s="1"/>
  <c r="H1297" i="1"/>
  <c r="I1297" i="1" s="1"/>
  <c r="H1295" i="1"/>
  <c r="I1295" i="1" s="1"/>
  <c r="K1295" i="1" s="1"/>
  <c r="H1294" i="1"/>
  <c r="I1294" i="1" s="1"/>
  <c r="I1293" i="1"/>
  <c r="H1293" i="1"/>
  <c r="H1292" i="1"/>
  <c r="I1292" i="1" s="1"/>
  <c r="H1291" i="1"/>
  <c r="I1291" i="1" s="1"/>
  <c r="H1290" i="1"/>
  <c r="I1290" i="1" s="1"/>
  <c r="H1289" i="1"/>
  <c r="I1289" i="1" s="1"/>
  <c r="K1289" i="1" s="1"/>
  <c r="H1288" i="1"/>
  <c r="I1288" i="1" s="1"/>
  <c r="H1287" i="1"/>
  <c r="I1287" i="1" s="1"/>
  <c r="H1286" i="1"/>
  <c r="I1286" i="1" s="1"/>
  <c r="I1285" i="1"/>
  <c r="H1285" i="1"/>
  <c r="H1284" i="1"/>
  <c r="I1284" i="1" s="1"/>
  <c r="H1283" i="1"/>
  <c r="I1283" i="1" s="1"/>
  <c r="H1282" i="1"/>
  <c r="I1282" i="1" s="1"/>
  <c r="K1282" i="1" s="1"/>
  <c r="H1281" i="1"/>
  <c r="I1281" i="1" s="1"/>
  <c r="K1281" i="1" s="1"/>
  <c r="H1280" i="1"/>
  <c r="I1280" i="1" s="1"/>
  <c r="H1276" i="1"/>
  <c r="I1276" i="1" s="1"/>
  <c r="K1276" i="1" s="1"/>
  <c r="H1275" i="1"/>
  <c r="I1275" i="1" s="1"/>
  <c r="H1274" i="1"/>
  <c r="I1274" i="1" s="1"/>
  <c r="H1272" i="1"/>
  <c r="I1272" i="1" s="1"/>
  <c r="K1272" i="1" s="1"/>
  <c r="H1271" i="1"/>
  <c r="I1271" i="1" s="1"/>
  <c r="K1271" i="1" s="1"/>
  <c r="H1270" i="1"/>
  <c r="I1270" i="1" s="1"/>
  <c r="K1270" i="1" s="1"/>
  <c r="I1269" i="1"/>
  <c r="H1269" i="1"/>
  <c r="H1267" i="1"/>
  <c r="I1267" i="1" s="1"/>
  <c r="H1266" i="1"/>
  <c r="I1266" i="1" s="1"/>
  <c r="I1265" i="1"/>
  <c r="H1265" i="1"/>
  <c r="H1263" i="1"/>
  <c r="I1263" i="1" s="1"/>
  <c r="K1263" i="1" s="1"/>
  <c r="I1262" i="1" s="1"/>
  <c r="H1261" i="1"/>
  <c r="I1261" i="1" s="1"/>
  <c r="H1260" i="1"/>
  <c r="I1260" i="1" s="1"/>
  <c r="H1258" i="1"/>
  <c r="I1258" i="1" s="1"/>
  <c r="H1257" i="1"/>
  <c r="I1257" i="1" s="1"/>
  <c r="K1257" i="1" s="1"/>
  <c r="H1255" i="1"/>
  <c r="I1255" i="1" s="1"/>
  <c r="H1254" i="1"/>
  <c r="I1254" i="1" s="1"/>
  <c r="H1253" i="1"/>
  <c r="I1253" i="1" s="1"/>
  <c r="H1251" i="1"/>
  <c r="I1251" i="1" s="1"/>
  <c r="K1251" i="1" s="1"/>
  <c r="I1250" i="1" s="1"/>
  <c r="H1249" i="1"/>
  <c r="I1249" i="1" s="1"/>
  <c r="H1248" i="1"/>
  <c r="I1248" i="1" s="1"/>
  <c r="H1246" i="1"/>
  <c r="I1246" i="1" s="1"/>
  <c r="H1245" i="1"/>
  <c r="I1245" i="1" s="1"/>
  <c r="K1245" i="1" s="1"/>
  <c r="H1243" i="1"/>
  <c r="I1243" i="1" s="1"/>
  <c r="H1242" i="1"/>
  <c r="I1242" i="1" s="1"/>
  <c r="H1240" i="1"/>
  <c r="I1240" i="1" s="1"/>
  <c r="H1239" i="1"/>
  <c r="I1239" i="1" s="1"/>
  <c r="K1239" i="1" s="1"/>
  <c r="H1237" i="1"/>
  <c r="I1237" i="1" s="1"/>
  <c r="H1235" i="1"/>
  <c r="I1235" i="1" s="1"/>
  <c r="H1233" i="1"/>
  <c r="I1233" i="1" s="1"/>
  <c r="H1232" i="1"/>
  <c r="I1232" i="1" s="1"/>
  <c r="K1232" i="1" s="1"/>
  <c r="H1230" i="1"/>
  <c r="I1230" i="1" s="1"/>
  <c r="K1230" i="1" s="1"/>
  <c r="H1229" i="1"/>
  <c r="I1229" i="1" s="1"/>
  <c r="H1227" i="1"/>
  <c r="I1227" i="1" s="1"/>
  <c r="H1226" i="1"/>
  <c r="I1226" i="1" s="1"/>
  <c r="H1225" i="1"/>
  <c r="I1225" i="1" s="1"/>
  <c r="H1224" i="1"/>
  <c r="I1224" i="1" s="1"/>
  <c r="H1220" i="1"/>
  <c r="I1220" i="1" s="1"/>
  <c r="H1219" i="1"/>
  <c r="I1219" i="1" s="1"/>
  <c r="K1219" i="1" s="1"/>
  <c r="H1218" i="1"/>
  <c r="I1218" i="1" s="1"/>
  <c r="K1218" i="1" s="1"/>
  <c r="H1217" i="1"/>
  <c r="I1217" i="1" s="1"/>
  <c r="H1216" i="1"/>
  <c r="I1216" i="1" s="1"/>
  <c r="H1215" i="1"/>
  <c r="I1215" i="1" s="1"/>
  <c r="I1214" i="1"/>
  <c r="K1214" i="1" s="1"/>
  <c r="H1214" i="1"/>
  <c r="H1213" i="1"/>
  <c r="I1213" i="1" s="1"/>
  <c r="H1212" i="1"/>
  <c r="I1212" i="1" s="1"/>
  <c r="H1211" i="1"/>
  <c r="I1211" i="1" s="1"/>
  <c r="K1211" i="1" s="1"/>
  <c r="H1210" i="1"/>
  <c r="I1210" i="1" s="1"/>
  <c r="K1210" i="1" s="1"/>
  <c r="H1208" i="1"/>
  <c r="I1208" i="1" s="1"/>
  <c r="K1208" i="1" s="1"/>
  <c r="H1207" i="1"/>
  <c r="I1207" i="1" s="1"/>
  <c r="H1206" i="1"/>
  <c r="I1206" i="1" s="1"/>
  <c r="H1205" i="1"/>
  <c r="I1205" i="1" s="1"/>
  <c r="H1204" i="1"/>
  <c r="I1204" i="1" s="1"/>
  <c r="K1204" i="1" s="1"/>
  <c r="H1203" i="1"/>
  <c r="I1203" i="1" s="1"/>
  <c r="H1202" i="1"/>
  <c r="I1202" i="1" s="1"/>
  <c r="H1201" i="1"/>
  <c r="I1201" i="1" s="1"/>
  <c r="H1198" i="1"/>
  <c r="I1198" i="1" s="1"/>
  <c r="K1198" i="1" s="1"/>
  <c r="H1197" i="1"/>
  <c r="I1197" i="1" s="1"/>
  <c r="I1195" i="1"/>
  <c r="H1195" i="1"/>
  <c r="I1194" i="1"/>
  <c r="H1194" i="1"/>
  <c r="I1193" i="1"/>
  <c r="H1193" i="1"/>
  <c r="H1191" i="1"/>
  <c r="I1191" i="1" s="1"/>
  <c r="H1190" i="1"/>
  <c r="I1190" i="1" s="1"/>
  <c r="K1190" i="1" s="1"/>
  <c r="H1189" i="1"/>
  <c r="I1189" i="1" s="1"/>
  <c r="H1188" i="1"/>
  <c r="I1188" i="1" s="1"/>
  <c r="K1188" i="1" s="1"/>
  <c r="H1187" i="1"/>
  <c r="I1187" i="1" s="1"/>
  <c r="H1186" i="1"/>
  <c r="I1186" i="1" s="1"/>
  <c r="K1186" i="1" s="1"/>
  <c r="H1185" i="1"/>
  <c r="I1185" i="1" s="1"/>
  <c r="H1184" i="1"/>
  <c r="I1184" i="1" s="1"/>
  <c r="K1184" i="1" s="1"/>
  <c r="H1183" i="1"/>
  <c r="I1183" i="1" s="1"/>
  <c r="K1183" i="1" s="1"/>
  <c r="H1181" i="1"/>
  <c r="I1181" i="1" s="1"/>
  <c r="H1180" i="1"/>
  <c r="I1180" i="1" s="1"/>
  <c r="I1179" i="1"/>
  <c r="K1179" i="1" s="1"/>
  <c r="H1179" i="1"/>
  <c r="H1178" i="1"/>
  <c r="I1178" i="1" s="1"/>
  <c r="H1177" i="1"/>
  <c r="I1177" i="1" s="1"/>
  <c r="H1175" i="1"/>
  <c r="I1175" i="1" s="1"/>
  <c r="K1175" i="1" s="1"/>
  <c r="H1174" i="1"/>
  <c r="I1174" i="1" s="1"/>
  <c r="H1173" i="1"/>
  <c r="I1173" i="1" s="1"/>
  <c r="K1173" i="1" s="1"/>
  <c r="H1172" i="1"/>
  <c r="I1172" i="1" s="1"/>
  <c r="I1170" i="1"/>
  <c r="K1170" i="1" s="1"/>
  <c r="H1170" i="1"/>
  <c r="H1169" i="1"/>
  <c r="I1169" i="1" s="1"/>
  <c r="H1168" i="1"/>
  <c r="I1168" i="1" s="1"/>
  <c r="H1166" i="1"/>
  <c r="I1166" i="1" s="1"/>
  <c r="K1166" i="1" s="1"/>
  <c r="H1165" i="1"/>
  <c r="I1165" i="1" s="1"/>
  <c r="H1164" i="1"/>
  <c r="I1164" i="1" s="1"/>
  <c r="H1163" i="1"/>
  <c r="I1163" i="1" s="1"/>
  <c r="K1163" i="1" s="1"/>
  <c r="H1162" i="1"/>
  <c r="I1162" i="1" s="1"/>
  <c r="K1162" i="1" s="1"/>
  <c r="H1158" i="1"/>
  <c r="I1158" i="1" s="1"/>
  <c r="H1157" i="1"/>
  <c r="I1157" i="1" s="1"/>
  <c r="I1156" i="1"/>
  <c r="H1156" i="1"/>
  <c r="H1155" i="1"/>
  <c r="I1155" i="1" s="1"/>
  <c r="H1154" i="1"/>
  <c r="I1154" i="1" s="1"/>
  <c r="H1153" i="1"/>
  <c r="I1153" i="1" s="1"/>
  <c r="H1152" i="1"/>
  <c r="I1152" i="1" s="1"/>
  <c r="K1152" i="1" s="1"/>
  <c r="H1151" i="1"/>
  <c r="I1151" i="1" s="1"/>
  <c r="K1151" i="1" s="1"/>
  <c r="H1150" i="1"/>
  <c r="I1150" i="1" s="1"/>
  <c r="H1149" i="1"/>
  <c r="I1149" i="1" s="1"/>
  <c r="H1147" i="1"/>
  <c r="I1147" i="1" s="1"/>
  <c r="H1146" i="1"/>
  <c r="I1146" i="1" s="1"/>
  <c r="K1146" i="1" s="1"/>
  <c r="H1141" i="1"/>
  <c r="I1141" i="1" s="1"/>
  <c r="K1141" i="1" s="1"/>
  <c r="H1140" i="1"/>
  <c r="I1140" i="1" s="1"/>
  <c r="H1139" i="1"/>
  <c r="I1139" i="1" s="1"/>
  <c r="H1138" i="1"/>
  <c r="I1138" i="1" s="1"/>
  <c r="H1137" i="1"/>
  <c r="I1137" i="1" s="1"/>
  <c r="K1137" i="1" s="1"/>
  <c r="H1136" i="1"/>
  <c r="I1136" i="1" s="1"/>
  <c r="H1135" i="1"/>
  <c r="I1135" i="1" s="1"/>
  <c r="H1134" i="1"/>
  <c r="I1134" i="1" s="1"/>
  <c r="H1133" i="1"/>
  <c r="I1133" i="1" s="1"/>
  <c r="K1133" i="1" s="1"/>
  <c r="H1129" i="1"/>
  <c r="I1129" i="1" s="1"/>
  <c r="K1129" i="1" s="1"/>
  <c r="H1128" i="1"/>
  <c r="I1128" i="1" s="1"/>
  <c r="H1126" i="1"/>
  <c r="I1126" i="1" s="1"/>
  <c r="H1125" i="1"/>
  <c r="I1125" i="1" s="1"/>
  <c r="H1124" i="1"/>
  <c r="I1124" i="1" s="1"/>
  <c r="H1123" i="1"/>
  <c r="I1123" i="1" s="1"/>
  <c r="H1122" i="1"/>
  <c r="I1122" i="1" s="1"/>
  <c r="H1121" i="1"/>
  <c r="I1121" i="1" s="1"/>
  <c r="I1120" i="1"/>
  <c r="H1120" i="1"/>
  <c r="H1119" i="1"/>
  <c r="I1119" i="1" s="1"/>
  <c r="H1118" i="1"/>
  <c r="I1118" i="1" s="1"/>
  <c r="K1118" i="1" s="1"/>
  <c r="H1116" i="1"/>
  <c r="I1116" i="1" s="1"/>
  <c r="K1116" i="1" s="1"/>
  <c r="H1115" i="1"/>
  <c r="I1115" i="1" s="1"/>
  <c r="H1114" i="1"/>
  <c r="I1114" i="1" s="1"/>
  <c r="K1114" i="1" s="1"/>
  <c r="H1113" i="1"/>
  <c r="I1113" i="1" s="1"/>
  <c r="K1113" i="1" s="1"/>
  <c r="H1112" i="1"/>
  <c r="I1112" i="1" s="1"/>
  <c r="H1111" i="1"/>
  <c r="I1111" i="1" s="1"/>
  <c r="K1111" i="1" s="1"/>
  <c r="H1110" i="1"/>
  <c r="I1110" i="1" s="1"/>
  <c r="I1109" i="1"/>
  <c r="K1109" i="1" s="1"/>
  <c r="H1109" i="1"/>
  <c r="H1108" i="1"/>
  <c r="I1108" i="1" s="1"/>
  <c r="K1108" i="1" s="1"/>
  <c r="H1107" i="1"/>
  <c r="I1107" i="1" s="1"/>
  <c r="H1106" i="1"/>
  <c r="I1106" i="1" s="1"/>
  <c r="K1106" i="1" s="1"/>
  <c r="H1105" i="1"/>
  <c r="I1105" i="1" s="1"/>
  <c r="K1105" i="1" s="1"/>
  <c r="H1104" i="1"/>
  <c r="I1104" i="1" s="1"/>
  <c r="H1103" i="1"/>
  <c r="I1103" i="1" s="1"/>
  <c r="K1103" i="1" s="1"/>
  <c r="H1101" i="1"/>
  <c r="I1101" i="1" s="1"/>
  <c r="H1098" i="1"/>
  <c r="I1098" i="1" s="1"/>
  <c r="H1097" i="1"/>
  <c r="I1097" i="1" s="1"/>
  <c r="I1096" i="1"/>
  <c r="H1096" i="1"/>
  <c r="H1095" i="1"/>
  <c r="I1095" i="1" s="1"/>
  <c r="H1094" i="1"/>
  <c r="I1094" i="1" s="1"/>
  <c r="H1093" i="1"/>
  <c r="I1093" i="1" s="1"/>
  <c r="H1092" i="1"/>
  <c r="I1092" i="1" s="1"/>
  <c r="H1091" i="1"/>
  <c r="I1091" i="1" s="1"/>
  <c r="H1090" i="1"/>
  <c r="I1090" i="1" s="1"/>
  <c r="H1089" i="1"/>
  <c r="I1089" i="1" s="1"/>
  <c r="H1088" i="1"/>
  <c r="I1088" i="1" s="1"/>
  <c r="H1086" i="1"/>
  <c r="I1086" i="1" s="1"/>
  <c r="H1083" i="1"/>
  <c r="I1083" i="1" s="1"/>
  <c r="I1082" i="1"/>
  <c r="H1082" i="1"/>
  <c r="H1081" i="1"/>
  <c r="I1081" i="1" s="1"/>
  <c r="H1080" i="1"/>
  <c r="I1080" i="1" s="1"/>
  <c r="K1080" i="1" s="1"/>
  <c r="H1079" i="1"/>
  <c r="I1079" i="1" s="1"/>
  <c r="H1078" i="1"/>
  <c r="I1078" i="1" s="1"/>
  <c r="H1077" i="1"/>
  <c r="I1077" i="1" s="1"/>
  <c r="H1076" i="1"/>
  <c r="I1076" i="1" s="1"/>
  <c r="H1075" i="1"/>
  <c r="I1075" i="1" s="1"/>
  <c r="H1074" i="1"/>
  <c r="I1074" i="1" s="1"/>
  <c r="K1074" i="1" s="1"/>
  <c r="H1073" i="1"/>
  <c r="I1073" i="1" s="1"/>
  <c r="H1071" i="1"/>
  <c r="I1071" i="1" s="1"/>
  <c r="H1070" i="1"/>
  <c r="I1070" i="1" s="1"/>
  <c r="H1066" i="1"/>
  <c r="I1066" i="1" s="1"/>
  <c r="H1065" i="1"/>
  <c r="I1065" i="1" s="1"/>
  <c r="K1065" i="1" s="1"/>
  <c r="H1064" i="1"/>
  <c r="I1064" i="1" s="1"/>
  <c r="H1063" i="1"/>
  <c r="I1063" i="1" s="1"/>
  <c r="H1061" i="1"/>
  <c r="I1061" i="1" s="1"/>
  <c r="K1061" i="1" s="1"/>
  <c r="H1057" i="1"/>
  <c r="I1057" i="1" s="1"/>
  <c r="H1056" i="1"/>
  <c r="I1056" i="1" s="1"/>
  <c r="K1056" i="1" s="1"/>
  <c r="I1055" i="1" s="1"/>
  <c r="H1054" i="1"/>
  <c r="I1054" i="1" s="1"/>
  <c r="H1053" i="1"/>
  <c r="I1053" i="1" s="1"/>
  <c r="H1049" i="1"/>
  <c r="I1049" i="1" s="1"/>
  <c r="H1048" i="1"/>
  <c r="I1048" i="1" s="1"/>
  <c r="H1047" i="1"/>
  <c r="I1047" i="1" s="1"/>
  <c r="K1047" i="1" s="1"/>
  <c r="H1046" i="1"/>
  <c r="I1046" i="1" s="1"/>
  <c r="H1045" i="1"/>
  <c r="I1045" i="1" s="1"/>
  <c r="I1044" i="1"/>
  <c r="K1044" i="1" s="1"/>
  <c r="H1044" i="1"/>
  <c r="H1042" i="1"/>
  <c r="I1042" i="1" s="1"/>
  <c r="H1041" i="1"/>
  <c r="I1041" i="1" s="1"/>
  <c r="H1040" i="1"/>
  <c r="I1040" i="1" s="1"/>
  <c r="I1039" i="1"/>
  <c r="H1039" i="1"/>
  <c r="H1038" i="1"/>
  <c r="I1038" i="1" s="1"/>
  <c r="K1038" i="1" s="1"/>
  <c r="H1036" i="1"/>
  <c r="I1036" i="1" s="1"/>
  <c r="K1036" i="1" s="1"/>
  <c r="H1035" i="1"/>
  <c r="I1035" i="1" s="1"/>
  <c r="H1034" i="1"/>
  <c r="I1034" i="1" s="1"/>
  <c r="H1033" i="1"/>
  <c r="I1033" i="1" s="1"/>
  <c r="K1033" i="1" s="1"/>
  <c r="H1032" i="1"/>
  <c r="I1032" i="1" s="1"/>
  <c r="H1030" i="1"/>
  <c r="I1030" i="1" s="1"/>
  <c r="H1029" i="1"/>
  <c r="I1029" i="1" s="1"/>
  <c r="I1028" i="1"/>
  <c r="H1028" i="1"/>
  <c r="H1024" i="1"/>
  <c r="I1024" i="1" s="1"/>
  <c r="H1023" i="1"/>
  <c r="I1023" i="1" s="1"/>
  <c r="H1022" i="1"/>
  <c r="I1022" i="1" s="1"/>
  <c r="H1021" i="1"/>
  <c r="I1021" i="1" s="1"/>
  <c r="H1020" i="1"/>
  <c r="I1020" i="1" s="1"/>
  <c r="H1018" i="1"/>
  <c r="I1018" i="1" s="1"/>
  <c r="H1017" i="1"/>
  <c r="I1017" i="1" s="1"/>
  <c r="H1016" i="1"/>
  <c r="I1016" i="1" s="1"/>
  <c r="H1014" i="1"/>
  <c r="I1014" i="1" s="1"/>
  <c r="H1013" i="1"/>
  <c r="I1013" i="1" s="1"/>
  <c r="H1009" i="1"/>
  <c r="I1009" i="1" s="1"/>
  <c r="K1009" i="1" s="1"/>
  <c r="H1008" i="1"/>
  <c r="I1008" i="1" s="1"/>
  <c r="K1008" i="1" s="1"/>
  <c r="H1007" i="1"/>
  <c r="I1007" i="1" s="1"/>
  <c r="H1006" i="1"/>
  <c r="I1006" i="1" s="1"/>
  <c r="K1006" i="1" s="1"/>
  <c r="H1005" i="1"/>
  <c r="I1005" i="1" s="1"/>
  <c r="H1003" i="1"/>
  <c r="I1003" i="1" s="1"/>
  <c r="H1002" i="1"/>
  <c r="I1002" i="1" s="1"/>
  <c r="H1001" i="1"/>
  <c r="I1001" i="1" s="1"/>
  <c r="K1001" i="1" s="1"/>
  <c r="I1000" i="1"/>
  <c r="H1000" i="1"/>
  <c r="H999" i="1"/>
  <c r="I999" i="1" s="1"/>
  <c r="H997" i="1"/>
  <c r="I997" i="1" s="1"/>
  <c r="H995" i="1"/>
  <c r="I995" i="1" s="1"/>
  <c r="H994" i="1"/>
  <c r="I994" i="1" s="1"/>
  <c r="H993" i="1"/>
  <c r="I993" i="1" s="1"/>
  <c r="H992" i="1"/>
  <c r="I992" i="1" s="1"/>
  <c r="H990" i="1"/>
  <c r="I990" i="1" s="1"/>
  <c r="H989" i="1"/>
  <c r="I989" i="1" s="1"/>
  <c r="H988" i="1"/>
  <c r="I988" i="1" s="1"/>
  <c r="H984" i="1"/>
  <c r="I984" i="1" s="1"/>
  <c r="I983" i="1"/>
  <c r="H983" i="1"/>
  <c r="H982" i="1"/>
  <c r="I982" i="1" s="1"/>
  <c r="H981" i="1"/>
  <c r="I981" i="1" s="1"/>
  <c r="H980" i="1"/>
  <c r="I980" i="1" s="1"/>
  <c r="K980" i="1" s="1"/>
  <c r="H978" i="1"/>
  <c r="I978" i="1" s="1"/>
  <c r="K978" i="1" s="1"/>
  <c r="H977" i="1"/>
  <c r="I977" i="1" s="1"/>
  <c r="H976" i="1"/>
  <c r="I976" i="1" s="1"/>
  <c r="H975" i="1"/>
  <c r="I975" i="1" s="1"/>
  <c r="H974" i="1"/>
  <c r="I974" i="1" s="1"/>
  <c r="K974" i="1" s="1"/>
  <c r="H973" i="1"/>
  <c r="I973" i="1" s="1"/>
  <c r="K973" i="1" s="1"/>
  <c r="H972" i="1"/>
  <c r="I972" i="1" s="1"/>
  <c r="H971" i="1"/>
  <c r="I971" i="1" s="1"/>
  <c r="H970" i="1"/>
  <c r="I970" i="1" s="1"/>
  <c r="K970" i="1" s="1"/>
  <c r="H969" i="1"/>
  <c r="I969" i="1" s="1"/>
  <c r="H968" i="1"/>
  <c r="I968" i="1" s="1"/>
  <c r="H967" i="1"/>
  <c r="I967" i="1" s="1"/>
  <c r="H965" i="1"/>
  <c r="I965" i="1" s="1"/>
  <c r="H964" i="1"/>
  <c r="I964" i="1" s="1"/>
  <c r="H963" i="1"/>
  <c r="I963" i="1" s="1"/>
  <c r="H961" i="1"/>
  <c r="I961" i="1" s="1"/>
  <c r="H960" i="1"/>
  <c r="I960" i="1" s="1"/>
  <c r="H959" i="1"/>
  <c r="I959" i="1" s="1"/>
  <c r="H957" i="1"/>
  <c r="I957" i="1" s="1"/>
  <c r="H954" i="1"/>
  <c r="I954" i="1" s="1"/>
  <c r="H953" i="1"/>
  <c r="I953" i="1" s="1"/>
  <c r="H952" i="1"/>
  <c r="I952" i="1" s="1"/>
  <c r="K952" i="1" s="1"/>
  <c r="H951" i="1"/>
  <c r="I951" i="1" s="1"/>
  <c r="H950" i="1"/>
  <c r="I950" i="1" s="1"/>
  <c r="H949" i="1"/>
  <c r="I949" i="1" s="1"/>
  <c r="H947" i="1"/>
  <c r="I947" i="1" s="1"/>
  <c r="H946" i="1"/>
  <c r="I946" i="1" s="1"/>
  <c r="K946" i="1" s="1"/>
  <c r="H945" i="1"/>
  <c r="I945" i="1" s="1"/>
  <c r="H943" i="1"/>
  <c r="I943" i="1" s="1"/>
  <c r="H940" i="1"/>
  <c r="I940" i="1" s="1"/>
  <c r="H939" i="1"/>
  <c r="I939" i="1" s="1"/>
  <c r="K939" i="1" s="1"/>
  <c r="H938" i="1"/>
  <c r="I938" i="1" s="1"/>
  <c r="H937" i="1"/>
  <c r="I937" i="1" s="1"/>
  <c r="H935" i="1"/>
  <c r="I935" i="1" s="1"/>
  <c r="H934" i="1"/>
  <c r="I934" i="1" s="1"/>
  <c r="K934" i="1" s="1"/>
  <c r="H933" i="1"/>
  <c r="I933" i="1" s="1"/>
  <c r="H931" i="1"/>
  <c r="I931" i="1" s="1"/>
  <c r="H930" i="1"/>
  <c r="I930" i="1" s="1"/>
  <c r="H928" i="1"/>
  <c r="I928" i="1" s="1"/>
  <c r="K928" i="1" s="1"/>
  <c r="H927" i="1"/>
  <c r="I927" i="1" s="1"/>
  <c r="H924" i="1"/>
  <c r="I924" i="1" s="1"/>
  <c r="K924" i="1" s="1"/>
  <c r="I923" i="1" s="1"/>
  <c r="H922" i="1"/>
  <c r="I922" i="1" s="1"/>
  <c r="H921" i="1"/>
  <c r="I921" i="1" s="1"/>
  <c r="H920" i="1"/>
  <c r="I920" i="1" s="1"/>
  <c r="H919" i="1"/>
  <c r="I919" i="1" s="1"/>
  <c r="K919" i="1" s="1"/>
  <c r="H918" i="1"/>
  <c r="I918" i="1" s="1"/>
  <c r="H916" i="1"/>
  <c r="I916" i="1" s="1"/>
  <c r="H915" i="1"/>
  <c r="I915" i="1" s="1"/>
  <c r="H914" i="1"/>
  <c r="I914" i="1" s="1"/>
  <c r="K914" i="1" s="1"/>
  <c r="H913" i="1"/>
  <c r="I913" i="1" s="1"/>
  <c r="H912" i="1"/>
  <c r="I912" i="1" s="1"/>
  <c r="H911" i="1"/>
  <c r="I911" i="1" s="1"/>
  <c r="H910" i="1"/>
  <c r="I910" i="1" s="1"/>
  <c r="K910" i="1" s="1"/>
  <c r="H909" i="1"/>
  <c r="I909" i="1" s="1"/>
  <c r="H908" i="1"/>
  <c r="I908" i="1" s="1"/>
  <c r="H907" i="1"/>
  <c r="I907" i="1" s="1"/>
  <c r="H906" i="1"/>
  <c r="I906" i="1" s="1"/>
  <c r="K906" i="1" s="1"/>
  <c r="H905" i="1"/>
  <c r="I905" i="1" s="1"/>
  <c r="I904" i="1"/>
  <c r="H904" i="1"/>
  <c r="I903" i="1"/>
  <c r="K903" i="1" s="1"/>
  <c r="H903" i="1"/>
  <c r="I902" i="1"/>
  <c r="H902" i="1"/>
  <c r="I901" i="1"/>
  <c r="K901" i="1" s="1"/>
  <c r="H901" i="1"/>
  <c r="H897" i="1"/>
  <c r="I897" i="1" s="1"/>
  <c r="K897" i="1" s="1"/>
  <c r="H896" i="1"/>
  <c r="I896" i="1" s="1"/>
  <c r="H895" i="1"/>
  <c r="I895" i="1" s="1"/>
  <c r="K895" i="1" s="1"/>
  <c r="H893" i="1"/>
  <c r="I893" i="1" s="1"/>
  <c r="K893" i="1" s="1"/>
  <c r="H892" i="1"/>
  <c r="I892" i="1" s="1"/>
  <c r="K892" i="1" s="1"/>
  <c r="I891" i="1"/>
  <c r="H891" i="1"/>
  <c r="H890" i="1"/>
  <c r="I890" i="1" s="1"/>
  <c r="K890" i="1" s="1"/>
  <c r="H888" i="1"/>
  <c r="I888" i="1" s="1"/>
  <c r="H887" i="1"/>
  <c r="I887" i="1" s="1"/>
  <c r="K887" i="1" s="1"/>
  <c r="H886" i="1"/>
  <c r="I886" i="1" s="1"/>
  <c r="K886" i="1" s="1"/>
  <c r="H884" i="1"/>
  <c r="I884" i="1" s="1"/>
  <c r="H882" i="1"/>
  <c r="I882" i="1" s="1"/>
  <c r="H881" i="1"/>
  <c r="I881" i="1" s="1"/>
  <c r="K881" i="1" s="1"/>
  <c r="H879" i="1"/>
  <c r="I879" i="1" s="1"/>
  <c r="K879" i="1" s="1"/>
  <c r="H878" i="1"/>
  <c r="I878" i="1" s="1"/>
  <c r="K878" i="1" s="1"/>
  <c r="H876" i="1"/>
  <c r="I876" i="1" s="1"/>
  <c r="K876" i="1" s="1"/>
  <c r="H875" i="1"/>
  <c r="I875" i="1" s="1"/>
  <c r="H874" i="1"/>
  <c r="I874" i="1" s="1"/>
  <c r="K874" i="1" s="1"/>
  <c r="H872" i="1"/>
  <c r="I872" i="1" s="1"/>
  <c r="K872" i="1" s="1"/>
  <c r="I871" i="1" s="1"/>
  <c r="H870" i="1"/>
  <c r="I870" i="1" s="1"/>
  <c r="H869" i="1"/>
  <c r="I869" i="1" s="1"/>
  <c r="H867" i="1"/>
  <c r="I867" i="1" s="1"/>
  <c r="K867" i="1" s="1"/>
  <c r="H866" i="1"/>
  <c r="I866" i="1" s="1"/>
  <c r="K866" i="1" s="1"/>
  <c r="H864" i="1"/>
  <c r="I864" i="1" s="1"/>
  <c r="H863" i="1"/>
  <c r="I863" i="1" s="1"/>
  <c r="K863" i="1" s="1"/>
  <c r="H861" i="1"/>
  <c r="I861" i="1" s="1"/>
  <c r="K861" i="1" s="1"/>
  <c r="H860" i="1"/>
  <c r="I860" i="1" s="1"/>
  <c r="K860" i="1" s="1"/>
  <c r="H858" i="1"/>
  <c r="I858" i="1" s="1"/>
  <c r="K858" i="1" s="1"/>
  <c r="I857" i="1" s="1"/>
  <c r="H856" i="1"/>
  <c r="I856" i="1" s="1"/>
  <c r="K856" i="1" s="1"/>
  <c r="I855" i="1" s="1"/>
  <c r="H854" i="1"/>
  <c r="I854" i="1" s="1"/>
  <c r="H853" i="1"/>
  <c r="I853" i="1" s="1"/>
  <c r="H851" i="1"/>
  <c r="I851" i="1" s="1"/>
  <c r="K851" i="1" s="1"/>
  <c r="I849" i="1" s="1"/>
  <c r="H850" i="1"/>
  <c r="I850" i="1" s="1"/>
  <c r="H848" i="1"/>
  <c r="I848" i="1" s="1"/>
  <c r="K848" i="1" s="1"/>
  <c r="H847" i="1"/>
  <c r="I847" i="1" s="1"/>
  <c r="H846" i="1"/>
  <c r="I846" i="1" s="1"/>
  <c r="H845" i="1"/>
  <c r="I845" i="1" s="1"/>
  <c r="I841" i="1"/>
  <c r="H841" i="1"/>
  <c r="H840" i="1"/>
  <c r="I840" i="1" s="1"/>
  <c r="K840" i="1" s="1"/>
  <c r="H839" i="1"/>
  <c r="I839" i="1" s="1"/>
  <c r="K839" i="1" s="1"/>
  <c r="H838" i="1"/>
  <c r="I838" i="1" s="1"/>
  <c r="K838" i="1" s="1"/>
  <c r="I837" i="1"/>
  <c r="H837" i="1"/>
  <c r="H836" i="1"/>
  <c r="I836" i="1" s="1"/>
  <c r="H835" i="1"/>
  <c r="I835" i="1" s="1"/>
  <c r="H834" i="1"/>
  <c r="I834" i="1" s="1"/>
  <c r="K834" i="1" s="1"/>
  <c r="H833" i="1"/>
  <c r="I833" i="1" s="1"/>
  <c r="K833" i="1" s="1"/>
  <c r="H832" i="1"/>
  <c r="I832" i="1" s="1"/>
  <c r="I831" i="1"/>
  <c r="K831" i="1" s="1"/>
  <c r="I830" i="1" s="1"/>
  <c r="H831" i="1"/>
  <c r="H829" i="1"/>
  <c r="I829" i="1" s="1"/>
  <c r="H828" i="1"/>
  <c r="I828" i="1" s="1"/>
  <c r="H827" i="1"/>
  <c r="I827" i="1" s="1"/>
  <c r="K827" i="1" s="1"/>
  <c r="H826" i="1"/>
  <c r="I826" i="1" s="1"/>
  <c r="H825" i="1"/>
  <c r="I825" i="1" s="1"/>
  <c r="H824" i="1"/>
  <c r="I824" i="1" s="1"/>
  <c r="I823" i="1"/>
  <c r="K823" i="1" s="1"/>
  <c r="H823" i="1"/>
  <c r="H822" i="1"/>
  <c r="I822" i="1" s="1"/>
  <c r="H819" i="1"/>
  <c r="I819" i="1" s="1"/>
  <c r="K819" i="1" s="1"/>
  <c r="H818" i="1"/>
  <c r="I818" i="1" s="1"/>
  <c r="H816" i="1"/>
  <c r="I816" i="1" s="1"/>
  <c r="K816" i="1" s="1"/>
  <c r="I815" i="1"/>
  <c r="K815" i="1" s="1"/>
  <c r="H815" i="1"/>
  <c r="I814" i="1"/>
  <c r="K814" i="1" s="1"/>
  <c r="H814" i="1"/>
  <c r="H812" i="1"/>
  <c r="I812" i="1" s="1"/>
  <c r="K812" i="1" s="1"/>
  <c r="I811" i="1"/>
  <c r="K811" i="1" s="1"/>
  <c r="H811" i="1"/>
  <c r="H810" i="1"/>
  <c r="I810" i="1" s="1"/>
  <c r="H809" i="1"/>
  <c r="I809" i="1" s="1"/>
  <c r="K809" i="1" s="1"/>
  <c r="H808" i="1"/>
  <c r="I808" i="1" s="1"/>
  <c r="H807" i="1"/>
  <c r="I807" i="1" s="1"/>
  <c r="H806" i="1"/>
  <c r="I806" i="1" s="1"/>
  <c r="H805" i="1"/>
  <c r="I805" i="1" s="1"/>
  <c r="K805" i="1" s="1"/>
  <c r="H804" i="1"/>
  <c r="I804" i="1" s="1"/>
  <c r="I802" i="1"/>
  <c r="H802" i="1"/>
  <c r="H801" i="1"/>
  <c r="I801" i="1" s="1"/>
  <c r="K801" i="1" s="1"/>
  <c r="I800" i="1"/>
  <c r="K800" i="1" s="1"/>
  <c r="H800" i="1"/>
  <c r="H799" i="1"/>
  <c r="I799" i="1" s="1"/>
  <c r="I798" i="1"/>
  <c r="K798" i="1" s="1"/>
  <c r="H798" i="1"/>
  <c r="I796" i="1"/>
  <c r="H796" i="1"/>
  <c r="H795" i="1"/>
  <c r="I795" i="1" s="1"/>
  <c r="K795" i="1" s="1"/>
  <c r="H794" i="1"/>
  <c r="I794" i="1" s="1"/>
  <c r="H793" i="1"/>
  <c r="I793" i="1" s="1"/>
  <c r="H791" i="1"/>
  <c r="I791" i="1" s="1"/>
  <c r="H790" i="1"/>
  <c r="I790" i="1" s="1"/>
  <c r="K790" i="1" s="1"/>
  <c r="I789" i="1"/>
  <c r="K789" i="1" s="1"/>
  <c r="H789" i="1"/>
  <c r="H787" i="1"/>
  <c r="I787" i="1" s="1"/>
  <c r="K787" i="1" s="1"/>
  <c r="H786" i="1"/>
  <c r="I786" i="1" s="1"/>
  <c r="H785" i="1"/>
  <c r="I785" i="1" s="1"/>
  <c r="H784" i="1"/>
  <c r="I784" i="1" s="1"/>
  <c r="I783" i="1"/>
  <c r="K783" i="1" s="1"/>
  <c r="H783" i="1"/>
  <c r="I779" i="1"/>
  <c r="K779" i="1" s="1"/>
  <c r="H779" i="1"/>
  <c r="H778" i="1"/>
  <c r="I778" i="1" s="1"/>
  <c r="K778" i="1" s="1"/>
  <c r="H777" i="1"/>
  <c r="I777" i="1" s="1"/>
  <c r="H776" i="1"/>
  <c r="I776" i="1" s="1"/>
  <c r="I775" i="1"/>
  <c r="K775" i="1" s="1"/>
  <c r="H775" i="1"/>
  <c r="H774" i="1"/>
  <c r="I774" i="1" s="1"/>
  <c r="K774" i="1" s="1"/>
  <c r="H773" i="1"/>
  <c r="I773" i="1" s="1"/>
  <c r="K773" i="1" s="1"/>
  <c r="H772" i="1"/>
  <c r="I772" i="1" s="1"/>
  <c r="H771" i="1"/>
  <c r="I771" i="1" s="1"/>
  <c r="K771" i="1" s="1"/>
  <c r="H770" i="1"/>
  <c r="I770" i="1" s="1"/>
  <c r="K770" i="1" s="1"/>
  <c r="H768" i="1"/>
  <c r="I768" i="1" s="1"/>
  <c r="H767" i="1"/>
  <c r="I767" i="1" s="1"/>
  <c r="H762" i="1"/>
  <c r="I762" i="1" s="1"/>
  <c r="I761" i="1"/>
  <c r="K761" i="1" s="1"/>
  <c r="H761" i="1"/>
  <c r="H760" i="1"/>
  <c r="I760" i="1" s="1"/>
  <c r="H759" i="1"/>
  <c r="I759" i="1" s="1"/>
  <c r="H758" i="1"/>
  <c r="I758" i="1" s="1"/>
  <c r="H757" i="1"/>
  <c r="I757" i="1" s="1"/>
  <c r="K757" i="1" s="1"/>
  <c r="H756" i="1"/>
  <c r="I756" i="1" s="1"/>
  <c r="H755" i="1"/>
  <c r="I755" i="1" s="1"/>
  <c r="K755" i="1" s="1"/>
  <c r="H754" i="1"/>
  <c r="I754" i="1" s="1"/>
  <c r="H750" i="1"/>
  <c r="I750" i="1" s="1"/>
  <c r="K750" i="1" s="1"/>
  <c r="I749" i="1"/>
  <c r="K749" i="1" s="1"/>
  <c r="H749" i="1"/>
  <c r="H747" i="1"/>
  <c r="I747" i="1" s="1"/>
  <c r="H746" i="1"/>
  <c r="I746" i="1" s="1"/>
  <c r="H745" i="1"/>
  <c r="I745" i="1" s="1"/>
  <c r="H744" i="1"/>
  <c r="I744" i="1" s="1"/>
  <c r="H743" i="1"/>
  <c r="I743" i="1" s="1"/>
  <c r="K743" i="1" s="1"/>
  <c r="H742" i="1"/>
  <c r="I742" i="1" s="1"/>
  <c r="I741" i="1"/>
  <c r="K741" i="1" s="1"/>
  <c r="H741" i="1"/>
  <c r="H740" i="1"/>
  <c r="I740" i="1" s="1"/>
  <c r="K740" i="1" s="1"/>
  <c r="H739" i="1"/>
  <c r="I739" i="1" s="1"/>
  <c r="H737" i="1"/>
  <c r="I737" i="1" s="1"/>
  <c r="K737" i="1" s="1"/>
  <c r="H736" i="1"/>
  <c r="I736" i="1" s="1"/>
  <c r="K736" i="1" s="1"/>
  <c r="H735" i="1"/>
  <c r="I735" i="1" s="1"/>
  <c r="I734" i="1"/>
  <c r="K734" i="1" s="1"/>
  <c r="H734" i="1"/>
  <c r="H733" i="1"/>
  <c r="I733" i="1" s="1"/>
  <c r="K733" i="1" s="1"/>
  <c r="H732" i="1"/>
  <c r="I732" i="1" s="1"/>
  <c r="H731" i="1"/>
  <c r="I731" i="1" s="1"/>
  <c r="K731" i="1" s="1"/>
  <c r="H730" i="1"/>
  <c r="I730" i="1" s="1"/>
  <c r="K730" i="1" s="1"/>
  <c r="H729" i="1"/>
  <c r="I729" i="1" s="1"/>
  <c r="I728" i="1"/>
  <c r="K728" i="1" s="1"/>
  <c r="H728" i="1"/>
  <c r="H727" i="1"/>
  <c r="I727" i="1" s="1"/>
  <c r="K727" i="1" s="1"/>
  <c r="H726" i="1"/>
  <c r="I726" i="1" s="1"/>
  <c r="K726" i="1" s="1"/>
  <c r="H725" i="1"/>
  <c r="I725" i="1" s="1"/>
  <c r="H724" i="1"/>
  <c r="I724" i="1" s="1"/>
  <c r="K724" i="1" s="1"/>
  <c r="H722" i="1"/>
  <c r="I722" i="1" s="1"/>
  <c r="H719" i="1"/>
  <c r="I719" i="1" s="1"/>
  <c r="H718" i="1"/>
  <c r="I718" i="1" s="1"/>
  <c r="I717" i="1"/>
  <c r="H717" i="1"/>
  <c r="H716" i="1"/>
  <c r="I716" i="1" s="1"/>
  <c r="H715" i="1"/>
  <c r="I715" i="1" s="1"/>
  <c r="H714" i="1"/>
  <c r="I714" i="1" s="1"/>
  <c r="H713" i="1"/>
  <c r="I713" i="1" s="1"/>
  <c r="K713" i="1" s="1"/>
  <c r="H712" i="1"/>
  <c r="I712" i="1" s="1"/>
  <c r="H711" i="1"/>
  <c r="I711" i="1" s="1"/>
  <c r="H710" i="1"/>
  <c r="I710" i="1" s="1"/>
  <c r="K710" i="1" s="1"/>
  <c r="H709" i="1"/>
  <c r="I709" i="1" s="1"/>
  <c r="K709" i="1" s="1"/>
  <c r="H707" i="1"/>
  <c r="I707" i="1" s="1"/>
  <c r="H704" i="1"/>
  <c r="I704" i="1" s="1"/>
  <c r="H703" i="1"/>
  <c r="I703" i="1" s="1"/>
  <c r="K703" i="1" s="1"/>
  <c r="H702" i="1"/>
  <c r="I702" i="1" s="1"/>
  <c r="I701" i="1"/>
  <c r="H701" i="1"/>
  <c r="H700" i="1"/>
  <c r="I700" i="1" s="1"/>
  <c r="K700" i="1" s="1"/>
  <c r="I699" i="1"/>
  <c r="H699" i="1"/>
  <c r="H698" i="1"/>
  <c r="I698" i="1" s="1"/>
  <c r="H697" i="1"/>
  <c r="I697" i="1" s="1"/>
  <c r="H696" i="1"/>
  <c r="I696" i="1" s="1"/>
  <c r="I695" i="1"/>
  <c r="H695" i="1"/>
  <c r="H694" i="1"/>
  <c r="I694" i="1" s="1"/>
  <c r="H692" i="1"/>
  <c r="I692" i="1" s="1"/>
  <c r="H691" i="1"/>
  <c r="I691" i="1" s="1"/>
  <c r="H687" i="1"/>
  <c r="I687" i="1" s="1"/>
  <c r="H686" i="1"/>
  <c r="I686" i="1" s="1"/>
  <c r="I685" i="1"/>
  <c r="H685" i="1"/>
  <c r="H684" i="1"/>
  <c r="I684" i="1" s="1"/>
  <c r="H682" i="1"/>
  <c r="I682" i="1" s="1"/>
  <c r="H678" i="1"/>
  <c r="I678" i="1" s="1"/>
  <c r="H677" i="1"/>
  <c r="I677" i="1" s="1"/>
  <c r="H675" i="1"/>
  <c r="I675" i="1" s="1"/>
  <c r="H674" i="1"/>
  <c r="I674" i="1" s="1"/>
  <c r="H670" i="1"/>
  <c r="I670" i="1" s="1"/>
  <c r="I669" i="1"/>
  <c r="K669" i="1" s="1"/>
  <c r="H669" i="1"/>
  <c r="H668" i="1"/>
  <c r="I668" i="1" s="1"/>
  <c r="K668" i="1" s="1"/>
  <c r="H667" i="1"/>
  <c r="I667" i="1" s="1"/>
  <c r="K667" i="1" s="1"/>
  <c r="H666" i="1"/>
  <c r="I666" i="1" s="1"/>
  <c r="K666" i="1" s="1"/>
  <c r="H665" i="1"/>
  <c r="I665" i="1" s="1"/>
  <c r="K665" i="1" s="1"/>
  <c r="H663" i="1"/>
  <c r="I663" i="1" s="1"/>
  <c r="K663" i="1" s="1"/>
  <c r="H662" i="1"/>
  <c r="I662" i="1" s="1"/>
  <c r="K662" i="1" s="1"/>
  <c r="H661" i="1"/>
  <c r="I661" i="1" s="1"/>
  <c r="H660" i="1"/>
  <c r="I660" i="1" s="1"/>
  <c r="H659" i="1"/>
  <c r="I659" i="1" s="1"/>
  <c r="K659" i="1" s="1"/>
  <c r="I658" i="1" s="1"/>
  <c r="H657" i="1"/>
  <c r="I657" i="1" s="1"/>
  <c r="H656" i="1"/>
  <c r="I656" i="1" s="1"/>
  <c r="K656" i="1" s="1"/>
  <c r="H655" i="1"/>
  <c r="I655" i="1" s="1"/>
  <c r="K655" i="1" s="1"/>
  <c r="I654" i="1"/>
  <c r="H654" i="1"/>
  <c r="H653" i="1"/>
  <c r="I653" i="1" s="1"/>
  <c r="H651" i="1"/>
  <c r="I651" i="1" s="1"/>
  <c r="K651" i="1" s="1"/>
  <c r="I650" i="1"/>
  <c r="H650" i="1"/>
  <c r="H649" i="1"/>
  <c r="I649" i="1" s="1"/>
  <c r="H645" i="1"/>
  <c r="I645" i="1" s="1"/>
  <c r="K645" i="1" s="1"/>
  <c r="I644" i="1"/>
  <c r="H644" i="1"/>
  <c r="H643" i="1"/>
  <c r="I643" i="1" s="1"/>
  <c r="I642" i="1"/>
  <c r="K642" i="1" s="1"/>
  <c r="H642" i="1"/>
  <c r="H641" i="1"/>
  <c r="I641" i="1" s="1"/>
  <c r="H639" i="1"/>
  <c r="I639" i="1" s="1"/>
  <c r="H638" i="1"/>
  <c r="I638" i="1" s="1"/>
  <c r="H637" i="1"/>
  <c r="I637" i="1" s="1"/>
  <c r="H635" i="1"/>
  <c r="I635" i="1" s="1"/>
  <c r="H634" i="1"/>
  <c r="I634" i="1" s="1"/>
  <c r="I630" i="1"/>
  <c r="H630" i="1"/>
  <c r="H629" i="1"/>
  <c r="I629" i="1" s="1"/>
  <c r="I628" i="1"/>
  <c r="K628" i="1" s="1"/>
  <c r="H628" i="1"/>
  <c r="H627" i="1"/>
  <c r="I627" i="1" s="1"/>
  <c r="H626" i="1"/>
  <c r="I626" i="1" s="1"/>
  <c r="I624" i="1"/>
  <c r="K624" i="1" s="1"/>
  <c r="H624" i="1"/>
  <c r="H623" i="1"/>
  <c r="I623" i="1" s="1"/>
  <c r="K623" i="1" s="1"/>
  <c r="H622" i="1"/>
  <c r="I622" i="1" s="1"/>
  <c r="K622" i="1" s="1"/>
  <c r="H621" i="1"/>
  <c r="I621" i="1" s="1"/>
  <c r="K621" i="1" s="1"/>
  <c r="I620" i="1"/>
  <c r="H620" i="1"/>
  <c r="H618" i="1"/>
  <c r="I618" i="1" s="1"/>
  <c r="K618" i="1" s="1"/>
  <c r="I617" i="1" s="1"/>
  <c r="H616" i="1"/>
  <c r="I616" i="1" s="1"/>
  <c r="K616" i="1" s="1"/>
  <c r="H615" i="1"/>
  <c r="I615" i="1" s="1"/>
  <c r="H614" i="1"/>
  <c r="I614" i="1" s="1"/>
  <c r="K614" i="1" s="1"/>
  <c r="H613" i="1"/>
  <c r="I613" i="1" s="1"/>
  <c r="H611" i="1"/>
  <c r="I611" i="1" s="1"/>
  <c r="H610" i="1"/>
  <c r="I610" i="1" s="1"/>
  <c r="H609" i="1"/>
  <c r="I609" i="1" s="1"/>
  <c r="K609" i="1" s="1"/>
  <c r="H605" i="1"/>
  <c r="I605" i="1" s="1"/>
  <c r="K605" i="1" s="1"/>
  <c r="I604" i="1"/>
  <c r="K604" i="1" s="1"/>
  <c r="H604" i="1"/>
  <c r="H603" i="1"/>
  <c r="I603" i="1" s="1"/>
  <c r="H602" i="1"/>
  <c r="I602" i="1" s="1"/>
  <c r="K602" i="1" s="1"/>
  <c r="H601" i="1"/>
  <c r="I601" i="1" s="1"/>
  <c r="H599" i="1"/>
  <c r="I599" i="1" s="1"/>
  <c r="H598" i="1"/>
  <c r="I598" i="1" s="1"/>
  <c r="K598" i="1" s="1"/>
  <c r="H597" i="1"/>
  <c r="I597" i="1" s="1"/>
  <c r="H596" i="1"/>
  <c r="I596" i="1" s="1"/>
  <c r="H595" i="1"/>
  <c r="I595" i="1" s="1"/>
  <c r="H594" i="1"/>
  <c r="I594" i="1" s="1"/>
  <c r="K594" i="1" s="1"/>
  <c r="H593" i="1"/>
  <c r="I593" i="1" s="1"/>
  <c r="H592" i="1"/>
  <c r="I592" i="1" s="1"/>
  <c r="K592" i="1" s="1"/>
  <c r="H591" i="1"/>
  <c r="I591" i="1" s="1"/>
  <c r="K591" i="1" s="1"/>
  <c r="H590" i="1"/>
  <c r="I590" i="1" s="1"/>
  <c r="H589" i="1"/>
  <c r="I589" i="1" s="1"/>
  <c r="H588" i="1"/>
  <c r="I588" i="1" s="1"/>
  <c r="I586" i="1"/>
  <c r="K586" i="1" s="1"/>
  <c r="H586" i="1"/>
  <c r="H585" i="1"/>
  <c r="I585" i="1" s="1"/>
  <c r="K585" i="1" s="1"/>
  <c r="I584" i="1"/>
  <c r="K584" i="1" s="1"/>
  <c r="H584" i="1"/>
  <c r="H582" i="1"/>
  <c r="I582" i="1" s="1"/>
  <c r="H581" i="1"/>
  <c r="I581" i="1" s="1"/>
  <c r="K581" i="1" s="1"/>
  <c r="H580" i="1"/>
  <c r="I580" i="1" s="1"/>
  <c r="I578" i="1"/>
  <c r="K578" i="1" s="1"/>
  <c r="H578" i="1"/>
  <c r="H575" i="1"/>
  <c r="I575" i="1" s="1"/>
  <c r="K575" i="1" s="1"/>
  <c r="H574" i="1"/>
  <c r="I574" i="1" s="1"/>
  <c r="K574" i="1" s="1"/>
  <c r="H573" i="1"/>
  <c r="I573" i="1" s="1"/>
  <c r="K573" i="1" s="1"/>
  <c r="H572" i="1"/>
  <c r="I572" i="1" s="1"/>
  <c r="I571" i="1"/>
  <c r="H571" i="1"/>
  <c r="H570" i="1"/>
  <c r="I570" i="1" s="1"/>
  <c r="H568" i="1"/>
  <c r="I568" i="1" s="1"/>
  <c r="K568" i="1" s="1"/>
  <c r="H567" i="1"/>
  <c r="I567" i="1" s="1"/>
  <c r="K567" i="1" s="1"/>
  <c r="H566" i="1"/>
  <c r="I566" i="1" s="1"/>
  <c r="H564" i="1"/>
  <c r="I564" i="1" s="1"/>
  <c r="K564" i="1" s="1"/>
  <c r="I561" i="1"/>
  <c r="K561" i="1" s="1"/>
  <c r="H561" i="1"/>
  <c r="I560" i="1"/>
  <c r="H560" i="1"/>
  <c r="I559" i="1"/>
  <c r="K559" i="1" s="1"/>
  <c r="H559" i="1"/>
  <c r="I558" i="1"/>
  <c r="H558" i="1"/>
  <c r="H556" i="1"/>
  <c r="I556" i="1" s="1"/>
  <c r="K556" i="1" s="1"/>
  <c r="H555" i="1"/>
  <c r="I555" i="1" s="1"/>
  <c r="K555" i="1" s="1"/>
  <c r="H554" i="1"/>
  <c r="I554" i="1" s="1"/>
  <c r="I552" i="1"/>
  <c r="K552" i="1" s="1"/>
  <c r="H552" i="1"/>
  <c r="H551" i="1"/>
  <c r="I551" i="1" s="1"/>
  <c r="K551" i="1" s="1"/>
  <c r="H549" i="1"/>
  <c r="I549" i="1" s="1"/>
  <c r="H548" i="1"/>
  <c r="I548" i="1" s="1"/>
  <c r="K548" i="1" s="1"/>
  <c r="H545" i="1"/>
  <c r="I545" i="1" s="1"/>
  <c r="I543" i="1"/>
  <c r="H543" i="1"/>
  <c r="H542" i="1"/>
  <c r="I542" i="1" s="1"/>
  <c r="K542" i="1" s="1"/>
  <c r="I541" i="1"/>
  <c r="H541" i="1"/>
  <c r="H540" i="1"/>
  <c r="I540" i="1" s="1"/>
  <c r="K540" i="1" s="1"/>
  <c r="I539" i="1"/>
  <c r="H539" i="1"/>
  <c r="H537" i="1"/>
  <c r="I537" i="1" s="1"/>
  <c r="H536" i="1"/>
  <c r="I536" i="1" s="1"/>
  <c r="K536" i="1" s="1"/>
  <c r="H535" i="1"/>
  <c r="I535" i="1" s="1"/>
  <c r="K535" i="1" s="1"/>
  <c r="H534" i="1"/>
  <c r="I534" i="1" s="1"/>
  <c r="K534" i="1" s="1"/>
  <c r="H533" i="1"/>
  <c r="I533" i="1" s="1"/>
  <c r="H532" i="1"/>
  <c r="I532" i="1" s="1"/>
  <c r="H531" i="1"/>
  <c r="I531" i="1" s="1"/>
  <c r="H530" i="1"/>
  <c r="I530" i="1" s="1"/>
  <c r="K530" i="1" s="1"/>
  <c r="H529" i="1"/>
  <c r="I529" i="1" s="1"/>
  <c r="H528" i="1"/>
  <c r="I528" i="1" s="1"/>
  <c r="K528" i="1" s="1"/>
  <c r="H527" i="1"/>
  <c r="I527" i="1" s="1"/>
  <c r="H526" i="1"/>
  <c r="I526" i="1" s="1"/>
  <c r="H525" i="1"/>
  <c r="I525" i="1" s="1"/>
  <c r="H524" i="1"/>
  <c r="I524" i="1" s="1"/>
  <c r="K524" i="1" s="1"/>
  <c r="H523" i="1"/>
  <c r="I523" i="1" s="1"/>
  <c r="H522" i="1"/>
  <c r="I522" i="1" s="1"/>
  <c r="K522" i="1" s="1"/>
  <c r="H518" i="1"/>
  <c r="I518" i="1" s="1"/>
  <c r="H517" i="1"/>
  <c r="I517" i="1" s="1"/>
  <c r="I516" i="1"/>
  <c r="H516" i="1"/>
  <c r="H514" i="1"/>
  <c r="I514" i="1" s="1"/>
  <c r="H513" i="1"/>
  <c r="I513" i="1" s="1"/>
  <c r="H512" i="1"/>
  <c r="I512" i="1" s="1"/>
  <c r="K512" i="1" s="1"/>
  <c r="H511" i="1"/>
  <c r="I511" i="1" s="1"/>
  <c r="I509" i="1"/>
  <c r="K509" i="1" s="1"/>
  <c r="H509" i="1"/>
  <c r="I508" i="1"/>
  <c r="K508" i="1" s="1"/>
  <c r="H508" i="1"/>
  <c r="I507" i="1"/>
  <c r="K507" i="1" s="1"/>
  <c r="H507" i="1"/>
  <c r="H505" i="1"/>
  <c r="I505" i="1" s="1"/>
  <c r="H503" i="1"/>
  <c r="I503" i="1" s="1"/>
  <c r="I502" i="1"/>
  <c r="H502" i="1"/>
  <c r="I500" i="1"/>
  <c r="K500" i="1" s="1"/>
  <c r="H500" i="1"/>
  <c r="H499" i="1"/>
  <c r="I499" i="1" s="1"/>
  <c r="K499" i="1" s="1"/>
  <c r="H497" i="1"/>
  <c r="I497" i="1" s="1"/>
  <c r="K497" i="1" s="1"/>
  <c r="H496" i="1"/>
  <c r="I496" i="1" s="1"/>
  <c r="H495" i="1"/>
  <c r="I495" i="1" s="1"/>
  <c r="K495" i="1" s="1"/>
  <c r="H493" i="1"/>
  <c r="I493" i="1" s="1"/>
  <c r="K493" i="1" s="1"/>
  <c r="I492" i="1" s="1"/>
  <c r="H491" i="1"/>
  <c r="I491" i="1" s="1"/>
  <c r="K491" i="1" s="1"/>
  <c r="H490" i="1"/>
  <c r="I490" i="1" s="1"/>
  <c r="K490" i="1" s="1"/>
  <c r="I489" i="1" s="1"/>
  <c r="H488" i="1"/>
  <c r="I488" i="1" s="1"/>
  <c r="H487" i="1"/>
  <c r="I487" i="1" s="1"/>
  <c r="H485" i="1"/>
  <c r="I485" i="1" s="1"/>
  <c r="H484" i="1"/>
  <c r="I484" i="1" s="1"/>
  <c r="K484" i="1" s="1"/>
  <c r="H482" i="1"/>
  <c r="I482" i="1" s="1"/>
  <c r="K482" i="1" s="1"/>
  <c r="I481" i="1"/>
  <c r="H481" i="1"/>
  <c r="H479" i="1"/>
  <c r="I479" i="1" s="1"/>
  <c r="H477" i="1"/>
  <c r="I477" i="1" s="1"/>
  <c r="I475" i="1"/>
  <c r="H475" i="1"/>
  <c r="H474" i="1"/>
  <c r="I474" i="1" s="1"/>
  <c r="K474" i="1" s="1"/>
  <c r="H472" i="1"/>
  <c r="I472" i="1" s="1"/>
  <c r="H471" i="1"/>
  <c r="I471" i="1" s="1"/>
  <c r="H469" i="1"/>
  <c r="I469" i="1" s="1"/>
  <c r="I468" i="1"/>
  <c r="H468" i="1"/>
  <c r="H467" i="1"/>
  <c r="I467" i="1" s="1"/>
  <c r="H466" i="1"/>
  <c r="I466" i="1" s="1"/>
  <c r="H462" i="1"/>
  <c r="I462" i="1" s="1"/>
  <c r="H461" i="1"/>
  <c r="I461" i="1" s="1"/>
  <c r="H460" i="1"/>
  <c r="I460" i="1" s="1"/>
  <c r="H459" i="1"/>
  <c r="I459" i="1" s="1"/>
  <c r="H458" i="1"/>
  <c r="I458" i="1" s="1"/>
  <c r="H457" i="1"/>
  <c r="I457" i="1" s="1"/>
  <c r="H456" i="1"/>
  <c r="I456" i="1" s="1"/>
  <c r="H455" i="1"/>
  <c r="I455" i="1" s="1"/>
  <c r="K455" i="1" s="1"/>
  <c r="H454" i="1"/>
  <c r="I454" i="1" s="1"/>
  <c r="K454" i="1" s="1"/>
  <c r="H453" i="1"/>
  <c r="I453" i="1" s="1"/>
  <c r="H452" i="1"/>
  <c r="I452" i="1" s="1"/>
  <c r="H450" i="1"/>
  <c r="I450" i="1" s="1"/>
  <c r="K450" i="1" s="1"/>
  <c r="H449" i="1"/>
  <c r="I449" i="1" s="1"/>
  <c r="K449" i="1" s="1"/>
  <c r="H448" i="1"/>
  <c r="I448" i="1" s="1"/>
  <c r="H447" i="1"/>
  <c r="I447" i="1" s="1"/>
  <c r="I446" i="1"/>
  <c r="K446" i="1" s="1"/>
  <c r="H446" i="1"/>
  <c r="H445" i="1"/>
  <c r="I445" i="1" s="1"/>
  <c r="H444" i="1"/>
  <c r="I444" i="1" s="1"/>
  <c r="H443" i="1"/>
  <c r="I443" i="1" s="1"/>
  <c r="K443" i="1" s="1"/>
  <c r="H440" i="1"/>
  <c r="I440" i="1" s="1"/>
  <c r="K440" i="1" s="1"/>
  <c r="I439" i="1"/>
  <c r="K439" i="1" s="1"/>
  <c r="H439" i="1"/>
  <c r="H437" i="1"/>
  <c r="I437" i="1" s="1"/>
  <c r="H436" i="1"/>
  <c r="I436" i="1" s="1"/>
  <c r="K436" i="1" s="1"/>
  <c r="I435" i="1"/>
  <c r="H435" i="1"/>
  <c r="H433" i="1"/>
  <c r="I433" i="1" s="1"/>
  <c r="H432" i="1"/>
  <c r="I432" i="1" s="1"/>
  <c r="K432" i="1" s="1"/>
  <c r="H431" i="1"/>
  <c r="I431" i="1" s="1"/>
  <c r="K431" i="1" s="1"/>
  <c r="H430" i="1"/>
  <c r="I430" i="1" s="1"/>
  <c r="K430" i="1" s="1"/>
  <c r="H429" i="1"/>
  <c r="I429" i="1" s="1"/>
  <c r="K429" i="1" s="1"/>
  <c r="H428" i="1"/>
  <c r="I428" i="1" s="1"/>
  <c r="K428" i="1" s="1"/>
  <c r="H427" i="1"/>
  <c r="I427" i="1" s="1"/>
  <c r="H426" i="1"/>
  <c r="I426" i="1" s="1"/>
  <c r="K426" i="1" s="1"/>
  <c r="H425" i="1"/>
  <c r="I425" i="1" s="1"/>
  <c r="K425" i="1" s="1"/>
  <c r="H423" i="1"/>
  <c r="I423" i="1" s="1"/>
  <c r="H422" i="1"/>
  <c r="I422" i="1" s="1"/>
  <c r="H421" i="1"/>
  <c r="I421" i="1" s="1"/>
  <c r="H420" i="1"/>
  <c r="I420" i="1" s="1"/>
  <c r="K420" i="1" s="1"/>
  <c r="H419" i="1"/>
  <c r="I419" i="1" s="1"/>
  <c r="H417" i="1"/>
  <c r="I417" i="1" s="1"/>
  <c r="K417" i="1" s="1"/>
  <c r="H416" i="1"/>
  <c r="I416" i="1" s="1"/>
  <c r="H415" i="1"/>
  <c r="I415" i="1" s="1"/>
  <c r="H414" i="1"/>
  <c r="I414" i="1" s="1"/>
  <c r="H412" i="1"/>
  <c r="I412" i="1" s="1"/>
  <c r="H411" i="1"/>
  <c r="I411" i="1" s="1"/>
  <c r="H410" i="1"/>
  <c r="I410" i="1" s="1"/>
  <c r="K410" i="1" s="1"/>
  <c r="H408" i="1"/>
  <c r="I408" i="1" s="1"/>
  <c r="H407" i="1"/>
  <c r="I407" i="1" s="1"/>
  <c r="K407" i="1" s="1"/>
  <c r="H406" i="1"/>
  <c r="I406" i="1" s="1"/>
  <c r="H405" i="1"/>
  <c r="I405" i="1" s="1"/>
  <c r="K405" i="1" s="1"/>
  <c r="H404" i="1"/>
  <c r="I404" i="1" s="1"/>
  <c r="K404" i="1" s="1"/>
  <c r="H400" i="1"/>
  <c r="I400" i="1" s="1"/>
  <c r="I399" i="1"/>
  <c r="H399" i="1"/>
  <c r="H398" i="1"/>
  <c r="I398" i="1" s="1"/>
  <c r="K398" i="1" s="1"/>
  <c r="H397" i="1"/>
  <c r="I397" i="1" s="1"/>
  <c r="H396" i="1"/>
  <c r="I396" i="1" s="1"/>
  <c r="H395" i="1"/>
  <c r="I395" i="1" s="1"/>
  <c r="H394" i="1"/>
  <c r="I394" i="1" s="1"/>
  <c r="H393" i="1"/>
  <c r="I393" i="1" s="1"/>
  <c r="H392" i="1"/>
  <c r="I392" i="1" s="1"/>
  <c r="K392" i="1" s="1"/>
  <c r="H391" i="1"/>
  <c r="I391" i="1" s="1"/>
  <c r="H389" i="1"/>
  <c r="I389" i="1" s="1"/>
  <c r="K389" i="1" s="1"/>
  <c r="I388" i="1"/>
  <c r="H388" i="1"/>
  <c r="I383" i="1"/>
  <c r="K383" i="1" s="1"/>
  <c r="I382" i="1"/>
  <c r="I381" i="1"/>
  <c r="I380" i="1"/>
  <c r="I379" i="1"/>
  <c r="K379" i="1" s="1"/>
  <c r="I378" i="1"/>
  <c r="I377" i="1"/>
  <c r="I376" i="1"/>
  <c r="I375" i="1"/>
  <c r="K375" i="1" s="1"/>
  <c r="I371" i="1"/>
  <c r="I370" i="1"/>
  <c r="I368" i="1"/>
  <c r="I367" i="1"/>
  <c r="K367" i="1" s="1"/>
  <c r="I366" i="1"/>
  <c r="I365" i="1"/>
  <c r="K365" i="1" s="1"/>
  <c r="I364" i="1"/>
  <c r="I363" i="1"/>
  <c r="K363" i="1" s="1"/>
  <c r="I362" i="1"/>
  <c r="I361" i="1"/>
  <c r="I360" i="1"/>
  <c r="I358" i="1"/>
  <c r="K358" i="1" s="1"/>
  <c r="I357" i="1"/>
  <c r="I356" i="1"/>
  <c r="I355" i="1"/>
  <c r="I354" i="1"/>
  <c r="I353" i="1"/>
  <c r="K353" i="1" s="1"/>
  <c r="I352" i="1"/>
  <c r="K352" i="1" s="1"/>
  <c r="I351" i="1"/>
  <c r="I350" i="1"/>
  <c r="K350" i="1" s="1"/>
  <c r="I349" i="1"/>
  <c r="I348" i="1"/>
  <c r="I347" i="1"/>
  <c r="I346" i="1"/>
  <c r="I345" i="1"/>
  <c r="K345" i="1" s="1"/>
  <c r="I343" i="1"/>
  <c r="K343" i="1" s="1"/>
  <c r="I340" i="1"/>
  <c r="I339" i="1"/>
  <c r="K339" i="1" s="1"/>
  <c r="I338" i="1"/>
  <c r="I337" i="1"/>
  <c r="I336" i="1"/>
  <c r="I335" i="1"/>
  <c r="I334" i="1"/>
  <c r="I333" i="1"/>
  <c r="I332" i="1"/>
  <c r="I331" i="1"/>
  <c r="I330" i="1"/>
  <c r="I328" i="1"/>
  <c r="I325" i="1"/>
  <c r="I324" i="1"/>
  <c r="I323" i="1"/>
  <c r="I322" i="1"/>
  <c r="I321" i="1"/>
  <c r="I320" i="1"/>
  <c r="I319" i="1"/>
  <c r="I318" i="1"/>
  <c r="I317" i="1"/>
  <c r="I316" i="1"/>
  <c r="I315" i="1"/>
  <c r="I313" i="1"/>
  <c r="I312" i="1"/>
  <c r="I308" i="1"/>
  <c r="I307" i="1"/>
  <c r="I306" i="1"/>
  <c r="I305" i="1"/>
  <c r="K305" i="1" s="1"/>
  <c r="I303" i="1"/>
  <c r="I299" i="1"/>
  <c r="I298" i="1"/>
  <c r="I296" i="1"/>
  <c r="I295" i="1"/>
  <c r="I291" i="1"/>
  <c r="K291" i="1" s="1"/>
  <c r="I290" i="1"/>
  <c r="I289" i="1"/>
  <c r="I288" i="1"/>
  <c r="I287" i="1"/>
  <c r="K287" i="1" s="1"/>
  <c r="I286" i="1"/>
  <c r="I284" i="1"/>
  <c r="I283" i="1"/>
  <c r="I282" i="1"/>
  <c r="K282" i="1" s="1"/>
  <c r="I281" i="1"/>
  <c r="K281" i="1" s="1"/>
  <c r="I280" i="1"/>
  <c r="I278" i="1"/>
  <c r="I277" i="1"/>
  <c r="K277" i="1" s="1"/>
  <c r="I276" i="1"/>
  <c r="I275" i="1"/>
  <c r="I274" i="1"/>
  <c r="I272" i="1"/>
  <c r="K272" i="1" s="1"/>
  <c r="I271" i="1"/>
  <c r="I270" i="1"/>
  <c r="I266" i="1"/>
  <c r="I265" i="1"/>
  <c r="I264" i="1"/>
  <c r="I263" i="1"/>
  <c r="I262" i="1"/>
  <c r="I260" i="1"/>
  <c r="I259" i="1"/>
  <c r="K259" i="1" s="1"/>
  <c r="I258" i="1"/>
  <c r="I256" i="1"/>
  <c r="I255" i="1"/>
  <c r="I251" i="1"/>
  <c r="K251" i="1" s="1"/>
  <c r="I250" i="1"/>
  <c r="I249" i="1"/>
  <c r="I248" i="1"/>
  <c r="I247" i="1"/>
  <c r="K247" i="1" s="1"/>
  <c r="I245" i="1"/>
  <c r="I244" i="1"/>
  <c r="I243" i="1"/>
  <c r="K243" i="1" s="1"/>
  <c r="I242" i="1"/>
  <c r="K242" i="1" s="1"/>
  <c r="I241" i="1"/>
  <c r="I239" i="1"/>
  <c r="I237" i="1"/>
  <c r="K237" i="1" s="1"/>
  <c r="I236" i="1"/>
  <c r="K236" i="1" s="1"/>
  <c r="I235" i="1"/>
  <c r="I234" i="1"/>
  <c r="I232" i="1"/>
  <c r="I231" i="1"/>
  <c r="K231" i="1" s="1"/>
  <c r="I230" i="1"/>
  <c r="I226" i="1"/>
  <c r="I225" i="1"/>
  <c r="I224" i="1"/>
  <c r="I223" i="1"/>
  <c r="K223" i="1" s="1"/>
  <c r="I222" i="1"/>
  <c r="I220" i="1"/>
  <c r="I219" i="1"/>
  <c r="I218" i="1"/>
  <c r="K218" i="1" s="1"/>
  <c r="I217" i="1"/>
  <c r="I216" i="1"/>
  <c r="I215" i="1"/>
  <c r="I214" i="1"/>
  <c r="K214" i="1" s="1"/>
  <c r="I213" i="1"/>
  <c r="I212" i="1"/>
  <c r="I211" i="1"/>
  <c r="I210" i="1"/>
  <c r="K210" i="1" s="1"/>
  <c r="I209" i="1"/>
  <c r="I207" i="1"/>
  <c r="I206" i="1"/>
  <c r="I205" i="1"/>
  <c r="K205" i="1" s="1"/>
  <c r="I203" i="1"/>
  <c r="I202" i="1"/>
  <c r="I201" i="1"/>
  <c r="I199" i="1"/>
  <c r="K199" i="1" s="1"/>
  <c r="I196" i="1"/>
  <c r="I195" i="1"/>
  <c r="K195" i="1" s="1"/>
  <c r="I194" i="1"/>
  <c r="I193" i="1"/>
  <c r="I192" i="1"/>
  <c r="I191" i="1"/>
  <c r="K191" i="1" s="1"/>
  <c r="I189" i="1"/>
  <c r="K189" i="1" s="1"/>
  <c r="I188" i="1"/>
  <c r="I187" i="1"/>
  <c r="I185" i="1"/>
  <c r="I182" i="1"/>
  <c r="I181" i="1"/>
  <c r="I180" i="1"/>
  <c r="I179" i="1"/>
  <c r="K179" i="1" s="1"/>
  <c r="I177" i="1"/>
  <c r="K177" i="1" s="1"/>
  <c r="I176" i="1"/>
  <c r="I175" i="1"/>
  <c r="I173" i="1"/>
  <c r="K173" i="1" s="1"/>
  <c r="I172" i="1"/>
  <c r="I170" i="1"/>
  <c r="I169" i="1"/>
  <c r="I166" i="1"/>
  <c r="I164" i="1"/>
  <c r="I163" i="1"/>
  <c r="I162" i="1"/>
  <c r="K162" i="1" s="1"/>
  <c r="I161" i="1"/>
  <c r="I160" i="1"/>
  <c r="I158" i="1"/>
  <c r="I157" i="1"/>
  <c r="K157" i="1" s="1"/>
  <c r="I156" i="1"/>
  <c r="I155" i="1"/>
  <c r="I154" i="1"/>
  <c r="I153" i="1"/>
  <c r="K153" i="1" s="1"/>
  <c r="I152" i="1"/>
  <c r="I151" i="1"/>
  <c r="I150" i="1"/>
  <c r="I149" i="1"/>
  <c r="K149" i="1" s="1"/>
  <c r="I148" i="1"/>
  <c r="I147" i="1"/>
  <c r="I146" i="1"/>
  <c r="I145" i="1"/>
  <c r="K145" i="1" s="1"/>
  <c r="I144" i="1"/>
  <c r="I143" i="1"/>
  <c r="I139" i="1"/>
  <c r="I138" i="1"/>
  <c r="I137" i="1"/>
  <c r="K137" i="1" s="1"/>
  <c r="I135" i="1"/>
  <c r="I134" i="1"/>
  <c r="I133" i="1"/>
  <c r="I132" i="1"/>
  <c r="K132" i="1" s="1"/>
  <c r="I130" i="1"/>
  <c r="I129" i="1"/>
  <c r="I128" i="1"/>
  <c r="I126" i="1"/>
  <c r="K126" i="1" s="1"/>
  <c r="I125" i="1" s="1"/>
  <c r="I124" i="1"/>
  <c r="I123" i="1"/>
  <c r="I121" i="1"/>
  <c r="I120" i="1"/>
  <c r="K120" i="1" s="1"/>
  <c r="I118" i="1"/>
  <c r="I117" i="1"/>
  <c r="I116" i="1"/>
  <c r="I114" i="1"/>
  <c r="I112" i="1"/>
  <c r="I111" i="1"/>
  <c r="I109" i="1"/>
  <c r="I108" i="1"/>
  <c r="K108" i="1" s="1"/>
  <c r="I106" i="1"/>
  <c r="I105" i="1"/>
  <c r="I103" i="1"/>
  <c r="I102" i="1"/>
  <c r="K102" i="1" s="1"/>
  <c r="I100" i="1"/>
  <c r="I98" i="1"/>
  <c r="I96" i="1"/>
  <c r="I95" i="1"/>
  <c r="K95" i="1" s="1"/>
  <c r="I93" i="1"/>
  <c r="K93" i="1" s="1"/>
  <c r="I92" i="1"/>
  <c r="I90" i="1"/>
  <c r="I89" i="1"/>
  <c r="K89" i="1" s="1"/>
  <c r="I88" i="1"/>
  <c r="I87" i="1"/>
  <c r="I83" i="1"/>
  <c r="K83" i="1" s="1"/>
  <c r="I82" i="1"/>
  <c r="I81" i="1"/>
  <c r="I80" i="1"/>
  <c r="I79" i="1"/>
  <c r="K79" i="1" s="1"/>
  <c r="I78" i="1"/>
  <c r="I77" i="1"/>
  <c r="I76" i="1"/>
  <c r="I75" i="1"/>
  <c r="K75" i="1" s="1"/>
  <c r="I74" i="1"/>
  <c r="I73" i="1"/>
  <c r="I71" i="1"/>
  <c r="I70" i="1"/>
  <c r="K70" i="1" s="1"/>
  <c r="I69" i="1"/>
  <c r="I68" i="1"/>
  <c r="I67" i="1"/>
  <c r="I66" i="1"/>
  <c r="K66" i="1" s="1"/>
  <c r="I65" i="1"/>
  <c r="I64" i="1"/>
  <c r="I61" i="1"/>
  <c r="I60" i="1"/>
  <c r="I58" i="1"/>
  <c r="K58" i="1" s="1"/>
  <c r="I57" i="1"/>
  <c r="K57" i="1" s="1"/>
  <c r="I56" i="1"/>
  <c r="K56" i="1" s="1"/>
  <c r="I54" i="1"/>
  <c r="I53" i="1"/>
  <c r="I52" i="1"/>
  <c r="K52" i="1" s="1"/>
  <c r="I51" i="1"/>
  <c r="K51" i="1" s="1"/>
  <c r="I50" i="1"/>
  <c r="I49" i="1"/>
  <c r="I48" i="1"/>
  <c r="K48" i="1" s="1"/>
  <c r="I47" i="1"/>
  <c r="K47" i="1" s="1"/>
  <c r="I46" i="1"/>
  <c r="I44" i="1"/>
  <c r="I43" i="1"/>
  <c r="K43" i="1" s="1"/>
  <c r="I42" i="1"/>
  <c r="K42" i="1" s="1"/>
  <c r="I41" i="1"/>
  <c r="I40" i="1"/>
  <c r="I38" i="1"/>
  <c r="K38" i="1" s="1"/>
  <c r="I37" i="1"/>
  <c r="K37" i="1" s="1"/>
  <c r="I36" i="1"/>
  <c r="I35" i="1"/>
  <c r="I33" i="1"/>
  <c r="K33" i="1" s="1"/>
  <c r="I32" i="1"/>
  <c r="K32" i="1" s="1"/>
  <c r="I31" i="1"/>
  <c r="I29" i="1"/>
  <c r="I28" i="1"/>
  <c r="I27" i="1"/>
  <c r="I26" i="1"/>
  <c r="I25" i="1"/>
  <c r="I21" i="1"/>
  <c r="I20" i="1"/>
  <c r="I19" i="1"/>
  <c r="K19" i="1" s="1"/>
  <c r="I18" i="1"/>
  <c r="K18" i="1" s="1"/>
  <c r="I17" i="1"/>
  <c r="I16" i="1"/>
  <c r="I15" i="1"/>
  <c r="K15" i="1" s="1"/>
  <c r="I14" i="1"/>
  <c r="K14" i="1" s="1"/>
  <c r="I13" i="1"/>
  <c r="I12" i="1"/>
  <c r="I10" i="1"/>
  <c r="K10" i="1" s="1"/>
  <c r="I9" i="1"/>
  <c r="K1910" i="1"/>
  <c r="G1910" i="1"/>
  <c r="K1909" i="1"/>
  <c r="G1909" i="1"/>
  <c r="G1908" i="1"/>
  <c r="G1899" i="1"/>
  <c r="G1898" i="1"/>
  <c r="G1897" i="1"/>
  <c r="K1896" i="1"/>
  <c r="G1896" i="1"/>
  <c r="K1895" i="1"/>
  <c r="G1895" i="1"/>
  <c r="K1894" i="1"/>
  <c r="G1894" i="1"/>
  <c r="G1893" i="1"/>
  <c r="G1892" i="1"/>
  <c r="K1891" i="1"/>
  <c r="G1891" i="1"/>
  <c r="K1887" i="1"/>
  <c r="G1887" i="1"/>
  <c r="G1886" i="1"/>
  <c r="G1884" i="1"/>
  <c r="G1883" i="1"/>
  <c r="G1882" i="1"/>
  <c r="G1881" i="1"/>
  <c r="K1880" i="1"/>
  <c r="G1880" i="1"/>
  <c r="G1879" i="1"/>
  <c r="K1878" i="1"/>
  <c r="G1878" i="1"/>
  <c r="K1877" i="1"/>
  <c r="G1877" i="1"/>
  <c r="K1876" i="1"/>
  <c r="G1876" i="1"/>
  <c r="K1874" i="1"/>
  <c r="G1874" i="1"/>
  <c r="G1873" i="1"/>
  <c r="K1872" i="1"/>
  <c r="G1872" i="1"/>
  <c r="G1871" i="1"/>
  <c r="G1870" i="1"/>
  <c r="G1869" i="1"/>
  <c r="K1868" i="1"/>
  <c r="G1868" i="1"/>
  <c r="G1867" i="1"/>
  <c r="G1866" i="1"/>
  <c r="K1865" i="1"/>
  <c r="G1865" i="1"/>
  <c r="K1864" i="1"/>
  <c r="G1864" i="1"/>
  <c r="G1863" i="1"/>
  <c r="G1862" i="1"/>
  <c r="G1861" i="1"/>
  <c r="K1859" i="1"/>
  <c r="G1859" i="1"/>
  <c r="K1856" i="1"/>
  <c r="G1856" i="1"/>
  <c r="G1855" i="1"/>
  <c r="K1854" i="1"/>
  <c r="G1854" i="1"/>
  <c r="K1853" i="1"/>
  <c r="G1853" i="1"/>
  <c r="K1852" i="1"/>
  <c r="G1852" i="1"/>
  <c r="G1851" i="1"/>
  <c r="K1850" i="1"/>
  <c r="G1850" i="1"/>
  <c r="G1849" i="1"/>
  <c r="K1848" i="1"/>
  <c r="G1848" i="1"/>
  <c r="G1847" i="1"/>
  <c r="K1846" i="1"/>
  <c r="G1846" i="1"/>
  <c r="K1844" i="1"/>
  <c r="I1843" i="1" s="1"/>
  <c r="G1844" i="1"/>
  <c r="K1841" i="1"/>
  <c r="G1841" i="1"/>
  <c r="G1840" i="1"/>
  <c r="K1839" i="1"/>
  <c r="G1839" i="1"/>
  <c r="K1838" i="1"/>
  <c r="G1838" i="1"/>
  <c r="K1837" i="1"/>
  <c r="G1837" i="1"/>
  <c r="G1836" i="1"/>
  <c r="K1835" i="1"/>
  <c r="G1835" i="1"/>
  <c r="G1834" i="1"/>
  <c r="G1833" i="1"/>
  <c r="G1832" i="1"/>
  <c r="K1831" i="1"/>
  <c r="G1831" i="1"/>
  <c r="G1829" i="1"/>
  <c r="K1828" i="1"/>
  <c r="G1828" i="1"/>
  <c r="G1824" i="1"/>
  <c r="K1823" i="1"/>
  <c r="G1823" i="1"/>
  <c r="G1822" i="1"/>
  <c r="K1821" i="1"/>
  <c r="G1821" i="1"/>
  <c r="G1819" i="1"/>
  <c r="G1815" i="1"/>
  <c r="G1814" i="1"/>
  <c r="G1812" i="1"/>
  <c r="G1811" i="1"/>
  <c r="K1807" i="1"/>
  <c r="G1807" i="1"/>
  <c r="G1806" i="1"/>
  <c r="K1805" i="1"/>
  <c r="G1805" i="1"/>
  <c r="G1804" i="1"/>
  <c r="G1803" i="1"/>
  <c r="G1802" i="1"/>
  <c r="G1800" i="1"/>
  <c r="G1799" i="1"/>
  <c r="G1798" i="1"/>
  <c r="G1797" i="1"/>
  <c r="G1796" i="1"/>
  <c r="G1794" i="1"/>
  <c r="K1793" i="1"/>
  <c r="G1793" i="1"/>
  <c r="K1792" i="1"/>
  <c r="G1792" i="1"/>
  <c r="G1791" i="1"/>
  <c r="K1790" i="1"/>
  <c r="G1790" i="1"/>
  <c r="K1788" i="1"/>
  <c r="G1788" i="1"/>
  <c r="K1787" i="1"/>
  <c r="G1787" i="1"/>
  <c r="K1786" i="1"/>
  <c r="G1786" i="1"/>
  <c r="K1782" i="1"/>
  <c r="G1782" i="1"/>
  <c r="K1781" i="1"/>
  <c r="G1781" i="1"/>
  <c r="K1780" i="1"/>
  <c r="G1780" i="1"/>
  <c r="G1779" i="1"/>
  <c r="K1778" i="1"/>
  <c r="G1778" i="1"/>
  <c r="K1776" i="1"/>
  <c r="G1776" i="1"/>
  <c r="G1775" i="1"/>
  <c r="K1774" i="1"/>
  <c r="G1774" i="1"/>
  <c r="K1772" i="1"/>
  <c r="G1772" i="1"/>
  <c r="K1771" i="1"/>
  <c r="G1771" i="1"/>
  <c r="G1767" i="1"/>
  <c r="G1766" i="1"/>
  <c r="G1765" i="1"/>
  <c r="G1764" i="1"/>
  <c r="G1763" i="1"/>
  <c r="K1761" i="1"/>
  <c r="G1761" i="1"/>
  <c r="K1760" i="1"/>
  <c r="G1760" i="1"/>
  <c r="K1759" i="1"/>
  <c r="G1759" i="1"/>
  <c r="K1758" i="1"/>
  <c r="G1758" i="1"/>
  <c r="K1757" i="1"/>
  <c r="G1757" i="1"/>
  <c r="G1755" i="1"/>
  <c r="G1753" i="1"/>
  <c r="K1752" i="1"/>
  <c r="G1752" i="1"/>
  <c r="G1751" i="1"/>
  <c r="K1750" i="1"/>
  <c r="G1750" i="1"/>
  <c r="G1748" i="1"/>
  <c r="K1747" i="1"/>
  <c r="G1747" i="1"/>
  <c r="K1746" i="1"/>
  <c r="G1746" i="1"/>
  <c r="G1742" i="1"/>
  <c r="G1741" i="1"/>
  <c r="K1740" i="1"/>
  <c r="G1740" i="1"/>
  <c r="G1739" i="1"/>
  <c r="G1738" i="1"/>
  <c r="K1736" i="1"/>
  <c r="G1736" i="1"/>
  <c r="G1735" i="1"/>
  <c r="G1734" i="1"/>
  <c r="G1733" i="1"/>
  <c r="K1732" i="1"/>
  <c r="G1732" i="1"/>
  <c r="G1731" i="1"/>
  <c r="G1730" i="1"/>
  <c r="G1729" i="1"/>
  <c r="K1728" i="1"/>
  <c r="G1728" i="1"/>
  <c r="G1727" i="1"/>
  <c r="G1726" i="1"/>
  <c r="G1725" i="1"/>
  <c r="K1723" i="1"/>
  <c r="G1723" i="1"/>
  <c r="G1722" i="1"/>
  <c r="K1721" i="1"/>
  <c r="G1721" i="1"/>
  <c r="K1719" i="1"/>
  <c r="G1719" i="1"/>
  <c r="G1718" i="1"/>
  <c r="G1717" i="1"/>
  <c r="K1715" i="1"/>
  <c r="G1715" i="1"/>
  <c r="K1712" i="1"/>
  <c r="G1712" i="1"/>
  <c r="K1711" i="1"/>
  <c r="G1711" i="1"/>
  <c r="G1710" i="1"/>
  <c r="K1709" i="1"/>
  <c r="G1709" i="1"/>
  <c r="G1708" i="1"/>
  <c r="G1707" i="1"/>
  <c r="G1705" i="1"/>
  <c r="K1704" i="1"/>
  <c r="G1704" i="1"/>
  <c r="G1703" i="1"/>
  <c r="K1701" i="1"/>
  <c r="G1701" i="1"/>
  <c r="K1698" i="1"/>
  <c r="G1698" i="1"/>
  <c r="K1697" i="1"/>
  <c r="G1697" i="1"/>
  <c r="G1696" i="1"/>
  <c r="K1695" i="1"/>
  <c r="G1695" i="1"/>
  <c r="K1693" i="1"/>
  <c r="G1693" i="1"/>
  <c r="K1692" i="1"/>
  <c r="G1692" i="1"/>
  <c r="G1691" i="1"/>
  <c r="K1689" i="1"/>
  <c r="G1689" i="1"/>
  <c r="G1688" i="1"/>
  <c r="K1686" i="1"/>
  <c r="G1686" i="1"/>
  <c r="K1685" i="1"/>
  <c r="G1685" i="1"/>
  <c r="K1682" i="1"/>
  <c r="I1681" i="1" s="1"/>
  <c r="G1682" i="1"/>
  <c r="G1680" i="1"/>
  <c r="K1679" i="1"/>
  <c r="G1679" i="1"/>
  <c r="K1678" i="1"/>
  <c r="G1678" i="1"/>
  <c r="G1677" i="1"/>
  <c r="K1676" i="1"/>
  <c r="G1676" i="1"/>
  <c r="G1674" i="1"/>
  <c r="K1673" i="1"/>
  <c r="G1673" i="1"/>
  <c r="G1672" i="1"/>
  <c r="G1671" i="1"/>
  <c r="K1670" i="1"/>
  <c r="G1670" i="1"/>
  <c r="G1669" i="1"/>
  <c r="G1668" i="1"/>
  <c r="K1667" i="1"/>
  <c r="G1667" i="1"/>
  <c r="G1666" i="1"/>
  <c r="K1665" i="1"/>
  <c r="G1665" i="1"/>
  <c r="G1664" i="1"/>
  <c r="G1663" i="1"/>
  <c r="G1662" i="1"/>
  <c r="G1661" i="1"/>
  <c r="G1660" i="1"/>
  <c r="K1659" i="1"/>
  <c r="G1659" i="1"/>
  <c r="G1655" i="1"/>
  <c r="K1654" i="1"/>
  <c r="G1654" i="1"/>
  <c r="G1653" i="1"/>
  <c r="K1651" i="1"/>
  <c r="G1651" i="1"/>
  <c r="K1650" i="1"/>
  <c r="G1650" i="1"/>
  <c r="K1649" i="1"/>
  <c r="G1649" i="1"/>
  <c r="G1648" i="1"/>
  <c r="K1646" i="1"/>
  <c r="G1646" i="1"/>
  <c r="G1645" i="1"/>
  <c r="G1644" i="1"/>
  <c r="K1642" i="1"/>
  <c r="I1641" i="1" s="1"/>
  <c r="G1642" i="1"/>
  <c r="K1640" i="1"/>
  <c r="G1640" i="1"/>
  <c r="G1639" i="1"/>
  <c r="G1637" i="1"/>
  <c r="K1636" i="1"/>
  <c r="G1636" i="1"/>
  <c r="G1634" i="1"/>
  <c r="K1633" i="1"/>
  <c r="G1633" i="1"/>
  <c r="K1632" i="1"/>
  <c r="G1632" i="1"/>
  <c r="G1630" i="1"/>
  <c r="K1628" i="1"/>
  <c r="G1628" i="1"/>
  <c r="K1627" i="1"/>
  <c r="G1627" i="1"/>
  <c r="G1625" i="1"/>
  <c r="G1624" i="1"/>
  <c r="K1622" i="1"/>
  <c r="G1622" i="1"/>
  <c r="G1621" i="1"/>
  <c r="G1619" i="1"/>
  <c r="K1618" i="1"/>
  <c r="G1618" i="1"/>
  <c r="K1616" i="1"/>
  <c r="I1615" i="1" s="1"/>
  <c r="G1616" i="1"/>
  <c r="K1614" i="1"/>
  <c r="I1613" i="1" s="1"/>
  <c r="G1614" i="1"/>
  <c r="K1612" i="1"/>
  <c r="G1612" i="1"/>
  <c r="K1611" i="1"/>
  <c r="G1611" i="1"/>
  <c r="G1609" i="1"/>
  <c r="K1608" i="1"/>
  <c r="G1608" i="1"/>
  <c r="G1606" i="1"/>
  <c r="G1605" i="1"/>
  <c r="K1604" i="1"/>
  <c r="G1604" i="1"/>
  <c r="K1603" i="1"/>
  <c r="G1603" i="1"/>
  <c r="G1599" i="1"/>
  <c r="K1598" i="1"/>
  <c r="G1598" i="1"/>
  <c r="G1597" i="1"/>
  <c r="G1596" i="1"/>
  <c r="K1595" i="1"/>
  <c r="G1595" i="1"/>
  <c r="K1594" i="1"/>
  <c r="G1594" i="1"/>
  <c r="G1593" i="1"/>
  <c r="K1592" i="1"/>
  <c r="G1592" i="1"/>
  <c r="G1591" i="1"/>
  <c r="K1590" i="1"/>
  <c r="G1590" i="1"/>
  <c r="K1589" i="1"/>
  <c r="G1589" i="1"/>
  <c r="K1587" i="1"/>
  <c r="G1587" i="1"/>
  <c r="K1586" i="1"/>
  <c r="G1586" i="1"/>
  <c r="G1585" i="1"/>
  <c r="K1584" i="1"/>
  <c r="G1584" i="1"/>
  <c r="K1583" i="1"/>
  <c r="G1583" i="1"/>
  <c r="K1582" i="1"/>
  <c r="G1582" i="1"/>
  <c r="K1581" i="1"/>
  <c r="G1581" i="1"/>
  <c r="K1580" i="1"/>
  <c r="G1580" i="1"/>
  <c r="K1577" i="1"/>
  <c r="G1577" i="1"/>
  <c r="G1576" i="1"/>
  <c r="G1574" i="1"/>
  <c r="K1573" i="1"/>
  <c r="G1573" i="1"/>
  <c r="K1572" i="1"/>
  <c r="G1572" i="1"/>
  <c r="G1570" i="1"/>
  <c r="K1569" i="1"/>
  <c r="G1569" i="1"/>
  <c r="K1568" i="1"/>
  <c r="G1568" i="1"/>
  <c r="G1567" i="1"/>
  <c r="G1566" i="1"/>
  <c r="G1565" i="1"/>
  <c r="K1564" i="1"/>
  <c r="G1564" i="1"/>
  <c r="G1563" i="1"/>
  <c r="K1562" i="1"/>
  <c r="G1562" i="1"/>
  <c r="K1560" i="1"/>
  <c r="G1560" i="1"/>
  <c r="G1559" i="1"/>
  <c r="K1558" i="1"/>
  <c r="G1558" i="1"/>
  <c r="K1557" i="1"/>
  <c r="G1557" i="1"/>
  <c r="G1556" i="1"/>
  <c r="K1554" i="1"/>
  <c r="G1554" i="1"/>
  <c r="K1553" i="1"/>
  <c r="G1553" i="1"/>
  <c r="K1552" i="1"/>
  <c r="G1552" i="1"/>
  <c r="G1551" i="1"/>
  <c r="K1549" i="1"/>
  <c r="G1549" i="1"/>
  <c r="K1548" i="1"/>
  <c r="G1548" i="1"/>
  <c r="G1547" i="1"/>
  <c r="K1545" i="1"/>
  <c r="G1545" i="1"/>
  <c r="G1544" i="1"/>
  <c r="G1543" i="1"/>
  <c r="G1542" i="1"/>
  <c r="G1541" i="1"/>
  <c r="K1537" i="1"/>
  <c r="G1537" i="1"/>
  <c r="G1536" i="1"/>
  <c r="K1535" i="1"/>
  <c r="G1535" i="1"/>
  <c r="K1534" i="1"/>
  <c r="G1534" i="1"/>
  <c r="K1533" i="1"/>
  <c r="G1533" i="1"/>
  <c r="G1532" i="1"/>
  <c r="G1531" i="1"/>
  <c r="K1530" i="1"/>
  <c r="G1530" i="1"/>
  <c r="K1529" i="1"/>
  <c r="G1529" i="1"/>
  <c r="K1528" i="1"/>
  <c r="G1528" i="1"/>
  <c r="K1526" i="1"/>
  <c r="G1526" i="1"/>
  <c r="K1525" i="1"/>
  <c r="G1525" i="1"/>
  <c r="K1520" i="1"/>
  <c r="G1520" i="1"/>
  <c r="G1519" i="1"/>
  <c r="K1518" i="1"/>
  <c r="G1518" i="1"/>
  <c r="G1517" i="1"/>
  <c r="K1516" i="1"/>
  <c r="G1516" i="1"/>
  <c r="G1515" i="1"/>
  <c r="K1514" i="1"/>
  <c r="G1514" i="1"/>
  <c r="G1513" i="1"/>
  <c r="K1512" i="1"/>
  <c r="G1512" i="1"/>
  <c r="G1508" i="1"/>
  <c r="K1507" i="1"/>
  <c r="G1507" i="1"/>
  <c r="G1505" i="1"/>
  <c r="G1504" i="1"/>
  <c r="K1503" i="1"/>
  <c r="G1503" i="1"/>
  <c r="G1502" i="1"/>
  <c r="K1501" i="1"/>
  <c r="G1501" i="1"/>
  <c r="G1500" i="1"/>
  <c r="G1499" i="1"/>
  <c r="G1498" i="1"/>
  <c r="K1497" i="1"/>
  <c r="G1497" i="1"/>
  <c r="K1495" i="1"/>
  <c r="G1495" i="1"/>
  <c r="K1494" i="1"/>
  <c r="G1494" i="1"/>
  <c r="K1493" i="1"/>
  <c r="G1493" i="1"/>
  <c r="K1492" i="1"/>
  <c r="G1492" i="1"/>
  <c r="K1491" i="1"/>
  <c r="G1491" i="1"/>
  <c r="K1490" i="1"/>
  <c r="G1490" i="1"/>
  <c r="K1489" i="1"/>
  <c r="G1489" i="1"/>
  <c r="K1488" i="1"/>
  <c r="G1488" i="1"/>
  <c r="K1487" i="1"/>
  <c r="G1487" i="1"/>
  <c r="K1486" i="1"/>
  <c r="G1486" i="1"/>
  <c r="K1485" i="1"/>
  <c r="G1485" i="1"/>
  <c r="K1484" i="1"/>
  <c r="G1484" i="1"/>
  <c r="K1483" i="1"/>
  <c r="G1483" i="1"/>
  <c r="G1482" i="1"/>
  <c r="G1480" i="1"/>
  <c r="K1477" i="1"/>
  <c r="G1477" i="1"/>
  <c r="K1476" i="1"/>
  <c r="G1476" i="1"/>
  <c r="K1475" i="1"/>
  <c r="G1475" i="1"/>
  <c r="G1474" i="1"/>
  <c r="K1473" i="1"/>
  <c r="G1473" i="1"/>
  <c r="K1472" i="1"/>
  <c r="G1472" i="1"/>
  <c r="K1471" i="1"/>
  <c r="G1471" i="1"/>
  <c r="G1470" i="1"/>
  <c r="K1469" i="1"/>
  <c r="G1469" i="1"/>
  <c r="K1468" i="1"/>
  <c r="G1468" i="1"/>
  <c r="K1467" i="1"/>
  <c r="G1467" i="1"/>
  <c r="K1465" i="1"/>
  <c r="G1465" i="1"/>
  <c r="K1462" i="1"/>
  <c r="G1462" i="1"/>
  <c r="K1461" i="1"/>
  <c r="G1461" i="1"/>
  <c r="K1460" i="1"/>
  <c r="G1460" i="1"/>
  <c r="K1459" i="1"/>
  <c r="G1459" i="1"/>
  <c r="K1458" i="1"/>
  <c r="G1458" i="1"/>
  <c r="K1457" i="1"/>
  <c r="G1457" i="1"/>
  <c r="K1456" i="1"/>
  <c r="G1456" i="1"/>
  <c r="G1455" i="1"/>
  <c r="K1454" i="1"/>
  <c r="G1454" i="1"/>
  <c r="G1453" i="1"/>
  <c r="G1452" i="1"/>
  <c r="K1450" i="1"/>
  <c r="G1450" i="1"/>
  <c r="G1449" i="1"/>
  <c r="K1445" i="1"/>
  <c r="G1445" i="1"/>
  <c r="K1444" i="1"/>
  <c r="G1444" i="1"/>
  <c r="K1443" i="1"/>
  <c r="G1443" i="1"/>
  <c r="K1442" i="1"/>
  <c r="G1442" i="1"/>
  <c r="K1440" i="1"/>
  <c r="I1439" i="1" s="1"/>
  <c r="G1440" i="1"/>
  <c r="K1436" i="1"/>
  <c r="G1436" i="1"/>
  <c r="K1435" i="1"/>
  <c r="I1434" i="1" s="1"/>
  <c r="G1435" i="1"/>
  <c r="K1433" i="1"/>
  <c r="G1433" i="1"/>
  <c r="K1432" i="1"/>
  <c r="G1432" i="1"/>
  <c r="K1428" i="1"/>
  <c r="G1428" i="1"/>
  <c r="K1427" i="1"/>
  <c r="G1427" i="1"/>
  <c r="K1426" i="1"/>
  <c r="G1426" i="1"/>
  <c r="G1425" i="1"/>
  <c r="G1424" i="1"/>
  <c r="K1423" i="1"/>
  <c r="G1423" i="1"/>
  <c r="K1421" i="1"/>
  <c r="G1421" i="1"/>
  <c r="K1420" i="1"/>
  <c r="G1420" i="1"/>
  <c r="G1419" i="1"/>
  <c r="K1418" i="1"/>
  <c r="G1418" i="1"/>
  <c r="K1417" i="1"/>
  <c r="G1417" i="1"/>
  <c r="K1415" i="1"/>
  <c r="G1415" i="1"/>
  <c r="K1414" i="1"/>
  <c r="G1414" i="1"/>
  <c r="K1413" i="1"/>
  <c r="G1413" i="1"/>
  <c r="G1412" i="1"/>
  <c r="K1411" i="1"/>
  <c r="G1411" i="1"/>
  <c r="G1409" i="1"/>
  <c r="K1408" i="1"/>
  <c r="G1408" i="1"/>
  <c r="G1407" i="1"/>
  <c r="K1403" i="1"/>
  <c r="G1403" i="1"/>
  <c r="G1402" i="1"/>
  <c r="G1401" i="1"/>
  <c r="K1400" i="1"/>
  <c r="G1400" i="1"/>
  <c r="K1399" i="1"/>
  <c r="G1399" i="1"/>
  <c r="K1397" i="1"/>
  <c r="G1397" i="1"/>
  <c r="K1396" i="1"/>
  <c r="G1396" i="1"/>
  <c r="G1395" i="1"/>
  <c r="K1393" i="1"/>
  <c r="G1393" i="1"/>
  <c r="K1392" i="1"/>
  <c r="G1392" i="1"/>
  <c r="G1388" i="1"/>
  <c r="K1387" i="1"/>
  <c r="G1387" i="1"/>
  <c r="K1386" i="1"/>
  <c r="G1386" i="1"/>
  <c r="G1385" i="1"/>
  <c r="K1384" i="1"/>
  <c r="G1384" i="1"/>
  <c r="K1382" i="1"/>
  <c r="G1382" i="1"/>
  <c r="G1381" i="1"/>
  <c r="K1380" i="1"/>
  <c r="G1380" i="1"/>
  <c r="K1379" i="1"/>
  <c r="G1379" i="1"/>
  <c r="K1378" i="1"/>
  <c r="G1378" i="1"/>
  <c r="G1376" i="1"/>
  <c r="K1374" i="1"/>
  <c r="G1374" i="1"/>
  <c r="K1373" i="1"/>
  <c r="G1373" i="1"/>
  <c r="G1372" i="1"/>
  <c r="K1371" i="1"/>
  <c r="G1371" i="1"/>
  <c r="G1369" i="1"/>
  <c r="G1368" i="1"/>
  <c r="K1367" i="1"/>
  <c r="G1367" i="1"/>
  <c r="K1363" i="1"/>
  <c r="G1363" i="1"/>
  <c r="K1362" i="1"/>
  <c r="G1362" i="1"/>
  <c r="K1361" i="1"/>
  <c r="G1361" i="1"/>
  <c r="G1360" i="1"/>
  <c r="K1359" i="1"/>
  <c r="G1359" i="1"/>
  <c r="K1357" i="1"/>
  <c r="G1357" i="1"/>
  <c r="K1356" i="1"/>
  <c r="G1356" i="1"/>
  <c r="G1355" i="1"/>
  <c r="K1354" i="1"/>
  <c r="G1354" i="1"/>
  <c r="K1353" i="1"/>
  <c r="G1353" i="1"/>
  <c r="K1352" i="1"/>
  <c r="G1352" i="1"/>
  <c r="G1351" i="1"/>
  <c r="K1350" i="1"/>
  <c r="G1350" i="1"/>
  <c r="G1349" i="1"/>
  <c r="K1348" i="1"/>
  <c r="G1348" i="1"/>
  <c r="K1347" i="1"/>
  <c r="G1347" i="1"/>
  <c r="K1346" i="1"/>
  <c r="G1346" i="1"/>
  <c r="K1344" i="1"/>
  <c r="G1344" i="1"/>
  <c r="K1343" i="1"/>
  <c r="G1343" i="1"/>
  <c r="K1342" i="1"/>
  <c r="G1342" i="1"/>
  <c r="K1340" i="1"/>
  <c r="G1340" i="1"/>
  <c r="K1339" i="1"/>
  <c r="G1339" i="1"/>
  <c r="K1338" i="1"/>
  <c r="I1337" i="1" s="1"/>
  <c r="G1338" i="1"/>
  <c r="K1336" i="1"/>
  <c r="G1336" i="1"/>
  <c r="K1333" i="1"/>
  <c r="G1333" i="1"/>
  <c r="G1332" i="1"/>
  <c r="G1331" i="1"/>
  <c r="K1330" i="1"/>
  <c r="G1330" i="1"/>
  <c r="K1329" i="1"/>
  <c r="G1329" i="1"/>
  <c r="G1328" i="1"/>
  <c r="G1326" i="1"/>
  <c r="K1325" i="1"/>
  <c r="G1325" i="1"/>
  <c r="G1324" i="1"/>
  <c r="K1322" i="1"/>
  <c r="G1322" i="1"/>
  <c r="G1319" i="1"/>
  <c r="G1318" i="1"/>
  <c r="K1317" i="1"/>
  <c r="G1317" i="1"/>
  <c r="K1316" i="1"/>
  <c r="G1316" i="1"/>
  <c r="G1314" i="1"/>
  <c r="K1313" i="1"/>
  <c r="G1313" i="1"/>
  <c r="G1312" i="1"/>
  <c r="K1310" i="1"/>
  <c r="G1310" i="1"/>
  <c r="K1309" i="1"/>
  <c r="G1309" i="1"/>
  <c r="G1307" i="1"/>
  <c r="K1306" i="1"/>
  <c r="G1306" i="1"/>
  <c r="G1303" i="1"/>
  <c r="K1301" i="1"/>
  <c r="G1301" i="1"/>
  <c r="G1300" i="1"/>
  <c r="K1299" i="1"/>
  <c r="G1299" i="1"/>
  <c r="K1298" i="1"/>
  <c r="G1298" i="1"/>
  <c r="K1297" i="1"/>
  <c r="G1297" i="1"/>
  <c r="G1295" i="1"/>
  <c r="K1294" i="1"/>
  <c r="G1294" i="1"/>
  <c r="K1293" i="1"/>
  <c r="G1293" i="1"/>
  <c r="G1292" i="1"/>
  <c r="K1291" i="1"/>
  <c r="G1291" i="1"/>
  <c r="K1290" i="1"/>
  <c r="G1290" i="1"/>
  <c r="G1289" i="1"/>
  <c r="K1288" i="1"/>
  <c r="G1288" i="1"/>
  <c r="K1287" i="1"/>
  <c r="G1287" i="1"/>
  <c r="K1286" i="1"/>
  <c r="G1286" i="1"/>
  <c r="K1285" i="1"/>
  <c r="G1285" i="1"/>
  <c r="G1284" i="1"/>
  <c r="K1283" i="1"/>
  <c r="G1283" i="1"/>
  <c r="G1282" i="1"/>
  <c r="G1281" i="1"/>
  <c r="K1280" i="1"/>
  <c r="G1280" i="1"/>
  <c r="G1276" i="1"/>
  <c r="K1275" i="1"/>
  <c r="G1275" i="1"/>
  <c r="K1274" i="1"/>
  <c r="G1274" i="1"/>
  <c r="G1272" i="1"/>
  <c r="G1271" i="1"/>
  <c r="G1270" i="1"/>
  <c r="K1269" i="1"/>
  <c r="G1269" i="1"/>
  <c r="G1267" i="1"/>
  <c r="K1266" i="1"/>
  <c r="G1266" i="1"/>
  <c r="K1265" i="1"/>
  <c r="G1265" i="1"/>
  <c r="G1263" i="1"/>
  <c r="K1261" i="1"/>
  <c r="G1261" i="1"/>
  <c r="K1260" i="1"/>
  <c r="G1260" i="1"/>
  <c r="K1258" i="1"/>
  <c r="G1258" i="1"/>
  <c r="G1257" i="1"/>
  <c r="K1255" i="1"/>
  <c r="G1255" i="1"/>
  <c r="K1254" i="1"/>
  <c r="G1254" i="1"/>
  <c r="K1253" i="1"/>
  <c r="G1253" i="1"/>
  <c r="G1251" i="1"/>
  <c r="K1249" i="1"/>
  <c r="G1249" i="1"/>
  <c r="K1248" i="1"/>
  <c r="G1248" i="1"/>
  <c r="K1246" i="1"/>
  <c r="G1246" i="1"/>
  <c r="G1245" i="1"/>
  <c r="K1243" i="1"/>
  <c r="G1243" i="1"/>
  <c r="K1242" i="1"/>
  <c r="G1242" i="1"/>
  <c r="K1240" i="1"/>
  <c r="G1240" i="1"/>
  <c r="G1239" i="1"/>
  <c r="K1237" i="1"/>
  <c r="I1236" i="1" s="1"/>
  <c r="G1237" i="1"/>
  <c r="K1235" i="1"/>
  <c r="I1234" i="1" s="1"/>
  <c r="G1235" i="1"/>
  <c r="K1233" i="1"/>
  <c r="G1233" i="1"/>
  <c r="G1232" i="1"/>
  <c r="G1230" i="1"/>
  <c r="K1229" i="1"/>
  <c r="G1229" i="1"/>
  <c r="K1227" i="1"/>
  <c r="G1227" i="1"/>
  <c r="K1226" i="1"/>
  <c r="G1226" i="1"/>
  <c r="K1225" i="1"/>
  <c r="G1225" i="1"/>
  <c r="K1224" i="1"/>
  <c r="G1224" i="1"/>
  <c r="K1220" i="1"/>
  <c r="G1220" i="1"/>
  <c r="G1219" i="1"/>
  <c r="G1218" i="1"/>
  <c r="K1217" i="1"/>
  <c r="G1217" i="1"/>
  <c r="K1216" i="1"/>
  <c r="G1216" i="1"/>
  <c r="K1215" i="1"/>
  <c r="G1215" i="1"/>
  <c r="G1214" i="1"/>
  <c r="G1213" i="1"/>
  <c r="K1212" i="1"/>
  <c r="G1212" i="1"/>
  <c r="G1211" i="1"/>
  <c r="G1210" i="1"/>
  <c r="G1208" i="1"/>
  <c r="K1207" i="1"/>
  <c r="G1207" i="1"/>
  <c r="K1206" i="1"/>
  <c r="G1206" i="1"/>
  <c r="K1205" i="1"/>
  <c r="G1205" i="1"/>
  <c r="G1204" i="1"/>
  <c r="K1203" i="1"/>
  <c r="G1203" i="1"/>
  <c r="K1202" i="1"/>
  <c r="G1202" i="1"/>
  <c r="K1201" i="1"/>
  <c r="G1201" i="1"/>
  <c r="G1198" i="1"/>
  <c r="K1197" i="1"/>
  <c r="G1197" i="1"/>
  <c r="K1195" i="1"/>
  <c r="G1195" i="1"/>
  <c r="K1194" i="1"/>
  <c r="G1194" i="1"/>
  <c r="K1193" i="1"/>
  <c r="G1193" i="1"/>
  <c r="K1191" i="1"/>
  <c r="G1191" i="1"/>
  <c r="G1190" i="1"/>
  <c r="K1189" i="1"/>
  <c r="G1189" i="1"/>
  <c r="G1188" i="1"/>
  <c r="K1187" i="1"/>
  <c r="G1187" i="1"/>
  <c r="G1186" i="1"/>
  <c r="K1185" i="1"/>
  <c r="G1185" i="1"/>
  <c r="G1184" i="1"/>
  <c r="G1183" i="1"/>
  <c r="K1181" i="1"/>
  <c r="G1181" i="1"/>
  <c r="K1180" i="1"/>
  <c r="G1180" i="1"/>
  <c r="G1179" i="1"/>
  <c r="K1178" i="1"/>
  <c r="G1178" i="1"/>
  <c r="K1177" i="1"/>
  <c r="G1177" i="1"/>
  <c r="G1175" i="1"/>
  <c r="K1174" i="1"/>
  <c r="G1174" i="1"/>
  <c r="G1173" i="1"/>
  <c r="K1172" i="1"/>
  <c r="G1172" i="1"/>
  <c r="G1170" i="1"/>
  <c r="G1169" i="1"/>
  <c r="K1168" i="1"/>
  <c r="G1168" i="1"/>
  <c r="G1166" i="1"/>
  <c r="K1165" i="1"/>
  <c r="G1165" i="1"/>
  <c r="K1164" i="1"/>
  <c r="G1164" i="1"/>
  <c r="G1163" i="1"/>
  <c r="G1162" i="1"/>
  <c r="K1158" i="1"/>
  <c r="G1158" i="1"/>
  <c r="G1157" i="1"/>
  <c r="K1156" i="1"/>
  <c r="G1156" i="1"/>
  <c r="K1155" i="1"/>
  <c r="G1155" i="1"/>
  <c r="G1154" i="1"/>
  <c r="K1153" i="1"/>
  <c r="G1153" i="1"/>
  <c r="G1152" i="1"/>
  <c r="G1151" i="1"/>
  <c r="K1150" i="1"/>
  <c r="G1150" i="1"/>
  <c r="K1149" i="1"/>
  <c r="G1149" i="1"/>
  <c r="K1147" i="1"/>
  <c r="G1147" i="1"/>
  <c r="G1146" i="1"/>
  <c r="G1141" i="1"/>
  <c r="K1140" i="1"/>
  <c r="G1140" i="1"/>
  <c r="K1139" i="1"/>
  <c r="G1139" i="1"/>
  <c r="K1138" i="1"/>
  <c r="G1138" i="1"/>
  <c r="G1137" i="1"/>
  <c r="K1136" i="1"/>
  <c r="G1136" i="1"/>
  <c r="K1135" i="1"/>
  <c r="G1135" i="1"/>
  <c r="K1134" i="1"/>
  <c r="G1134" i="1"/>
  <c r="G1133" i="1"/>
  <c r="G1129" i="1"/>
  <c r="K1128" i="1"/>
  <c r="G1128" i="1"/>
  <c r="K1126" i="1"/>
  <c r="G1126" i="1"/>
  <c r="K1125" i="1"/>
  <c r="G1125" i="1"/>
  <c r="K1124" i="1"/>
  <c r="G1124" i="1"/>
  <c r="K1123" i="1"/>
  <c r="G1123" i="1"/>
  <c r="K1122" i="1"/>
  <c r="G1122" i="1"/>
  <c r="K1121" i="1"/>
  <c r="G1121" i="1"/>
  <c r="K1120" i="1"/>
  <c r="G1120" i="1"/>
  <c r="K1119" i="1"/>
  <c r="G1119" i="1"/>
  <c r="G1118" i="1"/>
  <c r="G1116" i="1"/>
  <c r="K1115" i="1"/>
  <c r="G1115" i="1"/>
  <c r="G1114" i="1"/>
  <c r="G1113" i="1"/>
  <c r="K1112" i="1"/>
  <c r="G1112" i="1"/>
  <c r="G1111" i="1"/>
  <c r="K1110" i="1"/>
  <c r="G1110" i="1"/>
  <c r="G1109" i="1"/>
  <c r="G1108" i="1"/>
  <c r="K1107" i="1"/>
  <c r="G1107" i="1"/>
  <c r="G1106" i="1"/>
  <c r="G1105" i="1"/>
  <c r="K1104" i="1"/>
  <c r="G1104" i="1"/>
  <c r="G1103" i="1"/>
  <c r="K1101" i="1"/>
  <c r="G1101" i="1"/>
  <c r="K1098" i="1"/>
  <c r="G1098" i="1"/>
  <c r="K1097" i="1"/>
  <c r="G1097" i="1"/>
  <c r="K1096" i="1"/>
  <c r="G1096" i="1"/>
  <c r="K1095" i="1"/>
  <c r="G1095" i="1"/>
  <c r="K1094" i="1"/>
  <c r="G1094" i="1"/>
  <c r="K1093" i="1"/>
  <c r="G1093" i="1"/>
  <c r="K1092" i="1"/>
  <c r="G1092" i="1"/>
  <c r="K1091" i="1"/>
  <c r="G1091" i="1"/>
  <c r="K1090" i="1"/>
  <c r="G1090" i="1"/>
  <c r="K1089" i="1"/>
  <c r="G1089" i="1"/>
  <c r="K1088" i="1"/>
  <c r="I1087" i="1" s="1"/>
  <c r="G1088" i="1"/>
  <c r="K1086" i="1"/>
  <c r="G1086" i="1"/>
  <c r="K1083" i="1"/>
  <c r="G1083" i="1"/>
  <c r="K1082" i="1"/>
  <c r="G1082" i="1"/>
  <c r="K1081" i="1"/>
  <c r="G1081" i="1"/>
  <c r="G1080" i="1"/>
  <c r="K1079" i="1"/>
  <c r="G1079" i="1"/>
  <c r="K1078" i="1"/>
  <c r="G1078" i="1"/>
  <c r="K1077" i="1"/>
  <c r="G1077" i="1"/>
  <c r="K1076" i="1"/>
  <c r="G1076" i="1"/>
  <c r="K1075" i="1"/>
  <c r="G1075" i="1"/>
  <c r="G1074" i="1"/>
  <c r="K1073" i="1"/>
  <c r="G1073" i="1"/>
  <c r="K1071" i="1"/>
  <c r="G1071" i="1"/>
  <c r="K1070" i="1"/>
  <c r="G1070" i="1"/>
  <c r="K1066" i="1"/>
  <c r="G1066" i="1"/>
  <c r="G1065" i="1"/>
  <c r="K1064" i="1"/>
  <c r="G1064" i="1"/>
  <c r="K1063" i="1"/>
  <c r="G1063" i="1"/>
  <c r="G1061" i="1"/>
  <c r="K1057" i="1"/>
  <c r="G1057" i="1"/>
  <c r="G1056" i="1"/>
  <c r="K1054" i="1"/>
  <c r="G1054" i="1"/>
  <c r="G1053" i="1"/>
  <c r="K1049" i="1"/>
  <c r="G1049" i="1"/>
  <c r="K1048" i="1"/>
  <c r="G1048" i="1"/>
  <c r="G1047" i="1"/>
  <c r="K1046" i="1"/>
  <c r="G1046" i="1"/>
  <c r="K1045" i="1"/>
  <c r="G1045" i="1"/>
  <c r="G1044" i="1"/>
  <c r="K1042" i="1"/>
  <c r="G1042" i="1"/>
  <c r="G1041" i="1"/>
  <c r="K1040" i="1"/>
  <c r="G1040" i="1"/>
  <c r="K1039" i="1"/>
  <c r="G1039" i="1"/>
  <c r="G1038" i="1"/>
  <c r="G1036" i="1"/>
  <c r="K1035" i="1"/>
  <c r="G1035" i="1"/>
  <c r="K1034" i="1"/>
  <c r="G1034" i="1"/>
  <c r="G1033" i="1"/>
  <c r="K1032" i="1"/>
  <c r="G1032" i="1"/>
  <c r="K1030" i="1"/>
  <c r="G1030" i="1"/>
  <c r="K1029" i="1"/>
  <c r="G1029" i="1"/>
  <c r="G1028" i="1"/>
  <c r="K1024" i="1"/>
  <c r="G1024" i="1"/>
  <c r="K1023" i="1"/>
  <c r="G1023" i="1"/>
  <c r="K1022" i="1"/>
  <c r="G1022" i="1"/>
  <c r="K1021" i="1"/>
  <c r="G1021" i="1"/>
  <c r="K1020" i="1"/>
  <c r="G1020" i="1"/>
  <c r="K1018" i="1"/>
  <c r="G1018" i="1"/>
  <c r="K1017" i="1"/>
  <c r="G1017" i="1"/>
  <c r="K1016" i="1"/>
  <c r="G1016" i="1"/>
  <c r="K1014" i="1"/>
  <c r="G1014" i="1"/>
  <c r="K1013" i="1"/>
  <c r="G1013" i="1"/>
  <c r="G1009" i="1"/>
  <c r="G1008" i="1"/>
  <c r="K1007" i="1"/>
  <c r="G1007" i="1"/>
  <c r="G1006" i="1"/>
  <c r="K1005" i="1"/>
  <c r="G1005" i="1"/>
  <c r="K1003" i="1"/>
  <c r="G1003" i="1"/>
  <c r="K1002" i="1"/>
  <c r="G1002" i="1"/>
  <c r="G1001" i="1"/>
  <c r="K1000" i="1"/>
  <c r="I998" i="1" s="1"/>
  <c r="G1000" i="1"/>
  <c r="K999" i="1"/>
  <c r="G999" i="1"/>
  <c r="K997" i="1"/>
  <c r="I996" i="1" s="1"/>
  <c r="G997" i="1"/>
  <c r="K995" i="1"/>
  <c r="G995" i="1"/>
  <c r="K994" i="1"/>
  <c r="G994" i="1"/>
  <c r="K993" i="1"/>
  <c r="G993" i="1"/>
  <c r="K992" i="1"/>
  <c r="G992" i="1"/>
  <c r="K990" i="1"/>
  <c r="G990" i="1"/>
  <c r="K989" i="1"/>
  <c r="G989" i="1"/>
  <c r="K988" i="1"/>
  <c r="G988" i="1"/>
  <c r="K984" i="1"/>
  <c r="G984" i="1"/>
  <c r="K983" i="1"/>
  <c r="G983" i="1"/>
  <c r="K982" i="1"/>
  <c r="G982" i="1"/>
  <c r="K981" i="1"/>
  <c r="G981" i="1"/>
  <c r="G980" i="1"/>
  <c r="G978" i="1"/>
  <c r="K977" i="1"/>
  <c r="G977" i="1"/>
  <c r="K976" i="1"/>
  <c r="G976" i="1"/>
  <c r="K975" i="1"/>
  <c r="G975" i="1"/>
  <c r="G974" i="1"/>
  <c r="G973" i="1"/>
  <c r="K972" i="1"/>
  <c r="G972" i="1"/>
  <c r="K971" i="1"/>
  <c r="G971" i="1"/>
  <c r="G970" i="1"/>
  <c r="K969" i="1"/>
  <c r="G969" i="1"/>
  <c r="K968" i="1"/>
  <c r="G968" i="1"/>
  <c r="K967" i="1"/>
  <c r="G967" i="1"/>
  <c r="K965" i="1"/>
  <c r="G965" i="1"/>
  <c r="K964" i="1"/>
  <c r="G964" i="1"/>
  <c r="K963" i="1"/>
  <c r="G963" i="1"/>
  <c r="K961" i="1"/>
  <c r="G961" i="1"/>
  <c r="K960" i="1"/>
  <c r="G960" i="1"/>
  <c r="K959" i="1"/>
  <c r="G959" i="1"/>
  <c r="K957" i="1"/>
  <c r="G957" i="1"/>
  <c r="G954" i="1"/>
  <c r="K953" i="1"/>
  <c r="G953" i="1"/>
  <c r="G952" i="1"/>
  <c r="K951" i="1"/>
  <c r="G951" i="1"/>
  <c r="G950" i="1"/>
  <c r="K949" i="1"/>
  <c r="G949" i="1"/>
  <c r="K947" i="1"/>
  <c r="G947" i="1"/>
  <c r="G946" i="1"/>
  <c r="K945" i="1"/>
  <c r="G945" i="1"/>
  <c r="K943" i="1"/>
  <c r="G943" i="1"/>
  <c r="G940" i="1"/>
  <c r="G939" i="1"/>
  <c r="K938" i="1"/>
  <c r="G938" i="1"/>
  <c r="K937" i="1"/>
  <c r="G937" i="1"/>
  <c r="K935" i="1"/>
  <c r="G935" i="1"/>
  <c r="G934" i="1"/>
  <c r="K933" i="1"/>
  <c r="G933" i="1"/>
  <c r="K931" i="1"/>
  <c r="G931" i="1"/>
  <c r="K930" i="1"/>
  <c r="I929" i="1" s="1"/>
  <c r="G930" i="1"/>
  <c r="G928" i="1"/>
  <c r="K927" i="1"/>
  <c r="G927" i="1"/>
  <c r="G924" i="1"/>
  <c r="K922" i="1"/>
  <c r="G922" i="1"/>
  <c r="K921" i="1"/>
  <c r="G921" i="1"/>
  <c r="K920" i="1"/>
  <c r="G920" i="1"/>
  <c r="G919" i="1"/>
  <c r="K918" i="1"/>
  <c r="G918" i="1"/>
  <c r="K916" i="1"/>
  <c r="G916" i="1"/>
  <c r="K915" i="1"/>
  <c r="G915" i="1"/>
  <c r="G914" i="1"/>
  <c r="K913" i="1"/>
  <c r="G913" i="1"/>
  <c r="K912" i="1"/>
  <c r="G912" i="1"/>
  <c r="K911" i="1"/>
  <c r="G911" i="1"/>
  <c r="G910" i="1"/>
  <c r="K909" i="1"/>
  <c r="G909" i="1"/>
  <c r="K908" i="1"/>
  <c r="G908" i="1"/>
  <c r="K907" i="1"/>
  <c r="G907" i="1"/>
  <c r="G906" i="1"/>
  <c r="K905" i="1"/>
  <c r="G905" i="1"/>
  <c r="K904" i="1"/>
  <c r="G904" i="1"/>
  <c r="G903" i="1"/>
  <c r="K902" i="1"/>
  <c r="G902" i="1"/>
  <c r="G901" i="1"/>
  <c r="G897" i="1"/>
  <c r="K896" i="1"/>
  <c r="G896" i="1"/>
  <c r="G895" i="1"/>
  <c r="G893" i="1"/>
  <c r="G892" i="1"/>
  <c r="K891" i="1"/>
  <c r="G891" i="1"/>
  <c r="G890" i="1"/>
  <c r="K888" i="1"/>
  <c r="G888" i="1"/>
  <c r="G887" i="1"/>
  <c r="G886" i="1"/>
  <c r="K884" i="1"/>
  <c r="I883" i="1" s="1"/>
  <c r="G884" i="1"/>
  <c r="K882" i="1"/>
  <c r="G882" i="1"/>
  <c r="G881" i="1"/>
  <c r="G879" i="1"/>
  <c r="G878" i="1"/>
  <c r="G876" i="1"/>
  <c r="K875" i="1"/>
  <c r="G875" i="1"/>
  <c r="G874" i="1"/>
  <c r="G872" i="1"/>
  <c r="K870" i="1"/>
  <c r="G870" i="1"/>
  <c r="K869" i="1"/>
  <c r="G869" i="1"/>
  <c r="G867" i="1"/>
  <c r="G866" i="1"/>
  <c r="K864" i="1"/>
  <c r="G864" i="1"/>
  <c r="G863" i="1"/>
  <c r="G861" i="1"/>
  <c r="G860" i="1"/>
  <c r="G858" i="1"/>
  <c r="G856" i="1"/>
  <c r="K854" i="1"/>
  <c r="G854" i="1"/>
  <c r="K853" i="1"/>
  <c r="G853" i="1"/>
  <c r="G851" i="1"/>
  <c r="K850" i="1"/>
  <c r="G850" i="1"/>
  <c r="G848" i="1"/>
  <c r="K847" i="1"/>
  <c r="G847" i="1"/>
  <c r="K846" i="1"/>
  <c r="G846" i="1"/>
  <c r="G845" i="1"/>
  <c r="K841" i="1"/>
  <c r="G841" i="1"/>
  <c r="G840" i="1"/>
  <c r="G839" i="1"/>
  <c r="G838" i="1"/>
  <c r="G837" i="1"/>
  <c r="K836" i="1"/>
  <c r="G836" i="1"/>
  <c r="K835" i="1"/>
  <c r="G835" i="1"/>
  <c r="G834" i="1"/>
  <c r="G833" i="1"/>
  <c r="K832" i="1"/>
  <c r="G832" i="1"/>
  <c r="G831" i="1"/>
  <c r="G829" i="1"/>
  <c r="K828" i="1"/>
  <c r="G828" i="1"/>
  <c r="G827" i="1"/>
  <c r="K826" i="1"/>
  <c r="G826" i="1"/>
  <c r="K825" i="1"/>
  <c r="G825" i="1"/>
  <c r="K824" i="1"/>
  <c r="G824" i="1"/>
  <c r="G823" i="1"/>
  <c r="K822" i="1"/>
  <c r="G822" i="1"/>
  <c r="G819" i="1"/>
  <c r="G818" i="1"/>
  <c r="G816" i="1"/>
  <c r="G815" i="1"/>
  <c r="G814" i="1"/>
  <c r="G812" i="1"/>
  <c r="G811" i="1"/>
  <c r="K810" i="1"/>
  <c r="G810" i="1"/>
  <c r="G809" i="1"/>
  <c r="K808" i="1"/>
  <c r="G808" i="1"/>
  <c r="K807" i="1"/>
  <c r="G807" i="1"/>
  <c r="K806" i="1"/>
  <c r="G806" i="1"/>
  <c r="G805" i="1"/>
  <c r="K804" i="1"/>
  <c r="G804" i="1"/>
  <c r="K802" i="1"/>
  <c r="G802" i="1"/>
  <c r="G801" i="1"/>
  <c r="G800" i="1"/>
  <c r="K799" i="1"/>
  <c r="G799" i="1"/>
  <c r="G798" i="1"/>
  <c r="K796" i="1"/>
  <c r="G796" i="1"/>
  <c r="G795" i="1"/>
  <c r="G794" i="1"/>
  <c r="K793" i="1"/>
  <c r="G793" i="1"/>
  <c r="K791" i="1"/>
  <c r="G791" i="1"/>
  <c r="G790" i="1"/>
  <c r="G789" i="1"/>
  <c r="G787" i="1"/>
  <c r="K786" i="1"/>
  <c r="G786" i="1"/>
  <c r="K785" i="1"/>
  <c r="G785" i="1"/>
  <c r="K784" i="1"/>
  <c r="G784" i="1"/>
  <c r="G783" i="1"/>
  <c r="G779" i="1"/>
  <c r="G778" i="1"/>
  <c r="G777" i="1"/>
  <c r="K776" i="1"/>
  <c r="G776" i="1"/>
  <c r="G775" i="1"/>
  <c r="G774" i="1"/>
  <c r="G773" i="1"/>
  <c r="G772" i="1"/>
  <c r="G771" i="1"/>
  <c r="G770" i="1"/>
  <c r="K768" i="1"/>
  <c r="G768" i="1"/>
  <c r="K767" i="1"/>
  <c r="G767" i="1"/>
  <c r="K762" i="1"/>
  <c r="G762" i="1"/>
  <c r="G761" i="1"/>
  <c r="G760" i="1"/>
  <c r="K759" i="1"/>
  <c r="G759" i="1"/>
  <c r="K758" i="1"/>
  <c r="G758" i="1"/>
  <c r="G757" i="1"/>
  <c r="K756" i="1"/>
  <c r="G756" i="1"/>
  <c r="G755" i="1"/>
  <c r="K754" i="1"/>
  <c r="G754" i="1"/>
  <c r="G750" i="1"/>
  <c r="G749" i="1"/>
  <c r="G747" i="1"/>
  <c r="K746" i="1"/>
  <c r="G746" i="1"/>
  <c r="K745" i="1"/>
  <c r="G745" i="1"/>
  <c r="G744" i="1"/>
  <c r="G743" i="1"/>
  <c r="K742" i="1"/>
  <c r="G742" i="1"/>
  <c r="G741" i="1"/>
  <c r="G740" i="1"/>
  <c r="K739" i="1"/>
  <c r="G739" i="1"/>
  <c r="G737" i="1"/>
  <c r="G736" i="1"/>
  <c r="K735" i="1"/>
  <c r="G735" i="1"/>
  <c r="G734" i="1"/>
  <c r="G733" i="1"/>
  <c r="K732" i="1"/>
  <c r="G732" i="1"/>
  <c r="G731" i="1"/>
  <c r="G730" i="1"/>
  <c r="K729" i="1"/>
  <c r="G729" i="1"/>
  <c r="G728" i="1"/>
  <c r="G727" i="1"/>
  <c r="G726" i="1"/>
  <c r="K725" i="1"/>
  <c r="G725" i="1"/>
  <c r="G724" i="1"/>
  <c r="G722" i="1"/>
  <c r="K719" i="1"/>
  <c r="G719" i="1"/>
  <c r="K718" i="1"/>
  <c r="G718" i="1"/>
  <c r="K717" i="1"/>
  <c r="G717" i="1"/>
  <c r="K716" i="1"/>
  <c r="G716" i="1"/>
  <c r="K715" i="1"/>
  <c r="G715" i="1"/>
  <c r="K714" i="1"/>
  <c r="G714" i="1"/>
  <c r="G713" i="1"/>
  <c r="K712" i="1"/>
  <c r="G712" i="1"/>
  <c r="K711" i="1"/>
  <c r="G711" i="1"/>
  <c r="G710" i="1"/>
  <c r="G709" i="1"/>
  <c r="G707" i="1"/>
  <c r="K704" i="1"/>
  <c r="G704" i="1"/>
  <c r="G703" i="1"/>
  <c r="K702" i="1"/>
  <c r="G702" i="1"/>
  <c r="K701" i="1"/>
  <c r="G701" i="1"/>
  <c r="G700" i="1"/>
  <c r="K699" i="1"/>
  <c r="G699" i="1"/>
  <c r="K698" i="1"/>
  <c r="G698" i="1"/>
  <c r="G697" i="1"/>
  <c r="K696" i="1"/>
  <c r="G696" i="1"/>
  <c r="K695" i="1"/>
  <c r="G695" i="1"/>
  <c r="K694" i="1"/>
  <c r="G694" i="1"/>
  <c r="K692" i="1"/>
  <c r="G692" i="1"/>
  <c r="K691" i="1"/>
  <c r="G691" i="1"/>
  <c r="K687" i="1"/>
  <c r="G687" i="1"/>
  <c r="K686" i="1"/>
  <c r="G686" i="1"/>
  <c r="K685" i="1"/>
  <c r="G685" i="1"/>
  <c r="G684" i="1"/>
  <c r="K682" i="1"/>
  <c r="G682" i="1"/>
  <c r="K678" i="1"/>
  <c r="G678" i="1"/>
  <c r="G677" i="1"/>
  <c r="K675" i="1"/>
  <c r="G675" i="1"/>
  <c r="K674" i="1"/>
  <c r="G674" i="1"/>
  <c r="K670" i="1"/>
  <c r="G670" i="1"/>
  <c r="G669" i="1"/>
  <c r="G668" i="1"/>
  <c r="G667" i="1"/>
  <c r="G666" i="1"/>
  <c r="G665" i="1"/>
  <c r="G663" i="1"/>
  <c r="G662" i="1"/>
  <c r="K661" i="1"/>
  <c r="G661" i="1"/>
  <c r="K660" i="1"/>
  <c r="G660" i="1"/>
  <c r="G659" i="1"/>
  <c r="K657" i="1"/>
  <c r="G657" i="1"/>
  <c r="G656" i="1"/>
  <c r="G655" i="1"/>
  <c r="K654" i="1"/>
  <c r="G654" i="1"/>
  <c r="K653" i="1"/>
  <c r="G653" i="1"/>
  <c r="G651" i="1"/>
  <c r="K650" i="1"/>
  <c r="G650" i="1"/>
  <c r="K649" i="1"/>
  <c r="G649" i="1"/>
  <c r="G645" i="1"/>
  <c r="K644" i="1"/>
  <c r="G644" i="1"/>
  <c r="K643" i="1"/>
  <c r="G643" i="1"/>
  <c r="G642" i="1"/>
  <c r="K641" i="1"/>
  <c r="G641" i="1"/>
  <c r="K639" i="1"/>
  <c r="G639" i="1"/>
  <c r="K638" i="1"/>
  <c r="G638" i="1"/>
  <c r="K637" i="1"/>
  <c r="G637" i="1"/>
  <c r="K635" i="1"/>
  <c r="G635" i="1"/>
  <c r="K634" i="1"/>
  <c r="G634" i="1"/>
  <c r="K630" i="1"/>
  <c r="G630" i="1"/>
  <c r="K629" i="1"/>
  <c r="G629" i="1"/>
  <c r="G628" i="1"/>
  <c r="K627" i="1"/>
  <c r="G627" i="1"/>
  <c r="K626" i="1"/>
  <c r="G626" i="1"/>
  <c r="G624" i="1"/>
  <c r="G623" i="1"/>
  <c r="G622" i="1"/>
  <c r="G621" i="1"/>
  <c r="K620" i="1"/>
  <c r="G620" i="1"/>
  <c r="G618" i="1"/>
  <c r="G616" i="1"/>
  <c r="K615" i="1"/>
  <c r="G615" i="1"/>
  <c r="G614" i="1"/>
  <c r="K613" i="1"/>
  <c r="G613" i="1"/>
  <c r="K611" i="1"/>
  <c r="G611" i="1"/>
  <c r="K610" i="1"/>
  <c r="G610" i="1"/>
  <c r="G609" i="1"/>
  <c r="G605" i="1"/>
  <c r="G604" i="1"/>
  <c r="K603" i="1"/>
  <c r="G603" i="1"/>
  <c r="G602" i="1"/>
  <c r="K601" i="1"/>
  <c r="G601" i="1"/>
  <c r="K599" i="1"/>
  <c r="G599" i="1"/>
  <c r="G598" i="1"/>
  <c r="K597" i="1"/>
  <c r="G597" i="1"/>
  <c r="K596" i="1"/>
  <c r="G596" i="1"/>
  <c r="K595" i="1"/>
  <c r="G595" i="1"/>
  <c r="G594" i="1"/>
  <c r="K593" i="1"/>
  <c r="G593" i="1"/>
  <c r="G592" i="1"/>
  <c r="G591" i="1"/>
  <c r="K590" i="1"/>
  <c r="G590" i="1"/>
  <c r="K589" i="1"/>
  <c r="G589" i="1"/>
  <c r="K588" i="1"/>
  <c r="G588" i="1"/>
  <c r="G586" i="1"/>
  <c r="G585" i="1"/>
  <c r="G584" i="1"/>
  <c r="K582" i="1"/>
  <c r="G582" i="1"/>
  <c r="G581" i="1"/>
  <c r="K580" i="1"/>
  <c r="G580" i="1"/>
  <c r="G578" i="1"/>
  <c r="G575" i="1"/>
  <c r="G574" i="1"/>
  <c r="G573" i="1"/>
  <c r="K572" i="1"/>
  <c r="G572" i="1"/>
  <c r="K571" i="1"/>
  <c r="G571" i="1"/>
  <c r="K570" i="1"/>
  <c r="G570" i="1"/>
  <c r="G568" i="1"/>
  <c r="G567" i="1"/>
  <c r="K566" i="1"/>
  <c r="G566" i="1"/>
  <c r="G564" i="1"/>
  <c r="G561" i="1"/>
  <c r="K560" i="1"/>
  <c r="G560" i="1"/>
  <c r="G559" i="1"/>
  <c r="K558" i="1"/>
  <c r="G558" i="1"/>
  <c r="G556" i="1"/>
  <c r="G555" i="1"/>
  <c r="K554" i="1"/>
  <c r="G554" i="1"/>
  <c r="G552" i="1"/>
  <c r="G551" i="1"/>
  <c r="K549" i="1"/>
  <c r="G549" i="1"/>
  <c r="G548" i="1"/>
  <c r="K545" i="1"/>
  <c r="I544" i="1" s="1"/>
  <c r="G545" i="1"/>
  <c r="K543" i="1"/>
  <c r="G543" i="1"/>
  <c r="G542" i="1"/>
  <c r="K541" i="1"/>
  <c r="G541" i="1"/>
  <c r="G540" i="1"/>
  <c r="K539" i="1"/>
  <c r="G539" i="1"/>
  <c r="K537" i="1"/>
  <c r="G537" i="1"/>
  <c r="G536" i="1"/>
  <c r="G535" i="1"/>
  <c r="G534" i="1"/>
  <c r="K533" i="1"/>
  <c r="G533" i="1"/>
  <c r="K532" i="1"/>
  <c r="G532" i="1"/>
  <c r="K531" i="1"/>
  <c r="G531" i="1"/>
  <c r="G530" i="1"/>
  <c r="K529" i="1"/>
  <c r="G529" i="1"/>
  <c r="G528" i="1"/>
  <c r="K527" i="1"/>
  <c r="G527" i="1"/>
  <c r="K526" i="1"/>
  <c r="G526" i="1"/>
  <c r="K525" i="1"/>
  <c r="G525" i="1"/>
  <c r="G524" i="1"/>
  <c r="K523" i="1"/>
  <c r="G523" i="1"/>
  <c r="G522" i="1"/>
  <c r="G518" i="1"/>
  <c r="K517" i="1"/>
  <c r="G517" i="1"/>
  <c r="K516" i="1"/>
  <c r="G516" i="1"/>
  <c r="K514" i="1"/>
  <c r="G514" i="1"/>
  <c r="K513" i="1"/>
  <c r="G513" i="1"/>
  <c r="G512" i="1"/>
  <c r="K511" i="1"/>
  <c r="G511" i="1"/>
  <c r="G509" i="1"/>
  <c r="G508" i="1"/>
  <c r="G507" i="1"/>
  <c r="K505" i="1"/>
  <c r="I504" i="1" s="1"/>
  <c r="G505" i="1"/>
  <c r="K503" i="1"/>
  <c r="G503" i="1"/>
  <c r="K502" i="1"/>
  <c r="G502" i="1"/>
  <c r="G500" i="1"/>
  <c r="G499" i="1"/>
  <c r="G497" i="1"/>
  <c r="K496" i="1"/>
  <c r="G496" i="1"/>
  <c r="G495" i="1"/>
  <c r="G493" i="1"/>
  <c r="G491" i="1"/>
  <c r="G490" i="1"/>
  <c r="K488" i="1"/>
  <c r="G488" i="1"/>
  <c r="K487" i="1"/>
  <c r="I486" i="1" s="1"/>
  <c r="G487" i="1"/>
  <c r="K485" i="1"/>
  <c r="G485" i="1"/>
  <c r="G484" i="1"/>
  <c r="G482" i="1"/>
  <c r="K481" i="1"/>
  <c r="G481" i="1"/>
  <c r="K479" i="1"/>
  <c r="I478" i="1" s="1"/>
  <c r="G479" i="1"/>
  <c r="K477" i="1"/>
  <c r="I476" i="1" s="1"/>
  <c r="G477" i="1"/>
  <c r="K475" i="1"/>
  <c r="G475" i="1"/>
  <c r="G474" i="1"/>
  <c r="K472" i="1"/>
  <c r="G472" i="1"/>
  <c r="K471" i="1"/>
  <c r="G471" i="1"/>
  <c r="G469" i="1"/>
  <c r="K468" i="1"/>
  <c r="G468" i="1"/>
  <c r="G467" i="1"/>
  <c r="K466" i="1"/>
  <c r="G466" i="1"/>
  <c r="K462" i="1"/>
  <c r="G462" i="1"/>
  <c r="K461" i="1"/>
  <c r="G461" i="1"/>
  <c r="K460" i="1"/>
  <c r="G460" i="1"/>
  <c r="K459" i="1"/>
  <c r="G459" i="1"/>
  <c r="K458" i="1"/>
  <c r="G458" i="1"/>
  <c r="K457" i="1"/>
  <c r="G457" i="1"/>
  <c r="K456" i="1"/>
  <c r="G456" i="1"/>
  <c r="G455" i="1"/>
  <c r="G454" i="1"/>
  <c r="K453" i="1"/>
  <c r="G453" i="1"/>
  <c r="K452" i="1"/>
  <c r="G452" i="1"/>
  <c r="G450" i="1"/>
  <c r="G449" i="1"/>
  <c r="K448" i="1"/>
  <c r="G448" i="1"/>
  <c r="K447" i="1"/>
  <c r="G447" i="1"/>
  <c r="G446" i="1"/>
  <c r="K445" i="1"/>
  <c r="G445" i="1"/>
  <c r="K444" i="1"/>
  <c r="G444" i="1"/>
  <c r="G443" i="1"/>
  <c r="G440" i="1"/>
  <c r="G439" i="1"/>
  <c r="K437" i="1"/>
  <c r="G437" i="1"/>
  <c r="G436" i="1"/>
  <c r="K435" i="1"/>
  <c r="G435" i="1"/>
  <c r="K433" i="1"/>
  <c r="G433" i="1"/>
  <c r="G432" i="1"/>
  <c r="G431" i="1"/>
  <c r="G430" i="1"/>
  <c r="G429" i="1"/>
  <c r="G428" i="1"/>
  <c r="K427" i="1"/>
  <c r="G427" i="1"/>
  <c r="G426" i="1"/>
  <c r="G425" i="1"/>
  <c r="K423" i="1"/>
  <c r="G423" i="1"/>
  <c r="K422" i="1"/>
  <c r="G422" i="1"/>
  <c r="K421" i="1"/>
  <c r="G421" i="1"/>
  <c r="G420" i="1"/>
  <c r="K419" i="1"/>
  <c r="G419" i="1"/>
  <c r="G417" i="1"/>
  <c r="G416" i="1"/>
  <c r="K415" i="1"/>
  <c r="G415" i="1"/>
  <c r="G414" i="1"/>
  <c r="K412" i="1"/>
  <c r="G412" i="1"/>
  <c r="G411" i="1"/>
  <c r="G410" i="1"/>
  <c r="K408" i="1"/>
  <c r="G408" i="1"/>
  <c r="G407" i="1"/>
  <c r="K406" i="1"/>
  <c r="G406" i="1"/>
  <c r="G405" i="1"/>
  <c r="G404" i="1"/>
  <c r="K400" i="1"/>
  <c r="G400" i="1"/>
  <c r="K399" i="1"/>
  <c r="G399" i="1"/>
  <c r="G398" i="1"/>
  <c r="K397" i="1"/>
  <c r="G397" i="1"/>
  <c r="K396" i="1"/>
  <c r="G396" i="1"/>
  <c r="G395" i="1"/>
  <c r="K394" i="1"/>
  <c r="G394" i="1"/>
  <c r="K393" i="1"/>
  <c r="G393" i="1"/>
  <c r="G392" i="1"/>
  <c r="K391" i="1"/>
  <c r="G391" i="1"/>
  <c r="G389" i="1"/>
  <c r="K388" i="1"/>
  <c r="G388" i="1"/>
  <c r="G383" i="1"/>
  <c r="K382" i="1"/>
  <c r="G382" i="1"/>
  <c r="K381" i="1"/>
  <c r="G381" i="1"/>
  <c r="K380" i="1"/>
  <c r="G380" i="1"/>
  <c r="G379" i="1"/>
  <c r="K378" i="1"/>
  <c r="G378" i="1"/>
  <c r="K377" i="1"/>
  <c r="G377" i="1"/>
  <c r="K376" i="1"/>
  <c r="G376" i="1"/>
  <c r="G375" i="1"/>
  <c r="K371" i="1"/>
  <c r="G371" i="1"/>
  <c r="K370" i="1"/>
  <c r="G370" i="1"/>
  <c r="K368" i="1"/>
  <c r="G368" i="1"/>
  <c r="G367" i="1"/>
  <c r="K366" i="1"/>
  <c r="G366" i="1"/>
  <c r="G365" i="1"/>
  <c r="K364" i="1"/>
  <c r="G364" i="1"/>
  <c r="G363" i="1"/>
  <c r="K362" i="1"/>
  <c r="G362" i="1"/>
  <c r="K361" i="1"/>
  <c r="G361" i="1"/>
  <c r="K360" i="1"/>
  <c r="G360" i="1"/>
  <c r="G358" i="1"/>
  <c r="G357" i="1"/>
  <c r="K356" i="1"/>
  <c r="G356" i="1"/>
  <c r="K355" i="1"/>
  <c r="G355" i="1"/>
  <c r="K354" i="1"/>
  <c r="G354" i="1"/>
  <c r="G353" i="1"/>
  <c r="G352" i="1"/>
  <c r="K351" i="1"/>
  <c r="G351" i="1"/>
  <c r="G350" i="1"/>
  <c r="G349" i="1"/>
  <c r="K348" i="1"/>
  <c r="G348" i="1"/>
  <c r="K347" i="1"/>
  <c r="G347" i="1"/>
  <c r="K346" i="1"/>
  <c r="G346" i="1"/>
  <c r="G345" i="1"/>
  <c r="G343" i="1"/>
  <c r="K340" i="1"/>
  <c r="G340" i="1"/>
  <c r="G339" i="1"/>
  <c r="K338" i="1"/>
  <c r="G338" i="1"/>
  <c r="K337" i="1"/>
  <c r="G337" i="1"/>
  <c r="K336" i="1"/>
  <c r="G336" i="1"/>
  <c r="K335" i="1"/>
  <c r="G335" i="1"/>
  <c r="K334" i="1"/>
  <c r="G334" i="1"/>
  <c r="K333" i="1"/>
  <c r="G333" i="1"/>
  <c r="K332" i="1"/>
  <c r="G332" i="1"/>
  <c r="K331" i="1"/>
  <c r="G331" i="1"/>
  <c r="K330" i="1"/>
  <c r="G330" i="1"/>
  <c r="K328" i="1"/>
  <c r="G328" i="1"/>
  <c r="K325" i="1"/>
  <c r="G325" i="1"/>
  <c r="K324" i="1"/>
  <c r="G324" i="1"/>
  <c r="K323" i="1"/>
  <c r="G323" i="1"/>
  <c r="K322" i="1"/>
  <c r="G322" i="1"/>
  <c r="K321" i="1"/>
  <c r="G321" i="1"/>
  <c r="K320" i="1"/>
  <c r="G320" i="1"/>
  <c r="K319" i="1"/>
  <c r="G319" i="1"/>
  <c r="K318" i="1"/>
  <c r="G318" i="1"/>
  <c r="K317" i="1"/>
  <c r="G317" i="1"/>
  <c r="K316" i="1"/>
  <c r="G316" i="1"/>
  <c r="K315" i="1"/>
  <c r="G315" i="1"/>
  <c r="K313" i="1"/>
  <c r="G313" i="1"/>
  <c r="K312" i="1"/>
  <c r="G312" i="1"/>
  <c r="K308" i="1"/>
  <c r="G308" i="1"/>
  <c r="K307" i="1"/>
  <c r="G307" i="1"/>
  <c r="K306" i="1"/>
  <c r="G306" i="1"/>
  <c r="G305" i="1"/>
  <c r="K303" i="1"/>
  <c r="G303" i="1"/>
  <c r="K299" i="1"/>
  <c r="G299" i="1"/>
  <c r="K298" i="1"/>
  <c r="I297" i="1" s="1"/>
  <c r="G298" i="1"/>
  <c r="K296" i="1"/>
  <c r="G296" i="1"/>
  <c r="K295" i="1"/>
  <c r="G295" i="1"/>
  <c r="G291" i="1"/>
  <c r="K290" i="1"/>
  <c r="G290" i="1"/>
  <c r="K289" i="1"/>
  <c r="G289" i="1"/>
  <c r="K288" i="1"/>
  <c r="G288" i="1"/>
  <c r="G287" i="1"/>
  <c r="K286" i="1"/>
  <c r="G286" i="1"/>
  <c r="K284" i="1"/>
  <c r="G284" i="1"/>
  <c r="K283" i="1"/>
  <c r="G283" i="1"/>
  <c r="G282" i="1"/>
  <c r="G281" i="1"/>
  <c r="K280" i="1"/>
  <c r="G280" i="1"/>
  <c r="K278" i="1"/>
  <c r="G278" i="1"/>
  <c r="G277" i="1"/>
  <c r="K276" i="1"/>
  <c r="G276" i="1"/>
  <c r="K275" i="1"/>
  <c r="G275" i="1"/>
  <c r="K274" i="1"/>
  <c r="G274" i="1"/>
  <c r="G272" i="1"/>
  <c r="K271" i="1"/>
  <c r="G271" i="1"/>
  <c r="K270" i="1"/>
  <c r="G270" i="1"/>
  <c r="K266" i="1"/>
  <c r="G266" i="1"/>
  <c r="K265" i="1"/>
  <c r="G265" i="1"/>
  <c r="K264" i="1"/>
  <c r="G264" i="1"/>
  <c r="K263" i="1"/>
  <c r="G263" i="1"/>
  <c r="K262" i="1"/>
  <c r="G262" i="1"/>
  <c r="K260" i="1"/>
  <c r="G260" i="1"/>
  <c r="G259" i="1"/>
  <c r="K258" i="1"/>
  <c r="G258" i="1"/>
  <c r="K256" i="1"/>
  <c r="G256" i="1"/>
  <c r="K255" i="1"/>
  <c r="G255" i="1"/>
  <c r="G251" i="1"/>
  <c r="K250" i="1"/>
  <c r="G250" i="1"/>
  <c r="K249" i="1"/>
  <c r="G249" i="1"/>
  <c r="K248" i="1"/>
  <c r="G248" i="1"/>
  <c r="G247" i="1"/>
  <c r="K245" i="1"/>
  <c r="G245" i="1"/>
  <c r="K244" i="1"/>
  <c r="G244" i="1"/>
  <c r="G243" i="1"/>
  <c r="G242" i="1"/>
  <c r="K241" i="1"/>
  <c r="G241" i="1"/>
  <c r="K239" i="1"/>
  <c r="I238" i="1" s="1"/>
  <c r="G239" i="1"/>
  <c r="G237" i="1"/>
  <c r="G236" i="1"/>
  <c r="K235" i="1"/>
  <c r="G235" i="1"/>
  <c r="K234" i="1"/>
  <c r="G234" i="1"/>
  <c r="K232" i="1"/>
  <c r="G232" i="1"/>
  <c r="G231" i="1"/>
  <c r="K230" i="1"/>
  <c r="G230" i="1"/>
  <c r="K226" i="1"/>
  <c r="G226" i="1"/>
  <c r="K225" i="1"/>
  <c r="G225" i="1"/>
  <c r="K224" i="1"/>
  <c r="G224" i="1"/>
  <c r="G223" i="1"/>
  <c r="K222" i="1"/>
  <c r="G222" i="1"/>
  <c r="K220" i="1"/>
  <c r="G220" i="1"/>
  <c r="K219" i="1"/>
  <c r="G219" i="1"/>
  <c r="G218" i="1"/>
  <c r="K217" i="1"/>
  <c r="G217" i="1"/>
  <c r="K216" i="1"/>
  <c r="G216" i="1"/>
  <c r="K215" i="1"/>
  <c r="G215" i="1"/>
  <c r="G214" i="1"/>
  <c r="K213" i="1"/>
  <c r="G213" i="1"/>
  <c r="K212" i="1"/>
  <c r="G212" i="1"/>
  <c r="K211" i="1"/>
  <c r="G211" i="1"/>
  <c r="G210" i="1"/>
  <c r="K209" i="1"/>
  <c r="G209" i="1"/>
  <c r="K207" i="1"/>
  <c r="G207" i="1"/>
  <c r="K206" i="1"/>
  <c r="G206" i="1"/>
  <c r="G205" i="1"/>
  <c r="K203" i="1"/>
  <c r="G203" i="1"/>
  <c r="K202" i="1"/>
  <c r="G202" i="1"/>
  <c r="K201" i="1"/>
  <c r="G201" i="1"/>
  <c r="G199" i="1"/>
  <c r="K196" i="1"/>
  <c r="G196" i="1"/>
  <c r="G195" i="1"/>
  <c r="K194" i="1"/>
  <c r="G194" i="1"/>
  <c r="K193" i="1"/>
  <c r="G193" i="1"/>
  <c r="K192" i="1"/>
  <c r="G192" i="1"/>
  <c r="G191" i="1"/>
  <c r="G189" i="1"/>
  <c r="K188" i="1"/>
  <c r="G188" i="1"/>
  <c r="K187" i="1"/>
  <c r="G187" i="1"/>
  <c r="G185" i="1"/>
  <c r="K182" i="1"/>
  <c r="G182" i="1"/>
  <c r="K181" i="1"/>
  <c r="G181" i="1"/>
  <c r="K180" i="1"/>
  <c r="G180" i="1"/>
  <c r="G179" i="1"/>
  <c r="G177" i="1"/>
  <c r="K176" i="1"/>
  <c r="G176" i="1"/>
  <c r="K175" i="1"/>
  <c r="G175" i="1"/>
  <c r="G173" i="1"/>
  <c r="K172" i="1"/>
  <c r="G172" i="1"/>
  <c r="K170" i="1"/>
  <c r="G170" i="1"/>
  <c r="K169" i="1"/>
  <c r="G169" i="1"/>
  <c r="K166" i="1"/>
  <c r="I165" i="1" s="1"/>
  <c r="G166" i="1"/>
  <c r="K164" i="1"/>
  <c r="G164" i="1"/>
  <c r="K163" i="1"/>
  <c r="G163" i="1"/>
  <c r="G162" i="1"/>
  <c r="K161" i="1"/>
  <c r="G161" i="1"/>
  <c r="K160" i="1"/>
  <c r="G160" i="1"/>
  <c r="K158" i="1"/>
  <c r="G158" i="1"/>
  <c r="G157" i="1"/>
  <c r="K156" i="1"/>
  <c r="G156" i="1"/>
  <c r="K155" i="1"/>
  <c r="G155" i="1"/>
  <c r="K154" i="1"/>
  <c r="G154" i="1"/>
  <c r="G153" i="1"/>
  <c r="K152" i="1"/>
  <c r="G152" i="1"/>
  <c r="K151" i="1"/>
  <c r="G151" i="1"/>
  <c r="K150" i="1"/>
  <c r="G150" i="1"/>
  <c r="G149" i="1"/>
  <c r="K148" i="1"/>
  <c r="G148" i="1"/>
  <c r="K147" i="1"/>
  <c r="G147" i="1"/>
  <c r="K146" i="1"/>
  <c r="G146" i="1"/>
  <c r="G145" i="1"/>
  <c r="K144" i="1"/>
  <c r="G144" i="1"/>
  <c r="K143" i="1"/>
  <c r="G143" i="1"/>
  <c r="K139" i="1"/>
  <c r="G139" i="1"/>
  <c r="K138" i="1"/>
  <c r="G138" i="1"/>
  <c r="G137" i="1"/>
  <c r="K135" i="1"/>
  <c r="G135" i="1"/>
  <c r="K134" i="1"/>
  <c r="G134" i="1"/>
  <c r="K133" i="1"/>
  <c r="G133" i="1"/>
  <c r="G132" i="1"/>
  <c r="K130" i="1"/>
  <c r="G130" i="1"/>
  <c r="K129" i="1"/>
  <c r="G129" i="1"/>
  <c r="K128" i="1"/>
  <c r="G128" i="1"/>
  <c r="G126" i="1"/>
  <c r="K124" i="1"/>
  <c r="G124" i="1"/>
  <c r="K123" i="1"/>
  <c r="G123" i="1"/>
  <c r="K121" i="1"/>
  <c r="G121" i="1"/>
  <c r="G120" i="1"/>
  <c r="K118" i="1"/>
  <c r="G118" i="1"/>
  <c r="K117" i="1"/>
  <c r="G117" i="1"/>
  <c r="K116" i="1"/>
  <c r="G116" i="1"/>
  <c r="G114" i="1"/>
  <c r="K112" i="1"/>
  <c r="G112" i="1"/>
  <c r="K111" i="1"/>
  <c r="G111" i="1"/>
  <c r="K109" i="1"/>
  <c r="G109" i="1"/>
  <c r="G108" i="1"/>
  <c r="K106" i="1"/>
  <c r="G106" i="1"/>
  <c r="K105" i="1"/>
  <c r="G105" i="1"/>
  <c r="K103" i="1"/>
  <c r="G103" i="1"/>
  <c r="G102" i="1"/>
  <c r="K100" i="1"/>
  <c r="I99" i="1" s="1"/>
  <c r="G100" i="1"/>
  <c r="K98" i="1"/>
  <c r="I97" i="1" s="1"/>
  <c r="G98" i="1"/>
  <c r="K96" i="1"/>
  <c r="G96" i="1"/>
  <c r="G95" i="1"/>
  <c r="G93" i="1"/>
  <c r="K92" i="1"/>
  <c r="G92" i="1"/>
  <c r="K90" i="1"/>
  <c r="G90" i="1"/>
  <c r="G89" i="1"/>
  <c r="K88" i="1"/>
  <c r="G88" i="1"/>
  <c r="K87" i="1"/>
  <c r="G87" i="1"/>
  <c r="G83" i="1"/>
  <c r="K82" i="1"/>
  <c r="G82" i="1"/>
  <c r="K81" i="1"/>
  <c r="G81" i="1"/>
  <c r="K80" i="1"/>
  <c r="G80" i="1"/>
  <c r="G79" i="1"/>
  <c r="K78" i="1"/>
  <c r="G78" i="1"/>
  <c r="K77" i="1"/>
  <c r="G77" i="1"/>
  <c r="K76" i="1"/>
  <c r="G76" i="1"/>
  <c r="G75" i="1"/>
  <c r="K74" i="1"/>
  <c r="G74" i="1"/>
  <c r="K73" i="1"/>
  <c r="G73" i="1"/>
  <c r="K71" i="1"/>
  <c r="G71" i="1"/>
  <c r="G70" i="1"/>
  <c r="K69" i="1"/>
  <c r="G69" i="1"/>
  <c r="K68" i="1"/>
  <c r="G68" i="1"/>
  <c r="K67" i="1"/>
  <c r="G67" i="1"/>
  <c r="G66" i="1"/>
  <c r="K65" i="1"/>
  <c r="G65" i="1"/>
  <c r="K64" i="1"/>
  <c r="G64" i="1"/>
  <c r="K61" i="1"/>
  <c r="G61" i="1"/>
  <c r="K60" i="1"/>
  <c r="G60" i="1"/>
  <c r="G58" i="1"/>
  <c r="G57" i="1"/>
  <c r="G56" i="1"/>
  <c r="K54" i="1"/>
  <c r="G54" i="1"/>
  <c r="K53" i="1"/>
  <c r="G53" i="1"/>
  <c r="G52" i="1"/>
  <c r="G51" i="1"/>
  <c r="K50" i="1"/>
  <c r="G50" i="1"/>
  <c r="K49" i="1"/>
  <c r="G49" i="1"/>
  <c r="G48" i="1"/>
  <c r="G47" i="1"/>
  <c r="K46" i="1"/>
  <c r="G46" i="1"/>
  <c r="K44" i="1"/>
  <c r="G44" i="1"/>
  <c r="G43" i="1"/>
  <c r="G42" i="1"/>
  <c r="K41" i="1"/>
  <c r="G41" i="1"/>
  <c r="K40" i="1"/>
  <c r="G40" i="1"/>
  <c r="G38" i="1"/>
  <c r="G37" i="1"/>
  <c r="K36" i="1"/>
  <c r="G36" i="1"/>
  <c r="K35" i="1"/>
  <c r="G35" i="1"/>
  <c r="G33" i="1"/>
  <c r="G32" i="1"/>
  <c r="K31" i="1"/>
  <c r="G31" i="1"/>
  <c r="K29" i="1"/>
  <c r="G29" i="1"/>
  <c r="K28" i="1"/>
  <c r="G28" i="1"/>
  <c r="K27" i="1"/>
  <c r="G27" i="1"/>
  <c r="K26" i="1"/>
  <c r="G26" i="1"/>
  <c r="K25" i="1"/>
  <c r="G25" i="1"/>
  <c r="K21" i="1"/>
  <c r="G21" i="1"/>
  <c r="K20" i="1"/>
  <c r="G20" i="1"/>
  <c r="G19" i="1"/>
  <c r="G18" i="1"/>
  <c r="K17" i="1"/>
  <c r="G17" i="1"/>
  <c r="K16" i="1"/>
  <c r="G16" i="1"/>
  <c r="G15" i="1"/>
  <c r="G14" i="1"/>
  <c r="K13" i="1"/>
  <c r="G13" i="1"/>
  <c r="K12" i="1"/>
  <c r="G12" i="1"/>
  <c r="G10" i="1"/>
  <c r="G9" i="1"/>
  <c r="I763" i="1" l="1"/>
  <c r="I1506" i="1"/>
  <c r="I1410" i="1"/>
  <c r="I652" i="1"/>
  <c r="I1762" i="1"/>
  <c r="I1004" i="1"/>
  <c r="I1345" i="1"/>
  <c r="I579" i="1"/>
  <c r="I966" i="1"/>
  <c r="I563" i="1"/>
  <c r="I1694" i="1"/>
  <c r="I557" i="1"/>
  <c r="I917" i="1"/>
  <c r="I877" i="1"/>
  <c r="I104" i="1"/>
  <c r="I110" i="1"/>
  <c r="I889" i="1"/>
  <c r="I55" i="1"/>
  <c r="I418" i="1"/>
  <c r="I553" i="1"/>
  <c r="I122" i="1"/>
  <c r="I198" i="1"/>
  <c r="I204" i="1"/>
  <c r="I229" i="1"/>
  <c r="I233" i="1"/>
  <c r="I273" i="1"/>
  <c r="I292" i="1" s="1"/>
  <c r="I285" i="1"/>
  <c r="I304" i="1"/>
  <c r="I310" i="1"/>
  <c r="I852" i="1"/>
  <c r="I359" i="1"/>
  <c r="I473" i="1"/>
  <c r="I1437" i="1"/>
  <c r="I442" i="1"/>
  <c r="I569" i="1"/>
  <c r="I797" i="1"/>
  <c r="I862" i="1"/>
  <c r="I865" i="1"/>
  <c r="I936" i="1"/>
  <c r="I944" i="1"/>
  <c r="I1031" i="1"/>
  <c r="I1148" i="1"/>
  <c r="I1259" i="1"/>
  <c r="I1377" i="1"/>
  <c r="I1416" i="1"/>
  <c r="I1441" i="1"/>
  <c r="I1446" i="1" s="1"/>
  <c r="I1575" i="1"/>
  <c r="I1610" i="1"/>
  <c r="I1617" i="1"/>
  <c r="I859" i="1"/>
  <c r="I894" i="1"/>
  <c r="I1182" i="1"/>
  <c r="I1192" i="1"/>
  <c r="I1241" i="1"/>
  <c r="I1247" i="1"/>
  <c r="I1341" i="1"/>
  <c r="I246" i="1"/>
  <c r="I438" i="1"/>
  <c r="I506" i="1"/>
  <c r="I550" i="1"/>
  <c r="I1228" i="1"/>
  <c r="K416" i="1"/>
  <c r="K467" i="1"/>
  <c r="K747" i="1"/>
  <c r="K414" i="1"/>
  <c r="K707" i="1"/>
  <c r="K940" i="1"/>
  <c r="I926" i="1" s="1"/>
  <c r="K1303" i="1"/>
  <c r="I1302" i="1" s="1"/>
  <c r="K1449" i="1"/>
  <c r="K469" i="1"/>
  <c r="K829" i="1"/>
  <c r="I11" i="1"/>
  <c r="I22" i="1" s="1"/>
  <c r="I91" i="1"/>
  <c r="I140" i="1" s="1"/>
  <c r="I240" i="1"/>
  <c r="I268" i="1"/>
  <c r="I403" i="1"/>
  <c r="I498" i="1"/>
  <c r="I510" i="1"/>
  <c r="I632" i="1"/>
  <c r="I633" i="1"/>
  <c r="I782" i="1"/>
  <c r="I1127" i="1"/>
  <c r="I1431" i="1"/>
  <c r="I1430" i="1"/>
  <c r="I842" i="1"/>
  <c r="K1833" i="1"/>
  <c r="K1869" i="1"/>
  <c r="K1882" i="1"/>
  <c r="I30" i="1"/>
  <c r="I115" i="1"/>
  <c r="I127" i="1"/>
  <c r="I168" i="1"/>
  <c r="I186" i="1"/>
  <c r="I221" i="1"/>
  <c r="I293" i="1"/>
  <c r="I374" i="1"/>
  <c r="I373" i="1"/>
  <c r="I451" i="1"/>
  <c r="I463" i="1" s="1"/>
  <c r="I521" i="1"/>
  <c r="I520" i="1"/>
  <c r="I1015" i="1"/>
  <c r="K1213" i="1"/>
  <c r="I1327" i="1"/>
  <c r="I252" i="1"/>
  <c r="I269" i="1"/>
  <c r="K697" i="1"/>
  <c r="I693" i="1" s="1"/>
  <c r="K722" i="1"/>
  <c r="K950" i="1"/>
  <c r="K1154" i="1"/>
  <c r="I1145" i="1" s="1"/>
  <c r="K1292" i="1"/>
  <c r="I1620" i="1"/>
  <c r="K1644" i="1"/>
  <c r="I1643" i="1" s="1"/>
  <c r="K1703" i="1"/>
  <c r="I1702" i="1" s="1"/>
  <c r="I1713" i="1" s="1"/>
  <c r="K1718" i="1"/>
  <c r="I1716" i="1" s="1"/>
  <c r="K1725" i="1"/>
  <c r="K1729" i="1"/>
  <c r="K1733" i="1"/>
  <c r="K1739" i="1"/>
  <c r="K1822" i="1"/>
  <c r="K1870" i="1"/>
  <c r="K1898" i="1"/>
  <c r="K9" i="1"/>
  <c r="I24" i="1"/>
  <c r="I23" i="1"/>
  <c r="I34" i="1"/>
  <c r="I39" i="1"/>
  <c r="I94" i="1"/>
  <c r="I101" i="1"/>
  <c r="I107" i="1"/>
  <c r="K114" i="1"/>
  <c r="I113" i="1" s="1"/>
  <c r="I119" i="1"/>
  <c r="I131" i="1"/>
  <c r="I136" i="1"/>
  <c r="I178" i="1"/>
  <c r="K185" i="1"/>
  <c r="I184" i="1" s="1"/>
  <c r="I190" i="1"/>
  <c r="I254" i="1"/>
  <c r="I253" i="1"/>
  <c r="I314" i="1"/>
  <c r="I329" i="1"/>
  <c r="K349" i="1"/>
  <c r="K357" i="1"/>
  <c r="I390" i="1"/>
  <c r="I401" i="1" s="1"/>
  <c r="K395" i="1"/>
  <c r="K411" i="1"/>
  <c r="I402" i="1" s="1"/>
  <c r="I434" i="1"/>
  <c r="I470" i="1"/>
  <c r="I483" i="1"/>
  <c r="I501" i="1"/>
  <c r="K518" i="1"/>
  <c r="I515" i="1" s="1"/>
  <c r="I577" i="1"/>
  <c r="I583" i="1"/>
  <c r="I608" i="1"/>
  <c r="I607" i="1"/>
  <c r="I619" i="1"/>
  <c r="I636" i="1"/>
  <c r="I648" i="1"/>
  <c r="I647" i="1"/>
  <c r="I673" i="1"/>
  <c r="K772" i="1"/>
  <c r="I769" i="1" s="1"/>
  <c r="I780" i="1" s="1"/>
  <c r="I962" i="1"/>
  <c r="I1196" i="1"/>
  <c r="I1252" i="1"/>
  <c r="I1296" i="1"/>
  <c r="I1304" i="1" s="1"/>
  <c r="I1323" i="1"/>
  <c r="I1334" i="1" s="1"/>
  <c r="I1370" i="1"/>
  <c r="I1527" i="1"/>
  <c r="K837" i="1"/>
  <c r="I821" i="1" s="1"/>
  <c r="K845" i="1"/>
  <c r="I1037" i="1"/>
  <c r="I1058" i="1"/>
  <c r="K1053" i="1"/>
  <c r="I1238" i="1"/>
  <c r="K1401" i="1"/>
  <c r="I1398" i="1" s="1"/>
  <c r="I1404" i="1" s="1"/>
  <c r="K1480" i="1"/>
  <c r="I1479" i="1" s="1"/>
  <c r="K1591" i="1"/>
  <c r="K1599" i="1"/>
  <c r="K1625" i="1"/>
  <c r="I1638" i="1"/>
  <c r="K1661" i="1"/>
  <c r="K1669" i="1"/>
  <c r="I86" i="1"/>
  <c r="I85" i="1"/>
  <c r="I228" i="1"/>
  <c r="I257" i="1"/>
  <c r="I279" i="1"/>
  <c r="I480" i="1"/>
  <c r="I899" i="1"/>
  <c r="I900" i="1"/>
  <c r="I1011" i="1"/>
  <c r="I1012" i="1"/>
  <c r="I1223" i="1"/>
  <c r="I1406" i="1"/>
  <c r="I1405" i="1"/>
  <c r="K760" i="1"/>
  <c r="I753" i="1" s="1"/>
  <c r="K777" i="1"/>
  <c r="K794" i="1"/>
  <c r="K818" i="1"/>
  <c r="I817" i="1" s="1"/>
  <c r="K1319" i="1"/>
  <c r="I1305" i="1" s="1"/>
  <c r="I1827" i="1"/>
  <c r="K1836" i="1"/>
  <c r="K1879" i="1"/>
  <c r="K1886" i="1"/>
  <c r="I1885" i="1" s="1"/>
  <c r="I1900" i="1"/>
  <c r="K1892" i="1"/>
  <c r="I45" i="1"/>
  <c r="I59" i="1"/>
  <c r="I174" i="1"/>
  <c r="I208" i="1"/>
  <c r="I261" i="1"/>
  <c r="I301" i="1"/>
  <c r="I302" i="1"/>
  <c r="I538" i="1"/>
  <c r="I546" i="1" s="1"/>
  <c r="I625" i="1"/>
  <c r="K684" i="1"/>
  <c r="I683" i="1" s="1"/>
  <c r="I688" i="1" s="1"/>
  <c r="I1100" i="1"/>
  <c r="K1169" i="1"/>
  <c r="I1160" i="1" s="1"/>
  <c r="I1524" i="1"/>
  <c r="I311" i="1"/>
  <c r="K677" i="1"/>
  <c r="I676" i="1" s="1"/>
  <c r="I679" i="1" s="1"/>
  <c r="K744" i="1"/>
  <c r="I738" i="1" s="1"/>
  <c r="K954" i="1"/>
  <c r="I1161" i="1"/>
  <c r="K1284" i="1"/>
  <c r="K1637" i="1"/>
  <c r="I1635" i="1" s="1"/>
  <c r="K1727" i="1"/>
  <c r="K1802" i="1"/>
  <c r="I1801" i="1" s="1"/>
  <c r="K1908" i="1"/>
  <c r="I1906" i="1" s="1"/>
  <c r="I63" i="1"/>
  <c r="I72" i="1"/>
  <c r="I142" i="1"/>
  <c r="I141" i="1"/>
  <c r="I159" i="1"/>
  <c r="I167" i="1" s="1"/>
  <c r="I171" i="1"/>
  <c r="I200" i="1"/>
  <c r="I227" i="1" s="1"/>
  <c r="I326" i="1"/>
  <c r="I341" i="1" s="1"/>
  <c r="I327" i="1"/>
  <c r="I369" i="1"/>
  <c r="I409" i="1"/>
  <c r="I424" i="1"/>
  <c r="I494" i="1"/>
  <c r="I547" i="1"/>
  <c r="I565" i="1"/>
  <c r="I576" i="1" s="1"/>
  <c r="I587" i="1"/>
  <c r="I600" i="1"/>
  <c r="I606" i="1" s="1"/>
  <c r="I612" i="1"/>
  <c r="I631" i="1" s="1"/>
  <c r="I640" i="1"/>
  <c r="I681" i="1"/>
  <c r="I690" i="1"/>
  <c r="I958" i="1"/>
  <c r="I1043" i="1"/>
  <c r="I1072" i="1"/>
  <c r="I1084" i="1"/>
  <c r="I1085" i="1"/>
  <c r="I1102" i="1"/>
  <c r="K1157" i="1"/>
  <c r="I1268" i="1"/>
  <c r="I1311" i="1"/>
  <c r="I1335" i="1"/>
  <c r="I1358" i="1"/>
  <c r="I1364" i="1" s="1"/>
  <c r="I1366" i="1"/>
  <c r="I1496" i="1"/>
  <c r="I1510" i="1"/>
  <c r="I1511" i="1"/>
  <c r="K1541" i="1"/>
  <c r="I1623" i="1"/>
  <c r="K1668" i="1"/>
  <c r="I1657" i="1" s="1"/>
  <c r="I1675" i="1"/>
  <c r="I1687" i="1"/>
  <c r="I1769" i="1"/>
  <c r="I1770" i="1"/>
  <c r="K1873" i="1"/>
  <c r="I1858" i="1" s="1"/>
  <c r="I294" i="1"/>
  <c r="I813" i="1"/>
  <c r="K1028" i="1"/>
  <c r="K1041" i="1"/>
  <c r="I1117" i="1"/>
  <c r="K1267" i="1"/>
  <c r="I1222" i="1" s="1"/>
  <c r="K1331" i="1"/>
  <c r="K1388" i="1"/>
  <c r="I1365" i="1" s="1"/>
  <c r="I1438" i="1"/>
  <c r="K1455" i="1"/>
  <c r="I1451" i="1" s="1"/>
  <c r="I708" i="1"/>
  <c r="I723" i="1"/>
  <c r="I868" i="1"/>
  <c r="I880" i="1"/>
  <c r="I956" i="1"/>
  <c r="I986" i="1"/>
  <c r="I987" i="1"/>
  <c r="I1062" i="1"/>
  <c r="I1067" i="1" s="1"/>
  <c r="I1068" i="1"/>
  <c r="I1069" i="1"/>
  <c r="I1171" i="1"/>
  <c r="I1176" i="1"/>
  <c r="I1231" i="1"/>
  <c r="I1244" i="1"/>
  <c r="I1256" i="1"/>
  <c r="I1273" i="1"/>
  <c r="I1315" i="1"/>
  <c r="I1321" i="1"/>
  <c r="I1391" i="1"/>
  <c r="I1466" i="1"/>
  <c r="I1481" i="1"/>
  <c r="I1509" i="1" s="1"/>
  <c r="I1571" i="1"/>
  <c r="I1602" i="1"/>
  <c r="I1607" i="1"/>
  <c r="I1626" i="1"/>
  <c r="I1845" i="1"/>
  <c r="I183" i="1"/>
  <c r="I562" i="1"/>
  <c r="K1811" i="1"/>
  <c r="I1816" i="1"/>
  <c r="I664" i="1"/>
  <c r="I671" i="1" s="1"/>
  <c r="I748" i="1"/>
  <c r="I788" i="1"/>
  <c r="I803" i="1"/>
  <c r="I873" i="1"/>
  <c r="I885" i="1"/>
  <c r="I932" i="1"/>
  <c r="I941" i="1" s="1"/>
  <c r="I979" i="1"/>
  <c r="I991" i="1"/>
  <c r="I1019" i="1"/>
  <c r="I1060" i="1"/>
  <c r="I1059" i="1"/>
  <c r="I1131" i="1"/>
  <c r="I1132" i="1"/>
  <c r="I1200" i="1"/>
  <c r="I1209" i="1"/>
  <c r="I1221" i="1" s="1"/>
  <c r="I1308" i="1"/>
  <c r="I1383" i="1"/>
  <c r="I1422" i="1"/>
  <c r="I1429" i="1" s="1"/>
  <c r="I1464" i="1"/>
  <c r="I1463" i="1"/>
  <c r="I1546" i="1"/>
  <c r="I1561" i="1"/>
  <c r="I1631" i="1"/>
  <c r="I1684" i="1"/>
  <c r="I1690" i="1"/>
  <c r="I1699" i="1" s="1"/>
  <c r="I1789" i="1"/>
  <c r="I309" i="1"/>
  <c r="I925" i="1"/>
  <c r="I1159" i="1"/>
  <c r="I1538" i="1"/>
  <c r="K1738" i="1"/>
  <c r="I1737" i="1" s="1"/>
  <c r="I1720" i="1"/>
  <c r="I1745" i="1"/>
  <c r="I1744" i="1"/>
  <c r="I1756" i="1"/>
  <c r="I1773" i="1"/>
  <c r="I1785" i="1"/>
  <c r="I1784" i="1"/>
  <c r="I1842" i="1"/>
  <c r="I1860" i="1"/>
  <c r="I84" i="1"/>
  <c r="I300" i="1"/>
  <c r="I384" i="1"/>
  <c r="I1130" i="1"/>
  <c r="I1142" i="1"/>
  <c r="I1683" i="1"/>
  <c r="I1749" i="1"/>
  <c r="I1768" i="1" s="1"/>
  <c r="I1777" i="1"/>
  <c r="I1795" i="1"/>
  <c r="I1808" i="1" s="1"/>
  <c r="I1820" i="1"/>
  <c r="I1825" i="1" s="1"/>
  <c r="I1875" i="1"/>
  <c r="I1010" i="1"/>
  <c r="I1521" i="1"/>
  <c r="I1817" i="1"/>
  <c r="I342" i="1" l="1"/>
  <c r="I1050" i="1"/>
  <c r="I646" i="1"/>
  <c r="I267" i="1"/>
  <c r="I1700" i="1"/>
  <c r="I1320" i="1"/>
  <c r="I1278" i="1"/>
  <c r="I1579" i="1"/>
  <c r="I1588" i="1"/>
  <c r="I1600" i="1" s="1"/>
  <c r="I1578" i="1"/>
  <c r="I1888" i="1"/>
  <c r="I1478" i="1"/>
  <c r="I1167" i="1"/>
  <c r="I1199" i="1" s="1"/>
  <c r="I1658" i="1"/>
  <c r="I413" i="1"/>
  <c r="I441" i="1" s="1"/>
  <c r="I898" i="1"/>
  <c r="I765" i="1"/>
  <c r="I386" i="1"/>
  <c r="I942" i="1"/>
  <c r="I1830" i="1"/>
  <c r="I1857" i="1" s="1"/>
  <c r="I387" i="1"/>
  <c r="I751" i="1"/>
  <c r="I519" i="1"/>
  <c r="I721" i="1"/>
  <c r="I766" i="1"/>
  <c r="I197" i="1"/>
  <c r="I1656" i="1"/>
  <c r="I1099" i="1"/>
  <c r="I985" i="1"/>
  <c r="I1389" i="1"/>
  <c r="I1809" i="1"/>
  <c r="I1810" i="1"/>
  <c r="I844" i="1"/>
  <c r="I843" i="1"/>
  <c r="I3" i="1"/>
  <c r="I8" i="1"/>
  <c r="I7" i="1"/>
  <c r="I6" i="1"/>
  <c r="I781" i="1"/>
  <c r="I1144" i="1"/>
  <c r="I1027" i="1"/>
  <c r="I1026" i="1"/>
  <c r="I344" i="1"/>
  <c r="I372" i="1" s="1"/>
  <c r="I1601" i="1"/>
  <c r="I948" i="1"/>
  <c r="I955" i="1" s="1"/>
  <c r="I680" i="1"/>
  <c r="I1714" i="1"/>
  <c r="I1279" i="1"/>
  <c r="I1390" i="1"/>
  <c r="I792" i="1"/>
  <c r="I820" i="1" s="1"/>
  <c r="I689" i="1"/>
  <c r="I1264" i="1"/>
  <c r="I1277" i="1" s="1"/>
  <c r="I752" i="1"/>
  <c r="I1890" i="1"/>
  <c r="I1889" i="1"/>
  <c r="I1025" i="1"/>
  <c r="I465" i="1"/>
  <c r="I464" i="1"/>
  <c r="I1539" i="1"/>
  <c r="I1540" i="1"/>
  <c r="I1523" i="1"/>
  <c r="I62" i="1"/>
  <c r="I1783" i="1"/>
  <c r="I1826" i="1"/>
  <c r="I1052" i="1"/>
  <c r="I1051" i="1"/>
  <c r="I1724" i="1"/>
  <c r="I1743" i="1" s="1"/>
  <c r="I1901" i="1" s="1"/>
  <c r="I1447" i="1"/>
  <c r="I1448" i="1"/>
  <c r="I705" i="1"/>
  <c r="I706" i="1"/>
  <c r="I672" i="1"/>
  <c r="I385" i="1" l="1"/>
  <c r="I720" i="1"/>
  <c r="I764" i="1" s="1"/>
  <c r="I1522" i="1"/>
  <c r="I1143" i="1"/>
  <c r="J1910" i="1"/>
  <c r="J1865" i="1"/>
  <c r="J1839" i="1"/>
  <c r="J1831" i="1"/>
  <c r="J1823" i="1"/>
  <c r="J1815" i="1"/>
  <c r="J1803" i="1"/>
  <c r="J1798" i="1"/>
  <c r="J1793" i="1"/>
  <c r="J1897" i="1"/>
  <c r="J1881" i="1"/>
  <c r="J1874" i="1"/>
  <c r="J1871" i="1"/>
  <c r="J1866" i="1"/>
  <c r="J1863" i="1"/>
  <c r="J1859" i="1"/>
  <c r="J1849" i="1"/>
  <c r="J1838" i="1"/>
  <c r="J1829" i="1"/>
  <c r="J1792" i="1"/>
  <c r="J1781" i="1"/>
  <c r="J1776" i="1"/>
  <c r="J1771" i="1"/>
  <c r="J1764" i="1"/>
  <c r="J1759" i="1"/>
  <c r="J1753" i="1"/>
  <c r="J1748" i="1"/>
  <c r="J1736" i="1"/>
  <c r="J1732" i="1"/>
  <c r="J1728" i="1"/>
  <c r="J1723" i="1"/>
  <c r="J1711" i="1"/>
  <c r="J1909" i="1"/>
  <c r="J1891" i="1"/>
  <c r="J1884" i="1"/>
  <c r="J1876" i="1"/>
  <c r="J1872" i="1"/>
  <c r="J1864" i="1"/>
  <c r="J1855" i="1"/>
  <c r="J1852" i="1"/>
  <c r="J1847" i="1"/>
  <c r="J1841" i="1"/>
  <c r="J1824" i="1"/>
  <c r="J1821" i="1"/>
  <c r="J1805" i="1"/>
  <c r="J1799" i="1"/>
  <c r="J1796" i="1"/>
  <c r="J1782" i="1"/>
  <c r="J1778" i="1"/>
  <c r="J1772" i="1"/>
  <c r="J1765" i="1"/>
  <c r="J1760" i="1"/>
  <c r="J1755" i="1"/>
  <c r="J1750" i="1"/>
  <c r="J1742" i="1"/>
  <c r="J1719" i="1"/>
  <c r="J1895" i="1"/>
  <c r="J1867" i="1"/>
  <c r="J1844" i="1"/>
  <c r="J1840" i="1"/>
  <c r="J1832" i="1"/>
  <c r="J1819" i="1"/>
  <c r="J1800" i="1"/>
  <c r="J1790" i="1"/>
  <c r="J1786" i="1"/>
  <c r="J1775" i="1"/>
  <c r="J1763" i="1"/>
  <c r="J1752" i="1"/>
  <c r="J1746" i="1"/>
  <c r="J1726" i="1"/>
  <c r="J1717" i="1"/>
  <c r="J1707" i="1"/>
  <c r="J1701" i="1"/>
  <c r="J1695" i="1"/>
  <c r="J1689" i="1"/>
  <c r="J1682" i="1"/>
  <c r="J1672" i="1"/>
  <c r="J1664" i="1"/>
  <c r="J1653" i="1"/>
  <c r="J1648" i="1"/>
  <c r="J1642" i="1"/>
  <c r="J1636" i="1"/>
  <c r="J1630" i="1"/>
  <c r="J1624" i="1"/>
  <c r="J1611" i="1"/>
  <c r="J1598" i="1"/>
  <c r="J1590" i="1"/>
  <c r="J1585" i="1"/>
  <c r="J1574" i="1"/>
  <c r="J1569" i="1"/>
  <c r="J1565" i="1"/>
  <c r="J1560" i="1"/>
  <c r="J1551" i="1"/>
  <c r="J1534" i="1"/>
  <c r="J1530" i="1"/>
  <c r="J1525" i="1"/>
  <c r="J1517" i="1"/>
  <c r="J1513" i="1"/>
  <c r="J1505" i="1"/>
  <c r="J1501" i="1"/>
  <c r="J1497" i="1"/>
  <c r="J1492" i="1"/>
  <c r="J1488" i="1"/>
  <c r="J1484" i="1"/>
  <c r="J1477" i="1"/>
  <c r="J1473" i="1"/>
  <c r="J1469" i="1"/>
  <c r="J1462" i="1"/>
  <c r="J1458" i="1"/>
  <c r="J1442" i="1"/>
  <c r="J1433" i="1"/>
  <c r="J1426" i="1"/>
  <c r="J1421" i="1"/>
  <c r="J1417" i="1"/>
  <c r="J1412" i="1"/>
  <c r="J1400" i="1"/>
  <c r="J1395" i="1"/>
  <c r="J1382" i="1"/>
  <c r="J1372" i="1"/>
  <c r="J1360" i="1"/>
  <c r="J1355" i="1"/>
  <c r="J1351" i="1"/>
  <c r="J1347" i="1"/>
  <c r="J1342" i="1"/>
  <c r="J1336" i="1"/>
  <c r="J1330" i="1"/>
  <c r="J1318" i="1"/>
  <c r="J1313" i="1"/>
  <c r="J1307" i="1"/>
  <c r="J1300" i="1"/>
  <c r="J1295" i="1"/>
  <c r="J1291" i="1"/>
  <c r="J1287" i="1"/>
  <c r="J1283" i="1"/>
  <c r="J1271" i="1"/>
  <c r="J1266" i="1"/>
  <c r="J1260" i="1"/>
  <c r="J1254" i="1"/>
  <c r="J1248" i="1"/>
  <c r="J1242" i="1"/>
  <c r="J1235" i="1"/>
  <c r="J1229" i="1"/>
  <c r="J1224" i="1"/>
  <c r="J1217" i="1"/>
  <c r="J1208" i="1"/>
  <c r="J1204" i="1"/>
  <c r="J1198" i="1"/>
  <c r="J1193" i="1"/>
  <c r="J1188" i="1"/>
  <c r="J1184" i="1"/>
  <c r="J1179" i="1"/>
  <c r="J1174" i="1"/>
  <c r="J1164" i="1"/>
  <c r="J1153" i="1"/>
  <c r="J1140" i="1"/>
  <c r="J1136" i="1"/>
  <c r="J1120" i="1"/>
  <c r="J1115" i="1"/>
  <c r="J1111" i="1"/>
  <c r="J1107" i="1"/>
  <c r="J1103" i="1"/>
  <c r="J1096" i="1"/>
  <c r="J1092" i="1"/>
  <c r="J1088" i="1"/>
  <c r="J1081" i="1"/>
  <c r="J1077" i="1"/>
  <c r="J1073" i="1"/>
  <c r="J1057" i="1"/>
  <c r="J1049" i="1"/>
  <c r="J1045" i="1"/>
  <c r="J1040" i="1"/>
  <c r="J1035" i="1"/>
  <c r="J1030" i="1"/>
  <c r="J1023" i="1"/>
  <c r="J1018" i="1"/>
  <c r="J1013" i="1"/>
  <c r="J1006" i="1"/>
  <c r="J990" i="1"/>
  <c r="J983" i="1"/>
  <c r="J978" i="1"/>
  <c r="J974" i="1"/>
  <c r="J970" i="1"/>
  <c r="J965" i="1"/>
  <c r="J960" i="1"/>
  <c r="J953" i="1"/>
  <c r="J949" i="1"/>
  <c r="J943" i="1"/>
  <c r="J931" i="1"/>
  <c r="J924" i="1"/>
  <c r="J919" i="1"/>
  <c r="J914" i="1"/>
  <c r="J910" i="1"/>
  <c r="J906" i="1"/>
  <c r="J902" i="1"/>
  <c r="J895" i="1"/>
  <c r="J890" i="1"/>
  <c r="J884" i="1"/>
  <c r="J878" i="1"/>
  <c r="J866" i="1"/>
  <c r="J853" i="1"/>
  <c r="J847" i="1"/>
  <c r="J836" i="1"/>
  <c r="J827" i="1"/>
  <c r="J823" i="1"/>
  <c r="J802" i="1"/>
  <c r="J798" i="1"/>
  <c r="J793" i="1"/>
  <c r="J776" i="1"/>
  <c r="J767" i="1"/>
  <c r="J759" i="1"/>
  <c r="J755" i="1"/>
  <c r="J743" i="1"/>
  <c r="J739" i="1"/>
  <c r="J734" i="1"/>
  <c r="J730" i="1"/>
  <c r="J726" i="1"/>
  <c r="J719" i="1"/>
  <c r="J715" i="1"/>
  <c r="J704" i="1"/>
  <c r="J696" i="1"/>
  <c r="J691" i="1"/>
  <c r="J675" i="1"/>
  <c r="J663" i="1"/>
  <c r="J1896" i="1"/>
  <c r="J1893" i="1"/>
  <c r="J1883" i="1"/>
  <c r="J1877" i="1"/>
  <c r="J1868" i="1"/>
  <c r="J1856" i="1"/>
  <c r="J1834" i="1"/>
  <c r="J1806" i="1"/>
  <c r="J1804" i="1"/>
  <c r="J1791" i="1"/>
  <c r="J1787" i="1"/>
  <c r="J1779" i="1"/>
  <c r="J1766" i="1"/>
  <c r="J1757" i="1"/>
  <c r="J1747" i="1"/>
  <c r="J1721" i="1"/>
  <c r="J1708" i="1"/>
  <c r="J1696" i="1"/>
  <c r="J1691" i="1"/>
  <c r="J1685" i="1"/>
  <c r="J1678" i="1"/>
  <c r="J1673" i="1"/>
  <c r="J1665" i="1"/>
  <c r="J1654" i="1"/>
  <c r="J1649" i="1"/>
  <c r="J1632" i="1"/>
  <c r="J1619" i="1"/>
  <c r="J1612" i="1"/>
  <c r="J1606" i="1"/>
  <c r="J1595" i="1"/>
  <c r="J1586" i="1"/>
  <c r="J1582" i="1"/>
  <c r="J1576" i="1"/>
  <c r="J1570" i="1"/>
  <c r="J1566" i="1"/>
  <c r="J1562" i="1"/>
  <c r="J1557" i="1"/>
  <c r="J1552" i="1"/>
  <c r="J1547" i="1"/>
  <c r="J1542" i="1"/>
  <c r="J1535" i="1"/>
  <c r="J1531" i="1"/>
  <c r="J1526" i="1"/>
  <c r="J1518" i="1"/>
  <c r="J1514" i="1"/>
  <c r="J1507" i="1"/>
  <c r="J1502" i="1"/>
  <c r="J1498" i="1"/>
  <c r="J1493" i="1"/>
  <c r="J1489" i="1"/>
  <c r="J1485" i="1"/>
  <c r="J1474" i="1"/>
  <c r="J1470" i="1"/>
  <c r="J1465" i="1"/>
  <c r="J1459" i="1"/>
  <c r="J1450" i="1"/>
  <c r="J1443" i="1"/>
  <c r="J1435" i="1"/>
  <c r="J1427" i="1"/>
  <c r="J1423" i="1"/>
  <c r="J1418" i="1"/>
  <c r="J1413" i="1"/>
  <c r="J1408" i="1"/>
  <c r="J1396" i="1"/>
  <c r="J1384" i="1"/>
  <c r="J1379" i="1"/>
  <c r="J1373" i="1"/>
  <c r="J1368" i="1"/>
  <c r="J1361" i="1"/>
  <c r="J1356" i="1"/>
  <c r="J1352" i="1"/>
  <c r="J1348" i="1"/>
  <c r="J1343" i="1"/>
  <c r="J1338" i="1"/>
  <c r="J1326" i="1"/>
  <c r="J1314" i="1"/>
  <c r="J1309" i="1"/>
  <c r="J1301" i="1"/>
  <c r="J1297" i="1"/>
  <c r="J1288" i="1"/>
  <c r="J1280" i="1"/>
  <c r="J1272" i="1"/>
  <c r="J1261" i="1"/>
  <c r="J1255" i="1"/>
  <c r="J1249" i="1"/>
  <c r="J1243" i="1"/>
  <c r="J1237" i="1"/>
  <c r="J1230" i="1"/>
  <c r="J1225" i="1"/>
  <c r="J1218" i="1"/>
  <c r="J1214" i="1"/>
  <c r="J1210" i="1"/>
  <c r="J1205" i="1"/>
  <c r="J1201" i="1"/>
  <c r="J1194" i="1"/>
  <c r="J1189" i="1"/>
  <c r="J1185" i="1"/>
  <c r="J1180" i="1"/>
  <c r="J1175" i="1"/>
  <c r="J1170" i="1"/>
  <c r="J1165" i="1"/>
  <c r="J1158" i="1"/>
  <c r="J1150" i="1"/>
  <c r="J1141" i="1"/>
  <c r="J1137" i="1"/>
  <c r="J1133" i="1"/>
  <c r="J1125" i="1"/>
  <c r="J1121" i="1"/>
  <c r="J1116" i="1"/>
  <c r="J1112" i="1"/>
  <c r="J1108" i="1"/>
  <c r="J1104" i="1"/>
  <c r="J1097" i="1"/>
  <c r="J1093" i="1"/>
  <c r="J1089" i="1"/>
  <c r="J1082" i="1"/>
  <c r="J1078" i="1"/>
  <c r="J1074" i="1"/>
  <c r="J1066" i="1"/>
  <c r="J1061" i="1"/>
  <c r="J1046" i="1"/>
  <c r="J1036" i="1"/>
  <c r="J1032" i="1"/>
  <c r="J1024" i="1"/>
  <c r="J1020" i="1"/>
  <c r="J1014" i="1"/>
  <c r="J1007" i="1"/>
  <c r="J1002" i="1"/>
  <c r="J997" i="1"/>
  <c r="J992" i="1"/>
  <c r="J984" i="1"/>
  <c r="J980" i="1"/>
  <c r="J975" i="1"/>
  <c r="J971" i="1"/>
  <c r="J967" i="1"/>
  <c r="J961" i="1"/>
  <c r="J945" i="1"/>
  <c r="J938" i="1"/>
  <c r="J933" i="1"/>
  <c r="J927" i="1"/>
  <c r="J920" i="1"/>
  <c r="J915" i="1"/>
  <c r="J911" i="1"/>
  <c r="J907" i="1"/>
  <c r="J903" i="1"/>
  <c r="J896" i="1"/>
  <c r="J891" i="1"/>
  <c r="J886" i="1"/>
  <c r="J879" i="1"/>
  <c r="J874" i="1"/>
  <c r="J867" i="1"/>
  <c r="J861" i="1"/>
  <c r="J854" i="1"/>
  <c r="J848" i="1"/>
  <c r="J841" i="1"/>
  <c r="J833" i="1"/>
  <c r="J828" i="1"/>
  <c r="J824" i="1"/>
  <c r="J812" i="1"/>
  <c r="J808" i="1"/>
  <c r="J804" i="1"/>
  <c r="J799" i="1"/>
  <c r="J789" i="1"/>
  <c r="J784" i="1"/>
  <c r="J773" i="1"/>
  <c r="J768" i="1"/>
  <c r="J756" i="1"/>
  <c r="J749" i="1"/>
  <c r="J740" i="1"/>
  <c r="J735" i="1"/>
  <c r="J731" i="1"/>
  <c r="J727" i="1"/>
  <c r="J716" i="1"/>
  <c r="J712" i="1"/>
  <c r="J701" i="1"/>
  <c r="J692" i="1"/>
  <c r="J685" i="1"/>
  <c r="J669" i="1"/>
  <c r="J665" i="1"/>
  <c r="J660" i="1"/>
  <c r="J655" i="1"/>
  <c r="J1862" i="1"/>
  <c r="J1853" i="1"/>
  <c r="J1851" i="1"/>
  <c r="J1828" i="1"/>
  <c r="J1774" i="1"/>
  <c r="J1734" i="1"/>
  <c r="J1730" i="1"/>
  <c r="J1722" i="1"/>
  <c r="J1705" i="1"/>
  <c r="J1697" i="1"/>
  <c r="J1686" i="1"/>
  <c r="J1646" i="1"/>
  <c r="J1640" i="1"/>
  <c r="J1634" i="1"/>
  <c r="J1616" i="1"/>
  <c r="J1604" i="1"/>
  <c r="J1596" i="1"/>
  <c r="J1589" i="1"/>
  <c r="J1580" i="1"/>
  <c r="J1568" i="1"/>
  <c r="J1559" i="1"/>
  <c r="J1543" i="1"/>
  <c r="J1532" i="1"/>
  <c r="J1519" i="1"/>
  <c r="J1508" i="1"/>
  <c r="J1499" i="1"/>
  <c r="J1490" i="1"/>
  <c r="J1482" i="1"/>
  <c r="J1472" i="1"/>
  <c r="J1461" i="1"/>
  <c r="J1445" i="1"/>
  <c r="J1432" i="1"/>
  <c r="J1420" i="1"/>
  <c r="J1411" i="1"/>
  <c r="J1402" i="1"/>
  <c r="J1393" i="1"/>
  <c r="J1376" i="1"/>
  <c r="J1369" i="1"/>
  <c r="J1357" i="1"/>
  <c r="J1349" i="1"/>
  <c r="J1339" i="1"/>
  <c r="J1329" i="1"/>
  <c r="J1310" i="1"/>
  <c r="J1299" i="1"/>
  <c r="J1285" i="1"/>
  <c r="J1275" i="1"/>
  <c r="J1258" i="1"/>
  <c r="J1251" i="1"/>
  <c r="J1227" i="1"/>
  <c r="J1203" i="1"/>
  <c r="J1191" i="1"/>
  <c r="J1177" i="1"/>
  <c r="J1152" i="1"/>
  <c r="J1139" i="1"/>
  <c r="J1128" i="1"/>
  <c r="J1119" i="1"/>
  <c r="J1113" i="1"/>
  <c r="J1105" i="1"/>
  <c r="J1094" i="1"/>
  <c r="J1083" i="1"/>
  <c r="J1075" i="1"/>
  <c r="J1063" i="1"/>
  <c r="J1048" i="1"/>
  <c r="J1042" i="1"/>
  <c r="J1038" i="1"/>
  <c r="J1017" i="1"/>
  <c r="J1008" i="1"/>
  <c r="J999" i="1"/>
  <c r="J988" i="1"/>
  <c r="J976" i="1"/>
  <c r="J968" i="1"/>
  <c r="J957" i="1"/>
  <c r="J930" i="1"/>
  <c r="J918" i="1"/>
  <c r="J909" i="1"/>
  <c r="J901" i="1"/>
  <c r="J892" i="1"/>
  <c r="J882" i="1"/>
  <c r="J870" i="1"/>
  <c r="J858" i="1"/>
  <c r="J846" i="1"/>
  <c r="J834" i="1"/>
  <c r="J826" i="1"/>
  <c r="J810" i="1"/>
  <c r="J801" i="1"/>
  <c r="J771" i="1"/>
  <c r="J761" i="1"/>
  <c r="J746" i="1"/>
  <c r="J741" i="1"/>
  <c r="J732" i="1"/>
  <c r="J724" i="1"/>
  <c r="J714" i="1"/>
  <c r="J709" i="1"/>
  <c r="J699" i="1"/>
  <c r="J694" i="1"/>
  <c r="J678" i="1"/>
  <c r="J667" i="1"/>
  <c r="J661" i="1"/>
  <c r="J651" i="1"/>
  <c r="J644" i="1"/>
  <c r="J639" i="1"/>
  <c r="J627" i="1"/>
  <c r="J622" i="1"/>
  <c r="J616" i="1"/>
  <c r="J611" i="1"/>
  <c r="J604" i="1"/>
  <c r="J599" i="1"/>
  <c r="J595" i="1"/>
  <c r="J591" i="1"/>
  <c r="J586" i="1"/>
  <c r="J581" i="1"/>
  <c r="J574" i="1"/>
  <c r="J570" i="1"/>
  <c r="J564" i="1"/>
  <c r="J558" i="1"/>
  <c r="J552" i="1"/>
  <c r="J545" i="1"/>
  <c r="J540" i="1"/>
  <c r="J535" i="1"/>
  <c r="J531" i="1"/>
  <c r="J527" i="1"/>
  <c r="J511" i="1"/>
  <c r="J505" i="1"/>
  <c r="J499" i="1"/>
  <c r="J487" i="1"/>
  <c r="J468" i="1"/>
  <c r="J461" i="1"/>
  <c r="J457" i="1"/>
  <c r="J448" i="1"/>
  <c r="J437" i="1"/>
  <c r="J432" i="1"/>
  <c r="J423" i="1"/>
  <c r="J419" i="1"/>
  <c r="J408" i="1"/>
  <c r="J404" i="1"/>
  <c r="J397" i="1"/>
  <c r="J393" i="1"/>
  <c r="J388" i="1"/>
  <c r="J380" i="1"/>
  <c r="J376" i="1"/>
  <c r="J368" i="1"/>
  <c r="J364" i="1"/>
  <c r="J360" i="1"/>
  <c r="J355" i="1"/>
  <c r="J351" i="1"/>
  <c r="J347" i="1"/>
  <c r="J340" i="1"/>
  <c r="J336" i="1"/>
  <c r="J332" i="1"/>
  <c r="J325" i="1"/>
  <c r="J321" i="1"/>
  <c r="J317" i="1"/>
  <c r="J312" i="1"/>
  <c r="J305" i="1"/>
  <c r="J296" i="1"/>
  <c r="J284" i="1"/>
  <c r="J280" i="1"/>
  <c r="J275" i="1"/>
  <c r="J270" i="1"/>
  <c r="J258" i="1"/>
  <c r="J245" i="1"/>
  <c r="J241" i="1"/>
  <c r="J235" i="1"/>
  <c r="J223" i="1"/>
  <c r="J218" i="1"/>
  <c r="J214" i="1"/>
  <c r="J210" i="1"/>
  <c r="J205" i="1"/>
  <c r="J199" i="1"/>
  <c r="J193" i="1"/>
  <c r="J188" i="1"/>
  <c r="J181" i="1"/>
  <c r="J176" i="1"/>
  <c r="J170" i="1"/>
  <c r="J163" i="1"/>
  <c r="J158" i="1"/>
  <c r="J154" i="1"/>
  <c r="J150" i="1"/>
  <c r="J146" i="1"/>
  <c r="J139" i="1"/>
  <c r="J134" i="1"/>
  <c r="J129" i="1"/>
  <c r="J123" i="1"/>
  <c r="J117" i="1"/>
  <c r="J111" i="1"/>
  <c r="J98" i="1"/>
  <c r="J92" i="1"/>
  <c r="J87" i="1"/>
  <c r="J80" i="1"/>
  <c r="J76" i="1"/>
  <c r="J71" i="1"/>
  <c r="J67" i="1"/>
  <c r="J61" i="1"/>
  <c r="J56" i="1"/>
  <c r="J51" i="1"/>
  <c r="J47" i="1"/>
  <c r="J42" i="1"/>
  <c r="J37" i="1"/>
  <c r="J32" i="1"/>
  <c r="J27" i="1"/>
  <c r="J20" i="1"/>
  <c r="J16" i="1"/>
  <c r="J12" i="1"/>
  <c r="J1780" i="1"/>
  <c r="J1761" i="1"/>
  <c r="J1715" i="1"/>
  <c r="J1710" i="1"/>
  <c r="J1679" i="1"/>
  <c r="J1651" i="1"/>
  <c r="J1639" i="1"/>
  <c r="J1628" i="1"/>
  <c r="J1573" i="1"/>
  <c r="J1554" i="1"/>
  <c r="J1536" i="1"/>
  <c r="J1515" i="1"/>
  <c r="J1503" i="1"/>
  <c r="J1486" i="1"/>
  <c r="J1476" i="1"/>
  <c r="J1468" i="1"/>
  <c r="J1440" i="1"/>
  <c r="J1425" i="1"/>
  <c r="J1371" i="1"/>
  <c r="J1353" i="1"/>
  <c r="J1344" i="1"/>
  <c r="J1294" i="1"/>
  <c r="J1245" i="1"/>
  <c r="J1233" i="1"/>
  <c r="J1220" i="1"/>
  <c r="J1215" i="1"/>
  <c r="J1207" i="1"/>
  <c r="J1197" i="1"/>
  <c r="J1181" i="1"/>
  <c r="J1147" i="1"/>
  <c r="J1135" i="1"/>
  <c r="J1118" i="1"/>
  <c r="J1109" i="1"/>
  <c r="J1079" i="1"/>
  <c r="J1054" i="1"/>
  <c r="J1047" i="1"/>
  <c r="J1033" i="1"/>
  <c r="J1009" i="1"/>
  <c r="J993" i="1"/>
  <c r="J935" i="1"/>
  <c r="J897" i="1"/>
  <c r="J851" i="1"/>
  <c r="J845" i="1"/>
  <c r="J779" i="1"/>
  <c r="J775" i="1"/>
  <c r="J770" i="1"/>
  <c r="J758" i="1"/>
  <c r="J718" i="1"/>
  <c r="J703" i="1"/>
  <c r="J649" i="1"/>
  <c r="J637" i="1"/>
  <c r="J629" i="1"/>
  <c r="J620" i="1"/>
  <c r="J609" i="1"/>
  <c r="J597" i="1"/>
  <c r="J593" i="1"/>
  <c r="J589" i="1"/>
  <c r="J584" i="1"/>
  <c r="J555" i="1"/>
  <c r="J549" i="1"/>
  <c r="J542" i="1"/>
  <c r="J533" i="1"/>
  <c r="J529" i="1"/>
  <c r="J513" i="1"/>
  <c r="J502" i="1"/>
  <c r="J490" i="1"/>
  <c r="J484" i="1"/>
  <c r="J466" i="1"/>
  <c r="J455" i="1"/>
  <c r="J450" i="1"/>
  <c r="J440" i="1"/>
  <c r="J426" i="1"/>
  <c r="J406" i="1"/>
  <c r="J378" i="1"/>
  <c r="J371" i="1"/>
  <c r="J366" i="1"/>
  <c r="J338" i="1"/>
  <c r="J323" i="1"/>
  <c r="J315" i="1"/>
  <c r="J307" i="1"/>
  <c r="J291" i="1"/>
  <c r="J282" i="1"/>
  <c r="J272" i="1"/>
  <c r="J265" i="1"/>
  <c r="J255" i="1"/>
  <c r="J248" i="1"/>
  <c r="J232" i="1"/>
  <c r="J220" i="1"/>
  <c r="J212" i="1"/>
  <c r="J195" i="1"/>
  <c r="J185" i="1"/>
  <c r="J166" i="1"/>
  <c r="J156" i="1"/>
  <c r="J148" i="1"/>
  <c r="J144" i="1"/>
  <c r="J137" i="1"/>
  <c r="J132" i="1"/>
  <c r="J126" i="1"/>
  <c r="J108" i="1"/>
  <c r="J95" i="1"/>
  <c r="J78" i="1"/>
  <c r="J69" i="1"/>
  <c r="J40" i="1"/>
  <c r="J35" i="1"/>
  <c r="J29" i="1"/>
  <c r="J1892" i="1"/>
  <c r="J1848" i="1"/>
  <c r="J1704" i="1"/>
  <c r="J1693" i="1"/>
  <c r="J1674" i="1"/>
  <c r="J1667" i="1"/>
  <c r="J1662" i="1"/>
  <c r="J1622" i="1"/>
  <c r="J1603" i="1"/>
  <c r="J1593" i="1"/>
  <c r="J1577" i="1"/>
  <c r="J1567" i="1"/>
  <c r="J1537" i="1"/>
  <c r="J1516" i="1"/>
  <c r="J1487" i="1"/>
  <c r="J1419" i="1"/>
  <c r="J1385" i="1"/>
  <c r="J1354" i="1"/>
  <c r="J1328" i="1"/>
  <c r="J1306" i="1"/>
  <c r="J1298" i="1"/>
  <c r="J1290" i="1"/>
  <c r="J1265" i="1"/>
  <c r="J1246" i="1"/>
  <c r="J1216" i="1"/>
  <c r="J1211" i="1"/>
  <c r="J1202" i="1"/>
  <c r="J1183" i="1"/>
  <c r="J1173" i="1"/>
  <c r="J1166" i="1"/>
  <c r="J1126" i="1"/>
  <c r="J1071" i="1"/>
  <c r="J1028" i="1"/>
  <c r="J994" i="1"/>
  <c r="J964" i="1"/>
  <c r="J947" i="1"/>
  <c r="J928" i="1"/>
  <c r="J908" i="1"/>
  <c r="J888" i="1"/>
  <c r="J881" i="1"/>
  <c r="J869" i="1"/>
  <c r="J838" i="1"/>
  <c r="J831" i="1"/>
  <c r="J825" i="1"/>
  <c r="J800" i="1"/>
  <c r="J791" i="1"/>
  <c r="J785" i="1"/>
  <c r="J754" i="1"/>
  <c r="J737" i="1"/>
  <c r="J687" i="1"/>
  <c r="J650" i="1"/>
  <c r="J630" i="1"/>
  <c r="J621" i="1"/>
  <c r="J615" i="1"/>
  <c r="J603" i="1"/>
  <c r="J598" i="1"/>
  <c r="J585" i="1"/>
  <c r="J551" i="1"/>
  <c r="J543" i="1"/>
  <c r="J530" i="1"/>
  <c r="J522" i="1"/>
  <c r="J509" i="1"/>
  <c r="J497" i="1"/>
  <c r="J460" i="1"/>
  <c r="J456" i="1"/>
  <c r="J452" i="1"/>
  <c r="J447" i="1"/>
  <c r="J436" i="1"/>
  <c r="J417" i="1"/>
  <c r="J400" i="1"/>
  <c r="J383" i="1"/>
  <c r="J379" i="1"/>
  <c r="J375" i="1"/>
  <c r="J358" i="1"/>
  <c r="J331" i="1"/>
  <c r="J316" i="1"/>
  <c r="J308" i="1"/>
  <c r="J303" i="1"/>
  <c r="J283" i="1"/>
  <c r="J266" i="1"/>
  <c r="J262" i="1"/>
  <c r="J249" i="1"/>
  <c r="J239" i="1"/>
  <c r="J234" i="1"/>
  <c r="J217" i="1"/>
  <c r="J203" i="1"/>
  <c r="J180" i="1"/>
  <c r="J175" i="1"/>
  <c r="J169" i="1"/>
  <c r="J157" i="1"/>
  <c r="J149" i="1"/>
  <c r="J145" i="1"/>
  <c r="J133" i="1"/>
  <c r="J121" i="1"/>
  <c r="J103" i="1"/>
  <c r="J90" i="1"/>
  <c r="J75" i="1"/>
  <c r="J66" i="1"/>
  <c r="J54" i="1"/>
  <c r="J50" i="1"/>
  <c r="J41" i="1"/>
  <c r="J36" i="1"/>
  <c r="J26" i="1"/>
  <c r="J19" i="1"/>
  <c r="J15" i="1"/>
  <c r="J10" i="1"/>
  <c r="J1880" i="1"/>
  <c r="J1797" i="1"/>
  <c r="J1794" i="1"/>
  <c r="J1758" i="1"/>
  <c r="J1712" i="1"/>
  <c r="J1709" i="1"/>
  <c r="J1698" i="1"/>
  <c r="J1688" i="1"/>
  <c r="J1676" i="1"/>
  <c r="J1670" i="1"/>
  <c r="J1666" i="1"/>
  <c r="J1659" i="1"/>
  <c r="J1650" i="1"/>
  <c r="J1627" i="1"/>
  <c r="J1608" i="1"/>
  <c r="J1597" i="1"/>
  <c r="J1583" i="1"/>
  <c r="J1572" i="1"/>
  <c r="J1563" i="1"/>
  <c r="J1553" i="1"/>
  <c r="J1533" i="1"/>
  <c r="J1520" i="1"/>
  <c r="J1512" i="1"/>
  <c r="J1500" i="1"/>
  <c r="J1491" i="1"/>
  <c r="J1483" i="1"/>
  <c r="J1475" i="1"/>
  <c r="J1467" i="1"/>
  <c r="J1456" i="1"/>
  <c r="J1452" i="1"/>
  <c r="J1436" i="1"/>
  <c r="J1424" i="1"/>
  <c r="J1414" i="1"/>
  <c r="J1397" i="1"/>
  <c r="J1386" i="1"/>
  <c r="J1380" i="1"/>
  <c r="J1359" i="1"/>
  <c r="J1350" i="1"/>
  <c r="J1340" i="1"/>
  <c r="J1322" i="1"/>
  <c r="J1312" i="1"/>
  <c r="J1293" i="1"/>
  <c r="J1286" i="1"/>
  <c r="J1281" i="1"/>
  <c r="J1269" i="1"/>
  <c r="J1263" i="1"/>
  <c r="J1240" i="1"/>
  <c r="J1232" i="1"/>
  <c r="J1212" i="1"/>
  <c r="J1206" i="1"/>
  <c r="J1195" i="1"/>
  <c r="J1178" i="1"/>
  <c r="J1168" i="1"/>
  <c r="J1146" i="1"/>
  <c r="J1134" i="1"/>
  <c r="J1122" i="1"/>
  <c r="J1114" i="1"/>
  <c r="J1106" i="1"/>
  <c r="J1095" i="1"/>
  <c r="J1086" i="1"/>
  <c r="J1076" i="1"/>
  <c r="J1064" i="1"/>
  <c r="J1044" i="1"/>
  <c r="J1029" i="1"/>
  <c r="J1021" i="1"/>
  <c r="J1000" i="1"/>
  <c r="J989" i="1"/>
  <c r="J977" i="1"/>
  <c r="J969" i="1"/>
  <c r="J959" i="1"/>
  <c r="J951" i="1"/>
  <c r="J934" i="1"/>
  <c r="J921" i="1"/>
  <c r="J912" i="1"/>
  <c r="J904" i="1"/>
  <c r="J893" i="1"/>
  <c r="J887" i="1"/>
  <c r="J875" i="1"/>
  <c r="J863" i="1"/>
  <c r="J850" i="1"/>
  <c r="J839" i="1"/>
  <c r="J835" i="1"/>
  <c r="J819" i="1"/>
  <c r="J814" i="1"/>
  <c r="J805" i="1"/>
  <c r="J795" i="1"/>
  <c r="J774" i="1"/>
  <c r="J762" i="1"/>
  <c r="J742" i="1"/>
  <c r="J733" i="1"/>
  <c r="J725" i="1"/>
  <c r="J717" i="1"/>
  <c r="J702" i="1"/>
  <c r="J695" i="1"/>
  <c r="J682" i="1"/>
  <c r="J670" i="1"/>
  <c r="J656" i="1"/>
  <c r="J653" i="1"/>
  <c r="J641" i="1"/>
  <c r="J635" i="1"/>
  <c r="J628" i="1"/>
  <c r="J623" i="1"/>
  <c r="J618" i="1"/>
  <c r="J613" i="1"/>
  <c r="J601" i="1"/>
  <c r="J596" i="1"/>
  <c r="J592" i="1"/>
  <c r="J588" i="1"/>
  <c r="J582" i="1"/>
  <c r="J575" i="1"/>
  <c r="J571" i="1"/>
  <c r="J566" i="1"/>
  <c r="J559" i="1"/>
  <c r="J554" i="1"/>
  <c r="J548" i="1"/>
  <c r="J541" i="1"/>
  <c r="J536" i="1"/>
  <c r="J532" i="1"/>
  <c r="J517" i="1"/>
  <c r="J507" i="1"/>
  <c r="J495" i="1"/>
  <c r="J488" i="1"/>
  <c r="J475" i="1"/>
  <c r="J462" i="1"/>
  <c r="J458" i="1"/>
  <c r="J454" i="1"/>
  <c r="J449" i="1"/>
  <c r="J445" i="1"/>
  <c r="J439" i="1"/>
  <c r="J433" i="1"/>
  <c r="J429" i="1"/>
  <c r="J425" i="1"/>
  <c r="J420" i="1"/>
  <c r="J415" i="1"/>
  <c r="J410" i="1"/>
  <c r="J405" i="1"/>
  <c r="J394" i="1"/>
  <c r="J381" i="1"/>
  <c r="J377" i="1"/>
  <c r="J370" i="1"/>
  <c r="J365" i="1"/>
  <c r="J361" i="1"/>
  <c r="J356" i="1"/>
  <c r="J352" i="1"/>
  <c r="J348" i="1"/>
  <c r="J343" i="1"/>
  <c r="J337" i="1"/>
  <c r="J333" i="1"/>
  <c r="J328" i="1"/>
  <c r="J322" i="1"/>
  <c r="J318" i="1"/>
  <c r="J313" i="1"/>
  <c r="J306" i="1"/>
  <c r="J298" i="1"/>
  <c r="J290" i="1"/>
  <c r="J286" i="1"/>
  <c r="J276" i="1"/>
  <c r="J271" i="1"/>
  <c r="J264" i="1"/>
  <c r="J236" i="1"/>
  <c r="J231" i="1"/>
  <c r="J224" i="1"/>
  <c r="J219" i="1"/>
  <c r="J215" i="1"/>
  <c r="J211" i="1"/>
  <c r="J206" i="1"/>
  <c r="J201" i="1"/>
  <c r="J194" i="1"/>
  <c r="J182" i="1"/>
  <c r="J172" i="1"/>
  <c r="J164" i="1"/>
  <c r="J160" i="1"/>
  <c r="J155" i="1"/>
  <c r="J151" i="1"/>
  <c r="J147" i="1"/>
  <c r="J143" i="1"/>
  <c r="J135" i="1"/>
  <c r="J130" i="1"/>
  <c r="J124" i="1"/>
  <c r="J118" i="1"/>
  <c r="J112" i="1"/>
  <c r="J106" i="1"/>
  <c r="J100" i="1"/>
  <c r="J88" i="1"/>
  <c r="J81" i="1"/>
  <c r="J77" i="1"/>
  <c r="J73" i="1"/>
  <c r="J68" i="1"/>
  <c r="J64" i="1"/>
  <c r="J57" i="1"/>
  <c r="J52" i="1"/>
  <c r="J48" i="1"/>
  <c r="J43" i="1"/>
  <c r="J38" i="1"/>
  <c r="J33" i="1"/>
  <c r="J28" i="1"/>
  <c r="J21" i="1"/>
  <c r="J17" i="1"/>
  <c r="J13" i="1"/>
  <c r="J1899" i="1"/>
  <c r="J1837" i="1"/>
  <c r="J1812" i="1"/>
  <c r="J1740" i="1"/>
  <c r="J1692" i="1"/>
  <c r="J1671" i="1"/>
  <c r="J1645" i="1"/>
  <c r="J1609" i="1"/>
  <c r="J1592" i="1"/>
  <c r="J1584" i="1"/>
  <c r="J1564" i="1"/>
  <c r="J1544" i="1"/>
  <c r="J1528" i="1"/>
  <c r="J1494" i="1"/>
  <c r="J1457" i="1"/>
  <c r="J1415" i="1"/>
  <c r="J1403" i="1"/>
  <c r="J1399" i="1"/>
  <c r="J1381" i="1"/>
  <c r="J1362" i="1"/>
  <c r="J1332" i="1"/>
  <c r="J1324" i="1"/>
  <c r="J1316" i="1"/>
  <c r="J1289" i="1"/>
  <c r="J1282" i="1"/>
  <c r="J1270" i="1"/>
  <c r="J1253" i="1"/>
  <c r="J1187" i="1"/>
  <c r="J1172" i="1"/>
  <c r="J1163" i="1"/>
  <c r="J1155" i="1"/>
  <c r="J1123" i="1"/>
  <c r="J1098" i="1"/>
  <c r="J1090" i="1"/>
  <c r="J1070" i="1"/>
  <c r="J1039" i="1"/>
  <c r="J1022" i="1"/>
  <c r="J1003" i="1"/>
  <c r="J981" i="1"/>
  <c r="J972" i="1"/>
  <c r="J963" i="1"/>
  <c r="J952" i="1"/>
  <c r="J922" i="1"/>
  <c r="J913" i="1"/>
  <c r="J905" i="1"/>
  <c r="J864" i="1"/>
  <c r="J822" i="1"/>
  <c r="J806" i="1"/>
  <c r="J796" i="1"/>
  <c r="J736" i="1"/>
  <c r="J728" i="1"/>
  <c r="J686" i="1"/>
  <c r="J674" i="1"/>
  <c r="J666" i="1"/>
  <c r="J654" i="1"/>
  <c r="J642" i="1"/>
  <c r="J624" i="1"/>
  <c r="J614" i="1"/>
  <c r="J602" i="1"/>
  <c r="J578" i="1"/>
  <c r="J572" i="1"/>
  <c r="J560" i="1"/>
  <c r="J537" i="1"/>
  <c r="J525" i="1"/>
  <c r="J508" i="1"/>
  <c r="J496" i="1"/>
  <c r="J477" i="1"/>
  <c r="J471" i="1"/>
  <c r="J459" i="1"/>
  <c r="J446" i="1"/>
  <c r="J435" i="1"/>
  <c r="J430" i="1"/>
  <c r="J421" i="1"/>
  <c r="J399" i="1"/>
  <c r="J391" i="1"/>
  <c r="J382" i="1"/>
  <c r="J362" i="1"/>
  <c r="J334" i="1"/>
  <c r="J330" i="1"/>
  <c r="J319" i="1"/>
  <c r="J299" i="1"/>
  <c r="J287" i="1"/>
  <c r="J277" i="1"/>
  <c r="J260" i="1"/>
  <c r="J243" i="1"/>
  <c r="J225" i="1"/>
  <c r="J216" i="1"/>
  <c r="J207" i="1"/>
  <c r="J202" i="1"/>
  <c r="J191" i="1"/>
  <c r="J179" i="1"/>
  <c r="J173" i="1"/>
  <c r="J161" i="1"/>
  <c r="J152" i="1"/>
  <c r="J120" i="1"/>
  <c r="J102" i="1"/>
  <c r="J89" i="1"/>
  <c r="J82" i="1"/>
  <c r="J74" i="1"/>
  <c r="J65" i="1"/>
  <c r="J58" i="1"/>
  <c r="J53" i="1"/>
  <c r="J49" i="1"/>
  <c r="J44" i="1"/>
  <c r="J25" i="1"/>
  <c r="J1767" i="1"/>
  <c r="J1751" i="1"/>
  <c r="J1680" i="1"/>
  <c r="J1655" i="1"/>
  <c r="J1633" i="1"/>
  <c r="J1614" i="1"/>
  <c r="J1587" i="1"/>
  <c r="J1558" i="1"/>
  <c r="J1548" i="1"/>
  <c r="J1529" i="1"/>
  <c r="J1504" i="1"/>
  <c r="J1495" i="1"/>
  <c r="J1471" i="1"/>
  <c r="J1460" i="1"/>
  <c r="J1453" i="1"/>
  <c r="J1444" i="1"/>
  <c r="J1428" i="1"/>
  <c r="J1409" i="1"/>
  <c r="J1392" i="1"/>
  <c r="J1374" i="1"/>
  <c r="J1363" i="1"/>
  <c r="J1346" i="1"/>
  <c r="J1333" i="1"/>
  <c r="J1317" i="1"/>
  <c r="J1274" i="1"/>
  <c r="J1257" i="1"/>
  <c r="J1239" i="1"/>
  <c r="J1226" i="1"/>
  <c r="J1190" i="1"/>
  <c r="J1156" i="1"/>
  <c r="J1151" i="1"/>
  <c r="J1138" i="1"/>
  <c r="J1110" i="1"/>
  <c r="J1101" i="1"/>
  <c r="J1091" i="1"/>
  <c r="J1080" i="1"/>
  <c r="J1056" i="1"/>
  <c r="J1034" i="1"/>
  <c r="J1016" i="1"/>
  <c r="J1005" i="1"/>
  <c r="J982" i="1"/>
  <c r="J973" i="1"/>
  <c r="J939" i="1"/>
  <c r="J916" i="1"/>
  <c r="J856" i="1"/>
  <c r="J815" i="1"/>
  <c r="J809" i="1"/>
  <c r="J745" i="1"/>
  <c r="J729" i="1"/>
  <c r="J698" i="1"/>
  <c r="J657" i="1"/>
  <c r="J643" i="1"/>
  <c r="J638" i="1"/>
  <c r="J626" i="1"/>
  <c r="J610" i="1"/>
  <c r="J594" i="1"/>
  <c r="J590" i="1"/>
  <c r="J580" i="1"/>
  <c r="J573" i="1"/>
  <c r="J568" i="1"/>
  <c r="J561" i="1"/>
  <c r="J556" i="1"/>
  <c r="J539" i="1"/>
  <c r="J534" i="1"/>
  <c r="J526" i="1"/>
  <c r="J514" i="1"/>
  <c r="J503" i="1"/>
  <c r="J491" i="1"/>
  <c r="J485" i="1"/>
  <c r="J479" i="1"/>
  <c r="J472" i="1"/>
  <c r="J443" i="1"/>
  <c r="J431" i="1"/>
  <c r="J427" i="1"/>
  <c r="J422" i="1"/>
  <c r="J412" i="1"/>
  <c r="J407" i="1"/>
  <c r="J396" i="1"/>
  <c r="J392" i="1"/>
  <c r="J367" i="1"/>
  <c r="J363" i="1"/>
  <c r="J354" i="1"/>
  <c r="J350" i="1"/>
  <c r="J346" i="1"/>
  <c r="J339" i="1"/>
  <c r="J335" i="1"/>
  <c r="J324" i="1"/>
  <c r="J320" i="1"/>
  <c r="J295" i="1"/>
  <c r="J288" i="1"/>
  <c r="J278" i="1"/>
  <c r="J274" i="1"/>
  <c r="J256" i="1"/>
  <c r="J244" i="1"/>
  <c r="J226" i="1"/>
  <c r="J222" i="1"/>
  <c r="J213" i="1"/>
  <c r="J209" i="1"/>
  <c r="J196" i="1"/>
  <c r="J192" i="1"/>
  <c r="J187" i="1"/>
  <c r="J162" i="1"/>
  <c r="J153" i="1"/>
  <c r="J138" i="1"/>
  <c r="J128" i="1"/>
  <c r="J116" i="1"/>
  <c r="J109" i="1"/>
  <c r="J96" i="1"/>
  <c r="J83" i="1"/>
  <c r="J79" i="1"/>
  <c r="J70" i="1"/>
  <c r="J60" i="1"/>
  <c r="J46" i="1"/>
  <c r="J31" i="1"/>
  <c r="J747" i="1"/>
  <c r="J357" i="1"/>
  <c r="J1663" i="1"/>
  <c r="J9" i="1"/>
  <c r="J263" i="1"/>
  <c r="J453" i="1"/>
  <c r="J1213" i="1"/>
  <c r="J1833" i="1"/>
  <c r="J353" i="1"/>
  <c r="J876" i="1"/>
  <c r="J697" i="1"/>
  <c r="J722" i="1"/>
  <c r="J950" i="1"/>
  <c r="J1644" i="1"/>
  <c r="J1887" i="1"/>
  <c r="J93" i="1"/>
  <c r="J177" i="1"/>
  <c r="J389" i="1"/>
  <c r="J750" i="1"/>
  <c r="J1735" i="1"/>
  <c r="J659" i="1"/>
  <c r="J837" i="1"/>
  <c r="J937" i="1"/>
  <c r="J1276" i="1"/>
  <c r="J1401" i="1"/>
  <c r="J1594" i="1"/>
  <c r="J1618" i="1"/>
  <c r="J760" i="1"/>
  <c r="J794" i="1"/>
  <c r="J872" i="1"/>
  <c r="J1556" i="1"/>
  <c r="J713" i="1"/>
  <c r="J668" i="1"/>
  <c r="J860" i="1"/>
  <c r="J1157" i="1"/>
  <c r="J1284" i="1"/>
  <c r="J634" i="1"/>
  <c r="J778" i="1"/>
  <c r="J1186" i="1"/>
  <c r="J816" i="1"/>
  <c r="J1388" i="1"/>
  <c r="J1741" i="1"/>
  <c r="J1788" i="1"/>
  <c r="J1807" i="1"/>
  <c r="J1854" i="1"/>
  <c r="J467" i="1"/>
  <c r="J469" i="1"/>
  <c r="J1541" i="1"/>
  <c r="J18" i="1"/>
  <c r="J783" i="1"/>
  <c r="J790" i="1"/>
  <c r="J1124" i="1"/>
  <c r="J1387" i="1"/>
  <c r="J1407" i="1"/>
  <c r="J1480" i="1"/>
  <c r="J1599" i="1"/>
  <c r="J1625" i="1"/>
  <c r="J684" i="1"/>
  <c r="J777" i="1"/>
  <c r="J677" i="1"/>
  <c r="J954" i="1"/>
  <c r="J1731" i="1"/>
  <c r="J1846" i="1"/>
  <c r="J1878" i="1"/>
  <c r="J416" i="1"/>
  <c r="J523" i="1"/>
  <c r="J1449" i="1"/>
  <c r="J428" i="1"/>
  <c r="J444" i="1"/>
  <c r="J1882" i="1"/>
  <c r="J1870" i="1"/>
  <c r="J189" i="1"/>
  <c r="J482" i="1"/>
  <c r="J1836" i="1"/>
  <c r="J787" i="1"/>
  <c r="J1637" i="1"/>
  <c r="J230" i="1"/>
  <c r="J1331" i="1"/>
  <c r="J1850" i="1"/>
  <c r="J395" i="1"/>
  <c r="J414" i="1"/>
  <c r="J707" i="1"/>
  <c r="J1303" i="1"/>
  <c r="J289" i="1"/>
  <c r="J829" i="1"/>
  <c r="J772" i="1"/>
  <c r="J1869" i="1"/>
  <c r="J14" i="1"/>
  <c r="J237" i="1"/>
  <c r="J711" i="1"/>
  <c r="J1149" i="1"/>
  <c r="J1292" i="1"/>
  <c r="J1660" i="1"/>
  <c r="J1703" i="1"/>
  <c r="J1725" i="1"/>
  <c r="J1733" i="1"/>
  <c r="J1822" i="1"/>
  <c r="J1898" i="1"/>
  <c r="J242" i="1"/>
  <c r="J500" i="1"/>
  <c r="J524" i="1"/>
  <c r="J605" i="1"/>
  <c r="J662" i="1"/>
  <c r="J946" i="1"/>
  <c r="J840" i="1"/>
  <c r="J1001" i="1"/>
  <c r="J1053" i="1"/>
  <c r="J1581" i="1"/>
  <c r="J1661" i="1"/>
  <c r="J811" i="1"/>
  <c r="J1129" i="1"/>
  <c r="J1879" i="1"/>
  <c r="J744" i="1"/>
  <c r="J1325" i="1"/>
  <c r="J1727" i="1"/>
  <c r="J1873" i="1"/>
  <c r="J1219" i="1"/>
  <c r="J995" i="1"/>
  <c r="J1041" i="1"/>
  <c r="J1267" i="1"/>
  <c r="J1367" i="1"/>
  <c r="J1811" i="1"/>
  <c r="J1861" i="1"/>
  <c r="J1835" i="1"/>
  <c r="J1894" i="1"/>
  <c r="J114" i="1"/>
  <c r="J474" i="1"/>
  <c r="J940" i="1"/>
  <c r="J481" i="1"/>
  <c r="J349" i="1"/>
  <c r="J105" i="1"/>
  <c r="J411" i="1"/>
  <c r="J1549" i="1"/>
  <c r="J567" i="1"/>
  <c r="J1668" i="1"/>
  <c r="J1718" i="1"/>
  <c r="J247" i="1"/>
  <c r="J259" i="1"/>
  <c r="J528" i="1"/>
  <c r="J645" i="1"/>
  <c r="J1621" i="1"/>
  <c r="J832" i="1"/>
  <c r="J1908" i="1"/>
  <c r="J1162" i="1"/>
  <c r="J807" i="1"/>
  <c r="J1378" i="1"/>
  <c r="J1814" i="1"/>
  <c r="J1729" i="1"/>
  <c r="J281" i="1"/>
  <c r="J512" i="1"/>
  <c r="J710" i="1"/>
  <c r="J1545" i="1"/>
  <c r="J1605" i="1"/>
  <c r="J1319" i="1"/>
  <c r="J700" i="1"/>
  <c r="J1455" i="1"/>
  <c r="J1738" i="1"/>
  <c r="J1065" i="1"/>
  <c r="J493" i="1"/>
  <c r="J786" i="1"/>
  <c r="J516" i="1"/>
  <c r="J250" i="1"/>
  <c r="J518" i="1"/>
  <c r="J1169" i="1"/>
  <c r="J345" i="1"/>
  <c r="J1154" i="1"/>
  <c r="J1677" i="1"/>
  <c r="J1739" i="1"/>
  <c r="J251" i="1"/>
  <c r="J398" i="1"/>
  <c r="J1454" i="1"/>
  <c r="J1591" i="1"/>
  <c r="J1669" i="1"/>
  <c r="J818" i="1"/>
  <c r="J1886" i="1"/>
  <c r="J1802" i="1"/>
  <c r="J757" i="1"/>
  <c r="I1902" i="1" l="1"/>
  <c r="I1905" i="1" s="1"/>
  <c r="I1903" i="1" l="1"/>
  <c r="I1904" i="1" s="1"/>
</calcChain>
</file>

<file path=xl/comments1.xml><?xml version="1.0" encoding="utf-8"?>
<comments xmlns="http://schemas.openxmlformats.org/spreadsheetml/2006/main">
  <authors>
    <author>Utilisateur Windows</author>
  </authors>
  <commentList>
    <comment ref="H388" authorId="0" shapeId="0">
      <text>
        <r>
          <rPr>
            <sz val="9"/>
            <color indexed="81"/>
            <rFont val="Tahoma"/>
            <charset val="1"/>
          </rPr>
          <t>Ouvrage identique à 1.1</t>
        </r>
      </text>
    </comment>
    <comment ref="H389" authorId="0" shapeId="0">
      <text>
        <r>
          <rPr>
            <sz val="9"/>
            <color indexed="81"/>
            <rFont val="Tahoma"/>
            <charset val="1"/>
          </rPr>
          <t>Ouvrage identique à 1.2</t>
        </r>
      </text>
    </comment>
    <comment ref="H391" authorId="0" shapeId="0">
      <text>
        <r>
          <rPr>
            <sz val="9"/>
            <color indexed="81"/>
            <rFont val="Tahoma"/>
            <charset val="1"/>
          </rPr>
          <t>Ouvrage identique à 1.3.1</t>
        </r>
      </text>
    </comment>
    <comment ref="H392" authorId="0" shapeId="0">
      <text>
        <r>
          <rPr>
            <sz val="9"/>
            <color indexed="81"/>
            <rFont val="Tahoma"/>
            <charset val="1"/>
          </rPr>
          <t>Ouvrage identique à 1.3.2</t>
        </r>
      </text>
    </comment>
    <comment ref="H393" authorId="0" shapeId="0">
      <text>
        <r>
          <rPr>
            <sz val="9"/>
            <color indexed="81"/>
            <rFont val="Tahoma"/>
            <charset val="1"/>
          </rPr>
          <t>Ouvrage identique à 1.3.3</t>
        </r>
      </text>
    </comment>
    <comment ref="H394" authorId="0" shapeId="0">
      <text>
        <r>
          <rPr>
            <sz val="9"/>
            <color indexed="81"/>
            <rFont val="Tahoma"/>
            <charset val="1"/>
          </rPr>
          <t>Ouvrage identique à 1.3.4</t>
        </r>
      </text>
    </comment>
    <comment ref="H395" authorId="0" shapeId="0">
      <text>
        <r>
          <rPr>
            <sz val="9"/>
            <color indexed="81"/>
            <rFont val="Tahoma"/>
            <charset val="1"/>
          </rPr>
          <t>Ouvrage identique à 1.4</t>
        </r>
      </text>
    </comment>
    <comment ref="H396" authorId="0" shapeId="0">
      <text>
        <r>
          <rPr>
            <sz val="9"/>
            <color indexed="81"/>
            <rFont val="Tahoma"/>
            <charset val="1"/>
          </rPr>
          <t>Ouvrage identique à 1.5</t>
        </r>
      </text>
    </comment>
    <comment ref="H397" authorId="0" shapeId="0">
      <text>
        <r>
          <rPr>
            <sz val="9"/>
            <color indexed="81"/>
            <rFont val="Tahoma"/>
            <charset val="1"/>
          </rPr>
          <t>Ouvrage identique à 1.6</t>
        </r>
      </text>
    </comment>
    <comment ref="H398" authorId="0" shapeId="0">
      <text>
        <r>
          <rPr>
            <sz val="9"/>
            <color indexed="81"/>
            <rFont val="Tahoma"/>
            <charset val="1"/>
          </rPr>
          <t>Ouvrage identique à 1.7</t>
        </r>
      </text>
    </comment>
    <comment ref="H399" authorId="0" shapeId="0">
      <text>
        <r>
          <rPr>
            <sz val="9"/>
            <color indexed="81"/>
            <rFont val="Tahoma"/>
            <charset val="1"/>
          </rPr>
          <t>Ouvrage identique à 1.8</t>
        </r>
      </text>
    </comment>
    <comment ref="H400" authorId="0" shapeId="0">
      <text>
        <r>
          <rPr>
            <sz val="9"/>
            <color indexed="81"/>
            <rFont val="Tahoma"/>
            <charset val="1"/>
          </rPr>
          <t>Ouvrage identique à 1.9</t>
        </r>
      </text>
    </comment>
    <comment ref="H404" authorId="0" shapeId="0">
      <text>
        <r>
          <rPr>
            <sz val="9"/>
            <color indexed="81"/>
            <rFont val="Tahoma"/>
            <charset val="1"/>
          </rPr>
          <t>Ouvrage identique à 2.1.1</t>
        </r>
      </text>
    </comment>
    <comment ref="H405" authorId="0" shapeId="0">
      <text>
        <r>
          <rPr>
            <sz val="9"/>
            <color indexed="81"/>
            <rFont val="Tahoma"/>
            <charset val="1"/>
          </rPr>
          <t>Ouvrage identique à 2.1.2</t>
        </r>
      </text>
    </comment>
    <comment ref="H406" authorId="0" shapeId="0">
      <text>
        <r>
          <rPr>
            <sz val="9"/>
            <color indexed="81"/>
            <rFont val="Tahoma"/>
            <charset val="1"/>
          </rPr>
          <t>Ouvrage identique à 2.1.3</t>
        </r>
      </text>
    </comment>
    <comment ref="H407" authorId="0" shapeId="0">
      <text>
        <r>
          <rPr>
            <sz val="9"/>
            <color indexed="81"/>
            <rFont val="Tahoma"/>
            <charset val="1"/>
          </rPr>
          <t>Ouvrage identique à 2.2</t>
        </r>
      </text>
    </comment>
    <comment ref="H408" authorId="0" shapeId="0">
      <text>
        <r>
          <rPr>
            <sz val="9"/>
            <color indexed="81"/>
            <rFont val="Tahoma"/>
            <charset val="1"/>
          </rPr>
          <t>Ouvrage identique à 2.3</t>
        </r>
      </text>
    </comment>
    <comment ref="H410" authorId="0" shapeId="0">
      <text>
        <r>
          <rPr>
            <sz val="9"/>
            <color indexed="81"/>
            <rFont val="Tahoma"/>
            <charset val="1"/>
          </rPr>
          <t>Ouvrage identique à 2.4.1</t>
        </r>
      </text>
    </comment>
    <comment ref="H411" authorId="0" shapeId="0">
      <text>
        <r>
          <rPr>
            <sz val="9"/>
            <color indexed="81"/>
            <rFont val="Tahoma"/>
            <charset val="1"/>
          </rPr>
          <t>Ouvrage identique à 2.4.2</t>
        </r>
      </text>
    </comment>
    <comment ref="H412" authorId="0" shapeId="0">
      <text>
        <r>
          <rPr>
            <sz val="9"/>
            <color indexed="81"/>
            <rFont val="Tahoma"/>
            <charset val="1"/>
          </rPr>
          <t>Ouvrage identique à 2.4.3</t>
        </r>
      </text>
    </comment>
    <comment ref="H414" authorId="0" shapeId="0">
      <text>
        <r>
          <rPr>
            <sz val="9"/>
            <color indexed="81"/>
            <rFont val="Tahoma"/>
            <charset val="1"/>
          </rPr>
          <t>Ouvrage identique à 2.5.1</t>
        </r>
      </text>
    </comment>
    <comment ref="H415" authorId="0" shapeId="0">
      <text>
        <r>
          <rPr>
            <sz val="9"/>
            <color indexed="81"/>
            <rFont val="Tahoma"/>
            <charset val="1"/>
          </rPr>
          <t>Ouvrage identique à 2.5.2</t>
        </r>
      </text>
    </comment>
    <comment ref="H416" authorId="0" shapeId="0">
      <text>
        <r>
          <rPr>
            <sz val="9"/>
            <color indexed="81"/>
            <rFont val="Tahoma"/>
            <charset val="1"/>
          </rPr>
          <t>Ouvrage identique à 2.5.3</t>
        </r>
      </text>
    </comment>
    <comment ref="H417" authorId="0" shapeId="0">
      <text>
        <r>
          <rPr>
            <sz val="9"/>
            <color indexed="81"/>
            <rFont val="Tahoma"/>
            <charset val="1"/>
          </rPr>
          <t>Ouvrage identique à 2.6</t>
        </r>
      </text>
    </comment>
    <comment ref="H419" authorId="0" shapeId="0">
      <text>
        <r>
          <rPr>
            <sz val="9"/>
            <color indexed="81"/>
            <rFont val="Tahoma"/>
            <charset val="1"/>
          </rPr>
          <t>Ouvrage identique à 2.7.1</t>
        </r>
      </text>
    </comment>
    <comment ref="H420" authorId="0" shapeId="0">
      <text>
        <r>
          <rPr>
            <sz val="9"/>
            <color indexed="81"/>
            <rFont val="Tahoma"/>
            <charset val="1"/>
          </rPr>
          <t>Ouvrage identique à 2.7.2</t>
        </r>
      </text>
    </comment>
    <comment ref="H421" authorId="0" shapeId="0">
      <text>
        <r>
          <rPr>
            <sz val="9"/>
            <color indexed="81"/>
            <rFont val="Tahoma"/>
            <charset val="1"/>
          </rPr>
          <t>Ouvrage identique à 2.7.3</t>
        </r>
      </text>
    </comment>
    <comment ref="H422" authorId="0" shapeId="0">
      <text>
        <r>
          <rPr>
            <sz val="9"/>
            <color indexed="81"/>
            <rFont val="Tahoma"/>
            <charset val="1"/>
          </rPr>
          <t>Ouvrage identique à 2.7.4</t>
        </r>
      </text>
    </comment>
    <comment ref="H423" authorId="0" shapeId="0">
      <text>
        <r>
          <rPr>
            <sz val="9"/>
            <color indexed="81"/>
            <rFont val="Tahoma"/>
            <charset val="1"/>
          </rPr>
          <t>Ouvrage identique à 2.7.5</t>
        </r>
      </text>
    </comment>
    <comment ref="H425" authorId="0" shapeId="0">
      <text>
        <r>
          <rPr>
            <sz val="9"/>
            <color indexed="81"/>
            <rFont val="Tahoma"/>
            <charset val="1"/>
          </rPr>
          <t>Ouvrage identique à 2.8.1</t>
        </r>
      </text>
    </comment>
    <comment ref="H426" authorId="0" shapeId="0">
      <text>
        <r>
          <rPr>
            <sz val="9"/>
            <color indexed="81"/>
            <rFont val="Tahoma"/>
            <charset val="1"/>
          </rPr>
          <t>Ouvrage identique à 2.8.2</t>
        </r>
      </text>
    </comment>
    <comment ref="H427" authorId="0" shapeId="0">
      <text>
        <r>
          <rPr>
            <sz val="9"/>
            <color indexed="81"/>
            <rFont val="Tahoma"/>
            <charset val="1"/>
          </rPr>
          <t>Ouvrage identique à 2.8.3</t>
        </r>
      </text>
    </comment>
    <comment ref="H428" authorId="0" shapeId="0">
      <text>
        <r>
          <rPr>
            <sz val="9"/>
            <color indexed="81"/>
            <rFont val="Tahoma"/>
            <charset val="1"/>
          </rPr>
          <t>Ouvrage identique à 2.8.4</t>
        </r>
      </text>
    </comment>
    <comment ref="H429" authorId="0" shapeId="0">
      <text>
        <r>
          <rPr>
            <sz val="9"/>
            <color indexed="81"/>
            <rFont val="Tahoma"/>
            <charset val="1"/>
          </rPr>
          <t>Ouvrage identique à 2.8.5</t>
        </r>
      </text>
    </comment>
    <comment ref="H430" authorId="0" shapeId="0">
      <text>
        <r>
          <rPr>
            <sz val="9"/>
            <color indexed="81"/>
            <rFont val="Tahoma"/>
            <charset val="1"/>
          </rPr>
          <t>Ouvrage identique à 2.8.6</t>
        </r>
      </text>
    </comment>
    <comment ref="H431" authorId="0" shapeId="0">
      <text>
        <r>
          <rPr>
            <sz val="9"/>
            <color indexed="81"/>
            <rFont val="Tahoma"/>
            <charset val="1"/>
          </rPr>
          <t>Ouvrage identique à 2.8.7</t>
        </r>
      </text>
    </comment>
    <comment ref="H432" authorId="0" shapeId="0">
      <text>
        <r>
          <rPr>
            <sz val="9"/>
            <color indexed="81"/>
            <rFont val="Tahoma"/>
            <charset val="1"/>
          </rPr>
          <t>Ouvrage identique à 2.8.8</t>
        </r>
      </text>
    </comment>
    <comment ref="H433" authorId="0" shapeId="0">
      <text>
        <r>
          <rPr>
            <sz val="9"/>
            <color indexed="81"/>
            <rFont val="Tahoma"/>
            <charset val="1"/>
          </rPr>
          <t>Ouvrage identique à 2.9</t>
        </r>
      </text>
    </comment>
    <comment ref="H435" authorId="0" shapeId="0">
      <text>
        <r>
          <rPr>
            <sz val="9"/>
            <color indexed="81"/>
            <rFont val="Tahoma"/>
            <charset val="1"/>
          </rPr>
          <t>Ouvrage identique à 2.10.1</t>
        </r>
      </text>
    </comment>
    <comment ref="H436" authorId="0" shapeId="0">
      <text>
        <r>
          <rPr>
            <sz val="9"/>
            <color indexed="81"/>
            <rFont val="Tahoma"/>
            <charset val="1"/>
          </rPr>
          <t>Ouvrage identique à 2.10.2</t>
        </r>
      </text>
    </comment>
    <comment ref="H437" authorId="0" shapeId="0">
      <text>
        <r>
          <rPr>
            <sz val="9"/>
            <color indexed="81"/>
            <rFont val="Tahoma"/>
            <charset val="1"/>
          </rPr>
          <t>Ouvrage identique à 2.11</t>
        </r>
      </text>
    </comment>
    <comment ref="H439" authorId="0" shapeId="0">
      <text>
        <r>
          <rPr>
            <sz val="9"/>
            <color indexed="81"/>
            <rFont val="Tahoma"/>
            <charset val="1"/>
          </rPr>
          <t>Ouvrage identique à 2.12.1</t>
        </r>
      </text>
    </comment>
    <comment ref="H440" authorId="0" shapeId="0">
      <text>
        <r>
          <rPr>
            <sz val="9"/>
            <color indexed="81"/>
            <rFont val="Tahoma"/>
            <charset val="1"/>
          </rPr>
          <t>Ouvrage identique à 2.12.2</t>
        </r>
      </text>
    </comment>
    <comment ref="H443" authorId="0" shapeId="0">
      <text>
        <r>
          <rPr>
            <sz val="9"/>
            <color indexed="81"/>
            <rFont val="Tahoma"/>
            <charset val="1"/>
          </rPr>
          <t>Ouvrage identique à 3.1</t>
        </r>
      </text>
    </comment>
    <comment ref="H444" authorId="0" shapeId="0">
      <text>
        <r>
          <rPr>
            <sz val="9"/>
            <color indexed="81"/>
            <rFont val="Tahoma"/>
            <charset val="1"/>
          </rPr>
          <t>Ouvrage identique à 3.2</t>
        </r>
      </text>
    </comment>
    <comment ref="H445" authorId="0" shapeId="0">
      <text>
        <r>
          <rPr>
            <sz val="9"/>
            <color indexed="81"/>
            <rFont val="Tahoma"/>
            <charset val="1"/>
          </rPr>
          <t>Ouvrage identique à 3.3</t>
        </r>
      </text>
    </comment>
    <comment ref="H446" authorId="0" shapeId="0">
      <text>
        <r>
          <rPr>
            <sz val="9"/>
            <color indexed="81"/>
            <rFont val="Tahoma"/>
            <charset val="1"/>
          </rPr>
          <t>Ouvrage identique à 3.4</t>
        </r>
      </text>
    </comment>
    <comment ref="H447" authorId="0" shapeId="0">
      <text>
        <r>
          <rPr>
            <sz val="9"/>
            <color indexed="81"/>
            <rFont val="Tahoma"/>
            <charset val="1"/>
          </rPr>
          <t>Ouvrage identique à 3.5</t>
        </r>
      </text>
    </comment>
    <comment ref="H448" authorId="0" shapeId="0">
      <text>
        <r>
          <rPr>
            <sz val="9"/>
            <color indexed="81"/>
            <rFont val="Tahoma"/>
            <charset val="1"/>
          </rPr>
          <t>Ouvrage identique à 3.6</t>
        </r>
      </text>
    </comment>
    <comment ref="H449" authorId="0" shapeId="0">
      <text>
        <r>
          <rPr>
            <sz val="9"/>
            <color indexed="81"/>
            <rFont val="Tahoma"/>
            <charset val="1"/>
          </rPr>
          <t>Ouvrage identique à 3.7</t>
        </r>
      </text>
    </comment>
    <comment ref="H450" authorId="0" shapeId="0">
      <text>
        <r>
          <rPr>
            <sz val="9"/>
            <color indexed="81"/>
            <rFont val="Tahoma"/>
            <charset val="1"/>
          </rPr>
          <t>Ouvrage identique à 3.8</t>
        </r>
      </text>
    </comment>
    <comment ref="H452" authorId="0" shapeId="0">
      <text>
        <r>
          <rPr>
            <sz val="9"/>
            <color indexed="81"/>
            <rFont val="Tahoma"/>
            <charset val="1"/>
          </rPr>
          <t>Ouvrage identique à 3.9.1</t>
        </r>
      </text>
    </comment>
    <comment ref="H453" authorId="0" shapeId="0">
      <text>
        <r>
          <rPr>
            <sz val="9"/>
            <color indexed="81"/>
            <rFont val="Tahoma"/>
            <charset val="1"/>
          </rPr>
          <t>Ouvrage identique à 3.9.2</t>
        </r>
      </text>
    </comment>
    <comment ref="H454" authorId="0" shapeId="0">
      <text>
        <r>
          <rPr>
            <sz val="9"/>
            <color indexed="81"/>
            <rFont val="Tahoma"/>
            <charset val="1"/>
          </rPr>
          <t>Ouvrage identique à 3.9.3</t>
        </r>
      </text>
    </comment>
    <comment ref="H455" authorId="0" shapeId="0">
      <text>
        <r>
          <rPr>
            <sz val="9"/>
            <color indexed="81"/>
            <rFont val="Tahoma"/>
            <charset val="1"/>
          </rPr>
          <t>Ouvrage identique à 3.9.4</t>
        </r>
      </text>
    </comment>
    <comment ref="H456" authorId="0" shapeId="0">
      <text>
        <r>
          <rPr>
            <sz val="9"/>
            <color indexed="81"/>
            <rFont val="Tahoma"/>
            <charset val="1"/>
          </rPr>
          <t>Ouvrage identique à 3.9.5</t>
        </r>
      </text>
    </comment>
    <comment ref="H457" authorId="0" shapeId="0">
      <text>
        <r>
          <rPr>
            <sz val="9"/>
            <color indexed="81"/>
            <rFont val="Tahoma"/>
            <charset val="1"/>
          </rPr>
          <t>Ouvrage identique à 3.10</t>
        </r>
      </text>
    </comment>
    <comment ref="H458" authorId="0" shapeId="0">
      <text>
        <r>
          <rPr>
            <sz val="9"/>
            <color indexed="81"/>
            <rFont val="Tahoma"/>
            <charset val="1"/>
          </rPr>
          <t>Ouvrage identique à 3.11</t>
        </r>
      </text>
    </comment>
    <comment ref="H459" authorId="0" shapeId="0">
      <text>
        <r>
          <rPr>
            <sz val="9"/>
            <color indexed="81"/>
            <rFont val="Tahoma"/>
            <charset val="1"/>
          </rPr>
          <t>Ouvrage identique à 3.12</t>
        </r>
      </text>
    </comment>
    <comment ref="H460" authorId="0" shapeId="0">
      <text>
        <r>
          <rPr>
            <sz val="9"/>
            <color indexed="81"/>
            <rFont val="Tahoma"/>
            <charset val="1"/>
          </rPr>
          <t>Ouvrage identique à 3.13</t>
        </r>
      </text>
    </comment>
    <comment ref="H461" authorId="0" shapeId="0">
      <text>
        <r>
          <rPr>
            <sz val="9"/>
            <color indexed="81"/>
            <rFont val="Tahoma"/>
            <charset val="1"/>
          </rPr>
          <t>Ouvrage identique à 3.14</t>
        </r>
      </text>
    </comment>
    <comment ref="H462" authorId="0" shapeId="0">
      <text>
        <r>
          <rPr>
            <sz val="9"/>
            <color indexed="81"/>
            <rFont val="Tahoma"/>
            <charset val="1"/>
          </rPr>
          <t>Ouvrage identique à 3.15</t>
        </r>
      </text>
    </comment>
    <comment ref="H466" authorId="0" shapeId="0">
      <text>
        <r>
          <rPr>
            <sz val="9"/>
            <color indexed="81"/>
            <rFont val="Tahoma"/>
            <charset val="1"/>
          </rPr>
          <t>Ouvrage identique à 4.1.1</t>
        </r>
      </text>
    </comment>
    <comment ref="H467" authorId="0" shapeId="0">
      <text>
        <r>
          <rPr>
            <sz val="9"/>
            <color indexed="81"/>
            <rFont val="Tahoma"/>
            <charset val="1"/>
          </rPr>
          <t>Ouvrage identique à 4.1.2</t>
        </r>
      </text>
    </comment>
    <comment ref="H468" authorId="0" shapeId="0">
      <text>
        <r>
          <rPr>
            <sz val="9"/>
            <color indexed="81"/>
            <rFont val="Tahoma"/>
            <charset val="1"/>
          </rPr>
          <t>Ouvrage identique à 4.1.3</t>
        </r>
      </text>
    </comment>
    <comment ref="H469" authorId="0" shapeId="0">
      <text>
        <r>
          <rPr>
            <sz val="9"/>
            <color indexed="81"/>
            <rFont val="Tahoma"/>
            <charset val="1"/>
          </rPr>
          <t>Ouvrage identique à 4.1.4</t>
        </r>
      </text>
    </comment>
    <comment ref="H471" authorId="0" shapeId="0">
      <text>
        <r>
          <rPr>
            <sz val="9"/>
            <color indexed="81"/>
            <rFont val="Tahoma"/>
            <charset val="1"/>
          </rPr>
          <t>Ouvrage identique à 4.2.1</t>
        </r>
      </text>
    </comment>
    <comment ref="H472" authorId="0" shapeId="0">
      <text>
        <r>
          <rPr>
            <sz val="9"/>
            <color indexed="81"/>
            <rFont val="Tahoma"/>
            <charset val="1"/>
          </rPr>
          <t>Ouvrage identique à 4.2.2</t>
        </r>
      </text>
    </comment>
    <comment ref="H474" authorId="0" shapeId="0">
      <text>
        <r>
          <rPr>
            <sz val="9"/>
            <color indexed="81"/>
            <rFont val="Tahoma"/>
            <charset val="1"/>
          </rPr>
          <t>Ouvrage identique à 4.3.1</t>
        </r>
      </text>
    </comment>
    <comment ref="H475" authorId="0" shapeId="0">
      <text>
        <r>
          <rPr>
            <sz val="9"/>
            <color indexed="81"/>
            <rFont val="Tahoma"/>
            <charset val="1"/>
          </rPr>
          <t>Ouvrage identique à 4.3.2</t>
        </r>
      </text>
    </comment>
    <comment ref="H477" authorId="0" shapeId="0">
      <text>
        <r>
          <rPr>
            <sz val="9"/>
            <color indexed="81"/>
            <rFont val="Tahoma"/>
            <charset val="1"/>
          </rPr>
          <t>Ouvrage identique à 4.4.1</t>
        </r>
      </text>
    </comment>
    <comment ref="H479" authorId="0" shapeId="0">
      <text>
        <r>
          <rPr>
            <sz val="9"/>
            <color indexed="81"/>
            <rFont val="Tahoma"/>
            <charset val="1"/>
          </rPr>
          <t>Ouvrage identique à 4.5.1</t>
        </r>
      </text>
    </comment>
    <comment ref="H481" authorId="0" shapeId="0">
      <text>
        <r>
          <rPr>
            <sz val="9"/>
            <color indexed="81"/>
            <rFont val="Tahoma"/>
            <charset val="1"/>
          </rPr>
          <t>Ouvrage identique à 4.6.1</t>
        </r>
      </text>
    </comment>
    <comment ref="H482" authorId="0" shapeId="0">
      <text>
        <r>
          <rPr>
            <sz val="9"/>
            <color indexed="81"/>
            <rFont val="Tahoma"/>
            <charset val="1"/>
          </rPr>
          <t>Ouvrage identique à 4.6.2</t>
        </r>
      </text>
    </comment>
    <comment ref="H484" authorId="0" shapeId="0">
      <text>
        <r>
          <rPr>
            <sz val="9"/>
            <color indexed="81"/>
            <rFont val="Tahoma"/>
            <charset val="1"/>
          </rPr>
          <t>Ouvrage identique à 4.7.1</t>
        </r>
      </text>
    </comment>
    <comment ref="H485" authorId="0" shapeId="0">
      <text>
        <r>
          <rPr>
            <sz val="9"/>
            <color indexed="81"/>
            <rFont val="Tahoma"/>
            <charset val="1"/>
          </rPr>
          <t>Ouvrage identique à 4.7.2</t>
        </r>
      </text>
    </comment>
    <comment ref="H487" authorId="0" shapeId="0">
      <text>
        <r>
          <rPr>
            <sz val="9"/>
            <color indexed="81"/>
            <rFont val="Tahoma"/>
            <charset val="1"/>
          </rPr>
          <t>Ouvrage identique à 4.8.1</t>
        </r>
      </text>
    </comment>
    <comment ref="H488" authorId="0" shapeId="0">
      <text>
        <r>
          <rPr>
            <sz val="9"/>
            <color indexed="81"/>
            <rFont val="Tahoma"/>
            <charset val="1"/>
          </rPr>
          <t>Ouvrage identique à 4.8.2</t>
        </r>
      </text>
    </comment>
    <comment ref="H490" authorId="0" shapeId="0">
      <text>
        <r>
          <rPr>
            <sz val="9"/>
            <color indexed="81"/>
            <rFont val="Tahoma"/>
            <charset val="1"/>
          </rPr>
          <t>Ouvrage identique à 4.9.1</t>
        </r>
      </text>
    </comment>
    <comment ref="H491" authorId="0" shapeId="0">
      <text>
        <r>
          <rPr>
            <sz val="9"/>
            <color indexed="81"/>
            <rFont val="Tahoma"/>
            <charset val="1"/>
          </rPr>
          <t>Ouvrage identique à 4.9.2</t>
        </r>
      </text>
    </comment>
    <comment ref="H493" authorId="0" shapeId="0">
      <text>
        <r>
          <rPr>
            <sz val="9"/>
            <color indexed="81"/>
            <rFont val="Tahoma"/>
            <charset val="1"/>
          </rPr>
          <t>Ouvrage identique à 4.10.1</t>
        </r>
      </text>
    </comment>
    <comment ref="H495" authorId="0" shapeId="0">
      <text>
        <r>
          <rPr>
            <sz val="9"/>
            <color indexed="81"/>
            <rFont val="Tahoma"/>
            <charset val="1"/>
          </rPr>
          <t>Ouvrage identique à 4.11.1</t>
        </r>
      </text>
    </comment>
    <comment ref="H496" authorId="0" shapeId="0">
      <text>
        <r>
          <rPr>
            <sz val="9"/>
            <color indexed="81"/>
            <rFont val="Tahoma"/>
            <charset val="1"/>
          </rPr>
          <t>Ouvrage identique à 4.11.2</t>
        </r>
      </text>
    </comment>
    <comment ref="H497" authorId="0" shapeId="0">
      <text>
        <r>
          <rPr>
            <sz val="9"/>
            <color indexed="81"/>
            <rFont val="Tahoma"/>
            <charset val="1"/>
          </rPr>
          <t>Ouvrage identique à 4.11.3</t>
        </r>
      </text>
    </comment>
    <comment ref="H499" authorId="0" shapeId="0">
      <text>
        <r>
          <rPr>
            <sz val="9"/>
            <color indexed="81"/>
            <rFont val="Tahoma"/>
            <charset val="1"/>
          </rPr>
          <t>Ouvrage identique à 4.12.1</t>
        </r>
      </text>
    </comment>
    <comment ref="H500" authorId="0" shapeId="0">
      <text>
        <r>
          <rPr>
            <sz val="9"/>
            <color indexed="81"/>
            <rFont val="Tahoma"/>
            <charset val="1"/>
          </rPr>
          <t>Ouvrage identique à 4.12.2</t>
        </r>
      </text>
    </comment>
    <comment ref="H502" authorId="0" shapeId="0">
      <text>
        <r>
          <rPr>
            <sz val="9"/>
            <color indexed="81"/>
            <rFont val="Tahoma"/>
            <charset val="1"/>
          </rPr>
          <t>Ouvrage identique à 4.13.1</t>
        </r>
      </text>
    </comment>
    <comment ref="H503" authorId="0" shapeId="0">
      <text>
        <r>
          <rPr>
            <sz val="9"/>
            <color indexed="81"/>
            <rFont val="Tahoma"/>
            <charset val="1"/>
          </rPr>
          <t>Ouvrage identique à 4.13.2</t>
        </r>
      </text>
    </comment>
    <comment ref="H505" authorId="0" shapeId="0">
      <text>
        <r>
          <rPr>
            <sz val="9"/>
            <color indexed="81"/>
            <rFont val="Tahoma"/>
            <charset val="1"/>
          </rPr>
          <t>Ouvrage identique à 4.14.1</t>
        </r>
      </text>
    </comment>
    <comment ref="H507" authorId="0" shapeId="0">
      <text>
        <r>
          <rPr>
            <sz val="9"/>
            <color indexed="81"/>
            <rFont val="Tahoma"/>
            <charset val="1"/>
          </rPr>
          <t>Ouvrage identique à 4.15.1</t>
        </r>
      </text>
    </comment>
    <comment ref="H508" authorId="0" shapeId="0">
      <text>
        <r>
          <rPr>
            <sz val="9"/>
            <color indexed="81"/>
            <rFont val="Tahoma"/>
            <charset val="1"/>
          </rPr>
          <t>Ouvrage identique à 4.15.2</t>
        </r>
      </text>
    </comment>
    <comment ref="H509" authorId="0" shapeId="0">
      <text>
        <r>
          <rPr>
            <sz val="9"/>
            <color indexed="81"/>
            <rFont val="Tahoma"/>
            <charset val="1"/>
          </rPr>
          <t>Ouvrage identique à 4.15.3</t>
        </r>
      </text>
    </comment>
    <comment ref="H511" authorId="0" shapeId="0">
      <text>
        <r>
          <rPr>
            <sz val="9"/>
            <color indexed="81"/>
            <rFont val="Tahoma"/>
            <charset val="1"/>
          </rPr>
          <t>Ouvrage identique à 4.16.1</t>
        </r>
      </text>
    </comment>
    <comment ref="H512" authorId="0" shapeId="0">
      <text>
        <r>
          <rPr>
            <sz val="9"/>
            <color indexed="81"/>
            <rFont val="Tahoma"/>
            <charset val="1"/>
          </rPr>
          <t>Ouvrage identique à 4.16.2</t>
        </r>
      </text>
    </comment>
    <comment ref="H513" authorId="0" shapeId="0">
      <text>
        <r>
          <rPr>
            <sz val="9"/>
            <color indexed="81"/>
            <rFont val="Tahoma"/>
            <charset val="1"/>
          </rPr>
          <t>Ouvrage identique à 4.16.3</t>
        </r>
      </text>
    </comment>
    <comment ref="H514" authorId="0" shapeId="0">
      <text>
        <r>
          <rPr>
            <sz val="9"/>
            <color indexed="81"/>
            <rFont val="Tahoma"/>
            <charset val="1"/>
          </rPr>
          <t>Ouvrage identique à 4.16.4</t>
        </r>
      </text>
    </comment>
    <comment ref="H516" authorId="0" shapeId="0">
      <text>
        <r>
          <rPr>
            <sz val="9"/>
            <color indexed="81"/>
            <rFont val="Tahoma"/>
            <charset val="1"/>
          </rPr>
          <t>Ouvrage identique à 4.17.1</t>
        </r>
      </text>
    </comment>
    <comment ref="H517" authorId="0" shapeId="0">
      <text>
        <r>
          <rPr>
            <sz val="9"/>
            <color indexed="81"/>
            <rFont val="Tahoma"/>
            <charset val="1"/>
          </rPr>
          <t>Ouvrage identique à 4.17.2</t>
        </r>
      </text>
    </comment>
    <comment ref="H518" authorId="0" shapeId="0">
      <text>
        <r>
          <rPr>
            <sz val="9"/>
            <color indexed="81"/>
            <rFont val="Tahoma"/>
            <charset val="1"/>
          </rPr>
          <t>Ouvrage identique à 4.17.3</t>
        </r>
      </text>
    </comment>
    <comment ref="H522" authorId="0" shapeId="0">
      <text>
        <r>
          <rPr>
            <sz val="9"/>
            <color indexed="81"/>
            <rFont val="Tahoma"/>
            <charset val="1"/>
          </rPr>
          <t>Ouvrage identique à 5.1.1</t>
        </r>
      </text>
    </comment>
    <comment ref="H523" authorId="0" shapeId="0">
      <text>
        <r>
          <rPr>
            <sz val="9"/>
            <color indexed="81"/>
            <rFont val="Tahoma"/>
            <charset val="1"/>
          </rPr>
          <t>Ouvrage identique à 5.1.2</t>
        </r>
      </text>
    </comment>
    <comment ref="H524" authorId="0" shapeId="0">
      <text>
        <r>
          <rPr>
            <sz val="9"/>
            <color indexed="81"/>
            <rFont val="Tahoma"/>
            <charset val="1"/>
          </rPr>
          <t>Ouvrage identique à 5.1.3</t>
        </r>
      </text>
    </comment>
    <comment ref="H525" authorId="0" shapeId="0">
      <text>
        <r>
          <rPr>
            <sz val="9"/>
            <color indexed="81"/>
            <rFont val="Tahoma"/>
            <charset val="1"/>
          </rPr>
          <t>Ouvrage identique à 5.1.4</t>
        </r>
      </text>
    </comment>
    <comment ref="H526" authorId="0" shapeId="0">
      <text>
        <r>
          <rPr>
            <sz val="9"/>
            <color indexed="81"/>
            <rFont val="Tahoma"/>
            <charset val="1"/>
          </rPr>
          <t>Ouvrage identique à 5.1.5</t>
        </r>
      </text>
    </comment>
    <comment ref="H527" authorId="0" shapeId="0">
      <text>
        <r>
          <rPr>
            <sz val="9"/>
            <color indexed="81"/>
            <rFont val="Tahoma"/>
            <charset val="1"/>
          </rPr>
          <t>Ouvrage identique à 5.1.6</t>
        </r>
      </text>
    </comment>
    <comment ref="H528" authorId="0" shapeId="0">
      <text>
        <r>
          <rPr>
            <sz val="9"/>
            <color indexed="81"/>
            <rFont val="Tahoma"/>
            <charset val="1"/>
          </rPr>
          <t>Ouvrage identique à 5.1.7</t>
        </r>
      </text>
    </comment>
    <comment ref="H529" authorId="0" shapeId="0">
      <text>
        <r>
          <rPr>
            <sz val="9"/>
            <color indexed="81"/>
            <rFont val="Tahoma"/>
            <charset val="1"/>
          </rPr>
          <t>Ouvrage identique à 5.1.8</t>
        </r>
      </text>
    </comment>
    <comment ref="H530" authorId="0" shapeId="0">
      <text>
        <r>
          <rPr>
            <sz val="9"/>
            <color indexed="81"/>
            <rFont val="Tahoma"/>
            <charset val="1"/>
          </rPr>
          <t>Ouvrage identique à 5.1.9</t>
        </r>
      </text>
    </comment>
    <comment ref="H531" authorId="0" shapeId="0">
      <text>
        <r>
          <rPr>
            <sz val="9"/>
            <color indexed="81"/>
            <rFont val="Tahoma"/>
            <charset val="1"/>
          </rPr>
          <t>Ouvrage identique à 5.1.10</t>
        </r>
      </text>
    </comment>
    <comment ref="H532" authorId="0" shapeId="0">
      <text>
        <r>
          <rPr>
            <sz val="9"/>
            <color indexed="81"/>
            <rFont val="Tahoma"/>
            <charset val="1"/>
          </rPr>
          <t>Ouvrage identique à 5.2</t>
        </r>
      </text>
    </comment>
    <comment ref="H533" authorId="0" shapeId="0">
      <text>
        <r>
          <rPr>
            <sz val="9"/>
            <color indexed="81"/>
            <rFont val="Tahoma"/>
            <charset val="1"/>
          </rPr>
          <t>Ouvrage identique à 5.3</t>
        </r>
      </text>
    </comment>
    <comment ref="H534" authorId="0" shapeId="0">
      <text>
        <r>
          <rPr>
            <sz val="9"/>
            <color indexed="81"/>
            <rFont val="Tahoma"/>
            <charset val="1"/>
          </rPr>
          <t>Ouvrage identique à 5.4</t>
        </r>
      </text>
    </comment>
    <comment ref="H535" authorId="0" shapeId="0">
      <text>
        <r>
          <rPr>
            <sz val="9"/>
            <color indexed="81"/>
            <rFont val="Tahoma"/>
            <charset val="1"/>
          </rPr>
          <t>Ouvrage identique à 5.5</t>
        </r>
      </text>
    </comment>
    <comment ref="H536" authorId="0" shapeId="0">
      <text>
        <r>
          <rPr>
            <sz val="9"/>
            <color indexed="81"/>
            <rFont val="Tahoma"/>
            <charset val="1"/>
          </rPr>
          <t>Ouvrage identique à 5.6</t>
        </r>
      </text>
    </comment>
    <comment ref="H537" authorId="0" shapeId="0">
      <text>
        <r>
          <rPr>
            <sz val="9"/>
            <color indexed="81"/>
            <rFont val="Tahoma"/>
            <charset val="1"/>
          </rPr>
          <t>Ouvrage identique à 5.7</t>
        </r>
      </text>
    </comment>
    <comment ref="H539" authorId="0" shapeId="0">
      <text>
        <r>
          <rPr>
            <sz val="9"/>
            <color indexed="81"/>
            <rFont val="Tahoma"/>
            <charset val="1"/>
          </rPr>
          <t>Ouvrage identique à 5.8.1</t>
        </r>
      </text>
    </comment>
    <comment ref="H540" authorId="0" shapeId="0">
      <text>
        <r>
          <rPr>
            <sz val="9"/>
            <color indexed="81"/>
            <rFont val="Tahoma"/>
            <charset val="1"/>
          </rPr>
          <t>Ouvrage identique à 5.8.2</t>
        </r>
      </text>
    </comment>
    <comment ref="H541" authorId="0" shapeId="0">
      <text>
        <r>
          <rPr>
            <sz val="9"/>
            <color indexed="81"/>
            <rFont val="Tahoma"/>
            <charset val="1"/>
          </rPr>
          <t>Ouvrage identique à 5.8.3</t>
        </r>
      </text>
    </comment>
    <comment ref="H542" authorId="0" shapeId="0">
      <text>
        <r>
          <rPr>
            <sz val="9"/>
            <color indexed="81"/>
            <rFont val="Tahoma"/>
            <charset val="1"/>
          </rPr>
          <t>Ouvrage identique à 5.8.4</t>
        </r>
      </text>
    </comment>
    <comment ref="H543" authorId="0" shapeId="0">
      <text>
        <r>
          <rPr>
            <sz val="9"/>
            <color indexed="81"/>
            <rFont val="Tahoma"/>
            <charset val="1"/>
          </rPr>
          <t>Ouvrage identique à 5.8.5</t>
        </r>
      </text>
    </comment>
    <comment ref="H545" authorId="0" shapeId="0">
      <text>
        <r>
          <rPr>
            <sz val="9"/>
            <color indexed="81"/>
            <rFont val="Tahoma"/>
            <charset val="1"/>
          </rPr>
          <t>Ouvrage identique à 5.9.1</t>
        </r>
      </text>
    </comment>
    <comment ref="H548" authorId="0" shapeId="0">
      <text>
        <r>
          <rPr>
            <sz val="9"/>
            <color indexed="81"/>
            <rFont val="Tahoma"/>
            <charset val="1"/>
          </rPr>
          <t>Ouvrage identique à 6.1</t>
        </r>
      </text>
    </comment>
    <comment ref="H549" authorId="0" shapeId="0">
      <text>
        <r>
          <rPr>
            <sz val="9"/>
            <color indexed="81"/>
            <rFont val="Tahoma"/>
            <charset val="1"/>
          </rPr>
          <t>Ouvrage identique à 6.2</t>
        </r>
      </text>
    </comment>
    <comment ref="H551" authorId="0" shapeId="0">
      <text>
        <r>
          <rPr>
            <sz val="9"/>
            <color indexed="81"/>
            <rFont val="Tahoma"/>
            <charset val="1"/>
          </rPr>
          <t>Ouvrage identique à 6.3.1</t>
        </r>
      </text>
    </comment>
    <comment ref="H552" authorId="0" shapeId="0">
      <text>
        <r>
          <rPr>
            <sz val="9"/>
            <color indexed="81"/>
            <rFont val="Tahoma"/>
            <charset val="1"/>
          </rPr>
          <t>Ouvrage identique à 6.3.2</t>
        </r>
      </text>
    </comment>
    <comment ref="H554" authorId="0" shapeId="0">
      <text>
        <r>
          <rPr>
            <sz val="9"/>
            <color indexed="81"/>
            <rFont val="Tahoma"/>
            <charset val="1"/>
          </rPr>
          <t>Ouvrage identique à 6.4.1</t>
        </r>
      </text>
    </comment>
    <comment ref="H555" authorId="0" shapeId="0">
      <text>
        <r>
          <rPr>
            <sz val="9"/>
            <color indexed="81"/>
            <rFont val="Tahoma"/>
            <charset val="1"/>
          </rPr>
          <t>Ouvrage identique à 6.4.2</t>
        </r>
      </text>
    </comment>
    <comment ref="H556" authorId="0" shapeId="0">
      <text>
        <r>
          <rPr>
            <sz val="9"/>
            <color indexed="81"/>
            <rFont val="Tahoma"/>
            <charset val="1"/>
          </rPr>
          <t>Ouvrage identique à 6.4.3</t>
        </r>
      </text>
    </comment>
    <comment ref="H558" authorId="0" shapeId="0">
      <text>
        <r>
          <rPr>
            <sz val="9"/>
            <color indexed="81"/>
            <rFont val="Tahoma"/>
            <charset val="1"/>
          </rPr>
          <t>Ouvrage identique à 6.5.1</t>
        </r>
      </text>
    </comment>
    <comment ref="H559" authorId="0" shapeId="0">
      <text>
        <r>
          <rPr>
            <sz val="9"/>
            <color indexed="81"/>
            <rFont val="Tahoma"/>
            <charset val="1"/>
          </rPr>
          <t>Ouvrage identique à 6.5.2</t>
        </r>
      </text>
    </comment>
    <comment ref="H560" authorId="0" shapeId="0">
      <text>
        <r>
          <rPr>
            <sz val="9"/>
            <color indexed="81"/>
            <rFont val="Tahoma"/>
            <charset val="1"/>
          </rPr>
          <t>Ouvrage identique à 6.6</t>
        </r>
      </text>
    </comment>
    <comment ref="H561" authorId="0" shapeId="0">
      <text>
        <r>
          <rPr>
            <sz val="9"/>
            <color indexed="81"/>
            <rFont val="Tahoma"/>
            <charset val="1"/>
          </rPr>
          <t>Ouvrage identique à 6.7</t>
        </r>
      </text>
    </comment>
    <comment ref="H564" authorId="0" shapeId="0">
      <text>
        <r>
          <rPr>
            <sz val="9"/>
            <color indexed="81"/>
            <rFont val="Tahoma"/>
            <charset val="1"/>
          </rPr>
          <t>Ouvrage identique à 7.1</t>
        </r>
      </text>
    </comment>
    <comment ref="H566" authorId="0" shapeId="0">
      <text>
        <r>
          <rPr>
            <sz val="9"/>
            <color indexed="81"/>
            <rFont val="Tahoma"/>
            <charset val="1"/>
          </rPr>
          <t>Ouvrage identique à 7.2.1</t>
        </r>
      </text>
    </comment>
    <comment ref="H567" authorId="0" shapeId="0">
      <text>
        <r>
          <rPr>
            <sz val="9"/>
            <color indexed="81"/>
            <rFont val="Tahoma"/>
            <charset val="1"/>
          </rPr>
          <t>Ouvrage identique à 7.2.2</t>
        </r>
      </text>
    </comment>
    <comment ref="H568" authorId="0" shapeId="0">
      <text>
        <r>
          <rPr>
            <sz val="9"/>
            <color indexed="81"/>
            <rFont val="Tahoma"/>
            <charset val="1"/>
          </rPr>
          <t>Ouvrage identique à 7.2.3</t>
        </r>
      </text>
    </comment>
    <comment ref="H570" authorId="0" shapeId="0">
      <text>
        <r>
          <rPr>
            <sz val="9"/>
            <color indexed="81"/>
            <rFont val="Tahoma"/>
            <charset val="1"/>
          </rPr>
          <t>Ouvrage identique à 7.3.1</t>
        </r>
      </text>
    </comment>
    <comment ref="H571" authorId="0" shapeId="0">
      <text>
        <r>
          <rPr>
            <sz val="9"/>
            <color indexed="81"/>
            <rFont val="Tahoma"/>
            <charset val="1"/>
          </rPr>
          <t>Ouvrage identique à 7.3.2</t>
        </r>
      </text>
    </comment>
    <comment ref="H572" authorId="0" shapeId="0">
      <text>
        <r>
          <rPr>
            <sz val="9"/>
            <color indexed="81"/>
            <rFont val="Tahoma"/>
            <charset val="1"/>
          </rPr>
          <t>Ouvrage identique à 7.4</t>
        </r>
      </text>
    </comment>
    <comment ref="H573" authorId="0" shapeId="0">
      <text>
        <r>
          <rPr>
            <sz val="9"/>
            <color indexed="81"/>
            <rFont val="Tahoma"/>
            <charset val="1"/>
          </rPr>
          <t>Ouvrage identique à 7.5</t>
        </r>
      </text>
    </comment>
    <comment ref="H574" authorId="0" shapeId="0">
      <text>
        <r>
          <rPr>
            <sz val="9"/>
            <color indexed="81"/>
            <rFont val="Tahoma"/>
            <charset val="1"/>
          </rPr>
          <t>Ouvrage identique à 7.6</t>
        </r>
      </text>
    </comment>
    <comment ref="H575" authorId="0" shapeId="0">
      <text>
        <r>
          <rPr>
            <sz val="9"/>
            <color indexed="81"/>
            <rFont val="Tahoma"/>
            <charset val="1"/>
          </rPr>
          <t>Ouvrage identique à 7.7</t>
        </r>
      </text>
    </comment>
    <comment ref="H578" authorId="0" shapeId="0">
      <text>
        <r>
          <rPr>
            <sz val="9"/>
            <color indexed="81"/>
            <rFont val="Tahoma"/>
            <charset val="1"/>
          </rPr>
          <t>Ouvrage identique à 8.1</t>
        </r>
      </text>
    </comment>
    <comment ref="H580" authorId="0" shapeId="0">
      <text>
        <r>
          <rPr>
            <sz val="9"/>
            <color indexed="81"/>
            <rFont val="Tahoma"/>
            <charset val="1"/>
          </rPr>
          <t>Ouvrage identique à 8.2.1</t>
        </r>
      </text>
    </comment>
    <comment ref="H581" authorId="0" shapeId="0">
      <text>
        <r>
          <rPr>
            <sz val="9"/>
            <color indexed="81"/>
            <rFont val="Tahoma"/>
            <charset val="1"/>
          </rPr>
          <t>Ouvrage identique à 8.2.2</t>
        </r>
      </text>
    </comment>
    <comment ref="H582" authorId="0" shapeId="0">
      <text>
        <r>
          <rPr>
            <sz val="9"/>
            <color indexed="81"/>
            <rFont val="Tahoma"/>
            <charset val="1"/>
          </rPr>
          <t>Ouvrage identique à 8.2.3</t>
        </r>
      </text>
    </comment>
    <comment ref="H584" authorId="0" shapeId="0">
      <text>
        <r>
          <rPr>
            <sz val="9"/>
            <color indexed="81"/>
            <rFont val="Tahoma"/>
            <charset val="1"/>
          </rPr>
          <t>Ouvrage identique à 8.3.1</t>
        </r>
      </text>
    </comment>
    <comment ref="H585" authorId="0" shapeId="0">
      <text>
        <r>
          <rPr>
            <sz val="9"/>
            <color indexed="81"/>
            <rFont val="Tahoma"/>
            <charset val="1"/>
          </rPr>
          <t>Ouvrage identique à 8.3.2</t>
        </r>
      </text>
    </comment>
    <comment ref="H586" authorId="0" shapeId="0">
      <text>
        <r>
          <rPr>
            <sz val="9"/>
            <color indexed="81"/>
            <rFont val="Tahoma"/>
            <charset val="1"/>
          </rPr>
          <t>Ouvrage identique à 8.3.3</t>
        </r>
      </text>
    </comment>
    <comment ref="H588" authorId="0" shapeId="0">
      <text>
        <r>
          <rPr>
            <sz val="9"/>
            <color indexed="81"/>
            <rFont val="Tahoma"/>
            <charset val="1"/>
          </rPr>
          <t>Ouvrage identique à 8.4.1</t>
        </r>
      </text>
    </comment>
    <comment ref="H589" authorId="0" shapeId="0">
      <text>
        <r>
          <rPr>
            <sz val="9"/>
            <color indexed="81"/>
            <rFont val="Tahoma"/>
            <charset val="1"/>
          </rPr>
          <t>Ouvrage identique à 8.4.2</t>
        </r>
      </text>
    </comment>
    <comment ref="H590" authorId="0" shapeId="0">
      <text>
        <r>
          <rPr>
            <sz val="9"/>
            <color indexed="81"/>
            <rFont val="Tahoma"/>
            <charset val="1"/>
          </rPr>
          <t>Ouvrage identique à 8.4.3</t>
        </r>
      </text>
    </comment>
    <comment ref="H591" authorId="0" shapeId="0">
      <text>
        <r>
          <rPr>
            <sz val="9"/>
            <color indexed="81"/>
            <rFont val="Tahoma"/>
            <charset val="1"/>
          </rPr>
          <t>Ouvrage identique à 8.4.4</t>
        </r>
      </text>
    </comment>
    <comment ref="H592" authorId="0" shapeId="0">
      <text>
        <r>
          <rPr>
            <sz val="9"/>
            <color indexed="81"/>
            <rFont val="Tahoma"/>
            <charset val="1"/>
          </rPr>
          <t>Ouvrage identique à 8.4.5</t>
        </r>
      </text>
    </comment>
    <comment ref="H593" authorId="0" shapeId="0">
      <text>
        <r>
          <rPr>
            <sz val="9"/>
            <color indexed="81"/>
            <rFont val="Tahoma"/>
            <charset val="1"/>
          </rPr>
          <t>Ouvrage identique à 8.4.6</t>
        </r>
      </text>
    </comment>
    <comment ref="H594" authorId="0" shapeId="0">
      <text>
        <r>
          <rPr>
            <sz val="9"/>
            <color indexed="81"/>
            <rFont val="Tahoma"/>
            <charset val="1"/>
          </rPr>
          <t>Ouvrage identique à 8.4.7</t>
        </r>
      </text>
    </comment>
    <comment ref="H595" authorId="0" shapeId="0">
      <text>
        <r>
          <rPr>
            <sz val="9"/>
            <color indexed="81"/>
            <rFont val="Tahoma"/>
            <charset val="1"/>
          </rPr>
          <t>Ouvrage identique à 8.4.8</t>
        </r>
      </text>
    </comment>
    <comment ref="H596" authorId="0" shapeId="0">
      <text>
        <r>
          <rPr>
            <sz val="9"/>
            <color indexed="81"/>
            <rFont val="Tahoma"/>
            <charset val="1"/>
          </rPr>
          <t>Ouvrage identique à 8.4.9</t>
        </r>
      </text>
    </comment>
    <comment ref="H597" authorId="0" shapeId="0">
      <text>
        <r>
          <rPr>
            <sz val="9"/>
            <color indexed="81"/>
            <rFont val="Tahoma"/>
            <charset val="1"/>
          </rPr>
          <t>Ouvrage identique à 8.4.10</t>
        </r>
      </text>
    </comment>
    <comment ref="H598" authorId="0" shapeId="0">
      <text>
        <r>
          <rPr>
            <sz val="9"/>
            <color indexed="81"/>
            <rFont val="Tahoma"/>
            <charset val="1"/>
          </rPr>
          <t>Ouvrage identique à 8.4.11</t>
        </r>
      </text>
    </comment>
    <comment ref="H599" authorId="0" shapeId="0">
      <text>
        <r>
          <rPr>
            <sz val="9"/>
            <color indexed="81"/>
            <rFont val="Tahoma"/>
            <charset val="1"/>
          </rPr>
          <t>Ouvrage identique à 8.4.12</t>
        </r>
      </text>
    </comment>
    <comment ref="H601" authorId="0" shapeId="0">
      <text>
        <r>
          <rPr>
            <sz val="9"/>
            <color indexed="81"/>
            <rFont val="Tahoma"/>
            <charset val="1"/>
          </rPr>
          <t>Ouvrage identique à 8.5.1</t>
        </r>
      </text>
    </comment>
    <comment ref="H602" authorId="0" shapeId="0">
      <text>
        <r>
          <rPr>
            <sz val="9"/>
            <color indexed="81"/>
            <rFont val="Tahoma"/>
            <charset val="1"/>
          </rPr>
          <t>Ouvrage identique à 8.5.2</t>
        </r>
      </text>
    </comment>
    <comment ref="H603" authorId="0" shapeId="0">
      <text>
        <r>
          <rPr>
            <sz val="9"/>
            <color indexed="81"/>
            <rFont val="Tahoma"/>
            <charset val="1"/>
          </rPr>
          <t>Ouvrage identique à 8.5.3</t>
        </r>
      </text>
    </comment>
    <comment ref="H604" authorId="0" shapeId="0">
      <text>
        <r>
          <rPr>
            <sz val="9"/>
            <color indexed="81"/>
            <rFont val="Tahoma"/>
            <charset val="1"/>
          </rPr>
          <t>Ouvrage identique à 8.6</t>
        </r>
      </text>
    </comment>
    <comment ref="H605" authorId="0" shapeId="0">
      <text>
        <r>
          <rPr>
            <sz val="9"/>
            <color indexed="81"/>
            <rFont val="Tahoma"/>
            <charset val="1"/>
          </rPr>
          <t>Ouvrage identique à 8.7</t>
        </r>
      </text>
    </comment>
    <comment ref="H609" authorId="0" shapeId="0">
      <text>
        <r>
          <rPr>
            <sz val="9"/>
            <color indexed="81"/>
            <rFont val="Tahoma"/>
            <charset val="1"/>
          </rPr>
          <t>Ouvrage identique à 9.1.1</t>
        </r>
      </text>
    </comment>
    <comment ref="H610" authorId="0" shapeId="0">
      <text>
        <r>
          <rPr>
            <sz val="9"/>
            <color indexed="81"/>
            <rFont val="Tahoma"/>
            <charset val="1"/>
          </rPr>
          <t>Ouvrage identique à 9.1.2</t>
        </r>
      </text>
    </comment>
    <comment ref="H611" authorId="0" shapeId="0">
      <text>
        <r>
          <rPr>
            <sz val="9"/>
            <color indexed="81"/>
            <rFont val="Tahoma"/>
            <charset val="1"/>
          </rPr>
          <t>Ouvrage identique à 9.1.3</t>
        </r>
      </text>
    </comment>
    <comment ref="H613" authorId="0" shapeId="0">
      <text>
        <r>
          <rPr>
            <sz val="9"/>
            <color indexed="81"/>
            <rFont val="Tahoma"/>
            <charset val="1"/>
          </rPr>
          <t>Ouvrage identique à 9.2.4</t>
        </r>
      </text>
    </comment>
    <comment ref="H614" authorId="0" shapeId="0">
      <text>
        <r>
          <rPr>
            <sz val="9"/>
            <color indexed="81"/>
            <rFont val="Tahoma"/>
            <charset val="1"/>
          </rPr>
          <t>Ouvrage identique à 9.2.1</t>
        </r>
      </text>
    </comment>
    <comment ref="H615" authorId="0" shapeId="0">
      <text>
        <r>
          <rPr>
            <sz val="9"/>
            <color indexed="81"/>
            <rFont val="Tahoma"/>
            <charset val="1"/>
          </rPr>
          <t>Ouvrage identique à 9.2.5</t>
        </r>
      </text>
    </comment>
    <comment ref="H616" authorId="0" shapeId="0">
      <text>
        <r>
          <rPr>
            <sz val="9"/>
            <color indexed="81"/>
            <rFont val="Tahoma"/>
            <charset val="1"/>
          </rPr>
          <t>Ouvrage identique à 9.2.3</t>
        </r>
      </text>
    </comment>
    <comment ref="H618" authorId="0" shapeId="0">
      <text>
        <r>
          <rPr>
            <sz val="9"/>
            <color indexed="81"/>
            <rFont val="Tahoma"/>
            <charset val="1"/>
          </rPr>
          <t>Ouvrage identique à 9.3.1</t>
        </r>
      </text>
    </comment>
    <comment ref="H620" authorId="0" shapeId="0">
      <text>
        <r>
          <rPr>
            <sz val="9"/>
            <color indexed="81"/>
            <rFont val="Tahoma"/>
            <charset val="1"/>
          </rPr>
          <t>Ouvrage identique à 9.4.1</t>
        </r>
      </text>
    </comment>
    <comment ref="H621" authorId="0" shapeId="0">
      <text>
        <r>
          <rPr>
            <sz val="9"/>
            <color indexed="81"/>
            <rFont val="Tahoma"/>
            <charset val="1"/>
          </rPr>
          <t>Ouvrage identique à 9.4.2</t>
        </r>
      </text>
    </comment>
    <comment ref="H622" authorId="0" shapeId="0">
      <text>
        <r>
          <rPr>
            <sz val="9"/>
            <color indexed="81"/>
            <rFont val="Tahoma"/>
            <charset val="1"/>
          </rPr>
          <t>Ouvrage identique à 9.5</t>
        </r>
      </text>
    </comment>
    <comment ref="H623" authorId="0" shapeId="0">
      <text>
        <r>
          <rPr>
            <sz val="9"/>
            <color indexed="81"/>
            <rFont val="Tahoma"/>
            <charset val="1"/>
          </rPr>
          <t>Ouvrage identique à 9.6</t>
        </r>
      </text>
    </comment>
    <comment ref="H624" authorId="0" shapeId="0">
      <text>
        <r>
          <rPr>
            <sz val="9"/>
            <color indexed="81"/>
            <rFont val="Tahoma"/>
            <charset val="1"/>
          </rPr>
          <t>Ouvrage identique à 9.7</t>
        </r>
      </text>
    </comment>
    <comment ref="H626" authorId="0" shapeId="0">
      <text>
        <r>
          <rPr>
            <sz val="9"/>
            <color indexed="81"/>
            <rFont val="Tahoma"/>
            <charset val="1"/>
          </rPr>
          <t>Ouvrage identique à 9.8.1</t>
        </r>
      </text>
    </comment>
    <comment ref="H627" authorId="0" shapeId="0">
      <text>
        <r>
          <rPr>
            <sz val="9"/>
            <color indexed="81"/>
            <rFont val="Tahoma"/>
            <charset val="1"/>
          </rPr>
          <t>Ouvrage identique à 9.8.2</t>
        </r>
      </text>
    </comment>
    <comment ref="H628" authorId="0" shapeId="0">
      <text>
        <r>
          <rPr>
            <sz val="9"/>
            <color indexed="81"/>
            <rFont val="Tahoma"/>
            <charset val="1"/>
          </rPr>
          <t>Ouvrage identique à 9.8.3</t>
        </r>
      </text>
    </comment>
    <comment ref="H629" authorId="0" shapeId="0">
      <text>
        <r>
          <rPr>
            <sz val="9"/>
            <color indexed="81"/>
            <rFont val="Tahoma"/>
            <charset val="1"/>
          </rPr>
          <t>Ouvrage identique à 9.9</t>
        </r>
      </text>
    </comment>
    <comment ref="H630" authorId="0" shapeId="0">
      <text>
        <r>
          <rPr>
            <sz val="9"/>
            <color indexed="81"/>
            <rFont val="Tahoma"/>
            <charset val="1"/>
          </rPr>
          <t>Ouvrage identique à 9.10</t>
        </r>
      </text>
    </comment>
    <comment ref="H634" authorId="0" shapeId="0">
      <text>
        <r>
          <rPr>
            <sz val="9"/>
            <color indexed="81"/>
            <rFont val="Tahoma"/>
            <charset val="1"/>
          </rPr>
          <t>Ouvrage identique à 10.1.1</t>
        </r>
      </text>
    </comment>
    <comment ref="H635" authorId="0" shapeId="0">
      <text>
        <r>
          <rPr>
            <sz val="9"/>
            <color indexed="81"/>
            <rFont val="Tahoma"/>
            <charset val="1"/>
          </rPr>
          <t>Ouvrage identique à 10.1.2</t>
        </r>
      </text>
    </comment>
    <comment ref="H637" authorId="0" shapeId="0">
      <text>
        <r>
          <rPr>
            <sz val="9"/>
            <color indexed="81"/>
            <rFont val="Tahoma"/>
            <charset val="1"/>
          </rPr>
          <t>Ouvrage identique à 10.2.1</t>
        </r>
      </text>
    </comment>
    <comment ref="H638" authorId="0" shapeId="0">
      <text>
        <r>
          <rPr>
            <sz val="9"/>
            <color indexed="81"/>
            <rFont val="Tahoma"/>
            <charset val="1"/>
          </rPr>
          <t>Ouvrage identique à 10.2.2</t>
        </r>
      </text>
    </comment>
    <comment ref="H639" authorId="0" shapeId="0">
      <text>
        <r>
          <rPr>
            <sz val="9"/>
            <color indexed="81"/>
            <rFont val="Tahoma"/>
            <charset val="1"/>
          </rPr>
          <t>Ouvrage identique à 10.3</t>
        </r>
      </text>
    </comment>
    <comment ref="H641" authorId="0" shapeId="0">
      <text>
        <r>
          <rPr>
            <sz val="9"/>
            <color indexed="81"/>
            <rFont val="Tahoma"/>
            <charset val="1"/>
          </rPr>
          <t>Ouvrage identique à 10.4.1</t>
        </r>
      </text>
    </comment>
    <comment ref="H642" authorId="0" shapeId="0">
      <text>
        <r>
          <rPr>
            <sz val="9"/>
            <color indexed="81"/>
            <rFont val="Tahoma"/>
            <charset val="1"/>
          </rPr>
          <t>Ouvrage identique à 10.4.2</t>
        </r>
      </text>
    </comment>
    <comment ref="H643" authorId="0" shapeId="0">
      <text>
        <r>
          <rPr>
            <sz val="9"/>
            <color indexed="81"/>
            <rFont val="Tahoma"/>
            <charset val="1"/>
          </rPr>
          <t>Ouvrage identique à 10.4.3</t>
        </r>
      </text>
    </comment>
    <comment ref="H644" authorId="0" shapeId="0">
      <text>
        <r>
          <rPr>
            <sz val="9"/>
            <color indexed="81"/>
            <rFont val="Tahoma"/>
            <charset val="1"/>
          </rPr>
          <t>Ouvrage identique à 10.5</t>
        </r>
      </text>
    </comment>
    <comment ref="H645" authorId="0" shapeId="0">
      <text>
        <r>
          <rPr>
            <sz val="9"/>
            <color indexed="81"/>
            <rFont val="Tahoma"/>
            <charset val="1"/>
          </rPr>
          <t>Ouvrage identique à 10.6</t>
        </r>
      </text>
    </comment>
    <comment ref="H649" authorId="0" shapeId="0">
      <text>
        <r>
          <rPr>
            <sz val="9"/>
            <color indexed="81"/>
            <rFont val="Tahoma"/>
            <charset val="1"/>
          </rPr>
          <t>Ouvrage identique à 11.1.1</t>
        </r>
      </text>
    </comment>
    <comment ref="H650" authorId="0" shapeId="0">
      <text>
        <r>
          <rPr>
            <sz val="9"/>
            <color indexed="81"/>
            <rFont val="Tahoma"/>
            <charset val="1"/>
          </rPr>
          <t>Ouvrage identique à 11.1.2</t>
        </r>
      </text>
    </comment>
    <comment ref="H651" authorId="0" shapeId="0">
      <text>
        <r>
          <rPr>
            <sz val="9"/>
            <color indexed="81"/>
            <rFont val="Tahoma"/>
            <charset val="1"/>
          </rPr>
          <t>Ouvrage identique à 11.1.3</t>
        </r>
      </text>
    </comment>
    <comment ref="H653" authorId="0" shapeId="0">
      <text>
        <r>
          <rPr>
            <sz val="9"/>
            <color indexed="81"/>
            <rFont val="Tahoma"/>
            <charset val="1"/>
          </rPr>
          <t>Ouvrage identique à 11.2.1</t>
        </r>
      </text>
    </comment>
    <comment ref="H654" authorId="0" shapeId="0">
      <text>
        <r>
          <rPr>
            <sz val="9"/>
            <color indexed="81"/>
            <rFont val="Tahoma"/>
            <charset val="1"/>
          </rPr>
          <t>Ouvrage identique à 11.2.2</t>
        </r>
      </text>
    </comment>
    <comment ref="H655" authorId="0" shapeId="0">
      <text>
        <r>
          <rPr>
            <sz val="9"/>
            <color indexed="81"/>
            <rFont val="Tahoma"/>
            <charset val="1"/>
          </rPr>
          <t>Ouvrage identique à 11.2.3</t>
        </r>
      </text>
    </comment>
    <comment ref="H656" authorId="0" shapeId="0">
      <text>
        <r>
          <rPr>
            <sz val="9"/>
            <color indexed="81"/>
            <rFont val="Tahoma"/>
            <charset val="1"/>
          </rPr>
          <t>Ouvrage identique à 11.2.4</t>
        </r>
      </text>
    </comment>
    <comment ref="H657" authorId="0" shapeId="0">
      <text>
        <r>
          <rPr>
            <sz val="9"/>
            <color indexed="81"/>
            <rFont val="Tahoma"/>
            <charset val="1"/>
          </rPr>
          <t>Ouvrage identique à 11.3</t>
        </r>
      </text>
    </comment>
    <comment ref="H659" authorId="0" shapeId="0">
      <text>
        <r>
          <rPr>
            <sz val="9"/>
            <color indexed="81"/>
            <rFont val="Tahoma"/>
            <charset val="1"/>
          </rPr>
          <t>Ouvrage identique à 11.4.1</t>
        </r>
      </text>
    </comment>
    <comment ref="H660" authorId="0" shapeId="0">
      <text>
        <r>
          <rPr>
            <sz val="9"/>
            <color indexed="81"/>
            <rFont val="Tahoma"/>
            <charset val="1"/>
          </rPr>
          <t>Ouvrage identique à 11.4.2</t>
        </r>
      </text>
    </comment>
    <comment ref="H661" authorId="0" shapeId="0">
      <text>
        <r>
          <rPr>
            <sz val="9"/>
            <color indexed="81"/>
            <rFont val="Tahoma"/>
            <charset val="1"/>
          </rPr>
          <t>Ouvrage identique à 11.4.3</t>
        </r>
      </text>
    </comment>
    <comment ref="H662" authorId="0" shapeId="0">
      <text>
        <r>
          <rPr>
            <sz val="9"/>
            <color indexed="81"/>
            <rFont val="Tahoma"/>
            <charset val="1"/>
          </rPr>
          <t>Ouvrage identique à 11.5</t>
        </r>
      </text>
    </comment>
    <comment ref="H663" authorId="0" shapeId="0">
      <text>
        <r>
          <rPr>
            <sz val="9"/>
            <color indexed="81"/>
            <rFont val="Tahoma"/>
            <charset val="1"/>
          </rPr>
          <t>Ouvrage identique à 11.6</t>
        </r>
      </text>
    </comment>
    <comment ref="H665" authorId="0" shapeId="0">
      <text>
        <r>
          <rPr>
            <sz val="9"/>
            <color indexed="81"/>
            <rFont val="Tahoma"/>
            <charset val="1"/>
          </rPr>
          <t>Ouvrage identique à 11.7.1</t>
        </r>
      </text>
    </comment>
    <comment ref="H666" authorId="0" shapeId="0">
      <text>
        <r>
          <rPr>
            <sz val="9"/>
            <color indexed="81"/>
            <rFont val="Tahoma"/>
            <charset val="1"/>
          </rPr>
          <t>Ouvrage identique à 11.7.2</t>
        </r>
      </text>
    </comment>
    <comment ref="H667" authorId="0" shapeId="0">
      <text>
        <r>
          <rPr>
            <sz val="9"/>
            <color indexed="81"/>
            <rFont val="Tahoma"/>
            <charset val="1"/>
          </rPr>
          <t>Ouvrage identique à 11.7.3</t>
        </r>
      </text>
    </comment>
    <comment ref="H668" authorId="0" shapeId="0">
      <text>
        <r>
          <rPr>
            <sz val="9"/>
            <color indexed="81"/>
            <rFont val="Tahoma"/>
            <charset val="1"/>
          </rPr>
          <t>Ouvrage identique à 11.7.4</t>
        </r>
      </text>
    </comment>
    <comment ref="H669" authorId="0" shapeId="0">
      <text>
        <r>
          <rPr>
            <sz val="9"/>
            <color indexed="81"/>
            <rFont val="Tahoma"/>
            <charset val="1"/>
          </rPr>
          <t>Ouvrage identique à 11.8</t>
        </r>
      </text>
    </comment>
    <comment ref="H670" authorId="0" shapeId="0">
      <text>
        <r>
          <rPr>
            <sz val="9"/>
            <color indexed="81"/>
            <rFont val="Tahoma"/>
            <charset val="1"/>
          </rPr>
          <t>Ouvrage identique à 11.9</t>
        </r>
      </text>
    </comment>
    <comment ref="H674" authorId="0" shapeId="0">
      <text>
        <r>
          <rPr>
            <sz val="9"/>
            <color indexed="81"/>
            <rFont val="Tahoma"/>
            <charset val="1"/>
          </rPr>
          <t>Ouvrage identique à 12.1.1</t>
        </r>
      </text>
    </comment>
    <comment ref="H675" authorId="0" shapeId="0">
      <text>
        <r>
          <rPr>
            <sz val="9"/>
            <color indexed="81"/>
            <rFont val="Tahoma"/>
            <charset val="1"/>
          </rPr>
          <t>Ouvrage identique à 12.1.2</t>
        </r>
      </text>
    </comment>
    <comment ref="H677" authorId="0" shapeId="0">
      <text>
        <r>
          <rPr>
            <sz val="9"/>
            <color indexed="81"/>
            <rFont val="Tahoma"/>
            <charset val="1"/>
          </rPr>
          <t>Ouvrage identique à 12.2.1</t>
        </r>
      </text>
    </comment>
    <comment ref="H678" authorId="0" shapeId="0">
      <text>
        <r>
          <rPr>
            <sz val="9"/>
            <color indexed="81"/>
            <rFont val="Tahoma"/>
            <charset val="1"/>
          </rPr>
          <t>Ouvrage identique à 12.3</t>
        </r>
      </text>
    </comment>
    <comment ref="H682" authorId="0" shapeId="0">
      <text>
        <r>
          <rPr>
            <sz val="9"/>
            <color indexed="81"/>
            <rFont val="Tahoma"/>
            <charset val="1"/>
          </rPr>
          <t>Ouvrage identique à 13.1.1</t>
        </r>
      </text>
    </comment>
    <comment ref="H684" authorId="0" shapeId="0">
      <text>
        <r>
          <rPr>
            <sz val="9"/>
            <color indexed="81"/>
            <rFont val="Tahoma"/>
            <charset val="1"/>
          </rPr>
          <t>Ouvrage identique à 13.2.1.a</t>
        </r>
      </text>
    </comment>
    <comment ref="H685" authorId="0" shapeId="0">
      <text>
        <r>
          <rPr>
            <sz val="9"/>
            <color indexed="81"/>
            <rFont val="Tahoma"/>
            <charset val="1"/>
          </rPr>
          <t>Ouvrage identique à 13.2.2</t>
        </r>
      </text>
    </comment>
    <comment ref="H686" authorId="0" shapeId="0">
      <text>
        <r>
          <rPr>
            <sz val="9"/>
            <color indexed="81"/>
            <rFont val="Tahoma"/>
            <charset val="1"/>
          </rPr>
          <t>Ouvrage identique à 13.3</t>
        </r>
      </text>
    </comment>
    <comment ref="H687" authorId="0" shapeId="0">
      <text>
        <r>
          <rPr>
            <sz val="9"/>
            <color indexed="81"/>
            <rFont val="Tahoma"/>
            <charset val="1"/>
          </rPr>
          <t>Ouvrage identique à 13.4</t>
        </r>
      </text>
    </comment>
    <comment ref="H691" authorId="0" shapeId="0">
      <text>
        <r>
          <rPr>
            <sz val="9"/>
            <color indexed="81"/>
            <rFont val="Tahoma"/>
            <charset val="1"/>
          </rPr>
          <t>Ouvrage identique à 14.1.1</t>
        </r>
      </text>
    </comment>
    <comment ref="H692" authorId="0" shapeId="0">
      <text>
        <r>
          <rPr>
            <sz val="9"/>
            <color indexed="81"/>
            <rFont val="Tahoma"/>
            <charset val="1"/>
          </rPr>
          <t>Ouvrage identique à 14.1.2</t>
        </r>
      </text>
    </comment>
    <comment ref="H694" authorId="0" shapeId="0">
      <text>
        <r>
          <rPr>
            <sz val="9"/>
            <color indexed="81"/>
            <rFont val="Tahoma"/>
            <charset val="1"/>
          </rPr>
          <t>Ouvrage identique à 14.2.1</t>
        </r>
      </text>
    </comment>
    <comment ref="H695" authorId="0" shapeId="0">
      <text>
        <r>
          <rPr>
            <sz val="9"/>
            <color indexed="81"/>
            <rFont val="Tahoma"/>
            <charset val="1"/>
          </rPr>
          <t>Ouvrage identique à 14.2.2</t>
        </r>
      </text>
    </comment>
    <comment ref="H696" authorId="0" shapeId="0">
      <text>
        <r>
          <rPr>
            <sz val="9"/>
            <color indexed="81"/>
            <rFont val="Tahoma"/>
            <charset val="1"/>
          </rPr>
          <t>Ouvrage identique à 14.2.3</t>
        </r>
      </text>
    </comment>
    <comment ref="H697" authorId="0" shapeId="0">
      <text>
        <r>
          <rPr>
            <sz val="9"/>
            <color indexed="81"/>
            <rFont val="Tahoma"/>
            <charset val="1"/>
          </rPr>
          <t>Ouvrage identique à 14.2.4</t>
        </r>
      </text>
    </comment>
    <comment ref="H698" authorId="0" shapeId="0">
      <text>
        <r>
          <rPr>
            <sz val="9"/>
            <color indexed="81"/>
            <rFont val="Tahoma"/>
            <charset val="1"/>
          </rPr>
          <t>Ouvrage identique à 14.2.5</t>
        </r>
      </text>
    </comment>
    <comment ref="H699" authorId="0" shapeId="0">
      <text>
        <r>
          <rPr>
            <sz val="9"/>
            <color indexed="81"/>
            <rFont val="Tahoma"/>
            <charset val="1"/>
          </rPr>
          <t>Ouvrage identique à 14.2.6</t>
        </r>
      </text>
    </comment>
    <comment ref="H700" authorId="0" shapeId="0">
      <text>
        <r>
          <rPr>
            <sz val="9"/>
            <color indexed="81"/>
            <rFont val="Tahoma"/>
            <charset val="1"/>
          </rPr>
          <t>Ouvrage identique à 14.2.7</t>
        </r>
      </text>
    </comment>
    <comment ref="H701" authorId="0" shapeId="0">
      <text>
        <r>
          <rPr>
            <sz val="9"/>
            <color indexed="81"/>
            <rFont val="Tahoma"/>
            <charset val="1"/>
          </rPr>
          <t>Ouvrage identique à 14.2.8</t>
        </r>
      </text>
    </comment>
    <comment ref="H702" authorId="0" shapeId="0">
      <text>
        <r>
          <rPr>
            <sz val="9"/>
            <color indexed="81"/>
            <rFont val="Tahoma"/>
            <charset val="1"/>
          </rPr>
          <t>Ouvrage identique à 14.2.9</t>
        </r>
      </text>
    </comment>
    <comment ref="H703" authorId="0" shapeId="0">
      <text>
        <r>
          <rPr>
            <sz val="9"/>
            <color indexed="81"/>
            <rFont val="Tahoma"/>
            <charset val="1"/>
          </rPr>
          <t>Ouvrage identique à 14.2.10</t>
        </r>
      </text>
    </comment>
    <comment ref="H704" authorId="0" shapeId="0">
      <text>
        <r>
          <rPr>
            <sz val="9"/>
            <color indexed="81"/>
            <rFont val="Tahoma"/>
            <charset val="1"/>
          </rPr>
          <t>Ouvrage identique à 14.2.11</t>
        </r>
      </text>
    </comment>
    <comment ref="H707" authorId="0" shapeId="0">
      <text>
        <r>
          <rPr>
            <sz val="9"/>
            <color indexed="81"/>
            <rFont val="Tahoma"/>
            <charset val="1"/>
          </rPr>
          <t>Ouvrage identique à 14.3.1.1</t>
        </r>
      </text>
    </comment>
    <comment ref="H709" authorId="0" shapeId="0">
      <text>
        <r>
          <rPr>
            <sz val="9"/>
            <color indexed="81"/>
            <rFont val="Tahoma"/>
            <charset val="1"/>
          </rPr>
          <t>Ouvrage identique à 14.3.2.1</t>
        </r>
      </text>
    </comment>
    <comment ref="H710" authorId="0" shapeId="0">
      <text>
        <r>
          <rPr>
            <sz val="9"/>
            <color indexed="81"/>
            <rFont val="Tahoma"/>
            <charset val="1"/>
          </rPr>
          <t>Ouvrage identique à 14.3.2.2</t>
        </r>
      </text>
    </comment>
    <comment ref="H711" authorId="0" shapeId="0">
      <text>
        <r>
          <rPr>
            <sz val="9"/>
            <color indexed="81"/>
            <rFont val="Tahoma"/>
            <charset val="1"/>
          </rPr>
          <t>Ouvrage identique à 14.3.2.3</t>
        </r>
      </text>
    </comment>
    <comment ref="H712" authorId="0" shapeId="0">
      <text>
        <r>
          <rPr>
            <sz val="9"/>
            <color indexed="81"/>
            <rFont val="Tahoma"/>
            <charset val="1"/>
          </rPr>
          <t>Ouvrage identique à 14.3.2.4</t>
        </r>
      </text>
    </comment>
    <comment ref="H713" authorId="0" shapeId="0">
      <text>
        <r>
          <rPr>
            <sz val="9"/>
            <color indexed="81"/>
            <rFont val="Tahoma"/>
            <charset val="1"/>
          </rPr>
          <t>Ouvrage identique à 14.3.2.5</t>
        </r>
      </text>
    </comment>
    <comment ref="H714" authorId="0" shapeId="0">
      <text>
        <r>
          <rPr>
            <sz val="9"/>
            <color indexed="81"/>
            <rFont val="Tahoma"/>
            <charset val="1"/>
          </rPr>
          <t>Ouvrage identique à 14.3.2.6</t>
        </r>
      </text>
    </comment>
    <comment ref="H715" authorId="0" shapeId="0">
      <text>
        <r>
          <rPr>
            <sz val="9"/>
            <color indexed="81"/>
            <rFont val="Tahoma"/>
            <charset val="1"/>
          </rPr>
          <t>Ouvrage identique à 14.3.2.7</t>
        </r>
      </text>
    </comment>
    <comment ref="H716" authorId="0" shapeId="0">
      <text>
        <r>
          <rPr>
            <sz val="9"/>
            <color indexed="81"/>
            <rFont val="Tahoma"/>
            <charset val="1"/>
          </rPr>
          <t>Ouvrage identique à 14.3.2.8</t>
        </r>
      </text>
    </comment>
    <comment ref="H717" authorId="0" shapeId="0">
      <text>
        <r>
          <rPr>
            <sz val="9"/>
            <color indexed="81"/>
            <rFont val="Tahoma"/>
            <charset val="1"/>
          </rPr>
          <t>Ouvrage identique à 14.3.2.9</t>
        </r>
      </text>
    </comment>
    <comment ref="H718" authorId="0" shapeId="0">
      <text>
        <r>
          <rPr>
            <sz val="9"/>
            <color indexed="81"/>
            <rFont val="Tahoma"/>
            <charset val="1"/>
          </rPr>
          <t>Ouvrage identique à 14.3.2.10</t>
        </r>
      </text>
    </comment>
    <comment ref="H719" authorId="0" shapeId="0">
      <text>
        <r>
          <rPr>
            <sz val="9"/>
            <color indexed="81"/>
            <rFont val="Tahoma"/>
            <charset val="1"/>
          </rPr>
          <t>Ouvrage identique à 14.3.2.11</t>
        </r>
      </text>
    </comment>
    <comment ref="H722" authorId="0" shapeId="0">
      <text>
        <r>
          <rPr>
            <sz val="9"/>
            <color indexed="81"/>
            <rFont val="Tahoma"/>
            <charset val="1"/>
          </rPr>
          <t>Ouvrage identique à 15.1</t>
        </r>
      </text>
    </comment>
    <comment ref="H724" authorId="0" shapeId="0">
      <text>
        <r>
          <rPr>
            <sz val="9"/>
            <color indexed="81"/>
            <rFont val="Tahoma"/>
            <charset val="1"/>
          </rPr>
          <t>Ouvrage identique à 15.2.1</t>
        </r>
      </text>
    </comment>
    <comment ref="H725" authorId="0" shapeId="0">
      <text>
        <r>
          <rPr>
            <sz val="9"/>
            <color indexed="81"/>
            <rFont val="Tahoma"/>
            <charset val="1"/>
          </rPr>
          <t>Ouvrage identique à 15.2.2</t>
        </r>
      </text>
    </comment>
    <comment ref="H726" authorId="0" shapeId="0">
      <text>
        <r>
          <rPr>
            <sz val="9"/>
            <color indexed="81"/>
            <rFont val="Tahoma"/>
            <charset val="1"/>
          </rPr>
          <t>Ouvrage identique à 15.2.3</t>
        </r>
      </text>
    </comment>
    <comment ref="H727" authorId="0" shapeId="0">
      <text>
        <r>
          <rPr>
            <sz val="9"/>
            <color indexed="81"/>
            <rFont val="Tahoma"/>
            <charset val="1"/>
          </rPr>
          <t>Ouvrage identique à 15.2.4</t>
        </r>
      </text>
    </comment>
    <comment ref="H728" authorId="0" shapeId="0">
      <text>
        <r>
          <rPr>
            <sz val="9"/>
            <color indexed="81"/>
            <rFont val="Tahoma"/>
            <charset val="1"/>
          </rPr>
          <t>Ouvrage identique à 15.2.5</t>
        </r>
      </text>
    </comment>
    <comment ref="H729" authorId="0" shapeId="0">
      <text>
        <r>
          <rPr>
            <sz val="9"/>
            <color indexed="81"/>
            <rFont val="Tahoma"/>
            <charset val="1"/>
          </rPr>
          <t>Ouvrage identique à 15.2.6</t>
        </r>
      </text>
    </comment>
    <comment ref="H730" authorId="0" shapeId="0">
      <text>
        <r>
          <rPr>
            <sz val="9"/>
            <color indexed="81"/>
            <rFont val="Tahoma"/>
            <charset val="1"/>
          </rPr>
          <t>Ouvrage identique à 15.2.7</t>
        </r>
      </text>
    </comment>
    <comment ref="H731" authorId="0" shapeId="0">
      <text>
        <r>
          <rPr>
            <sz val="9"/>
            <color indexed="81"/>
            <rFont val="Tahoma"/>
            <charset val="1"/>
          </rPr>
          <t>Ouvrage identique à 15.2.8</t>
        </r>
      </text>
    </comment>
    <comment ref="H732" authorId="0" shapeId="0">
      <text>
        <r>
          <rPr>
            <sz val="9"/>
            <color indexed="81"/>
            <rFont val="Tahoma"/>
            <charset val="1"/>
          </rPr>
          <t>Ouvrage identique à 15.2.9</t>
        </r>
      </text>
    </comment>
    <comment ref="H733" authorId="0" shapeId="0">
      <text>
        <r>
          <rPr>
            <sz val="9"/>
            <color indexed="81"/>
            <rFont val="Tahoma"/>
            <charset val="1"/>
          </rPr>
          <t>Ouvrage identique à 15.2.10</t>
        </r>
      </text>
    </comment>
    <comment ref="H734" authorId="0" shapeId="0">
      <text>
        <r>
          <rPr>
            <sz val="9"/>
            <color indexed="81"/>
            <rFont val="Tahoma"/>
            <charset val="1"/>
          </rPr>
          <t>Ouvrage identique à 15.2.11</t>
        </r>
      </text>
    </comment>
    <comment ref="H735" authorId="0" shapeId="0">
      <text>
        <r>
          <rPr>
            <sz val="9"/>
            <color indexed="81"/>
            <rFont val="Tahoma"/>
            <charset val="1"/>
          </rPr>
          <t>Ouvrage identique à 15.2.12</t>
        </r>
      </text>
    </comment>
    <comment ref="H736" authorId="0" shapeId="0">
      <text>
        <r>
          <rPr>
            <sz val="9"/>
            <color indexed="81"/>
            <rFont val="Tahoma"/>
            <charset val="1"/>
          </rPr>
          <t>Ouvrage identique à 15.2.13</t>
        </r>
      </text>
    </comment>
    <comment ref="H737" authorId="0" shapeId="0">
      <text>
        <r>
          <rPr>
            <sz val="9"/>
            <color indexed="81"/>
            <rFont val="Tahoma"/>
            <charset val="1"/>
          </rPr>
          <t>Ouvrage identique à 15.2.14</t>
        </r>
      </text>
    </comment>
    <comment ref="H739" authorId="0" shapeId="0">
      <text>
        <r>
          <rPr>
            <sz val="9"/>
            <color indexed="81"/>
            <rFont val="Tahoma"/>
            <charset val="1"/>
          </rPr>
          <t>Ouvrage identique à 15.3.1</t>
        </r>
      </text>
    </comment>
    <comment ref="H740" authorId="0" shapeId="0">
      <text>
        <r>
          <rPr>
            <sz val="9"/>
            <color indexed="81"/>
            <rFont val="Tahoma"/>
            <charset val="1"/>
          </rPr>
          <t>Ouvrage identique à 15.3.2</t>
        </r>
      </text>
    </comment>
    <comment ref="H741" authorId="0" shapeId="0">
      <text>
        <r>
          <rPr>
            <sz val="9"/>
            <color indexed="81"/>
            <rFont val="Tahoma"/>
            <charset val="1"/>
          </rPr>
          <t>Ouvrage identique à 15.3.3</t>
        </r>
      </text>
    </comment>
    <comment ref="H742" authorId="0" shapeId="0">
      <text>
        <r>
          <rPr>
            <sz val="9"/>
            <color indexed="81"/>
            <rFont val="Tahoma"/>
            <charset val="1"/>
          </rPr>
          <t>Ouvrage identique à 15.3.4</t>
        </r>
      </text>
    </comment>
    <comment ref="H743" authorId="0" shapeId="0">
      <text>
        <r>
          <rPr>
            <sz val="9"/>
            <color indexed="81"/>
            <rFont val="Tahoma"/>
            <charset val="1"/>
          </rPr>
          <t>Ouvrage identique à 15.3.5</t>
        </r>
      </text>
    </comment>
    <comment ref="H744" authorId="0" shapeId="0">
      <text>
        <r>
          <rPr>
            <sz val="9"/>
            <color indexed="81"/>
            <rFont val="Tahoma"/>
            <charset val="1"/>
          </rPr>
          <t>Ouvrage identique à 15.3.6</t>
        </r>
      </text>
    </comment>
    <comment ref="H745" authorId="0" shapeId="0">
      <text>
        <r>
          <rPr>
            <sz val="9"/>
            <color indexed="81"/>
            <rFont val="Tahoma"/>
            <charset val="1"/>
          </rPr>
          <t>Ouvrage identique à 15.3.7</t>
        </r>
      </text>
    </comment>
    <comment ref="H746" authorId="0" shapeId="0">
      <text>
        <r>
          <rPr>
            <sz val="9"/>
            <color indexed="81"/>
            <rFont val="Tahoma"/>
            <charset val="1"/>
          </rPr>
          <t>Ouvrage identique à 15.3.8</t>
        </r>
      </text>
    </comment>
    <comment ref="H747" authorId="0" shapeId="0">
      <text>
        <r>
          <rPr>
            <sz val="9"/>
            <color indexed="81"/>
            <rFont val="Tahoma"/>
            <charset val="1"/>
          </rPr>
          <t>Ouvrage identique à 15.3.9</t>
        </r>
      </text>
    </comment>
    <comment ref="H749" authorId="0" shapeId="0">
      <text>
        <r>
          <rPr>
            <sz val="9"/>
            <color indexed="81"/>
            <rFont val="Tahoma"/>
            <charset val="1"/>
          </rPr>
          <t>Ouvrage identique à 15.4.1</t>
        </r>
      </text>
    </comment>
    <comment ref="H750" authorId="0" shapeId="0">
      <text>
        <r>
          <rPr>
            <sz val="9"/>
            <color indexed="81"/>
            <rFont val="Tahoma"/>
            <charset val="1"/>
          </rPr>
          <t>Ouvrage identique à 15.4.2</t>
        </r>
      </text>
    </comment>
    <comment ref="H754" authorId="0" shapeId="0">
      <text>
        <r>
          <rPr>
            <sz val="9"/>
            <color indexed="81"/>
            <rFont val="Tahoma"/>
            <charset val="1"/>
          </rPr>
          <t>Ouvrage identique à 16.1.1</t>
        </r>
      </text>
    </comment>
    <comment ref="H755" authorId="0" shapeId="0">
      <text>
        <r>
          <rPr>
            <sz val="9"/>
            <color indexed="81"/>
            <rFont val="Tahoma"/>
            <charset val="1"/>
          </rPr>
          <t>Ouvrage identique à 16.1.2</t>
        </r>
      </text>
    </comment>
    <comment ref="H756" authorId="0" shapeId="0">
      <text>
        <r>
          <rPr>
            <sz val="9"/>
            <color indexed="81"/>
            <rFont val="Tahoma"/>
            <charset val="1"/>
          </rPr>
          <t>Ouvrage identique à 16.1.3</t>
        </r>
      </text>
    </comment>
    <comment ref="H757" authorId="0" shapeId="0">
      <text>
        <r>
          <rPr>
            <sz val="9"/>
            <color indexed="81"/>
            <rFont val="Tahoma"/>
            <charset val="1"/>
          </rPr>
          <t>Ouvrage identique à 16.1.4</t>
        </r>
      </text>
    </comment>
    <comment ref="H758" authorId="0" shapeId="0">
      <text>
        <r>
          <rPr>
            <sz val="9"/>
            <color indexed="81"/>
            <rFont val="Tahoma"/>
            <charset val="1"/>
          </rPr>
          <t>Ouvrage identique à 16.1.5</t>
        </r>
      </text>
    </comment>
    <comment ref="H759" authorId="0" shapeId="0">
      <text>
        <r>
          <rPr>
            <sz val="9"/>
            <color indexed="81"/>
            <rFont val="Tahoma"/>
            <charset val="1"/>
          </rPr>
          <t>Ouvrage identique à 16.1.6</t>
        </r>
      </text>
    </comment>
    <comment ref="H760" authorId="0" shapeId="0">
      <text>
        <r>
          <rPr>
            <sz val="9"/>
            <color indexed="81"/>
            <rFont val="Tahoma"/>
            <charset val="1"/>
          </rPr>
          <t>Ouvrage identique à 16.1.7</t>
        </r>
      </text>
    </comment>
    <comment ref="H761" authorId="0" shapeId="0">
      <text>
        <r>
          <rPr>
            <sz val="9"/>
            <color indexed="81"/>
            <rFont val="Tahoma"/>
            <charset val="1"/>
          </rPr>
          <t>Ouvrage identique à 16.1.8</t>
        </r>
      </text>
    </comment>
    <comment ref="H762" authorId="0" shapeId="0">
      <text>
        <r>
          <rPr>
            <sz val="9"/>
            <color indexed="81"/>
            <rFont val="Tahoma"/>
            <charset val="1"/>
          </rPr>
          <t>Ouvrage identique à 16.1.9</t>
        </r>
      </text>
    </comment>
    <comment ref="H767" authorId="0" shapeId="0">
      <text>
        <r>
          <rPr>
            <sz val="9"/>
            <color indexed="81"/>
            <rFont val="Tahoma"/>
            <charset val="1"/>
          </rPr>
          <t>Ouvrage identique à 1.1</t>
        </r>
      </text>
    </comment>
    <comment ref="H768" authorId="0" shapeId="0">
      <text>
        <r>
          <rPr>
            <sz val="9"/>
            <color indexed="81"/>
            <rFont val="Tahoma"/>
            <charset val="1"/>
          </rPr>
          <t>Ouvrage identique à 1.2</t>
        </r>
      </text>
    </comment>
    <comment ref="H770" authorId="0" shapeId="0">
      <text>
        <r>
          <rPr>
            <sz val="9"/>
            <color indexed="81"/>
            <rFont val="Tahoma"/>
            <charset val="1"/>
          </rPr>
          <t>Ouvrage identique à 1.3.1</t>
        </r>
      </text>
    </comment>
    <comment ref="H771" authorId="0" shapeId="0">
      <text>
        <r>
          <rPr>
            <sz val="9"/>
            <color indexed="81"/>
            <rFont val="Tahoma"/>
            <charset val="1"/>
          </rPr>
          <t>Ouvrage identique à 1.3.2</t>
        </r>
      </text>
    </comment>
    <comment ref="H772" authorId="0" shapeId="0">
      <text>
        <r>
          <rPr>
            <sz val="9"/>
            <color indexed="81"/>
            <rFont val="Tahoma"/>
            <charset val="1"/>
          </rPr>
          <t>Ouvrage identique à 1.3.3</t>
        </r>
      </text>
    </comment>
    <comment ref="H773" authorId="0" shapeId="0">
      <text>
        <r>
          <rPr>
            <sz val="9"/>
            <color indexed="81"/>
            <rFont val="Tahoma"/>
            <charset val="1"/>
          </rPr>
          <t>Ouvrage identique à 1.3.4</t>
        </r>
      </text>
    </comment>
    <comment ref="H774" authorId="0" shapeId="0">
      <text>
        <r>
          <rPr>
            <sz val="9"/>
            <color indexed="81"/>
            <rFont val="Tahoma"/>
            <charset val="1"/>
          </rPr>
          <t>Ouvrage identique à 1.4</t>
        </r>
      </text>
    </comment>
    <comment ref="H775" authorId="0" shapeId="0">
      <text>
        <r>
          <rPr>
            <sz val="9"/>
            <color indexed="81"/>
            <rFont val="Tahoma"/>
            <charset val="1"/>
          </rPr>
          <t>Ouvrage identique à 1.5</t>
        </r>
      </text>
    </comment>
    <comment ref="H776" authorId="0" shapeId="0">
      <text>
        <r>
          <rPr>
            <sz val="9"/>
            <color indexed="81"/>
            <rFont val="Tahoma"/>
            <charset val="1"/>
          </rPr>
          <t>Ouvrage identique à 1.6</t>
        </r>
      </text>
    </comment>
    <comment ref="H777" authorId="0" shapeId="0">
      <text>
        <r>
          <rPr>
            <sz val="9"/>
            <color indexed="81"/>
            <rFont val="Tahoma"/>
            <charset val="1"/>
          </rPr>
          <t>Ouvrage identique à 1.7</t>
        </r>
      </text>
    </comment>
    <comment ref="H778" authorId="0" shapeId="0">
      <text>
        <r>
          <rPr>
            <sz val="9"/>
            <color indexed="81"/>
            <rFont val="Tahoma"/>
            <charset val="1"/>
          </rPr>
          <t>Ouvrage identique à 1.8</t>
        </r>
      </text>
    </comment>
    <comment ref="H779" authorId="0" shapeId="0">
      <text>
        <r>
          <rPr>
            <sz val="9"/>
            <color indexed="81"/>
            <rFont val="Tahoma"/>
            <charset val="1"/>
          </rPr>
          <t>Ouvrage identique à 1.9</t>
        </r>
      </text>
    </comment>
    <comment ref="H783" authorId="0" shapeId="0">
      <text>
        <r>
          <rPr>
            <sz val="9"/>
            <color indexed="81"/>
            <rFont val="Tahoma"/>
            <charset val="1"/>
          </rPr>
          <t>Ouvrage identique à 2.1.1</t>
        </r>
      </text>
    </comment>
    <comment ref="H784" authorId="0" shapeId="0">
      <text>
        <r>
          <rPr>
            <sz val="9"/>
            <color indexed="81"/>
            <rFont val="Tahoma"/>
            <charset val="1"/>
          </rPr>
          <t>Ouvrage identique à 2.1.2</t>
        </r>
      </text>
    </comment>
    <comment ref="H785" authorId="0" shapeId="0">
      <text>
        <r>
          <rPr>
            <sz val="9"/>
            <color indexed="81"/>
            <rFont val="Tahoma"/>
            <charset val="1"/>
          </rPr>
          <t>Ouvrage identique à 2.1.3</t>
        </r>
      </text>
    </comment>
    <comment ref="H786" authorId="0" shapeId="0">
      <text>
        <r>
          <rPr>
            <sz val="9"/>
            <color indexed="81"/>
            <rFont val="Tahoma"/>
            <charset val="1"/>
          </rPr>
          <t>Ouvrage identique à 2.2</t>
        </r>
      </text>
    </comment>
    <comment ref="H787" authorId="0" shapeId="0">
      <text>
        <r>
          <rPr>
            <sz val="9"/>
            <color indexed="81"/>
            <rFont val="Tahoma"/>
            <charset val="1"/>
          </rPr>
          <t>Ouvrage identique à 2.3</t>
        </r>
      </text>
    </comment>
    <comment ref="H789" authorId="0" shapeId="0">
      <text>
        <r>
          <rPr>
            <sz val="9"/>
            <color indexed="81"/>
            <rFont val="Tahoma"/>
            <charset val="1"/>
          </rPr>
          <t>Ouvrage identique à 2.4.1</t>
        </r>
      </text>
    </comment>
    <comment ref="H790" authorId="0" shapeId="0">
      <text>
        <r>
          <rPr>
            <sz val="9"/>
            <color indexed="81"/>
            <rFont val="Tahoma"/>
            <charset val="1"/>
          </rPr>
          <t>Ouvrage identique à 2.4.2</t>
        </r>
      </text>
    </comment>
    <comment ref="H791" authorId="0" shapeId="0">
      <text>
        <r>
          <rPr>
            <sz val="9"/>
            <color indexed="81"/>
            <rFont val="Tahoma"/>
            <charset val="1"/>
          </rPr>
          <t>Ouvrage identique à 2.4.3</t>
        </r>
      </text>
    </comment>
    <comment ref="H793" authorId="0" shapeId="0">
      <text>
        <r>
          <rPr>
            <sz val="9"/>
            <color indexed="81"/>
            <rFont val="Tahoma"/>
            <charset val="1"/>
          </rPr>
          <t>Ouvrage identique à 2.5.1</t>
        </r>
      </text>
    </comment>
    <comment ref="H794" authorId="0" shapeId="0">
      <text>
        <r>
          <rPr>
            <sz val="9"/>
            <color indexed="81"/>
            <rFont val="Tahoma"/>
            <charset val="1"/>
          </rPr>
          <t>Ouvrage identique à 2.5.2</t>
        </r>
      </text>
    </comment>
    <comment ref="H795" authorId="0" shapeId="0">
      <text>
        <r>
          <rPr>
            <sz val="9"/>
            <color indexed="81"/>
            <rFont val="Tahoma"/>
            <charset val="1"/>
          </rPr>
          <t>Ouvrage identique à 2.5.3</t>
        </r>
      </text>
    </comment>
    <comment ref="H796" authorId="0" shapeId="0">
      <text>
        <r>
          <rPr>
            <sz val="9"/>
            <color indexed="81"/>
            <rFont val="Tahoma"/>
            <charset val="1"/>
          </rPr>
          <t>Ouvrage identique à 2.6</t>
        </r>
      </text>
    </comment>
    <comment ref="H798" authorId="0" shapeId="0">
      <text>
        <r>
          <rPr>
            <sz val="9"/>
            <color indexed="81"/>
            <rFont val="Tahoma"/>
            <charset val="1"/>
          </rPr>
          <t>Ouvrage identique à 2.7.1</t>
        </r>
      </text>
    </comment>
    <comment ref="H799" authorId="0" shapeId="0">
      <text>
        <r>
          <rPr>
            <sz val="9"/>
            <color indexed="81"/>
            <rFont val="Tahoma"/>
            <charset val="1"/>
          </rPr>
          <t>Ouvrage identique à 2.7.2</t>
        </r>
      </text>
    </comment>
    <comment ref="H800" authorId="0" shapeId="0">
      <text>
        <r>
          <rPr>
            <sz val="9"/>
            <color indexed="81"/>
            <rFont val="Tahoma"/>
            <charset val="1"/>
          </rPr>
          <t>Ouvrage identique à 2.7.3</t>
        </r>
      </text>
    </comment>
    <comment ref="H801" authorId="0" shapeId="0">
      <text>
        <r>
          <rPr>
            <sz val="9"/>
            <color indexed="81"/>
            <rFont val="Tahoma"/>
            <charset val="1"/>
          </rPr>
          <t>Ouvrage identique à 2.7.4</t>
        </r>
      </text>
    </comment>
    <comment ref="H802" authorId="0" shapeId="0">
      <text>
        <r>
          <rPr>
            <sz val="9"/>
            <color indexed="81"/>
            <rFont val="Tahoma"/>
            <charset val="1"/>
          </rPr>
          <t>Ouvrage identique à 2.7.5</t>
        </r>
      </text>
    </comment>
    <comment ref="H804" authorId="0" shapeId="0">
      <text>
        <r>
          <rPr>
            <sz val="9"/>
            <color indexed="81"/>
            <rFont val="Tahoma"/>
            <charset val="1"/>
          </rPr>
          <t>Ouvrage identique à 2.8.1</t>
        </r>
      </text>
    </comment>
    <comment ref="H805" authorId="0" shapeId="0">
      <text>
        <r>
          <rPr>
            <sz val="9"/>
            <color indexed="81"/>
            <rFont val="Tahoma"/>
            <charset val="1"/>
          </rPr>
          <t>Ouvrage identique à 2.8.2</t>
        </r>
      </text>
    </comment>
    <comment ref="H806" authorId="0" shapeId="0">
      <text>
        <r>
          <rPr>
            <sz val="9"/>
            <color indexed="81"/>
            <rFont val="Tahoma"/>
            <charset val="1"/>
          </rPr>
          <t>Ouvrage identique à 2.8.3</t>
        </r>
      </text>
    </comment>
    <comment ref="H807" authorId="0" shapeId="0">
      <text>
        <r>
          <rPr>
            <sz val="9"/>
            <color indexed="81"/>
            <rFont val="Tahoma"/>
            <charset val="1"/>
          </rPr>
          <t>Ouvrage identique à 2.8.4</t>
        </r>
      </text>
    </comment>
    <comment ref="H808" authorId="0" shapeId="0">
      <text>
        <r>
          <rPr>
            <sz val="9"/>
            <color indexed="81"/>
            <rFont val="Tahoma"/>
            <charset val="1"/>
          </rPr>
          <t>Ouvrage identique à 2.8.5</t>
        </r>
      </text>
    </comment>
    <comment ref="H809" authorId="0" shapeId="0">
      <text>
        <r>
          <rPr>
            <sz val="9"/>
            <color indexed="81"/>
            <rFont val="Tahoma"/>
            <charset val="1"/>
          </rPr>
          <t>Ouvrage identique à 2.8.6</t>
        </r>
      </text>
    </comment>
    <comment ref="H810" authorId="0" shapeId="0">
      <text>
        <r>
          <rPr>
            <sz val="9"/>
            <color indexed="81"/>
            <rFont val="Tahoma"/>
            <charset val="1"/>
          </rPr>
          <t>Ouvrage identique à 2.8.7</t>
        </r>
      </text>
    </comment>
    <comment ref="H811" authorId="0" shapeId="0">
      <text>
        <r>
          <rPr>
            <sz val="9"/>
            <color indexed="81"/>
            <rFont val="Tahoma"/>
            <charset val="1"/>
          </rPr>
          <t>Ouvrage identique à 2.8.8</t>
        </r>
      </text>
    </comment>
    <comment ref="H812" authorId="0" shapeId="0">
      <text>
        <r>
          <rPr>
            <sz val="9"/>
            <color indexed="81"/>
            <rFont val="Tahoma"/>
            <charset val="1"/>
          </rPr>
          <t>Ouvrage identique à 2.9</t>
        </r>
      </text>
    </comment>
    <comment ref="H814" authorId="0" shapeId="0">
      <text>
        <r>
          <rPr>
            <sz val="9"/>
            <color indexed="81"/>
            <rFont val="Tahoma"/>
            <charset val="1"/>
          </rPr>
          <t>Ouvrage identique à 2.10.1</t>
        </r>
      </text>
    </comment>
    <comment ref="H815" authorId="0" shapeId="0">
      <text>
        <r>
          <rPr>
            <sz val="9"/>
            <color indexed="81"/>
            <rFont val="Tahoma"/>
            <charset val="1"/>
          </rPr>
          <t>Ouvrage identique à 2.10.2</t>
        </r>
      </text>
    </comment>
    <comment ref="H816" authorId="0" shapeId="0">
      <text>
        <r>
          <rPr>
            <sz val="9"/>
            <color indexed="81"/>
            <rFont val="Tahoma"/>
            <charset val="1"/>
          </rPr>
          <t>Ouvrage identique à 2.11</t>
        </r>
      </text>
    </comment>
    <comment ref="H818" authorId="0" shapeId="0">
      <text>
        <r>
          <rPr>
            <sz val="9"/>
            <color indexed="81"/>
            <rFont val="Tahoma"/>
            <charset val="1"/>
          </rPr>
          <t>Ouvrage identique à 2.12.1</t>
        </r>
      </text>
    </comment>
    <comment ref="H819" authorId="0" shapeId="0">
      <text>
        <r>
          <rPr>
            <sz val="9"/>
            <color indexed="81"/>
            <rFont val="Tahoma"/>
            <charset val="1"/>
          </rPr>
          <t>Ouvrage identique à 2.12.2</t>
        </r>
      </text>
    </comment>
    <comment ref="H822" authorId="0" shapeId="0">
      <text>
        <r>
          <rPr>
            <sz val="9"/>
            <color indexed="81"/>
            <rFont val="Tahoma"/>
            <charset val="1"/>
          </rPr>
          <t>Ouvrage identique à 3.1</t>
        </r>
      </text>
    </comment>
    <comment ref="H823" authorId="0" shapeId="0">
      <text>
        <r>
          <rPr>
            <sz val="9"/>
            <color indexed="81"/>
            <rFont val="Tahoma"/>
            <charset val="1"/>
          </rPr>
          <t>Ouvrage identique à 3.2</t>
        </r>
      </text>
    </comment>
    <comment ref="H824" authorId="0" shapeId="0">
      <text>
        <r>
          <rPr>
            <sz val="9"/>
            <color indexed="81"/>
            <rFont val="Tahoma"/>
            <charset val="1"/>
          </rPr>
          <t>Ouvrage identique à 3.3</t>
        </r>
      </text>
    </comment>
    <comment ref="H825" authorId="0" shapeId="0">
      <text>
        <r>
          <rPr>
            <sz val="9"/>
            <color indexed="81"/>
            <rFont val="Tahoma"/>
            <charset val="1"/>
          </rPr>
          <t>Ouvrage identique à 3.4</t>
        </r>
      </text>
    </comment>
    <comment ref="H826" authorId="0" shapeId="0">
      <text>
        <r>
          <rPr>
            <sz val="9"/>
            <color indexed="81"/>
            <rFont val="Tahoma"/>
            <charset val="1"/>
          </rPr>
          <t>Ouvrage identique à 3.5</t>
        </r>
      </text>
    </comment>
    <comment ref="H827" authorId="0" shapeId="0">
      <text>
        <r>
          <rPr>
            <sz val="9"/>
            <color indexed="81"/>
            <rFont val="Tahoma"/>
            <charset val="1"/>
          </rPr>
          <t>Ouvrage identique à 3.6</t>
        </r>
      </text>
    </comment>
    <comment ref="H828" authorId="0" shapeId="0">
      <text>
        <r>
          <rPr>
            <sz val="9"/>
            <color indexed="81"/>
            <rFont val="Tahoma"/>
            <charset val="1"/>
          </rPr>
          <t>Ouvrage identique à 3.7</t>
        </r>
      </text>
    </comment>
    <comment ref="H829" authorId="0" shapeId="0">
      <text>
        <r>
          <rPr>
            <sz val="9"/>
            <color indexed="81"/>
            <rFont val="Tahoma"/>
            <charset val="1"/>
          </rPr>
          <t>Ouvrage identique à 3.8</t>
        </r>
      </text>
    </comment>
    <comment ref="H831" authorId="0" shapeId="0">
      <text>
        <r>
          <rPr>
            <sz val="9"/>
            <color indexed="81"/>
            <rFont val="Tahoma"/>
            <charset val="1"/>
          </rPr>
          <t>Ouvrage identique à 3.9.1</t>
        </r>
      </text>
    </comment>
    <comment ref="H832" authorId="0" shapeId="0">
      <text>
        <r>
          <rPr>
            <sz val="9"/>
            <color indexed="81"/>
            <rFont val="Tahoma"/>
            <charset val="1"/>
          </rPr>
          <t>Ouvrage identique à 3.9.2</t>
        </r>
      </text>
    </comment>
    <comment ref="H833" authorId="0" shapeId="0">
      <text>
        <r>
          <rPr>
            <sz val="9"/>
            <color indexed="81"/>
            <rFont val="Tahoma"/>
            <charset val="1"/>
          </rPr>
          <t>Ouvrage identique à 3.9.3</t>
        </r>
      </text>
    </comment>
    <comment ref="H834" authorId="0" shapeId="0">
      <text>
        <r>
          <rPr>
            <sz val="9"/>
            <color indexed="81"/>
            <rFont val="Tahoma"/>
            <charset val="1"/>
          </rPr>
          <t>Ouvrage identique à 3.9.4</t>
        </r>
      </text>
    </comment>
    <comment ref="H835" authorId="0" shapeId="0">
      <text>
        <r>
          <rPr>
            <sz val="9"/>
            <color indexed="81"/>
            <rFont val="Tahoma"/>
            <charset val="1"/>
          </rPr>
          <t>Ouvrage identique à 3.9.5</t>
        </r>
      </text>
    </comment>
    <comment ref="H836" authorId="0" shapeId="0">
      <text>
        <r>
          <rPr>
            <sz val="9"/>
            <color indexed="81"/>
            <rFont val="Tahoma"/>
            <charset val="1"/>
          </rPr>
          <t>Ouvrage identique à 3.10</t>
        </r>
      </text>
    </comment>
    <comment ref="H837" authorId="0" shapeId="0">
      <text>
        <r>
          <rPr>
            <sz val="9"/>
            <color indexed="81"/>
            <rFont val="Tahoma"/>
            <charset val="1"/>
          </rPr>
          <t>Ouvrage identique à 3.11</t>
        </r>
      </text>
    </comment>
    <comment ref="H838" authorId="0" shapeId="0">
      <text>
        <r>
          <rPr>
            <sz val="9"/>
            <color indexed="81"/>
            <rFont val="Tahoma"/>
            <charset val="1"/>
          </rPr>
          <t>Ouvrage identique à 3.12</t>
        </r>
      </text>
    </comment>
    <comment ref="H839" authorId="0" shapeId="0">
      <text>
        <r>
          <rPr>
            <sz val="9"/>
            <color indexed="81"/>
            <rFont val="Tahoma"/>
            <charset val="1"/>
          </rPr>
          <t>Ouvrage identique à 3.13</t>
        </r>
      </text>
    </comment>
    <comment ref="H840" authorId="0" shapeId="0">
      <text>
        <r>
          <rPr>
            <sz val="9"/>
            <color indexed="81"/>
            <rFont val="Tahoma"/>
            <charset val="1"/>
          </rPr>
          <t>Ouvrage identique à 3.14</t>
        </r>
      </text>
    </comment>
    <comment ref="H841" authorId="0" shapeId="0">
      <text>
        <r>
          <rPr>
            <sz val="9"/>
            <color indexed="81"/>
            <rFont val="Tahoma"/>
            <charset val="1"/>
          </rPr>
          <t>Ouvrage identique à 3.15</t>
        </r>
      </text>
    </comment>
    <comment ref="H845" authorId="0" shapeId="0">
      <text>
        <r>
          <rPr>
            <sz val="9"/>
            <color indexed="81"/>
            <rFont val="Tahoma"/>
            <charset val="1"/>
          </rPr>
          <t>Ouvrage identique à 4.1.1</t>
        </r>
      </text>
    </comment>
    <comment ref="H846" authorId="0" shapeId="0">
      <text>
        <r>
          <rPr>
            <sz val="9"/>
            <color indexed="81"/>
            <rFont val="Tahoma"/>
            <charset val="1"/>
          </rPr>
          <t>Ouvrage identique à 4.1.2</t>
        </r>
      </text>
    </comment>
    <comment ref="H847" authorId="0" shapeId="0">
      <text>
        <r>
          <rPr>
            <sz val="9"/>
            <color indexed="81"/>
            <rFont val="Tahoma"/>
            <charset val="1"/>
          </rPr>
          <t>Ouvrage identique à 4.1.3</t>
        </r>
      </text>
    </comment>
    <comment ref="H848" authorId="0" shapeId="0">
      <text>
        <r>
          <rPr>
            <sz val="9"/>
            <color indexed="81"/>
            <rFont val="Tahoma"/>
            <charset val="1"/>
          </rPr>
          <t>Ouvrage identique à 4.1.4</t>
        </r>
      </text>
    </comment>
    <comment ref="H850" authorId="0" shapeId="0">
      <text>
        <r>
          <rPr>
            <sz val="9"/>
            <color indexed="81"/>
            <rFont val="Tahoma"/>
            <charset val="1"/>
          </rPr>
          <t>Ouvrage identique à 4.2.1</t>
        </r>
      </text>
    </comment>
    <comment ref="H851" authorId="0" shapeId="0">
      <text>
        <r>
          <rPr>
            <sz val="9"/>
            <color indexed="81"/>
            <rFont val="Tahoma"/>
            <charset val="1"/>
          </rPr>
          <t>Ouvrage identique à 4.2.2</t>
        </r>
      </text>
    </comment>
    <comment ref="H853" authorId="0" shapeId="0">
      <text>
        <r>
          <rPr>
            <sz val="9"/>
            <color indexed="81"/>
            <rFont val="Tahoma"/>
            <charset val="1"/>
          </rPr>
          <t>Ouvrage identique à 4.3.1</t>
        </r>
      </text>
    </comment>
    <comment ref="H854" authorId="0" shapeId="0">
      <text>
        <r>
          <rPr>
            <sz val="9"/>
            <color indexed="81"/>
            <rFont val="Tahoma"/>
            <charset val="1"/>
          </rPr>
          <t>Ouvrage identique à 4.3.2</t>
        </r>
      </text>
    </comment>
    <comment ref="H856" authorId="0" shapeId="0">
      <text>
        <r>
          <rPr>
            <sz val="9"/>
            <color indexed="81"/>
            <rFont val="Tahoma"/>
            <charset val="1"/>
          </rPr>
          <t>Ouvrage identique à 4.4.1</t>
        </r>
      </text>
    </comment>
    <comment ref="H858" authorId="0" shapeId="0">
      <text>
        <r>
          <rPr>
            <sz val="9"/>
            <color indexed="81"/>
            <rFont val="Tahoma"/>
            <charset val="1"/>
          </rPr>
          <t>Ouvrage identique à 4.5.1</t>
        </r>
      </text>
    </comment>
    <comment ref="H860" authorId="0" shapeId="0">
      <text>
        <r>
          <rPr>
            <sz val="9"/>
            <color indexed="81"/>
            <rFont val="Tahoma"/>
            <charset val="1"/>
          </rPr>
          <t>Ouvrage identique à 4.6.1</t>
        </r>
      </text>
    </comment>
    <comment ref="H861" authorId="0" shapeId="0">
      <text>
        <r>
          <rPr>
            <sz val="9"/>
            <color indexed="81"/>
            <rFont val="Tahoma"/>
            <charset val="1"/>
          </rPr>
          <t>Ouvrage identique à 4.6.2</t>
        </r>
      </text>
    </comment>
    <comment ref="H863" authorId="0" shapeId="0">
      <text>
        <r>
          <rPr>
            <sz val="9"/>
            <color indexed="81"/>
            <rFont val="Tahoma"/>
            <charset val="1"/>
          </rPr>
          <t>Ouvrage identique à 4.7.1</t>
        </r>
      </text>
    </comment>
    <comment ref="H864" authorId="0" shapeId="0">
      <text>
        <r>
          <rPr>
            <sz val="9"/>
            <color indexed="81"/>
            <rFont val="Tahoma"/>
            <charset val="1"/>
          </rPr>
          <t>Ouvrage identique à 4.7.2</t>
        </r>
      </text>
    </comment>
    <comment ref="H866" authorId="0" shapeId="0">
      <text>
        <r>
          <rPr>
            <sz val="9"/>
            <color indexed="81"/>
            <rFont val="Tahoma"/>
            <charset val="1"/>
          </rPr>
          <t>Ouvrage identique à 4.8.1</t>
        </r>
      </text>
    </comment>
    <comment ref="H867" authorId="0" shapeId="0">
      <text>
        <r>
          <rPr>
            <sz val="9"/>
            <color indexed="81"/>
            <rFont val="Tahoma"/>
            <charset val="1"/>
          </rPr>
          <t>Ouvrage identique à 4.8.2</t>
        </r>
      </text>
    </comment>
    <comment ref="H869" authorId="0" shapeId="0">
      <text>
        <r>
          <rPr>
            <sz val="9"/>
            <color indexed="81"/>
            <rFont val="Tahoma"/>
            <charset val="1"/>
          </rPr>
          <t>Ouvrage identique à 4.9.1</t>
        </r>
      </text>
    </comment>
    <comment ref="H870" authorId="0" shapeId="0">
      <text>
        <r>
          <rPr>
            <sz val="9"/>
            <color indexed="81"/>
            <rFont val="Tahoma"/>
            <charset val="1"/>
          </rPr>
          <t>Ouvrage identique à 4.9.2</t>
        </r>
      </text>
    </comment>
    <comment ref="H872" authorId="0" shapeId="0">
      <text>
        <r>
          <rPr>
            <sz val="9"/>
            <color indexed="81"/>
            <rFont val="Tahoma"/>
            <charset val="1"/>
          </rPr>
          <t>Ouvrage identique à 4.10.1</t>
        </r>
      </text>
    </comment>
    <comment ref="H874" authorId="0" shapeId="0">
      <text>
        <r>
          <rPr>
            <sz val="9"/>
            <color indexed="81"/>
            <rFont val="Tahoma"/>
            <charset val="1"/>
          </rPr>
          <t>Ouvrage identique à 4.11.1</t>
        </r>
      </text>
    </comment>
    <comment ref="H875" authorId="0" shapeId="0">
      <text>
        <r>
          <rPr>
            <sz val="9"/>
            <color indexed="81"/>
            <rFont val="Tahoma"/>
            <charset val="1"/>
          </rPr>
          <t>Ouvrage identique à 4.11.2</t>
        </r>
      </text>
    </comment>
    <comment ref="H876" authorId="0" shapeId="0">
      <text>
        <r>
          <rPr>
            <sz val="9"/>
            <color indexed="81"/>
            <rFont val="Tahoma"/>
            <charset val="1"/>
          </rPr>
          <t>Ouvrage identique à 4.11.3</t>
        </r>
      </text>
    </comment>
    <comment ref="H878" authorId="0" shapeId="0">
      <text>
        <r>
          <rPr>
            <sz val="9"/>
            <color indexed="81"/>
            <rFont val="Tahoma"/>
            <charset val="1"/>
          </rPr>
          <t>Ouvrage identique à 4.12.1</t>
        </r>
      </text>
    </comment>
    <comment ref="H879" authorId="0" shapeId="0">
      <text>
        <r>
          <rPr>
            <sz val="9"/>
            <color indexed="81"/>
            <rFont val="Tahoma"/>
            <charset val="1"/>
          </rPr>
          <t>Ouvrage identique à 4.12.2</t>
        </r>
      </text>
    </comment>
    <comment ref="H881" authorId="0" shapeId="0">
      <text>
        <r>
          <rPr>
            <sz val="9"/>
            <color indexed="81"/>
            <rFont val="Tahoma"/>
            <charset val="1"/>
          </rPr>
          <t>Ouvrage identique à 4.13.1</t>
        </r>
      </text>
    </comment>
    <comment ref="H882" authorId="0" shapeId="0">
      <text>
        <r>
          <rPr>
            <sz val="9"/>
            <color indexed="81"/>
            <rFont val="Tahoma"/>
            <charset val="1"/>
          </rPr>
          <t>Ouvrage identique à 4.13.2</t>
        </r>
      </text>
    </comment>
    <comment ref="H884" authorId="0" shapeId="0">
      <text>
        <r>
          <rPr>
            <sz val="9"/>
            <color indexed="81"/>
            <rFont val="Tahoma"/>
            <charset val="1"/>
          </rPr>
          <t>Ouvrage identique à 4.14.1</t>
        </r>
      </text>
    </comment>
    <comment ref="H886" authorId="0" shapeId="0">
      <text>
        <r>
          <rPr>
            <sz val="9"/>
            <color indexed="81"/>
            <rFont val="Tahoma"/>
            <charset val="1"/>
          </rPr>
          <t>Ouvrage identique à 4.15.1</t>
        </r>
      </text>
    </comment>
    <comment ref="H887" authorId="0" shapeId="0">
      <text>
        <r>
          <rPr>
            <sz val="9"/>
            <color indexed="81"/>
            <rFont val="Tahoma"/>
            <charset val="1"/>
          </rPr>
          <t>Ouvrage identique à 4.15.2</t>
        </r>
      </text>
    </comment>
    <comment ref="H888" authorId="0" shapeId="0">
      <text>
        <r>
          <rPr>
            <sz val="9"/>
            <color indexed="81"/>
            <rFont val="Tahoma"/>
            <charset val="1"/>
          </rPr>
          <t>Ouvrage identique à 4.15.3</t>
        </r>
      </text>
    </comment>
    <comment ref="H890" authorId="0" shapeId="0">
      <text>
        <r>
          <rPr>
            <sz val="9"/>
            <color indexed="81"/>
            <rFont val="Tahoma"/>
            <charset val="1"/>
          </rPr>
          <t>Ouvrage identique à 4.16.1</t>
        </r>
      </text>
    </comment>
    <comment ref="H891" authorId="0" shapeId="0">
      <text>
        <r>
          <rPr>
            <sz val="9"/>
            <color indexed="81"/>
            <rFont val="Tahoma"/>
            <charset val="1"/>
          </rPr>
          <t>Ouvrage identique à 4.16.2</t>
        </r>
      </text>
    </comment>
    <comment ref="H892" authorId="0" shapeId="0">
      <text>
        <r>
          <rPr>
            <sz val="9"/>
            <color indexed="81"/>
            <rFont val="Tahoma"/>
            <charset val="1"/>
          </rPr>
          <t>Ouvrage identique à 4.16.3</t>
        </r>
      </text>
    </comment>
    <comment ref="H893" authorId="0" shapeId="0">
      <text>
        <r>
          <rPr>
            <sz val="9"/>
            <color indexed="81"/>
            <rFont val="Tahoma"/>
            <charset val="1"/>
          </rPr>
          <t>Ouvrage identique à 4.16.4</t>
        </r>
      </text>
    </comment>
    <comment ref="H895" authorId="0" shapeId="0">
      <text>
        <r>
          <rPr>
            <sz val="9"/>
            <color indexed="81"/>
            <rFont val="Tahoma"/>
            <charset val="1"/>
          </rPr>
          <t>Ouvrage identique à 4.17.1</t>
        </r>
      </text>
    </comment>
    <comment ref="H896" authorId="0" shapeId="0">
      <text>
        <r>
          <rPr>
            <sz val="9"/>
            <color indexed="81"/>
            <rFont val="Tahoma"/>
            <charset val="1"/>
          </rPr>
          <t>Ouvrage identique à 4.17.2</t>
        </r>
      </text>
    </comment>
    <comment ref="H897" authorId="0" shapeId="0">
      <text>
        <r>
          <rPr>
            <sz val="9"/>
            <color indexed="81"/>
            <rFont val="Tahoma"/>
            <charset val="1"/>
          </rPr>
          <t>Ouvrage identique à 4.17.3</t>
        </r>
      </text>
    </comment>
    <comment ref="H901" authorId="0" shapeId="0">
      <text>
        <r>
          <rPr>
            <sz val="9"/>
            <color indexed="81"/>
            <rFont val="Tahoma"/>
            <charset val="1"/>
          </rPr>
          <t>Ouvrage identique à 5.1.1</t>
        </r>
      </text>
    </comment>
    <comment ref="H902" authorId="0" shapeId="0">
      <text>
        <r>
          <rPr>
            <sz val="9"/>
            <color indexed="81"/>
            <rFont val="Tahoma"/>
            <charset val="1"/>
          </rPr>
          <t>Ouvrage identique à 5.1.2</t>
        </r>
      </text>
    </comment>
    <comment ref="H903" authorId="0" shapeId="0">
      <text>
        <r>
          <rPr>
            <sz val="9"/>
            <color indexed="81"/>
            <rFont val="Tahoma"/>
            <charset val="1"/>
          </rPr>
          <t>Ouvrage identique à 5.1.3</t>
        </r>
      </text>
    </comment>
    <comment ref="H904" authorId="0" shapeId="0">
      <text>
        <r>
          <rPr>
            <sz val="9"/>
            <color indexed="81"/>
            <rFont val="Tahoma"/>
            <charset val="1"/>
          </rPr>
          <t>Ouvrage identique à 5.1.4</t>
        </r>
      </text>
    </comment>
    <comment ref="H905" authorId="0" shapeId="0">
      <text>
        <r>
          <rPr>
            <sz val="9"/>
            <color indexed="81"/>
            <rFont val="Tahoma"/>
            <charset val="1"/>
          </rPr>
          <t>Ouvrage identique à 5.1.5</t>
        </r>
      </text>
    </comment>
    <comment ref="H906" authorId="0" shapeId="0">
      <text>
        <r>
          <rPr>
            <sz val="9"/>
            <color indexed="81"/>
            <rFont val="Tahoma"/>
            <charset val="1"/>
          </rPr>
          <t>Ouvrage identique à 5.1.6</t>
        </r>
      </text>
    </comment>
    <comment ref="H907" authorId="0" shapeId="0">
      <text>
        <r>
          <rPr>
            <sz val="9"/>
            <color indexed="81"/>
            <rFont val="Tahoma"/>
            <charset val="1"/>
          </rPr>
          <t>Ouvrage identique à 5.1.7</t>
        </r>
      </text>
    </comment>
    <comment ref="H908" authorId="0" shapeId="0">
      <text>
        <r>
          <rPr>
            <sz val="9"/>
            <color indexed="81"/>
            <rFont val="Tahoma"/>
            <charset val="1"/>
          </rPr>
          <t>Ouvrage identique à 5.1.8</t>
        </r>
      </text>
    </comment>
    <comment ref="H909" authorId="0" shapeId="0">
      <text>
        <r>
          <rPr>
            <sz val="9"/>
            <color indexed="81"/>
            <rFont val="Tahoma"/>
            <charset val="1"/>
          </rPr>
          <t>Ouvrage identique à 5.1.9</t>
        </r>
      </text>
    </comment>
    <comment ref="H910" authorId="0" shapeId="0">
      <text>
        <r>
          <rPr>
            <sz val="9"/>
            <color indexed="81"/>
            <rFont val="Tahoma"/>
            <charset val="1"/>
          </rPr>
          <t>Ouvrage identique à 5.1.10</t>
        </r>
      </text>
    </comment>
    <comment ref="H911" authorId="0" shapeId="0">
      <text>
        <r>
          <rPr>
            <sz val="9"/>
            <color indexed="81"/>
            <rFont val="Tahoma"/>
            <charset val="1"/>
          </rPr>
          <t>Ouvrage identique à 5.2</t>
        </r>
      </text>
    </comment>
    <comment ref="H912" authorId="0" shapeId="0">
      <text>
        <r>
          <rPr>
            <sz val="9"/>
            <color indexed="81"/>
            <rFont val="Tahoma"/>
            <charset val="1"/>
          </rPr>
          <t>Ouvrage identique à 5.3</t>
        </r>
      </text>
    </comment>
    <comment ref="H913" authorId="0" shapeId="0">
      <text>
        <r>
          <rPr>
            <sz val="9"/>
            <color indexed="81"/>
            <rFont val="Tahoma"/>
            <charset val="1"/>
          </rPr>
          <t>Ouvrage identique à 5.4</t>
        </r>
      </text>
    </comment>
    <comment ref="H914" authorId="0" shapeId="0">
      <text>
        <r>
          <rPr>
            <sz val="9"/>
            <color indexed="81"/>
            <rFont val="Tahoma"/>
            <charset val="1"/>
          </rPr>
          <t>Ouvrage identique à 5.5</t>
        </r>
      </text>
    </comment>
    <comment ref="H915" authorId="0" shapeId="0">
      <text>
        <r>
          <rPr>
            <sz val="9"/>
            <color indexed="81"/>
            <rFont val="Tahoma"/>
            <charset val="1"/>
          </rPr>
          <t>Ouvrage identique à 5.6</t>
        </r>
      </text>
    </comment>
    <comment ref="H916" authorId="0" shapeId="0">
      <text>
        <r>
          <rPr>
            <sz val="9"/>
            <color indexed="81"/>
            <rFont val="Tahoma"/>
            <charset val="1"/>
          </rPr>
          <t>Ouvrage identique à 5.7</t>
        </r>
      </text>
    </comment>
    <comment ref="H918" authorId="0" shapeId="0">
      <text>
        <r>
          <rPr>
            <sz val="9"/>
            <color indexed="81"/>
            <rFont val="Tahoma"/>
            <charset val="1"/>
          </rPr>
          <t>Ouvrage identique à 5.8.1</t>
        </r>
      </text>
    </comment>
    <comment ref="H919" authorId="0" shapeId="0">
      <text>
        <r>
          <rPr>
            <sz val="9"/>
            <color indexed="81"/>
            <rFont val="Tahoma"/>
            <charset val="1"/>
          </rPr>
          <t>Ouvrage identique à 5.8.2</t>
        </r>
      </text>
    </comment>
    <comment ref="H920" authorId="0" shapeId="0">
      <text>
        <r>
          <rPr>
            <sz val="9"/>
            <color indexed="81"/>
            <rFont val="Tahoma"/>
            <charset val="1"/>
          </rPr>
          <t>Ouvrage identique à 5.8.3</t>
        </r>
      </text>
    </comment>
    <comment ref="H921" authorId="0" shapeId="0">
      <text>
        <r>
          <rPr>
            <sz val="9"/>
            <color indexed="81"/>
            <rFont val="Tahoma"/>
            <charset val="1"/>
          </rPr>
          <t>Ouvrage identique à 5.8.4</t>
        </r>
      </text>
    </comment>
    <comment ref="H922" authorId="0" shapeId="0">
      <text>
        <r>
          <rPr>
            <sz val="9"/>
            <color indexed="81"/>
            <rFont val="Tahoma"/>
            <charset val="1"/>
          </rPr>
          <t>Ouvrage identique à 5.8.5</t>
        </r>
      </text>
    </comment>
    <comment ref="H924" authorId="0" shapeId="0">
      <text>
        <r>
          <rPr>
            <sz val="9"/>
            <color indexed="81"/>
            <rFont val="Tahoma"/>
            <charset val="1"/>
          </rPr>
          <t>Ouvrage identique à 5.9.1</t>
        </r>
      </text>
    </comment>
    <comment ref="H927" authorId="0" shapeId="0">
      <text>
        <r>
          <rPr>
            <sz val="9"/>
            <color indexed="81"/>
            <rFont val="Tahoma"/>
            <charset val="1"/>
          </rPr>
          <t>Ouvrage identique à 6.1</t>
        </r>
      </text>
    </comment>
    <comment ref="H928" authorId="0" shapeId="0">
      <text>
        <r>
          <rPr>
            <sz val="9"/>
            <color indexed="81"/>
            <rFont val="Tahoma"/>
            <charset val="1"/>
          </rPr>
          <t>Ouvrage identique à 6.2</t>
        </r>
      </text>
    </comment>
    <comment ref="H930" authorId="0" shapeId="0">
      <text>
        <r>
          <rPr>
            <sz val="9"/>
            <color indexed="81"/>
            <rFont val="Tahoma"/>
            <charset val="1"/>
          </rPr>
          <t>Ouvrage identique à 6.3.1</t>
        </r>
      </text>
    </comment>
    <comment ref="H931" authorId="0" shapeId="0">
      <text>
        <r>
          <rPr>
            <sz val="9"/>
            <color indexed="81"/>
            <rFont val="Tahoma"/>
            <charset val="1"/>
          </rPr>
          <t>Ouvrage identique à 6.3.2</t>
        </r>
      </text>
    </comment>
    <comment ref="H933" authorId="0" shapeId="0">
      <text>
        <r>
          <rPr>
            <sz val="9"/>
            <color indexed="81"/>
            <rFont val="Tahoma"/>
            <charset val="1"/>
          </rPr>
          <t>Ouvrage identique à 6.4.1</t>
        </r>
      </text>
    </comment>
    <comment ref="H934" authorId="0" shapeId="0">
      <text>
        <r>
          <rPr>
            <sz val="9"/>
            <color indexed="81"/>
            <rFont val="Tahoma"/>
            <charset val="1"/>
          </rPr>
          <t>Ouvrage identique à 6.4.2</t>
        </r>
      </text>
    </comment>
    <comment ref="H935" authorId="0" shapeId="0">
      <text>
        <r>
          <rPr>
            <sz val="9"/>
            <color indexed="81"/>
            <rFont val="Tahoma"/>
            <charset val="1"/>
          </rPr>
          <t>Ouvrage identique à 6.4.3</t>
        </r>
      </text>
    </comment>
    <comment ref="H937" authorId="0" shapeId="0">
      <text>
        <r>
          <rPr>
            <sz val="9"/>
            <color indexed="81"/>
            <rFont val="Tahoma"/>
            <charset val="1"/>
          </rPr>
          <t>Ouvrage identique à 6.5.1</t>
        </r>
      </text>
    </comment>
    <comment ref="H938" authorId="0" shapeId="0">
      <text>
        <r>
          <rPr>
            <sz val="9"/>
            <color indexed="81"/>
            <rFont val="Tahoma"/>
            <charset val="1"/>
          </rPr>
          <t>Ouvrage identique à 6.5.2</t>
        </r>
      </text>
    </comment>
    <comment ref="H939" authorId="0" shapeId="0">
      <text>
        <r>
          <rPr>
            <sz val="9"/>
            <color indexed="81"/>
            <rFont val="Tahoma"/>
            <charset val="1"/>
          </rPr>
          <t>Ouvrage identique à 6.6</t>
        </r>
      </text>
    </comment>
    <comment ref="H940" authorId="0" shapeId="0">
      <text>
        <r>
          <rPr>
            <sz val="9"/>
            <color indexed="81"/>
            <rFont val="Tahoma"/>
            <charset val="1"/>
          </rPr>
          <t>Ouvrage identique à 6.7</t>
        </r>
      </text>
    </comment>
    <comment ref="H943" authorId="0" shapeId="0">
      <text>
        <r>
          <rPr>
            <sz val="9"/>
            <color indexed="81"/>
            <rFont val="Tahoma"/>
            <charset val="1"/>
          </rPr>
          <t>Ouvrage identique à 7.1</t>
        </r>
      </text>
    </comment>
    <comment ref="H945" authorId="0" shapeId="0">
      <text>
        <r>
          <rPr>
            <sz val="9"/>
            <color indexed="81"/>
            <rFont val="Tahoma"/>
            <charset val="1"/>
          </rPr>
          <t>Ouvrage identique à 7.2.1</t>
        </r>
      </text>
    </comment>
    <comment ref="H946" authorId="0" shapeId="0">
      <text>
        <r>
          <rPr>
            <sz val="9"/>
            <color indexed="81"/>
            <rFont val="Tahoma"/>
            <charset val="1"/>
          </rPr>
          <t>Ouvrage identique à 7.2.2</t>
        </r>
      </text>
    </comment>
    <comment ref="H947" authorId="0" shapeId="0">
      <text>
        <r>
          <rPr>
            <sz val="9"/>
            <color indexed="81"/>
            <rFont val="Tahoma"/>
            <charset val="1"/>
          </rPr>
          <t>Ouvrage identique à 7.2.3</t>
        </r>
      </text>
    </comment>
    <comment ref="H949" authorId="0" shapeId="0">
      <text>
        <r>
          <rPr>
            <sz val="9"/>
            <color indexed="81"/>
            <rFont val="Tahoma"/>
            <charset val="1"/>
          </rPr>
          <t>Ouvrage identique à 7.3.1</t>
        </r>
      </text>
    </comment>
    <comment ref="H950" authorId="0" shapeId="0">
      <text>
        <r>
          <rPr>
            <sz val="9"/>
            <color indexed="81"/>
            <rFont val="Tahoma"/>
            <charset val="1"/>
          </rPr>
          <t>Ouvrage identique à 7.3.2</t>
        </r>
      </text>
    </comment>
    <comment ref="H951" authorId="0" shapeId="0">
      <text>
        <r>
          <rPr>
            <sz val="9"/>
            <color indexed="81"/>
            <rFont val="Tahoma"/>
            <charset val="1"/>
          </rPr>
          <t>Ouvrage identique à 7.4</t>
        </r>
      </text>
    </comment>
    <comment ref="H952" authorId="0" shapeId="0">
      <text>
        <r>
          <rPr>
            <sz val="9"/>
            <color indexed="81"/>
            <rFont val="Tahoma"/>
            <charset val="1"/>
          </rPr>
          <t>Ouvrage identique à 7.5</t>
        </r>
      </text>
    </comment>
    <comment ref="H953" authorId="0" shapeId="0">
      <text>
        <r>
          <rPr>
            <sz val="9"/>
            <color indexed="81"/>
            <rFont val="Tahoma"/>
            <charset val="1"/>
          </rPr>
          <t>Ouvrage identique à 7.6</t>
        </r>
      </text>
    </comment>
    <comment ref="H954" authorId="0" shapeId="0">
      <text>
        <r>
          <rPr>
            <sz val="9"/>
            <color indexed="81"/>
            <rFont val="Tahoma"/>
            <charset val="1"/>
          </rPr>
          <t>Ouvrage identique à 7.7</t>
        </r>
      </text>
    </comment>
    <comment ref="H957" authorId="0" shapeId="0">
      <text>
        <r>
          <rPr>
            <sz val="9"/>
            <color indexed="81"/>
            <rFont val="Tahoma"/>
            <charset val="1"/>
          </rPr>
          <t>Ouvrage identique à 8.1</t>
        </r>
      </text>
    </comment>
    <comment ref="H959" authorId="0" shapeId="0">
      <text>
        <r>
          <rPr>
            <sz val="9"/>
            <color indexed="81"/>
            <rFont val="Tahoma"/>
            <charset val="1"/>
          </rPr>
          <t>Ouvrage identique à 8.2.1</t>
        </r>
      </text>
    </comment>
    <comment ref="H960" authorId="0" shapeId="0">
      <text>
        <r>
          <rPr>
            <sz val="9"/>
            <color indexed="81"/>
            <rFont val="Tahoma"/>
            <charset val="1"/>
          </rPr>
          <t>Ouvrage identique à 8.2.2</t>
        </r>
      </text>
    </comment>
    <comment ref="H961" authorId="0" shapeId="0">
      <text>
        <r>
          <rPr>
            <sz val="9"/>
            <color indexed="81"/>
            <rFont val="Tahoma"/>
            <charset val="1"/>
          </rPr>
          <t>Ouvrage identique à 8.2.3</t>
        </r>
      </text>
    </comment>
    <comment ref="H963" authorId="0" shapeId="0">
      <text>
        <r>
          <rPr>
            <sz val="9"/>
            <color indexed="81"/>
            <rFont val="Tahoma"/>
            <charset val="1"/>
          </rPr>
          <t>Ouvrage identique à 8.3.1</t>
        </r>
      </text>
    </comment>
    <comment ref="H964" authorId="0" shapeId="0">
      <text>
        <r>
          <rPr>
            <sz val="9"/>
            <color indexed="81"/>
            <rFont val="Tahoma"/>
            <charset val="1"/>
          </rPr>
          <t>Ouvrage identique à 8.3.2</t>
        </r>
      </text>
    </comment>
    <comment ref="H965" authorId="0" shapeId="0">
      <text>
        <r>
          <rPr>
            <sz val="9"/>
            <color indexed="81"/>
            <rFont val="Tahoma"/>
            <charset val="1"/>
          </rPr>
          <t>Ouvrage identique à 8.3.3</t>
        </r>
      </text>
    </comment>
    <comment ref="H967" authorId="0" shapeId="0">
      <text>
        <r>
          <rPr>
            <sz val="9"/>
            <color indexed="81"/>
            <rFont val="Tahoma"/>
            <charset val="1"/>
          </rPr>
          <t>Ouvrage identique à 8.4.1</t>
        </r>
      </text>
    </comment>
    <comment ref="H968" authorId="0" shapeId="0">
      <text>
        <r>
          <rPr>
            <sz val="9"/>
            <color indexed="81"/>
            <rFont val="Tahoma"/>
            <charset val="1"/>
          </rPr>
          <t>Ouvrage identique à 8.4.2</t>
        </r>
      </text>
    </comment>
    <comment ref="H969" authorId="0" shapeId="0">
      <text>
        <r>
          <rPr>
            <sz val="9"/>
            <color indexed="81"/>
            <rFont val="Tahoma"/>
            <charset val="1"/>
          </rPr>
          <t>Ouvrage identique à 8.4.3</t>
        </r>
      </text>
    </comment>
    <comment ref="H970" authorId="0" shapeId="0">
      <text>
        <r>
          <rPr>
            <sz val="9"/>
            <color indexed="81"/>
            <rFont val="Tahoma"/>
            <charset val="1"/>
          </rPr>
          <t>Ouvrage identique à 8.4.4</t>
        </r>
      </text>
    </comment>
    <comment ref="H971" authorId="0" shapeId="0">
      <text>
        <r>
          <rPr>
            <sz val="9"/>
            <color indexed="81"/>
            <rFont val="Tahoma"/>
            <charset val="1"/>
          </rPr>
          <t>Ouvrage identique à 8.4.5</t>
        </r>
      </text>
    </comment>
    <comment ref="H972" authorId="0" shapeId="0">
      <text>
        <r>
          <rPr>
            <sz val="9"/>
            <color indexed="81"/>
            <rFont val="Tahoma"/>
            <charset val="1"/>
          </rPr>
          <t>Ouvrage identique à 8.4.6</t>
        </r>
      </text>
    </comment>
    <comment ref="H973" authorId="0" shapeId="0">
      <text>
        <r>
          <rPr>
            <sz val="9"/>
            <color indexed="81"/>
            <rFont val="Tahoma"/>
            <charset val="1"/>
          </rPr>
          <t>Ouvrage identique à 8.4.7</t>
        </r>
      </text>
    </comment>
    <comment ref="H974" authorId="0" shapeId="0">
      <text>
        <r>
          <rPr>
            <sz val="9"/>
            <color indexed="81"/>
            <rFont val="Tahoma"/>
            <charset val="1"/>
          </rPr>
          <t>Ouvrage identique à 8.4.8</t>
        </r>
      </text>
    </comment>
    <comment ref="H975" authorId="0" shapeId="0">
      <text>
        <r>
          <rPr>
            <sz val="9"/>
            <color indexed="81"/>
            <rFont val="Tahoma"/>
            <charset val="1"/>
          </rPr>
          <t>Ouvrage identique à 8.4.9</t>
        </r>
      </text>
    </comment>
    <comment ref="H976" authorId="0" shapeId="0">
      <text>
        <r>
          <rPr>
            <sz val="9"/>
            <color indexed="81"/>
            <rFont val="Tahoma"/>
            <charset val="1"/>
          </rPr>
          <t>Ouvrage identique à 8.4.10</t>
        </r>
      </text>
    </comment>
    <comment ref="H977" authorId="0" shapeId="0">
      <text>
        <r>
          <rPr>
            <sz val="9"/>
            <color indexed="81"/>
            <rFont val="Tahoma"/>
            <charset val="1"/>
          </rPr>
          <t>Ouvrage identique à 8.4.11</t>
        </r>
      </text>
    </comment>
    <comment ref="H978" authorId="0" shapeId="0">
      <text>
        <r>
          <rPr>
            <sz val="9"/>
            <color indexed="81"/>
            <rFont val="Tahoma"/>
            <charset val="1"/>
          </rPr>
          <t>Ouvrage identique à 8.4.12</t>
        </r>
      </text>
    </comment>
    <comment ref="H980" authorId="0" shapeId="0">
      <text>
        <r>
          <rPr>
            <sz val="9"/>
            <color indexed="81"/>
            <rFont val="Tahoma"/>
            <charset val="1"/>
          </rPr>
          <t>Ouvrage identique à 8.5.1</t>
        </r>
      </text>
    </comment>
    <comment ref="H981" authorId="0" shapeId="0">
      <text>
        <r>
          <rPr>
            <sz val="9"/>
            <color indexed="81"/>
            <rFont val="Tahoma"/>
            <charset val="1"/>
          </rPr>
          <t>Ouvrage identique à 8.5.2</t>
        </r>
      </text>
    </comment>
    <comment ref="H982" authorId="0" shapeId="0">
      <text>
        <r>
          <rPr>
            <sz val="9"/>
            <color indexed="81"/>
            <rFont val="Tahoma"/>
            <charset val="1"/>
          </rPr>
          <t>Ouvrage identique à 8.5.3</t>
        </r>
      </text>
    </comment>
    <comment ref="H983" authorId="0" shapeId="0">
      <text>
        <r>
          <rPr>
            <sz val="9"/>
            <color indexed="81"/>
            <rFont val="Tahoma"/>
            <charset val="1"/>
          </rPr>
          <t>Ouvrage identique à 8.6</t>
        </r>
      </text>
    </comment>
    <comment ref="H984" authorId="0" shapeId="0">
      <text>
        <r>
          <rPr>
            <sz val="9"/>
            <color indexed="81"/>
            <rFont val="Tahoma"/>
            <charset val="1"/>
          </rPr>
          <t>Ouvrage identique à 8.7</t>
        </r>
      </text>
    </comment>
    <comment ref="H988" authorId="0" shapeId="0">
      <text>
        <r>
          <rPr>
            <sz val="9"/>
            <color indexed="81"/>
            <rFont val="Tahoma"/>
            <charset val="1"/>
          </rPr>
          <t>Ouvrage identique à 9.1.1</t>
        </r>
      </text>
    </comment>
    <comment ref="H989" authorId="0" shapeId="0">
      <text>
        <r>
          <rPr>
            <sz val="9"/>
            <color indexed="81"/>
            <rFont val="Tahoma"/>
            <charset val="1"/>
          </rPr>
          <t>Ouvrage identique à 9.1.2</t>
        </r>
      </text>
    </comment>
    <comment ref="H990" authorId="0" shapeId="0">
      <text>
        <r>
          <rPr>
            <sz val="9"/>
            <color indexed="81"/>
            <rFont val="Tahoma"/>
            <charset val="1"/>
          </rPr>
          <t>Ouvrage identique à 9.1.3</t>
        </r>
      </text>
    </comment>
    <comment ref="H992" authorId="0" shapeId="0">
      <text>
        <r>
          <rPr>
            <sz val="9"/>
            <color indexed="81"/>
            <rFont val="Tahoma"/>
            <charset val="1"/>
          </rPr>
          <t>Ouvrage identique à 9.2.4</t>
        </r>
      </text>
    </comment>
    <comment ref="H993" authorId="0" shapeId="0">
      <text>
        <r>
          <rPr>
            <sz val="9"/>
            <color indexed="81"/>
            <rFont val="Tahoma"/>
            <charset val="1"/>
          </rPr>
          <t>Ouvrage identique à 9.2.1</t>
        </r>
      </text>
    </comment>
    <comment ref="H994" authorId="0" shapeId="0">
      <text>
        <r>
          <rPr>
            <sz val="9"/>
            <color indexed="81"/>
            <rFont val="Tahoma"/>
            <charset val="1"/>
          </rPr>
          <t>Ouvrage identique à 9.2.5</t>
        </r>
      </text>
    </comment>
    <comment ref="H995" authorId="0" shapeId="0">
      <text>
        <r>
          <rPr>
            <sz val="9"/>
            <color indexed="81"/>
            <rFont val="Tahoma"/>
            <charset val="1"/>
          </rPr>
          <t>Ouvrage identique à 9.2.3</t>
        </r>
      </text>
    </comment>
    <comment ref="H997" authorId="0" shapeId="0">
      <text>
        <r>
          <rPr>
            <sz val="9"/>
            <color indexed="81"/>
            <rFont val="Tahoma"/>
            <charset val="1"/>
          </rPr>
          <t>Ouvrage identique à 9.3.1</t>
        </r>
      </text>
    </comment>
    <comment ref="H999" authorId="0" shapeId="0">
      <text>
        <r>
          <rPr>
            <sz val="9"/>
            <color indexed="81"/>
            <rFont val="Tahoma"/>
            <charset val="1"/>
          </rPr>
          <t>Ouvrage identique à 9.4.1</t>
        </r>
      </text>
    </comment>
    <comment ref="H1000" authorId="0" shapeId="0">
      <text>
        <r>
          <rPr>
            <sz val="9"/>
            <color indexed="81"/>
            <rFont val="Tahoma"/>
            <charset val="1"/>
          </rPr>
          <t>Ouvrage identique à 9.4.2</t>
        </r>
      </text>
    </comment>
    <comment ref="H1001" authorId="0" shapeId="0">
      <text>
        <r>
          <rPr>
            <sz val="9"/>
            <color indexed="81"/>
            <rFont val="Tahoma"/>
            <charset val="1"/>
          </rPr>
          <t>Ouvrage identique à 9.5</t>
        </r>
      </text>
    </comment>
    <comment ref="H1002" authorId="0" shapeId="0">
      <text>
        <r>
          <rPr>
            <sz val="9"/>
            <color indexed="81"/>
            <rFont val="Tahoma"/>
            <charset val="1"/>
          </rPr>
          <t>Ouvrage identique à 9.6</t>
        </r>
      </text>
    </comment>
    <comment ref="H1003" authorId="0" shapeId="0">
      <text>
        <r>
          <rPr>
            <sz val="9"/>
            <color indexed="81"/>
            <rFont val="Tahoma"/>
            <charset val="1"/>
          </rPr>
          <t>Ouvrage identique à 9.7</t>
        </r>
      </text>
    </comment>
    <comment ref="H1005" authorId="0" shapeId="0">
      <text>
        <r>
          <rPr>
            <sz val="9"/>
            <color indexed="81"/>
            <rFont val="Tahoma"/>
            <charset val="1"/>
          </rPr>
          <t>Ouvrage identique à 9.8.1</t>
        </r>
      </text>
    </comment>
    <comment ref="H1006" authorId="0" shapeId="0">
      <text>
        <r>
          <rPr>
            <sz val="9"/>
            <color indexed="81"/>
            <rFont val="Tahoma"/>
            <charset val="1"/>
          </rPr>
          <t>Ouvrage identique à 9.8.2</t>
        </r>
      </text>
    </comment>
    <comment ref="H1007" authorId="0" shapeId="0">
      <text>
        <r>
          <rPr>
            <sz val="9"/>
            <color indexed="81"/>
            <rFont val="Tahoma"/>
            <charset val="1"/>
          </rPr>
          <t>Ouvrage identique à 9.8.3</t>
        </r>
      </text>
    </comment>
    <comment ref="H1008" authorId="0" shapeId="0">
      <text>
        <r>
          <rPr>
            <sz val="9"/>
            <color indexed="81"/>
            <rFont val="Tahoma"/>
            <charset val="1"/>
          </rPr>
          <t>Ouvrage identique à 9.9</t>
        </r>
      </text>
    </comment>
    <comment ref="H1009" authorId="0" shapeId="0">
      <text>
        <r>
          <rPr>
            <sz val="9"/>
            <color indexed="81"/>
            <rFont val="Tahoma"/>
            <charset val="1"/>
          </rPr>
          <t>Ouvrage identique à 9.10</t>
        </r>
      </text>
    </comment>
    <comment ref="H1013" authorId="0" shapeId="0">
      <text>
        <r>
          <rPr>
            <sz val="9"/>
            <color indexed="81"/>
            <rFont val="Tahoma"/>
            <charset val="1"/>
          </rPr>
          <t>Ouvrage identique à 10.1.1</t>
        </r>
      </text>
    </comment>
    <comment ref="H1014" authorId="0" shapeId="0">
      <text>
        <r>
          <rPr>
            <sz val="9"/>
            <color indexed="81"/>
            <rFont val="Tahoma"/>
            <charset val="1"/>
          </rPr>
          <t>Ouvrage identique à 10.1.2</t>
        </r>
      </text>
    </comment>
    <comment ref="H1016" authorId="0" shapeId="0">
      <text>
        <r>
          <rPr>
            <sz val="9"/>
            <color indexed="81"/>
            <rFont val="Tahoma"/>
            <charset val="1"/>
          </rPr>
          <t>Ouvrage identique à 10.2.1</t>
        </r>
      </text>
    </comment>
    <comment ref="H1017" authorId="0" shapeId="0">
      <text>
        <r>
          <rPr>
            <sz val="9"/>
            <color indexed="81"/>
            <rFont val="Tahoma"/>
            <charset val="1"/>
          </rPr>
          <t>Ouvrage identique à 10.2.2</t>
        </r>
      </text>
    </comment>
    <comment ref="H1018" authorId="0" shapeId="0">
      <text>
        <r>
          <rPr>
            <sz val="9"/>
            <color indexed="81"/>
            <rFont val="Tahoma"/>
            <charset val="1"/>
          </rPr>
          <t>Ouvrage identique à 10.3</t>
        </r>
      </text>
    </comment>
    <comment ref="H1020" authorId="0" shapeId="0">
      <text>
        <r>
          <rPr>
            <sz val="9"/>
            <color indexed="81"/>
            <rFont val="Tahoma"/>
            <charset val="1"/>
          </rPr>
          <t>Ouvrage identique à 10.4.1</t>
        </r>
      </text>
    </comment>
    <comment ref="H1021" authorId="0" shapeId="0">
      <text>
        <r>
          <rPr>
            <sz val="9"/>
            <color indexed="81"/>
            <rFont val="Tahoma"/>
            <charset val="1"/>
          </rPr>
          <t>Ouvrage identique à 10.4.2</t>
        </r>
      </text>
    </comment>
    <comment ref="H1022" authorId="0" shapeId="0">
      <text>
        <r>
          <rPr>
            <sz val="9"/>
            <color indexed="81"/>
            <rFont val="Tahoma"/>
            <charset val="1"/>
          </rPr>
          <t>Ouvrage identique à 10.4.3</t>
        </r>
      </text>
    </comment>
    <comment ref="H1023" authorId="0" shapeId="0">
      <text>
        <r>
          <rPr>
            <sz val="9"/>
            <color indexed="81"/>
            <rFont val="Tahoma"/>
            <charset val="1"/>
          </rPr>
          <t>Ouvrage identique à 10.5</t>
        </r>
      </text>
    </comment>
    <comment ref="H1024" authorId="0" shapeId="0">
      <text>
        <r>
          <rPr>
            <sz val="9"/>
            <color indexed="81"/>
            <rFont val="Tahoma"/>
            <charset val="1"/>
          </rPr>
          <t>Ouvrage identique à 10.6</t>
        </r>
      </text>
    </comment>
    <comment ref="H1028" authorId="0" shapeId="0">
      <text>
        <r>
          <rPr>
            <sz val="9"/>
            <color indexed="81"/>
            <rFont val="Tahoma"/>
            <charset val="1"/>
          </rPr>
          <t>Ouvrage identique à 11.1.1</t>
        </r>
      </text>
    </comment>
    <comment ref="H1029" authorId="0" shapeId="0">
      <text>
        <r>
          <rPr>
            <sz val="9"/>
            <color indexed="81"/>
            <rFont val="Tahoma"/>
            <charset val="1"/>
          </rPr>
          <t>Ouvrage identique à 11.1.2</t>
        </r>
      </text>
    </comment>
    <comment ref="H1030" authorId="0" shapeId="0">
      <text>
        <r>
          <rPr>
            <sz val="9"/>
            <color indexed="81"/>
            <rFont val="Tahoma"/>
            <charset val="1"/>
          </rPr>
          <t>Ouvrage identique à 11.1.3</t>
        </r>
      </text>
    </comment>
    <comment ref="H1032" authorId="0" shapeId="0">
      <text>
        <r>
          <rPr>
            <sz val="9"/>
            <color indexed="81"/>
            <rFont val="Tahoma"/>
            <charset val="1"/>
          </rPr>
          <t>Ouvrage identique à 11.2.1</t>
        </r>
      </text>
    </comment>
    <comment ref="H1033" authorId="0" shapeId="0">
      <text>
        <r>
          <rPr>
            <sz val="9"/>
            <color indexed="81"/>
            <rFont val="Tahoma"/>
            <charset val="1"/>
          </rPr>
          <t>Ouvrage identique à 11.2.2</t>
        </r>
      </text>
    </comment>
    <comment ref="H1034" authorId="0" shapeId="0">
      <text>
        <r>
          <rPr>
            <sz val="9"/>
            <color indexed="81"/>
            <rFont val="Tahoma"/>
            <charset val="1"/>
          </rPr>
          <t>Ouvrage identique à 11.2.3</t>
        </r>
      </text>
    </comment>
    <comment ref="H1035" authorId="0" shapeId="0">
      <text>
        <r>
          <rPr>
            <sz val="9"/>
            <color indexed="81"/>
            <rFont val="Tahoma"/>
            <charset val="1"/>
          </rPr>
          <t>Ouvrage identique à 11.2.4</t>
        </r>
      </text>
    </comment>
    <comment ref="H1036" authorId="0" shapeId="0">
      <text>
        <r>
          <rPr>
            <sz val="9"/>
            <color indexed="81"/>
            <rFont val="Tahoma"/>
            <charset val="1"/>
          </rPr>
          <t>Ouvrage identique à 11.3</t>
        </r>
      </text>
    </comment>
    <comment ref="H1038" authorId="0" shapeId="0">
      <text>
        <r>
          <rPr>
            <sz val="9"/>
            <color indexed="81"/>
            <rFont val="Tahoma"/>
            <charset val="1"/>
          </rPr>
          <t>Ouvrage identique à 11.4.1</t>
        </r>
      </text>
    </comment>
    <comment ref="H1039" authorId="0" shapeId="0">
      <text>
        <r>
          <rPr>
            <sz val="9"/>
            <color indexed="81"/>
            <rFont val="Tahoma"/>
            <charset val="1"/>
          </rPr>
          <t>Ouvrage identique à 11.4.2</t>
        </r>
      </text>
    </comment>
    <comment ref="H1040" authorId="0" shapeId="0">
      <text>
        <r>
          <rPr>
            <sz val="9"/>
            <color indexed="81"/>
            <rFont val="Tahoma"/>
            <charset val="1"/>
          </rPr>
          <t>Ouvrage identique à 11.4.3</t>
        </r>
      </text>
    </comment>
    <comment ref="H1041" authorId="0" shapeId="0">
      <text>
        <r>
          <rPr>
            <sz val="9"/>
            <color indexed="81"/>
            <rFont val="Tahoma"/>
            <charset val="1"/>
          </rPr>
          <t>Ouvrage identique à 11.5</t>
        </r>
      </text>
    </comment>
    <comment ref="H1042" authorId="0" shapeId="0">
      <text>
        <r>
          <rPr>
            <sz val="9"/>
            <color indexed="81"/>
            <rFont val="Tahoma"/>
            <charset val="1"/>
          </rPr>
          <t>Ouvrage identique à 11.6</t>
        </r>
      </text>
    </comment>
    <comment ref="H1044" authorId="0" shapeId="0">
      <text>
        <r>
          <rPr>
            <sz val="9"/>
            <color indexed="81"/>
            <rFont val="Tahoma"/>
            <charset val="1"/>
          </rPr>
          <t>Ouvrage identique à 11.7.1</t>
        </r>
      </text>
    </comment>
    <comment ref="H1045" authorId="0" shapeId="0">
      <text>
        <r>
          <rPr>
            <sz val="9"/>
            <color indexed="81"/>
            <rFont val="Tahoma"/>
            <charset val="1"/>
          </rPr>
          <t>Ouvrage identique à 11.7.2</t>
        </r>
      </text>
    </comment>
    <comment ref="H1046" authorId="0" shapeId="0">
      <text>
        <r>
          <rPr>
            <sz val="9"/>
            <color indexed="81"/>
            <rFont val="Tahoma"/>
            <charset val="1"/>
          </rPr>
          <t>Ouvrage identique à 11.7.3</t>
        </r>
      </text>
    </comment>
    <comment ref="H1047" authorId="0" shapeId="0">
      <text>
        <r>
          <rPr>
            <sz val="9"/>
            <color indexed="81"/>
            <rFont val="Tahoma"/>
            <charset val="1"/>
          </rPr>
          <t>Ouvrage identique à 11.7.4</t>
        </r>
      </text>
    </comment>
    <comment ref="H1048" authorId="0" shapeId="0">
      <text>
        <r>
          <rPr>
            <sz val="9"/>
            <color indexed="81"/>
            <rFont val="Tahoma"/>
            <charset val="1"/>
          </rPr>
          <t>Ouvrage identique à 11.8</t>
        </r>
      </text>
    </comment>
    <comment ref="H1049" authorId="0" shapeId="0">
      <text>
        <r>
          <rPr>
            <sz val="9"/>
            <color indexed="81"/>
            <rFont val="Tahoma"/>
            <charset val="1"/>
          </rPr>
          <t>Ouvrage identique à 11.9</t>
        </r>
      </text>
    </comment>
    <comment ref="H1053" authorId="0" shapeId="0">
      <text>
        <r>
          <rPr>
            <sz val="9"/>
            <color indexed="81"/>
            <rFont val="Tahoma"/>
            <charset val="1"/>
          </rPr>
          <t>Ouvrage identique à 12.1.1</t>
        </r>
      </text>
    </comment>
    <comment ref="H1054" authorId="0" shapeId="0">
      <text>
        <r>
          <rPr>
            <sz val="9"/>
            <color indexed="81"/>
            <rFont val="Tahoma"/>
            <charset val="1"/>
          </rPr>
          <t>Ouvrage identique à 12.1.2</t>
        </r>
      </text>
    </comment>
    <comment ref="H1056" authorId="0" shapeId="0">
      <text>
        <r>
          <rPr>
            <sz val="9"/>
            <color indexed="81"/>
            <rFont val="Tahoma"/>
            <charset val="1"/>
          </rPr>
          <t>Ouvrage identique à 12.2.1</t>
        </r>
      </text>
    </comment>
    <comment ref="H1057" authorId="0" shapeId="0">
      <text>
        <r>
          <rPr>
            <sz val="9"/>
            <color indexed="81"/>
            <rFont val="Tahoma"/>
            <charset val="1"/>
          </rPr>
          <t>Ouvrage identique à 12.3</t>
        </r>
      </text>
    </comment>
    <comment ref="H1061" authorId="0" shapeId="0">
      <text>
        <r>
          <rPr>
            <sz val="9"/>
            <color indexed="81"/>
            <rFont val="Tahoma"/>
            <charset val="1"/>
          </rPr>
          <t>Ouvrage identique à 13.1.1</t>
        </r>
      </text>
    </comment>
    <comment ref="H1063" authorId="0" shapeId="0">
      <text>
        <r>
          <rPr>
            <sz val="9"/>
            <color indexed="81"/>
            <rFont val="Tahoma"/>
            <charset val="1"/>
          </rPr>
          <t>Ouvrage identique à 13.2.1.a</t>
        </r>
      </text>
    </comment>
    <comment ref="H1064" authorId="0" shapeId="0">
      <text>
        <r>
          <rPr>
            <sz val="9"/>
            <color indexed="81"/>
            <rFont val="Tahoma"/>
            <charset val="1"/>
          </rPr>
          <t>Ouvrage identique à 13.2.2</t>
        </r>
      </text>
    </comment>
    <comment ref="H1065" authorId="0" shapeId="0">
      <text>
        <r>
          <rPr>
            <sz val="9"/>
            <color indexed="81"/>
            <rFont val="Tahoma"/>
            <charset val="1"/>
          </rPr>
          <t>Ouvrage identique à 13.3</t>
        </r>
      </text>
    </comment>
    <comment ref="H1066" authorId="0" shapeId="0">
      <text>
        <r>
          <rPr>
            <sz val="9"/>
            <color indexed="81"/>
            <rFont val="Tahoma"/>
            <charset val="1"/>
          </rPr>
          <t>Ouvrage identique à 13.4</t>
        </r>
      </text>
    </comment>
    <comment ref="H1070" authorId="0" shapeId="0">
      <text>
        <r>
          <rPr>
            <sz val="9"/>
            <color indexed="81"/>
            <rFont val="Tahoma"/>
            <charset val="1"/>
          </rPr>
          <t>Ouvrage identique à 14.1.1</t>
        </r>
      </text>
    </comment>
    <comment ref="H1071" authorId="0" shapeId="0">
      <text>
        <r>
          <rPr>
            <sz val="9"/>
            <color indexed="81"/>
            <rFont val="Tahoma"/>
            <charset val="1"/>
          </rPr>
          <t>Ouvrage identique à 14.1.2</t>
        </r>
      </text>
    </comment>
    <comment ref="H1073" authorId="0" shapeId="0">
      <text>
        <r>
          <rPr>
            <sz val="9"/>
            <color indexed="81"/>
            <rFont val="Tahoma"/>
            <charset val="1"/>
          </rPr>
          <t>Ouvrage identique à 14.2.1</t>
        </r>
      </text>
    </comment>
    <comment ref="H1074" authorId="0" shapeId="0">
      <text>
        <r>
          <rPr>
            <sz val="9"/>
            <color indexed="81"/>
            <rFont val="Tahoma"/>
            <charset val="1"/>
          </rPr>
          <t>Ouvrage identique à 14.2.2</t>
        </r>
      </text>
    </comment>
    <comment ref="H1075" authorId="0" shapeId="0">
      <text>
        <r>
          <rPr>
            <sz val="9"/>
            <color indexed="81"/>
            <rFont val="Tahoma"/>
            <charset val="1"/>
          </rPr>
          <t>Ouvrage identique à 14.2.3</t>
        </r>
      </text>
    </comment>
    <comment ref="H1076" authorId="0" shapeId="0">
      <text>
        <r>
          <rPr>
            <sz val="9"/>
            <color indexed="81"/>
            <rFont val="Tahoma"/>
            <charset val="1"/>
          </rPr>
          <t>Ouvrage identique à 14.2.4</t>
        </r>
      </text>
    </comment>
    <comment ref="H1077" authorId="0" shapeId="0">
      <text>
        <r>
          <rPr>
            <sz val="9"/>
            <color indexed="81"/>
            <rFont val="Tahoma"/>
            <charset val="1"/>
          </rPr>
          <t>Ouvrage identique à 14.2.5</t>
        </r>
      </text>
    </comment>
    <comment ref="H1078" authorId="0" shapeId="0">
      <text>
        <r>
          <rPr>
            <sz val="9"/>
            <color indexed="81"/>
            <rFont val="Tahoma"/>
            <charset val="1"/>
          </rPr>
          <t>Ouvrage identique à 14.2.6</t>
        </r>
      </text>
    </comment>
    <comment ref="H1079" authorId="0" shapeId="0">
      <text>
        <r>
          <rPr>
            <sz val="9"/>
            <color indexed="81"/>
            <rFont val="Tahoma"/>
            <charset val="1"/>
          </rPr>
          <t>Ouvrage identique à 14.2.7</t>
        </r>
      </text>
    </comment>
    <comment ref="H1080" authorId="0" shapeId="0">
      <text>
        <r>
          <rPr>
            <sz val="9"/>
            <color indexed="81"/>
            <rFont val="Tahoma"/>
            <charset val="1"/>
          </rPr>
          <t>Ouvrage identique à 14.2.8</t>
        </r>
      </text>
    </comment>
    <comment ref="H1081" authorId="0" shapeId="0">
      <text>
        <r>
          <rPr>
            <sz val="9"/>
            <color indexed="81"/>
            <rFont val="Tahoma"/>
            <charset val="1"/>
          </rPr>
          <t>Ouvrage identique à 14.2.9</t>
        </r>
      </text>
    </comment>
    <comment ref="H1082" authorId="0" shapeId="0">
      <text>
        <r>
          <rPr>
            <sz val="9"/>
            <color indexed="81"/>
            <rFont val="Tahoma"/>
            <charset val="1"/>
          </rPr>
          <t>Ouvrage identique à 14.2.10</t>
        </r>
      </text>
    </comment>
    <comment ref="H1083" authorId="0" shapeId="0">
      <text>
        <r>
          <rPr>
            <sz val="9"/>
            <color indexed="81"/>
            <rFont val="Tahoma"/>
            <charset val="1"/>
          </rPr>
          <t>Ouvrage identique à 14.2.11</t>
        </r>
      </text>
    </comment>
    <comment ref="H1086" authorId="0" shapeId="0">
      <text>
        <r>
          <rPr>
            <sz val="9"/>
            <color indexed="81"/>
            <rFont val="Tahoma"/>
            <charset val="1"/>
          </rPr>
          <t>Ouvrage identique à 14.3.1.1</t>
        </r>
      </text>
    </comment>
    <comment ref="H1088" authorId="0" shapeId="0">
      <text>
        <r>
          <rPr>
            <sz val="9"/>
            <color indexed="81"/>
            <rFont val="Tahoma"/>
            <charset val="1"/>
          </rPr>
          <t>Ouvrage identique à 14.3.2.1</t>
        </r>
      </text>
    </comment>
    <comment ref="H1089" authorId="0" shapeId="0">
      <text>
        <r>
          <rPr>
            <sz val="9"/>
            <color indexed="81"/>
            <rFont val="Tahoma"/>
            <charset val="1"/>
          </rPr>
          <t>Ouvrage identique à 14.3.2.2</t>
        </r>
      </text>
    </comment>
    <comment ref="H1090" authorId="0" shapeId="0">
      <text>
        <r>
          <rPr>
            <sz val="9"/>
            <color indexed="81"/>
            <rFont val="Tahoma"/>
            <charset val="1"/>
          </rPr>
          <t>Ouvrage identique à 14.3.2.3</t>
        </r>
      </text>
    </comment>
    <comment ref="H1091" authorId="0" shapeId="0">
      <text>
        <r>
          <rPr>
            <sz val="9"/>
            <color indexed="81"/>
            <rFont val="Tahoma"/>
            <charset val="1"/>
          </rPr>
          <t>Ouvrage identique à 14.3.2.4</t>
        </r>
      </text>
    </comment>
    <comment ref="H1092" authorId="0" shapeId="0">
      <text>
        <r>
          <rPr>
            <sz val="9"/>
            <color indexed="81"/>
            <rFont val="Tahoma"/>
            <charset val="1"/>
          </rPr>
          <t>Ouvrage identique à 14.3.2.5</t>
        </r>
      </text>
    </comment>
    <comment ref="H1093" authorId="0" shapeId="0">
      <text>
        <r>
          <rPr>
            <sz val="9"/>
            <color indexed="81"/>
            <rFont val="Tahoma"/>
            <charset val="1"/>
          </rPr>
          <t>Ouvrage identique à 14.3.2.6</t>
        </r>
      </text>
    </comment>
    <comment ref="H1094" authorId="0" shapeId="0">
      <text>
        <r>
          <rPr>
            <sz val="9"/>
            <color indexed="81"/>
            <rFont val="Tahoma"/>
            <charset val="1"/>
          </rPr>
          <t>Ouvrage identique à 14.3.2.7</t>
        </r>
      </text>
    </comment>
    <comment ref="H1095" authorId="0" shapeId="0">
      <text>
        <r>
          <rPr>
            <sz val="9"/>
            <color indexed="81"/>
            <rFont val="Tahoma"/>
            <charset val="1"/>
          </rPr>
          <t>Ouvrage identique à 14.3.2.8</t>
        </r>
      </text>
    </comment>
    <comment ref="H1096" authorId="0" shapeId="0">
      <text>
        <r>
          <rPr>
            <sz val="9"/>
            <color indexed="81"/>
            <rFont val="Tahoma"/>
            <charset val="1"/>
          </rPr>
          <t>Ouvrage identique à 14.3.2.9</t>
        </r>
      </text>
    </comment>
    <comment ref="H1097" authorId="0" shapeId="0">
      <text>
        <r>
          <rPr>
            <sz val="9"/>
            <color indexed="81"/>
            <rFont val="Tahoma"/>
            <charset val="1"/>
          </rPr>
          <t>Ouvrage identique à 14.3.2.10</t>
        </r>
      </text>
    </comment>
    <comment ref="H1098" authorId="0" shapeId="0">
      <text>
        <r>
          <rPr>
            <sz val="9"/>
            <color indexed="81"/>
            <rFont val="Tahoma"/>
            <charset val="1"/>
          </rPr>
          <t>Ouvrage identique à 14.3.2.11</t>
        </r>
      </text>
    </comment>
    <comment ref="H1101" authorId="0" shapeId="0">
      <text>
        <r>
          <rPr>
            <sz val="9"/>
            <color indexed="81"/>
            <rFont val="Tahoma"/>
            <charset val="1"/>
          </rPr>
          <t>Ouvrage identique à 15.1</t>
        </r>
      </text>
    </comment>
    <comment ref="H1103" authorId="0" shapeId="0">
      <text>
        <r>
          <rPr>
            <sz val="9"/>
            <color indexed="81"/>
            <rFont val="Tahoma"/>
            <charset val="1"/>
          </rPr>
          <t>Ouvrage identique à 15.2.1</t>
        </r>
      </text>
    </comment>
    <comment ref="H1104" authorId="0" shapeId="0">
      <text>
        <r>
          <rPr>
            <sz val="9"/>
            <color indexed="81"/>
            <rFont val="Tahoma"/>
            <charset val="1"/>
          </rPr>
          <t>Ouvrage identique à 15.2.2</t>
        </r>
      </text>
    </comment>
    <comment ref="H1105" authorId="0" shapeId="0">
      <text>
        <r>
          <rPr>
            <sz val="9"/>
            <color indexed="81"/>
            <rFont val="Tahoma"/>
            <charset val="1"/>
          </rPr>
          <t>Ouvrage identique à 15.2.3</t>
        </r>
      </text>
    </comment>
    <comment ref="H1106" authorId="0" shapeId="0">
      <text>
        <r>
          <rPr>
            <sz val="9"/>
            <color indexed="81"/>
            <rFont val="Tahoma"/>
            <charset val="1"/>
          </rPr>
          <t>Ouvrage identique à 15.2.4</t>
        </r>
      </text>
    </comment>
    <comment ref="H1107" authorId="0" shapeId="0">
      <text>
        <r>
          <rPr>
            <sz val="9"/>
            <color indexed="81"/>
            <rFont val="Tahoma"/>
            <charset val="1"/>
          </rPr>
          <t>Ouvrage identique à 15.2.5</t>
        </r>
      </text>
    </comment>
    <comment ref="H1108" authorId="0" shapeId="0">
      <text>
        <r>
          <rPr>
            <sz val="9"/>
            <color indexed="81"/>
            <rFont val="Tahoma"/>
            <charset val="1"/>
          </rPr>
          <t>Ouvrage identique à 15.2.6</t>
        </r>
      </text>
    </comment>
    <comment ref="H1109" authorId="0" shapeId="0">
      <text>
        <r>
          <rPr>
            <sz val="9"/>
            <color indexed="81"/>
            <rFont val="Tahoma"/>
            <charset val="1"/>
          </rPr>
          <t>Ouvrage identique à 15.2.7</t>
        </r>
      </text>
    </comment>
    <comment ref="H1110" authorId="0" shapeId="0">
      <text>
        <r>
          <rPr>
            <sz val="9"/>
            <color indexed="81"/>
            <rFont val="Tahoma"/>
            <charset val="1"/>
          </rPr>
          <t>Ouvrage identique à 15.2.8</t>
        </r>
      </text>
    </comment>
    <comment ref="H1111" authorId="0" shapeId="0">
      <text>
        <r>
          <rPr>
            <sz val="9"/>
            <color indexed="81"/>
            <rFont val="Tahoma"/>
            <charset val="1"/>
          </rPr>
          <t>Ouvrage identique à 15.2.9</t>
        </r>
      </text>
    </comment>
    <comment ref="H1112" authorId="0" shapeId="0">
      <text>
        <r>
          <rPr>
            <sz val="9"/>
            <color indexed="81"/>
            <rFont val="Tahoma"/>
            <charset val="1"/>
          </rPr>
          <t>Ouvrage identique à 15.2.10</t>
        </r>
      </text>
    </comment>
    <comment ref="H1113" authorId="0" shapeId="0">
      <text>
        <r>
          <rPr>
            <sz val="9"/>
            <color indexed="81"/>
            <rFont val="Tahoma"/>
            <charset val="1"/>
          </rPr>
          <t>Ouvrage identique à 15.2.11</t>
        </r>
      </text>
    </comment>
    <comment ref="H1114" authorId="0" shapeId="0">
      <text>
        <r>
          <rPr>
            <sz val="9"/>
            <color indexed="81"/>
            <rFont val="Tahoma"/>
            <charset val="1"/>
          </rPr>
          <t>Ouvrage identique à 15.2.12</t>
        </r>
      </text>
    </comment>
    <comment ref="H1115" authorId="0" shapeId="0">
      <text>
        <r>
          <rPr>
            <sz val="9"/>
            <color indexed="81"/>
            <rFont val="Tahoma"/>
            <charset val="1"/>
          </rPr>
          <t>Ouvrage identique à 15.2.13</t>
        </r>
      </text>
    </comment>
    <comment ref="H1116" authorId="0" shapeId="0">
      <text>
        <r>
          <rPr>
            <sz val="9"/>
            <color indexed="81"/>
            <rFont val="Tahoma"/>
            <charset val="1"/>
          </rPr>
          <t>Ouvrage identique à 15.2.14</t>
        </r>
      </text>
    </comment>
    <comment ref="H1118" authorId="0" shapeId="0">
      <text>
        <r>
          <rPr>
            <sz val="9"/>
            <color indexed="81"/>
            <rFont val="Tahoma"/>
            <charset val="1"/>
          </rPr>
          <t>Ouvrage identique à 15.3.1</t>
        </r>
      </text>
    </comment>
    <comment ref="H1119" authorId="0" shapeId="0">
      <text>
        <r>
          <rPr>
            <sz val="9"/>
            <color indexed="81"/>
            <rFont val="Tahoma"/>
            <charset val="1"/>
          </rPr>
          <t>Ouvrage identique à 15.3.2</t>
        </r>
      </text>
    </comment>
    <comment ref="H1120" authorId="0" shapeId="0">
      <text>
        <r>
          <rPr>
            <sz val="9"/>
            <color indexed="81"/>
            <rFont val="Tahoma"/>
            <charset val="1"/>
          </rPr>
          <t>Ouvrage identique à 15.3.3</t>
        </r>
      </text>
    </comment>
    <comment ref="H1121" authorId="0" shapeId="0">
      <text>
        <r>
          <rPr>
            <sz val="9"/>
            <color indexed="81"/>
            <rFont val="Tahoma"/>
            <charset val="1"/>
          </rPr>
          <t>Ouvrage identique à 15.3.4</t>
        </r>
      </text>
    </comment>
    <comment ref="H1122" authorId="0" shapeId="0">
      <text>
        <r>
          <rPr>
            <sz val="9"/>
            <color indexed="81"/>
            <rFont val="Tahoma"/>
            <charset val="1"/>
          </rPr>
          <t>Ouvrage identique à 15.3.5</t>
        </r>
      </text>
    </comment>
    <comment ref="H1123" authorId="0" shapeId="0">
      <text>
        <r>
          <rPr>
            <sz val="9"/>
            <color indexed="81"/>
            <rFont val="Tahoma"/>
            <charset val="1"/>
          </rPr>
          <t>Ouvrage identique à 15.3.6</t>
        </r>
      </text>
    </comment>
    <comment ref="H1124" authorId="0" shapeId="0">
      <text>
        <r>
          <rPr>
            <sz val="9"/>
            <color indexed="81"/>
            <rFont val="Tahoma"/>
            <charset val="1"/>
          </rPr>
          <t>Ouvrage identique à 15.3.7</t>
        </r>
      </text>
    </comment>
    <comment ref="H1125" authorId="0" shapeId="0">
      <text>
        <r>
          <rPr>
            <sz val="9"/>
            <color indexed="81"/>
            <rFont val="Tahoma"/>
            <charset val="1"/>
          </rPr>
          <t>Ouvrage identique à 15.3.8</t>
        </r>
      </text>
    </comment>
    <comment ref="H1126" authorId="0" shapeId="0">
      <text>
        <r>
          <rPr>
            <sz val="9"/>
            <color indexed="81"/>
            <rFont val="Tahoma"/>
            <charset val="1"/>
          </rPr>
          <t>Ouvrage identique à 15.3.9</t>
        </r>
      </text>
    </comment>
    <comment ref="H1128" authorId="0" shapeId="0">
      <text>
        <r>
          <rPr>
            <sz val="9"/>
            <color indexed="81"/>
            <rFont val="Tahoma"/>
            <charset val="1"/>
          </rPr>
          <t>Ouvrage identique à 15.4.1</t>
        </r>
      </text>
    </comment>
    <comment ref="H1129" authorId="0" shapeId="0">
      <text>
        <r>
          <rPr>
            <sz val="9"/>
            <color indexed="81"/>
            <rFont val="Tahoma"/>
            <charset val="1"/>
          </rPr>
          <t>Ouvrage identique à 15.4.2</t>
        </r>
      </text>
    </comment>
    <comment ref="H1133" authorId="0" shapeId="0">
      <text>
        <r>
          <rPr>
            <sz val="9"/>
            <color indexed="81"/>
            <rFont val="Tahoma"/>
            <charset val="1"/>
          </rPr>
          <t>Ouvrage identique à 16.1.1</t>
        </r>
      </text>
    </comment>
    <comment ref="H1134" authorId="0" shapeId="0">
      <text>
        <r>
          <rPr>
            <sz val="9"/>
            <color indexed="81"/>
            <rFont val="Tahoma"/>
            <charset val="1"/>
          </rPr>
          <t>Ouvrage identique à 16.1.2</t>
        </r>
      </text>
    </comment>
    <comment ref="H1135" authorId="0" shapeId="0">
      <text>
        <r>
          <rPr>
            <sz val="9"/>
            <color indexed="81"/>
            <rFont val="Tahoma"/>
            <charset val="1"/>
          </rPr>
          <t>Ouvrage identique à 16.1.3</t>
        </r>
      </text>
    </comment>
    <comment ref="H1136" authorId="0" shapeId="0">
      <text>
        <r>
          <rPr>
            <sz val="9"/>
            <color indexed="81"/>
            <rFont val="Tahoma"/>
            <charset val="1"/>
          </rPr>
          <t>Ouvrage identique à 16.1.4</t>
        </r>
      </text>
    </comment>
    <comment ref="H1137" authorId="0" shapeId="0">
      <text>
        <r>
          <rPr>
            <sz val="9"/>
            <color indexed="81"/>
            <rFont val="Tahoma"/>
            <charset val="1"/>
          </rPr>
          <t>Ouvrage identique à 16.1.5</t>
        </r>
      </text>
    </comment>
    <comment ref="H1138" authorId="0" shapeId="0">
      <text>
        <r>
          <rPr>
            <sz val="9"/>
            <color indexed="81"/>
            <rFont val="Tahoma"/>
            <charset val="1"/>
          </rPr>
          <t>Ouvrage identique à 16.1.6</t>
        </r>
      </text>
    </comment>
    <comment ref="H1139" authorId="0" shapeId="0">
      <text>
        <r>
          <rPr>
            <sz val="9"/>
            <color indexed="81"/>
            <rFont val="Tahoma"/>
            <charset val="1"/>
          </rPr>
          <t>Ouvrage identique à 16.1.7</t>
        </r>
      </text>
    </comment>
    <comment ref="H1140" authorId="0" shapeId="0">
      <text>
        <r>
          <rPr>
            <sz val="9"/>
            <color indexed="81"/>
            <rFont val="Tahoma"/>
            <charset val="1"/>
          </rPr>
          <t>Ouvrage identique à 16.1.8</t>
        </r>
      </text>
    </comment>
    <comment ref="H1141" authorId="0" shapeId="0">
      <text>
        <r>
          <rPr>
            <sz val="9"/>
            <color indexed="81"/>
            <rFont val="Tahoma"/>
            <charset val="1"/>
          </rPr>
          <t>Ouvrage identique à 16.1.9</t>
        </r>
      </text>
    </comment>
    <comment ref="H1146" authorId="0" shapeId="0">
      <text>
        <r>
          <rPr>
            <sz val="9"/>
            <color indexed="81"/>
            <rFont val="Tahoma"/>
            <charset val="1"/>
          </rPr>
          <t>Ouvrage identique à 1.1</t>
        </r>
      </text>
    </comment>
    <comment ref="H1147" authorId="0" shapeId="0">
      <text>
        <r>
          <rPr>
            <sz val="9"/>
            <color indexed="81"/>
            <rFont val="Tahoma"/>
            <charset val="1"/>
          </rPr>
          <t>Ouvrage identique à 1.2</t>
        </r>
      </text>
    </comment>
    <comment ref="H1149" authorId="0" shapeId="0">
      <text>
        <r>
          <rPr>
            <sz val="9"/>
            <color indexed="81"/>
            <rFont val="Tahoma"/>
            <charset val="1"/>
          </rPr>
          <t>Ouvrage identique à 1.3.1</t>
        </r>
      </text>
    </comment>
    <comment ref="H1150" authorId="0" shapeId="0">
      <text>
        <r>
          <rPr>
            <sz val="9"/>
            <color indexed="81"/>
            <rFont val="Tahoma"/>
            <charset val="1"/>
          </rPr>
          <t>Ouvrage identique à 1.3.2</t>
        </r>
      </text>
    </comment>
    <comment ref="H1151" authorId="0" shapeId="0">
      <text>
        <r>
          <rPr>
            <sz val="9"/>
            <color indexed="81"/>
            <rFont val="Tahoma"/>
            <charset val="1"/>
          </rPr>
          <t>Ouvrage identique à 1.3.3</t>
        </r>
      </text>
    </comment>
    <comment ref="H1152" authorId="0" shapeId="0">
      <text>
        <r>
          <rPr>
            <sz val="9"/>
            <color indexed="81"/>
            <rFont val="Tahoma"/>
            <charset val="1"/>
          </rPr>
          <t>Ouvrage identique à 1.3.4</t>
        </r>
      </text>
    </comment>
    <comment ref="H1153" authorId="0" shapeId="0">
      <text>
        <r>
          <rPr>
            <sz val="9"/>
            <color indexed="81"/>
            <rFont val="Tahoma"/>
            <charset val="1"/>
          </rPr>
          <t>Ouvrage identique à 1.4</t>
        </r>
      </text>
    </comment>
    <comment ref="H1154" authorId="0" shapeId="0">
      <text>
        <r>
          <rPr>
            <sz val="9"/>
            <color indexed="81"/>
            <rFont val="Tahoma"/>
            <charset val="1"/>
          </rPr>
          <t>Ouvrage identique à 1.5</t>
        </r>
      </text>
    </comment>
    <comment ref="H1155" authorId="0" shapeId="0">
      <text>
        <r>
          <rPr>
            <sz val="9"/>
            <color indexed="81"/>
            <rFont val="Tahoma"/>
            <charset val="1"/>
          </rPr>
          <t>Ouvrage identique à 1.6</t>
        </r>
      </text>
    </comment>
    <comment ref="H1156" authorId="0" shapeId="0">
      <text>
        <r>
          <rPr>
            <sz val="9"/>
            <color indexed="81"/>
            <rFont val="Tahoma"/>
            <charset val="1"/>
          </rPr>
          <t>Ouvrage identique à 1.7</t>
        </r>
      </text>
    </comment>
    <comment ref="H1157" authorId="0" shapeId="0">
      <text>
        <r>
          <rPr>
            <sz val="9"/>
            <color indexed="81"/>
            <rFont val="Tahoma"/>
            <charset val="1"/>
          </rPr>
          <t>Ouvrage identique à 1.8</t>
        </r>
      </text>
    </comment>
    <comment ref="H1158" authorId="0" shapeId="0">
      <text>
        <r>
          <rPr>
            <sz val="9"/>
            <color indexed="81"/>
            <rFont val="Tahoma"/>
            <charset val="1"/>
          </rPr>
          <t>Ouvrage identique à 1.9</t>
        </r>
      </text>
    </comment>
    <comment ref="H1162" authorId="0" shapeId="0">
      <text>
        <r>
          <rPr>
            <sz val="9"/>
            <color indexed="81"/>
            <rFont val="Tahoma"/>
            <charset val="1"/>
          </rPr>
          <t>Ouvrage identique à 2.1.1</t>
        </r>
      </text>
    </comment>
    <comment ref="H1163" authorId="0" shapeId="0">
      <text>
        <r>
          <rPr>
            <sz val="9"/>
            <color indexed="81"/>
            <rFont val="Tahoma"/>
            <charset val="1"/>
          </rPr>
          <t>Ouvrage identique à 2.1.2</t>
        </r>
      </text>
    </comment>
    <comment ref="H1164" authorId="0" shapeId="0">
      <text>
        <r>
          <rPr>
            <sz val="9"/>
            <color indexed="81"/>
            <rFont val="Tahoma"/>
            <charset val="1"/>
          </rPr>
          <t>Ouvrage identique à 2.1.3</t>
        </r>
      </text>
    </comment>
    <comment ref="H1165" authorId="0" shapeId="0">
      <text>
        <r>
          <rPr>
            <sz val="9"/>
            <color indexed="81"/>
            <rFont val="Tahoma"/>
            <charset val="1"/>
          </rPr>
          <t>Ouvrage identique à 2.2</t>
        </r>
      </text>
    </comment>
    <comment ref="H1166" authorId="0" shapeId="0">
      <text>
        <r>
          <rPr>
            <sz val="9"/>
            <color indexed="81"/>
            <rFont val="Tahoma"/>
            <charset val="1"/>
          </rPr>
          <t>Ouvrage identique à 2.3</t>
        </r>
      </text>
    </comment>
    <comment ref="H1168" authorId="0" shapeId="0">
      <text>
        <r>
          <rPr>
            <sz val="9"/>
            <color indexed="81"/>
            <rFont val="Tahoma"/>
            <charset val="1"/>
          </rPr>
          <t>Ouvrage identique à 2.4.1</t>
        </r>
      </text>
    </comment>
    <comment ref="H1169" authorId="0" shapeId="0">
      <text>
        <r>
          <rPr>
            <sz val="9"/>
            <color indexed="81"/>
            <rFont val="Tahoma"/>
            <charset val="1"/>
          </rPr>
          <t>Ouvrage identique à 2.4.2</t>
        </r>
      </text>
    </comment>
    <comment ref="H1170" authorId="0" shapeId="0">
      <text>
        <r>
          <rPr>
            <sz val="9"/>
            <color indexed="81"/>
            <rFont val="Tahoma"/>
            <charset val="1"/>
          </rPr>
          <t>Ouvrage identique à 2.4.3</t>
        </r>
      </text>
    </comment>
    <comment ref="H1172" authorId="0" shapeId="0">
      <text>
        <r>
          <rPr>
            <sz val="9"/>
            <color indexed="81"/>
            <rFont val="Tahoma"/>
            <charset val="1"/>
          </rPr>
          <t>Ouvrage identique à 2.5.1</t>
        </r>
      </text>
    </comment>
    <comment ref="H1173" authorId="0" shapeId="0">
      <text>
        <r>
          <rPr>
            <sz val="9"/>
            <color indexed="81"/>
            <rFont val="Tahoma"/>
            <charset val="1"/>
          </rPr>
          <t>Ouvrage identique à 2.5.2</t>
        </r>
      </text>
    </comment>
    <comment ref="H1174" authorId="0" shapeId="0">
      <text>
        <r>
          <rPr>
            <sz val="9"/>
            <color indexed="81"/>
            <rFont val="Tahoma"/>
            <charset val="1"/>
          </rPr>
          <t>Ouvrage identique à 2.5.3</t>
        </r>
      </text>
    </comment>
    <comment ref="H1175" authorId="0" shapeId="0">
      <text>
        <r>
          <rPr>
            <sz val="9"/>
            <color indexed="81"/>
            <rFont val="Tahoma"/>
            <charset val="1"/>
          </rPr>
          <t>Ouvrage identique à 2.6</t>
        </r>
      </text>
    </comment>
    <comment ref="H1177" authorId="0" shapeId="0">
      <text>
        <r>
          <rPr>
            <sz val="9"/>
            <color indexed="81"/>
            <rFont val="Tahoma"/>
            <charset val="1"/>
          </rPr>
          <t>Ouvrage identique à 2.7.1</t>
        </r>
      </text>
    </comment>
    <comment ref="H1178" authorId="0" shapeId="0">
      <text>
        <r>
          <rPr>
            <sz val="9"/>
            <color indexed="81"/>
            <rFont val="Tahoma"/>
            <charset val="1"/>
          </rPr>
          <t>Ouvrage identique à 2.7.2</t>
        </r>
      </text>
    </comment>
    <comment ref="H1179" authorId="0" shapeId="0">
      <text>
        <r>
          <rPr>
            <sz val="9"/>
            <color indexed="81"/>
            <rFont val="Tahoma"/>
            <charset val="1"/>
          </rPr>
          <t>Ouvrage identique à 2.7.3</t>
        </r>
      </text>
    </comment>
    <comment ref="H1180" authorId="0" shapeId="0">
      <text>
        <r>
          <rPr>
            <sz val="9"/>
            <color indexed="81"/>
            <rFont val="Tahoma"/>
            <charset val="1"/>
          </rPr>
          <t>Ouvrage identique à 2.7.4</t>
        </r>
      </text>
    </comment>
    <comment ref="H1181" authorId="0" shapeId="0">
      <text>
        <r>
          <rPr>
            <sz val="9"/>
            <color indexed="81"/>
            <rFont val="Tahoma"/>
            <charset val="1"/>
          </rPr>
          <t>Ouvrage identique à 2.7.5</t>
        </r>
      </text>
    </comment>
    <comment ref="H1183" authorId="0" shapeId="0">
      <text>
        <r>
          <rPr>
            <sz val="9"/>
            <color indexed="81"/>
            <rFont val="Tahoma"/>
            <charset val="1"/>
          </rPr>
          <t>Ouvrage identique à 2.8.1</t>
        </r>
      </text>
    </comment>
    <comment ref="H1184" authorId="0" shapeId="0">
      <text>
        <r>
          <rPr>
            <sz val="9"/>
            <color indexed="81"/>
            <rFont val="Tahoma"/>
            <charset val="1"/>
          </rPr>
          <t>Ouvrage identique à 2.8.2</t>
        </r>
      </text>
    </comment>
    <comment ref="H1185" authorId="0" shapeId="0">
      <text>
        <r>
          <rPr>
            <sz val="9"/>
            <color indexed="81"/>
            <rFont val="Tahoma"/>
            <charset val="1"/>
          </rPr>
          <t>Ouvrage identique à 2.8.3</t>
        </r>
      </text>
    </comment>
    <comment ref="H1186" authorId="0" shapeId="0">
      <text>
        <r>
          <rPr>
            <sz val="9"/>
            <color indexed="81"/>
            <rFont val="Tahoma"/>
            <charset val="1"/>
          </rPr>
          <t>Ouvrage identique à 2.8.4</t>
        </r>
      </text>
    </comment>
    <comment ref="H1187" authorId="0" shapeId="0">
      <text>
        <r>
          <rPr>
            <sz val="9"/>
            <color indexed="81"/>
            <rFont val="Tahoma"/>
            <charset val="1"/>
          </rPr>
          <t>Ouvrage identique à 2.8.5</t>
        </r>
      </text>
    </comment>
    <comment ref="H1188" authorId="0" shapeId="0">
      <text>
        <r>
          <rPr>
            <sz val="9"/>
            <color indexed="81"/>
            <rFont val="Tahoma"/>
            <charset val="1"/>
          </rPr>
          <t>Ouvrage identique à 2.8.6</t>
        </r>
      </text>
    </comment>
    <comment ref="H1189" authorId="0" shapeId="0">
      <text>
        <r>
          <rPr>
            <sz val="9"/>
            <color indexed="81"/>
            <rFont val="Tahoma"/>
            <charset val="1"/>
          </rPr>
          <t>Ouvrage identique à 2.8.7</t>
        </r>
      </text>
    </comment>
    <comment ref="H1190" authorId="0" shapeId="0">
      <text>
        <r>
          <rPr>
            <sz val="9"/>
            <color indexed="81"/>
            <rFont val="Tahoma"/>
            <charset val="1"/>
          </rPr>
          <t>Ouvrage identique à 2.8.8</t>
        </r>
      </text>
    </comment>
    <comment ref="H1191" authorId="0" shapeId="0">
      <text>
        <r>
          <rPr>
            <sz val="9"/>
            <color indexed="81"/>
            <rFont val="Tahoma"/>
            <charset val="1"/>
          </rPr>
          <t>Ouvrage identique à 2.9</t>
        </r>
      </text>
    </comment>
    <comment ref="H1193" authorId="0" shapeId="0">
      <text>
        <r>
          <rPr>
            <sz val="9"/>
            <color indexed="81"/>
            <rFont val="Tahoma"/>
            <charset val="1"/>
          </rPr>
          <t>Ouvrage identique à 2.10.1</t>
        </r>
      </text>
    </comment>
    <comment ref="H1194" authorId="0" shapeId="0">
      <text>
        <r>
          <rPr>
            <sz val="9"/>
            <color indexed="81"/>
            <rFont val="Tahoma"/>
            <charset val="1"/>
          </rPr>
          <t>Ouvrage identique à 2.10.2</t>
        </r>
      </text>
    </comment>
    <comment ref="H1195" authorId="0" shapeId="0">
      <text>
        <r>
          <rPr>
            <sz val="9"/>
            <color indexed="81"/>
            <rFont val="Tahoma"/>
            <charset val="1"/>
          </rPr>
          <t>Ouvrage identique à 2.11</t>
        </r>
      </text>
    </comment>
    <comment ref="H1197" authorId="0" shapeId="0">
      <text>
        <r>
          <rPr>
            <sz val="9"/>
            <color indexed="81"/>
            <rFont val="Tahoma"/>
            <charset val="1"/>
          </rPr>
          <t>Ouvrage identique à 2.12.1</t>
        </r>
      </text>
    </comment>
    <comment ref="H1198" authorId="0" shapeId="0">
      <text>
        <r>
          <rPr>
            <sz val="9"/>
            <color indexed="81"/>
            <rFont val="Tahoma"/>
            <charset val="1"/>
          </rPr>
          <t>Ouvrage identique à 2.12.2</t>
        </r>
      </text>
    </comment>
    <comment ref="H1201" authorId="0" shapeId="0">
      <text>
        <r>
          <rPr>
            <sz val="9"/>
            <color indexed="81"/>
            <rFont val="Tahoma"/>
            <charset val="1"/>
          </rPr>
          <t>Ouvrage identique à 3.1</t>
        </r>
      </text>
    </comment>
    <comment ref="H1202" authorId="0" shapeId="0">
      <text>
        <r>
          <rPr>
            <sz val="9"/>
            <color indexed="81"/>
            <rFont val="Tahoma"/>
            <charset val="1"/>
          </rPr>
          <t>Ouvrage identique à 3.2</t>
        </r>
      </text>
    </comment>
    <comment ref="H1203" authorId="0" shapeId="0">
      <text>
        <r>
          <rPr>
            <sz val="9"/>
            <color indexed="81"/>
            <rFont val="Tahoma"/>
            <charset val="1"/>
          </rPr>
          <t>Ouvrage identique à 3.3</t>
        </r>
      </text>
    </comment>
    <comment ref="H1204" authorId="0" shapeId="0">
      <text>
        <r>
          <rPr>
            <sz val="9"/>
            <color indexed="81"/>
            <rFont val="Tahoma"/>
            <charset val="1"/>
          </rPr>
          <t>Ouvrage identique à 3.4</t>
        </r>
      </text>
    </comment>
    <comment ref="H1205" authorId="0" shapeId="0">
      <text>
        <r>
          <rPr>
            <sz val="9"/>
            <color indexed="81"/>
            <rFont val="Tahoma"/>
            <charset val="1"/>
          </rPr>
          <t>Ouvrage identique à 3.5</t>
        </r>
      </text>
    </comment>
    <comment ref="H1206" authorId="0" shapeId="0">
      <text>
        <r>
          <rPr>
            <sz val="9"/>
            <color indexed="81"/>
            <rFont val="Tahoma"/>
            <charset val="1"/>
          </rPr>
          <t>Ouvrage identique à 3.6</t>
        </r>
      </text>
    </comment>
    <comment ref="H1207" authorId="0" shapeId="0">
      <text>
        <r>
          <rPr>
            <sz val="9"/>
            <color indexed="81"/>
            <rFont val="Tahoma"/>
            <charset val="1"/>
          </rPr>
          <t>Ouvrage identique à 3.7</t>
        </r>
      </text>
    </comment>
    <comment ref="H1208" authorId="0" shapeId="0">
      <text>
        <r>
          <rPr>
            <sz val="9"/>
            <color indexed="81"/>
            <rFont val="Tahoma"/>
            <charset val="1"/>
          </rPr>
          <t>Ouvrage identique à 3.8</t>
        </r>
      </text>
    </comment>
    <comment ref="H1210" authorId="0" shapeId="0">
      <text>
        <r>
          <rPr>
            <sz val="9"/>
            <color indexed="81"/>
            <rFont val="Tahoma"/>
            <charset val="1"/>
          </rPr>
          <t>Ouvrage identique à 3.9.1</t>
        </r>
      </text>
    </comment>
    <comment ref="H1211" authorId="0" shapeId="0">
      <text>
        <r>
          <rPr>
            <sz val="9"/>
            <color indexed="81"/>
            <rFont val="Tahoma"/>
            <charset val="1"/>
          </rPr>
          <t>Ouvrage identique à 3.9.2</t>
        </r>
      </text>
    </comment>
    <comment ref="H1212" authorId="0" shapeId="0">
      <text>
        <r>
          <rPr>
            <sz val="9"/>
            <color indexed="81"/>
            <rFont val="Tahoma"/>
            <charset val="1"/>
          </rPr>
          <t>Ouvrage identique à 3.9.3</t>
        </r>
      </text>
    </comment>
    <comment ref="H1213" authorId="0" shapeId="0">
      <text>
        <r>
          <rPr>
            <sz val="9"/>
            <color indexed="81"/>
            <rFont val="Tahoma"/>
            <charset val="1"/>
          </rPr>
          <t>Ouvrage identique à 3.9.4</t>
        </r>
      </text>
    </comment>
    <comment ref="H1214" authorId="0" shapeId="0">
      <text>
        <r>
          <rPr>
            <sz val="9"/>
            <color indexed="81"/>
            <rFont val="Tahoma"/>
            <charset val="1"/>
          </rPr>
          <t>Ouvrage identique à 3.9.5</t>
        </r>
      </text>
    </comment>
    <comment ref="H1215" authorId="0" shapeId="0">
      <text>
        <r>
          <rPr>
            <sz val="9"/>
            <color indexed="81"/>
            <rFont val="Tahoma"/>
            <charset val="1"/>
          </rPr>
          <t>Ouvrage identique à 3.10</t>
        </r>
      </text>
    </comment>
    <comment ref="H1216" authorId="0" shapeId="0">
      <text>
        <r>
          <rPr>
            <sz val="9"/>
            <color indexed="81"/>
            <rFont val="Tahoma"/>
            <charset val="1"/>
          </rPr>
          <t>Ouvrage identique à 3.11</t>
        </r>
      </text>
    </comment>
    <comment ref="H1217" authorId="0" shapeId="0">
      <text>
        <r>
          <rPr>
            <sz val="9"/>
            <color indexed="81"/>
            <rFont val="Tahoma"/>
            <charset val="1"/>
          </rPr>
          <t>Ouvrage identique à 3.12</t>
        </r>
      </text>
    </comment>
    <comment ref="H1218" authorId="0" shapeId="0">
      <text>
        <r>
          <rPr>
            <sz val="9"/>
            <color indexed="81"/>
            <rFont val="Tahoma"/>
            <charset val="1"/>
          </rPr>
          <t>Ouvrage identique à 3.13</t>
        </r>
      </text>
    </comment>
    <comment ref="H1219" authorId="0" shapeId="0">
      <text>
        <r>
          <rPr>
            <sz val="9"/>
            <color indexed="81"/>
            <rFont val="Tahoma"/>
            <charset val="1"/>
          </rPr>
          <t>Ouvrage identique à 3.14</t>
        </r>
      </text>
    </comment>
    <comment ref="H1220" authorId="0" shapeId="0">
      <text>
        <r>
          <rPr>
            <sz val="9"/>
            <color indexed="81"/>
            <rFont val="Tahoma"/>
            <charset val="1"/>
          </rPr>
          <t>Ouvrage identique à 3.15</t>
        </r>
      </text>
    </comment>
    <comment ref="H1224" authorId="0" shapeId="0">
      <text>
        <r>
          <rPr>
            <sz val="9"/>
            <color indexed="81"/>
            <rFont val="Tahoma"/>
            <charset val="1"/>
          </rPr>
          <t>Ouvrage identique à 4.1.1</t>
        </r>
      </text>
    </comment>
    <comment ref="H1225" authorId="0" shapeId="0">
      <text>
        <r>
          <rPr>
            <sz val="9"/>
            <color indexed="81"/>
            <rFont val="Tahoma"/>
            <charset val="1"/>
          </rPr>
          <t>Ouvrage identique à 4.1.2</t>
        </r>
      </text>
    </comment>
    <comment ref="H1226" authorId="0" shapeId="0">
      <text>
        <r>
          <rPr>
            <sz val="9"/>
            <color indexed="81"/>
            <rFont val="Tahoma"/>
            <charset val="1"/>
          </rPr>
          <t>Ouvrage identique à 4.1.3</t>
        </r>
      </text>
    </comment>
    <comment ref="H1227" authorId="0" shapeId="0">
      <text>
        <r>
          <rPr>
            <sz val="9"/>
            <color indexed="81"/>
            <rFont val="Tahoma"/>
            <charset val="1"/>
          </rPr>
          <t>Ouvrage identique à 4.1.4</t>
        </r>
      </text>
    </comment>
    <comment ref="H1229" authorId="0" shapeId="0">
      <text>
        <r>
          <rPr>
            <sz val="9"/>
            <color indexed="81"/>
            <rFont val="Tahoma"/>
            <charset val="1"/>
          </rPr>
          <t>Ouvrage identique à 4.2.1</t>
        </r>
      </text>
    </comment>
    <comment ref="H1230" authorId="0" shapeId="0">
      <text>
        <r>
          <rPr>
            <sz val="9"/>
            <color indexed="81"/>
            <rFont val="Tahoma"/>
            <charset val="1"/>
          </rPr>
          <t>Ouvrage identique à 4.2.2</t>
        </r>
      </text>
    </comment>
    <comment ref="H1232" authorId="0" shapeId="0">
      <text>
        <r>
          <rPr>
            <sz val="9"/>
            <color indexed="81"/>
            <rFont val="Tahoma"/>
            <charset val="1"/>
          </rPr>
          <t>Ouvrage identique à 4.3.1</t>
        </r>
      </text>
    </comment>
    <comment ref="H1233" authorId="0" shapeId="0">
      <text>
        <r>
          <rPr>
            <sz val="9"/>
            <color indexed="81"/>
            <rFont val="Tahoma"/>
            <charset val="1"/>
          </rPr>
          <t>Ouvrage identique à 4.3.2</t>
        </r>
      </text>
    </comment>
    <comment ref="H1235" authorId="0" shapeId="0">
      <text>
        <r>
          <rPr>
            <sz val="9"/>
            <color indexed="81"/>
            <rFont val="Tahoma"/>
            <charset val="1"/>
          </rPr>
          <t>Ouvrage identique à 4.4.1</t>
        </r>
      </text>
    </comment>
    <comment ref="H1237" authorId="0" shapeId="0">
      <text>
        <r>
          <rPr>
            <sz val="9"/>
            <color indexed="81"/>
            <rFont val="Tahoma"/>
            <charset val="1"/>
          </rPr>
          <t>Ouvrage identique à 4.5.1</t>
        </r>
      </text>
    </comment>
    <comment ref="H1239" authorId="0" shapeId="0">
      <text>
        <r>
          <rPr>
            <sz val="9"/>
            <color indexed="81"/>
            <rFont val="Tahoma"/>
            <charset val="1"/>
          </rPr>
          <t>Ouvrage identique à 4.6.1</t>
        </r>
      </text>
    </comment>
    <comment ref="H1240" authorId="0" shapeId="0">
      <text>
        <r>
          <rPr>
            <sz val="9"/>
            <color indexed="81"/>
            <rFont val="Tahoma"/>
            <charset val="1"/>
          </rPr>
          <t>Ouvrage identique à 4.6.2</t>
        </r>
      </text>
    </comment>
    <comment ref="H1242" authorId="0" shapeId="0">
      <text>
        <r>
          <rPr>
            <sz val="9"/>
            <color indexed="81"/>
            <rFont val="Tahoma"/>
            <charset val="1"/>
          </rPr>
          <t>Ouvrage identique à 4.7.1</t>
        </r>
      </text>
    </comment>
    <comment ref="H1243" authorId="0" shapeId="0">
      <text>
        <r>
          <rPr>
            <sz val="9"/>
            <color indexed="81"/>
            <rFont val="Tahoma"/>
            <charset val="1"/>
          </rPr>
          <t>Ouvrage identique à 4.7.2</t>
        </r>
      </text>
    </comment>
    <comment ref="H1245" authorId="0" shapeId="0">
      <text>
        <r>
          <rPr>
            <sz val="9"/>
            <color indexed="81"/>
            <rFont val="Tahoma"/>
            <charset val="1"/>
          </rPr>
          <t>Ouvrage identique à 4.8.1</t>
        </r>
      </text>
    </comment>
    <comment ref="H1246" authorId="0" shapeId="0">
      <text>
        <r>
          <rPr>
            <sz val="9"/>
            <color indexed="81"/>
            <rFont val="Tahoma"/>
            <charset val="1"/>
          </rPr>
          <t>Ouvrage identique à 4.8.2</t>
        </r>
      </text>
    </comment>
    <comment ref="H1248" authorId="0" shapeId="0">
      <text>
        <r>
          <rPr>
            <sz val="9"/>
            <color indexed="81"/>
            <rFont val="Tahoma"/>
            <charset val="1"/>
          </rPr>
          <t>Ouvrage identique à 4.9.1</t>
        </r>
      </text>
    </comment>
    <comment ref="H1249" authorId="0" shapeId="0">
      <text>
        <r>
          <rPr>
            <sz val="9"/>
            <color indexed="81"/>
            <rFont val="Tahoma"/>
            <charset val="1"/>
          </rPr>
          <t>Ouvrage identique à 4.9.2</t>
        </r>
      </text>
    </comment>
    <comment ref="H1251" authorId="0" shapeId="0">
      <text>
        <r>
          <rPr>
            <sz val="9"/>
            <color indexed="81"/>
            <rFont val="Tahoma"/>
            <charset val="1"/>
          </rPr>
          <t>Ouvrage identique à 4.10.1</t>
        </r>
      </text>
    </comment>
    <comment ref="H1253" authorId="0" shapeId="0">
      <text>
        <r>
          <rPr>
            <sz val="9"/>
            <color indexed="81"/>
            <rFont val="Tahoma"/>
            <charset val="1"/>
          </rPr>
          <t>Ouvrage identique à 4.11.1</t>
        </r>
      </text>
    </comment>
    <comment ref="H1254" authorId="0" shapeId="0">
      <text>
        <r>
          <rPr>
            <sz val="9"/>
            <color indexed="81"/>
            <rFont val="Tahoma"/>
            <charset val="1"/>
          </rPr>
          <t>Ouvrage identique à 4.11.2</t>
        </r>
      </text>
    </comment>
    <comment ref="H1255" authorId="0" shapeId="0">
      <text>
        <r>
          <rPr>
            <sz val="9"/>
            <color indexed="81"/>
            <rFont val="Tahoma"/>
            <charset val="1"/>
          </rPr>
          <t>Ouvrage identique à 4.11.3</t>
        </r>
      </text>
    </comment>
    <comment ref="H1257" authorId="0" shapeId="0">
      <text>
        <r>
          <rPr>
            <sz val="9"/>
            <color indexed="81"/>
            <rFont val="Tahoma"/>
            <charset val="1"/>
          </rPr>
          <t>Ouvrage identique à 4.12.1</t>
        </r>
      </text>
    </comment>
    <comment ref="H1258" authorId="0" shapeId="0">
      <text>
        <r>
          <rPr>
            <sz val="9"/>
            <color indexed="81"/>
            <rFont val="Tahoma"/>
            <charset val="1"/>
          </rPr>
          <t>Ouvrage identique à 4.12.2</t>
        </r>
      </text>
    </comment>
    <comment ref="H1260" authorId="0" shapeId="0">
      <text>
        <r>
          <rPr>
            <sz val="9"/>
            <color indexed="81"/>
            <rFont val="Tahoma"/>
            <charset val="1"/>
          </rPr>
          <t>Ouvrage identique à 4.13.1</t>
        </r>
      </text>
    </comment>
    <comment ref="H1261" authorId="0" shapeId="0">
      <text>
        <r>
          <rPr>
            <sz val="9"/>
            <color indexed="81"/>
            <rFont val="Tahoma"/>
            <charset val="1"/>
          </rPr>
          <t>Ouvrage identique à 4.13.2</t>
        </r>
      </text>
    </comment>
    <comment ref="H1263" authorId="0" shapeId="0">
      <text>
        <r>
          <rPr>
            <sz val="9"/>
            <color indexed="81"/>
            <rFont val="Tahoma"/>
            <charset val="1"/>
          </rPr>
          <t>Ouvrage identique à 4.14.1</t>
        </r>
      </text>
    </comment>
    <comment ref="H1265" authorId="0" shapeId="0">
      <text>
        <r>
          <rPr>
            <sz val="9"/>
            <color indexed="81"/>
            <rFont val="Tahoma"/>
            <charset val="1"/>
          </rPr>
          <t>Ouvrage identique à 4.15.1</t>
        </r>
      </text>
    </comment>
    <comment ref="H1266" authorId="0" shapeId="0">
      <text>
        <r>
          <rPr>
            <sz val="9"/>
            <color indexed="81"/>
            <rFont val="Tahoma"/>
            <charset val="1"/>
          </rPr>
          <t>Ouvrage identique à 4.15.2</t>
        </r>
      </text>
    </comment>
    <comment ref="H1267" authorId="0" shapeId="0">
      <text>
        <r>
          <rPr>
            <sz val="9"/>
            <color indexed="81"/>
            <rFont val="Tahoma"/>
            <charset val="1"/>
          </rPr>
          <t>Ouvrage identique à 4.15.3</t>
        </r>
      </text>
    </comment>
    <comment ref="H1269" authorId="0" shapeId="0">
      <text>
        <r>
          <rPr>
            <sz val="9"/>
            <color indexed="81"/>
            <rFont val="Tahoma"/>
            <charset val="1"/>
          </rPr>
          <t>Ouvrage identique à 4.16.1</t>
        </r>
      </text>
    </comment>
    <comment ref="H1270" authorId="0" shapeId="0">
      <text>
        <r>
          <rPr>
            <sz val="9"/>
            <color indexed="81"/>
            <rFont val="Tahoma"/>
            <charset val="1"/>
          </rPr>
          <t>Ouvrage identique à 4.16.2</t>
        </r>
      </text>
    </comment>
    <comment ref="H1271" authorId="0" shapeId="0">
      <text>
        <r>
          <rPr>
            <sz val="9"/>
            <color indexed="81"/>
            <rFont val="Tahoma"/>
            <charset val="1"/>
          </rPr>
          <t>Ouvrage identique à 4.16.3</t>
        </r>
      </text>
    </comment>
    <comment ref="H1272" authorId="0" shapeId="0">
      <text>
        <r>
          <rPr>
            <sz val="9"/>
            <color indexed="81"/>
            <rFont val="Tahoma"/>
            <charset val="1"/>
          </rPr>
          <t>Ouvrage identique à 4.16.4</t>
        </r>
      </text>
    </comment>
    <comment ref="H1274" authorId="0" shapeId="0">
      <text>
        <r>
          <rPr>
            <sz val="9"/>
            <color indexed="81"/>
            <rFont val="Tahoma"/>
            <charset val="1"/>
          </rPr>
          <t>Ouvrage identique à 4.17.1</t>
        </r>
      </text>
    </comment>
    <comment ref="H1275" authorId="0" shapeId="0">
      <text>
        <r>
          <rPr>
            <sz val="9"/>
            <color indexed="81"/>
            <rFont val="Tahoma"/>
            <charset val="1"/>
          </rPr>
          <t>Ouvrage identique à 4.17.2</t>
        </r>
      </text>
    </comment>
    <comment ref="H1276" authorId="0" shapeId="0">
      <text>
        <r>
          <rPr>
            <sz val="9"/>
            <color indexed="81"/>
            <rFont val="Tahoma"/>
            <charset val="1"/>
          </rPr>
          <t>Ouvrage identique à 4.17.3</t>
        </r>
      </text>
    </comment>
    <comment ref="H1280" authorId="0" shapeId="0">
      <text>
        <r>
          <rPr>
            <sz val="9"/>
            <color indexed="81"/>
            <rFont val="Tahoma"/>
            <charset val="1"/>
          </rPr>
          <t>Ouvrage identique à 5.1.1</t>
        </r>
      </text>
    </comment>
    <comment ref="H1281" authorId="0" shapeId="0">
      <text>
        <r>
          <rPr>
            <sz val="9"/>
            <color indexed="81"/>
            <rFont val="Tahoma"/>
            <charset val="1"/>
          </rPr>
          <t>Ouvrage identique à 5.1.2</t>
        </r>
      </text>
    </comment>
    <comment ref="H1282" authorId="0" shapeId="0">
      <text>
        <r>
          <rPr>
            <sz val="9"/>
            <color indexed="81"/>
            <rFont val="Tahoma"/>
            <charset val="1"/>
          </rPr>
          <t>Ouvrage identique à 5.1.3</t>
        </r>
      </text>
    </comment>
    <comment ref="H1283" authorId="0" shapeId="0">
      <text>
        <r>
          <rPr>
            <sz val="9"/>
            <color indexed="81"/>
            <rFont val="Tahoma"/>
            <charset val="1"/>
          </rPr>
          <t>Ouvrage identique à 5.1.4</t>
        </r>
      </text>
    </comment>
    <comment ref="H1284" authorId="0" shapeId="0">
      <text>
        <r>
          <rPr>
            <sz val="9"/>
            <color indexed="81"/>
            <rFont val="Tahoma"/>
            <charset val="1"/>
          </rPr>
          <t>Ouvrage identique à 5.1.5</t>
        </r>
      </text>
    </comment>
    <comment ref="H1285" authorId="0" shapeId="0">
      <text>
        <r>
          <rPr>
            <sz val="9"/>
            <color indexed="81"/>
            <rFont val="Tahoma"/>
            <charset val="1"/>
          </rPr>
          <t>Ouvrage identique à 5.1.6</t>
        </r>
      </text>
    </comment>
    <comment ref="H1286" authorId="0" shapeId="0">
      <text>
        <r>
          <rPr>
            <sz val="9"/>
            <color indexed="81"/>
            <rFont val="Tahoma"/>
            <charset val="1"/>
          </rPr>
          <t>Ouvrage identique à 5.1.7</t>
        </r>
      </text>
    </comment>
    <comment ref="H1287" authorId="0" shapeId="0">
      <text>
        <r>
          <rPr>
            <sz val="9"/>
            <color indexed="81"/>
            <rFont val="Tahoma"/>
            <charset val="1"/>
          </rPr>
          <t>Ouvrage identique à 5.1.8</t>
        </r>
      </text>
    </comment>
    <comment ref="H1288" authorId="0" shapeId="0">
      <text>
        <r>
          <rPr>
            <sz val="9"/>
            <color indexed="81"/>
            <rFont val="Tahoma"/>
            <charset val="1"/>
          </rPr>
          <t>Ouvrage identique à 5.1.9</t>
        </r>
      </text>
    </comment>
    <comment ref="H1289" authorId="0" shapeId="0">
      <text>
        <r>
          <rPr>
            <sz val="9"/>
            <color indexed="81"/>
            <rFont val="Tahoma"/>
            <charset val="1"/>
          </rPr>
          <t>Ouvrage identique à 5.1.10</t>
        </r>
      </text>
    </comment>
    <comment ref="H1290" authorId="0" shapeId="0">
      <text>
        <r>
          <rPr>
            <sz val="9"/>
            <color indexed="81"/>
            <rFont val="Tahoma"/>
            <charset val="1"/>
          </rPr>
          <t>Ouvrage identique à 5.2</t>
        </r>
      </text>
    </comment>
    <comment ref="H1291" authorId="0" shapeId="0">
      <text>
        <r>
          <rPr>
            <sz val="9"/>
            <color indexed="81"/>
            <rFont val="Tahoma"/>
            <charset val="1"/>
          </rPr>
          <t>Ouvrage identique à 5.3</t>
        </r>
      </text>
    </comment>
    <comment ref="H1292" authorId="0" shapeId="0">
      <text>
        <r>
          <rPr>
            <sz val="9"/>
            <color indexed="81"/>
            <rFont val="Tahoma"/>
            <charset val="1"/>
          </rPr>
          <t>Ouvrage identique à 5.4</t>
        </r>
      </text>
    </comment>
    <comment ref="H1293" authorId="0" shapeId="0">
      <text>
        <r>
          <rPr>
            <sz val="9"/>
            <color indexed="81"/>
            <rFont val="Tahoma"/>
            <charset val="1"/>
          </rPr>
          <t>Ouvrage identique à 5.5</t>
        </r>
      </text>
    </comment>
    <comment ref="H1294" authorId="0" shapeId="0">
      <text>
        <r>
          <rPr>
            <sz val="9"/>
            <color indexed="81"/>
            <rFont val="Tahoma"/>
            <charset val="1"/>
          </rPr>
          <t>Ouvrage identique à 5.6</t>
        </r>
      </text>
    </comment>
    <comment ref="H1295" authorId="0" shapeId="0">
      <text>
        <r>
          <rPr>
            <sz val="9"/>
            <color indexed="81"/>
            <rFont val="Tahoma"/>
            <charset val="1"/>
          </rPr>
          <t>Ouvrage identique à 5.7</t>
        </r>
      </text>
    </comment>
    <comment ref="H1297" authorId="0" shapeId="0">
      <text>
        <r>
          <rPr>
            <sz val="9"/>
            <color indexed="81"/>
            <rFont val="Tahoma"/>
            <charset val="1"/>
          </rPr>
          <t>Ouvrage identique à 5.8.1</t>
        </r>
      </text>
    </comment>
    <comment ref="H1298" authorId="0" shapeId="0">
      <text>
        <r>
          <rPr>
            <sz val="9"/>
            <color indexed="81"/>
            <rFont val="Tahoma"/>
            <charset val="1"/>
          </rPr>
          <t>Ouvrage identique à 5.8.2</t>
        </r>
      </text>
    </comment>
    <comment ref="H1299" authorId="0" shapeId="0">
      <text>
        <r>
          <rPr>
            <sz val="9"/>
            <color indexed="81"/>
            <rFont val="Tahoma"/>
            <charset val="1"/>
          </rPr>
          <t>Ouvrage identique à 5.8.3</t>
        </r>
      </text>
    </comment>
    <comment ref="H1300" authorId="0" shapeId="0">
      <text>
        <r>
          <rPr>
            <sz val="9"/>
            <color indexed="81"/>
            <rFont val="Tahoma"/>
            <charset val="1"/>
          </rPr>
          <t>Ouvrage identique à 5.8.4</t>
        </r>
      </text>
    </comment>
    <comment ref="H1301" authorId="0" shapeId="0">
      <text>
        <r>
          <rPr>
            <sz val="9"/>
            <color indexed="81"/>
            <rFont val="Tahoma"/>
            <charset val="1"/>
          </rPr>
          <t>Ouvrage identique à 5.8.5</t>
        </r>
      </text>
    </comment>
    <comment ref="H1303" authorId="0" shapeId="0">
      <text>
        <r>
          <rPr>
            <sz val="9"/>
            <color indexed="81"/>
            <rFont val="Tahoma"/>
            <charset val="1"/>
          </rPr>
          <t>Ouvrage identique à 5.9.1</t>
        </r>
      </text>
    </comment>
    <comment ref="H1306" authorId="0" shapeId="0">
      <text>
        <r>
          <rPr>
            <sz val="9"/>
            <color indexed="81"/>
            <rFont val="Tahoma"/>
            <charset val="1"/>
          </rPr>
          <t>Ouvrage identique à 6.1</t>
        </r>
      </text>
    </comment>
    <comment ref="H1307" authorId="0" shapeId="0">
      <text>
        <r>
          <rPr>
            <sz val="9"/>
            <color indexed="81"/>
            <rFont val="Tahoma"/>
            <charset val="1"/>
          </rPr>
          <t>Ouvrage identique à 6.2</t>
        </r>
      </text>
    </comment>
    <comment ref="H1309" authorId="0" shapeId="0">
      <text>
        <r>
          <rPr>
            <sz val="9"/>
            <color indexed="81"/>
            <rFont val="Tahoma"/>
            <charset val="1"/>
          </rPr>
          <t>Ouvrage identique à 6.3.1</t>
        </r>
      </text>
    </comment>
    <comment ref="H1310" authorId="0" shapeId="0">
      <text>
        <r>
          <rPr>
            <sz val="9"/>
            <color indexed="81"/>
            <rFont val="Tahoma"/>
            <charset val="1"/>
          </rPr>
          <t>Ouvrage identique à 6.3.2</t>
        </r>
      </text>
    </comment>
    <comment ref="H1312" authorId="0" shapeId="0">
      <text>
        <r>
          <rPr>
            <sz val="9"/>
            <color indexed="81"/>
            <rFont val="Tahoma"/>
            <charset val="1"/>
          </rPr>
          <t>Ouvrage identique à 6.4.1</t>
        </r>
      </text>
    </comment>
    <comment ref="H1313" authorId="0" shapeId="0">
      <text>
        <r>
          <rPr>
            <sz val="9"/>
            <color indexed="81"/>
            <rFont val="Tahoma"/>
            <charset val="1"/>
          </rPr>
          <t>Ouvrage identique à 6.4.2</t>
        </r>
      </text>
    </comment>
    <comment ref="H1314" authorId="0" shapeId="0">
      <text>
        <r>
          <rPr>
            <sz val="9"/>
            <color indexed="81"/>
            <rFont val="Tahoma"/>
            <charset val="1"/>
          </rPr>
          <t>Ouvrage identique à 6.4.3</t>
        </r>
      </text>
    </comment>
    <comment ref="H1316" authorId="0" shapeId="0">
      <text>
        <r>
          <rPr>
            <sz val="9"/>
            <color indexed="81"/>
            <rFont val="Tahoma"/>
            <charset val="1"/>
          </rPr>
          <t>Ouvrage identique à 6.5.1</t>
        </r>
      </text>
    </comment>
    <comment ref="H1317" authorId="0" shapeId="0">
      <text>
        <r>
          <rPr>
            <sz val="9"/>
            <color indexed="81"/>
            <rFont val="Tahoma"/>
            <charset val="1"/>
          </rPr>
          <t>Ouvrage identique à 6.5.2</t>
        </r>
      </text>
    </comment>
    <comment ref="H1318" authorId="0" shapeId="0">
      <text>
        <r>
          <rPr>
            <sz val="9"/>
            <color indexed="81"/>
            <rFont val="Tahoma"/>
            <charset val="1"/>
          </rPr>
          <t>Ouvrage identique à 6.6</t>
        </r>
      </text>
    </comment>
    <comment ref="H1319" authorId="0" shapeId="0">
      <text>
        <r>
          <rPr>
            <sz val="9"/>
            <color indexed="81"/>
            <rFont val="Tahoma"/>
            <charset val="1"/>
          </rPr>
          <t>Ouvrage identique à 6.7</t>
        </r>
      </text>
    </comment>
    <comment ref="H1322" authorId="0" shapeId="0">
      <text>
        <r>
          <rPr>
            <sz val="9"/>
            <color indexed="81"/>
            <rFont val="Tahoma"/>
            <charset val="1"/>
          </rPr>
          <t>Ouvrage identique à 7.1</t>
        </r>
      </text>
    </comment>
    <comment ref="H1324" authorId="0" shapeId="0">
      <text>
        <r>
          <rPr>
            <sz val="9"/>
            <color indexed="81"/>
            <rFont val="Tahoma"/>
            <charset val="1"/>
          </rPr>
          <t>Ouvrage identique à 7.2.1</t>
        </r>
      </text>
    </comment>
    <comment ref="H1325" authorId="0" shapeId="0">
      <text>
        <r>
          <rPr>
            <sz val="9"/>
            <color indexed="81"/>
            <rFont val="Tahoma"/>
            <charset val="1"/>
          </rPr>
          <t>Ouvrage identique à 7.2.2</t>
        </r>
      </text>
    </comment>
    <comment ref="H1326" authorId="0" shapeId="0">
      <text>
        <r>
          <rPr>
            <sz val="9"/>
            <color indexed="81"/>
            <rFont val="Tahoma"/>
            <charset val="1"/>
          </rPr>
          <t>Ouvrage identique à 7.2.3</t>
        </r>
      </text>
    </comment>
    <comment ref="H1328" authorId="0" shapeId="0">
      <text>
        <r>
          <rPr>
            <sz val="9"/>
            <color indexed="81"/>
            <rFont val="Tahoma"/>
            <charset val="1"/>
          </rPr>
          <t>Ouvrage identique à 7.3.1</t>
        </r>
      </text>
    </comment>
    <comment ref="H1329" authorId="0" shapeId="0">
      <text>
        <r>
          <rPr>
            <sz val="9"/>
            <color indexed="81"/>
            <rFont val="Tahoma"/>
            <charset val="1"/>
          </rPr>
          <t>Ouvrage identique à 7.3.2</t>
        </r>
      </text>
    </comment>
    <comment ref="H1330" authorId="0" shapeId="0">
      <text>
        <r>
          <rPr>
            <sz val="9"/>
            <color indexed="81"/>
            <rFont val="Tahoma"/>
            <charset val="1"/>
          </rPr>
          <t>Ouvrage identique à 7.4</t>
        </r>
      </text>
    </comment>
    <comment ref="H1331" authorId="0" shapeId="0">
      <text>
        <r>
          <rPr>
            <sz val="9"/>
            <color indexed="81"/>
            <rFont val="Tahoma"/>
            <charset val="1"/>
          </rPr>
          <t>Ouvrage identique à 7.5</t>
        </r>
      </text>
    </comment>
    <comment ref="H1332" authorId="0" shapeId="0">
      <text>
        <r>
          <rPr>
            <sz val="9"/>
            <color indexed="81"/>
            <rFont val="Tahoma"/>
            <charset val="1"/>
          </rPr>
          <t>Ouvrage identique à 7.6</t>
        </r>
      </text>
    </comment>
    <comment ref="H1333" authorId="0" shapeId="0">
      <text>
        <r>
          <rPr>
            <sz val="9"/>
            <color indexed="81"/>
            <rFont val="Tahoma"/>
            <charset val="1"/>
          </rPr>
          <t>Ouvrage identique à 7.7</t>
        </r>
      </text>
    </comment>
    <comment ref="H1336" authorId="0" shapeId="0">
      <text>
        <r>
          <rPr>
            <sz val="9"/>
            <color indexed="81"/>
            <rFont val="Tahoma"/>
            <charset val="1"/>
          </rPr>
          <t>Ouvrage identique à 8.1</t>
        </r>
      </text>
    </comment>
    <comment ref="H1338" authorId="0" shapeId="0">
      <text>
        <r>
          <rPr>
            <sz val="9"/>
            <color indexed="81"/>
            <rFont val="Tahoma"/>
            <charset val="1"/>
          </rPr>
          <t>Ouvrage identique à 8.2.1</t>
        </r>
      </text>
    </comment>
    <comment ref="H1339" authorId="0" shapeId="0">
      <text>
        <r>
          <rPr>
            <sz val="9"/>
            <color indexed="81"/>
            <rFont val="Tahoma"/>
            <charset val="1"/>
          </rPr>
          <t>Ouvrage identique à 8.2.2</t>
        </r>
      </text>
    </comment>
    <comment ref="H1340" authorId="0" shapeId="0">
      <text>
        <r>
          <rPr>
            <sz val="9"/>
            <color indexed="81"/>
            <rFont val="Tahoma"/>
            <charset val="1"/>
          </rPr>
          <t>Ouvrage identique à 8.2.3</t>
        </r>
      </text>
    </comment>
    <comment ref="H1342" authorId="0" shapeId="0">
      <text>
        <r>
          <rPr>
            <sz val="9"/>
            <color indexed="81"/>
            <rFont val="Tahoma"/>
            <charset val="1"/>
          </rPr>
          <t>Ouvrage identique à 8.3.1</t>
        </r>
      </text>
    </comment>
    <comment ref="H1343" authorId="0" shapeId="0">
      <text>
        <r>
          <rPr>
            <sz val="9"/>
            <color indexed="81"/>
            <rFont val="Tahoma"/>
            <charset val="1"/>
          </rPr>
          <t>Ouvrage identique à 8.3.2</t>
        </r>
      </text>
    </comment>
    <comment ref="H1344" authorId="0" shapeId="0">
      <text>
        <r>
          <rPr>
            <sz val="9"/>
            <color indexed="81"/>
            <rFont val="Tahoma"/>
            <charset val="1"/>
          </rPr>
          <t>Ouvrage identique à 8.3.3</t>
        </r>
      </text>
    </comment>
    <comment ref="H1346" authorId="0" shapeId="0">
      <text>
        <r>
          <rPr>
            <sz val="9"/>
            <color indexed="81"/>
            <rFont val="Tahoma"/>
            <charset val="1"/>
          </rPr>
          <t>Ouvrage identique à 8.4.1</t>
        </r>
      </text>
    </comment>
    <comment ref="H1347" authorId="0" shapeId="0">
      <text>
        <r>
          <rPr>
            <sz val="9"/>
            <color indexed="81"/>
            <rFont val="Tahoma"/>
            <charset val="1"/>
          </rPr>
          <t>Ouvrage identique à 8.4.2</t>
        </r>
      </text>
    </comment>
    <comment ref="H1348" authorId="0" shapeId="0">
      <text>
        <r>
          <rPr>
            <sz val="9"/>
            <color indexed="81"/>
            <rFont val="Tahoma"/>
            <charset val="1"/>
          </rPr>
          <t>Ouvrage identique à 8.4.3</t>
        </r>
      </text>
    </comment>
    <comment ref="H1349" authorId="0" shapeId="0">
      <text>
        <r>
          <rPr>
            <sz val="9"/>
            <color indexed="81"/>
            <rFont val="Tahoma"/>
            <charset val="1"/>
          </rPr>
          <t>Ouvrage identique à 8.4.4</t>
        </r>
      </text>
    </comment>
    <comment ref="H1350" authorId="0" shapeId="0">
      <text>
        <r>
          <rPr>
            <sz val="9"/>
            <color indexed="81"/>
            <rFont val="Tahoma"/>
            <charset val="1"/>
          </rPr>
          <t>Ouvrage identique à 8.4.5</t>
        </r>
      </text>
    </comment>
    <comment ref="H1351" authorId="0" shapeId="0">
      <text>
        <r>
          <rPr>
            <sz val="9"/>
            <color indexed="81"/>
            <rFont val="Tahoma"/>
            <charset val="1"/>
          </rPr>
          <t>Ouvrage identique à 8.4.6</t>
        </r>
      </text>
    </comment>
    <comment ref="H1352" authorId="0" shapeId="0">
      <text>
        <r>
          <rPr>
            <sz val="9"/>
            <color indexed="81"/>
            <rFont val="Tahoma"/>
            <charset val="1"/>
          </rPr>
          <t>Ouvrage identique à 8.4.7</t>
        </r>
      </text>
    </comment>
    <comment ref="H1353" authorId="0" shapeId="0">
      <text>
        <r>
          <rPr>
            <sz val="9"/>
            <color indexed="81"/>
            <rFont val="Tahoma"/>
            <charset val="1"/>
          </rPr>
          <t>Ouvrage identique à 8.4.8</t>
        </r>
      </text>
    </comment>
    <comment ref="H1354" authorId="0" shapeId="0">
      <text>
        <r>
          <rPr>
            <sz val="9"/>
            <color indexed="81"/>
            <rFont val="Tahoma"/>
            <charset val="1"/>
          </rPr>
          <t>Ouvrage identique à 8.4.9</t>
        </r>
      </text>
    </comment>
    <comment ref="H1355" authorId="0" shapeId="0">
      <text>
        <r>
          <rPr>
            <sz val="9"/>
            <color indexed="81"/>
            <rFont val="Tahoma"/>
            <charset val="1"/>
          </rPr>
          <t>Ouvrage identique à 8.4.10</t>
        </r>
      </text>
    </comment>
    <comment ref="H1356" authorId="0" shapeId="0">
      <text>
        <r>
          <rPr>
            <sz val="9"/>
            <color indexed="81"/>
            <rFont val="Tahoma"/>
            <charset val="1"/>
          </rPr>
          <t>Ouvrage identique à 8.4.11</t>
        </r>
      </text>
    </comment>
    <comment ref="H1357" authorId="0" shapeId="0">
      <text>
        <r>
          <rPr>
            <sz val="9"/>
            <color indexed="81"/>
            <rFont val="Tahoma"/>
            <charset val="1"/>
          </rPr>
          <t>Ouvrage identique à 8.4.12</t>
        </r>
      </text>
    </comment>
    <comment ref="H1359" authorId="0" shapeId="0">
      <text>
        <r>
          <rPr>
            <sz val="9"/>
            <color indexed="81"/>
            <rFont val="Tahoma"/>
            <charset val="1"/>
          </rPr>
          <t>Ouvrage identique à 8.5.1</t>
        </r>
      </text>
    </comment>
    <comment ref="H1360" authorId="0" shapeId="0">
      <text>
        <r>
          <rPr>
            <sz val="9"/>
            <color indexed="81"/>
            <rFont val="Tahoma"/>
            <charset val="1"/>
          </rPr>
          <t>Ouvrage identique à 8.5.2</t>
        </r>
      </text>
    </comment>
    <comment ref="H1361" authorId="0" shapeId="0">
      <text>
        <r>
          <rPr>
            <sz val="9"/>
            <color indexed="81"/>
            <rFont val="Tahoma"/>
            <charset val="1"/>
          </rPr>
          <t>Ouvrage identique à 8.5.3</t>
        </r>
      </text>
    </comment>
    <comment ref="H1362" authorId="0" shapeId="0">
      <text>
        <r>
          <rPr>
            <sz val="9"/>
            <color indexed="81"/>
            <rFont val="Tahoma"/>
            <charset val="1"/>
          </rPr>
          <t>Ouvrage identique à 8.6</t>
        </r>
      </text>
    </comment>
    <comment ref="H1363" authorId="0" shapeId="0">
      <text>
        <r>
          <rPr>
            <sz val="9"/>
            <color indexed="81"/>
            <rFont val="Tahoma"/>
            <charset val="1"/>
          </rPr>
          <t>Ouvrage identique à 8.7</t>
        </r>
      </text>
    </comment>
    <comment ref="H1367" authorId="0" shapeId="0">
      <text>
        <r>
          <rPr>
            <sz val="9"/>
            <color indexed="81"/>
            <rFont val="Tahoma"/>
            <charset val="1"/>
          </rPr>
          <t>Ouvrage identique à 9.1.1</t>
        </r>
      </text>
    </comment>
    <comment ref="H1368" authorId="0" shapeId="0">
      <text>
        <r>
          <rPr>
            <sz val="9"/>
            <color indexed="81"/>
            <rFont val="Tahoma"/>
            <charset val="1"/>
          </rPr>
          <t>Ouvrage identique à 9.1.2</t>
        </r>
      </text>
    </comment>
    <comment ref="H1369" authorId="0" shapeId="0">
      <text>
        <r>
          <rPr>
            <sz val="9"/>
            <color indexed="81"/>
            <rFont val="Tahoma"/>
            <charset val="1"/>
          </rPr>
          <t>Ouvrage identique à 9.1.3</t>
        </r>
      </text>
    </comment>
    <comment ref="H1371" authorId="0" shapeId="0">
      <text>
        <r>
          <rPr>
            <sz val="9"/>
            <color indexed="81"/>
            <rFont val="Tahoma"/>
            <charset val="1"/>
          </rPr>
          <t>Ouvrage identique à 9.2.4</t>
        </r>
      </text>
    </comment>
    <comment ref="H1372" authorId="0" shapeId="0">
      <text>
        <r>
          <rPr>
            <sz val="9"/>
            <color indexed="81"/>
            <rFont val="Tahoma"/>
            <charset val="1"/>
          </rPr>
          <t>Ouvrage identique à 9.2.1</t>
        </r>
      </text>
    </comment>
    <comment ref="H1373" authorId="0" shapeId="0">
      <text>
        <r>
          <rPr>
            <sz val="9"/>
            <color indexed="81"/>
            <rFont val="Tahoma"/>
            <charset val="1"/>
          </rPr>
          <t>Ouvrage identique à 9.2.5</t>
        </r>
      </text>
    </comment>
    <comment ref="H1374" authorId="0" shapeId="0">
      <text>
        <r>
          <rPr>
            <sz val="9"/>
            <color indexed="81"/>
            <rFont val="Tahoma"/>
            <charset val="1"/>
          </rPr>
          <t>Ouvrage identique à 9.2.3</t>
        </r>
      </text>
    </comment>
    <comment ref="H1376" authorId="0" shapeId="0">
      <text>
        <r>
          <rPr>
            <sz val="9"/>
            <color indexed="81"/>
            <rFont val="Tahoma"/>
            <charset val="1"/>
          </rPr>
          <t>Ouvrage identique à 9.3.1</t>
        </r>
      </text>
    </comment>
    <comment ref="H1378" authorId="0" shapeId="0">
      <text>
        <r>
          <rPr>
            <sz val="9"/>
            <color indexed="81"/>
            <rFont val="Tahoma"/>
            <charset val="1"/>
          </rPr>
          <t>Ouvrage identique à 9.4.1</t>
        </r>
      </text>
    </comment>
    <comment ref="H1379" authorId="0" shapeId="0">
      <text>
        <r>
          <rPr>
            <sz val="9"/>
            <color indexed="81"/>
            <rFont val="Tahoma"/>
            <charset val="1"/>
          </rPr>
          <t>Ouvrage identique à 9.4.2</t>
        </r>
      </text>
    </comment>
    <comment ref="H1380" authorId="0" shapeId="0">
      <text>
        <r>
          <rPr>
            <sz val="9"/>
            <color indexed="81"/>
            <rFont val="Tahoma"/>
            <charset val="1"/>
          </rPr>
          <t>Ouvrage identique à 9.5</t>
        </r>
      </text>
    </comment>
    <comment ref="H1381" authorId="0" shapeId="0">
      <text>
        <r>
          <rPr>
            <sz val="9"/>
            <color indexed="81"/>
            <rFont val="Tahoma"/>
            <charset val="1"/>
          </rPr>
          <t>Ouvrage identique à 9.6</t>
        </r>
      </text>
    </comment>
    <comment ref="H1382" authorId="0" shapeId="0">
      <text>
        <r>
          <rPr>
            <sz val="9"/>
            <color indexed="81"/>
            <rFont val="Tahoma"/>
            <charset val="1"/>
          </rPr>
          <t>Ouvrage identique à 9.7</t>
        </r>
      </text>
    </comment>
    <comment ref="H1384" authorId="0" shapeId="0">
      <text>
        <r>
          <rPr>
            <sz val="9"/>
            <color indexed="81"/>
            <rFont val="Tahoma"/>
            <charset val="1"/>
          </rPr>
          <t>Ouvrage identique à 9.8.1</t>
        </r>
      </text>
    </comment>
    <comment ref="H1385" authorId="0" shapeId="0">
      <text>
        <r>
          <rPr>
            <sz val="9"/>
            <color indexed="81"/>
            <rFont val="Tahoma"/>
            <charset val="1"/>
          </rPr>
          <t>Ouvrage identique à 9.8.2</t>
        </r>
      </text>
    </comment>
    <comment ref="H1386" authorId="0" shapeId="0">
      <text>
        <r>
          <rPr>
            <sz val="9"/>
            <color indexed="81"/>
            <rFont val="Tahoma"/>
            <charset val="1"/>
          </rPr>
          <t>Ouvrage identique à 9.8.3</t>
        </r>
      </text>
    </comment>
    <comment ref="H1387" authorId="0" shapeId="0">
      <text>
        <r>
          <rPr>
            <sz val="9"/>
            <color indexed="81"/>
            <rFont val="Tahoma"/>
            <charset val="1"/>
          </rPr>
          <t>Ouvrage identique à 9.9</t>
        </r>
      </text>
    </comment>
    <comment ref="H1388" authorId="0" shapeId="0">
      <text>
        <r>
          <rPr>
            <sz val="9"/>
            <color indexed="81"/>
            <rFont val="Tahoma"/>
            <charset val="1"/>
          </rPr>
          <t>Ouvrage identique à 9.10</t>
        </r>
      </text>
    </comment>
    <comment ref="H1392" authorId="0" shapeId="0">
      <text>
        <r>
          <rPr>
            <sz val="9"/>
            <color indexed="81"/>
            <rFont val="Tahoma"/>
            <charset val="1"/>
          </rPr>
          <t>Ouvrage identique à 10.1.1</t>
        </r>
      </text>
    </comment>
    <comment ref="H1393" authorId="0" shapeId="0">
      <text>
        <r>
          <rPr>
            <sz val="9"/>
            <color indexed="81"/>
            <rFont val="Tahoma"/>
            <charset val="1"/>
          </rPr>
          <t>Ouvrage identique à 10.1.2</t>
        </r>
      </text>
    </comment>
    <comment ref="H1395" authorId="0" shapeId="0">
      <text>
        <r>
          <rPr>
            <sz val="9"/>
            <color indexed="81"/>
            <rFont val="Tahoma"/>
            <charset val="1"/>
          </rPr>
          <t>Ouvrage identique à 10.2.1</t>
        </r>
      </text>
    </comment>
    <comment ref="H1396" authorId="0" shapeId="0">
      <text>
        <r>
          <rPr>
            <sz val="9"/>
            <color indexed="81"/>
            <rFont val="Tahoma"/>
            <charset val="1"/>
          </rPr>
          <t>Ouvrage identique à 10.2.2</t>
        </r>
      </text>
    </comment>
    <comment ref="H1397" authorId="0" shapeId="0">
      <text>
        <r>
          <rPr>
            <sz val="9"/>
            <color indexed="81"/>
            <rFont val="Tahoma"/>
            <charset val="1"/>
          </rPr>
          <t>Ouvrage identique à 10.3</t>
        </r>
      </text>
    </comment>
    <comment ref="H1399" authorId="0" shapeId="0">
      <text>
        <r>
          <rPr>
            <sz val="9"/>
            <color indexed="81"/>
            <rFont val="Tahoma"/>
            <charset val="1"/>
          </rPr>
          <t>Ouvrage identique à 10.4.1</t>
        </r>
      </text>
    </comment>
    <comment ref="H1400" authorId="0" shapeId="0">
      <text>
        <r>
          <rPr>
            <sz val="9"/>
            <color indexed="81"/>
            <rFont val="Tahoma"/>
            <charset val="1"/>
          </rPr>
          <t>Ouvrage identique à 10.4.2</t>
        </r>
      </text>
    </comment>
    <comment ref="H1401" authorId="0" shapeId="0">
      <text>
        <r>
          <rPr>
            <sz val="9"/>
            <color indexed="81"/>
            <rFont val="Tahoma"/>
            <charset val="1"/>
          </rPr>
          <t>Ouvrage identique à 10.4.3</t>
        </r>
      </text>
    </comment>
    <comment ref="H1402" authorId="0" shapeId="0">
      <text>
        <r>
          <rPr>
            <sz val="9"/>
            <color indexed="81"/>
            <rFont val="Tahoma"/>
            <charset val="1"/>
          </rPr>
          <t>Ouvrage identique à 10.5</t>
        </r>
      </text>
    </comment>
    <comment ref="H1403" authorId="0" shapeId="0">
      <text>
        <r>
          <rPr>
            <sz val="9"/>
            <color indexed="81"/>
            <rFont val="Tahoma"/>
            <charset val="1"/>
          </rPr>
          <t>Ouvrage identique à 10.6</t>
        </r>
      </text>
    </comment>
    <comment ref="H1407" authorId="0" shapeId="0">
      <text>
        <r>
          <rPr>
            <sz val="9"/>
            <color indexed="81"/>
            <rFont val="Tahoma"/>
            <charset val="1"/>
          </rPr>
          <t>Ouvrage identique à 11.1.1</t>
        </r>
      </text>
    </comment>
    <comment ref="H1408" authorId="0" shapeId="0">
      <text>
        <r>
          <rPr>
            <sz val="9"/>
            <color indexed="81"/>
            <rFont val="Tahoma"/>
            <charset val="1"/>
          </rPr>
          <t>Ouvrage identique à 11.1.2</t>
        </r>
      </text>
    </comment>
    <comment ref="H1409" authorId="0" shapeId="0">
      <text>
        <r>
          <rPr>
            <sz val="9"/>
            <color indexed="81"/>
            <rFont val="Tahoma"/>
            <charset val="1"/>
          </rPr>
          <t>Ouvrage identique à 11.1.3</t>
        </r>
      </text>
    </comment>
    <comment ref="H1411" authorId="0" shapeId="0">
      <text>
        <r>
          <rPr>
            <sz val="9"/>
            <color indexed="81"/>
            <rFont val="Tahoma"/>
            <charset val="1"/>
          </rPr>
          <t>Ouvrage identique à 11.2.1</t>
        </r>
      </text>
    </comment>
    <comment ref="H1412" authorId="0" shapeId="0">
      <text>
        <r>
          <rPr>
            <sz val="9"/>
            <color indexed="81"/>
            <rFont val="Tahoma"/>
            <charset val="1"/>
          </rPr>
          <t>Ouvrage identique à 11.2.2</t>
        </r>
      </text>
    </comment>
    <comment ref="H1413" authorId="0" shapeId="0">
      <text>
        <r>
          <rPr>
            <sz val="9"/>
            <color indexed="81"/>
            <rFont val="Tahoma"/>
            <charset val="1"/>
          </rPr>
          <t>Ouvrage identique à 11.2.3</t>
        </r>
      </text>
    </comment>
    <comment ref="H1414" authorId="0" shapeId="0">
      <text>
        <r>
          <rPr>
            <sz val="9"/>
            <color indexed="81"/>
            <rFont val="Tahoma"/>
            <charset val="1"/>
          </rPr>
          <t>Ouvrage identique à 11.2.4</t>
        </r>
      </text>
    </comment>
    <comment ref="H1415" authorId="0" shapeId="0">
      <text>
        <r>
          <rPr>
            <sz val="9"/>
            <color indexed="81"/>
            <rFont val="Tahoma"/>
            <charset val="1"/>
          </rPr>
          <t>Ouvrage identique à 11.3</t>
        </r>
      </text>
    </comment>
    <comment ref="H1417" authorId="0" shapeId="0">
      <text>
        <r>
          <rPr>
            <sz val="9"/>
            <color indexed="81"/>
            <rFont val="Tahoma"/>
            <charset val="1"/>
          </rPr>
          <t>Ouvrage identique à 11.4.1</t>
        </r>
      </text>
    </comment>
    <comment ref="H1418" authorId="0" shapeId="0">
      <text>
        <r>
          <rPr>
            <sz val="9"/>
            <color indexed="81"/>
            <rFont val="Tahoma"/>
            <charset val="1"/>
          </rPr>
          <t>Ouvrage identique à 11.4.2</t>
        </r>
      </text>
    </comment>
    <comment ref="H1419" authorId="0" shapeId="0">
      <text>
        <r>
          <rPr>
            <sz val="9"/>
            <color indexed="81"/>
            <rFont val="Tahoma"/>
            <charset val="1"/>
          </rPr>
          <t>Ouvrage identique à 11.4.3</t>
        </r>
      </text>
    </comment>
    <comment ref="H1420" authorId="0" shapeId="0">
      <text>
        <r>
          <rPr>
            <sz val="9"/>
            <color indexed="81"/>
            <rFont val="Tahoma"/>
            <charset val="1"/>
          </rPr>
          <t>Ouvrage identique à 11.5</t>
        </r>
      </text>
    </comment>
    <comment ref="H1421" authorId="0" shapeId="0">
      <text>
        <r>
          <rPr>
            <sz val="9"/>
            <color indexed="81"/>
            <rFont val="Tahoma"/>
            <charset val="1"/>
          </rPr>
          <t>Ouvrage identique à 11.6</t>
        </r>
      </text>
    </comment>
    <comment ref="H1423" authorId="0" shapeId="0">
      <text>
        <r>
          <rPr>
            <sz val="9"/>
            <color indexed="81"/>
            <rFont val="Tahoma"/>
            <charset val="1"/>
          </rPr>
          <t>Ouvrage identique à 11.7.1</t>
        </r>
      </text>
    </comment>
    <comment ref="H1424" authorId="0" shapeId="0">
      <text>
        <r>
          <rPr>
            <sz val="9"/>
            <color indexed="81"/>
            <rFont val="Tahoma"/>
            <charset val="1"/>
          </rPr>
          <t>Ouvrage identique à 11.7.2</t>
        </r>
      </text>
    </comment>
    <comment ref="H1425" authorId="0" shapeId="0">
      <text>
        <r>
          <rPr>
            <sz val="9"/>
            <color indexed="81"/>
            <rFont val="Tahoma"/>
            <charset val="1"/>
          </rPr>
          <t>Ouvrage identique à 11.7.3</t>
        </r>
      </text>
    </comment>
    <comment ref="H1426" authorId="0" shapeId="0">
      <text>
        <r>
          <rPr>
            <sz val="9"/>
            <color indexed="81"/>
            <rFont val="Tahoma"/>
            <charset val="1"/>
          </rPr>
          <t>Ouvrage identique à 11.7.4</t>
        </r>
      </text>
    </comment>
    <comment ref="H1427" authorId="0" shapeId="0">
      <text>
        <r>
          <rPr>
            <sz val="9"/>
            <color indexed="81"/>
            <rFont val="Tahoma"/>
            <charset val="1"/>
          </rPr>
          <t>Ouvrage identique à 11.8</t>
        </r>
      </text>
    </comment>
    <comment ref="H1428" authorId="0" shapeId="0">
      <text>
        <r>
          <rPr>
            <sz val="9"/>
            <color indexed="81"/>
            <rFont val="Tahoma"/>
            <charset val="1"/>
          </rPr>
          <t>Ouvrage identique à 11.9</t>
        </r>
      </text>
    </comment>
    <comment ref="H1432" authorId="0" shapeId="0">
      <text>
        <r>
          <rPr>
            <sz val="9"/>
            <color indexed="81"/>
            <rFont val="Tahoma"/>
            <charset val="1"/>
          </rPr>
          <t>Ouvrage identique à 12.1.1</t>
        </r>
      </text>
    </comment>
    <comment ref="H1433" authorId="0" shapeId="0">
      <text>
        <r>
          <rPr>
            <sz val="9"/>
            <color indexed="81"/>
            <rFont val="Tahoma"/>
            <charset val="1"/>
          </rPr>
          <t>Ouvrage identique à 12.1.2</t>
        </r>
      </text>
    </comment>
    <comment ref="H1435" authorId="0" shapeId="0">
      <text>
        <r>
          <rPr>
            <sz val="9"/>
            <color indexed="81"/>
            <rFont val="Tahoma"/>
            <charset val="1"/>
          </rPr>
          <t>Ouvrage identique à 12.2.1</t>
        </r>
      </text>
    </comment>
    <comment ref="H1436" authorId="0" shapeId="0">
      <text>
        <r>
          <rPr>
            <sz val="9"/>
            <color indexed="81"/>
            <rFont val="Tahoma"/>
            <charset val="1"/>
          </rPr>
          <t>Ouvrage identique à 12.3</t>
        </r>
      </text>
    </comment>
    <comment ref="H1440" authorId="0" shapeId="0">
      <text>
        <r>
          <rPr>
            <sz val="9"/>
            <color indexed="81"/>
            <rFont val="Tahoma"/>
            <charset val="1"/>
          </rPr>
          <t>Ouvrage identique à 13.1.1</t>
        </r>
      </text>
    </comment>
    <comment ref="H1442" authorId="0" shapeId="0">
      <text>
        <r>
          <rPr>
            <sz val="9"/>
            <color indexed="81"/>
            <rFont val="Tahoma"/>
            <charset val="1"/>
          </rPr>
          <t>Ouvrage identique à 13.2.1.a</t>
        </r>
      </text>
    </comment>
    <comment ref="H1443" authorId="0" shapeId="0">
      <text>
        <r>
          <rPr>
            <sz val="9"/>
            <color indexed="81"/>
            <rFont val="Tahoma"/>
            <charset val="1"/>
          </rPr>
          <t>Ouvrage identique à 13.2.2</t>
        </r>
      </text>
    </comment>
    <comment ref="H1444" authorId="0" shapeId="0">
      <text>
        <r>
          <rPr>
            <sz val="9"/>
            <color indexed="81"/>
            <rFont val="Tahoma"/>
            <charset val="1"/>
          </rPr>
          <t>Ouvrage identique à 13.3</t>
        </r>
      </text>
    </comment>
    <comment ref="H1445" authorId="0" shapeId="0">
      <text>
        <r>
          <rPr>
            <sz val="9"/>
            <color indexed="81"/>
            <rFont val="Tahoma"/>
            <charset val="1"/>
          </rPr>
          <t>Ouvrage identique à 13.4</t>
        </r>
      </text>
    </comment>
    <comment ref="H1449" authorId="0" shapeId="0">
      <text>
        <r>
          <rPr>
            <sz val="9"/>
            <color indexed="81"/>
            <rFont val="Tahoma"/>
            <charset val="1"/>
          </rPr>
          <t>Ouvrage identique à 14.1.1</t>
        </r>
      </text>
    </comment>
    <comment ref="H1450" authorId="0" shapeId="0">
      <text>
        <r>
          <rPr>
            <sz val="9"/>
            <color indexed="81"/>
            <rFont val="Tahoma"/>
            <charset val="1"/>
          </rPr>
          <t>Ouvrage identique à 14.1.2</t>
        </r>
      </text>
    </comment>
    <comment ref="H1452" authorId="0" shapeId="0">
      <text>
        <r>
          <rPr>
            <sz val="9"/>
            <color indexed="81"/>
            <rFont val="Tahoma"/>
            <charset val="1"/>
          </rPr>
          <t>Ouvrage identique à 14.2.1</t>
        </r>
      </text>
    </comment>
    <comment ref="H1453" authorId="0" shapeId="0">
      <text>
        <r>
          <rPr>
            <sz val="9"/>
            <color indexed="81"/>
            <rFont val="Tahoma"/>
            <charset val="1"/>
          </rPr>
          <t>Ouvrage identique à 14.2.2</t>
        </r>
      </text>
    </comment>
    <comment ref="H1454" authorId="0" shapeId="0">
      <text>
        <r>
          <rPr>
            <sz val="9"/>
            <color indexed="81"/>
            <rFont val="Tahoma"/>
            <charset val="1"/>
          </rPr>
          <t>Ouvrage identique à 14.2.3</t>
        </r>
      </text>
    </comment>
    <comment ref="H1455" authorId="0" shapeId="0">
      <text>
        <r>
          <rPr>
            <sz val="9"/>
            <color indexed="81"/>
            <rFont val="Tahoma"/>
            <charset val="1"/>
          </rPr>
          <t>Ouvrage identique à 14.2.4</t>
        </r>
      </text>
    </comment>
    <comment ref="H1456" authorId="0" shapeId="0">
      <text>
        <r>
          <rPr>
            <sz val="9"/>
            <color indexed="81"/>
            <rFont val="Tahoma"/>
            <charset val="1"/>
          </rPr>
          <t>Ouvrage identique à 14.2.5</t>
        </r>
      </text>
    </comment>
    <comment ref="H1457" authorId="0" shapeId="0">
      <text>
        <r>
          <rPr>
            <sz val="9"/>
            <color indexed="81"/>
            <rFont val="Tahoma"/>
            <charset val="1"/>
          </rPr>
          <t>Ouvrage identique à 14.2.6</t>
        </r>
      </text>
    </comment>
    <comment ref="H1458" authorId="0" shapeId="0">
      <text>
        <r>
          <rPr>
            <sz val="9"/>
            <color indexed="81"/>
            <rFont val="Tahoma"/>
            <charset val="1"/>
          </rPr>
          <t>Ouvrage identique à 14.2.7</t>
        </r>
      </text>
    </comment>
    <comment ref="H1459" authorId="0" shapeId="0">
      <text>
        <r>
          <rPr>
            <sz val="9"/>
            <color indexed="81"/>
            <rFont val="Tahoma"/>
            <charset val="1"/>
          </rPr>
          <t>Ouvrage identique à 14.2.8</t>
        </r>
      </text>
    </comment>
    <comment ref="H1460" authorId="0" shapeId="0">
      <text>
        <r>
          <rPr>
            <sz val="9"/>
            <color indexed="81"/>
            <rFont val="Tahoma"/>
            <charset val="1"/>
          </rPr>
          <t>Ouvrage identique à 14.2.9</t>
        </r>
      </text>
    </comment>
    <comment ref="H1461" authorId="0" shapeId="0">
      <text>
        <r>
          <rPr>
            <sz val="9"/>
            <color indexed="81"/>
            <rFont val="Tahoma"/>
            <charset val="1"/>
          </rPr>
          <t>Ouvrage identique à 14.2.10</t>
        </r>
      </text>
    </comment>
    <comment ref="H1462" authorId="0" shapeId="0">
      <text>
        <r>
          <rPr>
            <sz val="9"/>
            <color indexed="81"/>
            <rFont val="Tahoma"/>
            <charset val="1"/>
          </rPr>
          <t>Ouvrage identique à 14.2.11</t>
        </r>
      </text>
    </comment>
    <comment ref="H1465" authorId="0" shapeId="0">
      <text>
        <r>
          <rPr>
            <sz val="9"/>
            <color indexed="81"/>
            <rFont val="Tahoma"/>
            <charset val="1"/>
          </rPr>
          <t>Ouvrage identique à 14.3.1.1</t>
        </r>
      </text>
    </comment>
    <comment ref="H1467" authorId="0" shapeId="0">
      <text>
        <r>
          <rPr>
            <sz val="9"/>
            <color indexed="81"/>
            <rFont val="Tahoma"/>
            <charset val="1"/>
          </rPr>
          <t>Ouvrage identique à 14.3.2.1</t>
        </r>
      </text>
    </comment>
    <comment ref="H1468" authorId="0" shapeId="0">
      <text>
        <r>
          <rPr>
            <sz val="9"/>
            <color indexed="81"/>
            <rFont val="Tahoma"/>
            <charset val="1"/>
          </rPr>
          <t>Ouvrage identique à 14.3.2.2</t>
        </r>
      </text>
    </comment>
    <comment ref="H1469" authorId="0" shapeId="0">
      <text>
        <r>
          <rPr>
            <sz val="9"/>
            <color indexed="81"/>
            <rFont val="Tahoma"/>
            <charset val="1"/>
          </rPr>
          <t>Ouvrage identique à 14.3.2.3</t>
        </r>
      </text>
    </comment>
    <comment ref="H1470" authorId="0" shapeId="0">
      <text>
        <r>
          <rPr>
            <sz val="9"/>
            <color indexed="81"/>
            <rFont val="Tahoma"/>
            <charset val="1"/>
          </rPr>
          <t>Ouvrage identique à 14.3.2.4</t>
        </r>
      </text>
    </comment>
    <comment ref="H1471" authorId="0" shapeId="0">
      <text>
        <r>
          <rPr>
            <sz val="9"/>
            <color indexed="81"/>
            <rFont val="Tahoma"/>
            <charset val="1"/>
          </rPr>
          <t>Ouvrage identique à 14.3.2.5</t>
        </r>
      </text>
    </comment>
    <comment ref="H1472" authorId="0" shapeId="0">
      <text>
        <r>
          <rPr>
            <sz val="9"/>
            <color indexed="81"/>
            <rFont val="Tahoma"/>
            <charset val="1"/>
          </rPr>
          <t>Ouvrage identique à 14.3.2.6</t>
        </r>
      </text>
    </comment>
    <comment ref="H1473" authorId="0" shapeId="0">
      <text>
        <r>
          <rPr>
            <sz val="9"/>
            <color indexed="81"/>
            <rFont val="Tahoma"/>
            <charset val="1"/>
          </rPr>
          <t>Ouvrage identique à 14.3.2.7</t>
        </r>
      </text>
    </comment>
    <comment ref="H1474" authorId="0" shapeId="0">
      <text>
        <r>
          <rPr>
            <sz val="9"/>
            <color indexed="81"/>
            <rFont val="Tahoma"/>
            <charset val="1"/>
          </rPr>
          <t>Ouvrage identique à 14.3.2.8</t>
        </r>
      </text>
    </comment>
    <comment ref="H1475" authorId="0" shapeId="0">
      <text>
        <r>
          <rPr>
            <sz val="9"/>
            <color indexed="81"/>
            <rFont val="Tahoma"/>
            <charset val="1"/>
          </rPr>
          <t>Ouvrage identique à 14.3.2.9</t>
        </r>
      </text>
    </comment>
    <comment ref="H1476" authorId="0" shapeId="0">
      <text>
        <r>
          <rPr>
            <sz val="9"/>
            <color indexed="81"/>
            <rFont val="Tahoma"/>
            <charset val="1"/>
          </rPr>
          <t>Ouvrage identique à 14.3.2.10</t>
        </r>
      </text>
    </comment>
    <comment ref="H1477" authorId="0" shapeId="0">
      <text>
        <r>
          <rPr>
            <sz val="9"/>
            <color indexed="81"/>
            <rFont val="Tahoma"/>
            <charset val="1"/>
          </rPr>
          <t>Ouvrage identique à 14.3.2.11</t>
        </r>
      </text>
    </comment>
    <comment ref="H1480" authorId="0" shapeId="0">
      <text>
        <r>
          <rPr>
            <sz val="9"/>
            <color indexed="81"/>
            <rFont val="Tahoma"/>
            <charset val="1"/>
          </rPr>
          <t>Ouvrage identique à 15.1</t>
        </r>
      </text>
    </comment>
    <comment ref="H1482" authorId="0" shapeId="0">
      <text>
        <r>
          <rPr>
            <sz val="9"/>
            <color indexed="81"/>
            <rFont val="Tahoma"/>
            <charset val="1"/>
          </rPr>
          <t>Ouvrage identique à 15.2.1</t>
        </r>
      </text>
    </comment>
    <comment ref="H1483" authorId="0" shapeId="0">
      <text>
        <r>
          <rPr>
            <sz val="9"/>
            <color indexed="81"/>
            <rFont val="Tahoma"/>
            <charset val="1"/>
          </rPr>
          <t>Ouvrage identique à 15.2.2</t>
        </r>
      </text>
    </comment>
    <comment ref="H1484" authorId="0" shapeId="0">
      <text>
        <r>
          <rPr>
            <sz val="9"/>
            <color indexed="81"/>
            <rFont val="Tahoma"/>
            <charset val="1"/>
          </rPr>
          <t>Ouvrage identique à 15.2.3</t>
        </r>
      </text>
    </comment>
    <comment ref="H1485" authorId="0" shapeId="0">
      <text>
        <r>
          <rPr>
            <sz val="9"/>
            <color indexed="81"/>
            <rFont val="Tahoma"/>
            <charset val="1"/>
          </rPr>
          <t>Ouvrage identique à 15.2.4</t>
        </r>
      </text>
    </comment>
    <comment ref="H1486" authorId="0" shapeId="0">
      <text>
        <r>
          <rPr>
            <sz val="9"/>
            <color indexed="81"/>
            <rFont val="Tahoma"/>
            <charset val="1"/>
          </rPr>
          <t>Ouvrage identique à 15.2.5</t>
        </r>
      </text>
    </comment>
    <comment ref="H1487" authorId="0" shapeId="0">
      <text>
        <r>
          <rPr>
            <sz val="9"/>
            <color indexed="81"/>
            <rFont val="Tahoma"/>
            <charset val="1"/>
          </rPr>
          <t>Ouvrage identique à 15.2.6</t>
        </r>
      </text>
    </comment>
    <comment ref="H1488" authorId="0" shapeId="0">
      <text>
        <r>
          <rPr>
            <sz val="9"/>
            <color indexed="81"/>
            <rFont val="Tahoma"/>
            <charset val="1"/>
          </rPr>
          <t>Ouvrage identique à 15.2.7</t>
        </r>
      </text>
    </comment>
    <comment ref="H1489" authorId="0" shapeId="0">
      <text>
        <r>
          <rPr>
            <sz val="9"/>
            <color indexed="81"/>
            <rFont val="Tahoma"/>
            <charset val="1"/>
          </rPr>
          <t>Ouvrage identique à 15.2.8</t>
        </r>
      </text>
    </comment>
    <comment ref="H1490" authorId="0" shapeId="0">
      <text>
        <r>
          <rPr>
            <sz val="9"/>
            <color indexed="81"/>
            <rFont val="Tahoma"/>
            <charset val="1"/>
          </rPr>
          <t>Ouvrage identique à 15.2.9</t>
        </r>
      </text>
    </comment>
    <comment ref="H1491" authorId="0" shapeId="0">
      <text>
        <r>
          <rPr>
            <sz val="9"/>
            <color indexed="81"/>
            <rFont val="Tahoma"/>
            <charset val="1"/>
          </rPr>
          <t>Ouvrage identique à 15.2.10</t>
        </r>
      </text>
    </comment>
    <comment ref="H1492" authorId="0" shapeId="0">
      <text>
        <r>
          <rPr>
            <sz val="9"/>
            <color indexed="81"/>
            <rFont val="Tahoma"/>
            <charset val="1"/>
          </rPr>
          <t>Ouvrage identique à 15.2.11</t>
        </r>
      </text>
    </comment>
    <comment ref="H1493" authorId="0" shapeId="0">
      <text>
        <r>
          <rPr>
            <sz val="9"/>
            <color indexed="81"/>
            <rFont val="Tahoma"/>
            <charset val="1"/>
          </rPr>
          <t>Ouvrage identique à 15.2.12</t>
        </r>
      </text>
    </comment>
    <comment ref="H1494" authorId="0" shapeId="0">
      <text>
        <r>
          <rPr>
            <sz val="9"/>
            <color indexed="81"/>
            <rFont val="Tahoma"/>
            <charset val="1"/>
          </rPr>
          <t>Ouvrage identique à 15.2.13</t>
        </r>
      </text>
    </comment>
    <comment ref="H1495" authorId="0" shapeId="0">
      <text>
        <r>
          <rPr>
            <sz val="9"/>
            <color indexed="81"/>
            <rFont val="Tahoma"/>
            <charset val="1"/>
          </rPr>
          <t>Ouvrage identique à 15.2.14</t>
        </r>
      </text>
    </comment>
    <comment ref="H1497" authorId="0" shapeId="0">
      <text>
        <r>
          <rPr>
            <sz val="9"/>
            <color indexed="81"/>
            <rFont val="Tahoma"/>
            <charset val="1"/>
          </rPr>
          <t>Ouvrage identique à 15.3.1</t>
        </r>
      </text>
    </comment>
    <comment ref="H1498" authorId="0" shapeId="0">
      <text>
        <r>
          <rPr>
            <sz val="9"/>
            <color indexed="81"/>
            <rFont val="Tahoma"/>
            <charset val="1"/>
          </rPr>
          <t>Ouvrage identique à 15.3.2</t>
        </r>
      </text>
    </comment>
    <comment ref="H1499" authorId="0" shapeId="0">
      <text>
        <r>
          <rPr>
            <sz val="9"/>
            <color indexed="81"/>
            <rFont val="Tahoma"/>
            <charset val="1"/>
          </rPr>
          <t>Ouvrage identique à 15.3.3</t>
        </r>
      </text>
    </comment>
    <comment ref="H1500" authorId="0" shapeId="0">
      <text>
        <r>
          <rPr>
            <sz val="9"/>
            <color indexed="81"/>
            <rFont val="Tahoma"/>
            <charset val="1"/>
          </rPr>
          <t>Ouvrage identique à 15.3.4</t>
        </r>
      </text>
    </comment>
    <comment ref="H1501" authorId="0" shapeId="0">
      <text>
        <r>
          <rPr>
            <sz val="9"/>
            <color indexed="81"/>
            <rFont val="Tahoma"/>
            <charset val="1"/>
          </rPr>
          <t>Ouvrage identique à 15.3.5</t>
        </r>
      </text>
    </comment>
    <comment ref="H1502" authorId="0" shapeId="0">
      <text>
        <r>
          <rPr>
            <sz val="9"/>
            <color indexed="81"/>
            <rFont val="Tahoma"/>
            <charset val="1"/>
          </rPr>
          <t>Ouvrage identique à 15.3.6</t>
        </r>
      </text>
    </comment>
    <comment ref="H1503" authorId="0" shapeId="0">
      <text>
        <r>
          <rPr>
            <sz val="9"/>
            <color indexed="81"/>
            <rFont val="Tahoma"/>
            <charset val="1"/>
          </rPr>
          <t>Ouvrage identique à 15.3.7</t>
        </r>
      </text>
    </comment>
    <comment ref="H1504" authorId="0" shapeId="0">
      <text>
        <r>
          <rPr>
            <sz val="9"/>
            <color indexed="81"/>
            <rFont val="Tahoma"/>
            <charset val="1"/>
          </rPr>
          <t>Ouvrage identique à 15.3.8</t>
        </r>
      </text>
    </comment>
    <comment ref="H1505" authorId="0" shapeId="0">
      <text>
        <r>
          <rPr>
            <sz val="9"/>
            <color indexed="81"/>
            <rFont val="Tahoma"/>
            <charset val="1"/>
          </rPr>
          <t>Ouvrage identique à 15.3.9</t>
        </r>
      </text>
    </comment>
    <comment ref="H1507" authorId="0" shapeId="0">
      <text>
        <r>
          <rPr>
            <sz val="9"/>
            <color indexed="81"/>
            <rFont val="Tahoma"/>
            <charset val="1"/>
          </rPr>
          <t>Ouvrage identique à 15.4.1</t>
        </r>
      </text>
    </comment>
    <comment ref="H1508" authorId="0" shapeId="0">
      <text>
        <r>
          <rPr>
            <sz val="9"/>
            <color indexed="81"/>
            <rFont val="Tahoma"/>
            <charset val="1"/>
          </rPr>
          <t>Ouvrage identique à 15.4.2</t>
        </r>
      </text>
    </comment>
    <comment ref="H1512" authorId="0" shapeId="0">
      <text>
        <r>
          <rPr>
            <sz val="9"/>
            <color indexed="81"/>
            <rFont val="Tahoma"/>
            <charset val="1"/>
          </rPr>
          <t>Ouvrage identique à 16.1.1</t>
        </r>
      </text>
    </comment>
    <comment ref="H1513" authorId="0" shapeId="0">
      <text>
        <r>
          <rPr>
            <sz val="9"/>
            <color indexed="81"/>
            <rFont val="Tahoma"/>
            <charset val="1"/>
          </rPr>
          <t>Ouvrage identique à 16.1.2</t>
        </r>
      </text>
    </comment>
    <comment ref="H1514" authorId="0" shapeId="0">
      <text>
        <r>
          <rPr>
            <sz val="9"/>
            <color indexed="81"/>
            <rFont val="Tahoma"/>
            <charset val="1"/>
          </rPr>
          <t>Ouvrage identique à 16.1.3</t>
        </r>
      </text>
    </comment>
    <comment ref="H1515" authorId="0" shapeId="0">
      <text>
        <r>
          <rPr>
            <sz val="9"/>
            <color indexed="81"/>
            <rFont val="Tahoma"/>
            <charset val="1"/>
          </rPr>
          <t>Ouvrage identique à 16.1.4</t>
        </r>
      </text>
    </comment>
    <comment ref="H1516" authorId="0" shapeId="0">
      <text>
        <r>
          <rPr>
            <sz val="9"/>
            <color indexed="81"/>
            <rFont val="Tahoma"/>
            <charset val="1"/>
          </rPr>
          <t>Ouvrage identique à 16.1.5</t>
        </r>
      </text>
    </comment>
    <comment ref="H1517" authorId="0" shapeId="0">
      <text>
        <r>
          <rPr>
            <sz val="9"/>
            <color indexed="81"/>
            <rFont val="Tahoma"/>
            <charset val="1"/>
          </rPr>
          <t>Ouvrage identique à 16.1.6</t>
        </r>
      </text>
    </comment>
    <comment ref="H1518" authorId="0" shapeId="0">
      <text>
        <r>
          <rPr>
            <sz val="9"/>
            <color indexed="81"/>
            <rFont val="Tahoma"/>
            <charset val="1"/>
          </rPr>
          <t>Ouvrage identique à 16.1.7</t>
        </r>
      </text>
    </comment>
    <comment ref="H1519" authorId="0" shapeId="0">
      <text>
        <r>
          <rPr>
            <sz val="9"/>
            <color indexed="81"/>
            <rFont val="Tahoma"/>
            <charset val="1"/>
          </rPr>
          <t>Ouvrage identique à 16.1.8</t>
        </r>
      </text>
    </comment>
    <comment ref="H1520" authorId="0" shapeId="0">
      <text>
        <r>
          <rPr>
            <sz val="9"/>
            <color indexed="81"/>
            <rFont val="Tahoma"/>
            <charset val="1"/>
          </rPr>
          <t>Ouvrage identique à 16.1.9</t>
        </r>
      </text>
    </comment>
    <comment ref="H1525" authorId="0" shapeId="0">
      <text>
        <r>
          <rPr>
            <sz val="9"/>
            <color indexed="81"/>
            <rFont val="Tahoma"/>
            <charset val="1"/>
          </rPr>
          <t>Ouvrage identique à 1.1</t>
        </r>
      </text>
    </comment>
    <comment ref="H1526" authorId="0" shapeId="0">
      <text>
        <r>
          <rPr>
            <sz val="9"/>
            <color indexed="81"/>
            <rFont val="Tahoma"/>
            <charset val="1"/>
          </rPr>
          <t>Ouvrage identique à 1.2</t>
        </r>
      </text>
    </comment>
    <comment ref="H1528" authorId="0" shapeId="0">
      <text>
        <r>
          <rPr>
            <sz val="9"/>
            <color indexed="81"/>
            <rFont val="Tahoma"/>
            <charset val="1"/>
          </rPr>
          <t>Ouvrage identique à 1.3.1</t>
        </r>
      </text>
    </comment>
    <comment ref="H1529" authorId="0" shapeId="0">
      <text>
        <r>
          <rPr>
            <sz val="9"/>
            <color indexed="81"/>
            <rFont val="Tahoma"/>
            <charset val="1"/>
          </rPr>
          <t>Ouvrage identique à 1.3.2</t>
        </r>
      </text>
    </comment>
    <comment ref="H1530" authorId="0" shapeId="0">
      <text>
        <r>
          <rPr>
            <sz val="9"/>
            <color indexed="81"/>
            <rFont val="Tahoma"/>
            <charset val="1"/>
          </rPr>
          <t>Ouvrage identique à 1.3.3</t>
        </r>
      </text>
    </comment>
    <comment ref="H1531" authorId="0" shapeId="0">
      <text>
        <r>
          <rPr>
            <sz val="9"/>
            <color indexed="81"/>
            <rFont val="Tahoma"/>
            <charset val="1"/>
          </rPr>
          <t>Ouvrage identique à 1.3.4</t>
        </r>
      </text>
    </comment>
    <comment ref="H1532" authorId="0" shapeId="0">
      <text>
        <r>
          <rPr>
            <sz val="9"/>
            <color indexed="81"/>
            <rFont val="Tahoma"/>
            <charset val="1"/>
          </rPr>
          <t>Ouvrage identique à 1.4</t>
        </r>
      </text>
    </comment>
    <comment ref="H1533" authorId="0" shapeId="0">
      <text>
        <r>
          <rPr>
            <sz val="9"/>
            <color indexed="81"/>
            <rFont val="Tahoma"/>
            <charset val="1"/>
          </rPr>
          <t>Ouvrage identique à 1.5</t>
        </r>
      </text>
    </comment>
    <comment ref="H1534" authorId="0" shapeId="0">
      <text>
        <r>
          <rPr>
            <sz val="9"/>
            <color indexed="81"/>
            <rFont val="Tahoma"/>
            <charset val="1"/>
          </rPr>
          <t>Ouvrage identique à 1.6</t>
        </r>
      </text>
    </comment>
    <comment ref="H1535" authorId="0" shapeId="0">
      <text>
        <r>
          <rPr>
            <sz val="9"/>
            <color indexed="81"/>
            <rFont val="Tahoma"/>
            <charset val="1"/>
          </rPr>
          <t>Ouvrage identique à 1.7</t>
        </r>
      </text>
    </comment>
    <comment ref="H1536" authorId="0" shapeId="0">
      <text>
        <r>
          <rPr>
            <sz val="9"/>
            <color indexed="81"/>
            <rFont val="Tahoma"/>
            <charset val="1"/>
          </rPr>
          <t>Ouvrage identique à 1.8</t>
        </r>
      </text>
    </comment>
    <comment ref="H1537" authorId="0" shapeId="0">
      <text>
        <r>
          <rPr>
            <sz val="9"/>
            <color indexed="81"/>
            <rFont val="Tahoma"/>
            <charset val="1"/>
          </rPr>
          <t>Ouvrage identique à 1.9</t>
        </r>
      </text>
    </comment>
    <comment ref="H1541" authorId="0" shapeId="0">
      <text>
        <r>
          <rPr>
            <sz val="9"/>
            <color indexed="81"/>
            <rFont val="Tahoma"/>
            <charset val="1"/>
          </rPr>
          <t>Ouvrage identique à 2.1.1</t>
        </r>
      </text>
    </comment>
    <comment ref="H1542" authorId="0" shapeId="0">
      <text>
        <r>
          <rPr>
            <sz val="9"/>
            <color indexed="81"/>
            <rFont val="Tahoma"/>
            <charset val="1"/>
          </rPr>
          <t>Ouvrage identique à 2.1.2</t>
        </r>
      </text>
    </comment>
    <comment ref="H1543" authorId="0" shapeId="0">
      <text>
        <r>
          <rPr>
            <sz val="9"/>
            <color indexed="81"/>
            <rFont val="Tahoma"/>
            <charset val="1"/>
          </rPr>
          <t>Ouvrage identique à 2.1.3</t>
        </r>
      </text>
    </comment>
    <comment ref="H1544" authorId="0" shapeId="0">
      <text>
        <r>
          <rPr>
            <sz val="9"/>
            <color indexed="81"/>
            <rFont val="Tahoma"/>
            <charset val="1"/>
          </rPr>
          <t>Ouvrage identique à 2.2</t>
        </r>
      </text>
    </comment>
    <comment ref="H1545" authorId="0" shapeId="0">
      <text>
        <r>
          <rPr>
            <sz val="9"/>
            <color indexed="81"/>
            <rFont val="Tahoma"/>
            <charset val="1"/>
          </rPr>
          <t>Ouvrage identique à 2.3</t>
        </r>
      </text>
    </comment>
    <comment ref="H1547" authorId="0" shapeId="0">
      <text>
        <r>
          <rPr>
            <sz val="9"/>
            <color indexed="81"/>
            <rFont val="Tahoma"/>
            <charset val="1"/>
          </rPr>
          <t>Ouvrage identique à 2.4.1</t>
        </r>
      </text>
    </comment>
    <comment ref="H1548" authorId="0" shapeId="0">
      <text>
        <r>
          <rPr>
            <sz val="9"/>
            <color indexed="81"/>
            <rFont val="Tahoma"/>
            <charset val="1"/>
          </rPr>
          <t>Ouvrage identique à 2.4.2</t>
        </r>
      </text>
    </comment>
    <comment ref="H1549" authorId="0" shapeId="0">
      <text>
        <r>
          <rPr>
            <sz val="9"/>
            <color indexed="81"/>
            <rFont val="Tahoma"/>
            <charset val="1"/>
          </rPr>
          <t>Ouvrage identique à 2.4.3</t>
        </r>
      </text>
    </comment>
    <comment ref="H1551" authorId="0" shapeId="0">
      <text>
        <r>
          <rPr>
            <sz val="9"/>
            <color indexed="81"/>
            <rFont val="Tahoma"/>
            <charset val="1"/>
          </rPr>
          <t>Ouvrage identique à 2.5.1</t>
        </r>
      </text>
    </comment>
    <comment ref="H1552" authorId="0" shapeId="0">
      <text>
        <r>
          <rPr>
            <sz val="9"/>
            <color indexed="81"/>
            <rFont val="Tahoma"/>
            <charset val="1"/>
          </rPr>
          <t>Ouvrage identique à 2.5.2</t>
        </r>
      </text>
    </comment>
    <comment ref="H1553" authorId="0" shapeId="0">
      <text>
        <r>
          <rPr>
            <sz val="9"/>
            <color indexed="81"/>
            <rFont val="Tahoma"/>
            <charset val="1"/>
          </rPr>
          <t>Ouvrage identique à 2.5.3</t>
        </r>
      </text>
    </comment>
    <comment ref="H1554" authorId="0" shapeId="0">
      <text>
        <r>
          <rPr>
            <sz val="9"/>
            <color indexed="81"/>
            <rFont val="Tahoma"/>
            <charset val="1"/>
          </rPr>
          <t>Ouvrage identique à 2.6</t>
        </r>
      </text>
    </comment>
    <comment ref="H1556" authorId="0" shapeId="0">
      <text>
        <r>
          <rPr>
            <sz val="9"/>
            <color indexed="81"/>
            <rFont val="Tahoma"/>
            <charset val="1"/>
          </rPr>
          <t>Ouvrage identique à 2.7.1</t>
        </r>
      </text>
    </comment>
    <comment ref="H1557" authorId="0" shapeId="0">
      <text>
        <r>
          <rPr>
            <sz val="9"/>
            <color indexed="81"/>
            <rFont val="Tahoma"/>
            <charset val="1"/>
          </rPr>
          <t>Ouvrage identique à 2.7.2</t>
        </r>
      </text>
    </comment>
    <comment ref="H1558" authorId="0" shapeId="0">
      <text>
        <r>
          <rPr>
            <sz val="9"/>
            <color indexed="81"/>
            <rFont val="Tahoma"/>
            <charset val="1"/>
          </rPr>
          <t>Ouvrage identique à 2.7.3</t>
        </r>
      </text>
    </comment>
    <comment ref="H1559" authorId="0" shapeId="0">
      <text>
        <r>
          <rPr>
            <sz val="9"/>
            <color indexed="81"/>
            <rFont val="Tahoma"/>
            <charset val="1"/>
          </rPr>
          <t>Ouvrage identique à 2.7.4</t>
        </r>
      </text>
    </comment>
    <comment ref="H1560" authorId="0" shapeId="0">
      <text>
        <r>
          <rPr>
            <sz val="9"/>
            <color indexed="81"/>
            <rFont val="Tahoma"/>
            <charset val="1"/>
          </rPr>
          <t>Ouvrage identique à 2.7.5</t>
        </r>
      </text>
    </comment>
    <comment ref="H1562" authorId="0" shapeId="0">
      <text>
        <r>
          <rPr>
            <sz val="9"/>
            <color indexed="81"/>
            <rFont val="Tahoma"/>
            <charset val="1"/>
          </rPr>
          <t>Ouvrage identique à 2.8.1</t>
        </r>
      </text>
    </comment>
    <comment ref="H1563" authorId="0" shapeId="0">
      <text>
        <r>
          <rPr>
            <sz val="9"/>
            <color indexed="81"/>
            <rFont val="Tahoma"/>
            <charset val="1"/>
          </rPr>
          <t>Ouvrage identique à 2.8.2</t>
        </r>
      </text>
    </comment>
    <comment ref="H1564" authorId="0" shapeId="0">
      <text>
        <r>
          <rPr>
            <sz val="9"/>
            <color indexed="81"/>
            <rFont val="Tahoma"/>
            <charset val="1"/>
          </rPr>
          <t>Ouvrage identique à 2.8.3</t>
        </r>
      </text>
    </comment>
    <comment ref="H1565" authorId="0" shapeId="0">
      <text>
        <r>
          <rPr>
            <sz val="9"/>
            <color indexed="81"/>
            <rFont val="Tahoma"/>
            <charset val="1"/>
          </rPr>
          <t>Ouvrage identique à 2.8.4</t>
        </r>
      </text>
    </comment>
    <comment ref="H1566" authorId="0" shapeId="0">
      <text>
        <r>
          <rPr>
            <sz val="9"/>
            <color indexed="81"/>
            <rFont val="Tahoma"/>
            <charset val="1"/>
          </rPr>
          <t>Ouvrage identique à 2.8.5</t>
        </r>
      </text>
    </comment>
    <comment ref="H1567" authorId="0" shapeId="0">
      <text>
        <r>
          <rPr>
            <sz val="9"/>
            <color indexed="81"/>
            <rFont val="Tahoma"/>
            <charset val="1"/>
          </rPr>
          <t>Ouvrage identique à 2.8.6</t>
        </r>
      </text>
    </comment>
    <comment ref="H1568" authorId="0" shapeId="0">
      <text>
        <r>
          <rPr>
            <sz val="9"/>
            <color indexed="81"/>
            <rFont val="Tahoma"/>
            <charset val="1"/>
          </rPr>
          <t>Ouvrage identique à 2.8.7</t>
        </r>
      </text>
    </comment>
    <comment ref="H1569" authorId="0" shapeId="0">
      <text>
        <r>
          <rPr>
            <sz val="9"/>
            <color indexed="81"/>
            <rFont val="Tahoma"/>
            <charset val="1"/>
          </rPr>
          <t>Ouvrage identique à 2.8.8</t>
        </r>
      </text>
    </comment>
    <comment ref="H1570" authorId="0" shapeId="0">
      <text>
        <r>
          <rPr>
            <sz val="9"/>
            <color indexed="81"/>
            <rFont val="Tahoma"/>
            <charset val="1"/>
          </rPr>
          <t>Ouvrage identique à 2.9</t>
        </r>
      </text>
    </comment>
    <comment ref="H1572" authorId="0" shapeId="0">
      <text>
        <r>
          <rPr>
            <sz val="9"/>
            <color indexed="81"/>
            <rFont val="Tahoma"/>
            <charset val="1"/>
          </rPr>
          <t>Ouvrage identique à 2.10.1</t>
        </r>
      </text>
    </comment>
    <comment ref="H1573" authorId="0" shapeId="0">
      <text>
        <r>
          <rPr>
            <sz val="9"/>
            <color indexed="81"/>
            <rFont val="Tahoma"/>
            <charset val="1"/>
          </rPr>
          <t>Ouvrage identique à 2.10.2</t>
        </r>
      </text>
    </comment>
    <comment ref="H1574" authorId="0" shapeId="0">
      <text>
        <r>
          <rPr>
            <sz val="9"/>
            <color indexed="81"/>
            <rFont val="Tahoma"/>
            <charset val="1"/>
          </rPr>
          <t>Ouvrage identique à 2.11</t>
        </r>
      </text>
    </comment>
    <comment ref="H1576" authorId="0" shapeId="0">
      <text>
        <r>
          <rPr>
            <sz val="9"/>
            <color indexed="81"/>
            <rFont val="Tahoma"/>
            <charset val="1"/>
          </rPr>
          <t>Ouvrage identique à 2.12.1</t>
        </r>
      </text>
    </comment>
    <comment ref="H1577" authorId="0" shapeId="0">
      <text>
        <r>
          <rPr>
            <sz val="9"/>
            <color indexed="81"/>
            <rFont val="Tahoma"/>
            <charset val="1"/>
          </rPr>
          <t>Ouvrage identique à 2.12.2</t>
        </r>
      </text>
    </comment>
    <comment ref="H1580" authorId="0" shapeId="0">
      <text>
        <r>
          <rPr>
            <sz val="9"/>
            <color indexed="81"/>
            <rFont val="Tahoma"/>
            <charset val="1"/>
          </rPr>
          <t>Ouvrage identique à 3.1</t>
        </r>
      </text>
    </comment>
    <comment ref="H1581" authorId="0" shapeId="0">
      <text>
        <r>
          <rPr>
            <sz val="9"/>
            <color indexed="81"/>
            <rFont val="Tahoma"/>
            <charset val="1"/>
          </rPr>
          <t>Ouvrage identique à 3.2</t>
        </r>
      </text>
    </comment>
    <comment ref="H1582" authorId="0" shapeId="0">
      <text>
        <r>
          <rPr>
            <sz val="9"/>
            <color indexed="81"/>
            <rFont val="Tahoma"/>
            <charset val="1"/>
          </rPr>
          <t>Ouvrage identique à 3.3</t>
        </r>
      </text>
    </comment>
    <comment ref="H1583" authorId="0" shapeId="0">
      <text>
        <r>
          <rPr>
            <sz val="9"/>
            <color indexed="81"/>
            <rFont val="Tahoma"/>
            <charset val="1"/>
          </rPr>
          <t>Ouvrage identique à 3.4</t>
        </r>
      </text>
    </comment>
    <comment ref="H1584" authorId="0" shapeId="0">
      <text>
        <r>
          <rPr>
            <sz val="9"/>
            <color indexed="81"/>
            <rFont val="Tahoma"/>
            <charset val="1"/>
          </rPr>
          <t>Ouvrage identique à 3.5</t>
        </r>
      </text>
    </comment>
    <comment ref="H1585" authorId="0" shapeId="0">
      <text>
        <r>
          <rPr>
            <sz val="9"/>
            <color indexed="81"/>
            <rFont val="Tahoma"/>
            <charset val="1"/>
          </rPr>
          <t>Ouvrage identique à 3.6</t>
        </r>
      </text>
    </comment>
    <comment ref="H1586" authorId="0" shapeId="0">
      <text>
        <r>
          <rPr>
            <sz val="9"/>
            <color indexed="81"/>
            <rFont val="Tahoma"/>
            <charset val="1"/>
          </rPr>
          <t>Ouvrage identique à 3.7</t>
        </r>
      </text>
    </comment>
    <comment ref="H1587" authorId="0" shapeId="0">
      <text>
        <r>
          <rPr>
            <sz val="9"/>
            <color indexed="81"/>
            <rFont val="Tahoma"/>
            <charset val="1"/>
          </rPr>
          <t>Ouvrage identique à 3.8</t>
        </r>
      </text>
    </comment>
    <comment ref="H1589" authorId="0" shapeId="0">
      <text>
        <r>
          <rPr>
            <sz val="9"/>
            <color indexed="81"/>
            <rFont val="Tahoma"/>
            <charset val="1"/>
          </rPr>
          <t>Ouvrage identique à 3.9.1</t>
        </r>
      </text>
    </comment>
    <comment ref="H1590" authorId="0" shapeId="0">
      <text>
        <r>
          <rPr>
            <sz val="9"/>
            <color indexed="81"/>
            <rFont val="Tahoma"/>
            <charset val="1"/>
          </rPr>
          <t>Ouvrage identique à 3.9.2</t>
        </r>
      </text>
    </comment>
    <comment ref="H1591" authorId="0" shapeId="0">
      <text>
        <r>
          <rPr>
            <sz val="9"/>
            <color indexed="81"/>
            <rFont val="Tahoma"/>
            <charset val="1"/>
          </rPr>
          <t>Ouvrage identique à 3.9.3</t>
        </r>
      </text>
    </comment>
    <comment ref="H1592" authorId="0" shapeId="0">
      <text>
        <r>
          <rPr>
            <sz val="9"/>
            <color indexed="81"/>
            <rFont val="Tahoma"/>
            <charset val="1"/>
          </rPr>
          <t>Ouvrage identique à 3.9.4</t>
        </r>
      </text>
    </comment>
    <comment ref="H1593" authorId="0" shapeId="0">
      <text>
        <r>
          <rPr>
            <sz val="9"/>
            <color indexed="81"/>
            <rFont val="Tahoma"/>
            <charset val="1"/>
          </rPr>
          <t>Ouvrage identique à 3.9.5</t>
        </r>
      </text>
    </comment>
    <comment ref="H1594" authorId="0" shapeId="0">
      <text>
        <r>
          <rPr>
            <sz val="9"/>
            <color indexed="81"/>
            <rFont val="Tahoma"/>
            <charset val="1"/>
          </rPr>
          <t>Ouvrage identique à 3.10</t>
        </r>
      </text>
    </comment>
    <comment ref="H1595" authorId="0" shapeId="0">
      <text>
        <r>
          <rPr>
            <sz val="9"/>
            <color indexed="81"/>
            <rFont val="Tahoma"/>
            <charset val="1"/>
          </rPr>
          <t>Ouvrage identique à 3.11</t>
        </r>
      </text>
    </comment>
    <comment ref="H1596" authorId="0" shapeId="0">
      <text>
        <r>
          <rPr>
            <sz val="9"/>
            <color indexed="81"/>
            <rFont val="Tahoma"/>
            <charset val="1"/>
          </rPr>
          <t>Ouvrage identique à 3.12</t>
        </r>
      </text>
    </comment>
    <comment ref="H1597" authorId="0" shapeId="0">
      <text>
        <r>
          <rPr>
            <sz val="9"/>
            <color indexed="81"/>
            <rFont val="Tahoma"/>
            <charset val="1"/>
          </rPr>
          <t>Ouvrage identique à 3.13</t>
        </r>
      </text>
    </comment>
    <comment ref="H1598" authorId="0" shapeId="0">
      <text>
        <r>
          <rPr>
            <sz val="9"/>
            <color indexed="81"/>
            <rFont val="Tahoma"/>
            <charset val="1"/>
          </rPr>
          <t>Ouvrage identique à 3.14</t>
        </r>
      </text>
    </comment>
    <comment ref="H1599" authorId="0" shapeId="0">
      <text>
        <r>
          <rPr>
            <sz val="9"/>
            <color indexed="81"/>
            <rFont val="Tahoma"/>
            <charset val="1"/>
          </rPr>
          <t>Ouvrage identique à 3.15</t>
        </r>
      </text>
    </comment>
    <comment ref="H1603" authorId="0" shapeId="0">
      <text>
        <r>
          <rPr>
            <sz val="9"/>
            <color indexed="81"/>
            <rFont val="Tahoma"/>
            <charset val="1"/>
          </rPr>
          <t>Ouvrage identique à 4.1.1</t>
        </r>
      </text>
    </comment>
    <comment ref="H1604" authorId="0" shapeId="0">
      <text>
        <r>
          <rPr>
            <sz val="9"/>
            <color indexed="81"/>
            <rFont val="Tahoma"/>
            <charset val="1"/>
          </rPr>
          <t>Ouvrage identique à 4.1.2</t>
        </r>
      </text>
    </comment>
    <comment ref="H1605" authorId="0" shapeId="0">
      <text>
        <r>
          <rPr>
            <sz val="9"/>
            <color indexed="81"/>
            <rFont val="Tahoma"/>
            <charset val="1"/>
          </rPr>
          <t>Ouvrage identique à 4.1.3</t>
        </r>
      </text>
    </comment>
    <comment ref="H1606" authorId="0" shapeId="0">
      <text>
        <r>
          <rPr>
            <sz val="9"/>
            <color indexed="81"/>
            <rFont val="Tahoma"/>
            <charset val="1"/>
          </rPr>
          <t>Ouvrage identique à 4.1.4</t>
        </r>
      </text>
    </comment>
    <comment ref="H1608" authorId="0" shapeId="0">
      <text>
        <r>
          <rPr>
            <sz val="9"/>
            <color indexed="81"/>
            <rFont val="Tahoma"/>
            <charset val="1"/>
          </rPr>
          <t>Ouvrage identique à 4.2.1</t>
        </r>
      </text>
    </comment>
    <comment ref="H1609" authorId="0" shapeId="0">
      <text>
        <r>
          <rPr>
            <sz val="9"/>
            <color indexed="81"/>
            <rFont val="Tahoma"/>
            <charset val="1"/>
          </rPr>
          <t>Ouvrage identique à 4.2.2</t>
        </r>
      </text>
    </comment>
    <comment ref="H1611" authorId="0" shapeId="0">
      <text>
        <r>
          <rPr>
            <sz val="9"/>
            <color indexed="81"/>
            <rFont val="Tahoma"/>
            <charset val="1"/>
          </rPr>
          <t>Ouvrage identique à 4.3.1</t>
        </r>
      </text>
    </comment>
    <comment ref="H1612" authorId="0" shapeId="0">
      <text>
        <r>
          <rPr>
            <sz val="9"/>
            <color indexed="81"/>
            <rFont val="Tahoma"/>
            <charset val="1"/>
          </rPr>
          <t>Ouvrage identique à 4.3.2</t>
        </r>
      </text>
    </comment>
    <comment ref="H1614" authorId="0" shapeId="0">
      <text>
        <r>
          <rPr>
            <sz val="9"/>
            <color indexed="81"/>
            <rFont val="Tahoma"/>
            <charset val="1"/>
          </rPr>
          <t>Ouvrage identique à 4.4.1</t>
        </r>
      </text>
    </comment>
    <comment ref="H1616" authorId="0" shapeId="0">
      <text>
        <r>
          <rPr>
            <sz val="9"/>
            <color indexed="81"/>
            <rFont val="Tahoma"/>
            <charset val="1"/>
          </rPr>
          <t>Ouvrage identique à 4.5.1</t>
        </r>
      </text>
    </comment>
    <comment ref="H1618" authorId="0" shapeId="0">
      <text>
        <r>
          <rPr>
            <sz val="9"/>
            <color indexed="81"/>
            <rFont val="Tahoma"/>
            <charset val="1"/>
          </rPr>
          <t>Ouvrage identique à 4.6.1</t>
        </r>
      </text>
    </comment>
    <comment ref="H1619" authorId="0" shapeId="0">
      <text>
        <r>
          <rPr>
            <sz val="9"/>
            <color indexed="81"/>
            <rFont val="Tahoma"/>
            <charset val="1"/>
          </rPr>
          <t>Ouvrage identique à 4.6.2</t>
        </r>
      </text>
    </comment>
    <comment ref="H1621" authorId="0" shapeId="0">
      <text>
        <r>
          <rPr>
            <sz val="9"/>
            <color indexed="81"/>
            <rFont val="Tahoma"/>
            <charset val="1"/>
          </rPr>
          <t>Ouvrage identique à 4.7.1</t>
        </r>
      </text>
    </comment>
    <comment ref="H1622" authorId="0" shapeId="0">
      <text>
        <r>
          <rPr>
            <sz val="9"/>
            <color indexed="81"/>
            <rFont val="Tahoma"/>
            <charset val="1"/>
          </rPr>
          <t>Ouvrage identique à 4.7.2</t>
        </r>
      </text>
    </comment>
    <comment ref="H1624" authorId="0" shapeId="0">
      <text>
        <r>
          <rPr>
            <sz val="9"/>
            <color indexed="81"/>
            <rFont val="Tahoma"/>
            <charset val="1"/>
          </rPr>
          <t>Ouvrage identique à 4.8.1</t>
        </r>
      </text>
    </comment>
    <comment ref="H1625" authorId="0" shapeId="0">
      <text>
        <r>
          <rPr>
            <sz val="9"/>
            <color indexed="81"/>
            <rFont val="Tahoma"/>
            <charset val="1"/>
          </rPr>
          <t>Ouvrage identique à 4.8.2</t>
        </r>
      </text>
    </comment>
    <comment ref="H1627" authorId="0" shapeId="0">
      <text>
        <r>
          <rPr>
            <sz val="9"/>
            <color indexed="81"/>
            <rFont val="Tahoma"/>
            <charset val="1"/>
          </rPr>
          <t>Ouvrage identique à 4.9.1</t>
        </r>
      </text>
    </comment>
    <comment ref="H1628" authorId="0" shapeId="0">
      <text>
        <r>
          <rPr>
            <sz val="9"/>
            <color indexed="81"/>
            <rFont val="Tahoma"/>
            <charset val="1"/>
          </rPr>
          <t>Ouvrage identique à 4.9.2</t>
        </r>
      </text>
    </comment>
    <comment ref="H1630" authorId="0" shapeId="0">
      <text>
        <r>
          <rPr>
            <sz val="9"/>
            <color indexed="81"/>
            <rFont val="Tahoma"/>
            <charset val="1"/>
          </rPr>
          <t>Ouvrage identique à 4.10.1</t>
        </r>
      </text>
    </comment>
    <comment ref="H1632" authorId="0" shapeId="0">
      <text>
        <r>
          <rPr>
            <sz val="9"/>
            <color indexed="81"/>
            <rFont val="Tahoma"/>
            <charset val="1"/>
          </rPr>
          <t>Ouvrage identique à 4.11.1</t>
        </r>
      </text>
    </comment>
    <comment ref="H1633" authorId="0" shapeId="0">
      <text>
        <r>
          <rPr>
            <sz val="9"/>
            <color indexed="81"/>
            <rFont val="Tahoma"/>
            <charset val="1"/>
          </rPr>
          <t>Ouvrage identique à 4.11.2</t>
        </r>
      </text>
    </comment>
    <comment ref="H1634" authorId="0" shapeId="0">
      <text>
        <r>
          <rPr>
            <sz val="9"/>
            <color indexed="81"/>
            <rFont val="Tahoma"/>
            <charset val="1"/>
          </rPr>
          <t>Ouvrage identique à 4.11.3</t>
        </r>
      </text>
    </comment>
    <comment ref="H1636" authorId="0" shapeId="0">
      <text>
        <r>
          <rPr>
            <sz val="9"/>
            <color indexed="81"/>
            <rFont val="Tahoma"/>
            <charset val="1"/>
          </rPr>
          <t>Ouvrage identique à 4.12.1</t>
        </r>
      </text>
    </comment>
    <comment ref="H1637" authorId="0" shapeId="0">
      <text>
        <r>
          <rPr>
            <sz val="9"/>
            <color indexed="81"/>
            <rFont val="Tahoma"/>
            <charset val="1"/>
          </rPr>
          <t>Ouvrage identique à 4.12.2</t>
        </r>
      </text>
    </comment>
    <comment ref="H1639" authorId="0" shapeId="0">
      <text>
        <r>
          <rPr>
            <sz val="9"/>
            <color indexed="81"/>
            <rFont val="Tahoma"/>
            <charset val="1"/>
          </rPr>
          <t>Ouvrage identique à 4.13.1</t>
        </r>
      </text>
    </comment>
    <comment ref="H1640" authorId="0" shapeId="0">
      <text>
        <r>
          <rPr>
            <sz val="9"/>
            <color indexed="81"/>
            <rFont val="Tahoma"/>
            <charset val="1"/>
          </rPr>
          <t>Ouvrage identique à 4.13.2</t>
        </r>
      </text>
    </comment>
    <comment ref="H1642" authorId="0" shapeId="0">
      <text>
        <r>
          <rPr>
            <sz val="9"/>
            <color indexed="81"/>
            <rFont val="Tahoma"/>
            <charset val="1"/>
          </rPr>
          <t>Ouvrage identique à 4.14.1</t>
        </r>
      </text>
    </comment>
    <comment ref="H1644" authorId="0" shapeId="0">
      <text>
        <r>
          <rPr>
            <sz val="9"/>
            <color indexed="81"/>
            <rFont val="Tahoma"/>
            <charset val="1"/>
          </rPr>
          <t>Ouvrage identique à 4.15.1</t>
        </r>
      </text>
    </comment>
    <comment ref="H1645" authorId="0" shapeId="0">
      <text>
        <r>
          <rPr>
            <sz val="9"/>
            <color indexed="81"/>
            <rFont val="Tahoma"/>
            <charset val="1"/>
          </rPr>
          <t>Ouvrage identique à 4.15.2</t>
        </r>
      </text>
    </comment>
    <comment ref="H1646" authorId="0" shapeId="0">
      <text>
        <r>
          <rPr>
            <sz val="9"/>
            <color indexed="81"/>
            <rFont val="Tahoma"/>
            <charset val="1"/>
          </rPr>
          <t>Ouvrage identique à 4.15.3</t>
        </r>
      </text>
    </comment>
    <comment ref="H1648" authorId="0" shapeId="0">
      <text>
        <r>
          <rPr>
            <sz val="9"/>
            <color indexed="81"/>
            <rFont val="Tahoma"/>
            <charset val="1"/>
          </rPr>
          <t>Ouvrage identique à 4.16.1</t>
        </r>
      </text>
    </comment>
    <comment ref="H1649" authorId="0" shapeId="0">
      <text>
        <r>
          <rPr>
            <sz val="9"/>
            <color indexed="81"/>
            <rFont val="Tahoma"/>
            <charset val="1"/>
          </rPr>
          <t>Ouvrage identique à 4.16.2</t>
        </r>
      </text>
    </comment>
    <comment ref="H1650" authorId="0" shapeId="0">
      <text>
        <r>
          <rPr>
            <sz val="9"/>
            <color indexed="81"/>
            <rFont val="Tahoma"/>
            <charset val="1"/>
          </rPr>
          <t>Ouvrage identique à 4.16.3</t>
        </r>
      </text>
    </comment>
    <comment ref="H1651" authorId="0" shapeId="0">
      <text>
        <r>
          <rPr>
            <sz val="9"/>
            <color indexed="81"/>
            <rFont val="Tahoma"/>
            <charset val="1"/>
          </rPr>
          <t>Ouvrage identique à 4.16.4</t>
        </r>
      </text>
    </comment>
    <comment ref="H1653" authorId="0" shapeId="0">
      <text>
        <r>
          <rPr>
            <sz val="9"/>
            <color indexed="81"/>
            <rFont val="Tahoma"/>
            <charset val="1"/>
          </rPr>
          <t>Ouvrage identique à 4.17.1</t>
        </r>
      </text>
    </comment>
    <comment ref="H1654" authorId="0" shapeId="0">
      <text>
        <r>
          <rPr>
            <sz val="9"/>
            <color indexed="81"/>
            <rFont val="Tahoma"/>
            <charset val="1"/>
          </rPr>
          <t>Ouvrage identique à 4.17.2</t>
        </r>
      </text>
    </comment>
    <comment ref="H1655" authorId="0" shapeId="0">
      <text>
        <r>
          <rPr>
            <sz val="9"/>
            <color indexed="81"/>
            <rFont val="Tahoma"/>
            <charset val="1"/>
          </rPr>
          <t>Ouvrage identique à 4.17.3</t>
        </r>
      </text>
    </comment>
    <comment ref="H1659" authorId="0" shapeId="0">
      <text>
        <r>
          <rPr>
            <sz val="9"/>
            <color indexed="81"/>
            <rFont val="Tahoma"/>
            <charset val="1"/>
          </rPr>
          <t>Ouvrage identique à 5.1.1</t>
        </r>
      </text>
    </comment>
    <comment ref="H1660" authorId="0" shapeId="0">
      <text>
        <r>
          <rPr>
            <sz val="9"/>
            <color indexed="81"/>
            <rFont val="Tahoma"/>
            <charset val="1"/>
          </rPr>
          <t>Ouvrage identique à 5.1.2</t>
        </r>
      </text>
    </comment>
    <comment ref="H1661" authorId="0" shapeId="0">
      <text>
        <r>
          <rPr>
            <sz val="9"/>
            <color indexed="81"/>
            <rFont val="Tahoma"/>
            <charset val="1"/>
          </rPr>
          <t>Ouvrage identique à 5.1.3</t>
        </r>
      </text>
    </comment>
    <comment ref="H1662" authorId="0" shapeId="0">
      <text>
        <r>
          <rPr>
            <sz val="9"/>
            <color indexed="81"/>
            <rFont val="Tahoma"/>
            <charset val="1"/>
          </rPr>
          <t>Ouvrage identique à 5.1.4</t>
        </r>
      </text>
    </comment>
    <comment ref="H1663" authorId="0" shapeId="0">
      <text>
        <r>
          <rPr>
            <sz val="9"/>
            <color indexed="81"/>
            <rFont val="Tahoma"/>
            <charset val="1"/>
          </rPr>
          <t>Ouvrage identique à 5.1.5</t>
        </r>
      </text>
    </comment>
    <comment ref="H1664" authorId="0" shapeId="0">
      <text>
        <r>
          <rPr>
            <sz val="9"/>
            <color indexed="81"/>
            <rFont val="Tahoma"/>
            <charset val="1"/>
          </rPr>
          <t>Ouvrage identique à 5.1.6</t>
        </r>
      </text>
    </comment>
    <comment ref="H1665" authorId="0" shapeId="0">
      <text>
        <r>
          <rPr>
            <sz val="9"/>
            <color indexed="81"/>
            <rFont val="Tahoma"/>
            <charset val="1"/>
          </rPr>
          <t>Ouvrage identique à 5.1.7</t>
        </r>
      </text>
    </comment>
    <comment ref="H1666" authorId="0" shapeId="0">
      <text>
        <r>
          <rPr>
            <sz val="9"/>
            <color indexed="81"/>
            <rFont val="Tahoma"/>
            <charset val="1"/>
          </rPr>
          <t>Ouvrage identique à 5.1.8</t>
        </r>
      </text>
    </comment>
    <comment ref="H1667" authorId="0" shapeId="0">
      <text>
        <r>
          <rPr>
            <sz val="9"/>
            <color indexed="81"/>
            <rFont val="Tahoma"/>
            <charset val="1"/>
          </rPr>
          <t>Ouvrage identique à 5.1.9</t>
        </r>
      </text>
    </comment>
    <comment ref="H1668" authorId="0" shapeId="0">
      <text>
        <r>
          <rPr>
            <sz val="9"/>
            <color indexed="81"/>
            <rFont val="Tahoma"/>
            <charset val="1"/>
          </rPr>
          <t>Ouvrage identique à 5.1.10</t>
        </r>
      </text>
    </comment>
    <comment ref="H1669" authorId="0" shapeId="0">
      <text>
        <r>
          <rPr>
            <sz val="9"/>
            <color indexed="81"/>
            <rFont val="Tahoma"/>
            <charset val="1"/>
          </rPr>
          <t>Ouvrage identique à 5.2</t>
        </r>
      </text>
    </comment>
    <comment ref="H1670" authorId="0" shapeId="0">
      <text>
        <r>
          <rPr>
            <sz val="9"/>
            <color indexed="81"/>
            <rFont val="Tahoma"/>
            <charset val="1"/>
          </rPr>
          <t>Ouvrage identique à 5.3</t>
        </r>
      </text>
    </comment>
    <comment ref="H1671" authorId="0" shapeId="0">
      <text>
        <r>
          <rPr>
            <sz val="9"/>
            <color indexed="81"/>
            <rFont val="Tahoma"/>
            <charset val="1"/>
          </rPr>
          <t>Ouvrage identique à 5.4</t>
        </r>
      </text>
    </comment>
    <comment ref="H1672" authorId="0" shapeId="0">
      <text>
        <r>
          <rPr>
            <sz val="9"/>
            <color indexed="81"/>
            <rFont val="Tahoma"/>
            <charset val="1"/>
          </rPr>
          <t>Ouvrage identique à 5.5</t>
        </r>
      </text>
    </comment>
    <comment ref="H1673" authorId="0" shapeId="0">
      <text>
        <r>
          <rPr>
            <sz val="9"/>
            <color indexed="81"/>
            <rFont val="Tahoma"/>
            <charset val="1"/>
          </rPr>
          <t>Ouvrage identique à 5.6</t>
        </r>
      </text>
    </comment>
    <comment ref="H1674" authorId="0" shapeId="0">
      <text>
        <r>
          <rPr>
            <sz val="9"/>
            <color indexed="81"/>
            <rFont val="Tahoma"/>
            <charset val="1"/>
          </rPr>
          <t>Ouvrage identique à 5.7</t>
        </r>
      </text>
    </comment>
    <comment ref="H1676" authorId="0" shapeId="0">
      <text>
        <r>
          <rPr>
            <sz val="9"/>
            <color indexed="81"/>
            <rFont val="Tahoma"/>
            <charset val="1"/>
          </rPr>
          <t>Ouvrage identique à 5.8.1</t>
        </r>
      </text>
    </comment>
    <comment ref="H1677" authorId="0" shapeId="0">
      <text>
        <r>
          <rPr>
            <sz val="9"/>
            <color indexed="81"/>
            <rFont val="Tahoma"/>
            <charset val="1"/>
          </rPr>
          <t>Ouvrage identique à 5.8.2</t>
        </r>
      </text>
    </comment>
    <comment ref="H1678" authorId="0" shapeId="0">
      <text>
        <r>
          <rPr>
            <sz val="9"/>
            <color indexed="81"/>
            <rFont val="Tahoma"/>
            <charset val="1"/>
          </rPr>
          <t>Ouvrage identique à 5.8.3</t>
        </r>
      </text>
    </comment>
    <comment ref="H1679" authorId="0" shapeId="0">
      <text>
        <r>
          <rPr>
            <sz val="9"/>
            <color indexed="81"/>
            <rFont val="Tahoma"/>
            <charset val="1"/>
          </rPr>
          <t>Ouvrage identique à 5.8.4</t>
        </r>
      </text>
    </comment>
    <comment ref="H1680" authorId="0" shapeId="0">
      <text>
        <r>
          <rPr>
            <sz val="9"/>
            <color indexed="81"/>
            <rFont val="Tahoma"/>
            <charset val="1"/>
          </rPr>
          <t>Ouvrage identique à 5.8.5</t>
        </r>
      </text>
    </comment>
    <comment ref="H1682" authorId="0" shapeId="0">
      <text>
        <r>
          <rPr>
            <sz val="9"/>
            <color indexed="81"/>
            <rFont val="Tahoma"/>
            <charset val="1"/>
          </rPr>
          <t>Ouvrage identique à 5.9.1</t>
        </r>
      </text>
    </comment>
    <comment ref="H1685" authorId="0" shapeId="0">
      <text>
        <r>
          <rPr>
            <sz val="9"/>
            <color indexed="81"/>
            <rFont val="Tahoma"/>
            <charset val="1"/>
          </rPr>
          <t>Ouvrage identique à 6.1</t>
        </r>
      </text>
    </comment>
    <comment ref="H1686" authorId="0" shapeId="0">
      <text>
        <r>
          <rPr>
            <sz val="9"/>
            <color indexed="81"/>
            <rFont val="Tahoma"/>
            <charset val="1"/>
          </rPr>
          <t>Ouvrage identique à 6.2</t>
        </r>
      </text>
    </comment>
    <comment ref="H1688" authorId="0" shapeId="0">
      <text>
        <r>
          <rPr>
            <sz val="9"/>
            <color indexed="81"/>
            <rFont val="Tahoma"/>
            <charset val="1"/>
          </rPr>
          <t>Ouvrage identique à 6.3.1</t>
        </r>
      </text>
    </comment>
    <comment ref="H1689" authorId="0" shapeId="0">
      <text>
        <r>
          <rPr>
            <sz val="9"/>
            <color indexed="81"/>
            <rFont val="Tahoma"/>
            <charset val="1"/>
          </rPr>
          <t>Ouvrage identique à 6.3.2</t>
        </r>
      </text>
    </comment>
    <comment ref="H1691" authorId="0" shapeId="0">
      <text>
        <r>
          <rPr>
            <sz val="9"/>
            <color indexed="81"/>
            <rFont val="Tahoma"/>
            <charset val="1"/>
          </rPr>
          <t>Ouvrage identique à 6.4.1</t>
        </r>
      </text>
    </comment>
    <comment ref="H1692" authorId="0" shapeId="0">
      <text>
        <r>
          <rPr>
            <sz val="9"/>
            <color indexed="81"/>
            <rFont val="Tahoma"/>
            <charset val="1"/>
          </rPr>
          <t>Ouvrage identique à 6.4.2</t>
        </r>
      </text>
    </comment>
    <comment ref="H1693" authorId="0" shapeId="0">
      <text>
        <r>
          <rPr>
            <sz val="9"/>
            <color indexed="81"/>
            <rFont val="Tahoma"/>
            <charset val="1"/>
          </rPr>
          <t>Ouvrage identique à 6.4.3</t>
        </r>
      </text>
    </comment>
    <comment ref="H1695" authorId="0" shapeId="0">
      <text>
        <r>
          <rPr>
            <sz val="9"/>
            <color indexed="81"/>
            <rFont val="Tahoma"/>
            <charset val="1"/>
          </rPr>
          <t>Ouvrage identique à 6.5.1</t>
        </r>
      </text>
    </comment>
    <comment ref="H1696" authorId="0" shapeId="0">
      <text>
        <r>
          <rPr>
            <sz val="9"/>
            <color indexed="81"/>
            <rFont val="Tahoma"/>
            <charset val="1"/>
          </rPr>
          <t>Ouvrage identique à 6.5.2</t>
        </r>
      </text>
    </comment>
    <comment ref="H1697" authorId="0" shapeId="0">
      <text>
        <r>
          <rPr>
            <sz val="9"/>
            <color indexed="81"/>
            <rFont val="Tahoma"/>
            <charset val="1"/>
          </rPr>
          <t>Ouvrage identique à 6.6</t>
        </r>
      </text>
    </comment>
    <comment ref="H1698" authorId="0" shapeId="0">
      <text>
        <r>
          <rPr>
            <sz val="9"/>
            <color indexed="81"/>
            <rFont val="Tahoma"/>
            <charset val="1"/>
          </rPr>
          <t>Ouvrage identique à 6.7</t>
        </r>
      </text>
    </comment>
    <comment ref="H1701" authorId="0" shapeId="0">
      <text>
        <r>
          <rPr>
            <sz val="9"/>
            <color indexed="81"/>
            <rFont val="Tahoma"/>
            <charset val="1"/>
          </rPr>
          <t>Ouvrage identique à 7.1</t>
        </r>
      </text>
    </comment>
    <comment ref="H1703" authorId="0" shapeId="0">
      <text>
        <r>
          <rPr>
            <sz val="9"/>
            <color indexed="81"/>
            <rFont val="Tahoma"/>
            <charset val="1"/>
          </rPr>
          <t>Ouvrage identique à 7.2.1</t>
        </r>
      </text>
    </comment>
    <comment ref="H1704" authorId="0" shapeId="0">
      <text>
        <r>
          <rPr>
            <sz val="9"/>
            <color indexed="81"/>
            <rFont val="Tahoma"/>
            <charset val="1"/>
          </rPr>
          <t>Ouvrage identique à 7.2.2</t>
        </r>
      </text>
    </comment>
    <comment ref="H1705" authorId="0" shapeId="0">
      <text>
        <r>
          <rPr>
            <sz val="9"/>
            <color indexed="81"/>
            <rFont val="Tahoma"/>
            <charset val="1"/>
          </rPr>
          <t>Ouvrage identique à 7.2.3</t>
        </r>
      </text>
    </comment>
    <comment ref="H1707" authorId="0" shapeId="0">
      <text>
        <r>
          <rPr>
            <sz val="9"/>
            <color indexed="81"/>
            <rFont val="Tahoma"/>
            <charset val="1"/>
          </rPr>
          <t>Ouvrage identique à 7.3.1</t>
        </r>
      </text>
    </comment>
    <comment ref="H1708" authorId="0" shapeId="0">
      <text>
        <r>
          <rPr>
            <sz val="9"/>
            <color indexed="81"/>
            <rFont val="Tahoma"/>
            <charset val="1"/>
          </rPr>
          <t>Ouvrage identique à 7.3.2</t>
        </r>
      </text>
    </comment>
    <comment ref="H1709" authorId="0" shapeId="0">
      <text>
        <r>
          <rPr>
            <sz val="9"/>
            <color indexed="81"/>
            <rFont val="Tahoma"/>
            <charset val="1"/>
          </rPr>
          <t>Ouvrage identique à 7.4</t>
        </r>
      </text>
    </comment>
    <comment ref="H1710" authorId="0" shapeId="0">
      <text>
        <r>
          <rPr>
            <sz val="9"/>
            <color indexed="81"/>
            <rFont val="Tahoma"/>
            <charset val="1"/>
          </rPr>
          <t>Ouvrage identique à 7.5</t>
        </r>
      </text>
    </comment>
    <comment ref="H1711" authorId="0" shapeId="0">
      <text>
        <r>
          <rPr>
            <sz val="9"/>
            <color indexed="81"/>
            <rFont val="Tahoma"/>
            <charset val="1"/>
          </rPr>
          <t>Ouvrage identique à 7.6</t>
        </r>
      </text>
    </comment>
    <comment ref="H1712" authorId="0" shapeId="0">
      <text>
        <r>
          <rPr>
            <sz val="9"/>
            <color indexed="81"/>
            <rFont val="Tahoma"/>
            <charset val="1"/>
          </rPr>
          <t>Ouvrage identique à 7.7</t>
        </r>
      </text>
    </comment>
    <comment ref="H1715" authorId="0" shapeId="0">
      <text>
        <r>
          <rPr>
            <sz val="9"/>
            <color indexed="81"/>
            <rFont val="Tahoma"/>
            <charset val="1"/>
          </rPr>
          <t>Ouvrage identique à 8.1</t>
        </r>
      </text>
    </comment>
    <comment ref="H1717" authorId="0" shapeId="0">
      <text>
        <r>
          <rPr>
            <sz val="9"/>
            <color indexed="81"/>
            <rFont val="Tahoma"/>
            <charset val="1"/>
          </rPr>
          <t>Ouvrage identique à 8.2.1</t>
        </r>
      </text>
    </comment>
    <comment ref="H1718" authorId="0" shapeId="0">
      <text>
        <r>
          <rPr>
            <sz val="9"/>
            <color indexed="81"/>
            <rFont val="Tahoma"/>
            <charset val="1"/>
          </rPr>
          <t>Ouvrage identique à 8.2.2</t>
        </r>
      </text>
    </comment>
    <comment ref="H1719" authorId="0" shapeId="0">
      <text>
        <r>
          <rPr>
            <sz val="9"/>
            <color indexed="81"/>
            <rFont val="Tahoma"/>
            <charset val="1"/>
          </rPr>
          <t>Ouvrage identique à 8.2.3</t>
        </r>
      </text>
    </comment>
    <comment ref="H1721" authorId="0" shapeId="0">
      <text>
        <r>
          <rPr>
            <sz val="9"/>
            <color indexed="81"/>
            <rFont val="Tahoma"/>
            <charset val="1"/>
          </rPr>
          <t>Ouvrage identique à 8.3.1</t>
        </r>
      </text>
    </comment>
    <comment ref="H1722" authorId="0" shapeId="0">
      <text>
        <r>
          <rPr>
            <sz val="9"/>
            <color indexed="81"/>
            <rFont val="Tahoma"/>
            <charset val="1"/>
          </rPr>
          <t>Ouvrage identique à 8.3.2</t>
        </r>
      </text>
    </comment>
    <comment ref="H1723" authorId="0" shapeId="0">
      <text>
        <r>
          <rPr>
            <sz val="9"/>
            <color indexed="81"/>
            <rFont val="Tahoma"/>
            <charset val="1"/>
          </rPr>
          <t>Ouvrage identique à 8.3.3</t>
        </r>
      </text>
    </comment>
    <comment ref="H1725" authorId="0" shapeId="0">
      <text>
        <r>
          <rPr>
            <sz val="9"/>
            <color indexed="81"/>
            <rFont val="Tahoma"/>
            <charset val="1"/>
          </rPr>
          <t>Ouvrage identique à 8.4.1</t>
        </r>
      </text>
    </comment>
    <comment ref="H1726" authorId="0" shapeId="0">
      <text>
        <r>
          <rPr>
            <sz val="9"/>
            <color indexed="81"/>
            <rFont val="Tahoma"/>
            <charset val="1"/>
          </rPr>
          <t>Ouvrage identique à 8.4.2</t>
        </r>
      </text>
    </comment>
    <comment ref="H1727" authorId="0" shapeId="0">
      <text>
        <r>
          <rPr>
            <sz val="9"/>
            <color indexed="81"/>
            <rFont val="Tahoma"/>
            <charset val="1"/>
          </rPr>
          <t>Ouvrage identique à 8.4.3</t>
        </r>
      </text>
    </comment>
    <comment ref="H1728" authorId="0" shapeId="0">
      <text>
        <r>
          <rPr>
            <sz val="9"/>
            <color indexed="81"/>
            <rFont val="Tahoma"/>
            <charset val="1"/>
          </rPr>
          <t>Ouvrage identique à 8.4.4</t>
        </r>
      </text>
    </comment>
    <comment ref="H1729" authorId="0" shapeId="0">
      <text>
        <r>
          <rPr>
            <sz val="9"/>
            <color indexed="81"/>
            <rFont val="Tahoma"/>
            <charset val="1"/>
          </rPr>
          <t>Ouvrage identique à 8.4.5</t>
        </r>
      </text>
    </comment>
    <comment ref="H1730" authorId="0" shapeId="0">
      <text>
        <r>
          <rPr>
            <sz val="9"/>
            <color indexed="81"/>
            <rFont val="Tahoma"/>
            <charset val="1"/>
          </rPr>
          <t>Ouvrage identique à 8.4.6</t>
        </r>
      </text>
    </comment>
    <comment ref="H1731" authorId="0" shapeId="0">
      <text>
        <r>
          <rPr>
            <sz val="9"/>
            <color indexed="81"/>
            <rFont val="Tahoma"/>
            <charset val="1"/>
          </rPr>
          <t>Ouvrage identique à 8.4.7</t>
        </r>
      </text>
    </comment>
    <comment ref="H1732" authorId="0" shapeId="0">
      <text>
        <r>
          <rPr>
            <sz val="9"/>
            <color indexed="81"/>
            <rFont val="Tahoma"/>
            <charset val="1"/>
          </rPr>
          <t>Ouvrage identique à 8.4.8</t>
        </r>
      </text>
    </comment>
    <comment ref="H1733" authorId="0" shapeId="0">
      <text>
        <r>
          <rPr>
            <sz val="9"/>
            <color indexed="81"/>
            <rFont val="Tahoma"/>
            <charset val="1"/>
          </rPr>
          <t>Ouvrage identique à 8.4.9</t>
        </r>
      </text>
    </comment>
    <comment ref="H1734" authorId="0" shapeId="0">
      <text>
        <r>
          <rPr>
            <sz val="9"/>
            <color indexed="81"/>
            <rFont val="Tahoma"/>
            <charset val="1"/>
          </rPr>
          <t>Ouvrage identique à 8.4.10</t>
        </r>
      </text>
    </comment>
    <comment ref="H1735" authorId="0" shapeId="0">
      <text>
        <r>
          <rPr>
            <sz val="9"/>
            <color indexed="81"/>
            <rFont val="Tahoma"/>
            <charset val="1"/>
          </rPr>
          <t>Ouvrage identique à 8.4.11</t>
        </r>
      </text>
    </comment>
    <comment ref="H1736" authorId="0" shapeId="0">
      <text>
        <r>
          <rPr>
            <sz val="9"/>
            <color indexed="81"/>
            <rFont val="Tahoma"/>
            <charset val="1"/>
          </rPr>
          <t>Ouvrage identique à 8.4.12</t>
        </r>
      </text>
    </comment>
    <comment ref="H1738" authorId="0" shapeId="0">
      <text>
        <r>
          <rPr>
            <sz val="9"/>
            <color indexed="81"/>
            <rFont val="Tahoma"/>
            <charset val="1"/>
          </rPr>
          <t>Ouvrage identique à 8.5.1</t>
        </r>
      </text>
    </comment>
    <comment ref="H1739" authorId="0" shapeId="0">
      <text>
        <r>
          <rPr>
            <sz val="9"/>
            <color indexed="81"/>
            <rFont val="Tahoma"/>
            <charset val="1"/>
          </rPr>
          <t>Ouvrage identique à 8.5.2</t>
        </r>
      </text>
    </comment>
    <comment ref="H1740" authorId="0" shapeId="0">
      <text>
        <r>
          <rPr>
            <sz val="9"/>
            <color indexed="81"/>
            <rFont val="Tahoma"/>
            <charset val="1"/>
          </rPr>
          <t>Ouvrage identique à 8.5.3</t>
        </r>
      </text>
    </comment>
    <comment ref="H1741" authorId="0" shapeId="0">
      <text>
        <r>
          <rPr>
            <sz val="9"/>
            <color indexed="81"/>
            <rFont val="Tahoma"/>
            <charset val="1"/>
          </rPr>
          <t>Ouvrage identique à 8.6</t>
        </r>
      </text>
    </comment>
    <comment ref="H1742" authorId="0" shapeId="0">
      <text>
        <r>
          <rPr>
            <sz val="9"/>
            <color indexed="81"/>
            <rFont val="Tahoma"/>
            <charset val="1"/>
          </rPr>
          <t>Ouvrage identique à 8.7</t>
        </r>
      </text>
    </comment>
    <comment ref="H1746" authorId="0" shapeId="0">
      <text>
        <r>
          <rPr>
            <sz val="9"/>
            <color indexed="81"/>
            <rFont val="Tahoma"/>
            <charset val="1"/>
          </rPr>
          <t>Ouvrage identique à 9.1.1</t>
        </r>
      </text>
    </comment>
    <comment ref="H1747" authorId="0" shapeId="0">
      <text>
        <r>
          <rPr>
            <sz val="9"/>
            <color indexed="81"/>
            <rFont val="Tahoma"/>
            <charset val="1"/>
          </rPr>
          <t>Ouvrage identique à 9.1.2</t>
        </r>
      </text>
    </comment>
    <comment ref="H1748" authorId="0" shapeId="0">
      <text>
        <r>
          <rPr>
            <sz val="9"/>
            <color indexed="81"/>
            <rFont val="Tahoma"/>
            <charset val="1"/>
          </rPr>
          <t>Ouvrage identique à 9.1.3</t>
        </r>
      </text>
    </comment>
    <comment ref="H1750" authorId="0" shapeId="0">
      <text>
        <r>
          <rPr>
            <sz val="9"/>
            <color indexed="81"/>
            <rFont val="Tahoma"/>
            <charset val="1"/>
          </rPr>
          <t>Ouvrage identique à 9.2.4</t>
        </r>
      </text>
    </comment>
    <comment ref="H1751" authorId="0" shapeId="0">
      <text>
        <r>
          <rPr>
            <sz val="9"/>
            <color indexed="81"/>
            <rFont val="Tahoma"/>
            <charset val="1"/>
          </rPr>
          <t>Ouvrage identique à 9.2.1</t>
        </r>
      </text>
    </comment>
    <comment ref="H1752" authorId="0" shapeId="0">
      <text>
        <r>
          <rPr>
            <sz val="9"/>
            <color indexed="81"/>
            <rFont val="Tahoma"/>
            <charset val="1"/>
          </rPr>
          <t>Ouvrage identique à 9.2.5</t>
        </r>
      </text>
    </comment>
    <comment ref="H1753" authorId="0" shapeId="0">
      <text>
        <r>
          <rPr>
            <sz val="9"/>
            <color indexed="81"/>
            <rFont val="Tahoma"/>
            <charset val="1"/>
          </rPr>
          <t>Ouvrage identique à 9.2.3</t>
        </r>
      </text>
    </comment>
    <comment ref="H1755" authorId="0" shapeId="0">
      <text>
        <r>
          <rPr>
            <sz val="9"/>
            <color indexed="81"/>
            <rFont val="Tahoma"/>
            <charset val="1"/>
          </rPr>
          <t>Ouvrage identique à 9.3.1</t>
        </r>
      </text>
    </comment>
    <comment ref="H1757" authorId="0" shapeId="0">
      <text>
        <r>
          <rPr>
            <sz val="9"/>
            <color indexed="81"/>
            <rFont val="Tahoma"/>
            <charset val="1"/>
          </rPr>
          <t>Ouvrage identique à 9.4.1</t>
        </r>
      </text>
    </comment>
    <comment ref="H1758" authorId="0" shapeId="0">
      <text>
        <r>
          <rPr>
            <sz val="9"/>
            <color indexed="81"/>
            <rFont val="Tahoma"/>
            <charset val="1"/>
          </rPr>
          <t>Ouvrage identique à 9.4.2</t>
        </r>
      </text>
    </comment>
    <comment ref="H1759" authorId="0" shapeId="0">
      <text>
        <r>
          <rPr>
            <sz val="9"/>
            <color indexed="81"/>
            <rFont val="Tahoma"/>
            <charset val="1"/>
          </rPr>
          <t>Ouvrage identique à 9.5</t>
        </r>
      </text>
    </comment>
    <comment ref="H1760" authorId="0" shapeId="0">
      <text>
        <r>
          <rPr>
            <sz val="9"/>
            <color indexed="81"/>
            <rFont val="Tahoma"/>
            <charset val="1"/>
          </rPr>
          <t>Ouvrage identique à 9.6</t>
        </r>
      </text>
    </comment>
    <comment ref="H1761" authorId="0" shapeId="0">
      <text>
        <r>
          <rPr>
            <sz val="9"/>
            <color indexed="81"/>
            <rFont val="Tahoma"/>
            <charset val="1"/>
          </rPr>
          <t>Ouvrage identique à 9.7</t>
        </r>
      </text>
    </comment>
    <comment ref="H1763" authorId="0" shapeId="0">
      <text>
        <r>
          <rPr>
            <sz val="9"/>
            <color indexed="81"/>
            <rFont val="Tahoma"/>
            <charset val="1"/>
          </rPr>
          <t>Ouvrage identique à 9.8.1</t>
        </r>
      </text>
    </comment>
    <comment ref="H1764" authorId="0" shapeId="0">
      <text>
        <r>
          <rPr>
            <sz val="9"/>
            <color indexed="81"/>
            <rFont val="Tahoma"/>
            <charset val="1"/>
          </rPr>
          <t>Ouvrage identique à 9.8.2</t>
        </r>
      </text>
    </comment>
    <comment ref="H1765" authorId="0" shapeId="0">
      <text>
        <r>
          <rPr>
            <sz val="9"/>
            <color indexed="81"/>
            <rFont val="Tahoma"/>
            <charset val="1"/>
          </rPr>
          <t>Ouvrage identique à 9.8.3</t>
        </r>
      </text>
    </comment>
    <comment ref="H1766" authorId="0" shapeId="0">
      <text>
        <r>
          <rPr>
            <sz val="9"/>
            <color indexed="81"/>
            <rFont val="Tahoma"/>
            <charset val="1"/>
          </rPr>
          <t>Ouvrage identique à 9.9</t>
        </r>
      </text>
    </comment>
    <comment ref="H1767" authorId="0" shapeId="0">
      <text>
        <r>
          <rPr>
            <sz val="9"/>
            <color indexed="81"/>
            <rFont val="Tahoma"/>
            <charset val="1"/>
          </rPr>
          <t>Ouvrage identique à 9.10</t>
        </r>
      </text>
    </comment>
    <comment ref="H1771" authorId="0" shapeId="0">
      <text>
        <r>
          <rPr>
            <sz val="9"/>
            <color indexed="81"/>
            <rFont val="Tahoma"/>
            <charset val="1"/>
          </rPr>
          <t>Ouvrage identique à 10.1.1</t>
        </r>
      </text>
    </comment>
    <comment ref="H1772" authorId="0" shapeId="0">
      <text>
        <r>
          <rPr>
            <sz val="9"/>
            <color indexed="81"/>
            <rFont val="Tahoma"/>
            <charset val="1"/>
          </rPr>
          <t>Ouvrage identique à 10.1.2</t>
        </r>
      </text>
    </comment>
    <comment ref="H1774" authorId="0" shapeId="0">
      <text>
        <r>
          <rPr>
            <sz val="9"/>
            <color indexed="81"/>
            <rFont val="Tahoma"/>
            <charset val="1"/>
          </rPr>
          <t>Ouvrage identique à 10.2.1</t>
        </r>
      </text>
    </comment>
    <comment ref="H1775" authorId="0" shapeId="0">
      <text>
        <r>
          <rPr>
            <sz val="9"/>
            <color indexed="81"/>
            <rFont val="Tahoma"/>
            <charset val="1"/>
          </rPr>
          <t>Ouvrage identique à 10.2.2</t>
        </r>
      </text>
    </comment>
    <comment ref="H1776" authorId="0" shapeId="0">
      <text>
        <r>
          <rPr>
            <sz val="9"/>
            <color indexed="81"/>
            <rFont val="Tahoma"/>
            <charset val="1"/>
          </rPr>
          <t>Ouvrage identique à 10.3</t>
        </r>
      </text>
    </comment>
    <comment ref="H1778" authorId="0" shapeId="0">
      <text>
        <r>
          <rPr>
            <sz val="9"/>
            <color indexed="81"/>
            <rFont val="Tahoma"/>
            <charset val="1"/>
          </rPr>
          <t>Ouvrage identique à 10.4.1</t>
        </r>
      </text>
    </comment>
    <comment ref="H1779" authorId="0" shapeId="0">
      <text>
        <r>
          <rPr>
            <sz val="9"/>
            <color indexed="81"/>
            <rFont val="Tahoma"/>
            <charset val="1"/>
          </rPr>
          <t>Ouvrage identique à 10.4.2</t>
        </r>
      </text>
    </comment>
    <comment ref="H1780" authorId="0" shapeId="0">
      <text>
        <r>
          <rPr>
            <sz val="9"/>
            <color indexed="81"/>
            <rFont val="Tahoma"/>
            <charset val="1"/>
          </rPr>
          <t>Ouvrage identique à 10.4.3</t>
        </r>
      </text>
    </comment>
    <comment ref="H1781" authorId="0" shapeId="0">
      <text>
        <r>
          <rPr>
            <sz val="9"/>
            <color indexed="81"/>
            <rFont val="Tahoma"/>
            <charset val="1"/>
          </rPr>
          <t>Ouvrage identique à 10.5</t>
        </r>
      </text>
    </comment>
    <comment ref="H1782" authorId="0" shapeId="0">
      <text>
        <r>
          <rPr>
            <sz val="9"/>
            <color indexed="81"/>
            <rFont val="Tahoma"/>
            <charset val="1"/>
          </rPr>
          <t>Ouvrage identique à 10.6</t>
        </r>
      </text>
    </comment>
    <comment ref="H1786" authorId="0" shapeId="0">
      <text>
        <r>
          <rPr>
            <sz val="9"/>
            <color indexed="81"/>
            <rFont val="Tahoma"/>
            <charset val="1"/>
          </rPr>
          <t>Ouvrage identique à 11.1.1</t>
        </r>
      </text>
    </comment>
    <comment ref="H1787" authorId="0" shapeId="0">
      <text>
        <r>
          <rPr>
            <sz val="9"/>
            <color indexed="81"/>
            <rFont val="Tahoma"/>
            <charset val="1"/>
          </rPr>
          <t>Ouvrage identique à 11.1.2</t>
        </r>
      </text>
    </comment>
    <comment ref="H1788" authorId="0" shapeId="0">
      <text>
        <r>
          <rPr>
            <sz val="9"/>
            <color indexed="81"/>
            <rFont val="Tahoma"/>
            <charset val="1"/>
          </rPr>
          <t>Ouvrage identique à 11.1.3</t>
        </r>
      </text>
    </comment>
    <comment ref="H1790" authorId="0" shapeId="0">
      <text>
        <r>
          <rPr>
            <sz val="9"/>
            <color indexed="81"/>
            <rFont val="Tahoma"/>
            <charset val="1"/>
          </rPr>
          <t>Ouvrage identique à 11.2.1</t>
        </r>
      </text>
    </comment>
    <comment ref="H1791" authorId="0" shapeId="0">
      <text>
        <r>
          <rPr>
            <sz val="9"/>
            <color indexed="81"/>
            <rFont val="Tahoma"/>
            <charset val="1"/>
          </rPr>
          <t>Ouvrage identique à 11.2.2</t>
        </r>
      </text>
    </comment>
    <comment ref="H1792" authorId="0" shapeId="0">
      <text>
        <r>
          <rPr>
            <sz val="9"/>
            <color indexed="81"/>
            <rFont val="Tahoma"/>
            <charset val="1"/>
          </rPr>
          <t>Ouvrage identique à 11.2.3</t>
        </r>
      </text>
    </comment>
    <comment ref="H1793" authorId="0" shapeId="0">
      <text>
        <r>
          <rPr>
            <sz val="9"/>
            <color indexed="81"/>
            <rFont val="Tahoma"/>
            <charset val="1"/>
          </rPr>
          <t>Ouvrage identique à 11.2.4</t>
        </r>
      </text>
    </comment>
    <comment ref="H1794" authorId="0" shapeId="0">
      <text>
        <r>
          <rPr>
            <sz val="9"/>
            <color indexed="81"/>
            <rFont val="Tahoma"/>
            <charset val="1"/>
          </rPr>
          <t>Ouvrage identique à 11.3</t>
        </r>
      </text>
    </comment>
    <comment ref="H1796" authorId="0" shapeId="0">
      <text>
        <r>
          <rPr>
            <sz val="9"/>
            <color indexed="81"/>
            <rFont val="Tahoma"/>
            <charset val="1"/>
          </rPr>
          <t>Ouvrage identique à 11.4.1</t>
        </r>
      </text>
    </comment>
    <comment ref="H1797" authorId="0" shapeId="0">
      <text>
        <r>
          <rPr>
            <sz val="9"/>
            <color indexed="81"/>
            <rFont val="Tahoma"/>
            <charset val="1"/>
          </rPr>
          <t>Ouvrage identique à 11.4.2</t>
        </r>
      </text>
    </comment>
    <comment ref="H1798" authorId="0" shapeId="0">
      <text>
        <r>
          <rPr>
            <sz val="9"/>
            <color indexed="81"/>
            <rFont val="Tahoma"/>
            <charset val="1"/>
          </rPr>
          <t>Ouvrage identique à 11.4.3</t>
        </r>
      </text>
    </comment>
    <comment ref="H1799" authorId="0" shapeId="0">
      <text>
        <r>
          <rPr>
            <sz val="9"/>
            <color indexed="81"/>
            <rFont val="Tahoma"/>
            <charset val="1"/>
          </rPr>
          <t>Ouvrage identique à 11.5</t>
        </r>
      </text>
    </comment>
    <comment ref="H1800" authorId="0" shapeId="0">
      <text>
        <r>
          <rPr>
            <sz val="9"/>
            <color indexed="81"/>
            <rFont val="Tahoma"/>
            <charset val="1"/>
          </rPr>
          <t>Ouvrage identique à 11.6</t>
        </r>
      </text>
    </comment>
    <comment ref="H1802" authorId="0" shapeId="0">
      <text>
        <r>
          <rPr>
            <sz val="9"/>
            <color indexed="81"/>
            <rFont val="Tahoma"/>
            <charset val="1"/>
          </rPr>
          <t>Ouvrage identique à 11.7.1</t>
        </r>
      </text>
    </comment>
    <comment ref="H1803" authorId="0" shapeId="0">
      <text>
        <r>
          <rPr>
            <sz val="9"/>
            <color indexed="81"/>
            <rFont val="Tahoma"/>
            <charset val="1"/>
          </rPr>
          <t>Ouvrage identique à 11.7.2</t>
        </r>
      </text>
    </comment>
    <comment ref="H1804" authorId="0" shapeId="0">
      <text>
        <r>
          <rPr>
            <sz val="9"/>
            <color indexed="81"/>
            <rFont val="Tahoma"/>
            <charset val="1"/>
          </rPr>
          <t>Ouvrage identique à 11.7.3</t>
        </r>
      </text>
    </comment>
    <comment ref="H1805" authorId="0" shapeId="0">
      <text>
        <r>
          <rPr>
            <sz val="9"/>
            <color indexed="81"/>
            <rFont val="Tahoma"/>
            <charset val="1"/>
          </rPr>
          <t>Ouvrage identique à 11.7.4</t>
        </r>
      </text>
    </comment>
    <comment ref="H1806" authorId="0" shapeId="0">
      <text>
        <r>
          <rPr>
            <sz val="9"/>
            <color indexed="81"/>
            <rFont val="Tahoma"/>
            <charset val="1"/>
          </rPr>
          <t>Ouvrage identique à 11.8</t>
        </r>
      </text>
    </comment>
    <comment ref="H1807" authorId="0" shapeId="0">
      <text>
        <r>
          <rPr>
            <sz val="9"/>
            <color indexed="81"/>
            <rFont val="Tahoma"/>
            <charset val="1"/>
          </rPr>
          <t>Ouvrage identique à 11.9</t>
        </r>
      </text>
    </comment>
    <comment ref="H1811" authorId="0" shapeId="0">
      <text>
        <r>
          <rPr>
            <sz val="9"/>
            <color indexed="81"/>
            <rFont val="Tahoma"/>
            <charset val="1"/>
          </rPr>
          <t>Ouvrage identique à 12.1.1</t>
        </r>
      </text>
    </comment>
    <comment ref="H1812" authorId="0" shapeId="0">
      <text>
        <r>
          <rPr>
            <sz val="9"/>
            <color indexed="81"/>
            <rFont val="Tahoma"/>
            <charset val="1"/>
          </rPr>
          <t>Ouvrage identique à 12.1.2</t>
        </r>
      </text>
    </comment>
    <comment ref="H1814" authorId="0" shapeId="0">
      <text>
        <r>
          <rPr>
            <sz val="9"/>
            <color indexed="81"/>
            <rFont val="Tahoma"/>
            <charset val="1"/>
          </rPr>
          <t>Ouvrage identique à 12.2.1</t>
        </r>
      </text>
    </comment>
    <comment ref="H1815" authorId="0" shapeId="0">
      <text>
        <r>
          <rPr>
            <sz val="9"/>
            <color indexed="81"/>
            <rFont val="Tahoma"/>
            <charset val="1"/>
          </rPr>
          <t>Ouvrage identique à 12.3</t>
        </r>
      </text>
    </comment>
    <comment ref="H1819" authorId="0" shapeId="0">
      <text>
        <r>
          <rPr>
            <sz val="9"/>
            <color indexed="81"/>
            <rFont val="Tahoma"/>
            <charset val="1"/>
          </rPr>
          <t>Ouvrage identique à 13.1.1</t>
        </r>
      </text>
    </comment>
    <comment ref="H1821" authorId="0" shapeId="0">
      <text>
        <r>
          <rPr>
            <sz val="9"/>
            <color indexed="81"/>
            <rFont val="Tahoma"/>
            <charset val="1"/>
          </rPr>
          <t>Ouvrage identique à 13.2.1.a</t>
        </r>
      </text>
    </comment>
    <comment ref="H1822" authorId="0" shapeId="0">
      <text>
        <r>
          <rPr>
            <sz val="9"/>
            <color indexed="81"/>
            <rFont val="Tahoma"/>
            <charset val="1"/>
          </rPr>
          <t>Ouvrage identique à 13.2.2</t>
        </r>
      </text>
    </comment>
    <comment ref="H1823" authorId="0" shapeId="0">
      <text>
        <r>
          <rPr>
            <sz val="9"/>
            <color indexed="81"/>
            <rFont val="Tahoma"/>
            <charset val="1"/>
          </rPr>
          <t>Ouvrage identique à 13.3</t>
        </r>
      </text>
    </comment>
    <comment ref="H1824" authorId="0" shapeId="0">
      <text>
        <r>
          <rPr>
            <sz val="9"/>
            <color indexed="81"/>
            <rFont val="Tahoma"/>
            <charset val="1"/>
          </rPr>
          <t>Ouvrage identique à 13.4</t>
        </r>
      </text>
    </comment>
    <comment ref="H1828" authorId="0" shapeId="0">
      <text>
        <r>
          <rPr>
            <sz val="9"/>
            <color indexed="81"/>
            <rFont val="Tahoma"/>
            <charset val="1"/>
          </rPr>
          <t>Ouvrage identique à 14.1.1</t>
        </r>
      </text>
    </comment>
    <comment ref="H1829" authorId="0" shapeId="0">
      <text>
        <r>
          <rPr>
            <sz val="9"/>
            <color indexed="81"/>
            <rFont val="Tahoma"/>
            <charset val="1"/>
          </rPr>
          <t>Ouvrage identique à 14.1.2</t>
        </r>
      </text>
    </comment>
    <comment ref="H1831" authorId="0" shapeId="0">
      <text>
        <r>
          <rPr>
            <sz val="9"/>
            <color indexed="81"/>
            <rFont val="Tahoma"/>
            <charset val="1"/>
          </rPr>
          <t>Ouvrage identique à 14.2.1</t>
        </r>
      </text>
    </comment>
    <comment ref="H1832" authorId="0" shapeId="0">
      <text>
        <r>
          <rPr>
            <sz val="9"/>
            <color indexed="81"/>
            <rFont val="Tahoma"/>
            <charset val="1"/>
          </rPr>
          <t>Ouvrage identique à 14.2.2</t>
        </r>
      </text>
    </comment>
    <comment ref="H1833" authorId="0" shapeId="0">
      <text>
        <r>
          <rPr>
            <sz val="9"/>
            <color indexed="81"/>
            <rFont val="Tahoma"/>
            <charset val="1"/>
          </rPr>
          <t>Ouvrage identique à 14.2.3</t>
        </r>
      </text>
    </comment>
    <comment ref="H1834" authorId="0" shapeId="0">
      <text>
        <r>
          <rPr>
            <sz val="9"/>
            <color indexed="81"/>
            <rFont val="Tahoma"/>
            <charset val="1"/>
          </rPr>
          <t>Ouvrage identique à 14.2.4</t>
        </r>
      </text>
    </comment>
    <comment ref="H1835" authorId="0" shapeId="0">
      <text>
        <r>
          <rPr>
            <sz val="9"/>
            <color indexed="81"/>
            <rFont val="Tahoma"/>
            <charset val="1"/>
          </rPr>
          <t>Ouvrage identique à 14.2.5</t>
        </r>
      </text>
    </comment>
    <comment ref="H1836" authorId="0" shapeId="0">
      <text>
        <r>
          <rPr>
            <sz val="9"/>
            <color indexed="81"/>
            <rFont val="Tahoma"/>
            <charset val="1"/>
          </rPr>
          <t>Ouvrage identique à 14.2.6</t>
        </r>
      </text>
    </comment>
    <comment ref="H1837" authorId="0" shapeId="0">
      <text>
        <r>
          <rPr>
            <sz val="9"/>
            <color indexed="81"/>
            <rFont val="Tahoma"/>
            <charset val="1"/>
          </rPr>
          <t>Ouvrage identique à 14.2.7</t>
        </r>
      </text>
    </comment>
    <comment ref="H1838" authorId="0" shapeId="0">
      <text>
        <r>
          <rPr>
            <sz val="9"/>
            <color indexed="81"/>
            <rFont val="Tahoma"/>
            <charset val="1"/>
          </rPr>
          <t>Ouvrage identique à 14.2.8</t>
        </r>
      </text>
    </comment>
    <comment ref="H1839" authorId="0" shapeId="0">
      <text>
        <r>
          <rPr>
            <sz val="9"/>
            <color indexed="81"/>
            <rFont val="Tahoma"/>
            <charset val="1"/>
          </rPr>
          <t>Ouvrage identique à 14.2.9</t>
        </r>
      </text>
    </comment>
    <comment ref="H1840" authorId="0" shapeId="0">
      <text>
        <r>
          <rPr>
            <sz val="9"/>
            <color indexed="81"/>
            <rFont val="Tahoma"/>
            <charset val="1"/>
          </rPr>
          <t>Ouvrage identique à 14.2.10</t>
        </r>
      </text>
    </comment>
    <comment ref="H1841" authorId="0" shapeId="0">
      <text>
        <r>
          <rPr>
            <sz val="9"/>
            <color indexed="81"/>
            <rFont val="Tahoma"/>
            <charset val="1"/>
          </rPr>
          <t>Ouvrage identique à 14.2.11</t>
        </r>
      </text>
    </comment>
    <comment ref="H1844" authorId="0" shapeId="0">
      <text>
        <r>
          <rPr>
            <sz val="9"/>
            <color indexed="81"/>
            <rFont val="Tahoma"/>
            <charset val="1"/>
          </rPr>
          <t>Ouvrage identique à 14.3.1.1</t>
        </r>
      </text>
    </comment>
    <comment ref="H1846" authorId="0" shapeId="0">
      <text>
        <r>
          <rPr>
            <sz val="9"/>
            <color indexed="81"/>
            <rFont val="Tahoma"/>
            <charset val="1"/>
          </rPr>
          <t>Ouvrage identique à 14.3.2.1</t>
        </r>
      </text>
    </comment>
    <comment ref="H1847" authorId="0" shapeId="0">
      <text>
        <r>
          <rPr>
            <sz val="9"/>
            <color indexed="81"/>
            <rFont val="Tahoma"/>
            <charset val="1"/>
          </rPr>
          <t>Ouvrage identique à 14.3.2.2</t>
        </r>
      </text>
    </comment>
    <comment ref="H1848" authorId="0" shapeId="0">
      <text>
        <r>
          <rPr>
            <sz val="9"/>
            <color indexed="81"/>
            <rFont val="Tahoma"/>
            <charset val="1"/>
          </rPr>
          <t>Ouvrage identique à 14.3.2.3</t>
        </r>
      </text>
    </comment>
    <comment ref="H1849" authorId="0" shapeId="0">
      <text>
        <r>
          <rPr>
            <sz val="9"/>
            <color indexed="81"/>
            <rFont val="Tahoma"/>
            <charset val="1"/>
          </rPr>
          <t>Ouvrage identique à 14.3.2.4</t>
        </r>
      </text>
    </comment>
    <comment ref="H1850" authorId="0" shapeId="0">
      <text>
        <r>
          <rPr>
            <sz val="9"/>
            <color indexed="81"/>
            <rFont val="Tahoma"/>
            <charset val="1"/>
          </rPr>
          <t>Ouvrage identique à 14.3.2.5</t>
        </r>
      </text>
    </comment>
    <comment ref="H1851" authorId="0" shapeId="0">
      <text>
        <r>
          <rPr>
            <sz val="9"/>
            <color indexed="81"/>
            <rFont val="Tahoma"/>
            <charset val="1"/>
          </rPr>
          <t>Ouvrage identique à 14.3.2.6</t>
        </r>
      </text>
    </comment>
    <comment ref="H1852" authorId="0" shapeId="0">
      <text>
        <r>
          <rPr>
            <sz val="9"/>
            <color indexed="81"/>
            <rFont val="Tahoma"/>
            <charset val="1"/>
          </rPr>
          <t>Ouvrage identique à 14.3.2.7</t>
        </r>
      </text>
    </comment>
    <comment ref="H1853" authorId="0" shapeId="0">
      <text>
        <r>
          <rPr>
            <sz val="9"/>
            <color indexed="81"/>
            <rFont val="Tahoma"/>
            <charset val="1"/>
          </rPr>
          <t>Ouvrage identique à 14.3.2.8</t>
        </r>
      </text>
    </comment>
    <comment ref="H1854" authorId="0" shapeId="0">
      <text>
        <r>
          <rPr>
            <sz val="9"/>
            <color indexed="81"/>
            <rFont val="Tahoma"/>
            <charset val="1"/>
          </rPr>
          <t>Ouvrage identique à 14.3.2.9</t>
        </r>
      </text>
    </comment>
    <comment ref="H1855" authorId="0" shapeId="0">
      <text>
        <r>
          <rPr>
            <sz val="9"/>
            <color indexed="81"/>
            <rFont val="Tahoma"/>
            <charset val="1"/>
          </rPr>
          <t>Ouvrage identique à 14.3.2.10</t>
        </r>
      </text>
    </comment>
    <comment ref="H1856" authorId="0" shapeId="0">
      <text>
        <r>
          <rPr>
            <sz val="9"/>
            <color indexed="81"/>
            <rFont val="Tahoma"/>
            <charset val="1"/>
          </rPr>
          <t>Ouvrage identique à 14.3.2.11</t>
        </r>
      </text>
    </comment>
    <comment ref="H1859" authorId="0" shapeId="0">
      <text>
        <r>
          <rPr>
            <sz val="9"/>
            <color indexed="81"/>
            <rFont val="Tahoma"/>
            <charset val="1"/>
          </rPr>
          <t>Ouvrage identique à 15.1</t>
        </r>
      </text>
    </comment>
    <comment ref="H1861" authorId="0" shapeId="0">
      <text>
        <r>
          <rPr>
            <sz val="9"/>
            <color indexed="81"/>
            <rFont val="Tahoma"/>
            <charset val="1"/>
          </rPr>
          <t>Ouvrage identique à 15.2.1</t>
        </r>
      </text>
    </comment>
    <comment ref="H1862" authorId="0" shapeId="0">
      <text>
        <r>
          <rPr>
            <sz val="9"/>
            <color indexed="81"/>
            <rFont val="Tahoma"/>
            <charset val="1"/>
          </rPr>
          <t>Ouvrage identique à 15.2.2</t>
        </r>
      </text>
    </comment>
    <comment ref="H1863" authorId="0" shapeId="0">
      <text>
        <r>
          <rPr>
            <sz val="9"/>
            <color indexed="81"/>
            <rFont val="Tahoma"/>
            <charset val="1"/>
          </rPr>
          <t>Ouvrage identique à 15.2.3</t>
        </r>
      </text>
    </comment>
    <comment ref="H1864" authorId="0" shapeId="0">
      <text>
        <r>
          <rPr>
            <sz val="9"/>
            <color indexed="81"/>
            <rFont val="Tahoma"/>
            <charset val="1"/>
          </rPr>
          <t>Ouvrage identique à 15.2.4</t>
        </r>
      </text>
    </comment>
    <comment ref="H1865" authorId="0" shapeId="0">
      <text>
        <r>
          <rPr>
            <sz val="9"/>
            <color indexed="81"/>
            <rFont val="Tahoma"/>
            <charset val="1"/>
          </rPr>
          <t>Ouvrage identique à 15.2.5</t>
        </r>
      </text>
    </comment>
    <comment ref="H1866" authorId="0" shapeId="0">
      <text>
        <r>
          <rPr>
            <sz val="9"/>
            <color indexed="81"/>
            <rFont val="Tahoma"/>
            <charset val="1"/>
          </rPr>
          <t>Ouvrage identique à 15.2.6</t>
        </r>
      </text>
    </comment>
    <comment ref="H1867" authorId="0" shapeId="0">
      <text>
        <r>
          <rPr>
            <sz val="9"/>
            <color indexed="81"/>
            <rFont val="Tahoma"/>
            <charset val="1"/>
          </rPr>
          <t>Ouvrage identique à 15.2.7</t>
        </r>
      </text>
    </comment>
    <comment ref="H1868" authorId="0" shapeId="0">
      <text>
        <r>
          <rPr>
            <sz val="9"/>
            <color indexed="81"/>
            <rFont val="Tahoma"/>
            <charset val="1"/>
          </rPr>
          <t>Ouvrage identique à 15.2.8</t>
        </r>
      </text>
    </comment>
    <comment ref="H1869" authorId="0" shapeId="0">
      <text>
        <r>
          <rPr>
            <sz val="9"/>
            <color indexed="81"/>
            <rFont val="Tahoma"/>
            <charset val="1"/>
          </rPr>
          <t>Ouvrage identique à 15.2.9</t>
        </r>
      </text>
    </comment>
    <comment ref="H1870" authorId="0" shapeId="0">
      <text>
        <r>
          <rPr>
            <sz val="9"/>
            <color indexed="81"/>
            <rFont val="Tahoma"/>
            <charset val="1"/>
          </rPr>
          <t>Ouvrage identique à 15.2.10</t>
        </r>
      </text>
    </comment>
    <comment ref="H1871" authorId="0" shapeId="0">
      <text>
        <r>
          <rPr>
            <sz val="9"/>
            <color indexed="81"/>
            <rFont val="Tahoma"/>
            <charset val="1"/>
          </rPr>
          <t>Ouvrage identique à 15.2.11</t>
        </r>
      </text>
    </comment>
    <comment ref="H1872" authorId="0" shapeId="0">
      <text>
        <r>
          <rPr>
            <sz val="9"/>
            <color indexed="81"/>
            <rFont val="Tahoma"/>
            <charset val="1"/>
          </rPr>
          <t>Ouvrage identique à 15.2.12</t>
        </r>
      </text>
    </comment>
    <comment ref="H1873" authorId="0" shapeId="0">
      <text>
        <r>
          <rPr>
            <sz val="9"/>
            <color indexed="81"/>
            <rFont val="Tahoma"/>
            <charset val="1"/>
          </rPr>
          <t>Ouvrage identique à 15.2.13</t>
        </r>
      </text>
    </comment>
    <comment ref="H1874" authorId="0" shapeId="0">
      <text>
        <r>
          <rPr>
            <sz val="9"/>
            <color indexed="81"/>
            <rFont val="Tahoma"/>
            <charset val="1"/>
          </rPr>
          <t>Ouvrage identique à 15.2.14</t>
        </r>
      </text>
    </comment>
    <comment ref="H1876" authorId="0" shapeId="0">
      <text>
        <r>
          <rPr>
            <sz val="9"/>
            <color indexed="81"/>
            <rFont val="Tahoma"/>
            <charset val="1"/>
          </rPr>
          <t>Ouvrage identique à 15.3.1</t>
        </r>
      </text>
    </comment>
    <comment ref="H1877" authorId="0" shapeId="0">
      <text>
        <r>
          <rPr>
            <sz val="9"/>
            <color indexed="81"/>
            <rFont val="Tahoma"/>
            <charset val="1"/>
          </rPr>
          <t>Ouvrage identique à 15.3.2</t>
        </r>
      </text>
    </comment>
    <comment ref="H1878" authorId="0" shapeId="0">
      <text>
        <r>
          <rPr>
            <sz val="9"/>
            <color indexed="81"/>
            <rFont val="Tahoma"/>
            <charset val="1"/>
          </rPr>
          <t>Ouvrage identique à 15.3.3</t>
        </r>
      </text>
    </comment>
    <comment ref="H1879" authorId="0" shapeId="0">
      <text>
        <r>
          <rPr>
            <sz val="9"/>
            <color indexed="81"/>
            <rFont val="Tahoma"/>
            <charset val="1"/>
          </rPr>
          <t>Ouvrage identique à 15.3.4</t>
        </r>
      </text>
    </comment>
    <comment ref="H1880" authorId="0" shapeId="0">
      <text>
        <r>
          <rPr>
            <sz val="9"/>
            <color indexed="81"/>
            <rFont val="Tahoma"/>
            <charset val="1"/>
          </rPr>
          <t>Ouvrage identique à 15.3.5</t>
        </r>
      </text>
    </comment>
    <comment ref="H1881" authorId="0" shapeId="0">
      <text>
        <r>
          <rPr>
            <sz val="9"/>
            <color indexed="81"/>
            <rFont val="Tahoma"/>
            <charset val="1"/>
          </rPr>
          <t>Ouvrage identique à 15.3.6</t>
        </r>
      </text>
    </comment>
    <comment ref="H1882" authorId="0" shapeId="0">
      <text>
        <r>
          <rPr>
            <sz val="9"/>
            <color indexed="81"/>
            <rFont val="Tahoma"/>
            <charset val="1"/>
          </rPr>
          <t>Ouvrage identique à 15.3.7</t>
        </r>
      </text>
    </comment>
    <comment ref="H1883" authorId="0" shapeId="0">
      <text>
        <r>
          <rPr>
            <sz val="9"/>
            <color indexed="81"/>
            <rFont val="Tahoma"/>
            <charset val="1"/>
          </rPr>
          <t>Ouvrage identique à 15.3.8</t>
        </r>
      </text>
    </comment>
    <comment ref="H1884" authorId="0" shapeId="0">
      <text>
        <r>
          <rPr>
            <sz val="9"/>
            <color indexed="81"/>
            <rFont val="Tahoma"/>
            <charset val="1"/>
          </rPr>
          <t>Ouvrage identique à 15.3.9</t>
        </r>
      </text>
    </comment>
    <comment ref="H1886" authorId="0" shapeId="0">
      <text>
        <r>
          <rPr>
            <sz val="9"/>
            <color indexed="81"/>
            <rFont val="Tahoma"/>
            <charset val="1"/>
          </rPr>
          <t>Ouvrage identique à 15.4.1</t>
        </r>
      </text>
    </comment>
    <comment ref="H1887" authorId="0" shapeId="0">
      <text>
        <r>
          <rPr>
            <sz val="9"/>
            <color indexed="81"/>
            <rFont val="Tahoma"/>
            <charset val="1"/>
          </rPr>
          <t>Ouvrage identique à 15.4.2</t>
        </r>
      </text>
    </comment>
    <comment ref="H1891" authorId="0" shapeId="0">
      <text>
        <r>
          <rPr>
            <sz val="9"/>
            <color indexed="81"/>
            <rFont val="Tahoma"/>
            <charset val="1"/>
          </rPr>
          <t>Ouvrage identique à 16.1.1</t>
        </r>
      </text>
    </comment>
    <comment ref="H1892" authorId="0" shapeId="0">
      <text>
        <r>
          <rPr>
            <sz val="9"/>
            <color indexed="81"/>
            <rFont val="Tahoma"/>
            <charset val="1"/>
          </rPr>
          <t>Ouvrage identique à 16.1.2</t>
        </r>
      </text>
    </comment>
    <comment ref="H1893" authorId="0" shapeId="0">
      <text>
        <r>
          <rPr>
            <sz val="9"/>
            <color indexed="81"/>
            <rFont val="Tahoma"/>
            <charset val="1"/>
          </rPr>
          <t>Ouvrage identique à 16.1.3</t>
        </r>
      </text>
    </comment>
    <comment ref="H1894" authorId="0" shapeId="0">
      <text>
        <r>
          <rPr>
            <sz val="9"/>
            <color indexed="81"/>
            <rFont val="Tahoma"/>
            <charset val="1"/>
          </rPr>
          <t>Ouvrage identique à 16.1.4</t>
        </r>
      </text>
    </comment>
    <comment ref="H1895" authorId="0" shapeId="0">
      <text>
        <r>
          <rPr>
            <sz val="9"/>
            <color indexed="81"/>
            <rFont val="Tahoma"/>
            <charset val="1"/>
          </rPr>
          <t>Ouvrage identique à 16.1.5</t>
        </r>
      </text>
    </comment>
    <comment ref="H1896" authorId="0" shapeId="0">
      <text>
        <r>
          <rPr>
            <sz val="9"/>
            <color indexed="81"/>
            <rFont val="Tahoma"/>
            <charset val="1"/>
          </rPr>
          <t>Ouvrage identique à 16.1.6</t>
        </r>
      </text>
    </comment>
    <comment ref="H1897" authorId="0" shapeId="0">
      <text>
        <r>
          <rPr>
            <sz val="9"/>
            <color indexed="81"/>
            <rFont val="Tahoma"/>
            <charset val="1"/>
          </rPr>
          <t>Ouvrage identique à 16.1.7</t>
        </r>
      </text>
    </comment>
    <comment ref="H1898" authorId="0" shapeId="0">
      <text>
        <r>
          <rPr>
            <sz val="9"/>
            <color indexed="81"/>
            <rFont val="Tahoma"/>
            <charset val="1"/>
          </rPr>
          <t>Ouvrage identique à 16.1.8</t>
        </r>
      </text>
    </comment>
    <comment ref="H1899" authorId="0" shapeId="0">
      <text>
        <r>
          <rPr>
            <sz val="9"/>
            <color indexed="81"/>
            <rFont val="Tahoma"/>
            <charset val="1"/>
          </rPr>
          <t>Ouvrage identique à 16.1.9</t>
        </r>
      </text>
    </comment>
  </commentList>
</comments>
</file>

<file path=xl/sharedStrings.xml><?xml version="1.0" encoding="utf-8"?>
<sst xmlns="http://schemas.openxmlformats.org/spreadsheetml/2006/main" count="7256" uniqueCount="2718">
  <si>
    <t>En savoir plus</t>
  </si>
  <si>
    <t xml:space="preserve">Coefficient </t>
  </si>
  <si>
    <t>Total HT</t>
  </si>
  <si>
    <t>N° Prix</t>
  </si>
  <si>
    <t>Désignation</t>
  </si>
  <si>
    <t>Unité</t>
  </si>
  <si>
    <t>Quantité</t>
  </si>
  <si>
    <t>Pu Sec</t>
  </si>
  <si>
    <t>Coefficient</t>
  </si>
  <si>
    <t>Prix Unitaire</t>
  </si>
  <si>
    <t>Montant</t>
  </si>
  <si>
    <t>Titre 1</t>
  </si>
  <si>
    <t>Titre 2</t>
  </si>
  <si>
    <t>Titre 3</t>
  </si>
  <si>
    <t>Titre 6</t>
  </si>
  <si>
    <t>Titre 7</t>
  </si>
  <si>
    <t>Titre</t>
  </si>
  <si>
    <t>En-tête</t>
  </si>
  <si>
    <t>Commentaire</t>
  </si>
  <si>
    <t>Normal</t>
  </si>
  <si>
    <t>%</t>
  </si>
  <si>
    <t>Doublon</t>
  </si>
  <si>
    <t>PM</t>
  </si>
  <si>
    <t>Prix fixé</t>
  </si>
  <si>
    <t>Recap</t>
  </si>
  <si>
    <t>Sous-total</t>
  </si>
  <si>
    <t>Total général</t>
  </si>
  <si>
    <t>Accédez au devis en cliquant ici</t>
  </si>
  <si>
    <t>Interlocuteurs</t>
  </si>
  <si>
    <t>Maîtrise d'ouvrage :</t>
  </si>
  <si>
    <t>Maîtrise d'oeuvre :</t>
  </si>
  <si>
    <t>Architecte :</t>
  </si>
  <si>
    <t>SPIGAO</t>
  </si>
  <si>
    <t>disponible sur spigao 3.0</t>
  </si>
  <si>
    <t>Informations générales</t>
  </si>
  <si>
    <t>Historique des versions</t>
  </si>
  <si>
    <t>Lieu d'éxécution :</t>
  </si>
  <si>
    <t>Date limite de réponse :</t>
  </si>
  <si>
    <t>Format de réponse :</t>
  </si>
  <si>
    <t xml:space="preserve">Mode de passation : </t>
  </si>
  <si>
    <t>Nombre de pages DQE</t>
  </si>
  <si>
    <t>Nombre de pages BPU</t>
  </si>
  <si>
    <t>Revue de contrat</t>
  </si>
  <si>
    <t>disponibilité sur spigao 3.0</t>
  </si>
  <si>
    <t>variante autorisée (oui/non) :</t>
  </si>
  <si>
    <t>visite chantier :</t>
  </si>
  <si>
    <t xml:space="preserve">prix ferme/variable/actualisable : </t>
  </si>
  <si>
    <t>qualification exigée :</t>
  </si>
  <si>
    <t>critère de jugement des offres :</t>
  </si>
  <si>
    <t>durée et date de démarrage :</t>
  </si>
  <si>
    <t>Rapport de production SPIGAO</t>
  </si>
  <si>
    <t>Information(s) importante(s)</t>
  </si>
  <si>
    <t>Information(s) complémentaire(s)</t>
  </si>
  <si>
    <t>Point(s) de vigilance</t>
  </si>
  <si>
    <t>test</t>
  </si>
  <si>
    <t>ST2</t>
  </si>
  <si>
    <t>ST3</t>
  </si>
  <si>
    <t>TVA</t>
  </si>
  <si>
    <t>CARRE DE SOIE VAULX EN VELIN - TRAVAUX D'AMENAGEMENT DE L'ESPLANADE TASE - Lot 01 : Travaux préparatoires - Terrassement - VRD - GC Réseaux secs (2690775)</t>
  </si>
  <si>
    <t>C@2</t>
  </si>
  <si>
    <t/>
  </si>
  <si>
    <t>CARRE DE SOIE VAULX EN VELIN - TRAVAUX D'AMENAGEMENT DE L'ESPLANADE TASE  - Lot 01 : Travaux préparatoires - Terrassement - VRD - GC Réseaux secs</t>
  </si>
  <si>
    <t>C@3</t>
  </si>
  <si>
    <t>ESPLANADE</t>
  </si>
  <si>
    <t>C@4</t>
  </si>
  <si>
    <t>1</t>
  </si>
  <si>
    <t>Prix généraux</t>
  </si>
  <si>
    <t>P@1.1</t>
  </si>
  <si>
    <t>1.1</t>
  </si>
  <si>
    <t>Installations et repliement de chantier</t>
  </si>
  <si>
    <t>MOIS</t>
  </si>
  <si>
    <t>P@1.2</t>
  </si>
  <si>
    <t>1.2</t>
  </si>
  <si>
    <t>Signalisation de chantier</t>
  </si>
  <si>
    <t>C@5</t>
  </si>
  <si>
    <t>1.3</t>
  </si>
  <si>
    <t>Clôtures de chantier spécifiques</t>
  </si>
  <si>
    <t>P@1.3.1</t>
  </si>
  <si>
    <t>1.3.1</t>
  </si>
  <si>
    <t>Fourniture et pose clôture rigide en bardage</t>
  </si>
  <si>
    <t>ML</t>
  </si>
  <si>
    <t>P@1.3.2</t>
  </si>
  <si>
    <t>1.3.2</t>
  </si>
  <si>
    <t>Dépose clôture rigide en bardage</t>
  </si>
  <si>
    <t>P@1.3.3</t>
  </si>
  <si>
    <t>1.3.3</t>
  </si>
  <si>
    <t>Fourniture et pose Clôture pour la communication</t>
  </si>
  <si>
    <t>P@1.3.4</t>
  </si>
  <si>
    <t>1.3.4</t>
  </si>
  <si>
    <t>Dépose Clôture pour la communication</t>
  </si>
  <si>
    <t>P@1.4</t>
  </si>
  <si>
    <t>1.4</t>
  </si>
  <si>
    <t>Etudes EXE</t>
  </si>
  <si>
    <t>FT</t>
  </si>
  <si>
    <t>P@1.5</t>
  </si>
  <si>
    <t>1.5</t>
  </si>
  <si>
    <t>PAQ</t>
  </si>
  <si>
    <t>P@1.6</t>
  </si>
  <si>
    <t>1.6</t>
  </si>
  <si>
    <t>SOGED</t>
  </si>
  <si>
    <t>P@1.7</t>
  </si>
  <si>
    <t>1.7</t>
  </si>
  <si>
    <t>Dossier des ouvrages Executés</t>
  </si>
  <si>
    <t>P@1.8</t>
  </si>
  <si>
    <t>1.8</t>
  </si>
  <si>
    <t>Organisation de visites pédagogiques</t>
  </si>
  <si>
    <t>1/2 JOURNÉE</t>
  </si>
  <si>
    <t>P@1.9</t>
  </si>
  <si>
    <t>1.9</t>
  </si>
  <si>
    <t>Constats d'huissier</t>
  </si>
  <si>
    <t>ST@ST01</t>
  </si>
  <si>
    <t>Total Prix généraux</t>
  </si>
  <si>
    <t>C@6</t>
  </si>
  <si>
    <t>2</t>
  </si>
  <si>
    <t>Travaux préparatoires et démolitions</t>
  </si>
  <si>
    <t>C@7</t>
  </si>
  <si>
    <t>2.1</t>
  </si>
  <si>
    <t>Arbres et espaces verts</t>
  </si>
  <si>
    <t>P@2.1.1</t>
  </si>
  <si>
    <t>2.1.1</t>
  </si>
  <si>
    <t>Arrachage d'arbre y compris dessouchage</t>
  </si>
  <si>
    <t>U</t>
  </si>
  <si>
    <t>P@2.1.2</t>
  </si>
  <si>
    <t>2.1.2</t>
  </si>
  <si>
    <t>Protection d'arbre</t>
  </si>
  <si>
    <t>P@2.1.3</t>
  </si>
  <si>
    <t>2.1.3</t>
  </si>
  <si>
    <t>Débroussaillage et arrachage de haies</t>
  </si>
  <si>
    <t>M²</t>
  </si>
  <si>
    <t>P@2.2</t>
  </si>
  <si>
    <t>2.2</t>
  </si>
  <si>
    <t>Dépose de bordure ou de caniveau en béton</t>
  </si>
  <si>
    <t>P@2.3</t>
  </si>
  <si>
    <t>2.3</t>
  </si>
  <si>
    <t>Reconnaissance réseaux sans fouilles</t>
  </si>
  <si>
    <t>C@8</t>
  </si>
  <si>
    <t>2.4</t>
  </si>
  <si>
    <t>Sondages réseaux - marquage piquetage</t>
  </si>
  <si>
    <t>P@2.4.1</t>
  </si>
  <si>
    <t>2.4.1</t>
  </si>
  <si>
    <t>Sondage de reconnaissance à l'aspiratrice (inférieur ou égal à 2,00m de profondeur) y compris report</t>
  </si>
  <si>
    <t>M3</t>
  </si>
  <si>
    <t>P@2.4.2</t>
  </si>
  <si>
    <t>2.4.2</t>
  </si>
  <si>
    <t>Sondage de la pelle mécanique (inférieur ou égal à 2,00m de profondeur) y compris report</t>
  </si>
  <si>
    <t>P@2.4.3</t>
  </si>
  <si>
    <t>2.4.3</t>
  </si>
  <si>
    <t>Sondage manuel (inférieur ou égal à 2,00m de profondeur) y compris report</t>
  </si>
  <si>
    <t>C@9</t>
  </si>
  <si>
    <t>2.5</t>
  </si>
  <si>
    <t>Démolition de revêtement et de structure</t>
  </si>
  <si>
    <t>P@2.5.1</t>
  </si>
  <si>
    <t>2.5.1</t>
  </si>
  <si>
    <t>Démolition de chaussée bitumineuse</t>
  </si>
  <si>
    <t>M2</t>
  </si>
  <si>
    <t>P@2.5.2</t>
  </si>
  <si>
    <t>2.5.2</t>
  </si>
  <si>
    <t>Démolition de trottoir en enrobé</t>
  </si>
  <si>
    <t>P@2.5.3</t>
  </si>
  <si>
    <t>2.5.3</t>
  </si>
  <si>
    <t>Démolition de trottoir en béton ou asphalte</t>
  </si>
  <si>
    <t>P@2.6</t>
  </si>
  <si>
    <t>2.6</t>
  </si>
  <si>
    <t>Nettoyage des emprises</t>
  </si>
  <si>
    <t>C@10</t>
  </si>
  <si>
    <t>2.7</t>
  </si>
  <si>
    <t>Démolition de fondations ou ouvrages béton (armé ou non)</t>
  </si>
  <si>
    <t>P@2.7.1</t>
  </si>
  <si>
    <t>2.7.1</t>
  </si>
  <si>
    <t xml:space="preserve">Démolition de dallage </t>
  </si>
  <si>
    <t>P@2.7.2</t>
  </si>
  <si>
    <t>2.7.2</t>
  </si>
  <si>
    <t>Démolition longrine</t>
  </si>
  <si>
    <t>P@2.7.3</t>
  </si>
  <si>
    <t>2.7.3</t>
  </si>
  <si>
    <t>Démolition de massifs ou ouvrages ponctuels</t>
  </si>
  <si>
    <t>P@2.7.4</t>
  </si>
  <si>
    <t>2.7.4</t>
  </si>
  <si>
    <t>Démolition de mur clôture en béton</t>
  </si>
  <si>
    <t>P@2.7.5</t>
  </si>
  <si>
    <t>2.7.5</t>
  </si>
  <si>
    <t>Démolition de muret clôture</t>
  </si>
  <si>
    <t>C@11</t>
  </si>
  <si>
    <t>2.8</t>
  </si>
  <si>
    <t>Dépose et évacuation de mobiliers urbains</t>
  </si>
  <si>
    <t>P@2.8.1</t>
  </si>
  <si>
    <t>2.8.1</t>
  </si>
  <si>
    <t>Plot acier anti franchissement</t>
  </si>
  <si>
    <t>P@2.8.2</t>
  </si>
  <si>
    <t>2.8.2</t>
  </si>
  <si>
    <t>Arceau de protection de poteau incendie</t>
  </si>
  <si>
    <t>P@2.8.3</t>
  </si>
  <si>
    <t>2.8.3</t>
  </si>
  <si>
    <t>Enrochement</t>
  </si>
  <si>
    <t>P@2.8.4</t>
  </si>
  <si>
    <t>2.8.4</t>
  </si>
  <si>
    <t>Ensemble de panneau y compris supports</t>
  </si>
  <si>
    <t>P@2.8.5</t>
  </si>
  <si>
    <t>2.8.5</t>
  </si>
  <si>
    <t>Cloture grillagée simple ou en panneau rigide</t>
  </si>
  <si>
    <t>P@2.8.6</t>
  </si>
  <si>
    <t>2.8.6</t>
  </si>
  <si>
    <t>Portail</t>
  </si>
  <si>
    <t>P@2.8.7</t>
  </si>
  <si>
    <t>2.8.7</t>
  </si>
  <si>
    <t>Potelet</t>
  </si>
  <si>
    <t>P@2.8.8</t>
  </si>
  <si>
    <t>2.8.8</t>
  </si>
  <si>
    <t>Barrière</t>
  </si>
  <si>
    <t>P@2.9</t>
  </si>
  <si>
    <t>2.9</t>
  </si>
  <si>
    <t>Dépose soignée des grilles du porche et mise en dépôt dans le périmètre de l'opération</t>
  </si>
  <si>
    <t>C@12</t>
  </si>
  <si>
    <t>2.10</t>
  </si>
  <si>
    <t>Dépose et repose soignée du jardin partagé</t>
  </si>
  <si>
    <t>P@2.10.1</t>
  </si>
  <si>
    <t>2.10.1</t>
  </si>
  <si>
    <t>Dépose soignée du jardin partagé</t>
  </si>
  <si>
    <t>P@2.10.2</t>
  </si>
  <si>
    <t>2.10.2</t>
  </si>
  <si>
    <t>Repose soignée du jardin partagé</t>
  </si>
  <si>
    <t>P@2.11</t>
  </si>
  <si>
    <t>2.11</t>
  </si>
  <si>
    <t>Dépose et remise en état platelage bois</t>
  </si>
  <si>
    <t>C@13</t>
  </si>
  <si>
    <t>2.12</t>
  </si>
  <si>
    <t>Sondage et diagnostic HAP</t>
  </si>
  <si>
    <t>P@2.12.1</t>
  </si>
  <si>
    <t>2.12.1</t>
  </si>
  <si>
    <t>Forage carotté sur chaussée existante diamètre &gt; 100mm, profondeur &lt; 0.50 m de profondeur</t>
  </si>
  <si>
    <t>P@2.12.2</t>
  </si>
  <si>
    <t>2.12.2</t>
  </si>
  <si>
    <t>Reconnaissance qualitative HAP</t>
  </si>
  <si>
    <t>ST@ST02</t>
  </si>
  <si>
    <t>Total Travaux préparatoires et démolitions</t>
  </si>
  <si>
    <t>C@14</t>
  </si>
  <si>
    <t>3</t>
  </si>
  <si>
    <t xml:space="preserve">Terrassements </t>
  </si>
  <si>
    <t>P@3.1</t>
  </si>
  <si>
    <t>3.1</t>
  </si>
  <si>
    <t xml:space="preserve">Aménagement et gestion de la plateforme de dépôt tri, criblage et concassage </t>
  </si>
  <si>
    <t>P@3.2</t>
  </si>
  <si>
    <t>3.2</t>
  </si>
  <si>
    <t>Terrassements de toute nature, mise en stock sur plateforme de gestion des déblais</t>
  </si>
  <si>
    <t>P@3.3</t>
  </si>
  <si>
    <t>3.3</t>
  </si>
  <si>
    <t>Criblage des déblais  pour fabrication de 0/40 et 40/80 et mise en stock pour réutilisation</t>
  </si>
  <si>
    <t>P@3.4</t>
  </si>
  <si>
    <t>3.4</t>
  </si>
  <si>
    <t>Reprise sur stock des déblais et mise en œuvre pour merlons</t>
  </si>
  <si>
    <t>P@3.5</t>
  </si>
  <si>
    <t>3.5</t>
  </si>
  <si>
    <t>Reprise sur stock des déblais et mise en œuvre pour remblai du hot spot PCB</t>
  </si>
  <si>
    <t>P@3.6</t>
  </si>
  <si>
    <t>3.6</t>
  </si>
  <si>
    <t>Reprise sur stock des déblais et mise en œuvre pour remblai courant</t>
  </si>
  <si>
    <t>P@3.7</t>
  </si>
  <si>
    <t>3.7</t>
  </si>
  <si>
    <t>Reprise sur stock des déblais et mise en œuvre pour couche de forme 0/40</t>
  </si>
  <si>
    <t>P@3.8</t>
  </si>
  <si>
    <t>3.8</t>
  </si>
  <si>
    <t>Gestion du stock en TV pour réutilisation par le marché 2</t>
  </si>
  <si>
    <t>C@15</t>
  </si>
  <si>
    <t>3.9</t>
  </si>
  <si>
    <t>Evacuation des déblais</t>
  </si>
  <si>
    <t>P@3.9.1</t>
  </si>
  <si>
    <t>3.9.1</t>
  </si>
  <si>
    <t xml:space="preserve">Déblais évacués en Installation de Stockage de Déchets Inertes (ISDI) </t>
  </si>
  <si>
    <t>T</t>
  </si>
  <si>
    <t>P@3.9.2</t>
  </si>
  <si>
    <t>3.9.2</t>
  </si>
  <si>
    <t xml:space="preserve">Déblais évacués en Installation de Stockage de Déchets Non Inertes (ISDI+) </t>
  </si>
  <si>
    <t>P@3.9.3</t>
  </si>
  <si>
    <t>3.9.3</t>
  </si>
  <si>
    <t xml:space="preserve">Déblais évacués en Installation de Stockage de Déchets Non Dangereux (ISDND) </t>
  </si>
  <si>
    <t>P@3.9.4</t>
  </si>
  <si>
    <t>3.9.4</t>
  </si>
  <si>
    <t xml:space="preserve">Déblais évacués en Installation de Stockage de Déchets Dangereux (ISDD) </t>
  </si>
  <si>
    <t>P@3.9.5</t>
  </si>
  <si>
    <t>3.9.5</t>
  </si>
  <si>
    <t xml:space="preserve">Déblais évacués en filière de type Biocentre </t>
  </si>
  <si>
    <t>P@3.10</t>
  </si>
  <si>
    <t>3.10</t>
  </si>
  <si>
    <t>Décompacatge des fonds de fosse de plantation(H=50cm)</t>
  </si>
  <si>
    <t>P@3.11</t>
  </si>
  <si>
    <t>3.11</t>
  </si>
  <si>
    <t>Confection de la couche de forme de chaussée en GDNT1 0/63 fabriquée sur site</t>
  </si>
  <si>
    <t>P@3.12</t>
  </si>
  <si>
    <t>3.12</t>
  </si>
  <si>
    <t>Evacuation des excédents de béton non concassé</t>
  </si>
  <si>
    <t>P@3.13</t>
  </si>
  <si>
    <t>3.13</t>
  </si>
  <si>
    <t>Confection de la couche de forme de chaussée en GDNT1 0/63 d'apport</t>
  </si>
  <si>
    <t>P@3.14</t>
  </si>
  <si>
    <t>3.14</t>
  </si>
  <si>
    <t>Fourniture et mise en œuvre mécanique de grave de déconstruction de type GDNT 2 ou 3  0/31.5, pour couche de réglage</t>
  </si>
  <si>
    <t>P@3.15</t>
  </si>
  <si>
    <t>3.15</t>
  </si>
  <si>
    <t>Suivi et Essais sur les matériaux non inertes (1u/100m3)</t>
  </si>
  <si>
    <t>ST@ST03</t>
  </si>
  <si>
    <t>Total Terrassements</t>
  </si>
  <si>
    <t>C@16</t>
  </si>
  <si>
    <t>4</t>
  </si>
  <si>
    <t>Structures et revêtements</t>
  </si>
  <si>
    <t>C@17</t>
  </si>
  <si>
    <t>4.1</t>
  </si>
  <si>
    <t>Chaussée circulée : voie nouvelle et réfection de l'allée du textile</t>
  </si>
  <si>
    <t>P@4.1.1</t>
  </si>
  <si>
    <t>4.1.1</t>
  </si>
  <si>
    <t>Couche d'imprégnation (600g/m²)</t>
  </si>
  <si>
    <t>P@4.1.2</t>
  </si>
  <si>
    <t>4.1.2</t>
  </si>
  <si>
    <t>EB 14 assise classe 35/50 pour couche d'assise – GB 0/14 silico-calcaire, classe 3, ép. 8cm</t>
  </si>
  <si>
    <t>P@4.1.3</t>
  </si>
  <si>
    <t>4.1.3</t>
  </si>
  <si>
    <t>Couche d'accrochage (400g/m²)</t>
  </si>
  <si>
    <t>P@4.1.4</t>
  </si>
  <si>
    <t>4.1.4</t>
  </si>
  <si>
    <t>EB 10 roulement, classe 35/50 – BBSG 0/10 granitique classe 2, ép. 6cm</t>
  </si>
  <si>
    <t>C@18</t>
  </si>
  <si>
    <t>4.2</t>
  </si>
  <si>
    <t>Stationnement</t>
  </si>
  <si>
    <t>P@4.2.1</t>
  </si>
  <si>
    <t>4.2.1</t>
  </si>
  <si>
    <t>P@4.2.2</t>
  </si>
  <si>
    <t>4.2.2</t>
  </si>
  <si>
    <t>EB 10 roulement, classe 35/50 – BBSG 0/10 classe 2, ép. 6cm</t>
  </si>
  <si>
    <t>C@19</t>
  </si>
  <si>
    <t>4.3</t>
  </si>
  <si>
    <t>Voie pompier en béton de sol sur plateforme nouvelle (esplanade)</t>
  </si>
  <si>
    <t>P@4.3.1</t>
  </si>
  <si>
    <t>4.3.1</t>
  </si>
  <si>
    <t>Dalles en béton sablé  –  ép. 15 cm</t>
  </si>
  <si>
    <t>P@4.3.2</t>
  </si>
  <si>
    <t>4.3.2</t>
  </si>
  <si>
    <t>Caniveau 30xm x 2cm Dalles en béton sablé  –  ép. 15 cm</t>
  </si>
  <si>
    <t>C@20</t>
  </si>
  <si>
    <t>4.4</t>
  </si>
  <si>
    <t>Voie pompier en béton de sol sur plateforme récupérée (rue Nelli existante)</t>
  </si>
  <si>
    <t>P@4.4.1</t>
  </si>
  <si>
    <t>4.4.1</t>
  </si>
  <si>
    <t>C@21</t>
  </si>
  <si>
    <t>4.5</t>
  </si>
  <si>
    <t>Cheminement piéton en béton de sol sur plateforme nouvelle</t>
  </si>
  <si>
    <t>P@4.5.1</t>
  </si>
  <si>
    <t>4.5.1</t>
  </si>
  <si>
    <t>Dalles en béton sablé  –  ép. 12 cm</t>
  </si>
  <si>
    <t>C@22</t>
  </si>
  <si>
    <t>4.6</t>
  </si>
  <si>
    <t>Cheminement piéton en stabilisé - Type 3 fin</t>
  </si>
  <si>
    <t>P@4.6.1</t>
  </si>
  <si>
    <t>4.6.1</t>
  </si>
  <si>
    <t>Fourniture et mise en œuvre mécanique concassé 0/20mm  Sault Brenaz pour couche de fondation, ép. 10cm</t>
  </si>
  <si>
    <t>P@4.6.2</t>
  </si>
  <si>
    <t>4.6.2</t>
  </si>
  <si>
    <t>Stabilisé –  5cm de 0/6,3  Sault Brenaz en surface</t>
  </si>
  <si>
    <t>C@23</t>
  </si>
  <si>
    <t>4.7</t>
  </si>
  <si>
    <t>Pied d'arbre en stabilisé - Type 2 grossier</t>
  </si>
  <si>
    <t>P@4.7.1</t>
  </si>
  <si>
    <t>4.7.1</t>
  </si>
  <si>
    <t>P@4.7.2</t>
  </si>
  <si>
    <t>4.7.2</t>
  </si>
  <si>
    <t>Stabilisé –  5cm de 6,3/12,5  Sault Brenaz en surface</t>
  </si>
  <si>
    <t>C@24</t>
  </si>
  <si>
    <t>4.8</t>
  </si>
  <si>
    <t>Abords des espaces verts en stabilisé - Type 1 ensemmencé</t>
  </si>
  <si>
    <t>P@4.8.1</t>
  </si>
  <si>
    <t>4.8.1</t>
  </si>
  <si>
    <t>Fourniture et mise en œuvre mécanique de mélange terre-pierre fin (40% TV et 60% Sault Brenatz 20/40), ép. 10cm</t>
  </si>
  <si>
    <t>P@4.8.2</t>
  </si>
  <si>
    <t>4.8.2</t>
  </si>
  <si>
    <t>Stabilisé –  5cm de 4/6,3 Sault Brennaz en surface</t>
  </si>
  <si>
    <t>C@25</t>
  </si>
  <si>
    <t>4.9</t>
  </si>
  <si>
    <t>Trottoir en enrobé</t>
  </si>
  <si>
    <t>P@4.9.1</t>
  </si>
  <si>
    <t>4.9.1</t>
  </si>
  <si>
    <t>P@4.9.2</t>
  </si>
  <si>
    <t>4.9.2</t>
  </si>
  <si>
    <t>BB 0/6 sur une épaisseur de 0,04 m pour les trottoirs</t>
  </si>
  <si>
    <t>C@26</t>
  </si>
  <si>
    <t>4.10</t>
  </si>
  <si>
    <t>Réglage de l'aire de jeux</t>
  </si>
  <si>
    <t>P@4.10.1</t>
  </si>
  <si>
    <t>4.10.1</t>
  </si>
  <si>
    <t>Fourniture et mise en œuvre mécanique de grave de deconstruction de type GDNT 2 ou 3, pour couche de réglage et fondation, ép. 20cm</t>
  </si>
  <si>
    <t>C@27</t>
  </si>
  <si>
    <t>4.11</t>
  </si>
  <si>
    <t>Revêtement de la fontaine en éléments modulaires béton</t>
  </si>
  <si>
    <t>P@4.11.1</t>
  </si>
  <si>
    <t>4.11.1</t>
  </si>
  <si>
    <t>Fourniture et mise en œuvre de dallage béton 25x25x12 y compris jointoiement et lit de pose en mortier</t>
  </si>
  <si>
    <t>P@4.11.2</t>
  </si>
  <si>
    <t>4.11.2</t>
  </si>
  <si>
    <t>Fourniture et mise en œuvre de dallage béton 50x50x12 y compris jointoiement et lit de pose en mortier</t>
  </si>
  <si>
    <t>P@4.11.3</t>
  </si>
  <si>
    <t>4.11.3</t>
  </si>
  <si>
    <t>Fourniture et mise en œuvre de dallage béton 50x100x12 pour caniveau y compris jointoiement et lit de pose en mortier</t>
  </si>
  <si>
    <t>C@28</t>
  </si>
  <si>
    <t>4.12</t>
  </si>
  <si>
    <t>Revêtement des pieds de façade</t>
  </si>
  <si>
    <t>P@4.12.1</t>
  </si>
  <si>
    <t>4.12.1</t>
  </si>
  <si>
    <t>Fourniture et mise en œuvre mécanique de grave de déconstruction de type GDNT 2 ou 3, pour couche de réglage et fondation ep.=20cm</t>
  </si>
  <si>
    <t>P@4.12.2</t>
  </si>
  <si>
    <t>4.12.2</t>
  </si>
  <si>
    <t>Fourniture et mise en œuvre de dallage béton 60x60x12 y compris jointoiement et lit de pose en sable</t>
  </si>
  <si>
    <t>C@29</t>
  </si>
  <si>
    <t>4.13</t>
  </si>
  <si>
    <t>Résines</t>
  </si>
  <si>
    <t>P@4.13.1</t>
  </si>
  <si>
    <t>4.13.1</t>
  </si>
  <si>
    <t>Fourniture et mise en œuvre de résine à froid avec cailloux de 1,5 à 2,5mm, sous le porche piéton</t>
  </si>
  <si>
    <t>P@4.13.2</t>
  </si>
  <si>
    <t>4.13.2</t>
  </si>
  <si>
    <t>Fourniture et mise en œuvre de résine à froid 2 à 5mm sur enrobé, sur voirie</t>
  </si>
  <si>
    <t>C@30</t>
  </si>
  <si>
    <t>4.14</t>
  </si>
  <si>
    <t>Accès en mulch</t>
  </si>
  <si>
    <t>P@4.14.1</t>
  </si>
  <si>
    <t>4.14.1</t>
  </si>
  <si>
    <t>Fourniture et mise en place de paillage végétal type BRF ou plaquette de bois ep. 10cm</t>
  </si>
  <si>
    <t>C@31</t>
  </si>
  <si>
    <t>4.15</t>
  </si>
  <si>
    <t>Trottoir en asphalte</t>
  </si>
  <si>
    <t>P@4.15.1</t>
  </si>
  <si>
    <t>4.15.1</t>
  </si>
  <si>
    <t xml:space="preserve"> Fourniture et mise en œuvre mécanique de grave de déconstruction de type GDNT 2 ou 3, pour couche de réglage et fondation ep.=15cm sur trottoir</t>
  </si>
  <si>
    <t>P@4.15.2</t>
  </si>
  <si>
    <t>4.15.2</t>
  </si>
  <si>
    <t>Structure béton pour trottoir en asphalte, épaisseur 10cm</t>
  </si>
  <si>
    <t>P@4.15.3</t>
  </si>
  <si>
    <t>4.15.3</t>
  </si>
  <si>
    <t>Fourniture et mise en œuvre d'asphalte sur trottoir type AC1 noir, ép. 3cm</t>
  </si>
  <si>
    <t>C@32</t>
  </si>
  <si>
    <t>4.16</t>
  </si>
  <si>
    <t>Revêtements provisoires</t>
  </si>
  <si>
    <t>P@4.16.1</t>
  </si>
  <si>
    <t>4.16.1</t>
  </si>
  <si>
    <t>Cheminement piéton provisoire</t>
  </si>
  <si>
    <t>P@4.16.2</t>
  </si>
  <si>
    <t>4.16.2</t>
  </si>
  <si>
    <t>Démolition Cheminement piéton provisoire</t>
  </si>
  <si>
    <t>P@4.16.3</t>
  </si>
  <si>
    <t>4.16.3</t>
  </si>
  <si>
    <t>Chaussée provisoire</t>
  </si>
  <si>
    <t>P@4.16.4</t>
  </si>
  <si>
    <t>4.16.4</t>
  </si>
  <si>
    <t>Démolition chaussée provisoire</t>
  </si>
  <si>
    <t>C@33</t>
  </si>
  <si>
    <t>4.17</t>
  </si>
  <si>
    <t>Planches d'essais</t>
  </si>
  <si>
    <t>P@4.17.1</t>
  </si>
  <si>
    <t>4.17.1</t>
  </si>
  <si>
    <t>Revêtements sablés 1 à 5</t>
  </si>
  <si>
    <t>P@4.17.2</t>
  </si>
  <si>
    <t>4.17.2</t>
  </si>
  <si>
    <t>Revêtements Béton</t>
  </si>
  <si>
    <t>P@4.17.3</t>
  </si>
  <si>
    <t>4.17.3</t>
  </si>
  <si>
    <t>Revêtements Résines</t>
  </si>
  <si>
    <t>ST@ST04</t>
  </si>
  <si>
    <t>Total Structures et revêtements</t>
  </si>
  <si>
    <t>C@34</t>
  </si>
  <si>
    <t>5</t>
  </si>
  <si>
    <t>Bordures</t>
  </si>
  <si>
    <t>C@35</t>
  </si>
  <si>
    <t>5.1</t>
  </si>
  <si>
    <t>Fourniture et pose de bordure et caniveau en pierre reconstituée</t>
  </si>
  <si>
    <t>P@5.1.1</t>
  </si>
  <si>
    <t>5.1.1</t>
  </si>
  <si>
    <t>Bordure 10  x 20  droite</t>
  </si>
  <si>
    <t>P@5.1.2</t>
  </si>
  <si>
    <t>5.1.2</t>
  </si>
  <si>
    <t>Bordure 20  x 20  droite - vue de 0 cm à vue de 6 cm</t>
  </si>
  <si>
    <t>P@5.1.3</t>
  </si>
  <si>
    <t>5.1.3</t>
  </si>
  <si>
    <t>Bordure 20  x 30  droite - vue de 10 cm à 16 cm</t>
  </si>
  <si>
    <t>P@5.1.4</t>
  </si>
  <si>
    <t>5.1.4</t>
  </si>
  <si>
    <t>Bordure 20 x 20 courbe R = 6 m</t>
  </si>
  <si>
    <t>P@5.1.5</t>
  </si>
  <si>
    <t>5.1.5</t>
  </si>
  <si>
    <t>Bordure 20 x 30 courbe R = 6 m</t>
  </si>
  <si>
    <t>P@5.1.6</t>
  </si>
  <si>
    <t>5.1.6</t>
  </si>
  <si>
    <t>Abaissé de bordure droit</t>
  </si>
  <si>
    <t>P@5.1.7</t>
  </si>
  <si>
    <t>5.1.7</t>
  </si>
  <si>
    <t>Abaissé de bordure gauche</t>
  </si>
  <si>
    <t>P@5.1.8</t>
  </si>
  <si>
    <t>5.1.8</t>
  </si>
  <si>
    <t>Bordure spéciale 20x30 angle massif planté</t>
  </si>
  <si>
    <t>P@5.1.9</t>
  </si>
  <si>
    <t>5.1.9</t>
  </si>
  <si>
    <t>Bordure spéciale 20x30 ajouré au droit massif planté</t>
  </si>
  <si>
    <t>P@5.1.10</t>
  </si>
  <si>
    <t>5.1.10</t>
  </si>
  <si>
    <t>Caniveau type CC1</t>
  </si>
  <si>
    <t>P@5.2</t>
  </si>
  <si>
    <t>5.2</t>
  </si>
  <si>
    <t>Réalisation de longrine en béton armé avec coffrage autour des espaces verts</t>
  </si>
  <si>
    <t>P@5.3</t>
  </si>
  <si>
    <t>5.3</t>
  </si>
  <si>
    <t>Coffrage soigné du calage de bordures dans les massifs de plantations</t>
  </si>
  <si>
    <t>P@5.4</t>
  </si>
  <si>
    <t>5.4</t>
  </si>
  <si>
    <t>Construction de caniveau béton coulé en place de 0,33 m de largeur et de 0,30 m d'épaisseur</t>
  </si>
  <si>
    <t>P@5.5</t>
  </si>
  <si>
    <t>5.5</t>
  </si>
  <si>
    <t>Asphaltage du caniveau</t>
  </si>
  <si>
    <t>P@5.6</t>
  </si>
  <si>
    <t>5.6</t>
  </si>
  <si>
    <t>Fourniture et pose de volige en acier plat 100/10mm  à la tige d'accroche 250/80/10mm</t>
  </si>
  <si>
    <t>P@5.7</t>
  </si>
  <si>
    <t>5.7</t>
  </si>
  <si>
    <t>FOURNITURE ET POSE DE VOLIGES BOIS EN PEUPLIER RECTIFIE, LARG : 35MM</t>
  </si>
  <si>
    <t>C@36</t>
  </si>
  <si>
    <t>5.8</t>
  </si>
  <si>
    <t>Fourniture et pose d'éléments préfabriqués en pierre reconstituée pour la fontaine y compris paillasse béton</t>
  </si>
  <si>
    <t>P@5.8.1</t>
  </si>
  <si>
    <t>5.8.1</t>
  </si>
  <si>
    <t>Emmarchement type M1</t>
  </si>
  <si>
    <t>P@5.8.2</t>
  </si>
  <si>
    <t>5.8.2</t>
  </si>
  <si>
    <t>Emmarchement type M2</t>
  </si>
  <si>
    <t>P@5.8.3</t>
  </si>
  <si>
    <t>5.8.3</t>
  </si>
  <si>
    <t>Emmarchement type M3</t>
  </si>
  <si>
    <t>P@5.8.4</t>
  </si>
  <si>
    <t>5.8.4</t>
  </si>
  <si>
    <t>Emmarchement type M4</t>
  </si>
  <si>
    <t>P@5.8.5</t>
  </si>
  <si>
    <t>5.8.5</t>
  </si>
  <si>
    <t>Elément modulaire pour caniveau</t>
  </si>
  <si>
    <t>C@37</t>
  </si>
  <si>
    <t>5.9</t>
  </si>
  <si>
    <t>Fourniture et pose de bordure provisoire en béton classique</t>
  </si>
  <si>
    <t>P@5.9.1</t>
  </si>
  <si>
    <t>5.9.1</t>
  </si>
  <si>
    <t>Bordure type T2</t>
  </si>
  <si>
    <t>ST@ST05</t>
  </si>
  <si>
    <t>Total Bordures</t>
  </si>
  <si>
    <t>C@38</t>
  </si>
  <si>
    <t>6</t>
  </si>
  <si>
    <t>Travaux communs des réseaux</t>
  </si>
  <si>
    <t>P@6.1</t>
  </si>
  <si>
    <t>6.1</t>
  </si>
  <si>
    <t>Mise à niveau d'une bouche à clé d'eau potable</t>
  </si>
  <si>
    <t>P@6.2</t>
  </si>
  <si>
    <t>6.2</t>
  </si>
  <si>
    <t>Mise à niveau d'une bouche à clé de gaz</t>
  </si>
  <si>
    <t>C@39</t>
  </si>
  <si>
    <t>6.3</t>
  </si>
  <si>
    <t>Mise à niveau de regards / chambres de tirage</t>
  </si>
  <si>
    <t>P@6.3.1</t>
  </si>
  <si>
    <t>6.3.1</t>
  </si>
  <si>
    <t>Dimensions inférieures ou égales à 500mm de diam ou 500x500mm</t>
  </si>
  <si>
    <t>P@6.3.2</t>
  </si>
  <si>
    <t>6.3.2</t>
  </si>
  <si>
    <t>Dimensions supérieures à 500mm de diam ou 500x500 mm</t>
  </si>
  <si>
    <t>C@40</t>
  </si>
  <si>
    <t>6.4</t>
  </si>
  <si>
    <t>Démolition de regards de visite ou de chambres de tirage</t>
  </si>
  <si>
    <t>P@6.4.1</t>
  </si>
  <si>
    <t>6.4.1</t>
  </si>
  <si>
    <t>Démolition de regard avaloir et/ou à grille</t>
  </si>
  <si>
    <t>P@6.4.2</t>
  </si>
  <si>
    <t>6.4.2</t>
  </si>
  <si>
    <t>P@6.4.3</t>
  </si>
  <si>
    <t>6.4.3</t>
  </si>
  <si>
    <t>C@41</t>
  </si>
  <si>
    <t>6.5</t>
  </si>
  <si>
    <t xml:space="preserve">Remplacement tampon DN600, </t>
  </si>
  <si>
    <t>P@6.5.1</t>
  </si>
  <si>
    <t>6.5.1</t>
  </si>
  <si>
    <t>classe C250KN</t>
  </si>
  <si>
    <t>P@6.5.2</t>
  </si>
  <si>
    <t>6.5.2</t>
  </si>
  <si>
    <t>classe D400KN</t>
  </si>
  <si>
    <t>P@6.6</t>
  </si>
  <si>
    <t>6.6</t>
  </si>
  <si>
    <t>Démolition de multitubulaire bétonnée</t>
  </si>
  <si>
    <t>P@6.7</t>
  </si>
  <si>
    <t>6.7</t>
  </si>
  <si>
    <t>Protection béton pour réseau (dalle ép. 20cm)</t>
  </si>
  <si>
    <t>ST@ST06</t>
  </si>
  <si>
    <t>Total Travaux communs des réseaux</t>
  </si>
  <si>
    <t>C@42</t>
  </si>
  <si>
    <t>7</t>
  </si>
  <si>
    <t>Réseau d'assainissement unitaire</t>
  </si>
  <si>
    <t>P@7.1</t>
  </si>
  <si>
    <t>7.1</t>
  </si>
  <si>
    <t>Fouilles en tranchée y compris remblaiement H = 2,30 m</t>
  </si>
  <si>
    <t>C@43</t>
  </si>
  <si>
    <t>7.2</t>
  </si>
  <si>
    <t>Fourniture et pose de canalisation</t>
  </si>
  <si>
    <t>P@7.2.1</t>
  </si>
  <si>
    <t>7.2.1</t>
  </si>
  <si>
    <t>PVC CR8 Ø160mm</t>
  </si>
  <si>
    <t>P@7.2.2</t>
  </si>
  <si>
    <t>7.2.2</t>
  </si>
  <si>
    <t>BA 165A Ø400mm</t>
  </si>
  <si>
    <t>P@7.2.3</t>
  </si>
  <si>
    <t>7.2.3</t>
  </si>
  <si>
    <t>BA 165A Ø500mm</t>
  </si>
  <si>
    <t>C@44</t>
  </si>
  <si>
    <t>7.3</t>
  </si>
  <si>
    <t>Emergences</t>
  </si>
  <si>
    <t>P@7.3.1</t>
  </si>
  <si>
    <t>7.3.1</t>
  </si>
  <si>
    <t>Construction d'un regard 40 x40cm de branchement préfabriqué  de profondeur &lt; 1,50m avec tampon 50 x50, classe C250KN</t>
  </si>
  <si>
    <t>P@7.3.2</t>
  </si>
  <si>
    <t>7.3.2</t>
  </si>
  <si>
    <t>Construction d'un regard de visite circulaire de diamètre 1000mm préfabriqué  de profondeur &lt; 2,00m avec tampon circulaire 850mm, classe C400KN</t>
  </si>
  <si>
    <t>P@7.4</t>
  </si>
  <si>
    <t>7.4</t>
  </si>
  <si>
    <t>Raccordement sur regard de visite existant</t>
  </si>
  <si>
    <t>P@7.5</t>
  </si>
  <si>
    <t>7.5</t>
  </si>
  <si>
    <t>Raccordement sur canalisation circulaire existante</t>
  </si>
  <si>
    <t>P@7.6</t>
  </si>
  <si>
    <t>7.6</t>
  </si>
  <si>
    <t xml:space="preserve">Hydrocurage et inspection télévisée des réseaux </t>
  </si>
  <si>
    <t>P@7.7</t>
  </si>
  <si>
    <t>7.7</t>
  </si>
  <si>
    <t>Essai d'étanchéité</t>
  </si>
  <si>
    <t>ST@ST07</t>
  </si>
  <si>
    <t>Total Réseau d'assainissement unitaire</t>
  </si>
  <si>
    <t>C@45</t>
  </si>
  <si>
    <t>8</t>
  </si>
  <si>
    <t>Réseau d'assainissement des eaux pluviales</t>
  </si>
  <si>
    <t>P@8.1</t>
  </si>
  <si>
    <t>8.1</t>
  </si>
  <si>
    <t>Fouilles en tranchée y compris remblaiement H &lt; 2,30 m</t>
  </si>
  <si>
    <t>C@46</t>
  </si>
  <si>
    <t>8.2</t>
  </si>
  <si>
    <t>Ouvrages d'infiltration</t>
  </si>
  <si>
    <t>P@8.2.1</t>
  </si>
  <si>
    <t>8.2.1</t>
  </si>
  <si>
    <t>Géotextile</t>
  </si>
  <si>
    <t>P@8.2.2</t>
  </si>
  <si>
    <t>8.2.2</t>
  </si>
  <si>
    <t>Reprise sur stock de fraction grossière de matériaux inertes et mise en œuvre pour complexe drainant 40/80</t>
  </si>
  <si>
    <t>P@8.2.3</t>
  </si>
  <si>
    <t>8.2.3</t>
  </si>
  <si>
    <t>Fourniture et mise en œuvre mécanique de grave non traitée GNT 31.5/50 silico calcaire de type 2, pour massif de diffusion sur massif terre-pierre</t>
  </si>
  <si>
    <t>C@47</t>
  </si>
  <si>
    <t>8.3</t>
  </si>
  <si>
    <t>P@8.3.1</t>
  </si>
  <si>
    <t>8.3.1</t>
  </si>
  <si>
    <t>P@8.3.2</t>
  </si>
  <si>
    <t>8.3.2</t>
  </si>
  <si>
    <t>PVC CR8 Ø200mm</t>
  </si>
  <si>
    <t>P@8.3.3</t>
  </si>
  <si>
    <t>8.3.3</t>
  </si>
  <si>
    <t>Drain routier PVC  Ø250mm</t>
  </si>
  <si>
    <t>C@48</t>
  </si>
  <si>
    <t>8.4</t>
  </si>
  <si>
    <t>Construction de regard</t>
  </si>
  <si>
    <t>P@8.4.1</t>
  </si>
  <si>
    <t>8.4.1</t>
  </si>
  <si>
    <t>Construction d'un regard de profondeur &lt; 1,50, section 0,80m x 0,80m avec une grille  fonte rectangulaire 750 x 300mm, classe D400KN</t>
  </si>
  <si>
    <t>P@8.4.2</t>
  </si>
  <si>
    <t>8.4.2</t>
  </si>
  <si>
    <t>Construction d'un regard de profondeur &lt; 1,50, section 0,80m x 0,80m avec une grille  fonte carrée concave 400 x 400mm, classe C250KN</t>
  </si>
  <si>
    <t>P@8.4.3</t>
  </si>
  <si>
    <t>8.4.3</t>
  </si>
  <si>
    <t>Construction d'un regard de visite circulaire de diamètre 1000mm préfabriqué  de profondeur &lt; 1,50m avec tampon circulaire 850mm, classe C250KN</t>
  </si>
  <si>
    <t>P@8.4.4</t>
  </si>
  <si>
    <t>8.4.4</t>
  </si>
  <si>
    <t>Construction d'un regard de descente d'eau pluviale "brise énergie" de profondeur &lt; 1,50, section 0,40m x 0,40m avec tampon fonte carrée 500 x 500mm, classe B125KN</t>
  </si>
  <si>
    <t>P@8.4.5</t>
  </si>
  <si>
    <t>8.4.5</t>
  </si>
  <si>
    <t>Construction d'un regard  de dispersion de profondeur &lt; 2,00m, section 0,80m x 0,80m, remplissage par galets, grille fonte carrée 600x600 plate, C250KN</t>
  </si>
  <si>
    <t>P@8.4.6</t>
  </si>
  <si>
    <t>8.4.6</t>
  </si>
  <si>
    <t>Construction d'un regard  de dispersion de profondeur &lt; 2,00m, section 0,80m x 0,80m, remplissage par galets, grille fonte carrée 600x600 plate, C250KN, avec seuil de 20cm</t>
  </si>
  <si>
    <t>P@8.4.7</t>
  </si>
  <si>
    <t>8.4.7</t>
  </si>
  <si>
    <t>Construction d'un regard  de dispersion de profondeur &lt; 2,00m, section 0,80m x 0,80m, remplissage par galets, grille fonte carrée 400x400 concave, C250KN</t>
  </si>
  <si>
    <t>P@8.4.8</t>
  </si>
  <si>
    <t>8.4.8</t>
  </si>
  <si>
    <t>Construction d'un regard  de dispersion de profondeur &lt; 2,00m, section 0,60m x 0,70m, remplissage par galets, grille fonte rectangulaire 750 x 300mm, classe D400KN</t>
  </si>
  <si>
    <t>P@8.4.9</t>
  </si>
  <si>
    <t>8.4.9</t>
  </si>
  <si>
    <t>Construction d'un regard  de dispersion de profondeur &lt; 2,00m, section 0,60m x 0,70m, remplissage par galets, grille fonte rectangulaire 750 x 300mm, classe D400KN avec caillebotis vetical</t>
  </si>
  <si>
    <t>P@8.4.10</t>
  </si>
  <si>
    <t>8.4.10</t>
  </si>
  <si>
    <t>Transformation d'un regard avaloir ou à grille en un regard de visite circulaire de diamètre 1000mm préfabriqué sur collecteur, avec tampon circulaire 850mm, classe C250KN</t>
  </si>
  <si>
    <t>P@8.4.11</t>
  </si>
  <si>
    <t>8.4.11</t>
  </si>
  <si>
    <t>Réalisation d'un regard sur réseau assainissement en fonctionnement</t>
  </si>
  <si>
    <t>P@8.4.12</t>
  </si>
  <si>
    <t>8.4.12</t>
  </si>
  <si>
    <t>Transformation d'un regard avaloir en un regard à grille fonte rectangulaire 750 x 300mm, classe D400KN</t>
  </si>
  <si>
    <t>C@49</t>
  </si>
  <si>
    <t>8.5</t>
  </si>
  <si>
    <t>Raccordements sur réseau existant</t>
  </si>
  <si>
    <t>P@8.5.1</t>
  </si>
  <si>
    <t>8.5.1</t>
  </si>
  <si>
    <t>P@8.5.2</t>
  </si>
  <si>
    <t>8.5.2</t>
  </si>
  <si>
    <t>P@8.5.3</t>
  </si>
  <si>
    <t>8.5.3</t>
  </si>
  <si>
    <t>Piquage en chandelle sur ovoïde existant</t>
  </si>
  <si>
    <t>P@8.6</t>
  </si>
  <si>
    <t>8.6</t>
  </si>
  <si>
    <t>P@8.7</t>
  </si>
  <si>
    <t>8.7</t>
  </si>
  <si>
    <t>ST@ST08</t>
  </si>
  <si>
    <t>Total Réseau d'assainissement des eaux pluviales</t>
  </si>
  <si>
    <t>C@50</t>
  </si>
  <si>
    <t>9</t>
  </si>
  <si>
    <t>Réseau d'AEP</t>
  </si>
  <si>
    <t>C@51</t>
  </si>
  <si>
    <t>9.1</t>
  </si>
  <si>
    <t>Fouilles en tranchée de profondeur inférieure à 1,50 m pour canalisation y compris remblaiement</t>
  </si>
  <si>
    <t>P@9.1.1</t>
  </si>
  <si>
    <t>9.1.1</t>
  </si>
  <si>
    <t>Pour PEHD DN 18/25 ou DN32 sous trottoir</t>
  </si>
  <si>
    <t>P@9.1.2</t>
  </si>
  <si>
    <t>9.1.2</t>
  </si>
  <si>
    <t>Pour PEHD DN 18/25 ou DN32 sous chaussée</t>
  </si>
  <si>
    <t>P@9.1.3</t>
  </si>
  <si>
    <t>9.1.3</t>
  </si>
  <si>
    <t>pour Fonte DN 150 mm sous chaussée</t>
  </si>
  <si>
    <t>C@52</t>
  </si>
  <si>
    <t>9.2</t>
  </si>
  <si>
    <t>Fourniture et pose de canalisation pour AEP</t>
  </si>
  <si>
    <t>P@9.2.4</t>
  </si>
  <si>
    <t>9.2.4</t>
  </si>
  <si>
    <t>PEHD DN 18/25</t>
  </si>
  <si>
    <t>P@9.2.1</t>
  </si>
  <si>
    <t>9.2.1</t>
  </si>
  <si>
    <t>PEHD DN 32/40</t>
  </si>
  <si>
    <t>P@9.2.5</t>
  </si>
  <si>
    <t>9.2.5</t>
  </si>
  <si>
    <t>Fonte DN 150 mm</t>
  </si>
  <si>
    <t>P@9.2.3</t>
  </si>
  <si>
    <t>9.2.3</t>
  </si>
  <si>
    <t>TPC bleu DN63mm</t>
  </si>
  <si>
    <t>C@53</t>
  </si>
  <si>
    <t>9.3</t>
  </si>
  <si>
    <t>Fourniture et pose de pièces raccord en fonte ductile</t>
  </si>
  <si>
    <t>P@9.3.1</t>
  </si>
  <si>
    <t>9.3.1</t>
  </si>
  <si>
    <t>Plaque pleine + vidange</t>
  </si>
  <si>
    <t>C@54</t>
  </si>
  <si>
    <t>9.4</t>
  </si>
  <si>
    <t>Fourniture et pose de regard</t>
  </si>
  <si>
    <t>P@9.4.1</t>
  </si>
  <si>
    <t>9.4.1</t>
  </si>
  <si>
    <t>Regard de comptage pour fontaine tampon 1 000 x 1 000  (avec un fond drainé) avec disconnecteur contrôlable de marque Socla ou Bayard</t>
  </si>
  <si>
    <t>P@9.4.2</t>
  </si>
  <si>
    <t>9.4.2</t>
  </si>
  <si>
    <t>Regard de comptage compact de type SGB</t>
  </si>
  <si>
    <t>P@9.5</t>
  </si>
  <si>
    <t>9.5</t>
  </si>
  <si>
    <t>Fourniture et pose borne Fontaine</t>
  </si>
  <si>
    <t>P@9.6</t>
  </si>
  <si>
    <t>9.6</t>
  </si>
  <si>
    <t>Fourniture et pose bouche d'arrosage</t>
  </si>
  <si>
    <t>P@9.7</t>
  </si>
  <si>
    <t>9.7</t>
  </si>
  <si>
    <t>Dépose branchement en attente</t>
  </si>
  <si>
    <t>C@55</t>
  </si>
  <si>
    <t>9.8</t>
  </si>
  <si>
    <t>Fourniture et pose d'un robinet vanne standard sous bouche à clef</t>
  </si>
  <si>
    <t>P@9.8.1</t>
  </si>
  <si>
    <t>9.8.1</t>
  </si>
  <si>
    <t>RV DN 150 mm</t>
  </si>
  <si>
    <t>P@9.8.2</t>
  </si>
  <si>
    <t>9.8.2</t>
  </si>
  <si>
    <t>RV DN 40 mm</t>
  </si>
  <si>
    <t>P@9.8.3</t>
  </si>
  <si>
    <t>9.8.3</t>
  </si>
  <si>
    <t>RV DN 20 mm</t>
  </si>
  <si>
    <t>P@9.9</t>
  </si>
  <si>
    <t>9.9</t>
  </si>
  <si>
    <t>Réfection de chaussée</t>
  </si>
  <si>
    <t>P@9.10</t>
  </si>
  <si>
    <t>9.10</t>
  </si>
  <si>
    <t>Désinfection de la conduite et vérification de la potabilité</t>
  </si>
  <si>
    <t>ST@ST09</t>
  </si>
  <si>
    <t>Total Réseau d'AEP</t>
  </si>
  <si>
    <t>C@56</t>
  </si>
  <si>
    <t>10</t>
  </si>
  <si>
    <t>GC Réseaux secs - RMT</t>
  </si>
  <si>
    <t>C@57</t>
  </si>
  <si>
    <t>10.1</t>
  </si>
  <si>
    <t>Fouilles en tranchée y compris remblaiement pour réseau RMT</t>
  </si>
  <si>
    <t>P@10.1.1</t>
  </si>
  <si>
    <t>10.1.1</t>
  </si>
  <si>
    <t>Tranchée sous chaussée</t>
  </si>
  <si>
    <t>P@10.1.2</t>
  </si>
  <si>
    <t>10.1.2</t>
  </si>
  <si>
    <t>Tranchée sous trottoir</t>
  </si>
  <si>
    <t>C@58</t>
  </si>
  <si>
    <t>10.2</t>
  </si>
  <si>
    <t>Fourniture et pose de gaine</t>
  </si>
  <si>
    <t>P@10.2.1</t>
  </si>
  <si>
    <t>10.2.1</t>
  </si>
  <si>
    <t>Gaine PVC 45mm</t>
  </si>
  <si>
    <t>P@10.2.2</t>
  </si>
  <si>
    <t>10.2.2</t>
  </si>
  <si>
    <t>Gaine PVC 80mm</t>
  </si>
  <si>
    <t>P@10.3</t>
  </si>
  <si>
    <t>10.3</t>
  </si>
  <si>
    <t>Enrobage béton</t>
  </si>
  <si>
    <t>C@59</t>
  </si>
  <si>
    <t>10.4</t>
  </si>
  <si>
    <t>Construction de chambre de tirage coulée en place pour RMT</t>
  </si>
  <si>
    <t>P@10.4.1</t>
  </si>
  <si>
    <t>10.4.1</t>
  </si>
  <si>
    <t xml:space="preserve">Chambre de tirage type L1T </t>
  </si>
  <si>
    <t>P@10.4.2</t>
  </si>
  <si>
    <t>10.4.2</t>
  </si>
  <si>
    <t xml:space="preserve">Chambre de tirage type L2T </t>
  </si>
  <si>
    <t>P@10.4.3</t>
  </si>
  <si>
    <t>10.4.3</t>
  </si>
  <si>
    <t xml:space="preserve">Chambre de tirage type L3T </t>
  </si>
  <si>
    <t>P@10.5</t>
  </si>
  <si>
    <t>10.5</t>
  </si>
  <si>
    <t>P@10.6</t>
  </si>
  <si>
    <t>10.6</t>
  </si>
  <si>
    <t>Perçage d'une chambre existante et réfection du masque</t>
  </si>
  <si>
    <t>ST@ST10</t>
  </si>
  <si>
    <t>Total GC Réseaux secs - RMT</t>
  </si>
  <si>
    <t>C@60</t>
  </si>
  <si>
    <t>11</t>
  </si>
  <si>
    <t>GC Réseaux secs - Eclairage Public</t>
  </si>
  <si>
    <t>C@61</t>
  </si>
  <si>
    <t>11.1</t>
  </si>
  <si>
    <t>Fouilles en tranchée y compris remblaiement pour réseau d'éclairage public</t>
  </si>
  <si>
    <t>P@11.1.1</t>
  </si>
  <si>
    <t>11.1.1</t>
  </si>
  <si>
    <t>P@11.1.2</t>
  </si>
  <si>
    <t>11.1.2</t>
  </si>
  <si>
    <t>P@11.1.3</t>
  </si>
  <si>
    <t>11.1.3</t>
  </si>
  <si>
    <t>Tranchée sous radier enrobé porche et remblaiement béton</t>
  </si>
  <si>
    <t>C@62</t>
  </si>
  <si>
    <t>11.2</t>
  </si>
  <si>
    <t>Fourniture et pose de gaines aiguillées</t>
  </si>
  <si>
    <t>P@11.2.1</t>
  </si>
  <si>
    <t>11.2.1</t>
  </si>
  <si>
    <t>Gaine PVC 40mm renforcée pour ECP</t>
  </si>
  <si>
    <t>P@11.2.2</t>
  </si>
  <si>
    <t>11.2.2</t>
  </si>
  <si>
    <t>Gaine TPC 63mm pour ECP</t>
  </si>
  <si>
    <t>P@11.2.3</t>
  </si>
  <si>
    <t>11.2.3</t>
  </si>
  <si>
    <t>Gaine TPC 90mm pour ECP</t>
  </si>
  <si>
    <t>P@11.2.4</t>
  </si>
  <si>
    <t>11.2.4</t>
  </si>
  <si>
    <t>Gaine TPC 110mm pour ECP</t>
  </si>
  <si>
    <t>P@11.3</t>
  </si>
  <si>
    <t>11.3</t>
  </si>
  <si>
    <t xml:space="preserve">Fourniture et pose en fond de fouille de câblette de terre cuivre nu 25mm2 </t>
  </si>
  <si>
    <t>C@63</t>
  </si>
  <si>
    <t>11.4</t>
  </si>
  <si>
    <t>Fourniture et pose de chambre de tirage pour éclairage public</t>
  </si>
  <si>
    <t>P@11.4.1</t>
  </si>
  <si>
    <t>11.4.1</t>
  </si>
  <si>
    <t>Regard 40cm x 40cm</t>
  </si>
  <si>
    <t>P@11.4.2</t>
  </si>
  <si>
    <t>11.4.2</t>
  </si>
  <si>
    <t>Regard 50cm x 50cm</t>
  </si>
  <si>
    <t>P@11.4.3</t>
  </si>
  <si>
    <t>11.4.3</t>
  </si>
  <si>
    <t>P@11.5</t>
  </si>
  <si>
    <t>11.5</t>
  </si>
  <si>
    <t>Attente pour remontée aérosouterraine</t>
  </si>
  <si>
    <t>P@11.6</t>
  </si>
  <si>
    <t>11.6</t>
  </si>
  <si>
    <t>Raccordement</t>
  </si>
  <si>
    <t>C@64</t>
  </si>
  <si>
    <t>11.7</t>
  </si>
  <si>
    <t xml:space="preserve">Massif pour équipement d'éclairage public </t>
  </si>
  <si>
    <t>P@11.7.1</t>
  </si>
  <si>
    <t>11.7.1</t>
  </si>
  <si>
    <t>Massif pour mât H=5m</t>
  </si>
  <si>
    <t>P@11.7.2</t>
  </si>
  <si>
    <t>11.7.2</t>
  </si>
  <si>
    <t>Massif pour mât H=7m</t>
  </si>
  <si>
    <t>P@11.7.3</t>
  </si>
  <si>
    <t>11.7.3</t>
  </si>
  <si>
    <t>Massif pour mât H=12m</t>
  </si>
  <si>
    <t>P@11.7.4</t>
  </si>
  <si>
    <t>11.7.4</t>
  </si>
  <si>
    <t xml:space="preserve">Socle pour armoire d'éclairage - Dimensions extérieures (h x L x l) 1230x1200x400mm, </t>
  </si>
  <si>
    <t>P@11.8</t>
  </si>
  <si>
    <t>11.8</t>
  </si>
  <si>
    <t>P@11.9</t>
  </si>
  <si>
    <t>11.9</t>
  </si>
  <si>
    <t>Essais</t>
  </si>
  <si>
    <t>ST@ST11</t>
  </si>
  <si>
    <t>Total GC Réseaux secs - Eclairage Public</t>
  </si>
  <si>
    <t>C@65</t>
  </si>
  <si>
    <t>12</t>
  </si>
  <si>
    <t>GC Réseaux secs - Attentes pour ENEDIS</t>
  </si>
  <si>
    <t>C@66</t>
  </si>
  <si>
    <t>12.1</t>
  </si>
  <si>
    <t>Fouilles en tranchée y compris remblaiement pour attente ENEDIS</t>
  </si>
  <si>
    <t>P@12.1.1</t>
  </si>
  <si>
    <t>12.1.1</t>
  </si>
  <si>
    <t>pour 6 TPC 160 sous chaussée</t>
  </si>
  <si>
    <t>P@12.1.2</t>
  </si>
  <si>
    <t>12.1.2</t>
  </si>
  <si>
    <t>pour 6 TPC 160 sous trottoir</t>
  </si>
  <si>
    <t>C@67</t>
  </si>
  <si>
    <t>12.2</t>
  </si>
  <si>
    <t>Fourniture et pose de gaine TPC</t>
  </si>
  <si>
    <t>P@12.2.1</t>
  </si>
  <si>
    <t>12.2.1</t>
  </si>
  <si>
    <t>Gaine TPC 160mm pour ENEDIS</t>
  </si>
  <si>
    <t>P@12.3</t>
  </si>
  <si>
    <t>12.3</t>
  </si>
  <si>
    <t>Enrobage béton pour 6 TPC160</t>
  </si>
  <si>
    <t>ST@ST12</t>
  </si>
  <si>
    <t>Total GC Réseaux secs - Attentes pour ENEDIS</t>
  </si>
  <si>
    <t>C@68</t>
  </si>
  <si>
    <t>13</t>
  </si>
  <si>
    <t>GC Réseaux secs - Fontaine</t>
  </si>
  <si>
    <t>C@69</t>
  </si>
  <si>
    <t>13.1</t>
  </si>
  <si>
    <t>Fouilles en tranchée y compris remblaiement pour réseau secs de la fontaine</t>
  </si>
  <si>
    <t>P@13.1.1</t>
  </si>
  <si>
    <t>13.1.1</t>
  </si>
  <si>
    <t>C@70</t>
  </si>
  <si>
    <t>13.2</t>
  </si>
  <si>
    <t>P@13.2.1.a</t>
  </si>
  <si>
    <t>13.2.1.a</t>
  </si>
  <si>
    <t>13.2.1 - Gaine TPC 60mm</t>
  </si>
  <si>
    <t>P@13.2.2</t>
  </si>
  <si>
    <t>13.2.2</t>
  </si>
  <si>
    <t>Gaine TPC 160mm</t>
  </si>
  <si>
    <t>P@13.3</t>
  </si>
  <si>
    <t>13.3</t>
  </si>
  <si>
    <t>P@13.4</t>
  </si>
  <si>
    <t>13.4</t>
  </si>
  <si>
    <t>ST@ST13</t>
  </si>
  <si>
    <t>Total GC Réseaux secs - Fontaine</t>
  </si>
  <si>
    <t>C@71</t>
  </si>
  <si>
    <t>14</t>
  </si>
  <si>
    <t>Signalisations horizontale et verticale</t>
  </si>
  <si>
    <t>C@72</t>
  </si>
  <si>
    <t>14.1</t>
  </si>
  <si>
    <t>Effaçage de signalisation horizontale</t>
  </si>
  <si>
    <t>P@14.1.1</t>
  </si>
  <si>
    <t>14.1.1</t>
  </si>
  <si>
    <t>Effaçage de signalisation surfacique</t>
  </si>
  <si>
    <t>P@14.1.2</t>
  </si>
  <si>
    <t>14.1.2</t>
  </si>
  <si>
    <t>Effaçage de signalisation linéaire</t>
  </si>
  <si>
    <t>C@73</t>
  </si>
  <si>
    <t>14.2</t>
  </si>
  <si>
    <t>Signalisation horizontale</t>
  </si>
  <si>
    <t>P@14.2.1</t>
  </si>
  <si>
    <t>14.2.1</t>
  </si>
  <si>
    <t>Tracé de ligne blanche discontinue, 50cm pour marquage CEDEZ LE PASSAGE</t>
  </si>
  <si>
    <t>P@14.2.2</t>
  </si>
  <si>
    <t>14.2.2</t>
  </si>
  <si>
    <t>Tracé de ligne blanche continue, 2u 0.10 m pour délimitation de stationnement</t>
  </si>
  <si>
    <t>P@14.2.3</t>
  </si>
  <si>
    <t>14.2.3</t>
  </si>
  <si>
    <t>Tracé de ligne blanche T1, 2u 0.10 m pour délimitation de voie</t>
  </si>
  <si>
    <t>P@14.2.4</t>
  </si>
  <si>
    <t>14.2.4</t>
  </si>
  <si>
    <t>Tracé de bande podotactile 0,50m en résine</t>
  </si>
  <si>
    <t>P@14.2.5</t>
  </si>
  <si>
    <t>14.2.5</t>
  </si>
  <si>
    <t>Tracé de ligne jaune continue, 2u 0,10 m pour arrêt bus type ZIGZAG</t>
  </si>
  <si>
    <t>P@14.2.6</t>
  </si>
  <si>
    <t>14.2.6</t>
  </si>
  <si>
    <t xml:space="preserve">Tracé de bande blanche pour passage piétons, largeur 0,50 m </t>
  </si>
  <si>
    <t>P@14.2.7</t>
  </si>
  <si>
    <t>14.2.7</t>
  </si>
  <si>
    <t>Flèche simple</t>
  </si>
  <si>
    <t>P@14.2.8</t>
  </si>
  <si>
    <t>14.2.8</t>
  </si>
  <si>
    <t>Pictogramme CYCLE</t>
  </si>
  <si>
    <t>P@14.2.9</t>
  </si>
  <si>
    <t>14.2.9</t>
  </si>
  <si>
    <t>Pictogramme Piéton</t>
  </si>
  <si>
    <t>P@14.2.10</t>
  </si>
  <si>
    <t>14.2.10</t>
  </si>
  <si>
    <t xml:space="preserve">Pictogramme PMR </t>
  </si>
  <si>
    <t>P@14.2.11</t>
  </si>
  <si>
    <t>14.2.11</t>
  </si>
  <si>
    <t>Lettrines BUS</t>
  </si>
  <si>
    <t>C@74</t>
  </si>
  <si>
    <t>14.3</t>
  </si>
  <si>
    <t>Signalisation verticale de police</t>
  </si>
  <si>
    <t>C@75</t>
  </si>
  <si>
    <t>14.3.1</t>
  </si>
  <si>
    <t>Supports de signalisation verticale</t>
  </si>
  <si>
    <t>P@14.3.1.1</t>
  </si>
  <si>
    <t>14.3.1.1</t>
  </si>
  <si>
    <t>Support type mât de signalisation verticale de police</t>
  </si>
  <si>
    <t>C@76</t>
  </si>
  <si>
    <t>14.3.2</t>
  </si>
  <si>
    <t>Panneaux de police</t>
  </si>
  <si>
    <t>P@14.3.2.1</t>
  </si>
  <si>
    <t>14.3.2.1</t>
  </si>
  <si>
    <t xml:space="preserve">Ensemble panneau "Voie pompier" </t>
  </si>
  <si>
    <t>P@14.3.2.2</t>
  </si>
  <si>
    <t>14.3.2.2</t>
  </si>
  <si>
    <t>Ensemble Panneau "Interdiction de stationner",  gamme petite, classe 2</t>
  </si>
  <si>
    <t>P@14.3.2.3</t>
  </si>
  <si>
    <t>14.3.2.3</t>
  </si>
  <si>
    <t xml:space="preserve">Ensemble panneau "Arrêt interdit" B6d + panonceau M6a + Panonceau M6b + Panonceau M8 (stationnement PMR), gamme petite, classe 2 </t>
  </si>
  <si>
    <t>P@14.3.2.4</t>
  </si>
  <si>
    <t>14.3.2.4</t>
  </si>
  <si>
    <t>Panneau "CEDEZ LE PASSAGE" AB3a  + M9c gamme petite, classe 2</t>
  </si>
  <si>
    <t>P@14.3.2.5</t>
  </si>
  <si>
    <t>14.3.2.5</t>
  </si>
  <si>
    <t>Panneau "sortie d'Ecole" gamme petite, classe 2</t>
  </si>
  <si>
    <t>P@14.3.2.6</t>
  </si>
  <si>
    <t>14.3.2.6</t>
  </si>
  <si>
    <t>Panneau aire de jeux de dimensions environ : H 400 x L 600 mm.</t>
  </si>
  <si>
    <t>P@14.3.2.7</t>
  </si>
  <si>
    <t>14.3.2.7</t>
  </si>
  <si>
    <t>Panneau "stationnement vélo" Id1a, gamme petite, classe 2</t>
  </si>
  <si>
    <t>P@14.3.2.8</t>
  </si>
  <si>
    <t>14.3.2.8</t>
  </si>
  <si>
    <t>Panneau "Fin de zone 30" B51, gamme petite, classe 2</t>
  </si>
  <si>
    <t>P@14.3.2.9</t>
  </si>
  <si>
    <t>14.3.2.9</t>
  </si>
  <si>
    <t>Panneau "Zone 30" B30, gamme petite, classe 2</t>
  </si>
  <si>
    <t>P@14.3.2.10</t>
  </si>
  <si>
    <t>14.3.2.10</t>
  </si>
  <si>
    <t>Panneau "Aire piétonne", B54, classe 2</t>
  </si>
  <si>
    <t>P@14.3.2.11</t>
  </si>
  <si>
    <t>14.3.2.11</t>
  </si>
  <si>
    <t>Panneau "Fin aire piétonne", B55, classe 2</t>
  </si>
  <si>
    <t>ST@ST14</t>
  </si>
  <si>
    <t>Total Signalisations horizontale et verticale</t>
  </si>
  <si>
    <t>C@77</t>
  </si>
  <si>
    <t>15</t>
  </si>
  <si>
    <t>Ouvrages Divers</t>
  </si>
  <si>
    <t>P@15.1</t>
  </si>
  <si>
    <t>15.1</t>
  </si>
  <si>
    <t>Etude géotechnique pour dimensionnement fondations et massifs</t>
  </si>
  <si>
    <t>C@78</t>
  </si>
  <si>
    <t>15.2</t>
  </si>
  <si>
    <t>Muret banc avenue des Canuts</t>
  </si>
  <si>
    <t>P@15.2.1</t>
  </si>
  <si>
    <t>15.2.1</t>
  </si>
  <si>
    <t>Fouilles pour fondations en terrains ordinaires</t>
  </si>
  <si>
    <t>P@15.2.2</t>
  </si>
  <si>
    <t>15.2.2</t>
  </si>
  <si>
    <t>Remblais de fouilles</t>
  </si>
  <si>
    <t>P@15.2.3</t>
  </si>
  <si>
    <t>15.2.3</t>
  </si>
  <si>
    <t>Coffrages plans pour parements simples</t>
  </si>
  <si>
    <t>P@15.2.4</t>
  </si>
  <si>
    <t>15.2.4</t>
  </si>
  <si>
    <t>Coffrages plans pour parements fins</t>
  </si>
  <si>
    <t>P@15.2.5</t>
  </si>
  <si>
    <t>15.2.5</t>
  </si>
  <si>
    <t>plus value pour parement ouvrage (inscription lettrage dans le béton - 20 lettres - H=60cm)</t>
  </si>
  <si>
    <t>P@15.2.6</t>
  </si>
  <si>
    <t>15.2.6</t>
  </si>
  <si>
    <t>Coffrage perdu pour joint</t>
  </si>
  <si>
    <t>P@15.2.7</t>
  </si>
  <si>
    <t>15.2.7</t>
  </si>
  <si>
    <t>Béton de propreté</t>
  </si>
  <si>
    <t>P@15.2.8</t>
  </si>
  <si>
    <t>15.2.8</t>
  </si>
  <si>
    <t>Béton c30/37 (y.c cure)</t>
  </si>
  <si>
    <t>P@15.2.9</t>
  </si>
  <si>
    <t>15.2.9</t>
  </si>
  <si>
    <t>plus value béton pour teinte dans la masse</t>
  </si>
  <si>
    <t>P@15.2.10</t>
  </si>
  <si>
    <t>15.2.10</t>
  </si>
  <si>
    <t>Armatures pour béton armé</t>
  </si>
  <si>
    <t>KG</t>
  </si>
  <si>
    <t>P@15.2.11</t>
  </si>
  <si>
    <t>15.2.11</t>
  </si>
  <si>
    <t>Réglage et finition des surfaces non coffrées</t>
  </si>
  <si>
    <t>P@15.2.12</t>
  </si>
  <si>
    <t>15.2.12</t>
  </si>
  <si>
    <t>Badigeonnage des surfaces en contact avec la terre</t>
  </si>
  <si>
    <t>P@15.2.13</t>
  </si>
  <si>
    <t>15.2.13</t>
  </si>
  <si>
    <t>Assise unités Fourniture et pose lattes bois en chêne et construction en acier galvanisé 3,790m avec dossier</t>
  </si>
  <si>
    <t>P@15.2.14</t>
  </si>
  <si>
    <t>15.2.14</t>
  </si>
  <si>
    <t xml:space="preserve">Assise Fourniture et pose lattes bois en chêne et construction en acier galvanisé 5,950m avec dossier </t>
  </si>
  <si>
    <t>C@79</t>
  </si>
  <si>
    <t>15.3</t>
  </si>
  <si>
    <t>Dalle fontaine (ep. 20cm)</t>
  </si>
  <si>
    <t>P@15.3.1</t>
  </si>
  <si>
    <t>15.3.1</t>
  </si>
  <si>
    <t>P@15.3.2</t>
  </si>
  <si>
    <t>15.3.2</t>
  </si>
  <si>
    <t>P@15.3.3</t>
  </si>
  <si>
    <t>15.3.3</t>
  </si>
  <si>
    <t>Joints de retrait</t>
  </si>
  <si>
    <t>P@15.3.4</t>
  </si>
  <si>
    <t>15.3.4</t>
  </si>
  <si>
    <t>P@15.3.5</t>
  </si>
  <si>
    <t>15.3.5</t>
  </si>
  <si>
    <t>P@15.3.6</t>
  </si>
  <si>
    <t>15.3.6</t>
  </si>
  <si>
    <t>P@15.3.7</t>
  </si>
  <si>
    <t>15.3.7</t>
  </si>
  <si>
    <t>P@15.3.8</t>
  </si>
  <si>
    <t>15.3.8</t>
  </si>
  <si>
    <t>P@15.3.9</t>
  </si>
  <si>
    <t>15.3.9</t>
  </si>
  <si>
    <t>ETANCHEITE TYPE SEL SUR DALLE ASSISE FONTAINE</t>
  </si>
  <si>
    <t>C@80</t>
  </si>
  <si>
    <t>15.4</t>
  </si>
  <si>
    <t>Peinture murale or</t>
  </si>
  <si>
    <t>P@15.4.1</t>
  </si>
  <si>
    <t>15.4.1</t>
  </si>
  <si>
    <t>Peinture des murs et piliers intérieurs et plafond du porche</t>
  </si>
  <si>
    <t>P@15.4.2</t>
  </si>
  <si>
    <t>15.4.2</t>
  </si>
  <si>
    <t>Peinture du muret banc avenue des Canuts</t>
  </si>
  <si>
    <t>ST@ST15</t>
  </si>
  <si>
    <t>Total Ouvrages Divers</t>
  </si>
  <si>
    <t>C@81</t>
  </si>
  <si>
    <t>16</t>
  </si>
  <si>
    <t>Mobilier urbain</t>
  </si>
  <si>
    <t>C@82</t>
  </si>
  <si>
    <t>16.1</t>
  </si>
  <si>
    <t>Fourniture et pose de mobilier urbain</t>
  </si>
  <si>
    <t>P@16.1.1</t>
  </si>
  <si>
    <t>16.1.1</t>
  </si>
  <si>
    <t>Fourniture et pose de potelet fixe h:90 gamme fontaine  grand Lyon</t>
  </si>
  <si>
    <t>P@16.1.2</t>
  </si>
  <si>
    <t>16.1.2</t>
  </si>
  <si>
    <t>Fourniture et pose de potelet fixe h:120 - tête blanche gamme fontaine grand lyon</t>
  </si>
  <si>
    <t>P@16.1.3</t>
  </si>
  <si>
    <t>16.1.3</t>
  </si>
  <si>
    <t>Fourniture et pose de barrière sans crosse gamme fontaine grand lyon</t>
  </si>
  <si>
    <t>P@16.1.4</t>
  </si>
  <si>
    <t>16.1.4</t>
  </si>
  <si>
    <t>Fourniture et pose de corbeille gamme fontaine grand lyon</t>
  </si>
  <si>
    <t>P@16.1.5</t>
  </si>
  <si>
    <t>16.1.5</t>
  </si>
  <si>
    <t>Fourniture et pose d'appuis-vélo gamme fontaine grand lyon</t>
  </si>
  <si>
    <t>P@16.1.6</t>
  </si>
  <si>
    <t>16.1.6</t>
  </si>
  <si>
    <t xml:space="preserve">Fourniture et pose de portail pompier </t>
  </si>
  <si>
    <t>P@16.1.7</t>
  </si>
  <si>
    <t>16.1.7</t>
  </si>
  <si>
    <t>Fourniture et pose plots anti-béliers</t>
  </si>
  <si>
    <t>P@16.1.8</t>
  </si>
  <si>
    <t>16.1.8</t>
  </si>
  <si>
    <t>Fourniture et pose d'un ensemble de barrière à accès selectif piéton</t>
  </si>
  <si>
    <t>P@16.1.9</t>
  </si>
  <si>
    <t>16.1.9</t>
  </si>
  <si>
    <t>Fourniture et pose d'un ensemble de barrière à accès selectif vélo</t>
  </si>
  <si>
    <t>ST@ST16</t>
  </si>
  <si>
    <t>Total Mobilier urbain</t>
  </si>
  <si>
    <t>HT@HT01</t>
  </si>
  <si>
    <t>Total ESPLANADE</t>
  </si>
  <si>
    <t>C@83</t>
  </si>
  <si>
    <t>RUE NELLI</t>
  </si>
  <si>
    <t>C@84</t>
  </si>
  <si>
    <t>P@z1x1.1</t>
  </si>
  <si>
    <t>P@z1x1.2</t>
  </si>
  <si>
    <t>C@85</t>
  </si>
  <si>
    <t>P@z1x1.3.1</t>
  </si>
  <si>
    <t>P@z1x1.3.2</t>
  </si>
  <si>
    <t>P@z1x1.3.3</t>
  </si>
  <si>
    <t>P@z1x1.3.4</t>
  </si>
  <si>
    <t>P@z1x1.4</t>
  </si>
  <si>
    <t>P@z1x1.5</t>
  </si>
  <si>
    <t>P@z1x1.6</t>
  </si>
  <si>
    <t>P@z1x1.7</t>
  </si>
  <si>
    <t>P@z1x1.8</t>
  </si>
  <si>
    <t>P@z1x1.9</t>
  </si>
  <si>
    <t>ST@ST17</t>
  </si>
  <si>
    <t>C@86</t>
  </si>
  <si>
    <t>C@87</t>
  </si>
  <si>
    <t>P@z1x2.1.1</t>
  </si>
  <si>
    <t>P@z1x2.1.2</t>
  </si>
  <si>
    <t>P@z1x2.1.3</t>
  </si>
  <si>
    <t>P@z1x2.2</t>
  </si>
  <si>
    <t>P@z1x2.3</t>
  </si>
  <si>
    <t>C@88</t>
  </si>
  <si>
    <t>P@z1x2.4.1</t>
  </si>
  <si>
    <t>P@z1x2.4.2</t>
  </si>
  <si>
    <t>P@z1x2.4.3</t>
  </si>
  <si>
    <t>C@89</t>
  </si>
  <si>
    <t>P@z1x2.5.1</t>
  </si>
  <si>
    <t>P@z1x2.5.2</t>
  </si>
  <si>
    <t>P@z1x2.5.3</t>
  </si>
  <si>
    <t>P@z1x2.6</t>
  </si>
  <si>
    <t>C@90</t>
  </si>
  <si>
    <t>P@z1x2.7.1</t>
  </si>
  <si>
    <t>P@z1x2.7.2</t>
  </si>
  <si>
    <t>P@z1x2.7.3</t>
  </si>
  <si>
    <t>P@z1x2.7.4</t>
  </si>
  <si>
    <t>P@z1x2.7.5</t>
  </si>
  <si>
    <t>C@91</t>
  </si>
  <si>
    <t>P@z1x2.8.1</t>
  </si>
  <si>
    <t>P@z1x2.8.2</t>
  </si>
  <si>
    <t>P@z1x2.8.3</t>
  </si>
  <si>
    <t>P@z1x2.8.4</t>
  </si>
  <si>
    <t>P@z1x2.8.5</t>
  </si>
  <si>
    <t>P@z1x2.8.6</t>
  </si>
  <si>
    <t>P@z1x2.8.7</t>
  </si>
  <si>
    <t>P@z1x2.8.8</t>
  </si>
  <si>
    <t>P@z1x2.9</t>
  </si>
  <si>
    <t>C@92</t>
  </si>
  <si>
    <t>P@z1x2.10.1</t>
  </si>
  <si>
    <t>P@z1x2.10.2</t>
  </si>
  <si>
    <t>P@z1x2.11</t>
  </si>
  <si>
    <t>C@93</t>
  </si>
  <si>
    <t>P@z1x2.12.1</t>
  </si>
  <si>
    <t>P@z1x2.12.2</t>
  </si>
  <si>
    <t>ST@ST18</t>
  </si>
  <si>
    <t>C@94</t>
  </si>
  <si>
    <t>P@z1x3.1</t>
  </si>
  <si>
    <t>P@z1x3.2</t>
  </si>
  <si>
    <t>P@z1x3.3</t>
  </si>
  <si>
    <t>P@z1x3.4</t>
  </si>
  <si>
    <t>P@z1x3.5</t>
  </si>
  <si>
    <t>P@z1x3.6</t>
  </si>
  <si>
    <t>P@z1x3.7</t>
  </si>
  <si>
    <t>P@z1x3.8</t>
  </si>
  <si>
    <t>C@95</t>
  </si>
  <si>
    <t>P@z1x3.9.1</t>
  </si>
  <si>
    <t>P@z1x3.9.2</t>
  </si>
  <si>
    <t>P@z1x3.9.3</t>
  </si>
  <si>
    <t>P@z1x3.9.4</t>
  </si>
  <si>
    <t>P@z1x3.9.5</t>
  </si>
  <si>
    <t>P@z1x3.10</t>
  </si>
  <si>
    <t>P@z1x3.11</t>
  </si>
  <si>
    <t>P@z1x3.12</t>
  </si>
  <si>
    <t>P@z1x3.13</t>
  </si>
  <si>
    <t>P@z1x3.14</t>
  </si>
  <si>
    <t>P@z1x3.15</t>
  </si>
  <si>
    <t>ST@ST19</t>
  </si>
  <si>
    <t>C@96</t>
  </si>
  <si>
    <t>C@97</t>
  </si>
  <si>
    <t>P@z1x4.1.1</t>
  </si>
  <si>
    <t>P@z1x4.1.2</t>
  </si>
  <si>
    <t>P@z1x4.1.3</t>
  </si>
  <si>
    <t>P@z1x4.1.4</t>
  </si>
  <si>
    <t>C@98</t>
  </si>
  <si>
    <t>P@z1x4.2.1</t>
  </si>
  <si>
    <t>P@z1x4.2.2</t>
  </si>
  <si>
    <t>C@99</t>
  </si>
  <si>
    <t>P@z1x4.3.1</t>
  </si>
  <si>
    <t>P@z1x4.3.2</t>
  </si>
  <si>
    <t>C@100</t>
  </si>
  <si>
    <t>P@z1x4.4.1</t>
  </si>
  <si>
    <t>C@101</t>
  </si>
  <si>
    <t>P@z1x4.5.1</t>
  </si>
  <si>
    <t>C@102</t>
  </si>
  <si>
    <t>P@z1x4.6.1</t>
  </si>
  <si>
    <t>P@z1x4.6.2</t>
  </si>
  <si>
    <t>C@103</t>
  </si>
  <si>
    <t>P@z1x4.7.1</t>
  </si>
  <si>
    <t>P@z1x4.7.2</t>
  </si>
  <si>
    <t>C@104</t>
  </si>
  <si>
    <t>P@z1x4.8.1</t>
  </si>
  <si>
    <t>P@z1x4.8.2</t>
  </si>
  <si>
    <t>C@105</t>
  </si>
  <si>
    <t>P@z1x4.9.1</t>
  </si>
  <si>
    <t>P@z1x4.9.2</t>
  </si>
  <si>
    <t>C@106</t>
  </si>
  <si>
    <t>P@z1x4.10.1</t>
  </si>
  <si>
    <t>C@107</t>
  </si>
  <si>
    <t>P@z1x4.11.1</t>
  </si>
  <si>
    <t>P@z1x4.11.2</t>
  </si>
  <si>
    <t>P@z1x4.11.3</t>
  </si>
  <si>
    <t>C@108</t>
  </si>
  <si>
    <t>P@z1x4.12.1</t>
  </si>
  <si>
    <t>P@z1x4.12.2</t>
  </si>
  <si>
    <t>C@109</t>
  </si>
  <si>
    <t>P@z1x4.13.1</t>
  </si>
  <si>
    <t>P@z1x4.13.2</t>
  </si>
  <si>
    <t>C@110</t>
  </si>
  <si>
    <t>P@z1x4.14.1</t>
  </si>
  <si>
    <t>C@111</t>
  </si>
  <si>
    <t>P@z1x4.15.1</t>
  </si>
  <si>
    <t>P@z1x4.15.2</t>
  </si>
  <si>
    <t>P@z1x4.15.3</t>
  </si>
  <si>
    <t>C@112</t>
  </si>
  <si>
    <t>P@z1x4.16.1</t>
  </si>
  <si>
    <t>P@z1x4.16.2</t>
  </si>
  <si>
    <t>P@z1x4.16.3</t>
  </si>
  <si>
    <t>P@z1x4.16.4</t>
  </si>
  <si>
    <t>C@113</t>
  </si>
  <si>
    <t>P@z1x4.17.1</t>
  </si>
  <si>
    <t>P@z1x4.17.2</t>
  </si>
  <si>
    <t>P@z1x4.17.3</t>
  </si>
  <si>
    <t>ST@ST20</t>
  </si>
  <si>
    <t>C@114</t>
  </si>
  <si>
    <t>C@115</t>
  </si>
  <si>
    <t>P@z1x5.1.1</t>
  </si>
  <si>
    <t>P@z1x5.1.2</t>
  </si>
  <si>
    <t>P@z1x5.1.3</t>
  </si>
  <si>
    <t>P@z1x5.1.4</t>
  </si>
  <si>
    <t>P@z1x5.1.5</t>
  </si>
  <si>
    <t>P@z1x5.1.6</t>
  </si>
  <si>
    <t>P@z1x5.1.7</t>
  </si>
  <si>
    <t>P@z1x5.1.8</t>
  </si>
  <si>
    <t>P@z1x5.1.9</t>
  </si>
  <si>
    <t>P@z1x5.1.10</t>
  </si>
  <si>
    <t>P@z1x5.2</t>
  </si>
  <si>
    <t>P@z1x5.3</t>
  </si>
  <si>
    <t>P@z1x5.4</t>
  </si>
  <si>
    <t>P@z1x5.5</t>
  </si>
  <si>
    <t>P@z1x5.6</t>
  </si>
  <si>
    <t>P@z1x5.7</t>
  </si>
  <si>
    <t>C@116</t>
  </si>
  <si>
    <t>P@z1x5.8.1</t>
  </si>
  <si>
    <t>P@z1x5.8.2</t>
  </si>
  <si>
    <t>P@z1x5.8.3</t>
  </si>
  <si>
    <t>P@z1x5.8.4</t>
  </si>
  <si>
    <t>P@z1x5.8.5</t>
  </si>
  <si>
    <t>C@117</t>
  </si>
  <si>
    <t>P@z1x5.9.1</t>
  </si>
  <si>
    <t>ST@ST21</t>
  </si>
  <si>
    <t>C@118</t>
  </si>
  <si>
    <t>P@z1x6.1</t>
  </si>
  <si>
    <t>P@z1x6.2</t>
  </si>
  <si>
    <t>C@119</t>
  </si>
  <si>
    <t>P@z1x6.3.1</t>
  </si>
  <si>
    <t>P@z1x6.3.2</t>
  </si>
  <si>
    <t>C@120</t>
  </si>
  <si>
    <t>P@z1x6.4.1</t>
  </si>
  <si>
    <t>P@z1x6.4.2</t>
  </si>
  <si>
    <t>P@z1x6.4.3</t>
  </si>
  <si>
    <t>C@121</t>
  </si>
  <si>
    <t>P@z1x6.5.1</t>
  </si>
  <si>
    <t>P@z1x6.5.2</t>
  </si>
  <si>
    <t>P@z1x6.6</t>
  </si>
  <si>
    <t>P@z1x6.7</t>
  </si>
  <si>
    <t>ST@ST22</t>
  </si>
  <si>
    <t>C@122</t>
  </si>
  <si>
    <t>P@z1x7.1</t>
  </si>
  <si>
    <t>C@123</t>
  </si>
  <si>
    <t>P@z1x7.2.1</t>
  </si>
  <si>
    <t>P@z1x7.2.2</t>
  </si>
  <si>
    <t>P@z1x7.2.3</t>
  </si>
  <si>
    <t>C@124</t>
  </si>
  <si>
    <t>P@z1x7.3.1</t>
  </si>
  <si>
    <t>P@z1x7.3.2</t>
  </si>
  <si>
    <t>P@z1x7.4</t>
  </si>
  <si>
    <t>P@z1x7.5</t>
  </si>
  <si>
    <t>P@z1x7.6</t>
  </si>
  <si>
    <t>P@z1x7.7</t>
  </si>
  <si>
    <t>ST@ST23</t>
  </si>
  <si>
    <t>C@125</t>
  </si>
  <si>
    <t>P@z1x8.1</t>
  </si>
  <si>
    <t>C@126</t>
  </si>
  <si>
    <t>P@z1x8.2.1</t>
  </si>
  <si>
    <t>P@z1x8.2.2</t>
  </si>
  <si>
    <t>P@z1x8.2.3</t>
  </si>
  <si>
    <t>C@127</t>
  </si>
  <si>
    <t>P@z1x8.3.1</t>
  </si>
  <si>
    <t>P@z1x8.3.2</t>
  </si>
  <si>
    <t>P@z1x8.3.3</t>
  </si>
  <si>
    <t>C@128</t>
  </si>
  <si>
    <t>P@z1x8.4.1</t>
  </si>
  <si>
    <t>P@z1x8.4.2</t>
  </si>
  <si>
    <t>P@z1x8.4.3</t>
  </si>
  <si>
    <t>P@z1x8.4.4</t>
  </si>
  <si>
    <t>P@z1x8.4.5</t>
  </si>
  <si>
    <t>P@z1x8.4.6</t>
  </si>
  <si>
    <t>P@z1x8.4.7</t>
  </si>
  <si>
    <t>P@z1x8.4.8</t>
  </si>
  <si>
    <t>P@z1x8.4.9</t>
  </si>
  <si>
    <t>P@z1x8.4.10</t>
  </si>
  <si>
    <t>P@z1x8.4.11</t>
  </si>
  <si>
    <t>P@z1x8.4.12</t>
  </si>
  <si>
    <t>C@129</t>
  </si>
  <si>
    <t>P@z1x8.5.1</t>
  </si>
  <si>
    <t>P@z1x8.5.2</t>
  </si>
  <si>
    <t>P@z1x8.5.3</t>
  </si>
  <si>
    <t>P@z1x8.6</t>
  </si>
  <si>
    <t>P@z1x8.7</t>
  </si>
  <si>
    <t>ST@ST24</t>
  </si>
  <si>
    <t>C@130</t>
  </si>
  <si>
    <t>C@131</t>
  </si>
  <si>
    <t>P@z1x9.1.1</t>
  </si>
  <si>
    <t>P@z1x9.1.2</t>
  </si>
  <si>
    <t>P@z1x9.1.3</t>
  </si>
  <si>
    <t>C@132</t>
  </si>
  <si>
    <t>P@z1x9.2.4</t>
  </si>
  <si>
    <t>P@z1x9.2.1</t>
  </si>
  <si>
    <t>P@z1x9.2.5</t>
  </si>
  <si>
    <t>P@z1x9.2.3</t>
  </si>
  <si>
    <t>C@133</t>
  </si>
  <si>
    <t>P@z1x9.3.1</t>
  </si>
  <si>
    <t>C@134</t>
  </si>
  <si>
    <t>P@z1x9.4.1</t>
  </si>
  <si>
    <t>P@z1x9.4.2</t>
  </si>
  <si>
    <t>P@z1x9.5</t>
  </si>
  <si>
    <t>P@z1x9.6</t>
  </si>
  <si>
    <t>P@z1x9.7</t>
  </si>
  <si>
    <t>C@135</t>
  </si>
  <si>
    <t>P@z1x9.8.1</t>
  </si>
  <si>
    <t>P@z1x9.8.2</t>
  </si>
  <si>
    <t>P@z1x9.8.3</t>
  </si>
  <si>
    <t>P@z1x9.9</t>
  </si>
  <si>
    <t>P@z1x9.10</t>
  </si>
  <si>
    <t>ST@ST25</t>
  </si>
  <si>
    <t>C@136</t>
  </si>
  <si>
    <t>C@137</t>
  </si>
  <si>
    <t>P@z1x10.1.1</t>
  </si>
  <si>
    <t>P@z1x10.1.2</t>
  </si>
  <si>
    <t>C@138</t>
  </si>
  <si>
    <t>P@z1x10.2.1</t>
  </si>
  <si>
    <t>P@z1x10.2.2</t>
  </si>
  <si>
    <t>P@z1x10.3</t>
  </si>
  <si>
    <t>C@139</t>
  </si>
  <si>
    <t>P@z1x10.4.1</t>
  </si>
  <si>
    <t>P@z1x10.4.2</t>
  </si>
  <si>
    <t>P@z1x10.4.3</t>
  </si>
  <si>
    <t>P@z1x10.5</t>
  </si>
  <si>
    <t>P@z1x10.6</t>
  </si>
  <si>
    <t>ST@ST26</t>
  </si>
  <si>
    <t>C@140</t>
  </si>
  <si>
    <t>C@141</t>
  </si>
  <si>
    <t>P@z1x11.1.1</t>
  </si>
  <si>
    <t>P@z1x11.1.2</t>
  </si>
  <si>
    <t>P@z1x11.1.3</t>
  </si>
  <si>
    <t>C@142</t>
  </si>
  <si>
    <t>P@z1x11.2.1</t>
  </si>
  <si>
    <t>P@z1x11.2.2</t>
  </si>
  <si>
    <t>P@z1x11.2.3</t>
  </si>
  <si>
    <t>P@z1x11.2.4</t>
  </si>
  <si>
    <t>P@z1x11.3</t>
  </si>
  <si>
    <t>C@143</t>
  </si>
  <si>
    <t>P@z1x11.4.1</t>
  </si>
  <si>
    <t>P@z1x11.4.2</t>
  </si>
  <si>
    <t>P@z1x11.4.3</t>
  </si>
  <si>
    <t>P@z1x11.5</t>
  </si>
  <si>
    <t>P@z1x11.6</t>
  </si>
  <si>
    <t>C@144</t>
  </si>
  <si>
    <t>P@z1x11.7.1</t>
  </si>
  <si>
    <t>P@z1x11.7.2</t>
  </si>
  <si>
    <t>P@z1x11.7.3</t>
  </si>
  <si>
    <t>P@z1x11.7.4</t>
  </si>
  <si>
    <t>P@z1x11.8</t>
  </si>
  <si>
    <t>P@z1x11.9</t>
  </si>
  <si>
    <t>ST@ST27</t>
  </si>
  <si>
    <t>C@145</t>
  </si>
  <si>
    <t>C@146</t>
  </si>
  <si>
    <t>P@z1x12.1.1</t>
  </si>
  <si>
    <t>P@z1x12.1.2</t>
  </si>
  <si>
    <t>C@147</t>
  </si>
  <si>
    <t>P@z1x12.2.1</t>
  </si>
  <si>
    <t>P@z1x12.3</t>
  </si>
  <si>
    <t>ST@ST28</t>
  </si>
  <si>
    <t>C@148</t>
  </si>
  <si>
    <t>C@149</t>
  </si>
  <si>
    <t>P@z1x13.1.1</t>
  </si>
  <si>
    <t>C@150</t>
  </si>
  <si>
    <t>P@z1x13.2.1.a</t>
  </si>
  <si>
    <t>P@z1x13.2.2</t>
  </si>
  <si>
    <t>P@z1x13.3</t>
  </si>
  <si>
    <t>P@z1x13.4</t>
  </si>
  <si>
    <t>ST@ST29</t>
  </si>
  <si>
    <t>C@151</t>
  </si>
  <si>
    <t>C@152</t>
  </si>
  <si>
    <t>P@z1x14.1.1</t>
  </si>
  <si>
    <t>P@z1x14.1.2</t>
  </si>
  <si>
    <t>C@153</t>
  </si>
  <si>
    <t>P@z1x14.2.1</t>
  </si>
  <si>
    <t>P@z1x14.2.2</t>
  </si>
  <si>
    <t>P@z1x14.2.3</t>
  </si>
  <si>
    <t>P@z1x14.2.4</t>
  </si>
  <si>
    <t>P@z1x14.2.5</t>
  </si>
  <si>
    <t>P@z1x14.2.6</t>
  </si>
  <si>
    <t>P@z1x14.2.7</t>
  </si>
  <si>
    <t>P@z1x14.2.8</t>
  </si>
  <si>
    <t>P@z1x14.2.9</t>
  </si>
  <si>
    <t>P@z1x14.2.10</t>
  </si>
  <si>
    <t>P@z1x14.2.11</t>
  </si>
  <si>
    <t>C@154</t>
  </si>
  <si>
    <t>C@155</t>
  </si>
  <si>
    <t>P@z1x14.3.1.1</t>
  </si>
  <si>
    <t>C@156</t>
  </si>
  <si>
    <t>P@z1x14.3.2.1</t>
  </si>
  <si>
    <t>P@z1x14.3.2.2</t>
  </si>
  <si>
    <t>P@z1x14.3.2.3</t>
  </si>
  <si>
    <t>P@z1x14.3.2.4</t>
  </si>
  <si>
    <t>P@z1x14.3.2.5</t>
  </si>
  <si>
    <t>P@z1x14.3.2.6</t>
  </si>
  <si>
    <t>P@z1x14.3.2.7</t>
  </si>
  <si>
    <t>P@z1x14.3.2.8</t>
  </si>
  <si>
    <t>P@z1x14.3.2.9</t>
  </si>
  <si>
    <t>P@z1x14.3.2.10</t>
  </si>
  <si>
    <t>P@z1x14.3.2.11</t>
  </si>
  <si>
    <t>ST@ST30</t>
  </si>
  <si>
    <t>C@157</t>
  </si>
  <si>
    <t>P@z1x15.1</t>
  </si>
  <si>
    <t>C@158</t>
  </si>
  <si>
    <t>P@z1x15.2.1</t>
  </si>
  <si>
    <t>P@z1x15.2.2</t>
  </si>
  <si>
    <t>P@z1x15.2.3</t>
  </si>
  <si>
    <t>P@z1x15.2.4</t>
  </si>
  <si>
    <t>P@z1x15.2.5</t>
  </si>
  <si>
    <t>P@z1x15.2.6</t>
  </si>
  <si>
    <t>P@z1x15.2.7</t>
  </si>
  <si>
    <t>P@z1x15.2.8</t>
  </si>
  <si>
    <t>P@z1x15.2.9</t>
  </si>
  <si>
    <t>P@z1x15.2.10</t>
  </si>
  <si>
    <t>P@z1x15.2.11</t>
  </si>
  <si>
    <t>P@z1x15.2.12</t>
  </si>
  <si>
    <t>P@z1x15.2.13</t>
  </si>
  <si>
    <t>P@z1x15.2.14</t>
  </si>
  <si>
    <t>C@159</t>
  </si>
  <si>
    <t>P@z1x15.3.1</t>
  </si>
  <si>
    <t>P@z1x15.3.2</t>
  </si>
  <si>
    <t>P@z1x15.3.3</t>
  </si>
  <si>
    <t>P@z1x15.3.4</t>
  </si>
  <si>
    <t>P@z1x15.3.5</t>
  </si>
  <si>
    <t>P@z1x15.3.6</t>
  </si>
  <si>
    <t>P@z1x15.3.7</t>
  </si>
  <si>
    <t>P@z1x15.3.8</t>
  </si>
  <si>
    <t>P@z1x15.3.9</t>
  </si>
  <si>
    <t>C@160</t>
  </si>
  <si>
    <t>P@z1x15.4.1</t>
  </si>
  <si>
    <t>P@z1x15.4.2</t>
  </si>
  <si>
    <t>ST@ST31</t>
  </si>
  <si>
    <t>C@161</t>
  </si>
  <si>
    <t>C@162</t>
  </si>
  <si>
    <t>P@z1x16.1.1</t>
  </si>
  <si>
    <t>P@z1x16.1.2</t>
  </si>
  <si>
    <t>P@z1x16.1.3</t>
  </si>
  <si>
    <t>P@z1x16.1.4</t>
  </si>
  <si>
    <t>P@z1x16.1.5</t>
  </si>
  <si>
    <t>P@z1x16.1.6</t>
  </si>
  <si>
    <t>P@z1x16.1.7</t>
  </si>
  <si>
    <t>P@z1x16.1.8</t>
  </si>
  <si>
    <t>P@z1x16.1.9</t>
  </si>
  <si>
    <t>ST@ST32</t>
  </si>
  <si>
    <t>HT@HT02</t>
  </si>
  <si>
    <t>Total RUE NELLI</t>
  </si>
  <si>
    <t>C@163</t>
  </si>
  <si>
    <t>ALLEE DU TEXTILE</t>
  </si>
  <si>
    <t>C@164</t>
  </si>
  <si>
    <t>P@z2x1.1</t>
  </si>
  <si>
    <t>P@z2x1.2</t>
  </si>
  <si>
    <t>C@165</t>
  </si>
  <si>
    <t>P@z2x1.3.1</t>
  </si>
  <si>
    <t>P@z2x1.3.2</t>
  </si>
  <si>
    <t>P@z2x1.3.3</t>
  </si>
  <si>
    <t>P@z2x1.3.4</t>
  </si>
  <si>
    <t>P@z2x1.4</t>
  </si>
  <si>
    <t>P@z2x1.5</t>
  </si>
  <si>
    <t>P@z2x1.6</t>
  </si>
  <si>
    <t>P@z2x1.7</t>
  </si>
  <si>
    <t>P@z2x1.8</t>
  </si>
  <si>
    <t>P@z2x1.9</t>
  </si>
  <si>
    <t>ST@ST33</t>
  </si>
  <si>
    <t>C@166</t>
  </si>
  <si>
    <t>C@167</t>
  </si>
  <si>
    <t>P@z2x2.1.1</t>
  </si>
  <si>
    <t>P@z2x2.1.2</t>
  </si>
  <si>
    <t>P@z2x2.1.3</t>
  </si>
  <si>
    <t>P@z2x2.2</t>
  </si>
  <si>
    <t>P@z2x2.3</t>
  </si>
  <si>
    <t>C@168</t>
  </si>
  <si>
    <t>P@z2x2.4.1</t>
  </si>
  <si>
    <t>P@z2x2.4.2</t>
  </si>
  <si>
    <t>P@z2x2.4.3</t>
  </si>
  <si>
    <t>C@169</t>
  </si>
  <si>
    <t>P@z2x2.5.1</t>
  </si>
  <si>
    <t>P@z2x2.5.2</t>
  </si>
  <si>
    <t>P@z2x2.5.3</t>
  </si>
  <si>
    <t>P@z2x2.6</t>
  </si>
  <si>
    <t>C@170</t>
  </si>
  <si>
    <t>P@z2x2.7.1</t>
  </si>
  <si>
    <t>P@z2x2.7.2</t>
  </si>
  <si>
    <t>P@z2x2.7.3</t>
  </si>
  <si>
    <t>P@z2x2.7.4</t>
  </si>
  <si>
    <t>P@z2x2.7.5</t>
  </si>
  <si>
    <t>C@171</t>
  </si>
  <si>
    <t>P@z2x2.8.1</t>
  </si>
  <si>
    <t>P@z2x2.8.2</t>
  </si>
  <si>
    <t>P@z2x2.8.3</t>
  </si>
  <si>
    <t>P@z2x2.8.4</t>
  </si>
  <si>
    <t>P@z2x2.8.5</t>
  </si>
  <si>
    <t>P@z2x2.8.6</t>
  </si>
  <si>
    <t>P@z2x2.8.7</t>
  </si>
  <si>
    <t>P@z2x2.8.8</t>
  </si>
  <si>
    <t>P@z2x2.9</t>
  </si>
  <si>
    <t>C@172</t>
  </si>
  <si>
    <t>P@z2x2.10.1</t>
  </si>
  <si>
    <t>P@z2x2.10.2</t>
  </si>
  <si>
    <t>P@z2x2.11</t>
  </si>
  <si>
    <t>C@173</t>
  </si>
  <si>
    <t>P@z2x2.12.1</t>
  </si>
  <si>
    <t>P@z2x2.12.2</t>
  </si>
  <si>
    <t>ST@ST34</t>
  </si>
  <si>
    <t>C@174</t>
  </si>
  <si>
    <t>P@z2x3.1</t>
  </si>
  <si>
    <t>P@z2x3.2</t>
  </si>
  <si>
    <t>P@z2x3.3</t>
  </si>
  <si>
    <t>P@z2x3.4</t>
  </si>
  <si>
    <t>P@z2x3.5</t>
  </si>
  <si>
    <t>P@z2x3.6</t>
  </si>
  <si>
    <t>P@z2x3.7</t>
  </si>
  <si>
    <t>P@z2x3.8</t>
  </si>
  <si>
    <t>C@175</t>
  </si>
  <si>
    <t>P@z2x3.9.1</t>
  </si>
  <si>
    <t>P@z2x3.9.2</t>
  </si>
  <si>
    <t>P@z2x3.9.3</t>
  </si>
  <si>
    <t>P@z2x3.9.4</t>
  </si>
  <si>
    <t>P@z2x3.9.5</t>
  </si>
  <si>
    <t>P@z2x3.10</t>
  </si>
  <si>
    <t>P@z2x3.11</t>
  </si>
  <si>
    <t>P@z2x3.12</t>
  </si>
  <si>
    <t>P@z2x3.13</t>
  </si>
  <si>
    <t>P@z2x3.14</t>
  </si>
  <si>
    <t>P@z2x3.15</t>
  </si>
  <si>
    <t>ST@ST35</t>
  </si>
  <si>
    <t>C@176</t>
  </si>
  <si>
    <t>C@177</t>
  </si>
  <si>
    <t>P@z2x4.1.1</t>
  </si>
  <si>
    <t>P@z2x4.1.2</t>
  </si>
  <si>
    <t>P@z2x4.1.3</t>
  </si>
  <si>
    <t>P@z2x4.1.4</t>
  </si>
  <si>
    <t>C@178</t>
  </si>
  <si>
    <t>P@z2x4.2.1</t>
  </si>
  <si>
    <t>P@z2x4.2.2</t>
  </si>
  <si>
    <t>C@179</t>
  </si>
  <si>
    <t>P@z2x4.3.1</t>
  </si>
  <si>
    <t>P@z2x4.3.2</t>
  </si>
  <si>
    <t>C@180</t>
  </si>
  <si>
    <t>P@z2x4.4.1</t>
  </si>
  <si>
    <t>C@181</t>
  </si>
  <si>
    <t>P@z2x4.5.1</t>
  </si>
  <si>
    <t>C@182</t>
  </si>
  <si>
    <t>P@z2x4.6.1</t>
  </si>
  <si>
    <t>P@z2x4.6.2</t>
  </si>
  <si>
    <t>C@183</t>
  </si>
  <si>
    <t>P@z2x4.7.1</t>
  </si>
  <si>
    <t>P@z2x4.7.2</t>
  </si>
  <si>
    <t>C@184</t>
  </si>
  <si>
    <t>P@z2x4.8.1</t>
  </si>
  <si>
    <t>P@z2x4.8.2</t>
  </si>
  <si>
    <t>C@185</t>
  </si>
  <si>
    <t>P@z2x4.9.1</t>
  </si>
  <si>
    <t>P@z2x4.9.2</t>
  </si>
  <si>
    <t>C@186</t>
  </si>
  <si>
    <t>P@z2x4.10.1</t>
  </si>
  <si>
    <t>C@187</t>
  </si>
  <si>
    <t>P@z2x4.11.1</t>
  </si>
  <si>
    <t>P@z2x4.11.2</t>
  </si>
  <si>
    <t>P@z2x4.11.3</t>
  </si>
  <si>
    <t>C@188</t>
  </si>
  <si>
    <t>P@z2x4.12.1</t>
  </si>
  <si>
    <t>P@z2x4.12.2</t>
  </si>
  <si>
    <t>C@189</t>
  </si>
  <si>
    <t>P@z2x4.13.1</t>
  </si>
  <si>
    <t>P@z2x4.13.2</t>
  </si>
  <si>
    <t>C@190</t>
  </si>
  <si>
    <t>P@z2x4.14.1</t>
  </si>
  <si>
    <t>C@191</t>
  </si>
  <si>
    <t>P@z2x4.15.1</t>
  </si>
  <si>
    <t>P@z2x4.15.2</t>
  </si>
  <si>
    <t>P@z2x4.15.3</t>
  </si>
  <si>
    <t>C@192</t>
  </si>
  <si>
    <t>P@z2x4.16.1</t>
  </si>
  <si>
    <t>P@z2x4.16.2</t>
  </si>
  <si>
    <t>P@z2x4.16.3</t>
  </si>
  <si>
    <t>P@z2x4.16.4</t>
  </si>
  <si>
    <t>C@193</t>
  </si>
  <si>
    <t>P@z2x4.17.1</t>
  </si>
  <si>
    <t>P@z2x4.17.2</t>
  </si>
  <si>
    <t>P@z2x4.17.3</t>
  </si>
  <si>
    <t>ST@ST36</t>
  </si>
  <si>
    <t>C@194</t>
  </si>
  <si>
    <t>C@195</t>
  </si>
  <si>
    <t>P@z2x5.1.1</t>
  </si>
  <si>
    <t>P@z2x5.1.2</t>
  </si>
  <si>
    <t>P@z2x5.1.3</t>
  </si>
  <si>
    <t>P@z2x5.1.4</t>
  </si>
  <si>
    <t>P@z2x5.1.5</t>
  </si>
  <si>
    <t>P@z2x5.1.6</t>
  </si>
  <si>
    <t>P@z2x5.1.7</t>
  </si>
  <si>
    <t>P@z2x5.1.8</t>
  </si>
  <si>
    <t>P@z2x5.1.9</t>
  </si>
  <si>
    <t>P@z2x5.1.10</t>
  </si>
  <si>
    <t>P@z2x5.2</t>
  </si>
  <si>
    <t>P@z2x5.3</t>
  </si>
  <si>
    <t>P@z2x5.4</t>
  </si>
  <si>
    <t>P@z2x5.5</t>
  </si>
  <si>
    <t>P@z2x5.6</t>
  </si>
  <si>
    <t>P@z2x5.7</t>
  </si>
  <si>
    <t>C@196</t>
  </si>
  <si>
    <t>P@z2x5.8.1</t>
  </si>
  <si>
    <t>P@z2x5.8.2</t>
  </si>
  <si>
    <t>P@z2x5.8.3</t>
  </si>
  <si>
    <t>P@z2x5.8.4</t>
  </si>
  <si>
    <t>P@z2x5.8.5</t>
  </si>
  <si>
    <t>C@197</t>
  </si>
  <si>
    <t>P@z2x5.9.1</t>
  </si>
  <si>
    <t>ST@ST37</t>
  </si>
  <si>
    <t>C@198</t>
  </si>
  <si>
    <t>P@z2x6.1</t>
  </si>
  <si>
    <t>P@z2x6.2</t>
  </si>
  <si>
    <t>C@199</t>
  </si>
  <si>
    <t>P@z2x6.3.1</t>
  </si>
  <si>
    <t>P@z2x6.3.2</t>
  </si>
  <si>
    <t>C@200</t>
  </si>
  <si>
    <t>P@z2x6.4.1</t>
  </si>
  <si>
    <t>P@z2x6.4.2</t>
  </si>
  <si>
    <t>P@z2x6.4.3</t>
  </si>
  <si>
    <t>C@201</t>
  </si>
  <si>
    <t>P@z2x6.5.1</t>
  </si>
  <si>
    <t>P@z2x6.5.2</t>
  </si>
  <si>
    <t>P@z2x6.6</t>
  </si>
  <si>
    <t>P@z2x6.7</t>
  </si>
  <si>
    <t>ST@ST38</t>
  </si>
  <si>
    <t>C@202</t>
  </si>
  <si>
    <t>P@z2x7.1</t>
  </si>
  <si>
    <t>C@203</t>
  </si>
  <si>
    <t>P@z2x7.2.1</t>
  </si>
  <si>
    <t>P@z2x7.2.2</t>
  </si>
  <si>
    <t>P@z2x7.2.3</t>
  </si>
  <si>
    <t>C@204</t>
  </si>
  <si>
    <t>P@z2x7.3.1</t>
  </si>
  <si>
    <t>P@z2x7.3.2</t>
  </si>
  <si>
    <t>P@z2x7.4</t>
  </si>
  <si>
    <t>P@z2x7.5</t>
  </si>
  <si>
    <t>P@z2x7.6</t>
  </si>
  <si>
    <t>P@z2x7.7</t>
  </si>
  <si>
    <t>ST@ST39</t>
  </si>
  <si>
    <t>C@205</t>
  </si>
  <si>
    <t>P@z2x8.1</t>
  </si>
  <si>
    <t>C@206</t>
  </si>
  <si>
    <t>P@z2x8.2.1</t>
  </si>
  <si>
    <t>P@z2x8.2.2</t>
  </si>
  <si>
    <t>P@z2x8.2.3</t>
  </si>
  <si>
    <t>C@207</t>
  </si>
  <si>
    <t>P@z2x8.3.1</t>
  </si>
  <si>
    <t>P@z2x8.3.2</t>
  </si>
  <si>
    <t>P@z2x8.3.3</t>
  </si>
  <si>
    <t>C@208</t>
  </si>
  <si>
    <t>P@z2x8.4.1</t>
  </si>
  <si>
    <t>P@z2x8.4.2</t>
  </si>
  <si>
    <t>P@z2x8.4.3</t>
  </si>
  <si>
    <t>P@z2x8.4.4</t>
  </si>
  <si>
    <t>P@z2x8.4.5</t>
  </si>
  <si>
    <t>P@z2x8.4.6</t>
  </si>
  <si>
    <t>P@z2x8.4.7</t>
  </si>
  <si>
    <t>P@z2x8.4.8</t>
  </si>
  <si>
    <t>P@z2x8.4.9</t>
  </si>
  <si>
    <t>P@z2x8.4.10</t>
  </si>
  <si>
    <t>P@z2x8.4.11</t>
  </si>
  <si>
    <t>P@z2x8.4.12</t>
  </si>
  <si>
    <t>C@209</t>
  </si>
  <si>
    <t>P@z2x8.5.1</t>
  </si>
  <si>
    <t>P@z2x8.5.2</t>
  </si>
  <si>
    <t>P@z2x8.5.3</t>
  </si>
  <si>
    <t>P@z2x8.6</t>
  </si>
  <si>
    <t>P@z2x8.7</t>
  </si>
  <si>
    <t>ST@ST40</t>
  </si>
  <si>
    <t>C@210</t>
  </si>
  <si>
    <t>C@211</t>
  </si>
  <si>
    <t>P@z2x9.1.1</t>
  </si>
  <si>
    <t>P@z2x9.1.2</t>
  </si>
  <si>
    <t>P@z2x9.1.3</t>
  </si>
  <si>
    <t>C@212</t>
  </si>
  <si>
    <t>P@z2x9.2.4</t>
  </si>
  <si>
    <t>P@z2x9.2.1</t>
  </si>
  <si>
    <t>P@z2x9.2.5</t>
  </si>
  <si>
    <t>P@z2x9.2.3</t>
  </si>
  <si>
    <t>C@213</t>
  </si>
  <si>
    <t>P@z2x9.3.1</t>
  </si>
  <si>
    <t>C@214</t>
  </si>
  <si>
    <t>P@z2x9.4.1</t>
  </si>
  <si>
    <t>P@z2x9.4.2</t>
  </si>
  <si>
    <t>P@z2x9.5</t>
  </si>
  <si>
    <t>P@z2x9.6</t>
  </si>
  <si>
    <t>P@z2x9.7</t>
  </si>
  <si>
    <t>C@215</t>
  </si>
  <si>
    <t>P@z2x9.8.1</t>
  </si>
  <si>
    <t>P@z2x9.8.2</t>
  </si>
  <si>
    <t>P@z2x9.8.3</t>
  </si>
  <si>
    <t>P@z2x9.9</t>
  </si>
  <si>
    <t>P@z2x9.10</t>
  </si>
  <si>
    <t>ST@ST41</t>
  </si>
  <si>
    <t>C@216</t>
  </si>
  <si>
    <t>C@217</t>
  </si>
  <si>
    <t>P@z2x10.1.1</t>
  </si>
  <si>
    <t>P@z2x10.1.2</t>
  </si>
  <si>
    <t>C@218</t>
  </si>
  <si>
    <t>P@z2x10.2.1</t>
  </si>
  <si>
    <t>P@z2x10.2.2</t>
  </si>
  <si>
    <t>P@z2x10.3</t>
  </si>
  <si>
    <t>C@219</t>
  </si>
  <si>
    <t>P@z2x10.4.1</t>
  </si>
  <si>
    <t>P@z2x10.4.2</t>
  </si>
  <si>
    <t>P@z2x10.4.3</t>
  </si>
  <si>
    <t>P@z2x10.5</t>
  </si>
  <si>
    <t>P@z2x10.6</t>
  </si>
  <si>
    <t>ST@ST42</t>
  </si>
  <si>
    <t>C@220</t>
  </si>
  <si>
    <t>C@221</t>
  </si>
  <si>
    <t>P@z2x11.1.1</t>
  </si>
  <si>
    <t>P@z2x11.1.2</t>
  </si>
  <si>
    <t>P@z2x11.1.3</t>
  </si>
  <si>
    <t>C@222</t>
  </si>
  <si>
    <t>P@z2x11.2.1</t>
  </si>
  <si>
    <t>P@z2x11.2.2</t>
  </si>
  <si>
    <t>P@z2x11.2.3</t>
  </si>
  <si>
    <t>P@z2x11.2.4</t>
  </si>
  <si>
    <t>P@z2x11.3</t>
  </si>
  <si>
    <t>C@223</t>
  </si>
  <si>
    <t>P@z2x11.4.1</t>
  </si>
  <si>
    <t>P@z2x11.4.2</t>
  </si>
  <si>
    <t>P@z2x11.4.3</t>
  </si>
  <si>
    <t>P@z2x11.5</t>
  </si>
  <si>
    <t>P@z2x11.6</t>
  </si>
  <si>
    <t>C@224</t>
  </si>
  <si>
    <t>P@z2x11.7.1</t>
  </si>
  <si>
    <t>P@z2x11.7.2</t>
  </si>
  <si>
    <t>P@z2x11.7.3</t>
  </si>
  <si>
    <t>P@z2x11.7.4</t>
  </si>
  <si>
    <t>P@z2x11.8</t>
  </si>
  <si>
    <t>P@z2x11.9</t>
  </si>
  <si>
    <t>ST@ST43</t>
  </si>
  <si>
    <t>C@225</t>
  </si>
  <si>
    <t>C@226</t>
  </si>
  <si>
    <t>P@z2x12.1.1</t>
  </si>
  <si>
    <t>P@z2x12.1.2</t>
  </si>
  <si>
    <t>C@227</t>
  </si>
  <si>
    <t>P@z2x12.2.1</t>
  </si>
  <si>
    <t>P@z2x12.3</t>
  </si>
  <si>
    <t>ST@ST44</t>
  </si>
  <si>
    <t>C@228</t>
  </si>
  <si>
    <t>C@229</t>
  </si>
  <si>
    <t>P@z2x13.1.1</t>
  </si>
  <si>
    <t>C@230</t>
  </si>
  <si>
    <t>P@z2x13.2.1.a</t>
  </si>
  <si>
    <t>P@z2x13.2.2</t>
  </si>
  <si>
    <t>P@z2x13.3</t>
  </si>
  <si>
    <t>P@z2x13.4</t>
  </si>
  <si>
    <t>ST@ST45</t>
  </si>
  <si>
    <t>C@231</t>
  </si>
  <si>
    <t>C@232</t>
  </si>
  <si>
    <t>P@z2x14.1.1</t>
  </si>
  <si>
    <t>P@z2x14.1.2</t>
  </si>
  <si>
    <t>C@233</t>
  </si>
  <si>
    <t>P@z2x14.2.1</t>
  </si>
  <si>
    <t>P@z2x14.2.2</t>
  </si>
  <si>
    <t>P@z2x14.2.3</t>
  </si>
  <si>
    <t>P@z2x14.2.4</t>
  </si>
  <si>
    <t>P@z2x14.2.5</t>
  </si>
  <si>
    <t>P@z2x14.2.6</t>
  </si>
  <si>
    <t>P@z2x14.2.7</t>
  </si>
  <si>
    <t>P@z2x14.2.8</t>
  </si>
  <si>
    <t>P@z2x14.2.9</t>
  </si>
  <si>
    <t>P@z2x14.2.10</t>
  </si>
  <si>
    <t>P@z2x14.2.11</t>
  </si>
  <si>
    <t>C@234</t>
  </si>
  <si>
    <t>C@235</t>
  </si>
  <si>
    <t>P@z2x14.3.1.1</t>
  </si>
  <si>
    <t>C@236</t>
  </si>
  <si>
    <t>P@z2x14.3.2.1</t>
  </si>
  <si>
    <t>P@z2x14.3.2.2</t>
  </si>
  <si>
    <t>P@z2x14.3.2.3</t>
  </si>
  <si>
    <t>P@z2x14.3.2.4</t>
  </si>
  <si>
    <t>P@z2x14.3.2.5</t>
  </si>
  <si>
    <t>P@z2x14.3.2.6</t>
  </si>
  <si>
    <t>P@z2x14.3.2.7</t>
  </si>
  <si>
    <t>P@z2x14.3.2.8</t>
  </si>
  <si>
    <t>P@z2x14.3.2.9</t>
  </si>
  <si>
    <t>P@z2x14.3.2.10</t>
  </si>
  <si>
    <t>P@z2x14.3.2.11</t>
  </si>
  <si>
    <t>ST@ST46</t>
  </si>
  <si>
    <t>C@237</t>
  </si>
  <si>
    <t>P@z2x15.1</t>
  </si>
  <si>
    <t>C@238</t>
  </si>
  <si>
    <t>P@z2x15.2.1</t>
  </si>
  <si>
    <t>P@z2x15.2.2</t>
  </si>
  <si>
    <t>P@z2x15.2.3</t>
  </si>
  <si>
    <t>P@z2x15.2.4</t>
  </si>
  <si>
    <t>P@z2x15.2.5</t>
  </si>
  <si>
    <t>P@z2x15.2.6</t>
  </si>
  <si>
    <t>P@z2x15.2.7</t>
  </si>
  <si>
    <t>P@z2x15.2.8</t>
  </si>
  <si>
    <t>P@z2x15.2.9</t>
  </si>
  <si>
    <t>P@z2x15.2.10</t>
  </si>
  <si>
    <t>P@z2x15.2.11</t>
  </si>
  <si>
    <t>P@z2x15.2.12</t>
  </si>
  <si>
    <t>P@z2x15.2.13</t>
  </si>
  <si>
    <t>P@z2x15.2.14</t>
  </si>
  <si>
    <t>C@239</t>
  </si>
  <si>
    <t>P@z2x15.3.1</t>
  </si>
  <si>
    <t>P@z2x15.3.2</t>
  </si>
  <si>
    <t>P@z2x15.3.3</t>
  </si>
  <si>
    <t>P@z2x15.3.4</t>
  </si>
  <si>
    <t>P@z2x15.3.5</t>
  </si>
  <si>
    <t>P@z2x15.3.6</t>
  </si>
  <si>
    <t>P@z2x15.3.7</t>
  </si>
  <si>
    <t>P@z2x15.3.8</t>
  </si>
  <si>
    <t>P@z2x15.3.9</t>
  </si>
  <si>
    <t>C@240</t>
  </si>
  <si>
    <t>P@z2x15.4.1</t>
  </si>
  <si>
    <t>P@z2x15.4.2</t>
  </si>
  <si>
    <t>ST@ST47</t>
  </si>
  <si>
    <t>C@241</t>
  </si>
  <si>
    <t>C@242</t>
  </si>
  <si>
    <t>P@z2x16.1.1</t>
  </si>
  <si>
    <t>P@z2x16.1.2</t>
  </si>
  <si>
    <t>P@z2x16.1.3</t>
  </si>
  <si>
    <t>P@z2x16.1.4</t>
  </si>
  <si>
    <t>P@z2x16.1.5</t>
  </si>
  <si>
    <t>P@z2x16.1.6</t>
  </si>
  <si>
    <t>P@z2x16.1.7</t>
  </si>
  <si>
    <t>P@z2x16.1.8</t>
  </si>
  <si>
    <t>P@z2x16.1.9</t>
  </si>
  <si>
    <t>ST@ST48</t>
  </si>
  <si>
    <t>HT@HT03</t>
  </si>
  <si>
    <t>Total ALLEE DU TEXTILE</t>
  </si>
  <si>
    <t>C@243</t>
  </si>
  <si>
    <t>ALLEE MOISSONNIER</t>
  </si>
  <si>
    <t>C@244</t>
  </si>
  <si>
    <t>P@z3x1.1</t>
  </si>
  <si>
    <t>P@z3x1.2</t>
  </si>
  <si>
    <t>C@245</t>
  </si>
  <si>
    <t>P@z3x1.3.1</t>
  </si>
  <si>
    <t>P@z3x1.3.2</t>
  </si>
  <si>
    <t>P@z3x1.3.3</t>
  </si>
  <si>
    <t>P@z3x1.3.4</t>
  </si>
  <si>
    <t>P@z3x1.4</t>
  </si>
  <si>
    <t>P@z3x1.5</t>
  </si>
  <si>
    <t>P@z3x1.6</t>
  </si>
  <si>
    <t>P@z3x1.7</t>
  </si>
  <si>
    <t>P@z3x1.8</t>
  </si>
  <si>
    <t>P@z3x1.9</t>
  </si>
  <si>
    <t>ST@ST49</t>
  </si>
  <si>
    <t>C@246</t>
  </si>
  <si>
    <t>C@247</t>
  </si>
  <si>
    <t>P@z3x2.1.1</t>
  </si>
  <si>
    <t>P@z3x2.1.2</t>
  </si>
  <si>
    <t>P@z3x2.1.3</t>
  </si>
  <si>
    <t>P@z3x2.2</t>
  </si>
  <si>
    <t>P@z3x2.3</t>
  </si>
  <si>
    <t>C@248</t>
  </si>
  <si>
    <t>P@z3x2.4.1</t>
  </si>
  <si>
    <t>P@z3x2.4.2</t>
  </si>
  <si>
    <t>P@z3x2.4.3</t>
  </si>
  <si>
    <t>C@249</t>
  </si>
  <si>
    <t>P@z3x2.5.1</t>
  </si>
  <si>
    <t>P@z3x2.5.2</t>
  </si>
  <si>
    <t>P@z3x2.5.3</t>
  </si>
  <si>
    <t>P@z3x2.6</t>
  </si>
  <si>
    <t>C@250</t>
  </si>
  <si>
    <t>P@z3x2.7.1</t>
  </si>
  <si>
    <t>P@z3x2.7.2</t>
  </si>
  <si>
    <t>P@z3x2.7.3</t>
  </si>
  <si>
    <t>P@z3x2.7.4</t>
  </si>
  <si>
    <t>P@z3x2.7.5</t>
  </si>
  <si>
    <t>C@251</t>
  </si>
  <si>
    <t>P@z3x2.8.1</t>
  </si>
  <si>
    <t>P@z3x2.8.2</t>
  </si>
  <si>
    <t>P@z3x2.8.3</t>
  </si>
  <si>
    <t>P@z3x2.8.4</t>
  </si>
  <si>
    <t>P@z3x2.8.5</t>
  </si>
  <si>
    <t>P@z3x2.8.6</t>
  </si>
  <si>
    <t>P@z3x2.8.7</t>
  </si>
  <si>
    <t>P@z3x2.8.8</t>
  </si>
  <si>
    <t>P@z3x2.9</t>
  </si>
  <si>
    <t>C@252</t>
  </si>
  <si>
    <t>P@z3x2.10.1</t>
  </si>
  <si>
    <t>P@z3x2.10.2</t>
  </si>
  <si>
    <t>P@z3x2.11</t>
  </si>
  <si>
    <t>C@253</t>
  </si>
  <si>
    <t>P@z3x2.12.1</t>
  </si>
  <si>
    <t>P@z3x2.12.2</t>
  </si>
  <si>
    <t>ST@ST50</t>
  </si>
  <si>
    <t>C@254</t>
  </si>
  <si>
    <t>P@z3x3.1</t>
  </si>
  <si>
    <t>P@z3x3.2</t>
  </si>
  <si>
    <t>P@z3x3.3</t>
  </si>
  <si>
    <t>P@z3x3.4</t>
  </si>
  <si>
    <t>P@z3x3.5</t>
  </si>
  <si>
    <t>P@z3x3.6</t>
  </si>
  <si>
    <t>P@z3x3.7</t>
  </si>
  <si>
    <t>P@z3x3.8</t>
  </si>
  <si>
    <t>C@255</t>
  </si>
  <si>
    <t>P@z3x3.9.1</t>
  </si>
  <si>
    <t>P@z3x3.9.2</t>
  </si>
  <si>
    <t>P@z3x3.9.3</t>
  </si>
  <si>
    <t>P@z3x3.9.4</t>
  </si>
  <si>
    <t>P@z3x3.9.5</t>
  </si>
  <si>
    <t>P@z3x3.10</t>
  </si>
  <si>
    <t>P@z3x3.11</t>
  </si>
  <si>
    <t>P@z3x3.12</t>
  </si>
  <si>
    <t>P@z3x3.13</t>
  </si>
  <si>
    <t>P@z3x3.14</t>
  </si>
  <si>
    <t>P@z3x3.15</t>
  </si>
  <si>
    <t>ST@ST51</t>
  </si>
  <si>
    <t>C@256</t>
  </si>
  <si>
    <t>C@257</t>
  </si>
  <si>
    <t>P@z3x4.1.1</t>
  </si>
  <si>
    <t>P@z3x4.1.2</t>
  </si>
  <si>
    <t>P@z3x4.1.3</t>
  </si>
  <si>
    <t>P@z3x4.1.4</t>
  </si>
  <si>
    <t>C@258</t>
  </si>
  <si>
    <t>P@z3x4.2.1</t>
  </si>
  <si>
    <t>P@z3x4.2.2</t>
  </si>
  <si>
    <t>C@259</t>
  </si>
  <si>
    <t>P@z3x4.3.1</t>
  </si>
  <si>
    <t>P@z3x4.3.2</t>
  </si>
  <si>
    <t>C@260</t>
  </si>
  <si>
    <t>P@z3x4.4.1</t>
  </si>
  <si>
    <t>C@261</t>
  </si>
  <si>
    <t>P@z3x4.5.1</t>
  </si>
  <si>
    <t>C@262</t>
  </si>
  <si>
    <t>P@z3x4.6.1</t>
  </si>
  <si>
    <t>P@z3x4.6.2</t>
  </si>
  <si>
    <t>C@263</t>
  </si>
  <si>
    <t>P@z3x4.7.1</t>
  </si>
  <si>
    <t>P@z3x4.7.2</t>
  </si>
  <si>
    <t>C@264</t>
  </si>
  <si>
    <t>P@z3x4.8.1</t>
  </si>
  <si>
    <t>P@z3x4.8.2</t>
  </si>
  <si>
    <t>C@265</t>
  </si>
  <si>
    <t>P@z3x4.9.1</t>
  </si>
  <si>
    <t>P@z3x4.9.2</t>
  </si>
  <si>
    <t>C@266</t>
  </si>
  <si>
    <t>P@z3x4.10.1</t>
  </si>
  <si>
    <t>C@267</t>
  </si>
  <si>
    <t>P@z3x4.11.1</t>
  </si>
  <si>
    <t>P@z3x4.11.2</t>
  </si>
  <si>
    <t>P@z3x4.11.3</t>
  </si>
  <si>
    <t>C@268</t>
  </si>
  <si>
    <t>P@z3x4.12.1</t>
  </si>
  <si>
    <t>P@z3x4.12.2</t>
  </si>
  <si>
    <t>C@269</t>
  </si>
  <si>
    <t>P@z3x4.13.1</t>
  </si>
  <si>
    <t>P@z3x4.13.2</t>
  </si>
  <si>
    <t>C@270</t>
  </si>
  <si>
    <t>P@z3x4.14.1</t>
  </si>
  <si>
    <t>C@271</t>
  </si>
  <si>
    <t>P@z3x4.15.1</t>
  </si>
  <si>
    <t>P@z3x4.15.2</t>
  </si>
  <si>
    <t>P@z3x4.15.3</t>
  </si>
  <si>
    <t>C@272</t>
  </si>
  <si>
    <t>P@z3x4.16.1</t>
  </si>
  <si>
    <t>P@z3x4.16.2</t>
  </si>
  <si>
    <t>P@z3x4.16.3</t>
  </si>
  <si>
    <t>P@z3x4.16.4</t>
  </si>
  <si>
    <t>C@273</t>
  </si>
  <si>
    <t>P@z3x4.17.1</t>
  </si>
  <si>
    <t>P@z3x4.17.2</t>
  </si>
  <si>
    <t>P@z3x4.17.3</t>
  </si>
  <si>
    <t>ST@ST52</t>
  </si>
  <si>
    <t>C@274</t>
  </si>
  <si>
    <t>C@275</t>
  </si>
  <si>
    <t>P@z3x5.1.1</t>
  </si>
  <si>
    <t>P@z3x5.1.2</t>
  </si>
  <si>
    <t>P@z3x5.1.3</t>
  </si>
  <si>
    <t>P@z3x5.1.4</t>
  </si>
  <si>
    <t>P@z3x5.1.5</t>
  </si>
  <si>
    <t>P@z3x5.1.6</t>
  </si>
  <si>
    <t>P@z3x5.1.7</t>
  </si>
  <si>
    <t>P@z3x5.1.8</t>
  </si>
  <si>
    <t>P@z3x5.1.9</t>
  </si>
  <si>
    <t>P@z3x5.1.10</t>
  </si>
  <si>
    <t>P@z3x5.2</t>
  </si>
  <si>
    <t>P@z3x5.3</t>
  </si>
  <si>
    <t>P@z3x5.4</t>
  </si>
  <si>
    <t>P@z3x5.5</t>
  </si>
  <si>
    <t>P@z3x5.6</t>
  </si>
  <si>
    <t>P@z3x5.7</t>
  </si>
  <si>
    <t>C@276</t>
  </si>
  <si>
    <t>P@z3x5.8.1</t>
  </si>
  <si>
    <t>P@z3x5.8.2</t>
  </si>
  <si>
    <t>P@z3x5.8.3</t>
  </si>
  <si>
    <t>P@z3x5.8.4</t>
  </si>
  <si>
    <t>P@z3x5.8.5</t>
  </si>
  <si>
    <t>C@277</t>
  </si>
  <si>
    <t>P@z3x5.9.1</t>
  </si>
  <si>
    <t>ST@ST53</t>
  </si>
  <si>
    <t>C@278</t>
  </si>
  <si>
    <t>P@z3x6.1</t>
  </si>
  <si>
    <t>P@z3x6.2</t>
  </si>
  <si>
    <t>C@279</t>
  </si>
  <si>
    <t>P@z3x6.3.1</t>
  </si>
  <si>
    <t>P@z3x6.3.2</t>
  </si>
  <si>
    <t>C@280</t>
  </si>
  <si>
    <t>P@z3x6.4.1</t>
  </si>
  <si>
    <t>P@z3x6.4.2</t>
  </si>
  <si>
    <t>P@z3x6.4.3</t>
  </si>
  <si>
    <t>C@281</t>
  </si>
  <si>
    <t>P@z3x6.5.1</t>
  </si>
  <si>
    <t>P@z3x6.5.2</t>
  </si>
  <si>
    <t>P@z3x6.6</t>
  </si>
  <si>
    <t>P@z3x6.7</t>
  </si>
  <si>
    <t>ST@ST54</t>
  </si>
  <si>
    <t>C@282</t>
  </si>
  <si>
    <t>P@z3x7.1</t>
  </si>
  <si>
    <t>C@283</t>
  </si>
  <si>
    <t>P@z3x7.2.1</t>
  </si>
  <si>
    <t>P@z3x7.2.2</t>
  </si>
  <si>
    <t>P@z3x7.2.3</t>
  </si>
  <si>
    <t>C@284</t>
  </si>
  <si>
    <t>P@z3x7.3.1</t>
  </si>
  <si>
    <t>P@z3x7.3.2</t>
  </si>
  <si>
    <t>P@z3x7.4</t>
  </si>
  <si>
    <t>P@z3x7.5</t>
  </si>
  <si>
    <t>P@z3x7.6</t>
  </si>
  <si>
    <t>P@z3x7.7</t>
  </si>
  <si>
    <t>ST@ST55</t>
  </si>
  <si>
    <t>C@285</t>
  </si>
  <si>
    <t>P@z3x8.1</t>
  </si>
  <si>
    <t>C@286</t>
  </si>
  <si>
    <t>P@z3x8.2.1</t>
  </si>
  <si>
    <t>P@z3x8.2.2</t>
  </si>
  <si>
    <t>P@z3x8.2.3</t>
  </si>
  <si>
    <t>C@287</t>
  </si>
  <si>
    <t>P@z3x8.3.1</t>
  </si>
  <si>
    <t>P@z3x8.3.2</t>
  </si>
  <si>
    <t>P@z3x8.3.3</t>
  </si>
  <si>
    <t>C@288</t>
  </si>
  <si>
    <t>P@z3x8.4.1</t>
  </si>
  <si>
    <t>P@z3x8.4.2</t>
  </si>
  <si>
    <t>P@z3x8.4.3</t>
  </si>
  <si>
    <t>P@z3x8.4.4</t>
  </si>
  <si>
    <t>P@z3x8.4.5</t>
  </si>
  <si>
    <t>P@z3x8.4.6</t>
  </si>
  <si>
    <t>P@z3x8.4.7</t>
  </si>
  <si>
    <t>P@z3x8.4.8</t>
  </si>
  <si>
    <t>P@z3x8.4.9</t>
  </si>
  <si>
    <t>P@z3x8.4.10</t>
  </si>
  <si>
    <t>P@z3x8.4.11</t>
  </si>
  <si>
    <t>P@z3x8.4.12</t>
  </si>
  <si>
    <t>C@289</t>
  </si>
  <si>
    <t>P@z3x8.5.1</t>
  </si>
  <si>
    <t>P@z3x8.5.2</t>
  </si>
  <si>
    <t>P@z3x8.5.3</t>
  </si>
  <si>
    <t>P@z3x8.6</t>
  </si>
  <si>
    <t>P@z3x8.7</t>
  </si>
  <si>
    <t>ST@ST56</t>
  </si>
  <si>
    <t>C@290</t>
  </si>
  <si>
    <t>C@291</t>
  </si>
  <si>
    <t>P@z3x9.1.1</t>
  </si>
  <si>
    <t>P@z3x9.1.2</t>
  </si>
  <si>
    <t>P@z3x9.1.3</t>
  </si>
  <si>
    <t>C@292</t>
  </si>
  <si>
    <t>P@z3x9.2.4</t>
  </si>
  <si>
    <t>P@z3x9.2.1</t>
  </si>
  <si>
    <t>P@z3x9.2.5</t>
  </si>
  <si>
    <t>P@z3x9.2.3</t>
  </si>
  <si>
    <t>C@293</t>
  </si>
  <si>
    <t>P@z3x9.3.1</t>
  </si>
  <si>
    <t>C@294</t>
  </si>
  <si>
    <t>P@z3x9.4.1</t>
  </si>
  <si>
    <t>P@z3x9.4.2</t>
  </si>
  <si>
    <t>P@z3x9.5</t>
  </si>
  <si>
    <t>P@z3x9.6</t>
  </si>
  <si>
    <t>P@z3x9.7</t>
  </si>
  <si>
    <t>C@295</t>
  </si>
  <si>
    <t>P@z3x9.8.1</t>
  </si>
  <si>
    <t>P@z3x9.8.2</t>
  </si>
  <si>
    <t>P@z3x9.8.3</t>
  </si>
  <si>
    <t>P@z3x9.9</t>
  </si>
  <si>
    <t>P@z3x9.10</t>
  </si>
  <si>
    <t>ST@ST57</t>
  </si>
  <si>
    <t>C@296</t>
  </si>
  <si>
    <t>C@297</t>
  </si>
  <si>
    <t>P@z3x10.1.1</t>
  </si>
  <si>
    <t>P@z3x10.1.2</t>
  </si>
  <si>
    <t>C@298</t>
  </si>
  <si>
    <t>P@z3x10.2.1</t>
  </si>
  <si>
    <t>P@z3x10.2.2</t>
  </si>
  <si>
    <t>P@z3x10.3</t>
  </si>
  <si>
    <t>C@299</t>
  </si>
  <si>
    <t>P@z3x10.4.1</t>
  </si>
  <si>
    <t>P@z3x10.4.2</t>
  </si>
  <si>
    <t>P@z3x10.4.3</t>
  </si>
  <si>
    <t>P@z3x10.5</t>
  </si>
  <si>
    <t>P@z3x10.6</t>
  </si>
  <si>
    <t>ST@ST58</t>
  </si>
  <si>
    <t>C@300</t>
  </si>
  <si>
    <t>C@301</t>
  </si>
  <si>
    <t>P@z3x11.1.1</t>
  </si>
  <si>
    <t>P@z3x11.1.2</t>
  </si>
  <si>
    <t>P@z3x11.1.3</t>
  </si>
  <si>
    <t>C@302</t>
  </si>
  <si>
    <t>P@z3x11.2.1</t>
  </si>
  <si>
    <t>P@z3x11.2.2</t>
  </si>
  <si>
    <t>P@z3x11.2.3</t>
  </si>
  <si>
    <t>P@z3x11.2.4</t>
  </si>
  <si>
    <t>P@z3x11.3</t>
  </si>
  <si>
    <t>C@303</t>
  </si>
  <si>
    <t>P@z3x11.4.1</t>
  </si>
  <si>
    <t>P@z3x11.4.2</t>
  </si>
  <si>
    <t>P@z3x11.4.3</t>
  </si>
  <si>
    <t>P@z3x11.5</t>
  </si>
  <si>
    <t>P@z3x11.6</t>
  </si>
  <si>
    <t>C@304</t>
  </si>
  <si>
    <t>P@z3x11.7.1</t>
  </si>
  <si>
    <t>P@z3x11.7.2</t>
  </si>
  <si>
    <t>P@z3x11.7.3</t>
  </si>
  <si>
    <t>P@z3x11.7.4</t>
  </si>
  <si>
    <t>P@z3x11.8</t>
  </si>
  <si>
    <t>P@z3x11.9</t>
  </si>
  <si>
    <t>ST@ST59</t>
  </si>
  <si>
    <t>C@305</t>
  </si>
  <si>
    <t>C@306</t>
  </si>
  <si>
    <t>P@z3x12.1.1</t>
  </si>
  <si>
    <t>P@z3x12.1.2</t>
  </si>
  <si>
    <t>C@307</t>
  </si>
  <si>
    <t>P@z3x12.2.1</t>
  </si>
  <si>
    <t>P@z3x12.3</t>
  </si>
  <si>
    <t>ST@ST60</t>
  </si>
  <si>
    <t>C@308</t>
  </si>
  <si>
    <t>C@309</t>
  </si>
  <si>
    <t>P@z3x13.1.1</t>
  </si>
  <si>
    <t>C@310</t>
  </si>
  <si>
    <t>P@z3x13.2.1.a</t>
  </si>
  <si>
    <t>P@z3x13.2.2</t>
  </si>
  <si>
    <t>P@z3x13.3</t>
  </si>
  <si>
    <t>P@z3x13.4</t>
  </si>
  <si>
    <t>ST@ST61</t>
  </si>
  <si>
    <t>C@311</t>
  </si>
  <si>
    <t>C@312</t>
  </si>
  <si>
    <t>P@z3x14.1.1</t>
  </si>
  <si>
    <t>P@z3x14.1.2</t>
  </si>
  <si>
    <t>C@313</t>
  </si>
  <si>
    <t>P@z3x14.2.1</t>
  </si>
  <si>
    <t>P@z3x14.2.2</t>
  </si>
  <si>
    <t>P@z3x14.2.3</t>
  </si>
  <si>
    <t>P@z3x14.2.4</t>
  </si>
  <si>
    <t>P@z3x14.2.5</t>
  </si>
  <si>
    <t>P@z3x14.2.6</t>
  </si>
  <si>
    <t>P@z3x14.2.7</t>
  </si>
  <si>
    <t>P@z3x14.2.8</t>
  </si>
  <si>
    <t>P@z3x14.2.9</t>
  </si>
  <si>
    <t>P@z3x14.2.10</t>
  </si>
  <si>
    <t>P@z3x14.2.11</t>
  </si>
  <si>
    <t>C@314</t>
  </si>
  <si>
    <t>C@315</t>
  </si>
  <si>
    <t>P@z3x14.3.1.1</t>
  </si>
  <si>
    <t>C@316</t>
  </si>
  <si>
    <t>P@z3x14.3.2.1</t>
  </si>
  <si>
    <t>P@z3x14.3.2.2</t>
  </si>
  <si>
    <t>P@z3x14.3.2.3</t>
  </si>
  <si>
    <t>P@z3x14.3.2.4</t>
  </si>
  <si>
    <t>P@z3x14.3.2.5</t>
  </si>
  <si>
    <t>P@z3x14.3.2.6</t>
  </si>
  <si>
    <t>P@z3x14.3.2.7</t>
  </si>
  <si>
    <t>P@z3x14.3.2.8</t>
  </si>
  <si>
    <t>P@z3x14.3.2.9</t>
  </si>
  <si>
    <t>P@z3x14.3.2.10</t>
  </si>
  <si>
    <t>P@z3x14.3.2.11</t>
  </si>
  <si>
    <t>ST@ST62</t>
  </si>
  <si>
    <t>C@317</t>
  </si>
  <si>
    <t>P@z3x15.1</t>
  </si>
  <si>
    <t>C@318</t>
  </si>
  <si>
    <t>P@z3x15.2.1</t>
  </si>
  <si>
    <t>P@z3x15.2.2</t>
  </si>
  <si>
    <t>P@z3x15.2.3</t>
  </si>
  <si>
    <t>P@z3x15.2.4</t>
  </si>
  <si>
    <t>P@z3x15.2.5</t>
  </si>
  <si>
    <t>P@z3x15.2.6</t>
  </si>
  <si>
    <t>P@z3x15.2.7</t>
  </si>
  <si>
    <t>P@z3x15.2.8</t>
  </si>
  <si>
    <t>P@z3x15.2.9</t>
  </si>
  <si>
    <t>P@z3x15.2.10</t>
  </si>
  <si>
    <t>P@z3x15.2.11</t>
  </si>
  <si>
    <t>P@z3x15.2.12</t>
  </si>
  <si>
    <t>P@z3x15.2.13</t>
  </si>
  <si>
    <t>P@z3x15.2.14</t>
  </si>
  <si>
    <t>C@319</t>
  </si>
  <si>
    <t>P@z3x15.3.1</t>
  </si>
  <si>
    <t>P@z3x15.3.2</t>
  </si>
  <si>
    <t>P@z3x15.3.3</t>
  </si>
  <si>
    <t>P@z3x15.3.4</t>
  </si>
  <si>
    <t>P@z3x15.3.5</t>
  </si>
  <si>
    <t>P@z3x15.3.6</t>
  </si>
  <si>
    <t>P@z3x15.3.7</t>
  </si>
  <si>
    <t>P@z3x15.3.8</t>
  </si>
  <si>
    <t>P@z3x15.3.9</t>
  </si>
  <si>
    <t>C@320</t>
  </si>
  <si>
    <t>P@z3x15.4.1</t>
  </si>
  <si>
    <t>P@z3x15.4.2</t>
  </si>
  <si>
    <t>ST@ST63</t>
  </si>
  <si>
    <t>C@321</t>
  </si>
  <si>
    <t>C@322</t>
  </si>
  <si>
    <t>P@z3x16.1.1</t>
  </si>
  <si>
    <t>P@z3x16.1.2</t>
  </si>
  <si>
    <t>P@z3x16.1.3</t>
  </si>
  <si>
    <t>P@z3x16.1.4</t>
  </si>
  <si>
    <t>P@z3x16.1.5</t>
  </si>
  <si>
    <t>P@z3x16.1.6</t>
  </si>
  <si>
    <t>P@z3x16.1.7</t>
  </si>
  <si>
    <t>P@z3x16.1.8</t>
  </si>
  <si>
    <t>P@z3x16.1.9</t>
  </si>
  <si>
    <t>ST@ST64</t>
  </si>
  <si>
    <t>HT@HT04</t>
  </si>
  <si>
    <t>Total ALLEE MOISSONNIER</t>
  </si>
  <si>
    <t>C@323</t>
  </si>
  <si>
    <t>ALLEE DES ECOLIERS</t>
  </si>
  <si>
    <t>C@324</t>
  </si>
  <si>
    <t>P@z4x1.1</t>
  </si>
  <si>
    <t>P@z4x1.2</t>
  </si>
  <si>
    <t>C@325</t>
  </si>
  <si>
    <t>P@z4x1.3.1</t>
  </si>
  <si>
    <t>P@z4x1.3.2</t>
  </si>
  <si>
    <t>P@z4x1.3.3</t>
  </si>
  <si>
    <t>P@z4x1.3.4</t>
  </si>
  <si>
    <t>P@z4x1.4</t>
  </si>
  <si>
    <t>P@z4x1.5</t>
  </si>
  <si>
    <t>P@z4x1.6</t>
  </si>
  <si>
    <t>P@z4x1.7</t>
  </si>
  <si>
    <t>P@z4x1.8</t>
  </si>
  <si>
    <t>P@z4x1.9</t>
  </si>
  <si>
    <t>ST@ST65</t>
  </si>
  <si>
    <t>C@326</t>
  </si>
  <si>
    <t>C@327</t>
  </si>
  <si>
    <t>P@z4x2.1.1</t>
  </si>
  <si>
    <t>P@z4x2.1.2</t>
  </si>
  <si>
    <t>P@z4x2.1.3</t>
  </si>
  <si>
    <t>P@z4x2.2</t>
  </si>
  <si>
    <t>P@z4x2.3</t>
  </si>
  <si>
    <t>C@328</t>
  </si>
  <si>
    <t>P@z4x2.4.1</t>
  </si>
  <si>
    <t>P@z4x2.4.2</t>
  </si>
  <si>
    <t>P@z4x2.4.3</t>
  </si>
  <si>
    <t>C@329</t>
  </si>
  <si>
    <t>P@z4x2.5.1</t>
  </si>
  <si>
    <t>P@z4x2.5.2</t>
  </si>
  <si>
    <t>P@z4x2.5.3</t>
  </si>
  <si>
    <t>P@z4x2.6</t>
  </si>
  <si>
    <t>C@330</t>
  </si>
  <si>
    <t>P@z4x2.7.1</t>
  </si>
  <si>
    <t>P@z4x2.7.2</t>
  </si>
  <si>
    <t>P@z4x2.7.3</t>
  </si>
  <si>
    <t>P@z4x2.7.4</t>
  </si>
  <si>
    <t>P@z4x2.7.5</t>
  </si>
  <si>
    <t>C@331</t>
  </si>
  <si>
    <t>P@z4x2.8.1</t>
  </si>
  <si>
    <t>P@z4x2.8.2</t>
  </si>
  <si>
    <t>P@z4x2.8.3</t>
  </si>
  <si>
    <t>P@z4x2.8.4</t>
  </si>
  <si>
    <t>P@z4x2.8.5</t>
  </si>
  <si>
    <t>P@z4x2.8.6</t>
  </si>
  <si>
    <t>P@z4x2.8.7</t>
  </si>
  <si>
    <t>P@z4x2.8.8</t>
  </si>
  <si>
    <t>P@z4x2.9</t>
  </si>
  <si>
    <t>C@332</t>
  </si>
  <si>
    <t>P@z4x2.10.1</t>
  </si>
  <si>
    <t>P@z4x2.10.2</t>
  </si>
  <si>
    <t>P@z4x2.11</t>
  </si>
  <si>
    <t>C@333</t>
  </si>
  <si>
    <t>P@z4x2.12.1</t>
  </si>
  <si>
    <t>P@z4x2.12.2</t>
  </si>
  <si>
    <t>ST@ST66</t>
  </si>
  <si>
    <t>C@334</t>
  </si>
  <si>
    <t>P@z4x3.1</t>
  </si>
  <si>
    <t>P@z4x3.2</t>
  </si>
  <si>
    <t>P@z4x3.3</t>
  </si>
  <si>
    <t>P@z4x3.4</t>
  </si>
  <si>
    <t>P@z4x3.5</t>
  </si>
  <si>
    <t>P@z4x3.6</t>
  </si>
  <si>
    <t>P@z4x3.7</t>
  </si>
  <si>
    <t>P@z4x3.8</t>
  </si>
  <si>
    <t>C@335</t>
  </si>
  <si>
    <t>P@z4x3.9.1</t>
  </si>
  <si>
    <t>P@z4x3.9.2</t>
  </si>
  <si>
    <t>P@z4x3.9.3</t>
  </si>
  <si>
    <t>P@z4x3.9.4</t>
  </si>
  <si>
    <t>P@z4x3.9.5</t>
  </si>
  <si>
    <t>P@z4x3.10</t>
  </si>
  <si>
    <t>P@z4x3.11</t>
  </si>
  <si>
    <t>P@z4x3.12</t>
  </si>
  <si>
    <t>P@z4x3.13</t>
  </si>
  <si>
    <t>P@z4x3.14</t>
  </si>
  <si>
    <t>P@z4x3.15</t>
  </si>
  <si>
    <t>ST@ST67</t>
  </si>
  <si>
    <t>C@336</t>
  </si>
  <si>
    <t>C@337</t>
  </si>
  <si>
    <t>P@z4x4.1.1</t>
  </si>
  <si>
    <t>P@z4x4.1.2</t>
  </si>
  <si>
    <t>P@z4x4.1.3</t>
  </si>
  <si>
    <t>P@z4x4.1.4</t>
  </si>
  <si>
    <t>C@338</t>
  </si>
  <si>
    <t>P@z4x4.2.1</t>
  </si>
  <si>
    <t>P@z4x4.2.2</t>
  </si>
  <si>
    <t>C@339</t>
  </si>
  <si>
    <t>P@z4x4.3.1</t>
  </si>
  <si>
    <t>P@z4x4.3.2</t>
  </si>
  <si>
    <t>C@340</t>
  </si>
  <si>
    <t>P@z4x4.4.1</t>
  </si>
  <si>
    <t>C@341</t>
  </si>
  <si>
    <t>P@z4x4.5.1</t>
  </si>
  <si>
    <t>C@342</t>
  </si>
  <si>
    <t>P@z4x4.6.1</t>
  </si>
  <si>
    <t>P@z4x4.6.2</t>
  </si>
  <si>
    <t>C@343</t>
  </si>
  <si>
    <t>P@z4x4.7.1</t>
  </si>
  <si>
    <t>P@z4x4.7.2</t>
  </si>
  <si>
    <t>C@344</t>
  </si>
  <si>
    <t>P@z4x4.8.1</t>
  </si>
  <si>
    <t>P@z4x4.8.2</t>
  </si>
  <si>
    <t>C@345</t>
  </si>
  <si>
    <t>P@z4x4.9.1</t>
  </si>
  <si>
    <t>P@z4x4.9.2</t>
  </si>
  <si>
    <t>C@346</t>
  </si>
  <si>
    <t>P@z4x4.10.1</t>
  </si>
  <si>
    <t>C@347</t>
  </si>
  <si>
    <t>P@z4x4.11.1</t>
  </si>
  <si>
    <t>P@z4x4.11.2</t>
  </si>
  <si>
    <t>P@z4x4.11.3</t>
  </si>
  <si>
    <t>C@348</t>
  </si>
  <si>
    <t>P@z4x4.12.1</t>
  </si>
  <si>
    <t>P@z4x4.12.2</t>
  </si>
  <si>
    <t>C@349</t>
  </si>
  <si>
    <t>P@z4x4.13.1</t>
  </si>
  <si>
    <t>P@z4x4.13.2</t>
  </si>
  <si>
    <t>C@350</t>
  </si>
  <si>
    <t>P@z4x4.14.1</t>
  </si>
  <si>
    <t>C@351</t>
  </si>
  <si>
    <t>P@z4x4.15.1</t>
  </si>
  <si>
    <t>P@z4x4.15.2</t>
  </si>
  <si>
    <t>P@z4x4.15.3</t>
  </si>
  <si>
    <t>C@352</t>
  </si>
  <si>
    <t>P@z4x4.16.1</t>
  </si>
  <si>
    <t>P@z4x4.16.2</t>
  </si>
  <si>
    <t>P@z4x4.16.3</t>
  </si>
  <si>
    <t>P@z4x4.16.4</t>
  </si>
  <si>
    <t>C@353</t>
  </si>
  <si>
    <t>P@z4x4.17.1</t>
  </si>
  <si>
    <t>P@z4x4.17.2</t>
  </si>
  <si>
    <t>P@z4x4.17.3</t>
  </si>
  <si>
    <t>ST@ST68</t>
  </si>
  <si>
    <t>C@354</t>
  </si>
  <si>
    <t>C@355</t>
  </si>
  <si>
    <t>P@z4x5.1.1</t>
  </si>
  <si>
    <t>P@z4x5.1.2</t>
  </si>
  <si>
    <t>P@z4x5.1.3</t>
  </si>
  <si>
    <t>P@z4x5.1.4</t>
  </si>
  <si>
    <t>P@z4x5.1.5</t>
  </si>
  <si>
    <t>P@z4x5.1.6</t>
  </si>
  <si>
    <t>P@z4x5.1.7</t>
  </si>
  <si>
    <t>P@z4x5.1.8</t>
  </si>
  <si>
    <t>P@z4x5.1.9</t>
  </si>
  <si>
    <t>P@z4x5.1.10</t>
  </si>
  <si>
    <t>P@z4x5.2</t>
  </si>
  <si>
    <t>P@z4x5.3</t>
  </si>
  <si>
    <t>P@z4x5.4</t>
  </si>
  <si>
    <t>P@z4x5.5</t>
  </si>
  <si>
    <t>P@z4x5.6</t>
  </si>
  <si>
    <t>P@z4x5.7</t>
  </si>
  <si>
    <t>C@356</t>
  </si>
  <si>
    <t>P@z4x5.8.1</t>
  </si>
  <si>
    <t>P@z4x5.8.2</t>
  </si>
  <si>
    <t>P@z4x5.8.3</t>
  </si>
  <si>
    <t>P@z4x5.8.4</t>
  </si>
  <si>
    <t>P@z4x5.8.5</t>
  </si>
  <si>
    <t>C@357</t>
  </si>
  <si>
    <t>P@z4x5.9.1</t>
  </si>
  <si>
    <t>ST@ST69</t>
  </si>
  <si>
    <t>C@358</t>
  </si>
  <si>
    <t>P@z4x6.1</t>
  </si>
  <si>
    <t>P@z4x6.2</t>
  </si>
  <si>
    <t>C@359</t>
  </si>
  <si>
    <t>P@z4x6.3.1</t>
  </si>
  <si>
    <t>P@z4x6.3.2</t>
  </si>
  <si>
    <t>C@360</t>
  </si>
  <si>
    <t>P@z4x6.4.1</t>
  </si>
  <si>
    <t>P@z4x6.4.2</t>
  </si>
  <si>
    <t>P@z4x6.4.3</t>
  </si>
  <si>
    <t>C@361</t>
  </si>
  <si>
    <t>P@z4x6.5.1</t>
  </si>
  <si>
    <t>P@z4x6.5.2</t>
  </si>
  <si>
    <t>P@z4x6.6</t>
  </si>
  <si>
    <t>P@z4x6.7</t>
  </si>
  <si>
    <t>ST@ST70</t>
  </si>
  <si>
    <t>C@362</t>
  </si>
  <si>
    <t>P@z4x7.1</t>
  </si>
  <si>
    <t>C@363</t>
  </si>
  <si>
    <t>P@z4x7.2.1</t>
  </si>
  <si>
    <t>P@z4x7.2.2</t>
  </si>
  <si>
    <t>P@z4x7.2.3</t>
  </si>
  <si>
    <t>C@364</t>
  </si>
  <si>
    <t>P@z4x7.3.1</t>
  </si>
  <si>
    <t>P@z4x7.3.2</t>
  </si>
  <si>
    <t>P@z4x7.4</t>
  </si>
  <si>
    <t>P@z4x7.5</t>
  </si>
  <si>
    <t>P@z4x7.6</t>
  </si>
  <si>
    <t>P@z4x7.7</t>
  </si>
  <si>
    <t>ST@ST71</t>
  </si>
  <si>
    <t>C@365</t>
  </si>
  <si>
    <t>P@z4x8.1</t>
  </si>
  <si>
    <t>C@366</t>
  </si>
  <si>
    <t>P@z4x8.2.1</t>
  </si>
  <si>
    <t>P@z4x8.2.2</t>
  </si>
  <si>
    <t>P@z4x8.2.3</t>
  </si>
  <si>
    <t>C@367</t>
  </si>
  <si>
    <t>P@z4x8.3.1</t>
  </si>
  <si>
    <t>P@z4x8.3.2</t>
  </si>
  <si>
    <t>P@z4x8.3.3</t>
  </si>
  <si>
    <t>C@368</t>
  </si>
  <si>
    <t>P@z4x8.4.1</t>
  </si>
  <si>
    <t>P@z4x8.4.2</t>
  </si>
  <si>
    <t>P@z4x8.4.3</t>
  </si>
  <si>
    <t>P@z4x8.4.4</t>
  </si>
  <si>
    <t>P@z4x8.4.5</t>
  </si>
  <si>
    <t>P@z4x8.4.6</t>
  </si>
  <si>
    <t>P@z4x8.4.7</t>
  </si>
  <si>
    <t>P@z4x8.4.8</t>
  </si>
  <si>
    <t>P@z4x8.4.9</t>
  </si>
  <si>
    <t>P@z4x8.4.10</t>
  </si>
  <si>
    <t>P@z4x8.4.11</t>
  </si>
  <si>
    <t>P@z4x8.4.12</t>
  </si>
  <si>
    <t>C@369</t>
  </si>
  <si>
    <t>P@z4x8.5.1</t>
  </si>
  <si>
    <t>P@z4x8.5.2</t>
  </si>
  <si>
    <t>P@z4x8.5.3</t>
  </si>
  <si>
    <t>P@z4x8.6</t>
  </si>
  <si>
    <t>P@z4x8.7</t>
  </si>
  <si>
    <t>ST@ST72</t>
  </si>
  <si>
    <t>C@370</t>
  </si>
  <si>
    <t>C@371</t>
  </si>
  <si>
    <t>P@z4x9.1.1</t>
  </si>
  <si>
    <t>P@z4x9.1.2</t>
  </si>
  <si>
    <t>P@z4x9.1.3</t>
  </si>
  <si>
    <t>C@372</t>
  </si>
  <si>
    <t>P@z4x9.2.4</t>
  </si>
  <si>
    <t>P@z4x9.2.1</t>
  </si>
  <si>
    <t>P@z4x9.2.5</t>
  </si>
  <si>
    <t>P@z4x9.2.3</t>
  </si>
  <si>
    <t>C@373</t>
  </si>
  <si>
    <t>P@z4x9.3.1</t>
  </si>
  <si>
    <t>C@374</t>
  </si>
  <si>
    <t>P@z4x9.4.1</t>
  </si>
  <si>
    <t>P@z4x9.4.2</t>
  </si>
  <si>
    <t>P@z4x9.5</t>
  </si>
  <si>
    <t>P@z4x9.6</t>
  </si>
  <si>
    <t>P@z4x9.7</t>
  </si>
  <si>
    <t>C@375</t>
  </si>
  <si>
    <t>P@z4x9.8.1</t>
  </si>
  <si>
    <t>P@z4x9.8.2</t>
  </si>
  <si>
    <t>P@z4x9.8.3</t>
  </si>
  <si>
    <t>P@z4x9.9</t>
  </si>
  <si>
    <t>P@z4x9.10</t>
  </si>
  <si>
    <t>ST@ST73</t>
  </si>
  <si>
    <t>C@376</t>
  </si>
  <si>
    <t>C@377</t>
  </si>
  <si>
    <t>P@z4x10.1.1</t>
  </si>
  <si>
    <t>P@z4x10.1.2</t>
  </si>
  <si>
    <t>C@378</t>
  </si>
  <si>
    <t>P@z4x10.2.1</t>
  </si>
  <si>
    <t>P@z4x10.2.2</t>
  </si>
  <si>
    <t>P@z4x10.3</t>
  </si>
  <si>
    <t>C@379</t>
  </si>
  <si>
    <t>P@z4x10.4.1</t>
  </si>
  <si>
    <t>P@z4x10.4.2</t>
  </si>
  <si>
    <t>P@z4x10.4.3</t>
  </si>
  <si>
    <t>P@z4x10.5</t>
  </si>
  <si>
    <t>P@z4x10.6</t>
  </si>
  <si>
    <t>ST@ST74</t>
  </si>
  <si>
    <t>C@380</t>
  </si>
  <si>
    <t>C@381</t>
  </si>
  <si>
    <t>P@z4x11.1.1</t>
  </si>
  <si>
    <t>P@z4x11.1.2</t>
  </si>
  <si>
    <t>P@z4x11.1.3</t>
  </si>
  <si>
    <t>C@382</t>
  </si>
  <si>
    <t>P@z4x11.2.1</t>
  </si>
  <si>
    <t>P@z4x11.2.2</t>
  </si>
  <si>
    <t>P@z4x11.2.3</t>
  </si>
  <si>
    <t>P@z4x11.2.4</t>
  </si>
  <si>
    <t>P@z4x11.3</t>
  </si>
  <si>
    <t>C@383</t>
  </si>
  <si>
    <t>P@z4x11.4.1</t>
  </si>
  <si>
    <t>P@z4x11.4.2</t>
  </si>
  <si>
    <t>P@z4x11.4.3</t>
  </si>
  <si>
    <t>P@z4x11.5</t>
  </si>
  <si>
    <t>P@z4x11.6</t>
  </si>
  <si>
    <t>C@384</t>
  </si>
  <si>
    <t>P@z4x11.7.1</t>
  </si>
  <si>
    <t>P@z4x11.7.2</t>
  </si>
  <si>
    <t>P@z4x11.7.3</t>
  </si>
  <si>
    <t>P@z4x11.7.4</t>
  </si>
  <si>
    <t>P@z4x11.8</t>
  </si>
  <si>
    <t>P@z4x11.9</t>
  </si>
  <si>
    <t>ST@ST75</t>
  </si>
  <si>
    <t>C@385</t>
  </si>
  <si>
    <t>C@386</t>
  </si>
  <si>
    <t>P@z4x12.1.1</t>
  </si>
  <si>
    <t>P@z4x12.1.2</t>
  </si>
  <si>
    <t>C@387</t>
  </si>
  <si>
    <t>P@z4x12.2.1</t>
  </si>
  <si>
    <t>P@z4x12.3</t>
  </si>
  <si>
    <t>ST@ST76</t>
  </si>
  <si>
    <t>C@388</t>
  </si>
  <si>
    <t>C@389</t>
  </si>
  <si>
    <t>P@z4x13.1.1</t>
  </si>
  <si>
    <t>C@390</t>
  </si>
  <si>
    <t>P@z4x13.2.1.a</t>
  </si>
  <si>
    <t>P@z4x13.2.2</t>
  </si>
  <si>
    <t>P@z4x13.3</t>
  </si>
  <si>
    <t>P@z4x13.4</t>
  </si>
  <si>
    <t>ST@ST77</t>
  </si>
  <si>
    <t>C@391</t>
  </si>
  <si>
    <t>C@392</t>
  </si>
  <si>
    <t>P@z4x14.1.1</t>
  </si>
  <si>
    <t>P@z4x14.1.2</t>
  </si>
  <si>
    <t>C@393</t>
  </si>
  <si>
    <t>P@z4x14.2.1</t>
  </si>
  <si>
    <t>P@z4x14.2.2</t>
  </si>
  <si>
    <t>P@z4x14.2.3</t>
  </si>
  <si>
    <t>P@z4x14.2.4</t>
  </si>
  <si>
    <t>P@z4x14.2.5</t>
  </si>
  <si>
    <t>P@z4x14.2.6</t>
  </si>
  <si>
    <t>P@z4x14.2.7</t>
  </si>
  <si>
    <t>P@z4x14.2.8</t>
  </si>
  <si>
    <t>P@z4x14.2.9</t>
  </si>
  <si>
    <t>P@z4x14.2.10</t>
  </si>
  <si>
    <t>P@z4x14.2.11</t>
  </si>
  <si>
    <t>C@394</t>
  </si>
  <si>
    <t>C@395</t>
  </si>
  <si>
    <t>P@z4x14.3.1.1</t>
  </si>
  <si>
    <t>C@396</t>
  </si>
  <si>
    <t>P@z4x14.3.2.1</t>
  </si>
  <si>
    <t>P@z4x14.3.2.2</t>
  </si>
  <si>
    <t>P@z4x14.3.2.3</t>
  </si>
  <si>
    <t>P@z4x14.3.2.4</t>
  </si>
  <si>
    <t>P@z4x14.3.2.5</t>
  </si>
  <si>
    <t>P@z4x14.3.2.6</t>
  </si>
  <si>
    <t>P@z4x14.3.2.7</t>
  </si>
  <si>
    <t>P@z4x14.3.2.8</t>
  </si>
  <si>
    <t>P@z4x14.3.2.9</t>
  </si>
  <si>
    <t>P@z4x14.3.2.10</t>
  </si>
  <si>
    <t>P@z4x14.3.2.11</t>
  </si>
  <si>
    <t>ST@ST78</t>
  </si>
  <si>
    <t>C@397</t>
  </si>
  <si>
    <t>P@z4x15.1</t>
  </si>
  <si>
    <t>C@398</t>
  </si>
  <si>
    <t>P@z4x15.2.1</t>
  </si>
  <si>
    <t>P@z4x15.2.2</t>
  </si>
  <si>
    <t>P@z4x15.2.3</t>
  </si>
  <si>
    <t>P@z4x15.2.4</t>
  </si>
  <si>
    <t>P@z4x15.2.5</t>
  </si>
  <si>
    <t>P@z4x15.2.6</t>
  </si>
  <si>
    <t>P@z4x15.2.7</t>
  </si>
  <si>
    <t>P@z4x15.2.8</t>
  </si>
  <si>
    <t>P@z4x15.2.9</t>
  </si>
  <si>
    <t>P@z4x15.2.10</t>
  </si>
  <si>
    <t>P@z4x15.2.11</t>
  </si>
  <si>
    <t>P@z4x15.2.12</t>
  </si>
  <si>
    <t>P@z4x15.2.13</t>
  </si>
  <si>
    <t>P@z4x15.2.14</t>
  </si>
  <si>
    <t>C@399</t>
  </si>
  <si>
    <t>P@z4x15.3.1</t>
  </si>
  <si>
    <t>P@z4x15.3.2</t>
  </si>
  <si>
    <t>P@z4x15.3.3</t>
  </si>
  <si>
    <t>P@z4x15.3.4</t>
  </si>
  <si>
    <t>P@z4x15.3.5</t>
  </si>
  <si>
    <t>P@z4x15.3.6</t>
  </si>
  <si>
    <t>P@z4x15.3.7</t>
  </si>
  <si>
    <t>P@z4x15.3.8</t>
  </si>
  <si>
    <t>P@z4x15.3.9</t>
  </si>
  <si>
    <t>C@400</t>
  </si>
  <si>
    <t>P@z4x15.4.1</t>
  </si>
  <si>
    <t>P@z4x15.4.2</t>
  </si>
  <si>
    <t>ST@ST79</t>
  </si>
  <si>
    <t>C@401</t>
  </si>
  <si>
    <t>C@402</t>
  </si>
  <si>
    <t>P@z4x16.1.1</t>
  </si>
  <si>
    <t>P@z4x16.1.2</t>
  </si>
  <si>
    <t>P@z4x16.1.3</t>
  </si>
  <si>
    <t>P@z4x16.1.4</t>
  </si>
  <si>
    <t>P@z4x16.1.5</t>
  </si>
  <si>
    <t>P@z4x16.1.6</t>
  </si>
  <si>
    <t>P@z4x16.1.7</t>
  </si>
  <si>
    <t>P@z4x16.1.8</t>
  </si>
  <si>
    <t>P@z4x16.1.9</t>
  </si>
  <si>
    <t>ST@ST80</t>
  </si>
  <si>
    <t>HT@HT05</t>
  </si>
  <si>
    <t>Total ALLEE DES ECOLIERS</t>
  </si>
  <si>
    <t>HT@HT06</t>
  </si>
  <si>
    <t>Total CARRE DE SOIE VAULX EN VELIN - TRAVAUX D'AMENAGEMENT DE L'ESPLANADE TASE  - Lot 01 : Travaux préparatoires - Terrassement - VRD - GC Réseaux secs</t>
  </si>
  <si>
    <t>TVA@TVA01</t>
  </si>
  <si>
    <t>T.V.A. 20 %</t>
  </si>
  <si>
    <t>TTC@TTC01</t>
  </si>
  <si>
    <t>Montant T.T.C.</t>
  </si>
  <si>
    <t>HT@HT07</t>
  </si>
  <si>
    <t>Montant de l'offre H.T.</t>
  </si>
  <si>
    <t>C@level0</t>
  </si>
  <si>
    <t>Prix absents du DQE</t>
  </si>
  <si>
    <t>L@403</t>
  </si>
  <si>
    <t>Prix présents dans le bordereau mais absents du détail</t>
  </si>
  <si>
    <t>P@4.16.2.1</t>
  </si>
  <si>
    <t>4.16.2.1</t>
  </si>
  <si>
    <t>Ce prix rémunère au mètre cube, la fourniture et mise en oeuvre mécanique en couche de réglage sur 10cm d’épaisseur, de grave non traitée de classe 0/31.5, conforme aux spécifications du CCTP, y compris le réglage, l'arrosage, le damage et le compactage. Ce prix s’applique et est rémunéré suivant les prescriptions définies au prix 4.1.1.</t>
  </si>
  <si>
    <t>P@9.2.2</t>
  </si>
  <si>
    <t>9.2.2</t>
  </si>
  <si>
    <t>Tuyaux droits en fonte ductile, à emboitement à joint automatique, DN 100</t>
  </si>
  <si>
    <t>P@13.2.1</t>
  </si>
  <si>
    <t>13.2.1</t>
  </si>
  <si>
    <t>Gaine TPC 63mm</t>
  </si>
  <si>
    <t>Référence spigao : 2690775</t>
  </si>
  <si>
    <t>lyon@edisys.eu</t>
  </si>
  <si>
    <t>PDF</t>
  </si>
  <si>
    <t>3 informations importantes</t>
  </si>
  <si>
    <t>Certains prix sont présents uniquement dans le détail.</t>
  </si>
  <si>
    <t>Des quantités sont à renseigner</t>
  </si>
  <si>
    <t>Les prix présents uniquement dans le bordereau ont été rajoutés à la fin du détail estimatif: veuillez les saisir si vous souhaitez les compléter dans le bordereau.</t>
  </si>
  <si>
    <t>2 informations complémentaires</t>
  </si>
  <si>
    <t>Le dossier  contient plusieurs colonnes de quantités et/ou de prix unitaires.</t>
  </si>
  <si>
    <t>Certains numéros de prix ont été volontairement modifiés. Les numéros de prix d'origine sont présents dans les désignations.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</si>
</sst>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0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</font>
    <font>
      <u/>
      <sz val="11"/>
      <color theme="9" tint="-0.249977111117893"/>
      <name val="Calibri"/>
      <family val="2"/>
    </font>
    <font>
      <b/>
      <sz val="9"/>
      <color theme="0"/>
      <name val="Arial"/>
      <family val="2"/>
    </font>
    <font>
      <sz val="11"/>
      <color rgb="FFFFFFFF"/>
      <name val="Calibri"/>
      <family val="2"/>
      <scheme val="minor"/>
    </font>
    <font>
      <b/>
      <sz val="12"/>
      <color rgb="FF272727"/>
      <name val="Arial"/>
      <family val="2"/>
    </font>
    <font>
      <b/>
      <sz val="10"/>
      <color theme="1" tint="0.249977111117893"/>
      <name val="Arial"/>
      <family val="2"/>
    </font>
    <font>
      <b/>
      <sz val="9"/>
      <color theme="1" tint="0.249977111117893"/>
      <name val="Arial"/>
      <family val="2"/>
    </font>
    <font>
      <i/>
      <sz val="9"/>
      <color theme="2" tint="-0.499984740745262"/>
      <name val="Arial"/>
      <family val="2"/>
    </font>
    <font>
      <u/>
      <sz val="11"/>
      <color theme="0"/>
      <name val="Calibri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i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14996795556505021"/>
      <name val="Calibri"/>
      <family val="2"/>
      <scheme val="minor"/>
    </font>
    <font>
      <b/>
      <i/>
      <sz val="9"/>
      <color indexed="6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rgb="FFA9A9A9"/>
      <name val="Calibri"/>
      <family val="2"/>
      <scheme val="minor"/>
    </font>
    <font>
      <u/>
      <sz val="11"/>
      <color rgb="FFFF8C00"/>
      <name val="Calibri"/>
      <family val="2"/>
      <scheme val="minor"/>
    </font>
    <font>
      <sz val="11"/>
      <color rgb="FFFF8C00"/>
      <name val="Calibri"/>
      <family val="2"/>
      <scheme val="minor"/>
    </font>
    <font>
      <i/>
      <sz val="11"/>
      <color rgb="FFFFFFFF"/>
      <name val="Calibri"/>
      <family val="2"/>
      <scheme val="minor"/>
    </font>
    <font>
      <b/>
      <sz val="11"/>
      <color rgb="FFFFA500"/>
      <name val="Calibri"/>
      <family val="2"/>
      <scheme val="minor"/>
    </font>
    <font>
      <b/>
      <sz val="11"/>
      <color rgb="FF32CD3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0"/>
      <color theme="0"/>
      <name val="Arial"/>
      <family val="2"/>
    </font>
    <font>
      <b/>
      <i/>
      <sz val="9"/>
      <name val="Arial"/>
      <family val="2"/>
    </font>
    <font>
      <b/>
      <i/>
      <sz val="9"/>
      <color theme="0"/>
      <name val="Arial"/>
      <family val="2"/>
    </font>
    <font>
      <b/>
      <sz val="12"/>
      <color rgb="FFFABF8F"/>
      <name val="Arial"/>
      <family val="2"/>
    </font>
    <font>
      <b/>
      <sz val="10"/>
      <color rgb="FFFCD5B4"/>
      <name val="Arial"/>
      <family val="2"/>
    </font>
    <font>
      <b/>
      <sz val="9"/>
      <color rgb="FFFFFFCC"/>
      <name val="Arial"/>
      <family val="2"/>
    </font>
    <font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theme="4" tint="0.79998168889431442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1" tint="0.24994659260841701"/>
      </bottom>
      <diagonal/>
    </border>
    <border>
      <left/>
      <right/>
      <top/>
      <bottom style="medium">
        <color theme="1" tint="0.14996795556505021"/>
      </bottom>
      <diagonal/>
    </border>
    <border>
      <left/>
      <right/>
      <top/>
      <bottom style="thin">
        <color theme="1" tint="0.14996795556505021"/>
      </bottom>
      <diagonal/>
    </border>
    <border>
      <left/>
      <right/>
      <top style="double">
        <color auto="1"/>
      </top>
      <bottom style="dotted">
        <color auto="1"/>
      </bottom>
      <diagonal/>
    </border>
  </borders>
  <cellStyleXfs count="23">
    <xf numFmtId="0" fontId="0" fillId="0" borderId="0">
      <alignment horizontal="left"/>
    </xf>
    <xf numFmtId="0" fontId="13" fillId="2" borderId="0" applyNumberFormat="0" applyProtection="0">
      <alignment horizontal="center" vertical="center" wrapText="1"/>
    </xf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  <xf numFmtId="49" fontId="5" fillId="6" borderId="0" applyNumberFormat="0" applyProtection="0">
      <alignment horizontal="center" vertical="top" wrapText="1"/>
    </xf>
    <xf numFmtId="0" fontId="7" fillId="7" borderId="1" applyNumberFormat="0" applyProtection="0">
      <alignment horizontal="left"/>
    </xf>
    <xf numFmtId="0" fontId="8" fillId="8" borderId="2" applyNumberFormat="0" applyProtection="0">
      <alignment horizontal="left"/>
    </xf>
    <xf numFmtId="0" fontId="9" fillId="9" borderId="3" applyNumberFormat="0" applyProtection="0">
      <alignment horizontal="left"/>
    </xf>
    <xf numFmtId="0" fontId="10" fillId="0" borderId="0">
      <alignment horizontal="left"/>
    </xf>
    <xf numFmtId="0" fontId="17" fillId="10" borderId="0" applyNumberFormat="0" applyFont="0" applyBorder="0" applyAlignment="0" applyProtection="0"/>
    <xf numFmtId="0" fontId="19" fillId="0" borderId="0" applyNumberFormat="0" applyFill="0" applyBorder="0" applyAlignment="0" applyProtection="0"/>
    <xf numFmtId="0" fontId="18" fillId="11" borderId="0" applyNumberFormat="0" applyBorder="0" applyAlignment="0" applyProtection="0"/>
    <xf numFmtId="4" fontId="35" fillId="5" borderId="4" applyNumberFormat="0" applyProtection="0">
      <alignment horizontal="right" vertical="top" wrapText="1" shrinkToFit="1"/>
    </xf>
    <xf numFmtId="4" fontId="21" fillId="12" borderId="0" applyNumberFormat="0" applyProtection="0">
      <alignment horizontal="right" vertical="top" wrapText="1" shrinkToFit="1"/>
    </xf>
    <xf numFmtId="4" fontId="20" fillId="0" borderId="0" applyNumberFormat="0" applyProtection="0">
      <alignment horizontal="right" vertical="top" wrapText="1" shrinkToFit="1"/>
    </xf>
    <xf numFmtId="0" fontId="23" fillId="0" borderId="0" applyNumberFormat="0" applyFill="0" applyBorder="0" applyAlignment="0" applyProtection="0"/>
    <xf numFmtId="0" fontId="17" fillId="0" borderId="0"/>
    <xf numFmtId="0" fontId="3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4" fontId="34" fillId="16" borderId="4" applyNumberFormat="0" applyProtection="0">
      <alignment horizontal="right" vertical="top" wrapText="1" shrinkToFit="1"/>
    </xf>
    <xf numFmtId="4" fontId="34" fillId="17" borderId="4" applyNumberFormat="0" applyProtection="0">
      <alignment horizontal="right" vertical="top" wrapText="1" shrinkToFit="1"/>
    </xf>
    <xf numFmtId="4" fontId="5" fillId="18" borderId="0" applyNumberFormat="0" applyProtection="0">
      <alignment horizontal="right" vertical="top" wrapText="1" shrinkToFit="1"/>
    </xf>
  </cellStyleXfs>
  <cellXfs count="130">
    <xf numFmtId="0" fontId="0" fillId="0" borderId="0" xfId="0">
      <alignment horizontal="left"/>
    </xf>
    <xf numFmtId="49" fontId="1" fillId="2" borderId="0" xfId="1" applyNumberFormat="1" applyFont="1">
      <alignment horizontal="center" vertical="center" wrapText="1"/>
    </xf>
    <xf numFmtId="0" fontId="2" fillId="2" borderId="0" xfId="2" applyFont="1" applyFill="1"/>
    <xf numFmtId="0" fontId="1" fillId="0" borderId="0" xfId="2"/>
    <xf numFmtId="49" fontId="4" fillId="3" borderId="0" xfId="3" applyNumberFormat="1" applyFont="1" applyFill="1" applyBorder="1" applyAlignment="1" applyProtection="1">
      <alignment horizontal="left" vertical="center"/>
    </xf>
    <xf numFmtId="49" fontId="5" fillId="6" borderId="0" xfId="4" applyNumberFormat="1" applyAlignment="1">
      <alignment horizontal="center" vertical="center" wrapText="1"/>
    </xf>
    <xf numFmtId="4" fontId="5" fillId="6" borderId="0" xfId="4" applyNumberFormat="1" applyAlignment="1">
      <alignment horizontal="center" vertical="center" wrapText="1"/>
    </xf>
    <xf numFmtId="0" fontId="7" fillId="7" borderId="1" xfId="5">
      <alignment horizontal="left"/>
    </xf>
    <xf numFmtId="0" fontId="8" fillId="8" borderId="2" xfId="6">
      <alignment horizontal="left"/>
    </xf>
    <xf numFmtId="0" fontId="9" fillId="9" borderId="3" xfId="7">
      <alignment horizontal="left"/>
    </xf>
    <xf numFmtId="0" fontId="0" fillId="0" borderId="0" xfId="0" quotePrefix="1">
      <alignment horizontal="left"/>
    </xf>
    <xf numFmtId="0" fontId="5" fillId="6" borderId="0" xfId="4" applyNumberFormat="1">
      <alignment horizontal="center" vertical="top" wrapText="1"/>
    </xf>
    <xf numFmtId="0" fontId="0" fillId="2" borderId="0" xfId="1" applyFont="1">
      <alignment horizontal="center" vertical="center" wrapText="1"/>
    </xf>
    <xf numFmtId="0" fontId="10" fillId="0" borderId="0" xfId="8">
      <alignment horizontal="left"/>
    </xf>
    <xf numFmtId="0" fontId="11" fillId="2" borderId="0" xfId="3" applyFont="1" applyFill="1" applyAlignment="1" applyProtection="1">
      <alignment horizontal="center" vertical="center" wrapText="1"/>
    </xf>
    <xf numFmtId="0" fontId="12" fillId="4" borderId="0" xfId="2" applyFont="1" applyFill="1" applyBorder="1" applyAlignment="1">
      <alignment horizontal="left" vertical="center"/>
    </xf>
    <xf numFmtId="0" fontId="13" fillId="4" borderId="0" xfId="2" applyFont="1" applyFill="1" applyBorder="1" applyAlignment="1">
      <alignment horizontal="left" vertical="center"/>
    </xf>
    <xf numFmtId="0" fontId="13" fillId="4" borderId="0" xfId="2" applyNumberFormat="1" applyFont="1" applyFill="1" applyBorder="1" applyAlignment="1">
      <alignment horizontal="right" vertical="center"/>
    </xf>
    <xf numFmtId="0" fontId="12" fillId="4" borderId="0" xfId="2" applyNumberFormat="1" applyFont="1" applyFill="1" applyBorder="1" applyAlignment="1">
      <alignment vertical="center"/>
    </xf>
    <xf numFmtId="0" fontId="14" fillId="4" borderId="0" xfId="2" applyNumberFormat="1" applyFont="1" applyFill="1" applyBorder="1" applyAlignment="1">
      <alignment horizontal="right" vertical="center"/>
    </xf>
    <xf numFmtId="2" fontId="13" fillId="4" borderId="0" xfId="2" applyNumberFormat="1" applyFont="1" applyFill="1" applyBorder="1" applyAlignment="1">
      <alignment vertical="center"/>
    </xf>
    <xf numFmtId="4" fontId="13" fillId="5" borderId="0" xfId="2" applyNumberFormat="1" applyFont="1" applyFill="1" applyAlignment="1">
      <alignment horizontal="right" vertical="center"/>
    </xf>
    <xf numFmtId="0" fontId="15" fillId="5" borderId="0" xfId="2" applyFont="1" applyFill="1" applyBorder="1" applyAlignment="1">
      <alignment vertical="center"/>
    </xf>
    <xf numFmtId="0" fontId="16" fillId="0" borderId="0" xfId="2" applyFont="1" applyAlignment="1">
      <alignment vertical="center"/>
    </xf>
    <xf numFmtId="0" fontId="0" fillId="10" borderId="0" xfId="9" applyFont="1"/>
    <xf numFmtId="0" fontId="19" fillId="0" borderId="0" xfId="10"/>
    <xf numFmtId="0" fontId="18" fillId="11" borderId="0" xfId="11"/>
    <xf numFmtId="4" fontId="35" fillId="5" borderId="4" xfId="12" applyNumberFormat="1">
      <alignment horizontal="right" vertical="top" wrapText="1" shrinkToFit="1"/>
    </xf>
    <xf numFmtId="4" fontId="21" fillId="12" borderId="0" xfId="13" applyNumberFormat="1">
      <alignment horizontal="right" vertical="top" wrapText="1" shrinkToFit="1"/>
    </xf>
    <xf numFmtId="4" fontId="20" fillId="0" borderId="0" xfId="14" applyNumberFormat="1">
      <alignment horizontal="right" vertical="top" wrapText="1" shrinkToFit="1"/>
    </xf>
    <xf numFmtId="0" fontId="23" fillId="0" borderId="0" xfId="15" applyFont="1" applyAlignment="1">
      <alignment horizontal="center" vertical="center" wrapText="1"/>
    </xf>
    <xf numFmtId="0" fontId="0" fillId="0" borderId="0" xfId="16" applyFont="1"/>
    <xf numFmtId="0" fontId="17" fillId="0" borderId="0" xfId="16"/>
    <xf numFmtId="0" fontId="25" fillId="15" borderId="0" xfId="16" applyFont="1" applyFill="1"/>
    <xf numFmtId="0" fontId="22" fillId="0" borderId="0" xfId="16" applyFont="1" applyAlignment="1">
      <alignment horizontal="center"/>
    </xf>
    <xf numFmtId="0" fontId="0" fillId="0" borderId="0" xfId="16" applyFont="1" applyAlignment="1">
      <alignment horizontal="center"/>
    </xf>
    <xf numFmtId="0" fontId="26" fillId="0" borderId="0" xfId="16" applyFont="1" applyAlignment="1">
      <alignment horizontal="center"/>
    </xf>
    <xf numFmtId="0" fontId="27" fillId="0" borderId="0" xfId="15" applyFont="1" applyAlignment="1">
      <alignment horizontal="center"/>
    </xf>
    <xf numFmtId="0" fontId="28" fillId="0" borderId="0" xfId="16" applyFont="1" applyAlignment="1">
      <alignment horizontal="center"/>
    </xf>
    <xf numFmtId="49" fontId="0" fillId="0" borderId="0" xfId="16" applyNumberFormat="1" applyFont="1"/>
    <xf numFmtId="0" fontId="0" fillId="0" borderId="0" xfId="16" applyFont="1" applyAlignment="1">
      <alignment horizontal="left"/>
    </xf>
    <xf numFmtId="0" fontId="29" fillId="15" borderId="0" xfId="16" applyFont="1" applyFill="1" applyAlignment="1"/>
    <xf numFmtId="0" fontId="26" fillId="0" borderId="0" xfId="16" applyFont="1"/>
    <xf numFmtId="0" fontId="31" fillId="0" borderId="0" xfId="16" applyFont="1"/>
    <xf numFmtId="0" fontId="0" fillId="0" borderId="0" xfId="0" applyAlignment="1">
      <alignment horizontal="center"/>
    </xf>
    <xf numFmtId="0" fontId="32" fillId="0" borderId="0" xfId="0" applyFont="1" applyAlignment="1"/>
    <xf numFmtId="0" fontId="30" fillId="0" borderId="0" xfId="17" applyAlignment="1">
      <alignment horizontal="left"/>
    </xf>
    <xf numFmtId="0" fontId="32" fillId="0" borderId="0" xfId="18" applyAlignment="1">
      <alignment horizontal="left"/>
    </xf>
    <xf numFmtId="0" fontId="31" fillId="0" borderId="0" xfId="19"/>
    <xf numFmtId="0" fontId="30" fillId="0" borderId="0" xfId="17"/>
    <xf numFmtId="4" fontId="34" fillId="16" borderId="4" xfId="20" applyNumberFormat="1">
      <alignment horizontal="right" vertical="top" wrapText="1" shrinkToFit="1"/>
    </xf>
    <xf numFmtId="4" fontId="34" fillId="17" borderId="4" xfId="21" applyNumberFormat="1">
      <alignment horizontal="right" vertical="top" wrapText="1" shrinkToFit="1"/>
    </xf>
    <xf numFmtId="4" fontId="5" fillId="18" borderId="0" xfId="22" applyNumberFormat="1">
      <alignment horizontal="right" vertical="top" wrapText="1" shrinkToFit="1"/>
    </xf>
    <xf numFmtId="0" fontId="0" fillId="0" borderId="0" xfId="16" applyFont="1" applyAlignment="1">
      <alignment wrapText="1"/>
    </xf>
    <xf numFmtId="0" fontId="7" fillId="7" borderId="1" xfId="5" quotePrefix="1">
      <alignment horizontal="left"/>
    </xf>
    <xf numFmtId="0" fontId="7" fillId="7" borderId="1" xfId="5" quotePrefix="1" applyAlignment="1">
      <alignment horizontal="left" wrapText="1"/>
    </xf>
    <xf numFmtId="0" fontId="8" fillId="8" borderId="2" xfId="6" quotePrefix="1">
      <alignment horizontal="left"/>
    </xf>
    <xf numFmtId="0" fontId="8" fillId="8" borderId="2" xfId="6" quotePrefix="1" applyAlignment="1">
      <alignment horizontal="left" wrapText="1" indent="1"/>
    </xf>
    <xf numFmtId="0" fontId="9" fillId="9" borderId="3" xfId="7" quotePrefix="1">
      <alignment horizontal="left"/>
    </xf>
    <xf numFmtId="0" fontId="9" fillId="9" borderId="3" xfId="7" quotePrefix="1" applyAlignment="1">
      <alignment horizontal="left" wrapText="1" indent="2"/>
    </xf>
    <xf numFmtId="0" fontId="0" fillId="0" borderId="0" xfId="0" quotePrefix="1" applyAlignment="1">
      <alignment horizontal="left" wrapText="1"/>
    </xf>
    <xf numFmtId="0" fontId="9" fillId="9" borderId="3" xfId="7" quotePrefix="1" applyAlignment="1">
      <alignment horizontal="left" wrapText="1" indent="3"/>
    </xf>
    <xf numFmtId="0" fontId="34" fillId="17" borderId="4" xfId="21" quotePrefix="1" applyNumberFormat="1">
      <alignment horizontal="right" vertical="top" wrapText="1" shrinkToFit="1"/>
    </xf>
    <xf numFmtId="0" fontId="34" fillId="17" borderId="4" xfId="21" quotePrefix="1" applyNumberFormat="1" applyAlignment="1">
      <alignment horizontal="right" vertical="top" wrapText="1" indent="3" shrinkToFit="1"/>
    </xf>
    <xf numFmtId="0" fontId="9" fillId="9" borderId="3" xfId="7" quotePrefix="1" applyNumberFormat="1">
      <alignment horizontal="left"/>
    </xf>
    <xf numFmtId="0" fontId="9" fillId="9" borderId="3" xfId="7" quotePrefix="1" applyNumberFormat="1" applyAlignment="1">
      <alignment horizontal="left" wrapText="1" indent="2"/>
    </xf>
    <xf numFmtId="0" fontId="9" fillId="9" borderId="3" xfId="7" quotePrefix="1" applyNumberFormat="1" applyAlignment="1">
      <alignment horizontal="left" wrapText="1" indent="3"/>
    </xf>
    <xf numFmtId="0" fontId="21" fillId="12" borderId="0" xfId="13" quotePrefix="1" applyNumberFormat="1">
      <alignment horizontal="right" vertical="top" wrapText="1" shrinkToFit="1"/>
    </xf>
    <xf numFmtId="0" fontId="21" fillId="12" borderId="0" xfId="13" quotePrefix="1" applyNumberFormat="1" applyAlignment="1">
      <alignment horizontal="right" vertical="top" wrapText="1" indent="2" shrinkToFit="1"/>
    </xf>
    <xf numFmtId="0" fontId="8" fillId="8" borderId="2" xfId="6" quotePrefix="1" applyNumberFormat="1">
      <alignment horizontal="left"/>
    </xf>
    <xf numFmtId="0" fontId="8" fillId="8" borderId="2" xfId="6" quotePrefix="1" applyNumberFormat="1" applyAlignment="1">
      <alignment horizontal="left" wrapText="1" indent="1"/>
    </xf>
    <xf numFmtId="0" fontId="21" fillId="12" borderId="0" xfId="13" quotePrefix="1" applyNumberFormat="1" applyAlignment="1">
      <alignment horizontal="right" vertical="top" wrapText="1" indent="1" shrinkToFit="1"/>
    </xf>
    <xf numFmtId="0" fontId="5" fillId="18" borderId="0" xfId="22" quotePrefix="1" applyNumberFormat="1">
      <alignment horizontal="right" vertical="top" wrapText="1" shrinkToFit="1"/>
    </xf>
    <xf numFmtId="0" fontId="5" fillId="18" borderId="0" xfId="22" quotePrefix="1" applyNumberFormat="1" applyAlignment="1">
      <alignment horizontal="right" vertical="top" wrapText="1" indent="1" shrinkToFit="1"/>
    </xf>
    <xf numFmtId="0" fontId="21" fillId="12" borderId="0" xfId="13" quotePrefix="1" applyNumberFormat="1" applyAlignment="1">
      <alignment horizontal="right" vertical="top" wrapText="1" shrinkToFit="1"/>
    </xf>
    <xf numFmtId="0" fontId="7" fillId="7" borderId="1" xfId="5" quotePrefix="1" applyNumberFormat="1">
      <alignment horizontal="left"/>
    </xf>
    <xf numFmtId="0" fontId="7" fillId="7" borderId="1" xfId="5" quotePrefix="1" applyNumberFormat="1" applyAlignment="1">
      <alignment horizontal="left" wrapText="1"/>
    </xf>
    <xf numFmtId="0" fontId="10" fillId="0" borderId="0" xfId="8" quotePrefix="1">
      <alignment horizontal="left"/>
    </xf>
    <xf numFmtId="0" fontId="10" fillId="0" borderId="0" xfId="8" quotePrefix="1" applyAlignment="1">
      <alignment horizontal="left" wrapText="1"/>
    </xf>
    <xf numFmtId="49" fontId="1" fillId="2" borderId="0" xfId="1" applyNumberFormat="1" applyFont="1" applyAlignment="1">
      <alignment horizontal="center" vertical="center"/>
    </xf>
    <xf numFmtId="0" fontId="1" fillId="3" borderId="0" xfId="2" applyFill="1" applyAlignment="1"/>
    <xf numFmtId="49" fontId="5" fillId="6" borderId="0" xfId="4" applyNumberFormat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0" xfId="2" applyAlignment="1"/>
    <xf numFmtId="4" fontId="0" fillId="0" borderId="0" xfId="0" applyNumberFormat="1" applyAlignment="1">
      <alignment horizontal="right"/>
    </xf>
    <xf numFmtId="4" fontId="7" fillId="7" borderId="1" xfId="5" applyNumberFormat="1" applyAlignment="1">
      <alignment horizontal="right"/>
    </xf>
    <xf numFmtId="4" fontId="8" fillId="8" borderId="2" xfId="6" applyNumberFormat="1" applyAlignment="1">
      <alignment horizontal="right"/>
    </xf>
    <xf numFmtId="4" fontId="9" fillId="9" borderId="3" xfId="7" applyNumberFormat="1" applyAlignment="1">
      <alignment horizontal="right"/>
    </xf>
    <xf numFmtId="4" fontId="34" fillId="17" borderId="4" xfId="21" applyNumberFormat="1" applyAlignment="1">
      <alignment horizontal="right" vertical="top" wrapText="1" shrinkToFit="1"/>
    </xf>
    <xf numFmtId="4" fontId="21" fillId="12" borderId="0" xfId="13" applyNumberFormat="1" applyAlignment="1">
      <alignment horizontal="right" vertical="top" wrapText="1" shrinkToFit="1"/>
    </xf>
    <xf numFmtId="4" fontId="5" fillId="18" borderId="0" xfId="22" applyNumberFormat="1" applyAlignment="1">
      <alignment horizontal="right" vertical="top" wrapText="1" shrinkToFit="1"/>
    </xf>
    <xf numFmtId="4" fontId="10" fillId="0" borderId="0" xfId="8" applyNumberFormat="1" applyAlignment="1">
      <alignment horizontal="right"/>
    </xf>
    <xf numFmtId="4" fontId="19" fillId="0" borderId="0" xfId="10" applyNumberFormat="1" applyAlignment="1">
      <alignment horizontal="right"/>
    </xf>
    <xf numFmtId="4" fontId="0" fillId="10" borderId="0" xfId="9" applyNumberFormat="1" applyFont="1" applyAlignment="1">
      <alignment horizontal="right"/>
    </xf>
    <xf numFmtId="2" fontId="0" fillId="0" borderId="0" xfId="0" applyNumberFormat="1" applyAlignment="1">
      <alignment horizontal="right"/>
    </xf>
    <xf numFmtId="2" fontId="7" fillId="7" borderId="1" xfId="5" applyNumberFormat="1" applyAlignment="1">
      <alignment horizontal="right"/>
    </xf>
    <xf numFmtId="2" fontId="8" fillId="8" borderId="2" xfId="6" applyNumberFormat="1" applyAlignment="1">
      <alignment horizontal="right"/>
    </xf>
    <xf numFmtId="2" fontId="9" fillId="9" borderId="3" xfId="7" applyNumberFormat="1" applyAlignment="1">
      <alignment horizontal="right"/>
    </xf>
    <xf numFmtId="2" fontId="34" fillId="17" borderId="4" xfId="21" applyNumberFormat="1" applyAlignment="1">
      <alignment horizontal="right" vertical="top" wrapText="1" shrinkToFit="1"/>
    </xf>
    <xf numFmtId="2" fontId="21" fillId="12" borderId="0" xfId="13" applyNumberFormat="1" applyAlignment="1">
      <alignment horizontal="right" vertical="top" wrapText="1" shrinkToFit="1"/>
    </xf>
    <xf numFmtId="2" fontId="5" fillId="18" borderId="0" xfId="22" applyNumberFormat="1" applyAlignment="1">
      <alignment horizontal="right" vertical="top" wrapText="1" shrinkToFit="1"/>
    </xf>
    <xf numFmtId="2" fontId="10" fillId="0" borderId="0" xfId="8" applyNumberFormat="1" applyAlignment="1">
      <alignment horizontal="right"/>
    </xf>
    <xf numFmtId="4" fontId="36" fillId="7" borderId="1" xfId="5" applyNumberFormat="1" applyFont="1" applyAlignment="1">
      <alignment horizontal="right"/>
    </xf>
    <xf numFmtId="4" fontId="37" fillId="8" borderId="2" xfId="6" applyNumberFormat="1" applyFont="1" applyAlignment="1">
      <alignment horizontal="right"/>
    </xf>
    <xf numFmtId="4" fontId="38" fillId="9" borderId="3" xfId="7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7" fillId="7" borderId="1" xfId="5" applyNumberFormat="1" applyAlignment="1">
      <alignment horizontal="right"/>
    </xf>
    <xf numFmtId="164" fontId="8" fillId="8" borderId="2" xfId="6" applyNumberFormat="1" applyAlignment="1">
      <alignment horizontal="right"/>
    </xf>
    <xf numFmtId="164" fontId="9" fillId="9" borderId="3" xfId="7" applyNumberFormat="1" applyAlignment="1">
      <alignment horizontal="right"/>
    </xf>
    <xf numFmtId="164" fontId="34" fillId="17" borderId="4" xfId="21" applyNumberFormat="1" applyAlignment="1">
      <alignment horizontal="right" vertical="top" wrapText="1" shrinkToFit="1"/>
    </xf>
    <xf numFmtId="164" fontId="21" fillId="12" borderId="0" xfId="13" applyNumberFormat="1" applyAlignment="1">
      <alignment horizontal="right" vertical="top" wrapText="1" shrinkToFit="1"/>
    </xf>
    <xf numFmtId="164" fontId="5" fillId="18" borderId="0" xfId="22" applyNumberFormat="1" applyAlignment="1">
      <alignment horizontal="right" vertical="top" wrapText="1" shrinkToFit="1"/>
    </xf>
    <xf numFmtId="164" fontId="10" fillId="0" borderId="0" xfId="8" applyNumberFormat="1" applyAlignment="1">
      <alignment horizontal="right"/>
    </xf>
    <xf numFmtId="0" fontId="7" fillId="7" borderId="1" xfId="5" applyAlignment="1">
      <alignment horizontal="center"/>
    </xf>
    <xf numFmtId="0" fontId="8" fillId="8" borderId="2" xfId="6" applyAlignment="1">
      <alignment horizontal="center"/>
    </xf>
    <xf numFmtId="0" fontId="9" fillId="9" borderId="3" xfId="7" applyAlignment="1">
      <alignment horizontal="center"/>
    </xf>
    <xf numFmtId="0" fontId="34" fillId="17" borderId="4" xfId="21" applyNumberFormat="1" applyAlignment="1">
      <alignment horizontal="center" vertical="top" wrapText="1" shrinkToFit="1"/>
    </xf>
    <xf numFmtId="0" fontId="9" fillId="9" borderId="3" xfId="7" applyNumberFormat="1" applyAlignment="1">
      <alignment horizontal="center"/>
    </xf>
    <xf numFmtId="0" fontId="21" fillId="12" borderId="0" xfId="13" applyNumberFormat="1" applyAlignment="1">
      <alignment horizontal="center" vertical="top" wrapText="1" shrinkToFit="1"/>
    </xf>
    <xf numFmtId="0" fontId="8" fillId="8" borderId="2" xfId="6" applyNumberFormat="1" applyAlignment="1">
      <alignment horizontal="center"/>
    </xf>
    <xf numFmtId="0" fontId="5" fillId="18" borderId="0" xfId="22" applyNumberFormat="1" applyAlignment="1">
      <alignment horizontal="center" vertical="top" wrapText="1" shrinkToFit="1"/>
    </xf>
    <xf numFmtId="0" fontId="7" fillId="7" borderId="1" xfId="5" applyNumberFormat="1" applyAlignment="1">
      <alignment horizontal="center"/>
    </xf>
    <xf numFmtId="0" fontId="10" fillId="0" borderId="0" xfId="8" applyAlignment="1">
      <alignment horizontal="center"/>
    </xf>
    <xf numFmtId="0" fontId="30" fillId="0" borderId="0" xfId="17" applyAlignment="1">
      <alignment wrapText="1"/>
    </xf>
    <xf numFmtId="0" fontId="13" fillId="2" borderId="0" xfId="1" applyFont="1">
      <alignment horizontal="center" vertical="center" wrapText="1"/>
    </xf>
    <xf numFmtId="0" fontId="33" fillId="2" borderId="0" xfId="1" applyFont="1">
      <alignment horizontal="center" vertical="center" wrapText="1"/>
    </xf>
    <xf numFmtId="0" fontId="24" fillId="13" borderId="0" xfId="16" applyFont="1" applyFill="1" applyAlignment="1">
      <alignment horizontal="center" vertical="center" wrapText="1"/>
    </xf>
    <xf numFmtId="0" fontId="3" fillId="14" borderId="0" xfId="3" applyFill="1" applyAlignment="1" applyProtection="1">
      <alignment horizontal="center"/>
    </xf>
    <xf numFmtId="0" fontId="0" fillId="0" borderId="0" xfId="16" applyFont="1" applyAlignment="1">
      <alignment wrapText="1"/>
    </xf>
    <xf numFmtId="0" fontId="0" fillId="0" borderId="0" xfId="0" applyAlignment="1">
      <alignment horizontal="left" wrapText="1"/>
    </xf>
  </cellXfs>
  <cellStyles count="23">
    <cellStyle name="Lien hypertexte" xfId="3" builtinId="8"/>
    <cellStyle name="Lien hypertexte 2" xfId="15"/>
    <cellStyle name="Normal" xfId="0" builtinId="0" customBuiltin="1"/>
    <cellStyle name="Normal 2" xfId="2"/>
    <cellStyle name="Normal 3" xfId="16"/>
    <cellStyle name="SPIGAO_CarComplement" xfId="19"/>
    <cellStyle name="SPIGAO_CarImportant" xfId="17"/>
    <cellStyle name="SPIGAO_CarVigilance" xfId="18"/>
    <cellStyle name="SPIGAO_Comment" xfId="8"/>
    <cellStyle name="SPIGAO_Doublon" xfId="9"/>
    <cellStyle name="SPIGAO_MT" xfId="13"/>
    <cellStyle name="SPIGAO_PF" xfId="11"/>
    <cellStyle name="SPIGAO_PM" xfId="10"/>
    <cellStyle name="SPIGAO_Recap" xfId="14"/>
    <cellStyle name="SPIGAO_ST" xfId="12"/>
    <cellStyle name="SPIGAO_ST2" xfId="20"/>
    <cellStyle name="SPIGAO_ST3" xfId="21"/>
    <cellStyle name="SPIGAO_Titre_1" xfId="5"/>
    <cellStyle name="SPIGAO_Titre_2" xfId="6"/>
    <cellStyle name="SPIGAO_Titre_3" xfId="7"/>
    <cellStyle name="SPIGAO_Titre_Cols" xfId="4"/>
    <cellStyle name="SPIGAO_Titre_P" xfId="1"/>
    <cellStyle name="SPIGAO_TVA" xf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spigao.com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15291</xdr:rowOff>
    </xdr:from>
    <xdr:to>
      <xdr:col>1</xdr:col>
      <xdr:colOff>345948</xdr:colOff>
      <xdr:row>0</xdr:row>
      <xdr:rowOff>415268</xdr:rowOff>
    </xdr:to>
    <xdr:pic>
      <xdr:nvPicPr>
        <xdr:cNvPr id="2" name="Image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5291"/>
          <a:ext cx="307848" cy="3999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</xdr:colOff>
      <xdr:row>0</xdr:row>
      <xdr:rowOff>9525</xdr:rowOff>
    </xdr:from>
    <xdr:to>
      <xdr:col>3</xdr:col>
      <xdr:colOff>2219325</xdr:colOff>
      <xdr:row>0</xdr:row>
      <xdr:rowOff>504825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7525" y="9525"/>
          <a:ext cx="20955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6.bin"/><Relationship Id="rId13" Type="http://schemas.openxmlformats.org/officeDocument/2006/relationships/customProperty" Target="../customProperty11.bin"/><Relationship Id="rId18" Type="http://schemas.openxmlformats.org/officeDocument/2006/relationships/customProperty" Target="../customProperty16.bin"/><Relationship Id="rId3" Type="http://schemas.openxmlformats.org/officeDocument/2006/relationships/customProperty" Target="../customProperty1.bin"/><Relationship Id="rId21" Type="http://schemas.openxmlformats.org/officeDocument/2006/relationships/vmlDrawing" Target="../drawings/vmlDrawing1.vml"/><Relationship Id="rId7" Type="http://schemas.openxmlformats.org/officeDocument/2006/relationships/customProperty" Target="../customProperty5.bin"/><Relationship Id="rId12" Type="http://schemas.openxmlformats.org/officeDocument/2006/relationships/customProperty" Target="../customProperty10.bin"/><Relationship Id="rId17" Type="http://schemas.openxmlformats.org/officeDocument/2006/relationships/customProperty" Target="../customProperty15.bin"/><Relationship Id="rId2" Type="http://schemas.openxmlformats.org/officeDocument/2006/relationships/printerSettings" Target="../printerSettings/printerSettings1.bin"/><Relationship Id="rId16" Type="http://schemas.openxmlformats.org/officeDocument/2006/relationships/customProperty" Target="../customProperty14.bin"/><Relationship Id="rId20" Type="http://schemas.openxmlformats.org/officeDocument/2006/relationships/drawing" Target="../drawings/drawing1.xml"/><Relationship Id="rId1" Type="http://schemas.openxmlformats.org/officeDocument/2006/relationships/hyperlink" Target="http://www.spigao.com/" TargetMode="External"/><Relationship Id="rId6" Type="http://schemas.openxmlformats.org/officeDocument/2006/relationships/customProperty" Target="../customProperty4.bin"/><Relationship Id="rId11" Type="http://schemas.openxmlformats.org/officeDocument/2006/relationships/customProperty" Target="../customProperty9.bin"/><Relationship Id="rId5" Type="http://schemas.openxmlformats.org/officeDocument/2006/relationships/customProperty" Target="../customProperty3.bin"/><Relationship Id="rId15" Type="http://schemas.openxmlformats.org/officeDocument/2006/relationships/customProperty" Target="../customProperty13.bin"/><Relationship Id="rId10" Type="http://schemas.openxmlformats.org/officeDocument/2006/relationships/customProperty" Target="../customProperty8.bin"/><Relationship Id="rId19" Type="http://schemas.openxmlformats.org/officeDocument/2006/relationships/customProperty" Target="../customProperty17.bin"/><Relationship Id="rId4" Type="http://schemas.openxmlformats.org/officeDocument/2006/relationships/customProperty" Target="../customProperty2.bin"/><Relationship Id="rId9" Type="http://schemas.openxmlformats.org/officeDocument/2006/relationships/customProperty" Target="../customProperty7.bin"/><Relationship Id="rId14" Type="http://schemas.openxmlformats.org/officeDocument/2006/relationships/customProperty" Target="../customProperty12.bin"/><Relationship Id="rId2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18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>
    <outlinePr summaryBelow="0"/>
    <pageSetUpPr fitToPage="1"/>
  </sheetPr>
  <dimension ref="A1:T1910"/>
  <sheetViews>
    <sheetView tabSelected="1" topLeftCell="B1" workbookViewId="0">
      <pane ySplit="4" topLeftCell="A1897" activePane="bottomLeft" state="frozen"/>
      <selection pane="bottomLeft" activeCell="C1917" sqref="C1917"/>
    </sheetView>
  </sheetViews>
  <sheetFormatPr baseColWidth="10" defaultColWidth="11.44140625" defaultRowHeight="14.4" outlineLevelRow="5" x14ac:dyDescent="0.3"/>
  <cols>
    <col min="1" max="1" width="5.44140625" style="83" hidden="1" customWidth="1"/>
    <col min="2" max="2" width="12.6640625" customWidth="1"/>
    <col min="3" max="3" width="70.6640625" customWidth="1"/>
    <col min="4" max="4" width="9.5546875" customWidth="1"/>
    <col min="5" max="5" width="12.77734375" customWidth="1"/>
    <col min="6" max="6" width="7.6640625" hidden="1" customWidth="1"/>
    <col min="7" max="7" width="18" hidden="1" customWidth="1"/>
    <col min="8" max="8" width="14.77734375" customWidth="1"/>
    <col min="9" max="9" width="13.5546875" customWidth="1"/>
    <col min="10" max="10" width="3.109375" style="3" hidden="1" customWidth="1"/>
    <col min="11" max="11" width="0" style="3" hidden="1" customWidth="1"/>
    <col min="12" max="16384" width="11.44140625" style="3"/>
  </cols>
  <sheetData>
    <row r="1" spans="1:20" ht="35.1" customHeight="1" x14ac:dyDescent="0.2">
      <c r="A1" s="79"/>
      <c r="B1" s="1"/>
      <c r="C1" s="124" t="s">
        <v>58</v>
      </c>
      <c r="D1" s="125"/>
      <c r="E1" s="125"/>
      <c r="F1" s="125"/>
      <c r="G1" s="125"/>
      <c r="H1" s="125"/>
      <c r="I1" s="14" t="s">
        <v>0</v>
      </c>
      <c r="J1" s="2"/>
    </row>
    <row r="2" spans="1:20" ht="5.0999999999999996" customHeight="1" x14ac:dyDescent="0.2">
      <c r="A2" s="80"/>
      <c r="B2" s="4"/>
      <c r="C2" s="4"/>
      <c r="D2" s="4"/>
      <c r="E2" s="4"/>
      <c r="F2" s="4"/>
      <c r="G2" s="4"/>
      <c r="H2" s="4"/>
      <c r="I2" s="4"/>
      <c r="J2" s="4"/>
    </row>
    <row r="3" spans="1:20" s="23" customFormat="1" ht="15" customHeight="1" x14ac:dyDescent="0.3">
      <c r="A3" s="15"/>
      <c r="B3" s="16"/>
      <c r="C3" s="17"/>
      <c r="D3" s="15"/>
      <c r="E3" s="18"/>
      <c r="F3" s="19" t="s">
        <v>1</v>
      </c>
      <c r="G3" s="20">
        <v>1</v>
      </c>
      <c r="H3" s="17" t="s">
        <v>2</v>
      </c>
      <c r="I3" s="21">
        <f>SUBTOTAL(9,K5:K1910)</f>
        <v>3387271.4999999981</v>
      </c>
      <c r="J3" s="22"/>
    </row>
    <row r="4" spans="1:20" ht="15" customHeight="1" x14ac:dyDescent="0.2">
      <c r="A4" s="81"/>
      <c r="B4" s="5" t="s">
        <v>3</v>
      </c>
      <c r="C4" s="6" t="s">
        <v>4</v>
      </c>
      <c r="D4" s="5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20</v>
      </c>
    </row>
    <row r="5" spans="1:20" x14ac:dyDescent="0.3">
      <c r="A5" s="82"/>
      <c r="B5" s="10"/>
      <c r="D5" s="44"/>
      <c r="E5" s="84"/>
      <c r="F5" s="84"/>
      <c r="G5" s="94"/>
      <c r="H5" s="84"/>
      <c r="I5" s="84"/>
      <c r="J5" s="105"/>
      <c r="K5"/>
      <c r="L5"/>
      <c r="M5"/>
      <c r="N5"/>
      <c r="O5"/>
      <c r="P5"/>
      <c r="Q5"/>
      <c r="R5"/>
      <c r="S5"/>
      <c r="T5"/>
    </row>
    <row r="6" spans="1:20" ht="47.4" thickBot="1" x14ac:dyDescent="0.35">
      <c r="A6" s="82" t="s">
        <v>59</v>
      </c>
      <c r="B6" s="54" t="s">
        <v>60</v>
      </c>
      <c r="C6" s="55" t="s">
        <v>61</v>
      </c>
      <c r="D6" s="113"/>
      <c r="E6" s="85"/>
      <c r="F6" s="85"/>
      <c r="G6" s="95"/>
      <c r="H6" s="85"/>
      <c r="I6" s="102">
        <f>SUBTOTAL(9,K7:K1899)</f>
        <v>3387271.4999999981</v>
      </c>
      <c r="J6" s="106"/>
      <c r="K6"/>
      <c r="L6"/>
      <c r="M6"/>
      <c r="N6"/>
      <c r="O6"/>
      <c r="P6"/>
      <c r="Q6"/>
      <c r="R6"/>
      <c r="S6"/>
      <c r="T6"/>
    </row>
    <row r="7" spans="1:20" ht="15.6" outlineLevel="1" thickTop="1" thickBot="1" x14ac:dyDescent="0.35">
      <c r="A7" s="82" t="s">
        <v>62</v>
      </c>
      <c r="B7" s="56" t="s">
        <v>60</v>
      </c>
      <c r="C7" s="57" t="s">
        <v>63</v>
      </c>
      <c r="D7" s="114"/>
      <c r="E7" s="86"/>
      <c r="F7" s="86"/>
      <c r="G7" s="96"/>
      <c r="H7" s="86"/>
      <c r="I7" s="103">
        <f>SUBTOTAL(9,K8:K383)</f>
        <v>1900449.8</v>
      </c>
      <c r="J7" s="107"/>
      <c r="K7"/>
      <c r="L7"/>
      <c r="M7"/>
      <c r="N7"/>
      <c r="O7"/>
      <c r="P7"/>
      <c r="Q7"/>
      <c r="R7"/>
      <c r="S7"/>
      <c r="T7"/>
    </row>
    <row r="8" spans="1:20" outlineLevel="2" x14ac:dyDescent="0.3">
      <c r="A8" s="82" t="s">
        <v>64</v>
      </c>
      <c r="B8" s="58" t="s">
        <v>65</v>
      </c>
      <c r="C8" s="59" t="s">
        <v>66</v>
      </c>
      <c r="D8" s="115"/>
      <c r="E8" s="87"/>
      <c r="F8" s="87"/>
      <c r="G8" s="97"/>
      <c r="H8" s="87"/>
      <c r="I8" s="104">
        <f>SUBTOTAL(9,K9:K21)</f>
        <v>40018</v>
      </c>
      <c r="J8" s="108"/>
      <c r="K8"/>
      <c r="L8"/>
      <c r="M8"/>
      <c r="N8"/>
      <c r="O8"/>
      <c r="P8"/>
      <c r="Q8"/>
      <c r="R8"/>
      <c r="S8"/>
      <c r="T8"/>
    </row>
    <row r="9" spans="1:20" outlineLevel="3" x14ac:dyDescent="0.3">
      <c r="A9" s="82" t="s">
        <v>67</v>
      </c>
      <c r="B9" s="10" t="s">
        <v>68</v>
      </c>
      <c r="C9" s="60" t="s">
        <v>69</v>
      </c>
      <c r="D9" s="44" t="s">
        <v>70</v>
      </c>
      <c r="E9" s="84">
        <v>0</v>
      </c>
      <c r="F9" s="84"/>
      <c r="G9" s="94">
        <f>cell_CoefGeneral</f>
        <v>1</v>
      </c>
      <c r="H9" s="84">
        <v>5700</v>
      </c>
      <c r="I9" s="84">
        <f>IFERROR(ROUND(E9*H9,2),"-")</f>
        <v>0</v>
      </c>
      <c r="J9" s="105">
        <f>IFERROR(I9/cell_Total_HT,"-")</f>
        <v>0</v>
      </c>
      <c r="K9">
        <f>I9</f>
        <v>0</v>
      </c>
      <c r="L9"/>
      <c r="M9"/>
      <c r="N9"/>
      <c r="O9"/>
      <c r="P9"/>
      <c r="Q9"/>
      <c r="R9"/>
      <c r="S9"/>
      <c r="T9"/>
    </row>
    <row r="10" spans="1:20" outlineLevel="3" x14ac:dyDescent="0.3">
      <c r="A10" s="82" t="s">
        <v>71</v>
      </c>
      <c r="B10" s="10" t="s">
        <v>72</v>
      </c>
      <c r="C10" s="60" t="s">
        <v>73</v>
      </c>
      <c r="D10" s="44" t="s">
        <v>70</v>
      </c>
      <c r="E10" s="84">
        <v>0</v>
      </c>
      <c r="F10" s="84"/>
      <c r="G10" s="94">
        <f>cell_CoefGeneral</f>
        <v>1</v>
      </c>
      <c r="H10" s="84">
        <v>780</v>
      </c>
      <c r="I10" s="84">
        <f>IFERROR(ROUND(E10*H10,2),"-")</f>
        <v>0</v>
      </c>
      <c r="J10" s="105">
        <f>IFERROR(I10/cell_Total_HT,"-")</f>
        <v>0</v>
      </c>
      <c r="K10">
        <f>I10</f>
        <v>0</v>
      </c>
      <c r="L10"/>
      <c r="M10"/>
      <c r="N10"/>
      <c r="O10"/>
      <c r="P10"/>
      <c r="Q10"/>
      <c r="R10"/>
      <c r="S10"/>
      <c r="T10"/>
    </row>
    <row r="11" spans="1:20" outlineLevel="3" x14ac:dyDescent="0.3">
      <c r="A11" s="82" t="s">
        <v>74</v>
      </c>
      <c r="B11" s="58" t="s">
        <v>75</v>
      </c>
      <c r="C11" s="61" t="s">
        <v>76</v>
      </c>
      <c r="D11" s="115"/>
      <c r="E11" s="87"/>
      <c r="F11" s="87"/>
      <c r="G11" s="97"/>
      <c r="H11" s="87"/>
      <c r="I11" s="104">
        <f>SUBTOTAL(9,K12:K15)</f>
        <v>40018</v>
      </c>
      <c r="J11" s="108"/>
      <c r="K11"/>
      <c r="L11"/>
      <c r="M11"/>
      <c r="N11"/>
      <c r="O11"/>
      <c r="P11"/>
      <c r="Q11"/>
      <c r="R11"/>
      <c r="S11"/>
      <c r="T11"/>
    </row>
    <row r="12" spans="1:20" outlineLevel="4" x14ac:dyDescent="0.3">
      <c r="A12" s="82" t="s">
        <v>77</v>
      </c>
      <c r="B12" s="10" t="s">
        <v>78</v>
      </c>
      <c r="C12" s="60" t="s">
        <v>79</v>
      </c>
      <c r="D12" s="44" t="s">
        <v>80</v>
      </c>
      <c r="E12" s="84">
        <v>242</v>
      </c>
      <c r="F12" s="84"/>
      <c r="G12" s="94">
        <f t="shared" ref="G12:G21" si="0">cell_CoefGeneral</f>
        <v>1</v>
      </c>
      <c r="H12" s="84">
        <v>48</v>
      </c>
      <c r="I12" s="84">
        <f t="shared" ref="I12:I21" si="1">IFERROR(ROUND(E12*H12,2),"-")</f>
        <v>11616</v>
      </c>
      <c r="J12" s="105">
        <f t="shared" ref="J12:J21" si="2">IFERROR(I12/cell_Total_HT,"-")</f>
        <v>3.4293088109411973E-3</v>
      </c>
      <c r="K12">
        <f t="shared" ref="K12:K21" si="3">I12</f>
        <v>11616</v>
      </c>
      <c r="L12"/>
      <c r="M12"/>
      <c r="N12"/>
      <c r="O12"/>
      <c r="P12"/>
      <c r="Q12"/>
      <c r="R12"/>
      <c r="S12"/>
      <c r="T12"/>
    </row>
    <row r="13" spans="1:20" outlineLevel="4" x14ac:dyDescent="0.3">
      <c r="A13" s="82" t="s">
        <v>81</v>
      </c>
      <c r="B13" s="10" t="s">
        <v>82</v>
      </c>
      <c r="C13" s="60" t="s">
        <v>83</v>
      </c>
      <c r="D13" s="44" t="s">
        <v>80</v>
      </c>
      <c r="E13" s="84">
        <v>242</v>
      </c>
      <c r="F13" s="84"/>
      <c r="G13" s="94">
        <f t="shared" si="0"/>
        <v>1</v>
      </c>
      <c r="H13" s="84">
        <v>11</v>
      </c>
      <c r="I13" s="84">
        <f t="shared" si="1"/>
        <v>2662</v>
      </c>
      <c r="J13" s="105">
        <f t="shared" si="2"/>
        <v>7.8588326917402446E-4</v>
      </c>
      <c r="K13">
        <f t="shared" si="3"/>
        <v>2662</v>
      </c>
      <c r="L13"/>
      <c r="M13"/>
      <c r="N13"/>
      <c r="O13"/>
      <c r="P13"/>
      <c r="Q13"/>
      <c r="R13"/>
      <c r="S13"/>
      <c r="T13"/>
    </row>
    <row r="14" spans="1:20" outlineLevel="4" x14ac:dyDescent="0.3">
      <c r="A14" s="82" t="s">
        <v>84</v>
      </c>
      <c r="B14" s="10" t="s">
        <v>85</v>
      </c>
      <c r="C14" s="60" t="s">
        <v>86</v>
      </c>
      <c r="D14" s="44" t="s">
        <v>80</v>
      </c>
      <c r="E14" s="84">
        <v>330</v>
      </c>
      <c r="F14" s="84"/>
      <c r="G14" s="94">
        <f t="shared" si="0"/>
        <v>1</v>
      </c>
      <c r="H14" s="84">
        <v>67</v>
      </c>
      <c r="I14" s="84">
        <f t="shared" si="1"/>
        <v>22110</v>
      </c>
      <c r="J14" s="105">
        <f t="shared" si="2"/>
        <v>6.52737756628012E-3</v>
      </c>
      <c r="K14">
        <f t="shared" si="3"/>
        <v>22110</v>
      </c>
      <c r="L14"/>
      <c r="M14"/>
      <c r="N14"/>
      <c r="O14"/>
      <c r="P14"/>
      <c r="Q14"/>
      <c r="R14"/>
      <c r="S14"/>
      <c r="T14"/>
    </row>
    <row r="15" spans="1:20" outlineLevel="4" x14ac:dyDescent="0.3">
      <c r="A15" s="82" t="s">
        <v>87</v>
      </c>
      <c r="B15" s="10" t="s">
        <v>88</v>
      </c>
      <c r="C15" s="60" t="s">
        <v>89</v>
      </c>
      <c r="D15" s="44" t="s">
        <v>80</v>
      </c>
      <c r="E15" s="84">
        <v>330</v>
      </c>
      <c r="F15" s="84"/>
      <c r="G15" s="94">
        <f t="shared" si="0"/>
        <v>1</v>
      </c>
      <c r="H15" s="84">
        <v>11</v>
      </c>
      <c r="I15" s="84">
        <f t="shared" si="1"/>
        <v>3630</v>
      </c>
      <c r="J15" s="105">
        <f t="shared" si="2"/>
        <v>1.0716590034191241E-3</v>
      </c>
      <c r="K15">
        <f t="shared" si="3"/>
        <v>3630</v>
      </c>
      <c r="L15"/>
      <c r="M15"/>
      <c r="N15"/>
      <c r="O15"/>
      <c r="P15"/>
      <c r="Q15"/>
      <c r="R15"/>
      <c r="S15"/>
      <c r="T15"/>
    </row>
    <row r="16" spans="1:20" outlineLevel="3" x14ac:dyDescent="0.3">
      <c r="A16" s="82" t="s">
        <v>90</v>
      </c>
      <c r="B16" s="10" t="s">
        <v>91</v>
      </c>
      <c r="C16" s="60" t="s">
        <v>92</v>
      </c>
      <c r="D16" s="44" t="s">
        <v>93</v>
      </c>
      <c r="E16" s="84">
        <v>0</v>
      </c>
      <c r="F16" s="84"/>
      <c r="G16" s="94">
        <f t="shared" si="0"/>
        <v>1</v>
      </c>
      <c r="H16" s="84">
        <v>52000</v>
      </c>
      <c r="I16" s="84">
        <f t="shared" si="1"/>
        <v>0</v>
      </c>
      <c r="J16" s="105">
        <f t="shared" si="2"/>
        <v>0</v>
      </c>
      <c r="K16">
        <f t="shared" si="3"/>
        <v>0</v>
      </c>
      <c r="L16"/>
      <c r="M16"/>
      <c r="N16"/>
      <c r="O16"/>
      <c r="P16"/>
      <c r="Q16"/>
      <c r="R16"/>
      <c r="S16"/>
      <c r="T16"/>
    </row>
    <row r="17" spans="1:20" outlineLevel="3" x14ac:dyDescent="0.3">
      <c r="A17" s="82" t="s">
        <v>94</v>
      </c>
      <c r="B17" s="10" t="s">
        <v>95</v>
      </c>
      <c r="C17" s="60" t="s">
        <v>96</v>
      </c>
      <c r="D17" s="44" t="s">
        <v>93</v>
      </c>
      <c r="E17" s="84">
        <v>0</v>
      </c>
      <c r="F17" s="84"/>
      <c r="G17" s="94">
        <f t="shared" si="0"/>
        <v>1</v>
      </c>
      <c r="H17" s="84">
        <v>17000</v>
      </c>
      <c r="I17" s="84">
        <f t="shared" si="1"/>
        <v>0</v>
      </c>
      <c r="J17" s="105">
        <f t="shared" si="2"/>
        <v>0</v>
      </c>
      <c r="K17">
        <f t="shared" si="3"/>
        <v>0</v>
      </c>
      <c r="L17"/>
      <c r="M17"/>
      <c r="N17"/>
      <c r="O17"/>
      <c r="P17"/>
      <c r="Q17"/>
      <c r="R17"/>
      <c r="S17"/>
      <c r="T17"/>
    </row>
    <row r="18" spans="1:20" outlineLevel="3" x14ac:dyDescent="0.3">
      <c r="A18" s="82" t="s">
        <v>97</v>
      </c>
      <c r="B18" s="10" t="s">
        <v>98</v>
      </c>
      <c r="C18" s="60" t="s">
        <v>99</v>
      </c>
      <c r="D18" s="44" t="s">
        <v>93</v>
      </c>
      <c r="E18" s="84">
        <v>0</v>
      </c>
      <c r="F18" s="84"/>
      <c r="G18" s="94">
        <f t="shared" si="0"/>
        <v>1</v>
      </c>
      <c r="H18" s="84">
        <v>5200</v>
      </c>
      <c r="I18" s="84">
        <f t="shared" si="1"/>
        <v>0</v>
      </c>
      <c r="J18" s="105">
        <f t="shared" si="2"/>
        <v>0</v>
      </c>
      <c r="K18">
        <f t="shared" si="3"/>
        <v>0</v>
      </c>
      <c r="L18"/>
      <c r="M18"/>
      <c r="N18"/>
      <c r="O18"/>
      <c r="P18"/>
      <c r="Q18"/>
      <c r="R18"/>
      <c r="S18"/>
      <c r="T18"/>
    </row>
    <row r="19" spans="1:20" outlineLevel="3" x14ac:dyDescent="0.3">
      <c r="A19" s="82" t="s">
        <v>100</v>
      </c>
      <c r="B19" s="10" t="s">
        <v>101</v>
      </c>
      <c r="C19" s="60" t="s">
        <v>102</v>
      </c>
      <c r="D19" s="44" t="s">
        <v>93</v>
      </c>
      <c r="E19" s="84">
        <v>0</v>
      </c>
      <c r="F19" s="84"/>
      <c r="G19" s="94">
        <f t="shared" si="0"/>
        <v>1</v>
      </c>
      <c r="H19" s="84">
        <v>2900</v>
      </c>
      <c r="I19" s="84">
        <f t="shared" si="1"/>
        <v>0</v>
      </c>
      <c r="J19" s="105">
        <f t="shared" si="2"/>
        <v>0</v>
      </c>
      <c r="K19">
        <f t="shared" si="3"/>
        <v>0</v>
      </c>
      <c r="L19"/>
      <c r="M19"/>
      <c r="N19"/>
      <c r="O19"/>
      <c r="P19"/>
      <c r="Q19"/>
      <c r="R19"/>
      <c r="S19"/>
      <c r="T19"/>
    </row>
    <row r="20" spans="1:20" outlineLevel="3" x14ac:dyDescent="0.3">
      <c r="A20" s="82" t="s">
        <v>103</v>
      </c>
      <c r="B20" s="10" t="s">
        <v>104</v>
      </c>
      <c r="C20" s="60" t="s">
        <v>105</v>
      </c>
      <c r="D20" s="44" t="s">
        <v>106</v>
      </c>
      <c r="E20" s="84">
        <v>0</v>
      </c>
      <c r="F20" s="84"/>
      <c r="G20" s="94">
        <f t="shared" si="0"/>
        <v>1</v>
      </c>
      <c r="H20" s="84">
        <v>350</v>
      </c>
      <c r="I20" s="84">
        <f t="shared" si="1"/>
        <v>0</v>
      </c>
      <c r="J20" s="105">
        <f t="shared" si="2"/>
        <v>0</v>
      </c>
      <c r="K20">
        <f t="shared" si="3"/>
        <v>0</v>
      </c>
      <c r="L20"/>
      <c r="M20"/>
      <c r="N20"/>
      <c r="O20"/>
      <c r="P20"/>
      <c r="Q20"/>
      <c r="R20"/>
      <c r="S20"/>
      <c r="T20"/>
    </row>
    <row r="21" spans="1:20" ht="15" outlineLevel="3" thickBot="1" x14ac:dyDescent="0.35">
      <c r="A21" s="82" t="s">
        <v>107</v>
      </c>
      <c r="B21" s="10" t="s">
        <v>108</v>
      </c>
      <c r="C21" s="60" t="s">
        <v>109</v>
      </c>
      <c r="D21" s="44" t="s">
        <v>93</v>
      </c>
      <c r="E21" s="84">
        <v>0</v>
      </c>
      <c r="F21" s="84"/>
      <c r="G21" s="94">
        <f t="shared" si="0"/>
        <v>1</v>
      </c>
      <c r="H21" s="84">
        <v>2500</v>
      </c>
      <c r="I21" s="84">
        <f t="shared" si="1"/>
        <v>0</v>
      </c>
      <c r="J21" s="105">
        <f t="shared" si="2"/>
        <v>0</v>
      </c>
      <c r="K21">
        <f t="shared" si="3"/>
        <v>0</v>
      </c>
      <c r="L21"/>
      <c r="M21"/>
      <c r="N21"/>
      <c r="O21"/>
      <c r="P21"/>
      <c r="Q21"/>
      <c r="R21"/>
      <c r="S21"/>
      <c r="T21"/>
    </row>
    <row r="22" spans="1:20" ht="15" outlineLevel="2" thickTop="1" x14ac:dyDescent="0.3">
      <c r="A22" s="82" t="s">
        <v>110</v>
      </c>
      <c r="B22" s="62" t="s">
        <v>60</v>
      </c>
      <c r="C22" s="63" t="s">
        <v>111</v>
      </c>
      <c r="D22" s="116"/>
      <c r="E22" s="88"/>
      <c r="F22" s="88"/>
      <c r="G22" s="98"/>
      <c r="H22" s="88"/>
      <c r="I22" s="88">
        <f>SUBTOTAL(9,I9:I21)</f>
        <v>40018</v>
      </c>
      <c r="J22" s="109"/>
      <c r="K22"/>
      <c r="L22"/>
      <c r="M22"/>
      <c r="N22"/>
      <c r="O22"/>
      <c r="P22"/>
      <c r="Q22"/>
      <c r="R22"/>
      <c r="S22"/>
      <c r="T22"/>
    </row>
    <row r="23" spans="1:20" outlineLevel="2" x14ac:dyDescent="0.3">
      <c r="A23" s="82" t="s">
        <v>112</v>
      </c>
      <c r="B23" s="64" t="s">
        <v>113</v>
      </c>
      <c r="C23" s="65" t="s">
        <v>114</v>
      </c>
      <c r="D23" s="117"/>
      <c r="E23" s="87"/>
      <c r="F23" s="87"/>
      <c r="G23" s="97"/>
      <c r="H23" s="87"/>
      <c r="I23" s="104">
        <f>SUBTOTAL(9,K24:K61)</f>
        <v>204997.4</v>
      </c>
      <c r="J23" s="108"/>
      <c r="K23"/>
      <c r="L23"/>
      <c r="M23"/>
      <c r="N23"/>
      <c r="O23"/>
      <c r="P23"/>
      <c r="Q23"/>
      <c r="R23"/>
      <c r="S23"/>
      <c r="T23"/>
    </row>
    <row r="24" spans="1:20" outlineLevel="3" x14ac:dyDescent="0.3">
      <c r="A24" s="82" t="s">
        <v>115</v>
      </c>
      <c r="B24" s="64" t="s">
        <v>116</v>
      </c>
      <c r="C24" s="66" t="s">
        <v>117</v>
      </c>
      <c r="D24" s="117"/>
      <c r="E24" s="87"/>
      <c r="F24" s="87"/>
      <c r="G24" s="97"/>
      <c r="H24" s="87"/>
      <c r="I24" s="104">
        <f>SUBTOTAL(9,K25:K27)</f>
        <v>4162</v>
      </c>
      <c r="J24" s="108"/>
      <c r="K24"/>
      <c r="L24"/>
      <c r="M24"/>
      <c r="N24"/>
      <c r="O24"/>
      <c r="P24"/>
      <c r="Q24"/>
      <c r="R24"/>
      <c r="S24"/>
      <c r="T24"/>
    </row>
    <row r="25" spans="1:20" outlineLevel="4" x14ac:dyDescent="0.3">
      <c r="A25" s="82" t="s">
        <v>118</v>
      </c>
      <c r="B25" s="10" t="s">
        <v>119</v>
      </c>
      <c r="C25" s="60" t="s">
        <v>120</v>
      </c>
      <c r="D25" s="44" t="s">
        <v>121</v>
      </c>
      <c r="E25" s="84">
        <v>19</v>
      </c>
      <c r="F25" s="84"/>
      <c r="G25" s="94">
        <f>cell_CoefGeneral</f>
        <v>1</v>
      </c>
      <c r="H25" s="84">
        <v>120</v>
      </c>
      <c r="I25" s="84">
        <f>IFERROR(ROUND(E25*H25,2),"-")</f>
        <v>2280</v>
      </c>
      <c r="J25" s="105">
        <f>IFERROR(I25/cell_Total_HT,"-")</f>
        <v>6.731081343789541E-4</v>
      </c>
      <c r="K25">
        <f>I25</f>
        <v>2280</v>
      </c>
      <c r="L25"/>
      <c r="M25"/>
      <c r="N25"/>
      <c r="O25"/>
      <c r="P25"/>
      <c r="Q25"/>
      <c r="R25"/>
      <c r="S25"/>
      <c r="T25"/>
    </row>
    <row r="26" spans="1:20" outlineLevel="4" x14ac:dyDescent="0.3">
      <c r="A26" s="82" t="s">
        <v>122</v>
      </c>
      <c r="B26" s="10" t="s">
        <v>123</v>
      </c>
      <c r="C26" s="60" t="s">
        <v>124</v>
      </c>
      <c r="D26" s="44" t="s">
        <v>121</v>
      </c>
      <c r="E26" s="84">
        <v>3</v>
      </c>
      <c r="F26" s="84"/>
      <c r="G26" s="94">
        <f>cell_CoefGeneral</f>
        <v>1</v>
      </c>
      <c r="H26" s="84">
        <v>290</v>
      </c>
      <c r="I26" s="84">
        <f>IFERROR(ROUND(E26*H26,2),"-")</f>
        <v>870</v>
      </c>
      <c r="J26" s="105">
        <f>IFERROR(I26/cell_Total_HT,"-")</f>
        <v>2.5684389338144297E-4</v>
      </c>
      <c r="K26">
        <f>I26</f>
        <v>870</v>
      </c>
      <c r="L26"/>
      <c r="M26"/>
      <c r="N26"/>
      <c r="O26"/>
      <c r="P26"/>
      <c r="Q26"/>
      <c r="R26"/>
      <c r="S26"/>
      <c r="T26"/>
    </row>
    <row r="27" spans="1:20" outlineLevel="4" x14ac:dyDescent="0.3">
      <c r="A27" s="82" t="s">
        <v>125</v>
      </c>
      <c r="B27" s="10" t="s">
        <v>126</v>
      </c>
      <c r="C27" s="60" t="s">
        <v>127</v>
      </c>
      <c r="D27" s="44" t="s">
        <v>128</v>
      </c>
      <c r="E27" s="84">
        <v>44</v>
      </c>
      <c r="F27" s="84"/>
      <c r="G27" s="94">
        <f>cell_CoefGeneral</f>
        <v>1</v>
      </c>
      <c r="H27" s="84">
        <v>23</v>
      </c>
      <c r="I27" s="84">
        <f>IFERROR(ROUND(E27*H27,2),"-")</f>
        <v>1012</v>
      </c>
      <c r="J27" s="105">
        <f>IFERROR(I27/cell_Total_HT,"-")</f>
        <v>2.9876554034714977E-4</v>
      </c>
      <c r="K27">
        <f>I27</f>
        <v>1012</v>
      </c>
      <c r="L27"/>
      <c r="M27"/>
      <c r="N27"/>
      <c r="O27"/>
      <c r="P27"/>
      <c r="Q27"/>
      <c r="R27"/>
      <c r="S27"/>
      <c r="T27"/>
    </row>
    <row r="28" spans="1:20" outlineLevel="3" x14ac:dyDescent="0.3">
      <c r="A28" s="82" t="s">
        <v>129</v>
      </c>
      <c r="B28" s="10" t="s">
        <v>130</v>
      </c>
      <c r="C28" s="60" t="s">
        <v>131</v>
      </c>
      <c r="D28" s="44" t="s">
        <v>80</v>
      </c>
      <c r="E28" s="84">
        <v>220</v>
      </c>
      <c r="F28" s="84"/>
      <c r="G28" s="94">
        <f>cell_CoefGeneral</f>
        <v>1</v>
      </c>
      <c r="H28" s="84">
        <v>4.9000000000000004</v>
      </c>
      <c r="I28" s="84">
        <f>IFERROR(ROUND(E28*H28,2),"-")</f>
        <v>1078</v>
      </c>
      <c r="J28" s="105">
        <f>IFERROR(I28/cell_Total_HT,"-")</f>
        <v>3.1825024950022474E-4</v>
      </c>
      <c r="K28">
        <f>I28</f>
        <v>1078</v>
      </c>
      <c r="L28"/>
      <c r="M28"/>
      <c r="N28"/>
      <c r="O28"/>
      <c r="P28"/>
      <c r="Q28"/>
      <c r="R28"/>
      <c r="S28"/>
      <c r="T28"/>
    </row>
    <row r="29" spans="1:20" outlineLevel="3" x14ac:dyDescent="0.3">
      <c r="A29" s="82" t="s">
        <v>132</v>
      </c>
      <c r="B29" s="10" t="s">
        <v>133</v>
      </c>
      <c r="C29" s="60" t="s">
        <v>134</v>
      </c>
      <c r="D29" s="44" t="s">
        <v>93</v>
      </c>
      <c r="E29" s="84">
        <v>1</v>
      </c>
      <c r="F29" s="84"/>
      <c r="G29" s="94">
        <f>cell_CoefGeneral</f>
        <v>1</v>
      </c>
      <c r="H29" s="84">
        <v>4000</v>
      </c>
      <c r="I29" s="84">
        <f>IFERROR(ROUND(E29*H29,2),"-")</f>
        <v>4000</v>
      </c>
      <c r="J29" s="105">
        <f>IFERROR(I29/cell_Total_HT,"-")</f>
        <v>1.1808914638227264E-3</v>
      </c>
      <c r="K29">
        <f>I29</f>
        <v>4000</v>
      </c>
      <c r="L29"/>
      <c r="M29"/>
      <c r="N29"/>
      <c r="O29"/>
      <c r="P29"/>
      <c r="Q29"/>
      <c r="R29"/>
      <c r="S29"/>
      <c r="T29"/>
    </row>
    <row r="30" spans="1:20" outlineLevel="3" x14ac:dyDescent="0.3">
      <c r="A30" s="82" t="s">
        <v>135</v>
      </c>
      <c r="B30" s="58" t="s">
        <v>136</v>
      </c>
      <c r="C30" s="61" t="s">
        <v>137</v>
      </c>
      <c r="D30" s="115"/>
      <c r="E30" s="87"/>
      <c r="F30" s="87"/>
      <c r="G30" s="97"/>
      <c r="H30" s="87"/>
      <c r="I30" s="104">
        <f>SUBTOTAL(9,K31:K33)</f>
        <v>5038</v>
      </c>
      <c r="J30" s="108"/>
      <c r="K30"/>
      <c r="L30"/>
      <c r="M30"/>
      <c r="N30"/>
      <c r="O30"/>
      <c r="P30"/>
      <c r="Q30"/>
      <c r="R30"/>
      <c r="S30"/>
      <c r="T30"/>
    </row>
    <row r="31" spans="1:20" ht="28.8" outlineLevel="4" x14ac:dyDescent="0.3">
      <c r="A31" s="82" t="s">
        <v>138</v>
      </c>
      <c r="B31" s="10" t="s">
        <v>139</v>
      </c>
      <c r="C31" s="60" t="s">
        <v>140</v>
      </c>
      <c r="D31" s="44" t="s">
        <v>141</v>
      </c>
      <c r="E31" s="84">
        <v>11</v>
      </c>
      <c r="F31" s="84"/>
      <c r="G31" s="94">
        <f>cell_CoefGeneral</f>
        <v>1</v>
      </c>
      <c r="H31" s="84">
        <v>140</v>
      </c>
      <c r="I31" s="84">
        <f>IFERROR(ROUND(E31*H31,2),"-")</f>
        <v>1540</v>
      </c>
      <c r="J31" s="105">
        <f>IFERROR(I31/cell_Total_HT,"-")</f>
        <v>4.5464321357174966E-4</v>
      </c>
      <c r="K31">
        <f>I31</f>
        <v>1540</v>
      </c>
      <c r="L31"/>
      <c r="M31"/>
      <c r="N31"/>
      <c r="O31"/>
      <c r="P31"/>
      <c r="Q31"/>
      <c r="R31"/>
      <c r="S31"/>
      <c r="T31"/>
    </row>
    <row r="32" spans="1:20" ht="28.8" outlineLevel="4" x14ac:dyDescent="0.3">
      <c r="A32" s="82" t="s">
        <v>142</v>
      </c>
      <c r="B32" s="10" t="s">
        <v>143</v>
      </c>
      <c r="C32" s="60" t="s">
        <v>144</v>
      </c>
      <c r="D32" s="44" t="s">
        <v>141</v>
      </c>
      <c r="E32" s="84">
        <v>22</v>
      </c>
      <c r="F32" s="84"/>
      <c r="G32" s="94">
        <f>cell_CoefGeneral</f>
        <v>1</v>
      </c>
      <c r="H32" s="84">
        <v>69</v>
      </c>
      <c r="I32" s="84">
        <f>IFERROR(ROUND(E32*H32,2),"-")</f>
        <v>1518</v>
      </c>
      <c r="J32" s="105">
        <f>IFERROR(I32/cell_Total_HT,"-")</f>
        <v>4.4814831052072469E-4</v>
      </c>
      <c r="K32">
        <f>I32</f>
        <v>1518</v>
      </c>
      <c r="L32"/>
      <c r="M32"/>
      <c r="N32"/>
      <c r="O32"/>
      <c r="P32"/>
      <c r="Q32"/>
      <c r="R32"/>
      <c r="S32"/>
      <c r="T32"/>
    </row>
    <row r="33" spans="1:20" outlineLevel="4" x14ac:dyDescent="0.3">
      <c r="A33" s="82" t="s">
        <v>145</v>
      </c>
      <c r="B33" s="10" t="s">
        <v>146</v>
      </c>
      <c r="C33" s="60" t="s">
        <v>147</v>
      </c>
      <c r="D33" s="44" t="s">
        <v>141</v>
      </c>
      <c r="E33" s="84">
        <v>11</v>
      </c>
      <c r="F33" s="84"/>
      <c r="G33" s="94">
        <f>cell_CoefGeneral</f>
        <v>1</v>
      </c>
      <c r="H33" s="84">
        <v>180</v>
      </c>
      <c r="I33" s="84">
        <f>IFERROR(ROUND(E33*H33,2),"-")</f>
        <v>1980</v>
      </c>
      <c r="J33" s="105">
        <f>IFERROR(I33/cell_Total_HT,"-")</f>
        <v>5.845412745922496E-4</v>
      </c>
      <c r="K33">
        <f>I33</f>
        <v>1980</v>
      </c>
      <c r="L33"/>
      <c r="M33"/>
      <c r="N33"/>
      <c r="O33"/>
      <c r="P33"/>
      <c r="Q33"/>
      <c r="R33"/>
      <c r="S33"/>
      <c r="T33"/>
    </row>
    <row r="34" spans="1:20" outlineLevel="3" x14ac:dyDescent="0.3">
      <c r="A34" s="82" t="s">
        <v>148</v>
      </c>
      <c r="B34" s="58" t="s">
        <v>149</v>
      </c>
      <c r="C34" s="61" t="s">
        <v>150</v>
      </c>
      <c r="D34" s="115"/>
      <c r="E34" s="87"/>
      <c r="F34" s="87"/>
      <c r="G34" s="97"/>
      <c r="H34" s="87" t="s">
        <v>60</v>
      </c>
      <c r="I34" s="104">
        <f>SUBTOTAL(9,K35:K37)</f>
        <v>18854</v>
      </c>
      <c r="J34" s="108"/>
      <c r="K34"/>
      <c r="L34"/>
      <c r="M34"/>
      <c r="N34"/>
      <c r="O34"/>
      <c r="P34"/>
      <c r="Q34"/>
      <c r="R34"/>
      <c r="S34"/>
      <c r="T34"/>
    </row>
    <row r="35" spans="1:20" outlineLevel="4" x14ac:dyDescent="0.3">
      <c r="A35" s="82" t="s">
        <v>151</v>
      </c>
      <c r="B35" s="10" t="s">
        <v>152</v>
      </c>
      <c r="C35" s="60" t="s">
        <v>153</v>
      </c>
      <c r="D35" s="44" t="s">
        <v>154</v>
      </c>
      <c r="E35" s="84">
        <v>3850</v>
      </c>
      <c r="F35" s="84"/>
      <c r="G35" s="94">
        <f>cell_CoefGeneral</f>
        <v>1</v>
      </c>
      <c r="H35" s="84">
        <v>4.5999999999999996</v>
      </c>
      <c r="I35" s="84">
        <f>IFERROR(ROUND(E35*H35,2),"-")</f>
        <v>17710</v>
      </c>
      <c r="J35" s="105">
        <f>IFERROR(I35/cell_Total_HT,"-")</f>
        <v>5.2283969560751207E-3</v>
      </c>
      <c r="K35">
        <f>I35</f>
        <v>17710</v>
      </c>
      <c r="L35"/>
      <c r="M35"/>
      <c r="N35"/>
      <c r="O35"/>
      <c r="P35"/>
      <c r="Q35"/>
      <c r="R35"/>
      <c r="S35"/>
      <c r="T35"/>
    </row>
    <row r="36" spans="1:20" outlineLevel="4" x14ac:dyDescent="0.3">
      <c r="A36" s="82" t="s">
        <v>155</v>
      </c>
      <c r="B36" s="10" t="s">
        <v>156</v>
      </c>
      <c r="C36" s="60" t="s">
        <v>157</v>
      </c>
      <c r="D36" s="44" t="s">
        <v>154</v>
      </c>
      <c r="E36" s="84">
        <v>220</v>
      </c>
      <c r="F36" s="84"/>
      <c r="G36" s="94">
        <f>cell_CoefGeneral</f>
        <v>1</v>
      </c>
      <c r="H36" s="84">
        <v>5.2</v>
      </c>
      <c r="I36" s="84">
        <f>IFERROR(ROUND(E36*H36,2),"-")</f>
        <v>1144</v>
      </c>
      <c r="J36" s="105">
        <f>IFERROR(I36/cell_Total_HT,"-")</f>
        <v>3.3773495865329977E-4</v>
      </c>
      <c r="K36">
        <f>I36</f>
        <v>1144</v>
      </c>
      <c r="L36"/>
      <c r="M36"/>
      <c r="N36"/>
      <c r="O36"/>
      <c r="P36"/>
      <c r="Q36"/>
      <c r="R36"/>
      <c r="S36"/>
      <c r="T36"/>
    </row>
    <row r="37" spans="1:20" outlineLevel="4" x14ac:dyDescent="0.3">
      <c r="A37" s="82" t="s">
        <v>158</v>
      </c>
      <c r="B37" s="10" t="s">
        <v>159</v>
      </c>
      <c r="C37" s="60" t="s">
        <v>160</v>
      </c>
      <c r="D37" s="44" t="s">
        <v>154</v>
      </c>
      <c r="E37" s="84">
        <v>0</v>
      </c>
      <c r="F37" s="84"/>
      <c r="G37" s="94">
        <f>cell_CoefGeneral</f>
        <v>1</v>
      </c>
      <c r="H37" s="84">
        <v>17</v>
      </c>
      <c r="I37" s="84">
        <f>IFERROR(ROUND(E37*H37,2),"-")</f>
        <v>0</v>
      </c>
      <c r="J37" s="105">
        <f>IFERROR(I37/cell_Total_HT,"-")</f>
        <v>0</v>
      </c>
      <c r="K37">
        <f>I37</f>
        <v>0</v>
      </c>
      <c r="L37"/>
      <c r="M37"/>
      <c r="N37"/>
      <c r="O37"/>
      <c r="P37"/>
      <c r="Q37"/>
      <c r="R37"/>
      <c r="S37"/>
      <c r="T37"/>
    </row>
    <row r="38" spans="1:20" outlineLevel="3" x14ac:dyDescent="0.3">
      <c r="A38" s="82" t="s">
        <v>161</v>
      </c>
      <c r="B38" s="10" t="s">
        <v>162</v>
      </c>
      <c r="C38" s="60" t="s">
        <v>163</v>
      </c>
      <c r="D38" s="44" t="s">
        <v>141</v>
      </c>
      <c r="E38" s="84">
        <v>297</v>
      </c>
      <c r="F38" s="84"/>
      <c r="G38" s="94">
        <f>cell_CoefGeneral</f>
        <v>1</v>
      </c>
      <c r="H38" s="84">
        <v>37</v>
      </c>
      <c r="I38" s="84">
        <f>IFERROR(ROUND(E38*H38,2),"-")</f>
        <v>10989</v>
      </c>
      <c r="J38" s="105">
        <f>IFERROR(I38/cell_Total_HT,"-")</f>
        <v>3.244204073986985E-3</v>
      </c>
      <c r="K38">
        <f>I38</f>
        <v>10989</v>
      </c>
      <c r="L38"/>
      <c r="M38"/>
      <c r="N38"/>
      <c r="O38"/>
      <c r="P38"/>
      <c r="Q38"/>
      <c r="R38"/>
      <c r="S38"/>
      <c r="T38"/>
    </row>
    <row r="39" spans="1:20" outlineLevel="3" x14ac:dyDescent="0.3">
      <c r="A39" s="82" t="s">
        <v>164</v>
      </c>
      <c r="B39" s="58" t="s">
        <v>165</v>
      </c>
      <c r="C39" s="61" t="s">
        <v>166</v>
      </c>
      <c r="D39" s="115"/>
      <c r="E39" s="87"/>
      <c r="F39" s="87"/>
      <c r="G39" s="97"/>
      <c r="H39" s="87" t="s">
        <v>60</v>
      </c>
      <c r="I39" s="104">
        <f>SUBTOTAL(9,K40:K44)</f>
        <v>148258</v>
      </c>
      <c r="J39" s="108"/>
      <c r="K39"/>
      <c r="L39"/>
      <c r="M39"/>
      <c r="N39"/>
      <c r="O39"/>
      <c r="P39"/>
      <c r="Q39"/>
      <c r="R39"/>
      <c r="S39"/>
      <c r="T39"/>
    </row>
    <row r="40" spans="1:20" outlineLevel="4" x14ac:dyDescent="0.3">
      <c r="A40" s="82" t="s">
        <v>167</v>
      </c>
      <c r="B40" s="10" t="s">
        <v>168</v>
      </c>
      <c r="C40" s="60" t="s">
        <v>169</v>
      </c>
      <c r="D40" s="44" t="s">
        <v>141</v>
      </c>
      <c r="E40" s="84">
        <v>880</v>
      </c>
      <c r="F40" s="84"/>
      <c r="G40" s="94">
        <f>cell_CoefGeneral</f>
        <v>1</v>
      </c>
      <c r="H40" s="84">
        <v>28</v>
      </c>
      <c r="I40" s="84">
        <f>IFERROR(ROUND(E40*H40,2),"-")</f>
        <v>24640</v>
      </c>
      <c r="J40" s="105">
        <f>IFERROR(I40/cell_Total_HT,"-")</f>
        <v>7.2742914171479945E-3</v>
      </c>
      <c r="K40">
        <f>I40</f>
        <v>24640</v>
      </c>
      <c r="L40"/>
      <c r="M40"/>
      <c r="N40"/>
      <c r="O40"/>
      <c r="P40"/>
      <c r="Q40"/>
      <c r="R40"/>
      <c r="S40"/>
      <c r="T40"/>
    </row>
    <row r="41" spans="1:20" outlineLevel="4" x14ac:dyDescent="0.3">
      <c r="A41" s="82" t="s">
        <v>170</v>
      </c>
      <c r="B41" s="10" t="s">
        <v>171</v>
      </c>
      <c r="C41" s="60" t="s">
        <v>172</v>
      </c>
      <c r="D41" s="44" t="s">
        <v>141</v>
      </c>
      <c r="E41" s="84">
        <v>2310</v>
      </c>
      <c r="F41" s="84"/>
      <c r="G41" s="94">
        <f>cell_CoefGeneral</f>
        <v>1</v>
      </c>
      <c r="H41" s="84">
        <v>38</v>
      </c>
      <c r="I41" s="84">
        <f>IFERROR(ROUND(E41*H41,2),"-")</f>
        <v>87780</v>
      </c>
      <c r="J41" s="105">
        <f>IFERROR(I41/cell_Total_HT,"-")</f>
        <v>2.591466317358973E-2</v>
      </c>
      <c r="K41">
        <f>I41</f>
        <v>87780</v>
      </c>
      <c r="L41"/>
      <c r="M41"/>
      <c r="N41"/>
      <c r="O41"/>
      <c r="P41"/>
      <c r="Q41"/>
      <c r="R41"/>
      <c r="S41"/>
      <c r="T41"/>
    </row>
    <row r="42" spans="1:20" outlineLevel="4" x14ac:dyDescent="0.3">
      <c r="A42" s="82" t="s">
        <v>173</v>
      </c>
      <c r="B42" s="10" t="s">
        <v>174</v>
      </c>
      <c r="C42" s="60" t="s">
        <v>175</v>
      </c>
      <c r="D42" s="44" t="s">
        <v>141</v>
      </c>
      <c r="E42" s="84">
        <v>660</v>
      </c>
      <c r="F42" s="84"/>
      <c r="G42" s="94">
        <f>cell_CoefGeneral</f>
        <v>1</v>
      </c>
      <c r="H42" s="84">
        <v>49</v>
      </c>
      <c r="I42" s="84">
        <f>IFERROR(ROUND(E42*H42,2),"-")</f>
        <v>32340</v>
      </c>
      <c r="J42" s="105">
        <f>IFERROR(I42/cell_Total_HT,"-")</f>
        <v>9.5475074850067433E-3</v>
      </c>
      <c r="K42">
        <f>I42</f>
        <v>32340</v>
      </c>
      <c r="L42"/>
      <c r="M42"/>
      <c r="N42"/>
      <c r="O42"/>
      <c r="P42"/>
      <c r="Q42"/>
      <c r="R42"/>
      <c r="S42"/>
      <c r="T42"/>
    </row>
    <row r="43" spans="1:20" outlineLevel="4" x14ac:dyDescent="0.3">
      <c r="A43" s="82" t="s">
        <v>176</v>
      </c>
      <c r="B43" s="10" t="s">
        <v>177</v>
      </c>
      <c r="C43" s="60" t="s">
        <v>178</v>
      </c>
      <c r="D43" s="44" t="s">
        <v>141</v>
      </c>
      <c r="E43" s="84">
        <v>0</v>
      </c>
      <c r="F43" s="84"/>
      <c r="G43" s="94">
        <f>cell_CoefGeneral</f>
        <v>1</v>
      </c>
      <c r="H43" s="84">
        <v>53</v>
      </c>
      <c r="I43" s="84">
        <f>IFERROR(ROUND(E43*H43,2),"-")</f>
        <v>0</v>
      </c>
      <c r="J43" s="105">
        <f>IFERROR(I43/cell_Total_HT,"-")</f>
        <v>0</v>
      </c>
      <c r="K43">
        <f>I43</f>
        <v>0</v>
      </c>
      <c r="L43"/>
      <c r="M43"/>
      <c r="N43"/>
      <c r="O43"/>
      <c r="P43"/>
      <c r="Q43"/>
      <c r="R43"/>
      <c r="S43"/>
      <c r="T43"/>
    </row>
    <row r="44" spans="1:20" outlineLevel="4" x14ac:dyDescent="0.3">
      <c r="A44" s="82" t="s">
        <v>179</v>
      </c>
      <c r="B44" s="10" t="s">
        <v>180</v>
      </c>
      <c r="C44" s="60" t="s">
        <v>181</v>
      </c>
      <c r="D44" s="44" t="s">
        <v>141</v>
      </c>
      <c r="E44" s="84">
        <v>66</v>
      </c>
      <c r="F44" s="84"/>
      <c r="G44" s="94">
        <f>cell_CoefGeneral</f>
        <v>1</v>
      </c>
      <c r="H44" s="84">
        <v>53</v>
      </c>
      <c r="I44" s="84">
        <f>IFERROR(ROUND(E44*H44,2),"-")</f>
        <v>3498</v>
      </c>
      <c r="J44" s="105">
        <f>IFERROR(I44/cell_Total_HT,"-")</f>
        <v>1.0326895851129742E-3</v>
      </c>
      <c r="K44">
        <f>I44</f>
        <v>3498</v>
      </c>
      <c r="L44"/>
      <c r="M44"/>
      <c r="N44"/>
      <c r="O44"/>
      <c r="P44"/>
      <c r="Q44"/>
      <c r="R44"/>
      <c r="S44"/>
      <c r="T44"/>
    </row>
    <row r="45" spans="1:20" outlineLevel="3" x14ac:dyDescent="0.3">
      <c r="A45" s="82" t="s">
        <v>182</v>
      </c>
      <c r="B45" s="58" t="s">
        <v>183</v>
      </c>
      <c r="C45" s="61" t="s">
        <v>184</v>
      </c>
      <c r="D45" s="115"/>
      <c r="E45" s="87"/>
      <c r="F45" s="87"/>
      <c r="G45" s="97"/>
      <c r="H45" s="87" t="s">
        <v>60</v>
      </c>
      <c r="I45" s="104">
        <f>SUBTOTAL(9,K46:K53)</f>
        <v>2558.4</v>
      </c>
      <c r="J45" s="108"/>
      <c r="K45"/>
      <c r="L45"/>
      <c r="M45"/>
      <c r="N45"/>
      <c r="O45"/>
      <c r="P45"/>
      <c r="Q45"/>
      <c r="R45"/>
      <c r="S45"/>
      <c r="T45"/>
    </row>
    <row r="46" spans="1:20" outlineLevel="4" x14ac:dyDescent="0.3">
      <c r="A46" s="82" t="s">
        <v>185</v>
      </c>
      <c r="B46" s="10" t="s">
        <v>186</v>
      </c>
      <c r="C46" s="60" t="s">
        <v>187</v>
      </c>
      <c r="D46" s="44" t="s">
        <v>121</v>
      </c>
      <c r="E46" s="84">
        <v>2</v>
      </c>
      <c r="F46" s="84"/>
      <c r="G46" s="94">
        <f t="shared" ref="G46:G54" si="4">cell_CoefGeneral</f>
        <v>1</v>
      </c>
      <c r="H46" s="84">
        <v>90</v>
      </c>
      <c r="I46" s="84">
        <f t="shared" ref="I46:I54" si="5">IFERROR(ROUND(E46*H46,2),"-")</f>
        <v>180</v>
      </c>
      <c r="J46" s="105">
        <f t="shared" ref="J46:J54" si="6">IFERROR(I46/cell_Total_HT,"-")</f>
        <v>5.3140115872022687E-5</v>
      </c>
      <c r="K46">
        <f t="shared" ref="K46:K54" si="7">I46</f>
        <v>180</v>
      </c>
      <c r="L46"/>
      <c r="M46"/>
      <c r="N46"/>
      <c r="O46"/>
      <c r="P46"/>
      <c r="Q46"/>
      <c r="R46"/>
      <c r="S46"/>
      <c r="T46"/>
    </row>
    <row r="47" spans="1:20" outlineLevel="4" x14ac:dyDescent="0.3">
      <c r="A47" s="82" t="s">
        <v>188</v>
      </c>
      <c r="B47" s="10" t="s">
        <v>189</v>
      </c>
      <c r="C47" s="60" t="s">
        <v>190</v>
      </c>
      <c r="D47" s="44" t="s">
        <v>121</v>
      </c>
      <c r="E47" s="84">
        <v>0</v>
      </c>
      <c r="F47" s="84"/>
      <c r="G47" s="94">
        <f t="shared" si="4"/>
        <v>1</v>
      </c>
      <c r="H47" s="84">
        <v>90</v>
      </c>
      <c r="I47" s="84">
        <f t="shared" si="5"/>
        <v>0</v>
      </c>
      <c r="J47" s="105">
        <f t="shared" si="6"/>
        <v>0</v>
      </c>
      <c r="K47">
        <f t="shared" si="7"/>
        <v>0</v>
      </c>
      <c r="L47"/>
      <c r="M47"/>
      <c r="N47"/>
      <c r="O47"/>
      <c r="P47"/>
      <c r="Q47"/>
      <c r="R47"/>
      <c r="S47"/>
      <c r="T47"/>
    </row>
    <row r="48" spans="1:20" outlineLevel="4" x14ac:dyDescent="0.3">
      <c r="A48" s="82" t="s">
        <v>191</v>
      </c>
      <c r="B48" s="10" t="s">
        <v>192</v>
      </c>
      <c r="C48" s="60" t="s">
        <v>193</v>
      </c>
      <c r="D48" s="44" t="s">
        <v>121</v>
      </c>
      <c r="E48" s="84">
        <v>0</v>
      </c>
      <c r="F48" s="84"/>
      <c r="G48" s="94">
        <f t="shared" si="4"/>
        <v>1</v>
      </c>
      <c r="H48" s="84">
        <v>72</v>
      </c>
      <c r="I48" s="84">
        <f t="shared" si="5"/>
        <v>0</v>
      </c>
      <c r="J48" s="105">
        <f t="shared" si="6"/>
        <v>0</v>
      </c>
      <c r="K48">
        <f t="shared" si="7"/>
        <v>0</v>
      </c>
      <c r="L48"/>
      <c r="M48"/>
      <c r="N48"/>
      <c r="O48"/>
      <c r="P48"/>
      <c r="Q48"/>
      <c r="R48"/>
      <c r="S48"/>
      <c r="T48"/>
    </row>
    <row r="49" spans="1:20" outlineLevel="4" x14ac:dyDescent="0.3">
      <c r="A49" s="82" t="s">
        <v>194</v>
      </c>
      <c r="B49" s="10" t="s">
        <v>195</v>
      </c>
      <c r="C49" s="60" t="s">
        <v>196</v>
      </c>
      <c r="D49" s="44" t="s">
        <v>121</v>
      </c>
      <c r="E49" s="84">
        <v>6</v>
      </c>
      <c r="F49" s="84"/>
      <c r="G49" s="94">
        <f t="shared" si="4"/>
        <v>1</v>
      </c>
      <c r="H49" s="84">
        <v>71</v>
      </c>
      <c r="I49" s="84">
        <f t="shared" si="5"/>
        <v>426</v>
      </c>
      <c r="J49" s="105">
        <f t="shared" si="6"/>
        <v>1.2576494089712036E-4</v>
      </c>
      <c r="K49">
        <f t="shared" si="7"/>
        <v>426</v>
      </c>
      <c r="L49"/>
      <c r="M49"/>
      <c r="N49"/>
      <c r="O49"/>
      <c r="P49"/>
      <c r="Q49"/>
      <c r="R49"/>
      <c r="S49"/>
      <c r="T49"/>
    </row>
    <row r="50" spans="1:20" outlineLevel="4" x14ac:dyDescent="0.3">
      <c r="A50" s="82" t="s">
        <v>197</v>
      </c>
      <c r="B50" s="10" t="s">
        <v>198</v>
      </c>
      <c r="C50" s="60" t="s">
        <v>199</v>
      </c>
      <c r="D50" s="44" t="s">
        <v>80</v>
      </c>
      <c r="E50" s="84">
        <v>198</v>
      </c>
      <c r="F50" s="84"/>
      <c r="G50" s="94">
        <f t="shared" si="4"/>
        <v>1</v>
      </c>
      <c r="H50" s="84">
        <v>8.8000000000000007</v>
      </c>
      <c r="I50" s="84">
        <f t="shared" si="5"/>
        <v>1742.4</v>
      </c>
      <c r="J50" s="105">
        <f t="shared" si="6"/>
        <v>5.143963216411797E-4</v>
      </c>
      <c r="K50">
        <f t="shared" si="7"/>
        <v>1742.4</v>
      </c>
      <c r="L50"/>
      <c r="M50"/>
      <c r="N50"/>
      <c r="O50"/>
      <c r="P50"/>
      <c r="Q50"/>
      <c r="R50"/>
      <c r="S50"/>
      <c r="T50"/>
    </row>
    <row r="51" spans="1:20" outlineLevel="4" x14ac:dyDescent="0.3">
      <c r="A51" s="82" t="s">
        <v>200</v>
      </c>
      <c r="B51" s="10" t="s">
        <v>201</v>
      </c>
      <c r="C51" s="60" t="s">
        <v>202</v>
      </c>
      <c r="D51" s="44" t="s">
        <v>121</v>
      </c>
      <c r="E51" s="84">
        <v>1</v>
      </c>
      <c r="F51" s="84"/>
      <c r="G51" s="94">
        <f t="shared" si="4"/>
        <v>1</v>
      </c>
      <c r="H51" s="84">
        <v>210</v>
      </c>
      <c r="I51" s="84">
        <f t="shared" si="5"/>
        <v>210</v>
      </c>
      <c r="J51" s="105">
        <f t="shared" si="6"/>
        <v>6.1996801850693138E-5</v>
      </c>
      <c r="K51">
        <f t="shared" si="7"/>
        <v>210</v>
      </c>
      <c r="L51"/>
      <c r="M51"/>
      <c r="N51"/>
      <c r="O51"/>
      <c r="P51"/>
      <c r="Q51"/>
      <c r="R51"/>
      <c r="S51"/>
      <c r="T51"/>
    </row>
    <row r="52" spans="1:20" outlineLevel="4" x14ac:dyDescent="0.3">
      <c r="A52" s="82" t="s">
        <v>203</v>
      </c>
      <c r="B52" s="10" t="s">
        <v>204</v>
      </c>
      <c r="C52" s="60" t="s">
        <v>205</v>
      </c>
      <c r="D52" s="44" t="s">
        <v>121</v>
      </c>
      <c r="E52" s="84">
        <v>0</v>
      </c>
      <c r="F52" s="84"/>
      <c r="G52" s="94">
        <f t="shared" si="4"/>
        <v>1</v>
      </c>
      <c r="H52" s="84">
        <v>100</v>
      </c>
      <c r="I52" s="84">
        <f t="shared" si="5"/>
        <v>0</v>
      </c>
      <c r="J52" s="105">
        <f t="shared" si="6"/>
        <v>0</v>
      </c>
      <c r="K52">
        <f t="shared" si="7"/>
        <v>0</v>
      </c>
      <c r="L52"/>
      <c r="M52"/>
      <c r="N52"/>
      <c r="O52"/>
      <c r="P52"/>
      <c r="Q52"/>
      <c r="R52"/>
      <c r="S52"/>
      <c r="T52"/>
    </row>
    <row r="53" spans="1:20" outlineLevel="4" x14ac:dyDescent="0.3">
      <c r="A53" s="82" t="s">
        <v>206</v>
      </c>
      <c r="B53" s="10" t="s">
        <v>207</v>
      </c>
      <c r="C53" s="60" t="s">
        <v>208</v>
      </c>
      <c r="D53" s="44" t="s">
        <v>121</v>
      </c>
      <c r="E53" s="84">
        <v>0</v>
      </c>
      <c r="F53" s="84"/>
      <c r="G53" s="94">
        <f t="shared" si="4"/>
        <v>1</v>
      </c>
      <c r="H53" s="84">
        <v>140</v>
      </c>
      <c r="I53" s="84">
        <f t="shared" si="5"/>
        <v>0</v>
      </c>
      <c r="J53" s="105">
        <f t="shared" si="6"/>
        <v>0</v>
      </c>
      <c r="K53">
        <f t="shared" si="7"/>
        <v>0</v>
      </c>
      <c r="L53"/>
      <c r="M53"/>
      <c r="N53"/>
      <c r="O53"/>
      <c r="P53"/>
      <c r="Q53"/>
      <c r="R53"/>
      <c r="S53"/>
      <c r="T53"/>
    </row>
    <row r="54" spans="1:20" ht="28.8" outlineLevel="3" x14ac:dyDescent="0.3">
      <c r="A54" s="82" t="s">
        <v>209</v>
      </c>
      <c r="B54" s="10" t="s">
        <v>210</v>
      </c>
      <c r="C54" s="60" t="s">
        <v>211</v>
      </c>
      <c r="D54" s="44" t="s">
        <v>93</v>
      </c>
      <c r="E54" s="84">
        <v>1</v>
      </c>
      <c r="F54" s="84"/>
      <c r="G54" s="94">
        <f t="shared" si="4"/>
        <v>1</v>
      </c>
      <c r="H54" s="84">
        <v>9200</v>
      </c>
      <c r="I54" s="84">
        <f t="shared" si="5"/>
        <v>9200</v>
      </c>
      <c r="J54" s="105">
        <f t="shared" si="6"/>
        <v>2.7160503667922708E-3</v>
      </c>
      <c r="K54">
        <f t="shared" si="7"/>
        <v>9200</v>
      </c>
      <c r="L54"/>
      <c r="M54"/>
      <c r="N54"/>
      <c r="O54"/>
      <c r="P54"/>
      <c r="Q54"/>
      <c r="R54"/>
      <c r="S54"/>
      <c r="T54"/>
    </row>
    <row r="55" spans="1:20" outlineLevel="3" x14ac:dyDescent="0.3">
      <c r="A55" s="82" t="s">
        <v>212</v>
      </c>
      <c r="B55" s="58" t="s">
        <v>213</v>
      </c>
      <c r="C55" s="61" t="s">
        <v>214</v>
      </c>
      <c r="D55" s="115"/>
      <c r="E55" s="87"/>
      <c r="F55" s="87"/>
      <c r="G55" s="97"/>
      <c r="H55" s="87" t="s">
        <v>60</v>
      </c>
      <c r="I55" s="104">
        <f>SUBTOTAL(9,K56:K57)</f>
        <v>0</v>
      </c>
      <c r="J55" s="108"/>
      <c r="K55"/>
      <c r="L55"/>
      <c r="M55"/>
      <c r="N55"/>
      <c r="O55"/>
      <c r="P55"/>
      <c r="Q55"/>
      <c r="R55"/>
      <c r="S55"/>
      <c r="T55"/>
    </row>
    <row r="56" spans="1:20" outlineLevel="4" x14ac:dyDescent="0.3">
      <c r="A56" s="82" t="s">
        <v>215</v>
      </c>
      <c r="B56" s="10" t="s">
        <v>216</v>
      </c>
      <c r="C56" s="60" t="s">
        <v>217</v>
      </c>
      <c r="D56" s="44" t="s">
        <v>93</v>
      </c>
      <c r="E56" s="84">
        <v>0</v>
      </c>
      <c r="F56" s="84"/>
      <c r="G56" s="94">
        <f>cell_CoefGeneral</f>
        <v>1</v>
      </c>
      <c r="H56" s="84">
        <v>3300</v>
      </c>
      <c r="I56" s="84">
        <f>IFERROR(ROUND(E56*H56,2),"-")</f>
        <v>0</v>
      </c>
      <c r="J56" s="105">
        <f>IFERROR(I56/cell_Total_HT,"-")</f>
        <v>0</v>
      </c>
      <c r="K56">
        <f>I56</f>
        <v>0</v>
      </c>
      <c r="L56"/>
      <c r="M56"/>
      <c r="N56"/>
      <c r="O56"/>
      <c r="P56"/>
      <c r="Q56"/>
      <c r="R56"/>
      <c r="S56"/>
      <c r="T56"/>
    </row>
    <row r="57" spans="1:20" outlineLevel="4" x14ac:dyDescent="0.3">
      <c r="A57" s="82" t="s">
        <v>218</v>
      </c>
      <c r="B57" s="10" t="s">
        <v>219</v>
      </c>
      <c r="C57" s="60" t="s">
        <v>220</v>
      </c>
      <c r="D57" s="44" t="s">
        <v>93</v>
      </c>
      <c r="E57" s="84">
        <v>0</v>
      </c>
      <c r="F57" s="84"/>
      <c r="G57" s="94">
        <f>cell_CoefGeneral</f>
        <v>1</v>
      </c>
      <c r="H57" s="84">
        <v>4100</v>
      </c>
      <c r="I57" s="84">
        <f>IFERROR(ROUND(E57*H57,2),"-")</f>
        <v>0</v>
      </c>
      <c r="J57" s="105">
        <f>IFERROR(I57/cell_Total_HT,"-")</f>
        <v>0</v>
      </c>
      <c r="K57">
        <f>I57</f>
        <v>0</v>
      </c>
      <c r="L57"/>
      <c r="M57"/>
      <c r="N57"/>
      <c r="O57"/>
      <c r="P57"/>
      <c r="Q57"/>
      <c r="R57"/>
      <c r="S57"/>
      <c r="T57"/>
    </row>
    <row r="58" spans="1:20" outlineLevel="3" x14ac:dyDescent="0.3">
      <c r="A58" s="82" t="s">
        <v>221</v>
      </c>
      <c r="B58" s="10" t="s">
        <v>222</v>
      </c>
      <c r="C58" s="60" t="s">
        <v>223</v>
      </c>
      <c r="D58" s="44" t="s">
        <v>154</v>
      </c>
      <c r="E58" s="84">
        <v>0</v>
      </c>
      <c r="F58" s="84"/>
      <c r="G58" s="94">
        <f>cell_CoefGeneral</f>
        <v>1</v>
      </c>
      <c r="H58" s="84">
        <v>170</v>
      </c>
      <c r="I58" s="84">
        <f>IFERROR(ROUND(E58*H58,2),"-")</f>
        <v>0</v>
      </c>
      <c r="J58" s="105">
        <f>IFERROR(I58/cell_Total_HT,"-")</f>
        <v>0</v>
      </c>
      <c r="K58">
        <f>I58</f>
        <v>0</v>
      </c>
      <c r="L58"/>
      <c r="M58"/>
      <c r="N58"/>
      <c r="O58"/>
      <c r="P58"/>
      <c r="Q58"/>
      <c r="R58"/>
      <c r="S58"/>
      <c r="T58"/>
    </row>
    <row r="59" spans="1:20" outlineLevel="3" x14ac:dyDescent="0.3">
      <c r="A59" s="82" t="s">
        <v>224</v>
      </c>
      <c r="B59" s="58" t="s">
        <v>225</v>
      </c>
      <c r="C59" s="61" t="s">
        <v>226</v>
      </c>
      <c r="D59" s="115"/>
      <c r="E59" s="87"/>
      <c r="F59" s="87"/>
      <c r="G59" s="97"/>
      <c r="H59" s="87" t="s">
        <v>60</v>
      </c>
      <c r="I59" s="104">
        <f>SUBTOTAL(9,K60:K61)</f>
        <v>860</v>
      </c>
      <c r="J59" s="108"/>
      <c r="K59"/>
      <c r="L59"/>
      <c r="M59"/>
      <c r="N59"/>
      <c r="O59"/>
      <c r="P59"/>
      <c r="Q59"/>
      <c r="R59"/>
      <c r="S59"/>
      <c r="T59"/>
    </row>
    <row r="60" spans="1:20" ht="28.8" outlineLevel="4" x14ac:dyDescent="0.3">
      <c r="A60" s="82" t="s">
        <v>227</v>
      </c>
      <c r="B60" s="10" t="s">
        <v>228</v>
      </c>
      <c r="C60" s="60" t="s">
        <v>229</v>
      </c>
      <c r="D60" s="44" t="s">
        <v>121</v>
      </c>
      <c r="E60" s="84">
        <v>1</v>
      </c>
      <c r="F60" s="84"/>
      <c r="G60" s="94">
        <f>cell_CoefGeneral</f>
        <v>1</v>
      </c>
      <c r="H60" s="84">
        <v>200</v>
      </c>
      <c r="I60" s="84">
        <f>IFERROR(ROUND(E60*H60,2),"-")</f>
        <v>200</v>
      </c>
      <c r="J60" s="105">
        <f>IFERROR(I60/cell_Total_HT,"-")</f>
        <v>5.9044573191136318E-5</v>
      </c>
      <c r="K60">
        <f>I60</f>
        <v>200</v>
      </c>
      <c r="L60"/>
      <c r="M60"/>
      <c r="N60"/>
      <c r="O60"/>
      <c r="P60"/>
      <c r="Q60"/>
      <c r="R60"/>
      <c r="S60"/>
      <c r="T60"/>
    </row>
    <row r="61" spans="1:20" ht="15" outlineLevel="4" thickBot="1" x14ac:dyDescent="0.35">
      <c r="A61" s="82" t="s">
        <v>230</v>
      </c>
      <c r="B61" s="10" t="s">
        <v>231</v>
      </c>
      <c r="C61" s="60" t="s">
        <v>232</v>
      </c>
      <c r="D61" s="44" t="s">
        <v>121</v>
      </c>
      <c r="E61" s="84">
        <v>3</v>
      </c>
      <c r="F61" s="84"/>
      <c r="G61" s="94">
        <f>cell_CoefGeneral</f>
        <v>1</v>
      </c>
      <c r="H61" s="84">
        <v>220</v>
      </c>
      <c r="I61" s="84">
        <f>IFERROR(ROUND(E61*H61,2),"-")</f>
        <v>660</v>
      </c>
      <c r="J61" s="105">
        <f>IFERROR(I61/cell_Total_HT,"-")</f>
        <v>1.9484709153074986E-4</v>
      </c>
      <c r="K61">
        <f>I61</f>
        <v>660</v>
      </c>
      <c r="L61"/>
      <c r="M61"/>
      <c r="N61"/>
      <c r="O61"/>
      <c r="P61"/>
      <c r="Q61"/>
      <c r="R61"/>
      <c r="S61"/>
      <c r="T61"/>
    </row>
    <row r="62" spans="1:20" ht="15" outlineLevel="2" thickTop="1" x14ac:dyDescent="0.3">
      <c r="A62" s="82" t="s">
        <v>233</v>
      </c>
      <c r="B62" s="62" t="s">
        <v>60</v>
      </c>
      <c r="C62" s="63" t="s">
        <v>234</v>
      </c>
      <c r="D62" s="116"/>
      <c r="E62" s="88"/>
      <c r="F62" s="88"/>
      <c r="G62" s="98"/>
      <c r="H62" s="88"/>
      <c r="I62" s="88">
        <f>SUBTOTAL(9,I25:I61)</f>
        <v>204997.4</v>
      </c>
      <c r="J62" s="109"/>
      <c r="K62"/>
      <c r="L62"/>
      <c r="M62"/>
      <c r="N62"/>
      <c r="O62"/>
      <c r="P62"/>
      <c r="Q62"/>
      <c r="R62"/>
      <c r="S62"/>
      <c r="T62"/>
    </row>
    <row r="63" spans="1:20" outlineLevel="2" x14ac:dyDescent="0.3">
      <c r="A63" s="82" t="s">
        <v>235</v>
      </c>
      <c r="B63" s="64" t="s">
        <v>236</v>
      </c>
      <c r="C63" s="65" t="s">
        <v>237</v>
      </c>
      <c r="D63" s="117"/>
      <c r="E63" s="87"/>
      <c r="F63" s="87"/>
      <c r="G63" s="97"/>
      <c r="H63" s="87"/>
      <c r="I63" s="104">
        <f>SUBTOTAL(9,K64:K83)</f>
        <v>576679.5</v>
      </c>
      <c r="J63" s="108"/>
      <c r="K63"/>
      <c r="L63"/>
      <c r="M63"/>
      <c r="N63"/>
      <c r="O63"/>
      <c r="P63"/>
      <c r="Q63"/>
      <c r="R63"/>
      <c r="S63"/>
      <c r="T63"/>
    </row>
    <row r="64" spans="1:20" outlineLevel="3" x14ac:dyDescent="0.3">
      <c r="A64" s="82" t="s">
        <v>238</v>
      </c>
      <c r="B64" s="10" t="s">
        <v>239</v>
      </c>
      <c r="C64" s="60" t="s">
        <v>240</v>
      </c>
      <c r="D64" s="44" t="s">
        <v>93</v>
      </c>
      <c r="E64" s="84">
        <v>1</v>
      </c>
      <c r="F64" s="84"/>
      <c r="G64" s="94">
        <f t="shared" ref="G64:G71" si="8">cell_CoefGeneral</f>
        <v>1</v>
      </c>
      <c r="H64" s="84">
        <v>36000</v>
      </c>
      <c r="I64" s="84">
        <f t="shared" ref="I64:I71" si="9">IFERROR(ROUND(E64*H64,2),"-")</f>
        <v>36000</v>
      </c>
      <c r="J64" s="105">
        <f t="shared" ref="J64:J71" si="10">IFERROR(I64/cell_Total_HT,"-")</f>
        <v>1.0628023174404538E-2</v>
      </c>
      <c r="K64">
        <f t="shared" ref="K64:K71" si="11">I64</f>
        <v>36000</v>
      </c>
      <c r="L64"/>
      <c r="M64"/>
      <c r="N64"/>
      <c r="O64"/>
      <c r="P64"/>
      <c r="Q64"/>
      <c r="R64"/>
      <c r="S64"/>
      <c r="T64"/>
    </row>
    <row r="65" spans="1:20" outlineLevel="3" x14ac:dyDescent="0.3">
      <c r="A65" s="82" t="s">
        <v>241</v>
      </c>
      <c r="B65" s="10" t="s">
        <v>242</v>
      </c>
      <c r="C65" s="60" t="s">
        <v>243</v>
      </c>
      <c r="D65" s="44" t="s">
        <v>141</v>
      </c>
      <c r="E65" s="84">
        <v>9498</v>
      </c>
      <c r="F65" s="84"/>
      <c r="G65" s="94">
        <f t="shared" si="8"/>
        <v>1</v>
      </c>
      <c r="H65" s="84">
        <v>8</v>
      </c>
      <c r="I65" s="84">
        <f t="shared" si="9"/>
        <v>75984</v>
      </c>
      <c r="J65" s="105">
        <f t="shared" si="10"/>
        <v>2.2432214246776511E-2</v>
      </c>
      <c r="K65">
        <f t="shared" si="11"/>
        <v>75984</v>
      </c>
      <c r="L65"/>
      <c r="M65"/>
      <c r="N65"/>
      <c r="O65"/>
      <c r="P65"/>
      <c r="Q65"/>
      <c r="R65"/>
      <c r="S65"/>
      <c r="T65"/>
    </row>
    <row r="66" spans="1:20" ht="28.8" outlineLevel="3" x14ac:dyDescent="0.3">
      <c r="A66" s="82" t="s">
        <v>244</v>
      </c>
      <c r="B66" s="10" t="s">
        <v>245</v>
      </c>
      <c r="C66" s="60" t="s">
        <v>246</v>
      </c>
      <c r="D66" s="44" t="s">
        <v>141</v>
      </c>
      <c r="E66" s="84">
        <v>11000</v>
      </c>
      <c r="F66" s="84"/>
      <c r="G66" s="94">
        <f t="shared" si="8"/>
        <v>1</v>
      </c>
      <c r="H66" s="84">
        <v>4.9000000000000004</v>
      </c>
      <c r="I66" s="84">
        <f t="shared" si="9"/>
        <v>53900</v>
      </c>
      <c r="J66" s="105">
        <f t="shared" si="10"/>
        <v>1.5912512475011239E-2</v>
      </c>
      <c r="K66">
        <f t="shared" si="11"/>
        <v>53900</v>
      </c>
      <c r="L66"/>
      <c r="M66"/>
      <c r="N66"/>
      <c r="O66"/>
      <c r="P66"/>
      <c r="Q66"/>
      <c r="R66"/>
      <c r="S66"/>
      <c r="T66"/>
    </row>
    <row r="67" spans="1:20" outlineLevel="3" x14ac:dyDescent="0.3">
      <c r="A67" s="82" t="s">
        <v>247</v>
      </c>
      <c r="B67" s="10" t="s">
        <v>248</v>
      </c>
      <c r="C67" s="60" t="s">
        <v>249</v>
      </c>
      <c r="D67" s="44" t="s">
        <v>141</v>
      </c>
      <c r="E67" s="84">
        <v>178</v>
      </c>
      <c r="F67" s="84"/>
      <c r="G67" s="94">
        <f t="shared" si="8"/>
        <v>1</v>
      </c>
      <c r="H67" s="84">
        <v>9</v>
      </c>
      <c r="I67" s="84">
        <f t="shared" si="9"/>
        <v>1602</v>
      </c>
      <c r="J67" s="105">
        <f t="shared" si="10"/>
        <v>4.7294703126100191E-4</v>
      </c>
      <c r="K67">
        <f t="shared" si="11"/>
        <v>1602</v>
      </c>
      <c r="L67"/>
      <c r="M67"/>
      <c r="N67"/>
      <c r="O67"/>
      <c r="P67"/>
      <c r="Q67"/>
      <c r="R67"/>
      <c r="S67"/>
      <c r="T67"/>
    </row>
    <row r="68" spans="1:20" outlineLevel="3" x14ac:dyDescent="0.3">
      <c r="A68" s="82" t="s">
        <v>250</v>
      </c>
      <c r="B68" s="10" t="s">
        <v>251</v>
      </c>
      <c r="C68" s="60" t="s">
        <v>252</v>
      </c>
      <c r="D68" s="44" t="s">
        <v>141</v>
      </c>
      <c r="E68" s="84">
        <v>520</v>
      </c>
      <c r="F68" s="84"/>
      <c r="G68" s="94">
        <f t="shared" si="8"/>
        <v>1</v>
      </c>
      <c r="H68" s="84">
        <v>10</v>
      </c>
      <c r="I68" s="84">
        <f t="shared" si="9"/>
        <v>5200</v>
      </c>
      <c r="J68" s="105">
        <f t="shared" si="10"/>
        <v>1.5351589029695444E-3</v>
      </c>
      <c r="K68">
        <f t="shared" si="11"/>
        <v>5200</v>
      </c>
      <c r="L68"/>
      <c r="M68"/>
      <c r="N68"/>
      <c r="O68"/>
      <c r="P68"/>
      <c r="Q68"/>
      <c r="R68"/>
      <c r="S68"/>
      <c r="T68"/>
    </row>
    <row r="69" spans="1:20" outlineLevel="3" x14ac:dyDescent="0.3">
      <c r="A69" s="82" t="s">
        <v>253</v>
      </c>
      <c r="B69" s="10" t="s">
        <v>254</v>
      </c>
      <c r="C69" s="60" t="s">
        <v>255</v>
      </c>
      <c r="D69" s="44" t="s">
        <v>141</v>
      </c>
      <c r="E69" s="84">
        <v>150</v>
      </c>
      <c r="F69" s="84"/>
      <c r="G69" s="94">
        <f t="shared" si="8"/>
        <v>1</v>
      </c>
      <c r="H69" s="84">
        <v>13</v>
      </c>
      <c r="I69" s="84">
        <f t="shared" si="9"/>
        <v>1950</v>
      </c>
      <c r="J69" s="105">
        <f t="shared" si="10"/>
        <v>5.7568458861357913E-4</v>
      </c>
      <c r="K69">
        <f t="shared" si="11"/>
        <v>1950</v>
      </c>
      <c r="L69"/>
      <c r="M69"/>
      <c r="N69"/>
      <c r="O69"/>
      <c r="P69"/>
      <c r="Q69"/>
      <c r="R69"/>
      <c r="S69"/>
      <c r="T69"/>
    </row>
    <row r="70" spans="1:20" outlineLevel="3" x14ac:dyDescent="0.3">
      <c r="A70" s="82" t="s">
        <v>256</v>
      </c>
      <c r="B70" s="10" t="s">
        <v>257</v>
      </c>
      <c r="C70" s="60" t="s">
        <v>258</v>
      </c>
      <c r="D70" s="44" t="s">
        <v>141</v>
      </c>
      <c r="E70" s="84">
        <v>442</v>
      </c>
      <c r="F70" s="84"/>
      <c r="G70" s="94">
        <f t="shared" si="8"/>
        <v>1</v>
      </c>
      <c r="H70" s="84">
        <v>11</v>
      </c>
      <c r="I70" s="84">
        <f t="shared" si="9"/>
        <v>4862</v>
      </c>
      <c r="J70" s="105">
        <f t="shared" si="10"/>
        <v>1.4353735742765239E-3</v>
      </c>
      <c r="K70">
        <f t="shared" si="11"/>
        <v>4862</v>
      </c>
      <c r="L70"/>
      <c r="M70"/>
      <c r="N70"/>
      <c r="O70"/>
      <c r="P70"/>
      <c r="Q70"/>
      <c r="R70"/>
      <c r="S70"/>
      <c r="T70"/>
    </row>
    <row r="71" spans="1:20" outlineLevel="3" x14ac:dyDescent="0.3">
      <c r="A71" s="82" t="s">
        <v>259</v>
      </c>
      <c r="B71" s="10" t="s">
        <v>260</v>
      </c>
      <c r="C71" s="60" t="s">
        <v>261</v>
      </c>
      <c r="D71" s="44" t="s">
        <v>141</v>
      </c>
      <c r="E71" s="84">
        <v>0</v>
      </c>
      <c r="F71" s="84"/>
      <c r="G71" s="94">
        <f t="shared" si="8"/>
        <v>1</v>
      </c>
      <c r="H71" s="84">
        <v>7.5</v>
      </c>
      <c r="I71" s="84">
        <f t="shared" si="9"/>
        <v>0</v>
      </c>
      <c r="J71" s="105">
        <f t="shared" si="10"/>
        <v>0</v>
      </c>
      <c r="K71">
        <f t="shared" si="11"/>
        <v>0</v>
      </c>
      <c r="L71"/>
      <c r="M71"/>
      <c r="N71"/>
      <c r="O71"/>
      <c r="P71"/>
      <c r="Q71"/>
      <c r="R71"/>
      <c r="S71"/>
      <c r="T71"/>
    </row>
    <row r="72" spans="1:20" outlineLevel="3" x14ac:dyDescent="0.3">
      <c r="A72" s="82" t="s">
        <v>262</v>
      </c>
      <c r="B72" s="58" t="s">
        <v>263</v>
      </c>
      <c r="C72" s="61" t="s">
        <v>264</v>
      </c>
      <c r="D72" s="115"/>
      <c r="E72" s="87"/>
      <c r="F72" s="87"/>
      <c r="G72" s="97"/>
      <c r="H72" s="87" t="s">
        <v>60</v>
      </c>
      <c r="I72" s="104">
        <f>SUBTOTAL(9,K73:K77)</f>
        <v>308970</v>
      </c>
      <c r="J72" s="108"/>
      <c r="K72"/>
      <c r="L72"/>
      <c r="M72"/>
      <c r="N72"/>
      <c r="O72"/>
      <c r="P72"/>
      <c r="Q72"/>
      <c r="R72"/>
      <c r="S72"/>
      <c r="T72"/>
    </row>
    <row r="73" spans="1:20" outlineLevel="4" x14ac:dyDescent="0.3">
      <c r="A73" s="82" t="s">
        <v>265</v>
      </c>
      <c r="B73" s="10" t="s">
        <v>266</v>
      </c>
      <c r="C73" s="60" t="s">
        <v>267</v>
      </c>
      <c r="D73" s="44" t="s">
        <v>268</v>
      </c>
      <c r="E73" s="84">
        <v>7326</v>
      </c>
      <c r="F73" s="84"/>
      <c r="G73" s="94">
        <f t="shared" ref="G73:G83" si="12">cell_CoefGeneral</f>
        <v>1</v>
      </c>
      <c r="H73" s="84">
        <v>11</v>
      </c>
      <c r="I73" s="84">
        <f t="shared" ref="I73:I83" si="13">IFERROR(ROUND(E73*H73,2),"-")</f>
        <v>80586</v>
      </c>
      <c r="J73" s="105">
        <f t="shared" ref="J73:J83" si="14">IFERROR(I73/cell_Total_HT,"-")</f>
        <v>2.3790829875904557E-2</v>
      </c>
      <c r="K73">
        <f t="shared" ref="K73:K83" si="15">I73</f>
        <v>80586</v>
      </c>
      <c r="L73"/>
      <c r="M73"/>
      <c r="N73"/>
      <c r="O73"/>
      <c r="P73"/>
      <c r="Q73"/>
      <c r="R73"/>
      <c r="S73"/>
      <c r="T73"/>
    </row>
    <row r="74" spans="1:20" outlineLevel="4" x14ac:dyDescent="0.3">
      <c r="A74" s="82" t="s">
        <v>269</v>
      </c>
      <c r="B74" s="10" t="s">
        <v>270</v>
      </c>
      <c r="C74" s="60" t="s">
        <v>271</v>
      </c>
      <c r="D74" s="44" t="s">
        <v>268</v>
      </c>
      <c r="E74" s="84">
        <v>1723</v>
      </c>
      <c r="F74" s="84"/>
      <c r="G74" s="94">
        <f t="shared" si="12"/>
        <v>1</v>
      </c>
      <c r="H74" s="84">
        <v>46</v>
      </c>
      <c r="I74" s="84">
        <f t="shared" si="13"/>
        <v>79258</v>
      </c>
      <c r="J74" s="105">
        <f t="shared" si="14"/>
        <v>2.3398773909915412E-2</v>
      </c>
      <c r="K74">
        <f t="shared" si="15"/>
        <v>79258</v>
      </c>
      <c r="L74"/>
      <c r="M74"/>
      <c r="N74"/>
      <c r="O74"/>
      <c r="P74"/>
      <c r="Q74"/>
      <c r="R74"/>
      <c r="S74"/>
      <c r="T74"/>
    </row>
    <row r="75" spans="1:20" outlineLevel="4" x14ac:dyDescent="0.3">
      <c r="A75" s="82" t="s">
        <v>272</v>
      </c>
      <c r="B75" s="10" t="s">
        <v>273</v>
      </c>
      <c r="C75" s="60" t="s">
        <v>274</v>
      </c>
      <c r="D75" s="44" t="s">
        <v>268</v>
      </c>
      <c r="E75" s="84">
        <v>1505</v>
      </c>
      <c r="F75" s="84"/>
      <c r="G75" s="94">
        <f t="shared" si="12"/>
        <v>1</v>
      </c>
      <c r="H75" s="84">
        <v>56</v>
      </c>
      <c r="I75" s="84">
        <f t="shared" si="13"/>
        <v>84280</v>
      </c>
      <c r="J75" s="105">
        <f t="shared" si="14"/>
        <v>2.4881383142744844E-2</v>
      </c>
      <c r="K75">
        <f t="shared" si="15"/>
        <v>84280</v>
      </c>
      <c r="L75"/>
      <c r="M75"/>
      <c r="N75"/>
      <c r="O75"/>
      <c r="P75"/>
      <c r="Q75"/>
      <c r="R75"/>
      <c r="S75"/>
      <c r="T75"/>
    </row>
    <row r="76" spans="1:20" outlineLevel="4" x14ac:dyDescent="0.3">
      <c r="A76" s="82" t="s">
        <v>275</v>
      </c>
      <c r="B76" s="10" t="s">
        <v>276</v>
      </c>
      <c r="C76" s="60" t="s">
        <v>277</v>
      </c>
      <c r="D76" s="44" t="s">
        <v>268</v>
      </c>
      <c r="E76" s="84">
        <v>277</v>
      </c>
      <c r="F76" s="84"/>
      <c r="G76" s="94">
        <f t="shared" si="12"/>
        <v>1</v>
      </c>
      <c r="H76" s="84">
        <v>150</v>
      </c>
      <c r="I76" s="84">
        <f t="shared" si="13"/>
        <v>41550</v>
      </c>
      <c r="J76" s="105">
        <f t="shared" si="14"/>
        <v>1.226651008045857E-2</v>
      </c>
      <c r="K76">
        <f t="shared" si="15"/>
        <v>41550</v>
      </c>
      <c r="L76"/>
      <c r="M76"/>
      <c r="N76"/>
      <c r="O76"/>
      <c r="P76"/>
      <c r="Q76"/>
      <c r="R76"/>
      <c r="S76"/>
      <c r="T76"/>
    </row>
    <row r="77" spans="1:20" outlineLevel="4" x14ac:dyDescent="0.3">
      <c r="A77" s="82" t="s">
        <v>278</v>
      </c>
      <c r="B77" s="10" t="s">
        <v>279</v>
      </c>
      <c r="C77" s="60" t="s">
        <v>280</v>
      </c>
      <c r="D77" s="44" t="s">
        <v>268</v>
      </c>
      <c r="E77" s="84">
        <v>416</v>
      </c>
      <c r="F77" s="84"/>
      <c r="G77" s="94">
        <f t="shared" si="12"/>
        <v>1</v>
      </c>
      <c r="H77" s="84">
        <v>56</v>
      </c>
      <c r="I77" s="84">
        <f t="shared" si="13"/>
        <v>23296</v>
      </c>
      <c r="J77" s="105">
        <f t="shared" si="14"/>
        <v>6.877511885303559E-3</v>
      </c>
      <c r="K77">
        <f t="shared" si="15"/>
        <v>23296</v>
      </c>
      <c r="L77"/>
      <c r="M77"/>
      <c r="N77"/>
      <c r="O77"/>
      <c r="P77"/>
      <c r="Q77"/>
      <c r="R77"/>
      <c r="S77"/>
      <c r="T77"/>
    </row>
    <row r="78" spans="1:20" outlineLevel="3" x14ac:dyDescent="0.3">
      <c r="A78" s="82" t="s">
        <v>281</v>
      </c>
      <c r="B78" s="10" t="s">
        <v>282</v>
      </c>
      <c r="C78" s="60" t="s">
        <v>283</v>
      </c>
      <c r="D78" s="44" t="s">
        <v>128</v>
      </c>
      <c r="E78" s="84">
        <v>4175</v>
      </c>
      <c r="F78" s="84"/>
      <c r="G78" s="94">
        <f t="shared" si="12"/>
        <v>1</v>
      </c>
      <c r="H78" s="84">
        <v>1.7</v>
      </c>
      <c r="I78" s="84">
        <f t="shared" si="13"/>
        <v>7097.5</v>
      </c>
      <c r="J78" s="105">
        <f t="shared" si="14"/>
        <v>2.0953442911204501E-3</v>
      </c>
      <c r="K78">
        <f t="shared" si="15"/>
        <v>7097.5</v>
      </c>
      <c r="L78"/>
      <c r="M78"/>
      <c r="N78"/>
      <c r="O78"/>
      <c r="P78"/>
      <c r="Q78"/>
      <c r="R78"/>
      <c r="S78"/>
      <c r="T78"/>
    </row>
    <row r="79" spans="1:20" outlineLevel="3" x14ac:dyDescent="0.3">
      <c r="A79" s="82" t="s">
        <v>284</v>
      </c>
      <c r="B79" s="10" t="s">
        <v>285</v>
      </c>
      <c r="C79" s="60" t="s">
        <v>286</v>
      </c>
      <c r="D79" s="44" t="s">
        <v>141</v>
      </c>
      <c r="E79" s="84">
        <v>1049</v>
      </c>
      <c r="F79" s="84"/>
      <c r="G79" s="94">
        <f t="shared" si="12"/>
        <v>1</v>
      </c>
      <c r="H79" s="84">
        <v>13</v>
      </c>
      <c r="I79" s="84">
        <f t="shared" si="13"/>
        <v>13637</v>
      </c>
      <c r="J79" s="105">
        <f t="shared" si="14"/>
        <v>4.02595422303763E-3</v>
      </c>
      <c r="K79">
        <f t="shared" si="15"/>
        <v>13637</v>
      </c>
      <c r="L79"/>
      <c r="M79"/>
      <c r="N79"/>
      <c r="O79"/>
      <c r="P79"/>
      <c r="Q79"/>
      <c r="R79"/>
      <c r="S79"/>
      <c r="T79"/>
    </row>
    <row r="80" spans="1:20" outlineLevel="3" x14ac:dyDescent="0.3">
      <c r="A80" s="82" t="s">
        <v>287</v>
      </c>
      <c r="B80" s="10" t="s">
        <v>288</v>
      </c>
      <c r="C80" s="60" t="s">
        <v>289</v>
      </c>
      <c r="D80" s="44" t="s">
        <v>141</v>
      </c>
      <c r="E80" s="84">
        <v>990</v>
      </c>
      <c r="F80" s="84"/>
      <c r="G80" s="94">
        <f t="shared" si="12"/>
        <v>1</v>
      </c>
      <c r="H80" s="84">
        <v>14</v>
      </c>
      <c r="I80" s="84">
        <f t="shared" si="13"/>
        <v>13860</v>
      </c>
      <c r="J80" s="105">
        <f t="shared" si="14"/>
        <v>4.0917889221457468E-3</v>
      </c>
      <c r="K80">
        <f t="shared" si="15"/>
        <v>13860</v>
      </c>
      <c r="L80"/>
      <c r="M80"/>
      <c r="N80"/>
      <c r="O80"/>
      <c r="P80"/>
      <c r="Q80"/>
      <c r="R80"/>
      <c r="S80"/>
      <c r="T80"/>
    </row>
    <row r="81" spans="1:20" outlineLevel="3" x14ac:dyDescent="0.3">
      <c r="A81" s="82" t="s">
        <v>290</v>
      </c>
      <c r="B81" s="10" t="s">
        <v>291</v>
      </c>
      <c r="C81" s="60" t="s">
        <v>292</v>
      </c>
      <c r="D81" s="44" t="s">
        <v>141</v>
      </c>
      <c r="E81" s="84">
        <v>1049</v>
      </c>
      <c r="F81" s="84"/>
      <c r="G81" s="94">
        <f t="shared" si="12"/>
        <v>1</v>
      </c>
      <c r="H81" s="84">
        <v>29</v>
      </c>
      <c r="I81" s="84">
        <f t="shared" si="13"/>
        <v>30421</v>
      </c>
      <c r="J81" s="105">
        <f t="shared" si="14"/>
        <v>8.9809748052377906E-3</v>
      </c>
      <c r="K81">
        <f t="shared" si="15"/>
        <v>30421</v>
      </c>
      <c r="L81"/>
      <c r="M81"/>
      <c r="N81"/>
      <c r="O81"/>
      <c r="P81"/>
      <c r="Q81"/>
      <c r="R81"/>
      <c r="S81"/>
      <c r="T81"/>
    </row>
    <row r="82" spans="1:20" ht="28.8" outlineLevel="3" x14ac:dyDescent="0.3">
      <c r="A82" s="82" t="s">
        <v>293</v>
      </c>
      <c r="B82" s="10" t="s">
        <v>294</v>
      </c>
      <c r="C82" s="60" t="s">
        <v>295</v>
      </c>
      <c r="D82" s="44" t="s">
        <v>141</v>
      </c>
      <c r="E82" s="84">
        <v>442</v>
      </c>
      <c r="F82" s="84"/>
      <c r="G82" s="94">
        <f t="shared" si="12"/>
        <v>1</v>
      </c>
      <c r="H82" s="84">
        <v>38</v>
      </c>
      <c r="I82" s="84">
        <f t="shared" si="13"/>
        <v>16796</v>
      </c>
      <c r="J82" s="105">
        <f t="shared" si="14"/>
        <v>4.9585632565916282E-3</v>
      </c>
      <c r="K82">
        <f t="shared" si="15"/>
        <v>16796</v>
      </c>
      <c r="L82"/>
      <c r="M82"/>
      <c r="N82"/>
      <c r="O82"/>
      <c r="P82"/>
      <c r="Q82"/>
      <c r="R82"/>
      <c r="S82"/>
      <c r="T82"/>
    </row>
    <row r="83" spans="1:20" ht="15" outlineLevel="3" thickBot="1" x14ac:dyDescent="0.35">
      <c r="A83" s="82" t="s">
        <v>296</v>
      </c>
      <c r="B83" s="10" t="s">
        <v>297</v>
      </c>
      <c r="C83" s="60" t="s">
        <v>298</v>
      </c>
      <c r="D83" s="44" t="s">
        <v>121</v>
      </c>
      <c r="E83" s="84">
        <v>40</v>
      </c>
      <c r="F83" s="84"/>
      <c r="G83" s="94">
        <f t="shared" si="12"/>
        <v>1</v>
      </c>
      <c r="H83" s="84">
        <v>160</v>
      </c>
      <c r="I83" s="84">
        <f t="shared" si="13"/>
        <v>6400</v>
      </c>
      <c r="J83" s="105">
        <f t="shared" si="14"/>
        <v>1.8894263421163622E-3</v>
      </c>
      <c r="K83">
        <f t="shared" si="15"/>
        <v>6400</v>
      </c>
      <c r="L83"/>
      <c r="M83"/>
      <c r="N83"/>
      <c r="O83"/>
      <c r="P83"/>
      <c r="Q83"/>
      <c r="R83"/>
      <c r="S83"/>
      <c r="T83"/>
    </row>
    <row r="84" spans="1:20" ht="15" outlineLevel="2" thickTop="1" x14ac:dyDescent="0.3">
      <c r="A84" s="82" t="s">
        <v>299</v>
      </c>
      <c r="B84" s="62" t="s">
        <v>60</v>
      </c>
      <c r="C84" s="63" t="s">
        <v>300</v>
      </c>
      <c r="D84" s="116"/>
      <c r="E84" s="88"/>
      <c r="F84" s="88"/>
      <c r="G84" s="98"/>
      <c r="H84" s="88"/>
      <c r="I84" s="88">
        <f>SUBTOTAL(9,I64:I83)</f>
        <v>576679.5</v>
      </c>
      <c r="J84" s="109"/>
      <c r="K84"/>
      <c r="L84"/>
      <c r="M84"/>
      <c r="N84"/>
      <c r="O84"/>
      <c r="P84"/>
      <c r="Q84"/>
      <c r="R84"/>
      <c r="S84"/>
      <c r="T84"/>
    </row>
    <row r="85" spans="1:20" outlineLevel="2" x14ac:dyDescent="0.3">
      <c r="A85" s="82" t="s">
        <v>301</v>
      </c>
      <c r="B85" s="64" t="s">
        <v>302</v>
      </c>
      <c r="C85" s="65" t="s">
        <v>303</v>
      </c>
      <c r="D85" s="117"/>
      <c r="E85" s="87"/>
      <c r="F85" s="87"/>
      <c r="G85" s="97"/>
      <c r="H85" s="87"/>
      <c r="I85" s="104">
        <f>SUBTOTAL(9,K86:K139)</f>
        <v>425887</v>
      </c>
      <c r="J85" s="108"/>
      <c r="K85"/>
      <c r="L85"/>
      <c r="M85"/>
      <c r="N85"/>
      <c r="O85"/>
      <c r="P85"/>
      <c r="Q85"/>
      <c r="R85"/>
      <c r="S85"/>
      <c r="T85"/>
    </row>
    <row r="86" spans="1:20" outlineLevel="3" x14ac:dyDescent="0.3">
      <c r="A86" s="82" t="s">
        <v>304</v>
      </c>
      <c r="B86" s="64" t="s">
        <v>305</v>
      </c>
      <c r="C86" s="66" t="s">
        <v>306</v>
      </c>
      <c r="D86" s="117"/>
      <c r="E86" s="87"/>
      <c r="F86" s="87"/>
      <c r="G86" s="97"/>
      <c r="H86" s="87"/>
      <c r="I86" s="104">
        <f>SUBTOTAL(9,K87:K90)</f>
        <v>0</v>
      </c>
      <c r="J86" s="108"/>
      <c r="K86"/>
      <c r="L86"/>
      <c r="M86"/>
      <c r="N86"/>
      <c r="O86"/>
      <c r="P86"/>
      <c r="Q86"/>
      <c r="R86"/>
      <c r="S86"/>
      <c r="T86"/>
    </row>
    <row r="87" spans="1:20" outlineLevel="4" x14ac:dyDescent="0.3">
      <c r="A87" s="82" t="s">
        <v>307</v>
      </c>
      <c r="B87" s="10" t="s">
        <v>308</v>
      </c>
      <c r="C87" s="60" t="s">
        <v>309</v>
      </c>
      <c r="D87" s="44" t="s">
        <v>154</v>
      </c>
      <c r="E87" s="84">
        <v>0</v>
      </c>
      <c r="F87" s="84"/>
      <c r="G87" s="94">
        <f>cell_CoefGeneral</f>
        <v>1</v>
      </c>
      <c r="H87" s="84">
        <v>1.8</v>
      </c>
      <c r="I87" s="84">
        <f>IFERROR(ROUND(E87*H87,2),"-")</f>
        <v>0</v>
      </c>
      <c r="J87" s="105">
        <f>IFERROR(I87/cell_Total_HT,"-")</f>
        <v>0</v>
      </c>
      <c r="K87">
        <f>I87</f>
        <v>0</v>
      </c>
      <c r="L87"/>
      <c r="M87"/>
      <c r="N87"/>
      <c r="O87"/>
      <c r="P87"/>
      <c r="Q87"/>
      <c r="R87"/>
      <c r="S87"/>
      <c r="T87"/>
    </row>
    <row r="88" spans="1:20" ht="28.8" outlineLevel="4" x14ac:dyDescent="0.3">
      <c r="A88" s="82" t="s">
        <v>310</v>
      </c>
      <c r="B88" s="10" t="s">
        <v>311</v>
      </c>
      <c r="C88" s="60" t="s">
        <v>312</v>
      </c>
      <c r="D88" s="44" t="s">
        <v>268</v>
      </c>
      <c r="E88" s="84">
        <v>0</v>
      </c>
      <c r="F88" s="84"/>
      <c r="G88" s="94">
        <f>cell_CoefGeneral</f>
        <v>1</v>
      </c>
      <c r="H88" s="84">
        <v>83</v>
      </c>
      <c r="I88" s="84">
        <f>IFERROR(ROUND(E88*H88,2),"-")</f>
        <v>0</v>
      </c>
      <c r="J88" s="105">
        <f>IFERROR(I88/cell_Total_HT,"-")</f>
        <v>0</v>
      </c>
      <c r="K88">
        <f>I88</f>
        <v>0</v>
      </c>
      <c r="L88"/>
      <c r="M88"/>
      <c r="N88"/>
      <c r="O88"/>
      <c r="P88"/>
      <c r="Q88"/>
      <c r="R88"/>
      <c r="S88"/>
      <c r="T88"/>
    </row>
    <row r="89" spans="1:20" outlineLevel="4" x14ac:dyDescent="0.3">
      <c r="A89" s="82" t="s">
        <v>313</v>
      </c>
      <c r="B89" s="10" t="s">
        <v>314</v>
      </c>
      <c r="C89" s="60" t="s">
        <v>315</v>
      </c>
      <c r="D89" s="44" t="s">
        <v>154</v>
      </c>
      <c r="E89" s="84">
        <v>0</v>
      </c>
      <c r="F89" s="84"/>
      <c r="G89" s="94">
        <f>cell_CoefGeneral</f>
        <v>1</v>
      </c>
      <c r="H89" s="84">
        <v>0.9</v>
      </c>
      <c r="I89" s="84">
        <f>IFERROR(ROUND(E89*H89,2),"-")</f>
        <v>0</v>
      </c>
      <c r="J89" s="105">
        <f>IFERROR(I89/cell_Total_HT,"-")</f>
        <v>0</v>
      </c>
      <c r="K89">
        <f>I89</f>
        <v>0</v>
      </c>
      <c r="L89"/>
      <c r="M89"/>
      <c r="N89"/>
      <c r="O89"/>
      <c r="P89"/>
      <c r="Q89"/>
      <c r="R89"/>
      <c r="S89"/>
      <c r="T89"/>
    </row>
    <row r="90" spans="1:20" outlineLevel="4" x14ac:dyDescent="0.3">
      <c r="A90" s="82" t="s">
        <v>316</v>
      </c>
      <c r="B90" s="10" t="s">
        <v>317</v>
      </c>
      <c r="C90" s="60" t="s">
        <v>318</v>
      </c>
      <c r="D90" s="44" t="s">
        <v>268</v>
      </c>
      <c r="E90" s="84">
        <v>0</v>
      </c>
      <c r="F90" s="84"/>
      <c r="G90" s="94">
        <f>cell_CoefGeneral</f>
        <v>1</v>
      </c>
      <c r="H90" s="84">
        <v>100</v>
      </c>
      <c r="I90" s="84">
        <f>IFERROR(ROUND(E90*H90,2),"-")</f>
        <v>0</v>
      </c>
      <c r="J90" s="105">
        <f>IFERROR(I90/cell_Total_HT,"-")</f>
        <v>0</v>
      </c>
      <c r="K90">
        <f>I90</f>
        <v>0</v>
      </c>
      <c r="L90"/>
      <c r="M90"/>
      <c r="N90"/>
      <c r="O90"/>
      <c r="P90"/>
      <c r="Q90"/>
      <c r="R90"/>
      <c r="S90"/>
      <c r="T90"/>
    </row>
    <row r="91" spans="1:20" outlineLevel="3" x14ac:dyDescent="0.3">
      <c r="A91" s="82" t="s">
        <v>319</v>
      </c>
      <c r="B91" s="58" t="s">
        <v>320</v>
      </c>
      <c r="C91" s="61" t="s">
        <v>321</v>
      </c>
      <c r="D91" s="115"/>
      <c r="E91" s="87"/>
      <c r="F91" s="87"/>
      <c r="G91" s="97"/>
      <c r="H91" s="87" t="s">
        <v>60</v>
      </c>
      <c r="I91" s="104">
        <f>SUBTOTAL(9,K92:K93)</f>
        <v>0</v>
      </c>
      <c r="J91" s="108"/>
      <c r="K91"/>
      <c r="L91"/>
      <c r="M91"/>
      <c r="N91"/>
      <c r="O91"/>
      <c r="P91"/>
      <c r="Q91"/>
      <c r="R91"/>
      <c r="S91"/>
      <c r="T91"/>
    </row>
    <row r="92" spans="1:20" outlineLevel="4" x14ac:dyDescent="0.3">
      <c r="A92" s="82" t="s">
        <v>322</v>
      </c>
      <c r="B92" s="10" t="s">
        <v>323</v>
      </c>
      <c r="C92" s="60" t="s">
        <v>309</v>
      </c>
      <c r="D92" s="44" t="s">
        <v>154</v>
      </c>
      <c r="E92" s="84">
        <v>0</v>
      </c>
      <c r="F92" s="84"/>
      <c r="G92" s="94">
        <f>cell_CoefGeneral</f>
        <v>1</v>
      </c>
      <c r="H92" s="84">
        <v>2.2999999999999998</v>
      </c>
      <c r="I92" s="84">
        <f>IFERROR(ROUND(E92*H92,2),"-")</f>
        <v>0</v>
      </c>
      <c r="J92" s="105">
        <f>IFERROR(I92/cell_Total_HT,"-")</f>
        <v>0</v>
      </c>
      <c r="K92">
        <f>I92</f>
        <v>0</v>
      </c>
      <c r="L92"/>
      <c r="M92"/>
      <c r="N92"/>
      <c r="O92"/>
      <c r="P92"/>
      <c r="Q92"/>
      <c r="R92"/>
      <c r="S92"/>
      <c r="T92"/>
    </row>
    <row r="93" spans="1:20" outlineLevel="4" x14ac:dyDescent="0.3">
      <c r="A93" s="82" t="s">
        <v>324</v>
      </c>
      <c r="B93" s="10" t="s">
        <v>325</v>
      </c>
      <c r="C93" s="60" t="s">
        <v>326</v>
      </c>
      <c r="D93" s="44" t="s">
        <v>268</v>
      </c>
      <c r="E93" s="84">
        <v>0</v>
      </c>
      <c r="F93" s="84"/>
      <c r="G93" s="94">
        <f>cell_CoefGeneral</f>
        <v>1</v>
      </c>
      <c r="H93" s="84">
        <v>120</v>
      </c>
      <c r="I93" s="84">
        <f>IFERROR(ROUND(E93*H93,2),"-")</f>
        <v>0</v>
      </c>
      <c r="J93" s="105">
        <f>IFERROR(I93/cell_Total_HT,"-")</f>
        <v>0</v>
      </c>
      <c r="K93">
        <f>I93</f>
        <v>0</v>
      </c>
      <c r="L93"/>
      <c r="M93"/>
      <c r="N93"/>
      <c r="O93"/>
      <c r="P93"/>
      <c r="Q93"/>
      <c r="R93"/>
      <c r="S93"/>
      <c r="T93"/>
    </row>
    <row r="94" spans="1:20" outlineLevel="3" x14ac:dyDescent="0.3">
      <c r="A94" s="82" t="s">
        <v>327</v>
      </c>
      <c r="B94" s="58" t="s">
        <v>328</v>
      </c>
      <c r="C94" s="61" t="s">
        <v>329</v>
      </c>
      <c r="D94" s="115"/>
      <c r="E94" s="87"/>
      <c r="F94" s="87"/>
      <c r="G94" s="97"/>
      <c r="H94" s="87" t="s">
        <v>60</v>
      </c>
      <c r="I94" s="104">
        <f>SUBTOTAL(9,K95:K96)</f>
        <v>108068</v>
      </c>
      <c r="J94" s="108"/>
      <c r="K94"/>
      <c r="L94"/>
      <c r="M94"/>
      <c r="N94"/>
      <c r="O94"/>
      <c r="P94"/>
      <c r="Q94"/>
      <c r="R94"/>
      <c r="S94"/>
      <c r="T94"/>
    </row>
    <row r="95" spans="1:20" outlineLevel="4" x14ac:dyDescent="0.3">
      <c r="A95" s="82" t="s">
        <v>330</v>
      </c>
      <c r="B95" s="10" t="s">
        <v>331</v>
      </c>
      <c r="C95" s="60" t="s">
        <v>332</v>
      </c>
      <c r="D95" s="44" t="s">
        <v>154</v>
      </c>
      <c r="E95" s="84">
        <v>1283</v>
      </c>
      <c r="F95" s="84"/>
      <c r="G95" s="94">
        <f>cell_CoefGeneral</f>
        <v>1</v>
      </c>
      <c r="H95" s="84">
        <v>76</v>
      </c>
      <c r="I95" s="84">
        <f>IFERROR(ROUND(E95*H95,2),"-")</f>
        <v>97508</v>
      </c>
      <c r="J95" s="105">
        <f>IFERROR(I95/cell_Total_HT,"-")</f>
        <v>2.8786591213606601E-2</v>
      </c>
      <c r="K95">
        <f>I95</f>
        <v>97508</v>
      </c>
      <c r="L95"/>
      <c r="M95"/>
      <c r="N95"/>
      <c r="O95"/>
      <c r="P95"/>
      <c r="Q95"/>
      <c r="R95"/>
      <c r="S95"/>
      <c r="T95"/>
    </row>
    <row r="96" spans="1:20" outlineLevel="4" x14ac:dyDescent="0.3">
      <c r="A96" s="82" t="s">
        <v>333</v>
      </c>
      <c r="B96" s="10" t="s">
        <v>334</v>
      </c>
      <c r="C96" s="60" t="s">
        <v>335</v>
      </c>
      <c r="D96" s="44" t="s">
        <v>80</v>
      </c>
      <c r="E96" s="84">
        <v>176</v>
      </c>
      <c r="F96" s="84"/>
      <c r="G96" s="94">
        <f>cell_CoefGeneral</f>
        <v>1</v>
      </c>
      <c r="H96" s="84">
        <v>60</v>
      </c>
      <c r="I96" s="84">
        <f>IFERROR(ROUND(E96*H96,2),"-")</f>
        <v>10560</v>
      </c>
      <c r="J96" s="105">
        <f>IFERROR(I96/cell_Total_HT,"-")</f>
        <v>3.1175534644919977E-3</v>
      </c>
      <c r="K96">
        <f>I96</f>
        <v>10560</v>
      </c>
      <c r="L96"/>
      <c r="M96"/>
      <c r="N96"/>
      <c r="O96"/>
      <c r="P96"/>
      <c r="Q96"/>
      <c r="R96"/>
      <c r="S96"/>
      <c r="T96"/>
    </row>
    <row r="97" spans="1:20" outlineLevel="3" x14ac:dyDescent="0.3">
      <c r="A97" s="82" t="s">
        <v>336</v>
      </c>
      <c r="B97" s="58" t="s">
        <v>337</v>
      </c>
      <c r="C97" s="61" t="s">
        <v>338</v>
      </c>
      <c r="D97" s="115"/>
      <c r="E97" s="87"/>
      <c r="F97" s="87"/>
      <c r="G97" s="97"/>
      <c r="H97" s="87" t="s">
        <v>60</v>
      </c>
      <c r="I97" s="104">
        <f>SUBTOTAL(9,K98:K98)</f>
        <v>0</v>
      </c>
      <c r="J97" s="108"/>
      <c r="K97"/>
      <c r="L97"/>
      <c r="M97"/>
      <c r="N97"/>
      <c r="O97"/>
      <c r="P97"/>
      <c r="Q97"/>
      <c r="R97"/>
      <c r="S97"/>
      <c r="T97"/>
    </row>
    <row r="98" spans="1:20" outlineLevel="4" x14ac:dyDescent="0.3">
      <c r="A98" s="82" t="s">
        <v>339</v>
      </c>
      <c r="B98" s="10" t="s">
        <v>340</v>
      </c>
      <c r="C98" s="60" t="s">
        <v>332</v>
      </c>
      <c r="D98" s="44" t="s">
        <v>154</v>
      </c>
      <c r="E98" s="84">
        <v>0</v>
      </c>
      <c r="F98" s="84"/>
      <c r="G98" s="94">
        <f>cell_CoefGeneral</f>
        <v>1</v>
      </c>
      <c r="H98" s="84">
        <v>76</v>
      </c>
      <c r="I98" s="84">
        <f>IFERROR(ROUND(E98*H98,2),"-")</f>
        <v>0</v>
      </c>
      <c r="J98" s="105">
        <f>IFERROR(I98/cell_Total_HT,"-")</f>
        <v>0</v>
      </c>
      <c r="K98">
        <f>I98</f>
        <v>0</v>
      </c>
      <c r="L98"/>
      <c r="M98"/>
      <c r="N98"/>
      <c r="O98"/>
      <c r="P98"/>
      <c r="Q98"/>
      <c r="R98"/>
      <c r="S98"/>
      <c r="T98"/>
    </row>
    <row r="99" spans="1:20" outlineLevel="3" x14ac:dyDescent="0.3">
      <c r="A99" s="82" t="s">
        <v>341</v>
      </c>
      <c r="B99" s="58" t="s">
        <v>342</v>
      </c>
      <c r="C99" s="61" t="s">
        <v>343</v>
      </c>
      <c r="D99" s="115"/>
      <c r="E99" s="87"/>
      <c r="F99" s="87"/>
      <c r="G99" s="97"/>
      <c r="H99" s="87" t="s">
        <v>60</v>
      </c>
      <c r="I99" s="104">
        <f>SUBTOTAL(9,K100:K100)</f>
        <v>159732</v>
      </c>
      <c r="J99" s="108"/>
      <c r="K99"/>
      <c r="L99"/>
      <c r="M99"/>
      <c r="N99"/>
      <c r="O99"/>
      <c r="P99"/>
      <c r="Q99"/>
      <c r="R99"/>
      <c r="S99"/>
      <c r="T99"/>
    </row>
    <row r="100" spans="1:20" outlineLevel="4" x14ac:dyDescent="0.3">
      <c r="A100" s="82" t="s">
        <v>344</v>
      </c>
      <c r="B100" s="10" t="s">
        <v>345</v>
      </c>
      <c r="C100" s="60" t="s">
        <v>346</v>
      </c>
      <c r="D100" s="44" t="s">
        <v>154</v>
      </c>
      <c r="E100" s="84">
        <v>2349</v>
      </c>
      <c r="F100" s="84"/>
      <c r="G100" s="94">
        <f>cell_CoefGeneral</f>
        <v>1</v>
      </c>
      <c r="H100" s="84">
        <v>68</v>
      </c>
      <c r="I100" s="84">
        <f>IFERROR(ROUND(E100*H100,2),"-")</f>
        <v>159732</v>
      </c>
      <c r="J100" s="105">
        <f>IFERROR(I100/cell_Total_HT,"-")</f>
        <v>4.7156538824832936E-2</v>
      </c>
      <c r="K100">
        <f>I100</f>
        <v>159732</v>
      </c>
      <c r="L100"/>
      <c r="M100"/>
      <c r="N100"/>
      <c r="O100"/>
      <c r="P100"/>
      <c r="Q100"/>
      <c r="R100"/>
      <c r="S100"/>
      <c r="T100"/>
    </row>
    <row r="101" spans="1:20" outlineLevel="3" x14ac:dyDescent="0.3">
      <c r="A101" s="82" t="s">
        <v>347</v>
      </c>
      <c r="B101" s="58" t="s">
        <v>348</v>
      </c>
      <c r="C101" s="61" t="s">
        <v>349</v>
      </c>
      <c r="D101" s="115"/>
      <c r="E101" s="87"/>
      <c r="F101" s="87"/>
      <c r="G101" s="97"/>
      <c r="H101" s="87" t="s">
        <v>60</v>
      </c>
      <c r="I101" s="104">
        <f>SUBTOTAL(9,K102:K103)</f>
        <v>48155</v>
      </c>
      <c r="J101" s="108"/>
      <c r="K101"/>
      <c r="L101"/>
      <c r="M101"/>
      <c r="N101"/>
      <c r="O101"/>
      <c r="P101"/>
      <c r="Q101"/>
      <c r="R101"/>
      <c r="S101"/>
      <c r="T101"/>
    </row>
    <row r="102" spans="1:20" ht="28.8" outlineLevel="4" x14ac:dyDescent="0.3">
      <c r="A102" s="82" t="s">
        <v>350</v>
      </c>
      <c r="B102" s="10" t="s">
        <v>351</v>
      </c>
      <c r="C102" s="60" t="s">
        <v>352</v>
      </c>
      <c r="D102" s="44" t="s">
        <v>141</v>
      </c>
      <c r="E102" s="84">
        <v>362</v>
      </c>
      <c r="F102" s="84"/>
      <c r="G102" s="94">
        <f>cell_CoefGeneral</f>
        <v>1</v>
      </c>
      <c r="H102" s="84">
        <v>43</v>
      </c>
      <c r="I102" s="84">
        <f>IFERROR(ROUND(E102*H102,2),"-")</f>
        <v>15566</v>
      </c>
      <c r="J102" s="105">
        <f>IFERROR(I102/cell_Total_HT,"-")</f>
        <v>4.5954391314661398E-3</v>
      </c>
      <c r="K102">
        <f>I102</f>
        <v>15566</v>
      </c>
      <c r="L102"/>
      <c r="M102"/>
      <c r="N102"/>
      <c r="O102"/>
      <c r="P102"/>
      <c r="Q102"/>
      <c r="R102"/>
      <c r="S102"/>
      <c r="T102"/>
    </row>
    <row r="103" spans="1:20" outlineLevel="4" x14ac:dyDescent="0.3">
      <c r="A103" s="82" t="s">
        <v>353</v>
      </c>
      <c r="B103" s="10" t="s">
        <v>354</v>
      </c>
      <c r="C103" s="60" t="s">
        <v>355</v>
      </c>
      <c r="D103" s="44" t="s">
        <v>154</v>
      </c>
      <c r="E103" s="84">
        <v>3621</v>
      </c>
      <c r="F103" s="84"/>
      <c r="G103" s="94">
        <f>cell_CoefGeneral</f>
        <v>1</v>
      </c>
      <c r="H103" s="84">
        <v>9</v>
      </c>
      <c r="I103" s="84">
        <f>IFERROR(ROUND(E103*H103,2),"-")</f>
        <v>32589</v>
      </c>
      <c r="J103" s="105">
        <f>IFERROR(I103/cell_Total_HT,"-")</f>
        <v>9.6210179786297076E-3</v>
      </c>
      <c r="K103">
        <f>I103</f>
        <v>32589</v>
      </c>
      <c r="L103"/>
      <c r="M103"/>
      <c r="N103"/>
      <c r="O103"/>
      <c r="P103"/>
      <c r="Q103"/>
      <c r="R103"/>
      <c r="S103"/>
      <c r="T103"/>
    </row>
    <row r="104" spans="1:20" outlineLevel="3" x14ac:dyDescent="0.3">
      <c r="A104" s="82" t="s">
        <v>356</v>
      </c>
      <c r="B104" s="58" t="s">
        <v>357</v>
      </c>
      <c r="C104" s="61" t="s">
        <v>358</v>
      </c>
      <c r="D104" s="115"/>
      <c r="E104" s="87"/>
      <c r="F104" s="87"/>
      <c r="G104" s="97"/>
      <c r="H104" s="87" t="s">
        <v>60</v>
      </c>
      <c r="I104" s="104">
        <f>SUBTOTAL(9,K105:K106)</f>
        <v>4088</v>
      </c>
      <c r="J104" s="108"/>
      <c r="K104"/>
      <c r="L104"/>
      <c r="M104"/>
      <c r="N104"/>
      <c r="O104"/>
      <c r="P104"/>
      <c r="Q104"/>
      <c r="R104"/>
      <c r="S104"/>
      <c r="T104"/>
    </row>
    <row r="105" spans="1:20" ht="28.8" outlineLevel="4" x14ac:dyDescent="0.3">
      <c r="A105" s="82" t="s">
        <v>359</v>
      </c>
      <c r="B105" s="10" t="s">
        <v>360</v>
      </c>
      <c r="C105" s="60" t="s">
        <v>352</v>
      </c>
      <c r="D105" s="44" t="s">
        <v>141</v>
      </c>
      <c r="E105" s="84">
        <v>16</v>
      </c>
      <c r="F105" s="84"/>
      <c r="G105" s="94">
        <f>cell_CoefGeneral</f>
        <v>1</v>
      </c>
      <c r="H105" s="84">
        <v>58</v>
      </c>
      <c r="I105" s="84">
        <f>IFERROR(ROUND(E105*H105,2),"-")</f>
        <v>928</v>
      </c>
      <c r="J105" s="105">
        <f>IFERROR(I105/cell_Total_HT,"-")</f>
        <v>2.7396681960687255E-4</v>
      </c>
      <c r="K105">
        <f>I105</f>
        <v>928</v>
      </c>
      <c r="L105"/>
      <c r="M105"/>
      <c r="N105"/>
      <c r="O105"/>
      <c r="P105"/>
      <c r="Q105"/>
      <c r="R105"/>
      <c r="S105"/>
      <c r="T105"/>
    </row>
    <row r="106" spans="1:20" outlineLevel="4" x14ac:dyDescent="0.3">
      <c r="A106" s="82" t="s">
        <v>361</v>
      </c>
      <c r="B106" s="10" t="s">
        <v>362</v>
      </c>
      <c r="C106" s="60" t="s">
        <v>363</v>
      </c>
      <c r="D106" s="44" t="s">
        <v>154</v>
      </c>
      <c r="E106" s="84">
        <v>158</v>
      </c>
      <c r="F106" s="84"/>
      <c r="G106" s="94">
        <f>cell_CoefGeneral</f>
        <v>1</v>
      </c>
      <c r="H106" s="84">
        <v>20</v>
      </c>
      <c r="I106" s="84">
        <f>IFERROR(ROUND(E106*H106,2),"-")</f>
        <v>3160</v>
      </c>
      <c r="J106" s="105">
        <f>IFERROR(I106/cell_Total_HT,"-")</f>
        <v>9.3290425641995387E-4</v>
      </c>
      <c r="K106">
        <f>I106</f>
        <v>3160</v>
      </c>
      <c r="L106"/>
      <c r="M106"/>
      <c r="N106"/>
      <c r="O106"/>
      <c r="P106"/>
      <c r="Q106"/>
      <c r="R106"/>
      <c r="S106"/>
      <c r="T106"/>
    </row>
    <row r="107" spans="1:20" outlineLevel="3" x14ac:dyDescent="0.3">
      <c r="A107" s="82" t="s">
        <v>364</v>
      </c>
      <c r="B107" s="58" t="s">
        <v>365</v>
      </c>
      <c r="C107" s="61" t="s">
        <v>366</v>
      </c>
      <c r="D107" s="115"/>
      <c r="E107" s="87"/>
      <c r="F107" s="87"/>
      <c r="G107" s="97"/>
      <c r="H107" s="87" t="s">
        <v>60</v>
      </c>
      <c r="I107" s="104">
        <f>SUBTOTAL(9,K108:K109)</f>
        <v>6549.4</v>
      </c>
      <c r="J107" s="108"/>
      <c r="K107"/>
      <c r="L107"/>
      <c r="M107"/>
      <c r="N107"/>
      <c r="O107"/>
      <c r="P107"/>
      <c r="Q107"/>
      <c r="R107"/>
      <c r="S107"/>
      <c r="T107"/>
    </row>
    <row r="108" spans="1:20" ht="28.8" outlineLevel="4" x14ac:dyDescent="0.3">
      <c r="A108" s="82" t="s">
        <v>367</v>
      </c>
      <c r="B108" s="10" t="s">
        <v>368</v>
      </c>
      <c r="C108" s="60" t="s">
        <v>369</v>
      </c>
      <c r="D108" s="44" t="s">
        <v>141</v>
      </c>
      <c r="E108" s="84">
        <v>41</v>
      </c>
      <c r="F108" s="84"/>
      <c r="G108" s="94">
        <f>cell_CoefGeneral</f>
        <v>1</v>
      </c>
      <c r="H108" s="84">
        <v>83</v>
      </c>
      <c r="I108" s="84">
        <f>IFERROR(ROUND(E108*H108,2),"-")</f>
        <v>3403</v>
      </c>
      <c r="J108" s="105">
        <f>IFERROR(I108/cell_Total_HT,"-")</f>
        <v>1.0046434128471845E-3</v>
      </c>
      <c r="K108">
        <f>I108</f>
        <v>3403</v>
      </c>
      <c r="L108"/>
      <c r="M108"/>
      <c r="N108"/>
      <c r="O108"/>
      <c r="P108"/>
      <c r="Q108"/>
      <c r="R108"/>
      <c r="S108"/>
      <c r="T108"/>
    </row>
    <row r="109" spans="1:20" outlineLevel="4" x14ac:dyDescent="0.3">
      <c r="A109" s="82" t="s">
        <v>370</v>
      </c>
      <c r="B109" s="10" t="s">
        <v>371</v>
      </c>
      <c r="C109" s="60" t="s">
        <v>372</v>
      </c>
      <c r="D109" s="44" t="s">
        <v>154</v>
      </c>
      <c r="E109" s="84">
        <v>414</v>
      </c>
      <c r="F109" s="84"/>
      <c r="G109" s="94">
        <f>cell_CoefGeneral</f>
        <v>1</v>
      </c>
      <c r="H109" s="84">
        <v>7.6</v>
      </c>
      <c r="I109" s="84">
        <f>IFERROR(ROUND(E109*H109,2),"-")</f>
        <v>3146.4</v>
      </c>
      <c r="J109" s="105">
        <f>IFERROR(I109/cell_Total_HT,"-")</f>
        <v>9.2888922544295664E-4</v>
      </c>
      <c r="K109">
        <f>I109</f>
        <v>3146.4</v>
      </c>
      <c r="L109"/>
      <c r="M109"/>
      <c r="N109"/>
      <c r="O109"/>
      <c r="P109"/>
      <c r="Q109"/>
      <c r="R109"/>
      <c r="S109"/>
      <c r="T109"/>
    </row>
    <row r="110" spans="1:20" outlineLevel="3" x14ac:dyDescent="0.3">
      <c r="A110" s="82" t="s">
        <v>373</v>
      </c>
      <c r="B110" s="58" t="s">
        <v>374</v>
      </c>
      <c r="C110" s="61" t="s">
        <v>375</v>
      </c>
      <c r="D110" s="115"/>
      <c r="E110" s="87"/>
      <c r="F110" s="87"/>
      <c r="G110" s="97"/>
      <c r="H110" s="87" t="s">
        <v>60</v>
      </c>
      <c r="I110" s="104">
        <f>SUBTOTAL(9,K111:K112)</f>
        <v>8002.6</v>
      </c>
      <c r="J110" s="108"/>
      <c r="K110"/>
      <c r="L110"/>
      <c r="M110"/>
      <c r="N110"/>
      <c r="O110"/>
      <c r="P110"/>
      <c r="Q110"/>
      <c r="R110"/>
      <c r="S110"/>
      <c r="T110"/>
    </row>
    <row r="111" spans="1:20" outlineLevel="4" x14ac:dyDescent="0.3">
      <c r="A111" s="82" t="s">
        <v>376</v>
      </c>
      <c r="B111" s="10" t="s">
        <v>377</v>
      </c>
      <c r="C111" s="60" t="s">
        <v>309</v>
      </c>
      <c r="D111" s="44" t="s">
        <v>154</v>
      </c>
      <c r="E111" s="84">
        <v>583</v>
      </c>
      <c r="F111" s="84"/>
      <c r="G111" s="94">
        <f>cell_CoefGeneral</f>
        <v>1</v>
      </c>
      <c r="H111" s="84">
        <v>2.2000000000000002</v>
      </c>
      <c r="I111" s="84">
        <f>IFERROR(ROUND(E111*H111,2),"-")</f>
        <v>1282.5999999999999</v>
      </c>
      <c r="J111" s="105">
        <f>IFERROR(I111/cell_Total_HT,"-")</f>
        <v>3.7865284787475721E-4</v>
      </c>
      <c r="K111">
        <f>I111</f>
        <v>1282.5999999999999</v>
      </c>
      <c r="L111"/>
      <c r="M111"/>
      <c r="N111"/>
      <c r="O111"/>
      <c r="P111"/>
      <c r="Q111"/>
      <c r="R111"/>
      <c r="S111"/>
      <c r="T111"/>
    </row>
    <row r="112" spans="1:20" outlineLevel="4" x14ac:dyDescent="0.3">
      <c r="A112" s="82" t="s">
        <v>378</v>
      </c>
      <c r="B112" s="10" t="s">
        <v>379</v>
      </c>
      <c r="C112" s="60" t="s">
        <v>380</v>
      </c>
      <c r="D112" s="44" t="s">
        <v>268</v>
      </c>
      <c r="E112" s="84">
        <v>56</v>
      </c>
      <c r="F112" s="84"/>
      <c r="G112" s="94">
        <f>cell_CoefGeneral</f>
        <v>1</v>
      </c>
      <c r="H112" s="84">
        <v>120</v>
      </c>
      <c r="I112" s="84">
        <f>IFERROR(ROUND(E112*H112,2),"-")</f>
        <v>6720</v>
      </c>
      <c r="J112" s="105">
        <f>IFERROR(I112/cell_Total_HT,"-")</f>
        <v>1.9838976592221804E-3</v>
      </c>
      <c r="K112">
        <f>I112</f>
        <v>6720</v>
      </c>
      <c r="L112"/>
      <c r="M112"/>
      <c r="N112"/>
      <c r="O112"/>
      <c r="P112"/>
      <c r="Q112"/>
      <c r="R112"/>
      <c r="S112"/>
      <c r="T112"/>
    </row>
    <row r="113" spans="1:20" outlineLevel="3" x14ac:dyDescent="0.3">
      <c r="A113" s="82" t="s">
        <v>381</v>
      </c>
      <c r="B113" s="58" t="s">
        <v>382</v>
      </c>
      <c r="C113" s="61" t="s">
        <v>383</v>
      </c>
      <c r="D113" s="115"/>
      <c r="E113" s="87"/>
      <c r="F113" s="87"/>
      <c r="G113" s="97"/>
      <c r="H113" s="87" t="s">
        <v>60</v>
      </c>
      <c r="I113" s="104">
        <f>SUBTOTAL(9,K114:K114)</f>
        <v>4830</v>
      </c>
      <c r="J113" s="108"/>
      <c r="K113"/>
      <c r="L113"/>
      <c r="M113"/>
      <c r="N113"/>
      <c r="O113"/>
      <c r="P113"/>
      <c r="Q113"/>
      <c r="R113"/>
      <c r="S113"/>
      <c r="T113"/>
    </row>
    <row r="114" spans="1:20" ht="28.8" outlineLevel="4" x14ac:dyDescent="0.3">
      <c r="A114" s="82" t="s">
        <v>384</v>
      </c>
      <c r="B114" s="10" t="s">
        <v>385</v>
      </c>
      <c r="C114" s="60" t="s">
        <v>386</v>
      </c>
      <c r="D114" s="44" t="s">
        <v>141</v>
      </c>
      <c r="E114" s="84">
        <v>115</v>
      </c>
      <c r="F114" s="84"/>
      <c r="G114" s="94">
        <f>cell_CoefGeneral</f>
        <v>1</v>
      </c>
      <c r="H114" s="84">
        <v>42</v>
      </c>
      <c r="I114" s="84">
        <f>IFERROR(ROUND(E114*H114,2),"-")</f>
        <v>4830</v>
      </c>
      <c r="J114" s="105">
        <f>IFERROR(I114/cell_Total_HT,"-")</f>
        <v>1.4259264425659421E-3</v>
      </c>
      <c r="K114">
        <f>I114</f>
        <v>4830</v>
      </c>
      <c r="L114"/>
      <c r="M114"/>
      <c r="N114"/>
      <c r="O114"/>
      <c r="P114"/>
      <c r="Q114"/>
      <c r="R114"/>
      <c r="S114"/>
      <c r="T114"/>
    </row>
    <row r="115" spans="1:20" outlineLevel="3" x14ac:dyDescent="0.3">
      <c r="A115" s="82" t="s">
        <v>387</v>
      </c>
      <c r="B115" s="58" t="s">
        <v>388</v>
      </c>
      <c r="C115" s="61" t="s">
        <v>389</v>
      </c>
      <c r="D115" s="115"/>
      <c r="E115" s="87"/>
      <c r="F115" s="87"/>
      <c r="G115" s="97"/>
      <c r="H115" s="87" t="s">
        <v>60</v>
      </c>
      <c r="I115" s="104">
        <f>SUBTOTAL(9,K116:K118)</f>
        <v>46120</v>
      </c>
      <c r="J115" s="108"/>
      <c r="K115"/>
      <c r="L115"/>
      <c r="M115"/>
      <c r="N115"/>
      <c r="O115"/>
      <c r="P115"/>
      <c r="Q115"/>
      <c r="R115"/>
      <c r="S115"/>
      <c r="T115"/>
    </row>
    <row r="116" spans="1:20" ht="28.8" outlineLevel="4" x14ac:dyDescent="0.3">
      <c r="A116" s="82" t="s">
        <v>390</v>
      </c>
      <c r="B116" s="10" t="s">
        <v>391</v>
      </c>
      <c r="C116" s="60" t="s">
        <v>392</v>
      </c>
      <c r="D116" s="44" t="s">
        <v>154</v>
      </c>
      <c r="E116" s="84">
        <v>90</v>
      </c>
      <c r="F116" s="84"/>
      <c r="G116" s="94">
        <f>cell_CoefGeneral</f>
        <v>1</v>
      </c>
      <c r="H116" s="84">
        <v>150</v>
      </c>
      <c r="I116" s="84">
        <f>IFERROR(ROUND(E116*H116,2),"-")</f>
        <v>13500</v>
      </c>
      <c r="J116" s="105">
        <f>IFERROR(I116/cell_Total_HT,"-")</f>
        <v>3.9855086904017015E-3</v>
      </c>
      <c r="K116">
        <f>I116</f>
        <v>13500</v>
      </c>
      <c r="L116"/>
      <c r="M116"/>
      <c r="N116"/>
      <c r="O116"/>
      <c r="P116"/>
      <c r="Q116"/>
      <c r="R116"/>
      <c r="S116"/>
      <c r="T116"/>
    </row>
    <row r="117" spans="1:20" ht="28.8" outlineLevel="4" x14ac:dyDescent="0.3">
      <c r="A117" s="82" t="s">
        <v>393</v>
      </c>
      <c r="B117" s="10" t="s">
        <v>394</v>
      </c>
      <c r="C117" s="60" t="s">
        <v>395</v>
      </c>
      <c r="D117" s="44" t="s">
        <v>154</v>
      </c>
      <c r="E117" s="84">
        <v>211</v>
      </c>
      <c r="F117" s="84"/>
      <c r="G117" s="94">
        <f>cell_CoefGeneral</f>
        <v>1</v>
      </c>
      <c r="H117" s="84">
        <v>140</v>
      </c>
      <c r="I117" s="84">
        <f>IFERROR(ROUND(E117*H117,2),"-")</f>
        <v>29540</v>
      </c>
      <c r="J117" s="105">
        <f>IFERROR(I117/cell_Total_HT,"-")</f>
        <v>8.7208834603308347E-3</v>
      </c>
      <c r="K117">
        <f>I117</f>
        <v>29540</v>
      </c>
      <c r="L117"/>
      <c r="M117"/>
      <c r="N117"/>
      <c r="O117"/>
      <c r="P117"/>
      <c r="Q117"/>
      <c r="R117"/>
      <c r="S117"/>
      <c r="T117"/>
    </row>
    <row r="118" spans="1:20" ht="28.8" outlineLevel="4" x14ac:dyDescent="0.3">
      <c r="A118" s="82" t="s">
        <v>396</v>
      </c>
      <c r="B118" s="10" t="s">
        <v>397</v>
      </c>
      <c r="C118" s="60" t="s">
        <v>398</v>
      </c>
      <c r="D118" s="44" t="s">
        <v>80</v>
      </c>
      <c r="E118" s="84">
        <v>22</v>
      </c>
      <c r="F118" s="84"/>
      <c r="G118" s="94">
        <f>cell_CoefGeneral</f>
        <v>1</v>
      </c>
      <c r="H118" s="84">
        <v>140</v>
      </c>
      <c r="I118" s="84">
        <f>IFERROR(ROUND(E118*H118,2),"-")</f>
        <v>3080</v>
      </c>
      <c r="J118" s="105">
        <f>IFERROR(I118/cell_Total_HT,"-")</f>
        <v>9.0928642714349932E-4</v>
      </c>
      <c r="K118">
        <f>I118</f>
        <v>3080</v>
      </c>
      <c r="L118"/>
      <c r="M118"/>
      <c r="N118"/>
      <c r="O118"/>
      <c r="P118"/>
      <c r="Q118"/>
      <c r="R118"/>
      <c r="S118"/>
      <c r="T118"/>
    </row>
    <row r="119" spans="1:20" outlineLevel="3" x14ac:dyDescent="0.3">
      <c r="A119" s="82" t="s">
        <v>399</v>
      </c>
      <c r="B119" s="58" t="s">
        <v>400</v>
      </c>
      <c r="C119" s="61" t="s">
        <v>401</v>
      </c>
      <c r="D119" s="115"/>
      <c r="E119" s="87"/>
      <c r="F119" s="87"/>
      <c r="G119" s="97"/>
      <c r="H119" s="87" t="s">
        <v>60</v>
      </c>
      <c r="I119" s="104">
        <f>SUBTOTAL(9,K120:K121)</f>
        <v>17346</v>
      </c>
      <c r="J119" s="108"/>
      <c r="K119"/>
      <c r="L119"/>
      <c r="M119"/>
      <c r="N119"/>
      <c r="O119"/>
      <c r="P119"/>
      <c r="Q119"/>
      <c r="R119"/>
      <c r="S119"/>
      <c r="T119"/>
    </row>
    <row r="120" spans="1:20" ht="28.8" outlineLevel="4" x14ac:dyDescent="0.3">
      <c r="A120" s="82" t="s">
        <v>402</v>
      </c>
      <c r="B120" s="10" t="s">
        <v>403</v>
      </c>
      <c r="C120" s="60" t="s">
        <v>404</v>
      </c>
      <c r="D120" s="44" t="s">
        <v>141</v>
      </c>
      <c r="E120" s="84">
        <v>23</v>
      </c>
      <c r="F120" s="84"/>
      <c r="G120" s="94">
        <f>cell_CoefGeneral</f>
        <v>1</v>
      </c>
      <c r="H120" s="84">
        <v>42</v>
      </c>
      <c r="I120" s="84">
        <f>IFERROR(ROUND(E120*H120,2),"-")</f>
        <v>966</v>
      </c>
      <c r="J120" s="105">
        <f>IFERROR(I120/cell_Total_HT,"-")</f>
        <v>2.8518528851318841E-4</v>
      </c>
      <c r="K120">
        <f>I120</f>
        <v>966</v>
      </c>
      <c r="L120"/>
      <c r="M120"/>
      <c r="N120"/>
      <c r="O120"/>
      <c r="P120"/>
      <c r="Q120"/>
      <c r="R120"/>
      <c r="S120"/>
      <c r="T120"/>
    </row>
    <row r="121" spans="1:20" ht="28.8" outlineLevel="4" x14ac:dyDescent="0.3">
      <c r="A121" s="82" t="s">
        <v>405</v>
      </c>
      <c r="B121" s="10" t="s">
        <v>406</v>
      </c>
      <c r="C121" s="60" t="s">
        <v>407</v>
      </c>
      <c r="D121" s="44" t="s">
        <v>154</v>
      </c>
      <c r="E121" s="84">
        <v>117</v>
      </c>
      <c r="F121" s="84"/>
      <c r="G121" s="94">
        <f>cell_CoefGeneral</f>
        <v>1</v>
      </c>
      <c r="H121" s="84">
        <v>140</v>
      </c>
      <c r="I121" s="84">
        <f>IFERROR(ROUND(E121*H121,2),"-")</f>
        <v>16380</v>
      </c>
      <c r="J121" s="105">
        <f>IFERROR(I121/cell_Total_HT,"-")</f>
        <v>4.8357505443540642E-3</v>
      </c>
      <c r="K121">
        <f>I121</f>
        <v>16380</v>
      </c>
      <c r="L121"/>
      <c r="M121"/>
      <c r="N121"/>
      <c r="O121"/>
      <c r="P121"/>
      <c r="Q121"/>
      <c r="R121"/>
      <c r="S121"/>
      <c r="T121"/>
    </row>
    <row r="122" spans="1:20" outlineLevel="3" x14ac:dyDescent="0.3">
      <c r="A122" s="82" t="s">
        <v>408</v>
      </c>
      <c r="B122" s="58" t="s">
        <v>409</v>
      </c>
      <c r="C122" s="61" t="s">
        <v>410</v>
      </c>
      <c r="D122" s="115"/>
      <c r="E122" s="87"/>
      <c r="F122" s="87"/>
      <c r="G122" s="97"/>
      <c r="H122" s="87" t="s">
        <v>60</v>
      </c>
      <c r="I122" s="104">
        <f>SUBTOTAL(9,K123:K124)</f>
        <v>10686</v>
      </c>
      <c r="J122" s="108"/>
      <c r="K122"/>
      <c r="L122"/>
      <c r="M122"/>
      <c r="N122"/>
      <c r="O122"/>
      <c r="P122"/>
      <c r="Q122"/>
      <c r="R122"/>
      <c r="S122"/>
      <c r="T122"/>
    </row>
    <row r="123" spans="1:20" ht="28.8" outlineLevel="4" x14ac:dyDescent="0.3">
      <c r="A123" s="82" t="s">
        <v>411</v>
      </c>
      <c r="B123" s="10" t="s">
        <v>412</v>
      </c>
      <c r="C123" s="60" t="s">
        <v>413</v>
      </c>
      <c r="D123" s="44" t="s">
        <v>154</v>
      </c>
      <c r="E123" s="84">
        <v>411</v>
      </c>
      <c r="F123" s="84"/>
      <c r="G123" s="94">
        <f>cell_CoefGeneral</f>
        <v>1</v>
      </c>
      <c r="H123" s="84">
        <v>26</v>
      </c>
      <c r="I123" s="84">
        <f>IFERROR(ROUND(E123*H123,2),"-")</f>
        <v>10686</v>
      </c>
      <c r="J123" s="105">
        <f>IFERROR(I123/cell_Total_HT,"-")</f>
        <v>3.1547515456024134E-3</v>
      </c>
      <c r="K123">
        <f>I123</f>
        <v>10686</v>
      </c>
      <c r="L123"/>
      <c r="M123"/>
      <c r="N123"/>
      <c r="O123"/>
      <c r="P123"/>
      <c r="Q123"/>
      <c r="R123"/>
      <c r="S123"/>
      <c r="T123"/>
    </row>
    <row r="124" spans="1:20" outlineLevel="4" x14ac:dyDescent="0.3">
      <c r="A124" s="82" t="s">
        <v>414</v>
      </c>
      <c r="B124" s="10" t="s">
        <v>415</v>
      </c>
      <c r="C124" s="60" t="s">
        <v>416</v>
      </c>
      <c r="D124" s="44" t="s">
        <v>154</v>
      </c>
      <c r="E124" s="84">
        <v>0</v>
      </c>
      <c r="F124" s="84"/>
      <c r="G124" s="94">
        <f>cell_CoefGeneral</f>
        <v>1</v>
      </c>
      <c r="H124" s="84">
        <v>29</v>
      </c>
      <c r="I124" s="84">
        <f>IFERROR(ROUND(E124*H124,2),"-")</f>
        <v>0</v>
      </c>
      <c r="J124" s="105">
        <f>IFERROR(I124/cell_Total_HT,"-")</f>
        <v>0</v>
      </c>
      <c r="K124">
        <f>I124</f>
        <v>0</v>
      </c>
      <c r="L124"/>
      <c r="M124"/>
      <c r="N124"/>
      <c r="O124"/>
      <c r="P124"/>
      <c r="Q124"/>
      <c r="R124"/>
      <c r="S124"/>
      <c r="T124"/>
    </row>
    <row r="125" spans="1:20" outlineLevel="3" x14ac:dyDescent="0.3">
      <c r="A125" s="82" t="s">
        <v>417</v>
      </c>
      <c r="B125" s="58" t="s">
        <v>418</v>
      </c>
      <c r="C125" s="61" t="s">
        <v>419</v>
      </c>
      <c r="D125" s="115"/>
      <c r="E125" s="87"/>
      <c r="F125" s="87"/>
      <c r="G125" s="97"/>
      <c r="H125" s="87" t="s">
        <v>60</v>
      </c>
      <c r="I125" s="104">
        <f>SUBTOTAL(9,K126:K126)</f>
        <v>980</v>
      </c>
      <c r="J125" s="108"/>
      <c r="K125"/>
      <c r="L125"/>
      <c r="M125"/>
      <c r="N125"/>
      <c r="O125"/>
      <c r="P125"/>
      <c r="Q125"/>
      <c r="R125"/>
      <c r="S125"/>
      <c r="T125"/>
    </row>
    <row r="126" spans="1:20" ht="28.8" outlineLevel="4" x14ac:dyDescent="0.3">
      <c r="A126" s="82" t="s">
        <v>420</v>
      </c>
      <c r="B126" s="10" t="s">
        <v>421</v>
      </c>
      <c r="C126" s="60" t="s">
        <v>422</v>
      </c>
      <c r="D126" s="44" t="s">
        <v>154</v>
      </c>
      <c r="E126" s="84">
        <v>28</v>
      </c>
      <c r="F126" s="84"/>
      <c r="G126" s="94">
        <f>cell_CoefGeneral</f>
        <v>1</v>
      </c>
      <c r="H126" s="84">
        <v>35</v>
      </c>
      <c r="I126" s="84">
        <f>IFERROR(ROUND(E126*H126,2),"-")</f>
        <v>980</v>
      </c>
      <c r="J126" s="105">
        <f>IFERROR(I126/cell_Total_HT,"-")</f>
        <v>2.8931840863656799E-4</v>
      </c>
      <c r="K126">
        <f>I126</f>
        <v>980</v>
      </c>
      <c r="L126"/>
      <c r="M126"/>
      <c r="N126"/>
      <c r="O126"/>
      <c r="P126"/>
      <c r="Q126"/>
      <c r="R126"/>
      <c r="S126"/>
      <c r="T126"/>
    </row>
    <row r="127" spans="1:20" outlineLevel="3" x14ac:dyDescent="0.3">
      <c r="A127" s="82" t="s">
        <v>423</v>
      </c>
      <c r="B127" s="58" t="s">
        <v>424</v>
      </c>
      <c r="C127" s="61" t="s">
        <v>425</v>
      </c>
      <c r="D127" s="115"/>
      <c r="E127" s="87"/>
      <c r="F127" s="87"/>
      <c r="G127" s="97"/>
      <c r="H127" s="87" t="s">
        <v>60</v>
      </c>
      <c r="I127" s="104">
        <f>SUBTOTAL(9,K128:K130)</f>
        <v>0</v>
      </c>
      <c r="J127" s="108"/>
      <c r="K127"/>
      <c r="L127"/>
      <c r="M127"/>
      <c r="N127"/>
      <c r="O127"/>
      <c r="P127"/>
      <c r="Q127"/>
      <c r="R127"/>
      <c r="S127"/>
      <c r="T127"/>
    </row>
    <row r="128" spans="1:20" ht="28.8" outlineLevel="4" x14ac:dyDescent="0.3">
      <c r="A128" s="82" t="s">
        <v>426</v>
      </c>
      <c r="B128" s="10" t="s">
        <v>427</v>
      </c>
      <c r="C128" s="60" t="s">
        <v>428</v>
      </c>
      <c r="D128" s="44" t="s">
        <v>141</v>
      </c>
      <c r="E128" s="84">
        <v>0</v>
      </c>
      <c r="F128" s="84"/>
      <c r="G128" s="94">
        <f>cell_CoefGeneral</f>
        <v>1</v>
      </c>
      <c r="H128" s="84">
        <v>66</v>
      </c>
      <c r="I128" s="84">
        <f>IFERROR(ROUND(E128*H128,2),"-")</f>
        <v>0</v>
      </c>
      <c r="J128" s="105">
        <f>IFERROR(I128/cell_Total_HT,"-")</f>
        <v>0</v>
      </c>
      <c r="K128">
        <f>I128</f>
        <v>0</v>
      </c>
      <c r="L128"/>
      <c r="M128"/>
      <c r="N128"/>
      <c r="O128"/>
      <c r="P128"/>
      <c r="Q128"/>
      <c r="R128"/>
      <c r="S128"/>
      <c r="T128"/>
    </row>
    <row r="129" spans="1:20" outlineLevel="4" x14ac:dyDescent="0.3">
      <c r="A129" s="82" t="s">
        <v>429</v>
      </c>
      <c r="B129" s="10" t="s">
        <v>430</v>
      </c>
      <c r="C129" s="60" t="s">
        <v>431</v>
      </c>
      <c r="D129" s="44" t="s">
        <v>154</v>
      </c>
      <c r="E129" s="84">
        <v>0</v>
      </c>
      <c r="F129" s="84"/>
      <c r="G129" s="94">
        <f>cell_CoefGeneral</f>
        <v>1</v>
      </c>
      <c r="H129" s="84">
        <v>34</v>
      </c>
      <c r="I129" s="84">
        <f>IFERROR(ROUND(E129*H129,2),"-")</f>
        <v>0</v>
      </c>
      <c r="J129" s="105">
        <f>IFERROR(I129/cell_Total_HT,"-")</f>
        <v>0</v>
      </c>
      <c r="K129">
        <f>I129</f>
        <v>0</v>
      </c>
      <c r="L129"/>
      <c r="M129"/>
      <c r="N129"/>
      <c r="O129"/>
      <c r="P129"/>
      <c r="Q129"/>
      <c r="R129"/>
      <c r="S129"/>
      <c r="T129"/>
    </row>
    <row r="130" spans="1:20" outlineLevel="4" x14ac:dyDescent="0.3">
      <c r="A130" s="82" t="s">
        <v>432</v>
      </c>
      <c r="B130" s="10" t="s">
        <v>433</v>
      </c>
      <c r="C130" s="60" t="s">
        <v>434</v>
      </c>
      <c r="D130" s="44" t="s">
        <v>154</v>
      </c>
      <c r="E130" s="84">
        <v>0</v>
      </c>
      <c r="F130" s="84"/>
      <c r="G130" s="94">
        <f>cell_CoefGeneral</f>
        <v>1</v>
      </c>
      <c r="H130" s="84">
        <v>78</v>
      </c>
      <c r="I130" s="84">
        <f>IFERROR(ROUND(E130*H130,2),"-")</f>
        <v>0</v>
      </c>
      <c r="J130" s="105">
        <f>IFERROR(I130/cell_Total_HT,"-")</f>
        <v>0</v>
      </c>
      <c r="K130">
        <f>I130</f>
        <v>0</v>
      </c>
      <c r="L130"/>
      <c r="M130"/>
      <c r="N130"/>
      <c r="O130"/>
      <c r="P130"/>
      <c r="Q130"/>
      <c r="R130"/>
      <c r="S130"/>
      <c r="T130"/>
    </row>
    <row r="131" spans="1:20" outlineLevel="3" x14ac:dyDescent="0.3">
      <c r="A131" s="82" t="s">
        <v>435</v>
      </c>
      <c r="B131" s="58" t="s">
        <v>436</v>
      </c>
      <c r="C131" s="61" t="s">
        <v>437</v>
      </c>
      <c r="D131" s="115"/>
      <c r="E131" s="87"/>
      <c r="F131" s="87"/>
      <c r="G131" s="97"/>
      <c r="H131" s="87" t="s">
        <v>60</v>
      </c>
      <c r="I131" s="104">
        <f>SUBTOTAL(9,K132:K135)</f>
        <v>3201</v>
      </c>
      <c r="J131" s="108"/>
      <c r="K131"/>
      <c r="L131"/>
      <c r="M131"/>
      <c r="N131"/>
      <c r="O131"/>
      <c r="P131"/>
      <c r="Q131"/>
      <c r="R131"/>
      <c r="S131"/>
      <c r="T131"/>
    </row>
    <row r="132" spans="1:20" outlineLevel="4" x14ac:dyDescent="0.3">
      <c r="A132" s="82" t="s">
        <v>438</v>
      </c>
      <c r="B132" s="10" t="s">
        <v>439</v>
      </c>
      <c r="C132" s="60" t="s">
        <v>440</v>
      </c>
      <c r="D132" s="44" t="s">
        <v>154</v>
      </c>
      <c r="E132" s="84">
        <v>0</v>
      </c>
      <c r="F132" s="84"/>
      <c r="G132" s="94">
        <f>cell_CoefGeneral</f>
        <v>1</v>
      </c>
      <c r="H132" s="84">
        <v>33</v>
      </c>
      <c r="I132" s="84">
        <f>IFERROR(ROUND(E132*H132,2),"-")</f>
        <v>0</v>
      </c>
      <c r="J132" s="105">
        <f>IFERROR(I132/cell_Total_HT,"-")</f>
        <v>0</v>
      </c>
      <c r="K132">
        <f>I132</f>
        <v>0</v>
      </c>
      <c r="L132"/>
      <c r="M132"/>
      <c r="N132"/>
      <c r="O132"/>
      <c r="P132"/>
      <c r="Q132"/>
      <c r="R132"/>
      <c r="S132"/>
      <c r="T132"/>
    </row>
    <row r="133" spans="1:20" outlineLevel="4" x14ac:dyDescent="0.3">
      <c r="A133" s="82" t="s">
        <v>441</v>
      </c>
      <c r="B133" s="10" t="s">
        <v>442</v>
      </c>
      <c r="C133" s="60" t="s">
        <v>443</v>
      </c>
      <c r="D133" s="44" t="s">
        <v>154</v>
      </c>
      <c r="E133" s="84">
        <v>0</v>
      </c>
      <c r="F133" s="84"/>
      <c r="G133" s="94">
        <f>cell_CoefGeneral</f>
        <v>1</v>
      </c>
      <c r="H133" s="84">
        <v>5.7</v>
      </c>
      <c r="I133" s="84">
        <f>IFERROR(ROUND(E133*H133,2),"-")</f>
        <v>0</v>
      </c>
      <c r="J133" s="105">
        <f>IFERROR(I133/cell_Total_HT,"-")</f>
        <v>0</v>
      </c>
      <c r="K133">
        <f>I133</f>
        <v>0</v>
      </c>
      <c r="L133"/>
      <c r="M133"/>
      <c r="N133"/>
      <c r="O133"/>
      <c r="P133"/>
      <c r="Q133"/>
      <c r="R133"/>
      <c r="S133"/>
      <c r="T133"/>
    </row>
    <row r="134" spans="1:20" outlineLevel="4" x14ac:dyDescent="0.3">
      <c r="A134" s="82" t="s">
        <v>444</v>
      </c>
      <c r="B134" s="10" t="s">
        <v>445</v>
      </c>
      <c r="C134" s="60" t="s">
        <v>446</v>
      </c>
      <c r="D134" s="44" t="s">
        <v>154</v>
      </c>
      <c r="E134" s="84">
        <v>110</v>
      </c>
      <c r="F134" s="84"/>
      <c r="G134" s="94">
        <f>cell_CoefGeneral</f>
        <v>1</v>
      </c>
      <c r="H134" s="84">
        <v>24</v>
      </c>
      <c r="I134" s="84">
        <f>IFERROR(ROUND(E134*H134,2),"-")</f>
        <v>2640</v>
      </c>
      <c r="J134" s="105">
        <f>IFERROR(I134/cell_Total_HT,"-")</f>
        <v>7.7938836612299943E-4</v>
      </c>
      <c r="K134">
        <f>I134</f>
        <v>2640</v>
      </c>
      <c r="L134"/>
      <c r="M134"/>
      <c r="N134"/>
      <c r="O134"/>
      <c r="P134"/>
      <c r="Q134"/>
      <c r="R134"/>
      <c r="S134"/>
      <c r="T134"/>
    </row>
    <row r="135" spans="1:20" outlineLevel="4" x14ac:dyDescent="0.3">
      <c r="A135" s="82" t="s">
        <v>447</v>
      </c>
      <c r="B135" s="10" t="s">
        <v>448</v>
      </c>
      <c r="C135" s="60" t="s">
        <v>449</v>
      </c>
      <c r="D135" s="44" t="s">
        <v>154</v>
      </c>
      <c r="E135" s="84">
        <v>110</v>
      </c>
      <c r="F135" s="84"/>
      <c r="G135" s="94">
        <f>cell_CoefGeneral</f>
        <v>1</v>
      </c>
      <c r="H135" s="84">
        <v>5.0999999999999996</v>
      </c>
      <c r="I135" s="84">
        <f>IFERROR(ROUND(E135*H135,2),"-")</f>
        <v>561</v>
      </c>
      <c r="J135" s="105">
        <f>IFERROR(I135/cell_Total_HT,"-")</f>
        <v>1.6562002780113737E-4</v>
      </c>
      <c r="K135">
        <f>I135</f>
        <v>561</v>
      </c>
      <c r="L135"/>
      <c r="M135"/>
      <c r="N135"/>
      <c r="O135"/>
      <c r="P135"/>
      <c r="Q135"/>
      <c r="R135"/>
      <c r="S135"/>
      <c r="T135"/>
    </row>
    <row r="136" spans="1:20" outlineLevel="3" x14ac:dyDescent="0.3">
      <c r="A136" s="82" t="s">
        <v>450</v>
      </c>
      <c r="B136" s="58" t="s">
        <v>451</v>
      </c>
      <c r="C136" s="61" t="s">
        <v>452</v>
      </c>
      <c r="D136" s="115"/>
      <c r="E136" s="87"/>
      <c r="F136" s="87"/>
      <c r="G136" s="97"/>
      <c r="H136" s="87" t="s">
        <v>60</v>
      </c>
      <c r="I136" s="104">
        <f>SUBTOTAL(9,K137:K139)</f>
        <v>8129</v>
      </c>
      <c r="J136" s="108"/>
      <c r="K136"/>
      <c r="L136"/>
      <c r="M136"/>
      <c r="N136"/>
      <c r="O136"/>
      <c r="P136"/>
      <c r="Q136"/>
      <c r="R136"/>
      <c r="S136"/>
      <c r="T136"/>
    </row>
    <row r="137" spans="1:20" outlineLevel="4" x14ac:dyDescent="0.3">
      <c r="A137" s="82" t="s">
        <v>453</v>
      </c>
      <c r="B137" s="10" t="s">
        <v>454</v>
      </c>
      <c r="C137" s="60" t="s">
        <v>455</v>
      </c>
      <c r="D137" s="44" t="s">
        <v>154</v>
      </c>
      <c r="E137" s="84">
        <v>66</v>
      </c>
      <c r="F137" s="84"/>
      <c r="G137" s="94">
        <f>cell_CoefGeneral</f>
        <v>1</v>
      </c>
      <c r="H137" s="84">
        <v>40</v>
      </c>
      <c r="I137" s="84">
        <f>IFERROR(ROUND(E137*H137,2),"-")</f>
        <v>2640</v>
      </c>
      <c r="J137" s="105">
        <f>IFERROR(I137/cell_Total_HT,"-")</f>
        <v>7.7938836612299943E-4</v>
      </c>
      <c r="K137">
        <f>I137</f>
        <v>2640</v>
      </c>
      <c r="L137"/>
      <c r="M137"/>
      <c r="N137"/>
      <c r="O137"/>
      <c r="P137"/>
      <c r="Q137"/>
      <c r="R137"/>
      <c r="S137"/>
      <c r="T137"/>
    </row>
    <row r="138" spans="1:20" outlineLevel="4" x14ac:dyDescent="0.3">
      <c r="A138" s="82" t="s">
        <v>456</v>
      </c>
      <c r="B138" s="10" t="s">
        <v>457</v>
      </c>
      <c r="C138" s="60" t="s">
        <v>458</v>
      </c>
      <c r="D138" s="44" t="s">
        <v>154</v>
      </c>
      <c r="E138" s="84">
        <v>55</v>
      </c>
      <c r="F138" s="84"/>
      <c r="G138" s="94">
        <f>cell_CoefGeneral</f>
        <v>1</v>
      </c>
      <c r="H138" s="84">
        <v>91</v>
      </c>
      <c r="I138" s="84">
        <f>IFERROR(ROUND(E138*H138,2),"-")</f>
        <v>5005</v>
      </c>
      <c r="J138" s="105">
        <f>IFERROR(I138/cell_Total_HT,"-")</f>
        <v>1.4775904441081864E-3</v>
      </c>
      <c r="K138">
        <f>I138</f>
        <v>5005</v>
      </c>
      <c r="L138"/>
      <c r="M138"/>
      <c r="N138"/>
      <c r="O138"/>
      <c r="P138"/>
      <c r="Q138"/>
      <c r="R138"/>
      <c r="S138"/>
      <c r="T138"/>
    </row>
    <row r="139" spans="1:20" ht="15" outlineLevel="4" thickBot="1" x14ac:dyDescent="0.35">
      <c r="A139" s="82" t="s">
        <v>459</v>
      </c>
      <c r="B139" s="10" t="s">
        <v>460</v>
      </c>
      <c r="C139" s="60" t="s">
        <v>461</v>
      </c>
      <c r="D139" s="44" t="s">
        <v>154</v>
      </c>
      <c r="E139" s="84">
        <v>22</v>
      </c>
      <c r="F139" s="84"/>
      <c r="G139" s="94">
        <f>cell_CoefGeneral</f>
        <v>1</v>
      </c>
      <c r="H139" s="84">
        <v>22</v>
      </c>
      <c r="I139" s="84">
        <f>IFERROR(ROUND(E139*H139,2),"-")</f>
        <v>484</v>
      </c>
      <c r="J139" s="105">
        <f>IFERROR(I139/cell_Total_HT,"-")</f>
        <v>1.4288786712254989E-4</v>
      </c>
      <c r="K139">
        <f>I139</f>
        <v>484</v>
      </c>
      <c r="L139"/>
      <c r="M139"/>
      <c r="N139"/>
      <c r="O139"/>
      <c r="P139"/>
      <c r="Q139"/>
      <c r="R139"/>
      <c r="S139"/>
      <c r="T139"/>
    </row>
    <row r="140" spans="1:20" ht="15" outlineLevel="2" thickTop="1" x14ac:dyDescent="0.3">
      <c r="A140" s="82" t="s">
        <v>462</v>
      </c>
      <c r="B140" s="62" t="s">
        <v>60</v>
      </c>
      <c r="C140" s="63" t="s">
        <v>463</v>
      </c>
      <c r="D140" s="116"/>
      <c r="E140" s="88"/>
      <c r="F140" s="88"/>
      <c r="G140" s="98"/>
      <c r="H140" s="88"/>
      <c r="I140" s="88">
        <f>SUBTOTAL(9,I87:I139)</f>
        <v>425887</v>
      </c>
      <c r="J140" s="109"/>
      <c r="K140"/>
      <c r="L140"/>
      <c r="M140"/>
      <c r="N140"/>
      <c r="O140"/>
      <c r="P140"/>
      <c r="Q140"/>
      <c r="R140"/>
      <c r="S140"/>
      <c r="T140"/>
    </row>
    <row r="141" spans="1:20" outlineLevel="2" x14ac:dyDescent="0.3">
      <c r="A141" s="82" t="s">
        <v>464</v>
      </c>
      <c r="B141" s="64" t="s">
        <v>465</v>
      </c>
      <c r="C141" s="65" t="s">
        <v>466</v>
      </c>
      <c r="D141" s="117"/>
      <c r="E141" s="87"/>
      <c r="F141" s="87"/>
      <c r="G141" s="97"/>
      <c r="H141" s="87"/>
      <c r="I141" s="104">
        <f>SUBTOTAL(9,K142:K166)</f>
        <v>86590</v>
      </c>
      <c r="J141" s="108"/>
      <c r="K141"/>
      <c r="L141"/>
      <c r="M141"/>
      <c r="N141"/>
      <c r="O141"/>
      <c r="P141"/>
      <c r="Q141"/>
      <c r="R141"/>
      <c r="S141"/>
      <c r="T141"/>
    </row>
    <row r="142" spans="1:20" outlineLevel="3" x14ac:dyDescent="0.3">
      <c r="A142" s="82" t="s">
        <v>467</v>
      </c>
      <c r="B142" s="64" t="s">
        <v>468</v>
      </c>
      <c r="C142" s="66" t="s">
        <v>469</v>
      </c>
      <c r="D142" s="117"/>
      <c r="E142" s="87"/>
      <c r="F142" s="87"/>
      <c r="G142" s="97"/>
      <c r="H142" s="87"/>
      <c r="I142" s="104">
        <f>SUBTOTAL(9,K143:K152)</f>
        <v>12913</v>
      </c>
      <c r="J142" s="108"/>
      <c r="K142"/>
      <c r="L142"/>
      <c r="M142"/>
      <c r="N142"/>
      <c r="O142"/>
      <c r="P142"/>
      <c r="Q142"/>
      <c r="R142"/>
      <c r="S142"/>
      <c r="T142"/>
    </row>
    <row r="143" spans="1:20" outlineLevel="4" x14ac:dyDescent="0.3">
      <c r="A143" s="82" t="s">
        <v>470</v>
      </c>
      <c r="B143" s="10" t="s">
        <v>471</v>
      </c>
      <c r="C143" s="60" t="s">
        <v>472</v>
      </c>
      <c r="D143" s="44" t="s">
        <v>80</v>
      </c>
      <c r="E143" s="84">
        <v>0</v>
      </c>
      <c r="F143" s="84"/>
      <c r="G143" s="94">
        <f t="shared" ref="G143:G158" si="16">cell_CoefGeneral</f>
        <v>1</v>
      </c>
      <c r="H143" s="84">
        <v>43</v>
      </c>
      <c r="I143" s="84">
        <f t="shared" ref="I143:I158" si="17">IFERROR(ROUND(E143*H143,2),"-")</f>
        <v>0</v>
      </c>
      <c r="J143" s="105">
        <f t="shared" ref="J143:J158" si="18">IFERROR(I143/cell_Total_HT,"-")</f>
        <v>0</v>
      </c>
      <c r="K143">
        <f t="shared" ref="K143:K158" si="19">I143</f>
        <v>0</v>
      </c>
      <c r="L143"/>
      <c r="M143"/>
      <c r="N143"/>
      <c r="O143"/>
      <c r="P143"/>
      <c r="Q143"/>
      <c r="R143"/>
      <c r="S143"/>
      <c r="T143"/>
    </row>
    <row r="144" spans="1:20" outlineLevel="4" x14ac:dyDescent="0.3">
      <c r="A144" s="82" t="s">
        <v>473</v>
      </c>
      <c r="B144" s="10" t="s">
        <v>474</v>
      </c>
      <c r="C144" s="60" t="s">
        <v>475</v>
      </c>
      <c r="D144" s="44" t="s">
        <v>80</v>
      </c>
      <c r="E144" s="84">
        <v>41</v>
      </c>
      <c r="F144" s="84"/>
      <c r="G144" s="94">
        <f t="shared" si="16"/>
        <v>1</v>
      </c>
      <c r="H144" s="84">
        <v>53</v>
      </c>
      <c r="I144" s="84">
        <f t="shared" si="17"/>
        <v>2173</v>
      </c>
      <c r="J144" s="105">
        <f t="shared" si="18"/>
        <v>6.4151928772169609E-4</v>
      </c>
      <c r="K144">
        <f t="shared" si="19"/>
        <v>2173</v>
      </c>
      <c r="L144"/>
      <c r="M144"/>
      <c r="N144"/>
      <c r="O144"/>
      <c r="P144"/>
      <c r="Q144"/>
      <c r="R144"/>
      <c r="S144"/>
      <c r="T144"/>
    </row>
    <row r="145" spans="1:20" outlineLevel="4" x14ac:dyDescent="0.3">
      <c r="A145" s="82" t="s">
        <v>476</v>
      </c>
      <c r="B145" s="10" t="s">
        <v>477</v>
      </c>
      <c r="C145" s="60" t="s">
        <v>478</v>
      </c>
      <c r="D145" s="44" t="s">
        <v>80</v>
      </c>
      <c r="E145" s="84">
        <v>74</v>
      </c>
      <c r="F145" s="84"/>
      <c r="G145" s="94">
        <f t="shared" si="16"/>
        <v>1</v>
      </c>
      <c r="H145" s="84">
        <v>58</v>
      </c>
      <c r="I145" s="84">
        <f t="shared" si="17"/>
        <v>4292</v>
      </c>
      <c r="J145" s="105">
        <f t="shared" si="18"/>
        <v>1.2670965406817855E-3</v>
      </c>
      <c r="K145">
        <f t="shared" si="19"/>
        <v>4292</v>
      </c>
      <c r="L145"/>
      <c r="M145"/>
      <c r="N145"/>
      <c r="O145"/>
      <c r="P145"/>
      <c r="Q145"/>
      <c r="R145"/>
      <c r="S145"/>
      <c r="T145"/>
    </row>
    <row r="146" spans="1:20" outlineLevel="4" x14ac:dyDescent="0.3">
      <c r="A146" s="82" t="s">
        <v>479</v>
      </c>
      <c r="B146" s="10" t="s">
        <v>480</v>
      </c>
      <c r="C146" s="60" t="s">
        <v>481</v>
      </c>
      <c r="D146" s="44" t="s">
        <v>80</v>
      </c>
      <c r="E146" s="84">
        <v>0</v>
      </c>
      <c r="F146" s="84"/>
      <c r="G146" s="94">
        <f t="shared" si="16"/>
        <v>1</v>
      </c>
      <c r="H146" s="84">
        <v>100</v>
      </c>
      <c r="I146" s="84">
        <f t="shared" si="17"/>
        <v>0</v>
      </c>
      <c r="J146" s="105">
        <f t="shared" si="18"/>
        <v>0</v>
      </c>
      <c r="K146">
        <f t="shared" si="19"/>
        <v>0</v>
      </c>
      <c r="L146"/>
      <c r="M146"/>
      <c r="N146"/>
      <c r="O146"/>
      <c r="P146"/>
      <c r="Q146"/>
      <c r="R146"/>
      <c r="S146"/>
      <c r="T146"/>
    </row>
    <row r="147" spans="1:20" outlineLevel="4" x14ac:dyDescent="0.3">
      <c r="A147" s="82" t="s">
        <v>482</v>
      </c>
      <c r="B147" s="10" t="s">
        <v>483</v>
      </c>
      <c r="C147" s="60" t="s">
        <v>484</v>
      </c>
      <c r="D147" s="44" t="s">
        <v>80</v>
      </c>
      <c r="E147" s="84">
        <v>0</v>
      </c>
      <c r="F147" s="84"/>
      <c r="G147" s="94">
        <f t="shared" si="16"/>
        <v>1</v>
      </c>
      <c r="H147" s="84">
        <v>120</v>
      </c>
      <c r="I147" s="84">
        <f t="shared" si="17"/>
        <v>0</v>
      </c>
      <c r="J147" s="105">
        <f t="shared" si="18"/>
        <v>0</v>
      </c>
      <c r="K147">
        <f t="shared" si="19"/>
        <v>0</v>
      </c>
      <c r="L147"/>
      <c r="M147"/>
      <c r="N147"/>
      <c r="O147"/>
      <c r="P147"/>
      <c r="Q147"/>
      <c r="R147"/>
      <c r="S147"/>
      <c r="T147"/>
    </row>
    <row r="148" spans="1:20" outlineLevel="4" x14ac:dyDescent="0.3">
      <c r="A148" s="82" t="s">
        <v>485</v>
      </c>
      <c r="B148" s="10" t="s">
        <v>486</v>
      </c>
      <c r="C148" s="60" t="s">
        <v>487</v>
      </c>
      <c r="D148" s="44" t="s">
        <v>121</v>
      </c>
      <c r="E148" s="84">
        <v>1</v>
      </c>
      <c r="F148" s="84"/>
      <c r="G148" s="94">
        <f t="shared" si="16"/>
        <v>1</v>
      </c>
      <c r="H148" s="84">
        <v>120</v>
      </c>
      <c r="I148" s="84">
        <f t="shared" si="17"/>
        <v>120</v>
      </c>
      <c r="J148" s="105">
        <f t="shared" si="18"/>
        <v>3.5426743914681791E-5</v>
      </c>
      <c r="K148">
        <f t="shared" si="19"/>
        <v>120</v>
      </c>
      <c r="L148"/>
      <c r="M148"/>
      <c r="N148"/>
      <c r="O148"/>
      <c r="P148"/>
      <c r="Q148"/>
      <c r="R148"/>
      <c r="S148"/>
      <c r="T148"/>
    </row>
    <row r="149" spans="1:20" outlineLevel="4" x14ac:dyDescent="0.3">
      <c r="A149" s="82" t="s">
        <v>488</v>
      </c>
      <c r="B149" s="10" t="s">
        <v>489</v>
      </c>
      <c r="C149" s="60" t="s">
        <v>490</v>
      </c>
      <c r="D149" s="44" t="s">
        <v>121</v>
      </c>
      <c r="E149" s="84">
        <v>1</v>
      </c>
      <c r="F149" s="84"/>
      <c r="G149" s="94">
        <f t="shared" si="16"/>
        <v>1</v>
      </c>
      <c r="H149" s="84">
        <v>120</v>
      </c>
      <c r="I149" s="84">
        <f t="shared" si="17"/>
        <v>120</v>
      </c>
      <c r="J149" s="105">
        <f t="shared" si="18"/>
        <v>3.5426743914681791E-5</v>
      </c>
      <c r="K149">
        <f t="shared" si="19"/>
        <v>120</v>
      </c>
      <c r="L149"/>
      <c r="M149"/>
      <c r="N149"/>
      <c r="O149"/>
      <c r="P149"/>
      <c r="Q149"/>
      <c r="R149"/>
      <c r="S149"/>
      <c r="T149"/>
    </row>
    <row r="150" spans="1:20" outlineLevel="4" x14ac:dyDescent="0.3">
      <c r="A150" s="82" t="s">
        <v>491</v>
      </c>
      <c r="B150" s="10" t="s">
        <v>492</v>
      </c>
      <c r="C150" s="60" t="s">
        <v>493</v>
      </c>
      <c r="D150" s="44" t="s">
        <v>121</v>
      </c>
      <c r="E150" s="84">
        <v>0</v>
      </c>
      <c r="F150" s="84"/>
      <c r="G150" s="94">
        <f t="shared" si="16"/>
        <v>1</v>
      </c>
      <c r="H150" s="84">
        <v>150</v>
      </c>
      <c r="I150" s="84">
        <f t="shared" si="17"/>
        <v>0</v>
      </c>
      <c r="J150" s="105">
        <f t="shared" si="18"/>
        <v>0</v>
      </c>
      <c r="K150">
        <f t="shared" si="19"/>
        <v>0</v>
      </c>
      <c r="L150"/>
      <c r="M150"/>
      <c r="N150"/>
      <c r="O150"/>
      <c r="P150"/>
      <c r="Q150"/>
      <c r="R150"/>
      <c r="S150"/>
      <c r="T150"/>
    </row>
    <row r="151" spans="1:20" outlineLevel="4" x14ac:dyDescent="0.3">
      <c r="A151" s="82" t="s">
        <v>494</v>
      </c>
      <c r="B151" s="10" t="s">
        <v>495</v>
      </c>
      <c r="C151" s="60" t="s">
        <v>496</v>
      </c>
      <c r="D151" s="44" t="s">
        <v>121</v>
      </c>
      <c r="E151" s="84">
        <v>0</v>
      </c>
      <c r="F151" s="84"/>
      <c r="G151" s="94">
        <f t="shared" si="16"/>
        <v>1</v>
      </c>
      <c r="H151" s="84">
        <v>150</v>
      </c>
      <c r="I151" s="84">
        <f t="shared" si="17"/>
        <v>0</v>
      </c>
      <c r="J151" s="105">
        <f t="shared" si="18"/>
        <v>0</v>
      </c>
      <c r="K151">
        <f t="shared" si="19"/>
        <v>0</v>
      </c>
      <c r="L151"/>
      <c r="M151"/>
      <c r="N151"/>
      <c r="O151"/>
      <c r="P151"/>
      <c r="Q151"/>
      <c r="R151"/>
      <c r="S151"/>
      <c r="T151"/>
    </row>
    <row r="152" spans="1:20" outlineLevel="4" x14ac:dyDescent="0.3">
      <c r="A152" s="82" t="s">
        <v>497</v>
      </c>
      <c r="B152" s="10" t="s">
        <v>498</v>
      </c>
      <c r="C152" s="60" t="s">
        <v>499</v>
      </c>
      <c r="D152" s="44" t="s">
        <v>80</v>
      </c>
      <c r="E152" s="84">
        <v>64</v>
      </c>
      <c r="F152" s="84"/>
      <c r="G152" s="94">
        <f t="shared" si="16"/>
        <v>1</v>
      </c>
      <c r="H152" s="84">
        <v>97</v>
      </c>
      <c r="I152" s="84">
        <f t="shared" si="17"/>
        <v>6208</v>
      </c>
      <c r="J152" s="105">
        <f t="shared" si="18"/>
        <v>1.8327435518528713E-3</v>
      </c>
      <c r="K152">
        <f t="shared" si="19"/>
        <v>6208</v>
      </c>
      <c r="L152"/>
      <c r="M152"/>
      <c r="N152"/>
      <c r="O152"/>
      <c r="P152"/>
      <c r="Q152"/>
      <c r="R152"/>
      <c r="S152"/>
      <c r="T152"/>
    </row>
    <row r="153" spans="1:20" outlineLevel="3" x14ac:dyDescent="0.3">
      <c r="A153" s="82" t="s">
        <v>500</v>
      </c>
      <c r="B153" s="10" t="s">
        <v>501</v>
      </c>
      <c r="C153" s="60" t="s">
        <v>502</v>
      </c>
      <c r="D153" s="44" t="s">
        <v>80</v>
      </c>
      <c r="E153" s="84">
        <v>0</v>
      </c>
      <c r="F153" s="84"/>
      <c r="G153" s="94">
        <f t="shared" si="16"/>
        <v>1</v>
      </c>
      <c r="H153" s="84">
        <v>51</v>
      </c>
      <c r="I153" s="84">
        <f t="shared" si="17"/>
        <v>0</v>
      </c>
      <c r="J153" s="105">
        <f t="shared" si="18"/>
        <v>0</v>
      </c>
      <c r="K153">
        <f t="shared" si="19"/>
        <v>0</v>
      </c>
      <c r="L153"/>
      <c r="M153"/>
      <c r="N153"/>
      <c r="O153"/>
      <c r="P153"/>
      <c r="Q153"/>
      <c r="R153"/>
      <c r="S153"/>
      <c r="T153"/>
    </row>
    <row r="154" spans="1:20" outlineLevel="3" x14ac:dyDescent="0.3">
      <c r="A154" s="82" t="s">
        <v>503</v>
      </c>
      <c r="B154" s="10" t="s">
        <v>504</v>
      </c>
      <c r="C154" s="60" t="s">
        <v>505</v>
      </c>
      <c r="D154" s="44" t="s">
        <v>80</v>
      </c>
      <c r="E154" s="84">
        <v>0</v>
      </c>
      <c r="F154" s="84"/>
      <c r="G154" s="94">
        <f t="shared" si="16"/>
        <v>1</v>
      </c>
      <c r="H154" s="84">
        <v>20</v>
      </c>
      <c r="I154" s="84">
        <f t="shared" si="17"/>
        <v>0</v>
      </c>
      <c r="J154" s="105">
        <f t="shared" si="18"/>
        <v>0</v>
      </c>
      <c r="K154">
        <f t="shared" si="19"/>
        <v>0</v>
      </c>
      <c r="L154"/>
      <c r="M154"/>
      <c r="N154"/>
      <c r="O154"/>
      <c r="P154"/>
      <c r="Q154"/>
      <c r="R154"/>
      <c r="S154"/>
      <c r="T154"/>
    </row>
    <row r="155" spans="1:20" ht="28.8" outlineLevel="3" x14ac:dyDescent="0.3">
      <c r="A155" s="82" t="s">
        <v>506</v>
      </c>
      <c r="B155" s="10" t="s">
        <v>507</v>
      </c>
      <c r="C155" s="60" t="s">
        <v>508</v>
      </c>
      <c r="D155" s="44" t="s">
        <v>80</v>
      </c>
      <c r="E155" s="84">
        <v>0</v>
      </c>
      <c r="F155" s="84"/>
      <c r="G155" s="94">
        <f t="shared" si="16"/>
        <v>1</v>
      </c>
      <c r="H155" s="84">
        <v>31</v>
      </c>
      <c r="I155" s="84">
        <f t="shared" si="17"/>
        <v>0</v>
      </c>
      <c r="J155" s="105">
        <f t="shared" si="18"/>
        <v>0</v>
      </c>
      <c r="K155">
        <f t="shared" si="19"/>
        <v>0</v>
      </c>
      <c r="L155"/>
      <c r="M155"/>
      <c r="N155"/>
      <c r="O155"/>
      <c r="P155"/>
      <c r="Q155"/>
      <c r="R155"/>
      <c r="S155"/>
      <c r="T155"/>
    </row>
    <row r="156" spans="1:20" outlineLevel="3" x14ac:dyDescent="0.3">
      <c r="A156" s="82" t="s">
        <v>509</v>
      </c>
      <c r="B156" s="10" t="s">
        <v>510</v>
      </c>
      <c r="C156" s="60" t="s">
        <v>511</v>
      </c>
      <c r="D156" s="44" t="s">
        <v>80</v>
      </c>
      <c r="E156" s="84">
        <v>0</v>
      </c>
      <c r="F156" s="84"/>
      <c r="G156" s="94">
        <f t="shared" si="16"/>
        <v>1</v>
      </c>
      <c r="H156" s="84">
        <v>14</v>
      </c>
      <c r="I156" s="84">
        <f t="shared" si="17"/>
        <v>0</v>
      </c>
      <c r="J156" s="105">
        <f t="shared" si="18"/>
        <v>0</v>
      </c>
      <c r="K156">
        <f t="shared" si="19"/>
        <v>0</v>
      </c>
      <c r="L156"/>
      <c r="M156"/>
      <c r="N156"/>
      <c r="O156"/>
      <c r="P156"/>
      <c r="Q156"/>
      <c r="R156"/>
      <c r="S156"/>
      <c r="T156"/>
    </row>
    <row r="157" spans="1:20" ht="28.8" outlineLevel="3" x14ac:dyDescent="0.3">
      <c r="A157" s="82" t="s">
        <v>512</v>
      </c>
      <c r="B157" s="10" t="s">
        <v>513</v>
      </c>
      <c r="C157" s="60" t="s">
        <v>514</v>
      </c>
      <c r="D157" s="44" t="s">
        <v>80</v>
      </c>
      <c r="E157" s="84">
        <v>391</v>
      </c>
      <c r="F157" s="84"/>
      <c r="G157" s="94">
        <f t="shared" si="16"/>
        <v>1</v>
      </c>
      <c r="H157" s="84">
        <v>59</v>
      </c>
      <c r="I157" s="84">
        <f t="shared" si="17"/>
        <v>23069</v>
      </c>
      <c r="J157" s="105">
        <f t="shared" si="18"/>
        <v>6.8104962947316185E-3</v>
      </c>
      <c r="K157">
        <f t="shared" si="19"/>
        <v>23069</v>
      </c>
      <c r="L157"/>
      <c r="M157"/>
      <c r="N157"/>
      <c r="O157"/>
      <c r="P157"/>
      <c r="Q157"/>
      <c r="R157"/>
      <c r="S157"/>
      <c r="T157"/>
    </row>
    <row r="158" spans="1:20" outlineLevel="3" x14ac:dyDescent="0.3">
      <c r="A158" s="82" t="s">
        <v>515</v>
      </c>
      <c r="B158" s="10" t="s">
        <v>516</v>
      </c>
      <c r="C158" s="60" t="s">
        <v>517</v>
      </c>
      <c r="D158" s="44" t="s">
        <v>80</v>
      </c>
      <c r="E158" s="84">
        <v>376</v>
      </c>
      <c r="F158" s="84"/>
      <c r="G158" s="94">
        <f t="shared" si="16"/>
        <v>1</v>
      </c>
      <c r="H158" s="84">
        <v>30</v>
      </c>
      <c r="I158" s="84">
        <f t="shared" si="17"/>
        <v>11280</v>
      </c>
      <c r="J158" s="105">
        <f t="shared" si="18"/>
        <v>3.3301139279800886E-3</v>
      </c>
      <c r="K158">
        <f t="shared" si="19"/>
        <v>11280</v>
      </c>
      <c r="L158"/>
      <c r="M158"/>
      <c r="N158"/>
      <c r="O158"/>
      <c r="P158"/>
      <c r="Q158"/>
      <c r="R158"/>
      <c r="S158"/>
      <c r="T158"/>
    </row>
    <row r="159" spans="1:20" ht="24.6" outlineLevel="3" x14ac:dyDescent="0.3">
      <c r="A159" s="82" t="s">
        <v>518</v>
      </c>
      <c r="B159" s="58" t="s">
        <v>519</v>
      </c>
      <c r="C159" s="61" t="s">
        <v>520</v>
      </c>
      <c r="D159" s="115"/>
      <c r="E159" s="87"/>
      <c r="F159" s="87"/>
      <c r="G159" s="97"/>
      <c r="H159" s="87" t="s">
        <v>60</v>
      </c>
      <c r="I159" s="104">
        <f>SUBTOTAL(9,K160:K164)</f>
        <v>36160</v>
      </c>
      <c r="J159" s="108"/>
      <c r="K159"/>
      <c r="L159"/>
      <c r="M159"/>
      <c r="N159"/>
      <c r="O159"/>
      <c r="P159"/>
      <c r="Q159"/>
      <c r="R159"/>
      <c r="S159"/>
      <c r="T159"/>
    </row>
    <row r="160" spans="1:20" outlineLevel="4" x14ac:dyDescent="0.3">
      <c r="A160" s="82" t="s">
        <v>521</v>
      </c>
      <c r="B160" s="10" t="s">
        <v>522</v>
      </c>
      <c r="C160" s="60" t="s">
        <v>523</v>
      </c>
      <c r="D160" s="44" t="s">
        <v>121</v>
      </c>
      <c r="E160" s="84">
        <v>59</v>
      </c>
      <c r="F160" s="84"/>
      <c r="G160" s="94">
        <f>cell_CoefGeneral</f>
        <v>1</v>
      </c>
      <c r="H160" s="84">
        <v>460</v>
      </c>
      <c r="I160" s="84">
        <f>IFERROR(ROUND(E160*H160,2),"-")</f>
        <v>27140</v>
      </c>
      <c r="J160" s="105">
        <f>IFERROR(I160/cell_Total_HT,"-")</f>
        <v>8.0123485820371987E-3</v>
      </c>
      <c r="K160">
        <f>I160</f>
        <v>27140</v>
      </c>
      <c r="L160"/>
      <c r="M160"/>
      <c r="N160"/>
      <c r="O160"/>
      <c r="P160"/>
      <c r="Q160"/>
      <c r="R160"/>
      <c r="S160"/>
      <c r="T160"/>
    </row>
    <row r="161" spans="1:20" outlineLevel="4" x14ac:dyDescent="0.3">
      <c r="A161" s="82" t="s">
        <v>524</v>
      </c>
      <c r="B161" s="10" t="s">
        <v>525</v>
      </c>
      <c r="C161" s="60" t="s">
        <v>526</v>
      </c>
      <c r="D161" s="44" t="s">
        <v>121</v>
      </c>
      <c r="E161" s="84">
        <v>2</v>
      </c>
      <c r="F161" s="84"/>
      <c r="G161" s="94">
        <f>cell_CoefGeneral</f>
        <v>1</v>
      </c>
      <c r="H161" s="84">
        <v>920</v>
      </c>
      <c r="I161" s="84">
        <f>IFERROR(ROUND(E161*H161,2),"-")</f>
        <v>1840</v>
      </c>
      <c r="J161" s="105">
        <f>IFERROR(I161/cell_Total_HT,"-")</f>
        <v>5.432100733584541E-4</v>
      </c>
      <c r="K161">
        <f>I161</f>
        <v>1840</v>
      </c>
      <c r="L161"/>
      <c r="M161"/>
      <c r="N161"/>
      <c r="O161"/>
      <c r="P161"/>
      <c r="Q161"/>
      <c r="R161"/>
      <c r="S161"/>
      <c r="T161"/>
    </row>
    <row r="162" spans="1:20" outlineLevel="4" x14ac:dyDescent="0.3">
      <c r="A162" s="82" t="s">
        <v>527</v>
      </c>
      <c r="B162" s="10" t="s">
        <v>528</v>
      </c>
      <c r="C162" s="60" t="s">
        <v>529</v>
      </c>
      <c r="D162" s="44" t="s">
        <v>121</v>
      </c>
      <c r="E162" s="84">
        <v>2</v>
      </c>
      <c r="F162" s="84"/>
      <c r="G162" s="94">
        <f>cell_CoefGeneral</f>
        <v>1</v>
      </c>
      <c r="H162" s="84">
        <v>790</v>
      </c>
      <c r="I162" s="84">
        <f>IFERROR(ROUND(E162*H162,2),"-")</f>
        <v>1580</v>
      </c>
      <c r="J162" s="105">
        <f>IFERROR(I162/cell_Total_HT,"-")</f>
        <v>4.6645212820997694E-4</v>
      </c>
      <c r="K162">
        <f>I162</f>
        <v>1580</v>
      </c>
      <c r="L162"/>
      <c r="M162"/>
      <c r="N162"/>
      <c r="O162"/>
      <c r="P162"/>
      <c r="Q162"/>
      <c r="R162"/>
      <c r="S162"/>
      <c r="T162"/>
    </row>
    <row r="163" spans="1:20" outlineLevel="4" x14ac:dyDescent="0.3">
      <c r="A163" s="82" t="s">
        <v>530</v>
      </c>
      <c r="B163" s="10" t="s">
        <v>531</v>
      </c>
      <c r="C163" s="60" t="s">
        <v>532</v>
      </c>
      <c r="D163" s="44" t="s">
        <v>121</v>
      </c>
      <c r="E163" s="84">
        <v>1</v>
      </c>
      <c r="F163" s="84"/>
      <c r="G163" s="94">
        <f>cell_CoefGeneral</f>
        <v>1</v>
      </c>
      <c r="H163" s="84">
        <v>350</v>
      </c>
      <c r="I163" s="84">
        <f>IFERROR(ROUND(E163*H163,2),"-")</f>
        <v>350</v>
      </c>
      <c r="J163" s="105">
        <f>IFERROR(I163/cell_Total_HT,"-")</f>
        <v>1.0332800308448855E-4</v>
      </c>
      <c r="K163">
        <f>I163</f>
        <v>350</v>
      </c>
      <c r="L163"/>
      <c r="M163"/>
      <c r="N163"/>
      <c r="O163"/>
      <c r="P163"/>
      <c r="Q163"/>
      <c r="R163"/>
      <c r="S163"/>
      <c r="T163"/>
    </row>
    <row r="164" spans="1:20" outlineLevel="4" x14ac:dyDescent="0.3">
      <c r="A164" s="82" t="s">
        <v>533</v>
      </c>
      <c r="B164" s="10" t="s">
        <v>534</v>
      </c>
      <c r="C164" s="60" t="s">
        <v>535</v>
      </c>
      <c r="D164" s="44" t="s">
        <v>80</v>
      </c>
      <c r="E164" s="84">
        <v>21</v>
      </c>
      <c r="F164" s="84"/>
      <c r="G164" s="94">
        <f>cell_CoefGeneral</f>
        <v>1</v>
      </c>
      <c r="H164" s="84">
        <v>250</v>
      </c>
      <c r="I164" s="84">
        <f>IFERROR(ROUND(E164*H164,2),"-")</f>
        <v>5250</v>
      </c>
      <c r="J164" s="105">
        <f>IFERROR(I164/cell_Total_HT,"-")</f>
        <v>1.5499200462673285E-3</v>
      </c>
      <c r="K164">
        <f>I164</f>
        <v>5250</v>
      </c>
      <c r="L164"/>
      <c r="M164"/>
      <c r="N164"/>
      <c r="O164"/>
      <c r="P164"/>
      <c r="Q164"/>
      <c r="R164"/>
      <c r="S164"/>
      <c r="T164"/>
    </row>
    <row r="165" spans="1:20" outlineLevel="3" x14ac:dyDescent="0.3">
      <c r="A165" s="82" t="s">
        <v>536</v>
      </c>
      <c r="B165" s="58" t="s">
        <v>537</v>
      </c>
      <c r="C165" s="61" t="s">
        <v>538</v>
      </c>
      <c r="D165" s="115"/>
      <c r="E165" s="87"/>
      <c r="F165" s="87"/>
      <c r="G165" s="97"/>
      <c r="H165" s="87" t="s">
        <v>60</v>
      </c>
      <c r="I165" s="104">
        <f>SUBTOTAL(9,K166:K166)</f>
        <v>3168</v>
      </c>
      <c r="J165" s="108"/>
      <c r="K165"/>
      <c r="L165"/>
      <c r="M165"/>
      <c r="N165"/>
      <c r="O165"/>
      <c r="P165"/>
      <c r="Q165"/>
      <c r="R165"/>
      <c r="S165"/>
      <c r="T165"/>
    </row>
    <row r="166" spans="1:20" ht="15" outlineLevel="4" thickBot="1" x14ac:dyDescent="0.35">
      <c r="A166" s="82" t="s">
        <v>539</v>
      </c>
      <c r="B166" s="10" t="s">
        <v>540</v>
      </c>
      <c r="C166" s="60" t="s">
        <v>541</v>
      </c>
      <c r="D166" s="44" t="s">
        <v>80</v>
      </c>
      <c r="E166" s="84">
        <v>88</v>
      </c>
      <c r="F166" s="84"/>
      <c r="G166" s="94">
        <f>cell_CoefGeneral</f>
        <v>1</v>
      </c>
      <c r="H166" s="84">
        <v>36</v>
      </c>
      <c r="I166" s="84">
        <f>IFERROR(ROUND(E166*H166,2),"-")</f>
        <v>3168</v>
      </c>
      <c r="J166" s="105">
        <f>IFERROR(I166/cell_Total_HT,"-")</f>
        <v>9.3526603934759932E-4</v>
      </c>
      <c r="K166">
        <f>I166</f>
        <v>3168</v>
      </c>
      <c r="L166"/>
      <c r="M166"/>
      <c r="N166"/>
      <c r="O166"/>
      <c r="P166"/>
      <c r="Q166"/>
      <c r="R166"/>
      <c r="S166"/>
      <c r="T166"/>
    </row>
    <row r="167" spans="1:20" ht="15" outlineLevel="2" thickTop="1" x14ac:dyDescent="0.3">
      <c r="A167" s="82" t="s">
        <v>542</v>
      </c>
      <c r="B167" s="62" t="s">
        <v>60</v>
      </c>
      <c r="C167" s="63" t="s">
        <v>543</v>
      </c>
      <c r="D167" s="116"/>
      <c r="E167" s="88"/>
      <c r="F167" s="88"/>
      <c r="G167" s="98"/>
      <c r="H167" s="88"/>
      <c r="I167" s="88">
        <f>SUBTOTAL(9,I143:I166)</f>
        <v>86590</v>
      </c>
      <c r="J167" s="109"/>
      <c r="K167"/>
      <c r="L167"/>
      <c r="M167"/>
      <c r="N167"/>
      <c r="O167"/>
      <c r="P167"/>
      <c r="Q167"/>
      <c r="R167"/>
      <c r="S167"/>
      <c r="T167"/>
    </row>
    <row r="168" spans="1:20" outlineLevel="2" x14ac:dyDescent="0.3">
      <c r="A168" s="82" t="s">
        <v>544</v>
      </c>
      <c r="B168" s="64" t="s">
        <v>545</v>
      </c>
      <c r="C168" s="65" t="s">
        <v>546</v>
      </c>
      <c r="D168" s="117"/>
      <c r="E168" s="87"/>
      <c r="F168" s="87"/>
      <c r="G168" s="97"/>
      <c r="H168" s="87"/>
      <c r="I168" s="104">
        <f>SUBTOTAL(9,K169:K182)</f>
        <v>1898</v>
      </c>
      <c r="J168" s="108"/>
      <c r="K168"/>
      <c r="L168"/>
      <c r="M168"/>
      <c r="N168"/>
      <c r="O168"/>
      <c r="P168"/>
      <c r="Q168"/>
      <c r="R168"/>
      <c r="S168"/>
      <c r="T168"/>
    </row>
    <row r="169" spans="1:20" outlineLevel="3" x14ac:dyDescent="0.3">
      <c r="A169" s="82" t="s">
        <v>547</v>
      </c>
      <c r="B169" s="10" t="s">
        <v>548</v>
      </c>
      <c r="C169" s="60" t="s">
        <v>549</v>
      </c>
      <c r="D169" s="44" t="s">
        <v>121</v>
      </c>
      <c r="E169" s="84">
        <v>0</v>
      </c>
      <c r="F169" s="84"/>
      <c r="G169" s="94">
        <f>cell_CoefGeneral</f>
        <v>1</v>
      </c>
      <c r="H169" s="84">
        <v>81</v>
      </c>
      <c r="I169" s="84">
        <f>IFERROR(ROUND(E169*H169,2),"-")</f>
        <v>0</v>
      </c>
      <c r="J169" s="105">
        <f>IFERROR(I169/cell_Total_HT,"-")</f>
        <v>0</v>
      </c>
      <c r="K169">
        <f>I169</f>
        <v>0</v>
      </c>
      <c r="L169"/>
      <c r="M169"/>
      <c r="N169"/>
      <c r="O169"/>
      <c r="P169"/>
      <c r="Q169"/>
      <c r="R169"/>
      <c r="S169"/>
      <c r="T169"/>
    </row>
    <row r="170" spans="1:20" outlineLevel="3" x14ac:dyDescent="0.3">
      <c r="A170" s="82" t="s">
        <v>550</v>
      </c>
      <c r="B170" s="10" t="s">
        <v>551</v>
      </c>
      <c r="C170" s="60" t="s">
        <v>552</v>
      </c>
      <c r="D170" s="44" t="s">
        <v>121</v>
      </c>
      <c r="E170" s="84">
        <v>0</v>
      </c>
      <c r="F170" s="84"/>
      <c r="G170" s="94">
        <f>cell_CoefGeneral</f>
        <v>1</v>
      </c>
      <c r="H170" s="84">
        <v>150</v>
      </c>
      <c r="I170" s="84">
        <f>IFERROR(ROUND(E170*H170,2),"-")</f>
        <v>0</v>
      </c>
      <c r="J170" s="105">
        <f>IFERROR(I170/cell_Total_HT,"-")</f>
        <v>0</v>
      </c>
      <c r="K170">
        <f>I170</f>
        <v>0</v>
      </c>
      <c r="L170"/>
      <c r="M170"/>
      <c r="N170"/>
      <c r="O170"/>
      <c r="P170"/>
      <c r="Q170"/>
      <c r="R170"/>
      <c r="S170"/>
      <c r="T170"/>
    </row>
    <row r="171" spans="1:20" outlineLevel="3" x14ac:dyDescent="0.3">
      <c r="A171" s="82" t="s">
        <v>553</v>
      </c>
      <c r="B171" s="58" t="s">
        <v>554</v>
      </c>
      <c r="C171" s="61" t="s">
        <v>555</v>
      </c>
      <c r="D171" s="115"/>
      <c r="E171" s="87"/>
      <c r="F171" s="87"/>
      <c r="G171" s="97"/>
      <c r="H171" s="87" t="s">
        <v>60</v>
      </c>
      <c r="I171" s="104">
        <f>SUBTOTAL(9,K172:K173)</f>
        <v>0</v>
      </c>
      <c r="J171" s="108"/>
      <c r="K171"/>
      <c r="L171"/>
      <c r="M171"/>
      <c r="N171"/>
      <c r="O171"/>
      <c r="P171"/>
      <c r="Q171"/>
      <c r="R171"/>
      <c r="S171"/>
      <c r="T171"/>
    </row>
    <row r="172" spans="1:20" outlineLevel="4" x14ac:dyDescent="0.3">
      <c r="A172" s="82" t="s">
        <v>556</v>
      </c>
      <c r="B172" s="10" t="s">
        <v>557</v>
      </c>
      <c r="C172" s="60" t="s">
        <v>558</v>
      </c>
      <c r="D172" s="44" t="s">
        <v>121</v>
      </c>
      <c r="E172" s="84">
        <v>0</v>
      </c>
      <c r="F172" s="84"/>
      <c r="G172" s="94">
        <f>cell_CoefGeneral</f>
        <v>1</v>
      </c>
      <c r="H172" s="84">
        <v>160</v>
      </c>
      <c r="I172" s="84">
        <f>IFERROR(ROUND(E172*H172,2),"-")</f>
        <v>0</v>
      </c>
      <c r="J172" s="105">
        <f>IFERROR(I172/cell_Total_HT,"-")</f>
        <v>0</v>
      </c>
      <c r="K172">
        <f>I172</f>
        <v>0</v>
      </c>
      <c r="L172"/>
      <c r="M172"/>
      <c r="N172"/>
      <c r="O172"/>
      <c r="P172"/>
      <c r="Q172"/>
      <c r="R172"/>
      <c r="S172"/>
      <c r="T172"/>
    </row>
    <row r="173" spans="1:20" outlineLevel="4" x14ac:dyDescent="0.3">
      <c r="A173" s="82" t="s">
        <v>559</v>
      </c>
      <c r="B173" s="10" t="s">
        <v>560</v>
      </c>
      <c r="C173" s="60" t="s">
        <v>561</v>
      </c>
      <c r="D173" s="44" t="s">
        <v>121</v>
      </c>
      <c r="E173" s="84">
        <v>0</v>
      </c>
      <c r="F173" s="84"/>
      <c r="G173" s="94">
        <f>cell_CoefGeneral</f>
        <v>1</v>
      </c>
      <c r="H173" s="84">
        <v>200</v>
      </c>
      <c r="I173" s="84">
        <f>IFERROR(ROUND(E173*H173,2),"-")</f>
        <v>0</v>
      </c>
      <c r="J173" s="105">
        <f>IFERROR(I173/cell_Total_HT,"-")</f>
        <v>0</v>
      </c>
      <c r="K173">
        <f>I173</f>
        <v>0</v>
      </c>
      <c r="L173"/>
      <c r="M173"/>
      <c r="N173"/>
      <c r="O173"/>
      <c r="P173"/>
      <c r="Q173"/>
      <c r="R173"/>
      <c r="S173"/>
      <c r="T173"/>
    </row>
    <row r="174" spans="1:20" outlineLevel="3" x14ac:dyDescent="0.3">
      <c r="A174" s="82" t="s">
        <v>562</v>
      </c>
      <c r="B174" s="58" t="s">
        <v>563</v>
      </c>
      <c r="C174" s="61" t="s">
        <v>564</v>
      </c>
      <c r="D174" s="115"/>
      <c r="E174" s="87"/>
      <c r="F174" s="87"/>
      <c r="G174" s="97"/>
      <c r="H174" s="87" t="s">
        <v>60</v>
      </c>
      <c r="I174" s="104">
        <f>SUBTOTAL(9,K175:K177)</f>
        <v>380</v>
      </c>
      <c r="J174" s="108"/>
      <c r="K174"/>
      <c r="L174"/>
      <c r="M174"/>
      <c r="N174"/>
      <c r="O174"/>
      <c r="P174"/>
      <c r="Q174"/>
      <c r="R174"/>
      <c r="S174"/>
      <c r="T174"/>
    </row>
    <row r="175" spans="1:20" outlineLevel="4" x14ac:dyDescent="0.3">
      <c r="A175" s="82" t="s">
        <v>565</v>
      </c>
      <c r="B175" s="10" t="s">
        <v>566</v>
      </c>
      <c r="C175" s="60" t="s">
        <v>567</v>
      </c>
      <c r="D175" s="44" t="s">
        <v>121</v>
      </c>
      <c r="E175" s="84">
        <v>1</v>
      </c>
      <c r="F175" s="84"/>
      <c r="G175" s="94">
        <f>cell_CoefGeneral</f>
        <v>1</v>
      </c>
      <c r="H175" s="84">
        <v>190</v>
      </c>
      <c r="I175" s="84">
        <f>IFERROR(ROUND(E175*H175,2),"-")</f>
        <v>190</v>
      </c>
      <c r="J175" s="105">
        <f>IFERROR(I175/cell_Total_HT,"-")</f>
        <v>5.6092344531579506E-5</v>
      </c>
      <c r="K175">
        <f>I175</f>
        <v>190</v>
      </c>
      <c r="L175"/>
      <c r="M175"/>
      <c r="N175"/>
      <c r="O175"/>
      <c r="P175"/>
      <c r="Q175"/>
      <c r="R175"/>
      <c r="S175"/>
      <c r="T175"/>
    </row>
    <row r="176" spans="1:20" outlineLevel="4" x14ac:dyDescent="0.3">
      <c r="A176" s="82" t="s">
        <v>568</v>
      </c>
      <c r="B176" s="10" t="s">
        <v>569</v>
      </c>
      <c r="C176" s="60" t="s">
        <v>558</v>
      </c>
      <c r="D176" s="44" t="s">
        <v>121</v>
      </c>
      <c r="E176" s="84">
        <v>0</v>
      </c>
      <c r="F176" s="84"/>
      <c r="G176" s="94">
        <f>cell_CoefGeneral</f>
        <v>1</v>
      </c>
      <c r="H176" s="84">
        <v>170</v>
      </c>
      <c r="I176" s="84">
        <f>IFERROR(ROUND(E176*H176,2),"-")</f>
        <v>0</v>
      </c>
      <c r="J176" s="105">
        <f>IFERROR(I176/cell_Total_HT,"-")</f>
        <v>0</v>
      </c>
      <c r="K176">
        <f>I176</f>
        <v>0</v>
      </c>
      <c r="L176"/>
      <c r="M176"/>
      <c r="N176"/>
      <c r="O176"/>
      <c r="P176"/>
      <c r="Q176"/>
      <c r="R176"/>
      <c r="S176"/>
      <c r="T176"/>
    </row>
    <row r="177" spans="1:20" outlineLevel="4" x14ac:dyDescent="0.3">
      <c r="A177" s="82" t="s">
        <v>570</v>
      </c>
      <c r="B177" s="10" t="s">
        <v>571</v>
      </c>
      <c r="C177" s="60" t="s">
        <v>561</v>
      </c>
      <c r="D177" s="44" t="s">
        <v>121</v>
      </c>
      <c r="E177" s="84">
        <v>1</v>
      </c>
      <c r="F177" s="84"/>
      <c r="G177" s="94">
        <f>cell_CoefGeneral</f>
        <v>1</v>
      </c>
      <c r="H177" s="84">
        <v>190</v>
      </c>
      <c r="I177" s="84">
        <f>IFERROR(ROUND(E177*H177,2),"-")</f>
        <v>190</v>
      </c>
      <c r="J177" s="105">
        <f>IFERROR(I177/cell_Total_HT,"-")</f>
        <v>5.6092344531579506E-5</v>
      </c>
      <c r="K177">
        <f>I177</f>
        <v>190</v>
      </c>
      <c r="L177"/>
      <c r="M177"/>
      <c r="N177"/>
      <c r="O177"/>
      <c r="P177"/>
      <c r="Q177"/>
      <c r="R177"/>
      <c r="S177"/>
      <c r="T177"/>
    </row>
    <row r="178" spans="1:20" outlineLevel="3" x14ac:dyDescent="0.3">
      <c r="A178" s="82" t="s">
        <v>572</v>
      </c>
      <c r="B178" s="58" t="s">
        <v>573</v>
      </c>
      <c r="C178" s="61" t="s">
        <v>574</v>
      </c>
      <c r="D178" s="115"/>
      <c r="E178" s="87"/>
      <c r="F178" s="87"/>
      <c r="G178" s="97"/>
      <c r="H178" s="87" t="s">
        <v>60</v>
      </c>
      <c r="I178" s="104">
        <f>SUBTOTAL(9,K179:K180)</f>
        <v>0</v>
      </c>
      <c r="J178" s="108"/>
      <c r="K178"/>
      <c r="L178"/>
      <c r="M178"/>
      <c r="N178"/>
      <c r="O178"/>
      <c r="P178"/>
      <c r="Q178"/>
      <c r="R178"/>
      <c r="S178"/>
      <c r="T178"/>
    </row>
    <row r="179" spans="1:20" outlineLevel="4" x14ac:dyDescent="0.3">
      <c r="A179" s="82" t="s">
        <v>575</v>
      </c>
      <c r="B179" s="10" t="s">
        <v>576</v>
      </c>
      <c r="C179" s="60" t="s">
        <v>577</v>
      </c>
      <c r="D179" s="44" t="s">
        <v>121</v>
      </c>
      <c r="E179" s="84">
        <v>0</v>
      </c>
      <c r="F179" s="84"/>
      <c r="G179" s="94">
        <f>cell_CoefGeneral</f>
        <v>1</v>
      </c>
      <c r="H179" s="84">
        <v>220</v>
      </c>
      <c r="I179" s="84">
        <f>IFERROR(ROUND(E179*H179,2),"-")</f>
        <v>0</v>
      </c>
      <c r="J179" s="105">
        <f>IFERROR(I179/cell_Total_HT,"-")</f>
        <v>0</v>
      </c>
      <c r="K179">
        <f>I179</f>
        <v>0</v>
      </c>
      <c r="L179"/>
      <c r="M179"/>
      <c r="N179"/>
      <c r="O179"/>
      <c r="P179"/>
      <c r="Q179"/>
      <c r="R179"/>
      <c r="S179"/>
      <c r="T179"/>
    </row>
    <row r="180" spans="1:20" outlineLevel="4" x14ac:dyDescent="0.3">
      <c r="A180" s="82" t="s">
        <v>578</v>
      </c>
      <c r="B180" s="10" t="s">
        <v>579</v>
      </c>
      <c r="C180" s="60" t="s">
        <v>580</v>
      </c>
      <c r="D180" s="44" t="s">
        <v>121</v>
      </c>
      <c r="E180" s="84">
        <v>0</v>
      </c>
      <c r="F180" s="84"/>
      <c r="G180" s="94">
        <f>cell_CoefGeneral</f>
        <v>1</v>
      </c>
      <c r="H180" s="84">
        <v>270</v>
      </c>
      <c r="I180" s="84">
        <f>IFERROR(ROUND(E180*H180,2),"-")</f>
        <v>0</v>
      </c>
      <c r="J180" s="105">
        <f>IFERROR(I180/cell_Total_HT,"-")</f>
        <v>0</v>
      </c>
      <c r="K180">
        <f>I180</f>
        <v>0</v>
      </c>
      <c r="L180"/>
      <c r="M180"/>
      <c r="N180"/>
      <c r="O180"/>
      <c r="P180"/>
      <c r="Q180"/>
      <c r="R180"/>
      <c r="S180"/>
      <c r="T180"/>
    </row>
    <row r="181" spans="1:20" outlineLevel="3" x14ac:dyDescent="0.3">
      <c r="A181" s="82" t="s">
        <v>581</v>
      </c>
      <c r="B181" s="10" t="s">
        <v>582</v>
      </c>
      <c r="C181" s="60" t="s">
        <v>583</v>
      </c>
      <c r="D181" s="44" t="s">
        <v>80</v>
      </c>
      <c r="E181" s="84">
        <v>66</v>
      </c>
      <c r="F181" s="84"/>
      <c r="G181" s="94">
        <f>cell_CoefGeneral</f>
        <v>1</v>
      </c>
      <c r="H181" s="84">
        <v>23</v>
      </c>
      <c r="I181" s="84">
        <f>IFERROR(ROUND(E181*H181,2),"-")</f>
        <v>1518</v>
      </c>
      <c r="J181" s="105">
        <f>IFERROR(I181/cell_Total_HT,"-")</f>
        <v>4.4814831052072469E-4</v>
      </c>
      <c r="K181">
        <f>I181</f>
        <v>1518</v>
      </c>
      <c r="L181"/>
      <c r="M181"/>
      <c r="N181"/>
      <c r="O181"/>
      <c r="P181"/>
      <c r="Q181"/>
      <c r="R181"/>
      <c r="S181"/>
      <c r="T181"/>
    </row>
    <row r="182" spans="1:20" ht="15" outlineLevel="3" thickBot="1" x14ac:dyDescent="0.35">
      <c r="A182" s="82" t="s">
        <v>584</v>
      </c>
      <c r="B182" s="10" t="s">
        <v>585</v>
      </c>
      <c r="C182" s="60" t="s">
        <v>586</v>
      </c>
      <c r="D182" s="44" t="s">
        <v>154</v>
      </c>
      <c r="E182" s="84">
        <v>0</v>
      </c>
      <c r="F182" s="84"/>
      <c r="G182" s="94">
        <f>cell_CoefGeneral</f>
        <v>1</v>
      </c>
      <c r="H182" s="84">
        <v>29</v>
      </c>
      <c r="I182" s="84">
        <f>IFERROR(ROUND(E182*H182,2),"-")</f>
        <v>0</v>
      </c>
      <c r="J182" s="105">
        <f>IFERROR(I182/cell_Total_HT,"-")</f>
        <v>0</v>
      </c>
      <c r="K182">
        <f>I182</f>
        <v>0</v>
      </c>
      <c r="L182"/>
      <c r="M182"/>
      <c r="N182"/>
      <c r="O182"/>
      <c r="P182"/>
      <c r="Q182"/>
      <c r="R182"/>
      <c r="S182"/>
      <c r="T182"/>
    </row>
    <row r="183" spans="1:20" ht="15" outlineLevel="2" thickTop="1" x14ac:dyDescent="0.3">
      <c r="A183" s="82" t="s">
        <v>587</v>
      </c>
      <c r="B183" s="62" t="s">
        <v>60</v>
      </c>
      <c r="C183" s="63" t="s">
        <v>588</v>
      </c>
      <c r="D183" s="116"/>
      <c r="E183" s="88"/>
      <c r="F183" s="88"/>
      <c r="G183" s="98"/>
      <c r="H183" s="88"/>
      <c r="I183" s="88">
        <f>SUBTOTAL(9,I169:I182)</f>
        <v>1898</v>
      </c>
      <c r="J183" s="109"/>
      <c r="K183"/>
      <c r="L183"/>
      <c r="M183"/>
      <c r="N183"/>
      <c r="O183"/>
      <c r="P183"/>
      <c r="Q183"/>
      <c r="R183"/>
      <c r="S183"/>
      <c r="T183"/>
    </row>
    <row r="184" spans="1:20" outlineLevel="2" x14ac:dyDescent="0.3">
      <c r="A184" s="82" t="s">
        <v>589</v>
      </c>
      <c r="B184" s="64" t="s">
        <v>590</v>
      </c>
      <c r="C184" s="65" t="s">
        <v>591</v>
      </c>
      <c r="D184" s="117"/>
      <c r="E184" s="87"/>
      <c r="F184" s="87"/>
      <c r="G184" s="97"/>
      <c r="H184" s="87"/>
      <c r="I184" s="104">
        <f>SUBTOTAL(9,K185:K196)</f>
        <v>17936.5</v>
      </c>
      <c r="J184" s="108"/>
      <c r="K184"/>
      <c r="L184"/>
      <c r="M184"/>
      <c r="N184"/>
      <c r="O184"/>
      <c r="P184"/>
      <c r="Q184"/>
      <c r="R184"/>
      <c r="S184"/>
      <c r="T184"/>
    </row>
    <row r="185" spans="1:20" outlineLevel="3" x14ac:dyDescent="0.3">
      <c r="A185" s="82" t="s">
        <v>592</v>
      </c>
      <c r="B185" s="10" t="s">
        <v>593</v>
      </c>
      <c r="C185" s="60" t="s">
        <v>594</v>
      </c>
      <c r="D185" s="44" t="s">
        <v>80</v>
      </c>
      <c r="E185" s="84">
        <v>87</v>
      </c>
      <c r="F185" s="84"/>
      <c r="G185" s="94">
        <f>cell_CoefGeneral</f>
        <v>1</v>
      </c>
      <c r="H185" s="84">
        <v>46</v>
      </c>
      <c r="I185" s="84">
        <f>IFERROR(ROUND(E185*H185,2),"-")</f>
        <v>4002</v>
      </c>
      <c r="J185" s="105">
        <f>IFERROR(I185/cell_Total_HT,"-")</f>
        <v>1.1814819095546378E-3</v>
      </c>
      <c r="K185">
        <f>I185</f>
        <v>4002</v>
      </c>
      <c r="L185"/>
      <c r="M185"/>
      <c r="N185"/>
      <c r="O185"/>
      <c r="P185"/>
      <c r="Q185"/>
      <c r="R185"/>
      <c r="S185"/>
      <c r="T185"/>
    </row>
    <row r="186" spans="1:20" outlineLevel="3" x14ac:dyDescent="0.3">
      <c r="A186" s="82" t="s">
        <v>595</v>
      </c>
      <c r="B186" s="58" t="s">
        <v>596</v>
      </c>
      <c r="C186" s="61" t="s">
        <v>597</v>
      </c>
      <c r="D186" s="115"/>
      <c r="E186" s="87"/>
      <c r="F186" s="87"/>
      <c r="G186" s="97"/>
      <c r="H186" s="87" t="s">
        <v>60</v>
      </c>
      <c r="I186" s="104">
        <f>SUBTOTAL(9,K187:K189)</f>
        <v>8000</v>
      </c>
      <c r="J186" s="108"/>
      <c r="K186"/>
      <c r="L186"/>
      <c r="M186"/>
      <c r="N186"/>
      <c r="O186"/>
      <c r="P186"/>
      <c r="Q186"/>
      <c r="R186"/>
      <c r="S186"/>
      <c r="T186"/>
    </row>
    <row r="187" spans="1:20" outlineLevel="4" x14ac:dyDescent="0.3">
      <c r="A187" s="82" t="s">
        <v>598</v>
      </c>
      <c r="B187" s="10" t="s">
        <v>599</v>
      </c>
      <c r="C187" s="60" t="s">
        <v>600</v>
      </c>
      <c r="D187" s="44" t="s">
        <v>121</v>
      </c>
      <c r="E187" s="84">
        <v>55</v>
      </c>
      <c r="F187" s="84"/>
      <c r="G187" s="94">
        <f>cell_CoefGeneral</f>
        <v>1</v>
      </c>
      <c r="H187" s="84">
        <v>64</v>
      </c>
      <c r="I187" s="84">
        <f>IFERROR(ROUND(E187*H187,2),"-")</f>
        <v>3520</v>
      </c>
      <c r="J187" s="105">
        <f>IFERROR(I187/cell_Total_HT,"-")</f>
        <v>1.0391844881639993E-3</v>
      </c>
      <c r="K187">
        <f>I187</f>
        <v>3520</v>
      </c>
      <c r="L187"/>
      <c r="M187"/>
      <c r="N187"/>
      <c r="O187"/>
      <c r="P187"/>
      <c r="Q187"/>
      <c r="R187"/>
      <c r="S187"/>
      <c r="T187"/>
    </row>
    <row r="188" spans="1:20" outlineLevel="4" x14ac:dyDescent="0.3">
      <c r="A188" s="82" t="s">
        <v>601</v>
      </c>
      <c r="B188" s="10" t="s">
        <v>602</v>
      </c>
      <c r="C188" s="60" t="s">
        <v>603</v>
      </c>
      <c r="D188" s="44" t="s">
        <v>121</v>
      </c>
      <c r="E188" s="84">
        <v>0</v>
      </c>
      <c r="F188" s="84"/>
      <c r="G188" s="94">
        <f>cell_CoefGeneral</f>
        <v>1</v>
      </c>
      <c r="H188" s="84">
        <v>96</v>
      </c>
      <c r="I188" s="84">
        <f>IFERROR(ROUND(E188*H188,2),"-")</f>
        <v>0</v>
      </c>
      <c r="J188" s="105">
        <f>IFERROR(I188/cell_Total_HT,"-")</f>
        <v>0</v>
      </c>
      <c r="K188">
        <f>I188</f>
        <v>0</v>
      </c>
      <c r="L188"/>
      <c r="M188"/>
      <c r="N188"/>
      <c r="O188"/>
      <c r="P188"/>
      <c r="Q188"/>
      <c r="R188"/>
      <c r="S188"/>
      <c r="T188"/>
    </row>
    <row r="189" spans="1:20" outlineLevel="4" x14ac:dyDescent="0.3">
      <c r="A189" s="82" t="s">
        <v>604</v>
      </c>
      <c r="B189" s="10" t="s">
        <v>605</v>
      </c>
      <c r="C189" s="60" t="s">
        <v>606</v>
      </c>
      <c r="D189" s="44" t="s">
        <v>121</v>
      </c>
      <c r="E189" s="84">
        <v>32</v>
      </c>
      <c r="F189" s="84"/>
      <c r="G189" s="94">
        <f>cell_CoefGeneral</f>
        <v>1</v>
      </c>
      <c r="H189" s="84">
        <v>140</v>
      </c>
      <c r="I189" s="84">
        <f>IFERROR(ROUND(E189*H189,2),"-")</f>
        <v>4480</v>
      </c>
      <c r="J189" s="105">
        <f>IFERROR(I189/cell_Total_HT,"-")</f>
        <v>1.3225984394814535E-3</v>
      </c>
      <c r="K189">
        <f>I189</f>
        <v>4480</v>
      </c>
      <c r="L189"/>
      <c r="M189"/>
      <c r="N189"/>
      <c r="O189"/>
      <c r="P189"/>
      <c r="Q189"/>
      <c r="R189"/>
      <c r="S189"/>
      <c r="T189"/>
    </row>
    <row r="190" spans="1:20" outlineLevel="3" x14ac:dyDescent="0.3">
      <c r="A190" s="82" t="s">
        <v>607</v>
      </c>
      <c r="B190" s="58" t="s">
        <v>608</v>
      </c>
      <c r="C190" s="61" t="s">
        <v>609</v>
      </c>
      <c r="D190" s="115"/>
      <c r="E190" s="87"/>
      <c r="F190" s="87"/>
      <c r="G190" s="97"/>
      <c r="H190" s="87" t="s">
        <v>60</v>
      </c>
      <c r="I190" s="104">
        <f>SUBTOTAL(9,K191:K192)</f>
        <v>4170</v>
      </c>
      <c r="J190" s="108"/>
      <c r="K190"/>
      <c r="L190"/>
      <c r="M190"/>
      <c r="N190"/>
      <c r="O190"/>
      <c r="P190"/>
      <c r="Q190"/>
      <c r="R190"/>
      <c r="S190"/>
      <c r="T190"/>
    </row>
    <row r="191" spans="1:20" ht="28.8" outlineLevel="4" x14ac:dyDescent="0.3">
      <c r="A191" s="82" t="s">
        <v>610</v>
      </c>
      <c r="B191" s="10" t="s">
        <v>611</v>
      </c>
      <c r="C191" s="60" t="s">
        <v>612</v>
      </c>
      <c r="D191" s="44" t="s">
        <v>121</v>
      </c>
      <c r="E191" s="84">
        <v>1</v>
      </c>
      <c r="F191" s="84"/>
      <c r="G191" s="94">
        <f t="shared" ref="G191:G196" si="20">cell_CoefGeneral</f>
        <v>1</v>
      </c>
      <c r="H191" s="84">
        <v>290</v>
      </c>
      <c r="I191" s="84">
        <f t="shared" ref="I191:I196" si="21">IFERROR(ROUND(E191*H191,2),"-")</f>
        <v>290</v>
      </c>
      <c r="J191" s="105">
        <f t="shared" ref="J191:J196" si="22">IFERROR(I191/cell_Total_HT,"-")</f>
        <v>8.5614631127147665E-5</v>
      </c>
      <c r="K191">
        <f t="shared" ref="K191:K196" si="23">I191</f>
        <v>290</v>
      </c>
      <c r="L191"/>
      <c r="M191"/>
      <c r="N191"/>
      <c r="O191"/>
      <c r="P191"/>
      <c r="Q191"/>
      <c r="R191"/>
      <c r="S191"/>
      <c r="T191"/>
    </row>
    <row r="192" spans="1:20" ht="28.8" outlineLevel="4" x14ac:dyDescent="0.3">
      <c r="A192" s="82" t="s">
        <v>613</v>
      </c>
      <c r="B192" s="10" t="s">
        <v>614</v>
      </c>
      <c r="C192" s="60" t="s">
        <v>615</v>
      </c>
      <c r="D192" s="44" t="s">
        <v>121</v>
      </c>
      <c r="E192" s="84">
        <v>4</v>
      </c>
      <c r="F192" s="84"/>
      <c r="G192" s="94">
        <f t="shared" si="20"/>
        <v>1</v>
      </c>
      <c r="H192" s="84">
        <v>970</v>
      </c>
      <c r="I192" s="84">
        <f t="shared" si="21"/>
        <v>3880</v>
      </c>
      <c r="J192" s="105">
        <f t="shared" si="22"/>
        <v>1.1454647199080445E-3</v>
      </c>
      <c r="K192">
        <f t="shared" si="23"/>
        <v>3880</v>
      </c>
      <c r="L192"/>
      <c r="M192"/>
      <c r="N192"/>
      <c r="O192"/>
      <c r="P192"/>
      <c r="Q192"/>
      <c r="R192"/>
      <c r="S192"/>
      <c r="T192"/>
    </row>
    <row r="193" spans="1:20" outlineLevel="3" x14ac:dyDescent="0.3">
      <c r="A193" s="82" t="s">
        <v>616</v>
      </c>
      <c r="B193" s="10" t="s">
        <v>617</v>
      </c>
      <c r="C193" s="60" t="s">
        <v>618</v>
      </c>
      <c r="D193" s="44" t="s">
        <v>121</v>
      </c>
      <c r="E193" s="84">
        <v>0</v>
      </c>
      <c r="F193" s="84"/>
      <c r="G193" s="94">
        <f t="shared" si="20"/>
        <v>1</v>
      </c>
      <c r="H193" s="84">
        <v>500</v>
      </c>
      <c r="I193" s="84">
        <f t="shared" si="21"/>
        <v>0</v>
      </c>
      <c r="J193" s="105">
        <f t="shared" si="22"/>
        <v>0</v>
      </c>
      <c r="K193">
        <f t="shared" si="23"/>
        <v>0</v>
      </c>
      <c r="L193"/>
      <c r="M193"/>
      <c r="N193"/>
      <c r="O193"/>
      <c r="P193"/>
      <c r="Q193"/>
      <c r="R193"/>
      <c r="S193"/>
      <c r="T193"/>
    </row>
    <row r="194" spans="1:20" outlineLevel="3" x14ac:dyDescent="0.3">
      <c r="A194" s="82" t="s">
        <v>619</v>
      </c>
      <c r="B194" s="10" t="s">
        <v>620</v>
      </c>
      <c r="C194" s="60" t="s">
        <v>621</v>
      </c>
      <c r="D194" s="44" t="s">
        <v>121</v>
      </c>
      <c r="E194" s="84">
        <v>2</v>
      </c>
      <c r="F194" s="84"/>
      <c r="G194" s="94">
        <f t="shared" si="20"/>
        <v>1</v>
      </c>
      <c r="H194" s="84">
        <v>500</v>
      </c>
      <c r="I194" s="84">
        <f t="shared" si="21"/>
        <v>1000</v>
      </c>
      <c r="J194" s="105">
        <f t="shared" si="22"/>
        <v>2.9522286595568161E-4</v>
      </c>
      <c r="K194">
        <f t="shared" si="23"/>
        <v>1000</v>
      </c>
      <c r="L194"/>
      <c r="M194"/>
      <c r="N194"/>
      <c r="O194"/>
      <c r="P194"/>
      <c r="Q194"/>
      <c r="R194"/>
      <c r="S194"/>
      <c r="T194"/>
    </row>
    <row r="195" spans="1:20" outlineLevel="3" x14ac:dyDescent="0.3">
      <c r="A195" s="82" t="s">
        <v>622</v>
      </c>
      <c r="B195" s="10" t="s">
        <v>623</v>
      </c>
      <c r="C195" s="60" t="s">
        <v>624</v>
      </c>
      <c r="D195" s="44" t="s">
        <v>80</v>
      </c>
      <c r="E195" s="84">
        <v>87</v>
      </c>
      <c r="F195" s="84"/>
      <c r="G195" s="94">
        <f t="shared" si="20"/>
        <v>1</v>
      </c>
      <c r="H195" s="84">
        <v>3.5</v>
      </c>
      <c r="I195" s="84">
        <f t="shared" si="21"/>
        <v>304.5</v>
      </c>
      <c r="J195" s="105">
        <f t="shared" si="22"/>
        <v>8.9895362683505047E-5</v>
      </c>
      <c r="K195">
        <f t="shared" si="23"/>
        <v>304.5</v>
      </c>
      <c r="L195"/>
      <c r="M195"/>
      <c r="N195"/>
      <c r="O195"/>
      <c r="P195"/>
      <c r="Q195"/>
      <c r="R195"/>
      <c r="S195"/>
      <c r="T195"/>
    </row>
    <row r="196" spans="1:20" ht="15" outlineLevel="3" thickBot="1" x14ac:dyDescent="0.35">
      <c r="A196" s="82" t="s">
        <v>625</v>
      </c>
      <c r="B196" s="10" t="s">
        <v>626</v>
      </c>
      <c r="C196" s="60" t="s">
        <v>627</v>
      </c>
      <c r="D196" s="44" t="s">
        <v>93</v>
      </c>
      <c r="E196" s="84">
        <v>1</v>
      </c>
      <c r="F196" s="84"/>
      <c r="G196" s="94">
        <f t="shared" si="20"/>
        <v>1</v>
      </c>
      <c r="H196" s="84">
        <v>460</v>
      </c>
      <c r="I196" s="84">
        <f t="shared" si="21"/>
        <v>460</v>
      </c>
      <c r="J196" s="105">
        <f t="shared" si="22"/>
        <v>1.3580251833961353E-4</v>
      </c>
      <c r="K196">
        <f t="shared" si="23"/>
        <v>460</v>
      </c>
      <c r="L196"/>
      <c r="M196"/>
      <c r="N196"/>
      <c r="O196"/>
      <c r="P196"/>
      <c r="Q196"/>
      <c r="R196"/>
      <c r="S196"/>
      <c r="T196"/>
    </row>
    <row r="197" spans="1:20" ht="15" outlineLevel="2" thickTop="1" x14ac:dyDescent="0.3">
      <c r="A197" s="82" t="s">
        <v>628</v>
      </c>
      <c r="B197" s="62" t="s">
        <v>60</v>
      </c>
      <c r="C197" s="63" t="s">
        <v>629</v>
      </c>
      <c r="D197" s="116"/>
      <c r="E197" s="88"/>
      <c r="F197" s="88"/>
      <c r="G197" s="98"/>
      <c r="H197" s="88"/>
      <c r="I197" s="88">
        <f>SUBTOTAL(9,I185:I196)</f>
        <v>17936.5</v>
      </c>
      <c r="J197" s="109"/>
      <c r="K197"/>
      <c r="L197"/>
      <c r="M197"/>
      <c r="N197"/>
      <c r="O197"/>
      <c r="P197"/>
      <c r="Q197"/>
      <c r="R197"/>
      <c r="S197"/>
      <c r="T197"/>
    </row>
    <row r="198" spans="1:20" outlineLevel="2" x14ac:dyDescent="0.3">
      <c r="A198" s="82" t="s">
        <v>630</v>
      </c>
      <c r="B198" s="64" t="s">
        <v>631</v>
      </c>
      <c r="C198" s="65" t="s">
        <v>632</v>
      </c>
      <c r="D198" s="117"/>
      <c r="E198" s="87"/>
      <c r="F198" s="87"/>
      <c r="G198" s="97"/>
      <c r="H198" s="87"/>
      <c r="I198" s="104">
        <f>SUBTOTAL(9,K199:K226)</f>
        <v>66845.2</v>
      </c>
      <c r="J198" s="108"/>
      <c r="K198"/>
      <c r="L198"/>
      <c r="M198"/>
      <c r="N198"/>
      <c r="O198"/>
      <c r="P198"/>
      <c r="Q198"/>
      <c r="R198"/>
      <c r="S198"/>
      <c r="T198"/>
    </row>
    <row r="199" spans="1:20" outlineLevel="3" x14ac:dyDescent="0.3">
      <c r="A199" s="82" t="s">
        <v>633</v>
      </c>
      <c r="B199" s="10" t="s">
        <v>634</v>
      </c>
      <c r="C199" s="60" t="s">
        <v>635</v>
      </c>
      <c r="D199" s="44" t="s">
        <v>80</v>
      </c>
      <c r="E199" s="84">
        <v>189</v>
      </c>
      <c r="F199" s="84"/>
      <c r="G199" s="94">
        <f>cell_CoefGeneral</f>
        <v>1</v>
      </c>
      <c r="H199" s="84">
        <v>58</v>
      </c>
      <c r="I199" s="84">
        <f>IFERROR(ROUND(E199*H199,2),"-")</f>
        <v>10962</v>
      </c>
      <c r="J199" s="105">
        <f>IFERROR(I199/cell_Total_HT,"-")</f>
        <v>3.2362330566061818E-3</v>
      </c>
      <c r="K199">
        <f>I199</f>
        <v>10962</v>
      </c>
      <c r="L199"/>
      <c r="M199"/>
      <c r="N199"/>
      <c r="O199"/>
      <c r="P199"/>
      <c r="Q199"/>
      <c r="R199"/>
      <c r="S199"/>
      <c r="T199"/>
    </row>
    <row r="200" spans="1:20" outlineLevel="3" x14ac:dyDescent="0.3">
      <c r="A200" s="82" t="s">
        <v>636</v>
      </c>
      <c r="B200" s="58" t="s">
        <v>637</v>
      </c>
      <c r="C200" s="61" t="s">
        <v>638</v>
      </c>
      <c r="D200" s="115"/>
      <c r="E200" s="87"/>
      <c r="F200" s="87"/>
      <c r="G200" s="97"/>
      <c r="H200" s="87" t="s">
        <v>60</v>
      </c>
      <c r="I200" s="104">
        <f>SUBTOTAL(9,K201:K203)</f>
        <v>10286.700000000001</v>
      </c>
      <c r="J200" s="108"/>
      <c r="K200"/>
      <c r="L200"/>
      <c r="M200"/>
      <c r="N200"/>
      <c r="O200"/>
      <c r="P200"/>
      <c r="Q200"/>
      <c r="R200"/>
      <c r="S200"/>
      <c r="T200"/>
    </row>
    <row r="201" spans="1:20" outlineLevel="4" x14ac:dyDescent="0.3">
      <c r="A201" s="82" t="s">
        <v>639</v>
      </c>
      <c r="B201" s="10" t="s">
        <v>640</v>
      </c>
      <c r="C201" s="60" t="s">
        <v>641</v>
      </c>
      <c r="D201" s="44" t="s">
        <v>154</v>
      </c>
      <c r="E201" s="84">
        <v>1667</v>
      </c>
      <c r="F201" s="84"/>
      <c r="G201" s="94">
        <f>cell_CoefGeneral</f>
        <v>1</v>
      </c>
      <c r="H201" s="84">
        <v>2.1</v>
      </c>
      <c r="I201" s="84">
        <f>IFERROR(ROUND(E201*H201,2),"-")</f>
        <v>3500.7</v>
      </c>
      <c r="J201" s="105">
        <f>IFERROR(I201/cell_Total_HT,"-")</f>
        <v>1.0334866868510545E-3</v>
      </c>
      <c r="K201">
        <f>I201</f>
        <v>3500.7</v>
      </c>
      <c r="L201"/>
      <c r="M201"/>
      <c r="N201"/>
      <c r="O201"/>
      <c r="P201"/>
      <c r="Q201"/>
      <c r="R201"/>
      <c r="S201"/>
      <c r="T201"/>
    </row>
    <row r="202" spans="1:20" ht="28.8" outlineLevel="4" x14ac:dyDescent="0.3">
      <c r="A202" s="82" t="s">
        <v>642</v>
      </c>
      <c r="B202" s="10" t="s">
        <v>643</v>
      </c>
      <c r="C202" s="60" t="s">
        <v>644</v>
      </c>
      <c r="D202" s="44" t="s">
        <v>141</v>
      </c>
      <c r="E202" s="84">
        <v>522</v>
      </c>
      <c r="F202" s="84"/>
      <c r="G202" s="94">
        <f>cell_CoefGeneral</f>
        <v>1</v>
      </c>
      <c r="H202" s="84">
        <v>13</v>
      </c>
      <c r="I202" s="84">
        <f>IFERROR(ROUND(E202*H202,2),"-")</f>
        <v>6786</v>
      </c>
      <c r="J202" s="105">
        <f>IFERROR(I202/cell_Total_HT,"-")</f>
        <v>2.0033823683752554E-3</v>
      </c>
      <c r="K202">
        <f>I202</f>
        <v>6786</v>
      </c>
      <c r="L202"/>
      <c r="M202"/>
      <c r="N202"/>
      <c r="O202"/>
      <c r="P202"/>
      <c r="Q202"/>
      <c r="R202"/>
      <c r="S202"/>
      <c r="T202"/>
    </row>
    <row r="203" spans="1:20" ht="28.8" outlineLevel="4" x14ac:dyDescent="0.3">
      <c r="A203" s="82" t="s">
        <v>645</v>
      </c>
      <c r="B203" s="10" t="s">
        <v>646</v>
      </c>
      <c r="C203" s="60" t="s">
        <v>647</v>
      </c>
      <c r="D203" s="44" t="s">
        <v>141</v>
      </c>
      <c r="E203" s="84">
        <v>0</v>
      </c>
      <c r="F203" s="84"/>
      <c r="G203" s="94">
        <f>cell_CoefGeneral</f>
        <v>1</v>
      </c>
      <c r="H203" s="84">
        <v>41</v>
      </c>
      <c r="I203" s="84">
        <f>IFERROR(ROUND(E203*H203,2),"-")</f>
        <v>0</v>
      </c>
      <c r="J203" s="105">
        <f>IFERROR(I203/cell_Total_HT,"-")</f>
        <v>0</v>
      </c>
      <c r="K203">
        <f>I203</f>
        <v>0</v>
      </c>
      <c r="L203"/>
      <c r="M203"/>
      <c r="N203"/>
      <c r="O203"/>
      <c r="P203"/>
      <c r="Q203"/>
      <c r="R203"/>
      <c r="S203"/>
      <c r="T203"/>
    </row>
    <row r="204" spans="1:20" outlineLevel="3" x14ac:dyDescent="0.3">
      <c r="A204" s="82" t="s">
        <v>648</v>
      </c>
      <c r="B204" s="58" t="s">
        <v>649</v>
      </c>
      <c r="C204" s="61" t="s">
        <v>597</v>
      </c>
      <c r="D204" s="115"/>
      <c r="E204" s="87"/>
      <c r="F204" s="87"/>
      <c r="G204" s="97"/>
      <c r="H204" s="87" t="s">
        <v>60</v>
      </c>
      <c r="I204" s="104">
        <f>SUBTOTAL(9,K205:K207)</f>
        <v>21230</v>
      </c>
      <c r="J204" s="108"/>
      <c r="K204"/>
      <c r="L204"/>
      <c r="M204"/>
      <c r="N204"/>
      <c r="O204"/>
      <c r="P204"/>
      <c r="Q204"/>
      <c r="R204"/>
      <c r="S204"/>
      <c r="T204"/>
    </row>
    <row r="205" spans="1:20" outlineLevel="4" x14ac:dyDescent="0.3">
      <c r="A205" s="82" t="s">
        <v>650</v>
      </c>
      <c r="B205" s="10" t="s">
        <v>651</v>
      </c>
      <c r="C205" s="60" t="s">
        <v>600</v>
      </c>
      <c r="D205" s="44" t="s">
        <v>121</v>
      </c>
      <c r="E205" s="84">
        <v>11</v>
      </c>
      <c r="F205" s="84"/>
      <c r="G205" s="94">
        <f>cell_CoefGeneral</f>
        <v>1</v>
      </c>
      <c r="H205" s="84">
        <v>100</v>
      </c>
      <c r="I205" s="84">
        <f>IFERROR(ROUND(E205*H205,2),"-")</f>
        <v>1100</v>
      </c>
      <c r="J205" s="105">
        <f>IFERROR(I205/cell_Total_HT,"-")</f>
        <v>3.2474515255124977E-4</v>
      </c>
      <c r="K205">
        <f>I205</f>
        <v>1100</v>
      </c>
      <c r="L205"/>
      <c r="M205"/>
      <c r="N205"/>
      <c r="O205"/>
      <c r="P205"/>
      <c r="Q205"/>
      <c r="R205"/>
      <c r="S205"/>
      <c r="T205"/>
    </row>
    <row r="206" spans="1:20" outlineLevel="4" x14ac:dyDescent="0.3">
      <c r="A206" s="82" t="s">
        <v>652</v>
      </c>
      <c r="B206" s="10" t="s">
        <v>653</v>
      </c>
      <c r="C206" s="60" t="s">
        <v>654</v>
      </c>
      <c r="D206" s="44" t="s">
        <v>121</v>
      </c>
      <c r="E206" s="84">
        <v>178</v>
      </c>
      <c r="F206" s="84"/>
      <c r="G206" s="94">
        <f>cell_CoefGeneral</f>
        <v>1</v>
      </c>
      <c r="H206" s="84">
        <v>60</v>
      </c>
      <c r="I206" s="84">
        <f>IFERROR(ROUND(E206*H206,2),"-")</f>
        <v>10680</v>
      </c>
      <c r="J206" s="105">
        <f>IFERROR(I206/cell_Total_HT,"-")</f>
        <v>3.1529802084066796E-3</v>
      </c>
      <c r="K206">
        <f>I206</f>
        <v>10680</v>
      </c>
      <c r="L206"/>
      <c r="M206"/>
      <c r="N206"/>
      <c r="O206"/>
      <c r="P206"/>
      <c r="Q206"/>
      <c r="R206"/>
      <c r="S206"/>
      <c r="T206"/>
    </row>
    <row r="207" spans="1:20" outlineLevel="4" x14ac:dyDescent="0.3">
      <c r="A207" s="82" t="s">
        <v>655</v>
      </c>
      <c r="B207" s="10" t="s">
        <v>656</v>
      </c>
      <c r="C207" s="60" t="s">
        <v>657</v>
      </c>
      <c r="D207" s="44" t="s">
        <v>121</v>
      </c>
      <c r="E207" s="84">
        <v>210</v>
      </c>
      <c r="F207" s="84"/>
      <c r="G207" s="94">
        <f>cell_CoefGeneral</f>
        <v>1</v>
      </c>
      <c r="H207" s="84">
        <v>45</v>
      </c>
      <c r="I207" s="84">
        <f>IFERROR(ROUND(E207*H207,2),"-")</f>
        <v>9450</v>
      </c>
      <c r="J207" s="105">
        <f>IFERROR(I207/cell_Total_HT,"-")</f>
        <v>2.7898560832811913E-3</v>
      </c>
      <c r="K207">
        <f>I207</f>
        <v>9450</v>
      </c>
      <c r="L207"/>
      <c r="M207"/>
      <c r="N207"/>
      <c r="O207"/>
      <c r="P207"/>
      <c r="Q207"/>
      <c r="R207"/>
      <c r="S207"/>
      <c r="T207"/>
    </row>
    <row r="208" spans="1:20" outlineLevel="3" x14ac:dyDescent="0.3">
      <c r="A208" s="82" t="s">
        <v>658</v>
      </c>
      <c r="B208" s="58" t="s">
        <v>659</v>
      </c>
      <c r="C208" s="61" t="s">
        <v>660</v>
      </c>
      <c r="D208" s="115"/>
      <c r="E208" s="87"/>
      <c r="F208" s="87"/>
      <c r="G208" s="97"/>
      <c r="H208" s="87" t="s">
        <v>60</v>
      </c>
      <c r="I208" s="104">
        <f>SUBTOTAL(9,K209:K220)</f>
        <v>21390</v>
      </c>
      <c r="J208" s="108"/>
      <c r="K208"/>
      <c r="L208"/>
      <c r="M208"/>
      <c r="N208"/>
      <c r="O208"/>
      <c r="P208"/>
      <c r="Q208"/>
      <c r="R208"/>
      <c r="S208"/>
      <c r="T208"/>
    </row>
    <row r="209" spans="1:20" ht="28.8" outlineLevel="4" x14ac:dyDescent="0.3">
      <c r="A209" s="82" t="s">
        <v>661</v>
      </c>
      <c r="B209" s="10" t="s">
        <v>662</v>
      </c>
      <c r="C209" s="60" t="s">
        <v>663</v>
      </c>
      <c r="D209" s="44" t="s">
        <v>121</v>
      </c>
      <c r="E209" s="84">
        <v>1</v>
      </c>
      <c r="F209" s="84"/>
      <c r="G209" s="94">
        <f t="shared" ref="G209:G220" si="24">cell_CoefGeneral</f>
        <v>1</v>
      </c>
      <c r="H209" s="84">
        <v>780</v>
      </c>
      <c r="I209" s="84">
        <f t="shared" ref="I209:I220" si="25">IFERROR(ROUND(E209*H209,2),"-")</f>
        <v>780</v>
      </c>
      <c r="J209" s="105">
        <f t="shared" ref="J209:J220" si="26">IFERROR(I209/cell_Total_HT,"-")</f>
        <v>2.3027383544543166E-4</v>
      </c>
      <c r="K209">
        <f t="shared" ref="K209:K220" si="27">I209</f>
        <v>780</v>
      </c>
      <c r="L209"/>
      <c r="M209"/>
      <c r="N209"/>
      <c r="O209"/>
      <c r="P209"/>
      <c r="Q209"/>
      <c r="R209"/>
      <c r="S209"/>
      <c r="T209"/>
    </row>
    <row r="210" spans="1:20" ht="28.8" outlineLevel="4" x14ac:dyDescent="0.3">
      <c r="A210" s="82" t="s">
        <v>664</v>
      </c>
      <c r="B210" s="10" t="s">
        <v>665</v>
      </c>
      <c r="C210" s="60" t="s">
        <v>666</v>
      </c>
      <c r="D210" s="44" t="s">
        <v>121</v>
      </c>
      <c r="E210" s="84">
        <v>2</v>
      </c>
      <c r="F210" s="84"/>
      <c r="G210" s="94">
        <f t="shared" si="24"/>
        <v>1</v>
      </c>
      <c r="H210" s="84">
        <v>740</v>
      </c>
      <c r="I210" s="84">
        <f t="shared" si="25"/>
        <v>1480</v>
      </c>
      <c r="J210" s="105">
        <f t="shared" si="26"/>
        <v>4.3692984161440877E-4</v>
      </c>
      <c r="K210">
        <f t="shared" si="27"/>
        <v>1480</v>
      </c>
      <c r="L210"/>
      <c r="M210"/>
      <c r="N210"/>
      <c r="O210"/>
      <c r="P210"/>
      <c r="Q210"/>
      <c r="R210"/>
      <c r="S210"/>
      <c r="T210"/>
    </row>
    <row r="211" spans="1:20" ht="28.8" outlineLevel="4" x14ac:dyDescent="0.3">
      <c r="A211" s="82" t="s">
        <v>667</v>
      </c>
      <c r="B211" s="10" t="s">
        <v>668</v>
      </c>
      <c r="C211" s="60" t="s">
        <v>669</v>
      </c>
      <c r="D211" s="44" t="s">
        <v>121</v>
      </c>
      <c r="E211" s="84">
        <v>6</v>
      </c>
      <c r="F211" s="84"/>
      <c r="G211" s="94">
        <f t="shared" si="24"/>
        <v>1</v>
      </c>
      <c r="H211" s="84">
        <v>900</v>
      </c>
      <c r="I211" s="84">
        <f t="shared" si="25"/>
        <v>5400</v>
      </c>
      <c r="J211" s="105">
        <f t="shared" si="26"/>
        <v>1.5942034761606807E-3</v>
      </c>
      <c r="K211">
        <f t="shared" si="27"/>
        <v>5400</v>
      </c>
      <c r="L211"/>
      <c r="M211"/>
      <c r="N211"/>
      <c r="O211"/>
      <c r="P211"/>
      <c r="Q211"/>
      <c r="R211"/>
      <c r="S211"/>
      <c r="T211"/>
    </row>
    <row r="212" spans="1:20" ht="28.8" outlineLevel="4" x14ac:dyDescent="0.3">
      <c r="A212" s="82" t="s">
        <v>670</v>
      </c>
      <c r="B212" s="10" t="s">
        <v>671</v>
      </c>
      <c r="C212" s="60" t="s">
        <v>672</v>
      </c>
      <c r="D212" s="44" t="s">
        <v>121</v>
      </c>
      <c r="E212" s="84">
        <v>9</v>
      </c>
      <c r="F212" s="84"/>
      <c r="G212" s="94">
        <f t="shared" si="24"/>
        <v>1</v>
      </c>
      <c r="H212" s="84">
        <v>370</v>
      </c>
      <c r="I212" s="84">
        <f t="shared" si="25"/>
        <v>3330</v>
      </c>
      <c r="J212" s="105">
        <f t="shared" si="26"/>
        <v>9.8309214363241962E-4</v>
      </c>
      <c r="K212">
        <f t="shared" si="27"/>
        <v>3330</v>
      </c>
      <c r="L212"/>
      <c r="M212"/>
      <c r="N212"/>
      <c r="O212"/>
      <c r="P212"/>
      <c r="Q212"/>
      <c r="R212"/>
      <c r="S212"/>
      <c r="T212"/>
    </row>
    <row r="213" spans="1:20" ht="28.8" outlineLevel="4" x14ac:dyDescent="0.3">
      <c r="A213" s="82" t="s">
        <v>673</v>
      </c>
      <c r="B213" s="10" t="s">
        <v>674</v>
      </c>
      <c r="C213" s="60" t="s">
        <v>675</v>
      </c>
      <c r="D213" s="44" t="s">
        <v>121</v>
      </c>
      <c r="E213" s="84">
        <v>0</v>
      </c>
      <c r="F213" s="84"/>
      <c r="G213" s="94">
        <f t="shared" si="24"/>
        <v>1</v>
      </c>
      <c r="H213" s="84">
        <v>870</v>
      </c>
      <c r="I213" s="84">
        <f t="shared" si="25"/>
        <v>0</v>
      </c>
      <c r="J213" s="105">
        <f t="shared" si="26"/>
        <v>0</v>
      </c>
      <c r="K213">
        <f t="shared" si="27"/>
        <v>0</v>
      </c>
      <c r="L213"/>
      <c r="M213"/>
      <c r="N213"/>
      <c r="O213"/>
      <c r="P213"/>
      <c r="Q213"/>
      <c r="R213"/>
      <c r="S213"/>
      <c r="T213"/>
    </row>
    <row r="214" spans="1:20" ht="43.2" outlineLevel="4" x14ac:dyDescent="0.3">
      <c r="A214" s="82" t="s">
        <v>676</v>
      </c>
      <c r="B214" s="10" t="s">
        <v>677</v>
      </c>
      <c r="C214" s="60" t="s">
        <v>678</v>
      </c>
      <c r="D214" s="44" t="s">
        <v>121</v>
      </c>
      <c r="E214" s="84">
        <v>4</v>
      </c>
      <c r="F214" s="84"/>
      <c r="G214" s="94">
        <f t="shared" si="24"/>
        <v>1</v>
      </c>
      <c r="H214" s="84">
        <v>980</v>
      </c>
      <c r="I214" s="84">
        <f t="shared" si="25"/>
        <v>3920</v>
      </c>
      <c r="J214" s="105">
        <f t="shared" si="26"/>
        <v>1.157273634546272E-3</v>
      </c>
      <c r="K214">
        <f t="shared" si="27"/>
        <v>3920</v>
      </c>
      <c r="L214"/>
      <c r="M214"/>
      <c r="N214"/>
      <c r="O214"/>
      <c r="P214"/>
      <c r="Q214"/>
      <c r="R214"/>
      <c r="S214"/>
      <c r="T214"/>
    </row>
    <row r="215" spans="1:20" ht="28.8" outlineLevel="4" x14ac:dyDescent="0.3">
      <c r="A215" s="82" t="s">
        <v>679</v>
      </c>
      <c r="B215" s="10" t="s">
        <v>680</v>
      </c>
      <c r="C215" s="60" t="s">
        <v>681</v>
      </c>
      <c r="D215" s="44" t="s">
        <v>121</v>
      </c>
      <c r="E215" s="84">
        <v>2</v>
      </c>
      <c r="F215" s="84"/>
      <c r="G215" s="94">
        <f t="shared" si="24"/>
        <v>1</v>
      </c>
      <c r="H215" s="84">
        <v>840</v>
      </c>
      <c r="I215" s="84">
        <f t="shared" si="25"/>
        <v>1680</v>
      </c>
      <c r="J215" s="105">
        <f t="shared" si="26"/>
        <v>4.959744148055451E-4</v>
      </c>
      <c r="K215">
        <f t="shared" si="27"/>
        <v>1680</v>
      </c>
      <c r="L215"/>
      <c r="M215"/>
      <c r="N215"/>
      <c r="O215"/>
      <c r="P215"/>
      <c r="Q215"/>
      <c r="R215"/>
      <c r="S215"/>
      <c r="T215"/>
    </row>
    <row r="216" spans="1:20" ht="43.2" outlineLevel="4" x14ac:dyDescent="0.3">
      <c r="A216" s="82" t="s">
        <v>682</v>
      </c>
      <c r="B216" s="10" t="s">
        <v>683</v>
      </c>
      <c r="C216" s="60" t="s">
        <v>684</v>
      </c>
      <c r="D216" s="44" t="s">
        <v>121</v>
      </c>
      <c r="E216" s="84">
        <v>6</v>
      </c>
      <c r="F216" s="84"/>
      <c r="G216" s="94">
        <f t="shared" si="24"/>
        <v>1</v>
      </c>
      <c r="H216" s="84">
        <v>800</v>
      </c>
      <c r="I216" s="84">
        <f t="shared" si="25"/>
        <v>4800</v>
      </c>
      <c r="J216" s="105">
        <f t="shared" si="26"/>
        <v>1.4170697565872718E-3</v>
      </c>
      <c r="K216">
        <f t="shared" si="27"/>
        <v>4800</v>
      </c>
      <c r="L216"/>
      <c r="M216"/>
      <c r="N216"/>
      <c r="O216"/>
      <c r="P216"/>
      <c r="Q216"/>
      <c r="R216"/>
      <c r="S216"/>
      <c r="T216"/>
    </row>
    <row r="217" spans="1:20" ht="43.2" outlineLevel="4" x14ac:dyDescent="0.3">
      <c r="A217" s="82" t="s">
        <v>685</v>
      </c>
      <c r="B217" s="10" t="s">
        <v>686</v>
      </c>
      <c r="C217" s="60" t="s">
        <v>687</v>
      </c>
      <c r="D217" s="44" t="s">
        <v>121</v>
      </c>
      <c r="E217" s="84">
        <v>0</v>
      </c>
      <c r="F217" s="84"/>
      <c r="G217" s="94">
        <f t="shared" si="24"/>
        <v>1</v>
      </c>
      <c r="H217" s="84">
        <v>920</v>
      </c>
      <c r="I217" s="84">
        <f t="shared" si="25"/>
        <v>0</v>
      </c>
      <c r="J217" s="105">
        <f t="shared" si="26"/>
        <v>0</v>
      </c>
      <c r="K217">
        <f t="shared" si="27"/>
        <v>0</v>
      </c>
      <c r="L217"/>
      <c r="M217"/>
      <c r="N217"/>
      <c r="O217"/>
      <c r="P217"/>
      <c r="Q217"/>
      <c r="R217"/>
      <c r="S217"/>
      <c r="T217"/>
    </row>
    <row r="218" spans="1:20" ht="43.2" outlineLevel="4" x14ac:dyDescent="0.3">
      <c r="A218" s="82" t="s">
        <v>688</v>
      </c>
      <c r="B218" s="10" t="s">
        <v>689</v>
      </c>
      <c r="C218" s="60" t="s">
        <v>690</v>
      </c>
      <c r="D218" s="44" t="s">
        <v>121</v>
      </c>
      <c r="E218" s="84">
        <v>0</v>
      </c>
      <c r="F218" s="84"/>
      <c r="G218" s="94">
        <f t="shared" si="24"/>
        <v>1</v>
      </c>
      <c r="H218" s="84">
        <v>500</v>
      </c>
      <c r="I218" s="84">
        <f t="shared" si="25"/>
        <v>0</v>
      </c>
      <c r="J218" s="105">
        <f t="shared" si="26"/>
        <v>0</v>
      </c>
      <c r="K218">
        <f t="shared" si="27"/>
        <v>0</v>
      </c>
      <c r="L218"/>
      <c r="M218"/>
      <c r="N218"/>
      <c r="O218"/>
      <c r="P218"/>
      <c r="Q218"/>
      <c r="R218"/>
      <c r="S218"/>
      <c r="T218"/>
    </row>
    <row r="219" spans="1:20" outlineLevel="4" x14ac:dyDescent="0.3">
      <c r="A219" s="82" t="s">
        <v>691</v>
      </c>
      <c r="B219" s="10" t="s">
        <v>692</v>
      </c>
      <c r="C219" s="60" t="s">
        <v>693</v>
      </c>
      <c r="D219" s="44" t="s">
        <v>121</v>
      </c>
      <c r="E219" s="84">
        <v>0</v>
      </c>
      <c r="F219" s="84"/>
      <c r="G219" s="94">
        <f t="shared" si="24"/>
        <v>1</v>
      </c>
      <c r="H219" s="84">
        <v>850</v>
      </c>
      <c r="I219" s="84">
        <f t="shared" si="25"/>
        <v>0</v>
      </c>
      <c r="J219" s="105">
        <f t="shared" si="26"/>
        <v>0</v>
      </c>
      <c r="K219">
        <f t="shared" si="27"/>
        <v>0</v>
      </c>
      <c r="L219"/>
      <c r="M219"/>
      <c r="N219"/>
      <c r="O219"/>
      <c r="P219"/>
      <c r="Q219"/>
      <c r="R219"/>
      <c r="S219"/>
      <c r="T219"/>
    </row>
    <row r="220" spans="1:20" ht="28.8" outlineLevel="4" x14ac:dyDescent="0.3">
      <c r="A220" s="82" t="s">
        <v>694</v>
      </c>
      <c r="B220" s="10" t="s">
        <v>695</v>
      </c>
      <c r="C220" s="60" t="s">
        <v>696</v>
      </c>
      <c r="D220" s="44" t="s">
        <v>121</v>
      </c>
      <c r="E220" s="84">
        <v>0</v>
      </c>
      <c r="F220" s="84"/>
      <c r="G220" s="94">
        <f t="shared" si="24"/>
        <v>1</v>
      </c>
      <c r="H220" s="84">
        <v>500</v>
      </c>
      <c r="I220" s="84">
        <f t="shared" si="25"/>
        <v>0</v>
      </c>
      <c r="J220" s="105">
        <f t="shared" si="26"/>
        <v>0</v>
      </c>
      <c r="K220">
        <f t="shared" si="27"/>
        <v>0</v>
      </c>
      <c r="L220"/>
      <c r="M220"/>
      <c r="N220"/>
      <c r="O220"/>
      <c r="P220"/>
      <c r="Q220"/>
      <c r="R220"/>
      <c r="S220"/>
      <c r="T220"/>
    </row>
    <row r="221" spans="1:20" outlineLevel="3" x14ac:dyDescent="0.3">
      <c r="A221" s="82" t="s">
        <v>697</v>
      </c>
      <c r="B221" s="58" t="s">
        <v>698</v>
      </c>
      <c r="C221" s="61" t="s">
        <v>699</v>
      </c>
      <c r="D221" s="115"/>
      <c r="E221" s="87"/>
      <c r="F221" s="87"/>
      <c r="G221" s="97"/>
      <c r="H221" s="87" t="s">
        <v>60</v>
      </c>
      <c r="I221" s="104">
        <f>SUBTOTAL(9,K222:K224)</f>
        <v>1000</v>
      </c>
      <c r="J221" s="108"/>
      <c r="K221"/>
      <c r="L221"/>
      <c r="M221"/>
      <c r="N221"/>
      <c r="O221"/>
      <c r="P221"/>
      <c r="Q221"/>
      <c r="R221"/>
      <c r="S221"/>
      <c r="T221"/>
    </row>
    <row r="222" spans="1:20" outlineLevel="4" x14ac:dyDescent="0.3">
      <c r="A222" s="82" t="s">
        <v>700</v>
      </c>
      <c r="B222" s="10" t="s">
        <v>701</v>
      </c>
      <c r="C222" s="60" t="s">
        <v>618</v>
      </c>
      <c r="D222" s="44" t="s">
        <v>121</v>
      </c>
      <c r="E222" s="84">
        <v>1</v>
      </c>
      <c r="F222" s="84"/>
      <c r="G222" s="94">
        <f>cell_CoefGeneral</f>
        <v>1</v>
      </c>
      <c r="H222" s="84">
        <v>500</v>
      </c>
      <c r="I222" s="84">
        <f>IFERROR(ROUND(E222*H222,2),"-")</f>
        <v>500</v>
      </c>
      <c r="J222" s="105">
        <f>IFERROR(I222/cell_Total_HT,"-")</f>
        <v>1.476114329778408E-4</v>
      </c>
      <c r="K222">
        <f>I222</f>
        <v>500</v>
      </c>
      <c r="L222"/>
      <c r="M222"/>
      <c r="N222"/>
      <c r="O222"/>
      <c r="P222"/>
      <c r="Q222"/>
      <c r="R222"/>
      <c r="S222"/>
      <c r="T222"/>
    </row>
    <row r="223" spans="1:20" outlineLevel="4" x14ac:dyDescent="0.3">
      <c r="A223" s="82" t="s">
        <v>702</v>
      </c>
      <c r="B223" s="10" t="s">
        <v>703</v>
      </c>
      <c r="C223" s="60" t="s">
        <v>621</v>
      </c>
      <c r="D223" s="44" t="s">
        <v>121</v>
      </c>
      <c r="E223" s="84">
        <v>1</v>
      </c>
      <c r="F223" s="84"/>
      <c r="G223" s="94">
        <f>cell_CoefGeneral</f>
        <v>1</v>
      </c>
      <c r="H223" s="84">
        <v>500</v>
      </c>
      <c r="I223" s="84">
        <f>IFERROR(ROUND(E223*H223,2),"-")</f>
        <v>500</v>
      </c>
      <c r="J223" s="105">
        <f>IFERROR(I223/cell_Total_HT,"-")</f>
        <v>1.476114329778408E-4</v>
      </c>
      <c r="K223">
        <f>I223</f>
        <v>500</v>
      </c>
      <c r="L223"/>
      <c r="M223"/>
      <c r="N223"/>
      <c r="O223"/>
      <c r="P223"/>
      <c r="Q223"/>
      <c r="R223"/>
      <c r="S223"/>
      <c r="T223"/>
    </row>
    <row r="224" spans="1:20" outlineLevel="4" x14ac:dyDescent="0.3">
      <c r="A224" s="82" t="s">
        <v>704</v>
      </c>
      <c r="B224" s="10" t="s">
        <v>705</v>
      </c>
      <c r="C224" s="60" t="s">
        <v>706</v>
      </c>
      <c r="D224" s="44" t="s">
        <v>121</v>
      </c>
      <c r="E224" s="84">
        <v>0</v>
      </c>
      <c r="F224" s="84"/>
      <c r="G224" s="94">
        <f>cell_CoefGeneral</f>
        <v>1</v>
      </c>
      <c r="H224" s="84">
        <v>6900</v>
      </c>
      <c r="I224" s="84">
        <f>IFERROR(ROUND(E224*H224,2),"-")</f>
        <v>0</v>
      </c>
      <c r="J224" s="105">
        <f>IFERROR(I224/cell_Total_HT,"-")</f>
        <v>0</v>
      </c>
      <c r="K224">
        <f>I224</f>
        <v>0</v>
      </c>
      <c r="L224"/>
      <c r="M224"/>
      <c r="N224"/>
      <c r="O224"/>
      <c r="P224"/>
      <c r="Q224"/>
      <c r="R224"/>
      <c r="S224"/>
      <c r="T224"/>
    </row>
    <row r="225" spans="1:20" outlineLevel="3" x14ac:dyDescent="0.3">
      <c r="A225" s="82" t="s">
        <v>707</v>
      </c>
      <c r="B225" s="10" t="s">
        <v>708</v>
      </c>
      <c r="C225" s="60" t="s">
        <v>624</v>
      </c>
      <c r="D225" s="44" t="s">
        <v>80</v>
      </c>
      <c r="E225" s="84">
        <v>399</v>
      </c>
      <c r="F225" s="84"/>
      <c r="G225" s="94">
        <f>cell_CoefGeneral</f>
        <v>1</v>
      </c>
      <c r="H225" s="84">
        <v>3.5</v>
      </c>
      <c r="I225" s="84">
        <f>IFERROR(ROUND(E225*H225,2),"-")</f>
        <v>1396.5</v>
      </c>
      <c r="J225" s="105">
        <f>IFERROR(I225/cell_Total_HT,"-")</f>
        <v>4.1227873230710935E-4</v>
      </c>
      <c r="K225">
        <f>I225</f>
        <v>1396.5</v>
      </c>
      <c r="L225"/>
      <c r="M225"/>
      <c r="N225"/>
      <c r="O225"/>
      <c r="P225"/>
      <c r="Q225"/>
      <c r="R225"/>
      <c r="S225"/>
      <c r="T225"/>
    </row>
    <row r="226" spans="1:20" ht="15" outlineLevel="3" thickBot="1" x14ac:dyDescent="0.35">
      <c r="A226" s="82" t="s">
        <v>709</v>
      </c>
      <c r="B226" s="10" t="s">
        <v>710</v>
      </c>
      <c r="C226" s="60" t="s">
        <v>627</v>
      </c>
      <c r="D226" s="44" t="s">
        <v>93</v>
      </c>
      <c r="E226" s="84">
        <v>1</v>
      </c>
      <c r="F226" s="84"/>
      <c r="G226" s="94">
        <f>cell_CoefGeneral</f>
        <v>1</v>
      </c>
      <c r="H226" s="84">
        <v>580</v>
      </c>
      <c r="I226" s="84">
        <f>IFERROR(ROUND(E226*H226,2),"-")</f>
        <v>580</v>
      </c>
      <c r="J226" s="105">
        <f>IFERROR(I226/cell_Total_HT,"-")</f>
        <v>1.7122926225429533E-4</v>
      </c>
      <c r="K226">
        <f>I226</f>
        <v>580</v>
      </c>
      <c r="L226"/>
      <c r="M226"/>
      <c r="N226"/>
      <c r="O226"/>
      <c r="P226"/>
      <c r="Q226"/>
      <c r="R226"/>
      <c r="S226"/>
      <c r="T226"/>
    </row>
    <row r="227" spans="1:20" ht="15" outlineLevel="2" thickTop="1" x14ac:dyDescent="0.3">
      <c r="A227" s="82" t="s">
        <v>711</v>
      </c>
      <c r="B227" s="62" t="s">
        <v>60</v>
      </c>
      <c r="C227" s="63" t="s">
        <v>712</v>
      </c>
      <c r="D227" s="116"/>
      <c r="E227" s="88"/>
      <c r="F227" s="88"/>
      <c r="G227" s="98"/>
      <c r="H227" s="88"/>
      <c r="I227" s="88">
        <f>SUBTOTAL(9,I199:I226)</f>
        <v>66845.2</v>
      </c>
      <c r="J227" s="109"/>
      <c r="K227"/>
      <c r="L227"/>
      <c r="M227"/>
      <c r="N227"/>
      <c r="O227"/>
      <c r="P227"/>
      <c r="Q227"/>
      <c r="R227"/>
      <c r="S227"/>
      <c r="T227"/>
    </row>
    <row r="228" spans="1:20" outlineLevel="2" x14ac:dyDescent="0.3">
      <c r="A228" s="82" t="s">
        <v>713</v>
      </c>
      <c r="B228" s="64" t="s">
        <v>714</v>
      </c>
      <c r="C228" s="65" t="s">
        <v>715</v>
      </c>
      <c r="D228" s="117"/>
      <c r="E228" s="87"/>
      <c r="F228" s="87"/>
      <c r="G228" s="97"/>
      <c r="H228" s="87"/>
      <c r="I228" s="104">
        <f>SUBTOTAL(9,K229:K251)</f>
        <v>15204.1</v>
      </c>
      <c r="J228" s="108"/>
      <c r="K228"/>
      <c r="L228"/>
      <c r="M228"/>
      <c r="N228"/>
      <c r="O228"/>
      <c r="P228"/>
      <c r="Q228"/>
      <c r="R228"/>
      <c r="S228"/>
      <c r="T228"/>
    </row>
    <row r="229" spans="1:20" ht="24.6" outlineLevel="3" x14ac:dyDescent="0.3">
      <c r="A229" s="82" t="s">
        <v>716</v>
      </c>
      <c r="B229" s="64" t="s">
        <v>717</v>
      </c>
      <c r="C229" s="66" t="s">
        <v>718</v>
      </c>
      <c r="D229" s="117"/>
      <c r="E229" s="87"/>
      <c r="F229" s="87"/>
      <c r="G229" s="97"/>
      <c r="H229" s="87"/>
      <c r="I229" s="104">
        <f>SUBTOTAL(9,K230:K232)</f>
        <v>1744</v>
      </c>
      <c r="J229" s="108"/>
      <c r="K229"/>
      <c r="L229"/>
      <c r="M229"/>
      <c r="N229"/>
      <c r="O229"/>
      <c r="P229"/>
      <c r="Q229"/>
      <c r="R229"/>
      <c r="S229"/>
      <c r="T229"/>
    </row>
    <row r="230" spans="1:20" outlineLevel="4" x14ac:dyDescent="0.3">
      <c r="A230" s="82" t="s">
        <v>719</v>
      </c>
      <c r="B230" s="10" t="s">
        <v>720</v>
      </c>
      <c r="C230" s="60" t="s">
        <v>721</v>
      </c>
      <c r="D230" s="44" t="s">
        <v>80</v>
      </c>
      <c r="E230" s="84">
        <v>52</v>
      </c>
      <c r="F230" s="84"/>
      <c r="G230" s="94">
        <f>cell_CoefGeneral</f>
        <v>1</v>
      </c>
      <c r="H230" s="84">
        <v>28</v>
      </c>
      <c r="I230" s="84">
        <f>IFERROR(ROUND(E230*H230,2),"-")</f>
        <v>1456</v>
      </c>
      <c r="J230" s="105">
        <f>IFERROR(I230/cell_Total_HT,"-")</f>
        <v>4.2984449283147244E-4</v>
      </c>
      <c r="K230">
        <f>I230</f>
        <v>1456</v>
      </c>
      <c r="L230"/>
      <c r="M230"/>
      <c r="N230"/>
      <c r="O230"/>
      <c r="P230"/>
      <c r="Q230"/>
      <c r="R230"/>
      <c r="S230"/>
      <c r="T230"/>
    </row>
    <row r="231" spans="1:20" outlineLevel="4" x14ac:dyDescent="0.3">
      <c r="A231" s="82" t="s">
        <v>722</v>
      </c>
      <c r="B231" s="10" t="s">
        <v>723</v>
      </c>
      <c r="C231" s="60" t="s">
        <v>724</v>
      </c>
      <c r="D231" s="44" t="s">
        <v>80</v>
      </c>
      <c r="E231" s="84">
        <v>9</v>
      </c>
      <c r="F231" s="84"/>
      <c r="G231" s="94">
        <f>cell_CoefGeneral</f>
        <v>1</v>
      </c>
      <c r="H231" s="84">
        <v>32</v>
      </c>
      <c r="I231" s="84">
        <f>IFERROR(ROUND(E231*H231,2),"-")</f>
        <v>288</v>
      </c>
      <c r="J231" s="105">
        <f>IFERROR(I231/cell_Total_HT,"-")</f>
        <v>8.5024185395236304E-5</v>
      </c>
      <c r="K231">
        <f>I231</f>
        <v>288</v>
      </c>
      <c r="L231"/>
      <c r="M231"/>
      <c r="N231"/>
      <c r="O231"/>
      <c r="P231"/>
      <c r="Q231"/>
      <c r="R231"/>
      <c r="S231"/>
      <c r="T231"/>
    </row>
    <row r="232" spans="1:20" outlineLevel="4" x14ac:dyDescent="0.3">
      <c r="A232" s="82" t="s">
        <v>725</v>
      </c>
      <c r="B232" s="10" t="s">
        <v>726</v>
      </c>
      <c r="C232" s="60" t="s">
        <v>727</v>
      </c>
      <c r="D232" s="44" t="s">
        <v>80</v>
      </c>
      <c r="E232" s="84">
        <v>0</v>
      </c>
      <c r="F232" s="84"/>
      <c r="G232" s="94">
        <f>cell_CoefGeneral</f>
        <v>1</v>
      </c>
      <c r="H232" s="84">
        <v>31</v>
      </c>
      <c r="I232" s="84">
        <f>IFERROR(ROUND(E232*H232,2),"-")</f>
        <v>0</v>
      </c>
      <c r="J232" s="105">
        <f>IFERROR(I232/cell_Total_HT,"-")</f>
        <v>0</v>
      </c>
      <c r="K232">
        <f>I232</f>
        <v>0</v>
      </c>
      <c r="L232"/>
      <c r="M232"/>
      <c r="N232"/>
      <c r="O232"/>
      <c r="P232"/>
      <c r="Q232"/>
      <c r="R232"/>
      <c r="S232"/>
      <c r="T232"/>
    </row>
    <row r="233" spans="1:20" outlineLevel="3" x14ac:dyDescent="0.3">
      <c r="A233" s="82" t="s">
        <v>728</v>
      </c>
      <c r="B233" s="58" t="s">
        <v>729</v>
      </c>
      <c r="C233" s="61" t="s">
        <v>730</v>
      </c>
      <c r="D233" s="115"/>
      <c r="E233" s="87"/>
      <c r="F233" s="87"/>
      <c r="G233" s="97"/>
      <c r="H233" s="87" t="s">
        <v>60</v>
      </c>
      <c r="I233" s="104">
        <f>SUBTOTAL(9,K234:K237)</f>
        <v>750.1</v>
      </c>
      <c r="J233" s="108"/>
      <c r="K233"/>
      <c r="L233"/>
      <c r="M233"/>
      <c r="N233"/>
      <c r="O233"/>
      <c r="P233"/>
      <c r="Q233"/>
      <c r="R233"/>
      <c r="S233"/>
      <c r="T233"/>
    </row>
    <row r="234" spans="1:20" outlineLevel="4" x14ac:dyDescent="0.3">
      <c r="A234" s="82" t="s">
        <v>731</v>
      </c>
      <c r="B234" s="10" t="s">
        <v>732</v>
      </c>
      <c r="C234" s="60" t="s">
        <v>733</v>
      </c>
      <c r="D234" s="44" t="s">
        <v>80</v>
      </c>
      <c r="E234" s="84">
        <v>41</v>
      </c>
      <c r="F234" s="84"/>
      <c r="G234" s="94">
        <f>cell_CoefGeneral</f>
        <v>1</v>
      </c>
      <c r="H234" s="84">
        <v>8.6</v>
      </c>
      <c r="I234" s="84">
        <f>IFERROR(ROUND(E234*H234,2),"-")</f>
        <v>352.6</v>
      </c>
      <c r="J234" s="105">
        <f>IFERROR(I234/cell_Total_HT,"-")</f>
        <v>1.0409558253597334E-4</v>
      </c>
      <c r="K234">
        <f>I234</f>
        <v>352.6</v>
      </c>
      <c r="L234"/>
      <c r="M234"/>
      <c r="N234"/>
      <c r="O234"/>
      <c r="P234"/>
      <c r="Q234"/>
      <c r="R234"/>
      <c r="S234"/>
      <c r="T234"/>
    </row>
    <row r="235" spans="1:20" outlineLevel="4" x14ac:dyDescent="0.3">
      <c r="A235" s="82" t="s">
        <v>734</v>
      </c>
      <c r="B235" s="10" t="s">
        <v>735</v>
      </c>
      <c r="C235" s="60" t="s">
        <v>736</v>
      </c>
      <c r="D235" s="44" t="s">
        <v>80</v>
      </c>
      <c r="E235" s="84">
        <v>20</v>
      </c>
      <c r="F235" s="84"/>
      <c r="G235" s="94">
        <f>cell_CoefGeneral</f>
        <v>1</v>
      </c>
      <c r="H235" s="84">
        <v>9.1999999999999993</v>
      </c>
      <c r="I235" s="84">
        <f>IFERROR(ROUND(E235*H235,2),"-")</f>
        <v>184</v>
      </c>
      <c r="J235" s="105">
        <f>IFERROR(I235/cell_Total_HT,"-")</f>
        <v>5.4321007335845416E-5</v>
      </c>
      <c r="K235">
        <f>I235</f>
        <v>184</v>
      </c>
      <c r="L235"/>
      <c r="M235"/>
      <c r="N235"/>
      <c r="O235"/>
      <c r="P235"/>
      <c r="Q235"/>
      <c r="R235"/>
      <c r="S235"/>
      <c r="T235"/>
    </row>
    <row r="236" spans="1:20" outlineLevel="4" x14ac:dyDescent="0.3">
      <c r="A236" s="82" t="s">
        <v>737</v>
      </c>
      <c r="B236" s="10" t="s">
        <v>738</v>
      </c>
      <c r="C236" s="60" t="s">
        <v>739</v>
      </c>
      <c r="D236" s="44" t="s">
        <v>80</v>
      </c>
      <c r="E236" s="84">
        <v>0</v>
      </c>
      <c r="F236" s="84"/>
      <c r="G236" s="94">
        <f>cell_CoefGeneral</f>
        <v>1</v>
      </c>
      <c r="H236" s="84">
        <v>38</v>
      </c>
      <c r="I236" s="84">
        <f>IFERROR(ROUND(E236*H236,2),"-")</f>
        <v>0</v>
      </c>
      <c r="J236" s="105">
        <f>IFERROR(I236/cell_Total_HT,"-")</f>
        <v>0</v>
      </c>
      <c r="K236">
        <f>I236</f>
        <v>0</v>
      </c>
      <c r="L236"/>
      <c r="M236"/>
      <c r="N236"/>
      <c r="O236"/>
      <c r="P236"/>
      <c r="Q236"/>
      <c r="R236"/>
      <c r="S236"/>
      <c r="T236"/>
    </row>
    <row r="237" spans="1:20" outlineLevel="4" x14ac:dyDescent="0.3">
      <c r="A237" s="82" t="s">
        <v>740</v>
      </c>
      <c r="B237" s="10" t="s">
        <v>741</v>
      </c>
      <c r="C237" s="60" t="s">
        <v>742</v>
      </c>
      <c r="D237" s="44" t="s">
        <v>80</v>
      </c>
      <c r="E237" s="84">
        <v>61</v>
      </c>
      <c r="F237" s="84"/>
      <c r="G237" s="94">
        <f>cell_CoefGeneral</f>
        <v>1</v>
      </c>
      <c r="H237" s="84">
        <v>3.5</v>
      </c>
      <c r="I237" s="84">
        <f>IFERROR(ROUND(E237*H237,2),"-")</f>
        <v>213.5</v>
      </c>
      <c r="J237" s="105">
        <f>IFERROR(I237/cell_Total_HT,"-")</f>
        <v>6.303008188153802E-5</v>
      </c>
      <c r="K237">
        <f>I237</f>
        <v>213.5</v>
      </c>
      <c r="L237"/>
      <c r="M237"/>
      <c r="N237"/>
      <c r="O237"/>
      <c r="P237"/>
      <c r="Q237"/>
      <c r="R237"/>
      <c r="S237"/>
      <c r="T237"/>
    </row>
    <row r="238" spans="1:20" outlineLevel="3" x14ac:dyDescent="0.3">
      <c r="A238" s="82" t="s">
        <v>743</v>
      </c>
      <c r="B238" s="58" t="s">
        <v>744</v>
      </c>
      <c r="C238" s="61" t="s">
        <v>745</v>
      </c>
      <c r="D238" s="115"/>
      <c r="E238" s="87"/>
      <c r="F238" s="87"/>
      <c r="G238" s="97"/>
      <c r="H238" s="87" t="s">
        <v>60</v>
      </c>
      <c r="I238" s="104">
        <f>SUBTOTAL(9,K239:K239)</f>
        <v>0</v>
      </c>
      <c r="J238" s="108"/>
      <c r="K238"/>
      <c r="L238"/>
      <c r="M238"/>
      <c r="N238"/>
      <c r="O238"/>
      <c r="P238"/>
      <c r="Q238"/>
      <c r="R238"/>
      <c r="S238"/>
      <c r="T238"/>
    </row>
    <row r="239" spans="1:20" outlineLevel="4" x14ac:dyDescent="0.3">
      <c r="A239" s="82" t="s">
        <v>746</v>
      </c>
      <c r="B239" s="10" t="s">
        <v>747</v>
      </c>
      <c r="C239" s="60" t="s">
        <v>748</v>
      </c>
      <c r="D239" s="44" t="s">
        <v>121</v>
      </c>
      <c r="E239" s="84">
        <v>0</v>
      </c>
      <c r="F239" s="84"/>
      <c r="G239" s="94">
        <f>cell_CoefGeneral</f>
        <v>1</v>
      </c>
      <c r="H239" s="84">
        <v>950</v>
      </c>
      <c r="I239" s="84">
        <f>IFERROR(ROUND(E239*H239,2),"-")</f>
        <v>0</v>
      </c>
      <c r="J239" s="105">
        <f>IFERROR(I239/cell_Total_HT,"-")</f>
        <v>0</v>
      </c>
      <c r="K239">
        <f>I239</f>
        <v>0</v>
      </c>
      <c r="L239"/>
      <c r="M239"/>
      <c r="N239"/>
      <c r="O239"/>
      <c r="P239"/>
      <c r="Q239"/>
      <c r="R239"/>
      <c r="S239"/>
      <c r="T239"/>
    </row>
    <row r="240" spans="1:20" outlineLevel="3" x14ac:dyDescent="0.3">
      <c r="A240" s="82" t="s">
        <v>749</v>
      </c>
      <c r="B240" s="58" t="s">
        <v>750</v>
      </c>
      <c r="C240" s="61" t="s">
        <v>751</v>
      </c>
      <c r="D240" s="115"/>
      <c r="E240" s="87"/>
      <c r="F240" s="87"/>
      <c r="G240" s="97"/>
      <c r="H240" s="87" t="s">
        <v>60</v>
      </c>
      <c r="I240" s="104">
        <f>SUBTOTAL(9,K241:K242)</f>
        <v>4760</v>
      </c>
      <c r="J240" s="108"/>
      <c r="K240"/>
      <c r="L240"/>
      <c r="M240"/>
      <c r="N240"/>
      <c r="O240"/>
      <c r="P240"/>
      <c r="Q240"/>
      <c r="R240"/>
      <c r="S240"/>
      <c r="T240"/>
    </row>
    <row r="241" spans="1:20" ht="28.8" outlineLevel="4" x14ac:dyDescent="0.3">
      <c r="A241" s="82" t="s">
        <v>752</v>
      </c>
      <c r="B241" s="10" t="s">
        <v>753</v>
      </c>
      <c r="C241" s="60" t="s">
        <v>754</v>
      </c>
      <c r="D241" s="44" t="s">
        <v>121</v>
      </c>
      <c r="E241" s="84">
        <v>1</v>
      </c>
      <c r="F241" s="84"/>
      <c r="G241" s="94">
        <f>cell_CoefGeneral</f>
        <v>1</v>
      </c>
      <c r="H241" s="84">
        <v>2800</v>
      </c>
      <c r="I241" s="84">
        <f>IFERROR(ROUND(E241*H241,2),"-")</f>
        <v>2800</v>
      </c>
      <c r="J241" s="105">
        <f>IFERROR(I241/cell_Total_HT,"-")</f>
        <v>8.2662402467590843E-4</v>
      </c>
      <c r="K241">
        <f>I241</f>
        <v>2800</v>
      </c>
      <c r="L241"/>
      <c r="M241"/>
      <c r="N241"/>
      <c r="O241"/>
      <c r="P241"/>
      <c r="Q241"/>
      <c r="R241"/>
      <c r="S241"/>
      <c r="T241"/>
    </row>
    <row r="242" spans="1:20" outlineLevel="4" x14ac:dyDescent="0.3">
      <c r="A242" s="82" t="s">
        <v>755</v>
      </c>
      <c r="B242" s="10" t="s">
        <v>756</v>
      </c>
      <c r="C242" s="60" t="s">
        <v>757</v>
      </c>
      <c r="D242" s="44" t="s">
        <v>121</v>
      </c>
      <c r="E242" s="84">
        <v>2</v>
      </c>
      <c r="F242" s="84"/>
      <c r="G242" s="94">
        <f>cell_CoefGeneral</f>
        <v>1</v>
      </c>
      <c r="H242" s="84">
        <v>980</v>
      </c>
      <c r="I242" s="84">
        <f>IFERROR(ROUND(E242*H242,2),"-")</f>
        <v>1960</v>
      </c>
      <c r="J242" s="105">
        <f>IFERROR(I242/cell_Total_HT,"-")</f>
        <v>5.7863681727313599E-4</v>
      </c>
      <c r="K242">
        <f>I242</f>
        <v>1960</v>
      </c>
      <c r="L242"/>
      <c r="M242"/>
      <c r="N242"/>
      <c r="O242"/>
      <c r="P242"/>
      <c r="Q242"/>
      <c r="R242"/>
      <c r="S242"/>
      <c r="T242"/>
    </row>
    <row r="243" spans="1:20" outlineLevel="3" x14ac:dyDescent="0.3">
      <c r="A243" s="82" t="s">
        <v>758</v>
      </c>
      <c r="B243" s="10" t="s">
        <v>759</v>
      </c>
      <c r="C243" s="60" t="s">
        <v>760</v>
      </c>
      <c r="D243" s="44" t="s">
        <v>121</v>
      </c>
      <c r="E243" s="84">
        <v>2</v>
      </c>
      <c r="F243" s="84"/>
      <c r="G243" s="94">
        <f>cell_CoefGeneral</f>
        <v>1</v>
      </c>
      <c r="H243" s="84">
        <v>2400</v>
      </c>
      <c r="I243" s="84">
        <f>IFERROR(ROUND(E243*H243,2),"-")</f>
        <v>4800</v>
      </c>
      <c r="J243" s="105">
        <f>IFERROR(I243/cell_Total_HT,"-")</f>
        <v>1.4170697565872718E-3</v>
      </c>
      <c r="K243">
        <f>I243</f>
        <v>4800</v>
      </c>
      <c r="L243"/>
      <c r="M243"/>
      <c r="N243"/>
      <c r="O243"/>
      <c r="P243"/>
      <c r="Q243"/>
      <c r="R243"/>
      <c r="S243"/>
      <c r="T243"/>
    </row>
    <row r="244" spans="1:20" outlineLevel="3" x14ac:dyDescent="0.3">
      <c r="A244" s="82" t="s">
        <v>761</v>
      </c>
      <c r="B244" s="10" t="s">
        <v>762</v>
      </c>
      <c r="C244" s="60" t="s">
        <v>763</v>
      </c>
      <c r="D244" s="44" t="s">
        <v>121</v>
      </c>
      <c r="E244" s="84">
        <v>2</v>
      </c>
      <c r="F244" s="84"/>
      <c r="G244" s="94">
        <f>cell_CoefGeneral</f>
        <v>1</v>
      </c>
      <c r="H244" s="84">
        <v>1300</v>
      </c>
      <c r="I244" s="84">
        <f>IFERROR(ROUND(E244*H244,2),"-")</f>
        <v>2600</v>
      </c>
      <c r="J244" s="105">
        <f>IFERROR(I244/cell_Total_HT,"-")</f>
        <v>7.6757945148477221E-4</v>
      </c>
      <c r="K244">
        <f>I244</f>
        <v>2600</v>
      </c>
      <c r="L244"/>
      <c r="M244"/>
      <c r="N244"/>
      <c r="O244"/>
      <c r="P244"/>
      <c r="Q244"/>
      <c r="R244"/>
      <c r="S244"/>
      <c r="T244"/>
    </row>
    <row r="245" spans="1:20" outlineLevel="3" x14ac:dyDescent="0.3">
      <c r="A245" s="82" t="s">
        <v>764</v>
      </c>
      <c r="B245" s="10" t="s">
        <v>765</v>
      </c>
      <c r="C245" s="60" t="s">
        <v>766</v>
      </c>
      <c r="D245" s="44" t="s">
        <v>93</v>
      </c>
      <c r="E245" s="84">
        <v>0</v>
      </c>
      <c r="F245" s="84"/>
      <c r="G245" s="94">
        <f>cell_CoefGeneral</f>
        <v>1</v>
      </c>
      <c r="H245" s="84">
        <v>520</v>
      </c>
      <c r="I245" s="84">
        <f>IFERROR(ROUND(E245*H245,2),"-")</f>
        <v>0</v>
      </c>
      <c r="J245" s="105">
        <f>IFERROR(I245/cell_Total_HT,"-")</f>
        <v>0</v>
      </c>
      <c r="K245">
        <f>I245</f>
        <v>0</v>
      </c>
      <c r="L245"/>
      <c r="M245"/>
      <c r="N245"/>
      <c r="O245"/>
      <c r="P245"/>
      <c r="Q245"/>
      <c r="R245"/>
      <c r="S245"/>
      <c r="T245"/>
    </row>
    <row r="246" spans="1:20" outlineLevel="3" x14ac:dyDescent="0.3">
      <c r="A246" s="82" t="s">
        <v>767</v>
      </c>
      <c r="B246" s="58" t="s">
        <v>768</v>
      </c>
      <c r="C246" s="61" t="s">
        <v>769</v>
      </c>
      <c r="D246" s="115"/>
      <c r="E246" s="87"/>
      <c r="F246" s="87"/>
      <c r="G246" s="97"/>
      <c r="H246" s="87" t="s">
        <v>60</v>
      </c>
      <c r="I246" s="104">
        <f>SUBTOTAL(9,K247:K249)</f>
        <v>240</v>
      </c>
      <c r="J246" s="108"/>
      <c r="K246"/>
      <c r="L246"/>
      <c r="M246"/>
      <c r="N246"/>
      <c r="O246"/>
      <c r="P246"/>
      <c r="Q246"/>
      <c r="R246"/>
      <c r="S246"/>
      <c r="T246"/>
    </row>
    <row r="247" spans="1:20" outlineLevel="4" x14ac:dyDescent="0.3">
      <c r="A247" s="82" t="s">
        <v>770</v>
      </c>
      <c r="B247" s="10" t="s">
        <v>771</v>
      </c>
      <c r="C247" s="60" t="s">
        <v>772</v>
      </c>
      <c r="D247" s="44" t="s">
        <v>121</v>
      </c>
      <c r="E247" s="84">
        <v>0</v>
      </c>
      <c r="F247" s="84"/>
      <c r="G247" s="94">
        <f>cell_CoefGeneral</f>
        <v>1</v>
      </c>
      <c r="H247" s="84">
        <v>440</v>
      </c>
      <c r="I247" s="84">
        <f>IFERROR(ROUND(E247*H247,2),"-")</f>
        <v>0</v>
      </c>
      <c r="J247" s="105">
        <f>IFERROR(I247/cell_Total_HT,"-")</f>
        <v>0</v>
      </c>
      <c r="K247">
        <f>I247</f>
        <v>0</v>
      </c>
      <c r="L247"/>
      <c r="M247"/>
      <c r="N247"/>
      <c r="O247"/>
      <c r="P247"/>
      <c r="Q247"/>
      <c r="R247"/>
      <c r="S247"/>
      <c r="T247"/>
    </row>
    <row r="248" spans="1:20" outlineLevel="4" x14ac:dyDescent="0.3">
      <c r="A248" s="82" t="s">
        <v>773</v>
      </c>
      <c r="B248" s="10" t="s">
        <v>774</v>
      </c>
      <c r="C248" s="60" t="s">
        <v>775</v>
      </c>
      <c r="D248" s="44" t="s">
        <v>121</v>
      </c>
      <c r="E248" s="84">
        <v>0</v>
      </c>
      <c r="F248" s="84"/>
      <c r="G248" s="94">
        <f>cell_CoefGeneral</f>
        <v>1</v>
      </c>
      <c r="H248" s="84">
        <v>290</v>
      </c>
      <c r="I248" s="84">
        <f>IFERROR(ROUND(E248*H248,2),"-")</f>
        <v>0</v>
      </c>
      <c r="J248" s="105">
        <f>IFERROR(I248/cell_Total_HT,"-")</f>
        <v>0</v>
      </c>
      <c r="K248">
        <f>I248</f>
        <v>0</v>
      </c>
      <c r="L248"/>
      <c r="M248"/>
      <c r="N248"/>
      <c r="O248"/>
      <c r="P248"/>
      <c r="Q248"/>
      <c r="R248"/>
      <c r="S248"/>
      <c r="T248"/>
    </row>
    <row r="249" spans="1:20" outlineLevel="4" x14ac:dyDescent="0.3">
      <c r="A249" s="82" t="s">
        <v>776</v>
      </c>
      <c r="B249" s="10" t="s">
        <v>777</v>
      </c>
      <c r="C249" s="60" t="s">
        <v>778</v>
      </c>
      <c r="D249" s="44" t="s">
        <v>121</v>
      </c>
      <c r="E249" s="84">
        <v>1</v>
      </c>
      <c r="F249" s="84"/>
      <c r="G249" s="94">
        <f>cell_CoefGeneral</f>
        <v>1</v>
      </c>
      <c r="H249" s="84">
        <v>240</v>
      </c>
      <c r="I249" s="84">
        <f>IFERROR(ROUND(E249*H249,2),"-")</f>
        <v>240</v>
      </c>
      <c r="J249" s="105">
        <f>IFERROR(I249/cell_Total_HT,"-")</f>
        <v>7.0853487829363582E-5</v>
      </c>
      <c r="K249">
        <f>I249</f>
        <v>240</v>
      </c>
      <c r="L249"/>
      <c r="M249"/>
      <c r="N249"/>
      <c r="O249"/>
      <c r="P249"/>
      <c r="Q249"/>
      <c r="R249"/>
      <c r="S249"/>
      <c r="T249"/>
    </row>
    <row r="250" spans="1:20" outlineLevel="3" x14ac:dyDescent="0.3">
      <c r="A250" s="82" t="s">
        <v>779</v>
      </c>
      <c r="B250" s="10" t="s">
        <v>780</v>
      </c>
      <c r="C250" s="60" t="s">
        <v>781</v>
      </c>
      <c r="D250" s="44" t="s">
        <v>80</v>
      </c>
      <c r="E250" s="84">
        <v>0</v>
      </c>
      <c r="F250" s="84"/>
      <c r="G250" s="94">
        <f>cell_CoefGeneral</f>
        <v>1</v>
      </c>
      <c r="H250" s="84">
        <v>31</v>
      </c>
      <c r="I250" s="84">
        <f>IFERROR(ROUND(E250*H250,2),"-")</f>
        <v>0</v>
      </c>
      <c r="J250" s="105">
        <f>IFERROR(I250/cell_Total_HT,"-")</f>
        <v>0</v>
      </c>
      <c r="K250">
        <f>I250</f>
        <v>0</v>
      </c>
      <c r="L250"/>
      <c r="M250"/>
      <c r="N250"/>
      <c r="O250"/>
      <c r="P250"/>
      <c r="Q250"/>
      <c r="R250"/>
      <c r="S250"/>
      <c r="T250"/>
    </row>
    <row r="251" spans="1:20" ht="15" outlineLevel="3" thickBot="1" x14ac:dyDescent="0.35">
      <c r="A251" s="82" t="s">
        <v>782</v>
      </c>
      <c r="B251" s="10" t="s">
        <v>783</v>
      </c>
      <c r="C251" s="60" t="s">
        <v>784</v>
      </c>
      <c r="D251" s="44" t="s">
        <v>121</v>
      </c>
      <c r="E251" s="84">
        <v>1</v>
      </c>
      <c r="F251" s="84"/>
      <c r="G251" s="94">
        <f>cell_CoefGeneral</f>
        <v>1</v>
      </c>
      <c r="H251" s="84">
        <v>310</v>
      </c>
      <c r="I251" s="84">
        <f>IFERROR(ROUND(E251*H251,2),"-")</f>
        <v>310</v>
      </c>
      <c r="J251" s="105">
        <f>IFERROR(I251/cell_Total_HT,"-")</f>
        <v>9.151908844626129E-5</v>
      </c>
      <c r="K251">
        <f>I251</f>
        <v>310</v>
      </c>
      <c r="L251"/>
      <c r="M251"/>
      <c r="N251"/>
      <c r="O251"/>
      <c r="P251"/>
      <c r="Q251"/>
      <c r="R251"/>
      <c r="S251"/>
      <c r="T251"/>
    </row>
    <row r="252" spans="1:20" ht="15" outlineLevel="2" thickTop="1" x14ac:dyDescent="0.3">
      <c r="A252" s="82" t="s">
        <v>785</v>
      </c>
      <c r="B252" s="62" t="s">
        <v>60</v>
      </c>
      <c r="C252" s="63" t="s">
        <v>786</v>
      </c>
      <c r="D252" s="116"/>
      <c r="E252" s="88"/>
      <c r="F252" s="88"/>
      <c r="G252" s="98"/>
      <c r="H252" s="88"/>
      <c r="I252" s="88">
        <f>SUBTOTAL(9,I230:I251)</f>
        <v>15204.1</v>
      </c>
      <c r="J252" s="109"/>
      <c r="K252"/>
      <c r="L252"/>
      <c r="M252"/>
      <c r="N252"/>
      <c r="O252"/>
      <c r="P252"/>
      <c r="Q252"/>
      <c r="R252"/>
      <c r="S252"/>
      <c r="T252"/>
    </row>
    <row r="253" spans="1:20" outlineLevel="2" x14ac:dyDescent="0.3">
      <c r="A253" s="82" t="s">
        <v>787</v>
      </c>
      <c r="B253" s="64" t="s">
        <v>788</v>
      </c>
      <c r="C253" s="65" t="s">
        <v>789</v>
      </c>
      <c r="D253" s="117"/>
      <c r="E253" s="87"/>
      <c r="F253" s="87"/>
      <c r="G253" s="97"/>
      <c r="H253" s="87"/>
      <c r="I253" s="104">
        <f>SUBTOTAL(9,K254:K266)</f>
        <v>5911.5</v>
      </c>
      <c r="J253" s="108"/>
      <c r="K253"/>
      <c r="L253"/>
      <c r="M253"/>
      <c r="N253"/>
      <c r="O253"/>
      <c r="P253"/>
      <c r="Q253"/>
      <c r="R253"/>
      <c r="S253"/>
      <c r="T253"/>
    </row>
    <row r="254" spans="1:20" outlineLevel="3" x14ac:dyDescent="0.3">
      <c r="A254" s="82" t="s">
        <v>790</v>
      </c>
      <c r="B254" s="64" t="s">
        <v>791</v>
      </c>
      <c r="C254" s="66" t="s">
        <v>792</v>
      </c>
      <c r="D254" s="117"/>
      <c r="E254" s="87"/>
      <c r="F254" s="87"/>
      <c r="G254" s="97"/>
      <c r="H254" s="87"/>
      <c r="I254" s="104">
        <f>SUBTOTAL(9,K255:K256)</f>
        <v>2409</v>
      </c>
      <c r="J254" s="108"/>
      <c r="K254"/>
      <c r="L254"/>
      <c r="M254"/>
      <c r="N254"/>
      <c r="O254"/>
      <c r="P254"/>
      <c r="Q254"/>
      <c r="R254"/>
      <c r="S254"/>
      <c r="T254"/>
    </row>
    <row r="255" spans="1:20" outlineLevel="4" x14ac:dyDescent="0.3">
      <c r="A255" s="82" t="s">
        <v>793</v>
      </c>
      <c r="B255" s="10" t="s">
        <v>794</v>
      </c>
      <c r="C255" s="60" t="s">
        <v>795</v>
      </c>
      <c r="D255" s="44" t="s">
        <v>80</v>
      </c>
      <c r="E255" s="84">
        <v>11</v>
      </c>
      <c r="F255" s="84"/>
      <c r="G255" s="94">
        <f>cell_CoefGeneral</f>
        <v>1</v>
      </c>
      <c r="H255" s="84">
        <v>39</v>
      </c>
      <c r="I255" s="84">
        <f>IFERROR(ROUND(E255*H255,2),"-")</f>
        <v>429</v>
      </c>
      <c r="J255" s="105">
        <f>IFERROR(I255/cell_Total_HT,"-")</f>
        <v>1.266506094949874E-4</v>
      </c>
      <c r="K255">
        <f>I255</f>
        <v>429</v>
      </c>
      <c r="L255"/>
      <c r="M255"/>
      <c r="N255"/>
      <c r="O255"/>
      <c r="P255"/>
      <c r="Q255"/>
      <c r="R255"/>
      <c r="S255"/>
      <c r="T255"/>
    </row>
    <row r="256" spans="1:20" outlineLevel="4" x14ac:dyDescent="0.3">
      <c r="A256" s="82" t="s">
        <v>796</v>
      </c>
      <c r="B256" s="10" t="s">
        <v>797</v>
      </c>
      <c r="C256" s="60" t="s">
        <v>798</v>
      </c>
      <c r="D256" s="44" t="s">
        <v>80</v>
      </c>
      <c r="E256" s="84">
        <v>66</v>
      </c>
      <c r="F256" s="84"/>
      <c r="G256" s="94">
        <f>cell_CoefGeneral</f>
        <v>1</v>
      </c>
      <c r="H256" s="84">
        <v>30</v>
      </c>
      <c r="I256" s="84">
        <f>IFERROR(ROUND(E256*H256,2),"-")</f>
        <v>1980</v>
      </c>
      <c r="J256" s="105">
        <f>IFERROR(I256/cell_Total_HT,"-")</f>
        <v>5.845412745922496E-4</v>
      </c>
      <c r="K256">
        <f>I256</f>
        <v>1980</v>
      </c>
      <c r="L256"/>
      <c r="M256"/>
      <c r="N256"/>
      <c r="O256"/>
      <c r="P256"/>
      <c r="Q256"/>
      <c r="R256"/>
      <c r="S256"/>
      <c r="T256"/>
    </row>
    <row r="257" spans="1:20" outlineLevel="3" x14ac:dyDescent="0.3">
      <c r="A257" s="82" t="s">
        <v>799</v>
      </c>
      <c r="B257" s="58" t="s">
        <v>800</v>
      </c>
      <c r="C257" s="61" t="s">
        <v>801</v>
      </c>
      <c r="D257" s="115"/>
      <c r="E257" s="87"/>
      <c r="F257" s="87"/>
      <c r="G257" s="97"/>
      <c r="H257" s="87" t="s">
        <v>60</v>
      </c>
      <c r="I257" s="104">
        <f>SUBTOTAL(9,K258:K259)</f>
        <v>1116.5</v>
      </c>
      <c r="J257" s="108"/>
      <c r="K257"/>
      <c r="L257"/>
      <c r="M257"/>
      <c r="N257"/>
      <c r="O257"/>
      <c r="P257"/>
      <c r="Q257"/>
      <c r="R257"/>
      <c r="S257"/>
      <c r="T257"/>
    </row>
    <row r="258" spans="1:20" outlineLevel="4" x14ac:dyDescent="0.3">
      <c r="A258" s="82" t="s">
        <v>802</v>
      </c>
      <c r="B258" s="10" t="s">
        <v>803</v>
      </c>
      <c r="C258" s="60" t="s">
        <v>804</v>
      </c>
      <c r="D258" s="44" t="s">
        <v>80</v>
      </c>
      <c r="E258" s="84">
        <v>385</v>
      </c>
      <c r="F258" s="84"/>
      <c r="G258" s="94">
        <f>cell_CoefGeneral</f>
        <v>1</v>
      </c>
      <c r="H258" s="84">
        <v>2.9</v>
      </c>
      <c r="I258" s="84">
        <f>IFERROR(ROUND(E258*H258,2),"-")</f>
        <v>1116.5</v>
      </c>
      <c r="J258" s="105">
        <f>IFERROR(I258/cell_Total_HT,"-")</f>
        <v>3.2961632983951851E-4</v>
      </c>
      <c r="K258">
        <f>I258</f>
        <v>1116.5</v>
      </c>
      <c r="L258"/>
      <c r="M258"/>
      <c r="N258"/>
      <c r="O258"/>
      <c r="P258"/>
      <c r="Q258"/>
      <c r="R258"/>
      <c r="S258"/>
      <c r="T258"/>
    </row>
    <row r="259" spans="1:20" outlineLevel="4" x14ac:dyDescent="0.3">
      <c r="A259" s="82" t="s">
        <v>805</v>
      </c>
      <c r="B259" s="10" t="s">
        <v>806</v>
      </c>
      <c r="C259" s="60" t="s">
        <v>807</v>
      </c>
      <c r="D259" s="44" t="s">
        <v>80</v>
      </c>
      <c r="E259" s="84">
        <v>0</v>
      </c>
      <c r="F259" s="84"/>
      <c r="G259" s="94">
        <f>cell_CoefGeneral</f>
        <v>1</v>
      </c>
      <c r="H259" s="84">
        <v>4</v>
      </c>
      <c r="I259" s="84">
        <f>IFERROR(ROUND(E259*H259,2),"-")</f>
        <v>0</v>
      </c>
      <c r="J259" s="105">
        <f>IFERROR(I259/cell_Total_HT,"-")</f>
        <v>0</v>
      </c>
      <c r="K259">
        <f>I259</f>
        <v>0</v>
      </c>
      <c r="L259"/>
      <c r="M259"/>
      <c r="N259"/>
      <c r="O259"/>
      <c r="P259"/>
      <c r="Q259"/>
      <c r="R259"/>
      <c r="S259"/>
      <c r="T259"/>
    </row>
    <row r="260" spans="1:20" outlineLevel="3" x14ac:dyDescent="0.3">
      <c r="A260" s="82" t="s">
        <v>808</v>
      </c>
      <c r="B260" s="10" t="s">
        <v>809</v>
      </c>
      <c r="C260" s="60" t="s">
        <v>810</v>
      </c>
      <c r="D260" s="44" t="s">
        <v>80</v>
      </c>
      <c r="E260" s="84">
        <v>77</v>
      </c>
      <c r="F260" s="84"/>
      <c r="G260" s="94">
        <f>cell_CoefGeneral</f>
        <v>1</v>
      </c>
      <c r="H260" s="84">
        <v>28</v>
      </c>
      <c r="I260" s="84">
        <f>IFERROR(ROUND(E260*H260,2),"-")</f>
        <v>2156</v>
      </c>
      <c r="J260" s="105">
        <f>IFERROR(I260/cell_Total_HT,"-")</f>
        <v>6.3650049900044949E-4</v>
      </c>
      <c r="K260">
        <f>I260</f>
        <v>2156</v>
      </c>
      <c r="L260"/>
      <c r="M260"/>
      <c r="N260"/>
      <c r="O260"/>
      <c r="P260"/>
      <c r="Q260"/>
      <c r="R260"/>
      <c r="S260"/>
      <c r="T260"/>
    </row>
    <row r="261" spans="1:20" outlineLevel="3" x14ac:dyDescent="0.3">
      <c r="A261" s="82" t="s">
        <v>811</v>
      </c>
      <c r="B261" s="58" t="s">
        <v>812</v>
      </c>
      <c r="C261" s="61" t="s">
        <v>813</v>
      </c>
      <c r="D261" s="115"/>
      <c r="E261" s="87"/>
      <c r="F261" s="87"/>
      <c r="G261" s="97"/>
      <c r="H261" s="87" t="s">
        <v>60</v>
      </c>
      <c r="I261" s="104">
        <f>SUBTOTAL(9,K262:K264)</f>
        <v>0</v>
      </c>
      <c r="J261" s="108"/>
      <c r="K261"/>
      <c r="L261"/>
      <c r="M261"/>
      <c r="N261"/>
      <c r="O261"/>
      <c r="P261"/>
      <c r="Q261"/>
      <c r="R261"/>
      <c r="S261"/>
      <c r="T261"/>
    </row>
    <row r="262" spans="1:20" outlineLevel="4" x14ac:dyDescent="0.3">
      <c r="A262" s="82" t="s">
        <v>814</v>
      </c>
      <c r="B262" s="10" t="s">
        <v>815</v>
      </c>
      <c r="C262" s="60" t="s">
        <v>816</v>
      </c>
      <c r="D262" s="44" t="s">
        <v>121</v>
      </c>
      <c r="E262" s="84">
        <v>0</v>
      </c>
      <c r="F262" s="84"/>
      <c r="G262" s="94">
        <f>cell_CoefGeneral</f>
        <v>1</v>
      </c>
      <c r="H262" s="84">
        <v>280</v>
      </c>
      <c r="I262" s="84">
        <f>IFERROR(ROUND(E262*H262,2),"-")</f>
        <v>0</v>
      </c>
      <c r="J262" s="105">
        <f>IFERROR(I262/cell_Total_HT,"-")</f>
        <v>0</v>
      </c>
      <c r="K262">
        <f>I262</f>
        <v>0</v>
      </c>
      <c r="L262"/>
      <c r="M262"/>
      <c r="N262"/>
      <c r="O262"/>
      <c r="P262"/>
      <c r="Q262"/>
      <c r="R262"/>
      <c r="S262"/>
      <c r="T262"/>
    </row>
    <row r="263" spans="1:20" outlineLevel="4" x14ac:dyDescent="0.3">
      <c r="A263" s="82" t="s">
        <v>817</v>
      </c>
      <c r="B263" s="10" t="s">
        <v>818</v>
      </c>
      <c r="C263" s="60" t="s">
        <v>819</v>
      </c>
      <c r="D263" s="44" t="s">
        <v>121</v>
      </c>
      <c r="E263" s="84">
        <v>0</v>
      </c>
      <c r="F263" s="84"/>
      <c r="G263" s="94">
        <f>cell_CoefGeneral</f>
        <v>1</v>
      </c>
      <c r="H263" s="84">
        <v>400</v>
      </c>
      <c r="I263" s="84">
        <f>IFERROR(ROUND(E263*H263,2),"-")</f>
        <v>0</v>
      </c>
      <c r="J263" s="105">
        <f>IFERROR(I263/cell_Total_HT,"-")</f>
        <v>0</v>
      </c>
      <c r="K263">
        <f>I263</f>
        <v>0</v>
      </c>
      <c r="L263"/>
      <c r="M263"/>
      <c r="N263"/>
      <c r="O263"/>
      <c r="P263"/>
      <c r="Q263"/>
      <c r="R263"/>
      <c r="S263"/>
      <c r="T263"/>
    </row>
    <row r="264" spans="1:20" outlineLevel="4" x14ac:dyDescent="0.3">
      <c r="A264" s="82" t="s">
        <v>820</v>
      </c>
      <c r="B264" s="10" t="s">
        <v>821</v>
      </c>
      <c r="C264" s="60" t="s">
        <v>822</v>
      </c>
      <c r="D264" s="44" t="s">
        <v>121</v>
      </c>
      <c r="E264" s="84">
        <v>0</v>
      </c>
      <c r="F264" s="84"/>
      <c r="G264" s="94">
        <f>cell_CoefGeneral</f>
        <v>1</v>
      </c>
      <c r="H264" s="84">
        <v>520</v>
      </c>
      <c r="I264" s="84">
        <f>IFERROR(ROUND(E264*H264,2),"-")</f>
        <v>0</v>
      </c>
      <c r="J264" s="105">
        <f>IFERROR(I264/cell_Total_HT,"-")</f>
        <v>0</v>
      </c>
      <c r="K264">
        <f>I264</f>
        <v>0</v>
      </c>
      <c r="L264"/>
      <c r="M264"/>
      <c r="N264"/>
      <c r="O264"/>
      <c r="P264"/>
      <c r="Q264"/>
      <c r="R264"/>
      <c r="S264"/>
      <c r="T264"/>
    </row>
    <row r="265" spans="1:20" outlineLevel="3" x14ac:dyDescent="0.3">
      <c r="A265" s="82" t="s">
        <v>823</v>
      </c>
      <c r="B265" s="10" t="s">
        <v>824</v>
      </c>
      <c r="C265" s="60" t="s">
        <v>781</v>
      </c>
      <c r="D265" s="44" t="s">
        <v>80</v>
      </c>
      <c r="E265" s="84">
        <v>0</v>
      </c>
      <c r="F265" s="84"/>
      <c r="G265" s="94">
        <f>cell_CoefGeneral</f>
        <v>1</v>
      </c>
      <c r="H265" s="84">
        <v>31</v>
      </c>
      <c r="I265" s="84">
        <f>IFERROR(ROUND(E265*H265,2),"-")</f>
        <v>0</v>
      </c>
      <c r="J265" s="105">
        <f>IFERROR(I265/cell_Total_HT,"-")</f>
        <v>0</v>
      </c>
      <c r="K265">
        <f>I265</f>
        <v>0</v>
      </c>
      <c r="L265"/>
      <c r="M265"/>
      <c r="N265"/>
      <c r="O265"/>
      <c r="P265"/>
      <c r="Q265"/>
      <c r="R265"/>
      <c r="S265"/>
      <c r="T265"/>
    </row>
    <row r="266" spans="1:20" ht="15" outlineLevel="3" thickBot="1" x14ac:dyDescent="0.35">
      <c r="A266" s="82" t="s">
        <v>825</v>
      </c>
      <c r="B266" s="10" t="s">
        <v>826</v>
      </c>
      <c r="C266" s="60" t="s">
        <v>827</v>
      </c>
      <c r="D266" s="44" t="s">
        <v>121</v>
      </c>
      <c r="E266" s="84">
        <v>1</v>
      </c>
      <c r="F266" s="84"/>
      <c r="G266" s="94">
        <f>cell_CoefGeneral</f>
        <v>1</v>
      </c>
      <c r="H266" s="84">
        <v>230</v>
      </c>
      <c r="I266" s="84">
        <f>IFERROR(ROUND(E266*H266,2),"-")</f>
        <v>230</v>
      </c>
      <c r="J266" s="105">
        <f>IFERROR(I266/cell_Total_HT,"-")</f>
        <v>6.7901259169806763E-5</v>
      </c>
      <c r="K266">
        <f>I266</f>
        <v>230</v>
      </c>
      <c r="L266"/>
      <c r="M266"/>
      <c r="N266"/>
      <c r="O266"/>
      <c r="P266"/>
      <c r="Q266"/>
      <c r="R266"/>
      <c r="S266"/>
      <c r="T266"/>
    </row>
    <row r="267" spans="1:20" ht="15" outlineLevel="2" thickTop="1" x14ac:dyDescent="0.3">
      <c r="A267" s="82" t="s">
        <v>828</v>
      </c>
      <c r="B267" s="62" t="s">
        <v>60</v>
      </c>
      <c r="C267" s="63" t="s">
        <v>829</v>
      </c>
      <c r="D267" s="116"/>
      <c r="E267" s="88"/>
      <c r="F267" s="88"/>
      <c r="G267" s="98"/>
      <c r="H267" s="88"/>
      <c r="I267" s="88">
        <f>SUBTOTAL(9,I255:I266)</f>
        <v>5911.5</v>
      </c>
      <c r="J267" s="109"/>
      <c r="K267"/>
      <c r="L267"/>
      <c r="M267"/>
      <c r="N267"/>
      <c r="O267"/>
      <c r="P267"/>
      <c r="Q267"/>
      <c r="R267"/>
      <c r="S267"/>
      <c r="T267"/>
    </row>
    <row r="268" spans="1:20" outlineLevel="2" x14ac:dyDescent="0.3">
      <c r="A268" s="82" t="s">
        <v>830</v>
      </c>
      <c r="B268" s="64" t="s">
        <v>831</v>
      </c>
      <c r="C268" s="65" t="s">
        <v>832</v>
      </c>
      <c r="D268" s="117"/>
      <c r="E268" s="87"/>
      <c r="F268" s="87"/>
      <c r="G268" s="97"/>
      <c r="H268" s="87"/>
      <c r="I268" s="104">
        <f>SUBTOTAL(9,K269:K291)</f>
        <v>50994.6</v>
      </c>
      <c r="J268" s="108"/>
      <c r="K268"/>
      <c r="L268"/>
      <c r="M268"/>
      <c r="N268"/>
      <c r="O268"/>
      <c r="P268"/>
      <c r="Q268"/>
      <c r="R268"/>
      <c r="S268"/>
      <c r="T268"/>
    </row>
    <row r="269" spans="1:20" outlineLevel="3" x14ac:dyDescent="0.3">
      <c r="A269" s="82" t="s">
        <v>833</v>
      </c>
      <c r="B269" s="64" t="s">
        <v>834</v>
      </c>
      <c r="C269" s="66" t="s">
        <v>835</v>
      </c>
      <c r="D269" s="117"/>
      <c r="E269" s="87"/>
      <c r="F269" s="87"/>
      <c r="G269" s="97"/>
      <c r="H269" s="87"/>
      <c r="I269" s="104">
        <f>SUBTOTAL(9,K270:K272)</f>
        <v>19206</v>
      </c>
      <c r="J269" s="108"/>
      <c r="K269"/>
      <c r="L269"/>
      <c r="M269"/>
      <c r="N269"/>
      <c r="O269"/>
      <c r="P269"/>
      <c r="Q269"/>
      <c r="R269"/>
      <c r="S269"/>
      <c r="T269"/>
    </row>
    <row r="270" spans="1:20" outlineLevel="4" x14ac:dyDescent="0.3">
      <c r="A270" s="82" t="s">
        <v>836</v>
      </c>
      <c r="B270" s="10" t="s">
        <v>837</v>
      </c>
      <c r="C270" s="60" t="s">
        <v>795</v>
      </c>
      <c r="D270" s="44" t="s">
        <v>80</v>
      </c>
      <c r="E270" s="84">
        <v>0</v>
      </c>
      <c r="F270" s="84"/>
      <c r="G270" s="94">
        <f>cell_CoefGeneral</f>
        <v>1</v>
      </c>
      <c r="H270" s="84">
        <v>55</v>
      </c>
      <c r="I270" s="84">
        <f>IFERROR(ROUND(E270*H270,2),"-")</f>
        <v>0</v>
      </c>
      <c r="J270" s="105">
        <f>IFERROR(I270/cell_Total_HT,"-")</f>
        <v>0</v>
      </c>
      <c r="K270">
        <f>I270</f>
        <v>0</v>
      </c>
      <c r="L270"/>
      <c r="M270"/>
      <c r="N270"/>
      <c r="O270"/>
      <c r="P270"/>
      <c r="Q270"/>
      <c r="R270"/>
      <c r="S270"/>
      <c r="T270"/>
    </row>
    <row r="271" spans="1:20" outlineLevel="4" x14ac:dyDescent="0.3">
      <c r="A271" s="82" t="s">
        <v>838</v>
      </c>
      <c r="B271" s="10" t="s">
        <v>839</v>
      </c>
      <c r="C271" s="60" t="s">
        <v>798</v>
      </c>
      <c r="D271" s="44" t="s">
        <v>80</v>
      </c>
      <c r="E271" s="84">
        <v>924</v>
      </c>
      <c r="F271" s="84"/>
      <c r="G271" s="94">
        <f>cell_CoefGeneral</f>
        <v>1</v>
      </c>
      <c r="H271" s="84">
        <v>18</v>
      </c>
      <c r="I271" s="84">
        <f>IFERROR(ROUND(E271*H271,2),"-")</f>
        <v>16632</v>
      </c>
      <c r="J271" s="105">
        <f>IFERROR(I271/cell_Total_HT,"-")</f>
        <v>4.9101467065748965E-3</v>
      </c>
      <c r="K271">
        <f>I271</f>
        <v>16632</v>
      </c>
      <c r="L271"/>
      <c r="M271"/>
      <c r="N271"/>
      <c r="O271"/>
      <c r="P271"/>
      <c r="Q271"/>
      <c r="R271"/>
      <c r="S271"/>
      <c r="T271"/>
    </row>
    <row r="272" spans="1:20" outlineLevel="4" x14ac:dyDescent="0.3">
      <c r="A272" s="82" t="s">
        <v>840</v>
      </c>
      <c r="B272" s="10" t="s">
        <v>841</v>
      </c>
      <c r="C272" s="60" t="s">
        <v>842</v>
      </c>
      <c r="D272" s="44" t="s">
        <v>80</v>
      </c>
      <c r="E272" s="84">
        <v>39</v>
      </c>
      <c r="F272" s="84"/>
      <c r="G272" s="94">
        <f>cell_CoefGeneral</f>
        <v>1</v>
      </c>
      <c r="H272" s="84">
        <v>66</v>
      </c>
      <c r="I272" s="84">
        <f>IFERROR(ROUND(E272*H272,2),"-")</f>
        <v>2574</v>
      </c>
      <c r="J272" s="105">
        <f>IFERROR(I272/cell_Total_HT,"-")</f>
        <v>7.5990365696992446E-4</v>
      </c>
      <c r="K272">
        <f>I272</f>
        <v>2574</v>
      </c>
      <c r="L272"/>
      <c r="M272"/>
      <c r="N272"/>
      <c r="O272"/>
      <c r="P272"/>
      <c r="Q272"/>
      <c r="R272"/>
      <c r="S272"/>
      <c r="T272"/>
    </row>
    <row r="273" spans="1:20" outlineLevel="3" x14ac:dyDescent="0.3">
      <c r="A273" s="82" t="s">
        <v>843</v>
      </c>
      <c r="B273" s="58" t="s">
        <v>844</v>
      </c>
      <c r="C273" s="61" t="s">
        <v>845</v>
      </c>
      <c r="D273" s="115"/>
      <c r="E273" s="87"/>
      <c r="F273" s="87"/>
      <c r="G273" s="97"/>
      <c r="H273" s="87" t="s">
        <v>60</v>
      </c>
      <c r="I273" s="104">
        <f>SUBTOTAL(9,K274:K277)</f>
        <v>5353</v>
      </c>
      <c r="J273" s="108"/>
      <c r="K273"/>
      <c r="L273"/>
      <c r="M273"/>
      <c r="N273"/>
      <c r="O273"/>
      <c r="P273"/>
      <c r="Q273"/>
      <c r="R273"/>
      <c r="S273"/>
      <c r="T273"/>
    </row>
    <row r="274" spans="1:20" outlineLevel="4" x14ac:dyDescent="0.3">
      <c r="A274" s="82" t="s">
        <v>846</v>
      </c>
      <c r="B274" s="10" t="s">
        <v>847</v>
      </c>
      <c r="C274" s="60" t="s">
        <v>848</v>
      </c>
      <c r="D274" s="44" t="s">
        <v>80</v>
      </c>
      <c r="E274" s="84">
        <v>77</v>
      </c>
      <c r="F274" s="84"/>
      <c r="G274" s="94">
        <f>cell_CoefGeneral</f>
        <v>1</v>
      </c>
      <c r="H274" s="84">
        <v>2.6</v>
      </c>
      <c r="I274" s="84">
        <f>IFERROR(ROUND(E274*H274,2),"-")</f>
        <v>200.2</v>
      </c>
      <c r="J274" s="105">
        <f>IFERROR(I274/cell_Total_HT,"-")</f>
        <v>5.9103617764327452E-5</v>
      </c>
      <c r="K274">
        <f>I274</f>
        <v>200.2</v>
      </c>
      <c r="L274"/>
      <c r="M274"/>
      <c r="N274"/>
      <c r="O274"/>
      <c r="P274"/>
      <c r="Q274"/>
      <c r="R274"/>
      <c r="S274"/>
      <c r="T274"/>
    </row>
    <row r="275" spans="1:20" outlineLevel="4" x14ac:dyDescent="0.3">
      <c r="A275" s="82" t="s">
        <v>849</v>
      </c>
      <c r="B275" s="10" t="s">
        <v>850</v>
      </c>
      <c r="C275" s="60" t="s">
        <v>851</v>
      </c>
      <c r="D275" s="44" t="s">
        <v>80</v>
      </c>
      <c r="E275" s="84">
        <v>353</v>
      </c>
      <c r="F275" s="84"/>
      <c r="G275" s="94">
        <f>cell_CoefGeneral</f>
        <v>1</v>
      </c>
      <c r="H275" s="84">
        <v>2.8</v>
      </c>
      <c r="I275" s="84">
        <f>IFERROR(ROUND(E275*H275,2),"-")</f>
        <v>988.4</v>
      </c>
      <c r="J275" s="105">
        <f>IFERROR(I275/cell_Total_HT,"-")</f>
        <v>2.9179828071059568E-4</v>
      </c>
      <c r="K275">
        <f>I275</f>
        <v>988.4</v>
      </c>
      <c r="L275"/>
      <c r="M275"/>
      <c r="N275"/>
      <c r="O275"/>
      <c r="P275"/>
      <c r="Q275"/>
      <c r="R275"/>
      <c r="S275"/>
      <c r="T275"/>
    </row>
    <row r="276" spans="1:20" outlineLevel="4" x14ac:dyDescent="0.3">
      <c r="A276" s="82" t="s">
        <v>852</v>
      </c>
      <c r="B276" s="10" t="s">
        <v>853</v>
      </c>
      <c r="C276" s="60" t="s">
        <v>854</v>
      </c>
      <c r="D276" s="44" t="s">
        <v>80</v>
      </c>
      <c r="E276" s="84">
        <v>1289</v>
      </c>
      <c r="F276" s="84"/>
      <c r="G276" s="94">
        <f>cell_CoefGeneral</f>
        <v>1</v>
      </c>
      <c r="H276" s="84">
        <v>3.2</v>
      </c>
      <c r="I276" s="84">
        <f>IFERROR(ROUND(E276*H276,2),"-")</f>
        <v>4124.8</v>
      </c>
      <c r="J276" s="105">
        <f>IFERROR(I276/cell_Total_HT,"-")</f>
        <v>1.2177352774939956E-3</v>
      </c>
      <c r="K276">
        <f>I276</f>
        <v>4124.8</v>
      </c>
      <c r="L276"/>
      <c r="M276"/>
      <c r="N276"/>
      <c r="O276"/>
      <c r="P276"/>
      <c r="Q276"/>
      <c r="R276"/>
      <c r="S276"/>
      <c r="T276"/>
    </row>
    <row r="277" spans="1:20" outlineLevel="4" x14ac:dyDescent="0.3">
      <c r="A277" s="82" t="s">
        <v>855</v>
      </c>
      <c r="B277" s="10" t="s">
        <v>856</v>
      </c>
      <c r="C277" s="60" t="s">
        <v>857</v>
      </c>
      <c r="D277" s="44" t="s">
        <v>80</v>
      </c>
      <c r="E277" s="84">
        <v>11</v>
      </c>
      <c r="F277" s="84"/>
      <c r="G277" s="94">
        <f>cell_CoefGeneral</f>
        <v>1</v>
      </c>
      <c r="H277" s="84">
        <v>3.6</v>
      </c>
      <c r="I277" s="84">
        <f>IFERROR(ROUND(E277*H277,2),"-")</f>
        <v>39.6</v>
      </c>
      <c r="J277" s="105">
        <f>IFERROR(I277/cell_Total_HT,"-")</f>
        <v>1.1690825491844992E-5</v>
      </c>
      <c r="K277">
        <f>I277</f>
        <v>39.6</v>
      </c>
      <c r="L277"/>
      <c r="M277"/>
      <c r="N277"/>
      <c r="O277"/>
      <c r="P277"/>
      <c r="Q277"/>
      <c r="R277"/>
      <c r="S277"/>
      <c r="T277"/>
    </row>
    <row r="278" spans="1:20" outlineLevel="3" x14ac:dyDescent="0.3">
      <c r="A278" s="82" t="s">
        <v>858</v>
      </c>
      <c r="B278" s="10" t="s">
        <v>859</v>
      </c>
      <c r="C278" s="60" t="s">
        <v>860</v>
      </c>
      <c r="D278" s="44" t="s">
        <v>80</v>
      </c>
      <c r="E278" s="84">
        <v>924</v>
      </c>
      <c r="F278" s="84"/>
      <c r="G278" s="94">
        <f>cell_CoefGeneral</f>
        <v>1</v>
      </c>
      <c r="H278" s="84">
        <v>4.4000000000000004</v>
      </c>
      <c r="I278" s="84">
        <f>IFERROR(ROUND(E278*H278,2),"-")</f>
        <v>4065.6</v>
      </c>
      <c r="J278" s="105">
        <f>IFERROR(I278/cell_Total_HT,"-")</f>
        <v>1.2002580838294192E-3</v>
      </c>
      <c r="K278">
        <f>I278</f>
        <v>4065.6</v>
      </c>
      <c r="L278"/>
      <c r="M278"/>
      <c r="N278"/>
      <c r="O278"/>
      <c r="P278"/>
      <c r="Q278"/>
      <c r="R278"/>
      <c r="S278"/>
      <c r="T278"/>
    </row>
    <row r="279" spans="1:20" outlineLevel="3" x14ac:dyDescent="0.3">
      <c r="A279" s="82" t="s">
        <v>861</v>
      </c>
      <c r="B279" s="58" t="s">
        <v>862</v>
      </c>
      <c r="C279" s="61" t="s">
        <v>863</v>
      </c>
      <c r="D279" s="115"/>
      <c r="E279" s="87"/>
      <c r="F279" s="87"/>
      <c r="G279" s="97"/>
      <c r="H279" s="87" t="s">
        <v>60</v>
      </c>
      <c r="I279" s="104">
        <f>SUBTOTAL(9,K280:K282)</f>
        <v>10830</v>
      </c>
      <c r="J279" s="108"/>
      <c r="K279"/>
      <c r="L279"/>
      <c r="M279"/>
      <c r="N279"/>
      <c r="O279"/>
      <c r="P279"/>
      <c r="Q279"/>
      <c r="R279"/>
      <c r="S279"/>
      <c r="T279"/>
    </row>
    <row r="280" spans="1:20" outlineLevel="4" x14ac:dyDescent="0.3">
      <c r="A280" s="82" t="s">
        <v>864</v>
      </c>
      <c r="B280" s="10" t="s">
        <v>865</v>
      </c>
      <c r="C280" s="60" t="s">
        <v>866</v>
      </c>
      <c r="D280" s="44" t="s">
        <v>121</v>
      </c>
      <c r="E280" s="84">
        <v>31</v>
      </c>
      <c r="F280" s="84"/>
      <c r="G280" s="94">
        <f>cell_CoefGeneral</f>
        <v>1</v>
      </c>
      <c r="H280" s="84">
        <v>320</v>
      </c>
      <c r="I280" s="84">
        <f>IFERROR(ROUND(E280*H280,2),"-")</f>
        <v>9920</v>
      </c>
      <c r="J280" s="105">
        <f>IFERROR(I280/cell_Total_HT,"-")</f>
        <v>2.9286108302803613E-3</v>
      </c>
      <c r="K280">
        <f>I280</f>
        <v>9920</v>
      </c>
      <c r="L280"/>
      <c r="M280"/>
      <c r="N280"/>
      <c r="O280"/>
      <c r="P280"/>
      <c r="Q280"/>
      <c r="R280"/>
      <c r="S280"/>
      <c r="T280"/>
    </row>
    <row r="281" spans="1:20" outlineLevel="4" x14ac:dyDescent="0.3">
      <c r="A281" s="82" t="s">
        <v>867</v>
      </c>
      <c r="B281" s="10" t="s">
        <v>868</v>
      </c>
      <c r="C281" s="60" t="s">
        <v>869</v>
      </c>
      <c r="D281" s="44" t="s">
        <v>121</v>
      </c>
      <c r="E281" s="84">
        <v>1</v>
      </c>
      <c r="F281" s="84"/>
      <c r="G281" s="94">
        <f>cell_CoefGeneral</f>
        <v>1</v>
      </c>
      <c r="H281" s="84">
        <v>510</v>
      </c>
      <c r="I281" s="84">
        <f>IFERROR(ROUND(E281*H281,2),"-")</f>
        <v>510</v>
      </c>
      <c r="J281" s="105">
        <f>IFERROR(I281/cell_Total_HT,"-")</f>
        <v>1.5056366163739761E-4</v>
      </c>
      <c r="K281">
        <f>I281</f>
        <v>510</v>
      </c>
      <c r="L281"/>
      <c r="M281"/>
      <c r="N281"/>
      <c r="O281"/>
      <c r="P281"/>
      <c r="Q281"/>
      <c r="R281"/>
      <c r="S281"/>
      <c r="T281"/>
    </row>
    <row r="282" spans="1:20" outlineLevel="4" x14ac:dyDescent="0.3">
      <c r="A282" s="82" t="s">
        <v>870</v>
      </c>
      <c r="B282" s="10" t="s">
        <v>871</v>
      </c>
      <c r="C282" s="60" t="s">
        <v>819</v>
      </c>
      <c r="D282" s="44" t="s">
        <v>121</v>
      </c>
      <c r="E282" s="84">
        <v>1</v>
      </c>
      <c r="F282" s="84"/>
      <c r="G282" s="94">
        <f>cell_CoefGeneral</f>
        <v>1</v>
      </c>
      <c r="H282" s="84">
        <v>400</v>
      </c>
      <c r="I282" s="84">
        <f>IFERROR(ROUND(E282*H282,2),"-")</f>
        <v>400</v>
      </c>
      <c r="J282" s="105">
        <f>IFERROR(I282/cell_Total_HT,"-")</f>
        <v>1.1808914638227264E-4</v>
      </c>
      <c r="K282">
        <f>I282</f>
        <v>400</v>
      </c>
      <c r="L282"/>
      <c r="M282"/>
      <c r="N282"/>
      <c r="O282"/>
      <c r="P282"/>
      <c r="Q282"/>
      <c r="R282"/>
      <c r="S282"/>
      <c r="T282"/>
    </row>
    <row r="283" spans="1:20" outlineLevel="3" x14ac:dyDescent="0.3">
      <c r="A283" s="82" t="s">
        <v>872</v>
      </c>
      <c r="B283" s="10" t="s">
        <v>873</v>
      </c>
      <c r="C283" s="60" t="s">
        <v>874</v>
      </c>
      <c r="D283" s="44" t="s">
        <v>121</v>
      </c>
      <c r="E283" s="84">
        <v>4</v>
      </c>
      <c r="F283" s="84"/>
      <c r="G283" s="94">
        <f>cell_CoefGeneral</f>
        <v>1</v>
      </c>
      <c r="H283" s="84">
        <v>370</v>
      </c>
      <c r="I283" s="84">
        <f>IFERROR(ROUND(E283*H283,2),"-")</f>
        <v>1480</v>
      </c>
      <c r="J283" s="105">
        <f>IFERROR(I283/cell_Total_HT,"-")</f>
        <v>4.3692984161440877E-4</v>
      </c>
      <c r="K283">
        <f>I283</f>
        <v>1480</v>
      </c>
      <c r="L283"/>
      <c r="M283"/>
      <c r="N283"/>
      <c r="O283"/>
      <c r="P283"/>
      <c r="Q283"/>
      <c r="R283"/>
      <c r="S283"/>
      <c r="T283"/>
    </row>
    <row r="284" spans="1:20" outlineLevel="3" x14ac:dyDescent="0.3">
      <c r="A284" s="82" t="s">
        <v>875</v>
      </c>
      <c r="B284" s="10" t="s">
        <v>876</v>
      </c>
      <c r="C284" s="60" t="s">
        <v>877</v>
      </c>
      <c r="D284" s="44" t="s">
        <v>121</v>
      </c>
      <c r="E284" s="84">
        <v>0</v>
      </c>
      <c r="F284" s="84"/>
      <c r="G284" s="94">
        <f>cell_CoefGeneral</f>
        <v>1</v>
      </c>
      <c r="H284" s="84">
        <v>880</v>
      </c>
      <c r="I284" s="84">
        <f>IFERROR(ROUND(E284*H284,2),"-")</f>
        <v>0</v>
      </c>
      <c r="J284" s="105">
        <f>IFERROR(I284/cell_Total_HT,"-")</f>
        <v>0</v>
      </c>
      <c r="K284">
        <f>I284</f>
        <v>0</v>
      </c>
      <c r="L284"/>
      <c r="M284"/>
      <c r="N284"/>
      <c r="O284"/>
      <c r="P284"/>
      <c r="Q284"/>
      <c r="R284"/>
      <c r="S284"/>
      <c r="T284"/>
    </row>
    <row r="285" spans="1:20" outlineLevel="3" x14ac:dyDescent="0.3">
      <c r="A285" s="82" t="s">
        <v>878</v>
      </c>
      <c r="B285" s="58" t="s">
        <v>879</v>
      </c>
      <c r="C285" s="61" t="s">
        <v>880</v>
      </c>
      <c r="D285" s="115"/>
      <c r="E285" s="87"/>
      <c r="F285" s="87"/>
      <c r="G285" s="97"/>
      <c r="H285" s="87" t="s">
        <v>60</v>
      </c>
      <c r="I285" s="104">
        <f>SUBTOTAL(9,K286:K289)</f>
        <v>9890</v>
      </c>
      <c r="J285" s="108"/>
      <c r="K285"/>
      <c r="L285"/>
      <c r="M285"/>
      <c r="N285"/>
      <c r="O285"/>
      <c r="P285"/>
      <c r="Q285"/>
      <c r="R285"/>
      <c r="S285"/>
      <c r="T285"/>
    </row>
    <row r="286" spans="1:20" outlineLevel="4" x14ac:dyDescent="0.3">
      <c r="A286" s="82" t="s">
        <v>881</v>
      </c>
      <c r="B286" s="10" t="s">
        <v>882</v>
      </c>
      <c r="C286" s="60" t="s">
        <v>883</v>
      </c>
      <c r="D286" s="44" t="s">
        <v>121</v>
      </c>
      <c r="E286" s="84">
        <v>32</v>
      </c>
      <c r="F286" s="84"/>
      <c r="G286" s="94">
        <f t="shared" ref="G286:G291" si="28">cell_CoefGeneral</f>
        <v>1</v>
      </c>
      <c r="H286" s="84">
        <v>170</v>
      </c>
      <c r="I286" s="84">
        <f t="shared" ref="I286:I291" si="29">IFERROR(ROUND(E286*H286,2),"-")</f>
        <v>5440</v>
      </c>
      <c r="J286" s="105">
        <f t="shared" ref="J286:J291" si="30">IFERROR(I286/cell_Total_HT,"-")</f>
        <v>1.606012390798908E-3</v>
      </c>
      <c r="K286">
        <f t="shared" ref="K286:K291" si="31">I286</f>
        <v>5440</v>
      </c>
      <c r="L286"/>
      <c r="M286"/>
      <c r="N286"/>
      <c r="O286"/>
      <c r="P286"/>
      <c r="Q286"/>
      <c r="R286"/>
      <c r="S286"/>
      <c r="T286"/>
    </row>
    <row r="287" spans="1:20" outlineLevel="4" x14ac:dyDescent="0.3">
      <c r="A287" s="82" t="s">
        <v>884</v>
      </c>
      <c r="B287" s="10" t="s">
        <v>885</v>
      </c>
      <c r="C287" s="60" t="s">
        <v>886</v>
      </c>
      <c r="D287" s="44" t="s">
        <v>121</v>
      </c>
      <c r="E287" s="84">
        <v>0</v>
      </c>
      <c r="F287" s="84"/>
      <c r="G287" s="94">
        <f t="shared" si="28"/>
        <v>1</v>
      </c>
      <c r="H287" s="84">
        <v>240</v>
      </c>
      <c r="I287" s="84">
        <f t="shared" si="29"/>
        <v>0</v>
      </c>
      <c r="J287" s="105">
        <f t="shared" si="30"/>
        <v>0</v>
      </c>
      <c r="K287">
        <f t="shared" si="31"/>
        <v>0</v>
      </c>
      <c r="L287"/>
      <c r="M287"/>
      <c r="N287"/>
      <c r="O287"/>
      <c r="P287"/>
      <c r="Q287"/>
      <c r="R287"/>
      <c r="S287"/>
      <c r="T287"/>
    </row>
    <row r="288" spans="1:20" outlineLevel="4" x14ac:dyDescent="0.3">
      <c r="A288" s="82" t="s">
        <v>887</v>
      </c>
      <c r="B288" s="10" t="s">
        <v>888</v>
      </c>
      <c r="C288" s="60" t="s">
        <v>889</v>
      </c>
      <c r="D288" s="44" t="s">
        <v>121</v>
      </c>
      <c r="E288" s="84">
        <v>11</v>
      </c>
      <c r="F288" s="84"/>
      <c r="G288" s="94">
        <f t="shared" si="28"/>
        <v>1</v>
      </c>
      <c r="H288" s="84">
        <v>340</v>
      </c>
      <c r="I288" s="84">
        <f t="shared" si="29"/>
        <v>3740</v>
      </c>
      <c r="J288" s="105">
        <f t="shared" si="30"/>
        <v>1.1041335186742491E-3</v>
      </c>
      <c r="K288">
        <f t="shared" si="31"/>
        <v>3740</v>
      </c>
      <c r="L288"/>
      <c r="M288"/>
      <c r="N288"/>
      <c r="O288"/>
      <c r="P288"/>
      <c r="Q288"/>
      <c r="R288"/>
      <c r="S288"/>
      <c r="T288"/>
    </row>
    <row r="289" spans="1:20" ht="28.8" outlineLevel="4" x14ac:dyDescent="0.3">
      <c r="A289" s="82" t="s">
        <v>890</v>
      </c>
      <c r="B289" s="10" t="s">
        <v>891</v>
      </c>
      <c r="C289" s="60" t="s">
        <v>892</v>
      </c>
      <c r="D289" s="44" t="s">
        <v>121</v>
      </c>
      <c r="E289" s="84">
        <v>1</v>
      </c>
      <c r="F289" s="84"/>
      <c r="G289" s="94">
        <f t="shared" si="28"/>
        <v>1</v>
      </c>
      <c r="H289" s="84">
        <v>710</v>
      </c>
      <c r="I289" s="84">
        <f t="shared" si="29"/>
        <v>710</v>
      </c>
      <c r="J289" s="105">
        <f t="shared" si="30"/>
        <v>2.0960823482853394E-4</v>
      </c>
      <c r="K289">
        <f t="shared" si="31"/>
        <v>710</v>
      </c>
      <c r="L289"/>
      <c r="M289"/>
      <c r="N289"/>
      <c r="O289"/>
      <c r="P289"/>
      <c r="Q289"/>
      <c r="R289"/>
      <c r="S289"/>
      <c r="T289"/>
    </row>
    <row r="290" spans="1:20" outlineLevel="3" x14ac:dyDescent="0.3">
      <c r="A290" s="82" t="s">
        <v>893</v>
      </c>
      <c r="B290" s="10" t="s">
        <v>894</v>
      </c>
      <c r="C290" s="60" t="s">
        <v>781</v>
      </c>
      <c r="D290" s="44" t="s">
        <v>80</v>
      </c>
      <c r="E290" s="84">
        <v>0</v>
      </c>
      <c r="F290" s="84"/>
      <c r="G290" s="94">
        <f t="shared" si="28"/>
        <v>1</v>
      </c>
      <c r="H290" s="84">
        <v>31</v>
      </c>
      <c r="I290" s="84">
        <f t="shared" si="29"/>
        <v>0</v>
      </c>
      <c r="J290" s="105">
        <f t="shared" si="30"/>
        <v>0</v>
      </c>
      <c r="K290">
        <f t="shared" si="31"/>
        <v>0</v>
      </c>
      <c r="L290"/>
      <c r="M290"/>
      <c r="N290"/>
      <c r="O290"/>
      <c r="P290"/>
      <c r="Q290"/>
      <c r="R290"/>
      <c r="S290"/>
      <c r="T290"/>
    </row>
    <row r="291" spans="1:20" ht="15" outlineLevel="3" thickBot="1" x14ac:dyDescent="0.35">
      <c r="A291" s="82" t="s">
        <v>895</v>
      </c>
      <c r="B291" s="10" t="s">
        <v>896</v>
      </c>
      <c r="C291" s="60" t="s">
        <v>897</v>
      </c>
      <c r="D291" s="44" t="s">
        <v>93</v>
      </c>
      <c r="E291" s="84">
        <v>1</v>
      </c>
      <c r="F291" s="84"/>
      <c r="G291" s="94">
        <f t="shared" si="28"/>
        <v>1</v>
      </c>
      <c r="H291" s="84">
        <v>170</v>
      </c>
      <c r="I291" s="84">
        <f t="shared" si="29"/>
        <v>170</v>
      </c>
      <c r="J291" s="105">
        <f t="shared" si="30"/>
        <v>5.0187887212465874E-5</v>
      </c>
      <c r="K291">
        <f t="shared" si="31"/>
        <v>170</v>
      </c>
      <c r="L291"/>
      <c r="M291"/>
      <c r="N291"/>
      <c r="O291"/>
      <c r="P291"/>
      <c r="Q291"/>
      <c r="R291"/>
      <c r="S291"/>
      <c r="T291"/>
    </row>
    <row r="292" spans="1:20" ht="15" outlineLevel="2" thickTop="1" x14ac:dyDescent="0.3">
      <c r="A292" s="82" t="s">
        <v>898</v>
      </c>
      <c r="B292" s="62" t="s">
        <v>60</v>
      </c>
      <c r="C292" s="63" t="s">
        <v>899</v>
      </c>
      <c r="D292" s="116"/>
      <c r="E292" s="88"/>
      <c r="F292" s="88"/>
      <c r="G292" s="98"/>
      <c r="H292" s="88"/>
      <c r="I292" s="88">
        <f>SUBTOTAL(9,I270:I291)</f>
        <v>50994.6</v>
      </c>
      <c r="J292" s="109"/>
      <c r="K292"/>
      <c r="L292"/>
      <c r="M292"/>
      <c r="N292"/>
      <c r="O292"/>
      <c r="P292"/>
      <c r="Q292"/>
      <c r="R292"/>
      <c r="S292"/>
      <c r="T292"/>
    </row>
    <row r="293" spans="1:20" outlineLevel="2" x14ac:dyDescent="0.3">
      <c r="A293" s="82" t="s">
        <v>900</v>
      </c>
      <c r="B293" s="64" t="s">
        <v>901</v>
      </c>
      <c r="C293" s="65" t="s">
        <v>902</v>
      </c>
      <c r="D293" s="117"/>
      <c r="E293" s="87"/>
      <c r="F293" s="87"/>
      <c r="G293" s="97"/>
      <c r="H293" s="87"/>
      <c r="I293" s="104">
        <f>SUBTOTAL(9,K294:K299)</f>
        <v>0</v>
      </c>
      <c r="J293" s="108"/>
      <c r="K293"/>
      <c r="L293"/>
      <c r="M293"/>
      <c r="N293"/>
      <c r="O293"/>
      <c r="P293"/>
      <c r="Q293"/>
      <c r="R293"/>
      <c r="S293"/>
      <c r="T293"/>
    </row>
    <row r="294" spans="1:20" outlineLevel="3" x14ac:dyDescent="0.3">
      <c r="A294" s="82" t="s">
        <v>903</v>
      </c>
      <c r="B294" s="64" t="s">
        <v>904</v>
      </c>
      <c r="C294" s="66" t="s">
        <v>905</v>
      </c>
      <c r="D294" s="117"/>
      <c r="E294" s="87"/>
      <c r="F294" s="87"/>
      <c r="G294" s="97"/>
      <c r="H294" s="87"/>
      <c r="I294" s="104">
        <f>SUBTOTAL(9,K295:K296)</f>
        <v>0</v>
      </c>
      <c r="J294" s="108"/>
      <c r="K294"/>
      <c r="L294"/>
      <c r="M294"/>
      <c r="N294"/>
      <c r="O294"/>
      <c r="P294"/>
      <c r="Q294"/>
      <c r="R294"/>
      <c r="S294"/>
      <c r="T294"/>
    </row>
    <row r="295" spans="1:20" outlineLevel="4" x14ac:dyDescent="0.3">
      <c r="A295" s="82" t="s">
        <v>906</v>
      </c>
      <c r="B295" s="10" t="s">
        <v>907</v>
      </c>
      <c r="C295" s="60" t="s">
        <v>908</v>
      </c>
      <c r="D295" s="44" t="s">
        <v>80</v>
      </c>
      <c r="E295" s="84">
        <v>0</v>
      </c>
      <c r="F295" s="84"/>
      <c r="G295" s="94">
        <f>cell_CoefGeneral</f>
        <v>1</v>
      </c>
      <c r="H295" s="84">
        <v>50</v>
      </c>
      <c r="I295" s="84">
        <f>IFERROR(ROUND(E295*H295,2),"-")</f>
        <v>0</v>
      </c>
      <c r="J295" s="105">
        <f>IFERROR(I295/cell_Total_HT,"-")</f>
        <v>0</v>
      </c>
      <c r="K295">
        <f>I295</f>
        <v>0</v>
      </c>
      <c r="L295"/>
      <c r="M295"/>
      <c r="N295"/>
      <c r="O295"/>
      <c r="P295"/>
      <c r="Q295"/>
      <c r="R295"/>
      <c r="S295"/>
      <c r="T295"/>
    </row>
    <row r="296" spans="1:20" outlineLevel="4" x14ac:dyDescent="0.3">
      <c r="A296" s="82" t="s">
        <v>909</v>
      </c>
      <c r="B296" s="10" t="s">
        <v>910</v>
      </c>
      <c r="C296" s="60" t="s">
        <v>911</v>
      </c>
      <c r="D296" s="44" t="s">
        <v>80</v>
      </c>
      <c r="E296" s="84">
        <v>0</v>
      </c>
      <c r="F296" s="84"/>
      <c r="G296" s="94">
        <f>cell_CoefGeneral</f>
        <v>1</v>
      </c>
      <c r="H296" s="84">
        <v>38</v>
      </c>
      <c r="I296" s="84">
        <f>IFERROR(ROUND(E296*H296,2),"-")</f>
        <v>0</v>
      </c>
      <c r="J296" s="105">
        <f>IFERROR(I296/cell_Total_HT,"-")</f>
        <v>0</v>
      </c>
      <c r="K296">
        <f>I296</f>
        <v>0</v>
      </c>
      <c r="L296"/>
      <c r="M296"/>
      <c r="N296"/>
      <c r="O296"/>
      <c r="P296"/>
      <c r="Q296"/>
      <c r="R296"/>
      <c r="S296"/>
      <c r="T296"/>
    </row>
    <row r="297" spans="1:20" outlineLevel="3" x14ac:dyDescent="0.3">
      <c r="A297" s="82" t="s">
        <v>912</v>
      </c>
      <c r="B297" s="58" t="s">
        <v>913</v>
      </c>
      <c r="C297" s="61" t="s">
        <v>914</v>
      </c>
      <c r="D297" s="115"/>
      <c r="E297" s="87"/>
      <c r="F297" s="87"/>
      <c r="G297" s="97"/>
      <c r="H297" s="87" t="s">
        <v>60</v>
      </c>
      <c r="I297" s="104">
        <f>SUBTOTAL(9,K298:K298)</f>
        <v>0</v>
      </c>
      <c r="J297" s="108"/>
      <c r="K297"/>
      <c r="L297"/>
      <c r="M297"/>
      <c r="N297"/>
      <c r="O297"/>
      <c r="P297"/>
      <c r="Q297"/>
      <c r="R297"/>
      <c r="S297"/>
      <c r="T297"/>
    </row>
    <row r="298" spans="1:20" outlineLevel="4" x14ac:dyDescent="0.3">
      <c r="A298" s="82" t="s">
        <v>915</v>
      </c>
      <c r="B298" s="10" t="s">
        <v>916</v>
      </c>
      <c r="C298" s="60" t="s">
        <v>917</v>
      </c>
      <c r="D298" s="44" t="s">
        <v>80</v>
      </c>
      <c r="E298" s="84">
        <v>0</v>
      </c>
      <c r="F298" s="84"/>
      <c r="G298" s="94">
        <f>cell_CoefGeneral</f>
        <v>1</v>
      </c>
      <c r="H298" s="84">
        <v>4.5</v>
      </c>
      <c r="I298" s="84">
        <f>IFERROR(ROUND(E298*H298,2),"-")</f>
        <v>0</v>
      </c>
      <c r="J298" s="105">
        <f>IFERROR(I298/cell_Total_HT,"-")</f>
        <v>0</v>
      </c>
      <c r="K298">
        <f>I298</f>
        <v>0</v>
      </c>
      <c r="L298"/>
      <c r="M298"/>
      <c r="N298"/>
      <c r="O298"/>
      <c r="P298"/>
      <c r="Q298"/>
      <c r="R298"/>
      <c r="S298"/>
      <c r="T298"/>
    </row>
    <row r="299" spans="1:20" ht="15" outlineLevel="3" thickBot="1" x14ac:dyDescent="0.35">
      <c r="A299" s="82" t="s">
        <v>918</v>
      </c>
      <c r="B299" s="10" t="s">
        <v>919</v>
      </c>
      <c r="C299" s="60" t="s">
        <v>920</v>
      </c>
      <c r="D299" s="44" t="s">
        <v>80</v>
      </c>
      <c r="E299" s="84">
        <v>0</v>
      </c>
      <c r="F299" s="84"/>
      <c r="G299" s="94">
        <f>cell_CoefGeneral</f>
        <v>1</v>
      </c>
      <c r="H299" s="84">
        <v>35</v>
      </c>
      <c r="I299" s="84">
        <f>IFERROR(ROUND(E299*H299,2),"-")</f>
        <v>0</v>
      </c>
      <c r="J299" s="105">
        <f>IFERROR(I299/cell_Total_HT,"-")</f>
        <v>0</v>
      </c>
      <c r="K299">
        <f>I299</f>
        <v>0</v>
      </c>
      <c r="L299"/>
      <c r="M299"/>
      <c r="N299"/>
      <c r="O299"/>
      <c r="P299"/>
      <c r="Q299"/>
      <c r="R299"/>
      <c r="S299"/>
      <c r="T299"/>
    </row>
    <row r="300" spans="1:20" ht="15" outlineLevel="2" thickTop="1" x14ac:dyDescent="0.3">
      <c r="A300" s="82" t="s">
        <v>921</v>
      </c>
      <c r="B300" s="62" t="s">
        <v>60</v>
      </c>
      <c r="C300" s="63" t="s">
        <v>922</v>
      </c>
      <c r="D300" s="116"/>
      <c r="E300" s="88"/>
      <c r="F300" s="88"/>
      <c r="G300" s="98"/>
      <c r="H300" s="88"/>
      <c r="I300" s="88">
        <f>SUBTOTAL(9,I295:I299)</f>
        <v>0</v>
      </c>
      <c r="J300" s="109"/>
      <c r="K300"/>
      <c r="L300"/>
      <c r="M300"/>
      <c r="N300"/>
      <c r="O300"/>
      <c r="P300"/>
      <c r="Q300"/>
      <c r="R300"/>
      <c r="S300"/>
      <c r="T300"/>
    </row>
    <row r="301" spans="1:20" outlineLevel="2" x14ac:dyDescent="0.3">
      <c r="A301" s="82" t="s">
        <v>923</v>
      </c>
      <c r="B301" s="64" t="s">
        <v>924</v>
      </c>
      <c r="C301" s="65" t="s">
        <v>925</v>
      </c>
      <c r="D301" s="117"/>
      <c r="E301" s="87"/>
      <c r="F301" s="87"/>
      <c r="G301" s="97"/>
      <c r="H301" s="87"/>
      <c r="I301" s="104">
        <f>SUBTOTAL(9,K302:K308)</f>
        <v>3098.6</v>
      </c>
      <c r="J301" s="108"/>
      <c r="K301"/>
      <c r="L301"/>
      <c r="M301"/>
      <c r="N301"/>
      <c r="O301"/>
      <c r="P301"/>
      <c r="Q301"/>
      <c r="R301"/>
      <c r="S301"/>
      <c r="T301"/>
    </row>
    <row r="302" spans="1:20" outlineLevel="3" x14ac:dyDescent="0.3">
      <c r="A302" s="82" t="s">
        <v>926</v>
      </c>
      <c r="B302" s="64" t="s">
        <v>927</v>
      </c>
      <c r="C302" s="66" t="s">
        <v>928</v>
      </c>
      <c r="D302" s="117"/>
      <c r="E302" s="87"/>
      <c r="F302" s="87"/>
      <c r="G302" s="97"/>
      <c r="H302" s="87"/>
      <c r="I302" s="104">
        <f>SUBTOTAL(9,K303:K303)</f>
        <v>2106</v>
      </c>
      <c r="J302" s="108"/>
      <c r="K302"/>
      <c r="L302"/>
      <c r="M302"/>
      <c r="N302"/>
      <c r="O302"/>
      <c r="P302"/>
      <c r="Q302"/>
      <c r="R302"/>
      <c r="S302"/>
      <c r="T302"/>
    </row>
    <row r="303" spans="1:20" outlineLevel="4" x14ac:dyDescent="0.3">
      <c r="A303" s="82" t="s">
        <v>929</v>
      </c>
      <c r="B303" s="10" t="s">
        <v>930</v>
      </c>
      <c r="C303" s="60" t="s">
        <v>798</v>
      </c>
      <c r="D303" s="44" t="s">
        <v>80</v>
      </c>
      <c r="E303" s="84">
        <v>54</v>
      </c>
      <c r="F303" s="84"/>
      <c r="G303" s="94">
        <f>cell_CoefGeneral</f>
        <v>1</v>
      </c>
      <c r="H303" s="84">
        <v>39</v>
      </c>
      <c r="I303" s="84">
        <f>IFERROR(ROUND(E303*H303,2),"-")</f>
        <v>2106</v>
      </c>
      <c r="J303" s="105">
        <f>IFERROR(I303/cell_Total_HT,"-")</f>
        <v>6.2173935570266541E-4</v>
      </c>
      <c r="K303">
        <f>I303</f>
        <v>2106</v>
      </c>
      <c r="L303"/>
      <c r="M303"/>
      <c r="N303"/>
      <c r="O303"/>
      <c r="P303"/>
      <c r="Q303"/>
      <c r="R303"/>
      <c r="S303"/>
      <c r="T303"/>
    </row>
    <row r="304" spans="1:20" outlineLevel="3" x14ac:dyDescent="0.3">
      <c r="A304" s="82" t="s">
        <v>931</v>
      </c>
      <c r="B304" s="58" t="s">
        <v>932</v>
      </c>
      <c r="C304" s="61" t="s">
        <v>914</v>
      </c>
      <c r="D304" s="115"/>
      <c r="E304" s="87"/>
      <c r="F304" s="87"/>
      <c r="G304" s="97"/>
      <c r="H304" s="87" t="s">
        <v>60</v>
      </c>
      <c r="I304" s="104">
        <f>SUBTOTAL(9,K305:K306)</f>
        <v>175</v>
      </c>
      <c r="J304" s="108"/>
      <c r="K304"/>
      <c r="L304"/>
      <c r="M304"/>
      <c r="N304"/>
      <c r="O304"/>
      <c r="P304"/>
      <c r="Q304"/>
      <c r="R304"/>
      <c r="S304"/>
      <c r="T304"/>
    </row>
    <row r="305" spans="1:20" outlineLevel="4" x14ac:dyDescent="0.3">
      <c r="A305" s="82" t="s">
        <v>933</v>
      </c>
      <c r="B305" s="10" t="s">
        <v>934</v>
      </c>
      <c r="C305" s="60" t="s">
        <v>935</v>
      </c>
      <c r="D305" s="44" t="s">
        <v>80</v>
      </c>
      <c r="E305" s="84">
        <v>40</v>
      </c>
      <c r="F305" s="84"/>
      <c r="G305" s="94">
        <f>cell_CoefGeneral</f>
        <v>1</v>
      </c>
      <c r="H305" s="84">
        <v>2.8</v>
      </c>
      <c r="I305" s="84">
        <f>IFERROR(ROUND(E305*H305,2),"-")</f>
        <v>112</v>
      </c>
      <c r="J305" s="105">
        <f>IFERROR(I305/cell_Total_HT,"-")</f>
        <v>3.306496098703634E-5</v>
      </c>
      <c r="K305">
        <f>I305</f>
        <v>112</v>
      </c>
      <c r="L305"/>
      <c r="M305"/>
      <c r="N305"/>
      <c r="O305"/>
      <c r="P305"/>
      <c r="Q305"/>
      <c r="R305"/>
      <c r="S305"/>
      <c r="T305"/>
    </row>
    <row r="306" spans="1:20" outlineLevel="4" x14ac:dyDescent="0.3">
      <c r="A306" s="82" t="s">
        <v>936</v>
      </c>
      <c r="B306" s="10" t="s">
        <v>937</v>
      </c>
      <c r="C306" s="60" t="s">
        <v>938</v>
      </c>
      <c r="D306" s="44" t="s">
        <v>80</v>
      </c>
      <c r="E306" s="84">
        <v>14</v>
      </c>
      <c r="F306" s="84"/>
      <c r="G306" s="94">
        <f>cell_CoefGeneral</f>
        <v>1</v>
      </c>
      <c r="H306" s="84">
        <v>4.5</v>
      </c>
      <c r="I306" s="84">
        <f>IFERROR(ROUND(E306*H306,2),"-")</f>
        <v>63</v>
      </c>
      <c r="J306" s="105">
        <f>IFERROR(I306/cell_Total_HT,"-")</f>
        <v>1.8599040555207941E-5</v>
      </c>
      <c r="K306">
        <f>I306</f>
        <v>63</v>
      </c>
      <c r="L306"/>
      <c r="M306"/>
      <c r="N306"/>
      <c r="O306"/>
      <c r="P306"/>
      <c r="Q306"/>
      <c r="R306"/>
      <c r="S306"/>
      <c r="T306"/>
    </row>
    <row r="307" spans="1:20" outlineLevel="3" x14ac:dyDescent="0.3">
      <c r="A307" s="82" t="s">
        <v>939</v>
      </c>
      <c r="B307" s="10" t="s">
        <v>940</v>
      </c>
      <c r="C307" s="60" t="s">
        <v>860</v>
      </c>
      <c r="D307" s="44" t="s">
        <v>80</v>
      </c>
      <c r="E307" s="84">
        <v>54</v>
      </c>
      <c r="F307" s="84"/>
      <c r="G307" s="94">
        <f>cell_CoefGeneral</f>
        <v>1</v>
      </c>
      <c r="H307" s="84">
        <v>4.4000000000000004</v>
      </c>
      <c r="I307" s="84">
        <f>IFERROR(ROUND(E307*H307,2),"-")</f>
        <v>237.6</v>
      </c>
      <c r="J307" s="105">
        <f>IFERROR(I307/cell_Total_HT,"-")</f>
        <v>7.0144952951069941E-5</v>
      </c>
      <c r="K307">
        <f>I307</f>
        <v>237.6</v>
      </c>
      <c r="L307"/>
      <c r="M307"/>
      <c r="N307"/>
      <c r="O307"/>
      <c r="P307"/>
      <c r="Q307"/>
      <c r="R307"/>
      <c r="S307"/>
      <c r="T307"/>
    </row>
    <row r="308" spans="1:20" ht="15" outlineLevel="3" thickBot="1" x14ac:dyDescent="0.35">
      <c r="A308" s="82" t="s">
        <v>941</v>
      </c>
      <c r="B308" s="10" t="s">
        <v>942</v>
      </c>
      <c r="C308" s="60" t="s">
        <v>897</v>
      </c>
      <c r="D308" s="44" t="s">
        <v>93</v>
      </c>
      <c r="E308" s="84">
        <v>1</v>
      </c>
      <c r="F308" s="84"/>
      <c r="G308" s="94">
        <f>cell_CoefGeneral</f>
        <v>1</v>
      </c>
      <c r="H308" s="84">
        <v>580</v>
      </c>
      <c r="I308" s="84">
        <f>IFERROR(ROUND(E308*H308,2),"-")</f>
        <v>580</v>
      </c>
      <c r="J308" s="105">
        <f>IFERROR(I308/cell_Total_HT,"-")</f>
        <v>1.7122926225429533E-4</v>
      </c>
      <c r="K308">
        <f>I308</f>
        <v>580</v>
      </c>
      <c r="L308"/>
      <c r="M308"/>
      <c r="N308"/>
      <c r="O308"/>
      <c r="P308"/>
      <c r="Q308"/>
      <c r="R308"/>
      <c r="S308"/>
      <c r="T308"/>
    </row>
    <row r="309" spans="1:20" ht="15" outlineLevel="2" thickTop="1" x14ac:dyDescent="0.3">
      <c r="A309" s="82" t="s">
        <v>943</v>
      </c>
      <c r="B309" s="62" t="s">
        <v>60</v>
      </c>
      <c r="C309" s="63" t="s">
        <v>944</v>
      </c>
      <c r="D309" s="116"/>
      <c r="E309" s="88"/>
      <c r="F309" s="88"/>
      <c r="G309" s="98"/>
      <c r="H309" s="88"/>
      <c r="I309" s="88">
        <f>SUBTOTAL(9,I303:I308)</f>
        <v>3098.6</v>
      </c>
      <c r="J309" s="109"/>
      <c r="K309"/>
      <c r="L309"/>
      <c r="M309"/>
      <c r="N309"/>
      <c r="O309"/>
      <c r="P309"/>
      <c r="Q309"/>
      <c r="R309"/>
      <c r="S309"/>
      <c r="T309"/>
    </row>
    <row r="310" spans="1:20" outlineLevel="2" x14ac:dyDescent="0.3">
      <c r="A310" s="82" t="s">
        <v>945</v>
      </c>
      <c r="B310" s="64" t="s">
        <v>946</v>
      </c>
      <c r="C310" s="65" t="s">
        <v>947</v>
      </c>
      <c r="D310" s="117"/>
      <c r="E310" s="87"/>
      <c r="F310" s="87"/>
      <c r="G310" s="97"/>
      <c r="H310" s="87"/>
      <c r="I310" s="104">
        <f>SUBTOTAL(9,K311:K340)</f>
        <v>3584</v>
      </c>
      <c r="J310" s="108"/>
      <c r="K310"/>
      <c r="L310"/>
      <c r="M310"/>
      <c r="N310"/>
      <c r="O310"/>
      <c r="P310"/>
      <c r="Q310"/>
      <c r="R310"/>
      <c r="S310"/>
      <c r="T310"/>
    </row>
    <row r="311" spans="1:20" outlineLevel="3" x14ac:dyDescent="0.3">
      <c r="A311" s="82" t="s">
        <v>948</v>
      </c>
      <c r="B311" s="64" t="s">
        <v>949</v>
      </c>
      <c r="C311" s="66" t="s">
        <v>950</v>
      </c>
      <c r="D311" s="117"/>
      <c r="E311" s="87"/>
      <c r="F311" s="87"/>
      <c r="G311" s="97"/>
      <c r="H311" s="87"/>
      <c r="I311" s="104">
        <f>SUBTOTAL(9,K312:K313)</f>
        <v>0</v>
      </c>
      <c r="J311" s="108"/>
      <c r="K311"/>
      <c r="L311"/>
      <c r="M311"/>
      <c r="N311"/>
      <c r="O311"/>
      <c r="P311"/>
      <c r="Q311"/>
      <c r="R311"/>
      <c r="S311"/>
      <c r="T311"/>
    </row>
    <row r="312" spans="1:20" outlineLevel="4" x14ac:dyDescent="0.3">
      <c r="A312" s="82" t="s">
        <v>951</v>
      </c>
      <c r="B312" s="10" t="s">
        <v>952</v>
      </c>
      <c r="C312" s="60" t="s">
        <v>953</v>
      </c>
      <c r="D312" s="44" t="s">
        <v>154</v>
      </c>
      <c r="E312" s="84">
        <v>0</v>
      </c>
      <c r="F312" s="84"/>
      <c r="G312" s="94">
        <f>cell_CoefGeneral</f>
        <v>1</v>
      </c>
      <c r="H312" s="84">
        <v>17</v>
      </c>
      <c r="I312" s="84">
        <f>IFERROR(ROUND(E312*H312,2),"-")</f>
        <v>0</v>
      </c>
      <c r="J312" s="105">
        <f>IFERROR(I312/cell_Total_HT,"-")</f>
        <v>0</v>
      </c>
      <c r="K312">
        <f>I312</f>
        <v>0</v>
      </c>
      <c r="L312"/>
      <c r="M312"/>
      <c r="N312"/>
      <c r="O312"/>
      <c r="P312"/>
      <c r="Q312"/>
      <c r="R312"/>
      <c r="S312"/>
      <c r="T312"/>
    </row>
    <row r="313" spans="1:20" outlineLevel="4" x14ac:dyDescent="0.3">
      <c r="A313" s="82" t="s">
        <v>954</v>
      </c>
      <c r="B313" s="10" t="s">
        <v>955</v>
      </c>
      <c r="C313" s="60" t="s">
        <v>956</v>
      </c>
      <c r="D313" s="44" t="s">
        <v>80</v>
      </c>
      <c r="E313" s="84">
        <v>0</v>
      </c>
      <c r="F313" s="84"/>
      <c r="G313" s="94">
        <f>cell_CoefGeneral</f>
        <v>1</v>
      </c>
      <c r="H313" s="84">
        <v>4.4000000000000004</v>
      </c>
      <c r="I313" s="84">
        <f>IFERROR(ROUND(E313*H313,2),"-")</f>
        <v>0</v>
      </c>
      <c r="J313" s="105">
        <f>IFERROR(I313/cell_Total_HT,"-")</f>
        <v>0</v>
      </c>
      <c r="K313">
        <f>I313</f>
        <v>0</v>
      </c>
      <c r="L313"/>
      <c r="M313"/>
      <c r="N313"/>
      <c r="O313"/>
      <c r="P313"/>
      <c r="Q313"/>
      <c r="R313"/>
      <c r="S313"/>
      <c r="T313"/>
    </row>
    <row r="314" spans="1:20" outlineLevel="3" x14ac:dyDescent="0.3">
      <c r="A314" s="82" t="s">
        <v>957</v>
      </c>
      <c r="B314" s="58" t="s">
        <v>958</v>
      </c>
      <c r="C314" s="61" t="s">
        <v>959</v>
      </c>
      <c r="D314" s="115"/>
      <c r="E314" s="87"/>
      <c r="F314" s="87"/>
      <c r="G314" s="97"/>
      <c r="H314" s="87" t="s">
        <v>60</v>
      </c>
      <c r="I314" s="104">
        <f>SUBTOTAL(9,K315:K325)</f>
        <v>0</v>
      </c>
      <c r="J314" s="108"/>
      <c r="K314"/>
      <c r="L314"/>
      <c r="M314"/>
      <c r="N314"/>
      <c r="O314"/>
      <c r="P314"/>
      <c r="Q314"/>
      <c r="R314"/>
      <c r="S314"/>
      <c r="T314"/>
    </row>
    <row r="315" spans="1:20" outlineLevel="4" x14ac:dyDescent="0.3">
      <c r="A315" s="82" t="s">
        <v>960</v>
      </c>
      <c r="B315" s="10" t="s">
        <v>961</v>
      </c>
      <c r="C315" s="60" t="s">
        <v>962</v>
      </c>
      <c r="D315" s="44" t="s">
        <v>80</v>
      </c>
      <c r="E315" s="84">
        <v>0</v>
      </c>
      <c r="F315" s="84"/>
      <c r="G315" s="94">
        <f t="shared" ref="G315:G325" si="32">cell_CoefGeneral</f>
        <v>1</v>
      </c>
      <c r="H315" s="84">
        <v>3.6</v>
      </c>
      <c r="I315" s="84">
        <f t="shared" ref="I315:I325" si="33">IFERROR(ROUND(E315*H315,2),"-")</f>
        <v>0</v>
      </c>
      <c r="J315" s="105">
        <f t="shared" ref="J315:J325" si="34">IFERROR(I315/cell_Total_HT,"-")</f>
        <v>0</v>
      </c>
      <c r="K315">
        <f t="shared" ref="K315:K325" si="35">I315</f>
        <v>0</v>
      </c>
      <c r="L315"/>
      <c r="M315"/>
      <c r="N315"/>
      <c r="O315"/>
      <c r="P315"/>
      <c r="Q315"/>
      <c r="R315"/>
      <c r="S315"/>
      <c r="T315"/>
    </row>
    <row r="316" spans="1:20" outlineLevel="4" x14ac:dyDescent="0.3">
      <c r="A316" s="82" t="s">
        <v>963</v>
      </c>
      <c r="B316" s="10" t="s">
        <v>964</v>
      </c>
      <c r="C316" s="60" t="s">
        <v>965</v>
      </c>
      <c r="D316" s="44" t="s">
        <v>80</v>
      </c>
      <c r="E316" s="84">
        <v>0</v>
      </c>
      <c r="F316" s="84"/>
      <c r="G316" s="94">
        <f t="shared" si="32"/>
        <v>1</v>
      </c>
      <c r="H316" s="84">
        <v>1.5</v>
      </c>
      <c r="I316" s="84">
        <f t="shared" si="33"/>
        <v>0</v>
      </c>
      <c r="J316" s="105">
        <f t="shared" si="34"/>
        <v>0</v>
      </c>
      <c r="K316">
        <f t="shared" si="35"/>
        <v>0</v>
      </c>
      <c r="L316"/>
      <c r="M316"/>
      <c r="N316"/>
      <c r="O316"/>
      <c r="P316"/>
      <c r="Q316"/>
      <c r="R316"/>
      <c r="S316"/>
      <c r="T316"/>
    </row>
    <row r="317" spans="1:20" outlineLevel="4" x14ac:dyDescent="0.3">
      <c r="A317" s="82" t="s">
        <v>966</v>
      </c>
      <c r="B317" s="10" t="s">
        <v>967</v>
      </c>
      <c r="C317" s="60" t="s">
        <v>968</v>
      </c>
      <c r="D317" s="44" t="s">
        <v>80</v>
      </c>
      <c r="E317" s="84">
        <v>0</v>
      </c>
      <c r="F317" s="84"/>
      <c r="G317" s="94">
        <f t="shared" si="32"/>
        <v>1</v>
      </c>
      <c r="H317" s="84">
        <v>1.3</v>
      </c>
      <c r="I317" s="84">
        <f t="shared" si="33"/>
        <v>0</v>
      </c>
      <c r="J317" s="105">
        <f t="shared" si="34"/>
        <v>0</v>
      </c>
      <c r="K317">
        <f t="shared" si="35"/>
        <v>0</v>
      </c>
      <c r="L317"/>
      <c r="M317"/>
      <c r="N317"/>
      <c r="O317"/>
      <c r="P317"/>
      <c r="Q317"/>
      <c r="R317"/>
      <c r="S317"/>
      <c r="T317"/>
    </row>
    <row r="318" spans="1:20" outlineLevel="4" x14ac:dyDescent="0.3">
      <c r="A318" s="82" t="s">
        <v>969</v>
      </c>
      <c r="B318" s="10" t="s">
        <v>970</v>
      </c>
      <c r="C318" s="60" t="s">
        <v>971</v>
      </c>
      <c r="D318" s="44" t="s">
        <v>80</v>
      </c>
      <c r="E318" s="84">
        <v>0</v>
      </c>
      <c r="F318" s="84"/>
      <c r="G318" s="94">
        <f t="shared" si="32"/>
        <v>1</v>
      </c>
      <c r="H318" s="84">
        <v>58</v>
      </c>
      <c r="I318" s="84">
        <f t="shared" si="33"/>
        <v>0</v>
      </c>
      <c r="J318" s="105">
        <f t="shared" si="34"/>
        <v>0</v>
      </c>
      <c r="K318">
        <f t="shared" si="35"/>
        <v>0</v>
      </c>
      <c r="L318"/>
      <c r="M318"/>
      <c r="N318"/>
      <c r="O318"/>
      <c r="P318"/>
      <c r="Q318"/>
      <c r="R318"/>
      <c r="S318"/>
      <c r="T318"/>
    </row>
    <row r="319" spans="1:20" outlineLevel="4" x14ac:dyDescent="0.3">
      <c r="A319" s="82" t="s">
        <v>972</v>
      </c>
      <c r="B319" s="10" t="s">
        <v>973</v>
      </c>
      <c r="C319" s="60" t="s">
        <v>974</v>
      </c>
      <c r="D319" s="44" t="s">
        <v>80</v>
      </c>
      <c r="E319" s="84">
        <v>0</v>
      </c>
      <c r="F319" s="84"/>
      <c r="G319" s="94">
        <f t="shared" si="32"/>
        <v>1</v>
      </c>
      <c r="H319" s="84">
        <v>1.8</v>
      </c>
      <c r="I319" s="84">
        <f t="shared" si="33"/>
        <v>0</v>
      </c>
      <c r="J319" s="105">
        <f t="shared" si="34"/>
        <v>0</v>
      </c>
      <c r="K319">
        <f t="shared" si="35"/>
        <v>0</v>
      </c>
      <c r="L319"/>
      <c r="M319"/>
      <c r="N319"/>
      <c r="O319"/>
      <c r="P319"/>
      <c r="Q319"/>
      <c r="R319"/>
      <c r="S319"/>
      <c r="T319"/>
    </row>
    <row r="320" spans="1:20" outlineLevel="4" x14ac:dyDescent="0.3">
      <c r="A320" s="82" t="s">
        <v>975</v>
      </c>
      <c r="B320" s="10" t="s">
        <v>976</v>
      </c>
      <c r="C320" s="60" t="s">
        <v>977</v>
      </c>
      <c r="D320" s="44" t="s">
        <v>154</v>
      </c>
      <c r="E320" s="84">
        <v>0</v>
      </c>
      <c r="F320" s="84"/>
      <c r="G320" s="94">
        <f t="shared" si="32"/>
        <v>1</v>
      </c>
      <c r="H320" s="84">
        <v>15</v>
      </c>
      <c r="I320" s="84">
        <f t="shared" si="33"/>
        <v>0</v>
      </c>
      <c r="J320" s="105">
        <f t="shared" si="34"/>
        <v>0</v>
      </c>
      <c r="K320">
        <f t="shared" si="35"/>
        <v>0</v>
      </c>
      <c r="L320"/>
      <c r="M320"/>
      <c r="N320"/>
      <c r="O320"/>
      <c r="P320"/>
      <c r="Q320"/>
      <c r="R320"/>
      <c r="S320"/>
      <c r="T320"/>
    </row>
    <row r="321" spans="1:20" outlineLevel="4" x14ac:dyDescent="0.3">
      <c r="A321" s="82" t="s">
        <v>978</v>
      </c>
      <c r="B321" s="10" t="s">
        <v>979</v>
      </c>
      <c r="C321" s="60" t="s">
        <v>980</v>
      </c>
      <c r="D321" s="44" t="s">
        <v>121</v>
      </c>
      <c r="E321" s="84">
        <v>0</v>
      </c>
      <c r="F321" s="84"/>
      <c r="G321" s="94">
        <f t="shared" si="32"/>
        <v>1</v>
      </c>
      <c r="H321" s="84">
        <v>11</v>
      </c>
      <c r="I321" s="84">
        <f t="shared" si="33"/>
        <v>0</v>
      </c>
      <c r="J321" s="105">
        <f t="shared" si="34"/>
        <v>0</v>
      </c>
      <c r="K321">
        <f t="shared" si="35"/>
        <v>0</v>
      </c>
      <c r="L321"/>
      <c r="M321"/>
      <c r="N321"/>
      <c r="O321"/>
      <c r="P321"/>
      <c r="Q321"/>
      <c r="R321"/>
      <c r="S321"/>
      <c r="T321"/>
    </row>
    <row r="322" spans="1:20" outlineLevel="4" x14ac:dyDescent="0.3">
      <c r="A322" s="82" t="s">
        <v>981</v>
      </c>
      <c r="B322" s="10" t="s">
        <v>982</v>
      </c>
      <c r="C322" s="60" t="s">
        <v>983</v>
      </c>
      <c r="D322" s="44" t="s">
        <v>121</v>
      </c>
      <c r="E322" s="84">
        <v>0</v>
      </c>
      <c r="F322" s="84"/>
      <c r="G322" s="94">
        <f t="shared" si="32"/>
        <v>1</v>
      </c>
      <c r="H322" s="84">
        <v>31</v>
      </c>
      <c r="I322" s="84">
        <f t="shared" si="33"/>
        <v>0</v>
      </c>
      <c r="J322" s="105">
        <f t="shared" si="34"/>
        <v>0</v>
      </c>
      <c r="K322">
        <f t="shared" si="35"/>
        <v>0</v>
      </c>
      <c r="L322"/>
      <c r="M322"/>
      <c r="N322"/>
      <c r="O322"/>
      <c r="P322"/>
      <c r="Q322"/>
      <c r="R322"/>
      <c r="S322"/>
      <c r="T322"/>
    </row>
    <row r="323" spans="1:20" outlineLevel="4" x14ac:dyDescent="0.3">
      <c r="A323" s="82" t="s">
        <v>984</v>
      </c>
      <c r="B323" s="10" t="s">
        <v>985</v>
      </c>
      <c r="C323" s="60" t="s">
        <v>986</v>
      </c>
      <c r="D323" s="44" t="s">
        <v>121</v>
      </c>
      <c r="E323" s="84">
        <v>0</v>
      </c>
      <c r="F323" s="84"/>
      <c r="G323" s="94">
        <f t="shared" si="32"/>
        <v>1</v>
      </c>
      <c r="H323" s="84">
        <v>44</v>
      </c>
      <c r="I323" s="84">
        <f t="shared" si="33"/>
        <v>0</v>
      </c>
      <c r="J323" s="105">
        <f t="shared" si="34"/>
        <v>0</v>
      </c>
      <c r="K323">
        <f t="shared" si="35"/>
        <v>0</v>
      </c>
      <c r="L323"/>
      <c r="M323"/>
      <c r="N323"/>
      <c r="O323"/>
      <c r="P323"/>
      <c r="Q323"/>
      <c r="R323"/>
      <c r="S323"/>
      <c r="T323"/>
    </row>
    <row r="324" spans="1:20" outlineLevel="4" x14ac:dyDescent="0.3">
      <c r="A324" s="82" t="s">
        <v>987</v>
      </c>
      <c r="B324" s="10" t="s">
        <v>988</v>
      </c>
      <c r="C324" s="60" t="s">
        <v>989</v>
      </c>
      <c r="D324" s="44" t="s">
        <v>121</v>
      </c>
      <c r="E324" s="84">
        <v>0</v>
      </c>
      <c r="F324" s="84"/>
      <c r="G324" s="94">
        <f t="shared" si="32"/>
        <v>1</v>
      </c>
      <c r="H324" s="84">
        <v>17</v>
      </c>
      <c r="I324" s="84">
        <f t="shared" si="33"/>
        <v>0</v>
      </c>
      <c r="J324" s="105">
        <f t="shared" si="34"/>
        <v>0</v>
      </c>
      <c r="K324">
        <f t="shared" si="35"/>
        <v>0</v>
      </c>
      <c r="L324"/>
      <c r="M324"/>
      <c r="N324"/>
      <c r="O324"/>
      <c r="P324"/>
      <c r="Q324"/>
      <c r="R324"/>
      <c r="S324"/>
      <c r="T324"/>
    </row>
    <row r="325" spans="1:20" outlineLevel="4" x14ac:dyDescent="0.3">
      <c r="A325" s="82" t="s">
        <v>990</v>
      </c>
      <c r="B325" s="10" t="s">
        <v>991</v>
      </c>
      <c r="C325" s="60" t="s">
        <v>992</v>
      </c>
      <c r="D325" s="44" t="s">
        <v>121</v>
      </c>
      <c r="E325" s="84">
        <v>0</v>
      </c>
      <c r="F325" s="84"/>
      <c r="G325" s="94">
        <f t="shared" si="32"/>
        <v>1</v>
      </c>
      <c r="H325" s="84">
        <v>95</v>
      </c>
      <c r="I325" s="84">
        <f t="shared" si="33"/>
        <v>0</v>
      </c>
      <c r="J325" s="105">
        <f t="shared" si="34"/>
        <v>0</v>
      </c>
      <c r="K325">
        <f t="shared" si="35"/>
        <v>0</v>
      </c>
      <c r="L325"/>
      <c r="M325"/>
      <c r="N325"/>
      <c r="O325"/>
      <c r="P325"/>
      <c r="Q325"/>
      <c r="R325"/>
      <c r="S325"/>
      <c r="T325"/>
    </row>
    <row r="326" spans="1:20" outlineLevel="3" x14ac:dyDescent="0.3">
      <c r="A326" s="82" t="s">
        <v>993</v>
      </c>
      <c r="B326" s="58" t="s">
        <v>994</v>
      </c>
      <c r="C326" s="61" t="s">
        <v>995</v>
      </c>
      <c r="D326" s="115"/>
      <c r="E326" s="87"/>
      <c r="F326" s="87"/>
      <c r="G326" s="97"/>
      <c r="H326" s="87" t="s">
        <v>60</v>
      </c>
      <c r="I326" s="104">
        <f>SUBTOTAL(9,K327:K340)</f>
        <v>3584</v>
      </c>
      <c r="J326" s="108"/>
      <c r="K326"/>
      <c r="L326"/>
      <c r="M326"/>
      <c r="N326"/>
      <c r="O326"/>
      <c r="P326"/>
      <c r="Q326"/>
      <c r="R326"/>
      <c r="S326"/>
      <c r="T326"/>
    </row>
    <row r="327" spans="1:20" outlineLevel="4" x14ac:dyDescent="0.3">
      <c r="A327" s="82" t="s">
        <v>996</v>
      </c>
      <c r="B327" s="58" t="s">
        <v>997</v>
      </c>
      <c r="C327" s="61" t="s">
        <v>998</v>
      </c>
      <c r="D327" s="115"/>
      <c r="E327" s="87"/>
      <c r="F327" s="87"/>
      <c r="G327" s="97"/>
      <c r="H327" s="87" t="s">
        <v>60</v>
      </c>
      <c r="I327" s="104">
        <f>SUBTOTAL(9,K328:K328)</f>
        <v>2660</v>
      </c>
      <c r="J327" s="108"/>
      <c r="K327"/>
      <c r="L327"/>
      <c r="M327"/>
      <c r="N327"/>
      <c r="O327"/>
      <c r="P327"/>
      <c r="Q327"/>
      <c r="R327"/>
      <c r="S327"/>
      <c r="T327"/>
    </row>
    <row r="328" spans="1:20" outlineLevel="5" x14ac:dyDescent="0.3">
      <c r="A328" s="82" t="s">
        <v>999</v>
      </c>
      <c r="B328" s="10" t="s">
        <v>1000</v>
      </c>
      <c r="C328" s="60" t="s">
        <v>1001</v>
      </c>
      <c r="D328" s="44" t="s">
        <v>121</v>
      </c>
      <c r="E328" s="84">
        <v>19</v>
      </c>
      <c r="F328" s="84"/>
      <c r="G328" s="94">
        <f>cell_CoefGeneral</f>
        <v>1</v>
      </c>
      <c r="H328" s="84">
        <v>140</v>
      </c>
      <c r="I328" s="84">
        <f>IFERROR(ROUND(E328*H328,2),"-")</f>
        <v>2660</v>
      </c>
      <c r="J328" s="105">
        <f>IFERROR(I328/cell_Total_HT,"-")</f>
        <v>7.8529282344211304E-4</v>
      </c>
      <c r="K328">
        <f>I328</f>
        <v>2660</v>
      </c>
      <c r="L328"/>
      <c r="M328"/>
      <c r="N328"/>
      <c r="O328"/>
      <c r="P328"/>
      <c r="Q328"/>
      <c r="R328"/>
      <c r="S328"/>
      <c r="T328"/>
    </row>
    <row r="329" spans="1:20" outlineLevel="4" x14ac:dyDescent="0.3">
      <c r="A329" s="82" t="s">
        <v>1002</v>
      </c>
      <c r="B329" s="58" t="s">
        <v>1003</v>
      </c>
      <c r="C329" s="61" t="s">
        <v>1004</v>
      </c>
      <c r="D329" s="115"/>
      <c r="E329" s="87"/>
      <c r="F329" s="87"/>
      <c r="G329" s="97"/>
      <c r="H329" s="87" t="s">
        <v>60</v>
      </c>
      <c r="I329" s="104">
        <f>SUBTOTAL(9,K330:K340)</f>
        <v>924</v>
      </c>
      <c r="J329" s="108"/>
      <c r="K329"/>
      <c r="L329"/>
      <c r="M329"/>
      <c r="N329"/>
      <c r="O329"/>
      <c r="P329"/>
      <c r="Q329"/>
      <c r="R329"/>
      <c r="S329"/>
      <c r="T329"/>
    </row>
    <row r="330" spans="1:20" outlineLevel="5" x14ac:dyDescent="0.3">
      <c r="A330" s="82" t="s">
        <v>1005</v>
      </c>
      <c r="B330" s="10" t="s">
        <v>1006</v>
      </c>
      <c r="C330" s="60" t="s">
        <v>1007</v>
      </c>
      <c r="D330" s="44" t="s">
        <v>121</v>
      </c>
      <c r="E330" s="84">
        <v>0</v>
      </c>
      <c r="F330" s="84"/>
      <c r="G330" s="94">
        <f t="shared" ref="G330:G340" si="36">cell_CoefGeneral</f>
        <v>1</v>
      </c>
      <c r="H330" s="84">
        <v>88</v>
      </c>
      <c r="I330" s="84">
        <f t="shared" ref="I330:I340" si="37">IFERROR(ROUND(E330*H330,2),"-")</f>
        <v>0</v>
      </c>
      <c r="J330" s="105">
        <f t="shared" ref="J330:J340" si="38">IFERROR(I330/cell_Total_HT,"-")</f>
        <v>0</v>
      </c>
      <c r="K330">
        <f t="shared" ref="K330:K340" si="39">I330</f>
        <v>0</v>
      </c>
      <c r="L330"/>
      <c r="M330"/>
      <c r="N330"/>
      <c r="O330"/>
      <c r="P330"/>
      <c r="Q330"/>
      <c r="R330"/>
      <c r="S330"/>
      <c r="T330"/>
    </row>
    <row r="331" spans="1:20" outlineLevel="5" x14ac:dyDescent="0.3">
      <c r="A331" s="82" t="s">
        <v>1008</v>
      </c>
      <c r="B331" s="10" t="s">
        <v>1009</v>
      </c>
      <c r="C331" s="60" t="s">
        <v>1010</v>
      </c>
      <c r="D331" s="44" t="s">
        <v>121</v>
      </c>
      <c r="E331" s="84">
        <v>0</v>
      </c>
      <c r="F331" s="84"/>
      <c r="G331" s="94">
        <f t="shared" si="36"/>
        <v>1</v>
      </c>
      <c r="H331" s="84">
        <v>58</v>
      </c>
      <c r="I331" s="84">
        <f t="shared" si="37"/>
        <v>0</v>
      </c>
      <c r="J331" s="105">
        <f t="shared" si="38"/>
        <v>0</v>
      </c>
      <c r="K331">
        <f t="shared" si="39"/>
        <v>0</v>
      </c>
      <c r="L331"/>
      <c r="M331"/>
      <c r="N331"/>
      <c r="O331"/>
      <c r="P331"/>
      <c r="Q331"/>
      <c r="R331"/>
      <c r="S331"/>
      <c r="T331"/>
    </row>
    <row r="332" spans="1:20" ht="28.8" outlineLevel="5" x14ac:dyDescent="0.3">
      <c r="A332" s="82" t="s">
        <v>1011</v>
      </c>
      <c r="B332" s="10" t="s">
        <v>1012</v>
      </c>
      <c r="C332" s="60" t="s">
        <v>1013</v>
      </c>
      <c r="D332" s="44" t="s">
        <v>121</v>
      </c>
      <c r="E332" s="84">
        <v>0</v>
      </c>
      <c r="F332" s="84"/>
      <c r="G332" s="94">
        <f t="shared" si="36"/>
        <v>1</v>
      </c>
      <c r="H332" s="84">
        <v>84</v>
      </c>
      <c r="I332" s="84">
        <f t="shared" si="37"/>
        <v>0</v>
      </c>
      <c r="J332" s="105">
        <f t="shared" si="38"/>
        <v>0</v>
      </c>
      <c r="K332">
        <f t="shared" si="39"/>
        <v>0</v>
      </c>
      <c r="L332"/>
      <c r="M332"/>
      <c r="N332"/>
      <c r="O332"/>
      <c r="P332"/>
      <c r="Q332"/>
      <c r="R332"/>
      <c r="S332"/>
      <c r="T332"/>
    </row>
    <row r="333" spans="1:20" outlineLevel="5" x14ac:dyDescent="0.3">
      <c r="A333" s="82" t="s">
        <v>1014</v>
      </c>
      <c r="B333" s="10" t="s">
        <v>1015</v>
      </c>
      <c r="C333" s="60" t="s">
        <v>1016</v>
      </c>
      <c r="D333" s="44" t="s">
        <v>121</v>
      </c>
      <c r="E333" s="84">
        <v>0</v>
      </c>
      <c r="F333" s="84"/>
      <c r="G333" s="94">
        <f t="shared" si="36"/>
        <v>1</v>
      </c>
      <c r="H333" s="84">
        <v>62</v>
      </c>
      <c r="I333" s="84">
        <f t="shared" si="37"/>
        <v>0</v>
      </c>
      <c r="J333" s="105">
        <f t="shared" si="38"/>
        <v>0</v>
      </c>
      <c r="K333">
        <f t="shared" si="39"/>
        <v>0</v>
      </c>
      <c r="L333"/>
      <c r="M333"/>
      <c r="N333"/>
      <c r="O333"/>
      <c r="P333"/>
      <c r="Q333"/>
      <c r="R333"/>
      <c r="S333"/>
      <c r="T333"/>
    </row>
    <row r="334" spans="1:20" outlineLevel="5" x14ac:dyDescent="0.3">
      <c r="A334" s="82" t="s">
        <v>1017</v>
      </c>
      <c r="B334" s="10" t="s">
        <v>1018</v>
      </c>
      <c r="C334" s="60" t="s">
        <v>1019</v>
      </c>
      <c r="D334" s="44" t="s">
        <v>121</v>
      </c>
      <c r="E334" s="84">
        <v>0</v>
      </c>
      <c r="F334" s="84"/>
      <c r="G334" s="94">
        <f t="shared" si="36"/>
        <v>1</v>
      </c>
      <c r="H334" s="84">
        <v>84</v>
      </c>
      <c r="I334" s="84">
        <f t="shared" si="37"/>
        <v>0</v>
      </c>
      <c r="J334" s="105">
        <f t="shared" si="38"/>
        <v>0</v>
      </c>
      <c r="K334">
        <f t="shared" si="39"/>
        <v>0</v>
      </c>
      <c r="L334"/>
      <c r="M334"/>
      <c r="N334"/>
      <c r="O334"/>
      <c r="P334"/>
      <c r="Q334"/>
      <c r="R334"/>
      <c r="S334"/>
      <c r="T334"/>
    </row>
    <row r="335" spans="1:20" outlineLevel="5" x14ac:dyDescent="0.3">
      <c r="A335" s="82" t="s">
        <v>1020</v>
      </c>
      <c r="B335" s="10" t="s">
        <v>1021</v>
      </c>
      <c r="C335" s="60" t="s">
        <v>1022</v>
      </c>
      <c r="D335" s="44" t="s">
        <v>121</v>
      </c>
      <c r="E335" s="84">
        <v>4</v>
      </c>
      <c r="F335" s="84"/>
      <c r="G335" s="94">
        <f t="shared" si="36"/>
        <v>1</v>
      </c>
      <c r="H335" s="84">
        <v>70</v>
      </c>
      <c r="I335" s="84">
        <f t="shared" si="37"/>
        <v>280</v>
      </c>
      <c r="J335" s="105">
        <f t="shared" si="38"/>
        <v>8.2662402467590846E-5</v>
      </c>
      <c r="K335">
        <f t="shared" si="39"/>
        <v>280</v>
      </c>
      <c r="L335"/>
      <c r="M335"/>
      <c r="N335"/>
      <c r="O335"/>
      <c r="P335"/>
      <c r="Q335"/>
      <c r="R335"/>
      <c r="S335"/>
      <c r="T335"/>
    </row>
    <row r="336" spans="1:20" outlineLevel="5" x14ac:dyDescent="0.3">
      <c r="A336" s="82" t="s">
        <v>1023</v>
      </c>
      <c r="B336" s="10" t="s">
        <v>1024</v>
      </c>
      <c r="C336" s="60" t="s">
        <v>1025</v>
      </c>
      <c r="D336" s="44" t="s">
        <v>121</v>
      </c>
      <c r="E336" s="84">
        <v>6</v>
      </c>
      <c r="F336" s="84"/>
      <c r="G336" s="94">
        <f t="shared" si="36"/>
        <v>1</v>
      </c>
      <c r="H336" s="84">
        <v>46</v>
      </c>
      <c r="I336" s="84">
        <f t="shared" si="37"/>
        <v>276</v>
      </c>
      <c r="J336" s="105">
        <f t="shared" si="38"/>
        <v>8.1481511003768123E-5</v>
      </c>
      <c r="K336">
        <f t="shared" si="39"/>
        <v>276</v>
      </c>
      <c r="L336"/>
      <c r="M336"/>
      <c r="N336"/>
      <c r="O336"/>
      <c r="P336"/>
      <c r="Q336"/>
      <c r="R336"/>
      <c r="S336"/>
      <c r="T336"/>
    </row>
    <row r="337" spans="1:20" outlineLevel="5" x14ac:dyDescent="0.3">
      <c r="A337" s="82" t="s">
        <v>1026</v>
      </c>
      <c r="B337" s="10" t="s">
        <v>1027</v>
      </c>
      <c r="C337" s="60" t="s">
        <v>1028</v>
      </c>
      <c r="D337" s="44" t="s">
        <v>121</v>
      </c>
      <c r="E337" s="84">
        <v>0</v>
      </c>
      <c r="F337" s="84"/>
      <c r="G337" s="94">
        <f t="shared" si="36"/>
        <v>1</v>
      </c>
      <c r="H337" s="84">
        <v>63</v>
      </c>
      <c r="I337" s="84">
        <f t="shared" si="37"/>
        <v>0</v>
      </c>
      <c r="J337" s="105">
        <f t="shared" si="38"/>
        <v>0</v>
      </c>
      <c r="K337">
        <f t="shared" si="39"/>
        <v>0</v>
      </c>
      <c r="L337"/>
      <c r="M337"/>
      <c r="N337"/>
      <c r="O337"/>
      <c r="P337"/>
      <c r="Q337"/>
      <c r="R337"/>
      <c r="S337"/>
      <c r="T337"/>
    </row>
    <row r="338" spans="1:20" outlineLevel="5" x14ac:dyDescent="0.3">
      <c r="A338" s="82" t="s">
        <v>1029</v>
      </c>
      <c r="B338" s="10" t="s">
        <v>1030</v>
      </c>
      <c r="C338" s="60" t="s">
        <v>1031</v>
      </c>
      <c r="D338" s="44" t="s">
        <v>121</v>
      </c>
      <c r="E338" s="84">
        <v>0</v>
      </c>
      <c r="F338" s="84"/>
      <c r="G338" s="94">
        <f t="shared" si="36"/>
        <v>1</v>
      </c>
      <c r="H338" s="84">
        <v>63</v>
      </c>
      <c r="I338" s="84">
        <f t="shared" si="37"/>
        <v>0</v>
      </c>
      <c r="J338" s="105">
        <f t="shared" si="38"/>
        <v>0</v>
      </c>
      <c r="K338">
        <f t="shared" si="39"/>
        <v>0</v>
      </c>
      <c r="L338"/>
      <c r="M338"/>
      <c r="N338"/>
      <c r="O338"/>
      <c r="P338"/>
      <c r="Q338"/>
      <c r="R338"/>
      <c r="S338"/>
      <c r="T338"/>
    </row>
    <row r="339" spans="1:20" outlineLevel="5" x14ac:dyDescent="0.3">
      <c r="A339" s="82" t="s">
        <v>1032</v>
      </c>
      <c r="B339" s="10" t="s">
        <v>1033</v>
      </c>
      <c r="C339" s="60" t="s">
        <v>1034</v>
      </c>
      <c r="D339" s="44" t="s">
        <v>121</v>
      </c>
      <c r="E339" s="84">
        <v>4</v>
      </c>
      <c r="F339" s="84"/>
      <c r="G339" s="94">
        <f t="shared" si="36"/>
        <v>1</v>
      </c>
      <c r="H339" s="84">
        <v>46</v>
      </c>
      <c r="I339" s="84">
        <f t="shared" si="37"/>
        <v>184</v>
      </c>
      <c r="J339" s="105">
        <f t="shared" si="38"/>
        <v>5.4321007335845416E-5</v>
      </c>
      <c r="K339">
        <f t="shared" si="39"/>
        <v>184</v>
      </c>
      <c r="L339"/>
      <c r="M339"/>
      <c r="N339"/>
      <c r="O339"/>
      <c r="P339"/>
      <c r="Q339"/>
      <c r="R339"/>
      <c r="S339"/>
      <c r="T339"/>
    </row>
    <row r="340" spans="1:20" ht="15" outlineLevel="5" thickBot="1" x14ac:dyDescent="0.35">
      <c r="A340" s="82" t="s">
        <v>1035</v>
      </c>
      <c r="B340" s="10" t="s">
        <v>1036</v>
      </c>
      <c r="C340" s="60" t="s">
        <v>1037</v>
      </c>
      <c r="D340" s="44" t="s">
        <v>121</v>
      </c>
      <c r="E340" s="84">
        <v>4</v>
      </c>
      <c r="F340" s="84"/>
      <c r="G340" s="94">
        <f t="shared" si="36"/>
        <v>1</v>
      </c>
      <c r="H340" s="84">
        <v>46</v>
      </c>
      <c r="I340" s="84">
        <f t="shared" si="37"/>
        <v>184</v>
      </c>
      <c r="J340" s="105">
        <f t="shared" si="38"/>
        <v>5.4321007335845416E-5</v>
      </c>
      <c r="K340">
        <f t="shared" si="39"/>
        <v>184</v>
      </c>
      <c r="L340"/>
      <c r="M340"/>
      <c r="N340"/>
      <c r="O340"/>
      <c r="P340"/>
      <c r="Q340"/>
      <c r="R340"/>
      <c r="S340"/>
      <c r="T340"/>
    </row>
    <row r="341" spans="1:20" ht="15" outlineLevel="2" thickTop="1" x14ac:dyDescent="0.3">
      <c r="A341" s="82" t="s">
        <v>1038</v>
      </c>
      <c r="B341" s="62" t="s">
        <v>60</v>
      </c>
      <c r="C341" s="63" t="s">
        <v>1039</v>
      </c>
      <c r="D341" s="116"/>
      <c r="E341" s="88"/>
      <c r="F341" s="88"/>
      <c r="G341" s="98"/>
      <c r="H341" s="88"/>
      <c r="I341" s="88">
        <f>SUBTOTAL(9,I312:I340)</f>
        <v>3584</v>
      </c>
      <c r="J341" s="109"/>
      <c r="K341"/>
      <c r="L341"/>
      <c r="M341"/>
      <c r="N341"/>
      <c r="O341"/>
      <c r="P341"/>
      <c r="Q341"/>
      <c r="R341"/>
      <c r="S341"/>
      <c r="T341"/>
    </row>
    <row r="342" spans="1:20" outlineLevel="2" x14ac:dyDescent="0.3">
      <c r="A342" s="82" t="s">
        <v>1040</v>
      </c>
      <c r="B342" s="64" t="s">
        <v>1041</v>
      </c>
      <c r="C342" s="65" t="s">
        <v>1042</v>
      </c>
      <c r="D342" s="117"/>
      <c r="E342" s="87"/>
      <c r="F342" s="87"/>
      <c r="G342" s="97"/>
      <c r="H342" s="87"/>
      <c r="I342" s="104">
        <f>SUBTOTAL(9,K343:K371)</f>
        <v>277405.40000000002</v>
      </c>
      <c r="J342" s="108"/>
      <c r="K342"/>
      <c r="L342"/>
      <c r="M342"/>
      <c r="N342"/>
      <c r="O342"/>
      <c r="P342"/>
      <c r="Q342"/>
      <c r="R342"/>
      <c r="S342"/>
      <c r="T342"/>
    </row>
    <row r="343" spans="1:20" outlineLevel="3" x14ac:dyDescent="0.3">
      <c r="A343" s="82" t="s">
        <v>1043</v>
      </c>
      <c r="B343" s="10" t="s">
        <v>1044</v>
      </c>
      <c r="C343" s="60" t="s">
        <v>1045</v>
      </c>
      <c r="D343" s="44" t="s">
        <v>93</v>
      </c>
      <c r="E343" s="84">
        <v>1</v>
      </c>
      <c r="F343" s="84"/>
      <c r="G343" s="94">
        <f>cell_CoefGeneral</f>
        <v>1</v>
      </c>
      <c r="H343" s="84">
        <v>9200</v>
      </c>
      <c r="I343" s="84">
        <f>IFERROR(ROUND(E343*H343,2),"-")</f>
        <v>9200</v>
      </c>
      <c r="J343" s="105">
        <f>IFERROR(I343/cell_Total_HT,"-")</f>
        <v>2.7160503667922708E-3</v>
      </c>
      <c r="K343">
        <f>I343</f>
        <v>9200</v>
      </c>
      <c r="L343"/>
      <c r="M343"/>
      <c r="N343"/>
      <c r="O343"/>
      <c r="P343"/>
      <c r="Q343"/>
      <c r="R343"/>
      <c r="S343"/>
      <c r="T343"/>
    </row>
    <row r="344" spans="1:20" outlineLevel="3" x14ac:dyDescent="0.3">
      <c r="A344" s="82" t="s">
        <v>1046</v>
      </c>
      <c r="B344" s="58" t="s">
        <v>1047</v>
      </c>
      <c r="C344" s="61" t="s">
        <v>1048</v>
      </c>
      <c r="D344" s="115"/>
      <c r="E344" s="87"/>
      <c r="F344" s="87"/>
      <c r="G344" s="97"/>
      <c r="H344" s="87" t="s">
        <v>60</v>
      </c>
      <c r="I344" s="104">
        <f>SUBTOTAL(9,K345:K358)</f>
        <v>138614.20000000001</v>
      </c>
      <c r="J344" s="108"/>
      <c r="K344"/>
      <c r="L344"/>
      <c r="M344"/>
      <c r="N344"/>
      <c r="O344"/>
      <c r="P344"/>
      <c r="Q344"/>
      <c r="R344"/>
      <c r="S344"/>
      <c r="T344"/>
    </row>
    <row r="345" spans="1:20" outlineLevel="4" x14ac:dyDescent="0.3">
      <c r="A345" s="82" t="s">
        <v>1049</v>
      </c>
      <c r="B345" s="10" t="s">
        <v>1050</v>
      </c>
      <c r="C345" s="60" t="s">
        <v>1051</v>
      </c>
      <c r="D345" s="44" t="s">
        <v>141</v>
      </c>
      <c r="E345" s="84">
        <v>187</v>
      </c>
      <c r="F345" s="84"/>
      <c r="G345" s="94">
        <f t="shared" ref="G345:G358" si="40">cell_CoefGeneral</f>
        <v>1</v>
      </c>
      <c r="H345" s="84">
        <v>36</v>
      </c>
      <c r="I345" s="84">
        <f t="shared" ref="I345:I358" si="41">IFERROR(ROUND(E345*H345,2),"-")</f>
        <v>6732</v>
      </c>
      <c r="J345" s="105">
        <f t="shared" ref="J345:J358" si="42">IFERROR(I345/cell_Total_HT,"-")</f>
        <v>1.9874403336136485E-3</v>
      </c>
      <c r="K345">
        <f t="shared" ref="K345:K358" si="43">I345</f>
        <v>6732</v>
      </c>
      <c r="L345"/>
      <c r="M345"/>
      <c r="N345"/>
      <c r="O345"/>
      <c r="P345"/>
      <c r="Q345"/>
      <c r="R345"/>
      <c r="S345"/>
      <c r="T345"/>
    </row>
    <row r="346" spans="1:20" outlineLevel="4" x14ac:dyDescent="0.3">
      <c r="A346" s="82" t="s">
        <v>1052</v>
      </c>
      <c r="B346" s="10" t="s">
        <v>1053</v>
      </c>
      <c r="C346" s="60" t="s">
        <v>1054</v>
      </c>
      <c r="D346" s="44" t="s">
        <v>141</v>
      </c>
      <c r="E346" s="84">
        <v>99</v>
      </c>
      <c r="F346" s="84"/>
      <c r="G346" s="94">
        <f t="shared" si="40"/>
        <v>1</v>
      </c>
      <c r="H346" s="84">
        <v>38</v>
      </c>
      <c r="I346" s="84">
        <f t="shared" si="41"/>
        <v>3762</v>
      </c>
      <c r="J346" s="105">
        <f t="shared" si="42"/>
        <v>1.1106284217252743E-3</v>
      </c>
      <c r="K346">
        <f t="shared" si="43"/>
        <v>3762</v>
      </c>
      <c r="L346"/>
      <c r="M346"/>
      <c r="N346"/>
      <c r="O346"/>
      <c r="P346"/>
      <c r="Q346"/>
      <c r="R346"/>
      <c r="S346"/>
      <c r="T346"/>
    </row>
    <row r="347" spans="1:20" outlineLevel="4" x14ac:dyDescent="0.3">
      <c r="A347" s="82" t="s">
        <v>1055</v>
      </c>
      <c r="B347" s="10" t="s">
        <v>1056</v>
      </c>
      <c r="C347" s="60" t="s">
        <v>1057</v>
      </c>
      <c r="D347" s="44" t="s">
        <v>154</v>
      </c>
      <c r="E347" s="84">
        <v>81</v>
      </c>
      <c r="F347" s="84"/>
      <c r="G347" s="94">
        <f t="shared" si="40"/>
        <v>1</v>
      </c>
      <c r="H347" s="84">
        <v>81</v>
      </c>
      <c r="I347" s="84">
        <f t="shared" si="41"/>
        <v>6561</v>
      </c>
      <c r="J347" s="105">
        <f t="shared" si="42"/>
        <v>1.936957223535227E-3</v>
      </c>
      <c r="K347">
        <f t="shared" si="43"/>
        <v>6561</v>
      </c>
      <c r="L347"/>
      <c r="M347"/>
      <c r="N347"/>
      <c r="O347"/>
      <c r="P347"/>
      <c r="Q347"/>
      <c r="R347"/>
      <c r="S347"/>
      <c r="T347"/>
    </row>
    <row r="348" spans="1:20" outlineLevel="4" x14ac:dyDescent="0.3">
      <c r="A348" s="82" t="s">
        <v>1058</v>
      </c>
      <c r="B348" s="10" t="s">
        <v>1059</v>
      </c>
      <c r="C348" s="60" t="s">
        <v>1060</v>
      </c>
      <c r="D348" s="44" t="s">
        <v>154</v>
      </c>
      <c r="E348" s="84">
        <v>156</v>
      </c>
      <c r="F348" s="84"/>
      <c r="G348" s="94">
        <f t="shared" si="40"/>
        <v>1</v>
      </c>
      <c r="H348" s="84">
        <v>81</v>
      </c>
      <c r="I348" s="84">
        <f t="shared" si="41"/>
        <v>12636</v>
      </c>
      <c r="J348" s="105">
        <f t="shared" si="42"/>
        <v>3.7304361342159927E-3</v>
      </c>
      <c r="K348">
        <f t="shared" si="43"/>
        <v>12636</v>
      </c>
      <c r="L348"/>
      <c r="M348"/>
      <c r="N348"/>
      <c r="O348"/>
      <c r="P348"/>
      <c r="Q348"/>
      <c r="R348"/>
      <c r="S348"/>
      <c r="T348"/>
    </row>
    <row r="349" spans="1:20" ht="28.8" outlineLevel="4" x14ac:dyDescent="0.3">
      <c r="A349" s="82" t="s">
        <v>1061</v>
      </c>
      <c r="B349" s="10" t="s">
        <v>1062</v>
      </c>
      <c r="C349" s="60" t="s">
        <v>1063</v>
      </c>
      <c r="D349" s="44" t="s">
        <v>93</v>
      </c>
      <c r="E349" s="84">
        <v>1</v>
      </c>
      <c r="F349" s="84"/>
      <c r="G349" s="94">
        <f t="shared" si="40"/>
        <v>1</v>
      </c>
      <c r="H349" s="84">
        <v>4000</v>
      </c>
      <c r="I349" s="84">
        <f t="shared" si="41"/>
        <v>4000</v>
      </c>
      <c r="J349" s="105">
        <f t="shared" si="42"/>
        <v>1.1808914638227264E-3</v>
      </c>
      <c r="K349">
        <f t="shared" si="43"/>
        <v>4000</v>
      </c>
      <c r="L349"/>
      <c r="M349"/>
      <c r="N349"/>
      <c r="O349"/>
      <c r="P349"/>
      <c r="Q349"/>
      <c r="R349"/>
      <c r="S349"/>
      <c r="T349"/>
    </row>
    <row r="350" spans="1:20" outlineLevel="4" x14ac:dyDescent="0.3">
      <c r="A350" s="82" t="s">
        <v>1064</v>
      </c>
      <c r="B350" s="10" t="s">
        <v>1065</v>
      </c>
      <c r="C350" s="60" t="s">
        <v>1066</v>
      </c>
      <c r="D350" s="44" t="s">
        <v>154</v>
      </c>
      <c r="E350" s="84">
        <v>3</v>
      </c>
      <c r="F350" s="84"/>
      <c r="G350" s="94">
        <f t="shared" si="40"/>
        <v>1</v>
      </c>
      <c r="H350" s="84">
        <v>92</v>
      </c>
      <c r="I350" s="84">
        <f t="shared" si="41"/>
        <v>276</v>
      </c>
      <c r="J350" s="105">
        <f t="shared" si="42"/>
        <v>8.1481511003768123E-5</v>
      </c>
      <c r="K350">
        <f t="shared" si="43"/>
        <v>276</v>
      </c>
      <c r="L350"/>
      <c r="M350"/>
      <c r="N350"/>
      <c r="O350"/>
      <c r="P350"/>
      <c r="Q350"/>
      <c r="R350"/>
      <c r="S350"/>
      <c r="T350"/>
    </row>
    <row r="351" spans="1:20" outlineLevel="4" x14ac:dyDescent="0.3">
      <c r="A351" s="82" t="s">
        <v>1067</v>
      </c>
      <c r="B351" s="10" t="s">
        <v>1068</v>
      </c>
      <c r="C351" s="60" t="s">
        <v>1069</v>
      </c>
      <c r="D351" s="44" t="s">
        <v>154</v>
      </c>
      <c r="E351" s="84">
        <v>126</v>
      </c>
      <c r="F351" s="84"/>
      <c r="G351" s="94">
        <f t="shared" si="40"/>
        <v>1</v>
      </c>
      <c r="H351" s="84">
        <v>35</v>
      </c>
      <c r="I351" s="84">
        <f t="shared" si="41"/>
        <v>4410</v>
      </c>
      <c r="J351" s="105">
        <f t="shared" si="42"/>
        <v>1.3019328388645559E-3</v>
      </c>
      <c r="K351">
        <f t="shared" si="43"/>
        <v>4410</v>
      </c>
      <c r="L351"/>
      <c r="M351"/>
      <c r="N351"/>
      <c r="O351"/>
      <c r="P351"/>
      <c r="Q351"/>
      <c r="R351"/>
      <c r="S351"/>
      <c r="T351"/>
    </row>
    <row r="352" spans="1:20" outlineLevel="4" x14ac:dyDescent="0.3">
      <c r="A352" s="82" t="s">
        <v>1070</v>
      </c>
      <c r="B352" s="10" t="s">
        <v>1071</v>
      </c>
      <c r="C352" s="60" t="s">
        <v>1072</v>
      </c>
      <c r="D352" s="44" t="s">
        <v>141</v>
      </c>
      <c r="E352" s="84">
        <v>180</v>
      </c>
      <c r="F352" s="84"/>
      <c r="G352" s="94">
        <f t="shared" si="40"/>
        <v>1</v>
      </c>
      <c r="H352" s="84">
        <v>230</v>
      </c>
      <c r="I352" s="84">
        <f t="shared" si="41"/>
        <v>41400</v>
      </c>
      <c r="J352" s="105">
        <f t="shared" si="42"/>
        <v>1.2222226650565219E-2</v>
      </c>
      <c r="K352">
        <f t="shared" si="43"/>
        <v>41400</v>
      </c>
      <c r="L352"/>
      <c r="M352"/>
      <c r="N352"/>
      <c r="O352"/>
      <c r="P352"/>
      <c r="Q352"/>
      <c r="R352"/>
      <c r="S352"/>
      <c r="T352"/>
    </row>
    <row r="353" spans="1:20" outlineLevel="4" x14ac:dyDescent="0.3">
      <c r="A353" s="82" t="s">
        <v>1073</v>
      </c>
      <c r="B353" s="10" t="s">
        <v>1074</v>
      </c>
      <c r="C353" s="60" t="s">
        <v>1075</v>
      </c>
      <c r="D353" s="44" t="s">
        <v>141</v>
      </c>
      <c r="E353" s="84">
        <v>149</v>
      </c>
      <c r="F353" s="84"/>
      <c r="G353" s="94">
        <f t="shared" si="40"/>
        <v>1</v>
      </c>
      <c r="H353" s="84">
        <v>46</v>
      </c>
      <c r="I353" s="84">
        <f t="shared" si="41"/>
        <v>6854</v>
      </c>
      <c r="J353" s="105">
        <f t="shared" si="42"/>
        <v>2.0234575232602418E-3</v>
      </c>
      <c r="K353">
        <f t="shared" si="43"/>
        <v>6854</v>
      </c>
      <c r="L353"/>
      <c r="M353"/>
      <c r="N353"/>
      <c r="O353"/>
      <c r="P353"/>
      <c r="Q353"/>
      <c r="R353"/>
      <c r="S353"/>
      <c r="T353"/>
    </row>
    <row r="354" spans="1:20" outlineLevel="4" x14ac:dyDescent="0.3">
      <c r="A354" s="82" t="s">
        <v>1076</v>
      </c>
      <c r="B354" s="10" t="s">
        <v>1077</v>
      </c>
      <c r="C354" s="60" t="s">
        <v>1078</v>
      </c>
      <c r="D354" s="44" t="s">
        <v>1079</v>
      </c>
      <c r="E354" s="84">
        <v>18043</v>
      </c>
      <c r="F354" s="84"/>
      <c r="G354" s="94">
        <f t="shared" si="40"/>
        <v>1</v>
      </c>
      <c r="H354" s="84">
        <v>1.6</v>
      </c>
      <c r="I354" s="84">
        <f t="shared" si="41"/>
        <v>28868.799999999999</v>
      </c>
      <c r="J354" s="105">
        <f t="shared" si="42"/>
        <v>8.5227298727013814E-3</v>
      </c>
      <c r="K354">
        <f t="shared" si="43"/>
        <v>28868.799999999999</v>
      </c>
      <c r="L354"/>
      <c r="M354"/>
      <c r="N354"/>
      <c r="O354"/>
      <c r="P354"/>
      <c r="Q354"/>
      <c r="R354"/>
      <c r="S354"/>
      <c r="T354"/>
    </row>
    <row r="355" spans="1:20" outlineLevel="4" x14ac:dyDescent="0.3">
      <c r="A355" s="82" t="s">
        <v>1080</v>
      </c>
      <c r="B355" s="10" t="s">
        <v>1081</v>
      </c>
      <c r="C355" s="60" t="s">
        <v>1082</v>
      </c>
      <c r="D355" s="44" t="s">
        <v>154</v>
      </c>
      <c r="E355" s="84">
        <v>114</v>
      </c>
      <c r="F355" s="84"/>
      <c r="G355" s="94">
        <f t="shared" si="40"/>
        <v>1</v>
      </c>
      <c r="H355" s="84">
        <v>12</v>
      </c>
      <c r="I355" s="84">
        <f t="shared" si="41"/>
        <v>1368</v>
      </c>
      <c r="J355" s="105">
        <f t="shared" si="42"/>
        <v>4.0386488062737244E-4</v>
      </c>
      <c r="K355">
        <f t="shared" si="43"/>
        <v>1368</v>
      </c>
      <c r="L355"/>
      <c r="M355"/>
      <c r="N355"/>
      <c r="O355"/>
      <c r="P355"/>
      <c r="Q355"/>
      <c r="R355"/>
      <c r="S355"/>
      <c r="T355"/>
    </row>
    <row r="356" spans="1:20" outlineLevel="4" x14ac:dyDescent="0.3">
      <c r="A356" s="82" t="s">
        <v>1083</v>
      </c>
      <c r="B356" s="10" t="s">
        <v>1084</v>
      </c>
      <c r="C356" s="60" t="s">
        <v>1085</v>
      </c>
      <c r="D356" s="44" t="s">
        <v>154</v>
      </c>
      <c r="E356" s="84">
        <v>92</v>
      </c>
      <c r="F356" s="84"/>
      <c r="G356" s="94">
        <f t="shared" si="40"/>
        <v>1</v>
      </c>
      <c r="H356" s="84">
        <v>9.1999999999999993</v>
      </c>
      <c r="I356" s="84">
        <f t="shared" si="41"/>
        <v>846.4</v>
      </c>
      <c r="J356" s="105">
        <f t="shared" si="42"/>
        <v>2.4987663374488887E-4</v>
      </c>
      <c r="K356">
        <f t="shared" si="43"/>
        <v>846.4</v>
      </c>
      <c r="L356"/>
      <c r="M356"/>
      <c r="N356"/>
      <c r="O356"/>
      <c r="P356"/>
      <c r="Q356"/>
      <c r="R356"/>
      <c r="S356"/>
      <c r="T356"/>
    </row>
    <row r="357" spans="1:20" ht="28.8" outlineLevel="4" x14ac:dyDescent="0.3">
      <c r="A357" s="82" t="s">
        <v>1086</v>
      </c>
      <c r="B357" s="10" t="s">
        <v>1087</v>
      </c>
      <c r="C357" s="60" t="s">
        <v>1088</v>
      </c>
      <c r="D357" s="44" t="s">
        <v>121</v>
      </c>
      <c r="E357" s="84">
        <v>3</v>
      </c>
      <c r="F357" s="84"/>
      <c r="G357" s="94">
        <f t="shared" si="40"/>
        <v>1</v>
      </c>
      <c r="H357" s="84">
        <v>3500</v>
      </c>
      <c r="I357" s="84">
        <f t="shared" si="41"/>
        <v>10500</v>
      </c>
      <c r="J357" s="105">
        <f t="shared" si="42"/>
        <v>3.099840092534657E-3</v>
      </c>
      <c r="K357">
        <f t="shared" si="43"/>
        <v>10500</v>
      </c>
      <c r="L357"/>
      <c r="M357"/>
      <c r="N357"/>
      <c r="O357"/>
      <c r="P357"/>
      <c r="Q357"/>
      <c r="R357"/>
      <c r="S357"/>
      <c r="T357"/>
    </row>
    <row r="358" spans="1:20" ht="28.8" outlineLevel="4" x14ac:dyDescent="0.3">
      <c r="A358" s="82" t="s">
        <v>1089</v>
      </c>
      <c r="B358" s="10" t="s">
        <v>1090</v>
      </c>
      <c r="C358" s="60" t="s">
        <v>1091</v>
      </c>
      <c r="D358" s="44" t="s">
        <v>121</v>
      </c>
      <c r="E358" s="84">
        <v>2</v>
      </c>
      <c r="F358" s="84"/>
      <c r="G358" s="94">
        <f t="shared" si="40"/>
        <v>1</v>
      </c>
      <c r="H358" s="84">
        <v>5200</v>
      </c>
      <c r="I358" s="84">
        <f t="shared" si="41"/>
        <v>10400</v>
      </c>
      <c r="J358" s="105">
        <f t="shared" si="42"/>
        <v>3.0703178059390888E-3</v>
      </c>
      <c r="K358">
        <f t="shared" si="43"/>
        <v>10400</v>
      </c>
      <c r="L358"/>
      <c r="M358"/>
      <c r="N358"/>
      <c r="O358"/>
      <c r="P358"/>
      <c r="Q358"/>
      <c r="R358"/>
      <c r="S358"/>
      <c r="T358"/>
    </row>
    <row r="359" spans="1:20" outlineLevel="3" x14ac:dyDescent="0.3">
      <c r="A359" s="82" t="s">
        <v>1092</v>
      </c>
      <c r="B359" s="58" t="s">
        <v>1093</v>
      </c>
      <c r="C359" s="61" t="s">
        <v>1094</v>
      </c>
      <c r="D359" s="115"/>
      <c r="E359" s="87"/>
      <c r="F359" s="87"/>
      <c r="G359" s="97"/>
      <c r="H359" s="87" t="s">
        <v>60</v>
      </c>
      <c r="I359" s="104">
        <f>SUBTOTAL(9,K360:K368)</f>
        <v>99223.2</v>
      </c>
      <c r="J359" s="108"/>
      <c r="K359"/>
      <c r="L359"/>
      <c r="M359"/>
      <c r="N359"/>
      <c r="O359"/>
      <c r="P359"/>
      <c r="Q359"/>
      <c r="R359"/>
      <c r="S359"/>
      <c r="T359"/>
    </row>
    <row r="360" spans="1:20" outlineLevel="4" x14ac:dyDescent="0.3">
      <c r="A360" s="82" t="s">
        <v>1095</v>
      </c>
      <c r="B360" s="10" t="s">
        <v>1096</v>
      </c>
      <c r="C360" s="60" t="s">
        <v>1051</v>
      </c>
      <c r="D360" s="44" t="s">
        <v>141</v>
      </c>
      <c r="E360" s="84">
        <v>355</v>
      </c>
      <c r="F360" s="84"/>
      <c r="G360" s="94">
        <f t="shared" ref="G360:G368" si="44">cell_CoefGeneral</f>
        <v>1</v>
      </c>
      <c r="H360" s="84">
        <v>33</v>
      </c>
      <c r="I360" s="84">
        <f t="shared" ref="I360:I368" si="45">IFERROR(ROUND(E360*H360,2),"-")</f>
        <v>11715</v>
      </c>
      <c r="J360" s="105">
        <f t="shared" ref="J360:J368" si="46">IFERROR(I360/cell_Total_HT,"-")</f>
        <v>3.4585358746708102E-3</v>
      </c>
      <c r="K360">
        <f t="shared" ref="K360:K368" si="47">I360</f>
        <v>11715</v>
      </c>
      <c r="L360"/>
      <c r="M360"/>
      <c r="N360"/>
      <c r="O360"/>
      <c r="P360"/>
      <c r="Q360"/>
      <c r="R360"/>
      <c r="S360"/>
      <c r="T360"/>
    </row>
    <row r="361" spans="1:20" outlineLevel="4" x14ac:dyDescent="0.3">
      <c r="A361" s="82" t="s">
        <v>1097</v>
      </c>
      <c r="B361" s="10" t="s">
        <v>1098</v>
      </c>
      <c r="C361" s="60" t="s">
        <v>1057</v>
      </c>
      <c r="D361" s="44" t="s">
        <v>154</v>
      </c>
      <c r="E361" s="84">
        <v>50</v>
      </c>
      <c r="F361" s="84"/>
      <c r="G361" s="94">
        <f t="shared" si="44"/>
        <v>1</v>
      </c>
      <c r="H361" s="84">
        <v>92</v>
      </c>
      <c r="I361" s="84">
        <f t="shared" si="45"/>
        <v>4600</v>
      </c>
      <c r="J361" s="105">
        <f t="shared" si="46"/>
        <v>1.3580251833961354E-3</v>
      </c>
      <c r="K361">
        <f t="shared" si="47"/>
        <v>4600</v>
      </c>
      <c r="L361"/>
      <c r="M361"/>
      <c r="N361"/>
      <c r="O361"/>
      <c r="P361"/>
      <c r="Q361"/>
      <c r="R361"/>
      <c r="S361"/>
      <c r="T361"/>
    </row>
    <row r="362" spans="1:20" outlineLevel="4" x14ac:dyDescent="0.3">
      <c r="A362" s="82" t="s">
        <v>1099</v>
      </c>
      <c r="B362" s="10" t="s">
        <v>1100</v>
      </c>
      <c r="C362" s="60" t="s">
        <v>1101</v>
      </c>
      <c r="D362" s="44" t="s">
        <v>80</v>
      </c>
      <c r="E362" s="84">
        <v>169</v>
      </c>
      <c r="F362" s="84"/>
      <c r="G362" s="94">
        <f t="shared" si="44"/>
        <v>1</v>
      </c>
      <c r="H362" s="84">
        <v>17</v>
      </c>
      <c r="I362" s="84">
        <f t="shared" si="45"/>
        <v>2873</v>
      </c>
      <c r="J362" s="105">
        <f t="shared" si="46"/>
        <v>8.4817529389067325E-4</v>
      </c>
      <c r="K362">
        <f t="shared" si="47"/>
        <v>2873</v>
      </c>
      <c r="L362"/>
      <c r="M362"/>
      <c r="N362"/>
      <c r="O362"/>
      <c r="P362"/>
      <c r="Q362"/>
      <c r="R362"/>
      <c r="S362"/>
      <c r="T362"/>
    </row>
    <row r="363" spans="1:20" outlineLevel="4" x14ac:dyDescent="0.3">
      <c r="A363" s="82" t="s">
        <v>1102</v>
      </c>
      <c r="B363" s="10" t="s">
        <v>1103</v>
      </c>
      <c r="C363" s="60" t="s">
        <v>1069</v>
      </c>
      <c r="D363" s="44" t="s">
        <v>154</v>
      </c>
      <c r="E363" s="84">
        <v>346</v>
      </c>
      <c r="F363" s="84"/>
      <c r="G363" s="94">
        <f t="shared" si="44"/>
        <v>1</v>
      </c>
      <c r="H363" s="84">
        <v>35</v>
      </c>
      <c r="I363" s="84">
        <f t="shared" si="45"/>
        <v>12110</v>
      </c>
      <c r="J363" s="105">
        <f t="shared" si="46"/>
        <v>3.5751489067233043E-3</v>
      </c>
      <c r="K363">
        <f t="shared" si="47"/>
        <v>12110</v>
      </c>
      <c r="L363"/>
      <c r="M363"/>
      <c r="N363"/>
      <c r="O363"/>
      <c r="P363"/>
      <c r="Q363"/>
      <c r="R363"/>
      <c r="S363"/>
      <c r="T363"/>
    </row>
    <row r="364" spans="1:20" outlineLevel="4" x14ac:dyDescent="0.3">
      <c r="A364" s="82" t="s">
        <v>1104</v>
      </c>
      <c r="B364" s="10" t="s">
        <v>1105</v>
      </c>
      <c r="C364" s="60" t="s">
        <v>1072</v>
      </c>
      <c r="D364" s="44" t="s">
        <v>141</v>
      </c>
      <c r="E364" s="84">
        <v>79</v>
      </c>
      <c r="F364" s="84"/>
      <c r="G364" s="94">
        <f t="shared" si="44"/>
        <v>1</v>
      </c>
      <c r="H364" s="84">
        <v>230</v>
      </c>
      <c r="I364" s="84">
        <f t="shared" si="45"/>
        <v>18170</v>
      </c>
      <c r="J364" s="105">
        <f t="shared" si="46"/>
        <v>5.364199474414735E-3</v>
      </c>
      <c r="K364">
        <f t="shared" si="47"/>
        <v>18170</v>
      </c>
      <c r="L364"/>
      <c r="M364"/>
      <c r="N364"/>
      <c r="O364"/>
      <c r="P364"/>
      <c r="Q364"/>
      <c r="R364"/>
      <c r="S364"/>
      <c r="T364"/>
    </row>
    <row r="365" spans="1:20" outlineLevel="4" x14ac:dyDescent="0.3">
      <c r="A365" s="82" t="s">
        <v>1106</v>
      </c>
      <c r="B365" s="10" t="s">
        <v>1107</v>
      </c>
      <c r="C365" s="60" t="s">
        <v>1078</v>
      </c>
      <c r="D365" s="44" t="s">
        <v>1079</v>
      </c>
      <c r="E365" s="84">
        <v>5892</v>
      </c>
      <c r="F365" s="84"/>
      <c r="G365" s="94">
        <f t="shared" si="44"/>
        <v>1</v>
      </c>
      <c r="H365" s="84">
        <v>1.6</v>
      </c>
      <c r="I365" s="84">
        <f t="shared" si="45"/>
        <v>9427.2000000000007</v>
      </c>
      <c r="J365" s="105">
        <f t="shared" si="46"/>
        <v>2.7831250019374016E-3</v>
      </c>
      <c r="K365">
        <f t="shared" si="47"/>
        <v>9427.2000000000007</v>
      </c>
      <c r="L365"/>
      <c r="M365"/>
      <c r="N365"/>
      <c r="O365"/>
      <c r="P365"/>
      <c r="Q365"/>
      <c r="R365"/>
      <c r="S365"/>
      <c r="T365"/>
    </row>
    <row r="366" spans="1:20" outlineLevel="4" x14ac:dyDescent="0.3">
      <c r="A366" s="82" t="s">
        <v>1108</v>
      </c>
      <c r="B366" s="10" t="s">
        <v>1109</v>
      </c>
      <c r="C366" s="60" t="s">
        <v>1082</v>
      </c>
      <c r="D366" s="44" t="s">
        <v>154</v>
      </c>
      <c r="E366" s="84">
        <v>339</v>
      </c>
      <c r="F366" s="84"/>
      <c r="G366" s="94">
        <f t="shared" si="44"/>
        <v>1</v>
      </c>
      <c r="H366" s="84">
        <v>12</v>
      </c>
      <c r="I366" s="84">
        <f t="shared" si="45"/>
        <v>4068</v>
      </c>
      <c r="J366" s="105">
        <f t="shared" si="46"/>
        <v>1.2009666187077128E-3</v>
      </c>
      <c r="K366">
        <f t="shared" si="47"/>
        <v>4068</v>
      </c>
      <c r="L366"/>
      <c r="M366"/>
      <c r="N366"/>
      <c r="O366"/>
      <c r="P366"/>
      <c r="Q366"/>
      <c r="R366"/>
      <c r="S366"/>
      <c r="T366"/>
    </row>
    <row r="367" spans="1:20" outlineLevel="4" x14ac:dyDescent="0.3">
      <c r="A367" s="82" t="s">
        <v>1110</v>
      </c>
      <c r="B367" s="10" t="s">
        <v>1111</v>
      </c>
      <c r="C367" s="60" t="s">
        <v>1085</v>
      </c>
      <c r="D367" s="44" t="s">
        <v>154</v>
      </c>
      <c r="E367" s="84">
        <v>50</v>
      </c>
      <c r="F367" s="84"/>
      <c r="G367" s="94">
        <f t="shared" si="44"/>
        <v>1</v>
      </c>
      <c r="H367" s="84">
        <v>9.1999999999999993</v>
      </c>
      <c r="I367" s="84">
        <f t="shared" si="45"/>
        <v>460</v>
      </c>
      <c r="J367" s="105">
        <f t="shared" si="46"/>
        <v>1.3580251833961353E-4</v>
      </c>
      <c r="K367">
        <f t="shared" si="47"/>
        <v>460</v>
      </c>
      <c r="L367"/>
      <c r="M367"/>
      <c r="N367"/>
      <c r="O367"/>
      <c r="P367"/>
      <c r="Q367"/>
      <c r="R367"/>
      <c r="S367"/>
      <c r="T367"/>
    </row>
    <row r="368" spans="1:20" outlineLevel="4" x14ac:dyDescent="0.3">
      <c r="A368" s="82" t="s">
        <v>1112</v>
      </c>
      <c r="B368" s="10" t="s">
        <v>1113</v>
      </c>
      <c r="C368" s="60" t="s">
        <v>1114</v>
      </c>
      <c r="D368" s="44" t="s">
        <v>154</v>
      </c>
      <c r="E368" s="84">
        <v>358</v>
      </c>
      <c r="F368" s="84"/>
      <c r="G368" s="94">
        <f t="shared" si="44"/>
        <v>1</v>
      </c>
      <c r="H368" s="84">
        <v>100</v>
      </c>
      <c r="I368" s="84">
        <f t="shared" si="45"/>
        <v>35800</v>
      </c>
      <c r="J368" s="105">
        <f t="shared" si="46"/>
        <v>1.0568978601213402E-2</v>
      </c>
      <c r="K368">
        <f t="shared" si="47"/>
        <v>35800</v>
      </c>
      <c r="L368"/>
      <c r="M368"/>
      <c r="N368"/>
      <c r="O368"/>
      <c r="P368"/>
      <c r="Q368"/>
      <c r="R368"/>
      <c r="S368"/>
      <c r="T368"/>
    </row>
    <row r="369" spans="1:20" outlineLevel="3" x14ac:dyDescent="0.3">
      <c r="A369" s="82" t="s">
        <v>1115</v>
      </c>
      <c r="B369" s="58" t="s">
        <v>1116</v>
      </c>
      <c r="C369" s="61" t="s">
        <v>1117</v>
      </c>
      <c r="D369" s="115"/>
      <c r="E369" s="87"/>
      <c r="F369" s="87"/>
      <c r="G369" s="97"/>
      <c r="H369" s="87" t="s">
        <v>60</v>
      </c>
      <c r="I369" s="104">
        <f>SUBTOTAL(9,K370:K371)</f>
        <v>30368</v>
      </c>
      <c r="J369" s="108"/>
      <c r="K369"/>
      <c r="L369"/>
      <c r="M369"/>
      <c r="N369"/>
      <c r="O369"/>
      <c r="P369"/>
      <c r="Q369"/>
      <c r="R369"/>
      <c r="S369"/>
      <c r="T369"/>
    </row>
    <row r="370" spans="1:20" outlineLevel="4" x14ac:dyDescent="0.3">
      <c r="A370" s="82" t="s">
        <v>1118</v>
      </c>
      <c r="B370" s="10" t="s">
        <v>1119</v>
      </c>
      <c r="C370" s="60" t="s">
        <v>1120</v>
      </c>
      <c r="D370" s="44" t="s">
        <v>154</v>
      </c>
      <c r="E370" s="84">
        <v>567</v>
      </c>
      <c r="F370" s="84"/>
      <c r="G370" s="94">
        <f>cell_CoefGeneral</f>
        <v>1</v>
      </c>
      <c r="H370" s="84">
        <v>52</v>
      </c>
      <c r="I370" s="84">
        <f>IFERROR(ROUND(E370*H370,2),"-")</f>
        <v>29484</v>
      </c>
      <c r="J370" s="105">
        <f>IFERROR(I370/cell_Total_HT,"-")</f>
        <v>8.7043509798373168E-3</v>
      </c>
      <c r="K370">
        <f>I370</f>
        <v>29484</v>
      </c>
      <c r="L370"/>
      <c r="M370"/>
      <c r="N370"/>
      <c r="O370"/>
      <c r="P370"/>
      <c r="Q370"/>
      <c r="R370"/>
      <c r="S370"/>
      <c r="T370"/>
    </row>
    <row r="371" spans="1:20" ht="15" outlineLevel="4" thickBot="1" x14ac:dyDescent="0.35">
      <c r="A371" s="82" t="s">
        <v>1121</v>
      </c>
      <c r="B371" s="10" t="s">
        <v>1122</v>
      </c>
      <c r="C371" s="60" t="s">
        <v>1123</v>
      </c>
      <c r="D371" s="44" t="s">
        <v>154</v>
      </c>
      <c r="E371" s="84">
        <v>17</v>
      </c>
      <c r="F371" s="84"/>
      <c r="G371" s="94">
        <f>cell_CoefGeneral</f>
        <v>1</v>
      </c>
      <c r="H371" s="84">
        <v>52</v>
      </c>
      <c r="I371" s="84">
        <f>IFERROR(ROUND(E371*H371,2),"-")</f>
        <v>884</v>
      </c>
      <c r="J371" s="105">
        <f>IFERROR(I371/cell_Total_HT,"-")</f>
        <v>2.6097701350482255E-4</v>
      </c>
      <c r="K371">
        <f>I371</f>
        <v>884</v>
      </c>
      <c r="L371"/>
      <c r="M371"/>
      <c r="N371"/>
      <c r="O371"/>
      <c r="P371"/>
      <c r="Q371"/>
      <c r="R371"/>
      <c r="S371"/>
      <c r="T371"/>
    </row>
    <row r="372" spans="1:20" ht="15" outlineLevel="2" thickTop="1" x14ac:dyDescent="0.3">
      <c r="A372" s="82" t="s">
        <v>1124</v>
      </c>
      <c r="B372" s="62" t="s">
        <v>60</v>
      </c>
      <c r="C372" s="63" t="s">
        <v>1125</v>
      </c>
      <c r="D372" s="116"/>
      <c r="E372" s="88"/>
      <c r="F372" s="88"/>
      <c r="G372" s="98"/>
      <c r="H372" s="88"/>
      <c r="I372" s="88">
        <f>SUBTOTAL(9,I343:I371)</f>
        <v>277405.40000000002</v>
      </c>
      <c r="J372" s="109"/>
      <c r="K372"/>
      <c r="L372"/>
      <c r="M372"/>
      <c r="N372"/>
      <c r="O372"/>
      <c r="P372"/>
      <c r="Q372"/>
      <c r="R372"/>
      <c r="S372"/>
      <c r="T372"/>
    </row>
    <row r="373" spans="1:20" outlineLevel="2" x14ac:dyDescent="0.3">
      <c r="A373" s="82" t="s">
        <v>1126</v>
      </c>
      <c r="B373" s="64" t="s">
        <v>1127</v>
      </c>
      <c r="C373" s="65" t="s">
        <v>1128</v>
      </c>
      <c r="D373" s="117"/>
      <c r="E373" s="87"/>
      <c r="F373" s="87"/>
      <c r="G373" s="97"/>
      <c r="H373" s="87"/>
      <c r="I373" s="104">
        <f>SUBTOTAL(9,K374:K383)</f>
        <v>123400</v>
      </c>
      <c r="J373" s="108"/>
      <c r="K373"/>
      <c r="L373"/>
      <c r="M373"/>
      <c r="N373"/>
      <c r="O373"/>
      <c r="P373"/>
      <c r="Q373"/>
      <c r="R373"/>
      <c r="S373"/>
      <c r="T373"/>
    </row>
    <row r="374" spans="1:20" outlineLevel="3" x14ac:dyDescent="0.3">
      <c r="A374" s="82" t="s">
        <v>1129</v>
      </c>
      <c r="B374" s="64" t="s">
        <v>1130</v>
      </c>
      <c r="C374" s="66" t="s">
        <v>1131</v>
      </c>
      <c r="D374" s="117"/>
      <c r="E374" s="87"/>
      <c r="F374" s="87"/>
      <c r="G374" s="97"/>
      <c r="H374" s="87"/>
      <c r="I374" s="104">
        <f>SUBTOTAL(9,K375:K383)</f>
        <v>123400</v>
      </c>
      <c r="J374" s="108"/>
      <c r="K374"/>
      <c r="L374"/>
      <c r="M374"/>
      <c r="N374"/>
      <c r="O374"/>
      <c r="P374"/>
      <c r="Q374"/>
      <c r="R374"/>
      <c r="S374"/>
      <c r="T374"/>
    </row>
    <row r="375" spans="1:20" outlineLevel="4" x14ac:dyDescent="0.3">
      <c r="A375" s="82" t="s">
        <v>1132</v>
      </c>
      <c r="B375" s="10" t="s">
        <v>1133</v>
      </c>
      <c r="C375" s="60" t="s">
        <v>1134</v>
      </c>
      <c r="D375" s="44" t="s">
        <v>121</v>
      </c>
      <c r="E375" s="84">
        <v>0</v>
      </c>
      <c r="F375" s="84"/>
      <c r="G375" s="94">
        <f t="shared" ref="G375:G383" si="48">cell_CoefGeneral</f>
        <v>1</v>
      </c>
      <c r="H375" s="84">
        <v>100</v>
      </c>
      <c r="I375" s="84">
        <f t="shared" ref="I375:I383" si="49">IFERROR(ROUND(E375*H375,2),"-")</f>
        <v>0</v>
      </c>
      <c r="J375" s="105">
        <f t="shared" ref="J375:J383" si="50">IFERROR(I375/cell_Total_HT,"-")</f>
        <v>0</v>
      </c>
      <c r="K375">
        <f t="shared" ref="K375:K383" si="51">I375</f>
        <v>0</v>
      </c>
      <c r="L375"/>
      <c r="M375"/>
      <c r="N375"/>
      <c r="O375"/>
      <c r="P375"/>
      <c r="Q375"/>
      <c r="R375"/>
      <c r="S375"/>
      <c r="T375"/>
    </row>
    <row r="376" spans="1:20" outlineLevel="4" x14ac:dyDescent="0.3">
      <c r="A376" s="82" t="s">
        <v>1135</v>
      </c>
      <c r="B376" s="10" t="s">
        <v>1136</v>
      </c>
      <c r="C376" s="60" t="s">
        <v>1137</v>
      </c>
      <c r="D376" s="44" t="s">
        <v>121</v>
      </c>
      <c r="E376" s="84">
        <v>0</v>
      </c>
      <c r="F376" s="84"/>
      <c r="G376" s="94">
        <f t="shared" si="48"/>
        <v>1</v>
      </c>
      <c r="H376" s="84">
        <v>120</v>
      </c>
      <c r="I376" s="84">
        <f t="shared" si="49"/>
        <v>0</v>
      </c>
      <c r="J376" s="105">
        <f t="shared" si="50"/>
        <v>0</v>
      </c>
      <c r="K376">
        <f t="shared" si="51"/>
        <v>0</v>
      </c>
      <c r="L376"/>
      <c r="M376"/>
      <c r="N376"/>
      <c r="O376"/>
      <c r="P376"/>
      <c r="Q376"/>
      <c r="R376"/>
      <c r="S376"/>
      <c r="T376"/>
    </row>
    <row r="377" spans="1:20" outlineLevel="4" x14ac:dyDescent="0.3">
      <c r="A377" s="82" t="s">
        <v>1138</v>
      </c>
      <c r="B377" s="10" t="s">
        <v>1139</v>
      </c>
      <c r="C377" s="60" t="s">
        <v>1140</v>
      </c>
      <c r="D377" s="44" t="s">
        <v>121</v>
      </c>
      <c r="E377" s="84">
        <v>20</v>
      </c>
      <c r="F377" s="84"/>
      <c r="G377" s="94">
        <f t="shared" si="48"/>
        <v>1</v>
      </c>
      <c r="H377" s="84">
        <v>300</v>
      </c>
      <c r="I377" s="84">
        <f t="shared" si="49"/>
        <v>6000</v>
      </c>
      <c r="J377" s="105">
        <f t="shared" si="50"/>
        <v>1.7713371957340895E-3</v>
      </c>
      <c r="K377">
        <f t="shared" si="51"/>
        <v>6000</v>
      </c>
      <c r="L377"/>
      <c r="M377"/>
      <c r="N377"/>
      <c r="O377"/>
      <c r="P377"/>
      <c r="Q377"/>
      <c r="R377"/>
      <c r="S377"/>
      <c r="T377"/>
    </row>
    <row r="378" spans="1:20" outlineLevel="4" x14ac:dyDescent="0.3">
      <c r="A378" s="82" t="s">
        <v>1141</v>
      </c>
      <c r="B378" s="10" t="s">
        <v>1142</v>
      </c>
      <c r="C378" s="60" t="s">
        <v>1143</v>
      </c>
      <c r="D378" s="44" t="s">
        <v>121</v>
      </c>
      <c r="E378" s="84">
        <v>18</v>
      </c>
      <c r="F378" s="84"/>
      <c r="G378" s="94">
        <f t="shared" si="48"/>
        <v>1</v>
      </c>
      <c r="H378" s="84">
        <v>450</v>
      </c>
      <c r="I378" s="84">
        <f t="shared" si="49"/>
        <v>8100</v>
      </c>
      <c r="J378" s="105">
        <f t="shared" si="50"/>
        <v>2.391305214241021E-3</v>
      </c>
      <c r="K378">
        <f t="shared" si="51"/>
        <v>8100</v>
      </c>
      <c r="L378"/>
      <c r="M378"/>
      <c r="N378"/>
      <c r="O378"/>
      <c r="P378"/>
      <c r="Q378"/>
      <c r="R378"/>
      <c r="S378"/>
      <c r="T378"/>
    </row>
    <row r="379" spans="1:20" outlineLevel="4" x14ac:dyDescent="0.3">
      <c r="A379" s="82" t="s">
        <v>1144</v>
      </c>
      <c r="B379" s="10" t="s">
        <v>1145</v>
      </c>
      <c r="C379" s="60" t="s">
        <v>1146</v>
      </c>
      <c r="D379" s="44" t="s">
        <v>121</v>
      </c>
      <c r="E379" s="84">
        <v>17</v>
      </c>
      <c r="F379" s="84"/>
      <c r="G379" s="94">
        <f t="shared" si="48"/>
        <v>1</v>
      </c>
      <c r="H379" s="84">
        <v>200</v>
      </c>
      <c r="I379" s="84">
        <f t="shared" si="49"/>
        <v>3400</v>
      </c>
      <c r="J379" s="105">
        <f t="shared" si="50"/>
        <v>1.0037577442493174E-3</v>
      </c>
      <c r="K379">
        <f t="shared" si="51"/>
        <v>3400</v>
      </c>
      <c r="L379"/>
      <c r="M379"/>
      <c r="N379"/>
      <c r="O379"/>
      <c r="P379"/>
      <c r="Q379"/>
      <c r="R379"/>
      <c r="S379"/>
      <c r="T379"/>
    </row>
    <row r="380" spans="1:20" outlineLevel="4" x14ac:dyDescent="0.3">
      <c r="A380" s="82" t="s">
        <v>1147</v>
      </c>
      <c r="B380" s="10" t="s">
        <v>1148</v>
      </c>
      <c r="C380" s="60" t="s">
        <v>1149</v>
      </c>
      <c r="D380" s="44" t="s">
        <v>93</v>
      </c>
      <c r="E380" s="84">
        <v>3</v>
      </c>
      <c r="F380" s="84"/>
      <c r="G380" s="94">
        <f t="shared" si="48"/>
        <v>1</v>
      </c>
      <c r="H380" s="84">
        <v>5300</v>
      </c>
      <c r="I380" s="84">
        <f t="shared" si="49"/>
        <v>15900</v>
      </c>
      <c r="J380" s="105">
        <f t="shared" si="50"/>
        <v>4.6940435686953375E-3</v>
      </c>
      <c r="K380">
        <f t="shared" si="51"/>
        <v>15900</v>
      </c>
      <c r="L380"/>
      <c r="M380"/>
      <c r="N380"/>
      <c r="O380"/>
      <c r="P380"/>
      <c r="Q380"/>
      <c r="R380"/>
      <c r="S380"/>
      <c r="T380"/>
    </row>
    <row r="381" spans="1:20" outlineLevel="4" x14ac:dyDescent="0.3">
      <c r="A381" s="82" t="s">
        <v>1150</v>
      </c>
      <c r="B381" s="10" t="s">
        <v>1151</v>
      </c>
      <c r="C381" s="60" t="s">
        <v>1152</v>
      </c>
      <c r="D381" s="44" t="s">
        <v>121</v>
      </c>
      <c r="E381" s="84">
        <v>18</v>
      </c>
      <c r="F381" s="84"/>
      <c r="G381" s="94">
        <f t="shared" si="48"/>
        <v>1</v>
      </c>
      <c r="H381" s="84">
        <v>200</v>
      </c>
      <c r="I381" s="84">
        <f t="shared" si="49"/>
        <v>3600</v>
      </c>
      <c r="J381" s="105">
        <f t="shared" si="50"/>
        <v>1.0628023174404538E-3</v>
      </c>
      <c r="K381">
        <f t="shared" si="51"/>
        <v>3600</v>
      </c>
      <c r="L381"/>
      <c r="M381"/>
      <c r="N381"/>
      <c r="O381"/>
      <c r="P381"/>
      <c r="Q381"/>
      <c r="R381"/>
      <c r="S381"/>
      <c r="T381"/>
    </row>
    <row r="382" spans="1:20" outlineLevel="4" x14ac:dyDescent="0.3">
      <c r="A382" s="82" t="s">
        <v>1153</v>
      </c>
      <c r="B382" s="10" t="s">
        <v>1154</v>
      </c>
      <c r="C382" s="60" t="s">
        <v>1155</v>
      </c>
      <c r="D382" s="44" t="s">
        <v>93</v>
      </c>
      <c r="E382" s="84">
        <v>9</v>
      </c>
      <c r="F382" s="84"/>
      <c r="G382" s="94">
        <f t="shared" si="48"/>
        <v>1</v>
      </c>
      <c r="H382" s="84">
        <v>2200</v>
      </c>
      <c r="I382" s="84">
        <f t="shared" si="49"/>
        <v>19800</v>
      </c>
      <c r="J382" s="105">
        <f t="shared" si="50"/>
        <v>5.845412745922496E-3</v>
      </c>
      <c r="K382">
        <f t="shared" si="51"/>
        <v>19800</v>
      </c>
      <c r="L382"/>
      <c r="M382"/>
      <c r="N382"/>
      <c r="O382"/>
      <c r="P382"/>
      <c r="Q382"/>
      <c r="R382"/>
      <c r="S382"/>
      <c r="T382"/>
    </row>
    <row r="383" spans="1:20" ht="15" outlineLevel="4" thickBot="1" x14ac:dyDescent="0.35">
      <c r="A383" s="82" t="s">
        <v>1156</v>
      </c>
      <c r="B383" s="10" t="s">
        <v>1157</v>
      </c>
      <c r="C383" s="60" t="s">
        <v>1158</v>
      </c>
      <c r="D383" s="44" t="s">
        <v>93</v>
      </c>
      <c r="E383" s="84">
        <v>9</v>
      </c>
      <c r="F383" s="84"/>
      <c r="G383" s="94">
        <f t="shared" si="48"/>
        <v>1</v>
      </c>
      <c r="H383" s="84">
        <v>7400</v>
      </c>
      <c r="I383" s="84">
        <f t="shared" si="49"/>
        <v>66600</v>
      </c>
      <c r="J383" s="105">
        <f t="shared" si="50"/>
        <v>1.9661842872648393E-2</v>
      </c>
      <c r="K383">
        <f t="shared" si="51"/>
        <v>66600</v>
      </c>
      <c r="L383"/>
      <c r="M383"/>
      <c r="N383"/>
      <c r="O383"/>
      <c r="P383"/>
      <c r="Q383"/>
      <c r="R383"/>
      <c r="S383"/>
      <c r="T383"/>
    </row>
    <row r="384" spans="1:20" ht="15" outlineLevel="2" thickTop="1" x14ac:dyDescent="0.3">
      <c r="A384" s="82" t="s">
        <v>1159</v>
      </c>
      <c r="B384" s="62" t="s">
        <v>60</v>
      </c>
      <c r="C384" s="63" t="s">
        <v>1160</v>
      </c>
      <c r="D384" s="116"/>
      <c r="E384" s="88"/>
      <c r="F384" s="88"/>
      <c r="G384" s="98"/>
      <c r="H384" s="88"/>
      <c r="I384" s="88">
        <f>SUBTOTAL(9,I375:I383)</f>
        <v>123400</v>
      </c>
      <c r="J384" s="109"/>
      <c r="K384"/>
      <c r="L384"/>
      <c r="M384"/>
      <c r="N384"/>
      <c r="O384"/>
      <c r="P384"/>
      <c r="Q384"/>
      <c r="R384"/>
      <c r="S384"/>
      <c r="T384"/>
    </row>
    <row r="385" spans="1:20" outlineLevel="1" x14ac:dyDescent="0.3">
      <c r="A385" s="82" t="s">
        <v>1161</v>
      </c>
      <c r="B385" s="67" t="s">
        <v>60</v>
      </c>
      <c r="C385" s="68" t="s">
        <v>1162</v>
      </c>
      <c r="D385" s="118"/>
      <c r="E385" s="89"/>
      <c r="F385" s="89"/>
      <c r="G385" s="99"/>
      <c r="H385" s="89"/>
      <c r="I385" s="89">
        <f>ROUND(I22+I62+I84+I140+I167+I183+I197+I227+I252+I267+I292+I300+I309+I341+I372+I384,2)</f>
        <v>1900449.8</v>
      </c>
      <c r="J385" s="110"/>
      <c r="K385"/>
      <c r="L385"/>
      <c r="M385"/>
      <c r="N385"/>
      <c r="O385"/>
      <c r="P385"/>
      <c r="Q385"/>
      <c r="R385"/>
      <c r="S385"/>
      <c r="T385"/>
    </row>
    <row r="386" spans="1:20" ht="15" outlineLevel="1" thickBot="1" x14ac:dyDescent="0.35">
      <c r="A386" s="82" t="s">
        <v>1163</v>
      </c>
      <c r="B386" s="69" t="s">
        <v>60</v>
      </c>
      <c r="C386" s="70" t="s">
        <v>1164</v>
      </c>
      <c r="D386" s="119"/>
      <c r="E386" s="86"/>
      <c r="F386" s="86"/>
      <c r="G386" s="96"/>
      <c r="H386" s="86"/>
      <c r="I386" s="103">
        <f>SUBTOTAL(9,K387:K762)</f>
        <v>824887.8</v>
      </c>
      <c r="J386" s="107"/>
      <c r="K386"/>
      <c r="L386"/>
      <c r="M386"/>
      <c r="N386"/>
      <c r="O386"/>
      <c r="P386"/>
      <c r="Q386"/>
      <c r="R386"/>
      <c r="S386"/>
      <c r="T386"/>
    </row>
    <row r="387" spans="1:20" outlineLevel="2" x14ac:dyDescent="0.3">
      <c r="A387" s="82" t="s">
        <v>1165</v>
      </c>
      <c r="B387" s="64" t="s">
        <v>65</v>
      </c>
      <c r="C387" s="65" t="s">
        <v>66</v>
      </c>
      <c r="D387" s="117"/>
      <c r="E387" s="87"/>
      <c r="F387" s="87"/>
      <c r="G387" s="97"/>
      <c r="H387" s="87"/>
      <c r="I387" s="104">
        <f>SUBTOTAL(9,K388:K400)</f>
        <v>0</v>
      </c>
      <c r="J387" s="108"/>
      <c r="K387"/>
      <c r="L387"/>
      <c r="M387"/>
      <c r="N387"/>
      <c r="O387"/>
      <c r="P387"/>
      <c r="Q387"/>
      <c r="R387"/>
      <c r="S387"/>
      <c r="T387"/>
    </row>
    <row r="388" spans="1:20" outlineLevel="3" x14ac:dyDescent="0.3">
      <c r="A388" s="82" t="s">
        <v>1166</v>
      </c>
      <c r="B388" s="10" t="s">
        <v>68</v>
      </c>
      <c r="C388" s="60" t="s">
        <v>69</v>
      </c>
      <c r="D388" s="44" t="s">
        <v>70</v>
      </c>
      <c r="E388" s="84">
        <v>0</v>
      </c>
      <c r="F388" s="84"/>
      <c r="G388" s="94">
        <f>cell_CoefGeneral</f>
        <v>1</v>
      </c>
      <c r="H388" s="93">
        <f>H9</f>
        <v>5700</v>
      </c>
      <c r="I388" s="84">
        <f>IFERROR(ROUND(E388*H388,2),"-")</f>
        <v>0</v>
      </c>
      <c r="J388" s="105">
        <f>IFERROR(I388/cell_Total_HT,"-")</f>
        <v>0</v>
      </c>
      <c r="K388">
        <f>I388</f>
        <v>0</v>
      </c>
      <c r="L388"/>
      <c r="M388"/>
      <c r="N388"/>
      <c r="O388"/>
      <c r="P388"/>
      <c r="Q388"/>
      <c r="R388"/>
      <c r="S388"/>
      <c r="T388"/>
    </row>
    <row r="389" spans="1:20" outlineLevel="3" x14ac:dyDescent="0.3">
      <c r="A389" s="82" t="s">
        <v>1167</v>
      </c>
      <c r="B389" s="10" t="s">
        <v>72</v>
      </c>
      <c r="C389" s="60" t="s">
        <v>73</v>
      </c>
      <c r="D389" s="44" t="s">
        <v>70</v>
      </c>
      <c r="E389" s="84">
        <v>0</v>
      </c>
      <c r="F389" s="84"/>
      <c r="G389" s="94">
        <f>cell_CoefGeneral</f>
        <v>1</v>
      </c>
      <c r="H389" s="93">
        <f>H10</f>
        <v>780</v>
      </c>
      <c r="I389" s="84">
        <f>IFERROR(ROUND(E389*H389,2),"-")</f>
        <v>0</v>
      </c>
      <c r="J389" s="105">
        <f>IFERROR(I389/cell_Total_HT,"-")</f>
        <v>0</v>
      </c>
      <c r="K389">
        <f>I389</f>
        <v>0</v>
      </c>
      <c r="L389"/>
      <c r="M389"/>
      <c r="N389"/>
      <c r="O389"/>
      <c r="P389"/>
      <c r="Q389"/>
      <c r="R389"/>
      <c r="S389"/>
      <c r="T389"/>
    </row>
    <row r="390" spans="1:20" outlineLevel="3" x14ac:dyDescent="0.3">
      <c r="A390" s="82" t="s">
        <v>1168</v>
      </c>
      <c r="B390" s="58" t="s">
        <v>75</v>
      </c>
      <c r="C390" s="61" t="s">
        <v>76</v>
      </c>
      <c r="D390" s="115"/>
      <c r="E390" s="87"/>
      <c r="F390" s="87"/>
      <c r="G390" s="97"/>
      <c r="H390" s="87"/>
      <c r="I390" s="104">
        <f>SUBTOTAL(9,K391:K394)</f>
        <v>0</v>
      </c>
      <c r="J390" s="108"/>
      <c r="K390"/>
      <c r="L390"/>
      <c r="M390"/>
      <c r="N390"/>
      <c r="O390"/>
      <c r="P390"/>
      <c r="Q390"/>
      <c r="R390"/>
      <c r="S390"/>
      <c r="T390"/>
    </row>
    <row r="391" spans="1:20" outlineLevel="4" x14ac:dyDescent="0.3">
      <c r="A391" s="82" t="s">
        <v>1169</v>
      </c>
      <c r="B391" s="10" t="s">
        <v>78</v>
      </c>
      <c r="C391" s="60" t="s">
        <v>79</v>
      </c>
      <c r="D391" s="44" t="s">
        <v>80</v>
      </c>
      <c r="E391" s="84">
        <v>0</v>
      </c>
      <c r="F391" s="84"/>
      <c r="G391" s="94">
        <f t="shared" ref="G391:G400" si="52">cell_CoefGeneral</f>
        <v>1</v>
      </c>
      <c r="H391" s="93">
        <f t="shared" ref="H391:H400" si="53">H12</f>
        <v>48</v>
      </c>
      <c r="I391" s="84">
        <f t="shared" ref="I391:I400" si="54">IFERROR(ROUND(E391*H391,2),"-")</f>
        <v>0</v>
      </c>
      <c r="J391" s="105">
        <f t="shared" ref="J391:J400" si="55">IFERROR(I391/cell_Total_HT,"-")</f>
        <v>0</v>
      </c>
      <c r="K391">
        <f t="shared" ref="K391:K400" si="56">I391</f>
        <v>0</v>
      </c>
      <c r="L391"/>
      <c r="M391"/>
      <c r="N391"/>
      <c r="O391"/>
      <c r="P391"/>
      <c r="Q391"/>
      <c r="R391"/>
      <c r="S391"/>
      <c r="T391"/>
    </row>
    <row r="392" spans="1:20" outlineLevel="4" x14ac:dyDescent="0.3">
      <c r="A392" s="82" t="s">
        <v>1170</v>
      </c>
      <c r="B392" s="10" t="s">
        <v>82</v>
      </c>
      <c r="C392" s="60" t="s">
        <v>83</v>
      </c>
      <c r="D392" s="44" t="s">
        <v>80</v>
      </c>
      <c r="E392" s="84">
        <v>0</v>
      </c>
      <c r="F392" s="84"/>
      <c r="G392" s="94">
        <f t="shared" si="52"/>
        <v>1</v>
      </c>
      <c r="H392" s="93">
        <f t="shared" si="53"/>
        <v>11</v>
      </c>
      <c r="I392" s="84">
        <f t="shared" si="54"/>
        <v>0</v>
      </c>
      <c r="J392" s="105">
        <f t="shared" si="55"/>
        <v>0</v>
      </c>
      <c r="K392">
        <f t="shared" si="56"/>
        <v>0</v>
      </c>
      <c r="L392"/>
      <c r="M392"/>
      <c r="N392"/>
      <c r="O392"/>
      <c r="P392"/>
      <c r="Q392"/>
      <c r="R392"/>
      <c r="S392"/>
      <c r="T392"/>
    </row>
    <row r="393" spans="1:20" outlineLevel="4" x14ac:dyDescent="0.3">
      <c r="A393" s="82" t="s">
        <v>1171</v>
      </c>
      <c r="B393" s="10" t="s">
        <v>85</v>
      </c>
      <c r="C393" s="60" t="s">
        <v>86</v>
      </c>
      <c r="D393" s="44" t="s">
        <v>80</v>
      </c>
      <c r="E393" s="84">
        <v>0</v>
      </c>
      <c r="F393" s="84"/>
      <c r="G393" s="94">
        <f t="shared" si="52"/>
        <v>1</v>
      </c>
      <c r="H393" s="93">
        <f t="shared" si="53"/>
        <v>67</v>
      </c>
      <c r="I393" s="84">
        <f t="shared" si="54"/>
        <v>0</v>
      </c>
      <c r="J393" s="105">
        <f t="shared" si="55"/>
        <v>0</v>
      </c>
      <c r="K393">
        <f t="shared" si="56"/>
        <v>0</v>
      </c>
      <c r="L393"/>
      <c r="M393"/>
      <c r="N393"/>
      <c r="O393"/>
      <c r="P393"/>
      <c r="Q393"/>
      <c r="R393"/>
      <c r="S393"/>
      <c r="T393"/>
    </row>
    <row r="394" spans="1:20" outlineLevel="4" x14ac:dyDescent="0.3">
      <c r="A394" s="82" t="s">
        <v>1172</v>
      </c>
      <c r="B394" s="10" t="s">
        <v>88</v>
      </c>
      <c r="C394" s="60" t="s">
        <v>89</v>
      </c>
      <c r="D394" s="44" t="s">
        <v>80</v>
      </c>
      <c r="E394" s="84">
        <v>0</v>
      </c>
      <c r="F394" s="84"/>
      <c r="G394" s="94">
        <f t="shared" si="52"/>
        <v>1</v>
      </c>
      <c r="H394" s="93">
        <f t="shared" si="53"/>
        <v>11</v>
      </c>
      <c r="I394" s="84">
        <f t="shared" si="54"/>
        <v>0</v>
      </c>
      <c r="J394" s="105">
        <f t="shared" si="55"/>
        <v>0</v>
      </c>
      <c r="K394">
        <f t="shared" si="56"/>
        <v>0</v>
      </c>
      <c r="L394"/>
      <c r="M394"/>
      <c r="N394"/>
      <c r="O394"/>
      <c r="P394"/>
      <c r="Q394"/>
      <c r="R394"/>
      <c r="S394"/>
      <c r="T394"/>
    </row>
    <row r="395" spans="1:20" outlineLevel="3" x14ac:dyDescent="0.3">
      <c r="A395" s="82" t="s">
        <v>1173</v>
      </c>
      <c r="B395" s="10" t="s">
        <v>91</v>
      </c>
      <c r="C395" s="60" t="s">
        <v>92</v>
      </c>
      <c r="D395" s="44" t="s">
        <v>93</v>
      </c>
      <c r="E395" s="84">
        <v>0</v>
      </c>
      <c r="F395" s="84"/>
      <c r="G395" s="94">
        <f t="shared" si="52"/>
        <v>1</v>
      </c>
      <c r="H395" s="93">
        <f t="shared" si="53"/>
        <v>52000</v>
      </c>
      <c r="I395" s="84">
        <f t="shared" si="54"/>
        <v>0</v>
      </c>
      <c r="J395" s="105">
        <f t="shared" si="55"/>
        <v>0</v>
      </c>
      <c r="K395">
        <f t="shared" si="56"/>
        <v>0</v>
      </c>
      <c r="L395"/>
      <c r="M395"/>
      <c r="N395"/>
      <c r="O395"/>
      <c r="P395"/>
      <c r="Q395"/>
      <c r="R395"/>
      <c r="S395"/>
      <c r="T395"/>
    </row>
    <row r="396" spans="1:20" outlineLevel="3" x14ac:dyDescent="0.3">
      <c r="A396" s="82" t="s">
        <v>1174</v>
      </c>
      <c r="B396" s="10" t="s">
        <v>95</v>
      </c>
      <c r="C396" s="60" t="s">
        <v>96</v>
      </c>
      <c r="D396" s="44" t="s">
        <v>93</v>
      </c>
      <c r="E396" s="84">
        <v>0</v>
      </c>
      <c r="F396" s="84"/>
      <c r="G396" s="94">
        <f t="shared" si="52"/>
        <v>1</v>
      </c>
      <c r="H396" s="93">
        <f t="shared" si="53"/>
        <v>17000</v>
      </c>
      <c r="I396" s="84">
        <f t="shared" si="54"/>
        <v>0</v>
      </c>
      <c r="J396" s="105">
        <f t="shared" si="55"/>
        <v>0</v>
      </c>
      <c r="K396">
        <f t="shared" si="56"/>
        <v>0</v>
      </c>
      <c r="L396"/>
      <c r="M396"/>
      <c r="N396"/>
      <c r="O396"/>
      <c r="P396"/>
      <c r="Q396"/>
      <c r="R396"/>
      <c r="S396"/>
      <c r="T396"/>
    </row>
    <row r="397" spans="1:20" outlineLevel="3" x14ac:dyDescent="0.3">
      <c r="A397" s="82" t="s">
        <v>1175</v>
      </c>
      <c r="B397" s="10" t="s">
        <v>98</v>
      </c>
      <c r="C397" s="60" t="s">
        <v>99</v>
      </c>
      <c r="D397" s="44" t="s">
        <v>93</v>
      </c>
      <c r="E397" s="84">
        <v>0</v>
      </c>
      <c r="F397" s="84"/>
      <c r="G397" s="94">
        <f t="shared" si="52"/>
        <v>1</v>
      </c>
      <c r="H397" s="93">
        <f t="shared" si="53"/>
        <v>5200</v>
      </c>
      <c r="I397" s="84">
        <f t="shared" si="54"/>
        <v>0</v>
      </c>
      <c r="J397" s="105">
        <f t="shared" si="55"/>
        <v>0</v>
      </c>
      <c r="K397">
        <f t="shared" si="56"/>
        <v>0</v>
      </c>
      <c r="L397"/>
      <c r="M397"/>
      <c r="N397"/>
      <c r="O397"/>
      <c r="P397"/>
      <c r="Q397"/>
      <c r="R397"/>
      <c r="S397"/>
      <c r="T397"/>
    </row>
    <row r="398" spans="1:20" outlineLevel="3" x14ac:dyDescent="0.3">
      <c r="A398" s="82" t="s">
        <v>1176</v>
      </c>
      <c r="B398" s="10" t="s">
        <v>101</v>
      </c>
      <c r="C398" s="60" t="s">
        <v>102</v>
      </c>
      <c r="D398" s="44" t="s">
        <v>93</v>
      </c>
      <c r="E398" s="84">
        <v>0</v>
      </c>
      <c r="F398" s="84"/>
      <c r="G398" s="94">
        <f t="shared" si="52"/>
        <v>1</v>
      </c>
      <c r="H398" s="93">
        <f t="shared" si="53"/>
        <v>2900</v>
      </c>
      <c r="I398" s="84">
        <f t="shared" si="54"/>
        <v>0</v>
      </c>
      <c r="J398" s="105">
        <f t="shared" si="55"/>
        <v>0</v>
      </c>
      <c r="K398">
        <f t="shared" si="56"/>
        <v>0</v>
      </c>
      <c r="L398"/>
      <c r="M398"/>
      <c r="N398"/>
      <c r="O398"/>
      <c r="P398"/>
      <c r="Q398"/>
      <c r="R398"/>
      <c r="S398"/>
      <c r="T398"/>
    </row>
    <row r="399" spans="1:20" outlineLevel="3" x14ac:dyDescent="0.3">
      <c r="A399" s="82" t="s">
        <v>1177</v>
      </c>
      <c r="B399" s="10" t="s">
        <v>104</v>
      </c>
      <c r="C399" s="60" t="s">
        <v>105</v>
      </c>
      <c r="D399" s="44" t="s">
        <v>106</v>
      </c>
      <c r="E399" s="84">
        <v>0</v>
      </c>
      <c r="F399" s="84"/>
      <c r="G399" s="94">
        <f t="shared" si="52"/>
        <v>1</v>
      </c>
      <c r="H399" s="93">
        <f t="shared" si="53"/>
        <v>350</v>
      </c>
      <c r="I399" s="84">
        <f t="shared" si="54"/>
        <v>0</v>
      </c>
      <c r="J399" s="105">
        <f t="shared" si="55"/>
        <v>0</v>
      </c>
      <c r="K399">
        <f t="shared" si="56"/>
        <v>0</v>
      </c>
      <c r="L399"/>
      <c r="M399"/>
      <c r="N399"/>
      <c r="O399"/>
      <c r="P399"/>
      <c r="Q399"/>
      <c r="R399"/>
      <c r="S399"/>
      <c r="T399"/>
    </row>
    <row r="400" spans="1:20" ht="15" outlineLevel="3" thickBot="1" x14ac:dyDescent="0.35">
      <c r="A400" s="82" t="s">
        <v>1178</v>
      </c>
      <c r="B400" s="10" t="s">
        <v>108</v>
      </c>
      <c r="C400" s="60" t="s">
        <v>109</v>
      </c>
      <c r="D400" s="44" t="s">
        <v>93</v>
      </c>
      <c r="E400" s="84">
        <v>0</v>
      </c>
      <c r="F400" s="84"/>
      <c r="G400" s="94">
        <f t="shared" si="52"/>
        <v>1</v>
      </c>
      <c r="H400" s="93">
        <f t="shared" si="53"/>
        <v>2500</v>
      </c>
      <c r="I400" s="84">
        <f t="shared" si="54"/>
        <v>0</v>
      </c>
      <c r="J400" s="105">
        <f t="shared" si="55"/>
        <v>0</v>
      </c>
      <c r="K400">
        <f t="shared" si="56"/>
        <v>0</v>
      </c>
      <c r="L400"/>
      <c r="M400"/>
      <c r="N400"/>
      <c r="O400"/>
      <c r="P400"/>
      <c r="Q400"/>
      <c r="R400"/>
      <c r="S400"/>
      <c r="T400"/>
    </row>
    <row r="401" spans="1:20" ht="15" outlineLevel="2" thickTop="1" x14ac:dyDescent="0.3">
      <c r="A401" s="82" t="s">
        <v>1179</v>
      </c>
      <c r="B401" s="62" t="s">
        <v>60</v>
      </c>
      <c r="C401" s="63" t="s">
        <v>111</v>
      </c>
      <c r="D401" s="116"/>
      <c r="E401" s="88"/>
      <c r="F401" s="88"/>
      <c r="G401" s="98"/>
      <c r="H401" s="88"/>
      <c r="I401" s="88">
        <f>SUBTOTAL(9,I388:I400)</f>
        <v>0</v>
      </c>
      <c r="J401" s="109"/>
      <c r="K401"/>
      <c r="L401"/>
      <c r="M401"/>
      <c r="N401"/>
      <c r="O401"/>
      <c r="P401"/>
      <c r="Q401"/>
      <c r="R401"/>
      <c r="S401"/>
      <c r="T401"/>
    </row>
    <row r="402" spans="1:20" outlineLevel="2" x14ac:dyDescent="0.3">
      <c r="A402" s="82" t="s">
        <v>1180</v>
      </c>
      <c r="B402" s="64" t="s">
        <v>113</v>
      </c>
      <c r="C402" s="65" t="s">
        <v>114</v>
      </c>
      <c r="D402" s="117"/>
      <c r="E402" s="87"/>
      <c r="F402" s="87"/>
      <c r="G402" s="97"/>
      <c r="H402" s="87"/>
      <c r="I402" s="104">
        <f>SUBTOTAL(9,K403:K440)</f>
        <v>65798</v>
      </c>
      <c r="J402" s="108"/>
      <c r="K402"/>
      <c r="L402"/>
      <c r="M402"/>
      <c r="N402"/>
      <c r="O402"/>
      <c r="P402"/>
      <c r="Q402"/>
      <c r="R402"/>
      <c r="S402"/>
      <c r="T402"/>
    </row>
    <row r="403" spans="1:20" outlineLevel="3" x14ac:dyDescent="0.3">
      <c r="A403" s="82" t="s">
        <v>1181</v>
      </c>
      <c r="B403" s="64" t="s">
        <v>116</v>
      </c>
      <c r="C403" s="66" t="s">
        <v>117</v>
      </c>
      <c r="D403" s="117"/>
      <c r="E403" s="87"/>
      <c r="F403" s="87"/>
      <c r="G403" s="97"/>
      <c r="H403" s="87"/>
      <c r="I403" s="104">
        <f>SUBTOTAL(9,K404:K406)</f>
        <v>2051</v>
      </c>
      <c r="J403" s="108"/>
      <c r="K403"/>
      <c r="L403"/>
      <c r="M403"/>
      <c r="N403"/>
      <c r="O403"/>
      <c r="P403"/>
      <c r="Q403"/>
      <c r="R403"/>
      <c r="S403"/>
      <c r="T403"/>
    </row>
    <row r="404" spans="1:20" outlineLevel="4" x14ac:dyDescent="0.3">
      <c r="A404" s="82" t="s">
        <v>1182</v>
      </c>
      <c r="B404" s="10" t="s">
        <v>119</v>
      </c>
      <c r="C404" s="60" t="s">
        <v>120</v>
      </c>
      <c r="D404" s="44" t="s">
        <v>121</v>
      </c>
      <c r="E404" s="84">
        <v>9</v>
      </c>
      <c r="F404" s="84"/>
      <c r="G404" s="94">
        <f>cell_CoefGeneral</f>
        <v>1</v>
      </c>
      <c r="H404" s="93">
        <f>H25</f>
        <v>120</v>
      </c>
      <c r="I404" s="84">
        <f>IFERROR(ROUND(E404*H404,2),"-")</f>
        <v>1080</v>
      </c>
      <c r="J404" s="105">
        <f>IFERROR(I404/cell_Total_HT,"-")</f>
        <v>3.1884069523213611E-4</v>
      </c>
      <c r="K404">
        <f>I404</f>
        <v>1080</v>
      </c>
      <c r="L404"/>
      <c r="M404"/>
      <c r="N404"/>
      <c r="O404"/>
      <c r="P404"/>
      <c r="Q404"/>
      <c r="R404"/>
      <c r="S404"/>
      <c r="T404"/>
    </row>
    <row r="405" spans="1:20" outlineLevel="4" x14ac:dyDescent="0.3">
      <c r="A405" s="82" t="s">
        <v>1183</v>
      </c>
      <c r="B405" s="10" t="s">
        <v>123</v>
      </c>
      <c r="C405" s="60" t="s">
        <v>124</v>
      </c>
      <c r="D405" s="44" t="s">
        <v>121</v>
      </c>
      <c r="E405" s="84">
        <v>2</v>
      </c>
      <c r="F405" s="84"/>
      <c r="G405" s="94">
        <f>cell_CoefGeneral</f>
        <v>1</v>
      </c>
      <c r="H405" s="93">
        <f>H26</f>
        <v>290</v>
      </c>
      <c r="I405" s="84">
        <f>IFERROR(ROUND(E405*H405,2),"-")</f>
        <v>580</v>
      </c>
      <c r="J405" s="105">
        <f>IFERROR(I405/cell_Total_HT,"-")</f>
        <v>1.7122926225429533E-4</v>
      </c>
      <c r="K405">
        <f>I405</f>
        <v>580</v>
      </c>
      <c r="L405"/>
      <c r="M405"/>
      <c r="N405"/>
      <c r="O405"/>
      <c r="P405"/>
      <c r="Q405"/>
      <c r="R405"/>
      <c r="S405"/>
      <c r="T405"/>
    </row>
    <row r="406" spans="1:20" outlineLevel="4" x14ac:dyDescent="0.3">
      <c r="A406" s="82" t="s">
        <v>1184</v>
      </c>
      <c r="B406" s="10" t="s">
        <v>126</v>
      </c>
      <c r="C406" s="60" t="s">
        <v>127</v>
      </c>
      <c r="D406" s="44" t="s">
        <v>128</v>
      </c>
      <c r="E406" s="84">
        <v>17</v>
      </c>
      <c r="F406" s="84"/>
      <c r="G406" s="94">
        <f>cell_CoefGeneral</f>
        <v>1</v>
      </c>
      <c r="H406" s="93">
        <f>H27</f>
        <v>23</v>
      </c>
      <c r="I406" s="84">
        <f>IFERROR(ROUND(E406*H406,2),"-")</f>
        <v>391</v>
      </c>
      <c r="J406" s="105">
        <f>IFERROR(I406/cell_Total_HT,"-")</f>
        <v>1.1543214058867151E-4</v>
      </c>
      <c r="K406">
        <f>I406</f>
        <v>391</v>
      </c>
      <c r="L406"/>
      <c r="M406"/>
      <c r="N406"/>
      <c r="O406"/>
      <c r="P406"/>
      <c r="Q406"/>
      <c r="R406"/>
      <c r="S406"/>
      <c r="T406"/>
    </row>
    <row r="407" spans="1:20" outlineLevel="3" x14ac:dyDescent="0.3">
      <c r="A407" s="82" t="s">
        <v>1185</v>
      </c>
      <c r="B407" s="10" t="s">
        <v>130</v>
      </c>
      <c r="C407" s="60" t="s">
        <v>131</v>
      </c>
      <c r="D407" s="44" t="s">
        <v>80</v>
      </c>
      <c r="E407" s="84">
        <v>550</v>
      </c>
      <c r="F407" s="84"/>
      <c r="G407" s="94">
        <f>cell_CoefGeneral</f>
        <v>1</v>
      </c>
      <c r="H407" s="93">
        <f>H28</f>
        <v>4.9000000000000004</v>
      </c>
      <c r="I407" s="84">
        <f>IFERROR(ROUND(E407*H407,2),"-")</f>
        <v>2695</v>
      </c>
      <c r="J407" s="105">
        <f>IFERROR(I407/cell_Total_HT,"-")</f>
        <v>7.9562562375056194E-4</v>
      </c>
      <c r="K407">
        <f>I407</f>
        <v>2695</v>
      </c>
      <c r="L407"/>
      <c r="M407"/>
      <c r="N407"/>
      <c r="O407"/>
      <c r="P407"/>
      <c r="Q407"/>
      <c r="R407"/>
      <c r="S407"/>
      <c r="T407"/>
    </row>
    <row r="408" spans="1:20" outlineLevel="3" x14ac:dyDescent="0.3">
      <c r="A408" s="82" t="s">
        <v>1186</v>
      </c>
      <c r="B408" s="10" t="s">
        <v>133</v>
      </c>
      <c r="C408" s="60" t="s">
        <v>134</v>
      </c>
      <c r="D408" s="44" t="s">
        <v>93</v>
      </c>
      <c r="E408" s="84">
        <v>0</v>
      </c>
      <c r="F408" s="84"/>
      <c r="G408" s="94">
        <f>cell_CoefGeneral</f>
        <v>1</v>
      </c>
      <c r="H408" s="93">
        <f>H29</f>
        <v>4000</v>
      </c>
      <c r="I408" s="84">
        <f>IFERROR(ROUND(E408*H408,2),"-")</f>
        <v>0</v>
      </c>
      <c r="J408" s="105">
        <f>IFERROR(I408/cell_Total_HT,"-")</f>
        <v>0</v>
      </c>
      <c r="K408">
        <f>I408</f>
        <v>0</v>
      </c>
      <c r="L408"/>
      <c r="M408"/>
      <c r="N408"/>
      <c r="O408"/>
      <c r="P408"/>
      <c r="Q408"/>
      <c r="R408"/>
      <c r="S408"/>
      <c r="T408"/>
    </row>
    <row r="409" spans="1:20" outlineLevel="3" x14ac:dyDescent="0.3">
      <c r="A409" s="82" t="s">
        <v>1187</v>
      </c>
      <c r="B409" s="58" t="s">
        <v>136</v>
      </c>
      <c r="C409" s="61" t="s">
        <v>137</v>
      </c>
      <c r="D409" s="115"/>
      <c r="E409" s="87"/>
      <c r="F409" s="87"/>
      <c r="G409" s="97"/>
      <c r="H409" s="87"/>
      <c r="I409" s="104">
        <f>SUBTOTAL(9,K410:K412)</f>
        <v>4279</v>
      </c>
      <c r="J409" s="108"/>
      <c r="K409"/>
      <c r="L409"/>
      <c r="M409"/>
      <c r="N409"/>
      <c r="O409"/>
      <c r="P409"/>
      <c r="Q409"/>
      <c r="R409"/>
      <c r="S409"/>
      <c r="T409"/>
    </row>
    <row r="410" spans="1:20" ht="28.8" outlineLevel="4" x14ac:dyDescent="0.3">
      <c r="A410" s="82" t="s">
        <v>1188</v>
      </c>
      <c r="B410" s="10" t="s">
        <v>139</v>
      </c>
      <c r="C410" s="60" t="s">
        <v>140</v>
      </c>
      <c r="D410" s="44" t="s">
        <v>141</v>
      </c>
      <c r="E410" s="84">
        <v>11</v>
      </c>
      <c r="F410" s="84"/>
      <c r="G410" s="94">
        <f>cell_CoefGeneral</f>
        <v>1</v>
      </c>
      <c r="H410" s="93">
        <f>H31</f>
        <v>140</v>
      </c>
      <c r="I410" s="84">
        <f>IFERROR(ROUND(E410*H410,2),"-")</f>
        <v>1540</v>
      </c>
      <c r="J410" s="105">
        <f>IFERROR(I410/cell_Total_HT,"-")</f>
        <v>4.5464321357174966E-4</v>
      </c>
      <c r="K410">
        <f>I410</f>
        <v>1540</v>
      </c>
      <c r="L410"/>
      <c r="M410"/>
      <c r="N410"/>
      <c r="O410"/>
      <c r="P410"/>
      <c r="Q410"/>
      <c r="R410"/>
      <c r="S410"/>
      <c r="T410"/>
    </row>
    <row r="411" spans="1:20" ht="28.8" outlineLevel="4" x14ac:dyDescent="0.3">
      <c r="A411" s="82" t="s">
        <v>1189</v>
      </c>
      <c r="B411" s="10" t="s">
        <v>143</v>
      </c>
      <c r="C411" s="60" t="s">
        <v>144</v>
      </c>
      <c r="D411" s="44" t="s">
        <v>141</v>
      </c>
      <c r="E411" s="84">
        <v>11</v>
      </c>
      <c r="F411" s="84"/>
      <c r="G411" s="94">
        <f>cell_CoefGeneral</f>
        <v>1</v>
      </c>
      <c r="H411" s="93">
        <f>H32</f>
        <v>69</v>
      </c>
      <c r="I411" s="84">
        <f>IFERROR(ROUND(E411*H411,2),"-")</f>
        <v>759</v>
      </c>
      <c r="J411" s="105">
        <f>IFERROR(I411/cell_Total_HT,"-")</f>
        <v>2.2407415526036234E-4</v>
      </c>
      <c r="K411">
        <f>I411</f>
        <v>759</v>
      </c>
      <c r="L411"/>
      <c r="M411"/>
      <c r="N411"/>
      <c r="O411"/>
      <c r="P411"/>
      <c r="Q411"/>
      <c r="R411"/>
      <c r="S411"/>
      <c r="T411"/>
    </row>
    <row r="412" spans="1:20" outlineLevel="4" x14ac:dyDescent="0.3">
      <c r="A412" s="82" t="s">
        <v>1190</v>
      </c>
      <c r="B412" s="10" t="s">
        <v>146</v>
      </c>
      <c r="C412" s="60" t="s">
        <v>147</v>
      </c>
      <c r="D412" s="44" t="s">
        <v>141</v>
      </c>
      <c r="E412" s="84">
        <v>11</v>
      </c>
      <c r="F412" s="84"/>
      <c r="G412" s="94">
        <f>cell_CoefGeneral</f>
        <v>1</v>
      </c>
      <c r="H412" s="93">
        <f>H33</f>
        <v>180</v>
      </c>
      <c r="I412" s="84">
        <f>IFERROR(ROUND(E412*H412,2),"-")</f>
        <v>1980</v>
      </c>
      <c r="J412" s="105">
        <f>IFERROR(I412/cell_Total_HT,"-")</f>
        <v>5.845412745922496E-4</v>
      </c>
      <c r="K412">
        <f>I412</f>
        <v>1980</v>
      </c>
      <c r="L412"/>
      <c r="M412"/>
      <c r="N412"/>
      <c r="O412"/>
      <c r="P412"/>
      <c r="Q412"/>
      <c r="R412"/>
      <c r="S412"/>
      <c r="T412"/>
    </row>
    <row r="413" spans="1:20" outlineLevel="3" x14ac:dyDescent="0.3">
      <c r="A413" s="82" t="s">
        <v>1191</v>
      </c>
      <c r="B413" s="58" t="s">
        <v>149</v>
      </c>
      <c r="C413" s="61" t="s">
        <v>150</v>
      </c>
      <c r="D413" s="115"/>
      <c r="E413" s="87"/>
      <c r="F413" s="87"/>
      <c r="G413" s="97"/>
      <c r="H413" s="87"/>
      <c r="I413" s="104">
        <f>SUBTOTAL(9,K414:K416)</f>
        <v>26070</v>
      </c>
      <c r="J413" s="108"/>
      <c r="K413"/>
      <c r="L413"/>
      <c r="M413"/>
      <c r="N413"/>
      <c r="O413"/>
      <c r="P413"/>
      <c r="Q413"/>
      <c r="R413"/>
      <c r="S413"/>
      <c r="T413"/>
    </row>
    <row r="414" spans="1:20" outlineLevel="4" x14ac:dyDescent="0.3">
      <c r="A414" s="82" t="s">
        <v>1192</v>
      </c>
      <c r="B414" s="10" t="s">
        <v>152</v>
      </c>
      <c r="C414" s="60" t="s">
        <v>153</v>
      </c>
      <c r="D414" s="44" t="s">
        <v>154</v>
      </c>
      <c r="E414" s="84">
        <v>3850</v>
      </c>
      <c r="F414" s="84"/>
      <c r="G414" s="94">
        <f>cell_CoefGeneral</f>
        <v>1</v>
      </c>
      <c r="H414" s="93">
        <f>H35</f>
        <v>4.5999999999999996</v>
      </c>
      <c r="I414" s="84">
        <f>IFERROR(ROUND(E414*H414,2),"-")</f>
        <v>17710</v>
      </c>
      <c r="J414" s="105">
        <f>IFERROR(I414/cell_Total_HT,"-")</f>
        <v>5.2283969560751207E-3</v>
      </c>
      <c r="K414">
        <f>I414</f>
        <v>17710</v>
      </c>
      <c r="L414"/>
      <c r="M414"/>
      <c r="N414"/>
      <c r="O414"/>
      <c r="P414"/>
      <c r="Q414"/>
      <c r="R414"/>
      <c r="S414"/>
      <c r="T414"/>
    </row>
    <row r="415" spans="1:20" outlineLevel="4" x14ac:dyDescent="0.3">
      <c r="A415" s="82" t="s">
        <v>1193</v>
      </c>
      <c r="B415" s="10" t="s">
        <v>156</v>
      </c>
      <c r="C415" s="60" t="s">
        <v>157</v>
      </c>
      <c r="D415" s="44" t="s">
        <v>154</v>
      </c>
      <c r="E415" s="84">
        <v>1320</v>
      </c>
      <c r="F415" s="84"/>
      <c r="G415" s="94">
        <f>cell_CoefGeneral</f>
        <v>1</v>
      </c>
      <c r="H415" s="93">
        <f>H36</f>
        <v>5.2</v>
      </c>
      <c r="I415" s="84">
        <f>IFERROR(ROUND(E415*H415,2),"-")</f>
        <v>6864</v>
      </c>
      <c r="J415" s="105">
        <f>IFERROR(I415/cell_Total_HT,"-")</f>
        <v>2.0264097519197984E-3</v>
      </c>
      <c r="K415">
        <f>I415</f>
        <v>6864</v>
      </c>
      <c r="L415"/>
      <c r="M415"/>
      <c r="N415"/>
      <c r="O415"/>
      <c r="P415"/>
      <c r="Q415"/>
      <c r="R415"/>
      <c r="S415"/>
      <c r="T415"/>
    </row>
    <row r="416" spans="1:20" outlineLevel="4" x14ac:dyDescent="0.3">
      <c r="A416" s="82" t="s">
        <v>1194</v>
      </c>
      <c r="B416" s="10" t="s">
        <v>159</v>
      </c>
      <c r="C416" s="60" t="s">
        <v>160</v>
      </c>
      <c r="D416" s="44" t="s">
        <v>154</v>
      </c>
      <c r="E416" s="84">
        <v>88</v>
      </c>
      <c r="F416" s="84"/>
      <c r="G416" s="94">
        <f>cell_CoefGeneral</f>
        <v>1</v>
      </c>
      <c r="H416" s="93">
        <f>H37</f>
        <v>17</v>
      </c>
      <c r="I416" s="84">
        <f>IFERROR(ROUND(E416*H416,2),"-")</f>
        <v>1496</v>
      </c>
      <c r="J416" s="105">
        <f>IFERROR(I416/cell_Total_HT,"-")</f>
        <v>4.4165340746969966E-4</v>
      </c>
      <c r="K416">
        <f>I416</f>
        <v>1496</v>
      </c>
      <c r="L416"/>
      <c r="M416"/>
      <c r="N416"/>
      <c r="O416"/>
      <c r="P416"/>
      <c r="Q416"/>
      <c r="R416"/>
      <c r="S416"/>
      <c r="T416"/>
    </row>
    <row r="417" spans="1:20" outlineLevel="3" x14ac:dyDescent="0.3">
      <c r="A417" s="82" t="s">
        <v>1195</v>
      </c>
      <c r="B417" s="10" t="s">
        <v>162</v>
      </c>
      <c r="C417" s="60" t="s">
        <v>163</v>
      </c>
      <c r="D417" s="44" t="s">
        <v>141</v>
      </c>
      <c r="E417" s="84">
        <v>99</v>
      </c>
      <c r="F417" s="84"/>
      <c r="G417" s="94">
        <f>cell_CoefGeneral</f>
        <v>1</v>
      </c>
      <c r="H417" s="93">
        <f>H38</f>
        <v>37</v>
      </c>
      <c r="I417" s="84">
        <f>IFERROR(ROUND(E417*H417,2),"-")</f>
        <v>3663</v>
      </c>
      <c r="J417" s="105">
        <f>IFERROR(I417/cell_Total_HT,"-")</f>
        <v>1.0814013579956616E-3</v>
      </c>
      <c r="K417">
        <f>I417</f>
        <v>3663</v>
      </c>
      <c r="L417"/>
      <c r="M417"/>
      <c r="N417"/>
      <c r="O417"/>
      <c r="P417"/>
      <c r="Q417"/>
      <c r="R417"/>
      <c r="S417"/>
      <c r="T417"/>
    </row>
    <row r="418" spans="1:20" outlineLevel="3" x14ac:dyDescent="0.3">
      <c r="A418" s="82" t="s">
        <v>1196</v>
      </c>
      <c r="B418" s="58" t="s">
        <v>165</v>
      </c>
      <c r="C418" s="61" t="s">
        <v>166</v>
      </c>
      <c r="D418" s="115"/>
      <c r="E418" s="87"/>
      <c r="F418" s="87"/>
      <c r="G418" s="97"/>
      <c r="H418" s="87"/>
      <c r="I418" s="104">
        <f>SUBTOTAL(9,K419:K423)</f>
        <v>16313</v>
      </c>
      <c r="J418" s="108"/>
      <c r="K418"/>
      <c r="L418"/>
      <c r="M418"/>
      <c r="N418"/>
      <c r="O418"/>
      <c r="P418"/>
      <c r="Q418"/>
      <c r="R418"/>
      <c r="S418"/>
      <c r="T418"/>
    </row>
    <row r="419" spans="1:20" outlineLevel="4" x14ac:dyDescent="0.3">
      <c r="A419" s="82" t="s">
        <v>1197</v>
      </c>
      <c r="B419" s="10" t="s">
        <v>168</v>
      </c>
      <c r="C419" s="60" t="s">
        <v>169</v>
      </c>
      <c r="D419" s="44" t="s">
        <v>141</v>
      </c>
      <c r="E419" s="84">
        <v>440</v>
      </c>
      <c r="F419" s="84"/>
      <c r="G419" s="94">
        <f>cell_CoefGeneral</f>
        <v>1</v>
      </c>
      <c r="H419" s="93">
        <f>H40</f>
        <v>28</v>
      </c>
      <c r="I419" s="84">
        <f>IFERROR(ROUND(E419*H419,2),"-")</f>
        <v>12320</v>
      </c>
      <c r="J419" s="105">
        <f>IFERROR(I419/cell_Total_HT,"-")</f>
        <v>3.6371457085739973E-3</v>
      </c>
      <c r="K419">
        <f>I419</f>
        <v>12320</v>
      </c>
      <c r="L419"/>
      <c r="M419"/>
      <c r="N419"/>
      <c r="O419"/>
      <c r="P419"/>
      <c r="Q419"/>
      <c r="R419"/>
      <c r="S419"/>
      <c r="T419"/>
    </row>
    <row r="420" spans="1:20" outlineLevel="4" x14ac:dyDescent="0.3">
      <c r="A420" s="82" t="s">
        <v>1198</v>
      </c>
      <c r="B420" s="10" t="s">
        <v>171</v>
      </c>
      <c r="C420" s="60" t="s">
        <v>172</v>
      </c>
      <c r="D420" s="44" t="s">
        <v>141</v>
      </c>
      <c r="E420" s="84">
        <v>0</v>
      </c>
      <c r="F420" s="84"/>
      <c r="G420" s="94">
        <f>cell_CoefGeneral</f>
        <v>1</v>
      </c>
      <c r="H420" s="93">
        <f>H41</f>
        <v>38</v>
      </c>
      <c r="I420" s="84">
        <f>IFERROR(ROUND(E420*H420,2),"-")</f>
        <v>0</v>
      </c>
      <c r="J420" s="105">
        <f>IFERROR(I420/cell_Total_HT,"-")</f>
        <v>0</v>
      </c>
      <c r="K420">
        <f>I420</f>
        <v>0</v>
      </c>
      <c r="L420"/>
      <c r="M420"/>
      <c r="N420"/>
      <c r="O420"/>
      <c r="P420"/>
      <c r="Q420"/>
      <c r="R420"/>
      <c r="S420"/>
      <c r="T420"/>
    </row>
    <row r="421" spans="1:20" outlineLevel="4" x14ac:dyDescent="0.3">
      <c r="A421" s="82" t="s">
        <v>1199</v>
      </c>
      <c r="B421" s="10" t="s">
        <v>174</v>
      </c>
      <c r="C421" s="60" t="s">
        <v>175</v>
      </c>
      <c r="D421" s="44" t="s">
        <v>141</v>
      </c>
      <c r="E421" s="84">
        <v>22</v>
      </c>
      <c r="F421" s="84"/>
      <c r="G421" s="94">
        <f>cell_CoefGeneral</f>
        <v>1</v>
      </c>
      <c r="H421" s="93">
        <f>H42</f>
        <v>49</v>
      </c>
      <c r="I421" s="84">
        <f>IFERROR(ROUND(E421*H421,2),"-")</f>
        <v>1078</v>
      </c>
      <c r="J421" s="105">
        <f>IFERROR(I421/cell_Total_HT,"-")</f>
        <v>3.1825024950022474E-4</v>
      </c>
      <c r="K421">
        <f>I421</f>
        <v>1078</v>
      </c>
      <c r="L421"/>
      <c r="M421"/>
      <c r="N421"/>
      <c r="O421"/>
      <c r="P421"/>
      <c r="Q421"/>
      <c r="R421"/>
      <c r="S421"/>
      <c r="T421"/>
    </row>
    <row r="422" spans="1:20" outlineLevel="4" x14ac:dyDescent="0.3">
      <c r="A422" s="82" t="s">
        <v>1200</v>
      </c>
      <c r="B422" s="10" t="s">
        <v>177</v>
      </c>
      <c r="C422" s="60" t="s">
        <v>178</v>
      </c>
      <c r="D422" s="44" t="s">
        <v>141</v>
      </c>
      <c r="E422" s="84">
        <v>55</v>
      </c>
      <c r="F422" s="84"/>
      <c r="G422" s="94">
        <f>cell_CoefGeneral</f>
        <v>1</v>
      </c>
      <c r="H422" s="93">
        <f>H43</f>
        <v>53</v>
      </c>
      <c r="I422" s="84">
        <f>IFERROR(ROUND(E422*H422,2),"-")</f>
        <v>2915</v>
      </c>
      <c r="J422" s="105">
        <f>IFERROR(I422/cell_Total_HT,"-")</f>
        <v>8.6057465426081189E-4</v>
      </c>
      <c r="K422">
        <f>I422</f>
        <v>2915</v>
      </c>
      <c r="L422"/>
      <c r="M422"/>
      <c r="N422"/>
      <c r="O422"/>
      <c r="P422"/>
      <c r="Q422"/>
      <c r="R422"/>
      <c r="S422"/>
      <c r="T422"/>
    </row>
    <row r="423" spans="1:20" outlineLevel="4" x14ac:dyDescent="0.3">
      <c r="A423" s="82" t="s">
        <v>1201</v>
      </c>
      <c r="B423" s="10" t="s">
        <v>180</v>
      </c>
      <c r="C423" s="60" t="s">
        <v>181</v>
      </c>
      <c r="D423" s="44" t="s">
        <v>141</v>
      </c>
      <c r="E423" s="84">
        <v>0</v>
      </c>
      <c r="F423" s="84"/>
      <c r="G423" s="94">
        <f>cell_CoefGeneral</f>
        <v>1</v>
      </c>
      <c r="H423" s="93">
        <f>H44</f>
        <v>53</v>
      </c>
      <c r="I423" s="84">
        <f>IFERROR(ROUND(E423*H423,2),"-")</f>
        <v>0</v>
      </c>
      <c r="J423" s="105">
        <f>IFERROR(I423/cell_Total_HT,"-")</f>
        <v>0</v>
      </c>
      <c r="K423">
        <f>I423</f>
        <v>0</v>
      </c>
      <c r="L423"/>
      <c r="M423"/>
      <c r="N423"/>
      <c r="O423"/>
      <c r="P423"/>
      <c r="Q423"/>
      <c r="R423"/>
      <c r="S423"/>
      <c r="T423"/>
    </row>
    <row r="424" spans="1:20" outlineLevel="3" x14ac:dyDescent="0.3">
      <c r="A424" s="82" t="s">
        <v>1202</v>
      </c>
      <c r="B424" s="58" t="s">
        <v>183</v>
      </c>
      <c r="C424" s="61" t="s">
        <v>184</v>
      </c>
      <c r="D424" s="115"/>
      <c r="E424" s="87"/>
      <c r="F424" s="87"/>
      <c r="G424" s="97"/>
      <c r="H424" s="87"/>
      <c r="I424" s="104">
        <f>SUBTOTAL(9,K425:K432)</f>
        <v>5897</v>
      </c>
      <c r="J424" s="108"/>
      <c r="K424"/>
      <c r="L424"/>
      <c r="M424"/>
      <c r="N424"/>
      <c r="O424"/>
      <c r="P424"/>
      <c r="Q424"/>
      <c r="R424"/>
      <c r="S424"/>
      <c r="T424"/>
    </row>
    <row r="425" spans="1:20" outlineLevel="4" x14ac:dyDescent="0.3">
      <c r="A425" s="82" t="s">
        <v>1203</v>
      </c>
      <c r="B425" s="10" t="s">
        <v>186</v>
      </c>
      <c r="C425" s="60" t="s">
        <v>187</v>
      </c>
      <c r="D425" s="44" t="s">
        <v>121</v>
      </c>
      <c r="E425" s="84">
        <v>0</v>
      </c>
      <c r="F425" s="84"/>
      <c r="G425" s="94">
        <f t="shared" ref="G425:G433" si="57">cell_CoefGeneral</f>
        <v>1</v>
      </c>
      <c r="H425" s="93">
        <f t="shared" ref="H425:H433" si="58">H46</f>
        <v>90</v>
      </c>
      <c r="I425" s="84">
        <f t="shared" ref="I425:I433" si="59">IFERROR(ROUND(E425*H425,2),"-")</f>
        <v>0</v>
      </c>
      <c r="J425" s="105">
        <f t="shared" ref="J425:J433" si="60">IFERROR(I425/cell_Total_HT,"-")</f>
        <v>0</v>
      </c>
      <c r="K425">
        <f t="shared" ref="K425:K433" si="61">I425</f>
        <v>0</v>
      </c>
      <c r="L425"/>
      <c r="M425"/>
      <c r="N425"/>
      <c r="O425"/>
      <c r="P425"/>
      <c r="Q425"/>
      <c r="R425"/>
      <c r="S425"/>
      <c r="T425"/>
    </row>
    <row r="426" spans="1:20" outlineLevel="4" x14ac:dyDescent="0.3">
      <c r="A426" s="82" t="s">
        <v>1204</v>
      </c>
      <c r="B426" s="10" t="s">
        <v>189</v>
      </c>
      <c r="C426" s="60" t="s">
        <v>190</v>
      </c>
      <c r="D426" s="44" t="s">
        <v>121</v>
      </c>
      <c r="E426" s="84">
        <v>2</v>
      </c>
      <c r="F426" s="84"/>
      <c r="G426" s="94">
        <f t="shared" si="57"/>
        <v>1</v>
      </c>
      <c r="H426" s="93">
        <f t="shared" si="58"/>
        <v>90</v>
      </c>
      <c r="I426" s="84">
        <f t="shared" si="59"/>
        <v>180</v>
      </c>
      <c r="J426" s="105">
        <f t="shared" si="60"/>
        <v>5.3140115872022687E-5</v>
      </c>
      <c r="K426">
        <f t="shared" si="61"/>
        <v>180</v>
      </c>
      <c r="L426"/>
      <c r="M426"/>
      <c r="N426"/>
      <c r="O426"/>
      <c r="P426"/>
      <c r="Q426"/>
      <c r="R426"/>
      <c r="S426"/>
      <c r="T426"/>
    </row>
    <row r="427" spans="1:20" outlineLevel="4" x14ac:dyDescent="0.3">
      <c r="A427" s="82" t="s">
        <v>1205</v>
      </c>
      <c r="B427" s="10" t="s">
        <v>192</v>
      </c>
      <c r="C427" s="60" t="s">
        <v>193</v>
      </c>
      <c r="D427" s="44" t="s">
        <v>121</v>
      </c>
      <c r="E427" s="84">
        <v>11</v>
      </c>
      <c r="F427" s="84"/>
      <c r="G427" s="94">
        <f t="shared" si="57"/>
        <v>1</v>
      </c>
      <c r="H427" s="93">
        <f t="shared" si="58"/>
        <v>72</v>
      </c>
      <c r="I427" s="84">
        <f t="shared" si="59"/>
        <v>792</v>
      </c>
      <c r="J427" s="105">
        <f t="shared" si="60"/>
        <v>2.3381650983689983E-4</v>
      </c>
      <c r="K427">
        <f t="shared" si="61"/>
        <v>792</v>
      </c>
      <c r="L427"/>
      <c r="M427"/>
      <c r="N427"/>
      <c r="O427"/>
      <c r="P427"/>
      <c r="Q427"/>
      <c r="R427"/>
      <c r="S427"/>
      <c r="T427"/>
    </row>
    <row r="428" spans="1:20" outlineLevel="4" x14ac:dyDescent="0.3">
      <c r="A428" s="82" t="s">
        <v>1206</v>
      </c>
      <c r="B428" s="10" t="s">
        <v>195</v>
      </c>
      <c r="C428" s="60" t="s">
        <v>196</v>
      </c>
      <c r="D428" s="44" t="s">
        <v>121</v>
      </c>
      <c r="E428" s="84">
        <v>3</v>
      </c>
      <c r="F428" s="84"/>
      <c r="G428" s="94">
        <f t="shared" si="57"/>
        <v>1</v>
      </c>
      <c r="H428" s="93">
        <f t="shared" si="58"/>
        <v>71</v>
      </c>
      <c r="I428" s="84">
        <f t="shared" si="59"/>
        <v>213</v>
      </c>
      <c r="J428" s="105">
        <f t="shared" si="60"/>
        <v>6.2882470448560179E-5</v>
      </c>
      <c r="K428">
        <f t="shared" si="61"/>
        <v>213</v>
      </c>
      <c r="L428"/>
      <c r="M428"/>
      <c r="N428"/>
      <c r="O428"/>
      <c r="P428"/>
      <c r="Q428"/>
      <c r="R428"/>
      <c r="S428"/>
      <c r="T428"/>
    </row>
    <row r="429" spans="1:20" outlineLevel="4" x14ac:dyDescent="0.3">
      <c r="A429" s="82" t="s">
        <v>1207</v>
      </c>
      <c r="B429" s="10" t="s">
        <v>198</v>
      </c>
      <c r="C429" s="60" t="s">
        <v>199</v>
      </c>
      <c r="D429" s="44" t="s">
        <v>80</v>
      </c>
      <c r="E429" s="84">
        <v>440</v>
      </c>
      <c r="F429" s="84"/>
      <c r="G429" s="94">
        <f t="shared" si="57"/>
        <v>1</v>
      </c>
      <c r="H429" s="93">
        <f t="shared" si="58"/>
        <v>8.8000000000000007</v>
      </c>
      <c r="I429" s="84">
        <f t="shared" si="59"/>
        <v>3872</v>
      </c>
      <c r="J429" s="105">
        <f t="shared" si="60"/>
        <v>1.1431029369803991E-3</v>
      </c>
      <c r="K429">
        <f t="shared" si="61"/>
        <v>3872</v>
      </c>
      <c r="L429"/>
      <c r="M429"/>
      <c r="N429"/>
      <c r="O429"/>
      <c r="P429"/>
      <c r="Q429"/>
      <c r="R429"/>
      <c r="S429"/>
      <c r="T429"/>
    </row>
    <row r="430" spans="1:20" outlineLevel="4" x14ac:dyDescent="0.3">
      <c r="A430" s="82" t="s">
        <v>1208</v>
      </c>
      <c r="B430" s="10" t="s">
        <v>201</v>
      </c>
      <c r="C430" s="60" t="s">
        <v>202</v>
      </c>
      <c r="D430" s="44" t="s">
        <v>121</v>
      </c>
      <c r="E430" s="84">
        <v>4</v>
      </c>
      <c r="F430" s="84"/>
      <c r="G430" s="94">
        <f t="shared" si="57"/>
        <v>1</v>
      </c>
      <c r="H430" s="93">
        <f t="shared" si="58"/>
        <v>210</v>
      </c>
      <c r="I430" s="84">
        <f t="shared" si="59"/>
        <v>840</v>
      </c>
      <c r="J430" s="105">
        <f t="shared" si="60"/>
        <v>2.4798720740277255E-4</v>
      </c>
      <c r="K430">
        <f t="shared" si="61"/>
        <v>840</v>
      </c>
      <c r="L430"/>
      <c r="M430"/>
      <c r="N430"/>
      <c r="O430"/>
      <c r="P430"/>
      <c r="Q430"/>
      <c r="R430"/>
      <c r="S430"/>
      <c r="T430"/>
    </row>
    <row r="431" spans="1:20" outlineLevel="4" x14ac:dyDescent="0.3">
      <c r="A431" s="82" t="s">
        <v>1209</v>
      </c>
      <c r="B431" s="10" t="s">
        <v>204</v>
      </c>
      <c r="C431" s="60" t="s">
        <v>205</v>
      </c>
      <c r="D431" s="44" t="s">
        <v>121</v>
      </c>
      <c r="E431" s="84">
        <v>0</v>
      </c>
      <c r="F431" s="84"/>
      <c r="G431" s="94">
        <f t="shared" si="57"/>
        <v>1</v>
      </c>
      <c r="H431" s="93">
        <f t="shared" si="58"/>
        <v>100</v>
      </c>
      <c r="I431" s="84">
        <f t="shared" si="59"/>
        <v>0</v>
      </c>
      <c r="J431" s="105">
        <f t="shared" si="60"/>
        <v>0</v>
      </c>
      <c r="K431">
        <f t="shared" si="61"/>
        <v>0</v>
      </c>
      <c r="L431"/>
      <c r="M431"/>
      <c r="N431"/>
      <c r="O431"/>
      <c r="P431"/>
      <c r="Q431"/>
      <c r="R431"/>
      <c r="S431"/>
      <c r="T431"/>
    </row>
    <row r="432" spans="1:20" outlineLevel="4" x14ac:dyDescent="0.3">
      <c r="A432" s="82" t="s">
        <v>1210</v>
      </c>
      <c r="B432" s="10" t="s">
        <v>207</v>
      </c>
      <c r="C432" s="60" t="s">
        <v>208</v>
      </c>
      <c r="D432" s="44" t="s">
        <v>121</v>
      </c>
      <c r="E432" s="84">
        <v>0</v>
      </c>
      <c r="F432" s="84"/>
      <c r="G432" s="94">
        <f t="shared" si="57"/>
        <v>1</v>
      </c>
      <c r="H432" s="93">
        <f t="shared" si="58"/>
        <v>140</v>
      </c>
      <c r="I432" s="84">
        <f t="shared" si="59"/>
        <v>0</v>
      </c>
      <c r="J432" s="105">
        <f t="shared" si="60"/>
        <v>0</v>
      </c>
      <c r="K432">
        <f t="shared" si="61"/>
        <v>0</v>
      </c>
      <c r="L432"/>
      <c r="M432"/>
      <c r="N432"/>
      <c r="O432"/>
      <c r="P432"/>
      <c r="Q432"/>
      <c r="R432"/>
      <c r="S432"/>
      <c r="T432"/>
    </row>
    <row r="433" spans="1:20" ht="28.8" outlineLevel="3" x14ac:dyDescent="0.3">
      <c r="A433" s="82" t="s">
        <v>1211</v>
      </c>
      <c r="B433" s="10" t="s">
        <v>210</v>
      </c>
      <c r="C433" s="60" t="s">
        <v>211</v>
      </c>
      <c r="D433" s="44" t="s">
        <v>93</v>
      </c>
      <c r="E433" s="84">
        <v>0</v>
      </c>
      <c r="F433" s="84"/>
      <c r="G433" s="94">
        <f t="shared" si="57"/>
        <v>1</v>
      </c>
      <c r="H433" s="93">
        <f t="shared" si="58"/>
        <v>9200</v>
      </c>
      <c r="I433" s="84">
        <f t="shared" si="59"/>
        <v>0</v>
      </c>
      <c r="J433" s="105">
        <f t="shared" si="60"/>
        <v>0</v>
      </c>
      <c r="K433">
        <f t="shared" si="61"/>
        <v>0</v>
      </c>
      <c r="L433"/>
      <c r="M433"/>
      <c r="N433"/>
      <c r="O433"/>
      <c r="P433"/>
      <c r="Q433"/>
      <c r="R433"/>
      <c r="S433"/>
      <c r="T433"/>
    </row>
    <row r="434" spans="1:20" outlineLevel="3" x14ac:dyDescent="0.3">
      <c r="A434" s="82" t="s">
        <v>1212</v>
      </c>
      <c r="B434" s="58" t="s">
        <v>213</v>
      </c>
      <c r="C434" s="61" t="s">
        <v>214</v>
      </c>
      <c r="D434" s="115"/>
      <c r="E434" s="87"/>
      <c r="F434" s="87"/>
      <c r="G434" s="97"/>
      <c r="H434" s="87"/>
      <c r="I434" s="104">
        <f>SUBTOTAL(9,K435:K436)</f>
        <v>0</v>
      </c>
      <c r="J434" s="108"/>
      <c r="K434"/>
      <c r="L434"/>
      <c r="M434"/>
      <c r="N434"/>
      <c r="O434"/>
      <c r="P434"/>
      <c r="Q434"/>
      <c r="R434"/>
      <c r="S434"/>
      <c r="T434"/>
    </row>
    <row r="435" spans="1:20" outlineLevel="4" x14ac:dyDescent="0.3">
      <c r="A435" s="82" t="s">
        <v>1213</v>
      </c>
      <c r="B435" s="10" t="s">
        <v>216</v>
      </c>
      <c r="C435" s="60" t="s">
        <v>217</v>
      </c>
      <c r="D435" s="44" t="s">
        <v>93</v>
      </c>
      <c r="E435" s="84">
        <v>0</v>
      </c>
      <c r="F435" s="84"/>
      <c r="G435" s="94">
        <f>cell_CoefGeneral</f>
        <v>1</v>
      </c>
      <c r="H435" s="93">
        <f>H56</f>
        <v>3300</v>
      </c>
      <c r="I435" s="84">
        <f>IFERROR(ROUND(E435*H435,2),"-")</f>
        <v>0</v>
      </c>
      <c r="J435" s="105">
        <f>IFERROR(I435/cell_Total_HT,"-")</f>
        <v>0</v>
      </c>
      <c r="K435">
        <f>I435</f>
        <v>0</v>
      </c>
      <c r="L435"/>
      <c r="M435"/>
      <c r="N435"/>
      <c r="O435"/>
      <c r="P435"/>
      <c r="Q435"/>
      <c r="R435"/>
      <c r="S435"/>
      <c r="T435"/>
    </row>
    <row r="436" spans="1:20" outlineLevel="4" x14ac:dyDescent="0.3">
      <c r="A436" s="82" t="s">
        <v>1214</v>
      </c>
      <c r="B436" s="10" t="s">
        <v>219</v>
      </c>
      <c r="C436" s="60" t="s">
        <v>220</v>
      </c>
      <c r="D436" s="44" t="s">
        <v>93</v>
      </c>
      <c r="E436" s="84">
        <v>0</v>
      </c>
      <c r="F436" s="84"/>
      <c r="G436" s="94">
        <f>cell_CoefGeneral</f>
        <v>1</v>
      </c>
      <c r="H436" s="93">
        <f>H57</f>
        <v>4100</v>
      </c>
      <c r="I436" s="84">
        <f>IFERROR(ROUND(E436*H436,2),"-")</f>
        <v>0</v>
      </c>
      <c r="J436" s="105">
        <f>IFERROR(I436/cell_Total_HT,"-")</f>
        <v>0</v>
      </c>
      <c r="K436">
        <f>I436</f>
        <v>0</v>
      </c>
      <c r="L436"/>
      <c r="M436"/>
      <c r="N436"/>
      <c r="O436"/>
      <c r="P436"/>
      <c r="Q436"/>
      <c r="R436"/>
      <c r="S436"/>
      <c r="T436"/>
    </row>
    <row r="437" spans="1:20" outlineLevel="3" x14ac:dyDescent="0.3">
      <c r="A437" s="82" t="s">
        <v>1215</v>
      </c>
      <c r="B437" s="10" t="s">
        <v>222</v>
      </c>
      <c r="C437" s="60" t="s">
        <v>223</v>
      </c>
      <c r="D437" s="44" t="s">
        <v>154</v>
      </c>
      <c r="E437" s="84">
        <v>17</v>
      </c>
      <c r="F437" s="84"/>
      <c r="G437" s="94">
        <f>cell_CoefGeneral</f>
        <v>1</v>
      </c>
      <c r="H437" s="93">
        <f>H58</f>
        <v>170</v>
      </c>
      <c r="I437" s="84">
        <f>IFERROR(ROUND(E437*H437,2),"-")</f>
        <v>2890</v>
      </c>
      <c r="J437" s="105">
        <f>IFERROR(I437/cell_Total_HT,"-")</f>
        <v>8.5319408261191985E-4</v>
      </c>
      <c r="K437">
        <f>I437</f>
        <v>2890</v>
      </c>
      <c r="L437"/>
      <c r="M437"/>
      <c r="N437"/>
      <c r="O437"/>
      <c r="P437"/>
      <c r="Q437"/>
      <c r="R437"/>
      <c r="S437"/>
      <c r="T437"/>
    </row>
    <row r="438" spans="1:20" outlineLevel="3" x14ac:dyDescent="0.3">
      <c r="A438" s="82" t="s">
        <v>1216</v>
      </c>
      <c r="B438" s="58" t="s">
        <v>225</v>
      </c>
      <c r="C438" s="61" t="s">
        <v>226</v>
      </c>
      <c r="D438" s="115"/>
      <c r="E438" s="87"/>
      <c r="F438" s="87"/>
      <c r="G438" s="97"/>
      <c r="H438" s="87"/>
      <c r="I438" s="104">
        <f>SUBTOTAL(9,K439:K440)</f>
        <v>1940</v>
      </c>
      <c r="J438" s="108"/>
      <c r="K438"/>
      <c r="L438"/>
      <c r="M438"/>
      <c r="N438"/>
      <c r="O438"/>
      <c r="P438"/>
      <c r="Q438"/>
      <c r="R438"/>
      <c r="S438"/>
      <c r="T438"/>
    </row>
    <row r="439" spans="1:20" ht="28.8" outlineLevel="4" x14ac:dyDescent="0.3">
      <c r="A439" s="82" t="s">
        <v>1217</v>
      </c>
      <c r="B439" s="10" t="s">
        <v>228</v>
      </c>
      <c r="C439" s="60" t="s">
        <v>229</v>
      </c>
      <c r="D439" s="44" t="s">
        <v>121</v>
      </c>
      <c r="E439" s="84">
        <v>2</v>
      </c>
      <c r="F439" s="84"/>
      <c r="G439" s="94">
        <f>cell_CoefGeneral</f>
        <v>1</v>
      </c>
      <c r="H439" s="93">
        <f>H60</f>
        <v>200</v>
      </c>
      <c r="I439" s="84">
        <f>IFERROR(ROUND(E439*H439,2),"-")</f>
        <v>400</v>
      </c>
      <c r="J439" s="105">
        <f>IFERROR(I439/cell_Total_HT,"-")</f>
        <v>1.1808914638227264E-4</v>
      </c>
      <c r="K439">
        <f>I439</f>
        <v>400</v>
      </c>
      <c r="L439"/>
      <c r="M439"/>
      <c r="N439"/>
      <c r="O439"/>
      <c r="P439"/>
      <c r="Q439"/>
      <c r="R439"/>
      <c r="S439"/>
      <c r="T439"/>
    </row>
    <row r="440" spans="1:20" ht="15" outlineLevel="4" thickBot="1" x14ac:dyDescent="0.35">
      <c r="A440" s="82" t="s">
        <v>1218</v>
      </c>
      <c r="B440" s="10" t="s">
        <v>231</v>
      </c>
      <c r="C440" s="60" t="s">
        <v>232</v>
      </c>
      <c r="D440" s="44" t="s">
        <v>121</v>
      </c>
      <c r="E440" s="84">
        <v>7</v>
      </c>
      <c r="F440" s="84"/>
      <c r="G440" s="94">
        <f>cell_CoefGeneral</f>
        <v>1</v>
      </c>
      <c r="H440" s="93">
        <f>H61</f>
        <v>220</v>
      </c>
      <c r="I440" s="84">
        <f>IFERROR(ROUND(E440*H440,2),"-")</f>
        <v>1540</v>
      </c>
      <c r="J440" s="105">
        <f>IFERROR(I440/cell_Total_HT,"-")</f>
        <v>4.5464321357174966E-4</v>
      </c>
      <c r="K440">
        <f>I440</f>
        <v>1540</v>
      </c>
      <c r="L440"/>
      <c r="M440"/>
      <c r="N440"/>
      <c r="O440"/>
      <c r="P440"/>
      <c r="Q440"/>
      <c r="R440"/>
      <c r="S440"/>
      <c r="T440"/>
    </row>
    <row r="441" spans="1:20" ht="15" outlineLevel="2" thickTop="1" x14ac:dyDescent="0.3">
      <c r="A441" s="82" t="s">
        <v>1219</v>
      </c>
      <c r="B441" s="62" t="s">
        <v>60</v>
      </c>
      <c r="C441" s="63" t="s">
        <v>234</v>
      </c>
      <c r="D441" s="116"/>
      <c r="E441" s="88"/>
      <c r="F441" s="88"/>
      <c r="G441" s="98"/>
      <c r="H441" s="88"/>
      <c r="I441" s="88">
        <f>SUBTOTAL(9,I404:I440)</f>
        <v>65798</v>
      </c>
      <c r="J441" s="109"/>
      <c r="K441"/>
      <c r="L441"/>
      <c r="M441"/>
      <c r="N441"/>
      <c r="O441"/>
      <c r="P441"/>
      <c r="Q441"/>
      <c r="R441"/>
      <c r="S441"/>
      <c r="T441"/>
    </row>
    <row r="442" spans="1:20" outlineLevel="2" x14ac:dyDescent="0.3">
      <c r="A442" s="82" t="s">
        <v>1220</v>
      </c>
      <c r="B442" s="64" t="s">
        <v>236</v>
      </c>
      <c r="C442" s="65" t="s">
        <v>237</v>
      </c>
      <c r="D442" s="117"/>
      <c r="E442" s="87"/>
      <c r="F442" s="87"/>
      <c r="G442" s="97"/>
      <c r="H442" s="87"/>
      <c r="I442" s="104">
        <f>SUBTOTAL(9,K443:K462)</f>
        <v>240517.4</v>
      </c>
      <c r="J442" s="108"/>
      <c r="K442"/>
      <c r="L442"/>
      <c r="M442"/>
      <c r="N442"/>
      <c r="O442"/>
      <c r="P442"/>
      <c r="Q442"/>
      <c r="R442"/>
      <c r="S442"/>
      <c r="T442"/>
    </row>
    <row r="443" spans="1:20" outlineLevel="3" x14ac:dyDescent="0.3">
      <c r="A443" s="82" t="s">
        <v>1221</v>
      </c>
      <c r="B443" s="10" t="s">
        <v>239</v>
      </c>
      <c r="C443" s="60" t="s">
        <v>240</v>
      </c>
      <c r="D443" s="44" t="s">
        <v>93</v>
      </c>
      <c r="E443" s="84">
        <v>0</v>
      </c>
      <c r="F443" s="84"/>
      <c r="G443" s="94">
        <f t="shared" ref="G443:G450" si="62">cell_CoefGeneral</f>
        <v>1</v>
      </c>
      <c r="H443" s="93">
        <f t="shared" ref="H443:H450" si="63">H64</f>
        <v>36000</v>
      </c>
      <c r="I443" s="84">
        <f t="shared" ref="I443:I450" si="64">IFERROR(ROUND(E443*H443,2),"-")</f>
        <v>0</v>
      </c>
      <c r="J443" s="105">
        <f t="shared" ref="J443:J450" si="65">IFERROR(I443/cell_Total_HT,"-")</f>
        <v>0</v>
      </c>
      <c r="K443">
        <f t="shared" ref="K443:K450" si="66">I443</f>
        <v>0</v>
      </c>
      <c r="L443"/>
      <c r="M443"/>
      <c r="N443"/>
      <c r="O443"/>
      <c r="P443"/>
      <c r="Q443"/>
      <c r="R443"/>
      <c r="S443"/>
      <c r="T443"/>
    </row>
    <row r="444" spans="1:20" outlineLevel="3" x14ac:dyDescent="0.3">
      <c r="A444" s="82" t="s">
        <v>1222</v>
      </c>
      <c r="B444" s="10" t="s">
        <v>242</v>
      </c>
      <c r="C444" s="60" t="s">
        <v>243</v>
      </c>
      <c r="D444" s="44" t="s">
        <v>141</v>
      </c>
      <c r="E444" s="84">
        <v>3430</v>
      </c>
      <c r="F444" s="84"/>
      <c r="G444" s="94">
        <f t="shared" si="62"/>
        <v>1</v>
      </c>
      <c r="H444" s="93">
        <f t="shared" si="63"/>
        <v>8</v>
      </c>
      <c r="I444" s="84">
        <f t="shared" si="64"/>
        <v>27440</v>
      </c>
      <c r="J444" s="105">
        <f t="shared" si="65"/>
        <v>8.1009154418239023E-3</v>
      </c>
      <c r="K444">
        <f t="shared" si="66"/>
        <v>27440</v>
      </c>
      <c r="L444"/>
      <c r="M444"/>
      <c r="N444"/>
      <c r="O444"/>
      <c r="P444"/>
      <c r="Q444"/>
      <c r="R444"/>
      <c r="S444"/>
      <c r="T444"/>
    </row>
    <row r="445" spans="1:20" ht="28.8" outlineLevel="3" x14ac:dyDescent="0.3">
      <c r="A445" s="82" t="s">
        <v>1223</v>
      </c>
      <c r="B445" s="10" t="s">
        <v>245</v>
      </c>
      <c r="C445" s="60" t="s">
        <v>246</v>
      </c>
      <c r="D445" s="44" t="s">
        <v>141</v>
      </c>
      <c r="E445" s="84">
        <v>2200</v>
      </c>
      <c r="F445" s="84"/>
      <c r="G445" s="94">
        <f t="shared" si="62"/>
        <v>1</v>
      </c>
      <c r="H445" s="93">
        <f t="shared" si="63"/>
        <v>4.9000000000000004</v>
      </c>
      <c r="I445" s="84">
        <f t="shared" si="64"/>
        <v>10780</v>
      </c>
      <c r="J445" s="105">
        <f t="shared" si="65"/>
        <v>3.1825024950022478E-3</v>
      </c>
      <c r="K445">
        <f t="shared" si="66"/>
        <v>10780</v>
      </c>
      <c r="L445"/>
      <c r="M445"/>
      <c r="N445"/>
      <c r="O445"/>
      <c r="P445"/>
      <c r="Q445"/>
      <c r="R445"/>
      <c r="S445"/>
      <c r="T445"/>
    </row>
    <row r="446" spans="1:20" outlineLevel="3" x14ac:dyDescent="0.3">
      <c r="A446" s="82" t="s">
        <v>1224</v>
      </c>
      <c r="B446" s="10" t="s">
        <v>248</v>
      </c>
      <c r="C446" s="60" t="s">
        <v>249</v>
      </c>
      <c r="D446" s="44" t="s">
        <v>141</v>
      </c>
      <c r="E446" s="84">
        <v>2541</v>
      </c>
      <c r="F446" s="84"/>
      <c r="G446" s="94">
        <f t="shared" si="62"/>
        <v>1</v>
      </c>
      <c r="H446" s="93">
        <f t="shared" si="63"/>
        <v>9</v>
      </c>
      <c r="I446" s="84">
        <f t="shared" si="64"/>
        <v>22869</v>
      </c>
      <c r="J446" s="105">
        <f t="shared" si="65"/>
        <v>6.7514517215404822E-3</v>
      </c>
      <c r="K446">
        <f t="shared" si="66"/>
        <v>22869</v>
      </c>
      <c r="L446"/>
      <c r="M446"/>
      <c r="N446"/>
      <c r="O446"/>
      <c r="P446"/>
      <c r="Q446"/>
      <c r="R446"/>
      <c r="S446"/>
      <c r="T446"/>
    </row>
    <row r="447" spans="1:20" outlineLevel="3" x14ac:dyDescent="0.3">
      <c r="A447" s="82" t="s">
        <v>1225</v>
      </c>
      <c r="B447" s="10" t="s">
        <v>251</v>
      </c>
      <c r="C447" s="60" t="s">
        <v>252</v>
      </c>
      <c r="D447" s="44" t="s">
        <v>141</v>
      </c>
      <c r="E447" s="84">
        <v>0</v>
      </c>
      <c r="F447" s="84"/>
      <c r="G447" s="94">
        <f t="shared" si="62"/>
        <v>1</v>
      </c>
      <c r="H447" s="93">
        <f t="shared" si="63"/>
        <v>10</v>
      </c>
      <c r="I447" s="84">
        <f t="shared" si="64"/>
        <v>0</v>
      </c>
      <c r="J447" s="105">
        <f t="shared" si="65"/>
        <v>0</v>
      </c>
      <c r="K447">
        <f t="shared" si="66"/>
        <v>0</v>
      </c>
      <c r="L447"/>
      <c r="M447"/>
      <c r="N447"/>
      <c r="O447"/>
      <c r="P447"/>
      <c r="Q447"/>
      <c r="R447"/>
      <c r="S447"/>
      <c r="T447"/>
    </row>
    <row r="448" spans="1:20" outlineLevel="3" x14ac:dyDescent="0.3">
      <c r="A448" s="82" t="s">
        <v>1226</v>
      </c>
      <c r="B448" s="10" t="s">
        <v>254</v>
      </c>
      <c r="C448" s="60" t="s">
        <v>255</v>
      </c>
      <c r="D448" s="44" t="s">
        <v>141</v>
      </c>
      <c r="E448" s="84">
        <v>150</v>
      </c>
      <c r="F448" s="84"/>
      <c r="G448" s="94">
        <f t="shared" si="62"/>
        <v>1</v>
      </c>
      <c r="H448" s="93">
        <f t="shared" si="63"/>
        <v>13</v>
      </c>
      <c r="I448" s="84">
        <f t="shared" si="64"/>
        <v>1950</v>
      </c>
      <c r="J448" s="105">
        <f t="shared" si="65"/>
        <v>5.7568458861357913E-4</v>
      </c>
      <c r="K448">
        <f t="shared" si="66"/>
        <v>1950</v>
      </c>
      <c r="L448"/>
      <c r="M448"/>
      <c r="N448"/>
      <c r="O448"/>
      <c r="P448"/>
      <c r="Q448"/>
      <c r="R448"/>
      <c r="S448"/>
      <c r="T448"/>
    </row>
    <row r="449" spans="1:20" outlineLevel="3" x14ac:dyDescent="0.3">
      <c r="A449" s="82" t="s">
        <v>1227</v>
      </c>
      <c r="B449" s="10" t="s">
        <v>257</v>
      </c>
      <c r="C449" s="60" t="s">
        <v>258</v>
      </c>
      <c r="D449" s="44" t="s">
        <v>141</v>
      </c>
      <c r="E449" s="84">
        <v>68</v>
      </c>
      <c r="F449" s="84"/>
      <c r="G449" s="94">
        <f t="shared" si="62"/>
        <v>1</v>
      </c>
      <c r="H449" s="93">
        <f t="shared" si="63"/>
        <v>11</v>
      </c>
      <c r="I449" s="84">
        <f t="shared" si="64"/>
        <v>748</v>
      </c>
      <c r="J449" s="105">
        <f t="shared" si="65"/>
        <v>2.2082670373484983E-4</v>
      </c>
      <c r="K449">
        <f t="shared" si="66"/>
        <v>748</v>
      </c>
      <c r="L449"/>
      <c r="M449"/>
      <c r="N449"/>
      <c r="O449"/>
      <c r="P449"/>
      <c r="Q449"/>
      <c r="R449"/>
      <c r="S449"/>
      <c r="T449"/>
    </row>
    <row r="450" spans="1:20" outlineLevel="3" x14ac:dyDescent="0.3">
      <c r="A450" s="82" t="s">
        <v>1228</v>
      </c>
      <c r="B450" s="10" t="s">
        <v>260</v>
      </c>
      <c r="C450" s="60" t="s">
        <v>261</v>
      </c>
      <c r="D450" s="44" t="s">
        <v>141</v>
      </c>
      <c r="E450" s="84">
        <v>5272</v>
      </c>
      <c r="F450" s="84"/>
      <c r="G450" s="94">
        <f t="shared" si="62"/>
        <v>1</v>
      </c>
      <c r="H450" s="93">
        <f t="shared" si="63"/>
        <v>7.5</v>
      </c>
      <c r="I450" s="84">
        <f t="shared" si="64"/>
        <v>39540</v>
      </c>
      <c r="J450" s="105">
        <f t="shared" si="65"/>
        <v>1.1673112119887651E-2</v>
      </c>
      <c r="K450">
        <f t="shared" si="66"/>
        <v>39540</v>
      </c>
      <c r="L450"/>
      <c r="M450"/>
      <c r="N450"/>
      <c r="O450"/>
      <c r="P450"/>
      <c r="Q450"/>
      <c r="R450"/>
      <c r="S450"/>
      <c r="T450"/>
    </row>
    <row r="451" spans="1:20" outlineLevel="3" x14ac:dyDescent="0.3">
      <c r="A451" s="82" t="s">
        <v>1229</v>
      </c>
      <c r="B451" s="58" t="s">
        <v>263</v>
      </c>
      <c r="C451" s="61" t="s">
        <v>264</v>
      </c>
      <c r="D451" s="115"/>
      <c r="E451" s="87"/>
      <c r="F451" s="87"/>
      <c r="G451" s="97"/>
      <c r="H451" s="87"/>
      <c r="I451" s="104">
        <f>SUBTOTAL(9,K452:K456)</f>
        <v>93704</v>
      </c>
      <c r="J451" s="108"/>
      <c r="K451"/>
      <c r="L451"/>
      <c r="M451"/>
      <c r="N451"/>
      <c r="O451"/>
      <c r="P451"/>
      <c r="Q451"/>
      <c r="R451"/>
      <c r="S451"/>
      <c r="T451"/>
    </row>
    <row r="452" spans="1:20" outlineLevel="4" x14ac:dyDescent="0.3">
      <c r="A452" s="82" t="s">
        <v>1230</v>
      </c>
      <c r="B452" s="10" t="s">
        <v>266</v>
      </c>
      <c r="C452" s="60" t="s">
        <v>267</v>
      </c>
      <c r="D452" s="44" t="s">
        <v>268</v>
      </c>
      <c r="E452" s="84">
        <v>2178</v>
      </c>
      <c r="F452" s="84"/>
      <c r="G452" s="94">
        <f t="shared" ref="G452:G462" si="67">cell_CoefGeneral</f>
        <v>1</v>
      </c>
      <c r="H452" s="93">
        <f t="shared" ref="H452:H462" si="68">H73</f>
        <v>11</v>
      </c>
      <c r="I452" s="84">
        <f t="shared" ref="I452:I462" si="69">IFERROR(ROUND(E452*H452,2),"-")</f>
        <v>23958</v>
      </c>
      <c r="J452" s="105">
        <f t="shared" ref="J452:J462" si="70">IFERROR(I452/cell_Total_HT,"-")</f>
        <v>7.0729494225662201E-3</v>
      </c>
      <c r="K452">
        <f t="shared" ref="K452:K462" si="71">I452</f>
        <v>23958</v>
      </c>
      <c r="L452"/>
      <c r="M452"/>
      <c r="N452"/>
      <c r="O452"/>
      <c r="P452"/>
      <c r="Q452"/>
      <c r="R452"/>
      <c r="S452"/>
      <c r="T452"/>
    </row>
    <row r="453" spans="1:20" outlineLevel="4" x14ac:dyDescent="0.3">
      <c r="A453" s="82" t="s">
        <v>1231</v>
      </c>
      <c r="B453" s="10" t="s">
        <v>270</v>
      </c>
      <c r="C453" s="60" t="s">
        <v>271</v>
      </c>
      <c r="D453" s="44" t="s">
        <v>268</v>
      </c>
      <c r="E453" s="84">
        <v>436</v>
      </c>
      <c r="F453" s="84"/>
      <c r="G453" s="94">
        <f t="shared" si="67"/>
        <v>1</v>
      </c>
      <c r="H453" s="93">
        <f t="shared" si="68"/>
        <v>46</v>
      </c>
      <c r="I453" s="84">
        <f t="shared" si="69"/>
        <v>20056</v>
      </c>
      <c r="J453" s="105">
        <f t="shared" si="70"/>
        <v>5.9209897996071502E-3</v>
      </c>
      <c r="K453">
        <f t="shared" si="71"/>
        <v>20056</v>
      </c>
      <c r="L453"/>
      <c r="M453"/>
      <c r="N453"/>
      <c r="O453"/>
      <c r="P453"/>
      <c r="Q453"/>
      <c r="R453"/>
      <c r="S453"/>
      <c r="T453"/>
    </row>
    <row r="454" spans="1:20" outlineLevel="4" x14ac:dyDescent="0.3">
      <c r="A454" s="82" t="s">
        <v>1232</v>
      </c>
      <c r="B454" s="10" t="s">
        <v>273</v>
      </c>
      <c r="C454" s="60" t="s">
        <v>274</v>
      </c>
      <c r="D454" s="44" t="s">
        <v>268</v>
      </c>
      <c r="E454" s="84">
        <v>515</v>
      </c>
      <c r="F454" s="84"/>
      <c r="G454" s="94">
        <f t="shared" si="67"/>
        <v>1</v>
      </c>
      <c r="H454" s="93">
        <f t="shared" si="68"/>
        <v>56</v>
      </c>
      <c r="I454" s="84">
        <f t="shared" si="69"/>
        <v>28840</v>
      </c>
      <c r="J454" s="105">
        <f t="shared" si="70"/>
        <v>8.5142274541618566E-3</v>
      </c>
      <c r="K454">
        <f t="shared" si="71"/>
        <v>28840</v>
      </c>
      <c r="L454"/>
      <c r="M454"/>
      <c r="N454"/>
      <c r="O454"/>
      <c r="P454"/>
      <c r="Q454"/>
      <c r="R454"/>
      <c r="S454"/>
      <c r="T454"/>
    </row>
    <row r="455" spans="1:20" outlineLevel="4" x14ac:dyDescent="0.3">
      <c r="A455" s="82" t="s">
        <v>1233</v>
      </c>
      <c r="B455" s="10" t="s">
        <v>276</v>
      </c>
      <c r="C455" s="60" t="s">
        <v>277</v>
      </c>
      <c r="D455" s="44" t="s">
        <v>268</v>
      </c>
      <c r="E455" s="84">
        <v>139</v>
      </c>
      <c r="F455" s="84"/>
      <c r="G455" s="94">
        <f t="shared" si="67"/>
        <v>1</v>
      </c>
      <c r="H455" s="93">
        <f t="shared" si="68"/>
        <v>150</v>
      </c>
      <c r="I455" s="84">
        <f t="shared" si="69"/>
        <v>20850</v>
      </c>
      <c r="J455" s="105">
        <f t="shared" si="70"/>
        <v>6.1553967551759613E-3</v>
      </c>
      <c r="K455">
        <f t="shared" si="71"/>
        <v>20850</v>
      </c>
      <c r="L455"/>
      <c r="M455"/>
      <c r="N455"/>
      <c r="O455"/>
      <c r="P455"/>
      <c r="Q455"/>
      <c r="R455"/>
      <c r="S455"/>
      <c r="T455"/>
    </row>
    <row r="456" spans="1:20" outlineLevel="4" x14ac:dyDescent="0.3">
      <c r="A456" s="82" t="s">
        <v>1234</v>
      </c>
      <c r="B456" s="10" t="s">
        <v>279</v>
      </c>
      <c r="C456" s="60" t="s">
        <v>280</v>
      </c>
      <c r="D456" s="44" t="s">
        <v>268</v>
      </c>
      <c r="E456" s="84">
        <v>0</v>
      </c>
      <c r="F456" s="84"/>
      <c r="G456" s="94">
        <f t="shared" si="67"/>
        <v>1</v>
      </c>
      <c r="H456" s="93">
        <f t="shared" si="68"/>
        <v>56</v>
      </c>
      <c r="I456" s="84">
        <f t="shared" si="69"/>
        <v>0</v>
      </c>
      <c r="J456" s="105">
        <f t="shared" si="70"/>
        <v>0</v>
      </c>
      <c r="K456">
        <f t="shared" si="71"/>
        <v>0</v>
      </c>
      <c r="L456"/>
      <c r="M456"/>
      <c r="N456"/>
      <c r="O456"/>
      <c r="P456"/>
      <c r="Q456"/>
      <c r="R456"/>
      <c r="S456"/>
      <c r="T456"/>
    </row>
    <row r="457" spans="1:20" outlineLevel="3" x14ac:dyDescent="0.3">
      <c r="A457" s="82" t="s">
        <v>1235</v>
      </c>
      <c r="B457" s="10" t="s">
        <v>282</v>
      </c>
      <c r="C457" s="60" t="s">
        <v>283</v>
      </c>
      <c r="D457" s="44" t="s">
        <v>128</v>
      </c>
      <c r="E457" s="84">
        <v>932</v>
      </c>
      <c r="F457" s="84"/>
      <c r="G457" s="94">
        <f t="shared" si="67"/>
        <v>1</v>
      </c>
      <c r="H457" s="93">
        <f t="shared" si="68"/>
        <v>1.7</v>
      </c>
      <c r="I457" s="84">
        <f t="shared" si="69"/>
        <v>1584.4</v>
      </c>
      <c r="J457" s="105">
        <f t="shared" si="70"/>
        <v>4.6775110882018195E-4</v>
      </c>
      <c r="K457">
        <f t="shared" si="71"/>
        <v>1584.4</v>
      </c>
      <c r="L457"/>
      <c r="M457"/>
      <c r="N457"/>
      <c r="O457"/>
      <c r="P457"/>
      <c r="Q457"/>
      <c r="R457"/>
      <c r="S457"/>
      <c r="T457"/>
    </row>
    <row r="458" spans="1:20" outlineLevel="3" x14ac:dyDescent="0.3">
      <c r="A458" s="82" t="s">
        <v>1236</v>
      </c>
      <c r="B458" s="10" t="s">
        <v>285</v>
      </c>
      <c r="C458" s="60" t="s">
        <v>286</v>
      </c>
      <c r="D458" s="44" t="s">
        <v>141</v>
      </c>
      <c r="E458" s="84">
        <v>852</v>
      </c>
      <c r="F458" s="84"/>
      <c r="G458" s="94">
        <f t="shared" si="67"/>
        <v>1</v>
      </c>
      <c r="H458" s="93">
        <f t="shared" si="68"/>
        <v>13</v>
      </c>
      <c r="I458" s="84">
        <f t="shared" si="69"/>
        <v>11076</v>
      </c>
      <c r="J458" s="105">
        <f t="shared" si="70"/>
        <v>3.2698884633251294E-3</v>
      </c>
      <c r="K458">
        <f t="shared" si="71"/>
        <v>11076</v>
      </c>
      <c r="L458"/>
      <c r="M458"/>
      <c r="N458"/>
      <c r="O458"/>
      <c r="P458"/>
      <c r="Q458"/>
      <c r="R458"/>
      <c r="S458"/>
      <c r="T458"/>
    </row>
    <row r="459" spans="1:20" outlineLevel="3" x14ac:dyDescent="0.3">
      <c r="A459" s="82" t="s">
        <v>1237</v>
      </c>
      <c r="B459" s="10" t="s">
        <v>288</v>
      </c>
      <c r="C459" s="60" t="s">
        <v>289</v>
      </c>
      <c r="D459" s="44" t="s">
        <v>141</v>
      </c>
      <c r="E459" s="84">
        <v>440</v>
      </c>
      <c r="F459" s="84"/>
      <c r="G459" s="94">
        <f t="shared" si="67"/>
        <v>1</v>
      </c>
      <c r="H459" s="93">
        <f t="shared" si="68"/>
        <v>14</v>
      </c>
      <c r="I459" s="84">
        <f t="shared" si="69"/>
        <v>6160</v>
      </c>
      <c r="J459" s="105">
        <f t="shared" si="70"/>
        <v>1.8185728542869986E-3</v>
      </c>
      <c r="K459">
        <f t="shared" si="71"/>
        <v>6160</v>
      </c>
      <c r="L459"/>
      <c r="M459"/>
      <c r="N459"/>
      <c r="O459"/>
      <c r="P459"/>
      <c r="Q459"/>
      <c r="R459"/>
      <c r="S459"/>
      <c r="T459"/>
    </row>
    <row r="460" spans="1:20" outlineLevel="3" x14ac:dyDescent="0.3">
      <c r="A460" s="82" t="s">
        <v>1238</v>
      </c>
      <c r="B460" s="10" t="s">
        <v>291</v>
      </c>
      <c r="C460" s="60" t="s">
        <v>292</v>
      </c>
      <c r="D460" s="44" t="s">
        <v>141</v>
      </c>
      <c r="E460" s="84">
        <v>0</v>
      </c>
      <c r="F460" s="84"/>
      <c r="G460" s="94">
        <f t="shared" si="67"/>
        <v>1</v>
      </c>
      <c r="H460" s="93">
        <f t="shared" si="68"/>
        <v>29</v>
      </c>
      <c r="I460" s="84">
        <f t="shared" si="69"/>
        <v>0</v>
      </c>
      <c r="J460" s="105">
        <f t="shared" si="70"/>
        <v>0</v>
      </c>
      <c r="K460">
        <f t="shared" si="71"/>
        <v>0</v>
      </c>
      <c r="L460"/>
      <c r="M460"/>
      <c r="N460"/>
      <c r="O460"/>
      <c r="P460"/>
      <c r="Q460"/>
      <c r="R460"/>
      <c r="S460"/>
      <c r="T460"/>
    </row>
    <row r="461" spans="1:20" ht="28.8" outlineLevel="3" x14ac:dyDescent="0.3">
      <c r="A461" s="82" t="s">
        <v>1239</v>
      </c>
      <c r="B461" s="10" t="s">
        <v>294</v>
      </c>
      <c r="C461" s="60" t="s">
        <v>295</v>
      </c>
      <c r="D461" s="44" t="s">
        <v>141</v>
      </c>
      <c r="E461" s="84">
        <v>607</v>
      </c>
      <c r="F461" s="84"/>
      <c r="G461" s="94">
        <f t="shared" si="67"/>
        <v>1</v>
      </c>
      <c r="H461" s="93">
        <f t="shared" si="68"/>
        <v>38</v>
      </c>
      <c r="I461" s="84">
        <f t="shared" si="69"/>
        <v>23066</v>
      </c>
      <c r="J461" s="105">
        <f t="shared" si="70"/>
        <v>6.8096106261337514E-3</v>
      </c>
      <c r="K461">
        <f t="shared" si="71"/>
        <v>23066</v>
      </c>
      <c r="L461"/>
      <c r="M461"/>
      <c r="N461"/>
      <c r="O461"/>
      <c r="P461"/>
      <c r="Q461"/>
      <c r="R461"/>
      <c r="S461"/>
      <c r="T461"/>
    </row>
    <row r="462" spans="1:20" ht="15" outlineLevel="3" thickBot="1" x14ac:dyDescent="0.35">
      <c r="A462" s="82" t="s">
        <v>1240</v>
      </c>
      <c r="B462" s="10" t="s">
        <v>297</v>
      </c>
      <c r="C462" s="60" t="s">
        <v>298</v>
      </c>
      <c r="D462" s="44" t="s">
        <v>121</v>
      </c>
      <c r="E462" s="84">
        <v>10</v>
      </c>
      <c r="F462" s="84"/>
      <c r="G462" s="94">
        <f t="shared" si="67"/>
        <v>1</v>
      </c>
      <c r="H462" s="93">
        <f t="shared" si="68"/>
        <v>160</v>
      </c>
      <c r="I462" s="84">
        <f t="shared" si="69"/>
        <v>1600</v>
      </c>
      <c r="J462" s="105">
        <f t="shared" si="70"/>
        <v>4.7235658552909055E-4</v>
      </c>
      <c r="K462">
        <f t="shared" si="71"/>
        <v>1600</v>
      </c>
      <c r="L462"/>
      <c r="M462"/>
      <c r="N462"/>
      <c r="O462"/>
      <c r="P462"/>
      <c r="Q462"/>
      <c r="R462"/>
      <c r="S462"/>
      <c r="T462"/>
    </row>
    <row r="463" spans="1:20" ht="15" outlineLevel="2" thickTop="1" x14ac:dyDescent="0.3">
      <c r="A463" s="82" t="s">
        <v>1241</v>
      </c>
      <c r="B463" s="62" t="s">
        <v>60</v>
      </c>
      <c r="C463" s="63" t="s">
        <v>300</v>
      </c>
      <c r="D463" s="116"/>
      <c r="E463" s="88"/>
      <c r="F463" s="88"/>
      <c r="G463" s="98"/>
      <c r="H463" s="88"/>
      <c r="I463" s="88">
        <f>SUBTOTAL(9,I443:I462)</f>
        <v>240517.4</v>
      </c>
      <c r="J463" s="109"/>
      <c r="K463"/>
      <c r="L463"/>
      <c r="M463"/>
      <c r="N463"/>
      <c r="O463"/>
      <c r="P463"/>
      <c r="Q463"/>
      <c r="R463"/>
      <c r="S463"/>
      <c r="T463"/>
    </row>
    <row r="464" spans="1:20" outlineLevel="2" x14ac:dyDescent="0.3">
      <c r="A464" s="82" t="s">
        <v>1242</v>
      </c>
      <c r="B464" s="64" t="s">
        <v>302</v>
      </c>
      <c r="C464" s="65" t="s">
        <v>303</v>
      </c>
      <c r="D464" s="117"/>
      <c r="E464" s="87"/>
      <c r="F464" s="87"/>
      <c r="G464" s="97"/>
      <c r="H464" s="87"/>
      <c r="I464" s="104">
        <f>SUBTOTAL(9,K465:K518)</f>
        <v>255604.7</v>
      </c>
      <c r="J464" s="108"/>
      <c r="K464"/>
      <c r="L464"/>
      <c r="M464"/>
      <c r="N464"/>
      <c r="O464"/>
      <c r="P464"/>
      <c r="Q464"/>
      <c r="R464"/>
      <c r="S464"/>
      <c r="T464"/>
    </row>
    <row r="465" spans="1:20" outlineLevel="3" x14ac:dyDescent="0.3">
      <c r="A465" s="82" t="s">
        <v>1243</v>
      </c>
      <c r="B465" s="64" t="s">
        <v>305</v>
      </c>
      <c r="C465" s="66" t="s">
        <v>306</v>
      </c>
      <c r="D465" s="117"/>
      <c r="E465" s="87"/>
      <c r="F465" s="87"/>
      <c r="G465" s="97"/>
      <c r="H465" s="87"/>
      <c r="I465" s="104">
        <f>SUBTOTAL(9,K466:K469)</f>
        <v>43853</v>
      </c>
      <c r="J465" s="108"/>
      <c r="K465"/>
      <c r="L465"/>
      <c r="M465"/>
      <c r="N465"/>
      <c r="O465"/>
      <c r="P465"/>
      <c r="Q465"/>
      <c r="R465"/>
      <c r="S465"/>
      <c r="T465"/>
    </row>
    <row r="466" spans="1:20" outlineLevel="4" x14ac:dyDescent="0.3">
      <c r="A466" s="82" t="s">
        <v>1244</v>
      </c>
      <c r="B466" s="10" t="s">
        <v>308</v>
      </c>
      <c r="C466" s="60" t="s">
        <v>309</v>
      </c>
      <c r="D466" s="44" t="s">
        <v>154</v>
      </c>
      <c r="E466" s="84">
        <v>1070</v>
      </c>
      <c r="F466" s="84"/>
      <c r="G466" s="94">
        <f>cell_CoefGeneral</f>
        <v>1</v>
      </c>
      <c r="H466" s="93">
        <f>H87</f>
        <v>1.8</v>
      </c>
      <c r="I466" s="84">
        <f>IFERROR(ROUND(E466*H466,2),"-")</f>
        <v>1926</v>
      </c>
      <c r="J466" s="105">
        <f>IFERROR(I466/cell_Total_HT,"-")</f>
        <v>5.6859923983064279E-4</v>
      </c>
      <c r="K466">
        <f>I466</f>
        <v>1926</v>
      </c>
      <c r="L466"/>
      <c r="M466"/>
      <c r="N466"/>
      <c r="O466"/>
      <c r="P466"/>
      <c r="Q466"/>
      <c r="R466"/>
      <c r="S466"/>
      <c r="T466"/>
    </row>
    <row r="467" spans="1:20" ht="28.8" outlineLevel="4" x14ac:dyDescent="0.3">
      <c r="A467" s="82" t="s">
        <v>1245</v>
      </c>
      <c r="B467" s="10" t="s">
        <v>311</v>
      </c>
      <c r="C467" s="60" t="s">
        <v>312</v>
      </c>
      <c r="D467" s="44" t="s">
        <v>268</v>
      </c>
      <c r="E467" s="84">
        <v>308</v>
      </c>
      <c r="F467" s="84"/>
      <c r="G467" s="94">
        <f>cell_CoefGeneral</f>
        <v>1</v>
      </c>
      <c r="H467" s="93">
        <f>H88</f>
        <v>83</v>
      </c>
      <c r="I467" s="84">
        <f>IFERROR(ROUND(E467*H467,2),"-")</f>
        <v>25564</v>
      </c>
      <c r="J467" s="105">
        <f>IFERROR(I467/cell_Total_HT,"-")</f>
        <v>7.5470773452910441E-3</v>
      </c>
      <c r="K467">
        <f>I467</f>
        <v>25564</v>
      </c>
      <c r="L467"/>
      <c r="M467"/>
      <c r="N467"/>
      <c r="O467"/>
      <c r="P467"/>
      <c r="Q467"/>
      <c r="R467"/>
      <c r="S467"/>
      <c r="T467"/>
    </row>
    <row r="468" spans="1:20" outlineLevel="4" x14ac:dyDescent="0.3">
      <c r="A468" s="82" t="s">
        <v>1246</v>
      </c>
      <c r="B468" s="10" t="s">
        <v>314</v>
      </c>
      <c r="C468" s="60" t="s">
        <v>315</v>
      </c>
      <c r="D468" s="44" t="s">
        <v>154</v>
      </c>
      <c r="E468" s="84">
        <v>1070</v>
      </c>
      <c r="F468" s="84"/>
      <c r="G468" s="94">
        <f>cell_CoefGeneral</f>
        <v>1</v>
      </c>
      <c r="H468" s="93">
        <f>H89</f>
        <v>0.9</v>
      </c>
      <c r="I468" s="84">
        <f>IFERROR(ROUND(E468*H468,2),"-")</f>
        <v>963</v>
      </c>
      <c r="J468" s="105">
        <f>IFERROR(I468/cell_Total_HT,"-")</f>
        <v>2.842996199153214E-4</v>
      </c>
      <c r="K468">
        <f>I468</f>
        <v>963</v>
      </c>
      <c r="L468"/>
      <c r="M468"/>
      <c r="N468"/>
      <c r="O468"/>
      <c r="P468"/>
      <c r="Q468"/>
      <c r="R468"/>
      <c r="S468"/>
      <c r="T468"/>
    </row>
    <row r="469" spans="1:20" outlineLevel="4" x14ac:dyDescent="0.3">
      <c r="A469" s="82" t="s">
        <v>1247</v>
      </c>
      <c r="B469" s="10" t="s">
        <v>317</v>
      </c>
      <c r="C469" s="60" t="s">
        <v>318</v>
      </c>
      <c r="D469" s="44" t="s">
        <v>268</v>
      </c>
      <c r="E469" s="84">
        <v>154</v>
      </c>
      <c r="F469" s="84"/>
      <c r="G469" s="94">
        <f>cell_CoefGeneral</f>
        <v>1</v>
      </c>
      <c r="H469" s="93">
        <f>H90</f>
        <v>100</v>
      </c>
      <c r="I469" s="84">
        <f>IFERROR(ROUND(E469*H469,2),"-")</f>
        <v>15400</v>
      </c>
      <c r="J469" s="105">
        <f>IFERROR(I469/cell_Total_HT,"-")</f>
        <v>4.5464321357174967E-3</v>
      </c>
      <c r="K469">
        <f>I469</f>
        <v>15400</v>
      </c>
      <c r="L469"/>
      <c r="M469"/>
      <c r="N469"/>
      <c r="O469"/>
      <c r="P469"/>
      <c r="Q469"/>
      <c r="R469"/>
      <c r="S469"/>
      <c r="T469"/>
    </row>
    <row r="470" spans="1:20" outlineLevel="3" x14ac:dyDescent="0.3">
      <c r="A470" s="82" t="s">
        <v>1248</v>
      </c>
      <c r="B470" s="58" t="s">
        <v>320</v>
      </c>
      <c r="C470" s="61" t="s">
        <v>321</v>
      </c>
      <c r="D470" s="115"/>
      <c r="E470" s="87"/>
      <c r="F470" s="87"/>
      <c r="G470" s="97"/>
      <c r="H470" s="87"/>
      <c r="I470" s="104">
        <f>SUBTOTAL(9,K471:K472)</f>
        <v>5981.5</v>
      </c>
      <c r="J470" s="108"/>
      <c r="K470"/>
      <c r="L470"/>
      <c r="M470"/>
      <c r="N470"/>
      <c r="O470"/>
      <c r="P470"/>
      <c r="Q470"/>
      <c r="R470"/>
      <c r="S470"/>
      <c r="T470"/>
    </row>
    <row r="471" spans="1:20" outlineLevel="4" x14ac:dyDescent="0.3">
      <c r="A471" s="82" t="s">
        <v>1249</v>
      </c>
      <c r="B471" s="10" t="s">
        <v>323</v>
      </c>
      <c r="C471" s="60" t="s">
        <v>309</v>
      </c>
      <c r="D471" s="44" t="s">
        <v>154</v>
      </c>
      <c r="E471" s="84">
        <v>305</v>
      </c>
      <c r="F471" s="84"/>
      <c r="G471" s="94">
        <f>cell_CoefGeneral</f>
        <v>1</v>
      </c>
      <c r="H471" s="93">
        <f>H92</f>
        <v>2.2999999999999998</v>
      </c>
      <c r="I471" s="84">
        <f>IFERROR(ROUND(E471*H471,2),"-")</f>
        <v>701.5</v>
      </c>
      <c r="J471" s="105">
        <f>IFERROR(I471/cell_Total_HT,"-")</f>
        <v>2.0709884046791064E-4</v>
      </c>
      <c r="K471">
        <f>I471</f>
        <v>701.5</v>
      </c>
      <c r="L471"/>
      <c r="M471"/>
      <c r="N471"/>
      <c r="O471"/>
      <c r="P471"/>
      <c r="Q471"/>
      <c r="R471"/>
      <c r="S471"/>
      <c r="T471"/>
    </row>
    <row r="472" spans="1:20" outlineLevel="4" x14ac:dyDescent="0.3">
      <c r="A472" s="82" t="s">
        <v>1250</v>
      </c>
      <c r="B472" s="10" t="s">
        <v>325</v>
      </c>
      <c r="C472" s="60" t="s">
        <v>326</v>
      </c>
      <c r="D472" s="44" t="s">
        <v>268</v>
      </c>
      <c r="E472" s="84">
        <v>44</v>
      </c>
      <c r="F472" s="84"/>
      <c r="G472" s="94">
        <f>cell_CoefGeneral</f>
        <v>1</v>
      </c>
      <c r="H472" s="93">
        <f>H93</f>
        <v>120</v>
      </c>
      <c r="I472" s="84">
        <f>IFERROR(ROUND(E472*H472,2),"-")</f>
        <v>5280</v>
      </c>
      <c r="J472" s="105">
        <f>IFERROR(I472/cell_Total_HT,"-")</f>
        <v>1.5587767322459989E-3</v>
      </c>
      <c r="K472">
        <f>I472</f>
        <v>5280</v>
      </c>
      <c r="L472"/>
      <c r="M472"/>
      <c r="N472"/>
      <c r="O472"/>
      <c r="P472"/>
      <c r="Q472"/>
      <c r="R472"/>
      <c r="S472"/>
      <c r="T472"/>
    </row>
    <row r="473" spans="1:20" outlineLevel="3" x14ac:dyDescent="0.3">
      <c r="A473" s="82" t="s">
        <v>1251</v>
      </c>
      <c r="B473" s="58" t="s">
        <v>328</v>
      </c>
      <c r="C473" s="61" t="s">
        <v>329</v>
      </c>
      <c r="D473" s="115"/>
      <c r="E473" s="87"/>
      <c r="F473" s="87"/>
      <c r="G473" s="97"/>
      <c r="H473" s="87"/>
      <c r="I473" s="104">
        <f>SUBTOTAL(9,K474:K475)</f>
        <v>5016</v>
      </c>
      <c r="J473" s="108"/>
      <c r="K473"/>
      <c r="L473"/>
      <c r="M473"/>
      <c r="N473"/>
      <c r="O473"/>
      <c r="P473"/>
      <c r="Q473"/>
      <c r="R473"/>
      <c r="S473"/>
      <c r="T473"/>
    </row>
    <row r="474" spans="1:20" outlineLevel="4" x14ac:dyDescent="0.3">
      <c r="A474" s="82" t="s">
        <v>1252</v>
      </c>
      <c r="B474" s="10" t="s">
        <v>331</v>
      </c>
      <c r="C474" s="60" t="s">
        <v>332</v>
      </c>
      <c r="D474" s="44" t="s">
        <v>154</v>
      </c>
      <c r="E474" s="84">
        <v>66</v>
      </c>
      <c r="F474" s="84"/>
      <c r="G474" s="94">
        <f>cell_CoefGeneral</f>
        <v>1</v>
      </c>
      <c r="H474" s="93">
        <f>H95</f>
        <v>76</v>
      </c>
      <c r="I474" s="84">
        <f>IFERROR(ROUND(E474*H474,2),"-")</f>
        <v>5016</v>
      </c>
      <c r="J474" s="105">
        <f>IFERROR(I474/cell_Total_HT,"-")</f>
        <v>1.480837895633699E-3</v>
      </c>
      <c r="K474">
        <f>I474</f>
        <v>5016</v>
      </c>
      <c r="L474"/>
      <c r="M474"/>
      <c r="N474"/>
      <c r="O474"/>
      <c r="P474"/>
      <c r="Q474"/>
      <c r="R474"/>
      <c r="S474"/>
      <c r="T474"/>
    </row>
    <row r="475" spans="1:20" outlineLevel="4" x14ac:dyDescent="0.3">
      <c r="A475" s="82" t="s">
        <v>1253</v>
      </c>
      <c r="B475" s="10" t="s">
        <v>334</v>
      </c>
      <c r="C475" s="60" t="s">
        <v>335</v>
      </c>
      <c r="D475" s="44" t="s">
        <v>80</v>
      </c>
      <c r="E475" s="84">
        <v>0</v>
      </c>
      <c r="F475" s="84"/>
      <c r="G475" s="94">
        <f>cell_CoefGeneral</f>
        <v>1</v>
      </c>
      <c r="H475" s="93">
        <f>H96</f>
        <v>60</v>
      </c>
      <c r="I475" s="84">
        <f>IFERROR(ROUND(E475*H475,2),"-")</f>
        <v>0</v>
      </c>
      <c r="J475" s="105">
        <f>IFERROR(I475/cell_Total_HT,"-")</f>
        <v>0</v>
      </c>
      <c r="K475">
        <f>I475</f>
        <v>0</v>
      </c>
      <c r="L475"/>
      <c r="M475"/>
      <c r="N475"/>
      <c r="O475"/>
      <c r="P475"/>
      <c r="Q475"/>
      <c r="R475"/>
      <c r="S475"/>
      <c r="T475"/>
    </row>
    <row r="476" spans="1:20" outlineLevel="3" x14ac:dyDescent="0.3">
      <c r="A476" s="82" t="s">
        <v>1254</v>
      </c>
      <c r="B476" s="58" t="s">
        <v>337</v>
      </c>
      <c r="C476" s="61" t="s">
        <v>338</v>
      </c>
      <c r="D476" s="115"/>
      <c r="E476" s="87"/>
      <c r="F476" s="87"/>
      <c r="G476" s="97"/>
      <c r="H476" s="87"/>
      <c r="I476" s="104">
        <f>SUBTOTAL(9,K477:K477)</f>
        <v>104500</v>
      </c>
      <c r="J476" s="108"/>
      <c r="K476"/>
      <c r="L476"/>
      <c r="M476"/>
      <c r="N476"/>
      <c r="O476"/>
      <c r="P476"/>
      <c r="Q476"/>
      <c r="R476"/>
      <c r="S476"/>
      <c r="T476"/>
    </row>
    <row r="477" spans="1:20" outlineLevel="4" x14ac:dyDescent="0.3">
      <c r="A477" s="82" t="s">
        <v>1255</v>
      </c>
      <c r="B477" s="10" t="s">
        <v>340</v>
      </c>
      <c r="C477" s="60" t="s">
        <v>332</v>
      </c>
      <c r="D477" s="44" t="s">
        <v>154</v>
      </c>
      <c r="E477" s="84">
        <v>1375</v>
      </c>
      <c r="F477" s="84"/>
      <c r="G477" s="94">
        <f>cell_CoefGeneral</f>
        <v>1</v>
      </c>
      <c r="H477" s="93">
        <f>H98</f>
        <v>76</v>
      </c>
      <c r="I477" s="84">
        <f>IFERROR(ROUND(E477*H477,2),"-")</f>
        <v>104500</v>
      </c>
      <c r="J477" s="105">
        <f>IFERROR(I477/cell_Total_HT,"-")</f>
        <v>3.0850789492368726E-2</v>
      </c>
      <c r="K477">
        <f>I477</f>
        <v>104500</v>
      </c>
      <c r="L477"/>
      <c r="M477"/>
      <c r="N477"/>
      <c r="O477"/>
      <c r="P477"/>
      <c r="Q477"/>
      <c r="R477"/>
      <c r="S477"/>
      <c r="T477"/>
    </row>
    <row r="478" spans="1:20" outlineLevel="3" x14ac:dyDescent="0.3">
      <c r="A478" s="82" t="s">
        <v>1256</v>
      </c>
      <c r="B478" s="58" t="s">
        <v>342</v>
      </c>
      <c r="C478" s="61" t="s">
        <v>343</v>
      </c>
      <c r="D478" s="115"/>
      <c r="E478" s="87"/>
      <c r="F478" s="87"/>
      <c r="G478" s="97"/>
      <c r="H478" s="87"/>
      <c r="I478" s="104">
        <f>SUBTOTAL(9,K479:K479)</f>
        <v>36788</v>
      </c>
      <c r="J478" s="108"/>
      <c r="K478"/>
      <c r="L478"/>
      <c r="M478"/>
      <c r="N478"/>
      <c r="O478"/>
      <c r="P478"/>
      <c r="Q478"/>
      <c r="R478"/>
      <c r="S478"/>
      <c r="T478"/>
    </row>
    <row r="479" spans="1:20" outlineLevel="4" x14ac:dyDescent="0.3">
      <c r="A479" s="82" t="s">
        <v>1257</v>
      </c>
      <c r="B479" s="10" t="s">
        <v>345</v>
      </c>
      <c r="C479" s="60" t="s">
        <v>346</v>
      </c>
      <c r="D479" s="44" t="s">
        <v>154</v>
      </c>
      <c r="E479" s="84">
        <v>541</v>
      </c>
      <c r="F479" s="84"/>
      <c r="G479" s="94">
        <f>cell_CoefGeneral</f>
        <v>1</v>
      </c>
      <c r="H479" s="93">
        <f>H100</f>
        <v>68</v>
      </c>
      <c r="I479" s="84">
        <f>IFERROR(ROUND(E479*H479,2),"-")</f>
        <v>36788</v>
      </c>
      <c r="J479" s="105">
        <f>IFERROR(I479/cell_Total_HT,"-")</f>
        <v>1.0860658792777615E-2</v>
      </c>
      <c r="K479">
        <f>I479</f>
        <v>36788</v>
      </c>
      <c r="L479"/>
      <c r="M479"/>
      <c r="N479"/>
      <c r="O479"/>
      <c r="P479"/>
      <c r="Q479"/>
      <c r="R479"/>
      <c r="S479"/>
      <c r="T479"/>
    </row>
    <row r="480" spans="1:20" outlineLevel="3" x14ac:dyDescent="0.3">
      <c r="A480" s="82" t="s">
        <v>1258</v>
      </c>
      <c r="B480" s="58" t="s">
        <v>348</v>
      </c>
      <c r="C480" s="61" t="s">
        <v>349</v>
      </c>
      <c r="D480" s="115"/>
      <c r="E480" s="87"/>
      <c r="F480" s="87"/>
      <c r="G480" s="97"/>
      <c r="H480" s="87"/>
      <c r="I480" s="104">
        <f>SUBTOTAL(9,K481:K482)</f>
        <v>0</v>
      </c>
      <c r="J480" s="108"/>
      <c r="K480"/>
      <c r="L480"/>
      <c r="M480"/>
      <c r="N480"/>
      <c r="O480"/>
      <c r="P480"/>
      <c r="Q480"/>
      <c r="R480"/>
      <c r="S480"/>
      <c r="T480"/>
    </row>
    <row r="481" spans="1:20" ht="28.8" outlineLevel="4" x14ac:dyDescent="0.3">
      <c r="A481" s="82" t="s">
        <v>1259</v>
      </c>
      <c r="B481" s="10" t="s">
        <v>351</v>
      </c>
      <c r="C481" s="60" t="s">
        <v>352</v>
      </c>
      <c r="D481" s="44" t="s">
        <v>141</v>
      </c>
      <c r="E481" s="84">
        <v>0</v>
      </c>
      <c r="F481" s="84"/>
      <c r="G481" s="94">
        <f>cell_CoefGeneral</f>
        <v>1</v>
      </c>
      <c r="H481" s="93">
        <f>H102</f>
        <v>43</v>
      </c>
      <c r="I481" s="84">
        <f>IFERROR(ROUND(E481*H481,2),"-")</f>
        <v>0</v>
      </c>
      <c r="J481" s="105">
        <f>IFERROR(I481/cell_Total_HT,"-")</f>
        <v>0</v>
      </c>
      <c r="K481">
        <f>I481</f>
        <v>0</v>
      </c>
      <c r="L481"/>
      <c r="M481"/>
      <c r="N481"/>
      <c r="O481"/>
      <c r="P481"/>
      <c r="Q481"/>
      <c r="R481"/>
      <c r="S481"/>
      <c r="T481"/>
    </row>
    <row r="482" spans="1:20" outlineLevel="4" x14ac:dyDescent="0.3">
      <c r="A482" s="82" t="s">
        <v>1260</v>
      </c>
      <c r="B482" s="10" t="s">
        <v>354</v>
      </c>
      <c r="C482" s="60" t="s">
        <v>355</v>
      </c>
      <c r="D482" s="44" t="s">
        <v>154</v>
      </c>
      <c r="E482" s="84">
        <v>0</v>
      </c>
      <c r="F482" s="84"/>
      <c r="G482" s="94">
        <f>cell_CoefGeneral</f>
        <v>1</v>
      </c>
      <c r="H482" s="93">
        <f>H103</f>
        <v>9</v>
      </c>
      <c r="I482" s="84">
        <f>IFERROR(ROUND(E482*H482,2),"-")</f>
        <v>0</v>
      </c>
      <c r="J482" s="105">
        <f>IFERROR(I482/cell_Total_HT,"-")</f>
        <v>0</v>
      </c>
      <c r="K482">
        <f>I482</f>
        <v>0</v>
      </c>
      <c r="L482"/>
      <c r="M482"/>
      <c r="N482"/>
      <c r="O482"/>
      <c r="P482"/>
      <c r="Q482"/>
      <c r="R482"/>
      <c r="S482"/>
      <c r="T482"/>
    </row>
    <row r="483" spans="1:20" outlineLevel="3" x14ac:dyDescent="0.3">
      <c r="A483" s="82" t="s">
        <v>1261</v>
      </c>
      <c r="B483" s="58" t="s">
        <v>357</v>
      </c>
      <c r="C483" s="61" t="s">
        <v>358</v>
      </c>
      <c r="D483" s="115"/>
      <c r="E483" s="87"/>
      <c r="F483" s="87"/>
      <c r="G483" s="97"/>
      <c r="H483" s="87"/>
      <c r="I483" s="104">
        <f>SUBTOTAL(9,K484:K485)</f>
        <v>0</v>
      </c>
      <c r="J483" s="108"/>
      <c r="K483"/>
      <c r="L483"/>
      <c r="M483"/>
      <c r="N483"/>
      <c r="O483"/>
      <c r="P483"/>
      <c r="Q483"/>
      <c r="R483"/>
      <c r="S483"/>
      <c r="T483"/>
    </row>
    <row r="484" spans="1:20" ht="28.8" outlineLevel="4" x14ac:dyDescent="0.3">
      <c r="A484" s="82" t="s">
        <v>1262</v>
      </c>
      <c r="B484" s="10" t="s">
        <v>360</v>
      </c>
      <c r="C484" s="60" t="s">
        <v>352</v>
      </c>
      <c r="D484" s="44" t="s">
        <v>141</v>
      </c>
      <c r="E484" s="84">
        <v>0</v>
      </c>
      <c r="F484" s="84"/>
      <c r="G484" s="94">
        <f>cell_CoefGeneral</f>
        <v>1</v>
      </c>
      <c r="H484" s="93">
        <f>H105</f>
        <v>58</v>
      </c>
      <c r="I484" s="84">
        <f>IFERROR(ROUND(E484*H484,2),"-")</f>
        <v>0</v>
      </c>
      <c r="J484" s="105">
        <f>IFERROR(I484/cell_Total_HT,"-")</f>
        <v>0</v>
      </c>
      <c r="K484">
        <f>I484</f>
        <v>0</v>
      </c>
      <c r="L484"/>
      <c r="M484"/>
      <c r="N484"/>
      <c r="O484"/>
      <c r="P484"/>
      <c r="Q484"/>
      <c r="R484"/>
      <c r="S484"/>
      <c r="T484"/>
    </row>
    <row r="485" spans="1:20" outlineLevel="4" x14ac:dyDescent="0.3">
      <c r="A485" s="82" t="s">
        <v>1263</v>
      </c>
      <c r="B485" s="10" t="s">
        <v>362</v>
      </c>
      <c r="C485" s="60" t="s">
        <v>363</v>
      </c>
      <c r="D485" s="44" t="s">
        <v>154</v>
      </c>
      <c r="E485" s="84">
        <v>0</v>
      </c>
      <c r="F485" s="84"/>
      <c r="G485" s="94">
        <f>cell_CoefGeneral</f>
        <v>1</v>
      </c>
      <c r="H485" s="93">
        <f>H106</f>
        <v>20</v>
      </c>
      <c r="I485" s="84">
        <f>IFERROR(ROUND(E485*H485,2),"-")</f>
        <v>0</v>
      </c>
      <c r="J485" s="105">
        <f>IFERROR(I485/cell_Total_HT,"-")</f>
        <v>0</v>
      </c>
      <c r="K485">
        <f>I485</f>
        <v>0</v>
      </c>
      <c r="L485"/>
      <c r="M485"/>
      <c r="N485"/>
      <c r="O485"/>
      <c r="P485"/>
      <c r="Q485"/>
      <c r="R485"/>
      <c r="S485"/>
      <c r="T485"/>
    </row>
    <row r="486" spans="1:20" outlineLevel="3" x14ac:dyDescent="0.3">
      <c r="A486" s="82" t="s">
        <v>1264</v>
      </c>
      <c r="B486" s="58" t="s">
        <v>365</v>
      </c>
      <c r="C486" s="61" t="s">
        <v>366</v>
      </c>
      <c r="D486" s="115"/>
      <c r="E486" s="87"/>
      <c r="F486" s="87"/>
      <c r="G486" s="97"/>
      <c r="H486" s="87"/>
      <c r="I486" s="104">
        <f>SUBTOTAL(9,K487:K488)</f>
        <v>3944.6</v>
      </c>
      <c r="J486" s="108"/>
      <c r="K486"/>
      <c r="L486"/>
      <c r="M486"/>
      <c r="N486"/>
      <c r="O486"/>
      <c r="P486"/>
      <c r="Q486"/>
      <c r="R486"/>
      <c r="S486"/>
      <c r="T486"/>
    </row>
    <row r="487" spans="1:20" ht="28.8" outlineLevel="4" x14ac:dyDescent="0.3">
      <c r="A487" s="82" t="s">
        <v>1265</v>
      </c>
      <c r="B487" s="10" t="s">
        <v>368</v>
      </c>
      <c r="C487" s="60" t="s">
        <v>369</v>
      </c>
      <c r="D487" s="44" t="s">
        <v>141</v>
      </c>
      <c r="E487" s="84">
        <v>25</v>
      </c>
      <c r="F487" s="84"/>
      <c r="G487" s="94">
        <f>cell_CoefGeneral</f>
        <v>1</v>
      </c>
      <c r="H487" s="93">
        <f>H108</f>
        <v>83</v>
      </c>
      <c r="I487" s="84">
        <f>IFERROR(ROUND(E487*H487,2),"-")</f>
        <v>2075</v>
      </c>
      <c r="J487" s="105">
        <f>IFERROR(I487/cell_Total_HT,"-")</f>
        <v>6.1258744685803934E-4</v>
      </c>
      <c r="K487">
        <f>I487</f>
        <v>2075</v>
      </c>
      <c r="L487"/>
      <c r="M487"/>
      <c r="N487"/>
      <c r="O487"/>
      <c r="P487"/>
      <c r="Q487"/>
      <c r="R487"/>
      <c r="S487"/>
      <c r="T487"/>
    </row>
    <row r="488" spans="1:20" outlineLevel="4" x14ac:dyDescent="0.3">
      <c r="A488" s="82" t="s">
        <v>1266</v>
      </c>
      <c r="B488" s="10" t="s">
        <v>371</v>
      </c>
      <c r="C488" s="60" t="s">
        <v>372</v>
      </c>
      <c r="D488" s="44" t="s">
        <v>154</v>
      </c>
      <c r="E488" s="84">
        <v>246</v>
      </c>
      <c r="F488" s="84"/>
      <c r="G488" s="94">
        <f>cell_CoefGeneral</f>
        <v>1</v>
      </c>
      <c r="H488" s="93">
        <f>H109</f>
        <v>7.6</v>
      </c>
      <c r="I488" s="84">
        <f>IFERROR(ROUND(E488*H488,2),"-")</f>
        <v>1869.6</v>
      </c>
      <c r="J488" s="105">
        <f>IFERROR(I488/cell_Total_HT,"-")</f>
        <v>5.5194867019074233E-4</v>
      </c>
      <c r="K488">
        <f>I488</f>
        <v>1869.6</v>
      </c>
      <c r="L488"/>
      <c r="M488"/>
      <c r="N488"/>
      <c r="O488"/>
      <c r="P488"/>
      <c r="Q488"/>
      <c r="R488"/>
      <c r="S488"/>
      <c r="T488"/>
    </row>
    <row r="489" spans="1:20" outlineLevel="3" x14ac:dyDescent="0.3">
      <c r="A489" s="82" t="s">
        <v>1267</v>
      </c>
      <c r="B489" s="58" t="s">
        <v>374</v>
      </c>
      <c r="C489" s="61" t="s">
        <v>375</v>
      </c>
      <c r="D489" s="115"/>
      <c r="E489" s="87"/>
      <c r="F489" s="87"/>
      <c r="G489" s="97"/>
      <c r="H489" s="87"/>
      <c r="I489" s="104">
        <f>SUBTOTAL(9,K490:K491)</f>
        <v>15874.2</v>
      </c>
      <c r="J489" s="108"/>
      <c r="K489"/>
      <c r="L489"/>
      <c r="M489"/>
      <c r="N489"/>
      <c r="O489"/>
      <c r="P489"/>
      <c r="Q489"/>
      <c r="R489"/>
      <c r="S489"/>
      <c r="T489"/>
    </row>
    <row r="490" spans="1:20" outlineLevel="4" x14ac:dyDescent="0.3">
      <c r="A490" s="82" t="s">
        <v>1268</v>
      </c>
      <c r="B490" s="10" t="s">
        <v>377</v>
      </c>
      <c r="C490" s="60" t="s">
        <v>309</v>
      </c>
      <c r="D490" s="44" t="s">
        <v>154</v>
      </c>
      <c r="E490" s="84">
        <v>1161</v>
      </c>
      <c r="F490" s="84"/>
      <c r="G490" s="94">
        <f>cell_CoefGeneral</f>
        <v>1</v>
      </c>
      <c r="H490" s="93">
        <f>H111</f>
        <v>2.2000000000000002</v>
      </c>
      <c r="I490" s="84">
        <f>IFERROR(ROUND(E490*H490,2),"-")</f>
        <v>2554.1999999999998</v>
      </c>
      <c r="J490" s="105">
        <f>IFERROR(I490/cell_Total_HT,"-")</f>
        <v>7.5405824422400186E-4</v>
      </c>
      <c r="K490">
        <f>I490</f>
        <v>2554.1999999999998</v>
      </c>
      <c r="L490"/>
      <c r="M490"/>
      <c r="N490"/>
      <c r="O490"/>
      <c r="P490"/>
      <c r="Q490"/>
      <c r="R490"/>
      <c r="S490"/>
      <c r="T490"/>
    </row>
    <row r="491" spans="1:20" outlineLevel="4" x14ac:dyDescent="0.3">
      <c r="A491" s="82" t="s">
        <v>1269</v>
      </c>
      <c r="B491" s="10" t="s">
        <v>379</v>
      </c>
      <c r="C491" s="60" t="s">
        <v>380</v>
      </c>
      <c r="D491" s="44" t="s">
        <v>268</v>
      </c>
      <c r="E491" s="84">
        <v>111</v>
      </c>
      <c r="F491" s="84"/>
      <c r="G491" s="94">
        <f>cell_CoefGeneral</f>
        <v>1</v>
      </c>
      <c r="H491" s="93">
        <f>H112</f>
        <v>120</v>
      </c>
      <c r="I491" s="84">
        <f>IFERROR(ROUND(E491*H491,2),"-")</f>
        <v>13320</v>
      </c>
      <c r="J491" s="105">
        <f>IFERROR(I491/cell_Total_HT,"-")</f>
        <v>3.9323685745296785E-3</v>
      </c>
      <c r="K491">
        <f>I491</f>
        <v>13320</v>
      </c>
      <c r="L491"/>
      <c r="M491"/>
      <c r="N491"/>
      <c r="O491"/>
      <c r="P491"/>
      <c r="Q491"/>
      <c r="R491"/>
      <c r="S491"/>
      <c r="T491"/>
    </row>
    <row r="492" spans="1:20" outlineLevel="3" x14ac:dyDescent="0.3">
      <c r="A492" s="82" t="s">
        <v>1270</v>
      </c>
      <c r="B492" s="58" t="s">
        <v>382</v>
      </c>
      <c r="C492" s="61" t="s">
        <v>383</v>
      </c>
      <c r="D492" s="115"/>
      <c r="E492" s="87"/>
      <c r="F492" s="87"/>
      <c r="G492" s="97"/>
      <c r="H492" s="87"/>
      <c r="I492" s="104">
        <f>SUBTOTAL(9,K493:K493)</f>
        <v>0</v>
      </c>
      <c r="J492" s="108"/>
      <c r="K492"/>
      <c r="L492"/>
      <c r="M492"/>
      <c r="N492"/>
      <c r="O492"/>
      <c r="P492"/>
      <c r="Q492"/>
      <c r="R492"/>
      <c r="S492"/>
      <c r="T492"/>
    </row>
    <row r="493" spans="1:20" ht="28.8" outlineLevel="4" x14ac:dyDescent="0.3">
      <c r="A493" s="82" t="s">
        <v>1271</v>
      </c>
      <c r="B493" s="10" t="s">
        <v>385</v>
      </c>
      <c r="C493" s="60" t="s">
        <v>386</v>
      </c>
      <c r="D493" s="44" t="s">
        <v>141</v>
      </c>
      <c r="E493" s="84">
        <v>0</v>
      </c>
      <c r="F493" s="84"/>
      <c r="G493" s="94">
        <f>cell_CoefGeneral</f>
        <v>1</v>
      </c>
      <c r="H493" s="93">
        <f>H114</f>
        <v>42</v>
      </c>
      <c r="I493" s="84">
        <f>IFERROR(ROUND(E493*H493,2),"-")</f>
        <v>0</v>
      </c>
      <c r="J493" s="105">
        <f>IFERROR(I493/cell_Total_HT,"-")</f>
        <v>0</v>
      </c>
      <c r="K493">
        <f>I493</f>
        <v>0</v>
      </c>
      <c r="L493"/>
      <c r="M493"/>
      <c r="N493"/>
      <c r="O493"/>
      <c r="P493"/>
      <c r="Q493"/>
      <c r="R493"/>
      <c r="S493"/>
      <c r="T493"/>
    </row>
    <row r="494" spans="1:20" outlineLevel="3" x14ac:dyDescent="0.3">
      <c r="A494" s="82" t="s">
        <v>1272</v>
      </c>
      <c r="B494" s="58" t="s">
        <v>388</v>
      </c>
      <c r="C494" s="61" t="s">
        <v>389</v>
      </c>
      <c r="D494" s="115"/>
      <c r="E494" s="87"/>
      <c r="F494" s="87"/>
      <c r="G494" s="97"/>
      <c r="H494" s="87"/>
      <c r="I494" s="104">
        <f>SUBTOTAL(9,K495:K497)</f>
        <v>0</v>
      </c>
      <c r="J494" s="108"/>
      <c r="K494"/>
      <c r="L494"/>
      <c r="M494"/>
      <c r="N494"/>
      <c r="O494"/>
      <c r="P494"/>
      <c r="Q494"/>
      <c r="R494"/>
      <c r="S494"/>
      <c r="T494"/>
    </row>
    <row r="495" spans="1:20" ht="28.8" outlineLevel="4" x14ac:dyDescent="0.3">
      <c r="A495" s="82" t="s">
        <v>1273</v>
      </c>
      <c r="B495" s="10" t="s">
        <v>391</v>
      </c>
      <c r="C495" s="60" t="s">
        <v>392</v>
      </c>
      <c r="D495" s="44" t="s">
        <v>154</v>
      </c>
      <c r="E495" s="84">
        <v>0</v>
      </c>
      <c r="F495" s="84"/>
      <c r="G495" s="94">
        <f>cell_CoefGeneral</f>
        <v>1</v>
      </c>
      <c r="H495" s="93">
        <f>H116</f>
        <v>150</v>
      </c>
      <c r="I495" s="84">
        <f>IFERROR(ROUND(E495*H495,2),"-")</f>
        <v>0</v>
      </c>
      <c r="J495" s="105">
        <f>IFERROR(I495/cell_Total_HT,"-")</f>
        <v>0</v>
      </c>
      <c r="K495">
        <f>I495</f>
        <v>0</v>
      </c>
      <c r="L495"/>
      <c r="M495"/>
      <c r="N495"/>
      <c r="O495"/>
      <c r="P495"/>
      <c r="Q495"/>
      <c r="R495"/>
      <c r="S495"/>
      <c r="T495"/>
    </row>
    <row r="496" spans="1:20" ht="28.8" outlineLevel="4" x14ac:dyDescent="0.3">
      <c r="A496" s="82" t="s">
        <v>1274</v>
      </c>
      <c r="B496" s="10" t="s">
        <v>394</v>
      </c>
      <c r="C496" s="60" t="s">
        <v>395</v>
      </c>
      <c r="D496" s="44" t="s">
        <v>154</v>
      </c>
      <c r="E496" s="84">
        <v>0</v>
      </c>
      <c r="F496" s="84"/>
      <c r="G496" s="94">
        <f>cell_CoefGeneral</f>
        <v>1</v>
      </c>
      <c r="H496" s="93">
        <f>H117</f>
        <v>140</v>
      </c>
      <c r="I496" s="84">
        <f>IFERROR(ROUND(E496*H496,2),"-")</f>
        <v>0</v>
      </c>
      <c r="J496" s="105">
        <f>IFERROR(I496/cell_Total_HT,"-")</f>
        <v>0</v>
      </c>
      <c r="K496">
        <f>I496</f>
        <v>0</v>
      </c>
      <c r="L496"/>
      <c r="M496"/>
      <c r="N496"/>
      <c r="O496"/>
      <c r="P496"/>
      <c r="Q496"/>
      <c r="R496"/>
      <c r="S496"/>
      <c r="T496"/>
    </row>
    <row r="497" spans="1:20" ht="28.8" outlineLevel="4" x14ac:dyDescent="0.3">
      <c r="A497" s="82" t="s">
        <v>1275</v>
      </c>
      <c r="B497" s="10" t="s">
        <v>397</v>
      </c>
      <c r="C497" s="60" t="s">
        <v>398</v>
      </c>
      <c r="D497" s="44" t="s">
        <v>80</v>
      </c>
      <c r="E497" s="84">
        <v>0</v>
      </c>
      <c r="F497" s="84"/>
      <c r="G497" s="94">
        <f>cell_CoefGeneral</f>
        <v>1</v>
      </c>
      <c r="H497" s="93">
        <f>H118</f>
        <v>140</v>
      </c>
      <c r="I497" s="84">
        <f>IFERROR(ROUND(E497*H497,2),"-")</f>
        <v>0</v>
      </c>
      <c r="J497" s="105">
        <f>IFERROR(I497/cell_Total_HT,"-")</f>
        <v>0</v>
      </c>
      <c r="K497">
        <f>I497</f>
        <v>0</v>
      </c>
      <c r="L497"/>
      <c r="M497"/>
      <c r="N497"/>
      <c r="O497"/>
      <c r="P497"/>
      <c r="Q497"/>
      <c r="R497"/>
      <c r="S497"/>
      <c r="T497"/>
    </row>
    <row r="498" spans="1:20" outlineLevel="3" x14ac:dyDescent="0.3">
      <c r="A498" s="82" t="s">
        <v>1276</v>
      </c>
      <c r="B498" s="58" t="s">
        <v>400</v>
      </c>
      <c r="C498" s="61" t="s">
        <v>401</v>
      </c>
      <c r="D498" s="115"/>
      <c r="E498" s="87"/>
      <c r="F498" s="87"/>
      <c r="G498" s="97"/>
      <c r="H498" s="87"/>
      <c r="I498" s="104">
        <f>SUBTOTAL(9,K499:K500)</f>
        <v>0</v>
      </c>
      <c r="J498" s="108"/>
      <c r="K498"/>
      <c r="L498"/>
      <c r="M498"/>
      <c r="N498"/>
      <c r="O498"/>
      <c r="P498"/>
      <c r="Q498"/>
      <c r="R498"/>
      <c r="S498"/>
      <c r="T498"/>
    </row>
    <row r="499" spans="1:20" ht="28.8" outlineLevel="4" x14ac:dyDescent="0.3">
      <c r="A499" s="82" t="s">
        <v>1277</v>
      </c>
      <c r="B499" s="10" t="s">
        <v>403</v>
      </c>
      <c r="C499" s="60" t="s">
        <v>404</v>
      </c>
      <c r="D499" s="44" t="s">
        <v>141</v>
      </c>
      <c r="E499" s="84">
        <v>0</v>
      </c>
      <c r="F499" s="84"/>
      <c r="G499" s="94">
        <f>cell_CoefGeneral</f>
        <v>1</v>
      </c>
      <c r="H499" s="93">
        <f>H120</f>
        <v>42</v>
      </c>
      <c r="I499" s="84">
        <f>IFERROR(ROUND(E499*H499,2),"-")</f>
        <v>0</v>
      </c>
      <c r="J499" s="105">
        <f>IFERROR(I499/cell_Total_HT,"-")</f>
        <v>0</v>
      </c>
      <c r="K499">
        <f>I499</f>
        <v>0</v>
      </c>
      <c r="L499"/>
      <c r="M499"/>
      <c r="N499"/>
      <c r="O499"/>
      <c r="P499"/>
      <c r="Q499"/>
      <c r="R499"/>
      <c r="S499"/>
      <c r="T499"/>
    </row>
    <row r="500" spans="1:20" ht="28.8" outlineLevel="4" x14ac:dyDescent="0.3">
      <c r="A500" s="82" t="s">
        <v>1278</v>
      </c>
      <c r="B500" s="10" t="s">
        <v>406</v>
      </c>
      <c r="C500" s="60" t="s">
        <v>407</v>
      </c>
      <c r="D500" s="44" t="s">
        <v>154</v>
      </c>
      <c r="E500" s="84">
        <v>0</v>
      </c>
      <c r="F500" s="84"/>
      <c r="G500" s="94">
        <f>cell_CoefGeneral</f>
        <v>1</v>
      </c>
      <c r="H500" s="93">
        <f>H121</f>
        <v>140</v>
      </c>
      <c r="I500" s="84">
        <f>IFERROR(ROUND(E500*H500,2),"-")</f>
        <v>0</v>
      </c>
      <c r="J500" s="105">
        <f>IFERROR(I500/cell_Total_HT,"-")</f>
        <v>0</v>
      </c>
      <c r="K500">
        <f>I500</f>
        <v>0</v>
      </c>
      <c r="L500"/>
      <c r="M500"/>
      <c r="N500"/>
      <c r="O500"/>
      <c r="P500"/>
      <c r="Q500"/>
      <c r="R500"/>
      <c r="S500"/>
      <c r="T500"/>
    </row>
    <row r="501" spans="1:20" outlineLevel="3" x14ac:dyDescent="0.3">
      <c r="A501" s="82" t="s">
        <v>1279</v>
      </c>
      <c r="B501" s="58" t="s">
        <v>409</v>
      </c>
      <c r="C501" s="61" t="s">
        <v>410</v>
      </c>
      <c r="D501" s="115"/>
      <c r="E501" s="87"/>
      <c r="F501" s="87"/>
      <c r="G501" s="97"/>
      <c r="H501" s="87"/>
      <c r="I501" s="104">
        <f>SUBTOTAL(9,K502:K503)</f>
        <v>493</v>
      </c>
      <c r="J501" s="108"/>
      <c r="K501"/>
      <c r="L501"/>
      <c r="M501"/>
      <c r="N501"/>
      <c r="O501"/>
      <c r="P501"/>
      <c r="Q501"/>
      <c r="R501"/>
      <c r="S501"/>
      <c r="T501"/>
    </row>
    <row r="502" spans="1:20" ht="28.8" outlineLevel="4" x14ac:dyDescent="0.3">
      <c r="A502" s="82" t="s">
        <v>1280</v>
      </c>
      <c r="B502" s="10" t="s">
        <v>412</v>
      </c>
      <c r="C502" s="60" t="s">
        <v>413</v>
      </c>
      <c r="D502" s="44" t="s">
        <v>154</v>
      </c>
      <c r="E502" s="84">
        <v>0</v>
      </c>
      <c r="F502" s="84"/>
      <c r="G502" s="94">
        <f>cell_CoefGeneral</f>
        <v>1</v>
      </c>
      <c r="H502" s="93">
        <f>H123</f>
        <v>26</v>
      </c>
      <c r="I502" s="84">
        <f>IFERROR(ROUND(E502*H502,2),"-")</f>
        <v>0</v>
      </c>
      <c r="J502" s="105">
        <f>IFERROR(I502/cell_Total_HT,"-")</f>
        <v>0</v>
      </c>
      <c r="K502">
        <f>I502</f>
        <v>0</v>
      </c>
      <c r="L502"/>
      <c r="M502"/>
      <c r="N502"/>
      <c r="O502"/>
      <c r="P502"/>
      <c r="Q502"/>
      <c r="R502"/>
      <c r="S502"/>
      <c r="T502"/>
    </row>
    <row r="503" spans="1:20" outlineLevel="4" x14ac:dyDescent="0.3">
      <c r="A503" s="82" t="s">
        <v>1281</v>
      </c>
      <c r="B503" s="10" t="s">
        <v>415</v>
      </c>
      <c r="C503" s="60" t="s">
        <v>416</v>
      </c>
      <c r="D503" s="44" t="s">
        <v>154</v>
      </c>
      <c r="E503" s="84">
        <v>17</v>
      </c>
      <c r="F503" s="84"/>
      <c r="G503" s="94">
        <f>cell_CoefGeneral</f>
        <v>1</v>
      </c>
      <c r="H503" s="93">
        <f>H124</f>
        <v>29</v>
      </c>
      <c r="I503" s="84">
        <f>IFERROR(ROUND(E503*H503,2),"-")</f>
        <v>493</v>
      </c>
      <c r="J503" s="105">
        <f>IFERROR(I503/cell_Total_HT,"-")</f>
        <v>1.4554487291615104E-4</v>
      </c>
      <c r="K503">
        <f>I503</f>
        <v>493</v>
      </c>
      <c r="L503"/>
      <c r="M503"/>
      <c r="N503"/>
      <c r="O503"/>
      <c r="P503"/>
      <c r="Q503"/>
      <c r="R503"/>
      <c r="S503"/>
      <c r="T503"/>
    </row>
    <row r="504" spans="1:20" outlineLevel="3" x14ac:dyDescent="0.3">
      <c r="A504" s="82" t="s">
        <v>1282</v>
      </c>
      <c r="B504" s="58" t="s">
        <v>418</v>
      </c>
      <c r="C504" s="61" t="s">
        <v>419</v>
      </c>
      <c r="D504" s="115"/>
      <c r="E504" s="87"/>
      <c r="F504" s="87"/>
      <c r="G504" s="97"/>
      <c r="H504" s="87"/>
      <c r="I504" s="104">
        <f>SUBTOTAL(9,K505:K505)</f>
        <v>0</v>
      </c>
      <c r="J504" s="108"/>
      <c r="K504"/>
      <c r="L504"/>
      <c r="M504"/>
      <c r="N504"/>
      <c r="O504"/>
      <c r="P504"/>
      <c r="Q504"/>
      <c r="R504"/>
      <c r="S504"/>
      <c r="T504"/>
    </row>
    <row r="505" spans="1:20" ht="28.8" outlineLevel="4" x14ac:dyDescent="0.3">
      <c r="A505" s="82" t="s">
        <v>1283</v>
      </c>
      <c r="B505" s="10" t="s">
        <v>421</v>
      </c>
      <c r="C505" s="60" t="s">
        <v>422</v>
      </c>
      <c r="D505" s="44" t="s">
        <v>154</v>
      </c>
      <c r="E505" s="84">
        <v>0</v>
      </c>
      <c r="F505" s="84"/>
      <c r="G505" s="94">
        <f>cell_CoefGeneral</f>
        <v>1</v>
      </c>
      <c r="H505" s="93">
        <f>H126</f>
        <v>35</v>
      </c>
      <c r="I505" s="84">
        <f>IFERROR(ROUND(E505*H505,2),"-")</f>
        <v>0</v>
      </c>
      <c r="J505" s="105">
        <f>IFERROR(I505/cell_Total_HT,"-")</f>
        <v>0</v>
      </c>
      <c r="K505">
        <f>I505</f>
        <v>0</v>
      </c>
      <c r="L505"/>
      <c r="M505"/>
      <c r="N505"/>
      <c r="O505"/>
      <c r="P505"/>
      <c r="Q505"/>
      <c r="R505"/>
      <c r="S505"/>
      <c r="T505"/>
    </row>
    <row r="506" spans="1:20" outlineLevel="3" x14ac:dyDescent="0.3">
      <c r="A506" s="82" t="s">
        <v>1284</v>
      </c>
      <c r="B506" s="58" t="s">
        <v>424</v>
      </c>
      <c r="C506" s="61" t="s">
        <v>425</v>
      </c>
      <c r="D506" s="115"/>
      <c r="E506" s="87"/>
      <c r="F506" s="87"/>
      <c r="G506" s="97"/>
      <c r="H506" s="87"/>
      <c r="I506" s="104">
        <f>SUBTOTAL(9,K507:K509)</f>
        <v>2036</v>
      </c>
      <c r="J506" s="108"/>
      <c r="K506"/>
      <c r="L506"/>
      <c r="M506"/>
      <c r="N506"/>
      <c r="O506"/>
      <c r="P506"/>
      <c r="Q506"/>
      <c r="R506"/>
      <c r="S506"/>
      <c r="T506"/>
    </row>
    <row r="507" spans="1:20" ht="28.8" outlineLevel="4" x14ac:dyDescent="0.3">
      <c r="A507" s="82" t="s">
        <v>1285</v>
      </c>
      <c r="B507" s="10" t="s">
        <v>427</v>
      </c>
      <c r="C507" s="60" t="s">
        <v>428</v>
      </c>
      <c r="D507" s="44" t="s">
        <v>141</v>
      </c>
      <c r="E507" s="84">
        <v>2</v>
      </c>
      <c r="F507" s="84"/>
      <c r="G507" s="94">
        <f>cell_CoefGeneral</f>
        <v>1</v>
      </c>
      <c r="H507" s="93">
        <f>H128</f>
        <v>66</v>
      </c>
      <c r="I507" s="84">
        <f>IFERROR(ROUND(E507*H507,2),"-")</f>
        <v>132</v>
      </c>
      <c r="J507" s="105">
        <f>IFERROR(I507/cell_Total_HT,"-")</f>
        <v>3.8969418306149972E-5</v>
      </c>
      <c r="K507">
        <f>I507</f>
        <v>132</v>
      </c>
      <c r="L507"/>
      <c r="M507"/>
      <c r="N507"/>
      <c r="O507"/>
      <c r="P507"/>
      <c r="Q507"/>
      <c r="R507"/>
      <c r="S507"/>
      <c r="T507"/>
    </row>
    <row r="508" spans="1:20" outlineLevel="4" x14ac:dyDescent="0.3">
      <c r="A508" s="82" t="s">
        <v>1286</v>
      </c>
      <c r="B508" s="10" t="s">
        <v>430</v>
      </c>
      <c r="C508" s="60" t="s">
        <v>431</v>
      </c>
      <c r="D508" s="44" t="s">
        <v>154</v>
      </c>
      <c r="E508" s="84">
        <v>17</v>
      </c>
      <c r="F508" s="84"/>
      <c r="G508" s="94">
        <f>cell_CoefGeneral</f>
        <v>1</v>
      </c>
      <c r="H508" s="93">
        <f>H129</f>
        <v>34</v>
      </c>
      <c r="I508" s="84">
        <f>IFERROR(ROUND(E508*H508,2),"-")</f>
        <v>578</v>
      </c>
      <c r="J508" s="105">
        <f>IFERROR(I508/cell_Total_HT,"-")</f>
        <v>1.7063881652238397E-4</v>
      </c>
      <c r="K508">
        <f>I508</f>
        <v>578</v>
      </c>
      <c r="L508"/>
      <c r="M508"/>
      <c r="N508"/>
      <c r="O508"/>
      <c r="P508"/>
      <c r="Q508"/>
      <c r="R508"/>
      <c r="S508"/>
      <c r="T508"/>
    </row>
    <row r="509" spans="1:20" outlineLevel="4" x14ac:dyDescent="0.3">
      <c r="A509" s="82" t="s">
        <v>1287</v>
      </c>
      <c r="B509" s="10" t="s">
        <v>433</v>
      </c>
      <c r="C509" s="60" t="s">
        <v>434</v>
      </c>
      <c r="D509" s="44" t="s">
        <v>154</v>
      </c>
      <c r="E509" s="84">
        <v>17</v>
      </c>
      <c r="F509" s="84"/>
      <c r="G509" s="94">
        <f>cell_CoefGeneral</f>
        <v>1</v>
      </c>
      <c r="H509" s="93">
        <f>H130</f>
        <v>78</v>
      </c>
      <c r="I509" s="84">
        <f>IFERROR(ROUND(E509*H509,2),"-")</f>
        <v>1326</v>
      </c>
      <c r="J509" s="105">
        <f>IFERROR(I509/cell_Total_HT,"-")</f>
        <v>3.914655202572338E-4</v>
      </c>
      <c r="K509">
        <f>I509</f>
        <v>1326</v>
      </c>
      <c r="L509"/>
      <c r="M509"/>
      <c r="N509"/>
      <c r="O509"/>
      <c r="P509"/>
      <c r="Q509"/>
      <c r="R509"/>
      <c r="S509"/>
      <c r="T509"/>
    </row>
    <row r="510" spans="1:20" outlineLevel="3" x14ac:dyDescent="0.3">
      <c r="A510" s="82" t="s">
        <v>1288</v>
      </c>
      <c r="B510" s="58" t="s">
        <v>436</v>
      </c>
      <c r="C510" s="61" t="s">
        <v>437</v>
      </c>
      <c r="D510" s="115"/>
      <c r="E510" s="87"/>
      <c r="F510" s="87"/>
      <c r="G510" s="97"/>
      <c r="H510" s="87"/>
      <c r="I510" s="104">
        <f>SUBTOTAL(9,K511:K514)</f>
        <v>37118.400000000001</v>
      </c>
      <c r="J510" s="108"/>
      <c r="K510"/>
      <c r="L510"/>
      <c r="M510"/>
      <c r="N510"/>
      <c r="O510"/>
      <c r="P510"/>
      <c r="Q510"/>
      <c r="R510"/>
      <c r="S510"/>
      <c r="T510"/>
    </row>
    <row r="511" spans="1:20" outlineLevel="4" x14ac:dyDescent="0.3">
      <c r="A511" s="82" t="s">
        <v>1289</v>
      </c>
      <c r="B511" s="10" t="s">
        <v>439</v>
      </c>
      <c r="C511" s="60" t="s">
        <v>440</v>
      </c>
      <c r="D511" s="44" t="s">
        <v>154</v>
      </c>
      <c r="E511" s="84">
        <v>132</v>
      </c>
      <c r="F511" s="84"/>
      <c r="G511" s="94">
        <f>cell_CoefGeneral</f>
        <v>1</v>
      </c>
      <c r="H511" s="93">
        <f>H132</f>
        <v>33</v>
      </c>
      <c r="I511" s="84">
        <f>IFERROR(ROUND(E511*H511,2),"-")</f>
        <v>4356</v>
      </c>
      <c r="J511" s="105">
        <f>IFERROR(I511/cell_Total_HT,"-")</f>
        <v>1.285990804102949E-3</v>
      </c>
      <c r="K511">
        <f>I511</f>
        <v>4356</v>
      </c>
      <c r="L511"/>
      <c r="M511"/>
      <c r="N511"/>
      <c r="O511"/>
      <c r="P511"/>
      <c r="Q511"/>
      <c r="R511"/>
      <c r="S511"/>
      <c r="T511"/>
    </row>
    <row r="512" spans="1:20" outlineLevel="4" x14ac:dyDescent="0.3">
      <c r="A512" s="82" t="s">
        <v>1290</v>
      </c>
      <c r="B512" s="10" t="s">
        <v>442</v>
      </c>
      <c r="C512" s="60" t="s">
        <v>443</v>
      </c>
      <c r="D512" s="44" t="s">
        <v>154</v>
      </c>
      <c r="E512" s="84">
        <v>132</v>
      </c>
      <c r="F512" s="84"/>
      <c r="G512" s="94">
        <f>cell_CoefGeneral</f>
        <v>1</v>
      </c>
      <c r="H512" s="93">
        <f>H133</f>
        <v>5.7</v>
      </c>
      <c r="I512" s="84">
        <f>IFERROR(ROUND(E512*H512,2),"-")</f>
        <v>752.4</v>
      </c>
      <c r="J512" s="105">
        <f>IFERROR(I512/cell_Total_HT,"-")</f>
        <v>2.2212568434505482E-4</v>
      </c>
      <c r="K512">
        <f>I512</f>
        <v>752.4</v>
      </c>
      <c r="L512"/>
      <c r="M512"/>
      <c r="N512"/>
      <c r="O512"/>
      <c r="P512"/>
      <c r="Q512"/>
      <c r="R512"/>
      <c r="S512"/>
      <c r="T512"/>
    </row>
    <row r="513" spans="1:20" outlineLevel="4" x14ac:dyDescent="0.3">
      <c r="A513" s="82" t="s">
        <v>1291</v>
      </c>
      <c r="B513" s="10" t="s">
        <v>445</v>
      </c>
      <c r="C513" s="60" t="s">
        <v>446</v>
      </c>
      <c r="D513" s="44" t="s">
        <v>154</v>
      </c>
      <c r="E513" s="84">
        <v>1100</v>
      </c>
      <c r="F513" s="84"/>
      <c r="G513" s="94">
        <f>cell_CoefGeneral</f>
        <v>1</v>
      </c>
      <c r="H513" s="93">
        <f>H134</f>
        <v>24</v>
      </c>
      <c r="I513" s="84">
        <f>IFERROR(ROUND(E513*H513,2),"-")</f>
        <v>26400</v>
      </c>
      <c r="J513" s="105">
        <f>IFERROR(I513/cell_Total_HT,"-")</f>
        <v>7.7938836612299941E-3</v>
      </c>
      <c r="K513">
        <f>I513</f>
        <v>26400</v>
      </c>
      <c r="L513"/>
      <c r="M513"/>
      <c r="N513"/>
      <c r="O513"/>
      <c r="P513"/>
      <c r="Q513"/>
      <c r="R513"/>
      <c r="S513"/>
      <c r="T513"/>
    </row>
    <row r="514" spans="1:20" outlineLevel="4" x14ac:dyDescent="0.3">
      <c r="A514" s="82" t="s">
        <v>1292</v>
      </c>
      <c r="B514" s="10" t="s">
        <v>448</v>
      </c>
      <c r="C514" s="60" t="s">
        <v>449</v>
      </c>
      <c r="D514" s="44" t="s">
        <v>154</v>
      </c>
      <c r="E514" s="84">
        <v>1100</v>
      </c>
      <c r="F514" s="84"/>
      <c r="G514" s="94">
        <f>cell_CoefGeneral</f>
        <v>1</v>
      </c>
      <c r="H514" s="93">
        <f>H135</f>
        <v>5.0999999999999996</v>
      </c>
      <c r="I514" s="84">
        <f>IFERROR(ROUND(E514*H514,2),"-")</f>
        <v>5610</v>
      </c>
      <c r="J514" s="105">
        <f>IFERROR(I514/cell_Total_HT,"-")</f>
        <v>1.6562002780113737E-3</v>
      </c>
      <c r="K514">
        <f>I514</f>
        <v>5610</v>
      </c>
      <c r="L514"/>
      <c r="M514"/>
      <c r="N514"/>
      <c r="O514"/>
      <c r="P514"/>
      <c r="Q514"/>
      <c r="R514"/>
      <c r="S514"/>
      <c r="T514"/>
    </row>
    <row r="515" spans="1:20" outlineLevel="3" x14ac:dyDescent="0.3">
      <c r="A515" s="82" t="s">
        <v>1293</v>
      </c>
      <c r="B515" s="58" t="s">
        <v>451</v>
      </c>
      <c r="C515" s="61" t="s">
        <v>452</v>
      </c>
      <c r="D515" s="115"/>
      <c r="E515" s="87"/>
      <c r="F515" s="87"/>
      <c r="G515" s="97"/>
      <c r="H515" s="87"/>
      <c r="I515" s="104">
        <f>SUBTOTAL(9,K516:K518)</f>
        <v>0</v>
      </c>
      <c r="J515" s="108"/>
      <c r="K515"/>
      <c r="L515"/>
      <c r="M515"/>
      <c r="N515"/>
      <c r="O515"/>
      <c r="P515"/>
      <c r="Q515"/>
      <c r="R515"/>
      <c r="S515"/>
      <c r="T515"/>
    </row>
    <row r="516" spans="1:20" outlineLevel="4" x14ac:dyDescent="0.3">
      <c r="A516" s="82" t="s">
        <v>1294</v>
      </c>
      <c r="B516" s="10" t="s">
        <v>454</v>
      </c>
      <c r="C516" s="60" t="s">
        <v>455</v>
      </c>
      <c r="D516" s="44" t="s">
        <v>154</v>
      </c>
      <c r="E516" s="84">
        <v>0</v>
      </c>
      <c r="F516" s="84"/>
      <c r="G516" s="94">
        <f>cell_CoefGeneral</f>
        <v>1</v>
      </c>
      <c r="H516" s="93">
        <f>H137</f>
        <v>40</v>
      </c>
      <c r="I516" s="84">
        <f>IFERROR(ROUND(E516*H516,2),"-")</f>
        <v>0</v>
      </c>
      <c r="J516" s="105">
        <f>IFERROR(I516/cell_Total_HT,"-")</f>
        <v>0</v>
      </c>
      <c r="K516">
        <f>I516</f>
        <v>0</v>
      </c>
      <c r="L516"/>
      <c r="M516"/>
      <c r="N516"/>
      <c r="O516"/>
      <c r="P516"/>
      <c r="Q516"/>
      <c r="R516"/>
      <c r="S516"/>
      <c r="T516"/>
    </row>
    <row r="517" spans="1:20" outlineLevel="4" x14ac:dyDescent="0.3">
      <c r="A517" s="82" t="s">
        <v>1295</v>
      </c>
      <c r="B517" s="10" t="s">
        <v>457</v>
      </c>
      <c r="C517" s="60" t="s">
        <v>458</v>
      </c>
      <c r="D517" s="44" t="s">
        <v>154</v>
      </c>
      <c r="E517" s="84">
        <v>0</v>
      </c>
      <c r="F517" s="84"/>
      <c r="G517" s="94">
        <f>cell_CoefGeneral</f>
        <v>1</v>
      </c>
      <c r="H517" s="93">
        <f>H138</f>
        <v>91</v>
      </c>
      <c r="I517" s="84">
        <f>IFERROR(ROUND(E517*H517,2),"-")</f>
        <v>0</v>
      </c>
      <c r="J517" s="105">
        <f>IFERROR(I517/cell_Total_HT,"-")</f>
        <v>0</v>
      </c>
      <c r="K517">
        <f>I517</f>
        <v>0</v>
      </c>
      <c r="L517"/>
      <c r="M517"/>
      <c r="N517"/>
      <c r="O517"/>
      <c r="P517"/>
      <c r="Q517"/>
      <c r="R517"/>
      <c r="S517"/>
      <c r="T517"/>
    </row>
    <row r="518" spans="1:20" ht="15" outlineLevel="4" thickBot="1" x14ac:dyDescent="0.35">
      <c r="A518" s="82" t="s">
        <v>1296</v>
      </c>
      <c r="B518" s="10" t="s">
        <v>460</v>
      </c>
      <c r="C518" s="60" t="s">
        <v>461</v>
      </c>
      <c r="D518" s="44" t="s">
        <v>154</v>
      </c>
      <c r="E518" s="84">
        <v>0</v>
      </c>
      <c r="F518" s="84"/>
      <c r="G518" s="94">
        <f>cell_CoefGeneral</f>
        <v>1</v>
      </c>
      <c r="H518" s="93">
        <f>H139</f>
        <v>22</v>
      </c>
      <c r="I518" s="84">
        <f>IFERROR(ROUND(E518*H518,2),"-")</f>
        <v>0</v>
      </c>
      <c r="J518" s="105">
        <f>IFERROR(I518/cell_Total_HT,"-")</f>
        <v>0</v>
      </c>
      <c r="K518">
        <f>I518</f>
        <v>0</v>
      </c>
      <c r="L518"/>
      <c r="M518"/>
      <c r="N518"/>
      <c r="O518"/>
      <c r="P518"/>
      <c r="Q518"/>
      <c r="R518"/>
      <c r="S518"/>
      <c r="T518"/>
    </row>
    <row r="519" spans="1:20" ht="15" outlineLevel="2" thickTop="1" x14ac:dyDescent="0.3">
      <c r="A519" s="82" t="s">
        <v>1297</v>
      </c>
      <c r="B519" s="62" t="s">
        <v>60</v>
      </c>
      <c r="C519" s="63" t="s">
        <v>463</v>
      </c>
      <c r="D519" s="116"/>
      <c r="E519" s="88"/>
      <c r="F519" s="88"/>
      <c r="G519" s="98"/>
      <c r="H519" s="88"/>
      <c r="I519" s="88">
        <f>SUBTOTAL(9,I466:I518)</f>
        <v>255604.7</v>
      </c>
      <c r="J519" s="109"/>
      <c r="K519"/>
      <c r="L519"/>
      <c r="M519"/>
      <c r="N519"/>
      <c r="O519"/>
      <c r="P519"/>
      <c r="Q519"/>
      <c r="R519"/>
      <c r="S519"/>
      <c r="T519"/>
    </row>
    <row r="520" spans="1:20" outlineLevel="2" x14ac:dyDescent="0.3">
      <c r="A520" s="82" t="s">
        <v>1298</v>
      </c>
      <c r="B520" s="64" t="s">
        <v>465</v>
      </c>
      <c r="C520" s="65" t="s">
        <v>466</v>
      </c>
      <c r="D520" s="117"/>
      <c r="E520" s="87"/>
      <c r="F520" s="87"/>
      <c r="G520" s="97"/>
      <c r="H520" s="87"/>
      <c r="I520" s="104">
        <f>SUBTOTAL(9,K521:K545)</f>
        <v>93058</v>
      </c>
      <c r="J520" s="108"/>
      <c r="K520"/>
      <c r="L520"/>
      <c r="M520"/>
      <c r="N520"/>
      <c r="O520"/>
      <c r="P520"/>
      <c r="Q520"/>
      <c r="R520"/>
      <c r="S520"/>
      <c r="T520"/>
    </row>
    <row r="521" spans="1:20" outlineLevel="3" x14ac:dyDescent="0.3">
      <c r="A521" s="82" t="s">
        <v>1299</v>
      </c>
      <c r="B521" s="64" t="s">
        <v>468</v>
      </c>
      <c r="C521" s="66" t="s">
        <v>469</v>
      </c>
      <c r="D521" s="117"/>
      <c r="E521" s="87"/>
      <c r="F521" s="87"/>
      <c r="G521" s="97"/>
      <c r="H521" s="87"/>
      <c r="I521" s="104">
        <f>SUBTOTAL(9,K522:K531)</f>
        <v>57979</v>
      </c>
      <c r="J521" s="108"/>
      <c r="K521"/>
      <c r="L521"/>
      <c r="M521"/>
      <c r="N521"/>
      <c r="O521"/>
      <c r="P521"/>
      <c r="Q521"/>
      <c r="R521"/>
      <c r="S521"/>
      <c r="T521"/>
    </row>
    <row r="522" spans="1:20" outlineLevel="4" x14ac:dyDescent="0.3">
      <c r="A522" s="82" t="s">
        <v>1300</v>
      </c>
      <c r="B522" s="10" t="s">
        <v>471</v>
      </c>
      <c r="C522" s="60" t="s">
        <v>472</v>
      </c>
      <c r="D522" s="44" t="s">
        <v>80</v>
      </c>
      <c r="E522" s="84">
        <v>377</v>
      </c>
      <c r="F522" s="84"/>
      <c r="G522" s="94">
        <f t="shared" ref="G522:G537" si="72">cell_CoefGeneral</f>
        <v>1</v>
      </c>
      <c r="H522" s="93">
        <f t="shared" ref="H522:H537" si="73">H143</f>
        <v>43</v>
      </c>
      <c r="I522" s="84">
        <f t="shared" ref="I522:I537" si="74">IFERROR(ROUND(E522*H522,2),"-")</f>
        <v>16211</v>
      </c>
      <c r="J522" s="105">
        <f t="shared" ref="J522:J537" si="75">IFERROR(I522/cell_Total_HT,"-")</f>
        <v>4.7858578800075548E-3</v>
      </c>
      <c r="K522">
        <f t="shared" ref="K522:K537" si="76">I522</f>
        <v>16211</v>
      </c>
      <c r="L522"/>
      <c r="M522"/>
      <c r="N522"/>
      <c r="O522"/>
      <c r="P522"/>
      <c r="Q522"/>
      <c r="R522"/>
      <c r="S522"/>
      <c r="T522"/>
    </row>
    <row r="523" spans="1:20" outlineLevel="4" x14ac:dyDescent="0.3">
      <c r="A523" s="82" t="s">
        <v>1301</v>
      </c>
      <c r="B523" s="10" t="s">
        <v>474</v>
      </c>
      <c r="C523" s="60" t="s">
        <v>475</v>
      </c>
      <c r="D523" s="44" t="s">
        <v>80</v>
      </c>
      <c r="E523" s="84">
        <v>272</v>
      </c>
      <c r="F523" s="84"/>
      <c r="G523" s="94">
        <f t="shared" si="72"/>
        <v>1</v>
      </c>
      <c r="H523" s="93">
        <f t="shared" si="73"/>
        <v>53</v>
      </c>
      <c r="I523" s="84">
        <f t="shared" si="74"/>
        <v>14416</v>
      </c>
      <c r="J523" s="105">
        <f t="shared" si="75"/>
        <v>4.2559328356171064E-3</v>
      </c>
      <c r="K523">
        <f t="shared" si="76"/>
        <v>14416</v>
      </c>
      <c r="L523"/>
      <c r="M523"/>
      <c r="N523"/>
      <c r="O523"/>
      <c r="P523"/>
      <c r="Q523"/>
      <c r="R523"/>
      <c r="S523"/>
      <c r="T523"/>
    </row>
    <row r="524" spans="1:20" outlineLevel="4" x14ac:dyDescent="0.3">
      <c r="A524" s="82" t="s">
        <v>1302</v>
      </c>
      <c r="B524" s="10" t="s">
        <v>477</v>
      </c>
      <c r="C524" s="60" t="s">
        <v>478</v>
      </c>
      <c r="D524" s="44" t="s">
        <v>80</v>
      </c>
      <c r="E524" s="84">
        <v>409</v>
      </c>
      <c r="F524" s="84"/>
      <c r="G524" s="94">
        <f t="shared" si="72"/>
        <v>1</v>
      </c>
      <c r="H524" s="93">
        <f t="shared" si="73"/>
        <v>58</v>
      </c>
      <c r="I524" s="84">
        <f t="shared" si="74"/>
        <v>23722</v>
      </c>
      <c r="J524" s="105">
        <f t="shared" si="75"/>
        <v>7.0032768262006792E-3</v>
      </c>
      <c r="K524">
        <f t="shared" si="76"/>
        <v>23722</v>
      </c>
      <c r="L524"/>
      <c r="M524"/>
      <c r="N524"/>
      <c r="O524"/>
      <c r="P524"/>
      <c r="Q524"/>
      <c r="R524"/>
      <c r="S524"/>
      <c r="T524"/>
    </row>
    <row r="525" spans="1:20" outlineLevel="4" x14ac:dyDescent="0.3">
      <c r="A525" s="82" t="s">
        <v>1303</v>
      </c>
      <c r="B525" s="10" t="s">
        <v>480</v>
      </c>
      <c r="C525" s="60" t="s">
        <v>481</v>
      </c>
      <c r="D525" s="44" t="s">
        <v>80</v>
      </c>
      <c r="E525" s="84">
        <v>0</v>
      </c>
      <c r="F525" s="84"/>
      <c r="G525" s="94">
        <f t="shared" si="72"/>
        <v>1</v>
      </c>
      <c r="H525" s="93">
        <f t="shared" si="73"/>
        <v>100</v>
      </c>
      <c r="I525" s="84">
        <f t="shared" si="74"/>
        <v>0</v>
      </c>
      <c r="J525" s="105">
        <f t="shared" si="75"/>
        <v>0</v>
      </c>
      <c r="K525">
        <f t="shared" si="76"/>
        <v>0</v>
      </c>
      <c r="L525"/>
      <c r="M525"/>
      <c r="N525"/>
      <c r="O525"/>
      <c r="P525"/>
      <c r="Q525"/>
      <c r="R525"/>
      <c r="S525"/>
      <c r="T525"/>
    </row>
    <row r="526" spans="1:20" outlineLevel="4" x14ac:dyDescent="0.3">
      <c r="A526" s="82" t="s">
        <v>1304</v>
      </c>
      <c r="B526" s="10" t="s">
        <v>483</v>
      </c>
      <c r="C526" s="60" t="s">
        <v>484</v>
      </c>
      <c r="D526" s="44" t="s">
        <v>80</v>
      </c>
      <c r="E526" s="84">
        <v>0</v>
      </c>
      <c r="F526" s="84"/>
      <c r="G526" s="94">
        <f t="shared" si="72"/>
        <v>1</v>
      </c>
      <c r="H526" s="93">
        <f t="shared" si="73"/>
        <v>120</v>
      </c>
      <c r="I526" s="84">
        <f t="shared" si="74"/>
        <v>0</v>
      </c>
      <c r="J526" s="105">
        <f t="shared" si="75"/>
        <v>0</v>
      </c>
      <c r="K526">
        <f t="shared" si="76"/>
        <v>0</v>
      </c>
      <c r="L526"/>
      <c r="M526"/>
      <c r="N526"/>
      <c r="O526"/>
      <c r="P526"/>
      <c r="Q526"/>
      <c r="R526"/>
      <c r="S526"/>
      <c r="T526"/>
    </row>
    <row r="527" spans="1:20" outlineLevel="4" x14ac:dyDescent="0.3">
      <c r="A527" s="82" t="s">
        <v>1305</v>
      </c>
      <c r="B527" s="10" t="s">
        <v>486</v>
      </c>
      <c r="C527" s="60" t="s">
        <v>487</v>
      </c>
      <c r="D527" s="44" t="s">
        <v>121</v>
      </c>
      <c r="E527" s="84">
        <v>2</v>
      </c>
      <c r="F527" s="84"/>
      <c r="G527" s="94">
        <f t="shared" si="72"/>
        <v>1</v>
      </c>
      <c r="H527" s="93">
        <f t="shared" si="73"/>
        <v>120</v>
      </c>
      <c r="I527" s="84">
        <f t="shared" si="74"/>
        <v>240</v>
      </c>
      <c r="J527" s="105">
        <f t="shared" si="75"/>
        <v>7.0853487829363582E-5</v>
      </c>
      <c r="K527">
        <f t="shared" si="76"/>
        <v>240</v>
      </c>
      <c r="L527"/>
      <c r="M527"/>
      <c r="N527"/>
      <c r="O527"/>
      <c r="P527"/>
      <c r="Q527"/>
      <c r="R527"/>
      <c r="S527"/>
      <c r="T527"/>
    </row>
    <row r="528" spans="1:20" outlineLevel="4" x14ac:dyDescent="0.3">
      <c r="A528" s="82" t="s">
        <v>1306</v>
      </c>
      <c r="B528" s="10" t="s">
        <v>489</v>
      </c>
      <c r="C528" s="60" t="s">
        <v>490</v>
      </c>
      <c r="D528" s="44" t="s">
        <v>121</v>
      </c>
      <c r="E528" s="84">
        <v>2</v>
      </c>
      <c r="F528" s="84"/>
      <c r="G528" s="94">
        <f t="shared" si="72"/>
        <v>1</v>
      </c>
      <c r="H528" s="93">
        <f t="shared" si="73"/>
        <v>120</v>
      </c>
      <c r="I528" s="84">
        <f t="shared" si="74"/>
        <v>240</v>
      </c>
      <c r="J528" s="105">
        <f t="shared" si="75"/>
        <v>7.0853487829363582E-5</v>
      </c>
      <c r="K528">
        <f t="shared" si="76"/>
        <v>240</v>
      </c>
      <c r="L528"/>
      <c r="M528"/>
      <c r="N528"/>
      <c r="O528"/>
      <c r="P528"/>
      <c r="Q528"/>
      <c r="R528"/>
      <c r="S528"/>
      <c r="T528"/>
    </row>
    <row r="529" spans="1:20" outlineLevel="4" x14ac:dyDescent="0.3">
      <c r="A529" s="82" t="s">
        <v>1307</v>
      </c>
      <c r="B529" s="10" t="s">
        <v>492</v>
      </c>
      <c r="C529" s="60" t="s">
        <v>493</v>
      </c>
      <c r="D529" s="44" t="s">
        <v>121</v>
      </c>
      <c r="E529" s="84">
        <v>10</v>
      </c>
      <c r="F529" s="84"/>
      <c r="G529" s="94">
        <f t="shared" si="72"/>
        <v>1</v>
      </c>
      <c r="H529" s="93">
        <f t="shared" si="73"/>
        <v>150</v>
      </c>
      <c r="I529" s="84">
        <f t="shared" si="74"/>
        <v>1500</v>
      </c>
      <c r="J529" s="105">
        <f t="shared" si="75"/>
        <v>4.4283429893352238E-4</v>
      </c>
      <c r="K529">
        <f t="shared" si="76"/>
        <v>1500</v>
      </c>
      <c r="L529"/>
      <c r="M529"/>
      <c r="N529"/>
      <c r="O529"/>
      <c r="P529"/>
      <c r="Q529"/>
      <c r="R529"/>
      <c r="S529"/>
      <c r="T529"/>
    </row>
    <row r="530" spans="1:20" outlineLevel="4" x14ac:dyDescent="0.3">
      <c r="A530" s="82" t="s">
        <v>1308</v>
      </c>
      <c r="B530" s="10" t="s">
        <v>495</v>
      </c>
      <c r="C530" s="60" t="s">
        <v>496</v>
      </c>
      <c r="D530" s="44" t="s">
        <v>121</v>
      </c>
      <c r="E530" s="84">
        <v>11</v>
      </c>
      <c r="F530" s="84"/>
      <c r="G530" s="94">
        <f t="shared" si="72"/>
        <v>1</v>
      </c>
      <c r="H530" s="93">
        <f t="shared" si="73"/>
        <v>150</v>
      </c>
      <c r="I530" s="84">
        <f t="shared" si="74"/>
        <v>1650</v>
      </c>
      <c r="J530" s="105">
        <f t="shared" si="75"/>
        <v>4.8711772882687463E-4</v>
      </c>
      <c r="K530">
        <f t="shared" si="76"/>
        <v>1650</v>
      </c>
      <c r="L530"/>
      <c r="M530"/>
      <c r="N530"/>
      <c r="O530"/>
      <c r="P530"/>
      <c r="Q530"/>
      <c r="R530"/>
      <c r="S530"/>
      <c r="T530"/>
    </row>
    <row r="531" spans="1:20" outlineLevel="4" x14ac:dyDescent="0.3">
      <c r="A531" s="82" t="s">
        <v>1309</v>
      </c>
      <c r="B531" s="10" t="s">
        <v>498</v>
      </c>
      <c r="C531" s="60" t="s">
        <v>499</v>
      </c>
      <c r="D531" s="44" t="s">
        <v>80</v>
      </c>
      <c r="E531" s="84">
        <v>0</v>
      </c>
      <c r="F531" s="84"/>
      <c r="G531" s="94">
        <f t="shared" si="72"/>
        <v>1</v>
      </c>
      <c r="H531" s="93">
        <f t="shared" si="73"/>
        <v>97</v>
      </c>
      <c r="I531" s="84">
        <f t="shared" si="74"/>
        <v>0</v>
      </c>
      <c r="J531" s="105">
        <f t="shared" si="75"/>
        <v>0</v>
      </c>
      <c r="K531">
        <f t="shared" si="76"/>
        <v>0</v>
      </c>
      <c r="L531"/>
      <c r="M531"/>
      <c r="N531"/>
      <c r="O531"/>
      <c r="P531"/>
      <c r="Q531"/>
      <c r="R531"/>
      <c r="S531"/>
      <c r="T531"/>
    </row>
    <row r="532" spans="1:20" outlineLevel="3" x14ac:dyDescent="0.3">
      <c r="A532" s="82" t="s">
        <v>1310</v>
      </c>
      <c r="B532" s="10" t="s">
        <v>501</v>
      </c>
      <c r="C532" s="60" t="s">
        <v>502</v>
      </c>
      <c r="D532" s="44" t="s">
        <v>80</v>
      </c>
      <c r="E532" s="84">
        <v>37</v>
      </c>
      <c r="F532" s="84"/>
      <c r="G532" s="94">
        <f t="shared" si="72"/>
        <v>1</v>
      </c>
      <c r="H532" s="93">
        <f t="shared" si="73"/>
        <v>51</v>
      </c>
      <c r="I532" s="84">
        <f t="shared" si="74"/>
        <v>1887</v>
      </c>
      <c r="J532" s="105">
        <f t="shared" si="75"/>
        <v>5.5708554805837117E-4</v>
      </c>
      <c r="K532">
        <f t="shared" si="76"/>
        <v>1887</v>
      </c>
      <c r="L532"/>
      <c r="M532"/>
      <c r="N532"/>
      <c r="O532"/>
      <c r="P532"/>
      <c r="Q532"/>
      <c r="R532"/>
      <c r="S532"/>
      <c r="T532"/>
    </row>
    <row r="533" spans="1:20" outlineLevel="3" x14ac:dyDescent="0.3">
      <c r="A533" s="82" t="s">
        <v>1311</v>
      </c>
      <c r="B533" s="10" t="s">
        <v>504</v>
      </c>
      <c r="C533" s="60" t="s">
        <v>505</v>
      </c>
      <c r="D533" s="44" t="s">
        <v>80</v>
      </c>
      <c r="E533" s="84">
        <v>298</v>
      </c>
      <c r="F533" s="84"/>
      <c r="G533" s="94">
        <f t="shared" si="72"/>
        <v>1</v>
      </c>
      <c r="H533" s="93">
        <f t="shared" si="73"/>
        <v>20</v>
      </c>
      <c r="I533" s="84">
        <f t="shared" si="74"/>
        <v>5960</v>
      </c>
      <c r="J533" s="105">
        <f t="shared" si="75"/>
        <v>1.7595282810958623E-3</v>
      </c>
      <c r="K533">
        <f t="shared" si="76"/>
        <v>5960</v>
      </c>
      <c r="L533"/>
      <c r="M533"/>
      <c r="N533"/>
      <c r="O533"/>
      <c r="P533"/>
      <c r="Q533"/>
      <c r="R533"/>
      <c r="S533"/>
      <c r="T533"/>
    </row>
    <row r="534" spans="1:20" ht="28.8" outlineLevel="3" x14ac:dyDescent="0.3">
      <c r="A534" s="82" t="s">
        <v>1312</v>
      </c>
      <c r="B534" s="10" t="s">
        <v>507</v>
      </c>
      <c r="C534" s="60" t="s">
        <v>508</v>
      </c>
      <c r="D534" s="44" t="s">
        <v>80</v>
      </c>
      <c r="E534" s="84">
        <v>413</v>
      </c>
      <c r="F534" s="84"/>
      <c r="G534" s="94">
        <f t="shared" si="72"/>
        <v>1</v>
      </c>
      <c r="H534" s="93">
        <f t="shared" si="73"/>
        <v>31</v>
      </c>
      <c r="I534" s="84">
        <f t="shared" si="74"/>
        <v>12803</v>
      </c>
      <c r="J534" s="105">
        <f t="shared" si="75"/>
        <v>3.7797383528305915E-3</v>
      </c>
      <c r="K534">
        <f t="shared" si="76"/>
        <v>12803</v>
      </c>
      <c r="L534"/>
      <c r="M534"/>
      <c r="N534"/>
      <c r="O534"/>
      <c r="P534"/>
      <c r="Q534"/>
      <c r="R534"/>
      <c r="S534"/>
      <c r="T534"/>
    </row>
    <row r="535" spans="1:20" outlineLevel="3" x14ac:dyDescent="0.3">
      <c r="A535" s="82" t="s">
        <v>1313</v>
      </c>
      <c r="B535" s="10" t="s">
        <v>510</v>
      </c>
      <c r="C535" s="60" t="s">
        <v>511</v>
      </c>
      <c r="D535" s="44" t="s">
        <v>80</v>
      </c>
      <c r="E535" s="84">
        <v>413</v>
      </c>
      <c r="F535" s="84"/>
      <c r="G535" s="94">
        <f t="shared" si="72"/>
        <v>1</v>
      </c>
      <c r="H535" s="93">
        <f t="shared" si="73"/>
        <v>14</v>
      </c>
      <c r="I535" s="84">
        <f t="shared" si="74"/>
        <v>5782</v>
      </c>
      <c r="J535" s="105">
        <f t="shared" si="75"/>
        <v>1.7069786109557511E-3</v>
      </c>
      <c r="K535">
        <f t="shared" si="76"/>
        <v>5782</v>
      </c>
      <c r="L535"/>
      <c r="M535"/>
      <c r="N535"/>
      <c r="O535"/>
      <c r="P535"/>
      <c r="Q535"/>
      <c r="R535"/>
      <c r="S535"/>
      <c r="T535"/>
    </row>
    <row r="536" spans="1:20" ht="28.8" outlineLevel="3" x14ac:dyDescent="0.3">
      <c r="A536" s="82" t="s">
        <v>1314</v>
      </c>
      <c r="B536" s="10" t="s">
        <v>513</v>
      </c>
      <c r="C536" s="60" t="s">
        <v>514</v>
      </c>
      <c r="D536" s="44" t="s">
        <v>80</v>
      </c>
      <c r="E536" s="84">
        <v>143</v>
      </c>
      <c r="F536" s="84"/>
      <c r="G536" s="94">
        <f t="shared" si="72"/>
        <v>1</v>
      </c>
      <c r="H536" s="93">
        <f t="shared" si="73"/>
        <v>59</v>
      </c>
      <c r="I536" s="84">
        <f t="shared" si="74"/>
        <v>8437</v>
      </c>
      <c r="J536" s="105">
        <f t="shared" si="75"/>
        <v>2.4907953200680858E-3</v>
      </c>
      <c r="K536">
        <f t="shared" si="76"/>
        <v>8437</v>
      </c>
      <c r="L536"/>
      <c r="M536"/>
      <c r="N536"/>
      <c r="O536"/>
      <c r="P536"/>
      <c r="Q536"/>
      <c r="R536"/>
      <c r="S536"/>
      <c r="T536"/>
    </row>
    <row r="537" spans="1:20" outlineLevel="3" x14ac:dyDescent="0.3">
      <c r="A537" s="82" t="s">
        <v>1315</v>
      </c>
      <c r="B537" s="10" t="s">
        <v>516</v>
      </c>
      <c r="C537" s="60" t="s">
        <v>517</v>
      </c>
      <c r="D537" s="44" t="s">
        <v>80</v>
      </c>
      <c r="E537" s="84">
        <v>7</v>
      </c>
      <c r="F537" s="84"/>
      <c r="G537" s="94">
        <f t="shared" si="72"/>
        <v>1</v>
      </c>
      <c r="H537" s="93">
        <f t="shared" si="73"/>
        <v>30</v>
      </c>
      <c r="I537" s="84">
        <f t="shared" si="74"/>
        <v>210</v>
      </c>
      <c r="J537" s="105">
        <f t="shared" si="75"/>
        <v>6.1996801850693138E-5</v>
      </c>
      <c r="K537">
        <f t="shared" si="76"/>
        <v>210</v>
      </c>
      <c r="L537"/>
      <c r="M537"/>
      <c r="N537"/>
      <c r="O537"/>
      <c r="P537"/>
      <c r="Q537"/>
      <c r="R537"/>
      <c r="S537"/>
      <c r="T537"/>
    </row>
    <row r="538" spans="1:20" ht="24.6" outlineLevel="3" x14ac:dyDescent="0.3">
      <c r="A538" s="82" t="s">
        <v>1316</v>
      </c>
      <c r="B538" s="58" t="s">
        <v>519</v>
      </c>
      <c r="C538" s="61" t="s">
        <v>520</v>
      </c>
      <c r="D538" s="115"/>
      <c r="E538" s="87"/>
      <c r="F538" s="87"/>
      <c r="G538" s="97"/>
      <c r="H538" s="87"/>
      <c r="I538" s="104">
        <f>SUBTOTAL(9,K539:K543)</f>
        <v>0</v>
      </c>
      <c r="J538" s="108"/>
      <c r="K538"/>
      <c r="L538"/>
      <c r="M538"/>
      <c r="N538"/>
      <c r="O538"/>
      <c r="P538"/>
      <c r="Q538"/>
      <c r="R538"/>
      <c r="S538"/>
      <c r="T538"/>
    </row>
    <row r="539" spans="1:20" outlineLevel="4" x14ac:dyDescent="0.3">
      <c r="A539" s="82" t="s">
        <v>1317</v>
      </c>
      <c r="B539" s="10" t="s">
        <v>522</v>
      </c>
      <c r="C539" s="60" t="s">
        <v>523</v>
      </c>
      <c r="D539" s="44" t="s">
        <v>121</v>
      </c>
      <c r="E539" s="84">
        <v>0</v>
      </c>
      <c r="F539" s="84"/>
      <c r="G539" s="94">
        <f>cell_CoefGeneral</f>
        <v>1</v>
      </c>
      <c r="H539" s="93">
        <f>H160</f>
        <v>460</v>
      </c>
      <c r="I539" s="84">
        <f>IFERROR(ROUND(E539*H539,2),"-")</f>
        <v>0</v>
      </c>
      <c r="J539" s="105">
        <f>IFERROR(I539/cell_Total_HT,"-")</f>
        <v>0</v>
      </c>
      <c r="K539">
        <f>I539</f>
        <v>0</v>
      </c>
      <c r="L539"/>
      <c r="M539"/>
      <c r="N539"/>
      <c r="O539"/>
      <c r="P539"/>
      <c r="Q539"/>
      <c r="R539"/>
      <c r="S539"/>
      <c r="T539"/>
    </row>
    <row r="540" spans="1:20" outlineLevel="4" x14ac:dyDescent="0.3">
      <c r="A540" s="82" t="s">
        <v>1318</v>
      </c>
      <c r="B540" s="10" t="s">
        <v>525</v>
      </c>
      <c r="C540" s="60" t="s">
        <v>526</v>
      </c>
      <c r="D540" s="44" t="s">
        <v>121</v>
      </c>
      <c r="E540" s="84">
        <v>0</v>
      </c>
      <c r="F540" s="84"/>
      <c r="G540" s="94">
        <f>cell_CoefGeneral</f>
        <v>1</v>
      </c>
      <c r="H540" s="93">
        <f>H161</f>
        <v>920</v>
      </c>
      <c r="I540" s="84">
        <f>IFERROR(ROUND(E540*H540,2),"-")</f>
        <v>0</v>
      </c>
      <c r="J540" s="105">
        <f>IFERROR(I540/cell_Total_HT,"-")</f>
        <v>0</v>
      </c>
      <c r="K540">
        <f>I540</f>
        <v>0</v>
      </c>
      <c r="L540"/>
      <c r="M540"/>
      <c r="N540"/>
      <c r="O540"/>
      <c r="P540"/>
      <c r="Q540"/>
      <c r="R540"/>
      <c r="S540"/>
      <c r="T540"/>
    </row>
    <row r="541" spans="1:20" outlineLevel="4" x14ac:dyDescent="0.3">
      <c r="A541" s="82" t="s">
        <v>1319</v>
      </c>
      <c r="B541" s="10" t="s">
        <v>528</v>
      </c>
      <c r="C541" s="60" t="s">
        <v>529</v>
      </c>
      <c r="D541" s="44" t="s">
        <v>121</v>
      </c>
      <c r="E541" s="84">
        <v>0</v>
      </c>
      <c r="F541" s="84"/>
      <c r="G541" s="94">
        <f>cell_CoefGeneral</f>
        <v>1</v>
      </c>
      <c r="H541" s="93">
        <f>H162</f>
        <v>790</v>
      </c>
      <c r="I541" s="84">
        <f>IFERROR(ROUND(E541*H541,2),"-")</f>
        <v>0</v>
      </c>
      <c r="J541" s="105">
        <f>IFERROR(I541/cell_Total_HT,"-")</f>
        <v>0</v>
      </c>
      <c r="K541">
        <f>I541</f>
        <v>0</v>
      </c>
      <c r="L541"/>
      <c r="M541"/>
      <c r="N541"/>
      <c r="O541"/>
      <c r="P541"/>
      <c r="Q541"/>
      <c r="R541"/>
      <c r="S541"/>
      <c r="T541"/>
    </row>
    <row r="542" spans="1:20" outlineLevel="4" x14ac:dyDescent="0.3">
      <c r="A542" s="82" t="s">
        <v>1320</v>
      </c>
      <c r="B542" s="10" t="s">
        <v>531</v>
      </c>
      <c r="C542" s="60" t="s">
        <v>532</v>
      </c>
      <c r="D542" s="44" t="s">
        <v>121</v>
      </c>
      <c r="E542" s="84">
        <v>0</v>
      </c>
      <c r="F542" s="84"/>
      <c r="G542" s="94">
        <f>cell_CoefGeneral</f>
        <v>1</v>
      </c>
      <c r="H542" s="93">
        <f>H163</f>
        <v>350</v>
      </c>
      <c r="I542" s="84">
        <f>IFERROR(ROUND(E542*H542,2),"-")</f>
        <v>0</v>
      </c>
      <c r="J542" s="105">
        <f>IFERROR(I542/cell_Total_HT,"-")</f>
        <v>0</v>
      </c>
      <c r="K542">
        <f>I542</f>
        <v>0</v>
      </c>
      <c r="L542"/>
      <c r="M542"/>
      <c r="N542"/>
      <c r="O542"/>
      <c r="P542"/>
      <c r="Q542"/>
      <c r="R542"/>
      <c r="S542"/>
      <c r="T542"/>
    </row>
    <row r="543" spans="1:20" outlineLevel="4" x14ac:dyDescent="0.3">
      <c r="A543" s="82" t="s">
        <v>1321</v>
      </c>
      <c r="B543" s="10" t="s">
        <v>534</v>
      </c>
      <c r="C543" s="60" t="s">
        <v>535</v>
      </c>
      <c r="D543" s="44" t="s">
        <v>80</v>
      </c>
      <c r="E543" s="84">
        <v>0</v>
      </c>
      <c r="F543" s="84"/>
      <c r="G543" s="94">
        <f>cell_CoefGeneral</f>
        <v>1</v>
      </c>
      <c r="H543" s="93">
        <f>H164</f>
        <v>250</v>
      </c>
      <c r="I543" s="84">
        <f>IFERROR(ROUND(E543*H543,2),"-")</f>
        <v>0</v>
      </c>
      <c r="J543" s="105">
        <f>IFERROR(I543/cell_Total_HT,"-")</f>
        <v>0</v>
      </c>
      <c r="K543">
        <f>I543</f>
        <v>0</v>
      </c>
      <c r="L543"/>
      <c r="M543"/>
      <c r="N543"/>
      <c r="O543"/>
      <c r="P543"/>
      <c r="Q543"/>
      <c r="R543"/>
      <c r="S543"/>
      <c r="T543"/>
    </row>
    <row r="544" spans="1:20" outlineLevel="3" x14ac:dyDescent="0.3">
      <c r="A544" s="82" t="s">
        <v>1322</v>
      </c>
      <c r="B544" s="58" t="s">
        <v>537</v>
      </c>
      <c r="C544" s="61" t="s">
        <v>538</v>
      </c>
      <c r="D544" s="115"/>
      <c r="E544" s="87"/>
      <c r="F544" s="87"/>
      <c r="G544" s="97"/>
      <c r="H544" s="87"/>
      <c r="I544" s="104">
        <f>SUBTOTAL(9,K545:K545)</f>
        <v>0</v>
      </c>
      <c r="J544" s="108"/>
      <c r="K544"/>
      <c r="L544"/>
      <c r="M544"/>
      <c r="N544"/>
      <c r="O544"/>
      <c r="P544"/>
      <c r="Q544"/>
      <c r="R544"/>
      <c r="S544"/>
      <c r="T544"/>
    </row>
    <row r="545" spans="1:20" ht="15" outlineLevel="4" thickBot="1" x14ac:dyDescent="0.35">
      <c r="A545" s="82" t="s">
        <v>1323</v>
      </c>
      <c r="B545" s="10" t="s">
        <v>540</v>
      </c>
      <c r="C545" s="60" t="s">
        <v>541</v>
      </c>
      <c r="D545" s="44" t="s">
        <v>80</v>
      </c>
      <c r="E545" s="84">
        <v>0</v>
      </c>
      <c r="F545" s="84"/>
      <c r="G545" s="94">
        <f>cell_CoefGeneral</f>
        <v>1</v>
      </c>
      <c r="H545" s="93">
        <f>H166</f>
        <v>36</v>
      </c>
      <c r="I545" s="84">
        <f>IFERROR(ROUND(E545*H545,2),"-")</f>
        <v>0</v>
      </c>
      <c r="J545" s="105">
        <f>IFERROR(I545/cell_Total_HT,"-")</f>
        <v>0</v>
      </c>
      <c r="K545">
        <f>I545</f>
        <v>0</v>
      </c>
      <c r="L545"/>
      <c r="M545"/>
      <c r="N545"/>
      <c r="O545"/>
      <c r="P545"/>
      <c r="Q545"/>
      <c r="R545"/>
      <c r="S545"/>
      <c r="T545"/>
    </row>
    <row r="546" spans="1:20" ht="15" outlineLevel="2" thickTop="1" x14ac:dyDescent="0.3">
      <c r="A546" s="82" t="s">
        <v>1324</v>
      </c>
      <c r="B546" s="62" t="s">
        <v>60</v>
      </c>
      <c r="C546" s="63" t="s">
        <v>543</v>
      </c>
      <c r="D546" s="116"/>
      <c r="E546" s="88"/>
      <c r="F546" s="88"/>
      <c r="G546" s="98"/>
      <c r="H546" s="88"/>
      <c r="I546" s="88">
        <f>SUBTOTAL(9,I522:I545)</f>
        <v>93058</v>
      </c>
      <c r="J546" s="109"/>
      <c r="K546"/>
      <c r="L546"/>
      <c r="M546"/>
      <c r="N546"/>
      <c r="O546"/>
      <c r="P546"/>
      <c r="Q546"/>
      <c r="R546"/>
      <c r="S546"/>
      <c r="T546"/>
    </row>
    <row r="547" spans="1:20" outlineLevel="2" x14ac:dyDescent="0.3">
      <c r="A547" s="82" t="s">
        <v>1325</v>
      </c>
      <c r="B547" s="64" t="s">
        <v>545</v>
      </c>
      <c r="C547" s="65" t="s">
        <v>546</v>
      </c>
      <c r="D547" s="117"/>
      <c r="E547" s="87"/>
      <c r="F547" s="87"/>
      <c r="G547" s="97"/>
      <c r="H547" s="87"/>
      <c r="I547" s="104">
        <f>SUBTOTAL(9,K548:K561)</f>
        <v>11426</v>
      </c>
      <c r="J547" s="108"/>
      <c r="K547"/>
      <c r="L547"/>
      <c r="M547"/>
      <c r="N547"/>
      <c r="O547"/>
      <c r="P547"/>
      <c r="Q547"/>
      <c r="R547"/>
      <c r="S547"/>
      <c r="T547"/>
    </row>
    <row r="548" spans="1:20" outlineLevel="3" x14ac:dyDescent="0.3">
      <c r="A548" s="82" t="s">
        <v>1326</v>
      </c>
      <c r="B548" s="10" t="s">
        <v>548</v>
      </c>
      <c r="C548" s="60" t="s">
        <v>549</v>
      </c>
      <c r="D548" s="44" t="s">
        <v>121</v>
      </c>
      <c r="E548" s="84">
        <v>3</v>
      </c>
      <c r="F548" s="84"/>
      <c r="G548" s="94">
        <f>cell_CoefGeneral</f>
        <v>1</v>
      </c>
      <c r="H548" s="93">
        <f>H169</f>
        <v>81</v>
      </c>
      <c r="I548" s="84">
        <f>IFERROR(ROUND(E548*H548,2),"-")</f>
        <v>243</v>
      </c>
      <c r="J548" s="105">
        <f>IFERROR(I548/cell_Total_HT,"-")</f>
        <v>7.1739156427230624E-5</v>
      </c>
      <c r="K548">
        <f>I548</f>
        <v>243</v>
      </c>
      <c r="L548"/>
      <c r="M548"/>
      <c r="N548"/>
      <c r="O548"/>
      <c r="P548"/>
      <c r="Q548"/>
      <c r="R548"/>
      <c r="S548"/>
      <c r="T548"/>
    </row>
    <row r="549" spans="1:20" outlineLevel="3" x14ac:dyDescent="0.3">
      <c r="A549" s="82" t="s">
        <v>1327</v>
      </c>
      <c r="B549" s="10" t="s">
        <v>551</v>
      </c>
      <c r="C549" s="60" t="s">
        <v>552</v>
      </c>
      <c r="D549" s="44" t="s">
        <v>121</v>
      </c>
      <c r="E549" s="84">
        <v>1</v>
      </c>
      <c r="F549" s="84"/>
      <c r="G549" s="94">
        <f>cell_CoefGeneral</f>
        <v>1</v>
      </c>
      <c r="H549" s="93">
        <f>H170</f>
        <v>150</v>
      </c>
      <c r="I549" s="84">
        <f>IFERROR(ROUND(E549*H549,2),"-")</f>
        <v>150</v>
      </c>
      <c r="J549" s="105">
        <f>IFERROR(I549/cell_Total_HT,"-")</f>
        <v>4.4283429893352242E-5</v>
      </c>
      <c r="K549">
        <f>I549</f>
        <v>150</v>
      </c>
      <c r="L549"/>
      <c r="M549"/>
      <c r="N549"/>
      <c r="O549"/>
      <c r="P549"/>
      <c r="Q549"/>
      <c r="R549"/>
      <c r="S549"/>
      <c r="T549"/>
    </row>
    <row r="550" spans="1:20" outlineLevel="3" x14ac:dyDescent="0.3">
      <c r="A550" s="82" t="s">
        <v>1328</v>
      </c>
      <c r="B550" s="58" t="s">
        <v>554</v>
      </c>
      <c r="C550" s="61" t="s">
        <v>555</v>
      </c>
      <c r="D550" s="115"/>
      <c r="E550" s="87"/>
      <c r="F550" s="87"/>
      <c r="G550" s="97"/>
      <c r="H550" s="87"/>
      <c r="I550" s="104">
        <f>SUBTOTAL(9,K551:K552)</f>
        <v>0</v>
      </c>
      <c r="J550" s="108"/>
      <c r="K550"/>
      <c r="L550"/>
      <c r="M550"/>
      <c r="N550"/>
      <c r="O550"/>
      <c r="P550"/>
      <c r="Q550"/>
      <c r="R550"/>
      <c r="S550"/>
      <c r="T550"/>
    </row>
    <row r="551" spans="1:20" outlineLevel="4" x14ac:dyDescent="0.3">
      <c r="A551" s="82" t="s">
        <v>1329</v>
      </c>
      <c r="B551" s="10" t="s">
        <v>557</v>
      </c>
      <c r="C551" s="60" t="s">
        <v>558</v>
      </c>
      <c r="D551" s="44" t="s">
        <v>121</v>
      </c>
      <c r="E551" s="84">
        <v>0</v>
      </c>
      <c r="F551" s="84"/>
      <c r="G551" s="94">
        <f>cell_CoefGeneral</f>
        <v>1</v>
      </c>
      <c r="H551" s="93">
        <f>H172</f>
        <v>160</v>
      </c>
      <c r="I551" s="84">
        <f>IFERROR(ROUND(E551*H551,2),"-")</f>
        <v>0</v>
      </c>
      <c r="J551" s="105">
        <f>IFERROR(I551/cell_Total_HT,"-")</f>
        <v>0</v>
      </c>
      <c r="K551">
        <f>I551</f>
        <v>0</v>
      </c>
      <c r="L551"/>
      <c r="M551"/>
      <c r="N551"/>
      <c r="O551"/>
      <c r="P551"/>
      <c r="Q551"/>
      <c r="R551"/>
      <c r="S551"/>
      <c r="T551"/>
    </row>
    <row r="552" spans="1:20" outlineLevel="4" x14ac:dyDescent="0.3">
      <c r="A552" s="82" t="s">
        <v>1330</v>
      </c>
      <c r="B552" s="10" t="s">
        <v>560</v>
      </c>
      <c r="C552" s="60" t="s">
        <v>561</v>
      </c>
      <c r="D552" s="44" t="s">
        <v>121</v>
      </c>
      <c r="E552" s="84">
        <v>0</v>
      </c>
      <c r="F552" s="84"/>
      <c r="G552" s="94">
        <f>cell_CoefGeneral</f>
        <v>1</v>
      </c>
      <c r="H552" s="93">
        <f>H173</f>
        <v>200</v>
      </c>
      <c r="I552" s="84">
        <f>IFERROR(ROUND(E552*H552,2),"-")</f>
        <v>0</v>
      </c>
      <c r="J552" s="105">
        <f>IFERROR(I552/cell_Total_HT,"-")</f>
        <v>0</v>
      </c>
      <c r="K552">
        <f>I552</f>
        <v>0</v>
      </c>
      <c r="L552"/>
      <c r="M552"/>
      <c r="N552"/>
      <c r="O552"/>
      <c r="P552"/>
      <c r="Q552"/>
      <c r="R552"/>
      <c r="S552"/>
      <c r="T552"/>
    </row>
    <row r="553" spans="1:20" outlineLevel="3" x14ac:dyDescent="0.3">
      <c r="A553" s="82" t="s">
        <v>1331</v>
      </c>
      <c r="B553" s="58" t="s">
        <v>563</v>
      </c>
      <c r="C553" s="61" t="s">
        <v>564</v>
      </c>
      <c r="D553" s="115"/>
      <c r="E553" s="87"/>
      <c r="F553" s="87"/>
      <c r="G553" s="97"/>
      <c r="H553" s="87"/>
      <c r="I553" s="104">
        <f>SUBTOTAL(9,K554:K556)</f>
        <v>1880</v>
      </c>
      <c r="J553" s="108"/>
      <c r="K553"/>
      <c r="L553"/>
      <c r="M553"/>
      <c r="N553"/>
      <c r="O553"/>
      <c r="P553"/>
      <c r="Q553"/>
      <c r="R553"/>
      <c r="S553"/>
      <c r="T553"/>
    </row>
    <row r="554" spans="1:20" outlineLevel="4" x14ac:dyDescent="0.3">
      <c r="A554" s="82" t="s">
        <v>1332</v>
      </c>
      <c r="B554" s="10" t="s">
        <v>566</v>
      </c>
      <c r="C554" s="60" t="s">
        <v>567</v>
      </c>
      <c r="D554" s="44" t="s">
        <v>121</v>
      </c>
      <c r="E554" s="84">
        <v>0</v>
      </c>
      <c r="F554" s="84"/>
      <c r="G554" s="94">
        <f>cell_CoefGeneral</f>
        <v>1</v>
      </c>
      <c r="H554" s="93">
        <f>H175</f>
        <v>190</v>
      </c>
      <c r="I554" s="84">
        <f>IFERROR(ROUND(E554*H554,2),"-")</f>
        <v>0</v>
      </c>
      <c r="J554" s="105">
        <f>IFERROR(I554/cell_Total_HT,"-")</f>
        <v>0</v>
      </c>
      <c r="K554">
        <f>I554</f>
        <v>0</v>
      </c>
      <c r="L554"/>
      <c r="M554"/>
      <c r="N554"/>
      <c r="O554"/>
      <c r="P554"/>
      <c r="Q554"/>
      <c r="R554"/>
      <c r="S554"/>
      <c r="T554"/>
    </row>
    <row r="555" spans="1:20" outlineLevel="4" x14ac:dyDescent="0.3">
      <c r="A555" s="82" t="s">
        <v>1333</v>
      </c>
      <c r="B555" s="10" t="s">
        <v>569</v>
      </c>
      <c r="C555" s="60" t="s">
        <v>558</v>
      </c>
      <c r="D555" s="44" t="s">
        <v>121</v>
      </c>
      <c r="E555" s="84">
        <v>1</v>
      </c>
      <c r="F555" s="84"/>
      <c r="G555" s="94">
        <f>cell_CoefGeneral</f>
        <v>1</v>
      </c>
      <c r="H555" s="93">
        <f>H176</f>
        <v>170</v>
      </c>
      <c r="I555" s="84">
        <f>IFERROR(ROUND(E555*H555,2),"-")</f>
        <v>170</v>
      </c>
      <c r="J555" s="105">
        <f>IFERROR(I555/cell_Total_HT,"-")</f>
        <v>5.0187887212465874E-5</v>
      </c>
      <c r="K555">
        <f>I555</f>
        <v>170</v>
      </c>
      <c r="L555"/>
      <c r="M555"/>
      <c r="N555"/>
      <c r="O555"/>
      <c r="P555"/>
      <c r="Q555"/>
      <c r="R555"/>
      <c r="S555"/>
      <c r="T555"/>
    </row>
    <row r="556" spans="1:20" outlineLevel="4" x14ac:dyDescent="0.3">
      <c r="A556" s="82" t="s">
        <v>1334</v>
      </c>
      <c r="B556" s="10" t="s">
        <v>571</v>
      </c>
      <c r="C556" s="60" t="s">
        <v>561</v>
      </c>
      <c r="D556" s="44" t="s">
        <v>121</v>
      </c>
      <c r="E556" s="84">
        <v>9</v>
      </c>
      <c r="F556" s="84"/>
      <c r="G556" s="94">
        <f>cell_CoefGeneral</f>
        <v>1</v>
      </c>
      <c r="H556" s="93">
        <f>H177</f>
        <v>190</v>
      </c>
      <c r="I556" s="84">
        <f>IFERROR(ROUND(E556*H556,2),"-")</f>
        <v>1710</v>
      </c>
      <c r="J556" s="105">
        <f>IFERROR(I556/cell_Total_HT,"-")</f>
        <v>5.0483110078421557E-4</v>
      </c>
      <c r="K556">
        <f>I556</f>
        <v>1710</v>
      </c>
      <c r="L556"/>
      <c r="M556"/>
      <c r="N556"/>
      <c r="O556"/>
      <c r="P556"/>
      <c r="Q556"/>
      <c r="R556"/>
      <c r="S556"/>
      <c r="T556"/>
    </row>
    <row r="557" spans="1:20" outlineLevel="3" x14ac:dyDescent="0.3">
      <c r="A557" s="82" t="s">
        <v>1335</v>
      </c>
      <c r="B557" s="58" t="s">
        <v>573</v>
      </c>
      <c r="C557" s="61" t="s">
        <v>574</v>
      </c>
      <c r="D557" s="115"/>
      <c r="E557" s="87"/>
      <c r="F557" s="87"/>
      <c r="G557" s="97"/>
      <c r="H557" s="87"/>
      <c r="I557" s="104">
        <f>SUBTOTAL(9,K558:K559)</f>
        <v>2640</v>
      </c>
      <c r="J557" s="108"/>
      <c r="K557"/>
      <c r="L557"/>
      <c r="M557"/>
      <c r="N557"/>
      <c r="O557"/>
      <c r="P557"/>
      <c r="Q557"/>
      <c r="R557"/>
      <c r="S557"/>
      <c r="T557"/>
    </row>
    <row r="558" spans="1:20" outlineLevel="4" x14ac:dyDescent="0.3">
      <c r="A558" s="82" t="s">
        <v>1336</v>
      </c>
      <c r="B558" s="10" t="s">
        <v>576</v>
      </c>
      <c r="C558" s="60" t="s">
        <v>577</v>
      </c>
      <c r="D558" s="44" t="s">
        <v>121</v>
      </c>
      <c r="E558" s="84">
        <v>12</v>
      </c>
      <c r="F558" s="84"/>
      <c r="G558" s="94">
        <f>cell_CoefGeneral</f>
        <v>1</v>
      </c>
      <c r="H558" s="93">
        <f>H179</f>
        <v>220</v>
      </c>
      <c r="I558" s="84">
        <f>IFERROR(ROUND(E558*H558,2),"-")</f>
        <v>2640</v>
      </c>
      <c r="J558" s="105">
        <f>IFERROR(I558/cell_Total_HT,"-")</f>
        <v>7.7938836612299943E-4</v>
      </c>
      <c r="K558">
        <f>I558</f>
        <v>2640</v>
      </c>
      <c r="L558"/>
      <c r="M558"/>
      <c r="N558"/>
      <c r="O558"/>
      <c r="P558"/>
      <c r="Q558"/>
      <c r="R558"/>
      <c r="S558"/>
      <c r="T558"/>
    </row>
    <row r="559" spans="1:20" outlineLevel="4" x14ac:dyDescent="0.3">
      <c r="A559" s="82" t="s">
        <v>1337</v>
      </c>
      <c r="B559" s="10" t="s">
        <v>579</v>
      </c>
      <c r="C559" s="60" t="s">
        <v>580</v>
      </c>
      <c r="D559" s="44" t="s">
        <v>121</v>
      </c>
      <c r="E559" s="84">
        <v>0</v>
      </c>
      <c r="F559" s="84"/>
      <c r="G559" s="94">
        <f>cell_CoefGeneral</f>
        <v>1</v>
      </c>
      <c r="H559" s="93">
        <f>H180</f>
        <v>270</v>
      </c>
      <c r="I559" s="84">
        <f>IFERROR(ROUND(E559*H559,2),"-")</f>
        <v>0</v>
      </c>
      <c r="J559" s="105">
        <f>IFERROR(I559/cell_Total_HT,"-")</f>
        <v>0</v>
      </c>
      <c r="K559">
        <f>I559</f>
        <v>0</v>
      </c>
      <c r="L559"/>
      <c r="M559"/>
      <c r="N559"/>
      <c r="O559"/>
      <c r="P559"/>
      <c r="Q559"/>
      <c r="R559"/>
      <c r="S559"/>
      <c r="T559"/>
    </row>
    <row r="560" spans="1:20" outlineLevel="3" x14ac:dyDescent="0.3">
      <c r="A560" s="82" t="s">
        <v>1338</v>
      </c>
      <c r="B560" s="10" t="s">
        <v>582</v>
      </c>
      <c r="C560" s="60" t="s">
        <v>583</v>
      </c>
      <c r="D560" s="44" t="s">
        <v>80</v>
      </c>
      <c r="E560" s="84">
        <v>234</v>
      </c>
      <c r="F560" s="84"/>
      <c r="G560" s="94">
        <f>cell_CoefGeneral</f>
        <v>1</v>
      </c>
      <c r="H560" s="93">
        <f>H181</f>
        <v>23</v>
      </c>
      <c r="I560" s="84">
        <f>IFERROR(ROUND(E560*H560,2),"-")</f>
        <v>5382</v>
      </c>
      <c r="J560" s="105">
        <f>IFERROR(I560/cell_Total_HT,"-")</f>
        <v>1.5888894645734784E-3</v>
      </c>
      <c r="K560">
        <f>I560</f>
        <v>5382</v>
      </c>
      <c r="L560"/>
      <c r="M560"/>
      <c r="N560"/>
      <c r="O560"/>
      <c r="P560"/>
      <c r="Q560"/>
      <c r="R560"/>
      <c r="S560"/>
      <c r="T560"/>
    </row>
    <row r="561" spans="1:20" ht="15" outlineLevel="3" thickBot="1" x14ac:dyDescent="0.35">
      <c r="A561" s="82" t="s">
        <v>1339</v>
      </c>
      <c r="B561" s="10" t="s">
        <v>585</v>
      </c>
      <c r="C561" s="60" t="s">
        <v>586</v>
      </c>
      <c r="D561" s="44" t="s">
        <v>154</v>
      </c>
      <c r="E561" s="84">
        <v>39</v>
      </c>
      <c r="F561" s="84"/>
      <c r="G561" s="94">
        <f>cell_CoefGeneral</f>
        <v>1</v>
      </c>
      <c r="H561" s="93">
        <f>H182</f>
        <v>29</v>
      </c>
      <c r="I561" s="84">
        <f>IFERROR(ROUND(E561*H561,2),"-")</f>
        <v>1131</v>
      </c>
      <c r="J561" s="105">
        <f>IFERROR(I561/cell_Total_HT,"-")</f>
        <v>3.338970613958759E-4</v>
      </c>
      <c r="K561">
        <f>I561</f>
        <v>1131</v>
      </c>
      <c r="L561"/>
      <c r="M561"/>
      <c r="N561"/>
      <c r="O561"/>
      <c r="P561"/>
      <c r="Q561"/>
      <c r="R561"/>
      <c r="S561"/>
      <c r="T561"/>
    </row>
    <row r="562" spans="1:20" ht="15" outlineLevel="2" thickTop="1" x14ac:dyDescent="0.3">
      <c r="A562" s="82" t="s">
        <v>1340</v>
      </c>
      <c r="B562" s="62" t="s">
        <v>60</v>
      </c>
      <c r="C562" s="63" t="s">
        <v>588</v>
      </c>
      <c r="D562" s="116"/>
      <c r="E562" s="88"/>
      <c r="F562" s="88"/>
      <c r="G562" s="98"/>
      <c r="H562" s="88"/>
      <c r="I562" s="88">
        <f>SUBTOTAL(9,I548:I561)</f>
        <v>11426</v>
      </c>
      <c r="J562" s="109"/>
      <c r="K562"/>
      <c r="L562"/>
      <c r="M562"/>
      <c r="N562"/>
      <c r="O562"/>
      <c r="P562"/>
      <c r="Q562"/>
      <c r="R562"/>
      <c r="S562"/>
      <c r="T562"/>
    </row>
    <row r="563" spans="1:20" outlineLevel="2" x14ac:dyDescent="0.3">
      <c r="A563" s="82" t="s">
        <v>1341</v>
      </c>
      <c r="B563" s="64" t="s">
        <v>590</v>
      </c>
      <c r="C563" s="65" t="s">
        <v>591</v>
      </c>
      <c r="D563" s="117"/>
      <c r="E563" s="87"/>
      <c r="F563" s="87"/>
      <c r="G563" s="97"/>
      <c r="H563" s="87"/>
      <c r="I563" s="104">
        <f>SUBTOTAL(9,K564:K575)</f>
        <v>27296</v>
      </c>
      <c r="J563" s="108"/>
      <c r="K563"/>
      <c r="L563"/>
      <c r="M563"/>
      <c r="N563"/>
      <c r="O563"/>
      <c r="P563"/>
      <c r="Q563"/>
      <c r="R563"/>
      <c r="S563"/>
      <c r="T563"/>
    </row>
    <row r="564" spans="1:20" outlineLevel="3" x14ac:dyDescent="0.3">
      <c r="A564" s="82" t="s">
        <v>1342</v>
      </c>
      <c r="B564" s="10" t="s">
        <v>593</v>
      </c>
      <c r="C564" s="60" t="s">
        <v>594</v>
      </c>
      <c r="D564" s="44" t="s">
        <v>80</v>
      </c>
      <c r="E564" s="84">
        <v>156</v>
      </c>
      <c r="F564" s="84"/>
      <c r="G564" s="94">
        <f>cell_CoefGeneral</f>
        <v>1</v>
      </c>
      <c r="H564" s="93">
        <f>H185</f>
        <v>46</v>
      </c>
      <c r="I564" s="84">
        <f>IFERROR(ROUND(E564*H564,2),"-")</f>
        <v>7176</v>
      </c>
      <c r="J564" s="105">
        <f>IFERROR(I564/cell_Total_HT,"-")</f>
        <v>2.118519286097971E-3</v>
      </c>
      <c r="K564">
        <f>I564</f>
        <v>7176</v>
      </c>
      <c r="L564"/>
      <c r="M564"/>
      <c r="N564"/>
      <c r="O564"/>
      <c r="P564"/>
      <c r="Q564"/>
      <c r="R564"/>
      <c r="S564"/>
      <c r="T564"/>
    </row>
    <row r="565" spans="1:20" outlineLevel="3" x14ac:dyDescent="0.3">
      <c r="A565" s="82" t="s">
        <v>1343</v>
      </c>
      <c r="B565" s="58" t="s">
        <v>596</v>
      </c>
      <c r="C565" s="61" t="s">
        <v>597</v>
      </c>
      <c r="D565" s="115"/>
      <c r="E565" s="87"/>
      <c r="F565" s="87"/>
      <c r="G565" s="97"/>
      <c r="H565" s="87"/>
      <c r="I565" s="104">
        <f>SUBTOTAL(9,K566:K568)</f>
        <v>14624</v>
      </c>
      <c r="J565" s="108"/>
      <c r="K565"/>
      <c r="L565"/>
      <c r="M565"/>
      <c r="N565"/>
      <c r="O565"/>
      <c r="P565"/>
      <c r="Q565"/>
      <c r="R565"/>
      <c r="S565"/>
      <c r="T565"/>
    </row>
    <row r="566" spans="1:20" outlineLevel="4" x14ac:dyDescent="0.3">
      <c r="A566" s="82" t="s">
        <v>1344</v>
      </c>
      <c r="B566" s="10" t="s">
        <v>599</v>
      </c>
      <c r="C566" s="60" t="s">
        <v>600</v>
      </c>
      <c r="D566" s="44" t="s">
        <v>121</v>
      </c>
      <c r="E566" s="84">
        <v>11</v>
      </c>
      <c r="F566" s="84"/>
      <c r="G566" s="94">
        <f>cell_CoefGeneral</f>
        <v>1</v>
      </c>
      <c r="H566" s="93">
        <f>H187</f>
        <v>64</v>
      </c>
      <c r="I566" s="84">
        <f>IFERROR(ROUND(E566*H566,2),"-")</f>
        <v>704</v>
      </c>
      <c r="J566" s="105">
        <f>IFERROR(I566/cell_Total_HT,"-")</f>
        <v>2.0783689763279986E-4</v>
      </c>
      <c r="K566">
        <f>I566</f>
        <v>704</v>
      </c>
      <c r="L566"/>
      <c r="M566"/>
      <c r="N566"/>
      <c r="O566"/>
      <c r="P566"/>
      <c r="Q566"/>
      <c r="R566"/>
      <c r="S566"/>
      <c r="T566"/>
    </row>
    <row r="567" spans="1:20" outlineLevel="4" x14ac:dyDescent="0.3">
      <c r="A567" s="82" t="s">
        <v>1345</v>
      </c>
      <c r="B567" s="10" t="s">
        <v>602</v>
      </c>
      <c r="C567" s="60" t="s">
        <v>603</v>
      </c>
      <c r="D567" s="44" t="s">
        <v>121</v>
      </c>
      <c r="E567" s="84">
        <v>145</v>
      </c>
      <c r="F567" s="84"/>
      <c r="G567" s="94">
        <f>cell_CoefGeneral</f>
        <v>1</v>
      </c>
      <c r="H567" s="93">
        <f>H188</f>
        <v>96</v>
      </c>
      <c r="I567" s="84">
        <f>IFERROR(ROUND(E567*H567,2),"-")</f>
        <v>13920</v>
      </c>
      <c r="J567" s="105">
        <f>IFERROR(I567/cell_Total_HT,"-")</f>
        <v>4.1095022941030875E-3</v>
      </c>
      <c r="K567">
        <f>I567</f>
        <v>13920</v>
      </c>
      <c r="L567"/>
      <c r="M567"/>
      <c r="N567"/>
      <c r="O567"/>
      <c r="P567"/>
      <c r="Q567"/>
      <c r="R567"/>
      <c r="S567"/>
      <c r="T567"/>
    </row>
    <row r="568" spans="1:20" outlineLevel="4" x14ac:dyDescent="0.3">
      <c r="A568" s="82" t="s">
        <v>1346</v>
      </c>
      <c r="B568" s="10" t="s">
        <v>605</v>
      </c>
      <c r="C568" s="60" t="s">
        <v>606</v>
      </c>
      <c r="D568" s="44" t="s">
        <v>121</v>
      </c>
      <c r="E568" s="84">
        <v>0</v>
      </c>
      <c r="F568" s="84"/>
      <c r="G568" s="94">
        <f>cell_CoefGeneral</f>
        <v>1</v>
      </c>
      <c r="H568" s="93">
        <f>H189</f>
        <v>140</v>
      </c>
      <c r="I568" s="84">
        <f>IFERROR(ROUND(E568*H568,2),"-")</f>
        <v>0</v>
      </c>
      <c r="J568" s="105">
        <f>IFERROR(I568/cell_Total_HT,"-")</f>
        <v>0</v>
      </c>
      <c r="K568">
        <f>I568</f>
        <v>0</v>
      </c>
      <c r="L568"/>
      <c r="M568"/>
      <c r="N568"/>
      <c r="O568"/>
      <c r="P568"/>
      <c r="Q568"/>
      <c r="R568"/>
      <c r="S568"/>
      <c r="T568"/>
    </row>
    <row r="569" spans="1:20" outlineLevel="3" x14ac:dyDescent="0.3">
      <c r="A569" s="82" t="s">
        <v>1347</v>
      </c>
      <c r="B569" s="58" t="s">
        <v>608</v>
      </c>
      <c r="C569" s="61" t="s">
        <v>609</v>
      </c>
      <c r="D569" s="115"/>
      <c r="E569" s="87"/>
      <c r="F569" s="87"/>
      <c r="G569" s="97"/>
      <c r="H569" s="87"/>
      <c r="I569" s="104">
        <f>SUBTOTAL(9,K570:K571)</f>
        <v>3490</v>
      </c>
      <c r="J569" s="108"/>
      <c r="K569"/>
      <c r="L569"/>
      <c r="M569"/>
      <c r="N569"/>
      <c r="O569"/>
      <c r="P569"/>
      <c r="Q569"/>
      <c r="R569"/>
      <c r="S569"/>
      <c r="T569"/>
    </row>
    <row r="570" spans="1:20" ht="28.8" outlineLevel="4" x14ac:dyDescent="0.3">
      <c r="A570" s="82" t="s">
        <v>1348</v>
      </c>
      <c r="B570" s="10" t="s">
        <v>611</v>
      </c>
      <c r="C570" s="60" t="s">
        <v>612</v>
      </c>
      <c r="D570" s="44" t="s">
        <v>121</v>
      </c>
      <c r="E570" s="84">
        <v>2</v>
      </c>
      <c r="F570" s="84"/>
      <c r="G570" s="94">
        <f t="shared" ref="G570:G575" si="77">cell_CoefGeneral</f>
        <v>1</v>
      </c>
      <c r="H570" s="93">
        <f t="shared" ref="H570:H575" si="78">H191</f>
        <v>290</v>
      </c>
      <c r="I570" s="84">
        <f t="shared" ref="I570:I575" si="79">IFERROR(ROUND(E570*H570,2),"-")</f>
        <v>580</v>
      </c>
      <c r="J570" s="105">
        <f t="shared" ref="J570:J575" si="80">IFERROR(I570/cell_Total_HT,"-")</f>
        <v>1.7122926225429533E-4</v>
      </c>
      <c r="K570">
        <f t="shared" ref="K570:K575" si="81">I570</f>
        <v>580</v>
      </c>
      <c r="L570"/>
      <c r="M570"/>
      <c r="N570"/>
      <c r="O570"/>
      <c r="P570"/>
      <c r="Q570"/>
      <c r="R570"/>
      <c r="S570"/>
      <c r="T570"/>
    </row>
    <row r="571" spans="1:20" ht="28.8" outlineLevel="4" x14ac:dyDescent="0.3">
      <c r="A571" s="82" t="s">
        <v>1349</v>
      </c>
      <c r="B571" s="10" t="s">
        <v>614</v>
      </c>
      <c r="C571" s="60" t="s">
        <v>615</v>
      </c>
      <c r="D571" s="44" t="s">
        <v>121</v>
      </c>
      <c r="E571" s="84">
        <v>3</v>
      </c>
      <c r="F571" s="84"/>
      <c r="G571" s="94">
        <f t="shared" si="77"/>
        <v>1</v>
      </c>
      <c r="H571" s="93">
        <f t="shared" si="78"/>
        <v>970</v>
      </c>
      <c r="I571" s="84">
        <f t="shared" si="79"/>
        <v>2910</v>
      </c>
      <c r="J571" s="105">
        <f t="shared" si="80"/>
        <v>8.5909853993103346E-4</v>
      </c>
      <c r="K571">
        <f t="shared" si="81"/>
        <v>2910</v>
      </c>
      <c r="L571"/>
      <c r="M571"/>
      <c r="N571"/>
      <c r="O571"/>
      <c r="P571"/>
      <c r="Q571"/>
      <c r="R571"/>
      <c r="S571"/>
      <c r="T571"/>
    </row>
    <row r="572" spans="1:20" outlineLevel="3" x14ac:dyDescent="0.3">
      <c r="A572" s="82" t="s">
        <v>1350</v>
      </c>
      <c r="B572" s="10" t="s">
        <v>617</v>
      </c>
      <c r="C572" s="60" t="s">
        <v>618</v>
      </c>
      <c r="D572" s="44" t="s">
        <v>121</v>
      </c>
      <c r="E572" s="84">
        <v>1</v>
      </c>
      <c r="F572" s="84"/>
      <c r="G572" s="94">
        <f t="shared" si="77"/>
        <v>1</v>
      </c>
      <c r="H572" s="93">
        <f t="shared" si="78"/>
        <v>500</v>
      </c>
      <c r="I572" s="84">
        <f t="shared" si="79"/>
        <v>500</v>
      </c>
      <c r="J572" s="105">
        <f t="shared" si="80"/>
        <v>1.476114329778408E-4</v>
      </c>
      <c r="K572">
        <f t="shared" si="81"/>
        <v>500</v>
      </c>
      <c r="L572"/>
      <c r="M572"/>
      <c r="N572"/>
      <c r="O572"/>
      <c r="P572"/>
      <c r="Q572"/>
      <c r="R572"/>
      <c r="S572"/>
      <c r="T572"/>
    </row>
    <row r="573" spans="1:20" outlineLevel="3" x14ac:dyDescent="0.3">
      <c r="A573" s="82" t="s">
        <v>1351</v>
      </c>
      <c r="B573" s="10" t="s">
        <v>620</v>
      </c>
      <c r="C573" s="60" t="s">
        <v>621</v>
      </c>
      <c r="D573" s="44" t="s">
        <v>121</v>
      </c>
      <c r="E573" s="84">
        <v>1</v>
      </c>
      <c r="F573" s="84"/>
      <c r="G573" s="94">
        <f t="shared" si="77"/>
        <v>1</v>
      </c>
      <c r="H573" s="93">
        <f t="shared" si="78"/>
        <v>500</v>
      </c>
      <c r="I573" s="84">
        <f t="shared" si="79"/>
        <v>500</v>
      </c>
      <c r="J573" s="105">
        <f t="shared" si="80"/>
        <v>1.476114329778408E-4</v>
      </c>
      <c r="K573">
        <f t="shared" si="81"/>
        <v>500</v>
      </c>
      <c r="L573"/>
      <c r="M573"/>
      <c r="N573"/>
      <c r="O573"/>
      <c r="P573"/>
      <c r="Q573"/>
      <c r="R573"/>
      <c r="S573"/>
      <c r="T573"/>
    </row>
    <row r="574" spans="1:20" outlineLevel="3" x14ac:dyDescent="0.3">
      <c r="A574" s="82" t="s">
        <v>1352</v>
      </c>
      <c r="B574" s="10" t="s">
        <v>623</v>
      </c>
      <c r="C574" s="60" t="s">
        <v>624</v>
      </c>
      <c r="D574" s="44" t="s">
        <v>80</v>
      </c>
      <c r="E574" s="84">
        <v>156</v>
      </c>
      <c r="F574" s="84"/>
      <c r="G574" s="94">
        <f t="shared" si="77"/>
        <v>1</v>
      </c>
      <c r="H574" s="93">
        <f t="shared" si="78"/>
        <v>3.5</v>
      </c>
      <c r="I574" s="84">
        <f t="shared" si="79"/>
        <v>546</v>
      </c>
      <c r="J574" s="105">
        <f t="shared" si="80"/>
        <v>1.6119168481180216E-4</v>
      </c>
      <c r="K574">
        <f t="shared" si="81"/>
        <v>546</v>
      </c>
      <c r="L574"/>
      <c r="M574"/>
      <c r="N574"/>
      <c r="O574"/>
      <c r="P574"/>
      <c r="Q574"/>
      <c r="R574"/>
      <c r="S574"/>
      <c r="T574"/>
    </row>
    <row r="575" spans="1:20" ht="15" outlineLevel="3" thickBot="1" x14ac:dyDescent="0.35">
      <c r="A575" s="82" t="s">
        <v>1353</v>
      </c>
      <c r="B575" s="10" t="s">
        <v>626</v>
      </c>
      <c r="C575" s="60" t="s">
        <v>627</v>
      </c>
      <c r="D575" s="44" t="s">
        <v>93</v>
      </c>
      <c r="E575" s="84">
        <v>1</v>
      </c>
      <c r="F575" s="84"/>
      <c r="G575" s="94">
        <f t="shared" si="77"/>
        <v>1</v>
      </c>
      <c r="H575" s="93">
        <f t="shared" si="78"/>
        <v>460</v>
      </c>
      <c r="I575" s="84">
        <f t="shared" si="79"/>
        <v>460</v>
      </c>
      <c r="J575" s="105">
        <f t="shared" si="80"/>
        <v>1.3580251833961353E-4</v>
      </c>
      <c r="K575">
        <f t="shared" si="81"/>
        <v>460</v>
      </c>
      <c r="L575"/>
      <c r="M575"/>
      <c r="N575"/>
      <c r="O575"/>
      <c r="P575"/>
      <c r="Q575"/>
      <c r="R575"/>
      <c r="S575"/>
      <c r="T575"/>
    </row>
    <row r="576" spans="1:20" ht="15" outlineLevel="2" thickTop="1" x14ac:dyDescent="0.3">
      <c r="A576" s="82" t="s">
        <v>1354</v>
      </c>
      <c r="B576" s="62" t="s">
        <v>60</v>
      </c>
      <c r="C576" s="63" t="s">
        <v>629</v>
      </c>
      <c r="D576" s="116"/>
      <c r="E576" s="88"/>
      <c r="F576" s="88"/>
      <c r="G576" s="98"/>
      <c r="H576" s="88"/>
      <c r="I576" s="88">
        <f>SUBTOTAL(9,I564:I575)</f>
        <v>27296</v>
      </c>
      <c r="J576" s="109"/>
      <c r="K576"/>
      <c r="L576"/>
      <c r="M576"/>
      <c r="N576"/>
      <c r="O576"/>
      <c r="P576"/>
      <c r="Q576"/>
      <c r="R576"/>
      <c r="S576"/>
      <c r="T576"/>
    </row>
    <row r="577" spans="1:20" outlineLevel="2" x14ac:dyDescent="0.3">
      <c r="A577" s="82" t="s">
        <v>1355</v>
      </c>
      <c r="B577" s="64" t="s">
        <v>631</v>
      </c>
      <c r="C577" s="65" t="s">
        <v>632</v>
      </c>
      <c r="D577" s="117"/>
      <c r="E577" s="87"/>
      <c r="F577" s="87"/>
      <c r="G577" s="97"/>
      <c r="H577" s="87"/>
      <c r="I577" s="104">
        <f>SUBTOTAL(9,K578:K605)</f>
        <v>23118.400000000001</v>
      </c>
      <c r="J577" s="108"/>
      <c r="K577"/>
      <c r="L577"/>
      <c r="M577"/>
      <c r="N577"/>
      <c r="O577"/>
      <c r="P577"/>
      <c r="Q577"/>
      <c r="R577"/>
      <c r="S577"/>
      <c r="T577"/>
    </row>
    <row r="578" spans="1:20" outlineLevel="3" x14ac:dyDescent="0.3">
      <c r="A578" s="82" t="s">
        <v>1356</v>
      </c>
      <c r="B578" s="10" t="s">
        <v>634</v>
      </c>
      <c r="C578" s="60" t="s">
        <v>635</v>
      </c>
      <c r="D578" s="44" t="s">
        <v>80</v>
      </c>
      <c r="E578" s="84">
        <v>10</v>
      </c>
      <c r="F578" s="84"/>
      <c r="G578" s="94">
        <f>cell_CoefGeneral</f>
        <v>1</v>
      </c>
      <c r="H578" s="93">
        <f>H199</f>
        <v>58</v>
      </c>
      <c r="I578" s="84">
        <f>IFERROR(ROUND(E578*H578,2),"-")</f>
        <v>580</v>
      </c>
      <c r="J578" s="105">
        <f>IFERROR(I578/cell_Total_HT,"-")</f>
        <v>1.7122926225429533E-4</v>
      </c>
      <c r="K578">
        <f>I578</f>
        <v>580</v>
      </c>
      <c r="L578"/>
      <c r="M578"/>
      <c r="N578"/>
      <c r="O578"/>
      <c r="P578"/>
      <c r="Q578"/>
      <c r="R578"/>
      <c r="S578"/>
      <c r="T578"/>
    </row>
    <row r="579" spans="1:20" outlineLevel="3" x14ac:dyDescent="0.3">
      <c r="A579" s="82" t="s">
        <v>1357</v>
      </c>
      <c r="B579" s="58" t="s">
        <v>637</v>
      </c>
      <c r="C579" s="61" t="s">
        <v>638</v>
      </c>
      <c r="D579" s="115"/>
      <c r="E579" s="87"/>
      <c r="F579" s="87"/>
      <c r="G579" s="97"/>
      <c r="H579" s="87"/>
      <c r="I579" s="104">
        <f>SUBTOTAL(9,K580:K582)</f>
        <v>6319.9</v>
      </c>
      <c r="J579" s="108"/>
      <c r="K579"/>
      <c r="L579"/>
      <c r="M579"/>
      <c r="N579"/>
      <c r="O579"/>
      <c r="P579"/>
      <c r="Q579"/>
      <c r="R579"/>
      <c r="S579"/>
      <c r="T579"/>
    </row>
    <row r="580" spans="1:20" outlineLevel="4" x14ac:dyDescent="0.3">
      <c r="A580" s="82" t="s">
        <v>1358</v>
      </c>
      <c r="B580" s="10" t="s">
        <v>640</v>
      </c>
      <c r="C580" s="60" t="s">
        <v>641</v>
      </c>
      <c r="D580" s="44" t="s">
        <v>154</v>
      </c>
      <c r="E580" s="84">
        <v>1319</v>
      </c>
      <c r="F580" s="84"/>
      <c r="G580" s="94">
        <f>cell_CoefGeneral</f>
        <v>1</v>
      </c>
      <c r="H580" s="93">
        <f>H201</f>
        <v>2.1</v>
      </c>
      <c r="I580" s="84">
        <f>IFERROR(ROUND(E580*H580,2),"-")</f>
        <v>2769.9</v>
      </c>
      <c r="J580" s="105">
        <f>IFERROR(I580/cell_Total_HT,"-")</f>
        <v>8.1773781641064245E-4</v>
      </c>
      <c r="K580">
        <f>I580</f>
        <v>2769.9</v>
      </c>
      <c r="L580"/>
      <c r="M580"/>
      <c r="N580"/>
      <c r="O580"/>
      <c r="P580"/>
      <c r="Q580"/>
      <c r="R580"/>
      <c r="S580"/>
      <c r="T580"/>
    </row>
    <row r="581" spans="1:20" ht="28.8" outlineLevel="4" x14ac:dyDescent="0.3">
      <c r="A581" s="82" t="s">
        <v>1359</v>
      </c>
      <c r="B581" s="10" t="s">
        <v>643</v>
      </c>
      <c r="C581" s="60" t="s">
        <v>644</v>
      </c>
      <c r="D581" s="44" t="s">
        <v>141</v>
      </c>
      <c r="E581" s="84">
        <v>46</v>
      </c>
      <c r="F581" s="84"/>
      <c r="G581" s="94">
        <f>cell_CoefGeneral</f>
        <v>1</v>
      </c>
      <c r="H581" s="93">
        <f>H202</f>
        <v>13</v>
      </c>
      <c r="I581" s="84">
        <f>IFERROR(ROUND(E581*H581,2),"-")</f>
        <v>598</v>
      </c>
      <c r="J581" s="105">
        <f>IFERROR(I581/cell_Total_HT,"-")</f>
        <v>1.7654327384149761E-4</v>
      </c>
      <c r="K581">
        <f>I581</f>
        <v>598</v>
      </c>
      <c r="L581"/>
      <c r="M581"/>
      <c r="N581"/>
      <c r="O581"/>
      <c r="P581"/>
      <c r="Q581"/>
      <c r="R581"/>
      <c r="S581"/>
      <c r="T581"/>
    </row>
    <row r="582" spans="1:20" ht="28.8" outlineLevel="4" x14ac:dyDescent="0.3">
      <c r="A582" s="82" t="s">
        <v>1360</v>
      </c>
      <c r="B582" s="10" t="s">
        <v>646</v>
      </c>
      <c r="C582" s="60" t="s">
        <v>647</v>
      </c>
      <c r="D582" s="44" t="s">
        <v>141</v>
      </c>
      <c r="E582" s="84">
        <v>72</v>
      </c>
      <c r="F582" s="84"/>
      <c r="G582" s="94">
        <f>cell_CoefGeneral</f>
        <v>1</v>
      </c>
      <c r="H582" s="93">
        <f>H203</f>
        <v>41</v>
      </c>
      <c r="I582" s="84">
        <f>IFERROR(ROUND(E582*H582,2),"-")</f>
        <v>2952</v>
      </c>
      <c r="J582" s="105">
        <f>IFERROR(I582/cell_Total_HT,"-")</f>
        <v>8.7149790030117209E-4</v>
      </c>
      <c r="K582">
        <f>I582</f>
        <v>2952</v>
      </c>
      <c r="L582"/>
      <c r="M582"/>
      <c r="N582"/>
      <c r="O582"/>
      <c r="P582"/>
      <c r="Q582"/>
      <c r="R582"/>
      <c r="S582"/>
      <c r="T582"/>
    </row>
    <row r="583" spans="1:20" outlineLevel="3" x14ac:dyDescent="0.3">
      <c r="A583" s="82" t="s">
        <v>1361</v>
      </c>
      <c r="B583" s="58" t="s">
        <v>649</v>
      </c>
      <c r="C583" s="61" t="s">
        <v>597</v>
      </c>
      <c r="D583" s="115"/>
      <c r="E583" s="87"/>
      <c r="F583" s="87"/>
      <c r="G583" s="97"/>
      <c r="H583" s="87"/>
      <c r="I583" s="104">
        <f>SUBTOTAL(9,K584:K586)</f>
        <v>1995</v>
      </c>
      <c r="J583" s="108"/>
      <c r="K583"/>
      <c r="L583"/>
      <c r="M583"/>
      <c r="N583"/>
      <c r="O583"/>
      <c r="P583"/>
      <c r="Q583"/>
      <c r="R583"/>
      <c r="S583"/>
      <c r="T583"/>
    </row>
    <row r="584" spans="1:20" outlineLevel="4" x14ac:dyDescent="0.3">
      <c r="A584" s="82" t="s">
        <v>1362</v>
      </c>
      <c r="B584" s="10" t="s">
        <v>651</v>
      </c>
      <c r="C584" s="60" t="s">
        <v>600</v>
      </c>
      <c r="D584" s="44" t="s">
        <v>121</v>
      </c>
      <c r="E584" s="84">
        <v>0</v>
      </c>
      <c r="F584" s="84"/>
      <c r="G584" s="94">
        <f>cell_CoefGeneral</f>
        <v>1</v>
      </c>
      <c r="H584" s="93">
        <f>H205</f>
        <v>100</v>
      </c>
      <c r="I584" s="84">
        <f>IFERROR(ROUND(E584*H584,2),"-")</f>
        <v>0</v>
      </c>
      <c r="J584" s="105">
        <f>IFERROR(I584/cell_Total_HT,"-")</f>
        <v>0</v>
      </c>
      <c r="K584">
        <f>I584</f>
        <v>0</v>
      </c>
      <c r="L584"/>
      <c r="M584"/>
      <c r="N584"/>
      <c r="O584"/>
      <c r="P584"/>
      <c r="Q584"/>
      <c r="R584"/>
      <c r="S584"/>
      <c r="T584"/>
    </row>
    <row r="585" spans="1:20" outlineLevel="4" x14ac:dyDescent="0.3">
      <c r="A585" s="82" t="s">
        <v>1363</v>
      </c>
      <c r="B585" s="10" t="s">
        <v>653</v>
      </c>
      <c r="C585" s="60" t="s">
        <v>654</v>
      </c>
      <c r="D585" s="44" t="s">
        <v>121</v>
      </c>
      <c r="E585" s="84">
        <v>10</v>
      </c>
      <c r="F585" s="84"/>
      <c r="G585" s="94">
        <f>cell_CoefGeneral</f>
        <v>1</v>
      </c>
      <c r="H585" s="93">
        <f>H206</f>
        <v>60</v>
      </c>
      <c r="I585" s="84">
        <f>IFERROR(ROUND(E585*H585,2),"-")</f>
        <v>600</v>
      </c>
      <c r="J585" s="105">
        <f>IFERROR(I585/cell_Total_HT,"-")</f>
        <v>1.7713371957340897E-4</v>
      </c>
      <c r="K585">
        <f>I585</f>
        <v>600</v>
      </c>
      <c r="L585"/>
      <c r="M585"/>
      <c r="N585"/>
      <c r="O585"/>
      <c r="P585"/>
      <c r="Q585"/>
      <c r="R585"/>
      <c r="S585"/>
      <c r="T585"/>
    </row>
    <row r="586" spans="1:20" outlineLevel="4" x14ac:dyDescent="0.3">
      <c r="A586" s="82" t="s">
        <v>1364</v>
      </c>
      <c r="B586" s="10" t="s">
        <v>656</v>
      </c>
      <c r="C586" s="60" t="s">
        <v>657</v>
      </c>
      <c r="D586" s="44" t="s">
        <v>121</v>
      </c>
      <c r="E586" s="84">
        <v>31</v>
      </c>
      <c r="F586" s="84"/>
      <c r="G586" s="94">
        <f>cell_CoefGeneral</f>
        <v>1</v>
      </c>
      <c r="H586" s="93">
        <f>H207</f>
        <v>45</v>
      </c>
      <c r="I586" s="84">
        <f>IFERROR(ROUND(E586*H586,2),"-")</f>
        <v>1395</v>
      </c>
      <c r="J586" s="105">
        <f>IFERROR(I586/cell_Total_HT,"-")</f>
        <v>4.1183589800817584E-4</v>
      </c>
      <c r="K586">
        <f>I586</f>
        <v>1395</v>
      </c>
      <c r="L586"/>
      <c r="M586"/>
      <c r="N586"/>
      <c r="O586"/>
      <c r="P586"/>
      <c r="Q586"/>
      <c r="R586"/>
      <c r="S586"/>
      <c r="T586"/>
    </row>
    <row r="587" spans="1:20" outlineLevel="3" x14ac:dyDescent="0.3">
      <c r="A587" s="82" t="s">
        <v>1365</v>
      </c>
      <c r="B587" s="58" t="s">
        <v>659</v>
      </c>
      <c r="C587" s="61" t="s">
        <v>660</v>
      </c>
      <c r="D587" s="115"/>
      <c r="E587" s="87"/>
      <c r="F587" s="87"/>
      <c r="G587" s="97"/>
      <c r="H587" s="87"/>
      <c r="I587" s="104">
        <f>SUBTOTAL(9,K588:K599)</f>
        <v>13000</v>
      </c>
      <c r="J587" s="108"/>
      <c r="K587"/>
      <c r="L587"/>
      <c r="M587"/>
      <c r="N587"/>
      <c r="O587"/>
      <c r="P587"/>
      <c r="Q587"/>
      <c r="R587"/>
      <c r="S587"/>
      <c r="T587"/>
    </row>
    <row r="588" spans="1:20" ht="28.8" outlineLevel="4" x14ac:dyDescent="0.3">
      <c r="A588" s="82" t="s">
        <v>1366</v>
      </c>
      <c r="B588" s="10" t="s">
        <v>662</v>
      </c>
      <c r="C588" s="60" t="s">
        <v>663</v>
      </c>
      <c r="D588" s="44" t="s">
        <v>121</v>
      </c>
      <c r="E588" s="84">
        <v>1</v>
      </c>
      <c r="F588" s="84"/>
      <c r="G588" s="94">
        <f t="shared" ref="G588:G599" si="82">cell_CoefGeneral</f>
        <v>1</v>
      </c>
      <c r="H588" s="93">
        <f t="shared" ref="H588:H599" si="83">H209</f>
        <v>780</v>
      </c>
      <c r="I588" s="84">
        <f t="shared" ref="I588:I599" si="84">IFERROR(ROUND(E588*H588,2),"-")</f>
        <v>780</v>
      </c>
      <c r="J588" s="105">
        <f t="shared" ref="J588:J599" si="85">IFERROR(I588/cell_Total_HT,"-")</f>
        <v>2.3027383544543166E-4</v>
      </c>
      <c r="K588">
        <f t="shared" ref="K588:K599" si="86">I588</f>
        <v>780</v>
      </c>
      <c r="L588"/>
      <c r="M588"/>
      <c r="N588"/>
      <c r="O588"/>
      <c r="P588"/>
      <c r="Q588"/>
      <c r="R588"/>
      <c r="S588"/>
      <c r="T588"/>
    </row>
    <row r="589" spans="1:20" ht="28.8" outlineLevel="4" x14ac:dyDescent="0.3">
      <c r="A589" s="82" t="s">
        <v>1367</v>
      </c>
      <c r="B589" s="10" t="s">
        <v>665</v>
      </c>
      <c r="C589" s="60" t="s">
        <v>666</v>
      </c>
      <c r="D589" s="44" t="s">
        <v>121</v>
      </c>
      <c r="E589" s="84">
        <v>0</v>
      </c>
      <c r="F589" s="84"/>
      <c r="G589" s="94">
        <f t="shared" si="82"/>
        <v>1</v>
      </c>
      <c r="H589" s="93">
        <f t="shared" si="83"/>
        <v>740</v>
      </c>
      <c r="I589" s="84">
        <f t="shared" si="84"/>
        <v>0</v>
      </c>
      <c r="J589" s="105">
        <f t="shared" si="85"/>
        <v>0</v>
      </c>
      <c r="K589">
        <f t="shared" si="86"/>
        <v>0</v>
      </c>
      <c r="L589"/>
      <c r="M589"/>
      <c r="N589"/>
      <c r="O589"/>
      <c r="P589"/>
      <c r="Q589"/>
      <c r="R589"/>
      <c r="S589"/>
      <c r="T589"/>
    </row>
    <row r="590" spans="1:20" ht="28.8" outlineLevel="4" x14ac:dyDescent="0.3">
      <c r="A590" s="82" t="s">
        <v>1368</v>
      </c>
      <c r="B590" s="10" t="s">
        <v>668</v>
      </c>
      <c r="C590" s="60" t="s">
        <v>669</v>
      </c>
      <c r="D590" s="44" t="s">
        <v>121</v>
      </c>
      <c r="E590" s="84">
        <v>0</v>
      </c>
      <c r="F590" s="84"/>
      <c r="G590" s="94">
        <f t="shared" si="82"/>
        <v>1</v>
      </c>
      <c r="H590" s="93">
        <f t="shared" si="83"/>
        <v>900</v>
      </c>
      <c r="I590" s="84">
        <f t="shared" si="84"/>
        <v>0</v>
      </c>
      <c r="J590" s="105">
        <f t="shared" si="85"/>
        <v>0</v>
      </c>
      <c r="K590">
        <f t="shared" si="86"/>
        <v>0</v>
      </c>
      <c r="L590"/>
      <c r="M590"/>
      <c r="N590"/>
      <c r="O590"/>
      <c r="P590"/>
      <c r="Q590"/>
      <c r="R590"/>
      <c r="S590"/>
      <c r="T590"/>
    </row>
    <row r="591" spans="1:20" ht="28.8" outlineLevel="4" x14ac:dyDescent="0.3">
      <c r="A591" s="82" t="s">
        <v>1369</v>
      </c>
      <c r="B591" s="10" t="s">
        <v>671</v>
      </c>
      <c r="C591" s="60" t="s">
        <v>672</v>
      </c>
      <c r="D591" s="44" t="s">
        <v>121</v>
      </c>
      <c r="E591" s="84">
        <v>0</v>
      </c>
      <c r="F591" s="84"/>
      <c r="G591" s="94">
        <f t="shared" si="82"/>
        <v>1</v>
      </c>
      <c r="H591" s="93">
        <f t="shared" si="83"/>
        <v>370</v>
      </c>
      <c r="I591" s="84">
        <f t="shared" si="84"/>
        <v>0</v>
      </c>
      <c r="J591" s="105">
        <f t="shared" si="85"/>
        <v>0</v>
      </c>
      <c r="K591">
        <f t="shared" si="86"/>
        <v>0</v>
      </c>
      <c r="L591"/>
      <c r="M591"/>
      <c r="N591"/>
      <c r="O591"/>
      <c r="P591"/>
      <c r="Q591"/>
      <c r="R591"/>
      <c r="S591"/>
      <c r="T591"/>
    </row>
    <row r="592" spans="1:20" ht="28.8" outlineLevel="4" x14ac:dyDescent="0.3">
      <c r="A592" s="82" t="s">
        <v>1370</v>
      </c>
      <c r="B592" s="10" t="s">
        <v>674</v>
      </c>
      <c r="C592" s="60" t="s">
        <v>675</v>
      </c>
      <c r="D592" s="44" t="s">
        <v>121</v>
      </c>
      <c r="E592" s="84">
        <v>0</v>
      </c>
      <c r="F592" s="84"/>
      <c r="G592" s="94">
        <f t="shared" si="82"/>
        <v>1</v>
      </c>
      <c r="H592" s="93">
        <f t="shared" si="83"/>
        <v>870</v>
      </c>
      <c r="I592" s="84">
        <f t="shared" si="84"/>
        <v>0</v>
      </c>
      <c r="J592" s="105">
        <f t="shared" si="85"/>
        <v>0</v>
      </c>
      <c r="K592">
        <f t="shared" si="86"/>
        <v>0</v>
      </c>
      <c r="L592"/>
      <c r="M592"/>
      <c r="N592"/>
      <c r="O592"/>
      <c r="P592"/>
      <c r="Q592"/>
      <c r="R592"/>
      <c r="S592"/>
      <c r="T592"/>
    </row>
    <row r="593" spans="1:20" ht="43.2" outlineLevel="4" x14ac:dyDescent="0.3">
      <c r="A593" s="82" t="s">
        <v>1371</v>
      </c>
      <c r="B593" s="10" t="s">
        <v>677</v>
      </c>
      <c r="C593" s="60" t="s">
        <v>678</v>
      </c>
      <c r="D593" s="44" t="s">
        <v>121</v>
      </c>
      <c r="E593" s="84">
        <v>3</v>
      </c>
      <c r="F593" s="84"/>
      <c r="G593" s="94">
        <f t="shared" si="82"/>
        <v>1</v>
      </c>
      <c r="H593" s="93">
        <f t="shared" si="83"/>
        <v>980</v>
      </c>
      <c r="I593" s="84">
        <f t="shared" si="84"/>
        <v>2940</v>
      </c>
      <c r="J593" s="105">
        <f t="shared" si="85"/>
        <v>8.6795522590970393E-4</v>
      </c>
      <c r="K593">
        <f t="shared" si="86"/>
        <v>2940</v>
      </c>
      <c r="L593"/>
      <c r="M593"/>
      <c r="N593"/>
      <c r="O593"/>
      <c r="P593"/>
      <c r="Q593"/>
      <c r="R593"/>
      <c r="S593"/>
      <c r="T593"/>
    </row>
    <row r="594" spans="1:20" ht="28.8" outlineLevel="4" x14ac:dyDescent="0.3">
      <c r="A594" s="82" t="s">
        <v>1372</v>
      </c>
      <c r="B594" s="10" t="s">
        <v>680</v>
      </c>
      <c r="C594" s="60" t="s">
        <v>681</v>
      </c>
      <c r="D594" s="44" t="s">
        <v>121</v>
      </c>
      <c r="E594" s="84">
        <v>0</v>
      </c>
      <c r="F594" s="84"/>
      <c r="G594" s="94">
        <f t="shared" si="82"/>
        <v>1</v>
      </c>
      <c r="H594" s="93">
        <f t="shared" si="83"/>
        <v>840</v>
      </c>
      <c r="I594" s="84">
        <f t="shared" si="84"/>
        <v>0</v>
      </c>
      <c r="J594" s="105">
        <f t="shared" si="85"/>
        <v>0</v>
      </c>
      <c r="K594">
        <f t="shared" si="86"/>
        <v>0</v>
      </c>
      <c r="L594"/>
      <c r="M594"/>
      <c r="N594"/>
      <c r="O594"/>
      <c r="P594"/>
      <c r="Q594"/>
      <c r="R594"/>
      <c r="S594"/>
      <c r="T594"/>
    </row>
    <row r="595" spans="1:20" ht="43.2" outlineLevel="4" x14ac:dyDescent="0.3">
      <c r="A595" s="82" t="s">
        <v>1373</v>
      </c>
      <c r="B595" s="10" t="s">
        <v>683</v>
      </c>
      <c r="C595" s="60" t="s">
        <v>684</v>
      </c>
      <c r="D595" s="44" t="s">
        <v>121</v>
      </c>
      <c r="E595" s="84">
        <v>0</v>
      </c>
      <c r="F595" s="84"/>
      <c r="G595" s="94">
        <f t="shared" si="82"/>
        <v>1</v>
      </c>
      <c r="H595" s="93">
        <f t="shared" si="83"/>
        <v>800</v>
      </c>
      <c r="I595" s="84">
        <f t="shared" si="84"/>
        <v>0</v>
      </c>
      <c r="J595" s="105">
        <f t="shared" si="85"/>
        <v>0</v>
      </c>
      <c r="K595">
        <f t="shared" si="86"/>
        <v>0</v>
      </c>
      <c r="L595"/>
      <c r="M595"/>
      <c r="N595"/>
      <c r="O595"/>
      <c r="P595"/>
      <c r="Q595"/>
      <c r="R595"/>
      <c r="S595"/>
      <c r="T595"/>
    </row>
    <row r="596" spans="1:20" ht="43.2" outlineLevel="4" x14ac:dyDescent="0.3">
      <c r="A596" s="82" t="s">
        <v>1374</v>
      </c>
      <c r="B596" s="10" t="s">
        <v>686</v>
      </c>
      <c r="C596" s="60" t="s">
        <v>687</v>
      </c>
      <c r="D596" s="44" t="s">
        <v>121</v>
      </c>
      <c r="E596" s="84">
        <v>9</v>
      </c>
      <c r="F596" s="84"/>
      <c r="G596" s="94">
        <f t="shared" si="82"/>
        <v>1</v>
      </c>
      <c r="H596" s="93">
        <f t="shared" si="83"/>
        <v>920</v>
      </c>
      <c r="I596" s="84">
        <f t="shared" si="84"/>
        <v>8280</v>
      </c>
      <c r="J596" s="105">
        <f t="shared" si="85"/>
        <v>2.4444453301130436E-3</v>
      </c>
      <c r="K596">
        <f t="shared" si="86"/>
        <v>8280</v>
      </c>
      <c r="L596"/>
      <c r="M596"/>
      <c r="N596"/>
      <c r="O596"/>
      <c r="P596"/>
      <c r="Q596"/>
      <c r="R596"/>
      <c r="S596"/>
      <c r="T596"/>
    </row>
    <row r="597" spans="1:20" ht="43.2" outlineLevel="4" x14ac:dyDescent="0.3">
      <c r="A597" s="82" t="s">
        <v>1375</v>
      </c>
      <c r="B597" s="10" t="s">
        <v>689</v>
      </c>
      <c r="C597" s="60" t="s">
        <v>690</v>
      </c>
      <c r="D597" s="44" t="s">
        <v>121</v>
      </c>
      <c r="E597" s="84">
        <v>0</v>
      </c>
      <c r="F597" s="84"/>
      <c r="G597" s="94">
        <f t="shared" si="82"/>
        <v>1</v>
      </c>
      <c r="H597" s="93">
        <f t="shared" si="83"/>
        <v>500</v>
      </c>
      <c r="I597" s="84">
        <f t="shared" si="84"/>
        <v>0</v>
      </c>
      <c r="J597" s="105">
        <f t="shared" si="85"/>
        <v>0</v>
      </c>
      <c r="K597">
        <f t="shared" si="86"/>
        <v>0</v>
      </c>
      <c r="L597"/>
      <c r="M597"/>
      <c r="N597"/>
      <c r="O597"/>
      <c r="P597"/>
      <c r="Q597"/>
      <c r="R597"/>
      <c r="S597"/>
      <c r="T597"/>
    </row>
    <row r="598" spans="1:20" outlineLevel="4" x14ac:dyDescent="0.3">
      <c r="A598" s="82" t="s">
        <v>1376</v>
      </c>
      <c r="B598" s="10" t="s">
        <v>692</v>
      </c>
      <c r="C598" s="60" t="s">
        <v>693</v>
      </c>
      <c r="D598" s="44" t="s">
        <v>121</v>
      </c>
      <c r="E598" s="84">
        <v>0</v>
      </c>
      <c r="F598" s="84"/>
      <c r="G598" s="94">
        <f t="shared" si="82"/>
        <v>1</v>
      </c>
      <c r="H598" s="93">
        <f t="shared" si="83"/>
        <v>850</v>
      </c>
      <c r="I598" s="84">
        <f t="shared" si="84"/>
        <v>0</v>
      </c>
      <c r="J598" s="105">
        <f t="shared" si="85"/>
        <v>0</v>
      </c>
      <c r="K598">
        <f t="shared" si="86"/>
        <v>0</v>
      </c>
      <c r="L598"/>
      <c r="M598"/>
      <c r="N598"/>
      <c r="O598"/>
      <c r="P598"/>
      <c r="Q598"/>
      <c r="R598"/>
      <c r="S598"/>
      <c r="T598"/>
    </row>
    <row r="599" spans="1:20" ht="28.8" outlineLevel="4" x14ac:dyDescent="0.3">
      <c r="A599" s="82" t="s">
        <v>1377</v>
      </c>
      <c r="B599" s="10" t="s">
        <v>695</v>
      </c>
      <c r="C599" s="60" t="s">
        <v>696</v>
      </c>
      <c r="D599" s="44" t="s">
        <v>121</v>
      </c>
      <c r="E599" s="84">
        <v>2</v>
      </c>
      <c r="F599" s="84"/>
      <c r="G599" s="94">
        <f t="shared" si="82"/>
        <v>1</v>
      </c>
      <c r="H599" s="93">
        <f t="shared" si="83"/>
        <v>500</v>
      </c>
      <c r="I599" s="84">
        <f t="shared" si="84"/>
        <v>1000</v>
      </c>
      <c r="J599" s="105">
        <f t="shared" si="85"/>
        <v>2.9522286595568161E-4</v>
      </c>
      <c r="K599">
        <f t="shared" si="86"/>
        <v>1000</v>
      </c>
      <c r="L599"/>
      <c r="M599"/>
      <c r="N599"/>
      <c r="O599"/>
      <c r="P599"/>
      <c r="Q599"/>
      <c r="R599"/>
      <c r="S599"/>
      <c r="T599"/>
    </row>
    <row r="600" spans="1:20" outlineLevel="3" x14ac:dyDescent="0.3">
      <c r="A600" s="82" t="s">
        <v>1378</v>
      </c>
      <c r="B600" s="58" t="s">
        <v>698</v>
      </c>
      <c r="C600" s="61" t="s">
        <v>699</v>
      </c>
      <c r="D600" s="115"/>
      <c r="E600" s="87"/>
      <c r="F600" s="87"/>
      <c r="G600" s="97"/>
      <c r="H600" s="87"/>
      <c r="I600" s="104">
        <f>SUBTOTAL(9,K601:K603)</f>
        <v>500</v>
      </c>
      <c r="J600" s="108"/>
      <c r="K600"/>
      <c r="L600"/>
      <c r="M600"/>
      <c r="N600"/>
      <c r="O600"/>
      <c r="P600"/>
      <c r="Q600"/>
      <c r="R600"/>
      <c r="S600"/>
      <c r="T600"/>
    </row>
    <row r="601" spans="1:20" outlineLevel="4" x14ac:dyDescent="0.3">
      <c r="A601" s="82" t="s">
        <v>1379</v>
      </c>
      <c r="B601" s="10" t="s">
        <v>701</v>
      </c>
      <c r="C601" s="60" t="s">
        <v>618</v>
      </c>
      <c r="D601" s="44" t="s">
        <v>121</v>
      </c>
      <c r="E601" s="84">
        <v>1</v>
      </c>
      <c r="F601" s="84"/>
      <c r="G601" s="94">
        <f>cell_CoefGeneral</f>
        <v>1</v>
      </c>
      <c r="H601" s="93">
        <f>H222</f>
        <v>500</v>
      </c>
      <c r="I601" s="84">
        <f>IFERROR(ROUND(E601*H601,2),"-")</f>
        <v>500</v>
      </c>
      <c r="J601" s="105">
        <f>IFERROR(I601/cell_Total_HT,"-")</f>
        <v>1.476114329778408E-4</v>
      </c>
      <c r="K601">
        <f>I601</f>
        <v>500</v>
      </c>
      <c r="L601"/>
      <c r="M601"/>
      <c r="N601"/>
      <c r="O601"/>
      <c r="P601"/>
      <c r="Q601"/>
      <c r="R601"/>
      <c r="S601"/>
      <c r="T601"/>
    </row>
    <row r="602" spans="1:20" outlineLevel="4" x14ac:dyDescent="0.3">
      <c r="A602" s="82" t="s">
        <v>1380</v>
      </c>
      <c r="B602" s="10" t="s">
        <v>703</v>
      </c>
      <c r="C602" s="60" t="s">
        <v>621</v>
      </c>
      <c r="D602" s="44" t="s">
        <v>121</v>
      </c>
      <c r="E602" s="84">
        <v>0</v>
      </c>
      <c r="F602" s="84"/>
      <c r="G602" s="94">
        <f>cell_CoefGeneral</f>
        <v>1</v>
      </c>
      <c r="H602" s="93">
        <f>H223</f>
        <v>500</v>
      </c>
      <c r="I602" s="84">
        <f>IFERROR(ROUND(E602*H602,2),"-")</f>
        <v>0</v>
      </c>
      <c r="J602" s="105">
        <f>IFERROR(I602/cell_Total_HT,"-")</f>
        <v>0</v>
      </c>
      <c r="K602">
        <f>I602</f>
        <v>0</v>
      </c>
      <c r="L602"/>
      <c r="M602"/>
      <c r="N602"/>
      <c r="O602"/>
      <c r="P602"/>
      <c r="Q602"/>
      <c r="R602"/>
      <c r="S602"/>
      <c r="T602"/>
    </row>
    <row r="603" spans="1:20" outlineLevel="4" x14ac:dyDescent="0.3">
      <c r="A603" s="82" t="s">
        <v>1381</v>
      </c>
      <c r="B603" s="10" t="s">
        <v>705</v>
      </c>
      <c r="C603" s="60" t="s">
        <v>706</v>
      </c>
      <c r="D603" s="44" t="s">
        <v>121</v>
      </c>
      <c r="E603" s="84">
        <v>0</v>
      </c>
      <c r="F603" s="84"/>
      <c r="G603" s="94">
        <f>cell_CoefGeneral</f>
        <v>1</v>
      </c>
      <c r="H603" s="93">
        <f>H224</f>
        <v>6900</v>
      </c>
      <c r="I603" s="84">
        <f>IFERROR(ROUND(E603*H603,2),"-")</f>
        <v>0</v>
      </c>
      <c r="J603" s="105">
        <f>IFERROR(I603/cell_Total_HT,"-")</f>
        <v>0</v>
      </c>
      <c r="K603">
        <f>I603</f>
        <v>0</v>
      </c>
      <c r="L603"/>
      <c r="M603"/>
      <c r="N603"/>
      <c r="O603"/>
      <c r="P603"/>
      <c r="Q603"/>
      <c r="R603"/>
      <c r="S603"/>
      <c r="T603"/>
    </row>
    <row r="604" spans="1:20" outlineLevel="3" x14ac:dyDescent="0.3">
      <c r="A604" s="82" t="s">
        <v>1382</v>
      </c>
      <c r="B604" s="10" t="s">
        <v>708</v>
      </c>
      <c r="C604" s="60" t="s">
        <v>624</v>
      </c>
      <c r="D604" s="44" t="s">
        <v>80</v>
      </c>
      <c r="E604" s="84">
        <v>41</v>
      </c>
      <c r="F604" s="84"/>
      <c r="G604" s="94">
        <f>cell_CoefGeneral</f>
        <v>1</v>
      </c>
      <c r="H604" s="93">
        <f>H225</f>
        <v>3.5</v>
      </c>
      <c r="I604" s="84">
        <f>IFERROR(ROUND(E604*H604,2),"-")</f>
        <v>143.5</v>
      </c>
      <c r="J604" s="105">
        <f>IFERROR(I604/cell_Total_HT,"-")</f>
        <v>4.2364481264640312E-5</v>
      </c>
      <c r="K604">
        <f>I604</f>
        <v>143.5</v>
      </c>
      <c r="L604"/>
      <c r="M604"/>
      <c r="N604"/>
      <c r="O604"/>
      <c r="P604"/>
      <c r="Q604"/>
      <c r="R604"/>
      <c r="S604"/>
      <c r="T604"/>
    </row>
    <row r="605" spans="1:20" ht="15" outlineLevel="3" thickBot="1" x14ac:dyDescent="0.35">
      <c r="A605" s="82" t="s">
        <v>1383</v>
      </c>
      <c r="B605" s="10" t="s">
        <v>710</v>
      </c>
      <c r="C605" s="60" t="s">
        <v>627</v>
      </c>
      <c r="D605" s="44" t="s">
        <v>93</v>
      </c>
      <c r="E605" s="84">
        <v>1</v>
      </c>
      <c r="F605" s="84"/>
      <c r="G605" s="94">
        <f>cell_CoefGeneral</f>
        <v>1</v>
      </c>
      <c r="H605" s="93">
        <f>H226</f>
        <v>580</v>
      </c>
      <c r="I605" s="84">
        <f>IFERROR(ROUND(E605*H605,2),"-")</f>
        <v>580</v>
      </c>
      <c r="J605" s="105">
        <f>IFERROR(I605/cell_Total_HT,"-")</f>
        <v>1.7122926225429533E-4</v>
      </c>
      <c r="K605">
        <f>I605</f>
        <v>580</v>
      </c>
      <c r="L605"/>
      <c r="M605"/>
      <c r="N605"/>
      <c r="O605"/>
      <c r="P605"/>
      <c r="Q605"/>
      <c r="R605"/>
      <c r="S605"/>
      <c r="T605"/>
    </row>
    <row r="606" spans="1:20" ht="15" outlineLevel="2" thickTop="1" x14ac:dyDescent="0.3">
      <c r="A606" s="82" t="s">
        <v>1384</v>
      </c>
      <c r="B606" s="62" t="s">
        <v>60</v>
      </c>
      <c r="C606" s="63" t="s">
        <v>712</v>
      </c>
      <c r="D606" s="116"/>
      <c r="E606" s="88"/>
      <c r="F606" s="88"/>
      <c r="G606" s="98"/>
      <c r="H606" s="88"/>
      <c r="I606" s="88">
        <f>SUBTOTAL(9,I578:I605)</f>
        <v>23118.400000000001</v>
      </c>
      <c r="J606" s="109"/>
      <c r="K606"/>
      <c r="L606"/>
      <c r="M606"/>
      <c r="N606"/>
      <c r="O606"/>
      <c r="P606"/>
      <c r="Q606"/>
      <c r="R606"/>
      <c r="S606"/>
      <c r="T606"/>
    </row>
    <row r="607" spans="1:20" outlineLevel="2" x14ac:dyDescent="0.3">
      <c r="A607" s="82" t="s">
        <v>1385</v>
      </c>
      <c r="B607" s="64" t="s">
        <v>714</v>
      </c>
      <c r="C607" s="65" t="s">
        <v>715</v>
      </c>
      <c r="D607" s="117"/>
      <c r="E607" s="87"/>
      <c r="F607" s="87"/>
      <c r="G607" s="97"/>
      <c r="H607" s="87"/>
      <c r="I607" s="104">
        <f>SUBTOTAL(9,K608:K630)</f>
        <v>18121.099999999999</v>
      </c>
      <c r="J607" s="108"/>
      <c r="K607"/>
      <c r="L607"/>
      <c r="M607"/>
      <c r="N607"/>
      <c r="O607"/>
      <c r="P607"/>
      <c r="Q607"/>
      <c r="R607"/>
      <c r="S607"/>
      <c r="T607"/>
    </row>
    <row r="608" spans="1:20" ht="24.6" outlineLevel="3" x14ac:dyDescent="0.3">
      <c r="A608" s="82" t="s">
        <v>1386</v>
      </c>
      <c r="B608" s="64" t="s">
        <v>717</v>
      </c>
      <c r="C608" s="66" t="s">
        <v>718</v>
      </c>
      <c r="D608" s="117"/>
      <c r="E608" s="87"/>
      <c r="F608" s="87"/>
      <c r="G608" s="97"/>
      <c r="H608" s="87"/>
      <c r="I608" s="104">
        <f>SUBTOTAL(9,K609:K611)</f>
        <v>7380</v>
      </c>
      <c r="J608" s="108"/>
      <c r="K608"/>
      <c r="L608"/>
      <c r="M608"/>
      <c r="N608"/>
      <c r="O608"/>
      <c r="P608"/>
      <c r="Q608"/>
      <c r="R608"/>
      <c r="S608"/>
      <c r="T608"/>
    </row>
    <row r="609" spans="1:20" outlineLevel="4" x14ac:dyDescent="0.3">
      <c r="A609" s="82" t="s">
        <v>1387</v>
      </c>
      <c r="B609" s="10" t="s">
        <v>720</v>
      </c>
      <c r="C609" s="60" t="s">
        <v>721</v>
      </c>
      <c r="D609" s="44" t="s">
        <v>80</v>
      </c>
      <c r="E609" s="84">
        <v>0</v>
      </c>
      <c r="F609" s="84"/>
      <c r="G609" s="94">
        <f>cell_CoefGeneral</f>
        <v>1</v>
      </c>
      <c r="H609" s="93">
        <f>H230</f>
        <v>28</v>
      </c>
      <c r="I609" s="84">
        <f>IFERROR(ROUND(E609*H609,2),"-")</f>
        <v>0</v>
      </c>
      <c r="J609" s="105">
        <f>IFERROR(I609/cell_Total_HT,"-")</f>
        <v>0</v>
      </c>
      <c r="K609">
        <f>I609</f>
        <v>0</v>
      </c>
      <c r="L609"/>
      <c r="M609"/>
      <c r="N609"/>
      <c r="O609"/>
      <c r="P609"/>
      <c r="Q609"/>
      <c r="R609"/>
      <c r="S609"/>
      <c r="T609"/>
    </row>
    <row r="610" spans="1:20" outlineLevel="4" x14ac:dyDescent="0.3">
      <c r="A610" s="82" t="s">
        <v>1388</v>
      </c>
      <c r="B610" s="10" t="s">
        <v>723</v>
      </c>
      <c r="C610" s="60" t="s">
        <v>724</v>
      </c>
      <c r="D610" s="44" t="s">
        <v>80</v>
      </c>
      <c r="E610" s="84">
        <v>33</v>
      </c>
      <c r="F610" s="84"/>
      <c r="G610" s="94">
        <f>cell_CoefGeneral</f>
        <v>1</v>
      </c>
      <c r="H610" s="93">
        <f>H231</f>
        <v>32</v>
      </c>
      <c r="I610" s="84">
        <f>IFERROR(ROUND(E610*H610,2),"-")</f>
        <v>1056</v>
      </c>
      <c r="J610" s="105">
        <f>IFERROR(I610/cell_Total_HT,"-")</f>
        <v>3.1175534644919977E-4</v>
      </c>
      <c r="K610">
        <f>I610</f>
        <v>1056</v>
      </c>
      <c r="L610"/>
      <c r="M610"/>
      <c r="N610"/>
      <c r="O610"/>
      <c r="P610"/>
      <c r="Q610"/>
      <c r="R610"/>
      <c r="S610"/>
      <c r="T610"/>
    </row>
    <row r="611" spans="1:20" outlineLevel="4" x14ac:dyDescent="0.3">
      <c r="A611" s="82" t="s">
        <v>1389</v>
      </c>
      <c r="B611" s="10" t="s">
        <v>726</v>
      </c>
      <c r="C611" s="60" t="s">
        <v>727</v>
      </c>
      <c r="D611" s="44" t="s">
        <v>80</v>
      </c>
      <c r="E611" s="84">
        <v>204</v>
      </c>
      <c r="F611" s="84"/>
      <c r="G611" s="94">
        <f>cell_CoefGeneral</f>
        <v>1</v>
      </c>
      <c r="H611" s="93">
        <f>H232</f>
        <v>31</v>
      </c>
      <c r="I611" s="84">
        <f>IFERROR(ROUND(E611*H611,2),"-")</f>
        <v>6324</v>
      </c>
      <c r="J611" s="105">
        <f>IFERROR(I611/cell_Total_HT,"-")</f>
        <v>1.8669894043037304E-3</v>
      </c>
      <c r="K611">
        <f>I611</f>
        <v>6324</v>
      </c>
      <c r="L611"/>
      <c r="M611"/>
      <c r="N611"/>
      <c r="O611"/>
      <c r="P611"/>
      <c r="Q611"/>
      <c r="R611"/>
      <c r="S611"/>
      <c r="T611"/>
    </row>
    <row r="612" spans="1:20" outlineLevel="3" x14ac:dyDescent="0.3">
      <c r="A612" s="82" t="s">
        <v>1390</v>
      </c>
      <c r="B612" s="58" t="s">
        <v>729</v>
      </c>
      <c r="C612" s="61" t="s">
        <v>730</v>
      </c>
      <c r="D612" s="115"/>
      <c r="E612" s="87"/>
      <c r="F612" s="87"/>
      <c r="G612" s="97"/>
      <c r="H612" s="87"/>
      <c r="I612" s="104">
        <f>SUBTOTAL(9,K613:K616)</f>
        <v>8170.1</v>
      </c>
      <c r="J612" s="108"/>
      <c r="K612"/>
      <c r="L612"/>
      <c r="M612"/>
      <c r="N612"/>
      <c r="O612"/>
      <c r="P612"/>
      <c r="Q612"/>
      <c r="R612"/>
      <c r="S612"/>
      <c r="T612"/>
    </row>
    <row r="613" spans="1:20" outlineLevel="4" x14ac:dyDescent="0.3">
      <c r="A613" s="82" t="s">
        <v>1391</v>
      </c>
      <c r="B613" s="10" t="s">
        <v>732</v>
      </c>
      <c r="C613" s="60" t="s">
        <v>733</v>
      </c>
      <c r="D613" s="44" t="s">
        <v>80</v>
      </c>
      <c r="E613" s="84">
        <v>17</v>
      </c>
      <c r="F613" s="84"/>
      <c r="G613" s="94">
        <f>cell_CoefGeneral</f>
        <v>1</v>
      </c>
      <c r="H613" s="93">
        <f>H234</f>
        <v>8.6</v>
      </c>
      <c r="I613" s="84">
        <f>IFERROR(ROUND(E613*H613,2),"-")</f>
        <v>146.19999999999999</v>
      </c>
      <c r="J613" s="105">
        <f>IFERROR(I613/cell_Total_HT,"-")</f>
        <v>4.3161583002720647E-5</v>
      </c>
      <c r="K613">
        <f>I613</f>
        <v>146.19999999999999</v>
      </c>
      <c r="L613"/>
      <c r="M613"/>
      <c r="N613"/>
      <c r="O613"/>
      <c r="P613"/>
      <c r="Q613"/>
      <c r="R613"/>
      <c r="S613"/>
      <c r="T613"/>
    </row>
    <row r="614" spans="1:20" outlineLevel="4" x14ac:dyDescent="0.3">
      <c r="A614" s="82" t="s">
        <v>1392</v>
      </c>
      <c r="B614" s="10" t="s">
        <v>735</v>
      </c>
      <c r="C614" s="60" t="s">
        <v>736</v>
      </c>
      <c r="D614" s="44" t="s">
        <v>80</v>
      </c>
      <c r="E614" s="84">
        <v>17</v>
      </c>
      <c r="F614" s="84"/>
      <c r="G614" s="94">
        <f>cell_CoefGeneral</f>
        <v>1</v>
      </c>
      <c r="H614" s="93">
        <f>H235</f>
        <v>9.1999999999999993</v>
      </c>
      <c r="I614" s="84">
        <f>IFERROR(ROUND(E614*H614,2),"-")</f>
        <v>156.4</v>
      </c>
      <c r="J614" s="105">
        <f>IFERROR(I614/cell_Total_HT,"-")</f>
        <v>4.6172856235468606E-5</v>
      </c>
      <c r="K614">
        <f>I614</f>
        <v>156.4</v>
      </c>
      <c r="L614"/>
      <c r="M614"/>
      <c r="N614"/>
      <c r="O614"/>
      <c r="P614"/>
      <c r="Q614"/>
      <c r="R614"/>
      <c r="S614"/>
      <c r="T614"/>
    </row>
    <row r="615" spans="1:20" outlineLevel="4" x14ac:dyDescent="0.3">
      <c r="A615" s="82" t="s">
        <v>1393</v>
      </c>
      <c r="B615" s="10" t="s">
        <v>738</v>
      </c>
      <c r="C615" s="60" t="s">
        <v>739</v>
      </c>
      <c r="D615" s="44" t="s">
        <v>80</v>
      </c>
      <c r="E615" s="84">
        <v>204</v>
      </c>
      <c r="F615" s="84"/>
      <c r="G615" s="94">
        <f>cell_CoefGeneral</f>
        <v>1</v>
      </c>
      <c r="H615" s="93">
        <f>H236</f>
        <v>38</v>
      </c>
      <c r="I615" s="84">
        <f>IFERROR(ROUND(E615*H615,2),"-")</f>
        <v>7752</v>
      </c>
      <c r="J615" s="105">
        <f>IFERROR(I615/cell_Total_HT,"-")</f>
        <v>2.2885676568884438E-3</v>
      </c>
      <c r="K615">
        <f>I615</f>
        <v>7752</v>
      </c>
      <c r="L615"/>
      <c r="M615"/>
      <c r="N615"/>
      <c r="O615"/>
      <c r="P615"/>
      <c r="Q615"/>
      <c r="R615"/>
      <c r="S615"/>
      <c r="T615"/>
    </row>
    <row r="616" spans="1:20" outlineLevel="4" x14ac:dyDescent="0.3">
      <c r="A616" s="82" t="s">
        <v>1394</v>
      </c>
      <c r="B616" s="10" t="s">
        <v>741</v>
      </c>
      <c r="C616" s="60" t="s">
        <v>742</v>
      </c>
      <c r="D616" s="44" t="s">
        <v>80</v>
      </c>
      <c r="E616" s="84">
        <v>33</v>
      </c>
      <c r="F616" s="84"/>
      <c r="G616" s="94">
        <f>cell_CoefGeneral</f>
        <v>1</v>
      </c>
      <c r="H616" s="93">
        <f>H237</f>
        <v>3.5</v>
      </c>
      <c r="I616" s="84">
        <f>IFERROR(ROUND(E616*H616,2),"-")</f>
        <v>115.5</v>
      </c>
      <c r="J616" s="105">
        <f>IFERROR(I616/cell_Total_HT,"-")</f>
        <v>3.4098241017881222E-5</v>
      </c>
      <c r="K616">
        <f>I616</f>
        <v>115.5</v>
      </c>
      <c r="L616"/>
      <c r="M616"/>
      <c r="N616"/>
      <c r="O616"/>
      <c r="P616"/>
      <c r="Q616"/>
      <c r="R616"/>
      <c r="S616"/>
      <c r="T616"/>
    </row>
    <row r="617" spans="1:20" outlineLevel="3" x14ac:dyDescent="0.3">
      <c r="A617" s="82" t="s">
        <v>1395</v>
      </c>
      <c r="B617" s="58" t="s">
        <v>744</v>
      </c>
      <c r="C617" s="61" t="s">
        <v>745</v>
      </c>
      <c r="D617" s="115"/>
      <c r="E617" s="87"/>
      <c r="F617" s="87"/>
      <c r="G617" s="97"/>
      <c r="H617" s="87"/>
      <c r="I617" s="104">
        <f>SUBTOTAL(9,K618:K618)</f>
        <v>950</v>
      </c>
      <c r="J617" s="108"/>
      <c r="K617"/>
      <c r="L617"/>
      <c r="M617"/>
      <c r="N617"/>
      <c r="O617"/>
      <c r="P617"/>
      <c r="Q617"/>
      <c r="R617"/>
      <c r="S617"/>
      <c r="T617"/>
    </row>
    <row r="618" spans="1:20" outlineLevel="4" x14ac:dyDescent="0.3">
      <c r="A618" s="82" t="s">
        <v>1396</v>
      </c>
      <c r="B618" s="10" t="s">
        <v>747</v>
      </c>
      <c r="C618" s="60" t="s">
        <v>748</v>
      </c>
      <c r="D618" s="44" t="s">
        <v>121</v>
      </c>
      <c r="E618" s="84">
        <v>1</v>
      </c>
      <c r="F618" s="84"/>
      <c r="G618" s="94">
        <f>cell_CoefGeneral</f>
        <v>1</v>
      </c>
      <c r="H618" s="93">
        <f>H239</f>
        <v>950</v>
      </c>
      <c r="I618" s="84">
        <f>IFERROR(ROUND(E618*H618,2),"-")</f>
        <v>950</v>
      </c>
      <c r="J618" s="105">
        <f>IFERROR(I618/cell_Total_HT,"-")</f>
        <v>2.8046172265789752E-4</v>
      </c>
      <c r="K618">
        <f>I618</f>
        <v>950</v>
      </c>
      <c r="L618"/>
      <c r="M618"/>
      <c r="N618"/>
      <c r="O618"/>
      <c r="P618"/>
      <c r="Q618"/>
      <c r="R618"/>
      <c r="S618"/>
      <c r="T618"/>
    </row>
    <row r="619" spans="1:20" outlineLevel="3" x14ac:dyDescent="0.3">
      <c r="A619" s="82" t="s">
        <v>1397</v>
      </c>
      <c r="B619" s="58" t="s">
        <v>750</v>
      </c>
      <c r="C619" s="61" t="s">
        <v>751</v>
      </c>
      <c r="D619" s="115"/>
      <c r="E619" s="87"/>
      <c r="F619" s="87"/>
      <c r="G619" s="97"/>
      <c r="H619" s="87"/>
      <c r="I619" s="104">
        <f>SUBTOTAL(9,K620:K621)</f>
        <v>0</v>
      </c>
      <c r="J619" s="108"/>
      <c r="K619"/>
      <c r="L619"/>
      <c r="M619"/>
      <c r="N619"/>
      <c r="O619"/>
      <c r="P619"/>
      <c r="Q619"/>
      <c r="R619"/>
      <c r="S619"/>
      <c r="T619"/>
    </row>
    <row r="620" spans="1:20" ht="28.8" outlineLevel="4" x14ac:dyDescent="0.3">
      <c r="A620" s="82" t="s">
        <v>1398</v>
      </c>
      <c r="B620" s="10" t="s">
        <v>753</v>
      </c>
      <c r="C620" s="60" t="s">
        <v>754</v>
      </c>
      <c r="D620" s="44" t="s">
        <v>121</v>
      </c>
      <c r="E620" s="84">
        <v>0</v>
      </c>
      <c r="F620" s="84"/>
      <c r="G620" s="94">
        <f>cell_CoefGeneral</f>
        <v>1</v>
      </c>
      <c r="H620" s="93">
        <f>H241</f>
        <v>2800</v>
      </c>
      <c r="I620" s="84">
        <f>IFERROR(ROUND(E620*H620,2),"-")</f>
        <v>0</v>
      </c>
      <c r="J620" s="105">
        <f>IFERROR(I620/cell_Total_HT,"-")</f>
        <v>0</v>
      </c>
      <c r="K620">
        <f>I620</f>
        <v>0</v>
      </c>
      <c r="L620"/>
      <c r="M620"/>
      <c r="N620"/>
      <c r="O620"/>
      <c r="P620"/>
      <c r="Q620"/>
      <c r="R620"/>
      <c r="S620"/>
      <c r="T620"/>
    </row>
    <row r="621" spans="1:20" outlineLevel="4" x14ac:dyDescent="0.3">
      <c r="A621" s="82" t="s">
        <v>1399</v>
      </c>
      <c r="B621" s="10" t="s">
        <v>756</v>
      </c>
      <c r="C621" s="60" t="s">
        <v>757</v>
      </c>
      <c r="D621" s="44" t="s">
        <v>121</v>
      </c>
      <c r="E621" s="84">
        <v>0</v>
      </c>
      <c r="F621" s="84"/>
      <c r="G621" s="94">
        <f>cell_CoefGeneral</f>
        <v>1</v>
      </c>
      <c r="H621" s="93">
        <f>H242</f>
        <v>980</v>
      </c>
      <c r="I621" s="84">
        <f>IFERROR(ROUND(E621*H621,2),"-")</f>
        <v>0</v>
      </c>
      <c r="J621" s="105">
        <f>IFERROR(I621/cell_Total_HT,"-")</f>
        <v>0</v>
      </c>
      <c r="K621">
        <f>I621</f>
        <v>0</v>
      </c>
      <c r="L621"/>
      <c r="M621"/>
      <c r="N621"/>
      <c r="O621"/>
      <c r="P621"/>
      <c r="Q621"/>
      <c r="R621"/>
      <c r="S621"/>
      <c r="T621"/>
    </row>
    <row r="622" spans="1:20" outlineLevel="3" x14ac:dyDescent="0.3">
      <c r="A622" s="82" t="s">
        <v>1400</v>
      </c>
      <c r="B622" s="10" t="s">
        <v>759</v>
      </c>
      <c r="C622" s="60" t="s">
        <v>760</v>
      </c>
      <c r="D622" s="44" t="s">
        <v>121</v>
      </c>
      <c r="E622" s="84">
        <v>0</v>
      </c>
      <c r="F622" s="84"/>
      <c r="G622" s="94">
        <f>cell_CoefGeneral</f>
        <v>1</v>
      </c>
      <c r="H622" s="93">
        <f>H243</f>
        <v>2400</v>
      </c>
      <c r="I622" s="84">
        <f>IFERROR(ROUND(E622*H622,2),"-")</f>
        <v>0</v>
      </c>
      <c r="J622" s="105">
        <f>IFERROR(I622/cell_Total_HT,"-")</f>
        <v>0</v>
      </c>
      <c r="K622">
        <f>I622</f>
        <v>0</v>
      </c>
      <c r="L622"/>
      <c r="M622"/>
      <c r="N622"/>
      <c r="O622"/>
      <c r="P622"/>
      <c r="Q622"/>
      <c r="R622"/>
      <c r="S622"/>
      <c r="T622"/>
    </row>
    <row r="623" spans="1:20" outlineLevel="3" x14ac:dyDescent="0.3">
      <c r="A623" s="82" t="s">
        <v>1401</v>
      </c>
      <c r="B623" s="10" t="s">
        <v>762</v>
      </c>
      <c r="C623" s="60" t="s">
        <v>763</v>
      </c>
      <c r="D623" s="44" t="s">
        <v>121</v>
      </c>
      <c r="E623" s="84">
        <v>0</v>
      </c>
      <c r="F623" s="84"/>
      <c r="G623" s="94">
        <f>cell_CoefGeneral</f>
        <v>1</v>
      </c>
      <c r="H623" s="93">
        <f>H244</f>
        <v>1300</v>
      </c>
      <c r="I623" s="84">
        <f>IFERROR(ROUND(E623*H623,2),"-")</f>
        <v>0</v>
      </c>
      <c r="J623" s="105">
        <f>IFERROR(I623/cell_Total_HT,"-")</f>
        <v>0</v>
      </c>
      <c r="K623">
        <f>I623</f>
        <v>0</v>
      </c>
      <c r="L623"/>
      <c r="M623"/>
      <c r="N623"/>
      <c r="O623"/>
      <c r="P623"/>
      <c r="Q623"/>
      <c r="R623"/>
      <c r="S623"/>
      <c r="T623"/>
    </row>
    <row r="624" spans="1:20" outlineLevel="3" x14ac:dyDescent="0.3">
      <c r="A624" s="82" t="s">
        <v>1402</v>
      </c>
      <c r="B624" s="10" t="s">
        <v>765</v>
      </c>
      <c r="C624" s="60" t="s">
        <v>766</v>
      </c>
      <c r="D624" s="44" t="s">
        <v>93</v>
      </c>
      <c r="E624" s="84">
        <v>0</v>
      </c>
      <c r="F624" s="84"/>
      <c r="G624" s="94">
        <f>cell_CoefGeneral</f>
        <v>1</v>
      </c>
      <c r="H624" s="93">
        <f>H245</f>
        <v>520</v>
      </c>
      <c r="I624" s="84">
        <f>IFERROR(ROUND(E624*H624,2),"-")</f>
        <v>0</v>
      </c>
      <c r="J624" s="105">
        <f>IFERROR(I624/cell_Total_HT,"-")</f>
        <v>0</v>
      </c>
      <c r="K624">
        <f>I624</f>
        <v>0</v>
      </c>
      <c r="L624"/>
      <c r="M624"/>
      <c r="N624"/>
      <c r="O624"/>
      <c r="P624"/>
      <c r="Q624"/>
      <c r="R624"/>
      <c r="S624"/>
      <c r="T624"/>
    </row>
    <row r="625" spans="1:20" outlineLevel="3" x14ac:dyDescent="0.3">
      <c r="A625" s="82" t="s">
        <v>1403</v>
      </c>
      <c r="B625" s="58" t="s">
        <v>768</v>
      </c>
      <c r="C625" s="61" t="s">
        <v>769</v>
      </c>
      <c r="D625" s="115"/>
      <c r="E625" s="87"/>
      <c r="F625" s="87"/>
      <c r="G625" s="97"/>
      <c r="H625" s="87"/>
      <c r="I625" s="104">
        <f>SUBTOTAL(9,K626:K628)</f>
        <v>970</v>
      </c>
      <c r="J625" s="108"/>
      <c r="K625"/>
      <c r="L625"/>
      <c r="M625"/>
      <c r="N625"/>
      <c r="O625"/>
      <c r="P625"/>
      <c r="Q625"/>
      <c r="R625"/>
      <c r="S625"/>
      <c r="T625"/>
    </row>
    <row r="626" spans="1:20" outlineLevel="4" x14ac:dyDescent="0.3">
      <c r="A626" s="82" t="s">
        <v>1404</v>
      </c>
      <c r="B626" s="10" t="s">
        <v>771</v>
      </c>
      <c r="C626" s="60" t="s">
        <v>772</v>
      </c>
      <c r="D626" s="44" t="s">
        <v>121</v>
      </c>
      <c r="E626" s="84">
        <v>1</v>
      </c>
      <c r="F626" s="84"/>
      <c r="G626" s="94">
        <f>cell_CoefGeneral</f>
        <v>1</v>
      </c>
      <c r="H626" s="93">
        <f>H247</f>
        <v>440</v>
      </c>
      <c r="I626" s="84">
        <f>IFERROR(ROUND(E626*H626,2),"-")</f>
        <v>440</v>
      </c>
      <c r="J626" s="105">
        <f>IFERROR(I626/cell_Total_HT,"-")</f>
        <v>1.2989806102049991E-4</v>
      </c>
      <c r="K626">
        <f>I626</f>
        <v>440</v>
      </c>
      <c r="L626"/>
      <c r="M626"/>
      <c r="N626"/>
      <c r="O626"/>
      <c r="P626"/>
      <c r="Q626"/>
      <c r="R626"/>
      <c r="S626"/>
      <c r="T626"/>
    </row>
    <row r="627" spans="1:20" outlineLevel="4" x14ac:dyDescent="0.3">
      <c r="A627" s="82" t="s">
        <v>1405</v>
      </c>
      <c r="B627" s="10" t="s">
        <v>774</v>
      </c>
      <c r="C627" s="60" t="s">
        <v>775</v>
      </c>
      <c r="D627" s="44" t="s">
        <v>121</v>
      </c>
      <c r="E627" s="84">
        <v>1</v>
      </c>
      <c r="F627" s="84"/>
      <c r="G627" s="94">
        <f>cell_CoefGeneral</f>
        <v>1</v>
      </c>
      <c r="H627" s="93">
        <f>H248</f>
        <v>290</v>
      </c>
      <c r="I627" s="84">
        <f>IFERROR(ROUND(E627*H627,2),"-")</f>
        <v>290</v>
      </c>
      <c r="J627" s="105">
        <f>IFERROR(I627/cell_Total_HT,"-")</f>
        <v>8.5614631127147665E-5</v>
      </c>
      <c r="K627">
        <f>I627</f>
        <v>290</v>
      </c>
      <c r="L627"/>
      <c r="M627"/>
      <c r="N627"/>
      <c r="O627"/>
      <c r="P627"/>
      <c r="Q627"/>
      <c r="R627"/>
      <c r="S627"/>
      <c r="T627"/>
    </row>
    <row r="628" spans="1:20" outlineLevel="4" x14ac:dyDescent="0.3">
      <c r="A628" s="82" t="s">
        <v>1406</v>
      </c>
      <c r="B628" s="10" t="s">
        <v>777</v>
      </c>
      <c r="C628" s="60" t="s">
        <v>778</v>
      </c>
      <c r="D628" s="44" t="s">
        <v>121</v>
      </c>
      <c r="E628" s="84">
        <v>1</v>
      </c>
      <c r="F628" s="84"/>
      <c r="G628" s="94">
        <f>cell_CoefGeneral</f>
        <v>1</v>
      </c>
      <c r="H628" s="93">
        <f>H249</f>
        <v>240</v>
      </c>
      <c r="I628" s="84">
        <f>IFERROR(ROUND(E628*H628,2),"-")</f>
        <v>240</v>
      </c>
      <c r="J628" s="105">
        <f>IFERROR(I628/cell_Total_HT,"-")</f>
        <v>7.0853487829363582E-5</v>
      </c>
      <c r="K628">
        <f>I628</f>
        <v>240</v>
      </c>
      <c r="L628"/>
      <c r="M628"/>
      <c r="N628"/>
      <c r="O628"/>
      <c r="P628"/>
      <c r="Q628"/>
      <c r="R628"/>
      <c r="S628"/>
      <c r="T628"/>
    </row>
    <row r="629" spans="1:20" outlineLevel="3" x14ac:dyDescent="0.3">
      <c r="A629" s="82" t="s">
        <v>1407</v>
      </c>
      <c r="B629" s="10" t="s">
        <v>780</v>
      </c>
      <c r="C629" s="60" t="s">
        <v>781</v>
      </c>
      <c r="D629" s="44" t="s">
        <v>80</v>
      </c>
      <c r="E629" s="84">
        <v>11</v>
      </c>
      <c r="F629" s="84"/>
      <c r="G629" s="94">
        <f>cell_CoefGeneral</f>
        <v>1</v>
      </c>
      <c r="H629" s="93">
        <f>H250</f>
        <v>31</v>
      </c>
      <c r="I629" s="84">
        <f>IFERROR(ROUND(E629*H629,2),"-")</f>
        <v>341</v>
      </c>
      <c r="J629" s="105">
        <f>IFERROR(I629/cell_Total_HT,"-")</f>
        <v>1.0067099729088743E-4</v>
      </c>
      <c r="K629">
        <f>I629</f>
        <v>341</v>
      </c>
      <c r="L629"/>
      <c r="M629"/>
      <c r="N629"/>
      <c r="O629"/>
      <c r="P629"/>
      <c r="Q629"/>
      <c r="R629"/>
      <c r="S629"/>
      <c r="T629"/>
    </row>
    <row r="630" spans="1:20" ht="15" outlineLevel="3" thickBot="1" x14ac:dyDescent="0.35">
      <c r="A630" s="82" t="s">
        <v>1408</v>
      </c>
      <c r="B630" s="10" t="s">
        <v>783</v>
      </c>
      <c r="C630" s="60" t="s">
        <v>784</v>
      </c>
      <c r="D630" s="44" t="s">
        <v>121</v>
      </c>
      <c r="E630" s="84">
        <v>1</v>
      </c>
      <c r="F630" s="84"/>
      <c r="G630" s="94">
        <f>cell_CoefGeneral</f>
        <v>1</v>
      </c>
      <c r="H630" s="93">
        <f>H251</f>
        <v>310</v>
      </c>
      <c r="I630" s="84">
        <f>IFERROR(ROUND(E630*H630,2),"-")</f>
        <v>310</v>
      </c>
      <c r="J630" s="105">
        <f>IFERROR(I630/cell_Total_HT,"-")</f>
        <v>9.151908844626129E-5</v>
      </c>
      <c r="K630">
        <f>I630</f>
        <v>310</v>
      </c>
      <c r="L630"/>
      <c r="M630"/>
      <c r="N630"/>
      <c r="O630"/>
      <c r="P630"/>
      <c r="Q630"/>
      <c r="R630"/>
      <c r="S630"/>
      <c r="T630"/>
    </row>
    <row r="631" spans="1:20" ht="15" outlineLevel="2" thickTop="1" x14ac:dyDescent="0.3">
      <c r="A631" s="82" t="s">
        <v>1409</v>
      </c>
      <c r="B631" s="62" t="s">
        <v>60</v>
      </c>
      <c r="C631" s="63" t="s">
        <v>786</v>
      </c>
      <c r="D631" s="116"/>
      <c r="E631" s="88"/>
      <c r="F631" s="88"/>
      <c r="G631" s="98"/>
      <c r="H631" s="88"/>
      <c r="I631" s="88">
        <f>SUBTOTAL(9,I609:I630)</f>
        <v>18121.099999999999</v>
      </c>
      <c r="J631" s="109"/>
      <c r="K631"/>
      <c r="L631"/>
      <c r="M631"/>
      <c r="N631"/>
      <c r="O631"/>
      <c r="P631"/>
      <c r="Q631"/>
      <c r="R631"/>
      <c r="S631"/>
      <c r="T631"/>
    </row>
    <row r="632" spans="1:20" outlineLevel="2" x14ac:dyDescent="0.3">
      <c r="A632" s="82" t="s">
        <v>1410</v>
      </c>
      <c r="B632" s="64" t="s">
        <v>788</v>
      </c>
      <c r="C632" s="65" t="s">
        <v>789</v>
      </c>
      <c r="D632" s="117"/>
      <c r="E632" s="87"/>
      <c r="F632" s="87"/>
      <c r="G632" s="97"/>
      <c r="H632" s="87"/>
      <c r="I632" s="104">
        <f>SUBTOTAL(9,K633:K645)</f>
        <v>43527.5</v>
      </c>
      <c r="J632" s="108"/>
      <c r="K632"/>
      <c r="L632"/>
      <c r="M632"/>
      <c r="N632"/>
      <c r="O632"/>
      <c r="P632"/>
      <c r="Q632"/>
      <c r="R632"/>
      <c r="S632"/>
      <c r="T632"/>
    </row>
    <row r="633" spans="1:20" outlineLevel="3" x14ac:dyDescent="0.3">
      <c r="A633" s="82" t="s">
        <v>1411</v>
      </c>
      <c r="B633" s="64" t="s">
        <v>791</v>
      </c>
      <c r="C633" s="66" t="s">
        <v>792</v>
      </c>
      <c r="D633" s="117"/>
      <c r="E633" s="87"/>
      <c r="F633" s="87"/>
      <c r="G633" s="97"/>
      <c r="H633" s="87"/>
      <c r="I633" s="104">
        <f>SUBTOTAL(9,K634:K635)</f>
        <v>16710</v>
      </c>
      <c r="J633" s="108"/>
      <c r="K633"/>
      <c r="L633"/>
      <c r="M633"/>
      <c r="N633"/>
      <c r="O633"/>
      <c r="P633"/>
      <c r="Q633"/>
      <c r="R633"/>
      <c r="S633"/>
      <c r="T633"/>
    </row>
    <row r="634" spans="1:20" outlineLevel="4" x14ac:dyDescent="0.3">
      <c r="A634" s="82" t="s">
        <v>1412</v>
      </c>
      <c r="B634" s="10" t="s">
        <v>794</v>
      </c>
      <c r="C634" s="60" t="s">
        <v>795</v>
      </c>
      <c r="D634" s="44" t="s">
        <v>80</v>
      </c>
      <c r="E634" s="84">
        <v>270</v>
      </c>
      <c r="F634" s="84"/>
      <c r="G634" s="94">
        <f>cell_CoefGeneral</f>
        <v>1</v>
      </c>
      <c r="H634" s="93">
        <f>H255</f>
        <v>39</v>
      </c>
      <c r="I634" s="84">
        <f>IFERROR(ROUND(E634*H634,2),"-")</f>
        <v>10530</v>
      </c>
      <c r="J634" s="105">
        <f>IFERROR(I634/cell_Total_HT,"-")</f>
        <v>3.1086967785133274E-3</v>
      </c>
      <c r="K634">
        <f>I634</f>
        <v>10530</v>
      </c>
      <c r="L634"/>
      <c r="M634"/>
      <c r="N634"/>
      <c r="O634"/>
      <c r="P634"/>
      <c r="Q634"/>
      <c r="R634"/>
      <c r="S634"/>
      <c r="T634"/>
    </row>
    <row r="635" spans="1:20" outlineLevel="4" x14ac:dyDescent="0.3">
      <c r="A635" s="82" t="s">
        <v>1413</v>
      </c>
      <c r="B635" s="10" t="s">
        <v>797</v>
      </c>
      <c r="C635" s="60" t="s">
        <v>798</v>
      </c>
      <c r="D635" s="44" t="s">
        <v>80</v>
      </c>
      <c r="E635" s="84">
        <v>206</v>
      </c>
      <c r="F635" s="84"/>
      <c r="G635" s="94">
        <f>cell_CoefGeneral</f>
        <v>1</v>
      </c>
      <c r="H635" s="93">
        <f>H256</f>
        <v>30</v>
      </c>
      <c r="I635" s="84">
        <f>IFERROR(ROUND(E635*H635,2),"-")</f>
        <v>6180</v>
      </c>
      <c r="J635" s="105">
        <f>IFERROR(I635/cell_Total_HT,"-")</f>
        <v>1.8244773116061124E-3</v>
      </c>
      <c r="K635">
        <f>I635</f>
        <v>6180</v>
      </c>
      <c r="L635"/>
      <c r="M635"/>
      <c r="N635"/>
      <c r="O635"/>
      <c r="P635"/>
      <c r="Q635"/>
      <c r="R635"/>
      <c r="S635"/>
      <c r="T635"/>
    </row>
    <row r="636" spans="1:20" outlineLevel="3" x14ac:dyDescent="0.3">
      <c r="A636" s="82" t="s">
        <v>1414</v>
      </c>
      <c r="B636" s="58" t="s">
        <v>800</v>
      </c>
      <c r="C636" s="61" t="s">
        <v>801</v>
      </c>
      <c r="D636" s="115"/>
      <c r="E636" s="87"/>
      <c r="F636" s="87"/>
      <c r="G636" s="97"/>
      <c r="H636" s="87"/>
      <c r="I636" s="104">
        <f>SUBTOTAL(9,K637:K638)</f>
        <v>7454.5</v>
      </c>
      <c r="J636" s="108"/>
      <c r="K636"/>
      <c r="L636"/>
      <c r="M636"/>
      <c r="N636"/>
      <c r="O636"/>
      <c r="P636"/>
      <c r="Q636"/>
      <c r="R636"/>
      <c r="S636"/>
      <c r="T636"/>
    </row>
    <row r="637" spans="1:20" outlineLevel="4" x14ac:dyDescent="0.3">
      <c r="A637" s="82" t="s">
        <v>1415</v>
      </c>
      <c r="B637" s="10" t="s">
        <v>803</v>
      </c>
      <c r="C637" s="60" t="s">
        <v>804</v>
      </c>
      <c r="D637" s="44" t="s">
        <v>80</v>
      </c>
      <c r="E637" s="84">
        <v>325</v>
      </c>
      <c r="F637" s="84"/>
      <c r="G637" s="94">
        <f>cell_CoefGeneral</f>
        <v>1</v>
      </c>
      <c r="H637" s="93">
        <f>H258</f>
        <v>2.9</v>
      </c>
      <c r="I637" s="84">
        <f>IFERROR(ROUND(E637*H637,2),"-")</f>
        <v>942.5</v>
      </c>
      <c r="J637" s="105">
        <f>IFERROR(I637/cell_Total_HT,"-")</f>
        <v>2.7824755116322993E-4</v>
      </c>
      <c r="K637">
        <f>I637</f>
        <v>942.5</v>
      </c>
      <c r="L637"/>
      <c r="M637"/>
      <c r="N637"/>
      <c r="O637"/>
      <c r="P637"/>
      <c r="Q637"/>
      <c r="R637"/>
      <c r="S637"/>
      <c r="T637"/>
    </row>
    <row r="638" spans="1:20" outlineLevel="4" x14ac:dyDescent="0.3">
      <c r="A638" s="82" t="s">
        <v>1416</v>
      </c>
      <c r="B638" s="10" t="s">
        <v>806</v>
      </c>
      <c r="C638" s="60" t="s">
        <v>807</v>
      </c>
      <c r="D638" s="44" t="s">
        <v>80</v>
      </c>
      <c r="E638" s="84">
        <v>1628</v>
      </c>
      <c r="F638" s="84"/>
      <c r="G638" s="94">
        <f>cell_CoefGeneral</f>
        <v>1</v>
      </c>
      <c r="H638" s="93">
        <f>H259</f>
        <v>4</v>
      </c>
      <c r="I638" s="84">
        <f>IFERROR(ROUND(E638*H638,2),"-")</f>
        <v>6512</v>
      </c>
      <c r="J638" s="105">
        <f>IFERROR(I638/cell_Total_HT,"-")</f>
        <v>1.9224913031033986E-3</v>
      </c>
      <c r="K638">
        <f>I638</f>
        <v>6512</v>
      </c>
      <c r="L638"/>
      <c r="M638"/>
      <c r="N638"/>
      <c r="O638"/>
      <c r="P638"/>
      <c r="Q638"/>
      <c r="R638"/>
      <c r="S638"/>
      <c r="T638"/>
    </row>
    <row r="639" spans="1:20" outlineLevel="3" x14ac:dyDescent="0.3">
      <c r="A639" s="82" t="s">
        <v>1417</v>
      </c>
      <c r="B639" s="10" t="s">
        <v>809</v>
      </c>
      <c r="C639" s="60" t="s">
        <v>810</v>
      </c>
      <c r="D639" s="44" t="s">
        <v>80</v>
      </c>
      <c r="E639" s="84">
        <v>475</v>
      </c>
      <c r="F639" s="84"/>
      <c r="G639" s="94">
        <f>cell_CoefGeneral</f>
        <v>1</v>
      </c>
      <c r="H639" s="93">
        <f>H260</f>
        <v>28</v>
      </c>
      <c r="I639" s="84">
        <f>IFERROR(ROUND(E639*H639,2),"-")</f>
        <v>13300</v>
      </c>
      <c r="J639" s="105">
        <f>IFERROR(I639/cell_Total_HT,"-")</f>
        <v>3.9264641172105652E-3</v>
      </c>
      <c r="K639">
        <f>I639</f>
        <v>13300</v>
      </c>
      <c r="L639"/>
      <c r="M639"/>
      <c r="N639"/>
      <c r="O639"/>
      <c r="P639"/>
      <c r="Q639"/>
      <c r="R639"/>
      <c r="S639"/>
      <c r="T639"/>
    </row>
    <row r="640" spans="1:20" outlineLevel="3" x14ac:dyDescent="0.3">
      <c r="A640" s="82" t="s">
        <v>1418</v>
      </c>
      <c r="B640" s="58" t="s">
        <v>812</v>
      </c>
      <c r="C640" s="61" t="s">
        <v>813</v>
      </c>
      <c r="D640" s="115"/>
      <c r="E640" s="87"/>
      <c r="F640" s="87"/>
      <c r="G640" s="97"/>
      <c r="H640" s="87"/>
      <c r="I640" s="104">
        <f>SUBTOTAL(9,K641:K643)</f>
        <v>5200</v>
      </c>
      <c r="J640" s="108"/>
      <c r="K640"/>
      <c r="L640"/>
      <c r="M640"/>
      <c r="N640"/>
      <c r="O640"/>
      <c r="P640"/>
      <c r="Q640"/>
      <c r="R640"/>
      <c r="S640"/>
      <c r="T640"/>
    </row>
    <row r="641" spans="1:20" outlineLevel="4" x14ac:dyDescent="0.3">
      <c r="A641" s="82" t="s">
        <v>1419</v>
      </c>
      <c r="B641" s="10" t="s">
        <v>815</v>
      </c>
      <c r="C641" s="60" t="s">
        <v>816</v>
      </c>
      <c r="D641" s="44" t="s">
        <v>121</v>
      </c>
      <c r="E641" s="84">
        <v>6</v>
      </c>
      <c r="F641" s="84"/>
      <c r="G641" s="94">
        <f>cell_CoefGeneral</f>
        <v>1</v>
      </c>
      <c r="H641" s="93">
        <f>H262</f>
        <v>280</v>
      </c>
      <c r="I641" s="84">
        <f>IFERROR(ROUND(E641*H641,2),"-")</f>
        <v>1680</v>
      </c>
      <c r="J641" s="105">
        <f>IFERROR(I641/cell_Total_HT,"-")</f>
        <v>4.959744148055451E-4</v>
      </c>
      <c r="K641">
        <f>I641</f>
        <v>1680</v>
      </c>
      <c r="L641"/>
      <c r="M641"/>
      <c r="N641"/>
      <c r="O641"/>
      <c r="P641"/>
      <c r="Q641"/>
      <c r="R641"/>
      <c r="S641"/>
      <c r="T641"/>
    </row>
    <row r="642" spans="1:20" outlineLevel="4" x14ac:dyDescent="0.3">
      <c r="A642" s="82" t="s">
        <v>1420</v>
      </c>
      <c r="B642" s="10" t="s">
        <v>818</v>
      </c>
      <c r="C642" s="60" t="s">
        <v>819</v>
      </c>
      <c r="D642" s="44" t="s">
        <v>121</v>
      </c>
      <c r="E642" s="84">
        <v>1</v>
      </c>
      <c r="F642" s="84"/>
      <c r="G642" s="94">
        <f>cell_CoefGeneral</f>
        <v>1</v>
      </c>
      <c r="H642" s="93">
        <f>H263</f>
        <v>400</v>
      </c>
      <c r="I642" s="84">
        <f>IFERROR(ROUND(E642*H642,2),"-")</f>
        <v>400</v>
      </c>
      <c r="J642" s="105">
        <f>IFERROR(I642/cell_Total_HT,"-")</f>
        <v>1.1808914638227264E-4</v>
      </c>
      <c r="K642">
        <f>I642</f>
        <v>400</v>
      </c>
      <c r="L642"/>
      <c r="M642"/>
      <c r="N642"/>
      <c r="O642"/>
      <c r="P642"/>
      <c r="Q642"/>
      <c r="R642"/>
      <c r="S642"/>
      <c r="T642"/>
    </row>
    <row r="643" spans="1:20" outlineLevel="4" x14ac:dyDescent="0.3">
      <c r="A643" s="82" t="s">
        <v>1421</v>
      </c>
      <c r="B643" s="10" t="s">
        <v>821</v>
      </c>
      <c r="C643" s="60" t="s">
        <v>822</v>
      </c>
      <c r="D643" s="44" t="s">
        <v>121</v>
      </c>
      <c r="E643" s="84">
        <v>6</v>
      </c>
      <c r="F643" s="84"/>
      <c r="G643" s="94">
        <f>cell_CoefGeneral</f>
        <v>1</v>
      </c>
      <c r="H643" s="93">
        <f>H264</f>
        <v>520</v>
      </c>
      <c r="I643" s="84">
        <f>IFERROR(ROUND(E643*H643,2),"-")</f>
        <v>3120</v>
      </c>
      <c r="J643" s="105">
        <f>IFERROR(I643/cell_Total_HT,"-")</f>
        <v>9.2109534178172665E-4</v>
      </c>
      <c r="K643">
        <f>I643</f>
        <v>3120</v>
      </c>
      <c r="L643"/>
      <c r="M643"/>
      <c r="N643"/>
      <c r="O643"/>
      <c r="P643"/>
      <c r="Q643"/>
      <c r="R643"/>
      <c r="S643"/>
      <c r="T643"/>
    </row>
    <row r="644" spans="1:20" outlineLevel="3" x14ac:dyDescent="0.3">
      <c r="A644" s="82" t="s">
        <v>1422</v>
      </c>
      <c r="B644" s="10" t="s">
        <v>824</v>
      </c>
      <c r="C644" s="60" t="s">
        <v>781</v>
      </c>
      <c r="D644" s="44" t="s">
        <v>80</v>
      </c>
      <c r="E644" s="84">
        <v>13</v>
      </c>
      <c r="F644" s="84"/>
      <c r="G644" s="94">
        <f>cell_CoefGeneral</f>
        <v>1</v>
      </c>
      <c r="H644" s="93">
        <f>H265</f>
        <v>31</v>
      </c>
      <c r="I644" s="84">
        <f>IFERROR(ROUND(E644*H644,2),"-")</f>
        <v>403</v>
      </c>
      <c r="J644" s="105">
        <f>IFERROR(I644/cell_Total_HT,"-")</f>
        <v>1.1897481498013968E-4</v>
      </c>
      <c r="K644">
        <f>I644</f>
        <v>403</v>
      </c>
      <c r="L644"/>
      <c r="M644"/>
      <c r="N644"/>
      <c r="O644"/>
      <c r="P644"/>
      <c r="Q644"/>
      <c r="R644"/>
      <c r="S644"/>
      <c r="T644"/>
    </row>
    <row r="645" spans="1:20" ht="15" outlineLevel="3" thickBot="1" x14ac:dyDescent="0.35">
      <c r="A645" s="82" t="s">
        <v>1423</v>
      </c>
      <c r="B645" s="10" t="s">
        <v>826</v>
      </c>
      <c r="C645" s="60" t="s">
        <v>827</v>
      </c>
      <c r="D645" s="44" t="s">
        <v>121</v>
      </c>
      <c r="E645" s="84">
        <v>2</v>
      </c>
      <c r="F645" s="84"/>
      <c r="G645" s="94">
        <f>cell_CoefGeneral</f>
        <v>1</v>
      </c>
      <c r="H645" s="93">
        <f>H266</f>
        <v>230</v>
      </c>
      <c r="I645" s="84">
        <f>IFERROR(ROUND(E645*H645,2),"-")</f>
        <v>460</v>
      </c>
      <c r="J645" s="105">
        <f>IFERROR(I645/cell_Total_HT,"-")</f>
        <v>1.3580251833961353E-4</v>
      </c>
      <c r="K645">
        <f>I645</f>
        <v>460</v>
      </c>
      <c r="L645"/>
      <c r="M645"/>
      <c r="N645"/>
      <c r="O645"/>
      <c r="P645"/>
      <c r="Q645"/>
      <c r="R645"/>
      <c r="S645"/>
      <c r="T645"/>
    </row>
    <row r="646" spans="1:20" ht="15" outlineLevel="2" thickTop="1" x14ac:dyDescent="0.3">
      <c r="A646" s="82" t="s">
        <v>1424</v>
      </c>
      <c r="B646" s="62" t="s">
        <v>60</v>
      </c>
      <c r="C646" s="63" t="s">
        <v>829</v>
      </c>
      <c r="D646" s="116"/>
      <c r="E646" s="88"/>
      <c r="F646" s="88"/>
      <c r="G646" s="98"/>
      <c r="H646" s="88"/>
      <c r="I646" s="88">
        <f>SUBTOTAL(9,I634:I645)</f>
        <v>43527.5</v>
      </c>
      <c r="J646" s="109"/>
      <c r="K646"/>
      <c r="L646"/>
      <c r="M646"/>
      <c r="N646"/>
      <c r="O646"/>
      <c r="P646"/>
      <c r="Q646"/>
      <c r="R646"/>
      <c r="S646"/>
      <c r="T646"/>
    </row>
    <row r="647" spans="1:20" outlineLevel="2" x14ac:dyDescent="0.3">
      <c r="A647" s="82" t="s">
        <v>1425</v>
      </c>
      <c r="B647" s="64" t="s">
        <v>831</v>
      </c>
      <c r="C647" s="65" t="s">
        <v>832</v>
      </c>
      <c r="D647" s="117"/>
      <c r="E647" s="87"/>
      <c r="F647" s="87"/>
      <c r="G647" s="97"/>
      <c r="H647" s="87"/>
      <c r="I647" s="104">
        <f>SUBTOTAL(9,K648:K670)</f>
        <v>17760.8</v>
      </c>
      <c r="J647" s="108"/>
      <c r="K647"/>
      <c r="L647"/>
      <c r="M647"/>
      <c r="N647"/>
      <c r="O647"/>
      <c r="P647"/>
      <c r="Q647"/>
      <c r="R647"/>
      <c r="S647"/>
      <c r="T647"/>
    </row>
    <row r="648" spans="1:20" outlineLevel="3" x14ac:dyDescent="0.3">
      <c r="A648" s="82" t="s">
        <v>1426</v>
      </c>
      <c r="B648" s="64" t="s">
        <v>834</v>
      </c>
      <c r="C648" s="66" t="s">
        <v>835</v>
      </c>
      <c r="D648" s="117"/>
      <c r="E648" s="87"/>
      <c r="F648" s="87"/>
      <c r="G648" s="97"/>
      <c r="H648" s="87"/>
      <c r="I648" s="104">
        <f>SUBTOTAL(9,K649:K651)</f>
        <v>6600</v>
      </c>
      <c r="J648" s="108"/>
      <c r="K648"/>
      <c r="L648"/>
      <c r="M648"/>
      <c r="N648"/>
      <c r="O648"/>
      <c r="P648"/>
      <c r="Q648"/>
      <c r="R648"/>
      <c r="S648"/>
      <c r="T648"/>
    </row>
    <row r="649" spans="1:20" outlineLevel="4" x14ac:dyDescent="0.3">
      <c r="A649" s="82" t="s">
        <v>1427</v>
      </c>
      <c r="B649" s="10" t="s">
        <v>837</v>
      </c>
      <c r="C649" s="60" t="s">
        <v>795</v>
      </c>
      <c r="D649" s="44" t="s">
        <v>80</v>
      </c>
      <c r="E649" s="84">
        <v>12</v>
      </c>
      <c r="F649" s="84"/>
      <c r="G649" s="94">
        <f>cell_CoefGeneral</f>
        <v>1</v>
      </c>
      <c r="H649" s="93">
        <f>H270</f>
        <v>55</v>
      </c>
      <c r="I649" s="84">
        <f>IFERROR(ROUND(E649*H649,2),"-")</f>
        <v>660</v>
      </c>
      <c r="J649" s="105">
        <f>IFERROR(I649/cell_Total_HT,"-")</f>
        <v>1.9484709153074986E-4</v>
      </c>
      <c r="K649">
        <f>I649</f>
        <v>660</v>
      </c>
      <c r="L649"/>
      <c r="M649"/>
      <c r="N649"/>
      <c r="O649"/>
      <c r="P649"/>
      <c r="Q649"/>
      <c r="R649"/>
      <c r="S649"/>
      <c r="T649"/>
    </row>
    <row r="650" spans="1:20" outlineLevel="4" x14ac:dyDescent="0.3">
      <c r="A650" s="82" t="s">
        <v>1428</v>
      </c>
      <c r="B650" s="10" t="s">
        <v>839</v>
      </c>
      <c r="C650" s="60" t="s">
        <v>798</v>
      </c>
      <c r="D650" s="44" t="s">
        <v>80</v>
      </c>
      <c r="E650" s="84">
        <v>330</v>
      </c>
      <c r="F650" s="84"/>
      <c r="G650" s="94">
        <f>cell_CoefGeneral</f>
        <v>1</v>
      </c>
      <c r="H650" s="93">
        <f>H271</f>
        <v>18</v>
      </c>
      <c r="I650" s="84">
        <f>IFERROR(ROUND(E650*H650,2),"-")</f>
        <v>5940</v>
      </c>
      <c r="J650" s="105">
        <f>IFERROR(I650/cell_Total_HT,"-")</f>
        <v>1.7536238237767488E-3</v>
      </c>
      <c r="K650">
        <f>I650</f>
        <v>5940</v>
      </c>
      <c r="L650"/>
      <c r="M650"/>
      <c r="N650"/>
      <c r="O650"/>
      <c r="P650"/>
      <c r="Q650"/>
      <c r="R650"/>
      <c r="S650"/>
      <c r="T650"/>
    </row>
    <row r="651" spans="1:20" outlineLevel="4" x14ac:dyDescent="0.3">
      <c r="A651" s="82" t="s">
        <v>1429</v>
      </c>
      <c r="B651" s="10" t="s">
        <v>841</v>
      </c>
      <c r="C651" s="60" t="s">
        <v>842</v>
      </c>
      <c r="D651" s="44" t="s">
        <v>80</v>
      </c>
      <c r="E651" s="84">
        <v>0</v>
      </c>
      <c r="F651" s="84"/>
      <c r="G651" s="94">
        <f>cell_CoefGeneral</f>
        <v>1</v>
      </c>
      <c r="H651" s="93">
        <f>H272</f>
        <v>66</v>
      </c>
      <c r="I651" s="84">
        <f>IFERROR(ROUND(E651*H651,2),"-")</f>
        <v>0</v>
      </c>
      <c r="J651" s="105">
        <f>IFERROR(I651/cell_Total_HT,"-")</f>
        <v>0</v>
      </c>
      <c r="K651">
        <f>I651</f>
        <v>0</v>
      </c>
      <c r="L651"/>
      <c r="M651"/>
      <c r="N651"/>
      <c r="O651"/>
      <c r="P651"/>
      <c r="Q651"/>
      <c r="R651"/>
      <c r="S651"/>
      <c r="T651"/>
    </row>
    <row r="652" spans="1:20" outlineLevel="3" x14ac:dyDescent="0.3">
      <c r="A652" s="82" t="s">
        <v>1430</v>
      </c>
      <c r="B652" s="58" t="s">
        <v>844</v>
      </c>
      <c r="C652" s="61" t="s">
        <v>845</v>
      </c>
      <c r="D652" s="115"/>
      <c r="E652" s="87"/>
      <c r="F652" s="87"/>
      <c r="G652" s="97"/>
      <c r="H652" s="87"/>
      <c r="I652" s="104">
        <f>SUBTOTAL(9,K653:K656)</f>
        <v>2256</v>
      </c>
      <c r="J652" s="108"/>
      <c r="K652"/>
      <c r="L652"/>
      <c r="M652"/>
      <c r="N652"/>
      <c r="O652"/>
      <c r="P652"/>
      <c r="Q652"/>
      <c r="R652"/>
      <c r="S652"/>
      <c r="T652"/>
    </row>
    <row r="653" spans="1:20" outlineLevel="4" x14ac:dyDescent="0.3">
      <c r="A653" s="82" t="s">
        <v>1431</v>
      </c>
      <c r="B653" s="10" t="s">
        <v>847</v>
      </c>
      <c r="C653" s="60" t="s">
        <v>848</v>
      </c>
      <c r="D653" s="44" t="s">
        <v>80</v>
      </c>
      <c r="E653" s="84">
        <v>0</v>
      </c>
      <c r="F653" s="84"/>
      <c r="G653" s="94">
        <f>cell_CoefGeneral</f>
        <v>1</v>
      </c>
      <c r="H653" s="93">
        <f>H274</f>
        <v>2.6</v>
      </c>
      <c r="I653" s="84">
        <f>IFERROR(ROUND(E653*H653,2),"-")</f>
        <v>0</v>
      </c>
      <c r="J653" s="105">
        <f>IFERROR(I653/cell_Total_HT,"-")</f>
        <v>0</v>
      </c>
      <c r="K653">
        <f>I653</f>
        <v>0</v>
      </c>
      <c r="L653"/>
      <c r="M653"/>
      <c r="N653"/>
      <c r="O653"/>
      <c r="P653"/>
      <c r="Q653"/>
      <c r="R653"/>
      <c r="S653"/>
      <c r="T653"/>
    </row>
    <row r="654" spans="1:20" outlineLevel="4" x14ac:dyDescent="0.3">
      <c r="A654" s="82" t="s">
        <v>1432</v>
      </c>
      <c r="B654" s="10" t="s">
        <v>850</v>
      </c>
      <c r="C654" s="60" t="s">
        <v>851</v>
      </c>
      <c r="D654" s="44" t="s">
        <v>80</v>
      </c>
      <c r="E654" s="84">
        <v>26</v>
      </c>
      <c r="F654" s="84"/>
      <c r="G654" s="94">
        <f>cell_CoefGeneral</f>
        <v>1</v>
      </c>
      <c r="H654" s="93">
        <f>H275</f>
        <v>2.8</v>
      </c>
      <c r="I654" s="84">
        <f>IFERROR(ROUND(E654*H654,2),"-")</f>
        <v>72.8</v>
      </c>
      <c r="J654" s="105">
        <f>IFERROR(I654/cell_Total_HT,"-")</f>
        <v>2.149222464157362E-5</v>
      </c>
      <c r="K654">
        <f>I654</f>
        <v>72.8</v>
      </c>
      <c r="L654"/>
      <c r="M654"/>
      <c r="N654"/>
      <c r="O654"/>
      <c r="P654"/>
      <c r="Q654"/>
      <c r="R654"/>
      <c r="S654"/>
      <c r="T654"/>
    </row>
    <row r="655" spans="1:20" outlineLevel="4" x14ac:dyDescent="0.3">
      <c r="A655" s="82" t="s">
        <v>1433</v>
      </c>
      <c r="B655" s="10" t="s">
        <v>853</v>
      </c>
      <c r="C655" s="60" t="s">
        <v>854</v>
      </c>
      <c r="D655" s="44" t="s">
        <v>80</v>
      </c>
      <c r="E655" s="84">
        <v>635</v>
      </c>
      <c r="F655" s="84"/>
      <c r="G655" s="94">
        <f>cell_CoefGeneral</f>
        <v>1</v>
      </c>
      <c r="H655" s="93">
        <f>H276</f>
        <v>3.2</v>
      </c>
      <c r="I655" s="84">
        <f>IFERROR(ROUND(E655*H655,2),"-")</f>
        <v>2032</v>
      </c>
      <c r="J655" s="105">
        <f>IFERROR(I655/cell_Total_HT,"-")</f>
        <v>5.9989286362194499E-4</v>
      </c>
      <c r="K655">
        <f>I655</f>
        <v>2032</v>
      </c>
      <c r="L655"/>
      <c r="M655"/>
      <c r="N655"/>
      <c r="O655"/>
      <c r="P655"/>
      <c r="Q655"/>
      <c r="R655"/>
      <c r="S655"/>
      <c r="T655"/>
    </row>
    <row r="656" spans="1:20" outlineLevel="4" x14ac:dyDescent="0.3">
      <c r="A656" s="82" t="s">
        <v>1434</v>
      </c>
      <c r="B656" s="10" t="s">
        <v>856</v>
      </c>
      <c r="C656" s="60" t="s">
        <v>857</v>
      </c>
      <c r="D656" s="44" t="s">
        <v>80</v>
      </c>
      <c r="E656" s="84">
        <v>42</v>
      </c>
      <c r="F656" s="84"/>
      <c r="G656" s="94">
        <f>cell_CoefGeneral</f>
        <v>1</v>
      </c>
      <c r="H656" s="93">
        <f>H277</f>
        <v>3.6</v>
      </c>
      <c r="I656" s="84">
        <f>IFERROR(ROUND(E656*H656,2),"-")</f>
        <v>151.19999999999999</v>
      </c>
      <c r="J656" s="105">
        <f>IFERROR(I656/cell_Total_HT,"-")</f>
        <v>4.4637697332499056E-5</v>
      </c>
      <c r="K656">
        <f>I656</f>
        <v>151.19999999999999</v>
      </c>
      <c r="L656"/>
      <c r="M656"/>
      <c r="N656"/>
      <c r="O656"/>
      <c r="P656"/>
      <c r="Q656"/>
      <c r="R656"/>
      <c r="S656"/>
      <c r="T656"/>
    </row>
    <row r="657" spans="1:20" outlineLevel="3" x14ac:dyDescent="0.3">
      <c r="A657" s="82" t="s">
        <v>1435</v>
      </c>
      <c r="B657" s="10" t="s">
        <v>859</v>
      </c>
      <c r="C657" s="60" t="s">
        <v>860</v>
      </c>
      <c r="D657" s="44" t="s">
        <v>80</v>
      </c>
      <c r="E657" s="84">
        <v>342</v>
      </c>
      <c r="F657" s="84"/>
      <c r="G657" s="94">
        <f>cell_CoefGeneral</f>
        <v>1</v>
      </c>
      <c r="H657" s="93">
        <f>H278</f>
        <v>4.4000000000000004</v>
      </c>
      <c r="I657" s="84">
        <f>IFERROR(ROUND(E657*H657,2),"-")</f>
        <v>1504.8</v>
      </c>
      <c r="J657" s="105">
        <f>IFERROR(I657/cell_Total_HT,"-")</f>
        <v>4.4425136869010964E-4</v>
      </c>
      <c r="K657">
        <f>I657</f>
        <v>1504.8</v>
      </c>
      <c r="L657"/>
      <c r="M657"/>
      <c r="N657"/>
      <c r="O657"/>
      <c r="P657"/>
      <c r="Q657"/>
      <c r="R657"/>
      <c r="S657"/>
      <c r="T657"/>
    </row>
    <row r="658" spans="1:20" outlineLevel="3" x14ac:dyDescent="0.3">
      <c r="A658" s="82" t="s">
        <v>1436</v>
      </c>
      <c r="B658" s="58" t="s">
        <v>862</v>
      </c>
      <c r="C658" s="61" t="s">
        <v>863</v>
      </c>
      <c r="D658" s="115"/>
      <c r="E658" s="87"/>
      <c r="F658" s="87"/>
      <c r="G658" s="97"/>
      <c r="H658" s="87"/>
      <c r="I658" s="104">
        <f>SUBTOTAL(9,K659:K661)</f>
        <v>4350</v>
      </c>
      <c r="J658" s="108"/>
      <c r="K658"/>
      <c r="L658"/>
      <c r="M658"/>
      <c r="N658"/>
      <c r="O658"/>
      <c r="P658"/>
      <c r="Q658"/>
      <c r="R658"/>
      <c r="S658"/>
      <c r="T658"/>
    </row>
    <row r="659" spans="1:20" outlineLevel="4" x14ac:dyDescent="0.3">
      <c r="A659" s="82" t="s">
        <v>1437</v>
      </c>
      <c r="B659" s="10" t="s">
        <v>865</v>
      </c>
      <c r="C659" s="60" t="s">
        <v>866</v>
      </c>
      <c r="D659" s="44" t="s">
        <v>121</v>
      </c>
      <c r="E659" s="84">
        <v>12</v>
      </c>
      <c r="F659" s="84"/>
      <c r="G659" s="94">
        <f>cell_CoefGeneral</f>
        <v>1</v>
      </c>
      <c r="H659" s="93">
        <f>H280</f>
        <v>320</v>
      </c>
      <c r="I659" s="84">
        <f>IFERROR(ROUND(E659*H659,2),"-")</f>
        <v>3840</v>
      </c>
      <c r="J659" s="105">
        <f>IFERROR(I659/cell_Total_HT,"-")</f>
        <v>1.1336558052698173E-3</v>
      </c>
      <c r="K659">
        <f>I659</f>
        <v>3840</v>
      </c>
      <c r="L659"/>
      <c r="M659"/>
      <c r="N659"/>
      <c r="O659"/>
      <c r="P659"/>
      <c r="Q659"/>
      <c r="R659"/>
      <c r="S659"/>
      <c r="T659"/>
    </row>
    <row r="660" spans="1:20" outlineLevel="4" x14ac:dyDescent="0.3">
      <c r="A660" s="82" t="s">
        <v>1438</v>
      </c>
      <c r="B660" s="10" t="s">
        <v>868</v>
      </c>
      <c r="C660" s="60" t="s">
        <v>869</v>
      </c>
      <c r="D660" s="44" t="s">
        <v>121</v>
      </c>
      <c r="E660" s="84">
        <v>1</v>
      </c>
      <c r="F660" s="84"/>
      <c r="G660" s="94">
        <f>cell_CoefGeneral</f>
        <v>1</v>
      </c>
      <c r="H660" s="93">
        <f>H281</f>
        <v>510</v>
      </c>
      <c r="I660" s="84">
        <f>IFERROR(ROUND(E660*H660,2),"-")</f>
        <v>510</v>
      </c>
      <c r="J660" s="105">
        <f>IFERROR(I660/cell_Total_HT,"-")</f>
        <v>1.5056366163739761E-4</v>
      </c>
      <c r="K660">
        <f>I660</f>
        <v>510</v>
      </c>
      <c r="L660"/>
      <c r="M660"/>
      <c r="N660"/>
      <c r="O660"/>
      <c r="P660"/>
      <c r="Q660"/>
      <c r="R660"/>
      <c r="S660"/>
      <c r="T660"/>
    </row>
    <row r="661" spans="1:20" outlineLevel="4" x14ac:dyDescent="0.3">
      <c r="A661" s="82" t="s">
        <v>1439</v>
      </c>
      <c r="B661" s="10" t="s">
        <v>871</v>
      </c>
      <c r="C661" s="60" t="s">
        <v>819</v>
      </c>
      <c r="D661" s="44" t="s">
        <v>121</v>
      </c>
      <c r="E661" s="84">
        <v>0</v>
      </c>
      <c r="F661" s="84"/>
      <c r="G661" s="94">
        <f>cell_CoefGeneral</f>
        <v>1</v>
      </c>
      <c r="H661" s="93">
        <f>H282</f>
        <v>400</v>
      </c>
      <c r="I661" s="84">
        <f>IFERROR(ROUND(E661*H661,2),"-")</f>
        <v>0</v>
      </c>
      <c r="J661" s="105">
        <f>IFERROR(I661/cell_Total_HT,"-")</f>
        <v>0</v>
      </c>
      <c r="K661">
        <f>I661</f>
        <v>0</v>
      </c>
      <c r="L661"/>
      <c r="M661"/>
      <c r="N661"/>
      <c r="O661"/>
      <c r="P661"/>
      <c r="Q661"/>
      <c r="R661"/>
      <c r="S661"/>
      <c r="T661"/>
    </row>
    <row r="662" spans="1:20" outlineLevel="3" x14ac:dyDescent="0.3">
      <c r="A662" s="82" t="s">
        <v>1440</v>
      </c>
      <c r="B662" s="10" t="s">
        <v>873</v>
      </c>
      <c r="C662" s="60" t="s">
        <v>874</v>
      </c>
      <c r="D662" s="44" t="s">
        <v>121</v>
      </c>
      <c r="E662" s="84">
        <v>0</v>
      </c>
      <c r="F662" s="84"/>
      <c r="G662" s="94">
        <f>cell_CoefGeneral</f>
        <v>1</v>
      </c>
      <c r="H662" s="93">
        <f>H283</f>
        <v>370</v>
      </c>
      <c r="I662" s="84">
        <f>IFERROR(ROUND(E662*H662,2),"-")</f>
        <v>0</v>
      </c>
      <c r="J662" s="105">
        <f>IFERROR(I662/cell_Total_HT,"-")</f>
        <v>0</v>
      </c>
      <c r="K662">
        <f>I662</f>
        <v>0</v>
      </c>
      <c r="L662"/>
      <c r="M662"/>
      <c r="N662"/>
      <c r="O662"/>
      <c r="P662"/>
      <c r="Q662"/>
      <c r="R662"/>
      <c r="S662"/>
      <c r="T662"/>
    </row>
    <row r="663" spans="1:20" outlineLevel="3" x14ac:dyDescent="0.3">
      <c r="A663" s="82" t="s">
        <v>1441</v>
      </c>
      <c r="B663" s="10" t="s">
        <v>876</v>
      </c>
      <c r="C663" s="60" t="s">
        <v>877</v>
      </c>
      <c r="D663" s="44" t="s">
        <v>121</v>
      </c>
      <c r="E663" s="84">
        <v>0</v>
      </c>
      <c r="F663" s="84"/>
      <c r="G663" s="94">
        <f>cell_CoefGeneral</f>
        <v>1</v>
      </c>
      <c r="H663" s="93">
        <f>H284</f>
        <v>880</v>
      </c>
      <c r="I663" s="84">
        <f>IFERROR(ROUND(E663*H663,2),"-")</f>
        <v>0</v>
      </c>
      <c r="J663" s="105">
        <f>IFERROR(I663/cell_Total_HT,"-")</f>
        <v>0</v>
      </c>
      <c r="K663">
        <f>I663</f>
        <v>0</v>
      </c>
      <c r="L663"/>
      <c r="M663"/>
      <c r="N663"/>
      <c r="O663"/>
      <c r="P663"/>
      <c r="Q663"/>
      <c r="R663"/>
      <c r="S663"/>
      <c r="T663"/>
    </row>
    <row r="664" spans="1:20" outlineLevel="3" x14ac:dyDescent="0.3">
      <c r="A664" s="82" t="s">
        <v>1442</v>
      </c>
      <c r="B664" s="58" t="s">
        <v>879</v>
      </c>
      <c r="C664" s="61" t="s">
        <v>880</v>
      </c>
      <c r="D664" s="115"/>
      <c r="E664" s="87"/>
      <c r="F664" s="87"/>
      <c r="G664" s="97"/>
      <c r="H664" s="87"/>
      <c r="I664" s="104">
        <f>SUBTOTAL(9,K665:K668)</f>
        <v>2880</v>
      </c>
      <c r="J664" s="108"/>
      <c r="K664"/>
      <c r="L664"/>
      <c r="M664"/>
      <c r="N664"/>
      <c r="O664"/>
      <c r="P664"/>
      <c r="Q664"/>
      <c r="R664"/>
      <c r="S664"/>
      <c r="T664"/>
    </row>
    <row r="665" spans="1:20" outlineLevel="4" x14ac:dyDescent="0.3">
      <c r="A665" s="82" t="s">
        <v>1443</v>
      </c>
      <c r="B665" s="10" t="s">
        <v>882</v>
      </c>
      <c r="C665" s="60" t="s">
        <v>883</v>
      </c>
      <c r="D665" s="44" t="s">
        <v>121</v>
      </c>
      <c r="E665" s="84">
        <v>0</v>
      </c>
      <c r="F665" s="84"/>
      <c r="G665" s="94">
        <f t="shared" ref="G665:G670" si="87">cell_CoefGeneral</f>
        <v>1</v>
      </c>
      <c r="H665" s="93">
        <f t="shared" ref="H665:H670" si="88">H286</f>
        <v>170</v>
      </c>
      <c r="I665" s="84">
        <f t="shared" ref="I665:I670" si="89">IFERROR(ROUND(E665*H665,2),"-")</f>
        <v>0</v>
      </c>
      <c r="J665" s="105">
        <f t="shared" ref="J665:J670" si="90">IFERROR(I665/cell_Total_HT,"-")</f>
        <v>0</v>
      </c>
      <c r="K665">
        <f t="shared" ref="K665:K670" si="91">I665</f>
        <v>0</v>
      </c>
      <c r="L665"/>
      <c r="M665"/>
      <c r="N665"/>
      <c r="O665"/>
      <c r="P665"/>
      <c r="Q665"/>
      <c r="R665"/>
      <c r="S665"/>
      <c r="T665"/>
    </row>
    <row r="666" spans="1:20" outlineLevel="4" x14ac:dyDescent="0.3">
      <c r="A666" s="82" t="s">
        <v>1444</v>
      </c>
      <c r="B666" s="10" t="s">
        <v>885</v>
      </c>
      <c r="C666" s="60" t="s">
        <v>886</v>
      </c>
      <c r="D666" s="44" t="s">
        <v>121</v>
      </c>
      <c r="E666" s="84">
        <v>12</v>
      </c>
      <c r="F666" s="84"/>
      <c r="G666" s="94">
        <f t="shared" si="87"/>
        <v>1</v>
      </c>
      <c r="H666" s="93">
        <f t="shared" si="88"/>
        <v>240</v>
      </c>
      <c r="I666" s="84">
        <f t="shared" si="89"/>
        <v>2880</v>
      </c>
      <c r="J666" s="105">
        <f t="shared" si="90"/>
        <v>8.5024185395236299E-4</v>
      </c>
      <c r="K666">
        <f t="shared" si="91"/>
        <v>2880</v>
      </c>
      <c r="L666"/>
      <c r="M666"/>
      <c r="N666"/>
      <c r="O666"/>
      <c r="P666"/>
      <c r="Q666"/>
      <c r="R666"/>
      <c r="S666"/>
      <c r="T666"/>
    </row>
    <row r="667" spans="1:20" outlineLevel="4" x14ac:dyDescent="0.3">
      <c r="A667" s="82" t="s">
        <v>1445</v>
      </c>
      <c r="B667" s="10" t="s">
        <v>888</v>
      </c>
      <c r="C667" s="60" t="s">
        <v>889</v>
      </c>
      <c r="D667" s="44" t="s">
        <v>121</v>
      </c>
      <c r="E667" s="84">
        <v>0</v>
      </c>
      <c r="F667" s="84"/>
      <c r="G667" s="94">
        <f t="shared" si="87"/>
        <v>1</v>
      </c>
      <c r="H667" s="93">
        <f t="shared" si="88"/>
        <v>340</v>
      </c>
      <c r="I667" s="84">
        <f t="shared" si="89"/>
        <v>0</v>
      </c>
      <c r="J667" s="105">
        <f t="shared" si="90"/>
        <v>0</v>
      </c>
      <c r="K667">
        <f t="shared" si="91"/>
        <v>0</v>
      </c>
      <c r="L667"/>
      <c r="M667"/>
      <c r="N667"/>
      <c r="O667"/>
      <c r="P667"/>
      <c r="Q667"/>
      <c r="R667"/>
      <c r="S667"/>
      <c r="T667"/>
    </row>
    <row r="668" spans="1:20" ht="28.8" outlineLevel="4" x14ac:dyDescent="0.3">
      <c r="A668" s="82" t="s">
        <v>1446</v>
      </c>
      <c r="B668" s="10" t="s">
        <v>891</v>
      </c>
      <c r="C668" s="60" t="s">
        <v>892</v>
      </c>
      <c r="D668" s="44" t="s">
        <v>121</v>
      </c>
      <c r="E668" s="84">
        <v>0</v>
      </c>
      <c r="F668" s="84"/>
      <c r="G668" s="94">
        <f t="shared" si="87"/>
        <v>1</v>
      </c>
      <c r="H668" s="93">
        <f t="shared" si="88"/>
        <v>710</v>
      </c>
      <c r="I668" s="84">
        <f t="shared" si="89"/>
        <v>0</v>
      </c>
      <c r="J668" s="105">
        <f t="shared" si="90"/>
        <v>0</v>
      </c>
      <c r="K668">
        <f t="shared" si="91"/>
        <v>0</v>
      </c>
      <c r="L668"/>
      <c r="M668"/>
      <c r="N668"/>
      <c r="O668"/>
      <c r="P668"/>
      <c r="Q668"/>
      <c r="R668"/>
      <c r="S668"/>
      <c r="T668"/>
    </row>
    <row r="669" spans="1:20" outlineLevel="3" x14ac:dyDescent="0.3">
      <c r="A669" s="82" t="s">
        <v>1447</v>
      </c>
      <c r="B669" s="10" t="s">
        <v>894</v>
      </c>
      <c r="C669" s="60" t="s">
        <v>781</v>
      </c>
      <c r="D669" s="44" t="s">
        <v>80</v>
      </c>
      <c r="E669" s="84">
        <v>0</v>
      </c>
      <c r="F669" s="84"/>
      <c r="G669" s="94">
        <f t="shared" si="87"/>
        <v>1</v>
      </c>
      <c r="H669" s="93">
        <f t="shared" si="88"/>
        <v>31</v>
      </c>
      <c r="I669" s="84">
        <f t="shared" si="89"/>
        <v>0</v>
      </c>
      <c r="J669" s="105">
        <f t="shared" si="90"/>
        <v>0</v>
      </c>
      <c r="K669">
        <f t="shared" si="91"/>
        <v>0</v>
      </c>
      <c r="L669"/>
      <c r="M669"/>
      <c r="N669"/>
      <c r="O669"/>
      <c r="P669"/>
      <c r="Q669"/>
      <c r="R669"/>
      <c r="S669"/>
      <c r="T669"/>
    </row>
    <row r="670" spans="1:20" ht="15" outlineLevel="3" thickBot="1" x14ac:dyDescent="0.35">
      <c r="A670" s="82" t="s">
        <v>1448</v>
      </c>
      <c r="B670" s="10" t="s">
        <v>896</v>
      </c>
      <c r="C670" s="60" t="s">
        <v>897</v>
      </c>
      <c r="D670" s="44" t="s">
        <v>93</v>
      </c>
      <c r="E670" s="84">
        <v>1</v>
      </c>
      <c r="F670" s="84"/>
      <c r="G670" s="94">
        <f t="shared" si="87"/>
        <v>1</v>
      </c>
      <c r="H670" s="93">
        <f t="shared" si="88"/>
        <v>170</v>
      </c>
      <c r="I670" s="84">
        <f t="shared" si="89"/>
        <v>170</v>
      </c>
      <c r="J670" s="105">
        <f t="shared" si="90"/>
        <v>5.0187887212465874E-5</v>
      </c>
      <c r="K670">
        <f t="shared" si="91"/>
        <v>170</v>
      </c>
      <c r="L670"/>
      <c r="M670"/>
      <c r="N670"/>
      <c r="O670"/>
      <c r="P670"/>
      <c r="Q670"/>
      <c r="R670"/>
      <c r="S670"/>
      <c r="T670"/>
    </row>
    <row r="671" spans="1:20" ht="15" outlineLevel="2" thickTop="1" x14ac:dyDescent="0.3">
      <c r="A671" s="82" t="s">
        <v>1449</v>
      </c>
      <c r="B671" s="62" t="s">
        <v>60</v>
      </c>
      <c r="C671" s="63" t="s">
        <v>899</v>
      </c>
      <c r="D671" s="116"/>
      <c r="E671" s="88"/>
      <c r="F671" s="88"/>
      <c r="G671" s="98"/>
      <c r="H671" s="88"/>
      <c r="I671" s="88">
        <f>SUBTOTAL(9,I649:I670)</f>
        <v>17760.8</v>
      </c>
      <c r="J671" s="109"/>
      <c r="K671"/>
      <c r="L671"/>
      <c r="M671"/>
      <c r="N671"/>
      <c r="O671"/>
      <c r="P671"/>
      <c r="Q671"/>
      <c r="R671"/>
      <c r="S671"/>
      <c r="T671"/>
    </row>
    <row r="672" spans="1:20" outlineLevel="2" x14ac:dyDescent="0.3">
      <c r="A672" s="82" t="s">
        <v>1450</v>
      </c>
      <c r="B672" s="64" t="s">
        <v>901</v>
      </c>
      <c r="C672" s="65" t="s">
        <v>902</v>
      </c>
      <c r="D672" s="117"/>
      <c r="E672" s="87"/>
      <c r="F672" s="87"/>
      <c r="G672" s="97"/>
      <c r="H672" s="87"/>
      <c r="I672" s="104">
        <f>SUBTOTAL(9,K673:K678)</f>
        <v>4664</v>
      </c>
      <c r="J672" s="108"/>
      <c r="K672"/>
      <c r="L672"/>
      <c r="M672"/>
      <c r="N672"/>
      <c r="O672"/>
      <c r="P672"/>
      <c r="Q672"/>
      <c r="R672"/>
      <c r="S672"/>
      <c r="T672"/>
    </row>
    <row r="673" spans="1:20" outlineLevel="3" x14ac:dyDescent="0.3">
      <c r="A673" s="82" t="s">
        <v>1451</v>
      </c>
      <c r="B673" s="64" t="s">
        <v>904</v>
      </c>
      <c r="C673" s="66" t="s">
        <v>905</v>
      </c>
      <c r="D673" s="117"/>
      <c r="E673" s="87"/>
      <c r="F673" s="87"/>
      <c r="G673" s="97"/>
      <c r="H673" s="87"/>
      <c r="I673" s="104">
        <f>SUBTOTAL(9,K674:K675)</f>
        <v>1936</v>
      </c>
      <c r="J673" s="108"/>
      <c r="K673"/>
      <c r="L673"/>
      <c r="M673"/>
      <c r="N673"/>
      <c r="O673"/>
      <c r="P673"/>
      <c r="Q673"/>
      <c r="R673"/>
      <c r="S673"/>
      <c r="T673"/>
    </row>
    <row r="674" spans="1:20" outlineLevel="4" x14ac:dyDescent="0.3">
      <c r="A674" s="82" t="s">
        <v>1452</v>
      </c>
      <c r="B674" s="10" t="s">
        <v>907</v>
      </c>
      <c r="C674" s="60" t="s">
        <v>908</v>
      </c>
      <c r="D674" s="44" t="s">
        <v>80</v>
      </c>
      <c r="E674" s="84">
        <v>22</v>
      </c>
      <c r="F674" s="84"/>
      <c r="G674" s="94">
        <f>cell_CoefGeneral</f>
        <v>1</v>
      </c>
      <c r="H674" s="93">
        <f>H295</f>
        <v>50</v>
      </c>
      <c r="I674" s="84">
        <f>IFERROR(ROUND(E674*H674,2),"-")</f>
        <v>1100</v>
      </c>
      <c r="J674" s="105">
        <f>IFERROR(I674/cell_Total_HT,"-")</f>
        <v>3.2474515255124977E-4</v>
      </c>
      <c r="K674">
        <f>I674</f>
        <v>1100</v>
      </c>
      <c r="L674"/>
      <c r="M674"/>
      <c r="N674"/>
      <c r="O674"/>
      <c r="P674"/>
      <c r="Q674"/>
      <c r="R674"/>
      <c r="S674"/>
      <c r="T674"/>
    </row>
    <row r="675" spans="1:20" outlineLevel="4" x14ac:dyDescent="0.3">
      <c r="A675" s="82" t="s">
        <v>1453</v>
      </c>
      <c r="B675" s="10" t="s">
        <v>910</v>
      </c>
      <c r="C675" s="60" t="s">
        <v>911</v>
      </c>
      <c r="D675" s="44" t="s">
        <v>80</v>
      </c>
      <c r="E675" s="84">
        <v>22</v>
      </c>
      <c r="F675" s="84"/>
      <c r="G675" s="94">
        <f>cell_CoefGeneral</f>
        <v>1</v>
      </c>
      <c r="H675" s="93">
        <f>H296</f>
        <v>38</v>
      </c>
      <c r="I675" s="84">
        <f>IFERROR(ROUND(E675*H675,2),"-")</f>
        <v>836</v>
      </c>
      <c r="J675" s="105">
        <f>IFERROR(I675/cell_Total_HT,"-")</f>
        <v>2.4680631593894983E-4</v>
      </c>
      <c r="K675">
        <f>I675</f>
        <v>836</v>
      </c>
      <c r="L675"/>
      <c r="M675"/>
      <c r="N675"/>
      <c r="O675"/>
      <c r="P675"/>
      <c r="Q675"/>
      <c r="R675"/>
      <c r="S675"/>
      <c r="T675"/>
    </row>
    <row r="676" spans="1:20" outlineLevel="3" x14ac:dyDescent="0.3">
      <c r="A676" s="82" t="s">
        <v>1454</v>
      </c>
      <c r="B676" s="58" t="s">
        <v>913</v>
      </c>
      <c r="C676" s="61" t="s">
        <v>914</v>
      </c>
      <c r="D676" s="115"/>
      <c r="E676" s="87"/>
      <c r="F676" s="87"/>
      <c r="G676" s="97"/>
      <c r="H676" s="87"/>
      <c r="I676" s="104">
        <f>SUBTOTAL(9,K677:K677)</f>
        <v>1188</v>
      </c>
      <c r="J676" s="108"/>
      <c r="K676"/>
      <c r="L676"/>
      <c r="M676"/>
      <c r="N676"/>
      <c r="O676"/>
      <c r="P676"/>
      <c r="Q676"/>
      <c r="R676"/>
      <c r="S676"/>
      <c r="T676"/>
    </row>
    <row r="677" spans="1:20" outlineLevel="4" x14ac:dyDescent="0.3">
      <c r="A677" s="82" t="s">
        <v>1455</v>
      </c>
      <c r="B677" s="10" t="s">
        <v>916</v>
      </c>
      <c r="C677" s="60" t="s">
        <v>917</v>
      </c>
      <c r="D677" s="44" t="s">
        <v>80</v>
      </c>
      <c r="E677" s="84">
        <v>264</v>
      </c>
      <c r="F677" s="84"/>
      <c r="G677" s="94">
        <f>cell_CoefGeneral</f>
        <v>1</v>
      </c>
      <c r="H677" s="93">
        <f>H298</f>
        <v>4.5</v>
      </c>
      <c r="I677" s="84">
        <f>IFERROR(ROUND(E677*H677,2),"-")</f>
        <v>1188</v>
      </c>
      <c r="J677" s="105">
        <f>IFERROR(I677/cell_Total_HT,"-")</f>
        <v>3.5072476475534972E-4</v>
      </c>
      <c r="K677">
        <f>I677</f>
        <v>1188</v>
      </c>
      <c r="L677"/>
      <c r="M677"/>
      <c r="N677"/>
      <c r="O677"/>
      <c r="P677"/>
      <c r="Q677"/>
      <c r="R677"/>
      <c r="S677"/>
      <c r="T677"/>
    </row>
    <row r="678" spans="1:20" ht="15" outlineLevel="3" thickBot="1" x14ac:dyDescent="0.35">
      <c r="A678" s="82" t="s">
        <v>1456</v>
      </c>
      <c r="B678" s="10" t="s">
        <v>919</v>
      </c>
      <c r="C678" s="60" t="s">
        <v>920</v>
      </c>
      <c r="D678" s="44" t="s">
        <v>80</v>
      </c>
      <c r="E678" s="84">
        <v>44</v>
      </c>
      <c r="F678" s="84"/>
      <c r="G678" s="94">
        <f>cell_CoefGeneral</f>
        <v>1</v>
      </c>
      <c r="H678" s="93">
        <f>H299</f>
        <v>35</v>
      </c>
      <c r="I678" s="84">
        <f>IFERROR(ROUND(E678*H678,2),"-")</f>
        <v>1540</v>
      </c>
      <c r="J678" s="105">
        <f>IFERROR(I678/cell_Total_HT,"-")</f>
        <v>4.5464321357174966E-4</v>
      </c>
      <c r="K678">
        <f>I678</f>
        <v>1540</v>
      </c>
      <c r="L678"/>
      <c r="M678"/>
      <c r="N678"/>
      <c r="O678"/>
      <c r="P678"/>
      <c r="Q678"/>
      <c r="R678"/>
      <c r="S678"/>
      <c r="T678"/>
    </row>
    <row r="679" spans="1:20" ht="15" outlineLevel="2" thickTop="1" x14ac:dyDescent="0.3">
      <c r="A679" s="82" t="s">
        <v>1457</v>
      </c>
      <c r="B679" s="62" t="s">
        <v>60</v>
      </c>
      <c r="C679" s="63" t="s">
        <v>922</v>
      </c>
      <c r="D679" s="116"/>
      <c r="E679" s="88"/>
      <c r="F679" s="88"/>
      <c r="G679" s="98"/>
      <c r="H679" s="88"/>
      <c r="I679" s="88">
        <f>SUBTOTAL(9,I674:I678)</f>
        <v>4664</v>
      </c>
      <c r="J679" s="109"/>
      <c r="K679"/>
      <c r="L679"/>
      <c r="M679"/>
      <c r="N679"/>
      <c r="O679"/>
      <c r="P679"/>
      <c r="Q679"/>
      <c r="R679"/>
      <c r="S679"/>
      <c r="T679"/>
    </row>
    <row r="680" spans="1:20" outlineLevel="2" x14ac:dyDescent="0.3">
      <c r="A680" s="82" t="s">
        <v>1458</v>
      </c>
      <c r="B680" s="64" t="s">
        <v>924</v>
      </c>
      <c r="C680" s="65" t="s">
        <v>925</v>
      </c>
      <c r="D680" s="117"/>
      <c r="E680" s="87"/>
      <c r="F680" s="87"/>
      <c r="G680" s="97"/>
      <c r="H680" s="87"/>
      <c r="I680" s="104">
        <f>SUBTOTAL(9,K681:K687)</f>
        <v>0</v>
      </c>
      <c r="J680" s="108"/>
      <c r="K680"/>
      <c r="L680"/>
      <c r="M680"/>
      <c r="N680"/>
      <c r="O680"/>
      <c r="P680"/>
      <c r="Q680"/>
      <c r="R680"/>
      <c r="S680"/>
      <c r="T680"/>
    </row>
    <row r="681" spans="1:20" outlineLevel="3" x14ac:dyDescent="0.3">
      <c r="A681" s="82" t="s">
        <v>1459</v>
      </c>
      <c r="B681" s="64" t="s">
        <v>927</v>
      </c>
      <c r="C681" s="66" t="s">
        <v>928</v>
      </c>
      <c r="D681" s="117"/>
      <c r="E681" s="87"/>
      <c r="F681" s="87"/>
      <c r="G681" s="97"/>
      <c r="H681" s="87"/>
      <c r="I681" s="104">
        <f>SUBTOTAL(9,K682:K682)</f>
        <v>0</v>
      </c>
      <c r="J681" s="108"/>
      <c r="K681"/>
      <c r="L681"/>
      <c r="M681"/>
      <c r="N681"/>
      <c r="O681"/>
      <c r="P681"/>
      <c r="Q681"/>
      <c r="R681"/>
      <c r="S681"/>
      <c r="T681"/>
    </row>
    <row r="682" spans="1:20" outlineLevel="4" x14ac:dyDescent="0.3">
      <c r="A682" s="82" t="s">
        <v>1460</v>
      </c>
      <c r="B682" s="10" t="s">
        <v>930</v>
      </c>
      <c r="C682" s="60" t="s">
        <v>798</v>
      </c>
      <c r="D682" s="44" t="s">
        <v>80</v>
      </c>
      <c r="E682" s="84">
        <v>0</v>
      </c>
      <c r="F682" s="84"/>
      <c r="G682" s="94">
        <f>cell_CoefGeneral</f>
        <v>1</v>
      </c>
      <c r="H682" s="93">
        <f>H303</f>
        <v>39</v>
      </c>
      <c r="I682" s="84">
        <f>IFERROR(ROUND(E682*H682,2),"-")</f>
        <v>0</v>
      </c>
      <c r="J682" s="105">
        <f>IFERROR(I682/cell_Total_HT,"-")</f>
        <v>0</v>
      </c>
      <c r="K682">
        <f>I682</f>
        <v>0</v>
      </c>
      <c r="L682"/>
      <c r="M682"/>
      <c r="N682"/>
      <c r="O682"/>
      <c r="P682"/>
      <c r="Q682"/>
      <c r="R682"/>
      <c r="S682"/>
      <c r="T682"/>
    </row>
    <row r="683" spans="1:20" outlineLevel="3" x14ac:dyDescent="0.3">
      <c r="A683" s="82" t="s">
        <v>1461</v>
      </c>
      <c r="B683" s="58" t="s">
        <v>932</v>
      </c>
      <c r="C683" s="61" t="s">
        <v>914</v>
      </c>
      <c r="D683" s="115"/>
      <c r="E683" s="87"/>
      <c r="F683" s="87"/>
      <c r="G683" s="97"/>
      <c r="H683" s="87"/>
      <c r="I683" s="104">
        <f>SUBTOTAL(9,K684:K685)</f>
        <v>0</v>
      </c>
      <c r="J683" s="108"/>
      <c r="K683"/>
      <c r="L683"/>
      <c r="M683"/>
      <c r="N683"/>
      <c r="O683"/>
      <c r="P683"/>
      <c r="Q683"/>
      <c r="R683"/>
      <c r="S683"/>
      <c r="T683"/>
    </row>
    <row r="684" spans="1:20" outlineLevel="4" x14ac:dyDescent="0.3">
      <c r="A684" s="82" t="s">
        <v>1462</v>
      </c>
      <c r="B684" s="10" t="s">
        <v>934</v>
      </c>
      <c r="C684" s="60" t="s">
        <v>935</v>
      </c>
      <c r="D684" s="44" t="s">
        <v>80</v>
      </c>
      <c r="E684" s="84">
        <v>0</v>
      </c>
      <c r="F684" s="84"/>
      <c r="G684" s="94">
        <f>cell_CoefGeneral</f>
        <v>1</v>
      </c>
      <c r="H684" s="93">
        <f>H305</f>
        <v>2.8</v>
      </c>
      <c r="I684" s="84">
        <f>IFERROR(ROUND(E684*H684,2),"-")</f>
        <v>0</v>
      </c>
      <c r="J684" s="105">
        <f>IFERROR(I684/cell_Total_HT,"-")</f>
        <v>0</v>
      </c>
      <c r="K684">
        <f>I684</f>
        <v>0</v>
      </c>
      <c r="L684"/>
      <c r="M684"/>
      <c r="N684"/>
      <c r="O684"/>
      <c r="P684"/>
      <c r="Q684"/>
      <c r="R684"/>
      <c r="S684"/>
      <c r="T684"/>
    </row>
    <row r="685" spans="1:20" outlineLevel="4" x14ac:dyDescent="0.3">
      <c r="A685" s="82" t="s">
        <v>1463</v>
      </c>
      <c r="B685" s="10" t="s">
        <v>937</v>
      </c>
      <c r="C685" s="60" t="s">
        <v>938</v>
      </c>
      <c r="D685" s="44" t="s">
        <v>80</v>
      </c>
      <c r="E685" s="84">
        <v>0</v>
      </c>
      <c r="F685" s="84"/>
      <c r="G685" s="94">
        <f>cell_CoefGeneral</f>
        <v>1</v>
      </c>
      <c r="H685" s="93">
        <f>H306</f>
        <v>4.5</v>
      </c>
      <c r="I685" s="84">
        <f>IFERROR(ROUND(E685*H685,2),"-")</f>
        <v>0</v>
      </c>
      <c r="J685" s="105">
        <f>IFERROR(I685/cell_Total_HT,"-")</f>
        <v>0</v>
      </c>
      <c r="K685">
        <f>I685</f>
        <v>0</v>
      </c>
      <c r="L685"/>
      <c r="M685"/>
      <c r="N685"/>
      <c r="O685"/>
      <c r="P685"/>
      <c r="Q685"/>
      <c r="R685"/>
      <c r="S685"/>
      <c r="T685"/>
    </row>
    <row r="686" spans="1:20" outlineLevel="3" x14ac:dyDescent="0.3">
      <c r="A686" s="82" t="s">
        <v>1464</v>
      </c>
      <c r="B686" s="10" t="s">
        <v>940</v>
      </c>
      <c r="C686" s="60" t="s">
        <v>860</v>
      </c>
      <c r="D686" s="44" t="s">
        <v>80</v>
      </c>
      <c r="E686" s="84">
        <v>0</v>
      </c>
      <c r="F686" s="84"/>
      <c r="G686" s="94">
        <f>cell_CoefGeneral</f>
        <v>1</v>
      </c>
      <c r="H686" s="93">
        <f>H307</f>
        <v>4.4000000000000004</v>
      </c>
      <c r="I686" s="84">
        <f>IFERROR(ROUND(E686*H686,2),"-")</f>
        <v>0</v>
      </c>
      <c r="J686" s="105">
        <f>IFERROR(I686/cell_Total_HT,"-")</f>
        <v>0</v>
      </c>
      <c r="K686">
        <f>I686</f>
        <v>0</v>
      </c>
      <c r="L686"/>
      <c r="M686"/>
      <c r="N686"/>
      <c r="O686"/>
      <c r="P686"/>
      <c r="Q686"/>
      <c r="R686"/>
      <c r="S686"/>
      <c r="T686"/>
    </row>
    <row r="687" spans="1:20" ht="15" outlineLevel="3" thickBot="1" x14ac:dyDescent="0.35">
      <c r="A687" s="82" t="s">
        <v>1465</v>
      </c>
      <c r="B687" s="10" t="s">
        <v>942</v>
      </c>
      <c r="C687" s="60" t="s">
        <v>897</v>
      </c>
      <c r="D687" s="44" t="s">
        <v>93</v>
      </c>
      <c r="E687" s="84">
        <v>0</v>
      </c>
      <c r="F687" s="84"/>
      <c r="G687" s="94">
        <f>cell_CoefGeneral</f>
        <v>1</v>
      </c>
      <c r="H687" s="93">
        <f>H308</f>
        <v>580</v>
      </c>
      <c r="I687" s="84">
        <f>IFERROR(ROUND(E687*H687,2),"-")</f>
        <v>0</v>
      </c>
      <c r="J687" s="105">
        <f>IFERROR(I687/cell_Total_HT,"-")</f>
        <v>0</v>
      </c>
      <c r="K687">
        <f>I687</f>
        <v>0</v>
      </c>
      <c r="L687"/>
      <c r="M687"/>
      <c r="N687"/>
      <c r="O687"/>
      <c r="P687"/>
      <c r="Q687"/>
      <c r="R687"/>
      <c r="S687"/>
      <c r="T687"/>
    </row>
    <row r="688" spans="1:20" ht="15" outlineLevel="2" thickTop="1" x14ac:dyDescent="0.3">
      <c r="A688" s="82" t="s">
        <v>1466</v>
      </c>
      <c r="B688" s="62" t="s">
        <v>60</v>
      </c>
      <c r="C688" s="63" t="s">
        <v>944</v>
      </c>
      <c r="D688" s="116"/>
      <c r="E688" s="88"/>
      <c r="F688" s="88"/>
      <c r="G688" s="98"/>
      <c r="H688" s="88"/>
      <c r="I688" s="88">
        <f>SUBTOTAL(9,I682:I687)</f>
        <v>0</v>
      </c>
      <c r="J688" s="109"/>
      <c r="K688"/>
      <c r="L688"/>
      <c r="M688"/>
      <c r="N688"/>
      <c r="O688"/>
      <c r="P688"/>
      <c r="Q688"/>
      <c r="R688"/>
      <c r="S688"/>
      <c r="T688"/>
    </row>
    <row r="689" spans="1:20" outlineLevel="2" x14ac:dyDescent="0.3">
      <c r="A689" s="82" t="s">
        <v>1467</v>
      </c>
      <c r="B689" s="64" t="s">
        <v>946</v>
      </c>
      <c r="C689" s="65" t="s">
        <v>947</v>
      </c>
      <c r="D689" s="117"/>
      <c r="E689" s="87"/>
      <c r="F689" s="87"/>
      <c r="G689" s="97"/>
      <c r="H689" s="87"/>
      <c r="I689" s="104">
        <f>SUBTOTAL(9,K690:K719)</f>
        <v>7475.9</v>
      </c>
      <c r="J689" s="108"/>
      <c r="K689"/>
      <c r="L689"/>
      <c r="M689"/>
      <c r="N689"/>
      <c r="O689"/>
      <c r="P689"/>
      <c r="Q689"/>
      <c r="R689"/>
      <c r="S689"/>
      <c r="T689"/>
    </row>
    <row r="690" spans="1:20" outlineLevel="3" x14ac:dyDescent="0.3">
      <c r="A690" s="82" t="s">
        <v>1468</v>
      </c>
      <c r="B690" s="64" t="s">
        <v>949</v>
      </c>
      <c r="C690" s="66" t="s">
        <v>950</v>
      </c>
      <c r="D690" s="117"/>
      <c r="E690" s="87"/>
      <c r="F690" s="87"/>
      <c r="G690" s="97"/>
      <c r="H690" s="87"/>
      <c r="I690" s="104">
        <f>SUBTOTAL(9,K691:K692)</f>
        <v>1742.4</v>
      </c>
      <c r="J690" s="108"/>
      <c r="K690"/>
      <c r="L690"/>
      <c r="M690"/>
      <c r="N690"/>
      <c r="O690"/>
      <c r="P690"/>
      <c r="Q690"/>
      <c r="R690"/>
      <c r="S690"/>
      <c r="T690"/>
    </row>
    <row r="691" spans="1:20" outlineLevel="4" x14ac:dyDescent="0.3">
      <c r="A691" s="82" t="s">
        <v>1469</v>
      </c>
      <c r="B691" s="10" t="s">
        <v>952</v>
      </c>
      <c r="C691" s="60" t="s">
        <v>953</v>
      </c>
      <c r="D691" s="44" t="s">
        <v>154</v>
      </c>
      <c r="E691" s="84">
        <v>0</v>
      </c>
      <c r="F691" s="84"/>
      <c r="G691" s="94">
        <f>cell_CoefGeneral</f>
        <v>1</v>
      </c>
      <c r="H691" s="93">
        <f>H312</f>
        <v>17</v>
      </c>
      <c r="I691" s="84">
        <f>IFERROR(ROUND(E691*H691,2),"-")</f>
        <v>0</v>
      </c>
      <c r="J691" s="105">
        <f>IFERROR(I691/cell_Total_HT,"-")</f>
        <v>0</v>
      </c>
      <c r="K691">
        <f>I691</f>
        <v>0</v>
      </c>
      <c r="L691"/>
      <c r="M691"/>
      <c r="N691"/>
      <c r="O691"/>
      <c r="P691"/>
      <c r="Q691"/>
      <c r="R691"/>
      <c r="S691"/>
      <c r="T691"/>
    </row>
    <row r="692" spans="1:20" outlineLevel="4" x14ac:dyDescent="0.3">
      <c r="A692" s="82" t="s">
        <v>1470</v>
      </c>
      <c r="B692" s="10" t="s">
        <v>955</v>
      </c>
      <c r="C692" s="60" t="s">
        <v>956</v>
      </c>
      <c r="D692" s="44" t="s">
        <v>80</v>
      </c>
      <c r="E692" s="84">
        <v>396</v>
      </c>
      <c r="F692" s="84"/>
      <c r="G692" s="94">
        <f>cell_CoefGeneral</f>
        <v>1</v>
      </c>
      <c r="H692" s="93">
        <f>H313</f>
        <v>4.4000000000000004</v>
      </c>
      <c r="I692" s="84">
        <f>IFERROR(ROUND(E692*H692,2),"-")</f>
        <v>1742.4</v>
      </c>
      <c r="J692" s="105">
        <f>IFERROR(I692/cell_Total_HT,"-")</f>
        <v>5.143963216411797E-4</v>
      </c>
      <c r="K692">
        <f>I692</f>
        <v>1742.4</v>
      </c>
      <c r="L692"/>
      <c r="M692"/>
      <c r="N692"/>
      <c r="O692"/>
      <c r="P692"/>
      <c r="Q692"/>
      <c r="R692"/>
      <c r="S692"/>
      <c r="T692"/>
    </row>
    <row r="693" spans="1:20" outlineLevel="3" x14ac:dyDescent="0.3">
      <c r="A693" s="82" t="s">
        <v>1471</v>
      </c>
      <c r="B693" s="58" t="s">
        <v>958</v>
      </c>
      <c r="C693" s="61" t="s">
        <v>959</v>
      </c>
      <c r="D693" s="115"/>
      <c r="E693" s="87"/>
      <c r="F693" s="87"/>
      <c r="G693" s="97"/>
      <c r="H693" s="87"/>
      <c r="I693" s="104">
        <f>SUBTOTAL(9,K694:K704)</f>
        <v>2195.5</v>
      </c>
      <c r="J693" s="108"/>
      <c r="K693"/>
      <c r="L693"/>
      <c r="M693"/>
      <c r="N693"/>
      <c r="O693"/>
      <c r="P693"/>
      <c r="Q693"/>
      <c r="R693"/>
      <c r="S693"/>
      <c r="T693"/>
    </row>
    <row r="694" spans="1:20" outlineLevel="4" x14ac:dyDescent="0.3">
      <c r="A694" s="82" t="s">
        <v>1472</v>
      </c>
      <c r="B694" s="10" t="s">
        <v>961</v>
      </c>
      <c r="C694" s="60" t="s">
        <v>962</v>
      </c>
      <c r="D694" s="44" t="s">
        <v>80</v>
      </c>
      <c r="E694" s="84">
        <v>4</v>
      </c>
      <c r="F694" s="84"/>
      <c r="G694" s="94">
        <f t="shared" ref="G694:G704" si="92">cell_CoefGeneral</f>
        <v>1</v>
      </c>
      <c r="H694" s="93">
        <f t="shared" ref="H694:H704" si="93">H315</f>
        <v>3.6</v>
      </c>
      <c r="I694" s="84">
        <f t="shared" ref="I694:I704" si="94">IFERROR(ROUND(E694*H694,2),"-")</f>
        <v>14.4</v>
      </c>
      <c r="J694" s="105">
        <f t="shared" ref="J694:J704" si="95">IFERROR(I694/cell_Total_HT,"-")</f>
        <v>4.2512092697618152E-6</v>
      </c>
      <c r="K694">
        <f t="shared" ref="K694:K704" si="96">I694</f>
        <v>14.4</v>
      </c>
      <c r="L694"/>
      <c r="M694"/>
      <c r="N694"/>
      <c r="O694"/>
      <c r="P694"/>
      <c r="Q694"/>
      <c r="R694"/>
      <c r="S694"/>
      <c r="T694"/>
    </row>
    <row r="695" spans="1:20" outlineLevel="4" x14ac:dyDescent="0.3">
      <c r="A695" s="82" t="s">
        <v>1473</v>
      </c>
      <c r="B695" s="10" t="s">
        <v>964</v>
      </c>
      <c r="C695" s="60" t="s">
        <v>965</v>
      </c>
      <c r="D695" s="44" t="s">
        <v>80</v>
      </c>
      <c r="E695" s="84">
        <v>55</v>
      </c>
      <c r="F695" s="84"/>
      <c r="G695" s="94">
        <f t="shared" si="92"/>
        <v>1</v>
      </c>
      <c r="H695" s="93">
        <f t="shared" si="93"/>
        <v>1.5</v>
      </c>
      <c r="I695" s="84">
        <f t="shared" si="94"/>
        <v>82.5</v>
      </c>
      <c r="J695" s="105">
        <f t="shared" si="95"/>
        <v>2.4355886441343732E-5</v>
      </c>
      <c r="K695">
        <f t="shared" si="96"/>
        <v>82.5</v>
      </c>
      <c r="L695"/>
      <c r="M695"/>
      <c r="N695"/>
      <c r="O695"/>
      <c r="P695"/>
      <c r="Q695"/>
      <c r="R695"/>
      <c r="S695"/>
      <c r="T695"/>
    </row>
    <row r="696" spans="1:20" outlineLevel="4" x14ac:dyDescent="0.3">
      <c r="A696" s="82" t="s">
        <v>1474</v>
      </c>
      <c r="B696" s="10" t="s">
        <v>967</v>
      </c>
      <c r="C696" s="60" t="s">
        <v>968</v>
      </c>
      <c r="D696" s="44" t="s">
        <v>80</v>
      </c>
      <c r="E696" s="84">
        <v>22</v>
      </c>
      <c r="F696" s="84"/>
      <c r="G696" s="94">
        <f t="shared" si="92"/>
        <v>1</v>
      </c>
      <c r="H696" s="93">
        <f t="shared" si="93"/>
        <v>1.3</v>
      </c>
      <c r="I696" s="84">
        <f t="shared" si="94"/>
        <v>28.6</v>
      </c>
      <c r="J696" s="105">
        <f t="shared" si="95"/>
        <v>8.4433739663324936E-6</v>
      </c>
      <c r="K696">
        <f t="shared" si="96"/>
        <v>28.6</v>
      </c>
      <c r="L696"/>
      <c r="M696"/>
      <c r="N696"/>
      <c r="O696"/>
      <c r="P696"/>
      <c r="Q696"/>
      <c r="R696"/>
      <c r="S696"/>
      <c r="T696"/>
    </row>
    <row r="697" spans="1:20" outlineLevel="4" x14ac:dyDescent="0.3">
      <c r="A697" s="82" t="s">
        <v>1475</v>
      </c>
      <c r="B697" s="10" t="s">
        <v>970</v>
      </c>
      <c r="C697" s="60" t="s">
        <v>971</v>
      </c>
      <c r="D697" s="44" t="s">
        <v>80</v>
      </c>
      <c r="E697" s="84">
        <v>22</v>
      </c>
      <c r="F697" s="84"/>
      <c r="G697" s="94">
        <f t="shared" si="92"/>
        <v>1</v>
      </c>
      <c r="H697" s="93">
        <f t="shared" si="93"/>
        <v>58</v>
      </c>
      <c r="I697" s="84">
        <f t="shared" si="94"/>
        <v>1276</v>
      </c>
      <c r="J697" s="105">
        <f t="shared" si="95"/>
        <v>3.7670437695944972E-4</v>
      </c>
      <c r="K697">
        <f t="shared" si="96"/>
        <v>1276</v>
      </c>
      <c r="L697"/>
      <c r="M697"/>
      <c r="N697"/>
      <c r="O697"/>
      <c r="P697"/>
      <c r="Q697"/>
      <c r="R697"/>
      <c r="S697"/>
      <c r="T697"/>
    </row>
    <row r="698" spans="1:20" outlineLevel="4" x14ac:dyDescent="0.3">
      <c r="A698" s="82" t="s">
        <v>1476</v>
      </c>
      <c r="B698" s="10" t="s">
        <v>973</v>
      </c>
      <c r="C698" s="60" t="s">
        <v>974</v>
      </c>
      <c r="D698" s="44" t="s">
        <v>80</v>
      </c>
      <c r="E698" s="84">
        <v>0</v>
      </c>
      <c r="F698" s="84"/>
      <c r="G698" s="94">
        <f t="shared" si="92"/>
        <v>1</v>
      </c>
      <c r="H698" s="93">
        <f t="shared" si="93"/>
        <v>1.8</v>
      </c>
      <c r="I698" s="84">
        <f t="shared" si="94"/>
        <v>0</v>
      </c>
      <c r="J698" s="105">
        <f t="shared" si="95"/>
        <v>0</v>
      </c>
      <c r="K698">
        <f t="shared" si="96"/>
        <v>0</v>
      </c>
      <c r="L698"/>
      <c r="M698"/>
      <c r="N698"/>
      <c r="O698"/>
      <c r="P698"/>
      <c r="Q698"/>
      <c r="R698"/>
      <c r="S698"/>
      <c r="T698"/>
    </row>
    <row r="699" spans="1:20" outlineLevel="4" x14ac:dyDescent="0.3">
      <c r="A699" s="82" t="s">
        <v>1477</v>
      </c>
      <c r="B699" s="10" t="s">
        <v>976</v>
      </c>
      <c r="C699" s="60" t="s">
        <v>977</v>
      </c>
      <c r="D699" s="44" t="s">
        <v>154</v>
      </c>
      <c r="E699" s="84">
        <v>22</v>
      </c>
      <c r="F699" s="84"/>
      <c r="G699" s="94">
        <f t="shared" si="92"/>
        <v>1</v>
      </c>
      <c r="H699" s="93">
        <f t="shared" si="93"/>
        <v>15</v>
      </c>
      <c r="I699" s="84">
        <f t="shared" si="94"/>
        <v>330</v>
      </c>
      <c r="J699" s="105">
        <f t="shared" si="95"/>
        <v>9.7423545765374929E-5</v>
      </c>
      <c r="K699">
        <f t="shared" si="96"/>
        <v>330</v>
      </c>
      <c r="L699"/>
      <c r="M699"/>
      <c r="N699"/>
      <c r="O699"/>
      <c r="P699"/>
      <c r="Q699"/>
      <c r="R699"/>
      <c r="S699"/>
      <c r="T699"/>
    </row>
    <row r="700" spans="1:20" outlineLevel="4" x14ac:dyDescent="0.3">
      <c r="A700" s="82" t="s">
        <v>1478</v>
      </c>
      <c r="B700" s="10" t="s">
        <v>979</v>
      </c>
      <c r="C700" s="60" t="s">
        <v>980</v>
      </c>
      <c r="D700" s="44" t="s">
        <v>121</v>
      </c>
      <c r="E700" s="84">
        <v>4</v>
      </c>
      <c r="F700" s="84"/>
      <c r="G700" s="94">
        <f t="shared" si="92"/>
        <v>1</v>
      </c>
      <c r="H700" s="93">
        <f t="shared" si="93"/>
        <v>11</v>
      </c>
      <c r="I700" s="84">
        <f t="shared" si="94"/>
        <v>44</v>
      </c>
      <c r="J700" s="105">
        <f t="shared" si="95"/>
        <v>1.2989806102049991E-5</v>
      </c>
      <c r="K700">
        <f t="shared" si="96"/>
        <v>44</v>
      </c>
      <c r="L700"/>
      <c r="M700"/>
      <c r="N700"/>
      <c r="O700"/>
      <c r="P700"/>
      <c r="Q700"/>
      <c r="R700"/>
      <c r="S700"/>
      <c r="T700"/>
    </row>
    <row r="701" spans="1:20" outlineLevel="4" x14ac:dyDescent="0.3">
      <c r="A701" s="82" t="s">
        <v>1479</v>
      </c>
      <c r="B701" s="10" t="s">
        <v>982</v>
      </c>
      <c r="C701" s="60" t="s">
        <v>983</v>
      </c>
      <c r="D701" s="44" t="s">
        <v>121</v>
      </c>
      <c r="E701" s="84">
        <v>13</v>
      </c>
      <c r="F701" s="84"/>
      <c r="G701" s="94">
        <f t="shared" si="92"/>
        <v>1</v>
      </c>
      <c r="H701" s="93">
        <f t="shared" si="93"/>
        <v>31</v>
      </c>
      <c r="I701" s="84">
        <f t="shared" si="94"/>
        <v>403</v>
      </c>
      <c r="J701" s="105">
        <f t="shared" si="95"/>
        <v>1.1897481498013968E-4</v>
      </c>
      <c r="K701">
        <f t="shared" si="96"/>
        <v>403</v>
      </c>
      <c r="L701"/>
      <c r="M701"/>
      <c r="N701"/>
      <c r="O701"/>
      <c r="P701"/>
      <c r="Q701"/>
      <c r="R701"/>
      <c r="S701"/>
      <c r="T701"/>
    </row>
    <row r="702" spans="1:20" outlineLevel="4" x14ac:dyDescent="0.3">
      <c r="A702" s="82" t="s">
        <v>1480</v>
      </c>
      <c r="B702" s="10" t="s">
        <v>985</v>
      </c>
      <c r="C702" s="60" t="s">
        <v>986</v>
      </c>
      <c r="D702" s="44" t="s">
        <v>121</v>
      </c>
      <c r="E702" s="84">
        <v>0</v>
      </c>
      <c r="F702" s="84"/>
      <c r="G702" s="94">
        <f t="shared" si="92"/>
        <v>1</v>
      </c>
      <c r="H702" s="93">
        <f t="shared" si="93"/>
        <v>44</v>
      </c>
      <c r="I702" s="84">
        <f t="shared" si="94"/>
        <v>0</v>
      </c>
      <c r="J702" s="105">
        <f t="shared" si="95"/>
        <v>0</v>
      </c>
      <c r="K702">
        <f t="shared" si="96"/>
        <v>0</v>
      </c>
      <c r="L702"/>
      <c r="M702"/>
      <c r="N702"/>
      <c r="O702"/>
      <c r="P702"/>
      <c r="Q702"/>
      <c r="R702"/>
      <c r="S702"/>
      <c r="T702"/>
    </row>
    <row r="703" spans="1:20" outlineLevel="4" x14ac:dyDescent="0.3">
      <c r="A703" s="82" t="s">
        <v>1481</v>
      </c>
      <c r="B703" s="10" t="s">
        <v>988</v>
      </c>
      <c r="C703" s="60" t="s">
        <v>989</v>
      </c>
      <c r="D703" s="44" t="s">
        <v>121</v>
      </c>
      <c r="E703" s="84">
        <v>1</v>
      </c>
      <c r="F703" s="84"/>
      <c r="G703" s="94">
        <f t="shared" si="92"/>
        <v>1</v>
      </c>
      <c r="H703" s="93">
        <f t="shared" si="93"/>
        <v>17</v>
      </c>
      <c r="I703" s="84">
        <f t="shared" si="94"/>
        <v>17</v>
      </c>
      <c r="J703" s="105">
        <f t="shared" si="95"/>
        <v>5.0187887212465876E-6</v>
      </c>
      <c r="K703">
        <f t="shared" si="96"/>
        <v>17</v>
      </c>
      <c r="L703"/>
      <c r="M703"/>
      <c r="N703"/>
      <c r="O703"/>
      <c r="P703"/>
      <c r="Q703"/>
      <c r="R703"/>
      <c r="S703"/>
      <c r="T703"/>
    </row>
    <row r="704" spans="1:20" outlineLevel="4" x14ac:dyDescent="0.3">
      <c r="A704" s="82" t="s">
        <v>1482</v>
      </c>
      <c r="B704" s="10" t="s">
        <v>991</v>
      </c>
      <c r="C704" s="60" t="s">
        <v>992</v>
      </c>
      <c r="D704" s="44" t="s">
        <v>121</v>
      </c>
      <c r="E704" s="84">
        <v>0</v>
      </c>
      <c r="F704" s="84"/>
      <c r="G704" s="94">
        <f t="shared" si="92"/>
        <v>1</v>
      </c>
      <c r="H704" s="93">
        <f t="shared" si="93"/>
        <v>95</v>
      </c>
      <c r="I704" s="84">
        <f t="shared" si="94"/>
        <v>0</v>
      </c>
      <c r="J704" s="105">
        <f t="shared" si="95"/>
        <v>0</v>
      </c>
      <c r="K704">
        <f t="shared" si="96"/>
        <v>0</v>
      </c>
      <c r="L704"/>
      <c r="M704"/>
      <c r="N704"/>
      <c r="O704"/>
      <c r="P704"/>
      <c r="Q704"/>
      <c r="R704"/>
      <c r="S704"/>
      <c r="T704"/>
    </row>
    <row r="705" spans="1:20" outlineLevel="3" x14ac:dyDescent="0.3">
      <c r="A705" s="82" t="s">
        <v>1483</v>
      </c>
      <c r="B705" s="58" t="s">
        <v>994</v>
      </c>
      <c r="C705" s="61" t="s">
        <v>995</v>
      </c>
      <c r="D705" s="115"/>
      <c r="E705" s="87"/>
      <c r="F705" s="87"/>
      <c r="G705" s="97"/>
      <c r="H705" s="87"/>
      <c r="I705" s="104">
        <f>SUBTOTAL(9,K706:K719)</f>
        <v>3538</v>
      </c>
      <c r="J705" s="108"/>
      <c r="K705"/>
      <c r="L705"/>
      <c r="M705"/>
      <c r="N705"/>
      <c r="O705"/>
      <c r="P705"/>
      <c r="Q705"/>
      <c r="R705"/>
      <c r="S705"/>
      <c r="T705"/>
    </row>
    <row r="706" spans="1:20" outlineLevel="4" x14ac:dyDescent="0.3">
      <c r="A706" s="82" t="s">
        <v>1484</v>
      </c>
      <c r="B706" s="58" t="s">
        <v>997</v>
      </c>
      <c r="C706" s="61" t="s">
        <v>998</v>
      </c>
      <c r="D706" s="115"/>
      <c r="E706" s="87"/>
      <c r="F706" s="87"/>
      <c r="G706" s="97"/>
      <c r="H706" s="87"/>
      <c r="I706" s="104">
        <f>SUBTOTAL(9,K707:K707)</f>
        <v>2520</v>
      </c>
      <c r="J706" s="108"/>
      <c r="K706"/>
      <c r="L706"/>
      <c r="M706"/>
      <c r="N706"/>
      <c r="O706"/>
      <c r="P706"/>
      <c r="Q706"/>
      <c r="R706"/>
      <c r="S706"/>
      <c r="T706"/>
    </row>
    <row r="707" spans="1:20" outlineLevel="5" x14ac:dyDescent="0.3">
      <c r="A707" s="82" t="s">
        <v>1485</v>
      </c>
      <c r="B707" s="10" t="s">
        <v>1000</v>
      </c>
      <c r="C707" s="60" t="s">
        <v>1001</v>
      </c>
      <c r="D707" s="44" t="s">
        <v>121</v>
      </c>
      <c r="E707" s="84">
        <v>18</v>
      </c>
      <c r="F707" s="84"/>
      <c r="G707" s="94">
        <f>cell_CoefGeneral</f>
        <v>1</v>
      </c>
      <c r="H707" s="93">
        <f>H328</f>
        <v>140</v>
      </c>
      <c r="I707" s="84">
        <f>IFERROR(ROUND(E707*H707,2),"-")</f>
        <v>2520</v>
      </c>
      <c r="J707" s="105">
        <f>IFERROR(I707/cell_Total_HT,"-")</f>
        <v>7.4396162220831765E-4</v>
      </c>
      <c r="K707">
        <f>I707</f>
        <v>2520</v>
      </c>
      <c r="L707"/>
      <c r="M707"/>
      <c r="N707"/>
      <c r="O707"/>
      <c r="P707"/>
      <c r="Q707"/>
      <c r="R707"/>
      <c r="S707"/>
      <c r="T707"/>
    </row>
    <row r="708" spans="1:20" outlineLevel="4" x14ac:dyDescent="0.3">
      <c r="A708" s="82" t="s">
        <v>1486</v>
      </c>
      <c r="B708" s="58" t="s">
        <v>1003</v>
      </c>
      <c r="C708" s="61" t="s">
        <v>1004</v>
      </c>
      <c r="D708" s="115"/>
      <c r="E708" s="87"/>
      <c r="F708" s="87"/>
      <c r="G708" s="97"/>
      <c r="H708" s="87"/>
      <c r="I708" s="104">
        <f>SUBTOTAL(9,K709:K719)</f>
        <v>1018</v>
      </c>
      <c r="J708" s="108"/>
      <c r="K708"/>
      <c r="L708"/>
      <c r="M708"/>
      <c r="N708"/>
      <c r="O708"/>
      <c r="P708"/>
      <c r="Q708"/>
      <c r="R708"/>
      <c r="S708"/>
      <c r="T708"/>
    </row>
    <row r="709" spans="1:20" outlineLevel="5" x14ac:dyDescent="0.3">
      <c r="A709" s="82" t="s">
        <v>1487</v>
      </c>
      <c r="B709" s="10" t="s">
        <v>1006</v>
      </c>
      <c r="C709" s="60" t="s">
        <v>1007</v>
      </c>
      <c r="D709" s="44" t="s">
        <v>121</v>
      </c>
      <c r="E709" s="84">
        <v>2</v>
      </c>
      <c r="F709" s="84"/>
      <c r="G709" s="94">
        <f t="shared" ref="G709:G719" si="97">cell_CoefGeneral</f>
        <v>1</v>
      </c>
      <c r="H709" s="93">
        <f t="shared" ref="H709:H719" si="98">H330</f>
        <v>88</v>
      </c>
      <c r="I709" s="84">
        <f t="shared" ref="I709:I719" si="99">IFERROR(ROUND(E709*H709,2),"-")</f>
        <v>176</v>
      </c>
      <c r="J709" s="105">
        <f t="shared" ref="J709:J719" si="100">IFERROR(I709/cell_Total_HT,"-")</f>
        <v>5.1959224408199964E-5</v>
      </c>
      <c r="K709">
        <f t="shared" ref="K709:K719" si="101">I709</f>
        <v>176</v>
      </c>
      <c r="L709"/>
      <c r="M709"/>
      <c r="N709"/>
      <c r="O709"/>
      <c r="P709"/>
      <c r="Q709"/>
      <c r="R709"/>
      <c r="S709"/>
      <c r="T709"/>
    </row>
    <row r="710" spans="1:20" outlineLevel="5" x14ac:dyDescent="0.3">
      <c r="A710" s="82" t="s">
        <v>1488</v>
      </c>
      <c r="B710" s="10" t="s">
        <v>1009</v>
      </c>
      <c r="C710" s="60" t="s">
        <v>1010</v>
      </c>
      <c r="D710" s="44" t="s">
        <v>121</v>
      </c>
      <c r="E710" s="84">
        <v>0</v>
      </c>
      <c r="F710" s="84"/>
      <c r="G710" s="94">
        <f t="shared" si="97"/>
        <v>1</v>
      </c>
      <c r="H710" s="93">
        <f t="shared" si="98"/>
        <v>58</v>
      </c>
      <c r="I710" s="84">
        <f t="shared" si="99"/>
        <v>0</v>
      </c>
      <c r="J710" s="105">
        <f t="shared" si="100"/>
        <v>0</v>
      </c>
      <c r="K710">
        <f t="shared" si="101"/>
        <v>0</v>
      </c>
      <c r="L710"/>
      <c r="M710"/>
      <c r="N710"/>
      <c r="O710"/>
      <c r="P710"/>
      <c r="Q710"/>
      <c r="R710"/>
      <c r="S710"/>
      <c r="T710"/>
    </row>
    <row r="711" spans="1:20" ht="28.8" outlineLevel="5" x14ac:dyDescent="0.3">
      <c r="A711" s="82" t="s">
        <v>1489</v>
      </c>
      <c r="B711" s="10" t="s">
        <v>1012</v>
      </c>
      <c r="C711" s="60" t="s">
        <v>1013</v>
      </c>
      <c r="D711" s="44" t="s">
        <v>121</v>
      </c>
      <c r="E711" s="84">
        <v>1</v>
      </c>
      <c r="F711" s="84"/>
      <c r="G711" s="94">
        <f t="shared" si="97"/>
        <v>1</v>
      </c>
      <c r="H711" s="93">
        <f t="shared" si="98"/>
        <v>84</v>
      </c>
      <c r="I711" s="84">
        <f t="shared" si="99"/>
        <v>84</v>
      </c>
      <c r="J711" s="105">
        <f t="shared" si="100"/>
        <v>2.4798720740277253E-5</v>
      </c>
      <c r="K711">
        <f t="shared" si="101"/>
        <v>84</v>
      </c>
      <c r="L711"/>
      <c r="M711"/>
      <c r="N711"/>
      <c r="O711"/>
      <c r="P711"/>
      <c r="Q711"/>
      <c r="R711"/>
      <c r="S711"/>
      <c r="T711"/>
    </row>
    <row r="712" spans="1:20" outlineLevel="5" x14ac:dyDescent="0.3">
      <c r="A712" s="82" t="s">
        <v>1490</v>
      </c>
      <c r="B712" s="10" t="s">
        <v>1015</v>
      </c>
      <c r="C712" s="60" t="s">
        <v>1016</v>
      </c>
      <c r="D712" s="44" t="s">
        <v>121</v>
      </c>
      <c r="E712" s="84">
        <v>1</v>
      </c>
      <c r="F712" s="84"/>
      <c r="G712" s="94">
        <f t="shared" si="97"/>
        <v>1</v>
      </c>
      <c r="H712" s="93">
        <f t="shared" si="98"/>
        <v>62</v>
      </c>
      <c r="I712" s="84">
        <f t="shared" si="99"/>
        <v>62</v>
      </c>
      <c r="J712" s="105">
        <f t="shared" si="100"/>
        <v>1.830381768925226E-5</v>
      </c>
      <c r="K712">
        <f t="shared" si="101"/>
        <v>62</v>
      </c>
      <c r="L712"/>
      <c r="M712"/>
      <c r="N712"/>
      <c r="O712"/>
      <c r="P712"/>
      <c r="Q712"/>
      <c r="R712"/>
      <c r="S712"/>
      <c r="T712"/>
    </row>
    <row r="713" spans="1:20" outlineLevel="5" x14ac:dyDescent="0.3">
      <c r="A713" s="82" t="s">
        <v>1491</v>
      </c>
      <c r="B713" s="10" t="s">
        <v>1018</v>
      </c>
      <c r="C713" s="60" t="s">
        <v>1019</v>
      </c>
      <c r="D713" s="44" t="s">
        <v>121</v>
      </c>
      <c r="E713" s="84">
        <v>2</v>
      </c>
      <c r="F713" s="84"/>
      <c r="G713" s="94">
        <f t="shared" si="97"/>
        <v>1</v>
      </c>
      <c r="H713" s="93">
        <f t="shared" si="98"/>
        <v>84</v>
      </c>
      <c r="I713" s="84">
        <f t="shared" si="99"/>
        <v>168</v>
      </c>
      <c r="J713" s="105">
        <f t="shared" si="100"/>
        <v>4.9597441480554506E-5</v>
      </c>
      <c r="K713">
        <f t="shared" si="101"/>
        <v>168</v>
      </c>
      <c r="L713"/>
      <c r="M713"/>
      <c r="N713"/>
      <c r="O713"/>
      <c r="P713"/>
      <c r="Q713"/>
      <c r="R713"/>
      <c r="S713"/>
      <c r="T713"/>
    </row>
    <row r="714" spans="1:20" outlineLevel="5" x14ac:dyDescent="0.3">
      <c r="A714" s="82" t="s">
        <v>1492</v>
      </c>
      <c r="B714" s="10" t="s">
        <v>1021</v>
      </c>
      <c r="C714" s="60" t="s">
        <v>1022</v>
      </c>
      <c r="D714" s="44" t="s">
        <v>121</v>
      </c>
      <c r="E714" s="84">
        <v>0</v>
      </c>
      <c r="F714" s="84"/>
      <c r="G714" s="94">
        <f t="shared" si="97"/>
        <v>1</v>
      </c>
      <c r="H714" s="93">
        <f t="shared" si="98"/>
        <v>70</v>
      </c>
      <c r="I714" s="84">
        <f t="shared" si="99"/>
        <v>0</v>
      </c>
      <c r="J714" s="105">
        <f t="shared" si="100"/>
        <v>0</v>
      </c>
      <c r="K714">
        <f t="shared" si="101"/>
        <v>0</v>
      </c>
      <c r="L714"/>
      <c r="M714"/>
      <c r="N714"/>
      <c r="O714"/>
      <c r="P714"/>
      <c r="Q714"/>
      <c r="R714"/>
      <c r="S714"/>
      <c r="T714"/>
    </row>
    <row r="715" spans="1:20" outlineLevel="5" x14ac:dyDescent="0.3">
      <c r="A715" s="82" t="s">
        <v>1493</v>
      </c>
      <c r="B715" s="10" t="s">
        <v>1024</v>
      </c>
      <c r="C715" s="60" t="s">
        <v>1025</v>
      </c>
      <c r="D715" s="44" t="s">
        <v>121</v>
      </c>
      <c r="E715" s="84">
        <v>2</v>
      </c>
      <c r="F715" s="84"/>
      <c r="G715" s="94">
        <f t="shared" si="97"/>
        <v>1</v>
      </c>
      <c r="H715" s="93">
        <f t="shared" si="98"/>
        <v>46</v>
      </c>
      <c r="I715" s="84">
        <f t="shared" si="99"/>
        <v>92</v>
      </c>
      <c r="J715" s="105">
        <f t="shared" si="100"/>
        <v>2.7160503667922708E-5</v>
      </c>
      <c r="K715">
        <f t="shared" si="101"/>
        <v>92</v>
      </c>
      <c r="L715"/>
      <c r="M715"/>
      <c r="N715"/>
      <c r="O715"/>
      <c r="P715"/>
      <c r="Q715"/>
      <c r="R715"/>
      <c r="S715"/>
      <c r="T715"/>
    </row>
    <row r="716" spans="1:20" outlineLevel="5" x14ac:dyDescent="0.3">
      <c r="A716" s="82" t="s">
        <v>1494</v>
      </c>
      <c r="B716" s="10" t="s">
        <v>1027</v>
      </c>
      <c r="C716" s="60" t="s">
        <v>1028</v>
      </c>
      <c r="D716" s="44" t="s">
        <v>121</v>
      </c>
      <c r="E716" s="84">
        <v>2</v>
      </c>
      <c r="F716" s="84"/>
      <c r="G716" s="94">
        <f t="shared" si="97"/>
        <v>1</v>
      </c>
      <c r="H716" s="93">
        <f t="shared" si="98"/>
        <v>63</v>
      </c>
      <c r="I716" s="84">
        <f t="shared" si="99"/>
        <v>126</v>
      </c>
      <c r="J716" s="105">
        <f t="shared" si="100"/>
        <v>3.7198081110415881E-5</v>
      </c>
      <c r="K716">
        <f t="shared" si="101"/>
        <v>126</v>
      </c>
      <c r="L716"/>
      <c r="M716"/>
      <c r="N716"/>
      <c r="O716"/>
      <c r="P716"/>
      <c r="Q716"/>
      <c r="R716"/>
      <c r="S716"/>
      <c r="T716"/>
    </row>
    <row r="717" spans="1:20" outlineLevel="5" x14ac:dyDescent="0.3">
      <c r="A717" s="82" t="s">
        <v>1495</v>
      </c>
      <c r="B717" s="10" t="s">
        <v>1030</v>
      </c>
      <c r="C717" s="60" t="s">
        <v>1031</v>
      </c>
      <c r="D717" s="44" t="s">
        <v>121</v>
      </c>
      <c r="E717" s="84">
        <v>2</v>
      </c>
      <c r="F717" s="84"/>
      <c r="G717" s="94">
        <f t="shared" si="97"/>
        <v>1</v>
      </c>
      <c r="H717" s="93">
        <f t="shared" si="98"/>
        <v>63</v>
      </c>
      <c r="I717" s="84">
        <f t="shared" si="99"/>
        <v>126</v>
      </c>
      <c r="J717" s="105">
        <f t="shared" si="100"/>
        <v>3.7198081110415881E-5</v>
      </c>
      <c r="K717">
        <f t="shared" si="101"/>
        <v>126</v>
      </c>
      <c r="L717"/>
      <c r="M717"/>
      <c r="N717"/>
      <c r="O717"/>
      <c r="P717"/>
      <c r="Q717"/>
      <c r="R717"/>
      <c r="S717"/>
      <c r="T717"/>
    </row>
    <row r="718" spans="1:20" outlineLevel="5" x14ac:dyDescent="0.3">
      <c r="A718" s="82" t="s">
        <v>1496</v>
      </c>
      <c r="B718" s="10" t="s">
        <v>1033</v>
      </c>
      <c r="C718" s="60" t="s">
        <v>1034</v>
      </c>
      <c r="D718" s="44" t="s">
        <v>121</v>
      </c>
      <c r="E718" s="84">
        <v>2</v>
      </c>
      <c r="F718" s="84"/>
      <c r="G718" s="94">
        <f t="shared" si="97"/>
        <v>1</v>
      </c>
      <c r="H718" s="93">
        <f t="shared" si="98"/>
        <v>46</v>
      </c>
      <c r="I718" s="84">
        <f t="shared" si="99"/>
        <v>92</v>
      </c>
      <c r="J718" s="105">
        <f t="shared" si="100"/>
        <v>2.7160503667922708E-5</v>
      </c>
      <c r="K718">
        <f t="shared" si="101"/>
        <v>92</v>
      </c>
      <c r="L718"/>
      <c r="M718"/>
      <c r="N718"/>
      <c r="O718"/>
      <c r="P718"/>
      <c r="Q718"/>
      <c r="R718"/>
      <c r="S718"/>
      <c r="T718"/>
    </row>
    <row r="719" spans="1:20" ht="15" outlineLevel="5" thickBot="1" x14ac:dyDescent="0.35">
      <c r="A719" s="82" t="s">
        <v>1497</v>
      </c>
      <c r="B719" s="10" t="s">
        <v>1036</v>
      </c>
      <c r="C719" s="60" t="s">
        <v>1037</v>
      </c>
      <c r="D719" s="44" t="s">
        <v>121</v>
      </c>
      <c r="E719" s="84">
        <v>2</v>
      </c>
      <c r="F719" s="84"/>
      <c r="G719" s="94">
        <f t="shared" si="97"/>
        <v>1</v>
      </c>
      <c r="H719" s="93">
        <f t="shared" si="98"/>
        <v>46</v>
      </c>
      <c r="I719" s="84">
        <f t="shared" si="99"/>
        <v>92</v>
      </c>
      <c r="J719" s="105">
        <f t="shared" si="100"/>
        <v>2.7160503667922708E-5</v>
      </c>
      <c r="K719">
        <f t="shared" si="101"/>
        <v>92</v>
      </c>
      <c r="L719"/>
      <c r="M719"/>
      <c r="N719"/>
      <c r="O719"/>
      <c r="P719"/>
      <c r="Q719"/>
      <c r="R719"/>
      <c r="S719"/>
      <c r="T719"/>
    </row>
    <row r="720" spans="1:20" ht="15" outlineLevel="2" thickTop="1" x14ac:dyDescent="0.3">
      <c r="A720" s="82" t="s">
        <v>1498</v>
      </c>
      <c r="B720" s="62" t="s">
        <v>60</v>
      </c>
      <c r="C720" s="63" t="s">
        <v>1039</v>
      </c>
      <c r="D720" s="116"/>
      <c r="E720" s="88"/>
      <c r="F720" s="88"/>
      <c r="G720" s="98"/>
      <c r="H720" s="88"/>
      <c r="I720" s="88">
        <f>SUBTOTAL(9,I691:I719)</f>
        <v>7475.9</v>
      </c>
      <c r="J720" s="109"/>
      <c r="K720"/>
      <c r="L720"/>
      <c r="M720"/>
      <c r="N720"/>
      <c r="O720"/>
      <c r="P720"/>
      <c r="Q720"/>
      <c r="R720"/>
      <c r="S720"/>
      <c r="T720"/>
    </row>
    <row r="721" spans="1:20" outlineLevel="2" x14ac:dyDescent="0.3">
      <c r="A721" s="82" t="s">
        <v>1499</v>
      </c>
      <c r="B721" s="64" t="s">
        <v>1041</v>
      </c>
      <c r="C721" s="65" t="s">
        <v>1042</v>
      </c>
      <c r="D721" s="117"/>
      <c r="E721" s="87"/>
      <c r="F721" s="87"/>
      <c r="G721" s="97"/>
      <c r="H721" s="87"/>
      <c r="I721" s="104">
        <f>SUBTOTAL(9,K722:K750)</f>
        <v>0</v>
      </c>
      <c r="J721" s="108"/>
      <c r="K721"/>
      <c r="L721"/>
      <c r="M721"/>
      <c r="N721"/>
      <c r="O721"/>
      <c r="P721"/>
      <c r="Q721"/>
      <c r="R721"/>
      <c r="S721"/>
      <c r="T721"/>
    </row>
    <row r="722" spans="1:20" outlineLevel="3" x14ac:dyDescent="0.3">
      <c r="A722" s="82" t="s">
        <v>1500</v>
      </c>
      <c r="B722" s="10" t="s">
        <v>1044</v>
      </c>
      <c r="C722" s="60" t="s">
        <v>1045</v>
      </c>
      <c r="D722" s="44" t="s">
        <v>93</v>
      </c>
      <c r="E722" s="84">
        <v>0</v>
      </c>
      <c r="F722" s="84"/>
      <c r="G722" s="94">
        <f>cell_CoefGeneral</f>
        <v>1</v>
      </c>
      <c r="H722" s="93">
        <f>H343</f>
        <v>9200</v>
      </c>
      <c r="I722" s="84">
        <f>IFERROR(ROUND(E722*H722,2),"-")</f>
        <v>0</v>
      </c>
      <c r="J722" s="105">
        <f>IFERROR(I722/cell_Total_HT,"-")</f>
        <v>0</v>
      </c>
      <c r="K722">
        <f>I722</f>
        <v>0</v>
      </c>
      <c r="L722"/>
      <c r="M722"/>
      <c r="N722"/>
      <c r="O722"/>
      <c r="P722"/>
      <c r="Q722"/>
      <c r="R722"/>
      <c r="S722"/>
      <c r="T722"/>
    </row>
    <row r="723" spans="1:20" outlineLevel="3" x14ac:dyDescent="0.3">
      <c r="A723" s="82" t="s">
        <v>1501</v>
      </c>
      <c r="B723" s="58" t="s">
        <v>1047</v>
      </c>
      <c r="C723" s="61" t="s">
        <v>1048</v>
      </c>
      <c r="D723" s="115"/>
      <c r="E723" s="87"/>
      <c r="F723" s="87"/>
      <c r="G723" s="97"/>
      <c r="H723" s="87"/>
      <c r="I723" s="104">
        <f>SUBTOTAL(9,K724:K737)</f>
        <v>0</v>
      </c>
      <c r="J723" s="108"/>
      <c r="K723"/>
      <c r="L723"/>
      <c r="M723"/>
      <c r="N723"/>
      <c r="O723"/>
      <c r="P723"/>
      <c r="Q723"/>
      <c r="R723"/>
      <c r="S723"/>
      <c r="T723"/>
    </row>
    <row r="724" spans="1:20" outlineLevel="4" x14ac:dyDescent="0.3">
      <c r="A724" s="82" t="s">
        <v>1502</v>
      </c>
      <c r="B724" s="10" t="s">
        <v>1050</v>
      </c>
      <c r="C724" s="60" t="s">
        <v>1051</v>
      </c>
      <c r="D724" s="44" t="s">
        <v>141</v>
      </c>
      <c r="E724" s="84">
        <v>0</v>
      </c>
      <c r="F724" s="84"/>
      <c r="G724" s="94">
        <f t="shared" ref="G724:G737" si="102">cell_CoefGeneral</f>
        <v>1</v>
      </c>
      <c r="H724" s="93">
        <f t="shared" ref="H724:H737" si="103">H345</f>
        <v>36</v>
      </c>
      <c r="I724" s="84">
        <f t="shared" ref="I724:I737" si="104">IFERROR(ROUND(E724*H724,2),"-")</f>
        <v>0</v>
      </c>
      <c r="J724" s="105">
        <f t="shared" ref="J724:J737" si="105">IFERROR(I724/cell_Total_HT,"-")</f>
        <v>0</v>
      </c>
      <c r="K724">
        <f t="shared" ref="K724:K737" si="106">I724</f>
        <v>0</v>
      </c>
      <c r="L724"/>
      <c r="M724"/>
      <c r="N724"/>
      <c r="O724"/>
      <c r="P724"/>
      <c r="Q724"/>
      <c r="R724"/>
      <c r="S724"/>
      <c r="T724"/>
    </row>
    <row r="725" spans="1:20" outlineLevel="4" x14ac:dyDescent="0.3">
      <c r="A725" s="82" t="s">
        <v>1503</v>
      </c>
      <c r="B725" s="10" t="s">
        <v>1053</v>
      </c>
      <c r="C725" s="60" t="s">
        <v>1054</v>
      </c>
      <c r="D725" s="44" t="s">
        <v>141</v>
      </c>
      <c r="E725" s="84">
        <v>0</v>
      </c>
      <c r="F725" s="84"/>
      <c r="G725" s="94">
        <f t="shared" si="102"/>
        <v>1</v>
      </c>
      <c r="H725" s="93">
        <f t="shared" si="103"/>
        <v>38</v>
      </c>
      <c r="I725" s="84">
        <f t="shared" si="104"/>
        <v>0</v>
      </c>
      <c r="J725" s="105">
        <f t="shared" si="105"/>
        <v>0</v>
      </c>
      <c r="K725">
        <f t="shared" si="106"/>
        <v>0</v>
      </c>
      <c r="L725"/>
      <c r="M725"/>
      <c r="N725"/>
      <c r="O725"/>
      <c r="P725"/>
      <c r="Q725"/>
      <c r="R725"/>
      <c r="S725"/>
      <c r="T725"/>
    </row>
    <row r="726" spans="1:20" outlineLevel="4" x14ac:dyDescent="0.3">
      <c r="A726" s="82" t="s">
        <v>1504</v>
      </c>
      <c r="B726" s="10" t="s">
        <v>1056</v>
      </c>
      <c r="C726" s="60" t="s">
        <v>1057</v>
      </c>
      <c r="D726" s="44" t="s">
        <v>154</v>
      </c>
      <c r="E726" s="84">
        <v>0</v>
      </c>
      <c r="F726" s="84"/>
      <c r="G726" s="94">
        <f t="shared" si="102"/>
        <v>1</v>
      </c>
      <c r="H726" s="93">
        <f t="shared" si="103"/>
        <v>81</v>
      </c>
      <c r="I726" s="84">
        <f t="shared" si="104"/>
        <v>0</v>
      </c>
      <c r="J726" s="105">
        <f t="shared" si="105"/>
        <v>0</v>
      </c>
      <c r="K726">
        <f t="shared" si="106"/>
        <v>0</v>
      </c>
      <c r="L726"/>
      <c r="M726"/>
      <c r="N726"/>
      <c r="O726"/>
      <c r="P726"/>
      <c r="Q726"/>
      <c r="R726"/>
      <c r="S726"/>
      <c r="T726"/>
    </row>
    <row r="727" spans="1:20" outlineLevel="4" x14ac:dyDescent="0.3">
      <c r="A727" s="82" t="s">
        <v>1505</v>
      </c>
      <c r="B727" s="10" t="s">
        <v>1059</v>
      </c>
      <c r="C727" s="60" t="s">
        <v>1060</v>
      </c>
      <c r="D727" s="44" t="s">
        <v>154</v>
      </c>
      <c r="E727" s="84">
        <v>0</v>
      </c>
      <c r="F727" s="84"/>
      <c r="G727" s="94">
        <f t="shared" si="102"/>
        <v>1</v>
      </c>
      <c r="H727" s="93">
        <f t="shared" si="103"/>
        <v>81</v>
      </c>
      <c r="I727" s="84">
        <f t="shared" si="104"/>
        <v>0</v>
      </c>
      <c r="J727" s="105">
        <f t="shared" si="105"/>
        <v>0</v>
      </c>
      <c r="K727">
        <f t="shared" si="106"/>
        <v>0</v>
      </c>
      <c r="L727"/>
      <c r="M727"/>
      <c r="N727"/>
      <c r="O727"/>
      <c r="P727"/>
      <c r="Q727"/>
      <c r="R727"/>
      <c r="S727"/>
      <c r="T727"/>
    </row>
    <row r="728" spans="1:20" ht="28.8" outlineLevel="4" x14ac:dyDescent="0.3">
      <c r="A728" s="82" t="s">
        <v>1506</v>
      </c>
      <c r="B728" s="10" t="s">
        <v>1062</v>
      </c>
      <c r="C728" s="60" t="s">
        <v>1063</v>
      </c>
      <c r="D728" s="44" t="s">
        <v>93</v>
      </c>
      <c r="E728" s="84">
        <v>0</v>
      </c>
      <c r="F728" s="84"/>
      <c r="G728" s="94">
        <f t="shared" si="102"/>
        <v>1</v>
      </c>
      <c r="H728" s="93">
        <f t="shared" si="103"/>
        <v>4000</v>
      </c>
      <c r="I728" s="84">
        <f t="shared" si="104"/>
        <v>0</v>
      </c>
      <c r="J728" s="105">
        <f t="shared" si="105"/>
        <v>0</v>
      </c>
      <c r="K728">
        <f t="shared" si="106"/>
        <v>0</v>
      </c>
      <c r="L728"/>
      <c r="M728"/>
      <c r="N728"/>
      <c r="O728"/>
      <c r="P728"/>
      <c r="Q728"/>
      <c r="R728"/>
      <c r="S728"/>
      <c r="T728"/>
    </row>
    <row r="729" spans="1:20" outlineLevel="4" x14ac:dyDescent="0.3">
      <c r="A729" s="82" t="s">
        <v>1507</v>
      </c>
      <c r="B729" s="10" t="s">
        <v>1065</v>
      </c>
      <c r="C729" s="60" t="s">
        <v>1066</v>
      </c>
      <c r="D729" s="44" t="s">
        <v>154</v>
      </c>
      <c r="E729" s="84">
        <v>0</v>
      </c>
      <c r="F729" s="84"/>
      <c r="G729" s="94">
        <f t="shared" si="102"/>
        <v>1</v>
      </c>
      <c r="H729" s="93">
        <f t="shared" si="103"/>
        <v>92</v>
      </c>
      <c r="I729" s="84">
        <f t="shared" si="104"/>
        <v>0</v>
      </c>
      <c r="J729" s="105">
        <f t="shared" si="105"/>
        <v>0</v>
      </c>
      <c r="K729">
        <f t="shared" si="106"/>
        <v>0</v>
      </c>
      <c r="L729"/>
      <c r="M729"/>
      <c r="N729"/>
      <c r="O729"/>
      <c r="P729"/>
      <c r="Q729"/>
      <c r="R729"/>
      <c r="S729"/>
      <c r="T729"/>
    </row>
    <row r="730" spans="1:20" outlineLevel="4" x14ac:dyDescent="0.3">
      <c r="A730" s="82" t="s">
        <v>1508</v>
      </c>
      <c r="B730" s="10" t="s">
        <v>1068</v>
      </c>
      <c r="C730" s="60" t="s">
        <v>1069</v>
      </c>
      <c r="D730" s="44" t="s">
        <v>154</v>
      </c>
      <c r="E730" s="84">
        <v>0</v>
      </c>
      <c r="F730" s="84"/>
      <c r="G730" s="94">
        <f t="shared" si="102"/>
        <v>1</v>
      </c>
      <c r="H730" s="93">
        <f t="shared" si="103"/>
        <v>35</v>
      </c>
      <c r="I730" s="84">
        <f t="shared" si="104"/>
        <v>0</v>
      </c>
      <c r="J730" s="105">
        <f t="shared" si="105"/>
        <v>0</v>
      </c>
      <c r="K730">
        <f t="shared" si="106"/>
        <v>0</v>
      </c>
      <c r="L730"/>
      <c r="M730"/>
      <c r="N730"/>
      <c r="O730"/>
      <c r="P730"/>
      <c r="Q730"/>
      <c r="R730"/>
      <c r="S730"/>
      <c r="T730"/>
    </row>
    <row r="731" spans="1:20" outlineLevel="4" x14ac:dyDescent="0.3">
      <c r="A731" s="82" t="s">
        <v>1509</v>
      </c>
      <c r="B731" s="10" t="s">
        <v>1071</v>
      </c>
      <c r="C731" s="60" t="s">
        <v>1072</v>
      </c>
      <c r="D731" s="44" t="s">
        <v>141</v>
      </c>
      <c r="E731" s="84">
        <v>0</v>
      </c>
      <c r="F731" s="84"/>
      <c r="G731" s="94">
        <f t="shared" si="102"/>
        <v>1</v>
      </c>
      <c r="H731" s="93">
        <f t="shared" si="103"/>
        <v>230</v>
      </c>
      <c r="I731" s="84">
        <f t="shared" si="104"/>
        <v>0</v>
      </c>
      <c r="J731" s="105">
        <f t="shared" si="105"/>
        <v>0</v>
      </c>
      <c r="K731">
        <f t="shared" si="106"/>
        <v>0</v>
      </c>
      <c r="L731"/>
      <c r="M731"/>
      <c r="N731"/>
      <c r="O731"/>
      <c r="P731"/>
      <c r="Q731"/>
      <c r="R731"/>
      <c r="S731"/>
      <c r="T731"/>
    </row>
    <row r="732" spans="1:20" outlineLevel="4" x14ac:dyDescent="0.3">
      <c r="A732" s="82" t="s">
        <v>1510</v>
      </c>
      <c r="B732" s="10" t="s">
        <v>1074</v>
      </c>
      <c r="C732" s="60" t="s">
        <v>1075</v>
      </c>
      <c r="D732" s="44" t="s">
        <v>141</v>
      </c>
      <c r="E732" s="84">
        <v>0</v>
      </c>
      <c r="F732" s="84"/>
      <c r="G732" s="94">
        <f t="shared" si="102"/>
        <v>1</v>
      </c>
      <c r="H732" s="93">
        <f t="shared" si="103"/>
        <v>46</v>
      </c>
      <c r="I732" s="84">
        <f t="shared" si="104"/>
        <v>0</v>
      </c>
      <c r="J732" s="105">
        <f t="shared" si="105"/>
        <v>0</v>
      </c>
      <c r="K732">
        <f t="shared" si="106"/>
        <v>0</v>
      </c>
      <c r="L732"/>
      <c r="M732"/>
      <c r="N732"/>
      <c r="O732"/>
      <c r="P732"/>
      <c r="Q732"/>
      <c r="R732"/>
      <c r="S732"/>
      <c r="T732"/>
    </row>
    <row r="733" spans="1:20" outlineLevel="4" x14ac:dyDescent="0.3">
      <c r="A733" s="82" t="s">
        <v>1511</v>
      </c>
      <c r="B733" s="10" t="s">
        <v>1077</v>
      </c>
      <c r="C733" s="60" t="s">
        <v>1078</v>
      </c>
      <c r="D733" s="44" t="s">
        <v>1079</v>
      </c>
      <c r="E733" s="84">
        <v>0</v>
      </c>
      <c r="F733" s="84"/>
      <c r="G733" s="94">
        <f t="shared" si="102"/>
        <v>1</v>
      </c>
      <c r="H733" s="93">
        <f t="shared" si="103"/>
        <v>1.6</v>
      </c>
      <c r="I733" s="84">
        <f t="shared" si="104"/>
        <v>0</v>
      </c>
      <c r="J733" s="105">
        <f t="shared" si="105"/>
        <v>0</v>
      </c>
      <c r="K733">
        <f t="shared" si="106"/>
        <v>0</v>
      </c>
      <c r="L733"/>
      <c r="M733"/>
      <c r="N733"/>
      <c r="O733"/>
      <c r="P733"/>
      <c r="Q733"/>
      <c r="R733"/>
      <c r="S733"/>
      <c r="T733"/>
    </row>
    <row r="734" spans="1:20" outlineLevel="4" x14ac:dyDescent="0.3">
      <c r="A734" s="82" t="s">
        <v>1512</v>
      </c>
      <c r="B734" s="10" t="s">
        <v>1081</v>
      </c>
      <c r="C734" s="60" t="s">
        <v>1082</v>
      </c>
      <c r="D734" s="44" t="s">
        <v>154</v>
      </c>
      <c r="E734" s="84">
        <v>0</v>
      </c>
      <c r="F734" s="84"/>
      <c r="G734" s="94">
        <f t="shared" si="102"/>
        <v>1</v>
      </c>
      <c r="H734" s="93">
        <f t="shared" si="103"/>
        <v>12</v>
      </c>
      <c r="I734" s="84">
        <f t="shared" si="104"/>
        <v>0</v>
      </c>
      <c r="J734" s="105">
        <f t="shared" si="105"/>
        <v>0</v>
      </c>
      <c r="K734">
        <f t="shared" si="106"/>
        <v>0</v>
      </c>
      <c r="L734"/>
      <c r="M734"/>
      <c r="N734"/>
      <c r="O734"/>
      <c r="P734"/>
      <c r="Q734"/>
      <c r="R734"/>
      <c r="S734"/>
      <c r="T734"/>
    </row>
    <row r="735" spans="1:20" outlineLevel="4" x14ac:dyDescent="0.3">
      <c r="A735" s="82" t="s">
        <v>1513</v>
      </c>
      <c r="B735" s="10" t="s">
        <v>1084</v>
      </c>
      <c r="C735" s="60" t="s">
        <v>1085</v>
      </c>
      <c r="D735" s="44" t="s">
        <v>154</v>
      </c>
      <c r="E735" s="84">
        <v>0</v>
      </c>
      <c r="F735" s="84"/>
      <c r="G735" s="94">
        <f t="shared" si="102"/>
        <v>1</v>
      </c>
      <c r="H735" s="93">
        <f t="shared" si="103"/>
        <v>9.1999999999999993</v>
      </c>
      <c r="I735" s="84">
        <f t="shared" si="104"/>
        <v>0</v>
      </c>
      <c r="J735" s="105">
        <f t="shared" si="105"/>
        <v>0</v>
      </c>
      <c r="K735">
        <f t="shared" si="106"/>
        <v>0</v>
      </c>
      <c r="L735"/>
      <c r="M735"/>
      <c r="N735"/>
      <c r="O735"/>
      <c r="P735"/>
      <c r="Q735"/>
      <c r="R735"/>
      <c r="S735"/>
      <c r="T735"/>
    </row>
    <row r="736" spans="1:20" ht="28.8" outlineLevel="4" x14ac:dyDescent="0.3">
      <c r="A736" s="82" t="s">
        <v>1514</v>
      </c>
      <c r="B736" s="10" t="s">
        <v>1087</v>
      </c>
      <c r="C736" s="60" t="s">
        <v>1088</v>
      </c>
      <c r="D736" s="44" t="s">
        <v>121</v>
      </c>
      <c r="E736" s="84">
        <v>0</v>
      </c>
      <c r="F736" s="84"/>
      <c r="G736" s="94">
        <f t="shared" si="102"/>
        <v>1</v>
      </c>
      <c r="H736" s="93">
        <f t="shared" si="103"/>
        <v>3500</v>
      </c>
      <c r="I736" s="84">
        <f t="shared" si="104"/>
        <v>0</v>
      </c>
      <c r="J736" s="105">
        <f t="shared" si="105"/>
        <v>0</v>
      </c>
      <c r="K736">
        <f t="shared" si="106"/>
        <v>0</v>
      </c>
      <c r="L736"/>
      <c r="M736"/>
      <c r="N736"/>
      <c r="O736"/>
      <c r="P736"/>
      <c r="Q736"/>
      <c r="R736"/>
      <c r="S736"/>
      <c r="T736"/>
    </row>
    <row r="737" spans="1:20" ht="28.8" outlineLevel="4" x14ac:dyDescent="0.3">
      <c r="A737" s="82" t="s">
        <v>1515</v>
      </c>
      <c r="B737" s="10" t="s">
        <v>1090</v>
      </c>
      <c r="C737" s="60" t="s">
        <v>1091</v>
      </c>
      <c r="D737" s="44" t="s">
        <v>121</v>
      </c>
      <c r="E737" s="84">
        <v>0</v>
      </c>
      <c r="F737" s="84"/>
      <c r="G737" s="94">
        <f t="shared" si="102"/>
        <v>1</v>
      </c>
      <c r="H737" s="93">
        <f t="shared" si="103"/>
        <v>5200</v>
      </c>
      <c r="I737" s="84">
        <f t="shared" si="104"/>
        <v>0</v>
      </c>
      <c r="J737" s="105">
        <f t="shared" si="105"/>
        <v>0</v>
      </c>
      <c r="K737">
        <f t="shared" si="106"/>
        <v>0</v>
      </c>
      <c r="L737"/>
      <c r="M737"/>
      <c r="N737"/>
      <c r="O737"/>
      <c r="P737"/>
      <c r="Q737"/>
      <c r="R737"/>
      <c r="S737"/>
      <c r="T737"/>
    </row>
    <row r="738" spans="1:20" outlineLevel="3" x14ac:dyDescent="0.3">
      <c r="A738" s="82" t="s">
        <v>1516</v>
      </c>
      <c r="B738" s="58" t="s">
        <v>1093</v>
      </c>
      <c r="C738" s="61" t="s">
        <v>1094</v>
      </c>
      <c r="D738" s="115"/>
      <c r="E738" s="87"/>
      <c r="F738" s="87"/>
      <c r="G738" s="97"/>
      <c r="H738" s="87"/>
      <c r="I738" s="104">
        <f>SUBTOTAL(9,K739:K747)</f>
        <v>0</v>
      </c>
      <c r="J738" s="108"/>
      <c r="K738"/>
      <c r="L738"/>
      <c r="M738"/>
      <c r="N738"/>
      <c r="O738"/>
      <c r="P738"/>
      <c r="Q738"/>
      <c r="R738"/>
      <c r="S738"/>
      <c r="T738"/>
    </row>
    <row r="739" spans="1:20" outlineLevel="4" x14ac:dyDescent="0.3">
      <c r="A739" s="82" t="s">
        <v>1517</v>
      </c>
      <c r="B739" s="10" t="s">
        <v>1096</v>
      </c>
      <c r="C739" s="60" t="s">
        <v>1051</v>
      </c>
      <c r="D739" s="44" t="s">
        <v>141</v>
      </c>
      <c r="E739" s="84">
        <v>0</v>
      </c>
      <c r="F739" s="84"/>
      <c r="G739" s="94">
        <f t="shared" ref="G739:G747" si="107">cell_CoefGeneral</f>
        <v>1</v>
      </c>
      <c r="H739" s="93">
        <f t="shared" ref="H739:H747" si="108">H360</f>
        <v>33</v>
      </c>
      <c r="I739" s="84">
        <f t="shared" ref="I739:I747" si="109">IFERROR(ROUND(E739*H739,2),"-")</f>
        <v>0</v>
      </c>
      <c r="J739" s="105">
        <f t="shared" ref="J739:J747" si="110">IFERROR(I739/cell_Total_HT,"-")</f>
        <v>0</v>
      </c>
      <c r="K739">
        <f t="shared" ref="K739:K747" si="111">I739</f>
        <v>0</v>
      </c>
      <c r="L739"/>
      <c r="M739"/>
      <c r="N739"/>
      <c r="O739"/>
      <c r="P739"/>
      <c r="Q739"/>
      <c r="R739"/>
      <c r="S739"/>
      <c r="T739"/>
    </row>
    <row r="740" spans="1:20" outlineLevel="4" x14ac:dyDescent="0.3">
      <c r="A740" s="82" t="s">
        <v>1518</v>
      </c>
      <c r="B740" s="10" t="s">
        <v>1098</v>
      </c>
      <c r="C740" s="60" t="s">
        <v>1057</v>
      </c>
      <c r="D740" s="44" t="s">
        <v>154</v>
      </c>
      <c r="E740" s="84">
        <v>0</v>
      </c>
      <c r="F740" s="84"/>
      <c r="G740" s="94">
        <f t="shared" si="107"/>
        <v>1</v>
      </c>
      <c r="H740" s="93">
        <f t="shared" si="108"/>
        <v>92</v>
      </c>
      <c r="I740" s="84">
        <f t="shared" si="109"/>
        <v>0</v>
      </c>
      <c r="J740" s="105">
        <f t="shared" si="110"/>
        <v>0</v>
      </c>
      <c r="K740">
        <f t="shared" si="111"/>
        <v>0</v>
      </c>
      <c r="L740"/>
      <c r="M740"/>
      <c r="N740"/>
      <c r="O740"/>
      <c r="P740"/>
      <c r="Q740"/>
      <c r="R740"/>
      <c r="S740"/>
      <c r="T740"/>
    </row>
    <row r="741" spans="1:20" outlineLevel="4" x14ac:dyDescent="0.3">
      <c r="A741" s="82" t="s">
        <v>1519</v>
      </c>
      <c r="B741" s="10" t="s">
        <v>1100</v>
      </c>
      <c r="C741" s="60" t="s">
        <v>1101</v>
      </c>
      <c r="D741" s="44" t="s">
        <v>80</v>
      </c>
      <c r="E741" s="84">
        <v>0</v>
      </c>
      <c r="F741" s="84"/>
      <c r="G741" s="94">
        <f t="shared" si="107"/>
        <v>1</v>
      </c>
      <c r="H741" s="93">
        <f t="shared" si="108"/>
        <v>17</v>
      </c>
      <c r="I741" s="84">
        <f t="shared" si="109"/>
        <v>0</v>
      </c>
      <c r="J741" s="105">
        <f t="shared" si="110"/>
        <v>0</v>
      </c>
      <c r="K741">
        <f t="shared" si="111"/>
        <v>0</v>
      </c>
      <c r="L741"/>
      <c r="M741"/>
      <c r="N741"/>
      <c r="O741"/>
      <c r="P741"/>
      <c r="Q741"/>
      <c r="R741"/>
      <c r="S741"/>
      <c r="T741"/>
    </row>
    <row r="742" spans="1:20" outlineLevel="4" x14ac:dyDescent="0.3">
      <c r="A742" s="82" t="s">
        <v>1520</v>
      </c>
      <c r="B742" s="10" t="s">
        <v>1103</v>
      </c>
      <c r="C742" s="60" t="s">
        <v>1069</v>
      </c>
      <c r="D742" s="44" t="s">
        <v>154</v>
      </c>
      <c r="E742" s="84">
        <v>0</v>
      </c>
      <c r="F742" s="84"/>
      <c r="G742" s="94">
        <f t="shared" si="107"/>
        <v>1</v>
      </c>
      <c r="H742" s="93">
        <f t="shared" si="108"/>
        <v>35</v>
      </c>
      <c r="I742" s="84">
        <f t="shared" si="109"/>
        <v>0</v>
      </c>
      <c r="J742" s="105">
        <f t="shared" si="110"/>
        <v>0</v>
      </c>
      <c r="K742">
        <f t="shared" si="111"/>
        <v>0</v>
      </c>
      <c r="L742"/>
      <c r="M742"/>
      <c r="N742"/>
      <c r="O742"/>
      <c r="P742"/>
      <c r="Q742"/>
      <c r="R742"/>
      <c r="S742"/>
      <c r="T742"/>
    </row>
    <row r="743" spans="1:20" outlineLevel="4" x14ac:dyDescent="0.3">
      <c r="A743" s="82" t="s">
        <v>1521</v>
      </c>
      <c r="B743" s="10" t="s">
        <v>1105</v>
      </c>
      <c r="C743" s="60" t="s">
        <v>1072</v>
      </c>
      <c r="D743" s="44" t="s">
        <v>141</v>
      </c>
      <c r="E743" s="84">
        <v>0</v>
      </c>
      <c r="F743" s="84"/>
      <c r="G743" s="94">
        <f t="shared" si="107"/>
        <v>1</v>
      </c>
      <c r="H743" s="93">
        <f t="shared" si="108"/>
        <v>230</v>
      </c>
      <c r="I743" s="84">
        <f t="shared" si="109"/>
        <v>0</v>
      </c>
      <c r="J743" s="105">
        <f t="shared" si="110"/>
        <v>0</v>
      </c>
      <c r="K743">
        <f t="shared" si="111"/>
        <v>0</v>
      </c>
      <c r="L743"/>
      <c r="M743"/>
      <c r="N743"/>
      <c r="O743"/>
      <c r="P743"/>
      <c r="Q743"/>
      <c r="R743"/>
      <c r="S743"/>
      <c r="T743"/>
    </row>
    <row r="744" spans="1:20" outlineLevel="4" x14ac:dyDescent="0.3">
      <c r="A744" s="82" t="s">
        <v>1522</v>
      </c>
      <c r="B744" s="10" t="s">
        <v>1107</v>
      </c>
      <c r="C744" s="60" t="s">
        <v>1078</v>
      </c>
      <c r="D744" s="44" t="s">
        <v>1079</v>
      </c>
      <c r="E744" s="84">
        <v>0</v>
      </c>
      <c r="F744" s="84"/>
      <c r="G744" s="94">
        <f t="shared" si="107"/>
        <v>1</v>
      </c>
      <c r="H744" s="93">
        <f t="shared" si="108"/>
        <v>1.6</v>
      </c>
      <c r="I744" s="84">
        <f t="shared" si="109"/>
        <v>0</v>
      </c>
      <c r="J744" s="105">
        <f t="shared" si="110"/>
        <v>0</v>
      </c>
      <c r="K744">
        <f t="shared" si="111"/>
        <v>0</v>
      </c>
      <c r="L744"/>
      <c r="M744"/>
      <c r="N744"/>
      <c r="O744"/>
      <c r="P744"/>
      <c r="Q744"/>
      <c r="R744"/>
      <c r="S744"/>
      <c r="T744"/>
    </row>
    <row r="745" spans="1:20" outlineLevel="4" x14ac:dyDescent="0.3">
      <c r="A745" s="82" t="s">
        <v>1523</v>
      </c>
      <c r="B745" s="10" t="s">
        <v>1109</v>
      </c>
      <c r="C745" s="60" t="s">
        <v>1082</v>
      </c>
      <c r="D745" s="44" t="s">
        <v>154</v>
      </c>
      <c r="E745" s="84">
        <v>0</v>
      </c>
      <c r="F745" s="84"/>
      <c r="G745" s="94">
        <f t="shared" si="107"/>
        <v>1</v>
      </c>
      <c r="H745" s="93">
        <f t="shared" si="108"/>
        <v>12</v>
      </c>
      <c r="I745" s="84">
        <f t="shared" si="109"/>
        <v>0</v>
      </c>
      <c r="J745" s="105">
        <f t="shared" si="110"/>
        <v>0</v>
      </c>
      <c r="K745">
        <f t="shared" si="111"/>
        <v>0</v>
      </c>
      <c r="L745"/>
      <c r="M745"/>
      <c r="N745"/>
      <c r="O745"/>
      <c r="P745"/>
      <c r="Q745"/>
      <c r="R745"/>
      <c r="S745"/>
      <c r="T745"/>
    </row>
    <row r="746" spans="1:20" outlineLevel="4" x14ac:dyDescent="0.3">
      <c r="A746" s="82" t="s">
        <v>1524</v>
      </c>
      <c r="B746" s="10" t="s">
        <v>1111</v>
      </c>
      <c r="C746" s="60" t="s">
        <v>1085</v>
      </c>
      <c r="D746" s="44" t="s">
        <v>154</v>
      </c>
      <c r="E746" s="84">
        <v>0</v>
      </c>
      <c r="F746" s="84"/>
      <c r="G746" s="94">
        <f t="shared" si="107"/>
        <v>1</v>
      </c>
      <c r="H746" s="93">
        <f t="shared" si="108"/>
        <v>9.1999999999999993</v>
      </c>
      <c r="I746" s="84">
        <f t="shared" si="109"/>
        <v>0</v>
      </c>
      <c r="J746" s="105">
        <f t="shared" si="110"/>
        <v>0</v>
      </c>
      <c r="K746">
        <f t="shared" si="111"/>
        <v>0</v>
      </c>
      <c r="L746"/>
      <c r="M746"/>
      <c r="N746"/>
      <c r="O746"/>
      <c r="P746"/>
      <c r="Q746"/>
      <c r="R746"/>
      <c r="S746"/>
      <c r="T746"/>
    </row>
    <row r="747" spans="1:20" outlineLevel="4" x14ac:dyDescent="0.3">
      <c r="A747" s="82" t="s">
        <v>1525</v>
      </c>
      <c r="B747" s="10" t="s">
        <v>1113</v>
      </c>
      <c r="C747" s="60" t="s">
        <v>1114</v>
      </c>
      <c r="D747" s="44" t="s">
        <v>154</v>
      </c>
      <c r="E747" s="84">
        <v>0</v>
      </c>
      <c r="F747" s="84"/>
      <c r="G747" s="94">
        <f t="shared" si="107"/>
        <v>1</v>
      </c>
      <c r="H747" s="93">
        <f t="shared" si="108"/>
        <v>100</v>
      </c>
      <c r="I747" s="84">
        <f t="shared" si="109"/>
        <v>0</v>
      </c>
      <c r="J747" s="105">
        <f t="shared" si="110"/>
        <v>0</v>
      </c>
      <c r="K747">
        <f t="shared" si="111"/>
        <v>0</v>
      </c>
      <c r="L747"/>
      <c r="M747"/>
      <c r="N747"/>
      <c r="O747"/>
      <c r="P747"/>
      <c r="Q747"/>
      <c r="R747"/>
      <c r="S747"/>
      <c r="T747"/>
    </row>
    <row r="748" spans="1:20" outlineLevel="3" x14ac:dyDescent="0.3">
      <c r="A748" s="82" t="s">
        <v>1526</v>
      </c>
      <c r="B748" s="58" t="s">
        <v>1116</v>
      </c>
      <c r="C748" s="61" t="s">
        <v>1117</v>
      </c>
      <c r="D748" s="115"/>
      <c r="E748" s="87"/>
      <c r="F748" s="87"/>
      <c r="G748" s="97"/>
      <c r="H748" s="87"/>
      <c r="I748" s="104">
        <f>SUBTOTAL(9,K749:K750)</f>
        <v>0</v>
      </c>
      <c r="J748" s="108"/>
      <c r="K748"/>
      <c r="L748"/>
      <c r="M748"/>
      <c r="N748"/>
      <c r="O748"/>
      <c r="P748"/>
      <c r="Q748"/>
      <c r="R748"/>
      <c r="S748"/>
      <c r="T748"/>
    </row>
    <row r="749" spans="1:20" outlineLevel="4" x14ac:dyDescent="0.3">
      <c r="A749" s="82" t="s">
        <v>1527</v>
      </c>
      <c r="B749" s="10" t="s">
        <v>1119</v>
      </c>
      <c r="C749" s="60" t="s">
        <v>1120</v>
      </c>
      <c r="D749" s="44" t="s">
        <v>154</v>
      </c>
      <c r="E749" s="84">
        <v>0</v>
      </c>
      <c r="F749" s="84"/>
      <c r="G749" s="94">
        <f>cell_CoefGeneral</f>
        <v>1</v>
      </c>
      <c r="H749" s="93">
        <f>H370</f>
        <v>52</v>
      </c>
      <c r="I749" s="84">
        <f>IFERROR(ROUND(E749*H749,2),"-")</f>
        <v>0</v>
      </c>
      <c r="J749" s="105">
        <f>IFERROR(I749/cell_Total_HT,"-")</f>
        <v>0</v>
      </c>
      <c r="K749">
        <f>I749</f>
        <v>0</v>
      </c>
      <c r="L749"/>
      <c r="M749"/>
      <c r="N749"/>
      <c r="O749"/>
      <c r="P749"/>
      <c r="Q749"/>
      <c r="R749"/>
      <c r="S749"/>
      <c r="T749"/>
    </row>
    <row r="750" spans="1:20" ht="15" outlineLevel="4" thickBot="1" x14ac:dyDescent="0.35">
      <c r="A750" s="82" t="s">
        <v>1528</v>
      </c>
      <c r="B750" s="10" t="s">
        <v>1122</v>
      </c>
      <c r="C750" s="60" t="s">
        <v>1123</v>
      </c>
      <c r="D750" s="44" t="s">
        <v>154</v>
      </c>
      <c r="E750" s="84">
        <v>0</v>
      </c>
      <c r="F750" s="84"/>
      <c r="G750" s="94">
        <f>cell_CoefGeneral</f>
        <v>1</v>
      </c>
      <c r="H750" s="93">
        <f>H371</f>
        <v>52</v>
      </c>
      <c r="I750" s="84">
        <f>IFERROR(ROUND(E750*H750,2),"-")</f>
        <v>0</v>
      </c>
      <c r="J750" s="105">
        <f>IFERROR(I750/cell_Total_HT,"-")</f>
        <v>0</v>
      </c>
      <c r="K750">
        <f>I750</f>
        <v>0</v>
      </c>
      <c r="L750"/>
      <c r="M750"/>
      <c r="N750"/>
      <c r="O750"/>
      <c r="P750"/>
      <c r="Q750"/>
      <c r="R750"/>
      <c r="S750"/>
      <c r="T750"/>
    </row>
    <row r="751" spans="1:20" ht="15" outlineLevel="2" thickTop="1" x14ac:dyDescent="0.3">
      <c r="A751" s="82" t="s">
        <v>1529</v>
      </c>
      <c r="B751" s="62" t="s">
        <v>60</v>
      </c>
      <c r="C751" s="63" t="s">
        <v>1125</v>
      </c>
      <c r="D751" s="116"/>
      <c r="E751" s="88"/>
      <c r="F751" s="88"/>
      <c r="G751" s="98"/>
      <c r="H751" s="88"/>
      <c r="I751" s="88">
        <f>SUBTOTAL(9,I722:I750)</f>
        <v>0</v>
      </c>
      <c r="J751" s="109"/>
      <c r="K751"/>
      <c r="L751"/>
      <c r="M751"/>
      <c r="N751"/>
      <c r="O751"/>
      <c r="P751"/>
      <c r="Q751"/>
      <c r="R751"/>
      <c r="S751"/>
      <c r="T751"/>
    </row>
    <row r="752" spans="1:20" outlineLevel="2" x14ac:dyDescent="0.3">
      <c r="A752" s="82" t="s">
        <v>1530</v>
      </c>
      <c r="B752" s="64" t="s">
        <v>1127</v>
      </c>
      <c r="C752" s="65" t="s">
        <v>1128</v>
      </c>
      <c r="D752" s="117"/>
      <c r="E752" s="87"/>
      <c r="F752" s="87"/>
      <c r="G752" s="97"/>
      <c r="H752" s="87"/>
      <c r="I752" s="104">
        <f>SUBTOTAL(9,K753:K762)</f>
        <v>16520</v>
      </c>
      <c r="J752" s="108"/>
      <c r="K752"/>
      <c r="L752"/>
      <c r="M752"/>
      <c r="N752"/>
      <c r="O752"/>
      <c r="P752"/>
      <c r="Q752"/>
      <c r="R752"/>
      <c r="S752"/>
      <c r="T752"/>
    </row>
    <row r="753" spans="1:20" outlineLevel="3" x14ac:dyDescent="0.3">
      <c r="A753" s="82" t="s">
        <v>1531</v>
      </c>
      <c r="B753" s="64" t="s">
        <v>1130</v>
      </c>
      <c r="C753" s="66" t="s">
        <v>1131</v>
      </c>
      <c r="D753" s="117"/>
      <c r="E753" s="87"/>
      <c r="F753" s="87"/>
      <c r="G753" s="97"/>
      <c r="H753" s="87"/>
      <c r="I753" s="104">
        <f>SUBTOTAL(9,K754:K762)</f>
        <v>16520</v>
      </c>
      <c r="J753" s="108"/>
      <c r="K753"/>
      <c r="L753"/>
      <c r="M753"/>
      <c r="N753"/>
      <c r="O753"/>
      <c r="P753"/>
      <c r="Q753"/>
      <c r="R753"/>
      <c r="S753"/>
      <c r="T753"/>
    </row>
    <row r="754" spans="1:20" outlineLevel="4" x14ac:dyDescent="0.3">
      <c r="A754" s="82" t="s">
        <v>1532</v>
      </c>
      <c r="B754" s="10" t="s">
        <v>1133</v>
      </c>
      <c r="C754" s="60" t="s">
        <v>1134</v>
      </c>
      <c r="D754" s="44" t="s">
        <v>121</v>
      </c>
      <c r="E754" s="84">
        <v>33</v>
      </c>
      <c r="F754" s="84"/>
      <c r="G754" s="94">
        <f t="shared" ref="G754:G762" si="112">cell_CoefGeneral</f>
        <v>1</v>
      </c>
      <c r="H754" s="93">
        <f t="shared" ref="H754:H762" si="113">H375</f>
        <v>100</v>
      </c>
      <c r="I754" s="84">
        <f t="shared" ref="I754:I762" si="114">IFERROR(ROUND(E754*H754,2),"-")</f>
        <v>3300</v>
      </c>
      <c r="J754" s="105">
        <f t="shared" ref="J754:J762" si="115">IFERROR(I754/cell_Total_HT,"-")</f>
        <v>9.7423545765374926E-4</v>
      </c>
      <c r="K754">
        <f t="shared" ref="K754:K762" si="116">I754</f>
        <v>3300</v>
      </c>
      <c r="L754"/>
      <c r="M754"/>
      <c r="N754"/>
      <c r="O754"/>
      <c r="P754"/>
      <c r="Q754"/>
      <c r="R754"/>
      <c r="S754"/>
      <c r="T754"/>
    </row>
    <row r="755" spans="1:20" outlineLevel="4" x14ac:dyDescent="0.3">
      <c r="A755" s="82" t="s">
        <v>1533</v>
      </c>
      <c r="B755" s="10" t="s">
        <v>1136</v>
      </c>
      <c r="C755" s="60" t="s">
        <v>1137</v>
      </c>
      <c r="D755" s="44" t="s">
        <v>121</v>
      </c>
      <c r="E755" s="84">
        <v>11</v>
      </c>
      <c r="F755" s="84"/>
      <c r="G755" s="94">
        <f t="shared" si="112"/>
        <v>1</v>
      </c>
      <c r="H755" s="93">
        <f t="shared" si="113"/>
        <v>120</v>
      </c>
      <c r="I755" s="84">
        <f t="shared" si="114"/>
        <v>1320</v>
      </c>
      <c r="J755" s="105">
        <f t="shared" si="115"/>
        <v>3.8969418306149972E-4</v>
      </c>
      <c r="K755">
        <f t="shared" si="116"/>
        <v>1320</v>
      </c>
      <c r="L755"/>
      <c r="M755"/>
      <c r="N755"/>
      <c r="O755"/>
      <c r="P755"/>
      <c r="Q755"/>
      <c r="R755"/>
      <c r="S755"/>
      <c r="T755"/>
    </row>
    <row r="756" spans="1:20" outlineLevel="4" x14ac:dyDescent="0.3">
      <c r="A756" s="82" t="s">
        <v>1534</v>
      </c>
      <c r="B756" s="10" t="s">
        <v>1139</v>
      </c>
      <c r="C756" s="60" t="s">
        <v>1140</v>
      </c>
      <c r="D756" s="44" t="s">
        <v>121</v>
      </c>
      <c r="E756" s="84">
        <v>0</v>
      </c>
      <c r="F756" s="84"/>
      <c r="G756" s="94">
        <f t="shared" si="112"/>
        <v>1</v>
      </c>
      <c r="H756" s="93">
        <f t="shared" si="113"/>
        <v>300</v>
      </c>
      <c r="I756" s="84">
        <f t="shared" si="114"/>
        <v>0</v>
      </c>
      <c r="J756" s="105">
        <f t="shared" si="115"/>
        <v>0</v>
      </c>
      <c r="K756">
        <f t="shared" si="116"/>
        <v>0</v>
      </c>
      <c r="L756"/>
      <c r="M756"/>
      <c r="N756"/>
      <c r="O756"/>
      <c r="P756"/>
      <c r="Q756"/>
      <c r="R756"/>
      <c r="S756"/>
      <c r="T756"/>
    </row>
    <row r="757" spans="1:20" outlineLevel="4" x14ac:dyDescent="0.3">
      <c r="A757" s="82" t="s">
        <v>1535</v>
      </c>
      <c r="B757" s="10" t="s">
        <v>1142</v>
      </c>
      <c r="C757" s="60" t="s">
        <v>1143</v>
      </c>
      <c r="D757" s="44" t="s">
        <v>121</v>
      </c>
      <c r="E757" s="84">
        <v>4</v>
      </c>
      <c r="F757" s="84"/>
      <c r="G757" s="94">
        <f t="shared" si="112"/>
        <v>1</v>
      </c>
      <c r="H757" s="93">
        <f t="shared" si="113"/>
        <v>450</v>
      </c>
      <c r="I757" s="84">
        <f t="shared" si="114"/>
        <v>1800</v>
      </c>
      <c r="J757" s="105">
        <f t="shared" si="115"/>
        <v>5.3140115872022688E-4</v>
      </c>
      <c r="K757">
        <f t="shared" si="116"/>
        <v>1800</v>
      </c>
      <c r="L757"/>
      <c r="M757"/>
      <c r="N757"/>
      <c r="O757"/>
      <c r="P757"/>
      <c r="Q757"/>
      <c r="R757"/>
      <c r="S757"/>
      <c r="T757"/>
    </row>
    <row r="758" spans="1:20" outlineLevel="4" x14ac:dyDescent="0.3">
      <c r="A758" s="82" t="s">
        <v>1536</v>
      </c>
      <c r="B758" s="10" t="s">
        <v>1145</v>
      </c>
      <c r="C758" s="60" t="s">
        <v>1146</v>
      </c>
      <c r="D758" s="44" t="s">
        <v>121</v>
      </c>
      <c r="E758" s="84">
        <v>17</v>
      </c>
      <c r="F758" s="84"/>
      <c r="G758" s="94">
        <f t="shared" si="112"/>
        <v>1</v>
      </c>
      <c r="H758" s="93">
        <f t="shared" si="113"/>
        <v>200</v>
      </c>
      <c r="I758" s="84">
        <f t="shared" si="114"/>
        <v>3400</v>
      </c>
      <c r="J758" s="105">
        <f t="shared" si="115"/>
        <v>1.0037577442493174E-3</v>
      </c>
      <c r="K758">
        <f t="shared" si="116"/>
        <v>3400</v>
      </c>
      <c r="L758"/>
      <c r="M758"/>
      <c r="N758"/>
      <c r="O758"/>
      <c r="P758"/>
      <c r="Q758"/>
      <c r="R758"/>
      <c r="S758"/>
      <c r="T758"/>
    </row>
    <row r="759" spans="1:20" outlineLevel="4" x14ac:dyDescent="0.3">
      <c r="A759" s="82" t="s">
        <v>1537</v>
      </c>
      <c r="B759" s="10" t="s">
        <v>1148</v>
      </c>
      <c r="C759" s="60" t="s">
        <v>1149</v>
      </c>
      <c r="D759" s="44" t="s">
        <v>93</v>
      </c>
      <c r="E759" s="84">
        <v>1</v>
      </c>
      <c r="F759" s="84"/>
      <c r="G759" s="94">
        <f t="shared" si="112"/>
        <v>1</v>
      </c>
      <c r="H759" s="93">
        <f t="shared" si="113"/>
        <v>5300</v>
      </c>
      <c r="I759" s="84">
        <f t="shared" si="114"/>
        <v>5300</v>
      </c>
      <c r="J759" s="105">
        <f t="shared" si="115"/>
        <v>1.5646811895651126E-3</v>
      </c>
      <c r="K759">
        <f t="shared" si="116"/>
        <v>5300</v>
      </c>
      <c r="L759"/>
      <c r="M759"/>
      <c r="N759"/>
      <c r="O759"/>
      <c r="P759"/>
      <c r="Q759"/>
      <c r="R759"/>
      <c r="S759"/>
      <c r="T759"/>
    </row>
    <row r="760" spans="1:20" outlineLevel="4" x14ac:dyDescent="0.3">
      <c r="A760" s="82" t="s">
        <v>1538</v>
      </c>
      <c r="B760" s="10" t="s">
        <v>1151</v>
      </c>
      <c r="C760" s="60" t="s">
        <v>1152</v>
      </c>
      <c r="D760" s="44" t="s">
        <v>121</v>
      </c>
      <c r="E760" s="84">
        <v>7</v>
      </c>
      <c r="F760" s="84"/>
      <c r="G760" s="94">
        <f t="shared" si="112"/>
        <v>1</v>
      </c>
      <c r="H760" s="93">
        <f t="shared" si="113"/>
        <v>200</v>
      </c>
      <c r="I760" s="84">
        <f t="shared" si="114"/>
        <v>1400</v>
      </c>
      <c r="J760" s="105">
        <f t="shared" si="115"/>
        <v>4.1331201233795422E-4</v>
      </c>
      <c r="K760">
        <f t="shared" si="116"/>
        <v>1400</v>
      </c>
      <c r="L760"/>
      <c r="M760"/>
      <c r="N760"/>
      <c r="O760"/>
      <c r="P760"/>
      <c r="Q760"/>
      <c r="R760"/>
      <c r="S760"/>
      <c r="T760"/>
    </row>
    <row r="761" spans="1:20" outlineLevel="4" x14ac:dyDescent="0.3">
      <c r="A761" s="82" t="s">
        <v>1539</v>
      </c>
      <c r="B761" s="10" t="s">
        <v>1154</v>
      </c>
      <c r="C761" s="60" t="s">
        <v>1155</v>
      </c>
      <c r="D761" s="44" t="s">
        <v>93</v>
      </c>
      <c r="E761" s="84">
        <v>0</v>
      </c>
      <c r="F761" s="84"/>
      <c r="G761" s="94">
        <f t="shared" si="112"/>
        <v>1</v>
      </c>
      <c r="H761" s="93">
        <f t="shared" si="113"/>
        <v>2200</v>
      </c>
      <c r="I761" s="84">
        <f t="shared" si="114"/>
        <v>0</v>
      </c>
      <c r="J761" s="105">
        <f t="shared" si="115"/>
        <v>0</v>
      </c>
      <c r="K761">
        <f t="shared" si="116"/>
        <v>0</v>
      </c>
      <c r="L761"/>
      <c r="M761"/>
      <c r="N761"/>
      <c r="O761"/>
      <c r="P761"/>
      <c r="Q761"/>
      <c r="R761"/>
      <c r="S761"/>
      <c r="T761"/>
    </row>
    <row r="762" spans="1:20" ht="15" outlineLevel="4" thickBot="1" x14ac:dyDescent="0.35">
      <c r="A762" s="82" t="s">
        <v>1540</v>
      </c>
      <c r="B762" s="10" t="s">
        <v>1157</v>
      </c>
      <c r="C762" s="60" t="s">
        <v>1158</v>
      </c>
      <c r="D762" s="44" t="s">
        <v>93</v>
      </c>
      <c r="E762" s="84">
        <v>0</v>
      </c>
      <c r="F762" s="84"/>
      <c r="G762" s="94">
        <f t="shared" si="112"/>
        <v>1</v>
      </c>
      <c r="H762" s="93">
        <f t="shared" si="113"/>
        <v>7400</v>
      </c>
      <c r="I762" s="84">
        <f t="shared" si="114"/>
        <v>0</v>
      </c>
      <c r="J762" s="105">
        <f t="shared" si="115"/>
        <v>0</v>
      </c>
      <c r="K762">
        <f t="shared" si="116"/>
        <v>0</v>
      </c>
      <c r="L762"/>
      <c r="M762"/>
      <c r="N762"/>
      <c r="O762"/>
      <c r="P762"/>
      <c r="Q762"/>
      <c r="R762"/>
      <c r="S762"/>
      <c r="T762"/>
    </row>
    <row r="763" spans="1:20" ht="15" outlineLevel="2" thickTop="1" x14ac:dyDescent="0.3">
      <c r="A763" s="82" t="s">
        <v>1541</v>
      </c>
      <c r="B763" s="62" t="s">
        <v>60</v>
      </c>
      <c r="C763" s="63" t="s">
        <v>1160</v>
      </c>
      <c r="D763" s="116"/>
      <c r="E763" s="88"/>
      <c r="F763" s="88"/>
      <c r="G763" s="98"/>
      <c r="H763" s="88"/>
      <c r="I763" s="88">
        <f>SUBTOTAL(9,I754:I762)</f>
        <v>16520</v>
      </c>
      <c r="J763" s="109"/>
      <c r="K763"/>
      <c r="L763"/>
      <c r="M763"/>
      <c r="N763"/>
      <c r="O763"/>
      <c r="P763"/>
      <c r="Q763"/>
      <c r="R763"/>
      <c r="S763"/>
      <c r="T763"/>
    </row>
    <row r="764" spans="1:20" outlineLevel="1" x14ac:dyDescent="0.3">
      <c r="A764" s="82" t="s">
        <v>1542</v>
      </c>
      <c r="B764" s="67" t="s">
        <v>60</v>
      </c>
      <c r="C764" s="68" t="s">
        <v>1543</v>
      </c>
      <c r="D764" s="118"/>
      <c r="E764" s="89"/>
      <c r="F764" s="89"/>
      <c r="G764" s="99"/>
      <c r="H764" s="89"/>
      <c r="I764" s="89">
        <f>ROUND(I401+I441+I463+I519+I546+I562+I576+I606+I631+I646+I671+I679+I688+I720+I751+I763,2)</f>
        <v>824887.8</v>
      </c>
      <c r="J764" s="110"/>
      <c r="K764"/>
      <c r="L764"/>
      <c r="M764"/>
      <c r="N764"/>
      <c r="O764"/>
      <c r="P764"/>
      <c r="Q764"/>
      <c r="R764"/>
      <c r="S764"/>
      <c r="T764"/>
    </row>
    <row r="765" spans="1:20" ht="15" outlineLevel="1" thickBot="1" x14ac:dyDescent="0.35">
      <c r="A765" s="82" t="s">
        <v>1544</v>
      </c>
      <c r="B765" s="69" t="s">
        <v>60</v>
      </c>
      <c r="C765" s="70" t="s">
        <v>1545</v>
      </c>
      <c r="D765" s="119"/>
      <c r="E765" s="86"/>
      <c r="F765" s="86"/>
      <c r="G765" s="96"/>
      <c r="H765" s="86"/>
      <c r="I765" s="103">
        <f>SUBTOTAL(9,K766:K1141)</f>
        <v>427354.40000000008</v>
      </c>
      <c r="J765" s="107"/>
      <c r="K765"/>
      <c r="L765"/>
      <c r="M765"/>
      <c r="N765"/>
      <c r="O765"/>
      <c r="P765"/>
      <c r="Q765"/>
      <c r="R765"/>
      <c r="S765"/>
      <c r="T765"/>
    </row>
    <row r="766" spans="1:20" outlineLevel="2" x14ac:dyDescent="0.3">
      <c r="A766" s="82" t="s">
        <v>1546</v>
      </c>
      <c r="B766" s="64" t="s">
        <v>65</v>
      </c>
      <c r="C766" s="65" t="s">
        <v>66</v>
      </c>
      <c r="D766" s="117"/>
      <c r="E766" s="87"/>
      <c r="F766" s="87"/>
      <c r="G766" s="97"/>
      <c r="H766" s="87"/>
      <c r="I766" s="104">
        <f>SUBTOTAL(9,K767:K779)</f>
        <v>0</v>
      </c>
      <c r="J766" s="108"/>
      <c r="K766"/>
      <c r="L766"/>
      <c r="M766"/>
      <c r="N766"/>
      <c r="O766"/>
      <c r="P766"/>
      <c r="Q766"/>
      <c r="R766"/>
      <c r="S766"/>
      <c r="T766"/>
    </row>
    <row r="767" spans="1:20" outlineLevel="3" x14ac:dyDescent="0.3">
      <c r="A767" s="82" t="s">
        <v>1547</v>
      </c>
      <c r="B767" s="10" t="s">
        <v>68</v>
      </c>
      <c r="C767" s="60" t="s">
        <v>69</v>
      </c>
      <c r="D767" s="44" t="s">
        <v>70</v>
      </c>
      <c r="E767" s="84">
        <v>0</v>
      </c>
      <c r="F767" s="84"/>
      <c r="G767" s="94">
        <f>cell_CoefGeneral</f>
        <v>1</v>
      </c>
      <c r="H767" s="93">
        <f>H9</f>
        <v>5700</v>
      </c>
      <c r="I767" s="84">
        <f>IFERROR(ROUND(E767*H767,2),"-")</f>
        <v>0</v>
      </c>
      <c r="J767" s="105">
        <f>IFERROR(I767/cell_Total_HT,"-")</f>
        <v>0</v>
      </c>
      <c r="K767">
        <f>I767</f>
        <v>0</v>
      </c>
      <c r="L767"/>
      <c r="M767"/>
      <c r="N767"/>
      <c r="O767"/>
      <c r="P767"/>
      <c r="Q767"/>
      <c r="R767"/>
      <c r="S767"/>
      <c r="T767"/>
    </row>
    <row r="768" spans="1:20" outlineLevel="3" x14ac:dyDescent="0.3">
      <c r="A768" s="82" t="s">
        <v>1548</v>
      </c>
      <c r="B768" s="10" t="s">
        <v>72</v>
      </c>
      <c r="C768" s="60" t="s">
        <v>73</v>
      </c>
      <c r="D768" s="44" t="s">
        <v>70</v>
      </c>
      <c r="E768" s="84">
        <v>0</v>
      </c>
      <c r="F768" s="84"/>
      <c r="G768" s="94">
        <f>cell_CoefGeneral</f>
        <v>1</v>
      </c>
      <c r="H768" s="93">
        <f>H10</f>
        <v>780</v>
      </c>
      <c r="I768" s="84">
        <f>IFERROR(ROUND(E768*H768,2),"-")</f>
        <v>0</v>
      </c>
      <c r="J768" s="105">
        <f>IFERROR(I768/cell_Total_HT,"-")</f>
        <v>0</v>
      </c>
      <c r="K768">
        <f>I768</f>
        <v>0</v>
      </c>
      <c r="L768"/>
      <c r="M768"/>
      <c r="N768"/>
      <c r="O768"/>
      <c r="P768"/>
      <c r="Q768"/>
      <c r="R768"/>
      <c r="S768"/>
      <c r="T768"/>
    </row>
    <row r="769" spans="1:20" outlineLevel="3" x14ac:dyDescent="0.3">
      <c r="A769" s="82" t="s">
        <v>1549</v>
      </c>
      <c r="B769" s="58" t="s">
        <v>75</v>
      </c>
      <c r="C769" s="61" t="s">
        <v>76</v>
      </c>
      <c r="D769" s="115"/>
      <c r="E769" s="87"/>
      <c r="F769" s="87"/>
      <c r="G769" s="97"/>
      <c r="H769" s="87"/>
      <c r="I769" s="104">
        <f>SUBTOTAL(9,K770:K773)</f>
        <v>0</v>
      </c>
      <c r="J769" s="108"/>
      <c r="K769"/>
      <c r="L769"/>
      <c r="M769"/>
      <c r="N769"/>
      <c r="O769"/>
      <c r="P769"/>
      <c r="Q769"/>
      <c r="R769"/>
      <c r="S769"/>
      <c r="T769"/>
    </row>
    <row r="770" spans="1:20" outlineLevel="4" x14ac:dyDescent="0.3">
      <c r="A770" s="82" t="s">
        <v>1550</v>
      </c>
      <c r="B770" s="10" t="s">
        <v>78</v>
      </c>
      <c r="C770" s="60" t="s">
        <v>79</v>
      </c>
      <c r="D770" s="44" t="s">
        <v>80</v>
      </c>
      <c r="E770" s="84">
        <v>0</v>
      </c>
      <c r="F770" s="84"/>
      <c r="G770" s="94">
        <f t="shared" ref="G770:G779" si="117">cell_CoefGeneral</f>
        <v>1</v>
      </c>
      <c r="H770" s="93">
        <f t="shared" ref="H770:H779" si="118">H12</f>
        <v>48</v>
      </c>
      <c r="I770" s="84">
        <f t="shared" ref="I770:I779" si="119">IFERROR(ROUND(E770*H770,2),"-")</f>
        <v>0</v>
      </c>
      <c r="J770" s="105">
        <f t="shared" ref="J770:J779" si="120">IFERROR(I770/cell_Total_HT,"-")</f>
        <v>0</v>
      </c>
      <c r="K770">
        <f t="shared" ref="K770:K779" si="121">I770</f>
        <v>0</v>
      </c>
      <c r="L770"/>
      <c r="M770"/>
      <c r="N770"/>
      <c r="O770"/>
      <c r="P770"/>
      <c r="Q770"/>
      <c r="R770"/>
      <c r="S770"/>
      <c r="T770"/>
    </row>
    <row r="771" spans="1:20" outlineLevel="4" x14ac:dyDescent="0.3">
      <c r="A771" s="82" t="s">
        <v>1551</v>
      </c>
      <c r="B771" s="10" t="s">
        <v>82</v>
      </c>
      <c r="C771" s="60" t="s">
        <v>83</v>
      </c>
      <c r="D771" s="44" t="s">
        <v>80</v>
      </c>
      <c r="E771" s="84">
        <v>0</v>
      </c>
      <c r="F771" s="84"/>
      <c r="G771" s="94">
        <f t="shared" si="117"/>
        <v>1</v>
      </c>
      <c r="H771" s="93">
        <f t="shared" si="118"/>
        <v>11</v>
      </c>
      <c r="I771" s="84">
        <f t="shared" si="119"/>
        <v>0</v>
      </c>
      <c r="J771" s="105">
        <f t="shared" si="120"/>
        <v>0</v>
      </c>
      <c r="K771">
        <f t="shared" si="121"/>
        <v>0</v>
      </c>
      <c r="L771"/>
      <c r="M771"/>
      <c r="N771"/>
      <c r="O771"/>
      <c r="P771"/>
      <c r="Q771"/>
      <c r="R771"/>
      <c r="S771"/>
      <c r="T771"/>
    </row>
    <row r="772" spans="1:20" outlineLevel="4" x14ac:dyDescent="0.3">
      <c r="A772" s="82" t="s">
        <v>1552</v>
      </c>
      <c r="B772" s="10" t="s">
        <v>85</v>
      </c>
      <c r="C772" s="60" t="s">
        <v>86</v>
      </c>
      <c r="D772" s="44" t="s">
        <v>80</v>
      </c>
      <c r="E772" s="84">
        <v>0</v>
      </c>
      <c r="F772" s="84"/>
      <c r="G772" s="94">
        <f t="shared" si="117"/>
        <v>1</v>
      </c>
      <c r="H772" s="93">
        <f t="shared" si="118"/>
        <v>67</v>
      </c>
      <c r="I772" s="84">
        <f t="shared" si="119"/>
        <v>0</v>
      </c>
      <c r="J772" s="105">
        <f t="shared" si="120"/>
        <v>0</v>
      </c>
      <c r="K772">
        <f t="shared" si="121"/>
        <v>0</v>
      </c>
      <c r="L772"/>
      <c r="M772"/>
      <c r="N772"/>
      <c r="O772"/>
      <c r="P772"/>
      <c r="Q772"/>
      <c r="R772"/>
      <c r="S772"/>
      <c r="T772"/>
    </row>
    <row r="773" spans="1:20" outlineLevel="4" x14ac:dyDescent="0.3">
      <c r="A773" s="82" t="s">
        <v>1553</v>
      </c>
      <c r="B773" s="10" t="s">
        <v>88</v>
      </c>
      <c r="C773" s="60" t="s">
        <v>89</v>
      </c>
      <c r="D773" s="44" t="s">
        <v>80</v>
      </c>
      <c r="E773" s="84">
        <v>0</v>
      </c>
      <c r="F773" s="84"/>
      <c r="G773" s="94">
        <f t="shared" si="117"/>
        <v>1</v>
      </c>
      <c r="H773" s="93">
        <f t="shared" si="118"/>
        <v>11</v>
      </c>
      <c r="I773" s="84">
        <f t="shared" si="119"/>
        <v>0</v>
      </c>
      <c r="J773" s="105">
        <f t="shared" si="120"/>
        <v>0</v>
      </c>
      <c r="K773">
        <f t="shared" si="121"/>
        <v>0</v>
      </c>
      <c r="L773"/>
      <c r="M773"/>
      <c r="N773"/>
      <c r="O773"/>
      <c r="P773"/>
      <c r="Q773"/>
      <c r="R773"/>
      <c r="S773"/>
      <c r="T773"/>
    </row>
    <row r="774" spans="1:20" outlineLevel="3" x14ac:dyDescent="0.3">
      <c r="A774" s="82" t="s">
        <v>1554</v>
      </c>
      <c r="B774" s="10" t="s">
        <v>91</v>
      </c>
      <c r="C774" s="60" t="s">
        <v>92</v>
      </c>
      <c r="D774" s="44" t="s">
        <v>93</v>
      </c>
      <c r="E774" s="84">
        <v>0</v>
      </c>
      <c r="F774" s="84"/>
      <c r="G774" s="94">
        <f t="shared" si="117"/>
        <v>1</v>
      </c>
      <c r="H774" s="93">
        <f t="shared" si="118"/>
        <v>52000</v>
      </c>
      <c r="I774" s="84">
        <f t="shared" si="119"/>
        <v>0</v>
      </c>
      <c r="J774" s="105">
        <f t="shared" si="120"/>
        <v>0</v>
      </c>
      <c r="K774">
        <f t="shared" si="121"/>
        <v>0</v>
      </c>
      <c r="L774"/>
      <c r="M774"/>
      <c r="N774"/>
      <c r="O774"/>
      <c r="P774"/>
      <c r="Q774"/>
      <c r="R774"/>
      <c r="S774"/>
      <c r="T774"/>
    </row>
    <row r="775" spans="1:20" outlineLevel="3" x14ac:dyDescent="0.3">
      <c r="A775" s="82" t="s">
        <v>1555</v>
      </c>
      <c r="B775" s="10" t="s">
        <v>95</v>
      </c>
      <c r="C775" s="60" t="s">
        <v>96</v>
      </c>
      <c r="D775" s="44" t="s">
        <v>93</v>
      </c>
      <c r="E775" s="84">
        <v>0</v>
      </c>
      <c r="F775" s="84"/>
      <c r="G775" s="94">
        <f t="shared" si="117"/>
        <v>1</v>
      </c>
      <c r="H775" s="93">
        <f t="shared" si="118"/>
        <v>17000</v>
      </c>
      <c r="I775" s="84">
        <f t="shared" si="119"/>
        <v>0</v>
      </c>
      <c r="J775" s="105">
        <f t="shared" si="120"/>
        <v>0</v>
      </c>
      <c r="K775">
        <f t="shared" si="121"/>
        <v>0</v>
      </c>
      <c r="L775"/>
      <c r="M775"/>
      <c r="N775"/>
      <c r="O775"/>
      <c r="P775"/>
      <c r="Q775"/>
      <c r="R775"/>
      <c r="S775"/>
      <c r="T775"/>
    </row>
    <row r="776" spans="1:20" outlineLevel="3" x14ac:dyDescent="0.3">
      <c r="A776" s="82" t="s">
        <v>1556</v>
      </c>
      <c r="B776" s="10" t="s">
        <v>98</v>
      </c>
      <c r="C776" s="60" t="s">
        <v>99</v>
      </c>
      <c r="D776" s="44" t="s">
        <v>93</v>
      </c>
      <c r="E776" s="84">
        <v>0</v>
      </c>
      <c r="F776" s="84"/>
      <c r="G776" s="94">
        <f t="shared" si="117"/>
        <v>1</v>
      </c>
      <c r="H776" s="93">
        <f t="shared" si="118"/>
        <v>5200</v>
      </c>
      <c r="I776" s="84">
        <f t="shared" si="119"/>
        <v>0</v>
      </c>
      <c r="J776" s="105">
        <f t="shared" si="120"/>
        <v>0</v>
      </c>
      <c r="K776">
        <f t="shared" si="121"/>
        <v>0</v>
      </c>
      <c r="L776"/>
      <c r="M776"/>
      <c r="N776"/>
      <c r="O776"/>
      <c r="P776"/>
      <c r="Q776"/>
      <c r="R776"/>
      <c r="S776"/>
      <c r="T776"/>
    </row>
    <row r="777" spans="1:20" outlineLevel="3" x14ac:dyDescent="0.3">
      <c r="A777" s="82" t="s">
        <v>1557</v>
      </c>
      <c r="B777" s="10" t="s">
        <v>101</v>
      </c>
      <c r="C777" s="60" t="s">
        <v>102</v>
      </c>
      <c r="D777" s="44" t="s">
        <v>93</v>
      </c>
      <c r="E777" s="84">
        <v>0</v>
      </c>
      <c r="F777" s="84"/>
      <c r="G777" s="94">
        <f t="shared" si="117"/>
        <v>1</v>
      </c>
      <c r="H777" s="93">
        <f t="shared" si="118"/>
        <v>2900</v>
      </c>
      <c r="I777" s="84">
        <f t="shared" si="119"/>
        <v>0</v>
      </c>
      <c r="J777" s="105">
        <f t="shared" si="120"/>
        <v>0</v>
      </c>
      <c r="K777">
        <f t="shared" si="121"/>
        <v>0</v>
      </c>
      <c r="L777"/>
      <c r="M777"/>
      <c r="N777"/>
      <c r="O777"/>
      <c r="P777"/>
      <c r="Q777"/>
      <c r="R777"/>
      <c r="S777"/>
      <c r="T777"/>
    </row>
    <row r="778" spans="1:20" outlineLevel="3" x14ac:dyDescent="0.3">
      <c r="A778" s="82" t="s">
        <v>1558</v>
      </c>
      <c r="B778" s="10" t="s">
        <v>104</v>
      </c>
      <c r="C778" s="60" t="s">
        <v>105</v>
      </c>
      <c r="D778" s="44" t="s">
        <v>106</v>
      </c>
      <c r="E778" s="84">
        <v>0</v>
      </c>
      <c r="F778" s="84"/>
      <c r="G778" s="94">
        <f t="shared" si="117"/>
        <v>1</v>
      </c>
      <c r="H778" s="93">
        <f t="shared" si="118"/>
        <v>350</v>
      </c>
      <c r="I778" s="84">
        <f t="shared" si="119"/>
        <v>0</v>
      </c>
      <c r="J778" s="105">
        <f t="shared" si="120"/>
        <v>0</v>
      </c>
      <c r="K778">
        <f t="shared" si="121"/>
        <v>0</v>
      </c>
      <c r="L778"/>
      <c r="M778"/>
      <c r="N778"/>
      <c r="O778"/>
      <c r="P778"/>
      <c r="Q778"/>
      <c r="R778"/>
      <c r="S778"/>
      <c r="T778"/>
    </row>
    <row r="779" spans="1:20" ht="15" outlineLevel="3" thickBot="1" x14ac:dyDescent="0.35">
      <c r="A779" s="82" t="s">
        <v>1559</v>
      </c>
      <c r="B779" s="10" t="s">
        <v>108</v>
      </c>
      <c r="C779" s="60" t="s">
        <v>109</v>
      </c>
      <c r="D779" s="44" t="s">
        <v>93</v>
      </c>
      <c r="E779" s="84">
        <v>0</v>
      </c>
      <c r="F779" s="84"/>
      <c r="G779" s="94">
        <f t="shared" si="117"/>
        <v>1</v>
      </c>
      <c r="H779" s="93">
        <f t="shared" si="118"/>
        <v>2500</v>
      </c>
      <c r="I779" s="84">
        <f t="shared" si="119"/>
        <v>0</v>
      </c>
      <c r="J779" s="105">
        <f t="shared" si="120"/>
        <v>0</v>
      </c>
      <c r="K779">
        <f t="shared" si="121"/>
        <v>0</v>
      </c>
      <c r="L779"/>
      <c r="M779"/>
      <c r="N779"/>
      <c r="O779"/>
      <c r="P779"/>
      <c r="Q779"/>
      <c r="R779"/>
      <c r="S779"/>
      <c r="T779"/>
    </row>
    <row r="780" spans="1:20" ht="15" outlineLevel="2" thickTop="1" x14ac:dyDescent="0.3">
      <c r="A780" s="82" t="s">
        <v>1560</v>
      </c>
      <c r="B780" s="62" t="s">
        <v>60</v>
      </c>
      <c r="C780" s="63" t="s">
        <v>111</v>
      </c>
      <c r="D780" s="116"/>
      <c r="E780" s="88"/>
      <c r="F780" s="88"/>
      <c r="G780" s="98"/>
      <c r="H780" s="88"/>
      <c r="I780" s="88">
        <f>SUBTOTAL(9,I767:I779)</f>
        <v>0</v>
      </c>
      <c r="J780" s="109"/>
      <c r="K780"/>
      <c r="L780"/>
      <c r="M780"/>
      <c r="N780"/>
      <c r="O780"/>
      <c r="P780"/>
      <c r="Q780"/>
      <c r="R780"/>
      <c r="S780"/>
      <c r="T780"/>
    </row>
    <row r="781" spans="1:20" outlineLevel="2" x14ac:dyDescent="0.3">
      <c r="A781" s="82" t="s">
        <v>1561</v>
      </c>
      <c r="B781" s="64" t="s">
        <v>113</v>
      </c>
      <c r="C781" s="65" t="s">
        <v>114</v>
      </c>
      <c r="D781" s="117"/>
      <c r="E781" s="87"/>
      <c r="F781" s="87"/>
      <c r="G781" s="97"/>
      <c r="H781" s="87"/>
      <c r="I781" s="104">
        <f>SUBTOTAL(9,K782:K819)</f>
        <v>29732.5</v>
      </c>
      <c r="J781" s="108"/>
      <c r="K781"/>
      <c r="L781"/>
      <c r="M781"/>
      <c r="N781"/>
      <c r="O781"/>
      <c r="P781"/>
      <c r="Q781"/>
      <c r="R781"/>
      <c r="S781"/>
      <c r="T781"/>
    </row>
    <row r="782" spans="1:20" outlineLevel="3" x14ac:dyDescent="0.3">
      <c r="A782" s="82" t="s">
        <v>1562</v>
      </c>
      <c r="B782" s="64" t="s">
        <v>116</v>
      </c>
      <c r="C782" s="66" t="s">
        <v>117</v>
      </c>
      <c r="D782" s="117"/>
      <c r="E782" s="87"/>
      <c r="F782" s="87"/>
      <c r="G782" s="97"/>
      <c r="H782" s="87"/>
      <c r="I782" s="104">
        <f>SUBTOTAL(9,K783:K785)</f>
        <v>480</v>
      </c>
      <c r="J782" s="108"/>
      <c r="K782"/>
      <c r="L782"/>
      <c r="M782"/>
      <c r="N782"/>
      <c r="O782"/>
      <c r="P782"/>
      <c r="Q782"/>
      <c r="R782"/>
      <c r="S782"/>
      <c r="T782"/>
    </row>
    <row r="783" spans="1:20" outlineLevel="4" x14ac:dyDescent="0.3">
      <c r="A783" s="82" t="s">
        <v>1563</v>
      </c>
      <c r="B783" s="10" t="s">
        <v>119</v>
      </c>
      <c r="C783" s="60" t="s">
        <v>120</v>
      </c>
      <c r="D783" s="44" t="s">
        <v>121</v>
      </c>
      <c r="E783" s="84">
        <v>4</v>
      </c>
      <c r="F783" s="84"/>
      <c r="G783" s="94">
        <f>cell_CoefGeneral</f>
        <v>1</v>
      </c>
      <c r="H783" s="93">
        <f>H25</f>
        <v>120</v>
      </c>
      <c r="I783" s="84">
        <f>IFERROR(ROUND(E783*H783,2),"-")</f>
        <v>480</v>
      </c>
      <c r="J783" s="105">
        <f>IFERROR(I783/cell_Total_HT,"-")</f>
        <v>1.4170697565872716E-4</v>
      </c>
      <c r="K783">
        <f>I783</f>
        <v>480</v>
      </c>
      <c r="L783"/>
      <c r="M783"/>
      <c r="N783"/>
      <c r="O783"/>
      <c r="P783"/>
      <c r="Q783"/>
      <c r="R783"/>
      <c r="S783"/>
      <c r="T783"/>
    </row>
    <row r="784" spans="1:20" outlineLevel="4" x14ac:dyDescent="0.3">
      <c r="A784" s="82" t="s">
        <v>1564</v>
      </c>
      <c r="B784" s="10" t="s">
        <v>123</v>
      </c>
      <c r="C784" s="60" t="s">
        <v>124</v>
      </c>
      <c r="D784" s="44" t="s">
        <v>121</v>
      </c>
      <c r="E784" s="84">
        <v>0</v>
      </c>
      <c r="F784" s="84"/>
      <c r="G784" s="94">
        <f>cell_CoefGeneral</f>
        <v>1</v>
      </c>
      <c r="H784" s="93">
        <f>H26</f>
        <v>290</v>
      </c>
      <c r="I784" s="84">
        <f>IFERROR(ROUND(E784*H784,2),"-")</f>
        <v>0</v>
      </c>
      <c r="J784" s="105">
        <f>IFERROR(I784/cell_Total_HT,"-")</f>
        <v>0</v>
      </c>
      <c r="K784">
        <f>I784</f>
        <v>0</v>
      </c>
      <c r="L784"/>
      <c r="M784"/>
      <c r="N784"/>
      <c r="O784"/>
      <c r="P784"/>
      <c r="Q784"/>
      <c r="R784"/>
      <c r="S784"/>
      <c r="T784"/>
    </row>
    <row r="785" spans="1:20" outlineLevel="4" x14ac:dyDescent="0.3">
      <c r="A785" s="82" t="s">
        <v>1565</v>
      </c>
      <c r="B785" s="10" t="s">
        <v>126</v>
      </c>
      <c r="C785" s="60" t="s">
        <v>127</v>
      </c>
      <c r="D785" s="44" t="s">
        <v>128</v>
      </c>
      <c r="E785" s="84">
        <v>0</v>
      </c>
      <c r="F785" s="84"/>
      <c r="G785" s="94">
        <f>cell_CoefGeneral</f>
        <v>1</v>
      </c>
      <c r="H785" s="93">
        <f>H27</f>
        <v>23</v>
      </c>
      <c r="I785" s="84">
        <f>IFERROR(ROUND(E785*H785,2),"-")</f>
        <v>0</v>
      </c>
      <c r="J785" s="105">
        <f>IFERROR(I785/cell_Total_HT,"-")</f>
        <v>0</v>
      </c>
      <c r="K785">
        <f>I785</f>
        <v>0</v>
      </c>
      <c r="L785"/>
      <c r="M785"/>
      <c r="N785"/>
      <c r="O785"/>
      <c r="P785"/>
      <c r="Q785"/>
      <c r="R785"/>
      <c r="S785"/>
      <c r="T785"/>
    </row>
    <row r="786" spans="1:20" outlineLevel="3" x14ac:dyDescent="0.3">
      <c r="A786" s="82" t="s">
        <v>1566</v>
      </c>
      <c r="B786" s="10" t="s">
        <v>130</v>
      </c>
      <c r="C786" s="60" t="s">
        <v>131</v>
      </c>
      <c r="D786" s="44" t="s">
        <v>80</v>
      </c>
      <c r="E786" s="84">
        <v>605</v>
      </c>
      <c r="F786" s="84"/>
      <c r="G786" s="94">
        <f>cell_CoefGeneral</f>
        <v>1</v>
      </c>
      <c r="H786" s="93">
        <f>H28</f>
        <v>4.9000000000000004</v>
      </c>
      <c r="I786" s="84">
        <f>IFERROR(ROUND(E786*H786,2),"-")</f>
        <v>2964.5</v>
      </c>
      <c r="J786" s="105">
        <f>IFERROR(I786/cell_Total_HT,"-")</f>
        <v>8.7518818612561812E-4</v>
      </c>
      <c r="K786">
        <f>I786</f>
        <v>2964.5</v>
      </c>
      <c r="L786"/>
      <c r="M786"/>
      <c r="N786"/>
      <c r="O786"/>
      <c r="P786"/>
      <c r="Q786"/>
      <c r="R786"/>
      <c r="S786"/>
      <c r="T786"/>
    </row>
    <row r="787" spans="1:20" outlineLevel="3" x14ac:dyDescent="0.3">
      <c r="A787" s="82" t="s">
        <v>1567</v>
      </c>
      <c r="B787" s="10" t="s">
        <v>133</v>
      </c>
      <c r="C787" s="60" t="s">
        <v>134</v>
      </c>
      <c r="D787" s="44" t="s">
        <v>93</v>
      </c>
      <c r="E787" s="84">
        <v>0</v>
      </c>
      <c r="F787" s="84"/>
      <c r="G787" s="94">
        <f>cell_CoefGeneral</f>
        <v>1</v>
      </c>
      <c r="H787" s="93">
        <f>H29</f>
        <v>4000</v>
      </c>
      <c r="I787" s="84">
        <f>IFERROR(ROUND(E787*H787,2),"-")</f>
        <v>0</v>
      </c>
      <c r="J787" s="105">
        <f>IFERROR(I787/cell_Total_HT,"-")</f>
        <v>0</v>
      </c>
      <c r="K787">
        <f>I787</f>
        <v>0</v>
      </c>
      <c r="L787"/>
      <c r="M787"/>
      <c r="N787"/>
      <c r="O787"/>
      <c r="P787"/>
      <c r="Q787"/>
      <c r="R787"/>
      <c r="S787"/>
      <c r="T787"/>
    </row>
    <row r="788" spans="1:20" outlineLevel="3" x14ac:dyDescent="0.3">
      <c r="A788" s="82" t="s">
        <v>1568</v>
      </c>
      <c r="B788" s="58" t="s">
        <v>136</v>
      </c>
      <c r="C788" s="61" t="s">
        <v>137</v>
      </c>
      <c r="D788" s="115"/>
      <c r="E788" s="87"/>
      <c r="F788" s="87"/>
      <c r="G788" s="97"/>
      <c r="H788" s="87"/>
      <c r="I788" s="104">
        <f>SUBTOTAL(9,K789:K791)</f>
        <v>1380</v>
      </c>
      <c r="J788" s="108"/>
      <c r="K788"/>
      <c r="L788"/>
      <c r="M788"/>
      <c r="N788"/>
      <c r="O788"/>
      <c r="P788"/>
      <c r="Q788"/>
      <c r="R788"/>
      <c r="S788"/>
      <c r="T788"/>
    </row>
    <row r="789" spans="1:20" ht="28.8" outlineLevel="4" x14ac:dyDescent="0.3">
      <c r="A789" s="82" t="s">
        <v>1569</v>
      </c>
      <c r="B789" s="10" t="s">
        <v>139</v>
      </c>
      <c r="C789" s="60" t="s">
        <v>140</v>
      </c>
      <c r="D789" s="44" t="s">
        <v>141</v>
      </c>
      <c r="E789" s="84">
        <v>6</v>
      </c>
      <c r="F789" s="84"/>
      <c r="G789" s="94">
        <f>cell_CoefGeneral</f>
        <v>1</v>
      </c>
      <c r="H789" s="93">
        <f>H31</f>
        <v>140</v>
      </c>
      <c r="I789" s="84">
        <f>IFERROR(ROUND(E789*H789,2),"-")</f>
        <v>840</v>
      </c>
      <c r="J789" s="105">
        <f>IFERROR(I789/cell_Total_HT,"-")</f>
        <v>2.4798720740277255E-4</v>
      </c>
      <c r="K789">
        <f>I789</f>
        <v>840</v>
      </c>
      <c r="L789"/>
      <c r="M789"/>
      <c r="N789"/>
      <c r="O789"/>
      <c r="P789"/>
      <c r="Q789"/>
      <c r="R789"/>
      <c r="S789"/>
      <c r="T789"/>
    </row>
    <row r="790" spans="1:20" ht="28.8" outlineLevel="4" x14ac:dyDescent="0.3">
      <c r="A790" s="82" t="s">
        <v>1570</v>
      </c>
      <c r="B790" s="10" t="s">
        <v>143</v>
      </c>
      <c r="C790" s="60" t="s">
        <v>144</v>
      </c>
      <c r="D790" s="44" t="s">
        <v>141</v>
      </c>
      <c r="E790" s="84">
        <v>0</v>
      </c>
      <c r="F790" s="84"/>
      <c r="G790" s="94">
        <f>cell_CoefGeneral</f>
        <v>1</v>
      </c>
      <c r="H790" s="93">
        <f>H32</f>
        <v>69</v>
      </c>
      <c r="I790" s="84">
        <f>IFERROR(ROUND(E790*H790,2),"-")</f>
        <v>0</v>
      </c>
      <c r="J790" s="105">
        <f>IFERROR(I790/cell_Total_HT,"-")</f>
        <v>0</v>
      </c>
      <c r="K790">
        <f>I790</f>
        <v>0</v>
      </c>
      <c r="L790"/>
      <c r="M790"/>
      <c r="N790"/>
      <c r="O790"/>
      <c r="P790"/>
      <c r="Q790"/>
      <c r="R790"/>
      <c r="S790"/>
      <c r="T790"/>
    </row>
    <row r="791" spans="1:20" outlineLevel="4" x14ac:dyDescent="0.3">
      <c r="A791" s="82" t="s">
        <v>1571</v>
      </c>
      <c r="B791" s="10" t="s">
        <v>146</v>
      </c>
      <c r="C791" s="60" t="s">
        <v>147</v>
      </c>
      <c r="D791" s="44" t="s">
        <v>141</v>
      </c>
      <c r="E791" s="84">
        <v>3</v>
      </c>
      <c r="F791" s="84"/>
      <c r="G791" s="94">
        <f>cell_CoefGeneral</f>
        <v>1</v>
      </c>
      <c r="H791" s="93">
        <f>H33</f>
        <v>180</v>
      </c>
      <c r="I791" s="84">
        <f>IFERROR(ROUND(E791*H791,2),"-")</f>
        <v>540</v>
      </c>
      <c r="J791" s="105">
        <f>IFERROR(I791/cell_Total_HT,"-")</f>
        <v>1.5942034761606805E-4</v>
      </c>
      <c r="K791">
        <f>I791</f>
        <v>540</v>
      </c>
      <c r="L791"/>
      <c r="M791"/>
      <c r="N791"/>
      <c r="O791"/>
      <c r="P791"/>
      <c r="Q791"/>
      <c r="R791"/>
      <c r="S791"/>
      <c r="T791"/>
    </row>
    <row r="792" spans="1:20" outlineLevel="3" x14ac:dyDescent="0.3">
      <c r="A792" s="82" t="s">
        <v>1572</v>
      </c>
      <c r="B792" s="58" t="s">
        <v>149</v>
      </c>
      <c r="C792" s="61" t="s">
        <v>150</v>
      </c>
      <c r="D792" s="115"/>
      <c r="E792" s="87"/>
      <c r="F792" s="87"/>
      <c r="G792" s="97"/>
      <c r="H792" s="87"/>
      <c r="I792" s="104">
        <f>SUBTOTAL(9,K793:K795)</f>
        <v>20372</v>
      </c>
      <c r="J792" s="108"/>
      <c r="K792"/>
      <c r="L792"/>
      <c r="M792"/>
      <c r="N792"/>
      <c r="O792"/>
      <c r="P792"/>
      <c r="Q792"/>
      <c r="R792"/>
      <c r="S792"/>
      <c r="T792"/>
    </row>
    <row r="793" spans="1:20" outlineLevel="4" x14ac:dyDescent="0.3">
      <c r="A793" s="82" t="s">
        <v>1573</v>
      </c>
      <c r="B793" s="10" t="s">
        <v>152</v>
      </c>
      <c r="C793" s="60" t="s">
        <v>153</v>
      </c>
      <c r="D793" s="44" t="s">
        <v>154</v>
      </c>
      <c r="E793" s="84">
        <v>2530</v>
      </c>
      <c r="F793" s="84"/>
      <c r="G793" s="94">
        <f>cell_CoefGeneral</f>
        <v>1</v>
      </c>
      <c r="H793" s="93">
        <f>H35</f>
        <v>4.5999999999999996</v>
      </c>
      <c r="I793" s="84">
        <f>IFERROR(ROUND(E793*H793,2),"-")</f>
        <v>11638</v>
      </c>
      <c r="J793" s="105">
        <f>IFERROR(I793/cell_Total_HT,"-")</f>
        <v>3.4358037139922224E-3</v>
      </c>
      <c r="K793">
        <f>I793</f>
        <v>11638</v>
      </c>
      <c r="L793"/>
      <c r="M793"/>
      <c r="N793"/>
      <c r="O793"/>
      <c r="P793"/>
      <c r="Q793"/>
      <c r="R793"/>
      <c r="S793"/>
      <c r="T793"/>
    </row>
    <row r="794" spans="1:20" outlineLevel="4" x14ac:dyDescent="0.3">
      <c r="A794" s="82" t="s">
        <v>1574</v>
      </c>
      <c r="B794" s="10" t="s">
        <v>156</v>
      </c>
      <c r="C794" s="60" t="s">
        <v>157</v>
      </c>
      <c r="D794" s="44" t="s">
        <v>154</v>
      </c>
      <c r="E794" s="84">
        <v>1320</v>
      </c>
      <c r="F794" s="84"/>
      <c r="G794" s="94">
        <f>cell_CoefGeneral</f>
        <v>1</v>
      </c>
      <c r="H794" s="93">
        <f>H36</f>
        <v>5.2</v>
      </c>
      <c r="I794" s="84">
        <f>IFERROR(ROUND(E794*H794,2),"-")</f>
        <v>6864</v>
      </c>
      <c r="J794" s="105">
        <f>IFERROR(I794/cell_Total_HT,"-")</f>
        <v>2.0264097519197984E-3</v>
      </c>
      <c r="K794">
        <f>I794</f>
        <v>6864</v>
      </c>
      <c r="L794"/>
      <c r="M794"/>
      <c r="N794"/>
      <c r="O794"/>
      <c r="P794"/>
      <c r="Q794"/>
      <c r="R794"/>
      <c r="S794"/>
      <c r="T794"/>
    </row>
    <row r="795" spans="1:20" outlineLevel="4" x14ac:dyDescent="0.3">
      <c r="A795" s="82" t="s">
        <v>1575</v>
      </c>
      <c r="B795" s="10" t="s">
        <v>159</v>
      </c>
      <c r="C795" s="60" t="s">
        <v>160</v>
      </c>
      <c r="D795" s="44" t="s">
        <v>154</v>
      </c>
      <c r="E795" s="84">
        <v>110</v>
      </c>
      <c r="F795" s="84"/>
      <c r="G795" s="94">
        <f>cell_CoefGeneral</f>
        <v>1</v>
      </c>
      <c r="H795" s="93">
        <f>H37</f>
        <v>17</v>
      </c>
      <c r="I795" s="84">
        <f>IFERROR(ROUND(E795*H795,2),"-")</f>
        <v>1870</v>
      </c>
      <c r="J795" s="105">
        <f>IFERROR(I795/cell_Total_HT,"-")</f>
        <v>5.5206675933712457E-4</v>
      </c>
      <c r="K795">
        <f>I795</f>
        <v>1870</v>
      </c>
      <c r="L795"/>
      <c r="M795"/>
      <c r="N795"/>
      <c r="O795"/>
      <c r="P795"/>
      <c r="Q795"/>
      <c r="R795"/>
      <c r="S795"/>
      <c r="T795"/>
    </row>
    <row r="796" spans="1:20" outlineLevel="3" x14ac:dyDescent="0.3">
      <c r="A796" s="82" t="s">
        <v>1576</v>
      </c>
      <c r="B796" s="10" t="s">
        <v>162</v>
      </c>
      <c r="C796" s="60" t="s">
        <v>163</v>
      </c>
      <c r="D796" s="44" t="s">
        <v>141</v>
      </c>
      <c r="E796" s="84">
        <v>33</v>
      </c>
      <c r="F796" s="84"/>
      <c r="G796" s="94">
        <f>cell_CoefGeneral</f>
        <v>1</v>
      </c>
      <c r="H796" s="93">
        <f>H38</f>
        <v>37</v>
      </c>
      <c r="I796" s="84">
        <f>IFERROR(ROUND(E796*H796,2),"-")</f>
        <v>1221</v>
      </c>
      <c r="J796" s="105">
        <f>IFERROR(I796/cell_Total_HT,"-")</f>
        <v>3.6046711933188726E-4</v>
      </c>
      <c r="K796">
        <f>I796</f>
        <v>1221</v>
      </c>
      <c r="L796"/>
      <c r="M796"/>
      <c r="N796"/>
      <c r="O796"/>
      <c r="P796"/>
      <c r="Q796"/>
      <c r="R796"/>
      <c r="S796"/>
      <c r="T796"/>
    </row>
    <row r="797" spans="1:20" outlineLevel="3" x14ac:dyDescent="0.3">
      <c r="A797" s="82" t="s">
        <v>1577</v>
      </c>
      <c r="B797" s="58" t="s">
        <v>165</v>
      </c>
      <c r="C797" s="61" t="s">
        <v>166</v>
      </c>
      <c r="D797" s="115"/>
      <c r="E797" s="87"/>
      <c r="F797" s="87"/>
      <c r="G797" s="97"/>
      <c r="H797" s="87"/>
      <c r="I797" s="104">
        <f>SUBTOTAL(9,K798:K802)</f>
        <v>539</v>
      </c>
      <c r="J797" s="108"/>
      <c r="K797"/>
      <c r="L797"/>
      <c r="M797"/>
      <c r="N797"/>
      <c r="O797"/>
      <c r="P797"/>
      <c r="Q797"/>
      <c r="R797"/>
      <c r="S797"/>
      <c r="T797"/>
    </row>
    <row r="798" spans="1:20" outlineLevel="4" x14ac:dyDescent="0.3">
      <c r="A798" s="82" t="s">
        <v>1578</v>
      </c>
      <c r="B798" s="10" t="s">
        <v>168</v>
      </c>
      <c r="C798" s="60" t="s">
        <v>169</v>
      </c>
      <c r="D798" s="44" t="s">
        <v>141</v>
      </c>
      <c r="E798" s="84">
        <v>0</v>
      </c>
      <c r="F798" s="84"/>
      <c r="G798" s="94">
        <f>cell_CoefGeneral</f>
        <v>1</v>
      </c>
      <c r="H798" s="93">
        <f>H40</f>
        <v>28</v>
      </c>
      <c r="I798" s="84">
        <f>IFERROR(ROUND(E798*H798,2),"-")</f>
        <v>0</v>
      </c>
      <c r="J798" s="105">
        <f>IFERROR(I798/cell_Total_HT,"-")</f>
        <v>0</v>
      </c>
      <c r="K798">
        <f>I798</f>
        <v>0</v>
      </c>
      <c r="L798"/>
      <c r="M798"/>
      <c r="N798"/>
      <c r="O798"/>
      <c r="P798"/>
      <c r="Q798"/>
      <c r="R798"/>
      <c r="S798"/>
      <c r="T798"/>
    </row>
    <row r="799" spans="1:20" outlineLevel="4" x14ac:dyDescent="0.3">
      <c r="A799" s="82" t="s">
        <v>1579</v>
      </c>
      <c r="B799" s="10" t="s">
        <v>171</v>
      </c>
      <c r="C799" s="60" t="s">
        <v>172</v>
      </c>
      <c r="D799" s="44" t="s">
        <v>141</v>
      </c>
      <c r="E799" s="84">
        <v>0</v>
      </c>
      <c r="F799" s="84"/>
      <c r="G799" s="94">
        <f>cell_CoefGeneral</f>
        <v>1</v>
      </c>
      <c r="H799" s="93">
        <f>H41</f>
        <v>38</v>
      </c>
      <c r="I799" s="84">
        <f>IFERROR(ROUND(E799*H799,2),"-")</f>
        <v>0</v>
      </c>
      <c r="J799" s="105">
        <f>IFERROR(I799/cell_Total_HT,"-")</f>
        <v>0</v>
      </c>
      <c r="K799">
        <f>I799</f>
        <v>0</v>
      </c>
      <c r="L799"/>
      <c r="M799"/>
      <c r="N799"/>
      <c r="O799"/>
      <c r="P799"/>
      <c r="Q799"/>
      <c r="R799"/>
      <c r="S799"/>
      <c r="T799"/>
    </row>
    <row r="800" spans="1:20" outlineLevel="4" x14ac:dyDescent="0.3">
      <c r="A800" s="82" t="s">
        <v>1580</v>
      </c>
      <c r="B800" s="10" t="s">
        <v>174</v>
      </c>
      <c r="C800" s="60" t="s">
        <v>175</v>
      </c>
      <c r="D800" s="44" t="s">
        <v>141</v>
      </c>
      <c r="E800" s="84">
        <v>11</v>
      </c>
      <c r="F800" s="84"/>
      <c r="G800" s="94">
        <f>cell_CoefGeneral</f>
        <v>1</v>
      </c>
      <c r="H800" s="93">
        <f>H42</f>
        <v>49</v>
      </c>
      <c r="I800" s="84">
        <f>IFERROR(ROUND(E800*H800,2),"-")</f>
        <v>539</v>
      </c>
      <c r="J800" s="105">
        <f>IFERROR(I800/cell_Total_HT,"-")</f>
        <v>1.5912512475011237E-4</v>
      </c>
      <c r="K800">
        <f>I800</f>
        <v>539</v>
      </c>
      <c r="L800"/>
      <c r="M800"/>
      <c r="N800"/>
      <c r="O800"/>
      <c r="P800"/>
      <c r="Q800"/>
      <c r="R800"/>
      <c r="S800"/>
      <c r="T800"/>
    </row>
    <row r="801" spans="1:20" outlineLevel="4" x14ac:dyDescent="0.3">
      <c r="A801" s="82" t="s">
        <v>1581</v>
      </c>
      <c r="B801" s="10" t="s">
        <v>177</v>
      </c>
      <c r="C801" s="60" t="s">
        <v>178</v>
      </c>
      <c r="D801" s="44" t="s">
        <v>141</v>
      </c>
      <c r="E801" s="84">
        <v>0</v>
      </c>
      <c r="F801" s="84"/>
      <c r="G801" s="94">
        <f>cell_CoefGeneral</f>
        <v>1</v>
      </c>
      <c r="H801" s="93">
        <f>H43</f>
        <v>53</v>
      </c>
      <c r="I801" s="84">
        <f>IFERROR(ROUND(E801*H801,2),"-")</f>
        <v>0</v>
      </c>
      <c r="J801" s="105">
        <f>IFERROR(I801/cell_Total_HT,"-")</f>
        <v>0</v>
      </c>
      <c r="K801">
        <f>I801</f>
        <v>0</v>
      </c>
      <c r="L801"/>
      <c r="M801"/>
      <c r="N801"/>
      <c r="O801"/>
      <c r="P801"/>
      <c r="Q801"/>
      <c r="R801"/>
      <c r="S801"/>
      <c r="T801"/>
    </row>
    <row r="802" spans="1:20" outlineLevel="4" x14ac:dyDescent="0.3">
      <c r="A802" s="82" t="s">
        <v>1582</v>
      </c>
      <c r="B802" s="10" t="s">
        <v>180</v>
      </c>
      <c r="C802" s="60" t="s">
        <v>181</v>
      </c>
      <c r="D802" s="44" t="s">
        <v>141</v>
      </c>
      <c r="E802" s="84">
        <v>0</v>
      </c>
      <c r="F802" s="84"/>
      <c r="G802" s="94">
        <f>cell_CoefGeneral</f>
        <v>1</v>
      </c>
      <c r="H802" s="93">
        <f>H44</f>
        <v>53</v>
      </c>
      <c r="I802" s="84">
        <f>IFERROR(ROUND(E802*H802,2),"-")</f>
        <v>0</v>
      </c>
      <c r="J802" s="105">
        <f>IFERROR(I802/cell_Total_HT,"-")</f>
        <v>0</v>
      </c>
      <c r="K802">
        <f>I802</f>
        <v>0</v>
      </c>
      <c r="L802"/>
      <c r="M802"/>
      <c r="N802"/>
      <c r="O802"/>
      <c r="P802"/>
      <c r="Q802"/>
      <c r="R802"/>
      <c r="S802"/>
      <c r="T802"/>
    </row>
    <row r="803" spans="1:20" outlineLevel="3" x14ac:dyDescent="0.3">
      <c r="A803" s="82" t="s">
        <v>1583</v>
      </c>
      <c r="B803" s="58" t="s">
        <v>183</v>
      </c>
      <c r="C803" s="61" t="s">
        <v>184</v>
      </c>
      <c r="D803" s="115"/>
      <c r="E803" s="87"/>
      <c r="F803" s="87"/>
      <c r="G803" s="97"/>
      <c r="H803" s="87"/>
      <c r="I803" s="104">
        <f>SUBTOTAL(9,K804:K811)</f>
        <v>836</v>
      </c>
      <c r="J803" s="108"/>
      <c r="K803"/>
      <c r="L803"/>
      <c r="M803"/>
      <c r="N803"/>
      <c r="O803"/>
      <c r="P803"/>
      <c r="Q803"/>
      <c r="R803"/>
      <c r="S803"/>
      <c r="T803"/>
    </row>
    <row r="804" spans="1:20" outlineLevel="4" x14ac:dyDescent="0.3">
      <c r="A804" s="82" t="s">
        <v>1584</v>
      </c>
      <c r="B804" s="10" t="s">
        <v>186</v>
      </c>
      <c r="C804" s="60" t="s">
        <v>187</v>
      </c>
      <c r="D804" s="44" t="s">
        <v>121</v>
      </c>
      <c r="E804" s="84">
        <v>0</v>
      </c>
      <c r="F804" s="84"/>
      <c r="G804" s="94">
        <f t="shared" ref="G804:G812" si="122">cell_CoefGeneral</f>
        <v>1</v>
      </c>
      <c r="H804" s="93">
        <f t="shared" ref="H804:H812" si="123">H46</f>
        <v>90</v>
      </c>
      <c r="I804" s="84">
        <f t="shared" ref="I804:I812" si="124">IFERROR(ROUND(E804*H804,2),"-")</f>
        <v>0</v>
      </c>
      <c r="J804" s="105">
        <f t="shared" ref="J804:J812" si="125">IFERROR(I804/cell_Total_HT,"-")</f>
        <v>0</v>
      </c>
      <c r="K804">
        <f t="shared" ref="K804:K812" si="126">I804</f>
        <v>0</v>
      </c>
      <c r="L804"/>
      <c r="M804"/>
      <c r="N804"/>
      <c r="O804"/>
      <c r="P804"/>
      <c r="Q804"/>
      <c r="R804"/>
      <c r="S804"/>
      <c r="T804"/>
    </row>
    <row r="805" spans="1:20" outlineLevel="4" x14ac:dyDescent="0.3">
      <c r="A805" s="82" t="s">
        <v>1585</v>
      </c>
      <c r="B805" s="10" t="s">
        <v>189</v>
      </c>
      <c r="C805" s="60" t="s">
        <v>190</v>
      </c>
      <c r="D805" s="44" t="s">
        <v>121</v>
      </c>
      <c r="E805" s="84">
        <v>0</v>
      </c>
      <c r="F805" s="84"/>
      <c r="G805" s="94">
        <f t="shared" si="122"/>
        <v>1</v>
      </c>
      <c r="H805" s="93">
        <f t="shared" si="123"/>
        <v>90</v>
      </c>
      <c r="I805" s="84">
        <f t="shared" si="124"/>
        <v>0</v>
      </c>
      <c r="J805" s="105">
        <f t="shared" si="125"/>
        <v>0</v>
      </c>
      <c r="K805">
        <f t="shared" si="126"/>
        <v>0</v>
      </c>
      <c r="L805"/>
      <c r="M805"/>
      <c r="N805"/>
      <c r="O805"/>
      <c r="P805"/>
      <c r="Q805"/>
      <c r="R805"/>
      <c r="S805"/>
      <c r="T805"/>
    </row>
    <row r="806" spans="1:20" outlineLevel="4" x14ac:dyDescent="0.3">
      <c r="A806" s="82" t="s">
        <v>1586</v>
      </c>
      <c r="B806" s="10" t="s">
        <v>192</v>
      </c>
      <c r="C806" s="60" t="s">
        <v>193</v>
      </c>
      <c r="D806" s="44" t="s">
        <v>121</v>
      </c>
      <c r="E806" s="84">
        <v>0</v>
      </c>
      <c r="F806" s="84"/>
      <c r="G806" s="94">
        <f t="shared" si="122"/>
        <v>1</v>
      </c>
      <c r="H806" s="93">
        <f t="shared" si="123"/>
        <v>72</v>
      </c>
      <c r="I806" s="84">
        <f t="shared" si="124"/>
        <v>0</v>
      </c>
      <c r="J806" s="105">
        <f t="shared" si="125"/>
        <v>0</v>
      </c>
      <c r="K806">
        <f t="shared" si="126"/>
        <v>0</v>
      </c>
      <c r="L806"/>
      <c r="M806"/>
      <c r="N806"/>
      <c r="O806"/>
      <c r="P806"/>
      <c r="Q806"/>
      <c r="R806"/>
      <c r="S806"/>
      <c r="T806"/>
    </row>
    <row r="807" spans="1:20" outlineLevel="4" x14ac:dyDescent="0.3">
      <c r="A807" s="82" t="s">
        <v>1587</v>
      </c>
      <c r="B807" s="10" t="s">
        <v>195</v>
      </c>
      <c r="C807" s="60" t="s">
        <v>196</v>
      </c>
      <c r="D807" s="44" t="s">
        <v>121</v>
      </c>
      <c r="E807" s="84">
        <v>2</v>
      </c>
      <c r="F807" s="84"/>
      <c r="G807" s="94">
        <f t="shared" si="122"/>
        <v>1</v>
      </c>
      <c r="H807" s="93">
        <f t="shared" si="123"/>
        <v>71</v>
      </c>
      <c r="I807" s="84">
        <f t="shared" si="124"/>
        <v>142</v>
      </c>
      <c r="J807" s="105">
        <f t="shared" si="125"/>
        <v>4.1921646965706784E-5</v>
      </c>
      <c r="K807">
        <f t="shared" si="126"/>
        <v>142</v>
      </c>
      <c r="L807"/>
      <c r="M807"/>
      <c r="N807"/>
      <c r="O807"/>
      <c r="P807"/>
      <c r="Q807"/>
      <c r="R807"/>
      <c r="S807"/>
      <c r="T807"/>
    </row>
    <row r="808" spans="1:20" outlineLevel="4" x14ac:dyDescent="0.3">
      <c r="A808" s="82" t="s">
        <v>1588</v>
      </c>
      <c r="B808" s="10" t="s">
        <v>198</v>
      </c>
      <c r="C808" s="60" t="s">
        <v>199</v>
      </c>
      <c r="D808" s="44" t="s">
        <v>80</v>
      </c>
      <c r="E808" s="84">
        <v>55</v>
      </c>
      <c r="F808" s="84"/>
      <c r="G808" s="94">
        <f t="shared" si="122"/>
        <v>1</v>
      </c>
      <c r="H808" s="93">
        <f t="shared" si="123"/>
        <v>8.8000000000000007</v>
      </c>
      <c r="I808" s="84">
        <f t="shared" si="124"/>
        <v>484</v>
      </c>
      <c r="J808" s="105">
        <f t="shared" si="125"/>
        <v>1.4288786712254989E-4</v>
      </c>
      <c r="K808">
        <f t="shared" si="126"/>
        <v>484</v>
      </c>
      <c r="L808"/>
      <c r="M808"/>
      <c r="N808"/>
      <c r="O808"/>
      <c r="P808"/>
      <c r="Q808"/>
      <c r="R808"/>
      <c r="S808"/>
      <c r="T808"/>
    </row>
    <row r="809" spans="1:20" outlineLevel="4" x14ac:dyDescent="0.3">
      <c r="A809" s="82" t="s">
        <v>1589</v>
      </c>
      <c r="B809" s="10" t="s">
        <v>201</v>
      </c>
      <c r="C809" s="60" t="s">
        <v>202</v>
      </c>
      <c r="D809" s="44" t="s">
        <v>121</v>
      </c>
      <c r="E809" s="84">
        <v>1</v>
      </c>
      <c r="F809" s="84"/>
      <c r="G809" s="94">
        <f t="shared" si="122"/>
        <v>1</v>
      </c>
      <c r="H809" s="93">
        <f t="shared" si="123"/>
        <v>210</v>
      </c>
      <c r="I809" s="84">
        <f t="shared" si="124"/>
        <v>210</v>
      </c>
      <c r="J809" s="105">
        <f t="shared" si="125"/>
        <v>6.1996801850693138E-5</v>
      </c>
      <c r="K809">
        <f t="shared" si="126"/>
        <v>210</v>
      </c>
      <c r="L809"/>
      <c r="M809"/>
      <c r="N809"/>
      <c r="O809"/>
      <c r="P809"/>
      <c r="Q809"/>
      <c r="R809"/>
      <c r="S809"/>
      <c r="T809"/>
    </row>
    <row r="810" spans="1:20" outlineLevel="4" x14ac:dyDescent="0.3">
      <c r="A810" s="82" t="s">
        <v>1590</v>
      </c>
      <c r="B810" s="10" t="s">
        <v>204</v>
      </c>
      <c r="C810" s="60" t="s">
        <v>205</v>
      </c>
      <c r="D810" s="44" t="s">
        <v>121</v>
      </c>
      <c r="E810" s="84">
        <v>0</v>
      </c>
      <c r="F810" s="84"/>
      <c r="G810" s="94">
        <f t="shared" si="122"/>
        <v>1</v>
      </c>
      <c r="H810" s="93">
        <f t="shared" si="123"/>
        <v>100</v>
      </c>
      <c r="I810" s="84">
        <f t="shared" si="124"/>
        <v>0</v>
      </c>
      <c r="J810" s="105">
        <f t="shared" si="125"/>
        <v>0</v>
      </c>
      <c r="K810">
        <f t="shared" si="126"/>
        <v>0</v>
      </c>
      <c r="L810"/>
      <c r="M810"/>
      <c r="N810"/>
      <c r="O810"/>
      <c r="P810"/>
      <c r="Q810"/>
      <c r="R810"/>
      <c r="S810"/>
      <c r="T810"/>
    </row>
    <row r="811" spans="1:20" outlineLevel="4" x14ac:dyDescent="0.3">
      <c r="A811" s="82" t="s">
        <v>1591</v>
      </c>
      <c r="B811" s="10" t="s">
        <v>207</v>
      </c>
      <c r="C811" s="60" t="s">
        <v>208</v>
      </c>
      <c r="D811" s="44" t="s">
        <v>121</v>
      </c>
      <c r="E811" s="84">
        <v>0</v>
      </c>
      <c r="F811" s="84"/>
      <c r="G811" s="94">
        <f t="shared" si="122"/>
        <v>1</v>
      </c>
      <c r="H811" s="93">
        <f t="shared" si="123"/>
        <v>140</v>
      </c>
      <c r="I811" s="84">
        <f t="shared" si="124"/>
        <v>0</v>
      </c>
      <c r="J811" s="105">
        <f t="shared" si="125"/>
        <v>0</v>
      </c>
      <c r="K811">
        <f t="shared" si="126"/>
        <v>0</v>
      </c>
      <c r="L811"/>
      <c r="M811"/>
      <c r="N811"/>
      <c r="O811"/>
      <c r="P811"/>
      <c r="Q811"/>
      <c r="R811"/>
      <c r="S811"/>
      <c r="T811"/>
    </row>
    <row r="812" spans="1:20" ht="28.8" outlineLevel="3" x14ac:dyDescent="0.3">
      <c r="A812" s="82" t="s">
        <v>1592</v>
      </c>
      <c r="B812" s="10" t="s">
        <v>210</v>
      </c>
      <c r="C812" s="60" t="s">
        <v>211</v>
      </c>
      <c r="D812" s="44" t="s">
        <v>93</v>
      </c>
      <c r="E812" s="84">
        <v>0</v>
      </c>
      <c r="F812" s="84"/>
      <c r="G812" s="94">
        <f t="shared" si="122"/>
        <v>1</v>
      </c>
      <c r="H812" s="93">
        <f t="shared" si="123"/>
        <v>9200</v>
      </c>
      <c r="I812" s="84">
        <f t="shared" si="124"/>
        <v>0</v>
      </c>
      <c r="J812" s="105">
        <f t="shared" si="125"/>
        <v>0</v>
      </c>
      <c r="K812">
        <f t="shared" si="126"/>
        <v>0</v>
      </c>
      <c r="L812"/>
      <c r="M812"/>
      <c r="N812"/>
      <c r="O812"/>
      <c r="P812"/>
      <c r="Q812"/>
      <c r="R812"/>
      <c r="S812"/>
      <c r="T812"/>
    </row>
    <row r="813" spans="1:20" outlineLevel="3" x14ac:dyDescent="0.3">
      <c r="A813" s="82" t="s">
        <v>1593</v>
      </c>
      <c r="B813" s="58" t="s">
        <v>213</v>
      </c>
      <c r="C813" s="61" t="s">
        <v>214</v>
      </c>
      <c r="D813" s="115"/>
      <c r="E813" s="87"/>
      <c r="F813" s="87"/>
      <c r="G813" s="97"/>
      <c r="H813" s="87"/>
      <c r="I813" s="104">
        <f>SUBTOTAL(9,K814:K815)</f>
        <v>0</v>
      </c>
      <c r="J813" s="108"/>
      <c r="K813"/>
      <c r="L813"/>
      <c r="M813"/>
      <c r="N813"/>
      <c r="O813"/>
      <c r="P813"/>
      <c r="Q813"/>
      <c r="R813"/>
      <c r="S813"/>
      <c r="T813"/>
    </row>
    <row r="814" spans="1:20" outlineLevel="4" x14ac:dyDescent="0.3">
      <c r="A814" s="82" t="s">
        <v>1594</v>
      </c>
      <c r="B814" s="10" t="s">
        <v>216</v>
      </c>
      <c r="C814" s="60" t="s">
        <v>217</v>
      </c>
      <c r="D814" s="44" t="s">
        <v>93</v>
      </c>
      <c r="E814" s="84">
        <v>0</v>
      </c>
      <c r="F814" s="84"/>
      <c r="G814" s="94">
        <f>cell_CoefGeneral</f>
        <v>1</v>
      </c>
      <c r="H814" s="93">
        <f>H56</f>
        <v>3300</v>
      </c>
      <c r="I814" s="84">
        <f>IFERROR(ROUND(E814*H814,2),"-")</f>
        <v>0</v>
      </c>
      <c r="J814" s="105">
        <f>IFERROR(I814/cell_Total_HT,"-")</f>
        <v>0</v>
      </c>
      <c r="K814">
        <f>I814</f>
        <v>0</v>
      </c>
      <c r="L814"/>
      <c r="M814"/>
      <c r="N814"/>
      <c r="O814"/>
      <c r="P814"/>
      <c r="Q814"/>
      <c r="R814"/>
      <c r="S814"/>
      <c r="T814"/>
    </row>
    <row r="815" spans="1:20" outlineLevel="4" x14ac:dyDescent="0.3">
      <c r="A815" s="82" t="s">
        <v>1595</v>
      </c>
      <c r="B815" s="10" t="s">
        <v>219</v>
      </c>
      <c r="C815" s="60" t="s">
        <v>220</v>
      </c>
      <c r="D815" s="44" t="s">
        <v>93</v>
      </c>
      <c r="E815" s="84">
        <v>0</v>
      </c>
      <c r="F815" s="84"/>
      <c r="G815" s="94">
        <f>cell_CoefGeneral</f>
        <v>1</v>
      </c>
      <c r="H815" s="93">
        <f>H57</f>
        <v>4100</v>
      </c>
      <c r="I815" s="84">
        <f>IFERROR(ROUND(E815*H815,2),"-")</f>
        <v>0</v>
      </c>
      <c r="J815" s="105">
        <f>IFERROR(I815/cell_Total_HT,"-")</f>
        <v>0</v>
      </c>
      <c r="K815">
        <f>I815</f>
        <v>0</v>
      </c>
      <c r="L815"/>
      <c r="M815"/>
      <c r="N815"/>
      <c r="O815"/>
      <c r="P815"/>
      <c r="Q815"/>
      <c r="R815"/>
      <c r="S815"/>
      <c r="T815"/>
    </row>
    <row r="816" spans="1:20" outlineLevel="3" x14ac:dyDescent="0.3">
      <c r="A816" s="82" t="s">
        <v>1596</v>
      </c>
      <c r="B816" s="10" t="s">
        <v>222</v>
      </c>
      <c r="C816" s="60" t="s">
        <v>223</v>
      </c>
      <c r="D816" s="44" t="s">
        <v>154</v>
      </c>
      <c r="E816" s="84">
        <v>0</v>
      </c>
      <c r="F816" s="84"/>
      <c r="G816" s="94">
        <f>cell_CoefGeneral</f>
        <v>1</v>
      </c>
      <c r="H816" s="93">
        <f>H58</f>
        <v>170</v>
      </c>
      <c r="I816" s="84">
        <f>IFERROR(ROUND(E816*H816,2),"-")</f>
        <v>0</v>
      </c>
      <c r="J816" s="105">
        <f>IFERROR(I816/cell_Total_HT,"-")</f>
        <v>0</v>
      </c>
      <c r="K816">
        <f>I816</f>
        <v>0</v>
      </c>
      <c r="L816"/>
      <c r="M816"/>
      <c r="N816"/>
      <c r="O816"/>
      <c r="P816"/>
      <c r="Q816"/>
      <c r="R816"/>
      <c r="S816"/>
      <c r="T816"/>
    </row>
    <row r="817" spans="1:20" outlineLevel="3" x14ac:dyDescent="0.3">
      <c r="A817" s="82" t="s">
        <v>1597</v>
      </c>
      <c r="B817" s="58" t="s">
        <v>225</v>
      </c>
      <c r="C817" s="61" t="s">
        <v>226</v>
      </c>
      <c r="D817" s="115"/>
      <c r="E817" s="87"/>
      <c r="F817" s="87"/>
      <c r="G817" s="97"/>
      <c r="H817" s="87"/>
      <c r="I817" s="104">
        <f>SUBTOTAL(9,K818:K819)</f>
        <v>1940</v>
      </c>
      <c r="J817" s="108"/>
      <c r="K817"/>
      <c r="L817"/>
      <c r="M817"/>
      <c r="N817"/>
      <c r="O817"/>
      <c r="P817"/>
      <c r="Q817"/>
      <c r="R817"/>
      <c r="S817"/>
      <c r="T817"/>
    </row>
    <row r="818" spans="1:20" ht="28.8" outlineLevel="4" x14ac:dyDescent="0.3">
      <c r="A818" s="82" t="s">
        <v>1598</v>
      </c>
      <c r="B818" s="10" t="s">
        <v>228</v>
      </c>
      <c r="C818" s="60" t="s">
        <v>229</v>
      </c>
      <c r="D818" s="44" t="s">
        <v>121</v>
      </c>
      <c r="E818" s="84">
        <v>2</v>
      </c>
      <c r="F818" s="84"/>
      <c r="G818" s="94">
        <f>cell_CoefGeneral</f>
        <v>1</v>
      </c>
      <c r="H818" s="93">
        <f>H60</f>
        <v>200</v>
      </c>
      <c r="I818" s="84">
        <f>IFERROR(ROUND(E818*H818,2),"-")</f>
        <v>400</v>
      </c>
      <c r="J818" s="105">
        <f>IFERROR(I818/cell_Total_HT,"-")</f>
        <v>1.1808914638227264E-4</v>
      </c>
      <c r="K818">
        <f>I818</f>
        <v>400</v>
      </c>
      <c r="L818"/>
      <c r="M818"/>
      <c r="N818"/>
      <c r="O818"/>
      <c r="P818"/>
      <c r="Q818"/>
      <c r="R818"/>
      <c r="S818"/>
      <c r="T818"/>
    </row>
    <row r="819" spans="1:20" ht="15" outlineLevel="4" thickBot="1" x14ac:dyDescent="0.35">
      <c r="A819" s="82" t="s">
        <v>1599</v>
      </c>
      <c r="B819" s="10" t="s">
        <v>231</v>
      </c>
      <c r="C819" s="60" t="s">
        <v>232</v>
      </c>
      <c r="D819" s="44" t="s">
        <v>121</v>
      </c>
      <c r="E819" s="84">
        <v>7</v>
      </c>
      <c r="F819" s="84"/>
      <c r="G819" s="94">
        <f>cell_CoefGeneral</f>
        <v>1</v>
      </c>
      <c r="H819" s="93">
        <f>H61</f>
        <v>220</v>
      </c>
      <c r="I819" s="84">
        <f>IFERROR(ROUND(E819*H819,2),"-")</f>
        <v>1540</v>
      </c>
      <c r="J819" s="105">
        <f>IFERROR(I819/cell_Total_HT,"-")</f>
        <v>4.5464321357174966E-4</v>
      </c>
      <c r="K819">
        <f>I819</f>
        <v>1540</v>
      </c>
      <c r="L819"/>
      <c r="M819"/>
      <c r="N819"/>
      <c r="O819"/>
      <c r="P819"/>
      <c r="Q819"/>
      <c r="R819"/>
      <c r="S819"/>
      <c r="T819"/>
    </row>
    <row r="820" spans="1:20" ht="15" outlineLevel="2" thickTop="1" x14ac:dyDescent="0.3">
      <c r="A820" s="82" t="s">
        <v>1600</v>
      </c>
      <c r="B820" s="62" t="s">
        <v>60</v>
      </c>
      <c r="C820" s="63" t="s">
        <v>234</v>
      </c>
      <c r="D820" s="116"/>
      <c r="E820" s="88"/>
      <c r="F820" s="88"/>
      <c r="G820" s="98"/>
      <c r="H820" s="88"/>
      <c r="I820" s="88">
        <f>SUBTOTAL(9,I783:I819)</f>
        <v>29732.5</v>
      </c>
      <c r="J820" s="109"/>
      <c r="K820"/>
      <c r="L820"/>
      <c r="M820"/>
      <c r="N820"/>
      <c r="O820"/>
      <c r="P820"/>
      <c r="Q820"/>
      <c r="R820"/>
      <c r="S820"/>
      <c r="T820"/>
    </row>
    <row r="821" spans="1:20" outlineLevel="2" x14ac:dyDescent="0.3">
      <c r="A821" s="82" t="s">
        <v>1601</v>
      </c>
      <c r="B821" s="64" t="s">
        <v>236</v>
      </c>
      <c r="C821" s="65" t="s">
        <v>237</v>
      </c>
      <c r="D821" s="117"/>
      <c r="E821" s="87"/>
      <c r="F821" s="87"/>
      <c r="G821" s="97"/>
      <c r="H821" s="87"/>
      <c r="I821" s="104">
        <f>SUBTOTAL(9,K822:K841)</f>
        <v>70411.399999999994</v>
      </c>
      <c r="J821" s="108"/>
      <c r="K821"/>
      <c r="L821"/>
      <c r="M821"/>
      <c r="N821"/>
      <c r="O821"/>
      <c r="P821"/>
      <c r="Q821"/>
      <c r="R821"/>
      <c r="S821"/>
      <c r="T821"/>
    </row>
    <row r="822" spans="1:20" outlineLevel="3" x14ac:dyDescent="0.3">
      <c r="A822" s="82" t="s">
        <v>1602</v>
      </c>
      <c r="B822" s="10" t="s">
        <v>239</v>
      </c>
      <c r="C822" s="60" t="s">
        <v>240</v>
      </c>
      <c r="D822" s="44" t="s">
        <v>93</v>
      </c>
      <c r="E822" s="84">
        <v>0</v>
      </c>
      <c r="F822" s="84"/>
      <c r="G822" s="94">
        <f t="shared" ref="G822:G829" si="127">cell_CoefGeneral</f>
        <v>1</v>
      </c>
      <c r="H822" s="93">
        <f t="shared" ref="H822:H829" si="128">H64</f>
        <v>36000</v>
      </c>
      <c r="I822" s="84">
        <f t="shared" ref="I822:I829" si="129">IFERROR(ROUND(E822*H822,2),"-")</f>
        <v>0</v>
      </c>
      <c r="J822" s="105">
        <f t="shared" ref="J822:J829" si="130">IFERROR(I822/cell_Total_HT,"-")</f>
        <v>0</v>
      </c>
      <c r="K822">
        <f t="shared" ref="K822:K829" si="131">I822</f>
        <v>0</v>
      </c>
      <c r="L822"/>
      <c r="M822"/>
      <c r="N822"/>
      <c r="O822"/>
      <c r="P822"/>
      <c r="Q822"/>
      <c r="R822"/>
      <c r="S822"/>
      <c r="T822"/>
    </row>
    <row r="823" spans="1:20" outlineLevel="3" x14ac:dyDescent="0.3">
      <c r="A823" s="82" t="s">
        <v>1603</v>
      </c>
      <c r="B823" s="10" t="s">
        <v>242</v>
      </c>
      <c r="C823" s="60" t="s">
        <v>243</v>
      </c>
      <c r="D823" s="44" t="s">
        <v>141</v>
      </c>
      <c r="E823" s="84">
        <v>1516</v>
      </c>
      <c r="F823" s="84"/>
      <c r="G823" s="94">
        <f t="shared" si="127"/>
        <v>1</v>
      </c>
      <c r="H823" s="93">
        <f t="shared" si="128"/>
        <v>8</v>
      </c>
      <c r="I823" s="84">
        <f t="shared" si="129"/>
        <v>12128</v>
      </c>
      <c r="J823" s="105">
        <f t="shared" si="130"/>
        <v>3.5804629183105066E-3</v>
      </c>
      <c r="K823">
        <f t="shared" si="131"/>
        <v>12128</v>
      </c>
      <c r="L823"/>
      <c r="M823"/>
      <c r="N823"/>
      <c r="O823"/>
      <c r="P823"/>
      <c r="Q823"/>
      <c r="R823"/>
      <c r="S823"/>
      <c r="T823"/>
    </row>
    <row r="824" spans="1:20" ht="28.8" outlineLevel="3" x14ac:dyDescent="0.3">
      <c r="A824" s="82" t="s">
        <v>1604</v>
      </c>
      <c r="B824" s="10" t="s">
        <v>245</v>
      </c>
      <c r="C824" s="60" t="s">
        <v>246</v>
      </c>
      <c r="D824" s="44" t="s">
        <v>141</v>
      </c>
      <c r="E824" s="84">
        <v>0</v>
      </c>
      <c r="F824" s="84"/>
      <c r="G824" s="94">
        <f t="shared" si="127"/>
        <v>1</v>
      </c>
      <c r="H824" s="93">
        <f t="shared" si="128"/>
        <v>4.9000000000000004</v>
      </c>
      <c r="I824" s="84">
        <f t="shared" si="129"/>
        <v>0</v>
      </c>
      <c r="J824" s="105">
        <f t="shared" si="130"/>
        <v>0</v>
      </c>
      <c r="K824">
        <f t="shared" si="131"/>
        <v>0</v>
      </c>
      <c r="L824"/>
      <c r="M824"/>
      <c r="N824"/>
      <c r="O824"/>
      <c r="P824"/>
      <c r="Q824"/>
      <c r="R824"/>
      <c r="S824"/>
      <c r="T824"/>
    </row>
    <row r="825" spans="1:20" outlineLevel="3" x14ac:dyDescent="0.3">
      <c r="A825" s="82" t="s">
        <v>1605</v>
      </c>
      <c r="B825" s="10" t="s">
        <v>248</v>
      </c>
      <c r="C825" s="60" t="s">
        <v>249</v>
      </c>
      <c r="D825" s="44" t="s">
        <v>141</v>
      </c>
      <c r="E825" s="84">
        <v>283</v>
      </c>
      <c r="F825" s="84"/>
      <c r="G825" s="94">
        <f t="shared" si="127"/>
        <v>1</v>
      </c>
      <c r="H825" s="93">
        <f t="shared" si="128"/>
        <v>9</v>
      </c>
      <c r="I825" s="84">
        <f t="shared" si="129"/>
        <v>2547</v>
      </c>
      <c r="J825" s="105">
        <f t="shared" si="130"/>
        <v>7.51932639589121E-4</v>
      </c>
      <c r="K825">
        <f t="shared" si="131"/>
        <v>2547</v>
      </c>
      <c r="L825"/>
      <c r="M825"/>
      <c r="N825"/>
      <c r="O825"/>
      <c r="P825"/>
      <c r="Q825"/>
      <c r="R825"/>
      <c r="S825"/>
      <c r="T825"/>
    </row>
    <row r="826" spans="1:20" outlineLevel="3" x14ac:dyDescent="0.3">
      <c r="A826" s="82" t="s">
        <v>1606</v>
      </c>
      <c r="B826" s="10" t="s">
        <v>251</v>
      </c>
      <c r="C826" s="60" t="s">
        <v>252</v>
      </c>
      <c r="D826" s="44" t="s">
        <v>141</v>
      </c>
      <c r="E826" s="84">
        <v>0</v>
      </c>
      <c r="F826" s="84"/>
      <c r="G826" s="94">
        <f t="shared" si="127"/>
        <v>1</v>
      </c>
      <c r="H826" s="93">
        <f t="shared" si="128"/>
        <v>10</v>
      </c>
      <c r="I826" s="84">
        <f t="shared" si="129"/>
        <v>0</v>
      </c>
      <c r="J826" s="105">
        <f t="shared" si="130"/>
        <v>0</v>
      </c>
      <c r="K826">
        <f t="shared" si="131"/>
        <v>0</v>
      </c>
      <c r="L826"/>
      <c r="M826"/>
      <c r="N826"/>
      <c r="O826"/>
      <c r="P826"/>
      <c r="Q826"/>
      <c r="R826"/>
      <c r="S826"/>
      <c r="T826"/>
    </row>
    <row r="827" spans="1:20" outlineLevel="3" x14ac:dyDescent="0.3">
      <c r="A827" s="82" t="s">
        <v>1607</v>
      </c>
      <c r="B827" s="10" t="s">
        <v>254</v>
      </c>
      <c r="C827" s="60" t="s">
        <v>255</v>
      </c>
      <c r="D827" s="44" t="s">
        <v>141</v>
      </c>
      <c r="E827" s="84">
        <v>0</v>
      </c>
      <c r="F827" s="84"/>
      <c r="G827" s="94">
        <f t="shared" si="127"/>
        <v>1</v>
      </c>
      <c r="H827" s="93">
        <f t="shared" si="128"/>
        <v>13</v>
      </c>
      <c r="I827" s="84">
        <f t="shared" si="129"/>
        <v>0</v>
      </c>
      <c r="J827" s="105">
        <f t="shared" si="130"/>
        <v>0</v>
      </c>
      <c r="K827">
        <f t="shared" si="131"/>
        <v>0</v>
      </c>
      <c r="L827"/>
      <c r="M827"/>
      <c r="N827"/>
      <c r="O827"/>
      <c r="P827"/>
      <c r="Q827"/>
      <c r="R827"/>
      <c r="S827"/>
      <c r="T827"/>
    </row>
    <row r="828" spans="1:20" outlineLevel="3" x14ac:dyDescent="0.3">
      <c r="A828" s="82" t="s">
        <v>1608</v>
      </c>
      <c r="B828" s="10" t="s">
        <v>257</v>
      </c>
      <c r="C828" s="60" t="s">
        <v>258</v>
      </c>
      <c r="D828" s="44" t="s">
        <v>141</v>
      </c>
      <c r="E828" s="84">
        <v>6</v>
      </c>
      <c r="F828" s="84"/>
      <c r="G828" s="94">
        <f t="shared" si="127"/>
        <v>1</v>
      </c>
      <c r="H828" s="93">
        <f t="shared" si="128"/>
        <v>11</v>
      </c>
      <c r="I828" s="84">
        <f t="shared" si="129"/>
        <v>66</v>
      </c>
      <c r="J828" s="105">
        <f t="shared" si="130"/>
        <v>1.9484709153074986E-5</v>
      </c>
      <c r="K828">
        <f t="shared" si="131"/>
        <v>66</v>
      </c>
      <c r="L828"/>
      <c r="M828"/>
      <c r="N828"/>
      <c r="O828"/>
      <c r="P828"/>
      <c r="Q828"/>
      <c r="R828"/>
      <c r="S828"/>
      <c r="T828"/>
    </row>
    <row r="829" spans="1:20" outlineLevel="3" x14ac:dyDescent="0.3">
      <c r="A829" s="82" t="s">
        <v>1609</v>
      </c>
      <c r="B829" s="10" t="s">
        <v>260</v>
      </c>
      <c r="C829" s="60" t="s">
        <v>261</v>
      </c>
      <c r="D829" s="44" t="s">
        <v>141</v>
      </c>
      <c r="E829" s="84">
        <v>0</v>
      </c>
      <c r="F829" s="84"/>
      <c r="G829" s="94">
        <f t="shared" si="127"/>
        <v>1</v>
      </c>
      <c r="H829" s="93">
        <f t="shared" si="128"/>
        <v>7.5</v>
      </c>
      <c r="I829" s="84">
        <f t="shared" si="129"/>
        <v>0</v>
      </c>
      <c r="J829" s="105">
        <f t="shared" si="130"/>
        <v>0</v>
      </c>
      <c r="K829">
        <f t="shared" si="131"/>
        <v>0</v>
      </c>
      <c r="L829"/>
      <c r="M829"/>
      <c r="N829"/>
      <c r="O829"/>
      <c r="P829"/>
      <c r="Q829"/>
      <c r="R829"/>
      <c r="S829"/>
      <c r="T829"/>
    </row>
    <row r="830" spans="1:20" outlineLevel="3" x14ac:dyDescent="0.3">
      <c r="A830" s="82" t="s">
        <v>1610</v>
      </c>
      <c r="B830" s="58" t="s">
        <v>263</v>
      </c>
      <c r="C830" s="61" t="s">
        <v>264</v>
      </c>
      <c r="D830" s="115"/>
      <c r="E830" s="87"/>
      <c r="F830" s="87"/>
      <c r="G830" s="97"/>
      <c r="H830" s="87"/>
      <c r="I830" s="104">
        <f>SUBTOTAL(9,K831:K835)</f>
        <v>21780</v>
      </c>
      <c r="J830" s="108"/>
      <c r="K830"/>
      <c r="L830"/>
      <c r="M830"/>
      <c r="N830"/>
      <c r="O830"/>
      <c r="P830"/>
      <c r="Q830"/>
      <c r="R830"/>
      <c r="S830"/>
      <c r="T830"/>
    </row>
    <row r="831" spans="1:20" outlineLevel="4" x14ac:dyDescent="0.3">
      <c r="A831" s="82" t="s">
        <v>1611</v>
      </c>
      <c r="B831" s="10" t="s">
        <v>266</v>
      </c>
      <c r="C831" s="60" t="s">
        <v>267</v>
      </c>
      <c r="D831" s="44" t="s">
        <v>268</v>
      </c>
      <c r="E831" s="84">
        <v>1980</v>
      </c>
      <c r="F831" s="84"/>
      <c r="G831" s="94">
        <f t="shared" ref="G831:G841" si="132">cell_CoefGeneral</f>
        <v>1</v>
      </c>
      <c r="H831" s="93">
        <f t="shared" ref="H831:H841" si="133">H73</f>
        <v>11</v>
      </c>
      <c r="I831" s="84">
        <f t="shared" ref="I831:I841" si="134">IFERROR(ROUND(E831*H831,2),"-")</f>
        <v>21780</v>
      </c>
      <c r="J831" s="105">
        <f t="shared" ref="J831:J841" si="135">IFERROR(I831/cell_Total_HT,"-")</f>
        <v>6.4299540205147452E-3</v>
      </c>
      <c r="K831">
        <f t="shared" ref="K831:K841" si="136">I831</f>
        <v>21780</v>
      </c>
      <c r="L831"/>
      <c r="M831"/>
      <c r="N831"/>
      <c r="O831"/>
      <c r="P831"/>
      <c r="Q831"/>
      <c r="R831"/>
      <c r="S831"/>
      <c r="T831"/>
    </row>
    <row r="832" spans="1:20" outlineLevel="4" x14ac:dyDescent="0.3">
      <c r="A832" s="82" t="s">
        <v>1612</v>
      </c>
      <c r="B832" s="10" t="s">
        <v>270</v>
      </c>
      <c r="C832" s="60" t="s">
        <v>271</v>
      </c>
      <c r="D832" s="44" t="s">
        <v>268</v>
      </c>
      <c r="E832" s="84">
        <v>0</v>
      </c>
      <c r="F832" s="84"/>
      <c r="G832" s="94">
        <f t="shared" si="132"/>
        <v>1</v>
      </c>
      <c r="H832" s="93">
        <f t="shared" si="133"/>
        <v>46</v>
      </c>
      <c r="I832" s="84">
        <f t="shared" si="134"/>
        <v>0</v>
      </c>
      <c r="J832" s="105">
        <f t="shared" si="135"/>
        <v>0</v>
      </c>
      <c r="K832">
        <f t="shared" si="136"/>
        <v>0</v>
      </c>
      <c r="L832"/>
      <c r="M832"/>
      <c r="N832"/>
      <c r="O832"/>
      <c r="P832"/>
      <c r="Q832"/>
      <c r="R832"/>
      <c r="S832"/>
      <c r="T832"/>
    </row>
    <row r="833" spans="1:20" outlineLevel="4" x14ac:dyDescent="0.3">
      <c r="A833" s="82" t="s">
        <v>1613</v>
      </c>
      <c r="B833" s="10" t="s">
        <v>273</v>
      </c>
      <c r="C833" s="60" t="s">
        <v>274</v>
      </c>
      <c r="D833" s="44" t="s">
        <v>268</v>
      </c>
      <c r="E833" s="84">
        <v>0</v>
      </c>
      <c r="F833" s="84"/>
      <c r="G833" s="94">
        <f t="shared" si="132"/>
        <v>1</v>
      </c>
      <c r="H833" s="93">
        <f t="shared" si="133"/>
        <v>56</v>
      </c>
      <c r="I833" s="84">
        <f t="shared" si="134"/>
        <v>0</v>
      </c>
      <c r="J833" s="105">
        <f t="shared" si="135"/>
        <v>0</v>
      </c>
      <c r="K833">
        <f t="shared" si="136"/>
        <v>0</v>
      </c>
      <c r="L833"/>
      <c r="M833"/>
      <c r="N833"/>
      <c r="O833"/>
      <c r="P833"/>
      <c r="Q833"/>
      <c r="R833"/>
      <c r="S833"/>
      <c r="T833"/>
    </row>
    <row r="834" spans="1:20" outlineLevel="4" x14ac:dyDescent="0.3">
      <c r="A834" s="82" t="s">
        <v>1614</v>
      </c>
      <c r="B834" s="10" t="s">
        <v>276</v>
      </c>
      <c r="C834" s="60" t="s">
        <v>277</v>
      </c>
      <c r="D834" s="44" t="s">
        <v>268</v>
      </c>
      <c r="E834" s="84">
        <v>0</v>
      </c>
      <c r="F834" s="84"/>
      <c r="G834" s="94">
        <f t="shared" si="132"/>
        <v>1</v>
      </c>
      <c r="H834" s="93">
        <f t="shared" si="133"/>
        <v>150</v>
      </c>
      <c r="I834" s="84">
        <f t="shared" si="134"/>
        <v>0</v>
      </c>
      <c r="J834" s="105">
        <f t="shared" si="135"/>
        <v>0</v>
      </c>
      <c r="K834">
        <f t="shared" si="136"/>
        <v>0</v>
      </c>
      <c r="L834"/>
      <c r="M834"/>
      <c r="N834"/>
      <c r="O834"/>
      <c r="P834"/>
      <c r="Q834"/>
      <c r="R834"/>
      <c r="S834"/>
      <c r="T834"/>
    </row>
    <row r="835" spans="1:20" outlineLevel="4" x14ac:dyDescent="0.3">
      <c r="A835" s="82" t="s">
        <v>1615</v>
      </c>
      <c r="B835" s="10" t="s">
        <v>279</v>
      </c>
      <c r="C835" s="60" t="s">
        <v>280</v>
      </c>
      <c r="D835" s="44" t="s">
        <v>268</v>
      </c>
      <c r="E835" s="84">
        <v>0</v>
      </c>
      <c r="F835" s="84"/>
      <c r="G835" s="94">
        <f t="shared" si="132"/>
        <v>1</v>
      </c>
      <c r="H835" s="93">
        <f t="shared" si="133"/>
        <v>56</v>
      </c>
      <c r="I835" s="84">
        <f t="shared" si="134"/>
        <v>0</v>
      </c>
      <c r="J835" s="105">
        <f t="shared" si="135"/>
        <v>0</v>
      </c>
      <c r="K835">
        <f t="shared" si="136"/>
        <v>0</v>
      </c>
      <c r="L835"/>
      <c r="M835"/>
      <c r="N835"/>
      <c r="O835"/>
      <c r="P835"/>
      <c r="Q835"/>
      <c r="R835"/>
      <c r="S835"/>
      <c r="T835"/>
    </row>
    <row r="836" spans="1:20" outlineLevel="3" x14ac:dyDescent="0.3">
      <c r="A836" s="82" t="s">
        <v>1616</v>
      </c>
      <c r="B836" s="10" t="s">
        <v>282</v>
      </c>
      <c r="C836" s="60" t="s">
        <v>283</v>
      </c>
      <c r="D836" s="44" t="s">
        <v>128</v>
      </c>
      <c r="E836" s="84">
        <v>42</v>
      </c>
      <c r="F836" s="84"/>
      <c r="G836" s="94">
        <f t="shared" si="132"/>
        <v>1</v>
      </c>
      <c r="H836" s="93">
        <f t="shared" si="133"/>
        <v>1.7</v>
      </c>
      <c r="I836" s="84">
        <f t="shared" si="134"/>
        <v>71.400000000000006</v>
      </c>
      <c r="J836" s="105">
        <f t="shared" si="135"/>
        <v>2.1078912629235669E-5</v>
      </c>
      <c r="K836">
        <f t="shared" si="136"/>
        <v>71.400000000000006</v>
      </c>
      <c r="L836"/>
      <c r="M836"/>
      <c r="N836"/>
      <c r="O836"/>
      <c r="P836"/>
      <c r="Q836"/>
      <c r="R836"/>
      <c r="S836"/>
      <c r="T836"/>
    </row>
    <row r="837" spans="1:20" outlineLevel="3" x14ac:dyDescent="0.3">
      <c r="A837" s="82" t="s">
        <v>1617</v>
      </c>
      <c r="B837" s="10" t="s">
        <v>285</v>
      </c>
      <c r="C837" s="60" t="s">
        <v>286</v>
      </c>
      <c r="D837" s="44" t="s">
        <v>141</v>
      </c>
      <c r="E837" s="84">
        <v>225</v>
      </c>
      <c r="F837" s="84"/>
      <c r="G837" s="94">
        <f t="shared" si="132"/>
        <v>1</v>
      </c>
      <c r="H837" s="93">
        <f t="shared" si="133"/>
        <v>13</v>
      </c>
      <c r="I837" s="84">
        <f t="shared" si="134"/>
        <v>2925</v>
      </c>
      <c r="J837" s="105">
        <f t="shared" si="135"/>
        <v>8.6352688292036864E-4</v>
      </c>
      <c r="K837">
        <f t="shared" si="136"/>
        <v>2925</v>
      </c>
      <c r="L837"/>
      <c r="M837"/>
      <c r="N837"/>
      <c r="O837"/>
      <c r="P837"/>
      <c r="Q837"/>
      <c r="R837"/>
      <c r="S837"/>
      <c r="T837"/>
    </row>
    <row r="838" spans="1:20" outlineLevel="3" x14ac:dyDescent="0.3">
      <c r="A838" s="82" t="s">
        <v>1618</v>
      </c>
      <c r="B838" s="10" t="s">
        <v>288</v>
      </c>
      <c r="C838" s="60" t="s">
        <v>289</v>
      </c>
      <c r="D838" s="44" t="s">
        <v>141</v>
      </c>
      <c r="E838" s="84">
        <v>0</v>
      </c>
      <c r="F838" s="84"/>
      <c r="G838" s="94">
        <f t="shared" si="132"/>
        <v>1</v>
      </c>
      <c r="H838" s="93">
        <f t="shared" si="133"/>
        <v>14</v>
      </c>
      <c r="I838" s="84">
        <f t="shared" si="134"/>
        <v>0</v>
      </c>
      <c r="J838" s="105">
        <f t="shared" si="135"/>
        <v>0</v>
      </c>
      <c r="K838">
        <f t="shared" si="136"/>
        <v>0</v>
      </c>
      <c r="L838"/>
      <c r="M838"/>
      <c r="N838"/>
      <c r="O838"/>
      <c r="P838"/>
      <c r="Q838"/>
      <c r="R838"/>
      <c r="S838"/>
      <c r="T838"/>
    </row>
    <row r="839" spans="1:20" outlineLevel="3" x14ac:dyDescent="0.3">
      <c r="A839" s="82" t="s">
        <v>1619</v>
      </c>
      <c r="B839" s="10" t="s">
        <v>291</v>
      </c>
      <c r="C839" s="60" t="s">
        <v>292</v>
      </c>
      <c r="D839" s="44" t="s">
        <v>141</v>
      </c>
      <c r="E839" s="84">
        <v>0</v>
      </c>
      <c r="F839" s="84"/>
      <c r="G839" s="94">
        <f t="shared" si="132"/>
        <v>1</v>
      </c>
      <c r="H839" s="93">
        <f t="shared" si="133"/>
        <v>29</v>
      </c>
      <c r="I839" s="84">
        <f t="shared" si="134"/>
        <v>0</v>
      </c>
      <c r="J839" s="105">
        <f t="shared" si="135"/>
        <v>0</v>
      </c>
      <c r="K839">
        <f t="shared" si="136"/>
        <v>0</v>
      </c>
      <c r="L839"/>
      <c r="M839"/>
      <c r="N839"/>
      <c r="O839"/>
      <c r="P839"/>
      <c r="Q839"/>
      <c r="R839"/>
      <c r="S839"/>
      <c r="T839"/>
    </row>
    <row r="840" spans="1:20" ht="28.8" outlineLevel="3" x14ac:dyDescent="0.3">
      <c r="A840" s="82" t="s">
        <v>1620</v>
      </c>
      <c r="B840" s="10" t="s">
        <v>294</v>
      </c>
      <c r="C840" s="60" t="s">
        <v>295</v>
      </c>
      <c r="D840" s="44" t="s">
        <v>141</v>
      </c>
      <c r="E840" s="84">
        <v>813</v>
      </c>
      <c r="F840" s="84"/>
      <c r="G840" s="94">
        <f t="shared" si="132"/>
        <v>1</v>
      </c>
      <c r="H840" s="93">
        <f t="shared" si="133"/>
        <v>38</v>
      </c>
      <c r="I840" s="84">
        <f t="shared" si="134"/>
        <v>30894</v>
      </c>
      <c r="J840" s="105">
        <f t="shared" si="135"/>
        <v>9.1206152208348282E-3</v>
      </c>
      <c r="K840">
        <f t="shared" si="136"/>
        <v>30894</v>
      </c>
      <c r="L840"/>
      <c r="M840"/>
      <c r="N840"/>
      <c r="O840"/>
      <c r="P840"/>
      <c r="Q840"/>
      <c r="R840"/>
      <c r="S840"/>
      <c r="T840"/>
    </row>
    <row r="841" spans="1:20" ht="15" outlineLevel="3" thickBot="1" x14ac:dyDescent="0.35">
      <c r="A841" s="82" t="s">
        <v>1621</v>
      </c>
      <c r="B841" s="10" t="s">
        <v>297</v>
      </c>
      <c r="C841" s="60" t="s">
        <v>298</v>
      </c>
      <c r="D841" s="44" t="s">
        <v>121</v>
      </c>
      <c r="E841" s="84">
        <v>0</v>
      </c>
      <c r="F841" s="84"/>
      <c r="G841" s="94">
        <f t="shared" si="132"/>
        <v>1</v>
      </c>
      <c r="H841" s="93">
        <f t="shared" si="133"/>
        <v>160</v>
      </c>
      <c r="I841" s="84">
        <f t="shared" si="134"/>
        <v>0</v>
      </c>
      <c r="J841" s="105">
        <f t="shared" si="135"/>
        <v>0</v>
      </c>
      <c r="K841">
        <f t="shared" si="136"/>
        <v>0</v>
      </c>
      <c r="L841"/>
      <c r="M841"/>
      <c r="N841"/>
      <c r="O841"/>
      <c r="P841"/>
      <c r="Q841"/>
      <c r="R841"/>
      <c r="S841"/>
      <c r="T841"/>
    </row>
    <row r="842" spans="1:20" ht="15" outlineLevel="2" thickTop="1" x14ac:dyDescent="0.3">
      <c r="A842" s="82" t="s">
        <v>1622</v>
      </c>
      <c r="B842" s="62" t="s">
        <v>60</v>
      </c>
      <c r="C842" s="63" t="s">
        <v>300</v>
      </c>
      <c r="D842" s="116"/>
      <c r="E842" s="88"/>
      <c r="F842" s="88"/>
      <c r="G842" s="98"/>
      <c r="H842" s="88"/>
      <c r="I842" s="88">
        <f>SUBTOTAL(9,I822:I841)</f>
        <v>70411.399999999994</v>
      </c>
      <c r="J842" s="109"/>
      <c r="K842"/>
      <c r="L842"/>
      <c r="M842"/>
      <c r="N842"/>
      <c r="O842"/>
      <c r="P842"/>
      <c r="Q842"/>
      <c r="R842"/>
      <c r="S842"/>
      <c r="T842"/>
    </row>
    <row r="843" spans="1:20" outlineLevel="2" x14ac:dyDescent="0.3">
      <c r="A843" s="82" t="s">
        <v>1623</v>
      </c>
      <c r="B843" s="64" t="s">
        <v>302</v>
      </c>
      <c r="C843" s="65" t="s">
        <v>303</v>
      </c>
      <c r="D843" s="117"/>
      <c r="E843" s="87"/>
      <c r="F843" s="87"/>
      <c r="G843" s="97"/>
      <c r="H843" s="87"/>
      <c r="I843" s="104">
        <f>SUBTOTAL(9,K844:K897)</f>
        <v>125403.90000000002</v>
      </c>
      <c r="J843" s="108"/>
      <c r="K843"/>
      <c r="L843"/>
      <c r="M843"/>
      <c r="N843"/>
      <c r="O843"/>
      <c r="P843"/>
      <c r="Q843"/>
      <c r="R843"/>
      <c r="S843"/>
      <c r="T843"/>
    </row>
    <row r="844" spans="1:20" outlineLevel="3" x14ac:dyDescent="0.3">
      <c r="A844" s="82" t="s">
        <v>1624</v>
      </c>
      <c r="B844" s="64" t="s">
        <v>305</v>
      </c>
      <c r="C844" s="66" t="s">
        <v>306</v>
      </c>
      <c r="D844" s="117"/>
      <c r="E844" s="87"/>
      <c r="F844" s="87"/>
      <c r="G844" s="97"/>
      <c r="H844" s="87"/>
      <c r="I844" s="104">
        <f>SUBTOTAL(9,K845:K848)</f>
        <v>77933.700000000012</v>
      </c>
      <c r="J844" s="108"/>
      <c r="K844"/>
      <c r="L844"/>
      <c r="M844"/>
      <c r="N844"/>
      <c r="O844"/>
      <c r="P844"/>
      <c r="Q844"/>
      <c r="R844"/>
      <c r="S844"/>
      <c r="T844"/>
    </row>
    <row r="845" spans="1:20" outlineLevel="4" x14ac:dyDescent="0.3">
      <c r="A845" s="82" t="s">
        <v>1625</v>
      </c>
      <c r="B845" s="10" t="s">
        <v>308</v>
      </c>
      <c r="C845" s="60" t="s">
        <v>309</v>
      </c>
      <c r="D845" s="44" t="s">
        <v>154</v>
      </c>
      <c r="E845" s="84">
        <v>1901</v>
      </c>
      <c r="F845" s="84"/>
      <c r="G845" s="94">
        <f>cell_CoefGeneral</f>
        <v>1</v>
      </c>
      <c r="H845" s="93">
        <f>H87</f>
        <v>1.8</v>
      </c>
      <c r="I845" s="84">
        <f>IFERROR(ROUND(E845*H845,2),"-")</f>
        <v>3421.8</v>
      </c>
      <c r="J845" s="105">
        <f>IFERROR(I845/cell_Total_HT,"-")</f>
        <v>1.0101936027271513E-3</v>
      </c>
      <c r="K845">
        <f>I845</f>
        <v>3421.8</v>
      </c>
      <c r="L845"/>
      <c r="M845"/>
      <c r="N845"/>
      <c r="O845"/>
      <c r="P845"/>
      <c r="Q845"/>
      <c r="R845"/>
      <c r="S845"/>
      <c r="T845"/>
    </row>
    <row r="846" spans="1:20" ht="28.8" outlineLevel="4" x14ac:dyDescent="0.3">
      <c r="A846" s="82" t="s">
        <v>1626</v>
      </c>
      <c r="B846" s="10" t="s">
        <v>311</v>
      </c>
      <c r="C846" s="60" t="s">
        <v>312</v>
      </c>
      <c r="D846" s="44" t="s">
        <v>268</v>
      </c>
      <c r="E846" s="84">
        <v>547</v>
      </c>
      <c r="F846" s="84"/>
      <c r="G846" s="94">
        <f>cell_CoefGeneral</f>
        <v>1</v>
      </c>
      <c r="H846" s="93">
        <f>H88</f>
        <v>83</v>
      </c>
      <c r="I846" s="84">
        <f>IFERROR(ROUND(E846*H846,2),"-")</f>
        <v>45401</v>
      </c>
      <c r="J846" s="105">
        <f>IFERROR(I846/cell_Total_HT,"-")</f>
        <v>1.34034133372539E-2</v>
      </c>
      <c r="K846">
        <f>I846</f>
        <v>45401</v>
      </c>
      <c r="L846"/>
      <c r="M846"/>
      <c r="N846"/>
      <c r="O846"/>
      <c r="P846"/>
      <c r="Q846"/>
      <c r="R846"/>
      <c r="S846"/>
      <c r="T846"/>
    </row>
    <row r="847" spans="1:20" outlineLevel="4" x14ac:dyDescent="0.3">
      <c r="A847" s="82" t="s">
        <v>1627</v>
      </c>
      <c r="B847" s="10" t="s">
        <v>314</v>
      </c>
      <c r="C847" s="60" t="s">
        <v>315</v>
      </c>
      <c r="D847" s="44" t="s">
        <v>154</v>
      </c>
      <c r="E847" s="84">
        <v>1901</v>
      </c>
      <c r="F847" s="84"/>
      <c r="G847" s="94">
        <f>cell_CoefGeneral</f>
        <v>1</v>
      </c>
      <c r="H847" s="93">
        <f>H89</f>
        <v>0.9</v>
      </c>
      <c r="I847" s="84">
        <f>IFERROR(ROUND(E847*H847,2),"-")</f>
        <v>1710.9</v>
      </c>
      <c r="J847" s="105">
        <f>IFERROR(I847/cell_Total_HT,"-")</f>
        <v>5.0509680136357567E-4</v>
      </c>
      <c r="K847">
        <f>I847</f>
        <v>1710.9</v>
      </c>
      <c r="L847"/>
      <c r="M847"/>
      <c r="N847"/>
      <c r="O847"/>
      <c r="P847"/>
      <c r="Q847"/>
      <c r="R847"/>
      <c r="S847"/>
      <c r="T847"/>
    </row>
    <row r="848" spans="1:20" outlineLevel="4" x14ac:dyDescent="0.3">
      <c r="A848" s="82" t="s">
        <v>1628</v>
      </c>
      <c r="B848" s="10" t="s">
        <v>317</v>
      </c>
      <c r="C848" s="60" t="s">
        <v>318</v>
      </c>
      <c r="D848" s="44" t="s">
        <v>268</v>
      </c>
      <c r="E848" s="84">
        <v>274</v>
      </c>
      <c r="F848" s="84"/>
      <c r="G848" s="94">
        <f>cell_CoefGeneral</f>
        <v>1</v>
      </c>
      <c r="H848" s="93">
        <f>H90</f>
        <v>100</v>
      </c>
      <c r="I848" s="84">
        <f>IFERROR(ROUND(E848*H848,2),"-")</f>
        <v>27400</v>
      </c>
      <c r="J848" s="105">
        <f>IFERROR(I848/cell_Total_HT,"-")</f>
        <v>8.0891065271856757E-3</v>
      </c>
      <c r="K848">
        <f>I848</f>
        <v>27400</v>
      </c>
      <c r="L848"/>
      <c r="M848"/>
      <c r="N848"/>
      <c r="O848"/>
      <c r="P848"/>
      <c r="Q848"/>
      <c r="R848"/>
      <c r="S848"/>
      <c r="T848"/>
    </row>
    <row r="849" spans="1:20" outlineLevel="3" x14ac:dyDescent="0.3">
      <c r="A849" s="82" t="s">
        <v>1629</v>
      </c>
      <c r="B849" s="58" t="s">
        <v>320</v>
      </c>
      <c r="C849" s="61" t="s">
        <v>321</v>
      </c>
      <c r="D849" s="115"/>
      <c r="E849" s="87"/>
      <c r="F849" s="87"/>
      <c r="G849" s="97"/>
      <c r="H849" s="87"/>
      <c r="I849" s="104">
        <f>SUBTOTAL(9,K850:K851)</f>
        <v>7621.6</v>
      </c>
      <c r="J849" s="108"/>
      <c r="K849"/>
      <c r="L849"/>
      <c r="M849"/>
      <c r="N849"/>
      <c r="O849"/>
      <c r="P849"/>
      <c r="Q849"/>
      <c r="R849"/>
      <c r="S849"/>
      <c r="T849"/>
    </row>
    <row r="850" spans="1:20" outlineLevel="4" x14ac:dyDescent="0.3">
      <c r="A850" s="82" t="s">
        <v>1630</v>
      </c>
      <c r="B850" s="10" t="s">
        <v>323</v>
      </c>
      <c r="C850" s="60" t="s">
        <v>309</v>
      </c>
      <c r="D850" s="44" t="s">
        <v>154</v>
      </c>
      <c r="E850" s="84">
        <v>392</v>
      </c>
      <c r="F850" s="84"/>
      <c r="G850" s="94">
        <f>cell_CoefGeneral</f>
        <v>1</v>
      </c>
      <c r="H850" s="93">
        <f>H92</f>
        <v>2.2999999999999998</v>
      </c>
      <c r="I850" s="84">
        <f>IFERROR(ROUND(E850*H850,2),"-")</f>
        <v>901.6</v>
      </c>
      <c r="J850" s="105">
        <f>IFERROR(I850/cell_Total_HT,"-")</f>
        <v>2.6617293594564256E-4</v>
      </c>
      <c r="K850">
        <f>I850</f>
        <v>901.6</v>
      </c>
      <c r="L850"/>
      <c r="M850"/>
      <c r="N850"/>
      <c r="O850"/>
      <c r="P850"/>
      <c r="Q850"/>
      <c r="R850"/>
      <c r="S850"/>
      <c r="T850"/>
    </row>
    <row r="851" spans="1:20" outlineLevel="4" x14ac:dyDescent="0.3">
      <c r="A851" s="82" t="s">
        <v>1631</v>
      </c>
      <c r="B851" s="10" t="s">
        <v>325</v>
      </c>
      <c r="C851" s="60" t="s">
        <v>326</v>
      </c>
      <c r="D851" s="44" t="s">
        <v>268</v>
      </c>
      <c r="E851" s="84">
        <v>56</v>
      </c>
      <c r="F851" s="84"/>
      <c r="G851" s="94">
        <f>cell_CoefGeneral</f>
        <v>1</v>
      </c>
      <c r="H851" s="93">
        <f>H93</f>
        <v>120</v>
      </c>
      <c r="I851" s="84">
        <f>IFERROR(ROUND(E851*H851,2),"-")</f>
        <v>6720</v>
      </c>
      <c r="J851" s="105">
        <f>IFERROR(I851/cell_Total_HT,"-")</f>
        <v>1.9838976592221804E-3</v>
      </c>
      <c r="K851">
        <f>I851</f>
        <v>6720</v>
      </c>
      <c r="L851"/>
      <c r="M851"/>
      <c r="N851"/>
      <c r="O851"/>
      <c r="P851"/>
      <c r="Q851"/>
      <c r="R851"/>
      <c r="S851"/>
      <c r="T851"/>
    </row>
    <row r="852" spans="1:20" outlineLevel="3" x14ac:dyDescent="0.3">
      <c r="A852" s="82" t="s">
        <v>1632</v>
      </c>
      <c r="B852" s="58" t="s">
        <v>328</v>
      </c>
      <c r="C852" s="61" t="s">
        <v>329</v>
      </c>
      <c r="D852" s="115"/>
      <c r="E852" s="87"/>
      <c r="F852" s="87"/>
      <c r="G852" s="97"/>
      <c r="H852" s="87"/>
      <c r="I852" s="104">
        <f>SUBTOTAL(9,K853:K854)</f>
        <v>0</v>
      </c>
      <c r="J852" s="108"/>
      <c r="K852"/>
      <c r="L852"/>
      <c r="M852"/>
      <c r="N852"/>
      <c r="O852"/>
      <c r="P852"/>
      <c r="Q852"/>
      <c r="R852"/>
      <c r="S852"/>
      <c r="T852"/>
    </row>
    <row r="853" spans="1:20" outlineLevel="4" x14ac:dyDescent="0.3">
      <c r="A853" s="82" t="s">
        <v>1633</v>
      </c>
      <c r="B853" s="10" t="s">
        <v>331</v>
      </c>
      <c r="C853" s="60" t="s">
        <v>332</v>
      </c>
      <c r="D853" s="44" t="s">
        <v>154</v>
      </c>
      <c r="E853" s="84">
        <v>0</v>
      </c>
      <c r="F853" s="84"/>
      <c r="G853" s="94">
        <f>cell_CoefGeneral</f>
        <v>1</v>
      </c>
      <c r="H853" s="93">
        <f>H95</f>
        <v>76</v>
      </c>
      <c r="I853" s="84">
        <f>IFERROR(ROUND(E853*H853,2),"-")</f>
        <v>0</v>
      </c>
      <c r="J853" s="105">
        <f>IFERROR(I853/cell_Total_HT,"-")</f>
        <v>0</v>
      </c>
      <c r="K853">
        <f>I853</f>
        <v>0</v>
      </c>
      <c r="L853"/>
      <c r="M853"/>
      <c r="N853"/>
      <c r="O853"/>
      <c r="P853"/>
      <c r="Q853"/>
      <c r="R853"/>
      <c r="S853"/>
      <c r="T853"/>
    </row>
    <row r="854" spans="1:20" outlineLevel="4" x14ac:dyDescent="0.3">
      <c r="A854" s="82" t="s">
        <v>1634</v>
      </c>
      <c r="B854" s="10" t="s">
        <v>334</v>
      </c>
      <c r="C854" s="60" t="s">
        <v>335</v>
      </c>
      <c r="D854" s="44" t="s">
        <v>80</v>
      </c>
      <c r="E854" s="84">
        <v>0</v>
      </c>
      <c r="F854" s="84"/>
      <c r="G854" s="94">
        <f>cell_CoefGeneral</f>
        <v>1</v>
      </c>
      <c r="H854" s="93">
        <f>H96</f>
        <v>60</v>
      </c>
      <c r="I854" s="84">
        <f>IFERROR(ROUND(E854*H854,2),"-")</f>
        <v>0</v>
      </c>
      <c r="J854" s="105">
        <f>IFERROR(I854/cell_Total_HT,"-")</f>
        <v>0</v>
      </c>
      <c r="K854">
        <f>I854</f>
        <v>0</v>
      </c>
      <c r="L854"/>
      <c r="M854"/>
      <c r="N854"/>
      <c r="O854"/>
      <c r="P854"/>
      <c r="Q854"/>
      <c r="R854"/>
      <c r="S854"/>
      <c r="T854"/>
    </row>
    <row r="855" spans="1:20" outlineLevel="3" x14ac:dyDescent="0.3">
      <c r="A855" s="82" t="s">
        <v>1635</v>
      </c>
      <c r="B855" s="58" t="s">
        <v>337</v>
      </c>
      <c r="C855" s="61" t="s">
        <v>338</v>
      </c>
      <c r="D855" s="115"/>
      <c r="E855" s="87"/>
      <c r="F855" s="87"/>
      <c r="G855" s="97"/>
      <c r="H855" s="87"/>
      <c r="I855" s="104">
        <f>SUBTOTAL(9,K856:K856)</f>
        <v>2508</v>
      </c>
      <c r="J855" s="108"/>
      <c r="K855"/>
      <c r="L855"/>
      <c r="M855"/>
      <c r="N855"/>
      <c r="O855"/>
      <c r="P855"/>
      <c r="Q855"/>
      <c r="R855"/>
      <c r="S855"/>
      <c r="T855"/>
    </row>
    <row r="856" spans="1:20" outlineLevel="4" x14ac:dyDescent="0.3">
      <c r="A856" s="82" t="s">
        <v>1636</v>
      </c>
      <c r="B856" s="10" t="s">
        <v>340</v>
      </c>
      <c r="C856" s="60" t="s">
        <v>332</v>
      </c>
      <c r="D856" s="44" t="s">
        <v>154</v>
      </c>
      <c r="E856" s="84">
        <v>33</v>
      </c>
      <c r="F856" s="84"/>
      <c r="G856" s="94">
        <f>cell_CoefGeneral</f>
        <v>1</v>
      </c>
      <c r="H856" s="93">
        <f>H98</f>
        <v>76</v>
      </c>
      <c r="I856" s="84">
        <f>IFERROR(ROUND(E856*H856,2),"-")</f>
        <v>2508</v>
      </c>
      <c r="J856" s="105">
        <f>IFERROR(I856/cell_Total_HT,"-")</f>
        <v>7.4041894781684949E-4</v>
      </c>
      <c r="K856">
        <f>I856</f>
        <v>2508</v>
      </c>
      <c r="L856"/>
      <c r="M856"/>
      <c r="N856"/>
      <c r="O856"/>
      <c r="P856"/>
      <c r="Q856"/>
      <c r="R856"/>
      <c r="S856"/>
      <c r="T856"/>
    </row>
    <row r="857" spans="1:20" outlineLevel="3" x14ac:dyDescent="0.3">
      <c r="A857" s="82" t="s">
        <v>1637</v>
      </c>
      <c r="B857" s="58" t="s">
        <v>342</v>
      </c>
      <c r="C857" s="61" t="s">
        <v>343</v>
      </c>
      <c r="D857" s="115"/>
      <c r="E857" s="87"/>
      <c r="F857" s="87"/>
      <c r="G857" s="97"/>
      <c r="H857" s="87"/>
      <c r="I857" s="104">
        <f>SUBTOTAL(9,K858:K858)</f>
        <v>3196</v>
      </c>
      <c r="J857" s="108"/>
      <c r="K857"/>
      <c r="L857"/>
      <c r="M857"/>
      <c r="N857"/>
      <c r="O857"/>
      <c r="P857"/>
      <c r="Q857"/>
      <c r="R857"/>
      <c r="S857"/>
      <c r="T857"/>
    </row>
    <row r="858" spans="1:20" outlineLevel="4" x14ac:dyDescent="0.3">
      <c r="A858" s="82" t="s">
        <v>1638</v>
      </c>
      <c r="B858" s="10" t="s">
        <v>345</v>
      </c>
      <c r="C858" s="60" t="s">
        <v>346</v>
      </c>
      <c r="D858" s="44" t="s">
        <v>154</v>
      </c>
      <c r="E858" s="84">
        <v>47</v>
      </c>
      <c r="F858" s="84"/>
      <c r="G858" s="94">
        <f>cell_CoefGeneral</f>
        <v>1</v>
      </c>
      <c r="H858" s="93">
        <f>H100</f>
        <v>68</v>
      </c>
      <c r="I858" s="84">
        <f>IFERROR(ROUND(E858*H858,2),"-")</f>
        <v>3196</v>
      </c>
      <c r="J858" s="105">
        <f>IFERROR(I858/cell_Total_HT,"-")</f>
        <v>9.4353227959435837E-4</v>
      </c>
      <c r="K858">
        <f>I858</f>
        <v>3196</v>
      </c>
      <c r="L858"/>
      <c r="M858"/>
      <c r="N858"/>
      <c r="O858"/>
      <c r="P858"/>
      <c r="Q858"/>
      <c r="R858"/>
      <c r="S858"/>
      <c r="T858"/>
    </row>
    <row r="859" spans="1:20" outlineLevel="3" x14ac:dyDescent="0.3">
      <c r="A859" s="82" t="s">
        <v>1639</v>
      </c>
      <c r="B859" s="58" t="s">
        <v>348</v>
      </c>
      <c r="C859" s="61" t="s">
        <v>349</v>
      </c>
      <c r="D859" s="115"/>
      <c r="E859" s="87"/>
      <c r="F859" s="87"/>
      <c r="G859" s="97"/>
      <c r="H859" s="87"/>
      <c r="I859" s="104">
        <f>SUBTOTAL(9,K860:K861)</f>
        <v>0</v>
      </c>
      <c r="J859" s="108"/>
      <c r="K859"/>
      <c r="L859"/>
      <c r="M859"/>
      <c r="N859"/>
      <c r="O859"/>
      <c r="P859"/>
      <c r="Q859"/>
      <c r="R859"/>
      <c r="S859"/>
      <c r="T859"/>
    </row>
    <row r="860" spans="1:20" ht="28.8" outlineLevel="4" x14ac:dyDescent="0.3">
      <c r="A860" s="82" t="s">
        <v>1640</v>
      </c>
      <c r="B860" s="10" t="s">
        <v>351</v>
      </c>
      <c r="C860" s="60" t="s">
        <v>352</v>
      </c>
      <c r="D860" s="44" t="s">
        <v>141</v>
      </c>
      <c r="E860" s="84">
        <v>0</v>
      </c>
      <c r="F860" s="84"/>
      <c r="G860" s="94">
        <f>cell_CoefGeneral</f>
        <v>1</v>
      </c>
      <c r="H860" s="93">
        <f>H102</f>
        <v>43</v>
      </c>
      <c r="I860" s="84">
        <f>IFERROR(ROUND(E860*H860,2),"-")</f>
        <v>0</v>
      </c>
      <c r="J860" s="105">
        <f>IFERROR(I860/cell_Total_HT,"-")</f>
        <v>0</v>
      </c>
      <c r="K860">
        <f>I860</f>
        <v>0</v>
      </c>
      <c r="L860"/>
      <c r="M860"/>
      <c r="N860"/>
      <c r="O860"/>
      <c r="P860"/>
      <c r="Q860"/>
      <c r="R860"/>
      <c r="S860"/>
      <c r="T860"/>
    </row>
    <row r="861" spans="1:20" outlineLevel="4" x14ac:dyDescent="0.3">
      <c r="A861" s="82" t="s">
        <v>1641</v>
      </c>
      <c r="B861" s="10" t="s">
        <v>354</v>
      </c>
      <c r="C861" s="60" t="s">
        <v>355</v>
      </c>
      <c r="D861" s="44" t="s">
        <v>154</v>
      </c>
      <c r="E861" s="84">
        <v>0</v>
      </c>
      <c r="F861" s="84"/>
      <c r="G861" s="94">
        <f>cell_CoefGeneral</f>
        <v>1</v>
      </c>
      <c r="H861" s="93">
        <f>H103</f>
        <v>9</v>
      </c>
      <c r="I861" s="84">
        <f>IFERROR(ROUND(E861*H861,2),"-")</f>
        <v>0</v>
      </c>
      <c r="J861" s="105">
        <f>IFERROR(I861/cell_Total_HT,"-")</f>
        <v>0</v>
      </c>
      <c r="K861">
        <f>I861</f>
        <v>0</v>
      </c>
      <c r="L861"/>
      <c r="M861"/>
      <c r="N861"/>
      <c r="O861"/>
      <c r="P861"/>
      <c r="Q861"/>
      <c r="R861"/>
      <c r="S861"/>
      <c r="T861"/>
    </row>
    <row r="862" spans="1:20" outlineLevel="3" x14ac:dyDescent="0.3">
      <c r="A862" s="82" t="s">
        <v>1642</v>
      </c>
      <c r="B862" s="58" t="s">
        <v>357</v>
      </c>
      <c r="C862" s="61" t="s">
        <v>358</v>
      </c>
      <c r="D862" s="115"/>
      <c r="E862" s="87"/>
      <c r="F862" s="87"/>
      <c r="G862" s="97"/>
      <c r="H862" s="87"/>
      <c r="I862" s="104">
        <f>SUBTOTAL(9,K863:K864)</f>
        <v>0</v>
      </c>
      <c r="J862" s="108"/>
      <c r="K862"/>
      <c r="L862"/>
      <c r="M862"/>
      <c r="N862"/>
      <c r="O862"/>
      <c r="P862"/>
      <c r="Q862"/>
      <c r="R862"/>
      <c r="S862"/>
      <c r="T862"/>
    </row>
    <row r="863" spans="1:20" ht="28.8" outlineLevel="4" x14ac:dyDescent="0.3">
      <c r="A863" s="82" t="s">
        <v>1643</v>
      </c>
      <c r="B863" s="10" t="s">
        <v>360</v>
      </c>
      <c r="C863" s="60" t="s">
        <v>352</v>
      </c>
      <c r="D863" s="44" t="s">
        <v>141</v>
      </c>
      <c r="E863" s="84">
        <v>0</v>
      </c>
      <c r="F863" s="84"/>
      <c r="G863" s="94">
        <f>cell_CoefGeneral</f>
        <v>1</v>
      </c>
      <c r="H863" s="93">
        <f>H105</f>
        <v>58</v>
      </c>
      <c r="I863" s="84">
        <f>IFERROR(ROUND(E863*H863,2),"-")</f>
        <v>0</v>
      </c>
      <c r="J863" s="105">
        <f>IFERROR(I863/cell_Total_HT,"-")</f>
        <v>0</v>
      </c>
      <c r="K863">
        <f>I863</f>
        <v>0</v>
      </c>
      <c r="L863"/>
      <c r="M863"/>
      <c r="N863"/>
      <c r="O863"/>
      <c r="P863"/>
      <c r="Q863"/>
      <c r="R863"/>
      <c r="S863"/>
      <c r="T863"/>
    </row>
    <row r="864" spans="1:20" outlineLevel="4" x14ac:dyDescent="0.3">
      <c r="A864" s="82" t="s">
        <v>1644</v>
      </c>
      <c r="B864" s="10" t="s">
        <v>362</v>
      </c>
      <c r="C864" s="60" t="s">
        <v>363</v>
      </c>
      <c r="D864" s="44" t="s">
        <v>154</v>
      </c>
      <c r="E864" s="84">
        <v>0</v>
      </c>
      <c r="F864" s="84"/>
      <c r="G864" s="94">
        <f>cell_CoefGeneral</f>
        <v>1</v>
      </c>
      <c r="H864" s="93">
        <f>H106</f>
        <v>20</v>
      </c>
      <c r="I864" s="84">
        <f>IFERROR(ROUND(E864*H864,2),"-")</f>
        <v>0</v>
      </c>
      <c r="J864" s="105">
        <f>IFERROR(I864/cell_Total_HT,"-")</f>
        <v>0</v>
      </c>
      <c r="K864">
        <f>I864</f>
        <v>0</v>
      </c>
      <c r="L864"/>
      <c r="M864"/>
      <c r="N864"/>
      <c r="O864"/>
      <c r="P864"/>
      <c r="Q864"/>
      <c r="R864"/>
      <c r="S864"/>
      <c r="T864"/>
    </row>
    <row r="865" spans="1:20" outlineLevel="3" x14ac:dyDescent="0.3">
      <c r="A865" s="82" t="s">
        <v>1645</v>
      </c>
      <c r="B865" s="58" t="s">
        <v>365</v>
      </c>
      <c r="C865" s="61" t="s">
        <v>366</v>
      </c>
      <c r="D865" s="115"/>
      <c r="E865" s="87"/>
      <c r="F865" s="87"/>
      <c r="G865" s="97"/>
      <c r="H865" s="87"/>
      <c r="I865" s="104">
        <f>SUBTOTAL(9,K866:K867)</f>
        <v>0</v>
      </c>
      <c r="J865" s="108"/>
      <c r="K865"/>
      <c r="L865"/>
      <c r="M865"/>
      <c r="N865"/>
      <c r="O865"/>
      <c r="P865"/>
      <c r="Q865"/>
      <c r="R865"/>
      <c r="S865"/>
      <c r="T865"/>
    </row>
    <row r="866" spans="1:20" ht="28.8" outlineLevel="4" x14ac:dyDescent="0.3">
      <c r="A866" s="82" t="s">
        <v>1646</v>
      </c>
      <c r="B866" s="10" t="s">
        <v>368</v>
      </c>
      <c r="C866" s="60" t="s">
        <v>369</v>
      </c>
      <c r="D866" s="44" t="s">
        <v>141</v>
      </c>
      <c r="E866" s="84">
        <v>0</v>
      </c>
      <c r="F866" s="84"/>
      <c r="G866" s="94">
        <f>cell_CoefGeneral</f>
        <v>1</v>
      </c>
      <c r="H866" s="93">
        <f>H108</f>
        <v>83</v>
      </c>
      <c r="I866" s="84">
        <f>IFERROR(ROUND(E866*H866,2),"-")</f>
        <v>0</v>
      </c>
      <c r="J866" s="105">
        <f>IFERROR(I866/cell_Total_HT,"-")</f>
        <v>0</v>
      </c>
      <c r="K866">
        <f>I866</f>
        <v>0</v>
      </c>
      <c r="L866"/>
      <c r="M866"/>
      <c r="N866"/>
      <c r="O866"/>
      <c r="P866"/>
      <c r="Q866"/>
      <c r="R866"/>
      <c r="S866"/>
      <c r="T866"/>
    </row>
    <row r="867" spans="1:20" outlineLevel="4" x14ac:dyDescent="0.3">
      <c r="A867" s="82" t="s">
        <v>1647</v>
      </c>
      <c r="B867" s="10" t="s">
        <v>371</v>
      </c>
      <c r="C867" s="60" t="s">
        <v>372</v>
      </c>
      <c r="D867" s="44" t="s">
        <v>154</v>
      </c>
      <c r="E867" s="84">
        <v>0</v>
      </c>
      <c r="F867" s="84"/>
      <c r="G867" s="94">
        <f>cell_CoefGeneral</f>
        <v>1</v>
      </c>
      <c r="H867" s="93">
        <f>H109</f>
        <v>7.6</v>
      </c>
      <c r="I867" s="84">
        <f>IFERROR(ROUND(E867*H867,2),"-")</f>
        <v>0</v>
      </c>
      <c r="J867" s="105">
        <f>IFERROR(I867/cell_Total_HT,"-")</f>
        <v>0</v>
      </c>
      <c r="K867">
        <f>I867</f>
        <v>0</v>
      </c>
      <c r="L867"/>
      <c r="M867"/>
      <c r="N867"/>
      <c r="O867"/>
      <c r="P867"/>
      <c r="Q867"/>
      <c r="R867"/>
      <c r="S867"/>
      <c r="T867"/>
    </row>
    <row r="868" spans="1:20" outlineLevel="3" x14ac:dyDescent="0.3">
      <c r="A868" s="82" t="s">
        <v>1648</v>
      </c>
      <c r="B868" s="58" t="s">
        <v>374</v>
      </c>
      <c r="C868" s="61" t="s">
        <v>375</v>
      </c>
      <c r="D868" s="115"/>
      <c r="E868" s="87"/>
      <c r="F868" s="87"/>
      <c r="G868" s="97"/>
      <c r="H868" s="87"/>
      <c r="I868" s="104">
        <f>SUBTOTAL(9,K869:K870)</f>
        <v>30450.6</v>
      </c>
      <c r="J868" s="108"/>
      <c r="K868"/>
      <c r="L868"/>
      <c r="M868"/>
      <c r="N868"/>
      <c r="O868"/>
      <c r="P868"/>
      <c r="Q868"/>
      <c r="R868"/>
      <c r="S868"/>
      <c r="T868"/>
    </row>
    <row r="869" spans="1:20" outlineLevel="4" x14ac:dyDescent="0.3">
      <c r="A869" s="82" t="s">
        <v>1649</v>
      </c>
      <c r="B869" s="10" t="s">
        <v>377</v>
      </c>
      <c r="C869" s="60" t="s">
        <v>309</v>
      </c>
      <c r="D869" s="44" t="s">
        <v>154</v>
      </c>
      <c r="E869" s="84">
        <v>2223</v>
      </c>
      <c r="F869" s="84"/>
      <c r="G869" s="94">
        <f>cell_CoefGeneral</f>
        <v>1</v>
      </c>
      <c r="H869" s="93">
        <f>H111</f>
        <v>2.2000000000000002</v>
      </c>
      <c r="I869" s="84">
        <f>IFERROR(ROUND(E869*H869,2),"-")</f>
        <v>4890.6000000000004</v>
      </c>
      <c r="J869" s="105">
        <f>IFERROR(I869/cell_Total_HT,"-")</f>
        <v>1.4438169482428565E-3</v>
      </c>
      <c r="K869">
        <f>I869</f>
        <v>4890.6000000000004</v>
      </c>
      <c r="L869"/>
      <c r="M869"/>
      <c r="N869"/>
      <c r="O869"/>
      <c r="P869"/>
      <c r="Q869"/>
      <c r="R869"/>
      <c r="S869"/>
      <c r="T869"/>
    </row>
    <row r="870" spans="1:20" outlineLevel="4" x14ac:dyDescent="0.3">
      <c r="A870" s="82" t="s">
        <v>1650</v>
      </c>
      <c r="B870" s="10" t="s">
        <v>379</v>
      </c>
      <c r="C870" s="60" t="s">
        <v>380</v>
      </c>
      <c r="D870" s="44" t="s">
        <v>268</v>
      </c>
      <c r="E870" s="84">
        <v>213</v>
      </c>
      <c r="F870" s="84"/>
      <c r="G870" s="94">
        <f>cell_CoefGeneral</f>
        <v>1</v>
      </c>
      <c r="H870" s="93">
        <f>H112</f>
        <v>120</v>
      </c>
      <c r="I870" s="84">
        <f>IFERROR(ROUND(E870*H870,2),"-")</f>
        <v>25560</v>
      </c>
      <c r="J870" s="105">
        <f>IFERROR(I870/cell_Total_HT,"-")</f>
        <v>7.5458964538272213E-3</v>
      </c>
      <c r="K870">
        <f>I870</f>
        <v>25560</v>
      </c>
      <c r="L870"/>
      <c r="M870"/>
      <c r="N870"/>
      <c r="O870"/>
      <c r="P870"/>
      <c r="Q870"/>
      <c r="R870"/>
      <c r="S870"/>
      <c r="T870"/>
    </row>
    <row r="871" spans="1:20" outlineLevel="3" x14ac:dyDescent="0.3">
      <c r="A871" s="82" t="s">
        <v>1651</v>
      </c>
      <c r="B871" s="58" t="s">
        <v>382</v>
      </c>
      <c r="C871" s="61" t="s">
        <v>383</v>
      </c>
      <c r="D871" s="115"/>
      <c r="E871" s="87"/>
      <c r="F871" s="87"/>
      <c r="G871" s="97"/>
      <c r="H871" s="87"/>
      <c r="I871" s="104">
        <f>SUBTOTAL(9,K872:K872)</f>
        <v>0</v>
      </c>
      <c r="J871" s="108"/>
      <c r="K871"/>
      <c r="L871"/>
      <c r="M871"/>
      <c r="N871"/>
      <c r="O871"/>
      <c r="P871"/>
      <c r="Q871"/>
      <c r="R871"/>
      <c r="S871"/>
      <c r="T871"/>
    </row>
    <row r="872" spans="1:20" ht="28.8" outlineLevel="4" x14ac:dyDescent="0.3">
      <c r="A872" s="82" t="s">
        <v>1652</v>
      </c>
      <c r="B872" s="10" t="s">
        <v>385</v>
      </c>
      <c r="C872" s="60" t="s">
        <v>386</v>
      </c>
      <c r="D872" s="44" t="s">
        <v>141</v>
      </c>
      <c r="E872" s="84">
        <v>0</v>
      </c>
      <c r="F872" s="84"/>
      <c r="G872" s="94">
        <f>cell_CoefGeneral</f>
        <v>1</v>
      </c>
      <c r="H872" s="93">
        <f>H114</f>
        <v>42</v>
      </c>
      <c r="I872" s="84">
        <f>IFERROR(ROUND(E872*H872,2),"-")</f>
        <v>0</v>
      </c>
      <c r="J872" s="105">
        <f>IFERROR(I872/cell_Total_HT,"-")</f>
        <v>0</v>
      </c>
      <c r="K872">
        <f>I872</f>
        <v>0</v>
      </c>
      <c r="L872"/>
      <c r="M872"/>
      <c r="N872"/>
      <c r="O872"/>
      <c r="P872"/>
      <c r="Q872"/>
      <c r="R872"/>
      <c r="S872"/>
      <c r="T872"/>
    </row>
    <row r="873" spans="1:20" outlineLevel="3" x14ac:dyDescent="0.3">
      <c r="A873" s="82" t="s">
        <v>1653</v>
      </c>
      <c r="B873" s="58" t="s">
        <v>388</v>
      </c>
      <c r="C873" s="61" t="s">
        <v>389</v>
      </c>
      <c r="D873" s="115"/>
      <c r="E873" s="87"/>
      <c r="F873" s="87"/>
      <c r="G873" s="97"/>
      <c r="H873" s="87"/>
      <c r="I873" s="104">
        <f>SUBTOTAL(9,K874:K876)</f>
        <v>0</v>
      </c>
      <c r="J873" s="108"/>
      <c r="K873"/>
      <c r="L873"/>
      <c r="M873"/>
      <c r="N873"/>
      <c r="O873"/>
      <c r="P873"/>
      <c r="Q873"/>
      <c r="R873"/>
      <c r="S873"/>
      <c r="T873"/>
    </row>
    <row r="874" spans="1:20" ht="28.8" outlineLevel="4" x14ac:dyDescent="0.3">
      <c r="A874" s="82" t="s">
        <v>1654</v>
      </c>
      <c r="B874" s="10" t="s">
        <v>391</v>
      </c>
      <c r="C874" s="60" t="s">
        <v>392</v>
      </c>
      <c r="D874" s="44" t="s">
        <v>154</v>
      </c>
      <c r="E874" s="84">
        <v>0</v>
      </c>
      <c r="F874" s="84"/>
      <c r="G874" s="94">
        <f>cell_CoefGeneral</f>
        <v>1</v>
      </c>
      <c r="H874" s="93">
        <f>H116</f>
        <v>150</v>
      </c>
      <c r="I874" s="84">
        <f>IFERROR(ROUND(E874*H874,2),"-")</f>
        <v>0</v>
      </c>
      <c r="J874" s="105">
        <f>IFERROR(I874/cell_Total_HT,"-")</f>
        <v>0</v>
      </c>
      <c r="K874">
        <f>I874</f>
        <v>0</v>
      </c>
      <c r="L874"/>
      <c r="M874"/>
      <c r="N874"/>
      <c r="O874"/>
      <c r="P874"/>
      <c r="Q874"/>
      <c r="R874"/>
      <c r="S874"/>
      <c r="T874"/>
    </row>
    <row r="875" spans="1:20" ht="28.8" outlineLevel="4" x14ac:dyDescent="0.3">
      <c r="A875" s="82" t="s">
        <v>1655</v>
      </c>
      <c r="B875" s="10" t="s">
        <v>394</v>
      </c>
      <c r="C875" s="60" t="s">
        <v>395</v>
      </c>
      <c r="D875" s="44" t="s">
        <v>154</v>
      </c>
      <c r="E875" s="84">
        <v>0</v>
      </c>
      <c r="F875" s="84"/>
      <c r="G875" s="94">
        <f>cell_CoefGeneral</f>
        <v>1</v>
      </c>
      <c r="H875" s="93">
        <f>H117</f>
        <v>140</v>
      </c>
      <c r="I875" s="84">
        <f>IFERROR(ROUND(E875*H875,2),"-")</f>
        <v>0</v>
      </c>
      <c r="J875" s="105">
        <f>IFERROR(I875/cell_Total_HT,"-")</f>
        <v>0</v>
      </c>
      <c r="K875">
        <f>I875</f>
        <v>0</v>
      </c>
      <c r="L875"/>
      <c r="M875"/>
      <c r="N875"/>
      <c r="O875"/>
      <c r="P875"/>
      <c r="Q875"/>
      <c r="R875"/>
      <c r="S875"/>
      <c r="T875"/>
    </row>
    <row r="876" spans="1:20" ht="28.8" outlineLevel="4" x14ac:dyDescent="0.3">
      <c r="A876" s="82" t="s">
        <v>1656</v>
      </c>
      <c r="B876" s="10" t="s">
        <v>397</v>
      </c>
      <c r="C876" s="60" t="s">
        <v>398</v>
      </c>
      <c r="D876" s="44" t="s">
        <v>80</v>
      </c>
      <c r="E876" s="84">
        <v>0</v>
      </c>
      <c r="F876" s="84"/>
      <c r="G876" s="94">
        <f>cell_CoefGeneral</f>
        <v>1</v>
      </c>
      <c r="H876" s="93">
        <f>H118</f>
        <v>140</v>
      </c>
      <c r="I876" s="84">
        <f>IFERROR(ROUND(E876*H876,2),"-")</f>
        <v>0</v>
      </c>
      <c r="J876" s="105">
        <f>IFERROR(I876/cell_Total_HT,"-")</f>
        <v>0</v>
      </c>
      <c r="K876">
        <f>I876</f>
        <v>0</v>
      </c>
      <c r="L876"/>
      <c r="M876"/>
      <c r="N876"/>
      <c r="O876"/>
      <c r="P876"/>
      <c r="Q876"/>
      <c r="R876"/>
      <c r="S876"/>
      <c r="T876"/>
    </row>
    <row r="877" spans="1:20" outlineLevel="3" x14ac:dyDescent="0.3">
      <c r="A877" s="82" t="s">
        <v>1657</v>
      </c>
      <c r="B877" s="58" t="s">
        <v>400</v>
      </c>
      <c r="C877" s="61" t="s">
        <v>401</v>
      </c>
      <c r="D877" s="115"/>
      <c r="E877" s="87"/>
      <c r="F877" s="87"/>
      <c r="G877" s="97"/>
      <c r="H877" s="87"/>
      <c r="I877" s="104">
        <f>SUBTOTAL(9,K878:K879)</f>
        <v>0</v>
      </c>
      <c r="J877" s="108"/>
      <c r="K877"/>
      <c r="L877"/>
      <c r="M877"/>
      <c r="N877"/>
      <c r="O877"/>
      <c r="P877"/>
      <c r="Q877"/>
      <c r="R877"/>
      <c r="S877"/>
      <c r="T877"/>
    </row>
    <row r="878" spans="1:20" ht="28.8" outlineLevel="4" x14ac:dyDescent="0.3">
      <c r="A878" s="82" t="s">
        <v>1658</v>
      </c>
      <c r="B878" s="10" t="s">
        <v>403</v>
      </c>
      <c r="C878" s="60" t="s">
        <v>404</v>
      </c>
      <c r="D878" s="44" t="s">
        <v>141</v>
      </c>
      <c r="E878" s="84">
        <v>0</v>
      </c>
      <c r="F878" s="84"/>
      <c r="G878" s="94">
        <f>cell_CoefGeneral</f>
        <v>1</v>
      </c>
      <c r="H878" s="93">
        <f>H120</f>
        <v>42</v>
      </c>
      <c r="I878" s="84">
        <f>IFERROR(ROUND(E878*H878,2),"-")</f>
        <v>0</v>
      </c>
      <c r="J878" s="105">
        <f>IFERROR(I878/cell_Total_HT,"-")</f>
        <v>0</v>
      </c>
      <c r="K878">
        <f>I878</f>
        <v>0</v>
      </c>
      <c r="L878"/>
      <c r="M878"/>
      <c r="N878"/>
      <c r="O878"/>
      <c r="P878"/>
      <c r="Q878"/>
      <c r="R878"/>
      <c r="S878"/>
      <c r="T878"/>
    </row>
    <row r="879" spans="1:20" ht="28.8" outlineLevel="4" x14ac:dyDescent="0.3">
      <c r="A879" s="82" t="s">
        <v>1659</v>
      </c>
      <c r="B879" s="10" t="s">
        <v>406</v>
      </c>
      <c r="C879" s="60" t="s">
        <v>407</v>
      </c>
      <c r="D879" s="44" t="s">
        <v>154</v>
      </c>
      <c r="E879" s="84">
        <v>0</v>
      </c>
      <c r="F879" s="84"/>
      <c r="G879" s="94">
        <f>cell_CoefGeneral</f>
        <v>1</v>
      </c>
      <c r="H879" s="93">
        <f>H121</f>
        <v>140</v>
      </c>
      <c r="I879" s="84">
        <f>IFERROR(ROUND(E879*H879,2),"-")</f>
        <v>0</v>
      </c>
      <c r="J879" s="105">
        <f>IFERROR(I879/cell_Total_HT,"-")</f>
        <v>0</v>
      </c>
      <c r="K879">
        <f>I879</f>
        <v>0</v>
      </c>
      <c r="L879"/>
      <c r="M879"/>
      <c r="N879"/>
      <c r="O879"/>
      <c r="P879"/>
      <c r="Q879"/>
      <c r="R879"/>
      <c r="S879"/>
      <c r="T879"/>
    </row>
    <row r="880" spans="1:20" outlineLevel="3" x14ac:dyDescent="0.3">
      <c r="A880" s="82" t="s">
        <v>1660</v>
      </c>
      <c r="B880" s="58" t="s">
        <v>409</v>
      </c>
      <c r="C880" s="61" t="s">
        <v>410</v>
      </c>
      <c r="D880" s="115"/>
      <c r="E880" s="87"/>
      <c r="F880" s="87"/>
      <c r="G880" s="97"/>
      <c r="H880" s="87"/>
      <c r="I880" s="104">
        <f>SUBTOTAL(9,K881:K882)</f>
        <v>493</v>
      </c>
      <c r="J880" s="108"/>
      <c r="K880"/>
      <c r="L880"/>
      <c r="M880"/>
      <c r="N880"/>
      <c r="O880"/>
      <c r="P880"/>
      <c r="Q880"/>
      <c r="R880"/>
      <c r="S880"/>
      <c r="T880"/>
    </row>
    <row r="881" spans="1:20" ht="28.8" outlineLevel="4" x14ac:dyDescent="0.3">
      <c r="A881" s="82" t="s">
        <v>1661</v>
      </c>
      <c r="B881" s="10" t="s">
        <v>412</v>
      </c>
      <c r="C881" s="60" t="s">
        <v>413</v>
      </c>
      <c r="D881" s="44" t="s">
        <v>154</v>
      </c>
      <c r="E881" s="84">
        <v>0</v>
      </c>
      <c r="F881" s="84"/>
      <c r="G881" s="94">
        <f>cell_CoefGeneral</f>
        <v>1</v>
      </c>
      <c r="H881" s="93">
        <f>H123</f>
        <v>26</v>
      </c>
      <c r="I881" s="84">
        <f>IFERROR(ROUND(E881*H881,2),"-")</f>
        <v>0</v>
      </c>
      <c r="J881" s="105">
        <f>IFERROR(I881/cell_Total_HT,"-")</f>
        <v>0</v>
      </c>
      <c r="K881">
        <f>I881</f>
        <v>0</v>
      </c>
      <c r="L881"/>
      <c r="M881"/>
      <c r="N881"/>
      <c r="O881"/>
      <c r="P881"/>
      <c r="Q881"/>
      <c r="R881"/>
      <c r="S881"/>
      <c r="T881"/>
    </row>
    <row r="882" spans="1:20" outlineLevel="4" x14ac:dyDescent="0.3">
      <c r="A882" s="82" t="s">
        <v>1662</v>
      </c>
      <c r="B882" s="10" t="s">
        <v>415</v>
      </c>
      <c r="C882" s="60" t="s">
        <v>416</v>
      </c>
      <c r="D882" s="44" t="s">
        <v>154</v>
      </c>
      <c r="E882" s="84">
        <v>17</v>
      </c>
      <c r="F882" s="84"/>
      <c r="G882" s="94">
        <f>cell_CoefGeneral</f>
        <v>1</v>
      </c>
      <c r="H882" s="93">
        <f>H124</f>
        <v>29</v>
      </c>
      <c r="I882" s="84">
        <f>IFERROR(ROUND(E882*H882,2),"-")</f>
        <v>493</v>
      </c>
      <c r="J882" s="105">
        <f>IFERROR(I882/cell_Total_HT,"-")</f>
        <v>1.4554487291615104E-4</v>
      </c>
      <c r="K882">
        <f>I882</f>
        <v>493</v>
      </c>
      <c r="L882"/>
      <c r="M882"/>
      <c r="N882"/>
      <c r="O882"/>
      <c r="P882"/>
      <c r="Q882"/>
      <c r="R882"/>
      <c r="S882"/>
      <c r="T882"/>
    </row>
    <row r="883" spans="1:20" outlineLevel="3" x14ac:dyDescent="0.3">
      <c r="A883" s="82" t="s">
        <v>1663</v>
      </c>
      <c r="B883" s="58" t="s">
        <v>418</v>
      </c>
      <c r="C883" s="61" t="s">
        <v>419</v>
      </c>
      <c r="D883" s="115"/>
      <c r="E883" s="87"/>
      <c r="F883" s="87"/>
      <c r="G883" s="97"/>
      <c r="H883" s="87"/>
      <c r="I883" s="104">
        <f>SUBTOTAL(9,K884:K884)</f>
        <v>0</v>
      </c>
      <c r="J883" s="108"/>
      <c r="K883"/>
      <c r="L883"/>
      <c r="M883"/>
      <c r="N883"/>
      <c r="O883"/>
      <c r="P883"/>
      <c r="Q883"/>
      <c r="R883"/>
      <c r="S883"/>
      <c r="T883"/>
    </row>
    <row r="884" spans="1:20" ht="28.8" outlineLevel="4" x14ac:dyDescent="0.3">
      <c r="A884" s="82" t="s">
        <v>1664</v>
      </c>
      <c r="B884" s="10" t="s">
        <v>421</v>
      </c>
      <c r="C884" s="60" t="s">
        <v>422</v>
      </c>
      <c r="D884" s="44" t="s">
        <v>154</v>
      </c>
      <c r="E884" s="84">
        <v>0</v>
      </c>
      <c r="F884" s="84"/>
      <c r="G884" s="94">
        <f>cell_CoefGeneral</f>
        <v>1</v>
      </c>
      <c r="H884" s="93">
        <f>H126</f>
        <v>35</v>
      </c>
      <c r="I884" s="84">
        <f>IFERROR(ROUND(E884*H884,2),"-")</f>
        <v>0</v>
      </c>
      <c r="J884" s="105">
        <f>IFERROR(I884/cell_Total_HT,"-")</f>
        <v>0</v>
      </c>
      <c r="K884">
        <f>I884</f>
        <v>0</v>
      </c>
      <c r="L884"/>
      <c r="M884"/>
      <c r="N884"/>
      <c r="O884"/>
      <c r="P884"/>
      <c r="Q884"/>
      <c r="R884"/>
      <c r="S884"/>
      <c r="T884"/>
    </row>
    <row r="885" spans="1:20" outlineLevel="3" x14ac:dyDescent="0.3">
      <c r="A885" s="82" t="s">
        <v>1665</v>
      </c>
      <c r="B885" s="58" t="s">
        <v>424</v>
      </c>
      <c r="C885" s="61" t="s">
        <v>425</v>
      </c>
      <c r="D885" s="115"/>
      <c r="E885" s="87"/>
      <c r="F885" s="87"/>
      <c r="G885" s="97"/>
      <c r="H885" s="87"/>
      <c r="I885" s="104">
        <f>SUBTOTAL(9,K886:K888)</f>
        <v>0</v>
      </c>
      <c r="J885" s="108"/>
      <c r="K885"/>
      <c r="L885"/>
      <c r="M885"/>
      <c r="N885"/>
      <c r="O885"/>
      <c r="P885"/>
      <c r="Q885"/>
      <c r="R885"/>
      <c r="S885"/>
      <c r="T885"/>
    </row>
    <row r="886" spans="1:20" ht="28.8" outlineLevel="4" x14ac:dyDescent="0.3">
      <c r="A886" s="82" t="s">
        <v>1666</v>
      </c>
      <c r="B886" s="10" t="s">
        <v>427</v>
      </c>
      <c r="C886" s="60" t="s">
        <v>428</v>
      </c>
      <c r="D886" s="44" t="s">
        <v>141</v>
      </c>
      <c r="E886" s="84">
        <v>0</v>
      </c>
      <c r="F886" s="84"/>
      <c r="G886" s="94">
        <f>cell_CoefGeneral</f>
        <v>1</v>
      </c>
      <c r="H886" s="93">
        <f>H128</f>
        <v>66</v>
      </c>
      <c r="I886" s="84">
        <f>IFERROR(ROUND(E886*H886,2),"-")</f>
        <v>0</v>
      </c>
      <c r="J886" s="105">
        <f>IFERROR(I886/cell_Total_HT,"-")</f>
        <v>0</v>
      </c>
      <c r="K886">
        <f>I886</f>
        <v>0</v>
      </c>
      <c r="L886"/>
      <c r="M886"/>
      <c r="N886"/>
      <c r="O886"/>
      <c r="P886"/>
      <c r="Q886"/>
      <c r="R886"/>
      <c r="S886"/>
      <c r="T886"/>
    </row>
    <row r="887" spans="1:20" outlineLevel="4" x14ac:dyDescent="0.3">
      <c r="A887" s="82" t="s">
        <v>1667</v>
      </c>
      <c r="B887" s="10" t="s">
        <v>430</v>
      </c>
      <c r="C887" s="60" t="s">
        <v>431</v>
      </c>
      <c r="D887" s="44" t="s">
        <v>154</v>
      </c>
      <c r="E887" s="84">
        <v>0</v>
      </c>
      <c r="F887" s="84"/>
      <c r="G887" s="94">
        <f>cell_CoefGeneral</f>
        <v>1</v>
      </c>
      <c r="H887" s="93">
        <f>H129</f>
        <v>34</v>
      </c>
      <c r="I887" s="84">
        <f>IFERROR(ROUND(E887*H887,2),"-")</f>
        <v>0</v>
      </c>
      <c r="J887" s="105">
        <f>IFERROR(I887/cell_Total_HT,"-")</f>
        <v>0</v>
      </c>
      <c r="K887">
        <f>I887</f>
        <v>0</v>
      </c>
      <c r="L887"/>
      <c r="M887"/>
      <c r="N887"/>
      <c r="O887"/>
      <c r="P887"/>
      <c r="Q887"/>
      <c r="R887"/>
      <c r="S887"/>
      <c r="T887"/>
    </row>
    <row r="888" spans="1:20" outlineLevel="4" x14ac:dyDescent="0.3">
      <c r="A888" s="82" t="s">
        <v>1668</v>
      </c>
      <c r="B888" s="10" t="s">
        <v>433</v>
      </c>
      <c r="C888" s="60" t="s">
        <v>434</v>
      </c>
      <c r="D888" s="44" t="s">
        <v>154</v>
      </c>
      <c r="E888" s="84">
        <v>0</v>
      </c>
      <c r="F888" s="84"/>
      <c r="G888" s="94">
        <f>cell_CoefGeneral</f>
        <v>1</v>
      </c>
      <c r="H888" s="93">
        <f>H130</f>
        <v>78</v>
      </c>
      <c r="I888" s="84">
        <f>IFERROR(ROUND(E888*H888,2),"-")</f>
        <v>0</v>
      </c>
      <c r="J888" s="105">
        <f>IFERROR(I888/cell_Total_HT,"-")</f>
        <v>0</v>
      </c>
      <c r="K888">
        <f>I888</f>
        <v>0</v>
      </c>
      <c r="L888"/>
      <c r="M888"/>
      <c r="N888"/>
      <c r="O888"/>
      <c r="P888"/>
      <c r="Q888"/>
      <c r="R888"/>
      <c r="S888"/>
      <c r="T888"/>
    </row>
    <row r="889" spans="1:20" outlineLevel="3" x14ac:dyDescent="0.3">
      <c r="A889" s="82" t="s">
        <v>1669</v>
      </c>
      <c r="B889" s="58" t="s">
        <v>436</v>
      </c>
      <c r="C889" s="61" t="s">
        <v>437</v>
      </c>
      <c r="D889" s="115"/>
      <c r="E889" s="87"/>
      <c r="F889" s="87"/>
      <c r="G889" s="97"/>
      <c r="H889" s="87"/>
      <c r="I889" s="104">
        <f>SUBTOTAL(9,K890:K893)</f>
        <v>3201</v>
      </c>
      <c r="J889" s="108"/>
      <c r="K889"/>
      <c r="L889"/>
      <c r="M889"/>
      <c r="N889"/>
      <c r="O889"/>
      <c r="P889"/>
      <c r="Q889"/>
      <c r="R889"/>
      <c r="S889"/>
      <c r="T889"/>
    </row>
    <row r="890" spans="1:20" outlineLevel="4" x14ac:dyDescent="0.3">
      <c r="A890" s="82" t="s">
        <v>1670</v>
      </c>
      <c r="B890" s="10" t="s">
        <v>439</v>
      </c>
      <c r="C890" s="60" t="s">
        <v>440</v>
      </c>
      <c r="D890" s="44" t="s">
        <v>154</v>
      </c>
      <c r="E890" s="84">
        <v>0</v>
      </c>
      <c r="F890" s="84"/>
      <c r="G890" s="94">
        <f>cell_CoefGeneral</f>
        <v>1</v>
      </c>
      <c r="H890" s="93">
        <f>H132</f>
        <v>33</v>
      </c>
      <c r="I890" s="84">
        <f>IFERROR(ROUND(E890*H890,2),"-")</f>
        <v>0</v>
      </c>
      <c r="J890" s="105">
        <f>IFERROR(I890/cell_Total_HT,"-")</f>
        <v>0</v>
      </c>
      <c r="K890">
        <f>I890</f>
        <v>0</v>
      </c>
      <c r="L890"/>
      <c r="M890"/>
      <c r="N890"/>
      <c r="O890"/>
      <c r="P890"/>
      <c r="Q890"/>
      <c r="R890"/>
      <c r="S890"/>
      <c r="T890"/>
    </row>
    <row r="891" spans="1:20" outlineLevel="4" x14ac:dyDescent="0.3">
      <c r="A891" s="82" t="s">
        <v>1671</v>
      </c>
      <c r="B891" s="10" t="s">
        <v>442</v>
      </c>
      <c r="C891" s="60" t="s">
        <v>443</v>
      </c>
      <c r="D891" s="44" t="s">
        <v>154</v>
      </c>
      <c r="E891" s="84">
        <v>0</v>
      </c>
      <c r="F891" s="84"/>
      <c r="G891" s="94">
        <f>cell_CoefGeneral</f>
        <v>1</v>
      </c>
      <c r="H891" s="93">
        <f>H133</f>
        <v>5.7</v>
      </c>
      <c r="I891" s="84">
        <f>IFERROR(ROUND(E891*H891,2),"-")</f>
        <v>0</v>
      </c>
      <c r="J891" s="105">
        <f>IFERROR(I891/cell_Total_HT,"-")</f>
        <v>0</v>
      </c>
      <c r="K891">
        <f>I891</f>
        <v>0</v>
      </c>
      <c r="L891"/>
      <c r="M891"/>
      <c r="N891"/>
      <c r="O891"/>
      <c r="P891"/>
      <c r="Q891"/>
      <c r="R891"/>
      <c r="S891"/>
      <c r="T891"/>
    </row>
    <row r="892" spans="1:20" outlineLevel="4" x14ac:dyDescent="0.3">
      <c r="A892" s="82" t="s">
        <v>1672</v>
      </c>
      <c r="B892" s="10" t="s">
        <v>445</v>
      </c>
      <c r="C892" s="60" t="s">
        <v>446</v>
      </c>
      <c r="D892" s="44" t="s">
        <v>154</v>
      </c>
      <c r="E892" s="84">
        <v>110</v>
      </c>
      <c r="F892" s="84"/>
      <c r="G892" s="94">
        <f>cell_CoefGeneral</f>
        <v>1</v>
      </c>
      <c r="H892" s="93">
        <f>H134</f>
        <v>24</v>
      </c>
      <c r="I892" s="84">
        <f>IFERROR(ROUND(E892*H892,2),"-")</f>
        <v>2640</v>
      </c>
      <c r="J892" s="105">
        <f>IFERROR(I892/cell_Total_HT,"-")</f>
        <v>7.7938836612299943E-4</v>
      </c>
      <c r="K892">
        <f>I892</f>
        <v>2640</v>
      </c>
      <c r="L892"/>
      <c r="M892"/>
      <c r="N892"/>
      <c r="O892"/>
      <c r="P892"/>
      <c r="Q892"/>
      <c r="R892"/>
      <c r="S892"/>
      <c r="T892"/>
    </row>
    <row r="893" spans="1:20" outlineLevel="4" x14ac:dyDescent="0.3">
      <c r="A893" s="82" t="s">
        <v>1673</v>
      </c>
      <c r="B893" s="10" t="s">
        <v>448</v>
      </c>
      <c r="C893" s="60" t="s">
        <v>449</v>
      </c>
      <c r="D893" s="44" t="s">
        <v>154</v>
      </c>
      <c r="E893" s="84">
        <v>110</v>
      </c>
      <c r="F893" s="84"/>
      <c r="G893" s="94">
        <f>cell_CoefGeneral</f>
        <v>1</v>
      </c>
      <c r="H893" s="93">
        <f>H135</f>
        <v>5.0999999999999996</v>
      </c>
      <c r="I893" s="84">
        <f>IFERROR(ROUND(E893*H893,2),"-")</f>
        <v>561</v>
      </c>
      <c r="J893" s="105">
        <f>IFERROR(I893/cell_Total_HT,"-")</f>
        <v>1.6562002780113737E-4</v>
      </c>
      <c r="K893">
        <f>I893</f>
        <v>561</v>
      </c>
      <c r="L893"/>
      <c r="M893"/>
      <c r="N893"/>
      <c r="O893"/>
      <c r="P893"/>
      <c r="Q893"/>
      <c r="R893"/>
      <c r="S893"/>
      <c r="T893"/>
    </row>
    <row r="894" spans="1:20" outlineLevel="3" x14ac:dyDescent="0.3">
      <c r="A894" s="82" t="s">
        <v>1674</v>
      </c>
      <c r="B894" s="58" t="s">
        <v>451</v>
      </c>
      <c r="C894" s="61" t="s">
        <v>452</v>
      </c>
      <c r="D894" s="115"/>
      <c r="E894" s="87"/>
      <c r="F894" s="87"/>
      <c r="G894" s="97"/>
      <c r="H894" s="87"/>
      <c r="I894" s="104">
        <f>SUBTOTAL(9,K895:K897)</f>
        <v>0</v>
      </c>
      <c r="J894" s="108"/>
      <c r="K894"/>
      <c r="L894"/>
      <c r="M894"/>
      <c r="N894"/>
      <c r="O894"/>
      <c r="P894"/>
      <c r="Q894"/>
      <c r="R894"/>
      <c r="S894"/>
      <c r="T894"/>
    </row>
    <row r="895" spans="1:20" outlineLevel="4" x14ac:dyDescent="0.3">
      <c r="A895" s="82" t="s">
        <v>1675</v>
      </c>
      <c r="B895" s="10" t="s">
        <v>454</v>
      </c>
      <c r="C895" s="60" t="s">
        <v>455</v>
      </c>
      <c r="D895" s="44" t="s">
        <v>154</v>
      </c>
      <c r="E895" s="84">
        <v>0</v>
      </c>
      <c r="F895" s="84"/>
      <c r="G895" s="94">
        <f>cell_CoefGeneral</f>
        <v>1</v>
      </c>
      <c r="H895" s="93">
        <f>H137</f>
        <v>40</v>
      </c>
      <c r="I895" s="84">
        <f>IFERROR(ROUND(E895*H895,2),"-")</f>
        <v>0</v>
      </c>
      <c r="J895" s="105">
        <f>IFERROR(I895/cell_Total_HT,"-")</f>
        <v>0</v>
      </c>
      <c r="K895">
        <f>I895</f>
        <v>0</v>
      </c>
      <c r="L895"/>
      <c r="M895"/>
      <c r="N895"/>
      <c r="O895"/>
      <c r="P895"/>
      <c r="Q895"/>
      <c r="R895"/>
      <c r="S895"/>
      <c r="T895"/>
    </row>
    <row r="896" spans="1:20" outlineLevel="4" x14ac:dyDescent="0.3">
      <c r="A896" s="82" t="s">
        <v>1676</v>
      </c>
      <c r="B896" s="10" t="s">
        <v>457</v>
      </c>
      <c r="C896" s="60" t="s">
        <v>458</v>
      </c>
      <c r="D896" s="44" t="s">
        <v>154</v>
      </c>
      <c r="E896" s="84">
        <v>0</v>
      </c>
      <c r="F896" s="84"/>
      <c r="G896" s="94">
        <f>cell_CoefGeneral</f>
        <v>1</v>
      </c>
      <c r="H896" s="93">
        <f>H138</f>
        <v>91</v>
      </c>
      <c r="I896" s="84">
        <f>IFERROR(ROUND(E896*H896,2),"-")</f>
        <v>0</v>
      </c>
      <c r="J896" s="105">
        <f>IFERROR(I896/cell_Total_HT,"-")</f>
        <v>0</v>
      </c>
      <c r="K896">
        <f>I896</f>
        <v>0</v>
      </c>
      <c r="L896"/>
      <c r="M896"/>
      <c r="N896"/>
      <c r="O896"/>
      <c r="P896"/>
      <c r="Q896"/>
      <c r="R896"/>
      <c r="S896"/>
      <c r="T896"/>
    </row>
    <row r="897" spans="1:20" ht="15" outlineLevel="4" thickBot="1" x14ac:dyDescent="0.35">
      <c r="A897" s="82" t="s">
        <v>1677</v>
      </c>
      <c r="B897" s="10" t="s">
        <v>460</v>
      </c>
      <c r="C897" s="60" t="s">
        <v>461</v>
      </c>
      <c r="D897" s="44" t="s">
        <v>154</v>
      </c>
      <c r="E897" s="84">
        <v>0</v>
      </c>
      <c r="F897" s="84"/>
      <c r="G897" s="94">
        <f>cell_CoefGeneral</f>
        <v>1</v>
      </c>
      <c r="H897" s="93">
        <f>H139</f>
        <v>22</v>
      </c>
      <c r="I897" s="84">
        <f>IFERROR(ROUND(E897*H897,2),"-")</f>
        <v>0</v>
      </c>
      <c r="J897" s="105">
        <f>IFERROR(I897/cell_Total_HT,"-")</f>
        <v>0</v>
      </c>
      <c r="K897">
        <f>I897</f>
        <v>0</v>
      </c>
      <c r="L897"/>
      <c r="M897"/>
      <c r="N897"/>
      <c r="O897"/>
      <c r="P897"/>
      <c r="Q897"/>
      <c r="R897"/>
      <c r="S897"/>
      <c r="T897"/>
    </row>
    <row r="898" spans="1:20" ht="15" outlineLevel="2" thickTop="1" x14ac:dyDescent="0.3">
      <c r="A898" s="82" t="s">
        <v>1678</v>
      </c>
      <c r="B898" s="62" t="s">
        <v>60</v>
      </c>
      <c r="C898" s="63" t="s">
        <v>463</v>
      </c>
      <c r="D898" s="116"/>
      <c r="E898" s="88"/>
      <c r="F898" s="88"/>
      <c r="G898" s="98"/>
      <c r="H898" s="88"/>
      <c r="I898" s="88">
        <f>SUBTOTAL(9,I845:I897)</f>
        <v>125403.90000000002</v>
      </c>
      <c r="J898" s="109"/>
      <c r="K898"/>
      <c r="L898"/>
      <c r="M898"/>
      <c r="N898"/>
      <c r="O898"/>
      <c r="P898"/>
      <c r="Q898"/>
      <c r="R898"/>
      <c r="S898"/>
      <c r="T898"/>
    </row>
    <row r="899" spans="1:20" outlineLevel="2" x14ac:dyDescent="0.3">
      <c r="A899" s="82" t="s">
        <v>1679</v>
      </c>
      <c r="B899" s="64" t="s">
        <v>465</v>
      </c>
      <c r="C899" s="65" t="s">
        <v>466</v>
      </c>
      <c r="D899" s="117"/>
      <c r="E899" s="87"/>
      <c r="F899" s="87"/>
      <c r="G899" s="97"/>
      <c r="H899" s="87"/>
      <c r="I899" s="104">
        <f>SUBTOTAL(9,K900:K924)</f>
        <v>62023</v>
      </c>
      <c r="J899" s="108"/>
      <c r="K899"/>
      <c r="L899"/>
      <c r="M899"/>
      <c r="N899"/>
      <c r="O899"/>
      <c r="P899"/>
      <c r="Q899"/>
      <c r="R899"/>
      <c r="S899"/>
      <c r="T899"/>
    </row>
    <row r="900" spans="1:20" outlineLevel="3" x14ac:dyDescent="0.3">
      <c r="A900" s="82" t="s">
        <v>1680</v>
      </c>
      <c r="B900" s="64" t="s">
        <v>468</v>
      </c>
      <c r="C900" s="66" t="s">
        <v>469</v>
      </c>
      <c r="D900" s="117"/>
      <c r="E900" s="87"/>
      <c r="F900" s="87"/>
      <c r="G900" s="97"/>
      <c r="H900" s="87"/>
      <c r="I900" s="104">
        <f>SUBTOTAL(9,K901:K910)</f>
        <v>45943</v>
      </c>
      <c r="J900" s="108"/>
      <c r="K900"/>
      <c r="L900"/>
      <c r="M900"/>
      <c r="N900"/>
      <c r="O900"/>
      <c r="P900"/>
      <c r="Q900"/>
      <c r="R900"/>
      <c r="S900"/>
      <c r="T900"/>
    </row>
    <row r="901" spans="1:20" outlineLevel="4" x14ac:dyDescent="0.3">
      <c r="A901" s="82" t="s">
        <v>1681</v>
      </c>
      <c r="B901" s="10" t="s">
        <v>471</v>
      </c>
      <c r="C901" s="60" t="s">
        <v>472</v>
      </c>
      <c r="D901" s="44" t="s">
        <v>80</v>
      </c>
      <c r="E901" s="84">
        <v>77</v>
      </c>
      <c r="F901" s="84"/>
      <c r="G901" s="94">
        <f t="shared" ref="G901:G916" si="137">cell_CoefGeneral</f>
        <v>1</v>
      </c>
      <c r="H901" s="93">
        <f t="shared" ref="H901:H916" si="138">H143</f>
        <v>43</v>
      </c>
      <c r="I901" s="84">
        <f t="shared" ref="I901:I916" si="139">IFERROR(ROUND(E901*H901,2),"-")</f>
        <v>3311</v>
      </c>
      <c r="J901" s="105">
        <f t="shared" ref="J901:J916" si="140">IFERROR(I901/cell_Total_HT,"-")</f>
        <v>9.7748290917926183E-4</v>
      </c>
      <c r="K901">
        <f t="shared" ref="K901:K916" si="141">I901</f>
        <v>3311</v>
      </c>
      <c r="L901"/>
      <c r="M901"/>
      <c r="N901"/>
      <c r="O901"/>
      <c r="P901"/>
      <c r="Q901"/>
      <c r="R901"/>
      <c r="S901"/>
      <c r="T901"/>
    </row>
    <row r="902" spans="1:20" outlineLevel="4" x14ac:dyDescent="0.3">
      <c r="A902" s="82" t="s">
        <v>1682</v>
      </c>
      <c r="B902" s="10" t="s">
        <v>474</v>
      </c>
      <c r="C902" s="60" t="s">
        <v>475</v>
      </c>
      <c r="D902" s="44" t="s">
        <v>80</v>
      </c>
      <c r="E902" s="84">
        <v>14</v>
      </c>
      <c r="F902" s="84"/>
      <c r="G902" s="94">
        <f t="shared" si="137"/>
        <v>1</v>
      </c>
      <c r="H902" s="93">
        <f t="shared" si="138"/>
        <v>53</v>
      </c>
      <c r="I902" s="84">
        <f t="shared" si="139"/>
        <v>742</v>
      </c>
      <c r="J902" s="105">
        <f t="shared" si="140"/>
        <v>2.1905536653911575E-4</v>
      </c>
      <c r="K902">
        <f t="shared" si="141"/>
        <v>742</v>
      </c>
      <c r="L902"/>
      <c r="M902"/>
      <c r="N902"/>
      <c r="O902"/>
      <c r="P902"/>
      <c r="Q902"/>
      <c r="R902"/>
      <c r="S902"/>
      <c r="T902"/>
    </row>
    <row r="903" spans="1:20" outlineLevel="4" x14ac:dyDescent="0.3">
      <c r="A903" s="82" t="s">
        <v>1683</v>
      </c>
      <c r="B903" s="10" t="s">
        <v>477</v>
      </c>
      <c r="C903" s="60" t="s">
        <v>478</v>
      </c>
      <c r="D903" s="44" t="s">
        <v>80</v>
      </c>
      <c r="E903" s="84">
        <v>635</v>
      </c>
      <c r="F903" s="84"/>
      <c r="G903" s="94">
        <f t="shared" si="137"/>
        <v>1</v>
      </c>
      <c r="H903" s="93">
        <f t="shared" si="138"/>
        <v>58</v>
      </c>
      <c r="I903" s="84">
        <f t="shared" si="139"/>
        <v>36830</v>
      </c>
      <c r="J903" s="105">
        <f t="shared" si="140"/>
        <v>1.0873058153147753E-2</v>
      </c>
      <c r="K903">
        <f t="shared" si="141"/>
        <v>36830</v>
      </c>
      <c r="L903"/>
      <c r="M903"/>
      <c r="N903"/>
      <c r="O903"/>
      <c r="P903"/>
      <c r="Q903"/>
      <c r="R903"/>
      <c r="S903"/>
      <c r="T903"/>
    </row>
    <row r="904" spans="1:20" outlineLevel="4" x14ac:dyDescent="0.3">
      <c r="A904" s="82" t="s">
        <v>1684</v>
      </c>
      <c r="B904" s="10" t="s">
        <v>480</v>
      </c>
      <c r="C904" s="60" t="s">
        <v>481</v>
      </c>
      <c r="D904" s="44" t="s">
        <v>80</v>
      </c>
      <c r="E904" s="84">
        <v>41</v>
      </c>
      <c r="F904" s="84"/>
      <c r="G904" s="94">
        <f t="shared" si="137"/>
        <v>1</v>
      </c>
      <c r="H904" s="93">
        <f t="shared" si="138"/>
        <v>100</v>
      </c>
      <c r="I904" s="84">
        <f t="shared" si="139"/>
        <v>4100</v>
      </c>
      <c r="J904" s="105">
        <f t="shared" si="140"/>
        <v>1.2104137504182946E-3</v>
      </c>
      <c r="K904">
        <f t="shared" si="141"/>
        <v>4100</v>
      </c>
      <c r="L904"/>
      <c r="M904"/>
      <c r="N904"/>
      <c r="O904"/>
      <c r="P904"/>
      <c r="Q904"/>
      <c r="R904"/>
      <c r="S904"/>
      <c r="T904"/>
    </row>
    <row r="905" spans="1:20" outlineLevel="4" x14ac:dyDescent="0.3">
      <c r="A905" s="82" t="s">
        <v>1685</v>
      </c>
      <c r="B905" s="10" t="s">
        <v>483</v>
      </c>
      <c r="C905" s="60" t="s">
        <v>484</v>
      </c>
      <c r="D905" s="44" t="s">
        <v>80</v>
      </c>
      <c r="E905" s="84">
        <v>0</v>
      </c>
      <c r="F905" s="84"/>
      <c r="G905" s="94">
        <f t="shared" si="137"/>
        <v>1</v>
      </c>
      <c r="H905" s="93">
        <f t="shared" si="138"/>
        <v>120</v>
      </c>
      <c r="I905" s="84">
        <f t="shared" si="139"/>
        <v>0</v>
      </c>
      <c r="J905" s="105">
        <f t="shared" si="140"/>
        <v>0</v>
      </c>
      <c r="K905">
        <f t="shared" si="141"/>
        <v>0</v>
      </c>
      <c r="L905"/>
      <c r="M905"/>
      <c r="N905"/>
      <c r="O905"/>
      <c r="P905"/>
      <c r="Q905"/>
      <c r="R905"/>
      <c r="S905"/>
      <c r="T905"/>
    </row>
    <row r="906" spans="1:20" outlineLevel="4" x14ac:dyDescent="0.3">
      <c r="A906" s="82" t="s">
        <v>1686</v>
      </c>
      <c r="B906" s="10" t="s">
        <v>486</v>
      </c>
      <c r="C906" s="60" t="s">
        <v>487</v>
      </c>
      <c r="D906" s="44" t="s">
        <v>121</v>
      </c>
      <c r="E906" s="84">
        <v>4</v>
      </c>
      <c r="F906" s="84"/>
      <c r="G906" s="94">
        <f t="shared" si="137"/>
        <v>1</v>
      </c>
      <c r="H906" s="93">
        <f t="shared" si="138"/>
        <v>120</v>
      </c>
      <c r="I906" s="84">
        <f t="shared" si="139"/>
        <v>480</v>
      </c>
      <c r="J906" s="105">
        <f t="shared" si="140"/>
        <v>1.4170697565872716E-4</v>
      </c>
      <c r="K906">
        <f t="shared" si="141"/>
        <v>480</v>
      </c>
      <c r="L906"/>
      <c r="M906"/>
      <c r="N906"/>
      <c r="O906"/>
      <c r="P906"/>
      <c r="Q906"/>
      <c r="R906"/>
      <c r="S906"/>
      <c r="T906"/>
    </row>
    <row r="907" spans="1:20" outlineLevel="4" x14ac:dyDescent="0.3">
      <c r="A907" s="82" t="s">
        <v>1687</v>
      </c>
      <c r="B907" s="10" t="s">
        <v>489</v>
      </c>
      <c r="C907" s="60" t="s">
        <v>490</v>
      </c>
      <c r="D907" s="44" t="s">
        <v>121</v>
      </c>
      <c r="E907" s="84">
        <v>4</v>
      </c>
      <c r="F907" s="84"/>
      <c r="G907" s="94">
        <f t="shared" si="137"/>
        <v>1</v>
      </c>
      <c r="H907" s="93">
        <f t="shared" si="138"/>
        <v>120</v>
      </c>
      <c r="I907" s="84">
        <f t="shared" si="139"/>
        <v>480</v>
      </c>
      <c r="J907" s="105">
        <f t="shared" si="140"/>
        <v>1.4170697565872716E-4</v>
      </c>
      <c r="K907">
        <f t="shared" si="141"/>
        <v>480</v>
      </c>
      <c r="L907"/>
      <c r="M907"/>
      <c r="N907"/>
      <c r="O907"/>
      <c r="P907"/>
      <c r="Q907"/>
      <c r="R907"/>
      <c r="S907"/>
      <c r="T907"/>
    </row>
    <row r="908" spans="1:20" outlineLevel="4" x14ac:dyDescent="0.3">
      <c r="A908" s="82" t="s">
        <v>1688</v>
      </c>
      <c r="B908" s="10" t="s">
        <v>492</v>
      </c>
      <c r="C908" s="60" t="s">
        <v>493</v>
      </c>
      <c r="D908" s="44" t="s">
        <v>121</v>
      </c>
      <c r="E908" s="84">
        <v>0</v>
      </c>
      <c r="F908" s="84"/>
      <c r="G908" s="94">
        <f t="shared" si="137"/>
        <v>1</v>
      </c>
      <c r="H908" s="93">
        <f t="shared" si="138"/>
        <v>150</v>
      </c>
      <c r="I908" s="84">
        <f t="shared" si="139"/>
        <v>0</v>
      </c>
      <c r="J908" s="105">
        <f t="shared" si="140"/>
        <v>0</v>
      </c>
      <c r="K908">
        <f t="shared" si="141"/>
        <v>0</v>
      </c>
      <c r="L908"/>
      <c r="M908"/>
      <c r="N908"/>
      <c r="O908"/>
      <c r="P908"/>
      <c r="Q908"/>
      <c r="R908"/>
      <c r="S908"/>
      <c r="T908"/>
    </row>
    <row r="909" spans="1:20" outlineLevel="4" x14ac:dyDescent="0.3">
      <c r="A909" s="82" t="s">
        <v>1689</v>
      </c>
      <c r="B909" s="10" t="s">
        <v>495</v>
      </c>
      <c r="C909" s="60" t="s">
        <v>496</v>
      </c>
      <c r="D909" s="44" t="s">
        <v>121</v>
      </c>
      <c r="E909" s="84">
        <v>0</v>
      </c>
      <c r="F909" s="84"/>
      <c r="G909" s="94">
        <f t="shared" si="137"/>
        <v>1</v>
      </c>
      <c r="H909" s="93">
        <f t="shared" si="138"/>
        <v>150</v>
      </c>
      <c r="I909" s="84">
        <f t="shared" si="139"/>
        <v>0</v>
      </c>
      <c r="J909" s="105">
        <f t="shared" si="140"/>
        <v>0</v>
      </c>
      <c r="K909">
        <f t="shared" si="141"/>
        <v>0</v>
      </c>
      <c r="L909"/>
      <c r="M909"/>
      <c r="N909"/>
      <c r="O909"/>
      <c r="P909"/>
      <c r="Q909"/>
      <c r="R909"/>
      <c r="S909"/>
      <c r="T909"/>
    </row>
    <row r="910" spans="1:20" outlineLevel="4" x14ac:dyDescent="0.3">
      <c r="A910" s="82" t="s">
        <v>1690</v>
      </c>
      <c r="B910" s="10" t="s">
        <v>498</v>
      </c>
      <c r="C910" s="60" t="s">
        <v>499</v>
      </c>
      <c r="D910" s="44" t="s">
        <v>80</v>
      </c>
      <c r="E910" s="84">
        <v>0</v>
      </c>
      <c r="F910" s="84"/>
      <c r="G910" s="94">
        <f t="shared" si="137"/>
        <v>1</v>
      </c>
      <c r="H910" s="93">
        <f t="shared" si="138"/>
        <v>97</v>
      </c>
      <c r="I910" s="84">
        <f t="shared" si="139"/>
        <v>0</v>
      </c>
      <c r="J910" s="105">
        <f t="shared" si="140"/>
        <v>0</v>
      </c>
      <c r="K910">
        <f t="shared" si="141"/>
        <v>0</v>
      </c>
      <c r="L910"/>
      <c r="M910"/>
      <c r="N910"/>
      <c r="O910"/>
      <c r="P910"/>
      <c r="Q910"/>
      <c r="R910"/>
      <c r="S910"/>
      <c r="T910"/>
    </row>
    <row r="911" spans="1:20" outlineLevel="3" x14ac:dyDescent="0.3">
      <c r="A911" s="82" t="s">
        <v>1691</v>
      </c>
      <c r="B911" s="10" t="s">
        <v>501</v>
      </c>
      <c r="C911" s="60" t="s">
        <v>502</v>
      </c>
      <c r="D911" s="44" t="s">
        <v>80</v>
      </c>
      <c r="E911" s="84">
        <v>0</v>
      </c>
      <c r="F911" s="84"/>
      <c r="G911" s="94">
        <f t="shared" si="137"/>
        <v>1</v>
      </c>
      <c r="H911" s="93">
        <f t="shared" si="138"/>
        <v>51</v>
      </c>
      <c r="I911" s="84">
        <f t="shared" si="139"/>
        <v>0</v>
      </c>
      <c r="J911" s="105">
        <f t="shared" si="140"/>
        <v>0</v>
      </c>
      <c r="K911">
        <f t="shared" si="141"/>
        <v>0</v>
      </c>
      <c r="L911"/>
      <c r="M911"/>
      <c r="N911"/>
      <c r="O911"/>
      <c r="P911"/>
      <c r="Q911"/>
      <c r="R911"/>
      <c r="S911"/>
      <c r="T911"/>
    </row>
    <row r="912" spans="1:20" outlineLevel="3" x14ac:dyDescent="0.3">
      <c r="A912" s="82" t="s">
        <v>1692</v>
      </c>
      <c r="B912" s="10" t="s">
        <v>504</v>
      </c>
      <c r="C912" s="60" t="s">
        <v>505</v>
      </c>
      <c r="D912" s="44" t="s">
        <v>80</v>
      </c>
      <c r="E912" s="84">
        <v>0</v>
      </c>
      <c r="F912" s="84"/>
      <c r="G912" s="94">
        <f t="shared" si="137"/>
        <v>1</v>
      </c>
      <c r="H912" s="93">
        <f t="shared" si="138"/>
        <v>20</v>
      </c>
      <c r="I912" s="84">
        <f t="shared" si="139"/>
        <v>0</v>
      </c>
      <c r="J912" s="105">
        <f t="shared" si="140"/>
        <v>0</v>
      </c>
      <c r="K912">
        <f t="shared" si="141"/>
        <v>0</v>
      </c>
      <c r="L912"/>
      <c r="M912"/>
      <c r="N912"/>
      <c r="O912"/>
      <c r="P912"/>
      <c r="Q912"/>
      <c r="R912"/>
      <c r="S912"/>
      <c r="T912"/>
    </row>
    <row r="913" spans="1:20" ht="28.8" outlineLevel="3" x14ac:dyDescent="0.3">
      <c r="A913" s="82" t="s">
        <v>1693</v>
      </c>
      <c r="B913" s="10" t="s">
        <v>507</v>
      </c>
      <c r="C913" s="60" t="s">
        <v>508</v>
      </c>
      <c r="D913" s="44" t="s">
        <v>80</v>
      </c>
      <c r="E913" s="84">
        <v>318</v>
      </c>
      <c r="F913" s="84"/>
      <c r="G913" s="94">
        <f t="shared" si="137"/>
        <v>1</v>
      </c>
      <c r="H913" s="93">
        <f t="shared" si="138"/>
        <v>31</v>
      </c>
      <c r="I913" s="84">
        <f t="shared" si="139"/>
        <v>9858</v>
      </c>
      <c r="J913" s="105">
        <f t="shared" si="140"/>
        <v>2.9103070125911091E-3</v>
      </c>
      <c r="K913">
        <f t="shared" si="141"/>
        <v>9858</v>
      </c>
      <c r="L913"/>
      <c r="M913"/>
      <c r="N913"/>
      <c r="O913"/>
      <c r="P913"/>
      <c r="Q913"/>
      <c r="R913"/>
      <c r="S913"/>
      <c r="T913"/>
    </row>
    <row r="914" spans="1:20" outlineLevel="3" x14ac:dyDescent="0.3">
      <c r="A914" s="82" t="s">
        <v>1694</v>
      </c>
      <c r="B914" s="10" t="s">
        <v>510</v>
      </c>
      <c r="C914" s="60" t="s">
        <v>511</v>
      </c>
      <c r="D914" s="44" t="s">
        <v>80</v>
      </c>
      <c r="E914" s="84">
        <v>318</v>
      </c>
      <c r="F914" s="84"/>
      <c r="G914" s="94">
        <f t="shared" si="137"/>
        <v>1</v>
      </c>
      <c r="H914" s="93">
        <f t="shared" si="138"/>
        <v>14</v>
      </c>
      <c r="I914" s="84">
        <f t="shared" si="139"/>
        <v>4452</v>
      </c>
      <c r="J914" s="105">
        <f t="shared" si="140"/>
        <v>1.3143321992346946E-3</v>
      </c>
      <c r="K914">
        <f t="shared" si="141"/>
        <v>4452</v>
      </c>
      <c r="L914"/>
      <c r="M914"/>
      <c r="N914"/>
      <c r="O914"/>
      <c r="P914"/>
      <c r="Q914"/>
      <c r="R914"/>
      <c r="S914"/>
      <c r="T914"/>
    </row>
    <row r="915" spans="1:20" ht="28.8" outlineLevel="3" x14ac:dyDescent="0.3">
      <c r="A915" s="82" t="s">
        <v>1695</v>
      </c>
      <c r="B915" s="10" t="s">
        <v>513</v>
      </c>
      <c r="C915" s="60" t="s">
        <v>514</v>
      </c>
      <c r="D915" s="44" t="s">
        <v>80</v>
      </c>
      <c r="E915" s="84">
        <v>30</v>
      </c>
      <c r="F915" s="84"/>
      <c r="G915" s="94">
        <f t="shared" si="137"/>
        <v>1</v>
      </c>
      <c r="H915" s="93">
        <f t="shared" si="138"/>
        <v>59</v>
      </c>
      <c r="I915" s="84">
        <f t="shared" si="139"/>
        <v>1770</v>
      </c>
      <c r="J915" s="105">
        <f t="shared" si="140"/>
        <v>5.2254447274155641E-4</v>
      </c>
      <c r="K915">
        <f t="shared" si="141"/>
        <v>1770</v>
      </c>
      <c r="L915"/>
      <c r="M915"/>
      <c r="N915"/>
      <c r="O915"/>
      <c r="P915"/>
      <c r="Q915"/>
      <c r="R915"/>
      <c r="S915"/>
      <c r="T915"/>
    </row>
    <row r="916" spans="1:20" outlineLevel="3" x14ac:dyDescent="0.3">
      <c r="A916" s="82" t="s">
        <v>1696</v>
      </c>
      <c r="B916" s="10" t="s">
        <v>516</v>
      </c>
      <c r="C916" s="60" t="s">
        <v>517</v>
      </c>
      <c r="D916" s="44" t="s">
        <v>80</v>
      </c>
      <c r="E916" s="84">
        <v>0</v>
      </c>
      <c r="F916" s="84"/>
      <c r="G916" s="94">
        <f t="shared" si="137"/>
        <v>1</v>
      </c>
      <c r="H916" s="93">
        <f t="shared" si="138"/>
        <v>30</v>
      </c>
      <c r="I916" s="84">
        <f t="shared" si="139"/>
        <v>0</v>
      </c>
      <c r="J916" s="105">
        <f t="shared" si="140"/>
        <v>0</v>
      </c>
      <c r="K916">
        <f t="shared" si="141"/>
        <v>0</v>
      </c>
      <c r="L916"/>
      <c r="M916"/>
      <c r="N916"/>
      <c r="O916"/>
      <c r="P916"/>
      <c r="Q916"/>
      <c r="R916"/>
      <c r="S916"/>
      <c r="T916"/>
    </row>
    <row r="917" spans="1:20" ht="24.6" outlineLevel="3" x14ac:dyDescent="0.3">
      <c r="A917" s="82" t="s">
        <v>1697</v>
      </c>
      <c r="B917" s="58" t="s">
        <v>519</v>
      </c>
      <c r="C917" s="61" t="s">
        <v>520</v>
      </c>
      <c r="D917" s="115"/>
      <c r="E917" s="87"/>
      <c r="F917" s="87"/>
      <c r="G917" s="97"/>
      <c r="H917" s="87"/>
      <c r="I917" s="104">
        <f>SUBTOTAL(9,K918:K922)</f>
        <v>0</v>
      </c>
      <c r="J917" s="108"/>
      <c r="K917"/>
      <c r="L917"/>
      <c r="M917"/>
      <c r="N917"/>
      <c r="O917"/>
      <c r="P917"/>
      <c r="Q917"/>
      <c r="R917"/>
      <c r="S917"/>
      <c r="T917"/>
    </row>
    <row r="918" spans="1:20" outlineLevel="4" x14ac:dyDescent="0.3">
      <c r="A918" s="82" t="s">
        <v>1698</v>
      </c>
      <c r="B918" s="10" t="s">
        <v>522</v>
      </c>
      <c r="C918" s="60" t="s">
        <v>523</v>
      </c>
      <c r="D918" s="44" t="s">
        <v>121</v>
      </c>
      <c r="E918" s="84">
        <v>0</v>
      </c>
      <c r="F918" s="84"/>
      <c r="G918" s="94">
        <f>cell_CoefGeneral</f>
        <v>1</v>
      </c>
      <c r="H918" s="93">
        <f>H160</f>
        <v>460</v>
      </c>
      <c r="I918" s="84">
        <f>IFERROR(ROUND(E918*H918,2),"-")</f>
        <v>0</v>
      </c>
      <c r="J918" s="105">
        <f>IFERROR(I918/cell_Total_HT,"-")</f>
        <v>0</v>
      </c>
      <c r="K918">
        <f>I918</f>
        <v>0</v>
      </c>
      <c r="L918"/>
      <c r="M918"/>
      <c r="N918"/>
      <c r="O918"/>
      <c r="P918"/>
      <c r="Q918"/>
      <c r="R918"/>
      <c r="S918"/>
      <c r="T918"/>
    </row>
    <row r="919" spans="1:20" outlineLevel="4" x14ac:dyDescent="0.3">
      <c r="A919" s="82" t="s">
        <v>1699</v>
      </c>
      <c r="B919" s="10" t="s">
        <v>525</v>
      </c>
      <c r="C919" s="60" t="s">
        <v>526</v>
      </c>
      <c r="D919" s="44" t="s">
        <v>121</v>
      </c>
      <c r="E919" s="84">
        <v>0</v>
      </c>
      <c r="F919" s="84"/>
      <c r="G919" s="94">
        <f>cell_CoefGeneral</f>
        <v>1</v>
      </c>
      <c r="H919" s="93">
        <f>H161</f>
        <v>920</v>
      </c>
      <c r="I919" s="84">
        <f>IFERROR(ROUND(E919*H919,2),"-")</f>
        <v>0</v>
      </c>
      <c r="J919" s="105">
        <f>IFERROR(I919/cell_Total_HT,"-")</f>
        <v>0</v>
      </c>
      <c r="K919">
        <f>I919</f>
        <v>0</v>
      </c>
      <c r="L919"/>
      <c r="M919"/>
      <c r="N919"/>
      <c r="O919"/>
      <c r="P919"/>
      <c r="Q919"/>
      <c r="R919"/>
      <c r="S919"/>
      <c r="T919"/>
    </row>
    <row r="920" spans="1:20" outlineLevel="4" x14ac:dyDescent="0.3">
      <c r="A920" s="82" t="s">
        <v>1700</v>
      </c>
      <c r="B920" s="10" t="s">
        <v>528</v>
      </c>
      <c r="C920" s="60" t="s">
        <v>529</v>
      </c>
      <c r="D920" s="44" t="s">
        <v>121</v>
      </c>
      <c r="E920" s="84">
        <v>0</v>
      </c>
      <c r="F920" s="84"/>
      <c r="G920" s="94">
        <f>cell_CoefGeneral</f>
        <v>1</v>
      </c>
      <c r="H920" s="93">
        <f>H162</f>
        <v>790</v>
      </c>
      <c r="I920" s="84">
        <f>IFERROR(ROUND(E920*H920,2),"-")</f>
        <v>0</v>
      </c>
      <c r="J920" s="105">
        <f>IFERROR(I920/cell_Total_HT,"-")</f>
        <v>0</v>
      </c>
      <c r="K920">
        <f>I920</f>
        <v>0</v>
      </c>
      <c r="L920"/>
      <c r="M920"/>
      <c r="N920"/>
      <c r="O920"/>
      <c r="P920"/>
      <c r="Q920"/>
      <c r="R920"/>
      <c r="S920"/>
      <c r="T920"/>
    </row>
    <row r="921" spans="1:20" outlineLevel="4" x14ac:dyDescent="0.3">
      <c r="A921" s="82" t="s">
        <v>1701</v>
      </c>
      <c r="B921" s="10" t="s">
        <v>531</v>
      </c>
      <c r="C921" s="60" t="s">
        <v>532</v>
      </c>
      <c r="D921" s="44" t="s">
        <v>121</v>
      </c>
      <c r="E921" s="84">
        <v>0</v>
      </c>
      <c r="F921" s="84"/>
      <c r="G921" s="94">
        <f>cell_CoefGeneral</f>
        <v>1</v>
      </c>
      <c r="H921" s="93">
        <f>H163</f>
        <v>350</v>
      </c>
      <c r="I921" s="84">
        <f>IFERROR(ROUND(E921*H921,2),"-")</f>
        <v>0</v>
      </c>
      <c r="J921" s="105">
        <f>IFERROR(I921/cell_Total_HT,"-")</f>
        <v>0</v>
      </c>
      <c r="K921">
        <f>I921</f>
        <v>0</v>
      </c>
      <c r="L921"/>
      <c r="M921"/>
      <c r="N921"/>
      <c r="O921"/>
      <c r="P921"/>
      <c r="Q921"/>
      <c r="R921"/>
      <c r="S921"/>
      <c r="T921"/>
    </row>
    <row r="922" spans="1:20" outlineLevel="4" x14ac:dyDescent="0.3">
      <c r="A922" s="82" t="s">
        <v>1702</v>
      </c>
      <c r="B922" s="10" t="s">
        <v>534</v>
      </c>
      <c r="C922" s="60" t="s">
        <v>535</v>
      </c>
      <c r="D922" s="44" t="s">
        <v>80</v>
      </c>
      <c r="E922" s="84">
        <v>0</v>
      </c>
      <c r="F922" s="84"/>
      <c r="G922" s="94">
        <f>cell_CoefGeneral</f>
        <v>1</v>
      </c>
      <c r="H922" s="93">
        <f>H164</f>
        <v>250</v>
      </c>
      <c r="I922" s="84">
        <f>IFERROR(ROUND(E922*H922,2),"-")</f>
        <v>0</v>
      </c>
      <c r="J922" s="105">
        <f>IFERROR(I922/cell_Total_HT,"-")</f>
        <v>0</v>
      </c>
      <c r="K922">
        <f>I922</f>
        <v>0</v>
      </c>
      <c r="L922"/>
      <c r="M922"/>
      <c r="N922"/>
      <c r="O922"/>
      <c r="P922"/>
      <c r="Q922"/>
      <c r="R922"/>
      <c r="S922"/>
      <c r="T922"/>
    </row>
    <row r="923" spans="1:20" outlineLevel="3" x14ac:dyDescent="0.3">
      <c r="A923" s="82" t="s">
        <v>1703</v>
      </c>
      <c r="B923" s="58" t="s">
        <v>537</v>
      </c>
      <c r="C923" s="61" t="s">
        <v>538</v>
      </c>
      <c r="D923" s="115"/>
      <c r="E923" s="87"/>
      <c r="F923" s="87"/>
      <c r="G923" s="97"/>
      <c r="H923" s="87"/>
      <c r="I923" s="104">
        <f>SUBTOTAL(9,K924:K924)</f>
        <v>0</v>
      </c>
      <c r="J923" s="108"/>
      <c r="K923"/>
      <c r="L923"/>
      <c r="M923"/>
      <c r="N923"/>
      <c r="O923"/>
      <c r="P923"/>
      <c r="Q923"/>
      <c r="R923"/>
      <c r="S923"/>
      <c r="T923"/>
    </row>
    <row r="924" spans="1:20" ht="15" outlineLevel="4" thickBot="1" x14ac:dyDescent="0.35">
      <c r="A924" s="82" t="s">
        <v>1704</v>
      </c>
      <c r="B924" s="10" t="s">
        <v>540</v>
      </c>
      <c r="C924" s="60" t="s">
        <v>541</v>
      </c>
      <c r="D924" s="44" t="s">
        <v>80</v>
      </c>
      <c r="E924" s="84">
        <v>0</v>
      </c>
      <c r="F924" s="84"/>
      <c r="G924" s="94">
        <f>cell_CoefGeneral</f>
        <v>1</v>
      </c>
      <c r="H924" s="93">
        <f>H166</f>
        <v>36</v>
      </c>
      <c r="I924" s="84">
        <f>IFERROR(ROUND(E924*H924,2),"-")</f>
        <v>0</v>
      </c>
      <c r="J924" s="105">
        <f>IFERROR(I924/cell_Total_HT,"-")</f>
        <v>0</v>
      </c>
      <c r="K924">
        <f>I924</f>
        <v>0</v>
      </c>
      <c r="L924"/>
      <c r="M924"/>
      <c r="N924"/>
      <c r="O924"/>
      <c r="P924"/>
      <c r="Q924"/>
      <c r="R924"/>
      <c r="S924"/>
      <c r="T924"/>
    </row>
    <row r="925" spans="1:20" ht="15" outlineLevel="2" thickTop="1" x14ac:dyDescent="0.3">
      <c r="A925" s="82" t="s">
        <v>1705</v>
      </c>
      <c r="B925" s="62" t="s">
        <v>60</v>
      </c>
      <c r="C925" s="63" t="s">
        <v>543</v>
      </c>
      <c r="D925" s="116"/>
      <c r="E925" s="88"/>
      <c r="F925" s="88"/>
      <c r="G925" s="98"/>
      <c r="H925" s="88"/>
      <c r="I925" s="88">
        <f>SUBTOTAL(9,I901:I924)</f>
        <v>62023</v>
      </c>
      <c r="J925" s="109"/>
      <c r="K925"/>
      <c r="L925"/>
      <c r="M925"/>
      <c r="N925"/>
      <c r="O925"/>
      <c r="P925"/>
      <c r="Q925"/>
      <c r="R925"/>
      <c r="S925"/>
      <c r="T925"/>
    </row>
    <row r="926" spans="1:20" outlineLevel="2" x14ac:dyDescent="0.3">
      <c r="A926" s="82" t="s">
        <v>1706</v>
      </c>
      <c r="B926" s="64" t="s">
        <v>545</v>
      </c>
      <c r="C926" s="65" t="s">
        <v>546</v>
      </c>
      <c r="D926" s="117"/>
      <c r="E926" s="87"/>
      <c r="F926" s="87"/>
      <c r="G926" s="97"/>
      <c r="H926" s="87"/>
      <c r="I926" s="104">
        <f>SUBTOTAL(9,K927:K940)</f>
        <v>12505</v>
      </c>
      <c r="J926" s="108"/>
      <c r="K926"/>
      <c r="L926"/>
      <c r="M926"/>
      <c r="N926"/>
      <c r="O926"/>
      <c r="P926"/>
      <c r="Q926"/>
      <c r="R926"/>
      <c r="S926"/>
      <c r="T926"/>
    </row>
    <row r="927" spans="1:20" outlineLevel="3" x14ac:dyDescent="0.3">
      <c r="A927" s="82" t="s">
        <v>1707</v>
      </c>
      <c r="B927" s="10" t="s">
        <v>548</v>
      </c>
      <c r="C927" s="60" t="s">
        <v>549</v>
      </c>
      <c r="D927" s="44" t="s">
        <v>121</v>
      </c>
      <c r="E927" s="84">
        <v>11</v>
      </c>
      <c r="F927" s="84"/>
      <c r="G927" s="94">
        <f>cell_CoefGeneral</f>
        <v>1</v>
      </c>
      <c r="H927" s="93">
        <f>H169</f>
        <v>81</v>
      </c>
      <c r="I927" s="84">
        <f>IFERROR(ROUND(E927*H927,2),"-")</f>
        <v>891</v>
      </c>
      <c r="J927" s="105">
        <f>IFERROR(I927/cell_Total_HT,"-")</f>
        <v>2.6304357356651229E-4</v>
      </c>
      <c r="K927">
        <f>I927</f>
        <v>891</v>
      </c>
      <c r="L927"/>
      <c r="M927"/>
      <c r="N927"/>
      <c r="O927"/>
      <c r="P927"/>
      <c r="Q927"/>
      <c r="R927"/>
      <c r="S927"/>
      <c r="T927"/>
    </row>
    <row r="928" spans="1:20" outlineLevel="3" x14ac:dyDescent="0.3">
      <c r="A928" s="82" t="s">
        <v>1708</v>
      </c>
      <c r="B928" s="10" t="s">
        <v>551</v>
      </c>
      <c r="C928" s="60" t="s">
        <v>552</v>
      </c>
      <c r="D928" s="44" t="s">
        <v>121</v>
      </c>
      <c r="E928" s="84">
        <v>1</v>
      </c>
      <c r="F928" s="84"/>
      <c r="G928" s="94">
        <f>cell_CoefGeneral</f>
        <v>1</v>
      </c>
      <c r="H928" s="93">
        <f>H170</f>
        <v>150</v>
      </c>
      <c r="I928" s="84">
        <f>IFERROR(ROUND(E928*H928,2),"-")</f>
        <v>150</v>
      </c>
      <c r="J928" s="105">
        <f>IFERROR(I928/cell_Total_HT,"-")</f>
        <v>4.4283429893352242E-5</v>
      </c>
      <c r="K928">
        <f>I928</f>
        <v>150</v>
      </c>
      <c r="L928"/>
      <c r="M928"/>
      <c r="N928"/>
      <c r="O928"/>
      <c r="P928"/>
      <c r="Q928"/>
      <c r="R928"/>
      <c r="S928"/>
      <c r="T928"/>
    </row>
    <row r="929" spans="1:20" outlineLevel="3" x14ac:dyDescent="0.3">
      <c r="A929" s="82" t="s">
        <v>1709</v>
      </c>
      <c r="B929" s="58" t="s">
        <v>554</v>
      </c>
      <c r="C929" s="61" t="s">
        <v>555</v>
      </c>
      <c r="D929" s="115"/>
      <c r="E929" s="87"/>
      <c r="F929" s="87"/>
      <c r="G929" s="97"/>
      <c r="H929" s="87"/>
      <c r="I929" s="104">
        <f>SUBTOTAL(9,K930:K931)</f>
        <v>1200</v>
      </c>
      <c r="J929" s="108"/>
      <c r="K929"/>
      <c r="L929"/>
      <c r="M929"/>
      <c r="N929"/>
      <c r="O929"/>
      <c r="P929"/>
      <c r="Q929"/>
      <c r="R929"/>
      <c r="S929"/>
      <c r="T929"/>
    </row>
    <row r="930" spans="1:20" outlineLevel="4" x14ac:dyDescent="0.3">
      <c r="A930" s="82" t="s">
        <v>1710</v>
      </c>
      <c r="B930" s="10" t="s">
        <v>557</v>
      </c>
      <c r="C930" s="60" t="s">
        <v>558</v>
      </c>
      <c r="D930" s="44" t="s">
        <v>121</v>
      </c>
      <c r="E930" s="84">
        <v>0</v>
      </c>
      <c r="F930" s="84"/>
      <c r="G930" s="94">
        <f>cell_CoefGeneral</f>
        <v>1</v>
      </c>
      <c r="H930" s="93">
        <f>H172</f>
        <v>160</v>
      </c>
      <c r="I930" s="84">
        <f>IFERROR(ROUND(E930*H930,2),"-")</f>
        <v>0</v>
      </c>
      <c r="J930" s="105">
        <f>IFERROR(I930/cell_Total_HT,"-")</f>
        <v>0</v>
      </c>
      <c r="K930">
        <f>I930</f>
        <v>0</v>
      </c>
      <c r="L930"/>
      <c r="M930"/>
      <c r="N930"/>
      <c r="O930"/>
      <c r="P930"/>
      <c r="Q930"/>
      <c r="R930"/>
      <c r="S930"/>
      <c r="T930"/>
    </row>
    <row r="931" spans="1:20" outlineLevel="4" x14ac:dyDescent="0.3">
      <c r="A931" s="82" t="s">
        <v>1711</v>
      </c>
      <c r="B931" s="10" t="s">
        <v>560</v>
      </c>
      <c r="C931" s="60" t="s">
        <v>561</v>
      </c>
      <c r="D931" s="44" t="s">
        <v>121</v>
      </c>
      <c r="E931" s="84">
        <v>6</v>
      </c>
      <c r="F931" s="84"/>
      <c r="G931" s="94">
        <f>cell_CoefGeneral</f>
        <v>1</v>
      </c>
      <c r="H931" s="93">
        <f>H173</f>
        <v>200</v>
      </c>
      <c r="I931" s="84">
        <f>IFERROR(ROUND(E931*H931,2),"-")</f>
        <v>1200</v>
      </c>
      <c r="J931" s="105">
        <f>IFERROR(I931/cell_Total_HT,"-")</f>
        <v>3.5426743914681794E-4</v>
      </c>
      <c r="K931">
        <f>I931</f>
        <v>1200</v>
      </c>
      <c r="L931"/>
      <c r="M931"/>
      <c r="N931"/>
      <c r="O931"/>
      <c r="P931"/>
      <c r="Q931"/>
      <c r="R931"/>
      <c r="S931"/>
      <c r="T931"/>
    </row>
    <row r="932" spans="1:20" outlineLevel="3" x14ac:dyDescent="0.3">
      <c r="A932" s="82" t="s">
        <v>1712</v>
      </c>
      <c r="B932" s="58" t="s">
        <v>563</v>
      </c>
      <c r="C932" s="61" t="s">
        <v>564</v>
      </c>
      <c r="D932" s="115"/>
      <c r="E932" s="87"/>
      <c r="F932" s="87"/>
      <c r="G932" s="97"/>
      <c r="H932" s="87"/>
      <c r="I932" s="104">
        <f>SUBTOTAL(9,K933:K935)</f>
        <v>1520</v>
      </c>
      <c r="J932" s="108"/>
      <c r="K932"/>
      <c r="L932"/>
      <c r="M932"/>
      <c r="N932"/>
      <c r="O932"/>
      <c r="P932"/>
      <c r="Q932"/>
      <c r="R932"/>
      <c r="S932"/>
      <c r="T932"/>
    </row>
    <row r="933" spans="1:20" outlineLevel="4" x14ac:dyDescent="0.3">
      <c r="A933" s="82" t="s">
        <v>1713</v>
      </c>
      <c r="B933" s="10" t="s">
        <v>566</v>
      </c>
      <c r="C933" s="60" t="s">
        <v>567</v>
      </c>
      <c r="D933" s="44" t="s">
        <v>121</v>
      </c>
      <c r="E933" s="84">
        <v>8</v>
      </c>
      <c r="F933" s="84"/>
      <c r="G933" s="94">
        <f>cell_CoefGeneral</f>
        <v>1</v>
      </c>
      <c r="H933" s="93">
        <f>H175</f>
        <v>190</v>
      </c>
      <c r="I933" s="84">
        <f>IFERROR(ROUND(E933*H933,2),"-")</f>
        <v>1520</v>
      </c>
      <c r="J933" s="105">
        <f>IFERROR(I933/cell_Total_HT,"-")</f>
        <v>4.4873875625263605E-4</v>
      </c>
      <c r="K933">
        <f>I933</f>
        <v>1520</v>
      </c>
      <c r="L933"/>
      <c r="M933"/>
      <c r="N933"/>
      <c r="O933"/>
      <c r="P933"/>
      <c r="Q933"/>
      <c r="R933"/>
      <c r="S933"/>
      <c r="T933"/>
    </row>
    <row r="934" spans="1:20" outlineLevel="4" x14ac:dyDescent="0.3">
      <c r="A934" s="82" t="s">
        <v>1714</v>
      </c>
      <c r="B934" s="10" t="s">
        <v>569</v>
      </c>
      <c r="C934" s="60" t="s">
        <v>558</v>
      </c>
      <c r="D934" s="44" t="s">
        <v>121</v>
      </c>
      <c r="E934" s="84">
        <v>0</v>
      </c>
      <c r="F934" s="84"/>
      <c r="G934" s="94">
        <f>cell_CoefGeneral</f>
        <v>1</v>
      </c>
      <c r="H934" s="93">
        <f>H176</f>
        <v>170</v>
      </c>
      <c r="I934" s="84">
        <f>IFERROR(ROUND(E934*H934,2),"-")</f>
        <v>0</v>
      </c>
      <c r="J934" s="105">
        <f>IFERROR(I934/cell_Total_HT,"-")</f>
        <v>0</v>
      </c>
      <c r="K934">
        <f>I934</f>
        <v>0</v>
      </c>
      <c r="L934"/>
      <c r="M934"/>
      <c r="N934"/>
      <c r="O934"/>
      <c r="P934"/>
      <c r="Q934"/>
      <c r="R934"/>
      <c r="S934"/>
      <c r="T934"/>
    </row>
    <row r="935" spans="1:20" outlineLevel="4" x14ac:dyDescent="0.3">
      <c r="A935" s="82" t="s">
        <v>1715</v>
      </c>
      <c r="B935" s="10" t="s">
        <v>571</v>
      </c>
      <c r="C935" s="60" t="s">
        <v>561</v>
      </c>
      <c r="D935" s="44" t="s">
        <v>121</v>
      </c>
      <c r="E935" s="84">
        <v>0</v>
      </c>
      <c r="F935" s="84"/>
      <c r="G935" s="94">
        <f>cell_CoefGeneral</f>
        <v>1</v>
      </c>
      <c r="H935" s="93">
        <f>H177</f>
        <v>190</v>
      </c>
      <c r="I935" s="84">
        <f>IFERROR(ROUND(E935*H935,2),"-")</f>
        <v>0</v>
      </c>
      <c r="J935" s="105">
        <f>IFERROR(I935/cell_Total_HT,"-")</f>
        <v>0</v>
      </c>
      <c r="K935">
        <f>I935</f>
        <v>0</v>
      </c>
      <c r="L935"/>
      <c r="M935"/>
      <c r="N935"/>
      <c r="O935"/>
      <c r="P935"/>
      <c r="Q935"/>
      <c r="R935"/>
      <c r="S935"/>
      <c r="T935"/>
    </row>
    <row r="936" spans="1:20" outlineLevel="3" x14ac:dyDescent="0.3">
      <c r="A936" s="82" t="s">
        <v>1716</v>
      </c>
      <c r="B936" s="58" t="s">
        <v>573</v>
      </c>
      <c r="C936" s="61" t="s">
        <v>574</v>
      </c>
      <c r="D936" s="115"/>
      <c r="E936" s="87"/>
      <c r="F936" s="87"/>
      <c r="G936" s="97"/>
      <c r="H936" s="87"/>
      <c r="I936" s="104">
        <f>SUBTOTAL(9,K937:K938)</f>
        <v>6390</v>
      </c>
      <c r="J936" s="108"/>
      <c r="K936"/>
      <c r="L936"/>
      <c r="M936"/>
      <c r="N936"/>
      <c r="O936"/>
      <c r="P936"/>
      <c r="Q936"/>
      <c r="R936"/>
      <c r="S936"/>
      <c r="T936"/>
    </row>
    <row r="937" spans="1:20" outlineLevel="4" x14ac:dyDescent="0.3">
      <c r="A937" s="82" t="s">
        <v>1717</v>
      </c>
      <c r="B937" s="10" t="s">
        <v>576</v>
      </c>
      <c r="C937" s="60" t="s">
        <v>577</v>
      </c>
      <c r="D937" s="44" t="s">
        <v>121</v>
      </c>
      <c r="E937" s="84">
        <v>18</v>
      </c>
      <c r="F937" s="84"/>
      <c r="G937" s="94">
        <f>cell_CoefGeneral</f>
        <v>1</v>
      </c>
      <c r="H937" s="93">
        <f>H179</f>
        <v>220</v>
      </c>
      <c r="I937" s="84">
        <f>IFERROR(ROUND(E937*H937,2),"-")</f>
        <v>3960</v>
      </c>
      <c r="J937" s="105">
        <f>IFERROR(I937/cell_Total_HT,"-")</f>
        <v>1.1690825491844992E-3</v>
      </c>
      <c r="K937">
        <f>I937</f>
        <v>3960</v>
      </c>
      <c r="L937"/>
      <c r="M937"/>
      <c r="N937"/>
      <c r="O937"/>
      <c r="P937"/>
      <c r="Q937"/>
      <c r="R937"/>
      <c r="S937"/>
      <c r="T937"/>
    </row>
    <row r="938" spans="1:20" outlineLevel="4" x14ac:dyDescent="0.3">
      <c r="A938" s="82" t="s">
        <v>1718</v>
      </c>
      <c r="B938" s="10" t="s">
        <v>579</v>
      </c>
      <c r="C938" s="60" t="s">
        <v>580</v>
      </c>
      <c r="D938" s="44" t="s">
        <v>121</v>
      </c>
      <c r="E938" s="84">
        <v>9</v>
      </c>
      <c r="F938" s="84"/>
      <c r="G938" s="94">
        <f>cell_CoefGeneral</f>
        <v>1</v>
      </c>
      <c r="H938" s="93">
        <f>H180</f>
        <v>270</v>
      </c>
      <c r="I938" s="84">
        <f>IFERROR(ROUND(E938*H938,2),"-")</f>
        <v>2430</v>
      </c>
      <c r="J938" s="105">
        <f>IFERROR(I938/cell_Total_HT,"-")</f>
        <v>7.1739156427230624E-4</v>
      </c>
      <c r="K938">
        <f>I938</f>
        <v>2430</v>
      </c>
      <c r="L938"/>
      <c r="M938"/>
      <c r="N938"/>
      <c r="O938"/>
      <c r="P938"/>
      <c r="Q938"/>
      <c r="R938"/>
      <c r="S938"/>
      <c r="T938"/>
    </row>
    <row r="939" spans="1:20" outlineLevel="3" x14ac:dyDescent="0.3">
      <c r="A939" s="82" t="s">
        <v>1719</v>
      </c>
      <c r="B939" s="10" t="s">
        <v>582</v>
      </c>
      <c r="C939" s="60" t="s">
        <v>583</v>
      </c>
      <c r="D939" s="44" t="s">
        <v>80</v>
      </c>
      <c r="E939" s="84">
        <v>33</v>
      </c>
      <c r="F939" s="84"/>
      <c r="G939" s="94">
        <f>cell_CoefGeneral</f>
        <v>1</v>
      </c>
      <c r="H939" s="93">
        <f>H181</f>
        <v>23</v>
      </c>
      <c r="I939" s="84">
        <f>IFERROR(ROUND(E939*H939,2),"-")</f>
        <v>759</v>
      </c>
      <c r="J939" s="105">
        <f>IFERROR(I939/cell_Total_HT,"-")</f>
        <v>2.2407415526036234E-4</v>
      </c>
      <c r="K939">
        <f>I939</f>
        <v>759</v>
      </c>
      <c r="L939"/>
      <c r="M939"/>
      <c r="N939"/>
      <c r="O939"/>
      <c r="P939"/>
      <c r="Q939"/>
      <c r="R939"/>
      <c r="S939"/>
      <c r="T939"/>
    </row>
    <row r="940" spans="1:20" ht="15" outlineLevel="3" thickBot="1" x14ac:dyDescent="0.35">
      <c r="A940" s="82" t="s">
        <v>1720</v>
      </c>
      <c r="B940" s="10" t="s">
        <v>585</v>
      </c>
      <c r="C940" s="60" t="s">
        <v>586</v>
      </c>
      <c r="D940" s="44" t="s">
        <v>154</v>
      </c>
      <c r="E940" s="84">
        <v>55</v>
      </c>
      <c r="F940" s="84"/>
      <c r="G940" s="94">
        <f>cell_CoefGeneral</f>
        <v>1</v>
      </c>
      <c r="H940" s="93">
        <f>H182</f>
        <v>29</v>
      </c>
      <c r="I940" s="84">
        <f>IFERROR(ROUND(E940*H940,2),"-")</f>
        <v>1595</v>
      </c>
      <c r="J940" s="105">
        <f>IFERROR(I940/cell_Total_HT,"-")</f>
        <v>4.7088047119931217E-4</v>
      </c>
      <c r="K940">
        <f>I940</f>
        <v>1595</v>
      </c>
      <c r="L940"/>
      <c r="M940"/>
      <c r="N940"/>
      <c r="O940"/>
      <c r="P940"/>
      <c r="Q940"/>
      <c r="R940"/>
      <c r="S940"/>
      <c r="T940"/>
    </row>
    <row r="941" spans="1:20" ht="15" outlineLevel="2" thickTop="1" x14ac:dyDescent="0.3">
      <c r="A941" s="82" t="s">
        <v>1721</v>
      </c>
      <c r="B941" s="62" t="s">
        <v>60</v>
      </c>
      <c r="C941" s="63" t="s">
        <v>588</v>
      </c>
      <c r="D941" s="116"/>
      <c r="E941" s="88"/>
      <c r="F941" s="88"/>
      <c r="G941" s="98"/>
      <c r="H941" s="88"/>
      <c r="I941" s="88">
        <f>SUBTOTAL(9,I927:I940)</f>
        <v>12505</v>
      </c>
      <c r="J941" s="109"/>
      <c r="K941"/>
      <c r="L941"/>
      <c r="M941"/>
      <c r="N941"/>
      <c r="O941"/>
      <c r="P941"/>
      <c r="Q941"/>
      <c r="R941"/>
      <c r="S941"/>
      <c r="T941"/>
    </row>
    <row r="942" spans="1:20" outlineLevel="2" x14ac:dyDescent="0.3">
      <c r="A942" s="82" t="s">
        <v>1722</v>
      </c>
      <c r="B942" s="64" t="s">
        <v>590</v>
      </c>
      <c r="C942" s="65" t="s">
        <v>591</v>
      </c>
      <c r="D942" s="117"/>
      <c r="E942" s="87"/>
      <c r="F942" s="87"/>
      <c r="G942" s="97"/>
      <c r="H942" s="87"/>
      <c r="I942" s="104">
        <f>SUBTOTAL(9,K943:K954)</f>
        <v>22895</v>
      </c>
      <c r="J942" s="108"/>
      <c r="K942"/>
      <c r="L942"/>
      <c r="M942"/>
      <c r="N942"/>
      <c r="O942"/>
      <c r="P942"/>
      <c r="Q942"/>
      <c r="R942"/>
      <c r="S942"/>
      <c r="T942"/>
    </row>
    <row r="943" spans="1:20" outlineLevel="3" x14ac:dyDescent="0.3">
      <c r="A943" s="82" t="s">
        <v>1723</v>
      </c>
      <c r="B943" s="10" t="s">
        <v>593</v>
      </c>
      <c r="C943" s="60" t="s">
        <v>594</v>
      </c>
      <c r="D943" s="44" t="s">
        <v>80</v>
      </c>
      <c r="E943" s="84">
        <v>98</v>
      </c>
      <c r="F943" s="84"/>
      <c r="G943" s="94">
        <f>cell_CoefGeneral</f>
        <v>1</v>
      </c>
      <c r="H943" s="93">
        <f>H185</f>
        <v>46</v>
      </c>
      <c r="I943" s="84">
        <f>IFERROR(ROUND(E943*H943,2),"-")</f>
        <v>4508</v>
      </c>
      <c r="J943" s="105">
        <f>IFERROR(I943/cell_Total_HT,"-")</f>
        <v>1.3308646797282127E-3</v>
      </c>
      <c r="K943">
        <f>I943</f>
        <v>4508</v>
      </c>
      <c r="L943"/>
      <c r="M943"/>
      <c r="N943"/>
      <c r="O943"/>
      <c r="P943"/>
      <c r="Q943"/>
      <c r="R943"/>
      <c r="S943"/>
      <c r="T943"/>
    </row>
    <row r="944" spans="1:20" outlineLevel="3" x14ac:dyDescent="0.3">
      <c r="A944" s="82" t="s">
        <v>1724</v>
      </c>
      <c r="B944" s="58" t="s">
        <v>596</v>
      </c>
      <c r="C944" s="61" t="s">
        <v>597</v>
      </c>
      <c r="D944" s="115"/>
      <c r="E944" s="87"/>
      <c r="F944" s="87"/>
      <c r="G944" s="97"/>
      <c r="H944" s="87"/>
      <c r="I944" s="104">
        <f>SUBTOTAL(9,K945:K947)</f>
        <v>10684</v>
      </c>
      <c r="J944" s="108"/>
      <c r="K944"/>
      <c r="L944"/>
      <c r="M944"/>
      <c r="N944"/>
      <c r="O944"/>
      <c r="P944"/>
      <c r="Q944"/>
      <c r="R944"/>
      <c r="S944"/>
      <c r="T944"/>
    </row>
    <row r="945" spans="1:20" outlineLevel="4" x14ac:dyDescent="0.3">
      <c r="A945" s="82" t="s">
        <v>1725</v>
      </c>
      <c r="B945" s="10" t="s">
        <v>599</v>
      </c>
      <c r="C945" s="60" t="s">
        <v>600</v>
      </c>
      <c r="D945" s="44" t="s">
        <v>121</v>
      </c>
      <c r="E945" s="84">
        <v>0</v>
      </c>
      <c r="F945" s="84"/>
      <c r="G945" s="94">
        <f>cell_CoefGeneral</f>
        <v>1</v>
      </c>
      <c r="H945" s="93">
        <f>H187</f>
        <v>64</v>
      </c>
      <c r="I945" s="84">
        <f>IFERROR(ROUND(E945*H945,2),"-")</f>
        <v>0</v>
      </c>
      <c r="J945" s="105">
        <f>IFERROR(I945/cell_Total_HT,"-")</f>
        <v>0</v>
      </c>
      <c r="K945">
        <f>I945</f>
        <v>0</v>
      </c>
      <c r="L945"/>
      <c r="M945"/>
      <c r="N945"/>
      <c r="O945"/>
      <c r="P945"/>
      <c r="Q945"/>
      <c r="R945"/>
      <c r="S945"/>
      <c r="T945"/>
    </row>
    <row r="946" spans="1:20" outlineLevel="4" x14ac:dyDescent="0.3">
      <c r="A946" s="82" t="s">
        <v>1726</v>
      </c>
      <c r="B946" s="10" t="s">
        <v>602</v>
      </c>
      <c r="C946" s="60" t="s">
        <v>603</v>
      </c>
      <c r="D946" s="44" t="s">
        <v>121</v>
      </c>
      <c r="E946" s="84">
        <v>69</v>
      </c>
      <c r="F946" s="84"/>
      <c r="G946" s="94">
        <f>cell_CoefGeneral</f>
        <v>1</v>
      </c>
      <c r="H946" s="93">
        <f>H188</f>
        <v>96</v>
      </c>
      <c r="I946" s="84">
        <f>IFERROR(ROUND(E946*H946,2),"-")</f>
        <v>6624</v>
      </c>
      <c r="J946" s="105">
        <f>IFERROR(I946/cell_Total_HT,"-")</f>
        <v>1.9555562640904351E-3</v>
      </c>
      <c r="K946">
        <f>I946</f>
        <v>6624</v>
      </c>
      <c r="L946"/>
      <c r="M946"/>
      <c r="N946"/>
      <c r="O946"/>
      <c r="P946"/>
      <c r="Q946"/>
      <c r="R946"/>
      <c r="S946"/>
      <c r="T946"/>
    </row>
    <row r="947" spans="1:20" outlineLevel="4" x14ac:dyDescent="0.3">
      <c r="A947" s="82" t="s">
        <v>1727</v>
      </c>
      <c r="B947" s="10" t="s">
        <v>605</v>
      </c>
      <c r="C947" s="60" t="s">
        <v>606</v>
      </c>
      <c r="D947" s="44" t="s">
        <v>121</v>
      </c>
      <c r="E947" s="84">
        <v>29</v>
      </c>
      <c r="F947" s="84"/>
      <c r="G947" s="94">
        <f>cell_CoefGeneral</f>
        <v>1</v>
      </c>
      <c r="H947" s="93">
        <f>H189</f>
        <v>140</v>
      </c>
      <c r="I947" s="84">
        <f>IFERROR(ROUND(E947*H947,2),"-")</f>
        <v>4060</v>
      </c>
      <c r="J947" s="105">
        <f>IFERROR(I947/cell_Total_HT,"-")</f>
        <v>1.1986048357800674E-3</v>
      </c>
      <c r="K947">
        <f>I947</f>
        <v>4060</v>
      </c>
      <c r="L947"/>
      <c r="M947"/>
      <c r="N947"/>
      <c r="O947"/>
      <c r="P947"/>
      <c r="Q947"/>
      <c r="R947"/>
      <c r="S947"/>
      <c r="T947"/>
    </row>
    <row r="948" spans="1:20" outlineLevel="3" x14ac:dyDescent="0.3">
      <c r="A948" s="82" t="s">
        <v>1728</v>
      </c>
      <c r="B948" s="58" t="s">
        <v>608</v>
      </c>
      <c r="C948" s="61" t="s">
        <v>609</v>
      </c>
      <c r="D948" s="115"/>
      <c r="E948" s="87"/>
      <c r="F948" s="87"/>
      <c r="G948" s="97"/>
      <c r="H948" s="87"/>
      <c r="I948" s="104">
        <f>SUBTOTAL(9,K949:K950)</f>
        <v>6400</v>
      </c>
      <c r="J948" s="108"/>
      <c r="K948"/>
      <c r="L948"/>
      <c r="M948"/>
      <c r="N948"/>
      <c r="O948"/>
      <c r="P948"/>
      <c r="Q948"/>
      <c r="R948"/>
      <c r="S948"/>
      <c r="T948"/>
    </row>
    <row r="949" spans="1:20" ht="28.8" outlineLevel="4" x14ac:dyDescent="0.3">
      <c r="A949" s="82" t="s">
        <v>1729</v>
      </c>
      <c r="B949" s="10" t="s">
        <v>611</v>
      </c>
      <c r="C949" s="60" t="s">
        <v>612</v>
      </c>
      <c r="D949" s="44" t="s">
        <v>121</v>
      </c>
      <c r="E949" s="84">
        <v>2</v>
      </c>
      <c r="F949" s="84"/>
      <c r="G949" s="94">
        <f t="shared" ref="G949:G954" si="142">cell_CoefGeneral</f>
        <v>1</v>
      </c>
      <c r="H949" s="93">
        <f t="shared" ref="H949:H954" si="143">H191</f>
        <v>290</v>
      </c>
      <c r="I949" s="84">
        <f t="shared" ref="I949:I954" si="144">IFERROR(ROUND(E949*H949,2),"-")</f>
        <v>580</v>
      </c>
      <c r="J949" s="105">
        <f t="shared" ref="J949:J954" si="145">IFERROR(I949/cell_Total_HT,"-")</f>
        <v>1.7122926225429533E-4</v>
      </c>
      <c r="K949">
        <f t="shared" ref="K949:K954" si="146">I949</f>
        <v>580</v>
      </c>
      <c r="L949"/>
      <c r="M949"/>
      <c r="N949"/>
      <c r="O949"/>
      <c r="P949"/>
      <c r="Q949"/>
      <c r="R949"/>
      <c r="S949"/>
      <c r="T949"/>
    </row>
    <row r="950" spans="1:20" ht="28.8" outlineLevel="4" x14ac:dyDescent="0.3">
      <c r="A950" s="82" t="s">
        <v>1730</v>
      </c>
      <c r="B950" s="10" t="s">
        <v>614</v>
      </c>
      <c r="C950" s="60" t="s">
        <v>615</v>
      </c>
      <c r="D950" s="44" t="s">
        <v>121</v>
      </c>
      <c r="E950" s="84">
        <v>6</v>
      </c>
      <c r="F950" s="84"/>
      <c r="G950" s="94">
        <f t="shared" si="142"/>
        <v>1</v>
      </c>
      <c r="H950" s="93">
        <f t="shared" si="143"/>
        <v>970</v>
      </c>
      <c r="I950" s="84">
        <f t="shared" si="144"/>
        <v>5820</v>
      </c>
      <c r="J950" s="105">
        <f t="shared" si="145"/>
        <v>1.7181970798620669E-3</v>
      </c>
      <c r="K950">
        <f t="shared" si="146"/>
        <v>5820</v>
      </c>
      <c r="L950"/>
      <c r="M950"/>
      <c r="N950"/>
      <c r="O950"/>
      <c r="P950"/>
      <c r="Q950"/>
      <c r="R950"/>
      <c r="S950"/>
      <c r="T950"/>
    </row>
    <row r="951" spans="1:20" outlineLevel="3" x14ac:dyDescent="0.3">
      <c r="A951" s="82" t="s">
        <v>1731</v>
      </c>
      <c r="B951" s="10" t="s">
        <v>617</v>
      </c>
      <c r="C951" s="60" t="s">
        <v>618</v>
      </c>
      <c r="D951" s="44" t="s">
        <v>121</v>
      </c>
      <c r="E951" s="84">
        <v>1</v>
      </c>
      <c r="F951" s="84"/>
      <c r="G951" s="94">
        <f t="shared" si="142"/>
        <v>1</v>
      </c>
      <c r="H951" s="93">
        <f t="shared" si="143"/>
        <v>500</v>
      </c>
      <c r="I951" s="84">
        <f t="shared" si="144"/>
        <v>500</v>
      </c>
      <c r="J951" s="105">
        <f t="shared" si="145"/>
        <v>1.476114329778408E-4</v>
      </c>
      <c r="K951">
        <f t="shared" si="146"/>
        <v>500</v>
      </c>
      <c r="L951"/>
      <c r="M951"/>
      <c r="N951"/>
      <c r="O951"/>
      <c r="P951"/>
      <c r="Q951"/>
      <c r="R951"/>
      <c r="S951"/>
      <c r="T951"/>
    </row>
    <row r="952" spans="1:20" outlineLevel="3" x14ac:dyDescent="0.3">
      <c r="A952" s="82" t="s">
        <v>1732</v>
      </c>
      <c r="B952" s="10" t="s">
        <v>620</v>
      </c>
      <c r="C952" s="60" t="s">
        <v>621</v>
      </c>
      <c r="D952" s="44" t="s">
        <v>121</v>
      </c>
      <c r="E952" s="84">
        <v>0</v>
      </c>
      <c r="F952" s="84"/>
      <c r="G952" s="94">
        <f t="shared" si="142"/>
        <v>1</v>
      </c>
      <c r="H952" s="93">
        <f t="shared" si="143"/>
        <v>500</v>
      </c>
      <c r="I952" s="84">
        <f t="shared" si="144"/>
        <v>0</v>
      </c>
      <c r="J952" s="105">
        <f t="shared" si="145"/>
        <v>0</v>
      </c>
      <c r="K952">
        <f t="shared" si="146"/>
        <v>0</v>
      </c>
      <c r="L952"/>
      <c r="M952"/>
      <c r="N952"/>
      <c r="O952"/>
      <c r="P952"/>
      <c r="Q952"/>
      <c r="R952"/>
      <c r="S952"/>
      <c r="T952"/>
    </row>
    <row r="953" spans="1:20" outlineLevel="3" x14ac:dyDescent="0.3">
      <c r="A953" s="82" t="s">
        <v>1733</v>
      </c>
      <c r="B953" s="10" t="s">
        <v>623</v>
      </c>
      <c r="C953" s="60" t="s">
        <v>624</v>
      </c>
      <c r="D953" s="44" t="s">
        <v>80</v>
      </c>
      <c r="E953" s="84">
        <v>98</v>
      </c>
      <c r="F953" s="84"/>
      <c r="G953" s="94">
        <f t="shared" si="142"/>
        <v>1</v>
      </c>
      <c r="H953" s="93">
        <f t="shared" si="143"/>
        <v>3.5</v>
      </c>
      <c r="I953" s="84">
        <f t="shared" si="144"/>
        <v>343</v>
      </c>
      <c r="J953" s="105">
        <f t="shared" si="145"/>
        <v>1.0126144302279879E-4</v>
      </c>
      <c r="K953">
        <f t="shared" si="146"/>
        <v>343</v>
      </c>
      <c r="L953"/>
      <c r="M953"/>
      <c r="N953"/>
      <c r="O953"/>
      <c r="P953"/>
      <c r="Q953"/>
      <c r="R953"/>
      <c r="S953"/>
      <c r="T953"/>
    </row>
    <row r="954" spans="1:20" ht="15" outlineLevel="3" thickBot="1" x14ac:dyDescent="0.35">
      <c r="A954" s="82" t="s">
        <v>1734</v>
      </c>
      <c r="B954" s="10" t="s">
        <v>626</v>
      </c>
      <c r="C954" s="60" t="s">
        <v>627</v>
      </c>
      <c r="D954" s="44" t="s">
        <v>93</v>
      </c>
      <c r="E954" s="84">
        <v>1</v>
      </c>
      <c r="F954" s="84"/>
      <c r="G954" s="94">
        <f t="shared" si="142"/>
        <v>1</v>
      </c>
      <c r="H954" s="93">
        <f t="shared" si="143"/>
        <v>460</v>
      </c>
      <c r="I954" s="84">
        <f t="shared" si="144"/>
        <v>460</v>
      </c>
      <c r="J954" s="105">
        <f t="shared" si="145"/>
        <v>1.3580251833961353E-4</v>
      </c>
      <c r="K954">
        <f t="shared" si="146"/>
        <v>460</v>
      </c>
      <c r="L954"/>
      <c r="M954"/>
      <c r="N954"/>
      <c r="O954"/>
      <c r="P954"/>
      <c r="Q954"/>
      <c r="R954"/>
      <c r="S954"/>
      <c r="T954"/>
    </row>
    <row r="955" spans="1:20" ht="15" outlineLevel="2" thickTop="1" x14ac:dyDescent="0.3">
      <c r="A955" s="82" t="s">
        <v>1735</v>
      </c>
      <c r="B955" s="62" t="s">
        <v>60</v>
      </c>
      <c r="C955" s="63" t="s">
        <v>629</v>
      </c>
      <c r="D955" s="116"/>
      <c r="E955" s="88"/>
      <c r="F955" s="88"/>
      <c r="G955" s="98"/>
      <c r="H955" s="88"/>
      <c r="I955" s="88">
        <f>SUBTOTAL(9,I943:I954)</f>
        <v>22895</v>
      </c>
      <c r="J955" s="109"/>
      <c r="K955"/>
      <c r="L955"/>
      <c r="M955"/>
      <c r="N955"/>
      <c r="O955"/>
      <c r="P955"/>
      <c r="Q955"/>
      <c r="R955"/>
      <c r="S955"/>
      <c r="T955"/>
    </row>
    <row r="956" spans="1:20" outlineLevel="2" x14ac:dyDescent="0.3">
      <c r="A956" s="82" t="s">
        <v>1736</v>
      </c>
      <c r="B956" s="64" t="s">
        <v>631</v>
      </c>
      <c r="C956" s="65" t="s">
        <v>632</v>
      </c>
      <c r="D956" s="117"/>
      <c r="E956" s="87"/>
      <c r="F956" s="87"/>
      <c r="G956" s="97"/>
      <c r="H956" s="87"/>
      <c r="I956" s="104">
        <f>SUBTOTAL(9,K957:K984)</f>
        <v>36339.5</v>
      </c>
      <c r="J956" s="108"/>
      <c r="K956"/>
      <c r="L956"/>
      <c r="M956"/>
      <c r="N956"/>
      <c r="O956"/>
      <c r="P956"/>
      <c r="Q956"/>
      <c r="R956"/>
      <c r="S956"/>
      <c r="T956"/>
    </row>
    <row r="957" spans="1:20" outlineLevel="3" x14ac:dyDescent="0.3">
      <c r="A957" s="82" t="s">
        <v>1737</v>
      </c>
      <c r="B957" s="10" t="s">
        <v>634</v>
      </c>
      <c r="C957" s="60" t="s">
        <v>635</v>
      </c>
      <c r="D957" s="44" t="s">
        <v>80</v>
      </c>
      <c r="E957" s="84">
        <v>13</v>
      </c>
      <c r="F957" s="84"/>
      <c r="G957" s="94">
        <f>cell_CoefGeneral</f>
        <v>1</v>
      </c>
      <c r="H957" s="93">
        <f>H199</f>
        <v>58</v>
      </c>
      <c r="I957" s="84">
        <f>IFERROR(ROUND(E957*H957,2),"-")</f>
        <v>754</v>
      </c>
      <c r="J957" s="105">
        <f>IFERROR(I957/cell_Total_HT,"-")</f>
        <v>2.2259804093058394E-4</v>
      </c>
      <c r="K957">
        <f>I957</f>
        <v>754</v>
      </c>
      <c r="L957"/>
      <c r="M957"/>
      <c r="N957"/>
      <c r="O957"/>
      <c r="P957"/>
      <c r="Q957"/>
      <c r="R957"/>
      <c r="S957"/>
      <c r="T957"/>
    </row>
    <row r="958" spans="1:20" outlineLevel="3" x14ac:dyDescent="0.3">
      <c r="A958" s="82" t="s">
        <v>1738</v>
      </c>
      <c r="B958" s="58" t="s">
        <v>637</v>
      </c>
      <c r="C958" s="61" t="s">
        <v>638</v>
      </c>
      <c r="D958" s="115"/>
      <c r="E958" s="87"/>
      <c r="F958" s="87"/>
      <c r="G958" s="97"/>
      <c r="H958" s="87"/>
      <c r="I958" s="104">
        <f>SUBTOTAL(9,K959:K961)</f>
        <v>0</v>
      </c>
      <c r="J958" s="108"/>
      <c r="K958"/>
      <c r="L958"/>
      <c r="M958"/>
      <c r="N958"/>
      <c r="O958"/>
      <c r="P958"/>
      <c r="Q958"/>
      <c r="R958"/>
      <c r="S958"/>
      <c r="T958"/>
    </row>
    <row r="959" spans="1:20" outlineLevel="4" x14ac:dyDescent="0.3">
      <c r="A959" s="82" t="s">
        <v>1739</v>
      </c>
      <c r="B959" s="10" t="s">
        <v>640</v>
      </c>
      <c r="C959" s="60" t="s">
        <v>641</v>
      </c>
      <c r="D959" s="44" t="s">
        <v>154</v>
      </c>
      <c r="E959" s="84">
        <v>0</v>
      </c>
      <c r="F959" s="84"/>
      <c r="G959" s="94">
        <f>cell_CoefGeneral</f>
        <v>1</v>
      </c>
      <c r="H959" s="93">
        <f>H201</f>
        <v>2.1</v>
      </c>
      <c r="I959" s="84">
        <f>IFERROR(ROUND(E959*H959,2),"-")</f>
        <v>0</v>
      </c>
      <c r="J959" s="105">
        <f>IFERROR(I959/cell_Total_HT,"-")</f>
        <v>0</v>
      </c>
      <c r="K959">
        <f>I959</f>
        <v>0</v>
      </c>
      <c r="L959"/>
      <c r="M959"/>
      <c r="N959"/>
      <c r="O959"/>
      <c r="P959"/>
      <c r="Q959"/>
      <c r="R959"/>
      <c r="S959"/>
      <c r="T959"/>
    </row>
    <row r="960" spans="1:20" ht="28.8" outlineLevel="4" x14ac:dyDescent="0.3">
      <c r="A960" s="82" t="s">
        <v>1740</v>
      </c>
      <c r="B960" s="10" t="s">
        <v>643</v>
      </c>
      <c r="C960" s="60" t="s">
        <v>644</v>
      </c>
      <c r="D960" s="44" t="s">
        <v>141</v>
      </c>
      <c r="E960" s="84">
        <v>0</v>
      </c>
      <c r="F960" s="84"/>
      <c r="G960" s="94">
        <f>cell_CoefGeneral</f>
        <v>1</v>
      </c>
      <c r="H960" s="93">
        <f>H202</f>
        <v>13</v>
      </c>
      <c r="I960" s="84">
        <f>IFERROR(ROUND(E960*H960,2),"-")</f>
        <v>0</v>
      </c>
      <c r="J960" s="105">
        <f>IFERROR(I960/cell_Total_HT,"-")</f>
        <v>0</v>
      </c>
      <c r="K960">
        <f>I960</f>
        <v>0</v>
      </c>
      <c r="L960"/>
      <c r="M960"/>
      <c r="N960"/>
      <c r="O960"/>
      <c r="P960"/>
      <c r="Q960"/>
      <c r="R960"/>
      <c r="S960"/>
      <c r="T960"/>
    </row>
    <row r="961" spans="1:20" ht="28.8" outlineLevel="4" x14ac:dyDescent="0.3">
      <c r="A961" s="82" t="s">
        <v>1741</v>
      </c>
      <c r="B961" s="10" t="s">
        <v>646</v>
      </c>
      <c r="C961" s="60" t="s">
        <v>647</v>
      </c>
      <c r="D961" s="44" t="s">
        <v>141</v>
      </c>
      <c r="E961" s="84">
        <v>0</v>
      </c>
      <c r="F961" s="84"/>
      <c r="G961" s="94">
        <f>cell_CoefGeneral</f>
        <v>1</v>
      </c>
      <c r="H961" s="93">
        <f>H203</f>
        <v>41</v>
      </c>
      <c r="I961" s="84">
        <f>IFERROR(ROUND(E961*H961,2),"-")</f>
        <v>0</v>
      </c>
      <c r="J961" s="105">
        <f>IFERROR(I961/cell_Total_HT,"-")</f>
        <v>0</v>
      </c>
      <c r="K961">
        <f>I961</f>
        <v>0</v>
      </c>
      <c r="L961"/>
      <c r="M961"/>
      <c r="N961"/>
      <c r="O961"/>
      <c r="P961"/>
      <c r="Q961"/>
      <c r="R961"/>
      <c r="S961"/>
      <c r="T961"/>
    </row>
    <row r="962" spans="1:20" outlineLevel="3" x14ac:dyDescent="0.3">
      <c r="A962" s="82" t="s">
        <v>1742</v>
      </c>
      <c r="B962" s="58" t="s">
        <v>649</v>
      </c>
      <c r="C962" s="61" t="s">
        <v>597</v>
      </c>
      <c r="D962" s="115"/>
      <c r="E962" s="87"/>
      <c r="F962" s="87"/>
      <c r="G962" s="97"/>
      <c r="H962" s="87"/>
      <c r="I962" s="104">
        <f>SUBTOTAL(9,K963:K965)</f>
        <v>780</v>
      </c>
      <c r="J962" s="108"/>
      <c r="K962"/>
      <c r="L962"/>
      <c r="M962"/>
      <c r="N962"/>
      <c r="O962"/>
      <c r="P962"/>
      <c r="Q962"/>
      <c r="R962"/>
      <c r="S962"/>
      <c r="T962"/>
    </row>
    <row r="963" spans="1:20" outlineLevel="4" x14ac:dyDescent="0.3">
      <c r="A963" s="82" t="s">
        <v>1743</v>
      </c>
      <c r="B963" s="10" t="s">
        <v>651</v>
      </c>
      <c r="C963" s="60" t="s">
        <v>600</v>
      </c>
      <c r="D963" s="44" t="s">
        <v>121</v>
      </c>
      <c r="E963" s="84">
        <v>0</v>
      </c>
      <c r="F963" s="84"/>
      <c r="G963" s="94">
        <f>cell_CoefGeneral</f>
        <v>1</v>
      </c>
      <c r="H963" s="93">
        <f>H205</f>
        <v>100</v>
      </c>
      <c r="I963" s="84">
        <f>IFERROR(ROUND(E963*H963,2),"-")</f>
        <v>0</v>
      </c>
      <c r="J963" s="105">
        <f>IFERROR(I963/cell_Total_HT,"-")</f>
        <v>0</v>
      </c>
      <c r="K963">
        <f>I963</f>
        <v>0</v>
      </c>
      <c r="L963"/>
      <c r="M963"/>
      <c r="N963"/>
      <c r="O963"/>
      <c r="P963"/>
      <c r="Q963"/>
      <c r="R963"/>
      <c r="S963"/>
      <c r="T963"/>
    </row>
    <row r="964" spans="1:20" outlineLevel="4" x14ac:dyDescent="0.3">
      <c r="A964" s="82" t="s">
        <v>1744</v>
      </c>
      <c r="B964" s="10" t="s">
        <v>653</v>
      </c>
      <c r="C964" s="60" t="s">
        <v>654</v>
      </c>
      <c r="D964" s="44" t="s">
        <v>121</v>
      </c>
      <c r="E964" s="84">
        <v>13</v>
      </c>
      <c r="F964" s="84"/>
      <c r="G964" s="94">
        <f>cell_CoefGeneral</f>
        <v>1</v>
      </c>
      <c r="H964" s="93">
        <f>H206</f>
        <v>60</v>
      </c>
      <c r="I964" s="84">
        <f>IFERROR(ROUND(E964*H964,2),"-")</f>
        <v>780</v>
      </c>
      <c r="J964" s="105">
        <f>IFERROR(I964/cell_Total_HT,"-")</f>
        <v>2.3027383544543166E-4</v>
      </c>
      <c r="K964">
        <f>I964</f>
        <v>780</v>
      </c>
      <c r="L964"/>
      <c r="M964"/>
      <c r="N964"/>
      <c r="O964"/>
      <c r="P964"/>
      <c r="Q964"/>
      <c r="R964"/>
      <c r="S964"/>
      <c r="T964"/>
    </row>
    <row r="965" spans="1:20" outlineLevel="4" x14ac:dyDescent="0.3">
      <c r="A965" s="82" t="s">
        <v>1745</v>
      </c>
      <c r="B965" s="10" t="s">
        <v>656</v>
      </c>
      <c r="C965" s="60" t="s">
        <v>657</v>
      </c>
      <c r="D965" s="44" t="s">
        <v>121</v>
      </c>
      <c r="E965" s="84">
        <v>0</v>
      </c>
      <c r="F965" s="84"/>
      <c r="G965" s="94">
        <f>cell_CoefGeneral</f>
        <v>1</v>
      </c>
      <c r="H965" s="93">
        <f>H207</f>
        <v>45</v>
      </c>
      <c r="I965" s="84">
        <f>IFERROR(ROUND(E965*H965,2),"-")</f>
        <v>0</v>
      </c>
      <c r="J965" s="105">
        <f>IFERROR(I965/cell_Total_HT,"-")</f>
        <v>0</v>
      </c>
      <c r="K965">
        <f>I965</f>
        <v>0</v>
      </c>
      <c r="L965"/>
      <c r="M965"/>
      <c r="N965"/>
      <c r="O965"/>
      <c r="P965"/>
      <c r="Q965"/>
      <c r="R965"/>
      <c r="S965"/>
      <c r="T965"/>
    </row>
    <row r="966" spans="1:20" outlineLevel="3" x14ac:dyDescent="0.3">
      <c r="A966" s="82" t="s">
        <v>1746</v>
      </c>
      <c r="B966" s="58" t="s">
        <v>659</v>
      </c>
      <c r="C966" s="61" t="s">
        <v>660</v>
      </c>
      <c r="D966" s="115"/>
      <c r="E966" s="87"/>
      <c r="F966" s="87"/>
      <c r="G966" s="97"/>
      <c r="H966" s="87"/>
      <c r="I966" s="104">
        <f>SUBTOTAL(9,K967:K978)</f>
        <v>20380</v>
      </c>
      <c r="J966" s="108"/>
      <c r="K966"/>
      <c r="L966"/>
      <c r="M966"/>
      <c r="N966"/>
      <c r="O966"/>
      <c r="P966"/>
      <c r="Q966"/>
      <c r="R966"/>
      <c r="S966"/>
      <c r="T966"/>
    </row>
    <row r="967" spans="1:20" ht="28.8" outlineLevel="4" x14ac:dyDescent="0.3">
      <c r="A967" s="82" t="s">
        <v>1747</v>
      </c>
      <c r="B967" s="10" t="s">
        <v>662</v>
      </c>
      <c r="C967" s="60" t="s">
        <v>663</v>
      </c>
      <c r="D967" s="44" t="s">
        <v>121</v>
      </c>
      <c r="E967" s="84">
        <v>13</v>
      </c>
      <c r="F967" s="84"/>
      <c r="G967" s="94">
        <f t="shared" ref="G967:G978" si="147">cell_CoefGeneral</f>
        <v>1</v>
      </c>
      <c r="H967" s="93">
        <f t="shared" ref="H967:H978" si="148">H209</f>
        <v>780</v>
      </c>
      <c r="I967" s="84">
        <f t="shared" ref="I967:I978" si="149">IFERROR(ROUND(E967*H967,2),"-")</f>
        <v>10140</v>
      </c>
      <c r="J967" s="105">
        <f t="shared" ref="J967:J978" si="150">IFERROR(I967/cell_Total_HT,"-")</f>
        <v>2.9935598607906113E-3</v>
      </c>
      <c r="K967">
        <f t="shared" ref="K967:K978" si="151">I967</f>
        <v>10140</v>
      </c>
      <c r="L967"/>
      <c r="M967"/>
      <c r="N967"/>
      <c r="O967"/>
      <c r="P967"/>
      <c r="Q967"/>
      <c r="R967"/>
      <c r="S967"/>
      <c r="T967"/>
    </row>
    <row r="968" spans="1:20" ht="28.8" outlineLevel="4" x14ac:dyDescent="0.3">
      <c r="A968" s="82" t="s">
        <v>1748</v>
      </c>
      <c r="B968" s="10" t="s">
        <v>665</v>
      </c>
      <c r="C968" s="60" t="s">
        <v>666</v>
      </c>
      <c r="D968" s="44" t="s">
        <v>121</v>
      </c>
      <c r="E968" s="84">
        <v>1</v>
      </c>
      <c r="F968" s="84"/>
      <c r="G968" s="94">
        <f t="shared" si="147"/>
        <v>1</v>
      </c>
      <c r="H968" s="93">
        <f t="shared" si="148"/>
        <v>740</v>
      </c>
      <c r="I968" s="84">
        <f t="shared" si="149"/>
        <v>740</v>
      </c>
      <c r="J968" s="105">
        <f t="shared" si="150"/>
        <v>2.1846492080720438E-4</v>
      </c>
      <c r="K968">
        <f t="shared" si="151"/>
        <v>740</v>
      </c>
      <c r="L968"/>
      <c r="M968"/>
      <c r="N968"/>
      <c r="O968"/>
      <c r="P968"/>
      <c r="Q968"/>
      <c r="R968"/>
      <c r="S968"/>
      <c r="T968"/>
    </row>
    <row r="969" spans="1:20" ht="28.8" outlineLevel="4" x14ac:dyDescent="0.3">
      <c r="A969" s="82" t="s">
        <v>1749</v>
      </c>
      <c r="B969" s="10" t="s">
        <v>668</v>
      </c>
      <c r="C969" s="60" t="s">
        <v>669</v>
      </c>
      <c r="D969" s="44" t="s">
        <v>121</v>
      </c>
      <c r="E969" s="84">
        <v>0</v>
      </c>
      <c r="F969" s="84"/>
      <c r="G969" s="94">
        <f t="shared" si="147"/>
        <v>1</v>
      </c>
      <c r="H969" s="93">
        <f t="shared" si="148"/>
        <v>900</v>
      </c>
      <c r="I969" s="84">
        <f t="shared" si="149"/>
        <v>0</v>
      </c>
      <c r="J969" s="105">
        <f t="shared" si="150"/>
        <v>0</v>
      </c>
      <c r="K969">
        <f t="shared" si="151"/>
        <v>0</v>
      </c>
      <c r="L969"/>
      <c r="M969"/>
      <c r="N969"/>
      <c r="O969"/>
      <c r="P969"/>
      <c r="Q969"/>
      <c r="R969"/>
      <c r="S969"/>
      <c r="T969"/>
    </row>
    <row r="970" spans="1:20" ht="28.8" outlineLevel="4" x14ac:dyDescent="0.3">
      <c r="A970" s="82" t="s">
        <v>1750</v>
      </c>
      <c r="B970" s="10" t="s">
        <v>671</v>
      </c>
      <c r="C970" s="60" t="s">
        <v>672</v>
      </c>
      <c r="D970" s="44" t="s">
        <v>121</v>
      </c>
      <c r="E970" s="84">
        <v>0</v>
      </c>
      <c r="F970" s="84"/>
      <c r="G970" s="94">
        <f t="shared" si="147"/>
        <v>1</v>
      </c>
      <c r="H970" s="93">
        <f t="shared" si="148"/>
        <v>370</v>
      </c>
      <c r="I970" s="84">
        <f t="shared" si="149"/>
        <v>0</v>
      </c>
      <c r="J970" s="105">
        <f t="shared" si="150"/>
        <v>0</v>
      </c>
      <c r="K970">
        <f t="shared" si="151"/>
        <v>0</v>
      </c>
      <c r="L970"/>
      <c r="M970"/>
      <c r="N970"/>
      <c r="O970"/>
      <c r="P970"/>
      <c r="Q970"/>
      <c r="R970"/>
      <c r="S970"/>
      <c r="T970"/>
    </row>
    <row r="971" spans="1:20" ht="28.8" outlineLevel="4" x14ac:dyDescent="0.3">
      <c r="A971" s="82" t="s">
        <v>1751</v>
      </c>
      <c r="B971" s="10" t="s">
        <v>674</v>
      </c>
      <c r="C971" s="60" t="s">
        <v>675</v>
      </c>
      <c r="D971" s="44" t="s">
        <v>121</v>
      </c>
      <c r="E971" s="84">
        <v>0</v>
      </c>
      <c r="F971" s="84"/>
      <c r="G971" s="94">
        <f t="shared" si="147"/>
        <v>1</v>
      </c>
      <c r="H971" s="93">
        <f t="shared" si="148"/>
        <v>870</v>
      </c>
      <c r="I971" s="84">
        <f t="shared" si="149"/>
        <v>0</v>
      </c>
      <c r="J971" s="105">
        <f t="shared" si="150"/>
        <v>0</v>
      </c>
      <c r="K971">
        <f t="shared" si="151"/>
        <v>0</v>
      </c>
      <c r="L971"/>
      <c r="M971"/>
      <c r="N971"/>
      <c r="O971"/>
      <c r="P971"/>
      <c r="Q971"/>
      <c r="R971"/>
      <c r="S971"/>
      <c r="T971"/>
    </row>
    <row r="972" spans="1:20" ht="43.2" outlineLevel="4" x14ac:dyDescent="0.3">
      <c r="A972" s="82" t="s">
        <v>1752</v>
      </c>
      <c r="B972" s="10" t="s">
        <v>677</v>
      </c>
      <c r="C972" s="60" t="s">
        <v>678</v>
      </c>
      <c r="D972" s="44" t="s">
        <v>121</v>
      </c>
      <c r="E972" s="84">
        <v>0</v>
      </c>
      <c r="F972" s="84"/>
      <c r="G972" s="94">
        <f t="shared" si="147"/>
        <v>1</v>
      </c>
      <c r="H972" s="93">
        <f t="shared" si="148"/>
        <v>980</v>
      </c>
      <c r="I972" s="84">
        <f t="shared" si="149"/>
        <v>0</v>
      </c>
      <c r="J972" s="105">
        <f t="shared" si="150"/>
        <v>0</v>
      </c>
      <c r="K972">
        <f t="shared" si="151"/>
        <v>0</v>
      </c>
      <c r="L972"/>
      <c r="M972"/>
      <c r="N972"/>
      <c r="O972"/>
      <c r="P972"/>
      <c r="Q972"/>
      <c r="R972"/>
      <c r="S972"/>
      <c r="T972"/>
    </row>
    <row r="973" spans="1:20" ht="28.8" outlineLevel="4" x14ac:dyDescent="0.3">
      <c r="A973" s="82" t="s">
        <v>1753</v>
      </c>
      <c r="B973" s="10" t="s">
        <v>680</v>
      </c>
      <c r="C973" s="60" t="s">
        <v>681</v>
      </c>
      <c r="D973" s="44" t="s">
        <v>121</v>
      </c>
      <c r="E973" s="84">
        <v>0</v>
      </c>
      <c r="F973" s="84"/>
      <c r="G973" s="94">
        <f t="shared" si="147"/>
        <v>1</v>
      </c>
      <c r="H973" s="93">
        <f t="shared" si="148"/>
        <v>840</v>
      </c>
      <c r="I973" s="84">
        <f t="shared" si="149"/>
        <v>0</v>
      </c>
      <c r="J973" s="105">
        <f t="shared" si="150"/>
        <v>0</v>
      </c>
      <c r="K973">
        <f t="shared" si="151"/>
        <v>0</v>
      </c>
      <c r="L973"/>
      <c r="M973"/>
      <c r="N973"/>
      <c r="O973"/>
      <c r="P973"/>
      <c r="Q973"/>
      <c r="R973"/>
      <c r="S973"/>
      <c r="T973"/>
    </row>
    <row r="974" spans="1:20" ht="43.2" outlineLevel="4" x14ac:dyDescent="0.3">
      <c r="A974" s="82" t="s">
        <v>1754</v>
      </c>
      <c r="B974" s="10" t="s">
        <v>683</v>
      </c>
      <c r="C974" s="60" t="s">
        <v>684</v>
      </c>
      <c r="D974" s="44" t="s">
        <v>121</v>
      </c>
      <c r="E974" s="84">
        <v>0</v>
      </c>
      <c r="F974" s="84"/>
      <c r="G974" s="94">
        <f t="shared" si="147"/>
        <v>1</v>
      </c>
      <c r="H974" s="93">
        <f t="shared" si="148"/>
        <v>800</v>
      </c>
      <c r="I974" s="84">
        <f t="shared" si="149"/>
        <v>0</v>
      </c>
      <c r="J974" s="105">
        <f t="shared" si="150"/>
        <v>0</v>
      </c>
      <c r="K974">
        <f t="shared" si="151"/>
        <v>0</v>
      </c>
      <c r="L974"/>
      <c r="M974"/>
      <c r="N974"/>
      <c r="O974"/>
      <c r="P974"/>
      <c r="Q974"/>
      <c r="R974"/>
      <c r="S974"/>
      <c r="T974"/>
    </row>
    <row r="975" spans="1:20" ht="43.2" outlineLevel="4" x14ac:dyDescent="0.3">
      <c r="A975" s="82" t="s">
        <v>1755</v>
      </c>
      <c r="B975" s="10" t="s">
        <v>686</v>
      </c>
      <c r="C975" s="60" t="s">
        <v>687</v>
      </c>
      <c r="D975" s="44" t="s">
        <v>121</v>
      </c>
      <c r="E975" s="84">
        <v>0</v>
      </c>
      <c r="F975" s="84"/>
      <c r="G975" s="94">
        <f t="shared" si="147"/>
        <v>1</v>
      </c>
      <c r="H975" s="93">
        <f t="shared" si="148"/>
        <v>920</v>
      </c>
      <c r="I975" s="84">
        <f t="shared" si="149"/>
        <v>0</v>
      </c>
      <c r="J975" s="105">
        <f t="shared" si="150"/>
        <v>0</v>
      </c>
      <c r="K975">
        <f t="shared" si="151"/>
        <v>0</v>
      </c>
      <c r="L975"/>
      <c r="M975"/>
      <c r="N975"/>
      <c r="O975"/>
      <c r="P975"/>
      <c r="Q975"/>
      <c r="R975"/>
      <c r="S975"/>
      <c r="T975"/>
    </row>
    <row r="976" spans="1:20" ht="43.2" outlineLevel="4" x14ac:dyDescent="0.3">
      <c r="A976" s="82" t="s">
        <v>1756</v>
      </c>
      <c r="B976" s="10" t="s">
        <v>689</v>
      </c>
      <c r="C976" s="60" t="s">
        <v>690</v>
      </c>
      <c r="D976" s="44" t="s">
        <v>121</v>
      </c>
      <c r="E976" s="84">
        <v>2</v>
      </c>
      <c r="F976" s="84"/>
      <c r="G976" s="94">
        <f t="shared" si="147"/>
        <v>1</v>
      </c>
      <c r="H976" s="93">
        <f t="shared" si="148"/>
        <v>500</v>
      </c>
      <c r="I976" s="84">
        <f t="shared" si="149"/>
        <v>1000</v>
      </c>
      <c r="J976" s="105">
        <f t="shared" si="150"/>
        <v>2.9522286595568161E-4</v>
      </c>
      <c r="K976">
        <f t="shared" si="151"/>
        <v>1000</v>
      </c>
      <c r="L976"/>
      <c r="M976"/>
      <c r="N976"/>
      <c r="O976"/>
      <c r="P976"/>
      <c r="Q976"/>
      <c r="R976"/>
      <c r="S976"/>
      <c r="T976"/>
    </row>
    <row r="977" spans="1:20" outlineLevel="4" x14ac:dyDescent="0.3">
      <c r="A977" s="82" t="s">
        <v>1757</v>
      </c>
      <c r="B977" s="10" t="s">
        <v>692</v>
      </c>
      <c r="C977" s="60" t="s">
        <v>693</v>
      </c>
      <c r="D977" s="44" t="s">
        <v>121</v>
      </c>
      <c r="E977" s="84">
        <v>10</v>
      </c>
      <c r="F977" s="84"/>
      <c r="G977" s="94">
        <f t="shared" si="147"/>
        <v>1</v>
      </c>
      <c r="H977" s="93">
        <f t="shared" si="148"/>
        <v>850</v>
      </c>
      <c r="I977" s="84">
        <f t="shared" si="149"/>
        <v>8500</v>
      </c>
      <c r="J977" s="105">
        <f t="shared" si="150"/>
        <v>2.5093943606232937E-3</v>
      </c>
      <c r="K977">
        <f t="shared" si="151"/>
        <v>8500</v>
      </c>
      <c r="L977"/>
      <c r="M977"/>
      <c r="N977"/>
      <c r="O977"/>
      <c r="P977"/>
      <c r="Q977"/>
      <c r="R977"/>
      <c r="S977"/>
      <c r="T977"/>
    </row>
    <row r="978" spans="1:20" ht="28.8" outlineLevel="4" x14ac:dyDescent="0.3">
      <c r="A978" s="82" t="s">
        <v>1758</v>
      </c>
      <c r="B978" s="10" t="s">
        <v>695</v>
      </c>
      <c r="C978" s="60" t="s">
        <v>696</v>
      </c>
      <c r="D978" s="44" t="s">
        <v>121</v>
      </c>
      <c r="E978" s="84">
        <v>0</v>
      </c>
      <c r="F978" s="84"/>
      <c r="G978" s="94">
        <f t="shared" si="147"/>
        <v>1</v>
      </c>
      <c r="H978" s="93">
        <f t="shared" si="148"/>
        <v>500</v>
      </c>
      <c r="I978" s="84">
        <f t="shared" si="149"/>
        <v>0</v>
      </c>
      <c r="J978" s="105">
        <f t="shared" si="150"/>
        <v>0</v>
      </c>
      <c r="K978">
        <f t="shared" si="151"/>
        <v>0</v>
      </c>
      <c r="L978"/>
      <c r="M978"/>
      <c r="N978"/>
      <c r="O978"/>
      <c r="P978"/>
      <c r="Q978"/>
      <c r="R978"/>
      <c r="S978"/>
      <c r="T978"/>
    </row>
    <row r="979" spans="1:20" outlineLevel="3" x14ac:dyDescent="0.3">
      <c r="A979" s="82" t="s">
        <v>1759</v>
      </c>
      <c r="B979" s="58" t="s">
        <v>698</v>
      </c>
      <c r="C979" s="61" t="s">
        <v>699</v>
      </c>
      <c r="D979" s="115"/>
      <c r="E979" s="87"/>
      <c r="F979" s="87"/>
      <c r="G979" s="97"/>
      <c r="H979" s="87"/>
      <c r="I979" s="104">
        <f>SUBTOTAL(9,K980:K982)</f>
        <v>13800</v>
      </c>
      <c r="J979" s="108"/>
      <c r="K979"/>
      <c r="L979"/>
      <c r="M979"/>
      <c r="N979"/>
      <c r="O979"/>
      <c r="P979"/>
      <c r="Q979"/>
      <c r="R979"/>
      <c r="S979"/>
      <c r="T979"/>
    </row>
    <row r="980" spans="1:20" outlineLevel="4" x14ac:dyDescent="0.3">
      <c r="A980" s="82" t="s">
        <v>1760</v>
      </c>
      <c r="B980" s="10" t="s">
        <v>701</v>
      </c>
      <c r="C980" s="60" t="s">
        <v>618</v>
      </c>
      <c r="D980" s="44" t="s">
        <v>121</v>
      </c>
      <c r="E980" s="84">
        <v>0</v>
      </c>
      <c r="F980" s="84"/>
      <c r="G980" s="94">
        <f>cell_CoefGeneral</f>
        <v>1</v>
      </c>
      <c r="H980" s="93">
        <f>H222</f>
        <v>500</v>
      </c>
      <c r="I980" s="84">
        <f>IFERROR(ROUND(E980*H980,2),"-")</f>
        <v>0</v>
      </c>
      <c r="J980" s="105">
        <f>IFERROR(I980/cell_Total_HT,"-")</f>
        <v>0</v>
      </c>
      <c r="K980">
        <f>I980</f>
        <v>0</v>
      </c>
      <c r="L980"/>
      <c r="M980"/>
      <c r="N980"/>
      <c r="O980"/>
      <c r="P980"/>
      <c r="Q980"/>
      <c r="R980"/>
      <c r="S980"/>
      <c r="T980"/>
    </row>
    <row r="981" spans="1:20" outlineLevel="4" x14ac:dyDescent="0.3">
      <c r="A981" s="82" t="s">
        <v>1761</v>
      </c>
      <c r="B981" s="10" t="s">
        <v>703</v>
      </c>
      <c r="C981" s="60" t="s">
        <v>621</v>
      </c>
      <c r="D981" s="44" t="s">
        <v>121</v>
      </c>
      <c r="E981" s="84">
        <v>0</v>
      </c>
      <c r="F981" s="84"/>
      <c r="G981" s="94">
        <f>cell_CoefGeneral</f>
        <v>1</v>
      </c>
      <c r="H981" s="93">
        <f>H223</f>
        <v>500</v>
      </c>
      <c r="I981" s="84">
        <f>IFERROR(ROUND(E981*H981,2),"-")</f>
        <v>0</v>
      </c>
      <c r="J981" s="105">
        <f>IFERROR(I981/cell_Total_HT,"-")</f>
        <v>0</v>
      </c>
      <c r="K981">
        <f>I981</f>
        <v>0</v>
      </c>
      <c r="L981"/>
      <c r="M981"/>
      <c r="N981"/>
      <c r="O981"/>
      <c r="P981"/>
      <c r="Q981"/>
      <c r="R981"/>
      <c r="S981"/>
      <c r="T981"/>
    </row>
    <row r="982" spans="1:20" outlineLevel="4" x14ac:dyDescent="0.3">
      <c r="A982" s="82" t="s">
        <v>1762</v>
      </c>
      <c r="B982" s="10" t="s">
        <v>705</v>
      </c>
      <c r="C982" s="60" t="s">
        <v>706</v>
      </c>
      <c r="D982" s="44" t="s">
        <v>121</v>
      </c>
      <c r="E982" s="84">
        <v>2</v>
      </c>
      <c r="F982" s="84"/>
      <c r="G982" s="94">
        <f>cell_CoefGeneral</f>
        <v>1</v>
      </c>
      <c r="H982" s="93">
        <f>H224</f>
        <v>6900</v>
      </c>
      <c r="I982" s="84">
        <f>IFERROR(ROUND(E982*H982,2),"-")</f>
        <v>13800</v>
      </c>
      <c r="J982" s="105">
        <f>IFERROR(I982/cell_Total_HT,"-")</f>
        <v>4.074075550188406E-3</v>
      </c>
      <c r="K982">
        <f>I982</f>
        <v>13800</v>
      </c>
      <c r="L982"/>
      <c r="M982"/>
      <c r="N982"/>
      <c r="O982"/>
      <c r="P982"/>
      <c r="Q982"/>
      <c r="R982"/>
      <c r="S982"/>
      <c r="T982"/>
    </row>
    <row r="983" spans="1:20" outlineLevel="3" x14ac:dyDescent="0.3">
      <c r="A983" s="82" t="s">
        <v>1763</v>
      </c>
      <c r="B983" s="10" t="s">
        <v>708</v>
      </c>
      <c r="C983" s="60" t="s">
        <v>624</v>
      </c>
      <c r="D983" s="44" t="s">
        <v>80</v>
      </c>
      <c r="E983" s="84">
        <v>13</v>
      </c>
      <c r="F983" s="84"/>
      <c r="G983" s="94">
        <f>cell_CoefGeneral</f>
        <v>1</v>
      </c>
      <c r="H983" s="93">
        <f>H225</f>
        <v>3.5</v>
      </c>
      <c r="I983" s="84">
        <f>IFERROR(ROUND(E983*H983,2),"-")</f>
        <v>45.5</v>
      </c>
      <c r="J983" s="105">
        <f>IFERROR(I983/cell_Total_HT,"-")</f>
        <v>1.3432640400983514E-5</v>
      </c>
      <c r="K983">
        <f>I983</f>
        <v>45.5</v>
      </c>
      <c r="L983"/>
      <c r="M983"/>
      <c r="N983"/>
      <c r="O983"/>
      <c r="P983"/>
      <c r="Q983"/>
      <c r="R983"/>
      <c r="S983"/>
      <c r="T983"/>
    </row>
    <row r="984" spans="1:20" ht="15" outlineLevel="3" thickBot="1" x14ac:dyDescent="0.35">
      <c r="A984" s="82" t="s">
        <v>1764</v>
      </c>
      <c r="B984" s="10" t="s">
        <v>710</v>
      </c>
      <c r="C984" s="60" t="s">
        <v>627</v>
      </c>
      <c r="D984" s="44" t="s">
        <v>93</v>
      </c>
      <c r="E984" s="84">
        <v>1</v>
      </c>
      <c r="F984" s="84"/>
      <c r="G984" s="94">
        <f>cell_CoefGeneral</f>
        <v>1</v>
      </c>
      <c r="H984" s="93">
        <f>H226</f>
        <v>580</v>
      </c>
      <c r="I984" s="84">
        <f>IFERROR(ROUND(E984*H984,2),"-")</f>
        <v>580</v>
      </c>
      <c r="J984" s="105">
        <f>IFERROR(I984/cell_Total_HT,"-")</f>
        <v>1.7122926225429533E-4</v>
      </c>
      <c r="K984">
        <f>I984</f>
        <v>580</v>
      </c>
      <c r="L984"/>
      <c r="M984"/>
      <c r="N984"/>
      <c r="O984"/>
      <c r="P984"/>
      <c r="Q984"/>
      <c r="R984"/>
      <c r="S984"/>
      <c r="T984"/>
    </row>
    <row r="985" spans="1:20" ht="15" outlineLevel="2" thickTop="1" x14ac:dyDescent="0.3">
      <c r="A985" s="82" t="s">
        <v>1765</v>
      </c>
      <c r="B985" s="62" t="s">
        <v>60</v>
      </c>
      <c r="C985" s="63" t="s">
        <v>712</v>
      </c>
      <c r="D985" s="116"/>
      <c r="E985" s="88"/>
      <c r="F985" s="88"/>
      <c r="G985" s="98"/>
      <c r="H985" s="88"/>
      <c r="I985" s="88">
        <f>SUBTOTAL(9,I957:I984)</f>
        <v>36339.5</v>
      </c>
      <c r="J985" s="109"/>
      <c r="K985"/>
      <c r="L985"/>
      <c r="M985"/>
      <c r="N985"/>
      <c r="O985"/>
      <c r="P985"/>
      <c r="Q985"/>
      <c r="R985"/>
      <c r="S985"/>
      <c r="T985"/>
    </row>
    <row r="986" spans="1:20" outlineLevel="2" x14ac:dyDescent="0.3">
      <c r="A986" s="82" t="s">
        <v>1766</v>
      </c>
      <c r="B986" s="64" t="s">
        <v>714</v>
      </c>
      <c r="C986" s="65" t="s">
        <v>715</v>
      </c>
      <c r="D986" s="117"/>
      <c r="E986" s="87"/>
      <c r="F986" s="87"/>
      <c r="G986" s="97"/>
      <c r="H986" s="87"/>
      <c r="I986" s="104">
        <f>SUBTOTAL(9,K987:K1009)</f>
        <v>2528</v>
      </c>
      <c r="J986" s="108"/>
      <c r="K986"/>
      <c r="L986"/>
      <c r="M986"/>
      <c r="N986"/>
      <c r="O986"/>
      <c r="P986"/>
      <c r="Q986"/>
      <c r="R986"/>
      <c r="S986"/>
      <c r="T986"/>
    </row>
    <row r="987" spans="1:20" ht="24.6" outlineLevel="3" x14ac:dyDescent="0.3">
      <c r="A987" s="82" t="s">
        <v>1767</v>
      </c>
      <c r="B987" s="64" t="s">
        <v>717</v>
      </c>
      <c r="C987" s="66" t="s">
        <v>718</v>
      </c>
      <c r="D987" s="117"/>
      <c r="E987" s="87"/>
      <c r="F987" s="87"/>
      <c r="G987" s="97"/>
      <c r="H987" s="87"/>
      <c r="I987" s="104">
        <f>SUBTOTAL(9,K988:K990)</f>
        <v>372</v>
      </c>
      <c r="J987" s="108"/>
      <c r="K987"/>
      <c r="L987"/>
      <c r="M987"/>
      <c r="N987"/>
      <c r="O987"/>
      <c r="P987"/>
      <c r="Q987"/>
      <c r="R987"/>
      <c r="S987"/>
      <c r="T987"/>
    </row>
    <row r="988" spans="1:20" outlineLevel="4" x14ac:dyDescent="0.3">
      <c r="A988" s="82" t="s">
        <v>1768</v>
      </c>
      <c r="B988" s="10" t="s">
        <v>720</v>
      </c>
      <c r="C988" s="60" t="s">
        <v>721</v>
      </c>
      <c r="D988" s="44" t="s">
        <v>80</v>
      </c>
      <c r="E988" s="84">
        <v>0</v>
      </c>
      <c r="F988" s="84"/>
      <c r="G988" s="94">
        <f>cell_CoefGeneral</f>
        <v>1</v>
      </c>
      <c r="H988" s="93">
        <f>H230</f>
        <v>28</v>
      </c>
      <c r="I988" s="84">
        <f>IFERROR(ROUND(E988*H988,2),"-")</f>
        <v>0</v>
      </c>
      <c r="J988" s="105">
        <f>IFERROR(I988/cell_Total_HT,"-")</f>
        <v>0</v>
      </c>
      <c r="K988">
        <f>I988</f>
        <v>0</v>
      </c>
      <c r="L988"/>
      <c r="M988"/>
      <c r="N988"/>
      <c r="O988"/>
      <c r="P988"/>
      <c r="Q988"/>
      <c r="R988"/>
      <c r="S988"/>
      <c r="T988"/>
    </row>
    <row r="989" spans="1:20" outlineLevel="4" x14ac:dyDescent="0.3">
      <c r="A989" s="82" t="s">
        <v>1769</v>
      </c>
      <c r="B989" s="10" t="s">
        <v>723</v>
      </c>
      <c r="C989" s="60" t="s">
        <v>724</v>
      </c>
      <c r="D989" s="44" t="s">
        <v>80</v>
      </c>
      <c r="E989" s="84">
        <v>0</v>
      </c>
      <c r="F989" s="84"/>
      <c r="G989" s="94">
        <f>cell_CoefGeneral</f>
        <v>1</v>
      </c>
      <c r="H989" s="93">
        <f>H231</f>
        <v>32</v>
      </c>
      <c r="I989" s="84">
        <f>IFERROR(ROUND(E989*H989,2),"-")</f>
        <v>0</v>
      </c>
      <c r="J989" s="105">
        <f>IFERROR(I989/cell_Total_HT,"-")</f>
        <v>0</v>
      </c>
      <c r="K989">
        <f>I989</f>
        <v>0</v>
      </c>
      <c r="L989"/>
      <c r="M989"/>
      <c r="N989"/>
      <c r="O989"/>
      <c r="P989"/>
      <c r="Q989"/>
      <c r="R989"/>
      <c r="S989"/>
      <c r="T989"/>
    </row>
    <row r="990" spans="1:20" outlineLevel="4" x14ac:dyDescent="0.3">
      <c r="A990" s="82" t="s">
        <v>1770</v>
      </c>
      <c r="B990" s="10" t="s">
        <v>726</v>
      </c>
      <c r="C990" s="60" t="s">
        <v>727</v>
      </c>
      <c r="D990" s="44" t="s">
        <v>80</v>
      </c>
      <c r="E990" s="84">
        <v>12</v>
      </c>
      <c r="F990" s="84"/>
      <c r="G990" s="94">
        <f>cell_CoefGeneral</f>
        <v>1</v>
      </c>
      <c r="H990" s="93">
        <f>H232</f>
        <v>31</v>
      </c>
      <c r="I990" s="84">
        <f>IFERROR(ROUND(E990*H990,2),"-")</f>
        <v>372</v>
      </c>
      <c r="J990" s="105">
        <f>IFERROR(I990/cell_Total_HT,"-")</f>
        <v>1.0982290613551355E-4</v>
      </c>
      <c r="K990">
        <f>I990</f>
        <v>372</v>
      </c>
      <c r="L990"/>
      <c r="M990"/>
      <c r="N990"/>
      <c r="O990"/>
      <c r="P990"/>
      <c r="Q990"/>
      <c r="R990"/>
      <c r="S990"/>
      <c r="T990"/>
    </row>
    <row r="991" spans="1:20" outlineLevel="3" x14ac:dyDescent="0.3">
      <c r="A991" s="82" t="s">
        <v>1771</v>
      </c>
      <c r="B991" s="58" t="s">
        <v>729</v>
      </c>
      <c r="C991" s="61" t="s">
        <v>730</v>
      </c>
      <c r="D991" s="115"/>
      <c r="E991" s="87"/>
      <c r="F991" s="87"/>
      <c r="G991" s="97"/>
      <c r="H991" s="87"/>
      <c r="I991" s="104">
        <f>SUBTOTAL(9,K992:K995)</f>
        <v>456</v>
      </c>
      <c r="J991" s="108"/>
      <c r="K991"/>
      <c r="L991"/>
      <c r="M991"/>
      <c r="N991"/>
      <c r="O991"/>
      <c r="P991"/>
      <c r="Q991"/>
      <c r="R991"/>
      <c r="S991"/>
      <c r="T991"/>
    </row>
    <row r="992" spans="1:20" outlineLevel="4" x14ac:dyDescent="0.3">
      <c r="A992" s="82" t="s">
        <v>1772</v>
      </c>
      <c r="B992" s="10" t="s">
        <v>732</v>
      </c>
      <c r="C992" s="60" t="s">
        <v>733</v>
      </c>
      <c r="D992" s="44" t="s">
        <v>80</v>
      </c>
      <c r="E992" s="84">
        <v>0</v>
      </c>
      <c r="F992" s="84"/>
      <c r="G992" s="94">
        <f>cell_CoefGeneral</f>
        <v>1</v>
      </c>
      <c r="H992" s="93">
        <f>H234</f>
        <v>8.6</v>
      </c>
      <c r="I992" s="84">
        <f>IFERROR(ROUND(E992*H992,2),"-")</f>
        <v>0</v>
      </c>
      <c r="J992" s="105">
        <f>IFERROR(I992/cell_Total_HT,"-")</f>
        <v>0</v>
      </c>
      <c r="K992">
        <f>I992</f>
        <v>0</v>
      </c>
      <c r="L992"/>
      <c r="M992"/>
      <c r="N992"/>
      <c r="O992"/>
      <c r="P992"/>
      <c r="Q992"/>
      <c r="R992"/>
      <c r="S992"/>
      <c r="T992"/>
    </row>
    <row r="993" spans="1:20" outlineLevel="4" x14ac:dyDescent="0.3">
      <c r="A993" s="82" t="s">
        <v>1773</v>
      </c>
      <c r="B993" s="10" t="s">
        <v>735</v>
      </c>
      <c r="C993" s="60" t="s">
        <v>736</v>
      </c>
      <c r="D993" s="44" t="s">
        <v>80</v>
      </c>
      <c r="E993" s="84">
        <v>0</v>
      </c>
      <c r="F993" s="84"/>
      <c r="G993" s="94">
        <f>cell_CoefGeneral</f>
        <v>1</v>
      </c>
      <c r="H993" s="93">
        <f>H235</f>
        <v>9.1999999999999993</v>
      </c>
      <c r="I993" s="84">
        <f>IFERROR(ROUND(E993*H993,2),"-")</f>
        <v>0</v>
      </c>
      <c r="J993" s="105">
        <f>IFERROR(I993/cell_Total_HT,"-")</f>
        <v>0</v>
      </c>
      <c r="K993">
        <f>I993</f>
        <v>0</v>
      </c>
      <c r="L993"/>
      <c r="M993"/>
      <c r="N993"/>
      <c r="O993"/>
      <c r="P993"/>
      <c r="Q993"/>
      <c r="R993"/>
      <c r="S993"/>
      <c r="T993"/>
    </row>
    <row r="994" spans="1:20" outlineLevel="4" x14ac:dyDescent="0.3">
      <c r="A994" s="82" t="s">
        <v>1774</v>
      </c>
      <c r="B994" s="10" t="s">
        <v>738</v>
      </c>
      <c r="C994" s="60" t="s">
        <v>739</v>
      </c>
      <c r="D994" s="44" t="s">
        <v>80</v>
      </c>
      <c r="E994" s="84">
        <v>12</v>
      </c>
      <c r="F994" s="84"/>
      <c r="G994" s="94">
        <f>cell_CoefGeneral</f>
        <v>1</v>
      </c>
      <c r="H994" s="93">
        <f>H236</f>
        <v>38</v>
      </c>
      <c r="I994" s="84">
        <f>IFERROR(ROUND(E994*H994,2),"-")</f>
        <v>456</v>
      </c>
      <c r="J994" s="105">
        <f>IFERROR(I994/cell_Total_HT,"-")</f>
        <v>1.346216268757908E-4</v>
      </c>
      <c r="K994">
        <f>I994</f>
        <v>456</v>
      </c>
      <c r="L994"/>
      <c r="M994"/>
      <c r="N994"/>
      <c r="O994"/>
      <c r="P994"/>
      <c r="Q994"/>
      <c r="R994"/>
      <c r="S994"/>
      <c r="T994"/>
    </row>
    <row r="995" spans="1:20" outlineLevel="4" x14ac:dyDescent="0.3">
      <c r="A995" s="82" t="s">
        <v>1775</v>
      </c>
      <c r="B995" s="10" t="s">
        <v>741</v>
      </c>
      <c r="C995" s="60" t="s">
        <v>742</v>
      </c>
      <c r="D995" s="44" t="s">
        <v>80</v>
      </c>
      <c r="E995" s="84">
        <v>0</v>
      </c>
      <c r="F995" s="84"/>
      <c r="G995" s="94">
        <f>cell_CoefGeneral</f>
        <v>1</v>
      </c>
      <c r="H995" s="93">
        <f>H237</f>
        <v>3.5</v>
      </c>
      <c r="I995" s="84">
        <f>IFERROR(ROUND(E995*H995,2),"-")</f>
        <v>0</v>
      </c>
      <c r="J995" s="105">
        <f>IFERROR(I995/cell_Total_HT,"-")</f>
        <v>0</v>
      </c>
      <c r="K995">
        <f>I995</f>
        <v>0</v>
      </c>
      <c r="L995"/>
      <c r="M995"/>
      <c r="N995"/>
      <c r="O995"/>
      <c r="P995"/>
      <c r="Q995"/>
      <c r="R995"/>
      <c r="S995"/>
      <c r="T995"/>
    </row>
    <row r="996" spans="1:20" outlineLevel="3" x14ac:dyDescent="0.3">
      <c r="A996" s="82" t="s">
        <v>1776</v>
      </c>
      <c r="B996" s="58" t="s">
        <v>744</v>
      </c>
      <c r="C996" s="61" t="s">
        <v>745</v>
      </c>
      <c r="D996" s="115"/>
      <c r="E996" s="87"/>
      <c r="F996" s="87"/>
      <c r="G996" s="97"/>
      <c r="H996" s="87"/>
      <c r="I996" s="104">
        <f>SUBTOTAL(9,K997:K997)</f>
        <v>950</v>
      </c>
      <c r="J996" s="108"/>
      <c r="K996"/>
      <c r="L996"/>
      <c r="M996"/>
      <c r="N996"/>
      <c r="O996"/>
      <c r="P996"/>
      <c r="Q996"/>
      <c r="R996"/>
      <c r="S996"/>
      <c r="T996"/>
    </row>
    <row r="997" spans="1:20" outlineLevel="4" x14ac:dyDescent="0.3">
      <c r="A997" s="82" t="s">
        <v>1777</v>
      </c>
      <c r="B997" s="10" t="s">
        <v>747</v>
      </c>
      <c r="C997" s="60" t="s">
        <v>748</v>
      </c>
      <c r="D997" s="44" t="s">
        <v>121</v>
      </c>
      <c r="E997" s="84">
        <v>1</v>
      </c>
      <c r="F997" s="84"/>
      <c r="G997" s="94">
        <f>cell_CoefGeneral</f>
        <v>1</v>
      </c>
      <c r="H997" s="93">
        <f>H239</f>
        <v>950</v>
      </c>
      <c r="I997" s="84">
        <f>IFERROR(ROUND(E997*H997,2),"-")</f>
        <v>950</v>
      </c>
      <c r="J997" s="105">
        <f>IFERROR(I997/cell_Total_HT,"-")</f>
        <v>2.8046172265789752E-4</v>
      </c>
      <c r="K997">
        <f>I997</f>
        <v>950</v>
      </c>
      <c r="L997"/>
      <c r="M997"/>
      <c r="N997"/>
      <c r="O997"/>
      <c r="P997"/>
      <c r="Q997"/>
      <c r="R997"/>
      <c r="S997"/>
      <c r="T997"/>
    </row>
    <row r="998" spans="1:20" outlineLevel="3" x14ac:dyDescent="0.3">
      <c r="A998" s="82" t="s">
        <v>1778</v>
      </c>
      <c r="B998" s="58" t="s">
        <v>750</v>
      </c>
      <c r="C998" s="61" t="s">
        <v>751</v>
      </c>
      <c r="D998" s="115"/>
      <c r="E998" s="87"/>
      <c r="F998" s="87"/>
      <c r="G998" s="97"/>
      <c r="H998" s="87"/>
      <c r="I998" s="104">
        <f>SUBTOTAL(9,K999:K1000)</f>
        <v>0</v>
      </c>
      <c r="J998" s="108"/>
      <c r="K998"/>
      <c r="L998"/>
      <c r="M998"/>
      <c r="N998"/>
      <c r="O998"/>
      <c r="P998"/>
      <c r="Q998"/>
      <c r="R998"/>
      <c r="S998"/>
      <c r="T998"/>
    </row>
    <row r="999" spans="1:20" ht="28.8" outlineLevel="4" x14ac:dyDescent="0.3">
      <c r="A999" s="82" t="s">
        <v>1779</v>
      </c>
      <c r="B999" s="10" t="s">
        <v>753</v>
      </c>
      <c r="C999" s="60" t="s">
        <v>754</v>
      </c>
      <c r="D999" s="44" t="s">
        <v>121</v>
      </c>
      <c r="E999" s="84">
        <v>0</v>
      </c>
      <c r="F999" s="84"/>
      <c r="G999" s="94">
        <f>cell_CoefGeneral</f>
        <v>1</v>
      </c>
      <c r="H999" s="93">
        <f>H241</f>
        <v>2800</v>
      </c>
      <c r="I999" s="84">
        <f>IFERROR(ROUND(E999*H999,2),"-")</f>
        <v>0</v>
      </c>
      <c r="J999" s="105">
        <f>IFERROR(I999/cell_Total_HT,"-")</f>
        <v>0</v>
      </c>
      <c r="K999">
        <f>I999</f>
        <v>0</v>
      </c>
      <c r="L999"/>
      <c r="M999"/>
      <c r="N999"/>
      <c r="O999"/>
      <c r="P999"/>
      <c r="Q999"/>
      <c r="R999"/>
      <c r="S999"/>
      <c r="T999"/>
    </row>
    <row r="1000" spans="1:20" outlineLevel="4" x14ac:dyDescent="0.3">
      <c r="A1000" s="82" t="s">
        <v>1780</v>
      </c>
      <c r="B1000" s="10" t="s">
        <v>756</v>
      </c>
      <c r="C1000" s="60" t="s">
        <v>757</v>
      </c>
      <c r="D1000" s="44" t="s">
        <v>121</v>
      </c>
      <c r="E1000" s="84">
        <v>0</v>
      </c>
      <c r="F1000" s="84"/>
      <c r="G1000" s="94">
        <f>cell_CoefGeneral</f>
        <v>1</v>
      </c>
      <c r="H1000" s="93">
        <f>H242</f>
        <v>980</v>
      </c>
      <c r="I1000" s="84">
        <f>IFERROR(ROUND(E1000*H1000,2),"-")</f>
        <v>0</v>
      </c>
      <c r="J1000" s="105">
        <f>IFERROR(I1000/cell_Total_HT,"-")</f>
        <v>0</v>
      </c>
      <c r="K1000">
        <f>I1000</f>
        <v>0</v>
      </c>
      <c r="L1000"/>
      <c r="M1000"/>
      <c r="N1000"/>
      <c r="O1000"/>
      <c r="P1000"/>
      <c r="Q1000"/>
      <c r="R1000"/>
      <c r="S1000"/>
      <c r="T1000"/>
    </row>
    <row r="1001" spans="1:20" outlineLevel="3" x14ac:dyDescent="0.3">
      <c r="A1001" s="82" t="s">
        <v>1781</v>
      </c>
      <c r="B1001" s="10" t="s">
        <v>759</v>
      </c>
      <c r="C1001" s="60" t="s">
        <v>760</v>
      </c>
      <c r="D1001" s="44" t="s">
        <v>121</v>
      </c>
      <c r="E1001" s="84">
        <v>0</v>
      </c>
      <c r="F1001" s="84"/>
      <c r="G1001" s="94">
        <f>cell_CoefGeneral</f>
        <v>1</v>
      </c>
      <c r="H1001" s="93">
        <f>H243</f>
        <v>2400</v>
      </c>
      <c r="I1001" s="84">
        <f>IFERROR(ROUND(E1001*H1001,2),"-")</f>
        <v>0</v>
      </c>
      <c r="J1001" s="105">
        <f>IFERROR(I1001/cell_Total_HT,"-")</f>
        <v>0</v>
      </c>
      <c r="K1001">
        <f>I1001</f>
        <v>0</v>
      </c>
      <c r="L1001"/>
      <c r="M1001"/>
      <c r="N1001"/>
      <c r="O1001"/>
      <c r="P1001"/>
      <c r="Q1001"/>
      <c r="R1001"/>
      <c r="S1001"/>
      <c r="T1001"/>
    </row>
    <row r="1002" spans="1:20" outlineLevel="3" x14ac:dyDescent="0.3">
      <c r="A1002" s="82" t="s">
        <v>1782</v>
      </c>
      <c r="B1002" s="10" t="s">
        <v>762</v>
      </c>
      <c r="C1002" s="60" t="s">
        <v>763</v>
      </c>
      <c r="D1002" s="44" t="s">
        <v>121</v>
      </c>
      <c r="E1002" s="84">
        <v>0</v>
      </c>
      <c r="F1002" s="84"/>
      <c r="G1002" s="94">
        <f>cell_CoefGeneral</f>
        <v>1</v>
      </c>
      <c r="H1002" s="93">
        <f>H244</f>
        <v>1300</v>
      </c>
      <c r="I1002" s="84">
        <f>IFERROR(ROUND(E1002*H1002,2),"-")</f>
        <v>0</v>
      </c>
      <c r="J1002" s="105">
        <f>IFERROR(I1002/cell_Total_HT,"-")</f>
        <v>0</v>
      </c>
      <c r="K1002">
        <f>I1002</f>
        <v>0</v>
      </c>
      <c r="L1002"/>
      <c r="M1002"/>
      <c r="N1002"/>
      <c r="O1002"/>
      <c r="P1002"/>
      <c r="Q1002"/>
      <c r="R1002"/>
      <c r="S1002"/>
      <c r="T1002"/>
    </row>
    <row r="1003" spans="1:20" outlineLevel="3" x14ac:dyDescent="0.3">
      <c r="A1003" s="82" t="s">
        <v>1783</v>
      </c>
      <c r="B1003" s="10" t="s">
        <v>765</v>
      </c>
      <c r="C1003" s="60" t="s">
        <v>766</v>
      </c>
      <c r="D1003" s="44" t="s">
        <v>93</v>
      </c>
      <c r="E1003" s="84">
        <v>0</v>
      </c>
      <c r="F1003" s="84"/>
      <c r="G1003" s="94">
        <f>cell_CoefGeneral</f>
        <v>1</v>
      </c>
      <c r="H1003" s="93">
        <f>H245</f>
        <v>520</v>
      </c>
      <c r="I1003" s="84">
        <f>IFERROR(ROUND(E1003*H1003,2),"-")</f>
        <v>0</v>
      </c>
      <c r="J1003" s="105">
        <f>IFERROR(I1003/cell_Total_HT,"-")</f>
        <v>0</v>
      </c>
      <c r="K1003">
        <f>I1003</f>
        <v>0</v>
      </c>
      <c r="L1003"/>
      <c r="M1003"/>
      <c r="N1003"/>
      <c r="O1003"/>
      <c r="P1003"/>
      <c r="Q1003"/>
      <c r="R1003"/>
      <c r="S1003"/>
      <c r="T1003"/>
    </row>
    <row r="1004" spans="1:20" outlineLevel="3" x14ac:dyDescent="0.3">
      <c r="A1004" s="82" t="s">
        <v>1784</v>
      </c>
      <c r="B1004" s="58" t="s">
        <v>768</v>
      </c>
      <c r="C1004" s="61" t="s">
        <v>769</v>
      </c>
      <c r="D1004" s="115"/>
      <c r="E1004" s="87"/>
      <c r="F1004" s="87"/>
      <c r="G1004" s="97"/>
      <c r="H1004" s="87"/>
      <c r="I1004" s="104">
        <f>SUBTOTAL(9,K1005:K1007)</f>
        <v>440</v>
      </c>
      <c r="J1004" s="108"/>
      <c r="K1004"/>
      <c r="L1004"/>
      <c r="M1004"/>
      <c r="N1004"/>
      <c r="O1004"/>
      <c r="P1004"/>
      <c r="Q1004"/>
      <c r="R1004"/>
      <c r="S1004"/>
      <c r="T1004"/>
    </row>
    <row r="1005" spans="1:20" outlineLevel="4" x14ac:dyDescent="0.3">
      <c r="A1005" s="82" t="s">
        <v>1785</v>
      </c>
      <c r="B1005" s="10" t="s">
        <v>771</v>
      </c>
      <c r="C1005" s="60" t="s">
        <v>772</v>
      </c>
      <c r="D1005" s="44" t="s">
        <v>121</v>
      </c>
      <c r="E1005" s="84">
        <v>1</v>
      </c>
      <c r="F1005" s="84"/>
      <c r="G1005" s="94">
        <f>cell_CoefGeneral</f>
        <v>1</v>
      </c>
      <c r="H1005" s="93">
        <f>H247</f>
        <v>440</v>
      </c>
      <c r="I1005" s="84">
        <f>IFERROR(ROUND(E1005*H1005,2),"-")</f>
        <v>440</v>
      </c>
      <c r="J1005" s="105">
        <f>IFERROR(I1005/cell_Total_HT,"-")</f>
        <v>1.2989806102049991E-4</v>
      </c>
      <c r="K1005">
        <f>I1005</f>
        <v>440</v>
      </c>
      <c r="L1005"/>
      <c r="M1005"/>
      <c r="N1005"/>
      <c r="O1005"/>
      <c r="P1005"/>
      <c r="Q1005"/>
      <c r="R1005"/>
      <c r="S1005"/>
      <c r="T1005"/>
    </row>
    <row r="1006" spans="1:20" outlineLevel="4" x14ac:dyDescent="0.3">
      <c r="A1006" s="82" t="s">
        <v>1786</v>
      </c>
      <c r="B1006" s="10" t="s">
        <v>774</v>
      </c>
      <c r="C1006" s="60" t="s">
        <v>775</v>
      </c>
      <c r="D1006" s="44" t="s">
        <v>121</v>
      </c>
      <c r="E1006" s="84">
        <v>0</v>
      </c>
      <c r="F1006" s="84"/>
      <c r="G1006" s="94">
        <f>cell_CoefGeneral</f>
        <v>1</v>
      </c>
      <c r="H1006" s="93">
        <f>H248</f>
        <v>290</v>
      </c>
      <c r="I1006" s="84">
        <f>IFERROR(ROUND(E1006*H1006,2),"-")</f>
        <v>0</v>
      </c>
      <c r="J1006" s="105">
        <f>IFERROR(I1006/cell_Total_HT,"-")</f>
        <v>0</v>
      </c>
      <c r="K1006">
        <f>I1006</f>
        <v>0</v>
      </c>
      <c r="L1006"/>
      <c r="M1006"/>
      <c r="N1006"/>
      <c r="O1006"/>
      <c r="P1006"/>
      <c r="Q1006"/>
      <c r="R1006"/>
      <c r="S1006"/>
      <c r="T1006"/>
    </row>
    <row r="1007" spans="1:20" outlineLevel="4" x14ac:dyDescent="0.3">
      <c r="A1007" s="82" t="s">
        <v>1787</v>
      </c>
      <c r="B1007" s="10" t="s">
        <v>777</v>
      </c>
      <c r="C1007" s="60" t="s">
        <v>778</v>
      </c>
      <c r="D1007" s="44" t="s">
        <v>121</v>
      </c>
      <c r="E1007" s="84">
        <v>0</v>
      </c>
      <c r="F1007" s="84"/>
      <c r="G1007" s="94">
        <f>cell_CoefGeneral</f>
        <v>1</v>
      </c>
      <c r="H1007" s="93">
        <f>H249</f>
        <v>240</v>
      </c>
      <c r="I1007" s="84">
        <f>IFERROR(ROUND(E1007*H1007,2),"-")</f>
        <v>0</v>
      </c>
      <c r="J1007" s="105">
        <f>IFERROR(I1007/cell_Total_HT,"-")</f>
        <v>0</v>
      </c>
      <c r="K1007">
        <f>I1007</f>
        <v>0</v>
      </c>
      <c r="L1007"/>
      <c r="M1007"/>
      <c r="N1007"/>
      <c r="O1007"/>
      <c r="P1007"/>
      <c r="Q1007"/>
      <c r="R1007"/>
      <c r="S1007"/>
      <c r="T1007"/>
    </row>
    <row r="1008" spans="1:20" outlineLevel="3" x14ac:dyDescent="0.3">
      <c r="A1008" s="82" t="s">
        <v>1788</v>
      </c>
      <c r="B1008" s="10" t="s">
        <v>780</v>
      </c>
      <c r="C1008" s="60" t="s">
        <v>781</v>
      </c>
      <c r="D1008" s="44" t="s">
        <v>80</v>
      </c>
      <c r="E1008" s="84">
        <v>0</v>
      </c>
      <c r="F1008" s="84"/>
      <c r="G1008" s="94">
        <f>cell_CoefGeneral</f>
        <v>1</v>
      </c>
      <c r="H1008" s="93">
        <f>H250</f>
        <v>31</v>
      </c>
      <c r="I1008" s="84">
        <f>IFERROR(ROUND(E1008*H1008,2),"-")</f>
        <v>0</v>
      </c>
      <c r="J1008" s="105">
        <f>IFERROR(I1008/cell_Total_HT,"-")</f>
        <v>0</v>
      </c>
      <c r="K1008">
        <f>I1008</f>
        <v>0</v>
      </c>
      <c r="L1008"/>
      <c r="M1008"/>
      <c r="N1008"/>
      <c r="O1008"/>
      <c r="P1008"/>
      <c r="Q1008"/>
      <c r="R1008"/>
      <c r="S1008"/>
      <c r="T1008"/>
    </row>
    <row r="1009" spans="1:20" ht="15" outlineLevel="3" thickBot="1" x14ac:dyDescent="0.35">
      <c r="A1009" s="82" t="s">
        <v>1789</v>
      </c>
      <c r="B1009" s="10" t="s">
        <v>783</v>
      </c>
      <c r="C1009" s="60" t="s">
        <v>784</v>
      </c>
      <c r="D1009" s="44" t="s">
        <v>121</v>
      </c>
      <c r="E1009" s="84">
        <v>1</v>
      </c>
      <c r="F1009" s="84"/>
      <c r="G1009" s="94">
        <f>cell_CoefGeneral</f>
        <v>1</v>
      </c>
      <c r="H1009" s="93">
        <f>H251</f>
        <v>310</v>
      </c>
      <c r="I1009" s="84">
        <f>IFERROR(ROUND(E1009*H1009,2),"-")</f>
        <v>310</v>
      </c>
      <c r="J1009" s="105">
        <f>IFERROR(I1009/cell_Total_HT,"-")</f>
        <v>9.151908844626129E-5</v>
      </c>
      <c r="K1009">
        <f>I1009</f>
        <v>310</v>
      </c>
      <c r="L1009"/>
      <c r="M1009"/>
      <c r="N1009"/>
      <c r="O1009"/>
      <c r="P1009"/>
      <c r="Q1009"/>
      <c r="R1009"/>
      <c r="S1009"/>
      <c r="T1009"/>
    </row>
    <row r="1010" spans="1:20" ht="15" outlineLevel="2" thickTop="1" x14ac:dyDescent="0.3">
      <c r="A1010" s="82" t="s">
        <v>1790</v>
      </c>
      <c r="B1010" s="62" t="s">
        <v>60</v>
      </c>
      <c r="C1010" s="63" t="s">
        <v>786</v>
      </c>
      <c r="D1010" s="116"/>
      <c r="E1010" s="88"/>
      <c r="F1010" s="88"/>
      <c r="G1010" s="98"/>
      <c r="H1010" s="88"/>
      <c r="I1010" s="88">
        <f>SUBTOTAL(9,I988:I1009)</f>
        <v>2528</v>
      </c>
      <c r="J1010" s="109"/>
      <c r="K1010"/>
      <c r="L1010"/>
      <c r="M1010"/>
      <c r="N1010"/>
      <c r="O1010"/>
      <c r="P1010"/>
      <c r="Q1010"/>
      <c r="R1010"/>
      <c r="S1010"/>
      <c r="T1010"/>
    </row>
    <row r="1011" spans="1:20" outlineLevel="2" x14ac:dyDescent="0.3">
      <c r="A1011" s="82" t="s">
        <v>1791</v>
      </c>
      <c r="B1011" s="64" t="s">
        <v>788</v>
      </c>
      <c r="C1011" s="65" t="s">
        <v>789</v>
      </c>
      <c r="D1011" s="117"/>
      <c r="E1011" s="87"/>
      <c r="F1011" s="87"/>
      <c r="G1011" s="97"/>
      <c r="H1011" s="87"/>
      <c r="I1011" s="104">
        <f>SUBTOTAL(9,K1012:K1024)</f>
        <v>10410.6</v>
      </c>
      <c r="J1011" s="108"/>
      <c r="K1011"/>
      <c r="L1011"/>
      <c r="M1011"/>
      <c r="N1011"/>
      <c r="O1011"/>
      <c r="P1011"/>
      <c r="Q1011"/>
      <c r="R1011"/>
      <c r="S1011"/>
      <c r="T1011"/>
    </row>
    <row r="1012" spans="1:20" outlineLevel="3" x14ac:dyDescent="0.3">
      <c r="A1012" s="82" t="s">
        <v>1792</v>
      </c>
      <c r="B1012" s="64" t="s">
        <v>791</v>
      </c>
      <c r="C1012" s="66" t="s">
        <v>792</v>
      </c>
      <c r="D1012" s="117"/>
      <c r="E1012" s="87"/>
      <c r="F1012" s="87"/>
      <c r="G1012" s="97"/>
      <c r="H1012" s="87"/>
      <c r="I1012" s="104">
        <f>SUBTOTAL(9,K1013:K1014)</f>
        <v>3867</v>
      </c>
      <c r="J1012" s="108"/>
      <c r="K1012"/>
      <c r="L1012"/>
      <c r="M1012"/>
      <c r="N1012"/>
      <c r="O1012"/>
      <c r="P1012"/>
      <c r="Q1012"/>
      <c r="R1012"/>
      <c r="S1012"/>
      <c r="T1012"/>
    </row>
    <row r="1013" spans="1:20" outlineLevel="4" x14ac:dyDescent="0.3">
      <c r="A1013" s="82" t="s">
        <v>1793</v>
      </c>
      <c r="B1013" s="10" t="s">
        <v>794</v>
      </c>
      <c r="C1013" s="60" t="s">
        <v>795</v>
      </c>
      <c r="D1013" s="44" t="s">
        <v>80</v>
      </c>
      <c r="E1013" s="84">
        <v>33</v>
      </c>
      <c r="F1013" s="84"/>
      <c r="G1013" s="94">
        <f>cell_CoefGeneral</f>
        <v>1</v>
      </c>
      <c r="H1013" s="93">
        <f>H255</f>
        <v>39</v>
      </c>
      <c r="I1013" s="84">
        <f>IFERROR(ROUND(E1013*H1013,2),"-")</f>
        <v>1287</v>
      </c>
      <c r="J1013" s="105">
        <f>IFERROR(I1013/cell_Total_HT,"-")</f>
        <v>3.7995182848496223E-4</v>
      </c>
      <c r="K1013">
        <f>I1013</f>
        <v>1287</v>
      </c>
      <c r="L1013"/>
      <c r="M1013"/>
      <c r="N1013"/>
      <c r="O1013"/>
      <c r="P1013"/>
      <c r="Q1013"/>
      <c r="R1013"/>
      <c r="S1013"/>
      <c r="T1013"/>
    </row>
    <row r="1014" spans="1:20" outlineLevel="4" x14ac:dyDescent="0.3">
      <c r="A1014" s="82" t="s">
        <v>1794</v>
      </c>
      <c r="B1014" s="10" t="s">
        <v>797</v>
      </c>
      <c r="C1014" s="60" t="s">
        <v>798</v>
      </c>
      <c r="D1014" s="44" t="s">
        <v>80</v>
      </c>
      <c r="E1014" s="84">
        <v>86</v>
      </c>
      <c r="F1014" s="84"/>
      <c r="G1014" s="94">
        <f>cell_CoefGeneral</f>
        <v>1</v>
      </c>
      <c r="H1014" s="93">
        <f>H256</f>
        <v>30</v>
      </c>
      <c r="I1014" s="84">
        <f>IFERROR(ROUND(E1014*H1014,2),"-")</f>
        <v>2580</v>
      </c>
      <c r="J1014" s="105">
        <f>IFERROR(I1014/cell_Total_HT,"-")</f>
        <v>7.6167499416565849E-4</v>
      </c>
      <c r="K1014">
        <f>I1014</f>
        <v>2580</v>
      </c>
      <c r="L1014"/>
      <c r="M1014"/>
      <c r="N1014"/>
      <c r="O1014"/>
      <c r="P1014"/>
      <c r="Q1014"/>
      <c r="R1014"/>
      <c r="S1014"/>
      <c r="T1014"/>
    </row>
    <row r="1015" spans="1:20" outlineLevel="3" x14ac:dyDescent="0.3">
      <c r="A1015" s="82" t="s">
        <v>1795</v>
      </c>
      <c r="B1015" s="58" t="s">
        <v>800</v>
      </c>
      <c r="C1015" s="61" t="s">
        <v>801</v>
      </c>
      <c r="D1015" s="115"/>
      <c r="E1015" s="87"/>
      <c r="F1015" s="87"/>
      <c r="G1015" s="97"/>
      <c r="H1015" s="87"/>
      <c r="I1015" s="104">
        <f>SUBTOTAL(9,K1016:K1017)</f>
        <v>1651.6</v>
      </c>
      <c r="J1015" s="108"/>
      <c r="K1015"/>
      <c r="L1015"/>
      <c r="M1015"/>
      <c r="N1015"/>
      <c r="O1015"/>
      <c r="P1015"/>
      <c r="Q1015"/>
      <c r="R1015"/>
      <c r="S1015"/>
      <c r="T1015"/>
    </row>
    <row r="1016" spans="1:20" outlineLevel="4" x14ac:dyDescent="0.3">
      <c r="A1016" s="82" t="s">
        <v>1796</v>
      </c>
      <c r="B1016" s="10" t="s">
        <v>803</v>
      </c>
      <c r="C1016" s="60" t="s">
        <v>804</v>
      </c>
      <c r="D1016" s="44" t="s">
        <v>80</v>
      </c>
      <c r="E1016" s="84">
        <v>44</v>
      </c>
      <c r="F1016" s="84"/>
      <c r="G1016" s="94">
        <f>cell_CoefGeneral</f>
        <v>1</v>
      </c>
      <c r="H1016" s="93">
        <f>H258</f>
        <v>2.9</v>
      </c>
      <c r="I1016" s="84">
        <f>IFERROR(ROUND(E1016*H1016,2),"-")</f>
        <v>127.6</v>
      </c>
      <c r="J1016" s="105">
        <f>IFERROR(I1016/cell_Total_HT,"-")</f>
        <v>3.7670437695944969E-5</v>
      </c>
      <c r="K1016">
        <f>I1016</f>
        <v>127.6</v>
      </c>
      <c r="L1016"/>
      <c r="M1016"/>
      <c r="N1016"/>
      <c r="O1016"/>
      <c r="P1016"/>
      <c r="Q1016"/>
      <c r="R1016"/>
      <c r="S1016"/>
      <c r="T1016"/>
    </row>
    <row r="1017" spans="1:20" outlineLevel="4" x14ac:dyDescent="0.3">
      <c r="A1017" s="82" t="s">
        <v>1797</v>
      </c>
      <c r="B1017" s="10" t="s">
        <v>806</v>
      </c>
      <c r="C1017" s="60" t="s">
        <v>807</v>
      </c>
      <c r="D1017" s="44" t="s">
        <v>80</v>
      </c>
      <c r="E1017" s="84">
        <v>381</v>
      </c>
      <c r="F1017" s="84"/>
      <c r="G1017" s="94">
        <f>cell_CoefGeneral</f>
        <v>1</v>
      </c>
      <c r="H1017" s="93">
        <f>H259</f>
        <v>4</v>
      </c>
      <c r="I1017" s="84">
        <f>IFERROR(ROUND(E1017*H1017,2),"-")</f>
        <v>1524</v>
      </c>
      <c r="J1017" s="105">
        <f>IFERROR(I1017/cell_Total_HT,"-")</f>
        <v>4.4991964771645877E-4</v>
      </c>
      <c r="K1017">
        <f>I1017</f>
        <v>1524</v>
      </c>
      <c r="L1017"/>
      <c r="M1017"/>
      <c r="N1017"/>
      <c r="O1017"/>
      <c r="P1017"/>
      <c r="Q1017"/>
      <c r="R1017"/>
      <c r="S1017"/>
      <c r="T1017"/>
    </row>
    <row r="1018" spans="1:20" outlineLevel="3" x14ac:dyDescent="0.3">
      <c r="A1018" s="82" t="s">
        <v>1798</v>
      </c>
      <c r="B1018" s="10" t="s">
        <v>809</v>
      </c>
      <c r="C1018" s="60" t="s">
        <v>810</v>
      </c>
      <c r="D1018" s="44" t="s">
        <v>80</v>
      </c>
      <c r="E1018" s="84">
        <v>119</v>
      </c>
      <c r="F1018" s="84"/>
      <c r="G1018" s="94">
        <f>cell_CoefGeneral</f>
        <v>1</v>
      </c>
      <c r="H1018" s="93">
        <f>H260</f>
        <v>28</v>
      </c>
      <c r="I1018" s="84">
        <f>IFERROR(ROUND(E1018*H1018,2),"-")</f>
        <v>3332</v>
      </c>
      <c r="J1018" s="105">
        <f>IFERROR(I1018/cell_Total_HT,"-")</f>
        <v>9.8368258936433104E-4</v>
      </c>
      <c r="K1018">
        <f>I1018</f>
        <v>3332</v>
      </c>
      <c r="L1018"/>
      <c r="M1018"/>
      <c r="N1018"/>
      <c r="O1018"/>
      <c r="P1018"/>
      <c r="Q1018"/>
      <c r="R1018"/>
      <c r="S1018"/>
      <c r="T1018"/>
    </row>
    <row r="1019" spans="1:20" outlineLevel="3" x14ac:dyDescent="0.3">
      <c r="A1019" s="82" t="s">
        <v>1799</v>
      </c>
      <c r="B1019" s="58" t="s">
        <v>812</v>
      </c>
      <c r="C1019" s="61" t="s">
        <v>813</v>
      </c>
      <c r="D1019" s="115"/>
      <c r="E1019" s="87"/>
      <c r="F1019" s="87"/>
      <c r="G1019" s="97"/>
      <c r="H1019" s="87"/>
      <c r="I1019" s="104">
        <f>SUBTOTAL(9,K1020:K1022)</f>
        <v>1560</v>
      </c>
      <c r="J1019" s="108"/>
      <c r="K1019"/>
      <c r="L1019"/>
      <c r="M1019"/>
      <c r="N1019"/>
      <c r="O1019"/>
      <c r="P1019"/>
      <c r="Q1019"/>
      <c r="R1019"/>
      <c r="S1019"/>
      <c r="T1019"/>
    </row>
    <row r="1020" spans="1:20" outlineLevel="4" x14ac:dyDescent="0.3">
      <c r="A1020" s="82" t="s">
        <v>1800</v>
      </c>
      <c r="B1020" s="10" t="s">
        <v>815</v>
      </c>
      <c r="C1020" s="60" t="s">
        <v>816</v>
      </c>
      <c r="D1020" s="44" t="s">
        <v>121</v>
      </c>
      <c r="E1020" s="84">
        <v>0</v>
      </c>
      <c r="F1020" s="84"/>
      <c r="G1020" s="94">
        <f>cell_CoefGeneral</f>
        <v>1</v>
      </c>
      <c r="H1020" s="93">
        <f>H262</f>
        <v>280</v>
      </c>
      <c r="I1020" s="84">
        <f>IFERROR(ROUND(E1020*H1020,2),"-")</f>
        <v>0</v>
      </c>
      <c r="J1020" s="105">
        <f>IFERROR(I1020/cell_Total_HT,"-")</f>
        <v>0</v>
      </c>
      <c r="K1020">
        <f>I1020</f>
        <v>0</v>
      </c>
      <c r="L1020"/>
      <c r="M1020"/>
      <c r="N1020"/>
      <c r="O1020"/>
      <c r="P1020"/>
      <c r="Q1020"/>
      <c r="R1020"/>
      <c r="S1020"/>
      <c r="T1020"/>
    </row>
    <row r="1021" spans="1:20" outlineLevel="4" x14ac:dyDescent="0.3">
      <c r="A1021" s="82" t="s">
        <v>1801</v>
      </c>
      <c r="B1021" s="10" t="s">
        <v>818</v>
      </c>
      <c r="C1021" s="60" t="s">
        <v>819</v>
      </c>
      <c r="D1021" s="44" t="s">
        <v>121</v>
      </c>
      <c r="E1021" s="84">
        <v>0</v>
      </c>
      <c r="F1021" s="84"/>
      <c r="G1021" s="94">
        <f>cell_CoefGeneral</f>
        <v>1</v>
      </c>
      <c r="H1021" s="93">
        <f>H263</f>
        <v>400</v>
      </c>
      <c r="I1021" s="84">
        <f>IFERROR(ROUND(E1021*H1021,2),"-")</f>
        <v>0</v>
      </c>
      <c r="J1021" s="105">
        <f>IFERROR(I1021/cell_Total_HT,"-")</f>
        <v>0</v>
      </c>
      <c r="K1021">
        <f>I1021</f>
        <v>0</v>
      </c>
      <c r="L1021"/>
      <c r="M1021"/>
      <c r="N1021"/>
      <c r="O1021"/>
      <c r="P1021"/>
      <c r="Q1021"/>
      <c r="R1021"/>
      <c r="S1021"/>
      <c r="T1021"/>
    </row>
    <row r="1022" spans="1:20" outlineLevel="4" x14ac:dyDescent="0.3">
      <c r="A1022" s="82" t="s">
        <v>1802</v>
      </c>
      <c r="B1022" s="10" t="s">
        <v>821</v>
      </c>
      <c r="C1022" s="60" t="s">
        <v>822</v>
      </c>
      <c r="D1022" s="44" t="s">
        <v>121</v>
      </c>
      <c r="E1022" s="84">
        <v>3</v>
      </c>
      <c r="F1022" s="84"/>
      <c r="G1022" s="94">
        <f>cell_CoefGeneral</f>
        <v>1</v>
      </c>
      <c r="H1022" s="93">
        <f>H264</f>
        <v>520</v>
      </c>
      <c r="I1022" s="84">
        <f>IFERROR(ROUND(E1022*H1022,2),"-")</f>
        <v>1560</v>
      </c>
      <c r="J1022" s="105">
        <f>IFERROR(I1022/cell_Total_HT,"-")</f>
        <v>4.6054767089086332E-4</v>
      </c>
      <c r="K1022">
        <f>I1022</f>
        <v>1560</v>
      </c>
      <c r="L1022"/>
      <c r="M1022"/>
      <c r="N1022"/>
      <c r="O1022"/>
      <c r="P1022"/>
      <c r="Q1022"/>
      <c r="R1022"/>
      <c r="S1022"/>
      <c r="T1022"/>
    </row>
    <row r="1023" spans="1:20" outlineLevel="3" x14ac:dyDescent="0.3">
      <c r="A1023" s="82" t="s">
        <v>1803</v>
      </c>
      <c r="B1023" s="10" t="s">
        <v>824</v>
      </c>
      <c r="C1023" s="60" t="s">
        <v>781</v>
      </c>
      <c r="D1023" s="44" t="s">
        <v>80</v>
      </c>
      <c r="E1023" s="84">
        <v>0</v>
      </c>
      <c r="F1023" s="84"/>
      <c r="G1023" s="94">
        <f>cell_CoefGeneral</f>
        <v>1</v>
      </c>
      <c r="H1023" s="93">
        <f>H265</f>
        <v>31</v>
      </c>
      <c r="I1023" s="84">
        <f>IFERROR(ROUND(E1023*H1023,2),"-")</f>
        <v>0</v>
      </c>
      <c r="J1023" s="105">
        <f>IFERROR(I1023/cell_Total_HT,"-")</f>
        <v>0</v>
      </c>
      <c r="K1023">
        <f>I1023</f>
        <v>0</v>
      </c>
      <c r="L1023"/>
      <c r="M1023"/>
      <c r="N1023"/>
      <c r="O1023"/>
      <c r="P1023"/>
      <c r="Q1023"/>
      <c r="R1023"/>
      <c r="S1023"/>
      <c r="T1023"/>
    </row>
    <row r="1024" spans="1:20" ht="15" outlineLevel="3" thickBot="1" x14ac:dyDescent="0.35">
      <c r="A1024" s="82" t="s">
        <v>1804</v>
      </c>
      <c r="B1024" s="10" t="s">
        <v>826</v>
      </c>
      <c r="C1024" s="60" t="s">
        <v>827</v>
      </c>
      <c r="D1024" s="44" t="s">
        <v>121</v>
      </c>
      <c r="E1024" s="84">
        <v>0</v>
      </c>
      <c r="F1024" s="84"/>
      <c r="G1024" s="94">
        <f>cell_CoefGeneral</f>
        <v>1</v>
      </c>
      <c r="H1024" s="93">
        <f>H266</f>
        <v>230</v>
      </c>
      <c r="I1024" s="84">
        <f>IFERROR(ROUND(E1024*H1024,2),"-")</f>
        <v>0</v>
      </c>
      <c r="J1024" s="105">
        <f>IFERROR(I1024/cell_Total_HT,"-")</f>
        <v>0</v>
      </c>
      <c r="K1024">
        <f>I1024</f>
        <v>0</v>
      </c>
      <c r="L1024"/>
      <c r="M1024"/>
      <c r="N1024"/>
      <c r="O1024"/>
      <c r="P1024"/>
      <c r="Q1024"/>
      <c r="R1024"/>
      <c r="S1024"/>
      <c r="T1024"/>
    </row>
    <row r="1025" spans="1:20" ht="15" outlineLevel="2" thickTop="1" x14ac:dyDescent="0.3">
      <c r="A1025" s="82" t="s">
        <v>1805</v>
      </c>
      <c r="B1025" s="62" t="s">
        <v>60</v>
      </c>
      <c r="C1025" s="63" t="s">
        <v>829</v>
      </c>
      <c r="D1025" s="116"/>
      <c r="E1025" s="88"/>
      <c r="F1025" s="88"/>
      <c r="G1025" s="98"/>
      <c r="H1025" s="88"/>
      <c r="I1025" s="88">
        <f>SUBTOTAL(9,I1013:I1024)</f>
        <v>10410.6</v>
      </c>
      <c r="J1025" s="109"/>
      <c r="K1025"/>
      <c r="L1025"/>
      <c r="M1025"/>
      <c r="N1025"/>
      <c r="O1025"/>
      <c r="P1025"/>
      <c r="Q1025"/>
      <c r="R1025"/>
      <c r="S1025"/>
      <c r="T1025"/>
    </row>
    <row r="1026" spans="1:20" outlineLevel="2" x14ac:dyDescent="0.3">
      <c r="A1026" s="82" t="s">
        <v>1806</v>
      </c>
      <c r="B1026" s="64" t="s">
        <v>831</v>
      </c>
      <c r="C1026" s="65" t="s">
        <v>832</v>
      </c>
      <c r="D1026" s="117"/>
      <c r="E1026" s="87"/>
      <c r="F1026" s="87"/>
      <c r="G1026" s="97"/>
      <c r="H1026" s="87"/>
      <c r="I1026" s="104">
        <f>SUBTOTAL(9,K1027:K1049)</f>
        <v>16099</v>
      </c>
      <c r="J1026" s="108"/>
      <c r="K1026"/>
      <c r="L1026"/>
      <c r="M1026"/>
      <c r="N1026"/>
      <c r="O1026"/>
      <c r="P1026"/>
      <c r="Q1026"/>
      <c r="R1026"/>
      <c r="S1026"/>
      <c r="T1026"/>
    </row>
    <row r="1027" spans="1:20" outlineLevel="3" x14ac:dyDescent="0.3">
      <c r="A1027" s="82" t="s">
        <v>1807</v>
      </c>
      <c r="B1027" s="64" t="s">
        <v>834</v>
      </c>
      <c r="C1027" s="66" t="s">
        <v>835</v>
      </c>
      <c r="D1027" s="117"/>
      <c r="E1027" s="87"/>
      <c r="F1027" s="87"/>
      <c r="G1027" s="97"/>
      <c r="H1027" s="87"/>
      <c r="I1027" s="104">
        <f>SUBTOTAL(9,K1028:K1030)</f>
        <v>7545</v>
      </c>
      <c r="J1027" s="108"/>
      <c r="K1027"/>
      <c r="L1027"/>
      <c r="M1027"/>
      <c r="N1027"/>
      <c r="O1027"/>
      <c r="P1027"/>
      <c r="Q1027"/>
      <c r="R1027"/>
      <c r="S1027"/>
      <c r="T1027"/>
    </row>
    <row r="1028" spans="1:20" outlineLevel="4" x14ac:dyDescent="0.3">
      <c r="A1028" s="82" t="s">
        <v>1808</v>
      </c>
      <c r="B1028" s="10" t="s">
        <v>837</v>
      </c>
      <c r="C1028" s="60" t="s">
        <v>795</v>
      </c>
      <c r="D1028" s="44" t="s">
        <v>80</v>
      </c>
      <c r="E1028" s="84">
        <v>21</v>
      </c>
      <c r="F1028" s="84"/>
      <c r="G1028" s="94">
        <f>cell_CoefGeneral</f>
        <v>1</v>
      </c>
      <c r="H1028" s="93">
        <f>H270</f>
        <v>55</v>
      </c>
      <c r="I1028" s="84">
        <f>IFERROR(ROUND(E1028*H1028,2),"-")</f>
        <v>1155</v>
      </c>
      <c r="J1028" s="105">
        <f>IFERROR(I1028/cell_Total_HT,"-")</f>
        <v>3.4098241017881223E-4</v>
      </c>
      <c r="K1028">
        <f>I1028</f>
        <v>1155</v>
      </c>
      <c r="L1028"/>
      <c r="M1028"/>
      <c r="N1028"/>
      <c r="O1028"/>
      <c r="P1028"/>
      <c r="Q1028"/>
      <c r="R1028"/>
      <c r="S1028"/>
      <c r="T1028"/>
    </row>
    <row r="1029" spans="1:20" outlineLevel="4" x14ac:dyDescent="0.3">
      <c r="A1029" s="82" t="s">
        <v>1809</v>
      </c>
      <c r="B1029" s="10" t="s">
        <v>839</v>
      </c>
      <c r="C1029" s="60" t="s">
        <v>798</v>
      </c>
      <c r="D1029" s="44" t="s">
        <v>80</v>
      </c>
      <c r="E1029" s="84">
        <v>355</v>
      </c>
      <c r="F1029" s="84"/>
      <c r="G1029" s="94">
        <f>cell_CoefGeneral</f>
        <v>1</v>
      </c>
      <c r="H1029" s="93">
        <f>H271</f>
        <v>18</v>
      </c>
      <c r="I1029" s="84">
        <f>IFERROR(ROUND(E1029*H1029,2),"-")</f>
        <v>6390</v>
      </c>
      <c r="J1029" s="105">
        <f>IFERROR(I1029/cell_Total_HT,"-")</f>
        <v>1.8864741134568053E-3</v>
      </c>
      <c r="K1029">
        <f>I1029</f>
        <v>6390</v>
      </c>
      <c r="L1029"/>
      <c r="M1029"/>
      <c r="N1029"/>
      <c r="O1029"/>
      <c r="P1029"/>
      <c r="Q1029"/>
      <c r="R1029"/>
      <c r="S1029"/>
      <c r="T1029"/>
    </row>
    <row r="1030" spans="1:20" outlineLevel="4" x14ac:dyDescent="0.3">
      <c r="A1030" s="82" t="s">
        <v>1810</v>
      </c>
      <c r="B1030" s="10" t="s">
        <v>841</v>
      </c>
      <c r="C1030" s="60" t="s">
        <v>842</v>
      </c>
      <c r="D1030" s="44" t="s">
        <v>80</v>
      </c>
      <c r="E1030" s="84">
        <v>0</v>
      </c>
      <c r="F1030" s="84"/>
      <c r="G1030" s="94">
        <f>cell_CoefGeneral</f>
        <v>1</v>
      </c>
      <c r="H1030" s="93">
        <f>H272</f>
        <v>66</v>
      </c>
      <c r="I1030" s="84">
        <f>IFERROR(ROUND(E1030*H1030,2),"-")</f>
        <v>0</v>
      </c>
      <c r="J1030" s="105">
        <f>IFERROR(I1030/cell_Total_HT,"-")</f>
        <v>0</v>
      </c>
      <c r="K1030">
        <f>I1030</f>
        <v>0</v>
      </c>
      <c r="L1030"/>
      <c r="M1030"/>
      <c r="N1030"/>
      <c r="O1030"/>
      <c r="P1030"/>
      <c r="Q1030"/>
      <c r="R1030"/>
      <c r="S1030"/>
      <c r="T1030"/>
    </row>
    <row r="1031" spans="1:20" outlineLevel="3" x14ac:dyDescent="0.3">
      <c r="A1031" s="82" t="s">
        <v>1811</v>
      </c>
      <c r="B1031" s="58" t="s">
        <v>844</v>
      </c>
      <c r="C1031" s="61" t="s">
        <v>845</v>
      </c>
      <c r="D1031" s="115"/>
      <c r="E1031" s="87"/>
      <c r="F1031" s="87"/>
      <c r="G1031" s="97"/>
      <c r="H1031" s="87"/>
      <c r="I1031" s="104">
        <f>SUBTOTAL(9,K1032:K1035)</f>
        <v>1229.5999999999999</v>
      </c>
      <c r="J1031" s="108"/>
      <c r="K1031"/>
      <c r="L1031"/>
      <c r="M1031"/>
      <c r="N1031"/>
      <c r="O1031"/>
      <c r="P1031"/>
      <c r="Q1031"/>
      <c r="R1031"/>
      <c r="S1031"/>
      <c r="T1031"/>
    </row>
    <row r="1032" spans="1:20" outlineLevel="4" x14ac:dyDescent="0.3">
      <c r="A1032" s="82" t="s">
        <v>1812</v>
      </c>
      <c r="B1032" s="10" t="s">
        <v>847</v>
      </c>
      <c r="C1032" s="60" t="s">
        <v>848</v>
      </c>
      <c r="D1032" s="44" t="s">
        <v>80</v>
      </c>
      <c r="E1032" s="84">
        <v>0</v>
      </c>
      <c r="F1032" s="84"/>
      <c r="G1032" s="94">
        <f>cell_CoefGeneral</f>
        <v>1</v>
      </c>
      <c r="H1032" s="93">
        <f>H274</f>
        <v>2.6</v>
      </c>
      <c r="I1032" s="84">
        <f>IFERROR(ROUND(E1032*H1032,2),"-")</f>
        <v>0</v>
      </c>
      <c r="J1032" s="105">
        <f>IFERROR(I1032/cell_Total_HT,"-")</f>
        <v>0</v>
      </c>
      <c r="K1032">
        <f>I1032</f>
        <v>0</v>
      </c>
      <c r="L1032"/>
      <c r="M1032"/>
      <c r="N1032"/>
      <c r="O1032"/>
      <c r="P1032"/>
      <c r="Q1032"/>
      <c r="R1032"/>
      <c r="S1032"/>
      <c r="T1032"/>
    </row>
    <row r="1033" spans="1:20" outlineLevel="4" x14ac:dyDescent="0.3">
      <c r="A1033" s="82" t="s">
        <v>1813</v>
      </c>
      <c r="B1033" s="10" t="s">
        <v>850</v>
      </c>
      <c r="C1033" s="60" t="s">
        <v>851</v>
      </c>
      <c r="D1033" s="44" t="s">
        <v>80</v>
      </c>
      <c r="E1033" s="84">
        <v>361</v>
      </c>
      <c r="F1033" s="84"/>
      <c r="G1033" s="94">
        <f>cell_CoefGeneral</f>
        <v>1</v>
      </c>
      <c r="H1033" s="93">
        <f>H275</f>
        <v>2.8</v>
      </c>
      <c r="I1033" s="84">
        <f>IFERROR(ROUND(E1033*H1033,2),"-")</f>
        <v>1010.8</v>
      </c>
      <c r="J1033" s="105">
        <f>IFERROR(I1033/cell_Total_HT,"-")</f>
        <v>2.9841127290800294E-4</v>
      </c>
      <c r="K1033">
        <f>I1033</f>
        <v>1010.8</v>
      </c>
      <c r="L1033"/>
      <c r="M1033"/>
      <c r="N1033"/>
      <c r="O1033"/>
      <c r="P1033"/>
      <c r="Q1033"/>
      <c r="R1033"/>
      <c r="S1033"/>
      <c r="T1033"/>
    </row>
    <row r="1034" spans="1:20" outlineLevel="4" x14ac:dyDescent="0.3">
      <c r="A1034" s="82" t="s">
        <v>1814</v>
      </c>
      <c r="B1034" s="10" t="s">
        <v>853</v>
      </c>
      <c r="C1034" s="60" t="s">
        <v>854</v>
      </c>
      <c r="D1034" s="44" t="s">
        <v>80</v>
      </c>
      <c r="E1034" s="84">
        <v>11</v>
      </c>
      <c r="F1034" s="84"/>
      <c r="G1034" s="94">
        <f>cell_CoefGeneral</f>
        <v>1</v>
      </c>
      <c r="H1034" s="93">
        <f>H276</f>
        <v>3.2</v>
      </c>
      <c r="I1034" s="84">
        <f>IFERROR(ROUND(E1034*H1034,2),"-")</f>
        <v>35.200000000000003</v>
      </c>
      <c r="J1034" s="105">
        <f>IFERROR(I1034/cell_Total_HT,"-")</f>
        <v>1.0391844881639993E-5</v>
      </c>
      <c r="K1034">
        <f>I1034</f>
        <v>35.200000000000003</v>
      </c>
      <c r="L1034"/>
      <c r="M1034"/>
      <c r="N1034"/>
      <c r="O1034"/>
      <c r="P1034"/>
      <c r="Q1034"/>
      <c r="R1034"/>
      <c r="S1034"/>
      <c r="T1034"/>
    </row>
    <row r="1035" spans="1:20" outlineLevel="4" x14ac:dyDescent="0.3">
      <c r="A1035" s="82" t="s">
        <v>1815</v>
      </c>
      <c r="B1035" s="10" t="s">
        <v>856</v>
      </c>
      <c r="C1035" s="60" t="s">
        <v>857</v>
      </c>
      <c r="D1035" s="44" t="s">
        <v>80</v>
      </c>
      <c r="E1035" s="84">
        <v>51</v>
      </c>
      <c r="F1035" s="84"/>
      <c r="G1035" s="94">
        <f>cell_CoefGeneral</f>
        <v>1</v>
      </c>
      <c r="H1035" s="93">
        <f>H277</f>
        <v>3.6</v>
      </c>
      <c r="I1035" s="84">
        <f>IFERROR(ROUND(E1035*H1035,2),"-")</f>
        <v>183.6</v>
      </c>
      <c r="J1035" s="105">
        <f>IFERROR(I1035/cell_Total_HT,"-")</f>
        <v>5.4202918189463142E-5</v>
      </c>
      <c r="K1035">
        <f>I1035</f>
        <v>183.6</v>
      </c>
      <c r="L1035"/>
      <c r="M1035"/>
      <c r="N1035"/>
      <c r="O1035"/>
      <c r="P1035"/>
      <c r="Q1035"/>
      <c r="R1035"/>
      <c r="S1035"/>
      <c r="T1035"/>
    </row>
    <row r="1036" spans="1:20" outlineLevel="3" x14ac:dyDescent="0.3">
      <c r="A1036" s="82" t="s">
        <v>1816</v>
      </c>
      <c r="B1036" s="10" t="s">
        <v>859</v>
      </c>
      <c r="C1036" s="60" t="s">
        <v>860</v>
      </c>
      <c r="D1036" s="44" t="s">
        <v>80</v>
      </c>
      <c r="E1036" s="84">
        <v>376</v>
      </c>
      <c r="F1036" s="84"/>
      <c r="G1036" s="94">
        <f>cell_CoefGeneral</f>
        <v>1</v>
      </c>
      <c r="H1036" s="93">
        <f>H278</f>
        <v>4.4000000000000004</v>
      </c>
      <c r="I1036" s="84">
        <f>IFERROR(ROUND(E1036*H1036,2),"-")</f>
        <v>1654.4</v>
      </c>
      <c r="J1036" s="105">
        <f>IFERROR(I1036/cell_Total_HT,"-")</f>
        <v>4.884167094370797E-4</v>
      </c>
      <c r="K1036">
        <f>I1036</f>
        <v>1654.4</v>
      </c>
      <c r="L1036"/>
      <c r="M1036"/>
      <c r="N1036"/>
      <c r="O1036"/>
      <c r="P1036"/>
      <c r="Q1036"/>
      <c r="R1036"/>
      <c r="S1036"/>
      <c r="T1036"/>
    </row>
    <row r="1037" spans="1:20" outlineLevel="3" x14ac:dyDescent="0.3">
      <c r="A1037" s="82" t="s">
        <v>1817</v>
      </c>
      <c r="B1037" s="58" t="s">
        <v>862</v>
      </c>
      <c r="C1037" s="61" t="s">
        <v>863</v>
      </c>
      <c r="D1037" s="115"/>
      <c r="E1037" s="87"/>
      <c r="F1037" s="87"/>
      <c r="G1037" s="97"/>
      <c r="H1037" s="87"/>
      <c r="I1037" s="104">
        <f>SUBTOTAL(9,K1038:K1040)</f>
        <v>1980</v>
      </c>
      <c r="J1037" s="108"/>
      <c r="K1037"/>
      <c r="L1037"/>
      <c r="M1037"/>
      <c r="N1037"/>
      <c r="O1037"/>
      <c r="P1037"/>
      <c r="Q1037"/>
      <c r="R1037"/>
      <c r="S1037"/>
      <c r="T1037"/>
    </row>
    <row r="1038" spans="1:20" outlineLevel="4" x14ac:dyDescent="0.3">
      <c r="A1038" s="82" t="s">
        <v>1818</v>
      </c>
      <c r="B1038" s="10" t="s">
        <v>865</v>
      </c>
      <c r="C1038" s="60" t="s">
        <v>866</v>
      </c>
      <c r="D1038" s="44" t="s">
        <v>121</v>
      </c>
      <c r="E1038" s="84">
        <v>3</v>
      </c>
      <c r="F1038" s="84"/>
      <c r="G1038" s="94">
        <f>cell_CoefGeneral</f>
        <v>1</v>
      </c>
      <c r="H1038" s="93">
        <f>H280</f>
        <v>320</v>
      </c>
      <c r="I1038" s="84">
        <f>IFERROR(ROUND(E1038*H1038,2),"-")</f>
        <v>960</v>
      </c>
      <c r="J1038" s="105">
        <f>IFERROR(I1038/cell_Total_HT,"-")</f>
        <v>2.8341395131745433E-4</v>
      </c>
      <c r="K1038">
        <f>I1038</f>
        <v>960</v>
      </c>
      <c r="L1038"/>
      <c r="M1038"/>
      <c r="N1038"/>
      <c r="O1038"/>
      <c r="P1038"/>
      <c r="Q1038"/>
      <c r="R1038"/>
      <c r="S1038"/>
      <c r="T1038"/>
    </row>
    <row r="1039" spans="1:20" outlineLevel="4" x14ac:dyDescent="0.3">
      <c r="A1039" s="82" t="s">
        <v>1819</v>
      </c>
      <c r="B1039" s="10" t="s">
        <v>868</v>
      </c>
      <c r="C1039" s="60" t="s">
        <v>869</v>
      </c>
      <c r="D1039" s="44" t="s">
        <v>121</v>
      </c>
      <c r="E1039" s="84">
        <v>2</v>
      </c>
      <c r="F1039" s="84"/>
      <c r="G1039" s="94">
        <f>cell_CoefGeneral</f>
        <v>1</v>
      </c>
      <c r="H1039" s="93">
        <f>H281</f>
        <v>510</v>
      </c>
      <c r="I1039" s="84">
        <f>IFERROR(ROUND(E1039*H1039,2),"-")</f>
        <v>1020</v>
      </c>
      <c r="J1039" s="105">
        <f>IFERROR(I1039/cell_Total_HT,"-")</f>
        <v>3.0112732327479522E-4</v>
      </c>
      <c r="K1039">
        <f>I1039</f>
        <v>1020</v>
      </c>
      <c r="L1039"/>
      <c r="M1039"/>
      <c r="N1039"/>
      <c r="O1039"/>
      <c r="P1039"/>
      <c r="Q1039"/>
      <c r="R1039"/>
      <c r="S1039"/>
      <c r="T1039"/>
    </row>
    <row r="1040" spans="1:20" outlineLevel="4" x14ac:dyDescent="0.3">
      <c r="A1040" s="82" t="s">
        <v>1820</v>
      </c>
      <c r="B1040" s="10" t="s">
        <v>871</v>
      </c>
      <c r="C1040" s="60" t="s">
        <v>819</v>
      </c>
      <c r="D1040" s="44" t="s">
        <v>121</v>
      </c>
      <c r="E1040" s="84">
        <v>0</v>
      </c>
      <c r="F1040" s="84"/>
      <c r="G1040" s="94">
        <f>cell_CoefGeneral</f>
        <v>1</v>
      </c>
      <c r="H1040" s="93">
        <f>H282</f>
        <v>400</v>
      </c>
      <c r="I1040" s="84">
        <f>IFERROR(ROUND(E1040*H1040,2),"-")</f>
        <v>0</v>
      </c>
      <c r="J1040" s="105">
        <f>IFERROR(I1040/cell_Total_HT,"-")</f>
        <v>0</v>
      </c>
      <c r="K1040">
        <f>I1040</f>
        <v>0</v>
      </c>
      <c r="L1040"/>
      <c r="M1040"/>
      <c r="N1040"/>
      <c r="O1040"/>
      <c r="P1040"/>
      <c r="Q1040"/>
      <c r="R1040"/>
      <c r="S1040"/>
      <c r="T1040"/>
    </row>
    <row r="1041" spans="1:20" outlineLevel="3" x14ac:dyDescent="0.3">
      <c r="A1041" s="82" t="s">
        <v>1821</v>
      </c>
      <c r="B1041" s="10" t="s">
        <v>873</v>
      </c>
      <c r="C1041" s="60" t="s">
        <v>874</v>
      </c>
      <c r="D1041" s="44" t="s">
        <v>121</v>
      </c>
      <c r="E1041" s="84">
        <v>0</v>
      </c>
      <c r="F1041" s="84"/>
      <c r="G1041" s="94">
        <f>cell_CoefGeneral</f>
        <v>1</v>
      </c>
      <c r="H1041" s="93">
        <f>H283</f>
        <v>370</v>
      </c>
      <c r="I1041" s="84">
        <f>IFERROR(ROUND(E1041*H1041,2),"-")</f>
        <v>0</v>
      </c>
      <c r="J1041" s="105">
        <f>IFERROR(I1041/cell_Total_HT,"-")</f>
        <v>0</v>
      </c>
      <c r="K1041">
        <f>I1041</f>
        <v>0</v>
      </c>
      <c r="L1041"/>
      <c r="M1041"/>
      <c r="N1041"/>
      <c r="O1041"/>
      <c r="P1041"/>
      <c r="Q1041"/>
      <c r="R1041"/>
      <c r="S1041"/>
      <c r="T1041"/>
    </row>
    <row r="1042" spans="1:20" outlineLevel="3" x14ac:dyDescent="0.3">
      <c r="A1042" s="82" t="s">
        <v>1822</v>
      </c>
      <c r="B1042" s="10" t="s">
        <v>876</v>
      </c>
      <c r="C1042" s="60" t="s">
        <v>877</v>
      </c>
      <c r="D1042" s="44" t="s">
        <v>121</v>
      </c>
      <c r="E1042" s="84">
        <v>0</v>
      </c>
      <c r="F1042" s="84"/>
      <c r="G1042" s="94">
        <f>cell_CoefGeneral</f>
        <v>1</v>
      </c>
      <c r="H1042" s="93">
        <f>H284</f>
        <v>880</v>
      </c>
      <c r="I1042" s="84">
        <f>IFERROR(ROUND(E1042*H1042,2),"-")</f>
        <v>0</v>
      </c>
      <c r="J1042" s="105">
        <f>IFERROR(I1042/cell_Total_HT,"-")</f>
        <v>0</v>
      </c>
      <c r="K1042">
        <f>I1042</f>
        <v>0</v>
      </c>
      <c r="L1042"/>
      <c r="M1042"/>
      <c r="N1042"/>
      <c r="O1042"/>
      <c r="P1042"/>
      <c r="Q1042"/>
      <c r="R1042"/>
      <c r="S1042"/>
      <c r="T1042"/>
    </row>
    <row r="1043" spans="1:20" outlineLevel="3" x14ac:dyDescent="0.3">
      <c r="A1043" s="82" t="s">
        <v>1823</v>
      </c>
      <c r="B1043" s="58" t="s">
        <v>879</v>
      </c>
      <c r="C1043" s="61" t="s">
        <v>880</v>
      </c>
      <c r="D1043" s="115"/>
      <c r="E1043" s="87"/>
      <c r="F1043" s="87"/>
      <c r="G1043" s="97"/>
      <c r="H1043" s="87"/>
      <c r="I1043" s="104">
        <f>SUBTOTAL(9,K1044:K1047)</f>
        <v>3520</v>
      </c>
      <c r="J1043" s="108"/>
      <c r="K1043"/>
      <c r="L1043"/>
      <c r="M1043"/>
      <c r="N1043"/>
      <c r="O1043"/>
      <c r="P1043"/>
      <c r="Q1043"/>
      <c r="R1043"/>
      <c r="S1043"/>
      <c r="T1043"/>
    </row>
    <row r="1044" spans="1:20" outlineLevel="4" x14ac:dyDescent="0.3">
      <c r="A1044" s="82" t="s">
        <v>1824</v>
      </c>
      <c r="B1044" s="10" t="s">
        <v>882</v>
      </c>
      <c r="C1044" s="60" t="s">
        <v>883</v>
      </c>
      <c r="D1044" s="44" t="s">
        <v>121</v>
      </c>
      <c r="E1044" s="84">
        <v>1</v>
      </c>
      <c r="F1044" s="84"/>
      <c r="G1044" s="94">
        <f t="shared" ref="G1044:G1049" si="152">cell_CoefGeneral</f>
        <v>1</v>
      </c>
      <c r="H1044" s="93">
        <f t="shared" ref="H1044:H1049" si="153">H286</f>
        <v>170</v>
      </c>
      <c r="I1044" s="84">
        <f t="shared" ref="I1044:I1049" si="154">IFERROR(ROUND(E1044*H1044,2),"-")</f>
        <v>170</v>
      </c>
      <c r="J1044" s="105">
        <f t="shared" ref="J1044:J1049" si="155">IFERROR(I1044/cell_Total_HT,"-")</f>
        <v>5.0187887212465874E-5</v>
      </c>
      <c r="K1044">
        <f t="shared" ref="K1044:K1049" si="156">I1044</f>
        <v>170</v>
      </c>
      <c r="L1044"/>
      <c r="M1044"/>
      <c r="N1044"/>
      <c r="O1044"/>
      <c r="P1044"/>
      <c r="Q1044"/>
      <c r="R1044"/>
      <c r="S1044"/>
      <c r="T1044"/>
    </row>
    <row r="1045" spans="1:20" outlineLevel="4" x14ac:dyDescent="0.3">
      <c r="A1045" s="82" t="s">
        <v>1825</v>
      </c>
      <c r="B1045" s="10" t="s">
        <v>885</v>
      </c>
      <c r="C1045" s="60" t="s">
        <v>886</v>
      </c>
      <c r="D1045" s="44" t="s">
        <v>121</v>
      </c>
      <c r="E1045" s="84">
        <v>11</v>
      </c>
      <c r="F1045" s="84"/>
      <c r="G1045" s="94">
        <f t="shared" si="152"/>
        <v>1</v>
      </c>
      <c r="H1045" s="93">
        <f t="shared" si="153"/>
        <v>240</v>
      </c>
      <c r="I1045" s="84">
        <f t="shared" si="154"/>
        <v>2640</v>
      </c>
      <c r="J1045" s="105">
        <f t="shared" si="155"/>
        <v>7.7938836612299943E-4</v>
      </c>
      <c r="K1045">
        <f t="shared" si="156"/>
        <v>2640</v>
      </c>
      <c r="L1045"/>
      <c r="M1045"/>
      <c r="N1045"/>
      <c r="O1045"/>
      <c r="P1045"/>
      <c r="Q1045"/>
      <c r="R1045"/>
      <c r="S1045"/>
      <c r="T1045"/>
    </row>
    <row r="1046" spans="1:20" outlineLevel="4" x14ac:dyDescent="0.3">
      <c r="A1046" s="82" t="s">
        <v>1826</v>
      </c>
      <c r="B1046" s="10" t="s">
        <v>888</v>
      </c>
      <c r="C1046" s="60" t="s">
        <v>889</v>
      </c>
      <c r="D1046" s="44" t="s">
        <v>121</v>
      </c>
      <c r="E1046" s="84">
        <v>0</v>
      </c>
      <c r="F1046" s="84"/>
      <c r="G1046" s="94">
        <f t="shared" si="152"/>
        <v>1</v>
      </c>
      <c r="H1046" s="93">
        <f t="shared" si="153"/>
        <v>340</v>
      </c>
      <c r="I1046" s="84">
        <f t="shared" si="154"/>
        <v>0</v>
      </c>
      <c r="J1046" s="105">
        <f t="shared" si="155"/>
        <v>0</v>
      </c>
      <c r="K1046">
        <f t="shared" si="156"/>
        <v>0</v>
      </c>
      <c r="L1046"/>
      <c r="M1046"/>
      <c r="N1046"/>
      <c r="O1046"/>
      <c r="P1046"/>
      <c r="Q1046"/>
      <c r="R1046"/>
      <c r="S1046"/>
      <c r="T1046"/>
    </row>
    <row r="1047" spans="1:20" ht="28.8" outlineLevel="4" x14ac:dyDescent="0.3">
      <c r="A1047" s="82" t="s">
        <v>1827</v>
      </c>
      <c r="B1047" s="10" t="s">
        <v>891</v>
      </c>
      <c r="C1047" s="60" t="s">
        <v>892</v>
      </c>
      <c r="D1047" s="44" t="s">
        <v>121</v>
      </c>
      <c r="E1047" s="84">
        <v>1</v>
      </c>
      <c r="F1047" s="84"/>
      <c r="G1047" s="94">
        <f t="shared" si="152"/>
        <v>1</v>
      </c>
      <c r="H1047" s="93">
        <f t="shared" si="153"/>
        <v>710</v>
      </c>
      <c r="I1047" s="84">
        <f t="shared" si="154"/>
        <v>710</v>
      </c>
      <c r="J1047" s="105">
        <f t="shared" si="155"/>
        <v>2.0960823482853394E-4</v>
      </c>
      <c r="K1047">
        <f t="shared" si="156"/>
        <v>710</v>
      </c>
      <c r="L1047"/>
      <c r="M1047"/>
      <c r="N1047"/>
      <c r="O1047"/>
      <c r="P1047"/>
      <c r="Q1047"/>
      <c r="R1047"/>
      <c r="S1047"/>
      <c r="T1047"/>
    </row>
    <row r="1048" spans="1:20" outlineLevel="3" x14ac:dyDescent="0.3">
      <c r="A1048" s="82" t="s">
        <v>1828</v>
      </c>
      <c r="B1048" s="10" t="s">
        <v>894</v>
      </c>
      <c r="C1048" s="60" t="s">
        <v>781</v>
      </c>
      <c r="D1048" s="44" t="s">
        <v>80</v>
      </c>
      <c r="E1048" s="84">
        <v>0</v>
      </c>
      <c r="F1048" s="84"/>
      <c r="G1048" s="94">
        <f t="shared" si="152"/>
        <v>1</v>
      </c>
      <c r="H1048" s="93">
        <f t="shared" si="153"/>
        <v>31</v>
      </c>
      <c r="I1048" s="84">
        <f t="shared" si="154"/>
        <v>0</v>
      </c>
      <c r="J1048" s="105">
        <f t="shared" si="155"/>
        <v>0</v>
      </c>
      <c r="K1048">
        <f t="shared" si="156"/>
        <v>0</v>
      </c>
      <c r="L1048"/>
      <c r="M1048"/>
      <c r="N1048"/>
      <c r="O1048"/>
      <c r="P1048"/>
      <c r="Q1048"/>
      <c r="R1048"/>
      <c r="S1048"/>
      <c r="T1048"/>
    </row>
    <row r="1049" spans="1:20" ht="15" outlineLevel="3" thickBot="1" x14ac:dyDescent="0.35">
      <c r="A1049" s="82" t="s">
        <v>1829</v>
      </c>
      <c r="B1049" s="10" t="s">
        <v>896</v>
      </c>
      <c r="C1049" s="60" t="s">
        <v>897</v>
      </c>
      <c r="D1049" s="44" t="s">
        <v>93</v>
      </c>
      <c r="E1049" s="84">
        <v>1</v>
      </c>
      <c r="F1049" s="84"/>
      <c r="G1049" s="94">
        <f t="shared" si="152"/>
        <v>1</v>
      </c>
      <c r="H1049" s="93">
        <f t="shared" si="153"/>
        <v>170</v>
      </c>
      <c r="I1049" s="84">
        <f t="shared" si="154"/>
        <v>170</v>
      </c>
      <c r="J1049" s="105">
        <f t="shared" si="155"/>
        <v>5.0187887212465874E-5</v>
      </c>
      <c r="K1049">
        <f t="shared" si="156"/>
        <v>170</v>
      </c>
      <c r="L1049"/>
      <c r="M1049"/>
      <c r="N1049"/>
      <c r="O1049"/>
      <c r="P1049"/>
      <c r="Q1049"/>
      <c r="R1049"/>
      <c r="S1049"/>
      <c r="T1049"/>
    </row>
    <row r="1050" spans="1:20" ht="15" outlineLevel="2" thickTop="1" x14ac:dyDescent="0.3">
      <c r="A1050" s="82" t="s">
        <v>1830</v>
      </c>
      <c r="B1050" s="62" t="s">
        <v>60</v>
      </c>
      <c r="C1050" s="63" t="s">
        <v>899</v>
      </c>
      <c r="D1050" s="116"/>
      <c r="E1050" s="88"/>
      <c r="F1050" s="88"/>
      <c r="G1050" s="98"/>
      <c r="H1050" s="88"/>
      <c r="I1050" s="88">
        <f>SUBTOTAL(9,I1028:I1049)</f>
        <v>16099</v>
      </c>
      <c r="J1050" s="109"/>
      <c r="K1050"/>
      <c r="L1050"/>
      <c r="M1050"/>
      <c r="N1050"/>
      <c r="O1050"/>
      <c r="P1050"/>
      <c r="Q1050"/>
      <c r="R1050"/>
      <c r="S1050"/>
      <c r="T1050"/>
    </row>
    <row r="1051" spans="1:20" outlineLevel="2" x14ac:dyDescent="0.3">
      <c r="A1051" s="82" t="s">
        <v>1831</v>
      </c>
      <c r="B1051" s="64" t="s">
        <v>901</v>
      </c>
      <c r="C1051" s="65" t="s">
        <v>902</v>
      </c>
      <c r="D1051" s="117"/>
      <c r="E1051" s="87"/>
      <c r="F1051" s="87"/>
      <c r="G1051" s="97"/>
      <c r="H1051" s="87"/>
      <c r="I1051" s="104">
        <f>SUBTOTAL(9,K1052:K1057)</f>
        <v>6567</v>
      </c>
      <c r="J1051" s="108"/>
      <c r="K1051"/>
      <c r="L1051"/>
      <c r="M1051"/>
      <c r="N1051"/>
      <c r="O1051"/>
      <c r="P1051"/>
      <c r="Q1051"/>
      <c r="R1051"/>
      <c r="S1051"/>
      <c r="T1051"/>
    </row>
    <row r="1052" spans="1:20" outlineLevel="3" x14ac:dyDescent="0.3">
      <c r="A1052" s="82" t="s">
        <v>1832</v>
      </c>
      <c r="B1052" s="64" t="s">
        <v>904</v>
      </c>
      <c r="C1052" s="66" t="s">
        <v>905</v>
      </c>
      <c r="D1052" s="117"/>
      <c r="E1052" s="87"/>
      <c r="F1052" s="87"/>
      <c r="G1052" s="97"/>
      <c r="H1052" s="87"/>
      <c r="I1052" s="104">
        <f>SUBTOTAL(9,K1053:K1054)</f>
        <v>2670</v>
      </c>
      <c r="J1052" s="108"/>
      <c r="K1052"/>
      <c r="L1052"/>
      <c r="M1052"/>
      <c r="N1052"/>
      <c r="O1052"/>
      <c r="P1052"/>
      <c r="Q1052"/>
      <c r="R1052"/>
      <c r="S1052"/>
      <c r="T1052"/>
    </row>
    <row r="1053" spans="1:20" outlineLevel="4" x14ac:dyDescent="0.3">
      <c r="A1053" s="82" t="s">
        <v>1833</v>
      </c>
      <c r="B1053" s="10" t="s">
        <v>907</v>
      </c>
      <c r="C1053" s="60" t="s">
        <v>908</v>
      </c>
      <c r="D1053" s="44" t="s">
        <v>80</v>
      </c>
      <c r="E1053" s="84">
        <v>23</v>
      </c>
      <c r="F1053" s="84"/>
      <c r="G1053" s="94">
        <f>cell_CoefGeneral</f>
        <v>1</v>
      </c>
      <c r="H1053" s="93">
        <f>H295</f>
        <v>50</v>
      </c>
      <c r="I1053" s="84">
        <f>IFERROR(ROUND(E1053*H1053,2),"-")</f>
        <v>1150</v>
      </c>
      <c r="J1053" s="105">
        <f>IFERROR(I1053/cell_Total_HT,"-")</f>
        <v>3.3950629584903385E-4</v>
      </c>
      <c r="K1053">
        <f>I1053</f>
        <v>1150</v>
      </c>
      <c r="L1053"/>
      <c r="M1053"/>
      <c r="N1053"/>
      <c r="O1053"/>
      <c r="P1053"/>
      <c r="Q1053"/>
      <c r="R1053"/>
      <c r="S1053"/>
      <c r="T1053"/>
    </row>
    <row r="1054" spans="1:20" outlineLevel="4" x14ac:dyDescent="0.3">
      <c r="A1054" s="82" t="s">
        <v>1834</v>
      </c>
      <c r="B1054" s="10" t="s">
        <v>910</v>
      </c>
      <c r="C1054" s="60" t="s">
        <v>911</v>
      </c>
      <c r="D1054" s="44" t="s">
        <v>80</v>
      </c>
      <c r="E1054" s="84">
        <v>40</v>
      </c>
      <c r="F1054" s="84"/>
      <c r="G1054" s="94">
        <f>cell_CoefGeneral</f>
        <v>1</v>
      </c>
      <c r="H1054" s="93">
        <f>H296</f>
        <v>38</v>
      </c>
      <c r="I1054" s="84">
        <f>IFERROR(ROUND(E1054*H1054,2),"-")</f>
        <v>1520</v>
      </c>
      <c r="J1054" s="105">
        <f>IFERROR(I1054/cell_Total_HT,"-")</f>
        <v>4.4873875625263605E-4</v>
      </c>
      <c r="K1054">
        <f>I1054</f>
        <v>1520</v>
      </c>
      <c r="L1054"/>
      <c r="M1054"/>
      <c r="N1054"/>
      <c r="O1054"/>
      <c r="P1054"/>
      <c r="Q1054"/>
      <c r="R1054"/>
      <c r="S1054"/>
      <c r="T1054"/>
    </row>
    <row r="1055" spans="1:20" outlineLevel="3" x14ac:dyDescent="0.3">
      <c r="A1055" s="82" t="s">
        <v>1835</v>
      </c>
      <c r="B1055" s="58" t="s">
        <v>913</v>
      </c>
      <c r="C1055" s="61" t="s">
        <v>914</v>
      </c>
      <c r="D1055" s="115"/>
      <c r="E1055" s="87"/>
      <c r="F1055" s="87"/>
      <c r="G1055" s="97"/>
      <c r="H1055" s="87"/>
      <c r="I1055" s="104">
        <f>SUBTOTAL(9,K1056:K1056)</f>
        <v>1692</v>
      </c>
      <c r="J1055" s="108"/>
      <c r="K1055"/>
      <c r="L1055"/>
      <c r="M1055"/>
      <c r="N1055"/>
      <c r="O1055"/>
      <c r="P1055"/>
      <c r="Q1055"/>
      <c r="R1055"/>
      <c r="S1055"/>
      <c r="T1055"/>
    </row>
    <row r="1056" spans="1:20" outlineLevel="4" x14ac:dyDescent="0.3">
      <c r="A1056" s="82" t="s">
        <v>1836</v>
      </c>
      <c r="B1056" s="10" t="s">
        <v>916</v>
      </c>
      <c r="C1056" s="60" t="s">
        <v>917</v>
      </c>
      <c r="D1056" s="44" t="s">
        <v>80</v>
      </c>
      <c r="E1056" s="84">
        <v>376</v>
      </c>
      <c r="F1056" s="84"/>
      <c r="G1056" s="94">
        <f>cell_CoefGeneral</f>
        <v>1</v>
      </c>
      <c r="H1056" s="93">
        <f>H298</f>
        <v>4.5</v>
      </c>
      <c r="I1056" s="84">
        <f>IFERROR(ROUND(E1056*H1056,2),"-")</f>
        <v>1692</v>
      </c>
      <c r="J1056" s="105">
        <f>IFERROR(I1056/cell_Total_HT,"-")</f>
        <v>4.9951708919701327E-4</v>
      </c>
      <c r="K1056">
        <f>I1056</f>
        <v>1692</v>
      </c>
      <c r="L1056"/>
      <c r="M1056"/>
      <c r="N1056"/>
      <c r="O1056"/>
      <c r="P1056"/>
      <c r="Q1056"/>
      <c r="R1056"/>
      <c r="S1056"/>
      <c r="T1056"/>
    </row>
    <row r="1057" spans="1:20" ht="15" outlineLevel="3" thickBot="1" x14ac:dyDescent="0.35">
      <c r="A1057" s="82" t="s">
        <v>1837</v>
      </c>
      <c r="B1057" s="10" t="s">
        <v>919</v>
      </c>
      <c r="C1057" s="60" t="s">
        <v>920</v>
      </c>
      <c r="D1057" s="44" t="s">
        <v>80</v>
      </c>
      <c r="E1057" s="84">
        <v>63</v>
      </c>
      <c r="F1057" s="84"/>
      <c r="G1057" s="94">
        <f>cell_CoefGeneral</f>
        <v>1</v>
      </c>
      <c r="H1057" s="93">
        <f>H299</f>
        <v>35</v>
      </c>
      <c r="I1057" s="84">
        <f>IFERROR(ROUND(E1057*H1057,2),"-")</f>
        <v>2205</v>
      </c>
      <c r="J1057" s="105">
        <f>IFERROR(I1057/cell_Total_HT,"-")</f>
        <v>6.5096641943227797E-4</v>
      </c>
      <c r="K1057">
        <f>I1057</f>
        <v>2205</v>
      </c>
      <c r="L1057"/>
      <c r="M1057"/>
      <c r="N1057"/>
      <c r="O1057"/>
      <c r="P1057"/>
      <c r="Q1057"/>
      <c r="R1057"/>
      <c r="S1057"/>
      <c r="T1057"/>
    </row>
    <row r="1058" spans="1:20" ht="15" outlineLevel="2" thickTop="1" x14ac:dyDescent="0.3">
      <c r="A1058" s="82" t="s">
        <v>1838</v>
      </c>
      <c r="B1058" s="62" t="s">
        <v>60</v>
      </c>
      <c r="C1058" s="63" t="s">
        <v>922</v>
      </c>
      <c r="D1058" s="116"/>
      <c r="E1058" s="88"/>
      <c r="F1058" s="88"/>
      <c r="G1058" s="98"/>
      <c r="H1058" s="88"/>
      <c r="I1058" s="88">
        <f>SUBTOTAL(9,I1053:I1057)</f>
        <v>6567</v>
      </c>
      <c r="J1058" s="109"/>
      <c r="K1058"/>
      <c r="L1058"/>
      <c r="M1058"/>
      <c r="N1058"/>
      <c r="O1058"/>
      <c r="P1058"/>
      <c r="Q1058"/>
      <c r="R1058"/>
      <c r="S1058"/>
      <c r="T1058"/>
    </row>
    <row r="1059" spans="1:20" outlineLevel="2" x14ac:dyDescent="0.3">
      <c r="A1059" s="82" t="s">
        <v>1839</v>
      </c>
      <c r="B1059" s="64" t="s">
        <v>924</v>
      </c>
      <c r="C1059" s="65" t="s">
        <v>925</v>
      </c>
      <c r="D1059" s="117"/>
      <c r="E1059" s="87"/>
      <c r="F1059" s="87"/>
      <c r="G1059" s="97"/>
      <c r="H1059" s="87"/>
      <c r="I1059" s="104">
        <f>SUBTOTAL(9,K1060:K1066)</f>
        <v>0</v>
      </c>
      <c r="J1059" s="108"/>
      <c r="K1059"/>
      <c r="L1059"/>
      <c r="M1059"/>
      <c r="N1059"/>
      <c r="O1059"/>
      <c r="P1059"/>
      <c r="Q1059"/>
      <c r="R1059"/>
      <c r="S1059"/>
      <c r="T1059"/>
    </row>
    <row r="1060" spans="1:20" outlineLevel="3" x14ac:dyDescent="0.3">
      <c r="A1060" s="82" t="s">
        <v>1840</v>
      </c>
      <c r="B1060" s="64" t="s">
        <v>927</v>
      </c>
      <c r="C1060" s="66" t="s">
        <v>928</v>
      </c>
      <c r="D1060" s="117"/>
      <c r="E1060" s="87"/>
      <c r="F1060" s="87"/>
      <c r="G1060" s="97"/>
      <c r="H1060" s="87"/>
      <c r="I1060" s="104">
        <f>SUBTOTAL(9,K1061:K1061)</f>
        <v>0</v>
      </c>
      <c r="J1060" s="108"/>
      <c r="K1060"/>
      <c r="L1060"/>
      <c r="M1060"/>
      <c r="N1060"/>
      <c r="O1060"/>
      <c r="P1060"/>
      <c r="Q1060"/>
      <c r="R1060"/>
      <c r="S1060"/>
      <c r="T1060"/>
    </row>
    <row r="1061" spans="1:20" outlineLevel="4" x14ac:dyDescent="0.3">
      <c r="A1061" s="82" t="s">
        <v>1841</v>
      </c>
      <c r="B1061" s="10" t="s">
        <v>930</v>
      </c>
      <c r="C1061" s="60" t="s">
        <v>798</v>
      </c>
      <c r="D1061" s="44" t="s">
        <v>80</v>
      </c>
      <c r="E1061" s="84">
        <v>0</v>
      </c>
      <c r="F1061" s="84"/>
      <c r="G1061" s="94">
        <f>cell_CoefGeneral</f>
        <v>1</v>
      </c>
      <c r="H1061" s="93">
        <f>H303</f>
        <v>39</v>
      </c>
      <c r="I1061" s="84">
        <f>IFERROR(ROUND(E1061*H1061,2),"-")</f>
        <v>0</v>
      </c>
      <c r="J1061" s="105">
        <f>IFERROR(I1061/cell_Total_HT,"-")</f>
        <v>0</v>
      </c>
      <c r="K1061">
        <f>I1061</f>
        <v>0</v>
      </c>
      <c r="L1061"/>
      <c r="M1061"/>
      <c r="N1061"/>
      <c r="O1061"/>
      <c r="P1061"/>
      <c r="Q1061"/>
      <c r="R1061"/>
      <c r="S1061"/>
      <c r="T1061"/>
    </row>
    <row r="1062" spans="1:20" outlineLevel="3" x14ac:dyDescent="0.3">
      <c r="A1062" s="82" t="s">
        <v>1842</v>
      </c>
      <c r="B1062" s="58" t="s">
        <v>932</v>
      </c>
      <c r="C1062" s="61" t="s">
        <v>914</v>
      </c>
      <c r="D1062" s="115"/>
      <c r="E1062" s="87"/>
      <c r="F1062" s="87"/>
      <c r="G1062" s="97"/>
      <c r="H1062" s="87"/>
      <c r="I1062" s="104">
        <f>SUBTOTAL(9,K1063:K1064)</f>
        <v>0</v>
      </c>
      <c r="J1062" s="108"/>
      <c r="K1062"/>
      <c r="L1062"/>
      <c r="M1062"/>
      <c r="N1062"/>
      <c r="O1062"/>
      <c r="P1062"/>
      <c r="Q1062"/>
      <c r="R1062"/>
      <c r="S1062"/>
      <c r="T1062"/>
    </row>
    <row r="1063" spans="1:20" outlineLevel="4" x14ac:dyDescent="0.3">
      <c r="A1063" s="82" t="s">
        <v>1843</v>
      </c>
      <c r="B1063" s="10" t="s">
        <v>934</v>
      </c>
      <c r="C1063" s="60" t="s">
        <v>935</v>
      </c>
      <c r="D1063" s="44" t="s">
        <v>80</v>
      </c>
      <c r="E1063" s="84">
        <v>0</v>
      </c>
      <c r="F1063" s="84"/>
      <c r="G1063" s="94">
        <f>cell_CoefGeneral</f>
        <v>1</v>
      </c>
      <c r="H1063" s="93">
        <f>H305</f>
        <v>2.8</v>
      </c>
      <c r="I1063" s="84">
        <f>IFERROR(ROUND(E1063*H1063,2),"-")</f>
        <v>0</v>
      </c>
      <c r="J1063" s="105">
        <f>IFERROR(I1063/cell_Total_HT,"-")</f>
        <v>0</v>
      </c>
      <c r="K1063">
        <f>I1063</f>
        <v>0</v>
      </c>
      <c r="L1063"/>
      <c r="M1063"/>
      <c r="N1063"/>
      <c r="O1063"/>
      <c r="P1063"/>
      <c r="Q1063"/>
      <c r="R1063"/>
      <c r="S1063"/>
      <c r="T1063"/>
    </row>
    <row r="1064" spans="1:20" outlineLevel="4" x14ac:dyDescent="0.3">
      <c r="A1064" s="82" t="s">
        <v>1844</v>
      </c>
      <c r="B1064" s="10" t="s">
        <v>937</v>
      </c>
      <c r="C1064" s="60" t="s">
        <v>938</v>
      </c>
      <c r="D1064" s="44" t="s">
        <v>80</v>
      </c>
      <c r="E1064" s="84">
        <v>0</v>
      </c>
      <c r="F1064" s="84"/>
      <c r="G1064" s="94">
        <f>cell_CoefGeneral</f>
        <v>1</v>
      </c>
      <c r="H1064" s="93">
        <f>H306</f>
        <v>4.5</v>
      </c>
      <c r="I1064" s="84">
        <f>IFERROR(ROUND(E1064*H1064,2),"-")</f>
        <v>0</v>
      </c>
      <c r="J1064" s="105">
        <f>IFERROR(I1064/cell_Total_HT,"-")</f>
        <v>0</v>
      </c>
      <c r="K1064">
        <f>I1064</f>
        <v>0</v>
      </c>
      <c r="L1064"/>
      <c r="M1064"/>
      <c r="N1064"/>
      <c r="O1064"/>
      <c r="P1064"/>
      <c r="Q1064"/>
      <c r="R1064"/>
      <c r="S1064"/>
      <c r="T1064"/>
    </row>
    <row r="1065" spans="1:20" outlineLevel="3" x14ac:dyDescent="0.3">
      <c r="A1065" s="82" t="s">
        <v>1845</v>
      </c>
      <c r="B1065" s="10" t="s">
        <v>940</v>
      </c>
      <c r="C1065" s="60" t="s">
        <v>860</v>
      </c>
      <c r="D1065" s="44" t="s">
        <v>80</v>
      </c>
      <c r="E1065" s="84">
        <v>0</v>
      </c>
      <c r="F1065" s="84"/>
      <c r="G1065" s="94">
        <f>cell_CoefGeneral</f>
        <v>1</v>
      </c>
      <c r="H1065" s="93">
        <f>H307</f>
        <v>4.4000000000000004</v>
      </c>
      <c r="I1065" s="84">
        <f>IFERROR(ROUND(E1065*H1065,2),"-")</f>
        <v>0</v>
      </c>
      <c r="J1065" s="105">
        <f>IFERROR(I1065/cell_Total_HT,"-")</f>
        <v>0</v>
      </c>
      <c r="K1065">
        <f>I1065</f>
        <v>0</v>
      </c>
      <c r="L1065"/>
      <c r="M1065"/>
      <c r="N1065"/>
      <c r="O1065"/>
      <c r="P1065"/>
      <c r="Q1065"/>
      <c r="R1065"/>
      <c r="S1065"/>
      <c r="T1065"/>
    </row>
    <row r="1066" spans="1:20" ht="15" outlineLevel="3" thickBot="1" x14ac:dyDescent="0.35">
      <c r="A1066" s="82" t="s">
        <v>1846</v>
      </c>
      <c r="B1066" s="10" t="s">
        <v>942</v>
      </c>
      <c r="C1066" s="60" t="s">
        <v>897</v>
      </c>
      <c r="D1066" s="44" t="s">
        <v>93</v>
      </c>
      <c r="E1066" s="84">
        <v>0</v>
      </c>
      <c r="F1066" s="84"/>
      <c r="G1066" s="94">
        <f>cell_CoefGeneral</f>
        <v>1</v>
      </c>
      <c r="H1066" s="93">
        <f>H308</f>
        <v>580</v>
      </c>
      <c r="I1066" s="84">
        <f>IFERROR(ROUND(E1066*H1066,2),"-")</f>
        <v>0</v>
      </c>
      <c r="J1066" s="105">
        <f>IFERROR(I1066/cell_Total_HT,"-")</f>
        <v>0</v>
      </c>
      <c r="K1066">
        <f>I1066</f>
        <v>0</v>
      </c>
      <c r="L1066"/>
      <c r="M1066"/>
      <c r="N1066"/>
      <c r="O1066"/>
      <c r="P1066"/>
      <c r="Q1066"/>
      <c r="R1066"/>
      <c r="S1066"/>
      <c r="T1066"/>
    </row>
    <row r="1067" spans="1:20" ht="15" outlineLevel="2" thickTop="1" x14ac:dyDescent="0.3">
      <c r="A1067" s="82" t="s">
        <v>1847</v>
      </c>
      <c r="B1067" s="62" t="s">
        <v>60</v>
      </c>
      <c r="C1067" s="63" t="s">
        <v>944</v>
      </c>
      <c r="D1067" s="116"/>
      <c r="E1067" s="88"/>
      <c r="F1067" s="88"/>
      <c r="G1067" s="98"/>
      <c r="H1067" s="88"/>
      <c r="I1067" s="88">
        <f>SUBTOTAL(9,I1061:I1066)</f>
        <v>0</v>
      </c>
      <c r="J1067" s="109"/>
      <c r="K1067"/>
      <c r="L1067"/>
      <c r="M1067"/>
      <c r="N1067"/>
      <c r="O1067"/>
      <c r="P1067"/>
      <c r="Q1067"/>
      <c r="R1067"/>
      <c r="S1067"/>
      <c r="T1067"/>
    </row>
    <row r="1068" spans="1:20" outlineLevel="2" x14ac:dyDescent="0.3">
      <c r="A1068" s="82" t="s">
        <v>1848</v>
      </c>
      <c r="B1068" s="64" t="s">
        <v>946</v>
      </c>
      <c r="C1068" s="65" t="s">
        <v>947</v>
      </c>
      <c r="D1068" s="117"/>
      <c r="E1068" s="87"/>
      <c r="F1068" s="87"/>
      <c r="G1068" s="97"/>
      <c r="H1068" s="87"/>
      <c r="I1068" s="104">
        <f>SUBTOTAL(9,K1069:K1098)</f>
        <v>7239.5</v>
      </c>
      <c r="J1068" s="108"/>
      <c r="K1068"/>
      <c r="L1068"/>
      <c r="M1068"/>
      <c r="N1068"/>
      <c r="O1068"/>
      <c r="P1068"/>
      <c r="Q1068"/>
      <c r="R1068"/>
      <c r="S1068"/>
      <c r="T1068"/>
    </row>
    <row r="1069" spans="1:20" outlineLevel="3" x14ac:dyDescent="0.3">
      <c r="A1069" s="82" t="s">
        <v>1849</v>
      </c>
      <c r="B1069" s="64" t="s">
        <v>949</v>
      </c>
      <c r="C1069" s="66" t="s">
        <v>950</v>
      </c>
      <c r="D1069" s="117"/>
      <c r="E1069" s="87"/>
      <c r="F1069" s="87"/>
      <c r="G1069" s="97"/>
      <c r="H1069" s="87"/>
      <c r="I1069" s="104">
        <f>SUBTOTAL(9,K1070:K1071)</f>
        <v>1929.4</v>
      </c>
      <c r="J1069" s="108"/>
      <c r="K1069"/>
      <c r="L1069"/>
      <c r="M1069"/>
      <c r="N1069"/>
      <c r="O1069"/>
      <c r="P1069"/>
      <c r="Q1069"/>
      <c r="R1069"/>
      <c r="S1069"/>
      <c r="T1069"/>
    </row>
    <row r="1070" spans="1:20" outlineLevel="4" x14ac:dyDescent="0.3">
      <c r="A1070" s="82" t="s">
        <v>1850</v>
      </c>
      <c r="B1070" s="10" t="s">
        <v>952</v>
      </c>
      <c r="C1070" s="60" t="s">
        <v>953</v>
      </c>
      <c r="D1070" s="44" t="s">
        <v>154</v>
      </c>
      <c r="E1070" s="84">
        <v>11</v>
      </c>
      <c r="F1070" s="84"/>
      <c r="G1070" s="94">
        <f>cell_CoefGeneral</f>
        <v>1</v>
      </c>
      <c r="H1070" s="93">
        <f>H312</f>
        <v>17</v>
      </c>
      <c r="I1070" s="84">
        <f>IFERROR(ROUND(E1070*H1070,2),"-")</f>
        <v>187</v>
      </c>
      <c r="J1070" s="105">
        <f>IFERROR(I1070/cell_Total_HT,"-")</f>
        <v>5.5206675933712457E-5</v>
      </c>
      <c r="K1070">
        <f>I1070</f>
        <v>187</v>
      </c>
      <c r="L1070"/>
      <c r="M1070"/>
      <c r="N1070"/>
      <c r="O1070"/>
      <c r="P1070"/>
      <c r="Q1070"/>
      <c r="R1070"/>
      <c r="S1070"/>
      <c r="T1070"/>
    </row>
    <row r="1071" spans="1:20" outlineLevel="4" x14ac:dyDescent="0.3">
      <c r="A1071" s="82" t="s">
        <v>1851</v>
      </c>
      <c r="B1071" s="10" t="s">
        <v>955</v>
      </c>
      <c r="C1071" s="60" t="s">
        <v>956</v>
      </c>
      <c r="D1071" s="44" t="s">
        <v>80</v>
      </c>
      <c r="E1071" s="84">
        <v>396</v>
      </c>
      <c r="F1071" s="84"/>
      <c r="G1071" s="94">
        <f>cell_CoefGeneral</f>
        <v>1</v>
      </c>
      <c r="H1071" s="93">
        <f>H313</f>
        <v>4.4000000000000004</v>
      </c>
      <c r="I1071" s="84">
        <f>IFERROR(ROUND(E1071*H1071,2),"-")</f>
        <v>1742.4</v>
      </c>
      <c r="J1071" s="105">
        <f>IFERROR(I1071/cell_Total_HT,"-")</f>
        <v>5.143963216411797E-4</v>
      </c>
      <c r="K1071">
        <f>I1071</f>
        <v>1742.4</v>
      </c>
      <c r="L1071"/>
      <c r="M1071"/>
      <c r="N1071"/>
      <c r="O1071"/>
      <c r="P1071"/>
      <c r="Q1071"/>
      <c r="R1071"/>
      <c r="S1071"/>
      <c r="T1071"/>
    </row>
    <row r="1072" spans="1:20" outlineLevel="3" x14ac:dyDescent="0.3">
      <c r="A1072" s="82" t="s">
        <v>1852</v>
      </c>
      <c r="B1072" s="58" t="s">
        <v>958</v>
      </c>
      <c r="C1072" s="61" t="s">
        <v>959</v>
      </c>
      <c r="D1072" s="115"/>
      <c r="E1072" s="87"/>
      <c r="F1072" s="87"/>
      <c r="G1072" s="97"/>
      <c r="H1072" s="87"/>
      <c r="I1072" s="104">
        <f>SUBTOTAL(9,K1073:K1083)</f>
        <v>3718.1</v>
      </c>
      <c r="J1072" s="108"/>
      <c r="K1072"/>
      <c r="L1072"/>
      <c r="M1072"/>
      <c r="N1072"/>
      <c r="O1072"/>
      <c r="P1072"/>
      <c r="Q1072"/>
      <c r="R1072"/>
      <c r="S1072"/>
      <c r="T1072"/>
    </row>
    <row r="1073" spans="1:20" outlineLevel="4" x14ac:dyDescent="0.3">
      <c r="A1073" s="82" t="s">
        <v>1853</v>
      </c>
      <c r="B1073" s="10" t="s">
        <v>961</v>
      </c>
      <c r="C1073" s="60" t="s">
        <v>962</v>
      </c>
      <c r="D1073" s="44" t="s">
        <v>80</v>
      </c>
      <c r="E1073" s="84">
        <v>4</v>
      </c>
      <c r="F1073" s="84"/>
      <c r="G1073" s="94">
        <f t="shared" ref="G1073:G1083" si="157">cell_CoefGeneral</f>
        <v>1</v>
      </c>
      <c r="H1073" s="93">
        <f t="shared" ref="H1073:H1083" si="158">H315</f>
        <v>3.6</v>
      </c>
      <c r="I1073" s="84">
        <f t="shared" ref="I1073:I1083" si="159">IFERROR(ROUND(E1073*H1073,2),"-")</f>
        <v>14.4</v>
      </c>
      <c r="J1073" s="105">
        <f t="shared" ref="J1073:J1083" si="160">IFERROR(I1073/cell_Total_HT,"-")</f>
        <v>4.2512092697618152E-6</v>
      </c>
      <c r="K1073">
        <f t="shared" ref="K1073:K1083" si="161">I1073</f>
        <v>14.4</v>
      </c>
      <c r="L1073"/>
      <c r="M1073"/>
      <c r="N1073"/>
      <c r="O1073"/>
      <c r="P1073"/>
      <c r="Q1073"/>
      <c r="R1073"/>
      <c r="S1073"/>
      <c r="T1073"/>
    </row>
    <row r="1074" spans="1:20" outlineLevel="4" x14ac:dyDescent="0.3">
      <c r="A1074" s="82" t="s">
        <v>1854</v>
      </c>
      <c r="B1074" s="10" t="s">
        <v>964</v>
      </c>
      <c r="C1074" s="60" t="s">
        <v>965</v>
      </c>
      <c r="D1074" s="44" t="s">
        <v>80</v>
      </c>
      <c r="E1074" s="84">
        <v>88</v>
      </c>
      <c r="F1074" s="84"/>
      <c r="G1074" s="94">
        <f t="shared" si="157"/>
        <v>1</v>
      </c>
      <c r="H1074" s="93">
        <f t="shared" si="158"/>
        <v>1.5</v>
      </c>
      <c r="I1074" s="84">
        <f t="shared" si="159"/>
        <v>132</v>
      </c>
      <c r="J1074" s="105">
        <f t="shared" si="160"/>
        <v>3.8969418306149972E-5</v>
      </c>
      <c r="K1074">
        <f t="shared" si="161"/>
        <v>132</v>
      </c>
      <c r="L1074"/>
      <c r="M1074"/>
      <c r="N1074"/>
      <c r="O1074"/>
      <c r="P1074"/>
      <c r="Q1074"/>
      <c r="R1074"/>
      <c r="S1074"/>
      <c r="T1074"/>
    </row>
    <row r="1075" spans="1:20" outlineLevel="4" x14ac:dyDescent="0.3">
      <c r="A1075" s="82" t="s">
        <v>1855</v>
      </c>
      <c r="B1075" s="10" t="s">
        <v>967</v>
      </c>
      <c r="C1075" s="60" t="s">
        <v>968</v>
      </c>
      <c r="D1075" s="44" t="s">
        <v>80</v>
      </c>
      <c r="E1075" s="84">
        <v>11</v>
      </c>
      <c r="F1075" s="84"/>
      <c r="G1075" s="94">
        <f t="shared" si="157"/>
        <v>1</v>
      </c>
      <c r="H1075" s="93">
        <f t="shared" si="158"/>
        <v>1.3</v>
      </c>
      <c r="I1075" s="84">
        <f t="shared" si="159"/>
        <v>14.3</v>
      </c>
      <c r="J1075" s="105">
        <f t="shared" si="160"/>
        <v>4.2216869831662468E-6</v>
      </c>
      <c r="K1075">
        <f t="shared" si="161"/>
        <v>14.3</v>
      </c>
      <c r="L1075"/>
      <c r="M1075"/>
      <c r="N1075"/>
      <c r="O1075"/>
      <c r="P1075"/>
      <c r="Q1075"/>
      <c r="R1075"/>
      <c r="S1075"/>
      <c r="T1075"/>
    </row>
    <row r="1076" spans="1:20" outlineLevel="4" x14ac:dyDescent="0.3">
      <c r="A1076" s="82" t="s">
        <v>1856</v>
      </c>
      <c r="B1076" s="10" t="s">
        <v>970</v>
      </c>
      <c r="C1076" s="60" t="s">
        <v>971</v>
      </c>
      <c r="D1076" s="44" t="s">
        <v>80</v>
      </c>
      <c r="E1076" s="84">
        <v>33</v>
      </c>
      <c r="F1076" s="84"/>
      <c r="G1076" s="94">
        <f t="shared" si="157"/>
        <v>1</v>
      </c>
      <c r="H1076" s="93">
        <f t="shared" si="158"/>
        <v>58</v>
      </c>
      <c r="I1076" s="84">
        <f t="shared" si="159"/>
        <v>1914</v>
      </c>
      <c r="J1076" s="105">
        <f t="shared" si="160"/>
        <v>5.6505656543917463E-4</v>
      </c>
      <c r="K1076">
        <f t="shared" si="161"/>
        <v>1914</v>
      </c>
      <c r="L1076"/>
      <c r="M1076"/>
      <c r="N1076"/>
      <c r="O1076"/>
      <c r="P1076"/>
      <c r="Q1076"/>
      <c r="R1076"/>
      <c r="S1076"/>
      <c r="T1076"/>
    </row>
    <row r="1077" spans="1:20" outlineLevel="4" x14ac:dyDescent="0.3">
      <c r="A1077" s="82" t="s">
        <v>1857</v>
      </c>
      <c r="B1077" s="10" t="s">
        <v>973</v>
      </c>
      <c r="C1077" s="60" t="s">
        <v>974</v>
      </c>
      <c r="D1077" s="44" t="s">
        <v>80</v>
      </c>
      <c r="E1077" s="84">
        <v>33</v>
      </c>
      <c r="F1077" s="84"/>
      <c r="G1077" s="94">
        <f t="shared" si="157"/>
        <v>1</v>
      </c>
      <c r="H1077" s="93">
        <f t="shared" si="158"/>
        <v>1.8</v>
      </c>
      <c r="I1077" s="84">
        <f t="shared" si="159"/>
        <v>59.4</v>
      </c>
      <c r="J1077" s="105">
        <f t="shared" si="160"/>
        <v>1.7536238237767485E-5</v>
      </c>
      <c r="K1077">
        <f t="shared" si="161"/>
        <v>59.4</v>
      </c>
      <c r="L1077"/>
      <c r="M1077"/>
      <c r="N1077"/>
      <c r="O1077"/>
      <c r="P1077"/>
      <c r="Q1077"/>
      <c r="R1077"/>
      <c r="S1077"/>
      <c r="T1077"/>
    </row>
    <row r="1078" spans="1:20" outlineLevel="4" x14ac:dyDescent="0.3">
      <c r="A1078" s="82" t="s">
        <v>1858</v>
      </c>
      <c r="B1078" s="10" t="s">
        <v>976</v>
      </c>
      <c r="C1078" s="60" t="s">
        <v>977</v>
      </c>
      <c r="D1078" s="44" t="s">
        <v>154</v>
      </c>
      <c r="E1078" s="84">
        <v>33</v>
      </c>
      <c r="F1078" s="84"/>
      <c r="G1078" s="94">
        <f t="shared" si="157"/>
        <v>1</v>
      </c>
      <c r="H1078" s="93">
        <f t="shared" si="158"/>
        <v>15</v>
      </c>
      <c r="I1078" s="84">
        <f t="shared" si="159"/>
        <v>495</v>
      </c>
      <c r="J1078" s="105">
        <f t="shared" si="160"/>
        <v>1.461353186480624E-4</v>
      </c>
      <c r="K1078">
        <f t="shared" si="161"/>
        <v>495</v>
      </c>
      <c r="L1078"/>
      <c r="M1078"/>
      <c r="N1078"/>
      <c r="O1078"/>
      <c r="P1078"/>
      <c r="Q1078"/>
      <c r="R1078"/>
      <c r="S1078"/>
      <c r="T1078"/>
    </row>
    <row r="1079" spans="1:20" outlineLevel="4" x14ac:dyDescent="0.3">
      <c r="A1079" s="82" t="s">
        <v>1859</v>
      </c>
      <c r="B1079" s="10" t="s">
        <v>979</v>
      </c>
      <c r="C1079" s="60" t="s">
        <v>980</v>
      </c>
      <c r="D1079" s="44" t="s">
        <v>121</v>
      </c>
      <c r="E1079" s="84">
        <v>4</v>
      </c>
      <c r="F1079" s="84"/>
      <c r="G1079" s="94">
        <f t="shared" si="157"/>
        <v>1</v>
      </c>
      <c r="H1079" s="93">
        <f t="shared" si="158"/>
        <v>11</v>
      </c>
      <c r="I1079" s="84">
        <f t="shared" si="159"/>
        <v>44</v>
      </c>
      <c r="J1079" s="105">
        <f t="shared" si="160"/>
        <v>1.2989806102049991E-5</v>
      </c>
      <c r="K1079">
        <f t="shared" si="161"/>
        <v>44</v>
      </c>
      <c r="L1079"/>
      <c r="M1079"/>
      <c r="N1079"/>
      <c r="O1079"/>
      <c r="P1079"/>
      <c r="Q1079"/>
      <c r="R1079"/>
      <c r="S1079"/>
      <c r="T1079"/>
    </row>
    <row r="1080" spans="1:20" outlineLevel="4" x14ac:dyDescent="0.3">
      <c r="A1080" s="82" t="s">
        <v>1860</v>
      </c>
      <c r="B1080" s="10" t="s">
        <v>982</v>
      </c>
      <c r="C1080" s="60" t="s">
        <v>983</v>
      </c>
      <c r="D1080" s="44" t="s">
        <v>121</v>
      </c>
      <c r="E1080" s="84">
        <v>0</v>
      </c>
      <c r="F1080" s="84"/>
      <c r="G1080" s="94">
        <f t="shared" si="157"/>
        <v>1</v>
      </c>
      <c r="H1080" s="93">
        <f t="shared" si="158"/>
        <v>31</v>
      </c>
      <c r="I1080" s="84">
        <f t="shared" si="159"/>
        <v>0</v>
      </c>
      <c r="J1080" s="105">
        <f t="shared" si="160"/>
        <v>0</v>
      </c>
      <c r="K1080">
        <f t="shared" si="161"/>
        <v>0</v>
      </c>
      <c r="L1080"/>
      <c r="M1080"/>
      <c r="N1080"/>
      <c r="O1080"/>
      <c r="P1080"/>
      <c r="Q1080"/>
      <c r="R1080"/>
      <c r="S1080"/>
      <c r="T1080"/>
    </row>
    <row r="1081" spans="1:20" outlineLevel="4" x14ac:dyDescent="0.3">
      <c r="A1081" s="82" t="s">
        <v>1861</v>
      </c>
      <c r="B1081" s="10" t="s">
        <v>985</v>
      </c>
      <c r="C1081" s="60" t="s">
        <v>986</v>
      </c>
      <c r="D1081" s="44" t="s">
        <v>121</v>
      </c>
      <c r="E1081" s="84">
        <v>0</v>
      </c>
      <c r="F1081" s="84"/>
      <c r="G1081" s="94">
        <f t="shared" si="157"/>
        <v>1</v>
      </c>
      <c r="H1081" s="93">
        <f t="shared" si="158"/>
        <v>44</v>
      </c>
      <c r="I1081" s="84">
        <f t="shared" si="159"/>
        <v>0</v>
      </c>
      <c r="J1081" s="105">
        <f t="shared" si="160"/>
        <v>0</v>
      </c>
      <c r="K1081">
        <f t="shared" si="161"/>
        <v>0</v>
      </c>
      <c r="L1081"/>
      <c r="M1081"/>
      <c r="N1081"/>
      <c r="O1081"/>
      <c r="P1081"/>
      <c r="Q1081"/>
      <c r="R1081"/>
      <c r="S1081"/>
      <c r="T1081"/>
    </row>
    <row r="1082" spans="1:20" outlineLevel="4" x14ac:dyDescent="0.3">
      <c r="A1082" s="82" t="s">
        <v>1862</v>
      </c>
      <c r="B1082" s="10" t="s">
        <v>988</v>
      </c>
      <c r="C1082" s="60" t="s">
        <v>989</v>
      </c>
      <c r="D1082" s="44" t="s">
        <v>121</v>
      </c>
      <c r="E1082" s="84">
        <v>0</v>
      </c>
      <c r="F1082" s="84"/>
      <c r="G1082" s="94">
        <f t="shared" si="157"/>
        <v>1</v>
      </c>
      <c r="H1082" s="93">
        <f t="shared" si="158"/>
        <v>17</v>
      </c>
      <c r="I1082" s="84">
        <f t="shared" si="159"/>
        <v>0</v>
      </c>
      <c r="J1082" s="105">
        <f t="shared" si="160"/>
        <v>0</v>
      </c>
      <c r="K1082">
        <f t="shared" si="161"/>
        <v>0</v>
      </c>
      <c r="L1082"/>
      <c r="M1082"/>
      <c r="N1082"/>
      <c r="O1082"/>
      <c r="P1082"/>
      <c r="Q1082"/>
      <c r="R1082"/>
      <c r="S1082"/>
      <c r="T1082"/>
    </row>
    <row r="1083" spans="1:20" outlineLevel="4" x14ac:dyDescent="0.3">
      <c r="A1083" s="82" t="s">
        <v>1863</v>
      </c>
      <c r="B1083" s="10" t="s">
        <v>991</v>
      </c>
      <c r="C1083" s="60" t="s">
        <v>992</v>
      </c>
      <c r="D1083" s="44" t="s">
        <v>121</v>
      </c>
      <c r="E1083" s="84">
        <v>11</v>
      </c>
      <c r="F1083" s="84"/>
      <c r="G1083" s="94">
        <f t="shared" si="157"/>
        <v>1</v>
      </c>
      <c r="H1083" s="93">
        <f t="shared" si="158"/>
        <v>95</v>
      </c>
      <c r="I1083" s="84">
        <f t="shared" si="159"/>
        <v>1045</v>
      </c>
      <c r="J1083" s="105">
        <f t="shared" si="160"/>
        <v>3.0850789492368726E-4</v>
      </c>
      <c r="K1083">
        <f t="shared" si="161"/>
        <v>1045</v>
      </c>
      <c r="L1083"/>
      <c r="M1083"/>
      <c r="N1083"/>
      <c r="O1083"/>
      <c r="P1083"/>
      <c r="Q1083"/>
      <c r="R1083"/>
      <c r="S1083"/>
      <c r="T1083"/>
    </row>
    <row r="1084" spans="1:20" outlineLevel="3" x14ac:dyDescent="0.3">
      <c r="A1084" s="82" t="s">
        <v>1864</v>
      </c>
      <c r="B1084" s="58" t="s">
        <v>994</v>
      </c>
      <c r="C1084" s="61" t="s">
        <v>995</v>
      </c>
      <c r="D1084" s="115"/>
      <c r="E1084" s="87"/>
      <c r="F1084" s="87"/>
      <c r="G1084" s="97"/>
      <c r="H1084" s="87"/>
      <c r="I1084" s="104">
        <f>SUBTOTAL(9,K1085:K1098)</f>
        <v>1592</v>
      </c>
      <c r="J1084" s="108"/>
      <c r="K1084"/>
      <c r="L1084"/>
      <c r="M1084"/>
      <c r="N1084"/>
      <c r="O1084"/>
      <c r="P1084"/>
      <c r="Q1084"/>
      <c r="R1084"/>
      <c r="S1084"/>
      <c r="T1084"/>
    </row>
    <row r="1085" spans="1:20" outlineLevel="4" x14ac:dyDescent="0.3">
      <c r="A1085" s="82" t="s">
        <v>1865</v>
      </c>
      <c r="B1085" s="58" t="s">
        <v>997</v>
      </c>
      <c r="C1085" s="61" t="s">
        <v>998</v>
      </c>
      <c r="D1085" s="115"/>
      <c r="E1085" s="87"/>
      <c r="F1085" s="87"/>
      <c r="G1085" s="97"/>
      <c r="H1085" s="87"/>
      <c r="I1085" s="104">
        <f>SUBTOTAL(9,K1086:K1086)</f>
        <v>1120</v>
      </c>
      <c r="J1085" s="108"/>
      <c r="K1085"/>
      <c r="L1085"/>
      <c r="M1085"/>
      <c r="N1085"/>
      <c r="O1085"/>
      <c r="P1085"/>
      <c r="Q1085"/>
      <c r="R1085"/>
      <c r="S1085"/>
      <c r="T1085"/>
    </row>
    <row r="1086" spans="1:20" outlineLevel="5" x14ac:dyDescent="0.3">
      <c r="A1086" s="82" t="s">
        <v>1866</v>
      </c>
      <c r="B1086" s="10" t="s">
        <v>1000</v>
      </c>
      <c r="C1086" s="60" t="s">
        <v>1001</v>
      </c>
      <c r="D1086" s="44" t="s">
        <v>121</v>
      </c>
      <c r="E1086" s="84">
        <v>8</v>
      </c>
      <c r="F1086" s="84"/>
      <c r="G1086" s="94">
        <f>cell_CoefGeneral</f>
        <v>1</v>
      </c>
      <c r="H1086" s="93">
        <f>H328</f>
        <v>140</v>
      </c>
      <c r="I1086" s="84">
        <f>IFERROR(ROUND(E1086*H1086,2),"-")</f>
        <v>1120</v>
      </c>
      <c r="J1086" s="105">
        <f>IFERROR(I1086/cell_Total_HT,"-")</f>
        <v>3.3064960987036338E-4</v>
      </c>
      <c r="K1086">
        <f>I1086</f>
        <v>1120</v>
      </c>
      <c r="L1086"/>
      <c r="M1086"/>
      <c r="N1086"/>
      <c r="O1086"/>
      <c r="P1086"/>
      <c r="Q1086"/>
      <c r="R1086"/>
      <c r="S1086"/>
      <c r="T1086"/>
    </row>
    <row r="1087" spans="1:20" outlineLevel="4" x14ac:dyDescent="0.3">
      <c r="A1087" s="82" t="s">
        <v>1867</v>
      </c>
      <c r="B1087" s="58" t="s">
        <v>1003</v>
      </c>
      <c r="C1087" s="61" t="s">
        <v>1004</v>
      </c>
      <c r="D1087" s="115"/>
      <c r="E1087" s="87"/>
      <c r="F1087" s="87"/>
      <c r="G1087" s="97"/>
      <c r="H1087" s="87"/>
      <c r="I1087" s="104">
        <f>SUBTOTAL(9,K1088:K1098)</f>
        <v>472</v>
      </c>
      <c r="J1087" s="108"/>
      <c r="K1087"/>
      <c r="L1087"/>
      <c r="M1087"/>
      <c r="N1087"/>
      <c r="O1087"/>
      <c r="P1087"/>
      <c r="Q1087"/>
      <c r="R1087"/>
      <c r="S1087"/>
      <c r="T1087"/>
    </row>
    <row r="1088" spans="1:20" outlineLevel="5" x14ac:dyDescent="0.3">
      <c r="A1088" s="82" t="s">
        <v>1868</v>
      </c>
      <c r="B1088" s="10" t="s">
        <v>1006</v>
      </c>
      <c r="C1088" s="60" t="s">
        <v>1007</v>
      </c>
      <c r="D1088" s="44" t="s">
        <v>121</v>
      </c>
      <c r="E1088" s="84">
        <v>0</v>
      </c>
      <c r="F1088" s="84"/>
      <c r="G1088" s="94">
        <f t="shared" ref="G1088:G1098" si="162">cell_CoefGeneral</f>
        <v>1</v>
      </c>
      <c r="H1088" s="93">
        <f t="shared" ref="H1088:H1098" si="163">H330</f>
        <v>88</v>
      </c>
      <c r="I1088" s="84">
        <f t="shared" ref="I1088:I1098" si="164">IFERROR(ROUND(E1088*H1088,2),"-")</f>
        <v>0</v>
      </c>
      <c r="J1088" s="105">
        <f t="shared" ref="J1088:J1098" si="165">IFERROR(I1088/cell_Total_HT,"-")</f>
        <v>0</v>
      </c>
      <c r="K1088">
        <f t="shared" ref="K1088:K1098" si="166">I1088</f>
        <v>0</v>
      </c>
      <c r="L1088"/>
      <c r="M1088"/>
      <c r="N1088"/>
      <c r="O1088"/>
      <c r="P1088"/>
      <c r="Q1088"/>
      <c r="R1088"/>
      <c r="S1088"/>
      <c r="T1088"/>
    </row>
    <row r="1089" spans="1:20" outlineLevel="5" x14ac:dyDescent="0.3">
      <c r="A1089" s="82" t="s">
        <v>1869</v>
      </c>
      <c r="B1089" s="10" t="s">
        <v>1009</v>
      </c>
      <c r="C1089" s="60" t="s">
        <v>1010</v>
      </c>
      <c r="D1089" s="44" t="s">
        <v>121</v>
      </c>
      <c r="E1089" s="84">
        <v>2</v>
      </c>
      <c r="F1089" s="84"/>
      <c r="G1089" s="94">
        <f t="shared" si="162"/>
        <v>1</v>
      </c>
      <c r="H1089" s="93">
        <f t="shared" si="163"/>
        <v>58</v>
      </c>
      <c r="I1089" s="84">
        <f t="shared" si="164"/>
        <v>116</v>
      </c>
      <c r="J1089" s="105">
        <f t="shared" si="165"/>
        <v>3.4245852450859069E-5</v>
      </c>
      <c r="K1089">
        <f t="shared" si="166"/>
        <v>116</v>
      </c>
      <c r="L1089"/>
      <c r="M1089"/>
      <c r="N1089"/>
      <c r="O1089"/>
      <c r="P1089"/>
      <c r="Q1089"/>
      <c r="R1089"/>
      <c r="S1089"/>
      <c r="T1089"/>
    </row>
    <row r="1090" spans="1:20" ht="28.8" outlineLevel="5" x14ac:dyDescent="0.3">
      <c r="A1090" s="82" t="s">
        <v>1870</v>
      </c>
      <c r="B1090" s="10" t="s">
        <v>1012</v>
      </c>
      <c r="C1090" s="60" t="s">
        <v>1013</v>
      </c>
      <c r="D1090" s="44" t="s">
        <v>121</v>
      </c>
      <c r="E1090" s="84">
        <v>0</v>
      </c>
      <c r="F1090" s="84"/>
      <c r="G1090" s="94">
        <f t="shared" si="162"/>
        <v>1</v>
      </c>
      <c r="H1090" s="93">
        <f t="shared" si="163"/>
        <v>84</v>
      </c>
      <c r="I1090" s="84">
        <f t="shared" si="164"/>
        <v>0</v>
      </c>
      <c r="J1090" s="105">
        <f t="shared" si="165"/>
        <v>0</v>
      </c>
      <c r="K1090">
        <f t="shared" si="166"/>
        <v>0</v>
      </c>
      <c r="L1090"/>
      <c r="M1090"/>
      <c r="N1090"/>
      <c r="O1090"/>
      <c r="P1090"/>
      <c r="Q1090"/>
      <c r="R1090"/>
      <c r="S1090"/>
      <c r="T1090"/>
    </row>
    <row r="1091" spans="1:20" outlineLevel="5" x14ac:dyDescent="0.3">
      <c r="A1091" s="82" t="s">
        <v>1871</v>
      </c>
      <c r="B1091" s="10" t="s">
        <v>1015</v>
      </c>
      <c r="C1091" s="60" t="s">
        <v>1016</v>
      </c>
      <c r="D1091" s="44" t="s">
        <v>121</v>
      </c>
      <c r="E1091" s="84">
        <v>1</v>
      </c>
      <c r="F1091" s="84"/>
      <c r="G1091" s="94">
        <f t="shared" si="162"/>
        <v>1</v>
      </c>
      <c r="H1091" s="93">
        <f t="shared" si="163"/>
        <v>62</v>
      </c>
      <c r="I1091" s="84">
        <f t="shared" si="164"/>
        <v>62</v>
      </c>
      <c r="J1091" s="105">
        <f t="shared" si="165"/>
        <v>1.830381768925226E-5</v>
      </c>
      <c r="K1091">
        <f t="shared" si="166"/>
        <v>62</v>
      </c>
      <c r="L1091"/>
      <c r="M1091"/>
      <c r="N1091"/>
      <c r="O1091"/>
      <c r="P1091"/>
      <c r="Q1091"/>
      <c r="R1091"/>
      <c r="S1091"/>
      <c r="T1091"/>
    </row>
    <row r="1092" spans="1:20" outlineLevel="5" x14ac:dyDescent="0.3">
      <c r="A1092" s="82" t="s">
        <v>1872</v>
      </c>
      <c r="B1092" s="10" t="s">
        <v>1018</v>
      </c>
      <c r="C1092" s="60" t="s">
        <v>1019</v>
      </c>
      <c r="D1092" s="44" t="s">
        <v>121</v>
      </c>
      <c r="E1092" s="84">
        <v>2</v>
      </c>
      <c r="F1092" s="84"/>
      <c r="G1092" s="94">
        <f t="shared" si="162"/>
        <v>1</v>
      </c>
      <c r="H1092" s="93">
        <f t="shared" si="163"/>
        <v>84</v>
      </c>
      <c r="I1092" s="84">
        <f t="shared" si="164"/>
        <v>168</v>
      </c>
      <c r="J1092" s="105">
        <f t="shared" si="165"/>
        <v>4.9597441480554506E-5</v>
      </c>
      <c r="K1092">
        <f t="shared" si="166"/>
        <v>168</v>
      </c>
      <c r="L1092"/>
      <c r="M1092"/>
      <c r="N1092"/>
      <c r="O1092"/>
      <c r="P1092"/>
      <c r="Q1092"/>
      <c r="R1092"/>
      <c r="S1092"/>
      <c r="T1092"/>
    </row>
    <row r="1093" spans="1:20" outlineLevel="5" x14ac:dyDescent="0.3">
      <c r="A1093" s="82" t="s">
        <v>1873</v>
      </c>
      <c r="B1093" s="10" t="s">
        <v>1021</v>
      </c>
      <c r="C1093" s="60" t="s">
        <v>1022</v>
      </c>
      <c r="D1093" s="44" t="s">
        <v>121</v>
      </c>
      <c r="E1093" s="84">
        <v>0</v>
      </c>
      <c r="F1093" s="84"/>
      <c r="G1093" s="94">
        <f t="shared" si="162"/>
        <v>1</v>
      </c>
      <c r="H1093" s="93">
        <f t="shared" si="163"/>
        <v>70</v>
      </c>
      <c r="I1093" s="84">
        <f t="shared" si="164"/>
        <v>0</v>
      </c>
      <c r="J1093" s="105">
        <f t="shared" si="165"/>
        <v>0</v>
      </c>
      <c r="K1093">
        <f t="shared" si="166"/>
        <v>0</v>
      </c>
      <c r="L1093"/>
      <c r="M1093"/>
      <c r="N1093"/>
      <c r="O1093"/>
      <c r="P1093"/>
      <c r="Q1093"/>
      <c r="R1093"/>
      <c r="S1093"/>
      <c r="T1093"/>
    </row>
    <row r="1094" spans="1:20" outlineLevel="5" x14ac:dyDescent="0.3">
      <c r="A1094" s="82" t="s">
        <v>1874</v>
      </c>
      <c r="B1094" s="10" t="s">
        <v>1024</v>
      </c>
      <c r="C1094" s="60" t="s">
        <v>1025</v>
      </c>
      <c r="D1094" s="44" t="s">
        <v>121</v>
      </c>
      <c r="E1094" s="84">
        <v>0</v>
      </c>
      <c r="F1094" s="84"/>
      <c r="G1094" s="94">
        <f t="shared" si="162"/>
        <v>1</v>
      </c>
      <c r="H1094" s="93">
        <f t="shared" si="163"/>
        <v>46</v>
      </c>
      <c r="I1094" s="84">
        <f t="shared" si="164"/>
        <v>0</v>
      </c>
      <c r="J1094" s="105">
        <f t="shared" si="165"/>
        <v>0</v>
      </c>
      <c r="K1094">
        <f t="shared" si="166"/>
        <v>0</v>
      </c>
      <c r="L1094"/>
      <c r="M1094"/>
      <c r="N1094"/>
      <c r="O1094"/>
      <c r="P1094"/>
      <c r="Q1094"/>
      <c r="R1094"/>
      <c r="S1094"/>
      <c r="T1094"/>
    </row>
    <row r="1095" spans="1:20" outlineLevel="5" x14ac:dyDescent="0.3">
      <c r="A1095" s="82" t="s">
        <v>1875</v>
      </c>
      <c r="B1095" s="10" t="s">
        <v>1027</v>
      </c>
      <c r="C1095" s="60" t="s">
        <v>1028</v>
      </c>
      <c r="D1095" s="44" t="s">
        <v>121</v>
      </c>
      <c r="E1095" s="84">
        <v>1</v>
      </c>
      <c r="F1095" s="84"/>
      <c r="G1095" s="94">
        <f t="shared" si="162"/>
        <v>1</v>
      </c>
      <c r="H1095" s="93">
        <f t="shared" si="163"/>
        <v>63</v>
      </c>
      <c r="I1095" s="84">
        <f t="shared" si="164"/>
        <v>63</v>
      </c>
      <c r="J1095" s="105">
        <f t="shared" si="165"/>
        <v>1.8599040555207941E-5</v>
      </c>
      <c r="K1095">
        <f t="shared" si="166"/>
        <v>63</v>
      </c>
      <c r="L1095"/>
      <c r="M1095"/>
      <c r="N1095"/>
      <c r="O1095"/>
      <c r="P1095"/>
      <c r="Q1095"/>
      <c r="R1095"/>
      <c r="S1095"/>
      <c r="T1095"/>
    </row>
    <row r="1096" spans="1:20" outlineLevel="5" x14ac:dyDescent="0.3">
      <c r="A1096" s="82" t="s">
        <v>1876</v>
      </c>
      <c r="B1096" s="10" t="s">
        <v>1030</v>
      </c>
      <c r="C1096" s="60" t="s">
        <v>1031</v>
      </c>
      <c r="D1096" s="44" t="s">
        <v>121</v>
      </c>
      <c r="E1096" s="84">
        <v>1</v>
      </c>
      <c r="F1096" s="84"/>
      <c r="G1096" s="94">
        <f t="shared" si="162"/>
        <v>1</v>
      </c>
      <c r="H1096" s="93">
        <f t="shared" si="163"/>
        <v>63</v>
      </c>
      <c r="I1096" s="84">
        <f t="shared" si="164"/>
        <v>63</v>
      </c>
      <c r="J1096" s="105">
        <f t="shared" si="165"/>
        <v>1.8599040555207941E-5</v>
      </c>
      <c r="K1096">
        <f t="shared" si="166"/>
        <v>63</v>
      </c>
      <c r="L1096"/>
      <c r="M1096"/>
      <c r="N1096"/>
      <c r="O1096"/>
      <c r="P1096"/>
      <c r="Q1096"/>
      <c r="R1096"/>
      <c r="S1096"/>
      <c r="T1096"/>
    </row>
    <row r="1097" spans="1:20" outlineLevel="5" x14ac:dyDescent="0.3">
      <c r="A1097" s="82" t="s">
        <v>1877</v>
      </c>
      <c r="B1097" s="10" t="s">
        <v>1033</v>
      </c>
      <c r="C1097" s="60" t="s">
        <v>1034</v>
      </c>
      <c r="D1097" s="44" t="s">
        <v>121</v>
      </c>
      <c r="E1097" s="84">
        <v>0</v>
      </c>
      <c r="F1097" s="84"/>
      <c r="G1097" s="94">
        <f t="shared" si="162"/>
        <v>1</v>
      </c>
      <c r="H1097" s="93">
        <f t="shared" si="163"/>
        <v>46</v>
      </c>
      <c r="I1097" s="84">
        <f t="shared" si="164"/>
        <v>0</v>
      </c>
      <c r="J1097" s="105">
        <f t="shared" si="165"/>
        <v>0</v>
      </c>
      <c r="K1097">
        <f t="shared" si="166"/>
        <v>0</v>
      </c>
      <c r="L1097"/>
      <c r="M1097"/>
      <c r="N1097"/>
      <c r="O1097"/>
      <c r="P1097"/>
      <c r="Q1097"/>
      <c r="R1097"/>
      <c r="S1097"/>
      <c r="T1097"/>
    </row>
    <row r="1098" spans="1:20" ht="15" outlineLevel="5" thickBot="1" x14ac:dyDescent="0.35">
      <c r="A1098" s="82" t="s">
        <v>1878</v>
      </c>
      <c r="B1098" s="10" t="s">
        <v>1036</v>
      </c>
      <c r="C1098" s="60" t="s">
        <v>1037</v>
      </c>
      <c r="D1098" s="44" t="s">
        <v>121</v>
      </c>
      <c r="E1098" s="84">
        <v>0</v>
      </c>
      <c r="F1098" s="84"/>
      <c r="G1098" s="94">
        <f t="shared" si="162"/>
        <v>1</v>
      </c>
      <c r="H1098" s="93">
        <f t="shared" si="163"/>
        <v>46</v>
      </c>
      <c r="I1098" s="84">
        <f t="shared" si="164"/>
        <v>0</v>
      </c>
      <c r="J1098" s="105">
        <f t="shared" si="165"/>
        <v>0</v>
      </c>
      <c r="K1098">
        <f t="shared" si="166"/>
        <v>0</v>
      </c>
      <c r="L1098"/>
      <c r="M1098"/>
      <c r="N1098"/>
      <c r="O1098"/>
      <c r="P1098"/>
      <c r="Q1098"/>
      <c r="R1098"/>
      <c r="S1098"/>
      <c r="T1098"/>
    </row>
    <row r="1099" spans="1:20" ht="15" outlineLevel="2" thickTop="1" x14ac:dyDescent="0.3">
      <c r="A1099" s="82" t="s">
        <v>1879</v>
      </c>
      <c r="B1099" s="62" t="s">
        <v>60</v>
      </c>
      <c r="C1099" s="63" t="s">
        <v>1039</v>
      </c>
      <c r="D1099" s="116"/>
      <c r="E1099" s="88"/>
      <c r="F1099" s="88"/>
      <c r="G1099" s="98"/>
      <c r="H1099" s="88"/>
      <c r="I1099" s="88">
        <f>SUBTOTAL(9,I1070:I1098)</f>
        <v>7239.5</v>
      </c>
      <c r="J1099" s="109"/>
      <c r="K1099"/>
      <c r="L1099"/>
      <c r="M1099"/>
      <c r="N1099"/>
      <c r="O1099"/>
      <c r="P1099"/>
      <c r="Q1099"/>
      <c r="R1099"/>
      <c r="S1099"/>
      <c r="T1099"/>
    </row>
    <row r="1100" spans="1:20" outlineLevel="2" x14ac:dyDescent="0.3">
      <c r="A1100" s="82" t="s">
        <v>1880</v>
      </c>
      <c r="B1100" s="64" t="s">
        <v>1041</v>
      </c>
      <c r="C1100" s="65" t="s">
        <v>1042</v>
      </c>
      <c r="D1100" s="117"/>
      <c r="E1100" s="87"/>
      <c r="F1100" s="87"/>
      <c r="G1100" s="97"/>
      <c r="H1100" s="87"/>
      <c r="I1100" s="104">
        <f>SUBTOTAL(9,K1101:K1129)</f>
        <v>0</v>
      </c>
      <c r="J1100" s="108"/>
      <c r="K1100"/>
      <c r="L1100"/>
      <c r="M1100"/>
      <c r="N1100"/>
      <c r="O1100"/>
      <c r="P1100"/>
      <c r="Q1100"/>
      <c r="R1100"/>
      <c r="S1100"/>
      <c r="T1100"/>
    </row>
    <row r="1101" spans="1:20" outlineLevel="3" x14ac:dyDescent="0.3">
      <c r="A1101" s="82" t="s">
        <v>1881</v>
      </c>
      <c r="B1101" s="10" t="s">
        <v>1044</v>
      </c>
      <c r="C1101" s="60" t="s">
        <v>1045</v>
      </c>
      <c r="D1101" s="44" t="s">
        <v>93</v>
      </c>
      <c r="E1101" s="84">
        <v>0</v>
      </c>
      <c r="F1101" s="84"/>
      <c r="G1101" s="94">
        <f>cell_CoefGeneral</f>
        <v>1</v>
      </c>
      <c r="H1101" s="93">
        <f>H343</f>
        <v>9200</v>
      </c>
      <c r="I1101" s="84">
        <f>IFERROR(ROUND(E1101*H1101,2),"-")</f>
        <v>0</v>
      </c>
      <c r="J1101" s="105">
        <f>IFERROR(I1101/cell_Total_HT,"-")</f>
        <v>0</v>
      </c>
      <c r="K1101">
        <f>I1101</f>
        <v>0</v>
      </c>
      <c r="L1101"/>
      <c r="M1101"/>
      <c r="N1101"/>
      <c r="O1101"/>
      <c r="P1101"/>
      <c r="Q1101"/>
      <c r="R1101"/>
      <c r="S1101"/>
      <c r="T1101"/>
    </row>
    <row r="1102" spans="1:20" outlineLevel="3" x14ac:dyDescent="0.3">
      <c r="A1102" s="82" t="s">
        <v>1882</v>
      </c>
      <c r="B1102" s="58" t="s">
        <v>1047</v>
      </c>
      <c r="C1102" s="61" t="s">
        <v>1048</v>
      </c>
      <c r="D1102" s="115"/>
      <c r="E1102" s="87"/>
      <c r="F1102" s="87"/>
      <c r="G1102" s="97"/>
      <c r="H1102" s="87"/>
      <c r="I1102" s="104">
        <f>SUBTOTAL(9,K1103:K1116)</f>
        <v>0</v>
      </c>
      <c r="J1102" s="108"/>
      <c r="K1102"/>
      <c r="L1102"/>
      <c r="M1102"/>
      <c r="N1102"/>
      <c r="O1102"/>
      <c r="P1102"/>
      <c r="Q1102"/>
      <c r="R1102"/>
      <c r="S1102"/>
      <c r="T1102"/>
    </row>
    <row r="1103" spans="1:20" outlineLevel="4" x14ac:dyDescent="0.3">
      <c r="A1103" s="82" t="s">
        <v>1883</v>
      </c>
      <c r="B1103" s="10" t="s">
        <v>1050</v>
      </c>
      <c r="C1103" s="60" t="s">
        <v>1051</v>
      </c>
      <c r="D1103" s="44" t="s">
        <v>141</v>
      </c>
      <c r="E1103" s="84">
        <v>0</v>
      </c>
      <c r="F1103" s="84"/>
      <c r="G1103" s="94">
        <f t="shared" ref="G1103:G1116" si="167">cell_CoefGeneral</f>
        <v>1</v>
      </c>
      <c r="H1103" s="93">
        <f t="shared" ref="H1103:H1116" si="168">H345</f>
        <v>36</v>
      </c>
      <c r="I1103" s="84">
        <f t="shared" ref="I1103:I1116" si="169">IFERROR(ROUND(E1103*H1103,2),"-")</f>
        <v>0</v>
      </c>
      <c r="J1103" s="105">
        <f t="shared" ref="J1103:J1116" si="170">IFERROR(I1103/cell_Total_HT,"-")</f>
        <v>0</v>
      </c>
      <c r="K1103">
        <f t="shared" ref="K1103:K1116" si="171">I1103</f>
        <v>0</v>
      </c>
      <c r="L1103"/>
      <c r="M1103"/>
      <c r="N1103"/>
      <c r="O1103"/>
      <c r="P1103"/>
      <c r="Q1103"/>
      <c r="R1103"/>
      <c r="S1103"/>
      <c r="T1103"/>
    </row>
    <row r="1104" spans="1:20" outlineLevel="4" x14ac:dyDescent="0.3">
      <c r="A1104" s="82" t="s">
        <v>1884</v>
      </c>
      <c r="B1104" s="10" t="s">
        <v>1053</v>
      </c>
      <c r="C1104" s="60" t="s">
        <v>1054</v>
      </c>
      <c r="D1104" s="44" t="s">
        <v>141</v>
      </c>
      <c r="E1104" s="84">
        <v>0</v>
      </c>
      <c r="F1104" s="84"/>
      <c r="G1104" s="94">
        <f t="shared" si="167"/>
        <v>1</v>
      </c>
      <c r="H1104" s="93">
        <f t="shared" si="168"/>
        <v>38</v>
      </c>
      <c r="I1104" s="84">
        <f t="shared" si="169"/>
        <v>0</v>
      </c>
      <c r="J1104" s="105">
        <f t="shared" si="170"/>
        <v>0</v>
      </c>
      <c r="K1104">
        <f t="shared" si="171"/>
        <v>0</v>
      </c>
      <c r="L1104"/>
      <c r="M1104"/>
      <c r="N1104"/>
      <c r="O1104"/>
      <c r="P1104"/>
      <c r="Q1104"/>
      <c r="R1104"/>
      <c r="S1104"/>
      <c r="T1104"/>
    </row>
    <row r="1105" spans="1:20" outlineLevel="4" x14ac:dyDescent="0.3">
      <c r="A1105" s="82" t="s">
        <v>1885</v>
      </c>
      <c r="B1105" s="10" t="s">
        <v>1056</v>
      </c>
      <c r="C1105" s="60" t="s">
        <v>1057</v>
      </c>
      <c r="D1105" s="44" t="s">
        <v>154</v>
      </c>
      <c r="E1105" s="84">
        <v>0</v>
      </c>
      <c r="F1105" s="84"/>
      <c r="G1105" s="94">
        <f t="shared" si="167"/>
        <v>1</v>
      </c>
      <c r="H1105" s="93">
        <f t="shared" si="168"/>
        <v>81</v>
      </c>
      <c r="I1105" s="84">
        <f t="shared" si="169"/>
        <v>0</v>
      </c>
      <c r="J1105" s="105">
        <f t="shared" si="170"/>
        <v>0</v>
      </c>
      <c r="K1105">
        <f t="shared" si="171"/>
        <v>0</v>
      </c>
      <c r="L1105"/>
      <c r="M1105"/>
      <c r="N1105"/>
      <c r="O1105"/>
      <c r="P1105"/>
      <c r="Q1105"/>
      <c r="R1105"/>
      <c r="S1105"/>
      <c r="T1105"/>
    </row>
    <row r="1106" spans="1:20" outlineLevel="4" x14ac:dyDescent="0.3">
      <c r="A1106" s="82" t="s">
        <v>1886</v>
      </c>
      <c r="B1106" s="10" t="s">
        <v>1059</v>
      </c>
      <c r="C1106" s="60" t="s">
        <v>1060</v>
      </c>
      <c r="D1106" s="44" t="s">
        <v>154</v>
      </c>
      <c r="E1106" s="84">
        <v>0</v>
      </c>
      <c r="F1106" s="84"/>
      <c r="G1106" s="94">
        <f t="shared" si="167"/>
        <v>1</v>
      </c>
      <c r="H1106" s="93">
        <f t="shared" si="168"/>
        <v>81</v>
      </c>
      <c r="I1106" s="84">
        <f t="shared" si="169"/>
        <v>0</v>
      </c>
      <c r="J1106" s="105">
        <f t="shared" si="170"/>
        <v>0</v>
      </c>
      <c r="K1106">
        <f t="shared" si="171"/>
        <v>0</v>
      </c>
      <c r="L1106"/>
      <c r="M1106"/>
      <c r="N1106"/>
      <c r="O1106"/>
      <c r="P1106"/>
      <c r="Q1106"/>
      <c r="R1106"/>
      <c r="S1106"/>
      <c r="T1106"/>
    </row>
    <row r="1107" spans="1:20" ht="28.8" outlineLevel="4" x14ac:dyDescent="0.3">
      <c r="A1107" s="82" t="s">
        <v>1887</v>
      </c>
      <c r="B1107" s="10" t="s">
        <v>1062</v>
      </c>
      <c r="C1107" s="60" t="s">
        <v>1063</v>
      </c>
      <c r="D1107" s="44" t="s">
        <v>93</v>
      </c>
      <c r="E1107" s="84">
        <v>0</v>
      </c>
      <c r="F1107" s="84"/>
      <c r="G1107" s="94">
        <f t="shared" si="167"/>
        <v>1</v>
      </c>
      <c r="H1107" s="93">
        <f t="shared" si="168"/>
        <v>4000</v>
      </c>
      <c r="I1107" s="84">
        <f t="shared" si="169"/>
        <v>0</v>
      </c>
      <c r="J1107" s="105">
        <f t="shared" si="170"/>
        <v>0</v>
      </c>
      <c r="K1107">
        <f t="shared" si="171"/>
        <v>0</v>
      </c>
      <c r="L1107"/>
      <c r="M1107"/>
      <c r="N1107"/>
      <c r="O1107"/>
      <c r="P1107"/>
      <c r="Q1107"/>
      <c r="R1107"/>
      <c r="S1107"/>
      <c r="T1107"/>
    </row>
    <row r="1108" spans="1:20" outlineLevel="4" x14ac:dyDescent="0.3">
      <c r="A1108" s="82" t="s">
        <v>1888</v>
      </c>
      <c r="B1108" s="10" t="s">
        <v>1065</v>
      </c>
      <c r="C1108" s="60" t="s">
        <v>1066</v>
      </c>
      <c r="D1108" s="44" t="s">
        <v>154</v>
      </c>
      <c r="E1108" s="84">
        <v>0</v>
      </c>
      <c r="F1108" s="84"/>
      <c r="G1108" s="94">
        <f t="shared" si="167"/>
        <v>1</v>
      </c>
      <c r="H1108" s="93">
        <f t="shared" si="168"/>
        <v>92</v>
      </c>
      <c r="I1108" s="84">
        <f t="shared" si="169"/>
        <v>0</v>
      </c>
      <c r="J1108" s="105">
        <f t="shared" si="170"/>
        <v>0</v>
      </c>
      <c r="K1108">
        <f t="shared" si="171"/>
        <v>0</v>
      </c>
      <c r="L1108"/>
      <c r="M1108"/>
      <c r="N1108"/>
      <c r="O1108"/>
      <c r="P1108"/>
      <c r="Q1108"/>
      <c r="R1108"/>
      <c r="S1108"/>
      <c r="T1108"/>
    </row>
    <row r="1109" spans="1:20" outlineLevel="4" x14ac:dyDescent="0.3">
      <c r="A1109" s="82" t="s">
        <v>1889</v>
      </c>
      <c r="B1109" s="10" t="s">
        <v>1068</v>
      </c>
      <c r="C1109" s="60" t="s">
        <v>1069</v>
      </c>
      <c r="D1109" s="44" t="s">
        <v>154</v>
      </c>
      <c r="E1109" s="84">
        <v>0</v>
      </c>
      <c r="F1109" s="84"/>
      <c r="G1109" s="94">
        <f t="shared" si="167"/>
        <v>1</v>
      </c>
      <c r="H1109" s="93">
        <f t="shared" si="168"/>
        <v>35</v>
      </c>
      <c r="I1109" s="84">
        <f t="shared" si="169"/>
        <v>0</v>
      </c>
      <c r="J1109" s="105">
        <f t="shared" si="170"/>
        <v>0</v>
      </c>
      <c r="K1109">
        <f t="shared" si="171"/>
        <v>0</v>
      </c>
      <c r="L1109"/>
      <c r="M1109"/>
      <c r="N1109"/>
      <c r="O1109"/>
      <c r="P1109"/>
      <c r="Q1109"/>
      <c r="R1109"/>
      <c r="S1109"/>
      <c r="T1109"/>
    </row>
    <row r="1110" spans="1:20" outlineLevel="4" x14ac:dyDescent="0.3">
      <c r="A1110" s="82" t="s">
        <v>1890</v>
      </c>
      <c r="B1110" s="10" t="s">
        <v>1071</v>
      </c>
      <c r="C1110" s="60" t="s">
        <v>1072</v>
      </c>
      <c r="D1110" s="44" t="s">
        <v>141</v>
      </c>
      <c r="E1110" s="84">
        <v>0</v>
      </c>
      <c r="F1110" s="84"/>
      <c r="G1110" s="94">
        <f t="shared" si="167"/>
        <v>1</v>
      </c>
      <c r="H1110" s="93">
        <f t="shared" si="168"/>
        <v>230</v>
      </c>
      <c r="I1110" s="84">
        <f t="shared" si="169"/>
        <v>0</v>
      </c>
      <c r="J1110" s="105">
        <f t="shared" si="170"/>
        <v>0</v>
      </c>
      <c r="K1110">
        <f t="shared" si="171"/>
        <v>0</v>
      </c>
      <c r="L1110"/>
      <c r="M1110"/>
      <c r="N1110"/>
      <c r="O1110"/>
      <c r="P1110"/>
      <c r="Q1110"/>
      <c r="R1110"/>
      <c r="S1110"/>
      <c r="T1110"/>
    </row>
    <row r="1111" spans="1:20" outlineLevel="4" x14ac:dyDescent="0.3">
      <c r="A1111" s="82" t="s">
        <v>1891</v>
      </c>
      <c r="B1111" s="10" t="s">
        <v>1074</v>
      </c>
      <c r="C1111" s="60" t="s">
        <v>1075</v>
      </c>
      <c r="D1111" s="44" t="s">
        <v>141</v>
      </c>
      <c r="E1111" s="84">
        <v>0</v>
      </c>
      <c r="F1111" s="84"/>
      <c r="G1111" s="94">
        <f t="shared" si="167"/>
        <v>1</v>
      </c>
      <c r="H1111" s="93">
        <f t="shared" si="168"/>
        <v>46</v>
      </c>
      <c r="I1111" s="84">
        <f t="shared" si="169"/>
        <v>0</v>
      </c>
      <c r="J1111" s="105">
        <f t="shared" si="170"/>
        <v>0</v>
      </c>
      <c r="K1111">
        <f t="shared" si="171"/>
        <v>0</v>
      </c>
      <c r="L1111"/>
      <c r="M1111"/>
      <c r="N1111"/>
      <c r="O1111"/>
      <c r="P1111"/>
      <c r="Q1111"/>
      <c r="R1111"/>
      <c r="S1111"/>
      <c r="T1111"/>
    </row>
    <row r="1112" spans="1:20" outlineLevel="4" x14ac:dyDescent="0.3">
      <c r="A1112" s="82" t="s">
        <v>1892</v>
      </c>
      <c r="B1112" s="10" t="s">
        <v>1077</v>
      </c>
      <c r="C1112" s="60" t="s">
        <v>1078</v>
      </c>
      <c r="D1112" s="44" t="s">
        <v>1079</v>
      </c>
      <c r="E1112" s="84">
        <v>0</v>
      </c>
      <c r="F1112" s="84"/>
      <c r="G1112" s="94">
        <f t="shared" si="167"/>
        <v>1</v>
      </c>
      <c r="H1112" s="93">
        <f t="shared" si="168"/>
        <v>1.6</v>
      </c>
      <c r="I1112" s="84">
        <f t="shared" si="169"/>
        <v>0</v>
      </c>
      <c r="J1112" s="105">
        <f t="shared" si="170"/>
        <v>0</v>
      </c>
      <c r="K1112">
        <f t="shared" si="171"/>
        <v>0</v>
      </c>
      <c r="L1112"/>
      <c r="M1112"/>
      <c r="N1112"/>
      <c r="O1112"/>
      <c r="P1112"/>
      <c r="Q1112"/>
      <c r="R1112"/>
      <c r="S1112"/>
      <c r="T1112"/>
    </row>
    <row r="1113" spans="1:20" outlineLevel="4" x14ac:dyDescent="0.3">
      <c r="A1113" s="82" t="s">
        <v>1893</v>
      </c>
      <c r="B1113" s="10" t="s">
        <v>1081</v>
      </c>
      <c r="C1113" s="60" t="s">
        <v>1082</v>
      </c>
      <c r="D1113" s="44" t="s">
        <v>154</v>
      </c>
      <c r="E1113" s="84">
        <v>0</v>
      </c>
      <c r="F1113" s="84"/>
      <c r="G1113" s="94">
        <f t="shared" si="167"/>
        <v>1</v>
      </c>
      <c r="H1113" s="93">
        <f t="shared" si="168"/>
        <v>12</v>
      </c>
      <c r="I1113" s="84">
        <f t="shared" si="169"/>
        <v>0</v>
      </c>
      <c r="J1113" s="105">
        <f t="shared" si="170"/>
        <v>0</v>
      </c>
      <c r="K1113">
        <f t="shared" si="171"/>
        <v>0</v>
      </c>
      <c r="L1113"/>
      <c r="M1113"/>
      <c r="N1113"/>
      <c r="O1113"/>
      <c r="P1113"/>
      <c r="Q1113"/>
      <c r="R1113"/>
      <c r="S1113"/>
      <c r="T1113"/>
    </row>
    <row r="1114" spans="1:20" outlineLevel="4" x14ac:dyDescent="0.3">
      <c r="A1114" s="82" t="s">
        <v>1894</v>
      </c>
      <c r="B1114" s="10" t="s">
        <v>1084</v>
      </c>
      <c r="C1114" s="60" t="s">
        <v>1085</v>
      </c>
      <c r="D1114" s="44" t="s">
        <v>154</v>
      </c>
      <c r="E1114" s="84">
        <v>0</v>
      </c>
      <c r="F1114" s="84"/>
      <c r="G1114" s="94">
        <f t="shared" si="167"/>
        <v>1</v>
      </c>
      <c r="H1114" s="93">
        <f t="shared" si="168"/>
        <v>9.1999999999999993</v>
      </c>
      <c r="I1114" s="84">
        <f t="shared" si="169"/>
        <v>0</v>
      </c>
      <c r="J1114" s="105">
        <f t="shared" si="170"/>
        <v>0</v>
      </c>
      <c r="K1114">
        <f t="shared" si="171"/>
        <v>0</v>
      </c>
      <c r="L1114"/>
      <c r="M1114"/>
      <c r="N1114"/>
      <c r="O1114"/>
      <c r="P1114"/>
      <c r="Q1114"/>
      <c r="R1114"/>
      <c r="S1114"/>
      <c r="T1114"/>
    </row>
    <row r="1115" spans="1:20" ht="28.8" outlineLevel="4" x14ac:dyDescent="0.3">
      <c r="A1115" s="82" t="s">
        <v>1895</v>
      </c>
      <c r="B1115" s="10" t="s">
        <v>1087</v>
      </c>
      <c r="C1115" s="60" t="s">
        <v>1088</v>
      </c>
      <c r="D1115" s="44" t="s">
        <v>121</v>
      </c>
      <c r="E1115" s="84">
        <v>0</v>
      </c>
      <c r="F1115" s="84"/>
      <c r="G1115" s="94">
        <f t="shared" si="167"/>
        <v>1</v>
      </c>
      <c r="H1115" s="93">
        <f t="shared" si="168"/>
        <v>3500</v>
      </c>
      <c r="I1115" s="84">
        <f t="shared" si="169"/>
        <v>0</v>
      </c>
      <c r="J1115" s="105">
        <f t="shared" si="170"/>
        <v>0</v>
      </c>
      <c r="K1115">
        <f t="shared" si="171"/>
        <v>0</v>
      </c>
      <c r="L1115"/>
      <c r="M1115"/>
      <c r="N1115"/>
      <c r="O1115"/>
      <c r="P1115"/>
      <c r="Q1115"/>
      <c r="R1115"/>
      <c r="S1115"/>
      <c r="T1115"/>
    </row>
    <row r="1116" spans="1:20" ht="28.8" outlineLevel="4" x14ac:dyDescent="0.3">
      <c r="A1116" s="82" t="s">
        <v>1896</v>
      </c>
      <c r="B1116" s="10" t="s">
        <v>1090</v>
      </c>
      <c r="C1116" s="60" t="s">
        <v>1091</v>
      </c>
      <c r="D1116" s="44" t="s">
        <v>121</v>
      </c>
      <c r="E1116" s="84">
        <v>0</v>
      </c>
      <c r="F1116" s="84"/>
      <c r="G1116" s="94">
        <f t="shared" si="167"/>
        <v>1</v>
      </c>
      <c r="H1116" s="93">
        <f t="shared" si="168"/>
        <v>5200</v>
      </c>
      <c r="I1116" s="84">
        <f t="shared" si="169"/>
        <v>0</v>
      </c>
      <c r="J1116" s="105">
        <f t="shared" si="170"/>
        <v>0</v>
      </c>
      <c r="K1116">
        <f t="shared" si="171"/>
        <v>0</v>
      </c>
      <c r="L1116"/>
      <c r="M1116"/>
      <c r="N1116"/>
      <c r="O1116"/>
      <c r="P1116"/>
      <c r="Q1116"/>
      <c r="R1116"/>
      <c r="S1116"/>
      <c r="T1116"/>
    </row>
    <row r="1117" spans="1:20" outlineLevel="3" x14ac:dyDescent="0.3">
      <c r="A1117" s="82" t="s">
        <v>1897</v>
      </c>
      <c r="B1117" s="58" t="s">
        <v>1093</v>
      </c>
      <c r="C1117" s="61" t="s">
        <v>1094</v>
      </c>
      <c r="D1117" s="115"/>
      <c r="E1117" s="87"/>
      <c r="F1117" s="87"/>
      <c r="G1117" s="97"/>
      <c r="H1117" s="87"/>
      <c r="I1117" s="104">
        <f>SUBTOTAL(9,K1118:K1126)</f>
        <v>0</v>
      </c>
      <c r="J1117" s="108"/>
      <c r="K1117"/>
      <c r="L1117"/>
      <c r="M1117"/>
      <c r="N1117"/>
      <c r="O1117"/>
      <c r="P1117"/>
      <c r="Q1117"/>
      <c r="R1117"/>
      <c r="S1117"/>
      <c r="T1117"/>
    </row>
    <row r="1118" spans="1:20" outlineLevel="4" x14ac:dyDescent="0.3">
      <c r="A1118" s="82" t="s">
        <v>1898</v>
      </c>
      <c r="B1118" s="10" t="s">
        <v>1096</v>
      </c>
      <c r="C1118" s="60" t="s">
        <v>1051</v>
      </c>
      <c r="D1118" s="44" t="s">
        <v>141</v>
      </c>
      <c r="E1118" s="84">
        <v>0</v>
      </c>
      <c r="F1118" s="84"/>
      <c r="G1118" s="94">
        <f t="shared" ref="G1118:G1126" si="172">cell_CoefGeneral</f>
        <v>1</v>
      </c>
      <c r="H1118" s="93">
        <f t="shared" ref="H1118:H1126" si="173">H360</f>
        <v>33</v>
      </c>
      <c r="I1118" s="84">
        <f t="shared" ref="I1118:I1126" si="174">IFERROR(ROUND(E1118*H1118,2),"-")</f>
        <v>0</v>
      </c>
      <c r="J1118" s="105">
        <f t="shared" ref="J1118:J1126" si="175">IFERROR(I1118/cell_Total_HT,"-")</f>
        <v>0</v>
      </c>
      <c r="K1118">
        <f t="shared" ref="K1118:K1126" si="176">I1118</f>
        <v>0</v>
      </c>
      <c r="L1118"/>
      <c r="M1118"/>
      <c r="N1118"/>
      <c r="O1118"/>
      <c r="P1118"/>
      <c r="Q1118"/>
      <c r="R1118"/>
      <c r="S1118"/>
      <c r="T1118"/>
    </row>
    <row r="1119" spans="1:20" outlineLevel="4" x14ac:dyDescent="0.3">
      <c r="A1119" s="82" t="s">
        <v>1899</v>
      </c>
      <c r="B1119" s="10" t="s">
        <v>1098</v>
      </c>
      <c r="C1119" s="60" t="s">
        <v>1057</v>
      </c>
      <c r="D1119" s="44" t="s">
        <v>154</v>
      </c>
      <c r="E1119" s="84">
        <v>0</v>
      </c>
      <c r="F1119" s="84"/>
      <c r="G1119" s="94">
        <f t="shared" si="172"/>
        <v>1</v>
      </c>
      <c r="H1119" s="93">
        <f t="shared" si="173"/>
        <v>92</v>
      </c>
      <c r="I1119" s="84">
        <f t="shared" si="174"/>
        <v>0</v>
      </c>
      <c r="J1119" s="105">
        <f t="shared" si="175"/>
        <v>0</v>
      </c>
      <c r="K1119">
        <f t="shared" si="176"/>
        <v>0</v>
      </c>
      <c r="L1119"/>
      <c r="M1119"/>
      <c r="N1119"/>
      <c r="O1119"/>
      <c r="P1119"/>
      <c r="Q1119"/>
      <c r="R1119"/>
      <c r="S1119"/>
      <c r="T1119"/>
    </row>
    <row r="1120" spans="1:20" outlineLevel="4" x14ac:dyDescent="0.3">
      <c r="A1120" s="82" t="s">
        <v>1900</v>
      </c>
      <c r="B1120" s="10" t="s">
        <v>1100</v>
      </c>
      <c r="C1120" s="60" t="s">
        <v>1101</v>
      </c>
      <c r="D1120" s="44" t="s">
        <v>80</v>
      </c>
      <c r="E1120" s="84">
        <v>0</v>
      </c>
      <c r="F1120" s="84"/>
      <c r="G1120" s="94">
        <f t="shared" si="172"/>
        <v>1</v>
      </c>
      <c r="H1120" s="93">
        <f t="shared" si="173"/>
        <v>17</v>
      </c>
      <c r="I1120" s="84">
        <f t="shared" si="174"/>
        <v>0</v>
      </c>
      <c r="J1120" s="105">
        <f t="shared" si="175"/>
        <v>0</v>
      </c>
      <c r="K1120">
        <f t="shared" si="176"/>
        <v>0</v>
      </c>
      <c r="L1120"/>
      <c r="M1120"/>
      <c r="N1120"/>
      <c r="O1120"/>
      <c r="P1120"/>
      <c r="Q1120"/>
      <c r="R1120"/>
      <c r="S1120"/>
      <c r="T1120"/>
    </row>
    <row r="1121" spans="1:20" outlineLevel="4" x14ac:dyDescent="0.3">
      <c r="A1121" s="82" t="s">
        <v>1901</v>
      </c>
      <c r="B1121" s="10" t="s">
        <v>1103</v>
      </c>
      <c r="C1121" s="60" t="s">
        <v>1069</v>
      </c>
      <c r="D1121" s="44" t="s">
        <v>154</v>
      </c>
      <c r="E1121" s="84">
        <v>0</v>
      </c>
      <c r="F1121" s="84"/>
      <c r="G1121" s="94">
        <f t="shared" si="172"/>
        <v>1</v>
      </c>
      <c r="H1121" s="93">
        <f t="shared" si="173"/>
        <v>35</v>
      </c>
      <c r="I1121" s="84">
        <f t="shared" si="174"/>
        <v>0</v>
      </c>
      <c r="J1121" s="105">
        <f t="shared" si="175"/>
        <v>0</v>
      </c>
      <c r="K1121">
        <f t="shared" si="176"/>
        <v>0</v>
      </c>
      <c r="L1121"/>
      <c r="M1121"/>
      <c r="N1121"/>
      <c r="O1121"/>
      <c r="P1121"/>
      <c r="Q1121"/>
      <c r="R1121"/>
      <c r="S1121"/>
      <c r="T1121"/>
    </row>
    <row r="1122" spans="1:20" outlineLevel="4" x14ac:dyDescent="0.3">
      <c r="A1122" s="82" t="s">
        <v>1902</v>
      </c>
      <c r="B1122" s="10" t="s">
        <v>1105</v>
      </c>
      <c r="C1122" s="60" t="s">
        <v>1072</v>
      </c>
      <c r="D1122" s="44" t="s">
        <v>141</v>
      </c>
      <c r="E1122" s="84">
        <v>0</v>
      </c>
      <c r="F1122" s="84"/>
      <c r="G1122" s="94">
        <f t="shared" si="172"/>
        <v>1</v>
      </c>
      <c r="H1122" s="93">
        <f t="shared" si="173"/>
        <v>230</v>
      </c>
      <c r="I1122" s="84">
        <f t="shared" si="174"/>
        <v>0</v>
      </c>
      <c r="J1122" s="105">
        <f t="shared" si="175"/>
        <v>0</v>
      </c>
      <c r="K1122">
        <f t="shared" si="176"/>
        <v>0</v>
      </c>
      <c r="L1122"/>
      <c r="M1122"/>
      <c r="N1122"/>
      <c r="O1122"/>
      <c r="P1122"/>
      <c r="Q1122"/>
      <c r="R1122"/>
      <c r="S1122"/>
      <c r="T1122"/>
    </row>
    <row r="1123" spans="1:20" outlineLevel="4" x14ac:dyDescent="0.3">
      <c r="A1123" s="82" t="s">
        <v>1903</v>
      </c>
      <c r="B1123" s="10" t="s">
        <v>1107</v>
      </c>
      <c r="C1123" s="60" t="s">
        <v>1078</v>
      </c>
      <c r="D1123" s="44" t="s">
        <v>1079</v>
      </c>
      <c r="E1123" s="84">
        <v>0</v>
      </c>
      <c r="F1123" s="84"/>
      <c r="G1123" s="94">
        <f t="shared" si="172"/>
        <v>1</v>
      </c>
      <c r="H1123" s="93">
        <f t="shared" si="173"/>
        <v>1.6</v>
      </c>
      <c r="I1123" s="84">
        <f t="shared" si="174"/>
        <v>0</v>
      </c>
      <c r="J1123" s="105">
        <f t="shared" si="175"/>
        <v>0</v>
      </c>
      <c r="K1123">
        <f t="shared" si="176"/>
        <v>0</v>
      </c>
      <c r="L1123"/>
      <c r="M1123"/>
      <c r="N1123"/>
      <c r="O1123"/>
      <c r="P1123"/>
      <c r="Q1123"/>
      <c r="R1123"/>
      <c r="S1123"/>
      <c r="T1123"/>
    </row>
    <row r="1124" spans="1:20" outlineLevel="4" x14ac:dyDescent="0.3">
      <c r="A1124" s="82" t="s">
        <v>1904</v>
      </c>
      <c r="B1124" s="10" t="s">
        <v>1109</v>
      </c>
      <c r="C1124" s="60" t="s">
        <v>1082</v>
      </c>
      <c r="D1124" s="44" t="s">
        <v>154</v>
      </c>
      <c r="E1124" s="84">
        <v>0</v>
      </c>
      <c r="F1124" s="84"/>
      <c r="G1124" s="94">
        <f t="shared" si="172"/>
        <v>1</v>
      </c>
      <c r="H1124" s="93">
        <f t="shared" si="173"/>
        <v>12</v>
      </c>
      <c r="I1124" s="84">
        <f t="shared" si="174"/>
        <v>0</v>
      </c>
      <c r="J1124" s="105">
        <f t="shared" si="175"/>
        <v>0</v>
      </c>
      <c r="K1124">
        <f t="shared" si="176"/>
        <v>0</v>
      </c>
      <c r="L1124"/>
      <c r="M1124"/>
      <c r="N1124"/>
      <c r="O1124"/>
      <c r="P1124"/>
      <c r="Q1124"/>
      <c r="R1124"/>
      <c r="S1124"/>
      <c r="T1124"/>
    </row>
    <row r="1125" spans="1:20" outlineLevel="4" x14ac:dyDescent="0.3">
      <c r="A1125" s="82" t="s">
        <v>1905</v>
      </c>
      <c r="B1125" s="10" t="s">
        <v>1111</v>
      </c>
      <c r="C1125" s="60" t="s">
        <v>1085</v>
      </c>
      <c r="D1125" s="44" t="s">
        <v>154</v>
      </c>
      <c r="E1125" s="84">
        <v>0</v>
      </c>
      <c r="F1125" s="84"/>
      <c r="G1125" s="94">
        <f t="shared" si="172"/>
        <v>1</v>
      </c>
      <c r="H1125" s="93">
        <f t="shared" si="173"/>
        <v>9.1999999999999993</v>
      </c>
      <c r="I1125" s="84">
        <f t="shared" si="174"/>
        <v>0</v>
      </c>
      <c r="J1125" s="105">
        <f t="shared" si="175"/>
        <v>0</v>
      </c>
      <c r="K1125">
        <f t="shared" si="176"/>
        <v>0</v>
      </c>
      <c r="L1125"/>
      <c r="M1125"/>
      <c r="N1125"/>
      <c r="O1125"/>
      <c r="P1125"/>
      <c r="Q1125"/>
      <c r="R1125"/>
      <c r="S1125"/>
      <c r="T1125"/>
    </row>
    <row r="1126" spans="1:20" outlineLevel="4" x14ac:dyDescent="0.3">
      <c r="A1126" s="82" t="s">
        <v>1906</v>
      </c>
      <c r="B1126" s="10" t="s">
        <v>1113</v>
      </c>
      <c r="C1126" s="60" t="s">
        <v>1114</v>
      </c>
      <c r="D1126" s="44" t="s">
        <v>154</v>
      </c>
      <c r="E1126" s="84">
        <v>0</v>
      </c>
      <c r="F1126" s="84"/>
      <c r="G1126" s="94">
        <f t="shared" si="172"/>
        <v>1</v>
      </c>
      <c r="H1126" s="93">
        <f t="shared" si="173"/>
        <v>100</v>
      </c>
      <c r="I1126" s="84">
        <f t="shared" si="174"/>
        <v>0</v>
      </c>
      <c r="J1126" s="105">
        <f t="shared" si="175"/>
        <v>0</v>
      </c>
      <c r="K1126">
        <f t="shared" si="176"/>
        <v>0</v>
      </c>
      <c r="L1126"/>
      <c r="M1126"/>
      <c r="N1126"/>
      <c r="O1126"/>
      <c r="P1126"/>
      <c r="Q1126"/>
      <c r="R1126"/>
      <c r="S1126"/>
      <c r="T1126"/>
    </row>
    <row r="1127" spans="1:20" outlineLevel="3" x14ac:dyDescent="0.3">
      <c r="A1127" s="82" t="s">
        <v>1907</v>
      </c>
      <c r="B1127" s="58" t="s">
        <v>1116</v>
      </c>
      <c r="C1127" s="61" t="s">
        <v>1117</v>
      </c>
      <c r="D1127" s="115"/>
      <c r="E1127" s="87"/>
      <c r="F1127" s="87"/>
      <c r="G1127" s="97"/>
      <c r="H1127" s="87"/>
      <c r="I1127" s="104">
        <f>SUBTOTAL(9,K1128:K1129)</f>
        <v>0</v>
      </c>
      <c r="J1127" s="108"/>
      <c r="K1127"/>
      <c r="L1127"/>
      <c r="M1127"/>
      <c r="N1127"/>
      <c r="O1127"/>
      <c r="P1127"/>
      <c r="Q1127"/>
      <c r="R1127"/>
      <c r="S1127"/>
      <c r="T1127"/>
    </row>
    <row r="1128" spans="1:20" outlineLevel="4" x14ac:dyDescent="0.3">
      <c r="A1128" s="82" t="s">
        <v>1908</v>
      </c>
      <c r="B1128" s="10" t="s">
        <v>1119</v>
      </c>
      <c r="C1128" s="60" t="s">
        <v>1120</v>
      </c>
      <c r="D1128" s="44" t="s">
        <v>154</v>
      </c>
      <c r="E1128" s="84">
        <v>0</v>
      </c>
      <c r="F1128" s="84"/>
      <c r="G1128" s="94">
        <f>cell_CoefGeneral</f>
        <v>1</v>
      </c>
      <c r="H1128" s="93">
        <f>H370</f>
        <v>52</v>
      </c>
      <c r="I1128" s="84">
        <f>IFERROR(ROUND(E1128*H1128,2),"-")</f>
        <v>0</v>
      </c>
      <c r="J1128" s="105">
        <f>IFERROR(I1128/cell_Total_HT,"-")</f>
        <v>0</v>
      </c>
      <c r="K1128">
        <f>I1128</f>
        <v>0</v>
      </c>
      <c r="L1128"/>
      <c r="M1128"/>
      <c r="N1128"/>
      <c r="O1128"/>
      <c r="P1128"/>
      <c r="Q1128"/>
      <c r="R1128"/>
      <c r="S1128"/>
      <c r="T1128"/>
    </row>
    <row r="1129" spans="1:20" ht="15" outlineLevel="4" thickBot="1" x14ac:dyDescent="0.35">
      <c r="A1129" s="82" t="s">
        <v>1909</v>
      </c>
      <c r="B1129" s="10" t="s">
        <v>1122</v>
      </c>
      <c r="C1129" s="60" t="s">
        <v>1123</v>
      </c>
      <c r="D1129" s="44" t="s">
        <v>154</v>
      </c>
      <c r="E1129" s="84">
        <v>0</v>
      </c>
      <c r="F1129" s="84"/>
      <c r="G1129" s="94">
        <f>cell_CoefGeneral</f>
        <v>1</v>
      </c>
      <c r="H1129" s="93">
        <f>H371</f>
        <v>52</v>
      </c>
      <c r="I1129" s="84">
        <f>IFERROR(ROUND(E1129*H1129,2),"-")</f>
        <v>0</v>
      </c>
      <c r="J1129" s="105">
        <f>IFERROR(I1129/cell_Total_HT,"-")</f>
        <v>0</v>
      </c>
      <c r="K1129">
        <f>I1129</f>
        <v>0</v>
      </c>
      <c r="L1129"/>
      <c r="M1129"/>
      <c r="N1129"/>
      <c r="O1129"/>
      <c r="P1129"/>
      <c r="Q1129"/>
      <c r="R1129"/>
      <c r="S1129"/>
      <c r="T1129"/>
    </row>
    <row r="1130" spans="1:20" ht="15" outlineLevel="2" thickTop="1" x14ac:dyDescent="0.3">
      <c r="A1130" s="82" t="s">
        <v>1910</v>
      </c>
      <c r="B1130" s="62" t="s">
        <v>60</v>
      </c>
      <c r="C1130" s="63" t="s">
        <v>1125</v>
      </c>
      <c r="D1130" s="116"/>
      <c r="E1130" s="88"/>
      <c r="F1130" s="88"/>
      <c r="G1130" s="98"/>
      <c r="H1130" s="88"/>
      <c r="I1130" s="88">
        <f>SUBTOTAL(9,I1101:I1129)</f>
        <v>0</v>
      </c>
      <c r="J1130" s="109"/>
      <c r="K1130"/>
      <c r="L1130"/>
      <c r="M1130"/>
      <c r="N1130"/>
      <c r="O1130"/>
      <c r="P1130"/>
      <c r="Q1130"/>
      <c r="R1130"/>
      <c r="S1130"/>
      <c r="T1130"/>
    </row>
    <row r="1131" spans="1:20" outlineLevel="2" x14ac:dyDescent="0.3">
      <c r="A1131" s="82" t="s">
        <v>1911</v>
      </c>
      <c r="B1131" s="64" t="s">
        <v>1127</v>
      </c>
      <c r="C1131" s="65" t="s">
        <v>1128</v>
      </c>
      <c r="D1131" s="117"/>
      <c r="E1131" s="87"/>
      <c r="F1131" s="87"/>
      <c r="G1131" s="97"/>
      <c r="H1131" s="87"/>
      <c r="I1131" s="104">
        <f>SUBTOTAL(9,K1132:K1141)</f>
        <v>25200</v>
      </c>
      <c r="J1131" s="108"/>
      <c r="K1131"/>
      <c r="L1131"/>
      <c r="M1131"/>
      <c r="N1131"/>
      <c r="O1131"/>
      <c r="P1131"/>
      <c r="Q1131"/>
      <c r="R1131"/>
      <c r="S1131"/>
      <c r="T1131"/>
    </row>
    <row r="1132" spans="1:20" outlineLevel="3" x14ac:dyDescent="0.3">
      <c r="A1132" s="82" t="s">
        <v>1912</v>
      </c>
      <c r="B1132" s="64" t="s">
        <v>1130</v>
      </c>
      <c r="C1132" s="66" t="s">
        <v>1131</v>
      </c>
      <c r="D1132" s="117"/>
      <c r="E1132" s="87"/>
      <c r="F1132" s="87"/>
      <c r="G1132" s="97"/>
      <c r="H1132" s="87"/>
      <c r="I1132" s="104">
        <f>SUBTOTAL(9,K1133:K1141)</f>
        <v>25200</v>
      </c>
      <c r="J1132" s="108"/>
      <c r="K1132"/>
      <c r="L1132"/>
      <c r="M1132"/>
      <c r="N1132"/>
      <c r="O1132"/>
      <c r="P1132"/>
      <c r="Q1132"/>
      <c r="R1132"/>
      <c r="S1132"/>
      <c r="T1132"/>
    </row>
    <row r="1133" spans="1:20" outlineLevel="4" x14ac:dyDescent="0.3">
      <c r="A1133" s="82" t="s">
        <v>1913</v>
      </c>
      <c r="B1133" s="10" t="s">
        <v>1133</v>
      </c>
      <c r="C1133" s="60" t="s">
        <v>1134</v>
      </c>
      <c r="D1133" s="44" t="s">
        <v>121</v>
      </c>
      <c r="E1133" s="84">
        <v>55</v>
      </c>
      <c r="F1133" s="84"/>
      <c r="G1133" s="94">
        <f t="shared" ref="G1133:G1141" si="177">cell_CoefGeneral</f>
        <v>1</v>
      </c>
      <c r="H1133" s="93">
        <f t="shared" ref="H1133:H1141" si="178">H375</f>
        <v>100</v>
      </c>
      <c r="I1133" s="84">
        <f t="shared" ref="I1133:I1141" si="179">IFERROR(ROUND(E1133*H1133,2),"-")</f>
        <v>5500</v>
      </c>
      <c r="J1133" s="105">
        <f t="shared" ref="J1133:J1141" si="180">IFERROR(I1133/cell_Total_HT,"-")</f>
        <v>1.6237257627562489E-3</v>
      </c>
      <c r="K1133">
        <f t="shared" ref="K1133:K1141" si="181">I1133</f>
        <v>5500</v>
      </c>
      <c r="L1133"/>
      <c r="M1133"/>
      <c r="N1133"/>
      <c r="O1133"/>
      <c r="P1133"/>
      <c r="Q1133"/>
      <c r="R1133"/>
      <c r="S1133"/>
      <c r="T1133"/>
    </row>
    <row r="1134" spans="1:20" outlineLevel="4" x14ac:dyDescent="0.3">
      <c r="A1134" s="82" t="s">
        <v>1914</v>
      </c>
      <c r="B1134" s="10" t="s">
        <v>1136</v>
      </c>
      <c r="C1134" s="60" t="s">
        <v>1137</v>
      </c>
      <c r="D1134" s="44" t="s">
        <v>121</v>
      </c>
      <c r="E1134" s="84">
        <v>20</v>
      </c>
      <c r="F1134" s="84"/>
      <c r="G1134" s="94">
        <f t="shared" si="177"/>
        <v>1</v>
      </c>
      <c r="H1134" s="93">
        <f t="shared" si="178"/>
        <v>120</v>
      </c>
      <c r="I1134" s="84">
        <f t="shared" si="179"/>
        <v>2400</v>
      </c>
      <c r="J1134" s="105">
        <f t="shared" si="180"/>
        <v>7.0853487829363588E-4</v>
      </c>
      <c r="K1134">
        <f t="shared" si="181"/>
        <v>2400</v>
      </c>
      <c r="L1134"/>
      <c r="M1134"/>
      <c r="N1134"/>
      <c r="O1134"/>
      <c r="P1134"/>
      <c r="Q1134"/>
      <c r="R1134"/>
      <c r="S1134"/>
      <c r="T1134"/>
    </row>
    <row r="1135" spans="1:20" outlineLevel="4" x14ac:dyDescent="0.3">
      <c r="A1135" s="82" t="s">
        <v>1915</v>
      </c>
      <c r="B1135" s="10" t="s">
        <v>1139</v>
      </c>
      <c r="C1135" s="60" t="s">
        <v>1140</v>
      </c>
      <c r="D1135" s="44" t="s">
        <v>121</v>
      </c>
      <c r="E1135" s="84">
        <v>36</v>
      </c>
      <c r="F1135" s="84"/>
      <c r="G1135" s="94">
        <f t="shared" si="177"/>
        <v>1</v>
      </c>
      <c r="H1135" s="93">
        <f t="shared" si="178"/>
        <v>300</v>
      </c>
      <c r="I1135" s="84">
        <f t="shared" si="179"/>
        <v>10800</v>
      </c>
      <c r="J1135" s="105">
        <f t="shared" si="180"/>
        <v>3.1884069523213615E-3</v>
      </c>
      <c r="K1135">
        <f t="shared" si="181"/>
        <v>10800</v>
      </c>
      <c r="L1135"/>
      <c r="M1135"/>
      <c r="N1135"/>
      <c r="O1135"/>
      <c r="P1135"/>
      <c r="Q1135"/>
      <c r="R1135"/>
      <c r="S1135"/>
      <c r="T1135"/>
    </row>
    <row r="1136" spans="1:20" outlineLevel="4" x14ac:dyDescent="0.3">
      <c r="A1136" s="82" t="s">
        <v>1916</v>
      </c>
      <c r="B1136" s="10" t="s">
        <v>1142</v>
      </c>
      <c r="C1136" s="60" t="s">
        <v>1143</v>
      </c>
      <c r="D1136" s="44" t="s">
        <v>121</v>
      </c>
      <c r="E1136" s="84">
        <v>0</v>
      </c>
      <c r="F1136" s="84"/>
      <c r="G1136" s="94">
        <f t="shared" si="177"/>
        <v>1</v>
      </c>
      <c r="H1136" s="93">
        <f t="shared" si="178"/>
        <v>450</v>
      </c>
      <c r="I1136" s="84">
        <f t="shared" si="179"/>
        <v>0</v>
      </c>
      <c r="J1136" s="105">
        <f t="shared" si="180"/>
        <v>0</v>
      </c>
      <c r="K1136">
        <f t="shared" si="181"/>
        <v>0</v>
      </c>
      <c r="L1136"/>
      <c r="M1136"/>
      <c r="N1136"/>
      <c r="O1136"/>
      <c r="P1136"/>
      <c r="Q1136"/>
      <c r="R1136"/>
      <c r="S1136"/>
      <c r="T1136"/>
    </row>
    <row r="1137" spans="1:20" outlineLevel="4" x14ac:dyDescent="0.3">
      <c r="A1137" s="82" t="s">
        <v>1917</v>
      </c>
      <c r="B1137" s="10" t="s">
        <v>1145</v>
      </c>
      <c r="C1137" s="60" t="s">
        <v>1146</v>
      </c>
      <c r="D1137" s="44" t="s">
        <v>121</v>
      </c>
      <c r="E1137" s="84">
        <v>6</v>
      </c>
      <c r="F1137" s="84"/>
      <c r="G1137" s="94">
        <f t="shared" si="177"/>
        <v>1</v>
      </c>
      <c r="H1137" s="93">
        <f t="shared" si="178"/>
        <v>200</v>
      </c>
      <c r="I1137" s="84">
        <f t="shared" si="179"/>
        <v>1200</v>
      </c>
      <c r="J1137" s="105">
        <f t="shared" si="180"/>
        <v>3.5426743914681794E-4</v>
      </c>
      <c r="K1137">
        <f t="shared" si="181"/>
        <v>1200</v>
      </c>
      <c r="L1137"/>
      <c r="M1137"/>
      <c r="N1137"/>
      <c r="O1137"/>
      <c r="P1137"/>
      <c r="Q1137"/>
      <c r="R1137"/>
      <c r="S1137"/>
      <c r="T1137"/>
    </row>
    <row r="1138" spans="1:20" outlineLevel="4" x14ac:dyDescent="0.3">
      <c r="A1138" s="82" t="s">
        <v>1918</v>
      </c>
      <c r="B1138" s="10" t="s">
        <v>1148</v>
      </c>
      <c r="C1138" s="60" t="s">
        <v>1149</v>
      </c>
      <c r="D1138" s="44" t="s">
        <v>93</v>
      </c>
      <c r="E1138" s="84">
        <v>1</v>
      </c>
      <c r="F1138" s="84"/>
      <c r="G1138" s="94">
        <f t="shared" si="177"/>
        <v>1</v>
      </c>
      <c r="H1138" s="93">
        <f t="shared" si="178"/>
        <v>5300</v>
      </c>
      <c r="I1138" s="84">
        <f t="shared" si="179"/>
        <v>5300</v>
      </c>
      <c r="J1138" s="105">
        <f t="shared" si="180"/>
        <v>1.5646811895651126E-3</v>
      </c>
      <c r="K1138">
        <f t="shared" si="181"/>
        <v>5300</v>
      </c>
      <c r="L1138"/>
      <c r="M1138"/>
      <c r="N1138"/>
      <c r="O1138"/>
      <c r="P1138"/>
      <c r="Q1138"/>
      <c r="R1138"/>
      <c r="S1138"/>
      <c r="T1138"/>
    </row>
    <row r="1139" spans="1:20" outlineLevel="4" x14ac:dyDescent="0.3">
      <c r="A1139" s="82" t="s">
        <v>1919</v>
      </c>
      <c r="B1139" s="10" t="s">
        <v>1151</v>
      </c>
      <c r="C1139" s="60" t="s">
        <v>1152</v>
      </c>
      <c r="D1139" s="44" t="s">
        <v>121</v>
      </c>
      <c r="E1139" s="84">
        <v>0</v>
      </c>
      <c r="F1139" s="84"/>
      <c r="G1139" s="94">
        <f t="shared" si="177"/>
        <v>1</v>
      </c>
      <c r="H1139" s="93">
        <f t="shared" si="178"/>
        <v>200</v>
      </c>
      <c r="I1139" s="84">
        <f t="shared" si="179"/>
        <v>0</v>
      </c>
      <c r="J1139" s="105">
        <f t="shared" si="180"/>
        <v>0</v>
      </c>
      <c r="K1139">
        <f t="shared" si="181"/>
        <v>0</v>
      </c>
      <c r="L1139"/>
      <c r="M1139"/>
      <c r="N1139"/>
      <c r="O1139"/>
      <c r="P1139"/>
      <c r="Q1139"/>
      <c r="R1139"/>
      <c r="S1139"/>
      <c r="T1139"/>
    </row>
    <row r="1140" spans="1:20" outlineLevel="4" x14ac:dyDescent="0.3">
      <c r="A1140" s="82" t="s">
        <v>1920</v>
      </c>
      <c r="B1140" s="10" t="s">
        <v>1154</v>
      </c>
      <c r="C1140" s="60" t="s">
        <v>1155</v>
      </c>
      <c r="D1140" s="44" t="s">
        <v>93</v>
      </c>
      <c r="E1140" s="84">
        <v>0</v>
      </c>
      <c r="F1140" s="84"/>
      <c r="G1140" s="94">
        <f t="shared" si="177"/>
        <v>1</v>
      </c>
      <c r="H1140" s="93">
        <f t="shared" si="178"/>
        <v>2200</v>
      </c>
      <c r="I1140" s="84">
        <f t="shared" si="179"/>
        <v>0</v>
      </c>
      <c r="J1140" s="105">
        <f t="shared" si="180"/>
        <v>0</v>
      </c>
      <c r="K1140">
        <f t="shared" si="181"/>
        <v>0</v>
      </c>
      <c r="L1140"/>
      <c r="M1140"/>
      <c r="N1140"/>
      <c r="O1140"/>
      <c r="P1140"/>
      <c r="Q1140"/>
      <c r="R1140"/>
      <c r="S1140"/>
      <c r="T1140"/>
    </row>
    <row r="1141" spans="1:20" ht="15" outlineLevel="4" thickBot="1" x14ac:dyDescent="0.35">
      <c r="A1141" s="82" t="s">
        <v>1921</v>
      </c>
      <c r="B1141" s="10" t="s">
        <v>1157</v>
      </c>
      <c r="C1141" s="60" t="s">
        <v>1158</v>
      </c>
      <c r="D1141" s="44" t="s">
        <v>93</v>
      </c>
      <c r="E1141" s="84">
        <v>0</v>
      </c>
      <c r="F1141" s="84"/>
      <c r="G1141" s="94">
        <f t="shared" si="177"/>
        <v>1</v>
      </c>
      <c r="H1141" s="93">
        <f t="shared" si="178"/>
        <v>7400</v>
      </c>
      <c r="I1141" s="84">
        <f t="shared" si="179"/>
        <v>0</v>
      </c>
      <c r="J1141" s="105">
        <f t="shared" si="180"/>
        <v>0</v>
      </c>
      <c r="K1141">
        <f t="shared" si="181"/>
        <v>0</v>
      </c>
      <c r="L1141"/>
      <c r="M1141"/>
      <c r="N1141"/>
      <c r="O1141"/>
      <c r="P1141"/>
      <c r="Q1141"/>
      <c r="R1141"/>
      <c r="S1141"/>
      <c r="T1141"/>
    </row>
    <row r="1142" spans="1:20" ht="15" outlineLevel="2" thickTop="1" x14ac:dyDescent="0.3">
      <c r="A1142" s="82" t="s">
        <v>1922</v>
      </c>
      <c r="B1142" s="62" t="s">
        <v>60</v>
      </c>
      <c r="C1142" s="63" t="s">
        <v>1160</v>
      </c>
      <c r="D1142" s="116"/>
      <c r="E1142" s="88"/>
      <c r="F1142" s="88"/>
      <c r="G1142" s="98"/>
      <c r="H1142" s="88"/>
      <c r="I1142" s="88">
        <f>SUBTOTAL(9,I1133:I1141)</f>
        <v>25200</v>
      </c>
      <c r="J1142" s="109"/>
      <c r="K1142"/>
      <c r="L1142"/>
      <c r="M1142"/>
      <c r="N1142"/>
      <c r="O1142"/>
      <c r="P1142"/>
      <c r="Q1142"/>
      <c r="R1142"/>
      <c r="S1142"/>
      <c r="T1142"/>
    </row>
    <row r="1143" spans="1:20" outlineLevel="1" x14ac:dyDescent="0.3">
      <c r="A1143" s="82" t="s">
        <v>1923</v>
      </c>
      <c r="B1143" s="67" t="s">
        <v>60</v>
      </c>
      <c r="C1143" s="68" t="s">
        <v>1924</v>
      </c>
      <c r="D1143" s="118"/>
      <c r="E1143" s="89"/>
      <c r="F1143" s="89"/>
      <c r="G1143" s="99"/>
      <c r="H1143" s="89"/>
      <c r="I1143" s="89">
        <f>ROUND(I780+I820+I842+I898+I925+I941+I955+I985+I1010+I1025+I1050+I1058+I1067+I1099+I1130+I1142,2)</f>
        <v>427354.4</v>
      </c>
      <c r="J1143" s="110"/>
      <c r="K1143"/>
      <c r="L1143"/>
      <c r="M1143"/>
      <c r="N1143"/>
      <c r="O1143"/>
      <c r="P1143"/>
      <c r="Q1143"/>
      <c r="R1143"/>
      <c r="S1143"/>
      <c r="T1143"/>
    </row>
    <row r="1144" spans="1:20" ht="15" outlineLevel="1" thickBot="1" x14ac:dyDescent="0.35">
      <c r="A1144" s="82" t="s">
        <v>1925</v>
      </c>
      <c r="B1144" s="69" t="s">
        <v>60</v>
      </c>
      <c r="C1144" s="70" t="s">
        <v>1926</v>
      </c>
      <c r="D1144" s="119"/>
      <c r="E1144" s="86"/>
      <c r="F1144" s="86"/>
      <c r="G1144" s="96"/>
      <c r="H1144" s="86"/>
      <c r="I1144" s="103">
        <f>SUBTOTAL(9,K1145:K1520)</f>
        <v>106869.90000000001</v>
      </c>
      <c r="J1144" s="107"/>
      <c r="K1144"/>
      <c r="L1144"/>
      <c r="M1144"/>
      <c r="N1144"/>
      <c r="O1144"/>
      <c r="P1144"/>
      <c r="Q1144"/>
      <c r="R1144"/>
      <c r="S1144"/>
      <c r="T1144"/>
    </row>
    <row r="1145" spans="1:20" outlineLevel="2" x14ac:dyDescent="0.3">
      <c r="A1145" s="82" t="s">
        <v>1927</v>
      </c>
      <c r="B1145" s="64" t="s">
        <v>65</v>
      </c>
      <c r="C1145" s="65" t="s">
        <v>66</v>
      </c>
      <c r="D1145" s="117"/>
      <c r="E1145" s="87"/>
      <c r="F1145" s="87"/>
      <c r="G1145" s="97"/>
      <c r="H1145" s="87"/>
      <c r="I1145" s="104">
        <f>SUBTOTAL(9,K1146:K1158)</f>
        <v>4290</v>
      </c>
      <c r="J1145" s="108"/>
      <c r="K1145"/>
      <c r="L1145"/>
      <c r="M1145"/>
      <c r="N1145"/>
      <c r="O1145"/>
      <c r="P1145"/>
      <c r="Q1145"/>
      <c r="R1145"/>
      <c r="S1145"/>
      <c r="T1145"/>
    </row>
    <row r="1146" spans="1:20" outlineLevel="3" x14ac:dyDescent="0.3">
      <c r="A1146" s="82" t="s">
        <v>1928</v>
      </c>
      <c r="B1146" s="10" t="s">
        <v>68</v>
      </c>
      <c r="C1146" s="60" t="s">
        <v>69</v>
      </c>
      <c r="D1146" s="44" t="s">
        <v>70</v>
      </c>
      <c r="E1146" s="84">
        <v>0</v>
      </c>
      <c r="F1146" s="84"/>
      <c r="G1146" s="94">
        <f>cell_CoefGeneral</f>
        <v>1</v>
      </c>
      <c r="H1146" s="93">
        <f>H9</f>
        <v>5700</v>
      </c>
      <c r="I1146" s="84">
        <f>IFERROR(ROUND(E1146*H1146,2),"-")</f>
        <v>0</v>
      </c>
      <c r="J1146" s="105">
        <f>IFERROR(I1146/cell_Total_HT,"-")</f>
        <v>0</v>
      </c>
      <c r="K1146">
        <f>I1146</f>
        <v>0</v>
      </c>
      <c r="L1146"/>
      <c r="M1146"/>
      <c r="N1146"/>
      <c r="O1146"/>
      <c r="P1146"/>
      <c r="Q1146"/>
      <c r="R1146"/>
      <c r="S1146"/>
      <c r="T1146"/>
    </row>
    <row r="1147" spans="1:20" outlineLevel="3" x14ac:dyDescent="0.3">
      <c r="A1147" s="82" t="s">
        <v>1929</v>
      </c>
      <c r="B1147" s="10" t="s">
        <v>72</v>
      </c>
      <c r="C1147" s="60" t="s">
        <v>73</v>
      </c>
      <c r="D1147" s="44" t="s">
        <v>70</v>
      </c>
      <c r="E1147" s="84">
        <v>0</v>
      </c>
      <c r="F1147" s="84"/>
      <c r="G1147" s="94">
        <f>cell_CoefGeneral</f>
        <v>1</v>
      </c>
      <c r="H1147" s="93">
        <f>H10</f>
        <v>780</v>
      </c>
      <c r="I1147" s="84">
        <f>IFERROR(ROUND(E1147*H1147,2),"-")</f>
        <v>0</v>
      </c>
      <c r="J1147" s="105">
        <f>IFERROR(I1147/cell_Total_HT,"-")</f>
        <v>0</v>
      </c>
      <c r="K1147">
        <f>I1147</f>
        <v>0</v>
      </c>
      <c r="L1147"/>
      <c r="M1147"/>
      <c r="N1147"/>
      <c r="O1147"/>
      <c r="P1147"/>
      <c r="Q1147"/>
      <c r="R1147"/>
      <c r="S1147"/>
      <c r="T1147"/>
    </row>
    <row r="1148" spans="1:20" outlineLevel="3" x14ac:dyDescent="0.3">
      <c r="A1148" s="82" t="s">
        <v>1930</v>
      </c>
      <c r="B1148" s="58" t="s">
        <v>75</v>
      </c>
      <c r="C1148" s="61" t="s">
        <v>76</v>
      </c>
      <c r="D1148" s="115"/>
      <c r="E1148" s="87"/>
      <c r="F1148" s="87"/>
      <c r="G1148" s="97"/>
      <c r="H1148" s="87"/>
      <c r="I1148" s="104">
        <f>SUBTOTAL(9,K1149:K1152)</f>
        <v>4290</v>
      </c>
      <c r="J1148" s="108"/>
      <c r="K1148"/>
      <c r="L1148"/>
      <c r="M1148"/>
      <c r="N1148"/>
      <c r="O1148"/>
      <c r="P1148"/>
      <c r="Q1148"/>
      <c r="R1148"/>
      <c r="S1148"/>
      <c r="T1148"/>
    </row>
    <row r="1149" spans="1:20" outlineLevel="4" x14ac:dyDescent="0.3">
      <c r="A1149" s="82" t="s">
        <v>1931</v>
      </c>
      <c r="B1149" s="10" t="s">
        <v>78</v>
      </c>
      <c r="C1149" s="60" t="s">
        <v>79</v>
      </c>
      <c r="D1149" s="44" t="s">
        <v>80</v>
      </c>
      <c r="E1149" s="84">
        <v>0</v>
      </c>
      <c r="F1149" s="84"/>
      <c r="G1149" s="94">
        <f t="shared" ref="G1149:G1158" si="182">cell_CoefGeneral</f>
        <v>1</v>
      </c>
      <c r="H1149" s="93">
        <f t="shared" ref="H1149:H1158" si="183">H12</f>
        <v>48</v>
      </c>
      <c r="I1149" s="84">
        <f t="shared" ref="I1149:I1158" si="184">IFERROR(ROUND(E1149*H1149,2),"-")</f>
        <v>0</v>
      </c>
      <c r="J1149" s="105">
        <f t="shared" ref="J1149:J1158" si="185">IFERROR(I1149/cell_Total_HT,"-")</f>
        <v>0</v>
      </c>
      <c r="K1149">
        <f t="shared" ref="K1149:K1158" si="186">I1149</f>
        <v>0</v>
      </c>
      <c r="L1149"/>
      <c r="M1149"/>
      <c r="N1149"/>
      <c r="O1149"/>
      <c r="P1149"/>
      <c r="Q1149"/>
      <c r="R1149"/>
      <c r="S1149"/>
      <c r="T1149"/>
    </row>
    <row r="1150" spans="1:20" outlineLevel="4" x14ac:dyDescent="0.3">
      <c r="A1150" s="82" t="s">
        <v>1932</v>
      </c>
      <c r="B1150" s="10" t="s">
        <v>82</v>
      </c>
      <c r="C1150" s="60" t="s">
        <v>83</v>
      </c>
      <c r="D1150" s="44" t="s">
        <v>80</v>
      </c>
      <c r="E1150" s="84">
        <v>0</v>
      </c>
      <c r="F1150" s="84"/>
      <c r="G1150" s="94">
        <f t="shared" si="182"/>
        <v>1</v>
      </c>
      <c r="H1150" s="93">
        <f t="shared" si="183"/>
        <v>11</v>
      </c>
      <c r="I1150" s="84">
        <f t="shared" si="184"/>
        <v>0</v>
      </c>
      <c r="J1150" s="105">
        <f t="shared" si="185"/>
        <v>0</v>
      </c>
      <c r="K1150">
        <f t="shared" si="186"/>
        <v>0</v>
      </c>
      <c r="L1150"/>
      <c r="M1150"/>
      <c r="N1150"/>
      <c r="O1150"/>
      <c r="P1150"/>
      <c r="Q1150"/>
      <c r="R1150"/>
      <c r="S1150"/>
      <c r="T1150"/>
    </row>
    <row r="1151" spans="1:20" outlineLevel="4" x14ac:dyDescent="0.3">
      <c r="A1151" s="82" t="s">
        <v>1933</v>
      </c>
      <c r="B1151" s="10" t="s">
        <v>85</v>
      </c>
      <c r="C1151" s="60" t="s">
        <v>86</v>
      </c>
      <c r="D1151" s="44" t="s">
        <v>80</v>
      </c>
      <c r="E1151" s="84">
        <v>55</v>
      </c>
      <c r="F1151" s="84"/>
      <c r="G1151" s="94">
        <f t="shared" si="182"/>
        <v>1</v>
      </c>
      <c r="H1151" s="93">
        <f t="shared" si="183"/>
        <v>67</v>
      </c>
      <c r="I1151" s="84">
        <f t="shared" si="184"/>
        <v>3685</v>
      </c>
      <c r="J1151" s="105">
        <f t="shared" si="185"/>
        <v>1.0878962610466867E-3</v>
      </c>
      <c r="K1151">
        <f t="shared" si="186"/>
        <v>3685</v>
      </c>
      <c r="L1151"/>
      <c r="M1151"/>
      <c r="N1151"/>
      <c r="O1151"/>
      <c r="P1151"/>
      <c r="Q1151"/>
      <c r="R1151"/>
      <c r="S1151"/>
      <c r="T1151"/>
    </row>
    <row r="1152" spans="1:20" outlineLevel="4" x14ac:dyDescent="0.3">
      <c r="A1152" s="82" t="s">
        <v>1934</v>
      </c>
      <c r="B1152" s="10" t="s">
        <v>88</v>
      </c>
      <c r="C1152" s="60" t="s">
        <v>89</v>
      </c>
      <c r="D1152" s="44" t="s">
        <v>80</v>
      </c>
      <c r="E1152" s="84">
        <v>55</v>
      </c>
      <c r="F1152" s="84"/>
      <c r="G1152" s="94">
        <f t="shared" si="182"/>
        <v>1</v>
      </c>
      <c r="H1152" s="93">
        <f t="shared" si="183"/>
        <v>11</v>
      </c>
      <c r="I1152" s="84">
        <f t="shared" si="184"/>
        <v>605</v>
      </c>
      <c r="J1152" s="105">
        <f t="shared" si="185"/>
        <v>1.7860983390318737E-4</v>
      </c>
      <c r="K1152">
        <f t="shared" si="186"/>
        <v>605</v>
      </c>
      <c r="L1152"/>
      <c r="M1152"/>
      <c r="N1152"/>
      <c r="O1152"/>
      <c r="P1152"/>
      <c r="Q1152"/>
      <c r="R1152"/>
      <c r="S1152"/>
      <c r="T1152"/>
    </row>
    <row r="1153" spans="1:20" outlineLevel="3" x14ac:dyDescent="0.3">
      <c r="A1153" s="82" t="s">
        <v>1935</v>
      </c>
      <c r="B1153" s="10" t="s">
        <v>91</v>
      </c>
      <c r="C1153" s="60" t="s">
        <v>92</v>
      </c>
      <c r="D1153" s="44" t="s">
        <v>93</v>
      </c>
      <c r="E1153" s="84">
        <v>0</v>
      </c>
      <c r="F1153" s="84"/>
      <c r="G1153" s="94">
        <f t="shared" si="182"/>
        <v>1</v>
      </c>
      <c r="H1153" s="93">
        <f t="shared" si="183"/>
        <v>52000</v>
      </c>
      <c r="I1153" s="84">
        <f t="shared" si="184"/>
        <v>0</v>
      </c>
      <c r="J1153" s="105">
        <f t="shared" si="185"/>
        <v>0</v>
      </c>
      <c r="K1153">
        <f t="shared" si="186"/>
        <v>0</v>
      </c>
      <c r="L1153"/>
      <c r="M1153"/>
      <c r="N1153"/>
      <c r="O1153"/>
      <c r="P1153"/>
      <c r="Q1153"/>
      <c r="R1153"/>
      <c r="S1153"/>
      <c r="T1153"/>
    </row>
    <row r="1154" spans="1:20" outlineLevel="3" x14ac:dyDescent="0.3">
      <c r="A1154" s="82" t="s">
        <v>1936</v>
      </c>
      <c r="B1154" s="10" t="s">
        <v>95</v>
      </c>
      <c r="C1154" s="60" t="s">
        <v>96</v>
      </c>
      <c r="D1154" s="44" t="s">
        <v>93</v>
      </c>
      <c r="E1154" s="84">
        <v>0</v>
      </c>
      <c r="F1154" s="84"/>
      <c r="G1154" s="94">
        <f t="shared" si="182"/>
        <v>1</v>
      </c>
      <c r="H1154" s="93">
        <f t="shared" si="183"/>
        <v>17000</v>
      </c>
      <c r="I1154" s="84">
        <f t="shared" si="184"/>
        <v>0</v>
      </c>
      <c r="J1154" s="105">
        <f t="shared" si="185"/>
        <v>0</v>
      </c>
      <c r="K1154">
        <f t="shared" si="186"/>
        <v>0</v>
      </c>
      <c r="L1154"/>
      <c r="M1154"/>
      <c r="N1154"/>
      <c r="O1154"/>
      <c r="P1154"/>
      <c r="Q1154"/>
      <c r="R1154"/>
      <c r="S1154"/>
      <c r="T1154"/>
    </row>
    <row r="1155" spans="1:20" outlineLevel="3" x14ac:dyDescent="0.3">
      <c r="A1155" s="82" t="s">
        <v>1937</v>
      </c>
      <c r="B1155" s="10" t="s">
        <v>98</v>
      </c>
      <c r="C1155" s="60" t="s">
        <v>99</v>
      </c>
      <c r="D1155" s="44" t="s">
        <v>93</v>
      </c>
      <c r="E1155" s="84">
        <v>0</v>
      </c>
      <c r="F1155" s="84"/>
      <c r="G1155" s="94">
        <f t="shared" si="182"/>
        <v>1</v>
      </c>
      <c r="H1155" s="93">
        <f t="shared" si="183"/>
        <v>5200</v>
      </c>
      <c r="I1155" s="84">
        <f t="shared" si="184"/>
        <v>0</v>
      </c>
      <c r="J1155" s="105">
        <f t="shared" si="185"/>
        <v>0</v>
      </c>
      <c r="K1155">
        <f t="shared" si="186"/>
        <v>0</v>
      </c>
      <c r="L1155"/>
      <c r="M1155"/>
      <c r="N1155"/>
      <c r="O1155"/>
      <c r="P1155"/>
      <c r="Q1155"/>
      <c r="R1155"/>
      <c r="S1155"/>
      <c r="T1155"/>
    </row>
    <row r="1156" spans="1:20" outlineLevel="3" x14ac:dyDescent="0.3">
      <c r="A1156" s="82" t="s">
        <v>1938</v>
      </c>
      <c r="B1156" s="10" t="s">
        <v>101</v>
      </c>
      <c r="C1156" s="60" t="s">
        <v>102</v>
      </c>
      <c r="D1156" s="44" t="s">
        <v>93</v>
      </c>
      <c r="E1156" s="84">
        <v>0</v>
      </c>
      <c r="F1156" s="84"/>
      <c r="G1156" s="94">
        <f t="shared" si="182"/>
        <v>1</v>
      </c>
      <c r="H1156" s="93">
        <f t="shared" si="183"/>
        <v>2900</v>
      </c>
      <c r="I1156" s="84">
        <f t="shared" si="184"/>
        <v>0</v>
      </c>
      <c r="J1156" s="105">
        <f t="shared" si="185"/>
        <v>0</v>
      </c>
      <c r="K1156">
        <f t="shared" si="186"/>
        <v>0</v>
      </c>
      <c r="L1156"/>
      <c r="M1156"/>
      <c r="N1156"/>
      <c r="O1156"/>
      <c r="P1156"/>
      <c r="Q1156"/>
      <c r="R1156"/>
      <c r="S1156"/>
      <c r="T1156"/>
    </row>
    <row r="1157" spans="1:20" outlineLevel="3" x14ac:dyDescent="0.3">
      <c r="A1157" s="82" t="s">
        <v>1939</v>
      </c>
      <c r="B1157" s="10" t="s">
        <v>104</v>
      </c>
      <c r="C1157" s="60" t="s">
        <v>105</v>
      </c>
      <c r="D1157" s="44" t="s">
        <v>106</v>
      </c>
      <c r="E1157" s="84">
        <v>0</v>
      </c>
      <c r="F1157" s="84"/>
      <c r="G1157" s="94">
        <f t="shared" si="182"/>
        <v>1</v>
      </c>
      <c r="H1157" s="93">
        <f t="shared" si="183"/>
        <v>350</v>
      </c>
      <c r="I1157" s="84">
        <f t="shared" si="184"/>
        <v>0</v>
      </c>
      <c r="J1157" s="105">
        <f t="shared" si="185"/>
        <v>0</v>
      </c>
      <c r="K1157">
        <f t="shared" si="186"/>
        <v>0</v>
      </c>
      <c r="L1157"/>
      <c r="M1157"/>
      <c r="N1157"/>
      <c r="O1157"/>
      <c r="P1157"/>
      <c r="Q1157"/>
      <c r="R1157"/>
      <c r="S1157"/>
      <c r="T1157"/>
    </row>
    <row r="1158" spans="1:20" ht="15" outlineLevel="3" thickBot="1" x14ac:dyDescent="0.35">
      <c r="A1158" s="82" t="s">
        <v>1940</v>
      </c>
      <c r="B1158" s="10" t="s">
        <v>108</v>
      </c>
      <c r="C1158" s="60" t="s">
        <v>109</v>
      </c>
      <c r="D1158" s="44" t="s">
        <v>93</v>
      </c>
      <c r="E1158" s="84">
        <v>0</v>
      </c>
      <c r="F1158" s="84"/>
      <c r="G1158" s="94">
        <f t="shared" si="182"/>
        <v>1</v>
      </c>
      <c r="H1158" s="93">
        <f t="shared" si="183"/>
        <v>2500</v>
      </c>
      <c r="I1158" s="84">
        <f t="shared" si="184"/>
        <v>0</v>
      </c>
      <c r="J1158" s="105">
        <f t="shared" si="185"/>
        <v>0</v>
      </c>
      <c r="K1158">
        <f t="shared" si="186"/>
        <v>0</v>
      </c>
      <c r="L1158"/>
      <c r="M1158"/>
      <c r="N1158"/>
      <c r="O1158"/>
      <c r="P1158"/>
      <c r="Q1158"/>
      <c r="R1158"/>
      <c r="S1158"/>
      <c r="T1158"/>
    </row>
    <row r="1159" spans="1:20" ht="15" outlineLevel="2" thickTop="1" x14ac:dyDescent="0.3">
      <c r="A1159" s="82" t="s">
        <v>1941</v>
      </c>
      <c r="B1159" s="62" t="s">
        <v>60</v>
      </c>
      <c r="C1159" s="63" t="s">
        <v>111</v>
      </c>
      <c r="D1159" s="116"/>
      <c r="E1159" s="88"/>
      <c r="F1159" s="88"/>
      <c r="G1159" s="98"/>
      <c r="H1159" s="88"/>
      <c r="I1159" s="88">
        <f>SUBTOTAL(9,I1146:I1158)</f>
        <v>4290</v>
      </c>
      <c r="J1159" s="109"/>
      <c r="K1159"/>
      <c r="L1159"/>
      <c r="M1159"/>
      <c r="N1159"/>
      <c r="O1159"/>
      <c r="P1159"/>
      <c r="Q1159"/>
      <c r="R1159"/>
      <c r="S1159"/>
      <c r="T1159"/>
    </row>
    <row r="1160" spans="1:20" outlineLevel="2" x14ac:dyDescent="0.3">
      <c r="A1160" s="82" t="s">
        <v>1942</v>
      </c>
      <c r="B1160" s="64" t="s">
        <v>113</v>
      </c>
      <c r="C1160" s="65" t="s">
        <v>114</v>
      </c>
      <c r="D1160" s="117"/>
      <c r="E1160" s="87"/>
      <c r="F1160" s="87"/>
      <c r="G1160" s="97"/>
      <c r="H1160" s="87"/>
      <c r="I1160" s="104">
        <f>SUBTOTAL(9,K1161:K1198)</f>
        <v>11614.9</v>
      </c>
      <c r="J1160" s="108"/>
      <c r="K1160"/>
      <c r="L1160"/>
      <c r="M1160"/>
      <c r="N1160"/>
      <c r="O1160"/>
      <c r="P1160"/>
      <c r="Q1160"/>
      <c r="R1160"/>
      <c r="S1160"/>
      <c r="T1160"/>
    </row>
    <row r="1161" spans="1:20" outlineLevel="3" x14ac:dyDescent="0.3">
      <c r="A1161" s="82" t="s">
        <v>1943</v>
      </c>
      <c r="B1161" s="64" t="s">
        <v>116</v>
      </c>
      <c r="C1161" s="66" t="s">
        <v>117</v>
      </c>
      <c r="D1161" s="117"/>
      <c r="E1161" s="87"/>
      <c r="F1161" s="87"/>
      <c r="G1161" s="97"/>
      <c r="H1161" s="87"/>
      <c r="I1161" s="104">
        <f>SUBTOTAL(9,K1162:K1164)</f>
        <v>0</v>
      </c>
      <c r="J1161" s="108"/>
      <c r="K1161"/>
      <c r="L1161"/>
      <c r="M1161"/>
      <c r="N1161"/>
      <c r="O1161"/>
      <c r="P1161"/>
      <c r="Q1161"/>
      <c r="R1161"/>
      <c r="S1161"/>
      <c r="T1161"/>
    </row>
    <row r="1162" spans="1:20" outlineLevel="4" x14ac:dyDescent="0.3">
      <c r="A1162" s="82" t="s">
        <v>1944</v>
      </c>
      <c r="B1162" s="10" t="s">
        <v>119</v>
      </c>
      <c r="C1162" s="60" t="s">
        <v>120</v>
      </c>
      <c r="D1162" s="44" t="s">
        <v>121</v>
      </c>
      <c r="E1162" s="84">
        <v>0</v>
      </c>
      <c r="F1162" s="84"/>
      <c r="G1162" s="94">
        <f>cell_CoefGeneral</f>
        <v>1</v>
      </c>
      <c r="H1162" s="93">
        <f>H25</f>
        <v>120</v>
      </c>
      <c r="I1162" s="84">
        <f>IFERROR(ROUND(E1162*H1162,2),"-")</f>
        <v>0</v>
      </c>
      <c r="J1162" s="105">
        <f>IFERROR(I1162/cell_Total_HT,"-")</f>
        <v>0</v>
      </c>
      <c r="K1162">
        <f>I1162</f>
        <v>0</v>
      </c>
      <c r="L1162"/>
      <c r="M1162"/>
      <c r="N1162"/>
      <c r="O1162"/>
      <c r="P1162"/>
      <c r="Q1162"/>
      <c r="R1162"/>
      <c r="S1162"/>
      <c r="T1162"/>
    </row>
    <row r="1163" spans="1:20" outlineLevel="4" x14ac:dyDescent="0.3">
      <c r="A1163" s="82" t="s">
        <v>1945</v>
      </c>
      <c r="B1163" s="10" t="s">
        <v>123</v>
      </c>
      <c r="C1163" s="60" t="s">
        <v>124</v>
      </c>
      <c r="D1163" s="44" t="s">
        <v>121</v>
      </c>
      <c r="E1163" s="84">
        <v>0</v>
      </c>
      <c r="F1163" s="84"/>
      <c r="G1163" s="94">
        <f>cell_CoefGeneral</f>
        <v>1</v>
      </c>
      <c r="H1163" s="93">
        <f>H26</f>
        <v>290</v>
      </c>
      <c r="I1163" s="84">
        <f>IFERROR(ROUND(E1163*H1163,2),"-")</f>
        <v>0</v>
      </c>
      <c r="J1163" s="105">
        <f>IFERROR(I1163/cell_Total_HT,"-")</f>
        <v>0</v>
      </c>
      <c r="K1163">
        <f>I1163</f>
        <v>0</v>
      </c>
      <c r="L1163"/>
      <c r="M1163"/>
      <c r="N1163"/>
      <c r="O1163"/>
      <c r="P1163"/>
      <c r="Q1163"/>
      <c r="R1163"/>
      <c r="S1163"/>
      <c r="T1163"/>
    </row>
    <row r="1164" spans="1:20" outlineLevel="4" x14ac:dyDescent="0.3">
      <c r="A1164" s="82" t="s">
        <v>1946</v>
      </c>
      <c r="B1164" s="10" t="s">
        <v>126</v>
      </c>
      <c r="C1164" s="60" t="s">
        <v>127</v>
      </c>
      <c r="D1164" s="44" t="s">
        <v>128</v>
      </c>
      <c r="E1164" s="84">
        <v>0</v>
      </c>
      <c r="F1164" s="84"/>
      <c r="G1164" s="94">
        <f>cell_CoefGeneral</f>
        <v>1</v>
      </c>
      <c r="H1164" s="93">
        <f>H27</f>
        <v>23</v>
      </c>
      <c r="I1164" s="84">
        <f>IFERROR(ROUND(E1164*H1164,2),"-")</f>
        <v>0</v>
      </c>
      <c r="J1164" s="105">
        <f>IFERROR(I1164/cell_Total_HT,"-")</f>
        <v>0</v>
      </c>
      <c r="K1164">
        <f>I1164</f>
        <v>0</v>
      </c>
      <c r="L1164"/>
      <c r="M1164"/>
      <c r="N1164"/>
      <c r="O1164"/>
      <c r="P1164"/>
      <c r="Q1164"/>
      <c r="R1164"/>
      <c r="S1164"/>
      <c r="T1164"/>
    </row>
    <row r="1165" spans="1:20" outlineLevel="3" x14ac:dyDescent="0.3">
      <c r="A1165" s="82" t="s">
        <v>1947</v>
      </c>
      <c r="B1165" s="10" t="s">
        <v>130</v>
      </c>
      <c r="C1165" s="60" t="s">
        <v>131</v>
      </c>
      <c r="D1165" s="44" t="s">
        <v>80</v>
      </c>
      <c r="E1165" s="84">
        <v>121</v>
      </c>
      <c r="F1165" s="84"/>
      <c r="G1165" s="94">
        <f>cell_CoefGeneral</f>
        <v>1</v>
      </c>
      <c r="H1165" s="93">
        <f>H28</f>
        <v>4.9000000000000004</v>
      </c>
      <c r="I1165" s="84">
        <f>IFERROR(ROUND(E1165*H1165,2),"-")</f>
        <v>592.9</v>
      </c>
      <c r="J1165" s="105">
        <f>IFERROR(I1165/cell_Total_HT,"-")</f>
        <v>1.7503763722512362E-4</v>
      </c>
      <c r="K1165">
        <f>I1165</f>
        <v>592.9</v>
      </c>
      <c r="L1165"/>
      <c r="M1165"/>
      <c r="N1165"/>
      <c r="O1165"/>
      <c r="P1165"/>
      <c r="Q1165"/>
      <c r="R1165"/>
      <c r="S1165"/>
      <c r="T1165"/>
    </row>
    <row r="1166" spans="1:20" outlineLevel="3" x14ac:dyDescent="0.3">
      <c r="A1166" s="82" t="s">
        <v>1948</v>
      </c>
      <c r="B1166" s="10" t="s">
        <v>133</v>
      </c>
      <c r="C1166" s="60" t="s">
        <v>134</v>
      </c>
      <c r="D1166" s="44" t="s">
        <v>93</v>
      </c>
      <c r="E1166" s="84">
        <v>0</v>
      </c>
      <c r="F1166" s="84"/>
      <c r="G1166" s="94">
        <f>cell_CoefGeneral</f>
        <v>1</v>
      </c>
      <c r="H1166" s="93">
        <f>H29</f>
        <v>4000</v>
      </c>
      <c r="I1166" s="84">
        <f>IFERROR(ROUND(E1166*H1166,2),"-")</f>
        <v>0</v>
      </c>
      <c r="J1166" s="105">
        <f>IFERROR(I1166/cell_Total_HT,"-")</f>
        <v>0</v>
      </c>
      <c r="K1166">
        <f>I1166</f>
        <v>0</v>
      </c>
      <c r="L1166"/>
      <c r="M1166"/>
      <c r="N1166"/>
      <c r="O1166"/>
      <c r="P1166"/>
      <c r="Q1166"/>
      <c r="R1166"/>
      <c r="S1166"/>
      <c r="T1166"/>
    </row>
    <row r="1167" spans="1:20" outlineLevel="3" x14ac:dyDescent="0.3">
      <c r="A1167" s="82" t="s">
        <v>1949</v>
      </c>
      <c r="B1167" s="58" t="s">
        <v>136</v>
      </c>
      <c r="C1167" s="61" t="s">
        <v>137</v>
      </c>
      <c r="D1167" s="115"/>
      <c r="E1167" s="87"/>
      <c r="F1167" s="87"/>
      <c r="G1167" s="97"/>
      <c r="H1167" s="87"/>
      <c r="I1167" s="104">
        <f>SUBTOTAL(9,K1168:K1170)</f>
        <v>747</v>
      </c>
      <c r="J1167" s="108"/>
      <c r="K1167"/>
      <c r="L1167"/>
      <c r="M1167"/>
      <c r="N1167"/>
      <c r="O1167"/>
      <c r="P1167"/>
      <c r="Q1167"/>
      <c r="R1167"/>
      <c r="S1167"/>
      <c r="T1167"/>
    </row>
    <row r="1168" spans="1:20" ht="28.8" outlineLevel="4" x14ac:dyDescent="0.3">
      <c r="A1168" s="82" t="s">
        <v>1950</v>
      </c>
      <c r="B1168" s="10" t="s">
        <v>139</v>
      </c>
      <c r="C1168" s="60" t="s">
        <v>140</v>
      </c>
      <c r="D1168" s="44" t="s">
        <v>141</v>
      </c>
      <c r="E1168" s="84">
        <v>0</v>
      </c>
      <c r="F1168" s="84"/>
      <c r="G1168" s="94">
        <f>cell_CoefGeneral</f>
        <v>1</v>
      </c>
      <c r="H1168" s="93">
        <f>H31</f>
        <v>140</v>
      </c>
      <c r="I1168" s="84">
        <f>IFERROR(ROUND(E1168*H1168,2),"-")</f>
        <v>0</v>
      </c>
      <c r="J1168" s="105">
        <f>IFERROR(I1168/cell_Total_HT,"-")</f>
        <v>0</v>
      </c>
      <c r="K1168">
        <f>I1168</f>
        <v>0</v>
      </c>
      <c r="L1168"/>
      <c r="M1168"/>
      <c r="N1168"/>
      <c r="O1168"/>
      <c r="P1168"/>
      <c r="Q1168"/>
      <c r="R1168"/>
      <c r="S1168"/>
      <c r="T1168"/>
    </row>
    <row r="1169" spans="1:20" ht="28.8" outlineLevel="4" x14ac:dyDescent="0.3">
      <c r="A1169" s="82" t="s">
        <v>1951</v>
      </c>
      <c r="B1169" s="10" t="s">
        <v>143</v>
      </c>
      <c r="C1169" s="60" t="s">
        <v>144</v>
      </c>
      <c r="D1169" s="44" t="s">
        <v>141</v>
      </c>
      <c r="E1169" s="84">
        <v>3</v>
      </c>
      <c r="F1169" s="84"/>
      <c r="G1169" s="94">
        <f>cell_CoefGeneral</f>
        <v>1</v>
      </c>
      <c r="H1169" s="93">
        <f>H32</f>
        <v>69</v>
      </c>
      <c r="I1169" s="84">
        <f>IFERROR(ROUND(E1169*H1169,2),"-")</f>
        <v>207</v>
      </c>
      <c r="J1169" s="105">
        <f>IFERROR(I1169/cell_Total_HT,"-")</f>
        <v>6.1111133252826096E-5</v>
      </c>
      <c r="K1169">
        <f>I1169</f>
        <v>207</v>
      </c>
      <c r="L1169"/>
      <c r="M1169"/>
      <c r="N1169"/>
      <c r="O1169"/>
      <c r="P1169"/>
      <c r="Q1169"/>
      <c r="R1169"/>
      <c r="S1169"/>
      <c r="T1169"/>
    </row>
    <row r="1170" spans="1:20" outlineLevel="4" x14ac:dyDescent="0.3">
      <c r="A1170" s="82" t="s">
        <v>1952</v>
      </c>
      <c r="B1170" s="10" t="s">
        <v>146</v>
      </c>
      <c r="C1170" s="60" t="s">
        <v>147</v>
      </c>
      <c r="D1170" s="44" t="s">
        <v>141</v>
      </c>
      <c r="E1170" s="84">
        <v>3</v>
      </c>
      <c r="F1170" s="84"/>
      <c r="G1170" s="94">
        <f>cell_CoefGeneral</f>
        <v>1</v>
      </c>
      <c r="H1170" s="93">
        <f>H33</f>
        <v>180</v>
      </c>
      <c r="I1170" s="84">
        <f>IFERROR(ROUND(E1170*H1170,2),"-")</f>
        <v>540</v>
      </c>
      <c r="J1170" s="105">
        <f>IFERROR(I1170/cell_Total_HT,"-")</f>
        <v>1.5942034761606805E-4</v>
      </c>
      <c r="K1170">
        <f>I1170</f>
        <v>540</v>
      </c>
      <c r="L1170"/>
      <c r="M1170"/>
      <c r="N1170"/>
      <c r="O1170"/>
      <c r="P1170"/>
      <c r="Q1170"/>
      <c r="R1170"/>
      <c r="S1170"/>
      <c r="T1170"/>
    </row>
    <row r="1171" spans="1:20" outlineLevel="3" x14ac:dyDescent="0.3">
      <c r="A1171" s="82" t="s">
        <v>1953</v>
      </c>
      <c r="B1171" s="58" t="s">
        <v>149</v>
      </c>
      <c r="C1171" s="61" t="s">
        <v>150</v>
      </c>
      <c r="D1171" s="115"/>
      <c r="E1171" s="87"/>
      <c r="F1171" s="87"/>
      <c r="G1171" s="97"/>
      <c r="H1171" s="87"/>
      <c r="I1171" s="104">
        <f>SUBTOTAL(9,K1172:K1174)</f>
        <v>286</v>
      </c>
      <c r="J1171" s="108"/>
      <c r="K1171"/>
      <c r="L1171"/>
      <c r="M1171"/>
      <c r="N1171"/>
      <c r="O1171"/>
      <c r="P1171"/>
      <c r="Q1171"/>
      <c r="R1171"/>
      <c r="S1171"/>
      <c r="T1171"/>
    </row>
    <row r="1172" spans="1:20" outlineLevel="4" x14ac:dyDescent="0.3">
      <c r="A1172" s="82" t="s">
        <v>1954</v>
      </c>
      <c r="B1172" s="10" t="s">
        <v>152</v>
      </c>
      <c r="C1172" s="60" t="s">
        <v>153</v>
      </c>
      <c r="D1172" s="44" t="s">
        <v>154</v>
      </c>
      <c r="E1172" s="84">
        <v>0</v>
      </c>
      <c r="F1172" s="84"/>
      <c r="G1172" s="94">
        <f>cell_CoefGeneral</f>
        <v>1</v>
      </c>
      <c r="H1172" s="93">
        <f>H35</f>
        <v>4.5999999999999996</v>
      </c>
      <c r="I1172" s="84">
        <f>IFERROR(ROUND(E1172*H1172,2),"-")</f>
        <v>0</v>
      </c>
      <c r="J1172" s="105">
        <f>IFERROR(I1172/cell_Total_HT,"-")</f>
        <v>0</v>
      </c>
      <c r="K1172">
        <f>I1172</f>
        <v>0</v>
      </c>
      <c r="L1172"/>
      <c r="M1172"/>
      <c r="N1172"/>
      <c r="O1172"/>
      <c r="P1172"/>
      <c r="Q1172"/>
      <c r="R1172"/>
      <c r="S1172"/>
      <c r="T1172"/>
    </row>
    <row r="1173" spans="1:20" outlineLevel="4" x14ac:dyDescent="0.3">
      <c r="A1173" s="82" t="s">
        <v>1955</v>
      </c>
      <c r="B1173" s="10" t="s">
        <v>156</v>
      </c>
      <c r="C1173" s="60" t="s">
        <v>157</v>
      </c>
      <c r="D1173" s="44" t="s">
        <v>154</v>
      </c>
      <c r="E1173" s="84">
        <v>55</v>
      </c>
      <c r="F1173" s="84"/>
      <c r="G1173" s="94">
        <f>cell_CoefGeneral</f>
        <v>1</v>
      </c>
      <c r="H1173" s="93">
        <f>H36</f>
        <v>5.2</v>
      </c>
      <c r="I1173" s="84">
        <f>IFERROR(ROUND(E1173*H1173,2),"-")</f>
        <v>286</v>
      </c>
      <c r="J1173" s="105">
        <f>IFERROR(I1173/cell_Total_HT,"-")</f>
        <v>8.4433739663324943E-5</v>
      </c>
      <c r="K1173">
        <f>I1173</f>
        <v>286</v>
      </c>
      <c r="L1173"/>
      <c r="M1173"/>
      <c r="N1173"/>
      <c r="O1173"/>
      <c r="P1173"/>
      <c r="Q1173"/>
      <c r="R1173"/>
      <c r="S1173"/>
      <c r="T1173"/>
    </row>
    <row r="1174" spans="1:20" outlineLevel="4" x14ac:dyDescent="0.3">
      <c r="A1174" s="82" t="s">
        <v>1956</v>
      </c>
      <c r="B1174" s="10" t="s">
        <v>159</v>
      </c>
      <c r="C1174" s="60" t="s">
        <v>160</v>
      </c>
      <c r="D1174" s="44" t="s">
        <v>154</v>
      </c>
      <c r="E1174" s="84">
        <v>0</v>
      </c>
      <c r="F1174" s="84"/>
      <c r="G1174" s="94">
        <f>cell_CoefGeneral</f>
        <v>1</v>
      </c>
      <c r="H1174" s="93">
        <f>H37</f>
        <v>17</v>
      </c>
      <c r="I1174" s="84">
        <f>IFERROR(ROUND(E1174*H1174,2),"-")</f>
        <v>0</v>
      </c>
      <c r="J1174" s="105">
        <f>IFERROR(I1174/cell_Total_HT,"-")</f>
        <v>0</v>
      </c>
      <c r="K1174">
        <f>I1174</f>
        <v>0</v>
      </c>
      <c r="L1174"/>
      <c r="M1174"/>
      <c r="N1174"/>
      <c r="O1174"/>
      <c r="P1174"/>
      <c r="Q1174"/>
      <c r="R1174"/>
      <c r="S1174"/>
      <c r="T1174"/>
    </row>
    <row r="1175" spans="1:20" outlineLevel="3" x14ac:dyDescent="0.3">
      <c r="A1175" s="82" t="s">
        <v>1957</v>
      </c>
      <c r="B1175" s="10" t="s">
        <v>162</v>
      </c>
      <c r="C1175" s="60" t="s">
        <v>163</v>
      </c>
      <c r="D1175" s="44" t="s">
        <v>141</v>
      </c>
      <c r="E1175" s="84">
        <v>66</v>
      </c>
      <c r="F1175" s="84"/>
      <c r="G1175" s="94">
        <f>cell_CoefGeneral</f>
        <v>1</v>
      </c>
      <c r="H1175" s="93">
        <f>H38</f>
        <v>37</v>
      </c>
      <c r="I1175" s="84">
        <f>IFERROR(ROUND(E1175*H1175,2),"-")</f>
        <v>2442</v>
      </c>
      <c r="J1175" s="105">
        <f>IFERROR(I1175/cell_Total_HT,"-")</f>
        <v>7.2093423866377451E-4</v>
      </c>
      <c r="K1175">
        <f>I1175</f>
        <v>2442</v>
      </c>
      <c r="L1175"/>
      <c r="M1175"/>
      <c r="N1175"/>
      <c r="O1175"/>
      <c r="P1175"/>
      <c r="Q1175"/>
      <c r="R1175"/>
      <c r="S1175"/>
      <c r="T1175"/>
    </row>
    <row r="1176" spans="1:20" outlineLevel="3" x14ac:dyDescent="0.3">
      <c r="A1176" s="82" t="s">
        <v>1958</v>
      </c>
      <c r="B1176" s="58" t="s">
        <v>165</v>
      </c>
      <c r="C1176" s="61" t="s">
        <v>166</v>
      </c>
      <c r="D1176" s="115"/>
      <c r="E1176" s="87"/>
      <c r="F1176" s="87"/>
      <c r="G1176" s="97"/>
      <c r="H1176" s="87"/>
      <c r="I1176" s="104">
        <f>SUBTOTAL(9,K1177:K1181)</f>
        <v>147</v>
      </c>
      <c r="J1176" s="108"/>
      <c r="K1176"/>
      <c r="L1176"/>
      <c r="M1176"/>
      <c r="N1176"/>
      <c r="O1176"/>
      <c r="P1176"/>
      <c r="Q1176"/>
      <c r="R1176"/>
      <c r="S1176"/>
      <c r="T1176"/>
    </row>
    <row r="1177" spans="1:20" outlineLevel="4" x14ac:dyDescent="0.3">
      <c r="A1177" s="82" t="s">
        <v>1959</v>
      </c>
      <c r="B1177" s="10" t="s">
        <v>168</v>
      </c>
      <c r="C1177" s="60" t="s">
        <v>169</v>
      </c>
      <c r="D1177" s="44" t="s">
        <v>141</v>
      </c>
      <c r="E1177" s="84">
        <v>0</v>
      </c>
      <c r="F1177" s="84"/>
      <c r="G1177" s="94">
        <f>cell_CoefGeneral</f>
        <v>1</v>
      </c>
      <c r="H1177" s="93">
        <f>H40</f>
        <v>28</v>
      </c>
      <c r="I1177" s="84">
        <f>IFERROR(ROUND(E1177*H1177,2),"-")</f>
        <v>0</v>
      </c>
      <c r="J1177" s="105">
        <f>IFERROR(I1177/cell_Total_HT,"-")</f>
        <v>0</v>
      </c>
      <c r="K1177">
        <f>I1177</f>
        <v>0</v>
      </c>
      <c r="L1177"/>
      <c r="M1177"/>
      <c r="N1177"/>
      <c r="O1177"/>
      <c r="P1177"/>
      <c r="Q1177"/>
      <c r="R1177"/>
      <c r="S1177"/>
      <c r="T1177"/>
    </row>
    <row r="1178" spans="1:20" outlineLevel="4" x14ac:dyDescent="0.3">
      <c r="A1178" s="82" t="s">
        <v>1960</v>
      </c>
      <c r="B1178" s="10" t="s">
        <v>171</v>
      </c>
      <c r="C1178" s="60" t="s">
        <v>172</v>
      </c>
      <c r="D1178" s="44" t="s">
        <v>141</v>
      </c>
      <c r="E1178" s="84">
        <v>0</v>
      </c>
      <c r="F1178" s="84"/>
      <c r="G1178" s="94">
        <f>cell_CoefGeneral</f>
        <v>1</v>
      </c>
      <c r="H1178" s="93">
        <f>H41</f>
        <v>38</v>
      </c>
      <c r="I1178" s="84">
        <f>IFERROR(ROUND(E1178*H1178,2),"-")</f>
        <v>0</v>
      </c>
      <c r="J1178" s="105">
        <f>IFERROR(I1178/cell_Total_HT,"-")</f>
        <v>0</v>
      </c>
      <c r="K1178">
        <f>I1178</f>
        <v>0</v>
      </c>
      <c r="L1178"/>
      <c r="M1178"/>
      <c r="N1178"/>
      <c r="O1178"/>
      <c r="P1178"/>
      <c r="Q1178"/>
      <c r="R1178"/>
      <c r="S1178"/>
      <c r="T1178"/>
    </row>
    <row r="1179" spans="1:20" outlineLevel="4" x14ac:dyDescent="0.3">
      <c r="A1179" s="82" t="s">
        <v>1961</v>
      </c>
      <c r="B1179" s="10" t="s">
        <v>174</v>
      </c>
      <c r="C1179" s="60" t="s">
        <v>175</v>
      </c>
      <c r="D1179" s="44" t="s">
        <v>141</v>
      </c>
      <c r="E1179" s="84">
        <v>3</v>
      </c>
      <c r="F1179" s="84"/>
      <c r="G1179" s="94">
        <f>cell_CoefGeneral</f>
        <v>1</v>
      </c>
      <c r="H1179" s="93">
        <f>H42</f>
        <v>49</v>
      </c>
      <c r="I1179" s="84">
        <f>IFERROR(ROUND(E1179*H1179,2),"-")</f>
        <v>147</v>
      </c>
      <c r="J1179" s="105">
        <f>IFERROR(I1179/cell_Total_HT,"-")</f>
        <v>4.3397761295485194E-5</v>
      </c>
      <c r="K1179">
        <f>I1179</f>
        <v>147</v>
      </c>
      <c r="L1179"/>
      <c r="M1179"/>
      <c r="N1179"/>
      <c r="O1179"/>
      <c r="P1179"/>
      <c r="Q1179"/>
      <c r="R1179"/>
      <c r="S1179"/>
      <c r="T1179"/>
    </row>
    <row r="1180" spans="1:20" outlineLevel="4" x14ac:dyDescent="0.3">
      <c r="A1180" s="82" t="s">
        <v>1962</v>
      </c>
      <c r="B1180" s="10" t="s">
        <v>177</v>
      </c>
      <c r="C1180" s="60" t="s">
        <v>178</v>
      </c>
      <c r="D1180" s="44" t="s">
        <v>141</v>
      </c>
      <c r="E1180" s="84">
        <v>0</v>
      </c>
      <c r="F1180" s="84"/>
      <c r="G1180" s="94">
        <f>cell_CoefGeneral</f>
        <v>1</v>
      </c>
      <c r="H1180" s="93">
        <f>H43</f>
        <v>53</v>
      </c>
      <c r="I1180" s="84">
        <f>IFERROR(ROUND(E1180*H1180,2),"-")</f>
        <v>0</v>
      </c>
      <c r="J1180" s="105">
        <f>IFERROR(I1180/cell_Total_HT,"-")</f>
        <v>0</v>
      </c>
      <c r="K1180">
        <f>I1180</f>
        <v>0</v>
      </c>
      <c r="L1180"/>
      <c r="M1180"/>
      <c r="N1180"/>
      <c r="O1180"/>
      <c r="P1180"/>
      <c r="Q1180"/>
      <c r="R1180"/>
      <c r="S1180"/>
      <c r="T1180"/>
    </row>
    <row r="1181" spans="1:20" outlineLevel="4" x14ac:dyDescent="0.3">
      <c r="A1181" s="82" t="s">
        <v>1963</v>
      </c>
      <c r="B1181" s="10" t="s">
        <v>180</v>
      </c>
      <c r="C1181" s="60" t="s">
        <v>181</v>
      </c>
      <c r="D1181" s="44" t="s">
        <v>141</v>
      </c>
      <c r="E1181" s="84">
        <v>0</v>
      </c>
      <c r="F1181" s="84"/>
      <c r="G1181" s="94">
        <f>cell_CoefGeneral</f>
        <v>1</v>
      </c>
      <c r="H1181" s="93">
        <f>H44</f>
        <v>53</v>
      </c>
      <c r="I1181" s="84">
        <f>IFERROR(ROUND(E1181*H1181,2),"-")</f>
        <v>0</v>
      </c>
      <c r="J1181" s="105">
        <f>IFERROR(I1181/cell_Total_HT,"-")</f>
        <v>0</v>
      </c>
      <c r="K1181">
        <f>I1181</f>
        <v>0</v>
      </c>
      <c r="L1181"/>
      <c r="M1181"/>
      <c r="N1181"/>
      <c r="O1181"/>
      <c r="P1181"/>
      <c r="Q1181"/>
      <c r="R1181"/>
      <c r="S1181"/>
      <c r="T1181"/>
    </row>
    <row r="1182" spans="1:20" outlineLevel="3" x14ac:dyDescent="0.3">
      <c r="A1182" s="82" t="s">
        <v>1964</v>
      </c>
      <c r="B1182" s="58" t="s">
        <v>183</v>
      </c>
      <c r="C1182" s="61" t="s">
        <v>184</v>
      </c>
      <c r="D1182" s="115"/>
      <c r="E1182" s="87"/>
      <c r="F1182" s="87"/>
      <c r="G1182" s="97"/>
      <c r="H1182" s="87"/>
      <c r="I1182" s="104">
        <f>SUBTOTAL(9,K1183:K1190)</f>
        <v>0</v>
      </c>
      <c r="J1182" s="108"/>
      <c r="K1182"/>
      <c r="L1182"/>
      <c r="M1182"/>
      <c r="N1182"/>
      <c r="O1182"/>
      <c r="P1182"/>
      <c r="Q1182"/>
      <c r="R1182"/>
      <c r="S1182"/>
      <c r="T1182"/>
    </row>
    <row r="1183" spans="1:20" outlineLevel="4" x14ac:dyDescent="0.3">
      <c r="A1183" s="82" t="s">
        <v>1965</v>
      </c>
      <c r="B1183" s="10" t="s">
        <v>186</v>
      </c>
      <c r="C1183" s="60" t="s">
        <v>187</v>
      </c>
      <c r="D1183" s="44" t="s">
        <v>121</v>
      </c>
      <c r="E1183" s="84">
        <v>0</v>
      </c>
      <c r="F1183" s="84"/>
      <c r="G1183" s="94">
        <f t="shared" ref="G1183:G1191" si="187">cell_CoefGeneral</f>
        <v>1</v>
      </c>
      <c r="H1183" s="93">
        <f t="shared" ref="H1183:H1191" si="188">H46</f>
        <v>90</v>
      </c>
      <c r="I1183" s="84">
        <f t="shared" ref="I1183:I1191" si="189">IFERROR(ROUND(E1183*H1183,2),"-")</f>
        <v>0</v>
      </c>
      <c r="J1183" s="105">
        <f t="shared" ref="J1183:J1191" si="190">IFERROR(I1183/cell_Total_HT,"-")</f>
        <v>0</v>
      </c>
      <c r="K1183">
        <f t="shared" ref="K1183:K1191" si="191">I1183</f>
        <v>0</v>
      </c>
      <c r="L1183"/>
      <c r="M1183"/>
      <c r="N1183"/>
      <c r="O1183"/>
      <c r="P1183"/>
      <c r="Q1183"/>
      <c r="R1183"/>
      <c r="S1183"/>
      <c r="T1183"/>
    </row>
    <row r="1184" spans="1:20" outlineLevel="4" x14ac:dyDescent="0.3">
      <c r="A1184" s="82" t="s">
        <v>1966</v>
      </c>
      <c r="B1184" s="10" t="s">
        <v>189</v>
      </c>
      <c r="C1184" s="60" t="s">
        <v>190</v>
      </c>
      <c r="D1184" s="44" t="s">
        <v>121</v>
      </c>
      <c r="E1184" s="84">
        <v>0</v>
      </c>
      <c r="F1184" s="84"/>
      <c r="G1184" s="94">
        <f t="shared" si="187"/>
        <v>1</v>
      </c>
      <c r="H1184" s="93">
        <f t="shared" si="188"/>
        <v>90</v>
      </c>
      <c r="I1184" s="84">
        <f t="shared" si="189"/>
        <v>0</v>
      </c>
      <c r="J1184" s="105">
        <f t="shared" si="190"/>
        <v>0</v>
      </c>
      <c r="K1184">
        <f t="shared" si="191"/>
        <v>0</v>
      </c>
      <c r="L1184"/>
      <c r="M1184"/>
      <c r="N1184"/>
      <c r="O1184"/>
      <c r="P1184"/>
      <c r="Q1184"/>
      <c r="R1184"/>
      <c r="S1184"/>
      <c r="T1184"/>
    </row>
    <row r="1185" spans="1:20" outlineLevel="4" x14ac:dyDescent="0.3">
      <c r="A1185" s="82" t="s">
        <v>1967</v>
      </c>
      <c r="B1185" s="10" t="s">
        <v>192</v>
      </c>
      <c r="C1185" s="60" t="s">
        <v>193</v>
      </c>
      <c r="D1185" s="44" t="s">
        <v>121</v>
      </c>
      <c r="E1185" s="84">
        <v>0</v>
      </c>
      <c r="F1185" s="84"/>
      <c r="G1185" s="94">
        <f t="shared" si="187"/>
        <v>1</v>
      </c>
      <c r="H1185" s="93">
        <f t="shared" si="188"/>
        <v>72</v>
      </c>
      <c r="I1185" s="84">
        <f t="shared" si="189"/>
        <v>0</v>
      </c>
      <c r="J1185" s="105">
        <f t="shared" si="190"/>
        <v>0</v>
      </c>
      <c r="K1185">
        <f t="shared" si="191"/>
        <v>0</v>
      </c>
      <c r="L1185"/>
      <c r="M1185"/>
      <c r="N1185"/>
      <c r="O1185"/>
      <c r="P1185"/>
      <c r="Q1185"/>
      <c r="R1185"/>
      <c r="S1185"/>
      <c r="T1185"/>
    </row>
    <row r="1186" spans="1:20" outlineLevel="4" x14ac:dyDescent="0.3">
      <c r="A1186" s="82" t="s">
        <v>1968</v>
      </c>
      <c r="B1186" s="10" t="s">
        <v>195</v>
      </c>
      <c r="C1186" s="60" t="s">
        <v>196</v>
      </c>
      <c r="D1186" s="44" t="s">
        <v>121</v>
      </c>
      <c r="E1186" s="84">
        <v>0</v>
      </c>
      <c r="F1186" s="84"/>
      <c r="G1186" s="94">
        <f t="shared" si="187"/>
        <v>1</v>
      </c>
      <c r="H1186" s="93">
        <f t="shared" si="188"/>
        <v>71</v>
      </c>
      <c r="I1186" s="84">
        <f t="shared" si="189"/>
        <v>0</v>
      </c>
      <c r="J1186" s="105">
        <f t="shared" si="190"/>
        <v>0</v>
      </c>
      <c r="K1186">
        <f t="shared" si="191"/>
        <v>0</v>
      </c>
      <c r="L1186"/>
      <c r="M1186"/>
      <c r="N1186"/>
      <c r="O1186"/>
      <c r="P1186"/>
      <c r="Q1186"/>
      <c r="R1186"/>
      <c r="S1186"/>
      <c r="T1186"/>
    </row>
    <row r="1187" spans="1:20" outlineLevel="4" x14ac:dyDescent="0.3">
      <c r="A1187" s="82" t="s">
        <v>1969</v>
      </c>
      <c r="B1187" s="10" t="s">
        <v>198</v>
      </c>
      <c r="C1187" s="60" t="s">
        <v>199</v>
      </c>
      <c r="D1187" s="44" t="s">
        <v>80</v>
      </c>
      <c r="E1187" s="84">
        <v>0</v>
      </c>
      <c r="F1187" s="84"/>
      <c r="G1187" s="94">
        <f t="shared" si="187"/>
        <v>1</v>
      </c>
      <c r="H1187" s="93">
        <f t="shared" si="188"/>
        <v>8.8000000000000007</v>
      </c>
      <c r="I1187" s="84">
        <f t="shared" si="189"/>
        <v>0</v>
      </c>
      <c r="J1187" s="105">
        <f t="shared" si="190"/>
        <v>0</v>
      </c>
      <c r="K1187">
        <f t="shared" si="191"/>
        <v>0</v>
      </c>
      <c r="L1187"/>
      <c r="M1187"/>
      <c r="N1187"/>
      <c r="O1187"/>
      <c r="P1187"/>
      <c r="Q1187"/>
      <c r="R1187"/>
      <c r="S1187"/>
      <c r="T1187"/>
    </row>
    <row r="1188" spans="1:20" outlineLevel="4" x14ac:dyDescent="0.3">
      <c r="A1188" s="82" t="s">
        <v>1970</v>
      </c>
      <c r="B1188" s="10" t="s">
        <v>201</v>
      </c>
      <c r="C1188" s="60" t="s">
        <v>202</v>
      </c>
      <c r="D1188" s="44" t="s">
        <v>121</v>
      </c>
      <c r="E1188" s="84">
        <v>0</v>
      </c>
      <c r="F1188" s="84"/>
      <c r="G1188" s="94">
        <f t="shared" si="187"/>
        <v>1</v>
      </c>
      <c r="H1188" s="93">
        <f t="shared" si="188"/>
        <v>210</v>
      </c>
      <c r="I1188" s="84">
        <f t="shared" si="189"/>
        <v>0</v>
      </c>
      <c r="J1188" s="105">
        <f t="shared" si="190"/>
        <v>0</v>
      </c>
      <c r="K1188">
        <f t="shared" si="191"/>
        <v>0</v>
      </c>
      <c r="L1188"/>
      <c r="M1188"/>
      <c r="N1188"/>
      <c r="O1188"/>
      <c r="P1188"/>
      <c r="Q1188"/>
      <c r="R1188"/>
      <c r="S1188"/>
      <c r="T1188"/>
    </row>
    <row r="1189" spans="1:20" outlineLevel="4" x14ac:dyDescent="0.3">
      <c r="A1189" s="82" t="s">
        <v>1971</v>
      </c>
      <c r="B1189" s="10" t="s">
        <v>204</v>
      </c>
      <c r="C1189" s="60" t="s">
        <v>205</v>
      </c>
      <c r="D1189" s="44" t="s">
        <v>121</v>
      </c>
      <c r="E1189" s="84">
        <v>0</v>
      </c>
      <c r="F1189" s="84"/>
      <c r="G1189" s="94">
        <f t="shared" si="187"/>
        <v>1</v>
      </c>
      <c r="H1189" s="93">
        <f t="shared" si="188"/>
        <v>100</v>
      </c>
      <c r="I1189" s="84">
        <f t="shared" si="189"/>
        <v>0</v>
      </c>
      <c r="J1189" s="105">
        <f t="shared" si="190"/>
        <v>0</v>
      </c>
      <c r="K1189">
        <f t="shared" si="191"/>
        <v>0</v>
      </c>
      <c r="L1189"/>
      <c r="M1189"/>
      <c r="N1189"/>
      <c r="O1189"/>
      <c r="P1189"/>
      <c r="Q1189"/>
      <c r="R1189"/>
      <c r="S1189"/>
      <c r="T1189"/>
    </row>
    <row r="1190" spans="1:20" outlineLevel="4" x14ac:dyDescent="0.3">
      <c r="A1190" s="82" t="s">
        <v>1972</v>
      </c>
      <c r="B1190" s="10" t="s">
        <v>207</v>
      </c>
      <c r="C1190" s="60" t="s">
        <v>208</v>
      </c>
      <c r="D1190" s="44" t="s">
        <v>121</v>
      </c>
      <c r="E1190" s="84">
        <v>0</v>
      </c>
      <c r="F1190" s="84"/>
      <c r="G1190" s="94">
        <f t="shared" si="187"/>
        <v>1</v>
      </c>
      <c r="H1190" s="93">
        <f t="shared" si="188"/>
        <v>140</v>
      </c>
      <c r="I1190" s="84">
        <f t="shared" si="189"/>
        <v>0</v>
      </c>
      <c r="J1190" s="105">
        <f t="shared" si="190"/>
        <v>0</v>
      </c>
      <c r="K1190">
        <f t="shared" si="191"/>
        <v>0</v>
      </c>
      <c r="L1190"/>
      <c r="M1190"/>
      <c r="N1190"/>
      <c r="O1190"/>
      <c r="P1190"/>
      <c r="Q1190"/>
      <c r="R1190"/>
      <c r="S1190"/>
      <c r="T1190"/>
    </row>
    <row r="1191" spans="1:20" ht="28.8" outlineLevel="3" x14ac:dyDescent="0.3">
      <c r="A1191" s="82" t="s">
        <v>1973</v>
      </c>
      <c r="B1191" s="10" t="s">
        <v>210</v>
      </c>
      <c r="C1191" s="60" t="s">
        <v>211</v>
      </c>
      <c r="D1191" s="44" t="s">
        <v>93</v>
      </c>
      <c r="E1191" s="84">
        <v>0</v>
      </c>
      <c r="F1191" s="84"/>
      <c r="G1191" s="94">
        <f t="shared" si="187"/>
        <v>1</v>
      </c>
      <c r="H1191" s="93">
        <f t="shared" si="188"/>
        <v>9200</v>
      </c>
      <c r="I1191" s="84">
        <f t="shared" si="189"/>
        <v>0</v>
      </c>
      <c r="J1191" s="105">
        <f t="shared" si="190"/>
        <v>0</v>
      </c>
      <c r="K1191">
        <f t="shared" si="191"/>
        <v>0</v>
      </c>
      <c r="L1191"/>
      <c r="M1191"/>
      <c r="N1191"/>
      <c r="O1191"/>
      <c r="P1191"/>
      <c r="Q1191"/>
      <c r="R1191"/>
      <c r="S1191"/>
      <c r="T1191"/>
    </row>
    <row r="1192" spans="1:20" outlineLevel="3" x14ac:dyDescent="0.3">
      <c r="A1192" s="82" t="s">
        <v>1974</v>
      </c>
      <c r="B1192" s="58" t="s">
        <v>213</v>
      </c>
      <c r="C1192" s="61" t="s">
        <v>214</v>
      </c>
      <c r="D1192" s="115"/>
      <c r="E1192" s="87"/>
      <c r="F1192" s="87"/>
      <c r="G1192" s="97"/>
      <c r="H1192" s="87"/>
      <c r="I1192" s="104">
        <f>SUBTOTAL(9,K1193:K1194)</f>
        <v>7400</v>
      </c>
      <c r="J1192" s="108"/>
      <c r="K1192"/>
      <c r="L1192"/>
      <c r="M1192"/>
      <c r="N1192"/>
      <c r="O1192"/>
      <c r="P1192"/>
      <c r="Q1192"/>
      <c r="R1192"/>
      <c r="S1192"/>
      <c r="T1192"/>
    </row>
    <row r="1193" spans="1:20" outlineLevel="4" x14ac:dyDescent="0.3">
      <c r="A1193" s="82" t="s">
        <v>1975</v>
      </c>
      <c r="B1193" s="10" t="s">
        <v>216</v>
      </c>
      <c r="C1193" s="60" t="s">
        <v>217</v>
      </c>
      <c r="D1193" s="44" t="s">
        <v>93</v>
      </c>
      <c r="E1193" s="84">
        <v>1</v>
      </c>
      <c r="F1193" s="84"/>
      <c r="G1193" s="94">
        <f>cell_CoefGeneral</f>
        <v>1</v>
      </c>
      <c r="H1193" s="93">
        <f>H56</f>
        <v>3300</v>
      </c>
      <c r="I1193" s="84">
        <f>IFERROR(ROUND(E1193*H1193,2),"-")</f>
        <v>3300</v>
      </c>
      <c r="J1193" s="105">
        <f>IFERROR(I1193/cell_Total_HT,"-")</f>
        <v>9.7423545765374926E-4</v>
      </c>
      <c r="K1193">
        <f>I1193</f>
        <v>3300</v>
      </c>
      <c r="L1193"/>
      <c r="M1193"/>
      <c r="N1193"/>
      <c r="O1193"/>
      <c r="P1193"/>
      <c r="Q1193"/>
      <c r="R1193"/>
      <c r="S1193"/>
      <c r="T1193"/>
    </row>
    <row r="1194" spans="1:20" outlineLevel="4" x14ac:dyDescent="0.3">
      <c r="A1194" s="82" t="s">
        <v>1976</v>
      </c>
      <c r="B1194" s="10" t="s">
        <v>219</v>
      </c>
      <c r="C1194" s="60" t="s">
        <v>220</v>
      </c>
      <c r="D1194" s="44" t="s">
        <v>93</v>
      </c>
      <c r="E1194" s="84">
        <v>1</v>
      </c>
      <c r="F1194" s="84"/>
      <c r="G1194" s="94">
        <f>cell_CoefGeneral</f>
        <v>1</v>
      </c>
      <c r="H1194" s="93">
        <f>H57</f>
        <v>4100</v>
      </c>
      <c r="I1194" s="84">
        <f>IFERROR(ROUND(E1194*H1194,2),"-")</f>
        <v>4100</v>
      </c>
      <c r="J1194" s="105">
        <f>IFERROR(I1194/cell_Total_HT,"-")</f>
        <v>1.2104137504182946E-3</v>
      </c>
      <c r="K1194">
        <f>I1194</f>
        <v>4100</v>
      </c>
      <c r="L1194"/>
      <c r="M1194"/>
      <c r="N1194"/>
      <c r="O1194"/>
      <c r="P1194"/>
      <c r="Q1194"/>
      <c r="R1194"/>
      <c r="S1194"/>
      <c r="T1194"/>
    </row>
    <row r="1195" spans="1:20" outlineLevel="3" x14ac:dyDescent="0.3">
      <c r="A1195" s="82" t="s">
        <v>1977</v>
      </c>
      <c r="B1195" s="10" t="s">
        <v>222</v>
      </c>
      <c r="C1195" s="60" t="s">
        <v>223</v>
      </c>
      <c r="D1195" s="44" t="s">
        <v>154</v>
      </c>
      <c r="E1195" s="84">
        <v>0</v>
      </c>
      <c r="F1195" s="84"/>
      <c r="G1195" s="94">
        <f>cell_CoefGeneral</f>
        <v>1</v>
      </c>
      <c r="H1195" s="93">
        <f>H58</f>
        <v>170</v>
      </c>
      <c r="I1195" s="84">
        <f>IFERROR(ROUND(E1195*H1195,2),"-")</f>
        <v>0</v>
      </c>
      <c r="J1195" s="105">
        <f>IFERROR(I1195/cell_Total_HT,"-")</f>
        <v>0</v>
      </c>
      <c r="K1195">
        <f>I1195</f>
        <v>0</v>
      </c>
      <c r="L1195"/>
      <c r="M1195"/>
      <c r="N1195"/>
      <c r="O1195"/>
      <c r="P1195"/>
      <c r="Q1195"/>
      <c r="R1195"/>
      <c r="S1195"/>
      <c r="T1195"/>
    </row>
    <row r="1196" spans="1:20" outlineLevel="3" x14ac:dyDescent="0.3">
      <c r="A1196" s="82" t="s">
        <v>1978</v>
      </c>
      <c r="B1196" s="58" t="s">
        <v>225</v>
      </c>
      <c r="C1196" s="61" t="s">
        <v>226</v>
      </c>
      <c r="D1196" s="115"/>
      <c r="E1196" s="87"/>
      <c r="F1196" s="87"/>
      <c r="G1196" s="97"/>
      <c r="H1196" s="87"/>
      <c r="I1196" s="104">
        <f>SUBTOTAL(9,K1197:K1198)</f>
        <v>0</v>
      </c>
      <c r="J1196" s="108"/>
      <c r="K1196"/>
      <c r="L1196"/>
      <c r="M1196"/>
      <c r="N1196"/>
      <c r="O1196"/>
      <c r="P1196"/>
      <c r="Q1196"/>
      <c r="R1196"/>
      <c r="S1196"/>
      <c r="T1196"/>
    </row>
    <row r="1197" spans="1:20" ht="28.8" outlineLevel="4" x14ac:dyDescent="0.3">
      <c r="A1197" s="82" t="s">
        <v>1979</v>
      </c>
      <c r="B1197" s="10" t="s">
        <v>228</v>
      </c>
      <c r="C1197" s="60" t="s">
        <v>229</v>
      </c>
      <c r="D1197" s="44" t="s">
        <v>121</v>
      </c>
      <c r="E1197" s="84">
        <v>0</v>
      </c>
      <c r="F1197" s="84"/>
      <c r="G1197" s="94">
        <f>cell_CoefGeneral</f>
        <v>1</v>
      </c>
      <c r="H1197" s="93">
        <f>H60</f>
        <v>200</v>
      </c>
      <c r="I1197" s="84">
        <f>IFERROR(ROUND(E1197*H1197,2),"-")</f>
        <v>0</v>
      </c>
      <c r="J1197" s="105">
        <f>IFERROR(I1197/cell_Total_HT,"-")</f>
        <v>0</v>
      </c>
      <c r="K1197">
        <f>I1197</f>
        <v>0</v>
      </c>
      <c r="L1197"/>
      <c r="M1197"/>
      <c r="N1197"/>
      <c r="O1197"/>
      <c r="P1197"/>
      <c r="Q1197"/>
      <c r="R1197"/>
      <c r="S1197"/>
      <c r="T1197"/>
    </row>
    <row r="1198" spans="1:20" ht="15" outlineLevel="4" thickBot="1" x14ac:dyDescent="0.35">
      <c r="A1198" s="82" t="s">
        <v>1980</v>
      </c>
      <c r="B1198" s="10" t="s">
        <v>231</v>
      </c>
      <c r="C1198" s="60" t="s">
        <v>232</v>
      </c>
      <c r="D1198" s="44" t="s">
        <v>121</v>
      </c>
      <c r="E1198" s="84">
        <v>0</v>
      </c>
      <c r="F1198" s="84"/>
      <c r="G1198" s="94">
        <f>cell_CoefGeneral</f>
        <v>1</v>
      </c>
      <c r="H1198" s="93">
        <f>H61</f>
        <v>220</v>
      </c>
      <c r="I1198" s="84">
        <f>IFERROR(ROUND(E1198*H1198,2),"-")</f>
        <v>0</v>
      </c>
      <c r="J1198" s="105">
        <f>IFERROR(I1198/cell_Total_HT,"-")</f>
        <v>0</v>
      </c>
      <c r="K1198">
        <f>I1198</f>
        <v>0</v>
      </c>
      <c r="L1198"/>
      <c r="M1198"/>
      <c r="N1198"/>
      <c r="O1198"/>
      <c r="P1198"/>
      <c r="Q1198"/>
      <c r="R1198"/>
      <c r="S1198"/>
      <c r="T1198"/>
    </row>
    <row r="1199" spans="1:20" ht="15" outlineLevel="2" thickTop="1" x14ac:dyDescent="0.3">
      <c r="A1199" s="82" t="s">
        <v>1981</v>
      </c>
      <c r="B1199" s="62" t="s">
        <v>60</v>
      </c>
      <c r="C1199" s="63" t="s">
        <v>234</v>
      </c>
      <c r="D1199" s="116"/>
      <c r="E1199" s="88"/>
      <c r="F1199" s="88"/>
      <c r="G1199" s="98"/>
      <c r="H1199" s="88"/>
      <c r="I1199" s="88">
        <f>SUBTOTAL(9,I1162:I1198)</f>
        <v>11614.9</v>
      </c>
      <c r="J1199" s="109"/>
      <c r="K1199"/>
      <c r="L1199"/>
      <c r="M1199"/>
      <c r="N1199"/>
      <c r="O1199"/>
      <c r="P1199"/>
      <c r="Q1199"/>
      <c r="R1199"/>
      <c r="S1199"/>
      <c r="T1199"/>
    </row>
    <row r="1200" spans="1:20" outlineLevel="2" x14ac:dyDescent="0.3">
      <c r="A1200" s="82" t="s">
        <v>1982</v>
      </c>
      <c r="B1200" s="64" t="s">
        <v>236</v>
      </c>
      <c r="C1200" s="65" t="s">
        <v>237</v>
      </c>
      <c r="D1200" s="117"/>
      <c r="E1200" s="87"/>
      <c r="F1200" s="87"/>
      <c r="G1200" s="97"/>
      <c r="H1200" s="87"/>
      <c r="I1200" s="104">
        <f>SUBTOTAL(9,K1201:K1220)</f>
        <v>53055.3</v>
      </c>
      <c r="J1200" s="108"/>
      <c r="K1200"/>
      <c r="L1200"/>
      <c r="M1200"/>
      <c r="N1200"/>
      <c r="O1200"/>
      <c r="P1200"/>
      <c r="Q1200"/>
      <c r="R1200"/>
      <c r="S1200"/>
      <c r="T1200"/>
    </row>
    <row r="1201" spans="1:20" outlineLevel="3" x14ac:dyDescent="0.3">
      <c r="A1201" s="82" t="s">
        <v>1983</v>
      </c>
      <c r="B1201" s="10" t="s">
        <v>239</v>
      </c>
      <c r="C1201" s="60" t="s">
        <v>240</v>
      </c>
      <c r="D1201" s="44" t="s">
        <v>93</v>
      </c>
      <c r="E1201" s="84">
        <v>0</v>
      </c>
      <c r="F1201" s="84"/>
      <c r="G1201" s="94">
        <f t="shared" ref="G1201:G1208" si="192">cell_CoefGeneral</f>
        <v>1</v>
      </c>
      <c r="H1201" s="93">
        <f t="shared" ref="H1201:H1208" si="193">H64</f>
        <v>36000</v>
      </c>
      <c r="I1201" s="84">
        <f t="shared" ref="I1201:I1208" si="194">IFERROR(ROUND(E1201*H1201,2),"-")</f>
        <v>0</v>
      </c>
      <c r="J1201" s="105">
        <f t="shared" ref="J1201:J1208" si="195">IFERROR(I1201/cell_Total_HT,"-")</f>
        <v>0</v>
      </c>
      <c r="K1201">
        <f t="shared" ref="K1201:K1208" si="196">I1201</f>
        <v>0</v>
      </c>
      <c r="L1201"/>
      <c r="M1201"/>
      <c r="N1201"/>
      <c r="O1201"/>
      <c r="P1201"/>
      <c r="Q1201"/>
      <c r="R1201"/>
      <c r="S1201"/>
      <c r="T1201"/>
    </row>
    <row r="1202" spans="1:20" outlineLevel="3" x14ac:dyDescent="0.3">
      <c r="A1202" s="82" t="s">
        <v>1984</v>
      </c>
      <c r="B1202" s="10" t="s">
        <v>242</v>
      </c>
      <c r="C1202" s="60" t="s">
        <v>243</v>
      </c>
      <c r="D1202" s="44" t="s">
        <v>141</v>
      </c>
      <c r="E1202" s="84">
        <v>510</v>
      </c>
      <c r="F1202" s="84"/>
      <c r="G1202" s="94">
        <f t="shared" si="192"/>
        <v>1</v>
      </c>
      <c r="H1202" s="93">
        <f t="shared" si="193"/>
        <v>8</v>
      </c>
      <c r="I1202" s="84">
        <f t="shared" si="194"/>
        <v>4080</v>
      </c>
      <c r="J1202" s="105">
        <f t="shared" si="195"/>
        <v>1.2045092930991809E-3</v>
      </c>
      <c r="K1202">
        <f t="shared" si="196"/>
        <v>4080</v>
      </c>
      <c r="L1202"/>
      <c r="M1202"/>
      <c r="N1202"/>
      <c r="O1202"/>
      <c r="P1202"/>
      <c r="Q1202"/>
      <c r="R1202"/>
      <c r="S1202"/>
      <c r="T1202"/>
    </row>
    <row r="1203" spans="1:20" ht="28.8" outlineLevel="3" x14ac:dyDescent="0.3">
      <c r="A1203" s="82" t="s">
        <v>1985</v>
      </c>
      <c r="B1203" s="10" t="s">
        <v>245</v>
      </c>
      <c r="C1203" s="60" t="s">
        <v>246</v>
      </c>
      <c r="D1203" s="44" t="s">
        <v>141</v>
      </c>
      <c r="E1203" s="84">
        <v>220</v>
      </c>
      <c r="F1203" s="84"/>
      <c r="G1203" s="94">
        <f t="shared" si="192"/>
        <v>1</v>
      </c>
      <c r="H1203" s="93">
        <f t="shared" si="193"/>
        <v>4.9000000000000004</v>
      </c>
      <c r="I1203" s="84">
        <f t="shared" si="194"/>
        <v>1078</v>
      </c>
      <c r="J1203" s="105">
        <f t="shared" si="195"/>
        <v>3.1825024950022474E-4</v>
      </c>
      <c r="K1203">
        <f t="shared" si="196"/>
        <v>1078</v>
      </c>
      <c r="L1203"/>
      <c r="M1203"/>
      <c r="N1203"/>
      <c r="O1203"/>
      <c r="P1203"/>
      <c r="Q1203"/>
      <c r="R1203"/>
      <c r="S1203"/>
      <c r="T1203"/>
    </row>
    <row r="1204" spans="1:20" outlineLevel="3" x14ac:dyDescent="0.3">
      <c r="A1204" s="82" t="s">
        <v>1986</v>
      </c>
      <c r="B1204" s="10" t="s">
        <v>248</v>
      </c>
      <c r="C1204" s="60" t="s">
        <v>249</v>
      </c>
      <c r="D1204" s="44" t="s">
        <v>141</v>
      </c>
      <c r="E1204" s="84">
        <v>0</v>
      </c>
      <c r="F1204" s="84"/>
      <c r="G1204" s="94">
        <f t="shared" si="192"/>
        <v>1</v>
      </c>
      <c r="H1204" s="93">
        <f t="shared" si="193"/>
        <v>9</v>
      </c>
      <c r="I1204" s="84">
        <f t="shared" si="194"/>
        <v>0</v>
      </c>
      <c r="J1204" s="105">
        <f t="shared" si="195"/>
        <v>0</v>
      </c>
      <c r="K1204">
        <f t="shared" si="196"/>
        <v>0</v>
      </c>
      <c r="L1204"/>
      <c r="M1204"/>
      <c r="N1204"/>
      <c r="O1204"/>
      <c r="P1204"/>
      <c r="Q1204"/>
      <c r="R1204"/>
      <c r="S1204"/>
      <c r="T1204"/>
    </row>
    <row r="1205" spans="1:20" outlineLevel="3" x14ac:dyDescent="0.3">
      <c r="A1205" s="82" t="s">
        <v>1987</v>
      </c>
      <c r="B1205" s="10" t="s">
        <v>251</v>
      </c>
      <c r="C1205" s="60" t="s">
        <v>252</v>
      </c>
      <c r="D1205" s="44" t="s">
        <v>141</v>
      </c>
      <c r="E1205" s="84">
        <v>0</v>
      </c>
      <c r="F1205" s="84"/>
      <c r="G1205" s="94">
        <f t="shared" si="192"/>
        <v>1</v>
      </c>
      <c r="H1205" s="93">
        <f t="shared" si="193"/>
        <v>10</v>
      </c>
      <c r="I1205" s="84">
        <f t="shared" si="194"/>
        <v>0</v>
      </c>
      <c r="J1205" s="105">
        <f t="shared" si="195"/>
        <v>0</v>
      </c>
      <c r="K1205">
        <f t="shared" si="196"/>
        <v>0</v>
      </c>
      <c r="L1205"/>
      <c r="M1205"/>
      <c r="N1205"/>
      <c r="O1205"/>
      <c r="P1205"/>
      <c r="Q1205"/>
      <c r="R1205"/>
      <c r="S1205"/>
      <c r="T1205"/>
    </row>
    <row r="1206" spans="1:20" outlineLevel="3" x14ac:dyDescent="0.3">
      <c r="A1206" s="82" t="s">
        <v>1988</v>
      </c>
      <c r="B1206" s="10" t="s">
        <v>254</v>
      </c>
      <c r="C1206" s="60" t="s">
        <v>255</v>
      </c>
      <c r="D1206" s="44" t="s">
        <v>141</v>
      </c>
      <c r="E1206" s="84">
        <v>0</v>
      </c>
      <c r="F1206" s="84"/>
      <c r="G1206" s="94">
        <f t="shared" si="192"/>
        <v>1</v>
      </c>
      <c r="H1206" s="93">
        <f t="shared" si="193"/>
        <v>13</v>
      </c>
      <c r="I1206" s="84">
        <f t="shared" si="194"/>
        <v>0</v>
      </c>
      <c r="J1206" s="105">
        <f t="shared" si="195"/>
        <v>0</v>
      </c>
      <c r="K1206">
        <f t="shared" si="196"/>
        <v>0</v>
      </c>
      <c r="L1206"/>
      <c r="M1206"/>
      <c r="N1206"/>
      <c r="O1206"/>
      <c r="P1206"/>
      <c r="Q1206"/>
      <c r="R1206"/>
      <c r="S1206"/>
      <c r="T1206"/>
    </row>
    <row r="1207" spans="1:20" outlineLevel="3" x14ac:dyDescent="0.3">
      <c r="A1207" s="82" t="s">
        <v>1989</v>
      </c>
      <c r="B1207" s="10" t="s">
        <v>257</v>
      </c>
      <c r="C1207" s="60" t="s">
        <v>258</v>
      </c>
      <c r="D1207" s="44" t="s">
        <v>141</v>
      </c>
      <c r="E1207" s="84">
        <v>28</v>
      </c>
      <c r="F1207" s="84"/>
      <c r="G1207" s="94">
        <f t="shared" si="192"/>
        <v>1</v>
      </c>
      <c r="H1207" s="93">
        <f t="shared" si="193"/>
        <v>11</v>
      </c>
      <c r="I1207" s="84">
        <f t="shared" si="194"/>
        <v>308</v>
      </c>
      <c r="J1207" s="105">
        <f t="shared" si="195"/>
        <v>9.0928642714349929E-5</v>
      </c>
      <c r="K1207">
        <f t="shared" si="196"/>
        <v>308</v>
      </c>
      <c r="L1207"/>
      <c r="M1207"/>
      <c r="N1207"/>
      <c r="O1207"/>
      <c r="P1207"/>
      <c r="Q1207"/>
      <c r="R1207"/>
      <c r="S1207"/>
      <c r="T1207"/>
    </row>
    <row r="1208" spans="1:20" outlineLevel="3" x14ac:dyDescent="0.3">
      <c r="A1208" s="82" t="s">
        <v>1990</v>
      </c>
      <c r="B1208" s="10" t="s">
        <v>260</v>
      </c>
      <c r="C1208" s="60" t="s">
        <v>261</v>
      </c>
      <c r="D1208" s="44" t="s">
        <v>141</v>
      </c>
      <c r="E1208" s="84">
        <v>0</v>
      </c>
      <c r="F1208" s="84"/>
      <c r="G1208" s="94">
        <f t="shared" si="192"/>
        <v>1</v>
      </c>
      <c r="H1208" s="93">
        <f t="shared" si="193"/>
        <v>7.5</v>
      </c>
      <c r="I1208" s="84">
        <f t="shared" si="194"/>
        <v>0</v>
      </c>
      <c r="J1208" s="105">
        <f t="shared" si="195"/>
        <v>0</v>
      </c>
      <c r="K1208">
        <f t="shared" si="196"/>
        <v>0</v>
      </c>
      <c r="L1208"/>
      <c r="M1208"/>
      <c r="N1208"/>
      <c r="O1208"/>
      <c r="P1208"/>
      <c r="Q1208"/>
      <c r="R1208"/>
      <c r="S1208"/>
      <c r="T1208"/>
    </row>
    <row r="1209" spans="1:20" outlineLevel="3" x14ac:dyDescent="0.3">
      <c r="A1209" s="82" t="s">
        <v>1991</v>
      </c>
      <c r="B1209" s="58" t="s">
        <v>263</v>
      </c>
      <c r="C1209" s="61" t="s">
        <v>264</v>
      </c>
      <c r="D1209" s="115"/>
      <c r="E1209" s="87"/>
      <c r="F1209" s="87"/>
      <c r="G1209" s="97"/>
      <c r="H1209" s="87"/>
      <c r="I1209" s="104">
        <f>SUBTOTAL(9,K1210:K1214)</f>
        <v>45056</v>
      </c>
      <c r="J1209" s="108"/>
      <c r="K1209"/>
      <c r="L1209"/>
      <c r="M1209"/>
      <c r="N1209"/>
      <c r="O1209"/>
      <c r="P1209"/>
      <c r="Q1209"/>
      <c r="R1209"/>
      <c r="S1209"/>
      <c r="T1209"/>
    </row>
    <row r="1210" spans="1:20" outlineLevel="4" x14ac:dyDescent="0.3">
      <c r="A1210" s="82" t="s">
        <v>1992</v>
      </c>
      <c r="B1210" s="10" t="s">
        <v>266</v>
      </c>
      <c r="C1210" s="60" t="s">
        <v>267</v>
      </c>
      <c r="D1210" s="44" t="s">
        <v>268</v>
      </c>
      <c r="E1210" s="84">
        <v>30</v>
      </c>
      <c r="F1210" s="84"/>
      <c r="G1210" s="94">
        <f t="shared" ref="G1210:G1220" si="197">cell_CoefGeneral</f>
        <v>1</v>
      </c>
      <c r="H1210" s="93">
        <f t="shared" ref="H1210:H1220" si="198">H73</f>
        <v>11</v>
      </c>
      <c r="I1210" s="84">
        <f t="shared" ref="I1210:I1220" si="199">IFERROR(ROUND(E1210*H1210,2),"-")</f>
        <v>330</v>
      </c>
      <c r="J1210" s="105">
        <f t="shared" ref="J1210:J1220" si="200">IFERROR(I1210/cell_Total_HT,"-")</f>
        <v>9.7423545765374929E-5</v>
      </c>
      <c r="K1210">
        <f t="shared" ref="K1210:K1220" si="201">I1210</f>
        <v>330</v>
      </c>
      <c r="L1210"/>
      <c r="M1210"/>
      <c r="N1210"/>
      <c r="O1210"/>
      <c r="P1210"/>
      <c r="Q1210"/>
      <c r="R1210"/>
      <c r="S1210"/>
      <c r="T1210"/>
    </row>
    <row r="1211" spans="1:20" outlineLevel="4" x14ac:dyDescent="0.3">
      <c r="A1211" s="82" t="s">
        <v>1993</v>
      </c>
      <c r="B1211" s="10" t="s">
        <v>270</v>
      </c>
      <c r="C1211" s="60" t="s">
        <v>271</v>
      </c>
      <c r="D1211" s="44" t="s">
        <v>268</v>
      </c>
      <c r="E1211" s="84">
        <v>891</v>
      </c>
      <c r="F1211" s="84"/>
      <c r="G1211" s="94">
        <f t="shared" si="197"/>
        <v>1</v>
      </c>
      <c r="H1211" s="93">
        <f t="shared" si="198"/>
        <v>46</v>
      </c>
      <c r="I1211" s="84">
        <f t="shared" si="199"/>
        <v>40986</v>
      </c>
      <c r="J1211" s="105">
        <f t="shared" si="200"/>
        <v>1.2100004384059566E-2</v>
      </c>
      <c r="K1211">
        <f t="shared" si="201"/>
        <v>40986</v>
      </c>
      <c r="L1211"/>
      <c r="M1211"/>
      <c r="N1211"/>
      <c r="O1211"/>
      <c r="P1211"/>
      <c r="Q1211"/>
      <c r="R1211"/>
      <c r="S1211"/>
      <c r="T1211"/>
    </row>
    <row r="1212" spans="1:20" outlineLevel="4" x14ac:dyDescent="0.3">
      <c r="A1212" s="82" t="s">
        <v>1994</v>
      </c>
      <c r="B1212" s="10" t="s">
        <v>273</v>
      </c>
      <c r="C1212" s="60" t="s">
        <v>274</v>
      </c>
      <c r="D1212" s="44" t="s">
        <v>268</v>
      </c>
      <c r="E1212" s="84">
        <v>40</v>
      </c>
      <c r="F1212" s="84"/>
      <c r="G1212" s="94">
        <f t="shared" si="197"/>
        <v>1</v>
      </c>
      <c r="H1212" s="93">
        <f t="shared" si="198"/>
        <v>56</v>
      </c>
      <c r="I1212" s="84">
        <f t="shared" si="199"/>
        <v>2240</v>
      </c>
      <c r="J1212" s="105">
        <f t="shared" si="200"/>
        <v>6.6129921974072677E-4</v>
      </c>
      <c r="K1212">
        <f t="shared" si="201"/>
        <v>2240</v>
      </c>
      <c r="L1212"/>
      <c r="M1212"/>
      <c r="N1212"/>
      <c r="O1212"/>
      <c r="P1212"/>
      <c r="Q1212"/>
      <c r="R1212"/>
      <c r="S1212"/>
      <c r="T1212"/>
    </row>
    <row r="1213" spans="1:20" outlineLevel="4" x14ac:dyDescent="0.3">
      <c r="A1213" s="82" t="s">
        <v>1995</v>
      </c>
      <c r="B1213" s="10" t="s">
        <v>276</v>
      </c>
      <c r="C1213" s="60" t="s">
        <v>277</v>
      </c>
      <c r="D1213" s="44" t="s">
        <v>268</v>
      </c>
      <c r="E1213" s="84">
        <v>10</v>
      </c>
      <c r="F1213" s="84"/>
      <c r="G1213" s="94">
        <f t="shared" si="197"/>
        <v>1</v>
      </c>
      <c r="H1213" s="93">
        <f t="shared" si="198"/>
        <v>150</v>
      </c>
      <c r="I1213" s="84">
        <f t="shared" si="199"/>
        <v>1500</v>
      </c>
      <c r="J1213" s="105">
        <f t="shared" si="200"/>
        <v>4.4283429893352238E-4</v>
      </c>
      <c r="K1213">
        <f t="shared" si="201"/>
        <v>1500</v>
      </c>
      <c r="L1213"/>
      <c r="M1213"/>
      <c r="N1213"/>
      <c r="O1213"/>
      <c r="P1213"/>
      <c r="Q1213"/>
      <c r="R1213"/>
      <c r="S1213"/>
      <c r="T1213"/>
    </row>
    <row r="1214" spans="1:20" outlineLevel="4" x14ac:dyDescent="0.3">
      <c r="A1214" s="82" t="s">
        <v>1996</v>
      </c>
      <c r="B1214" s="10" t="s">
        <v>279</v>
      </c>
      <c r="C1214" s="60" t="s">
        <v>280</v>
      </c>
      <c r="D1214" s="44" t="s">
        <v>268</v>
      </c>
      <c r="E1214" s="84">
        <v>0</v>
      </c>
      <c r="F1214" s="84"/>
      <c r="G1214" s="94">
        <f t="shared" si="197"/>
        <v>1</v>
      </c>
      <c r="H1214" s="93">
        <f t="shared" si="198"/>
        <v>56</v>
      </c>
      <c r="I1214" s="84">
        <f t="shared" si="199"/>
        <v>0</v>
      </c>
      <c r="J1214" s="105">
        <f t="shared" si="200"/>
        <v>0</v>
      </c>
      <c r="K1214">
        <f t="shared" si="201"/>
        <v>0</v>
      </c>
      <c r="L1214"/>
      <c r="M1214"/>
      <c r="N1214"/>
      <c r="O1214"/>
      <c r="P1214"/>
      <c r="Q1214"/>
      <c r="R1214"/>
      <c r="S1214"/>
      <c r="T1214"/>
    </row>
    <row r="1215" spans="1:20" outlineLevel="3" x14ac:dyDescent="0.3">
      <c r="A1215" s="82" t="s">
        <v>1997</v>
      </c>
      <c r="B1215" s="10" t="s">
        <v>282</v>
      </c>
      <c r="C1215" s="60" t="s">
        <v>283</v>
      </c>
      <c r="D1215" s="44" t="s">
        <v>128</v>
      </c>
      <c r="E1215" s="84">
        <v>89</v>
      </c>
      <c r="F1215" s="84"/>
      <c r="G1215" s="94">
        <f t="shared" si="197"/>
        <v>1</v>
      </c>
      <c r="H1215" s="93">
        <f t="shared" si="198"/>
        <v>1.7</v>
      </c>
      <c r="I1215" s="84">
        <f t="shared" si="199"/>
        <v>151.30000000000001</v>
      </c>
      <c r="J1215" s="105">
        <f t="shared" si="200"/>
        <v>4.466721961909463E-5</v>
      </c>
      <c r="K1215">
        <f t="shared" si="201"/>
        <v>151.30000000000001</v>
      </c>
      <c r="L1215"/>
      <c r="M1215"/>
      <c r="N1215"/>
      <c r="O1215"/>
      <c r="P1215"/>
      <c r="Q1215"/>
      <c r="R1215"/>
      <c r="S1215"/>
      <c r="T1215"/>
    </row>
    <row r="1216" spans="1:20" outlineLevel="3" x14ac:dyDescent="0.3">
      <c r="A1216" s="82" t="s">
        <v>1998</v>
      </c>
      <c r="B1216" s="10" t="s">
        <v>285</v>
      </c>
      <c r="C1216" s="60" t="s">
        <v>286</v>
      </c>
      <c r="D1216" s="44" t="s">
        <v>141</v>
      </c>
      <c r="E1216" s="84">
        <v>28</v>
      </c>
      <c r="F1216" s="84"/>
      <c r="G1216" s="94">
        <f t="shared" si="197"/>
        <v>1</v>
      </c>
      <c r="H1216" s="93">
        <f t="shared" si="198"/>
        <v>13</v>
      </c>
      <c r="I1216" s="84">
        <f t="shared" si="199"/>
        <v>364</v>
      </c>
      <c r="J1216" s="105">
        <f t="shared" si="200"/>
        <v>1.0746112320786811E-4</v>
      </c>
      <c r="K1216">
        <f t="shared" si="201"/>
        <v>364</v>
      </c>
      <c r="L1216"/>
      <c r="M1216"/>
      <c r="N1216"/>
      <c r="O1216"/>
      <c r="P1216"/>
      <c r="Q1216"/>
      <c r="R1216"/>
      <c r="S1216"/>
      <c r="T1216"/>
    </row>
    <row r="1217" spans="1:20" outlineLevel="3" x14ac:dyDescent="0.3">
      <c r="A1217" s="82" t="s">
        <v>1999</v>
      </c>
      <c r="B1217" s="10" t="s">
        <v>288</v>
      </c>
      <c r="C1217" s="60" t="s">
        <v>289</v>
      </c>
      <c r="D1217" s="44" t="s">
        <v>141</v>
      </c>
      <c r="E1217" s="84">
        <v>0</v>
      </c>
      <c r="F1217" s="84"/>
      <c r="G1217" s="94">
        <f t="shared" si="197"/>
        <v>1</v>
      </c>
      <c r="H1217" s="93">
        <f t="shared" si="198"/>
        <v>14</v>
      </c>
      <c r="I1217" s="84">
        <f t="shared" si="199"/>
        <v>0</v>
      </c>
      <c r="J1217" s="105">
        <f t="shared" si="200"/>
        <v>0</v>
      </c>
      <c r="K1217">
        <f t="shared" si="201"/>
        <v>0</v>
      </c>
      <c r="L1217"/>
      <c r="M1217"/>
      <c r="N1217"/>
      <c r="O1217"/>
      <c r="P1217"/>
      <c r="Q1217"/>
      <c r="R1217"/>
      <c r="S1217"/>
      <c r="T1217"/>
    </row>
    <row r="1218" spans="1:20" outlineLevel="3" x14ac:dyDescent="0.3">
      <c r="A1218" s="82" t="s">
        <v>2000</v>
      </c>
      <c r="B1218" s="10" t="s">
        <v>291</v>
      </c>
      <c r="C1218" s="60" t="s">
        <v>292</v>
      </c>
      <c r="D1218" s="44" t="s">
        <v>141</v>
      </c>
      <c r="E1218" s="84">
        <v>0</v>
      </c>
      <c r="F1218" s="84"/>
      <c r="G1218" s="94">
        <f t="shared" si="197"/>
        <v>1</v>
      </c>
      <c r="H1218" s="93">
        <f t="shared" si="198"/>
        <v>29</v>
      </c>
      <c r="I1218" s="84">
        <f t="shared" si="199"/>
        <v>0</v>
      </c>
      <c r="J1218" s="105">
        <f t="shared" si="200"/>
        <v>0</v>
      </c>
      <c r="K1218">
        <f t="shared" si="201"/>
        <v>0</v>
      </c>
      <c r="L1218"/>
      <c r="M1218"/>
      <c r="N1218"/>
      <c r="O1218"/>
      <c r="P1218"/>
      <c r="Q1218"/>
      <c r="R1218"/>
      <c r="S1218"/>
      <c r="T1218"/>
    </row>
    <row r="1219" spans="1:20" ht="28.8" outlineLevel="3" x14ac:dyDescent="0.3">
      <c r="A1219" s="82" t="s">
        <v>2001</v>
      </c>
      <c r="B1219" s="10" t="s">
        <v>294</v>
      </c>
      <c r="C1219" s="60" t="s">
        <v>295</v>
      </c>
      <c r="D1219" s="44" t="s">
        <v>141</v>
      </c>
      <c r="E1219" s="84">
        <v>11</v>
      </c>
      <c r="F1219" s="84"/>
      <c r="G1219" s="94">
        <f t="shared" si="197"/>
        <v>1</v>
      </c>
      <c r="H1219" s="93">
        <f t="shared" si="198"/>
        <v>38</v>
      </c>
      <c r="I1219" s="84">
        <f t="shared" si="199"/>
        <v>418</v>
      </c>
      <c r="J1219" s="105">
        <f t="shared" si="200"/>
        <v>1.2340315796947491E-4</v>
      </c>
      <c r="K1219">
        <f t="shared" si="201"/>
        <v>418</v>
      </c>
      <c r="L1219"/>
      <c r="M1219"/>
      <c r="N1219"/>
      <c r="O1219"/>
      <c r="P1219"/>
      <c r="Q1219"/>
      <c r="R1219"/>
      <c r="S1219"/>
      <c r="T1219"/>
    </row>
    <row r="1220" spans="1:20" ht="15" outlineLevel="3" thickBot="1" x14ac:dyDescent="0.35">
      <c r="A1220" s="82" t="s">
        <v>2002</v>
      </c>
      <c r="B1220" s="10" t="s">
        <v>297</v>
      </c>
      <c r="C1220" s="60" t="s">
        <v>298</v>
      </c>
      <c r="D1220" s="44" t="s">
        <v>121</v>
      </c>
      <c r="E1220" s="84">
        <v>10</v>
      </c>
      <c r="F1220" s="84"/>
      <c r="G1220" s="94">
        <f t="shared" si="197"/>
        <v>1</v>
      </c>
      <c r="H1220" s="93">
        <f t="shared" si="198"/>
        <v>160</v>
      </c>
      <c r="I1220" s="84">
        <f t="shared" si="199"/>
        <v>1600</v>
      </c>
      <c r="J1220" s="105">
        <f t="shared" si="200"/>
        <v>4.7235658552909055E-4</v>
      </c>
      <c r="K1220">
        <f t="shared" si="201"/>
        <v>1600</v>
      </c>
      <c r="L1220"/>
      <c r="M1220"/>
      <c r="N1220"/>
      <c r="O1220"/>
      <c r="P1220"/>
      <c r="Q1220"/>
      <c r="R1220"/>
      <c r="S1220"/>
      <c r="T1220"/>
    </row>
    <row r="1221" spans="1:20" ht="15" outlineLevel="2" thickTop="1" x14ac:dyDescent="0.3">
      <c r="A1221" s="82" t="s">
        <v>2003</v>
      </c>
      <c r="B1221" s="62" t="s">
        <v>60</v>
      </c>
      <c r="C1221" s="63" t="s">
        <v>300</v>
      </c>
      <c r="D1221" s="116"/>
      <c r="E1221" s="88"/>
      <c r="F1221" s="88"/>
      <c r="G1221" s="98"/>
      <c r="H1221" s="88"/>
      <c r="I1221" s="88">
        <f>SUBTOTAL(9,I1201:I1220)</f>
        <v>53055.3</v>
      </c>
      <c r="J1221" s="109"/>
      <c r="K1221"/>
      <c r="L1221"/>
      <c r="M1221"/>
      <c r="N1221"/>
      <c r="O1221"/>
      <c r="P1221"/>
      <c r="Q1221"/>
      <c r="R1221"/>
      <c r="S1221"/>
      <c r="T1221"/>
    </row>
    <row r="1222" spans="1:20" outlineLevel="2" x14ac:dyDescent="0.3">
      <c r="A1222" s="82" t="s">
        <v>2004</v>
      </c>
      <c r="B1222" s="64" t="s">
        <v>302</v>
      </c>
      <c r="C1222" s="65" t="s">
        <v>303</v>
      </c>
      <c r="D1222" s="117"/>
      <c r="E1222" s="87"/>
      <c r="F1222" s="87"/>
      <c r="G1222" s="97"/>
      <c r="H1222" s="87"/>
      <c r="I1222" s="104">
        <f>SUBTOTAL(9,K1223:K1276)</f>
        <v>17132</v>
      </c>
      <c r="J1222" s="108"/>
      <c r="K1222"/>
      <c r="L1222"/>
      <c r="M1222"/>
      <c r="N1222"/>
      <c r="O1222"/>
      <c r="P1222"/>
      <c r="Q1222"/>
      <c r="R1222"/>
      <c r="S1222"/>
      <c r="T1222"/>
    </row>
    <row r="1223" spans="1:20" outlineLevel="3" x14ac:dyDescent="0.3">
      <c r="A1223" s="82" t="s">
        <v>2005</v>
      </c>
      <c r="B1223" s="64" t="s">
        <v>305</v>
      </c>
      <c r="C1223" s="66" t="s">
        <v>306</v>
      </c>
      <c r="D1223" s="117"/>
      <c r="E1223" s="87"/>
      <c r="F1223" s="87"/>
      <c r="G1223" s="97"/>
      <c r="H1223" s="87"/>
      <c r="I1223" s="104">
        <f>SUBTOTAL(9,K1224:K1227)</f>
        <v>0</v>
      </c>
      <c r="J1223" s="108"/>
      <c r="K1223"/>
      <c r="L1223"/>
      <c r="M1223"/>
      <c r="N1223"/>
      <c r="O1223"/>
      <c r="P1223"/>
      <c r="Q1223"/>
      <c r="R1223"/>
      <c r="S1223"/>
      <c r="T1223"/>
    </row>
    <row r="1224" spans="1:20" outlineLevel="4" x14ac:dyDescent="0.3">
      <c r="A1224" s="82" t="s">
        <v>2006</v>
      </c>
      <c r="B1224" s="10" t="s">
        <v>308</v>
      </c>
      <c r="C1224" s="60" t="s">
        <v>309</v>
      </c>
      <c r="D1224" s="44" t="s">
        <v>154</v>
      </c>
      <c r="E1224" s="84">
        <v>0</v>
      </c>
      <c r="F1224" s="84"/>
      <c r="G1224" s="94">
        <f>cell_CoefGeneral</f>
        <v>1</v>
      </c>
      <c r="H1224" s="93">
        <f>H87</f>
        <v>1.8</v>
      </c>
      <c r="I1224" s="84">
        <f>IFERROR(ROUND(E1224*H1224,2),"-")</f>
        <v>0</v>
      </c>
      <c r="J1224" s="105">
        <f>IFERROR(I1224/cell_Total_HT,"-")</f>
        <v>0</v>
      </c>
      <c r="K1224">
        <f>I1224</f>
        <v>0</v>
      </c>
      <c r="L1224"/>
      <c r="M1224"/>
      <c r="N1224"/>
      <c r="O1224"/>
      <c r="P1224"/>
      <c r="Q1224"/>
      <c r="R1224"/>
      <c r="S1224"/>
      <c r="T1224"/>
    </row>
    <row r="1225" spans="1:20" ht="28.8" outlineLevel="4" x14ac:dyDescent="0.3">
      <c r="A1225" s="82" t="s">
        <v>2007</v>
      </c>
      <c r="B1225" s="10" t="s">
        <v>311</v>
      </c>
      <c r="C1225" s="60" t="s">
        <v>312</v>
      </c>
      <c r="D1225" s="44" t="s">
        <v>268</v>
      </c>
      <c r="E1225" s="84">
        <v>0</v>
      </c>
      <c r="F1225" s="84"/>
      <c r="G1225" s="94">
        <f>cell_CoefGeneral</f>
        <v>1</v>
      </c>
      <c r="H1225" s="93">
        <f>H88</f>
        <v>83</v>
      </c>
      <c r="I1225" s="84">
        <f>IFERROR(ROUND(E1225*H1225,2),"-")</f>
        <v>0</v>
      </c>
      <c r="J1225" s="105">
        <f>IFERROR(I1225/cell_Total_HT,"-")</f>
        <v>0</v>
      </c>
      <c r="K1225">
        <f>I1225</f>
        <v>0</v>
      </c>
      <c r="L1225"/>
      <c r="M1225"/>
      <c r="N1225"/>
      <c r="O1225"/>
      <c r="P1225"/>
      <c r="Q1225"/>
      <c r="R1225"/>
      <c r="S1225"/>
      <c r="T1225"/>
    </row>
    <row r="1226" spans="1:20" outlineLevel="4" x14ac:dyDescent="0.3">
      <c r="A1226" s="82" t="s">
        <v>2008</v>
      </c>
      <c r="B1226" s="10" t="s">
        <v>314</v>
      </c>
      <c r="C1226" s="60" t="s">
        <v>315</v>
      </c>
      <c r="D1226" s="44" t="s">
        <v>154</v>
      </c>
      <c r="E1226" s="84">
        <v>0</v>
      </c>
      <c r="F1226" s="84"/>
      <c r="G1226" s="94">
        <f>cell_CoefGeneral</f>
        <v>1</v>
      </c>
      <c r="H1226" s="93">
        <f>H89</f>
        <v>0.9</v>
      </c>
      <c r="I1226" s="84">
        <f>IFERROR(ROUND(E1226*H1226,2),"-")</f>
        <v>0</v>
      </c>
      <c r="J1226" s="105">
        <f>IFERROR(I1226/cell_Total_HT,"-")</f>
        <v>0</v>
      </c>
      <c r="K1226">
        <f>I1226</f>
        <v>0</v>
      </c>
      <c r="L1226"/>
      <c r="M1226"/>
      <c r="N1226"/>
      <c r="O1226"/>
      <c r="P1226"/>
      <c r="Q1226"/>
      <c r="R1226"/>
      <c r="S1226"/>
      <c r="T1226"/>
    </row>
    <row r="1227" spans="1:20" outlineLevel="4" x14ac:dyDescent="0.3">
      <c r="A1227" s="82" t="s">
        <v>2009</v>
      </c>
      <c r="B1227" s="10" t="s">
        <v>317</v>
      </c>
      <c r="C1227" s="60" t="s">
        <v>318</v>
      </c>
      <c r="D1227" s="44" t="s">
        <v>268</v>
      </c>
      <c r="E1227" s="84">
        <v>0</v>
      </c>
      <c r="F1227" s="84"/>
      <c r="G1227" s="94">
        <f>cell_CoefGeneral</f>
        <v>1</v>
      </c>
      <c r="H1227" s="93">
        <f>H90</f>
        <v>100</v>
      </c>
      <c r="I1227" s="84">
        <f>IFERROR(ROUND(E1227*H1227,2),"-")</f>
        <v>0</v>
      </c>
      <c r="J1227" s="105">
        <f>IFERROR(I1227/cell_Total_HT,"-")</f>
        <v>0</v>
      </c>
      <c r="K1227">
        <f>I1227</f>
        <v>0</v>
      </c>
      <c r="L1227"/>
      <c r="M1227"/>
      <c r="N1227"/>
      <c r="O1227"/>
      <c r="P1227"/>
      <c r="Q1227"/>
      <c r="R1227"/>
      <c r="S1227"/>
      <c r="T1227"/>
    </row>
    <row r="1228" spans="1:20" outlineLevel="3" x14ac:dyDescent="0.3">
      <c r="A1228" s="82" t="s">
        <v>2010</v>
      </c>
      <c r="B1228" s="58" t="s">
        <v>320</v>
      </c>
      <c r="C1228" s="61" t="s">
        <v>321</v>
      </c>
      <c r="D1228" s="115"/>
      <c r="E1228" s="87"/>
      <c r="F1228" s="87"/>
      <c r="G1228" s="97"/>
      <c r="H1228" s="87"/>
      <c r="I1228" s="104">
        <f>SUBTOTAL(9,K1229:K1230)</f>
        <v>0</v>
      </c>
      <c r="J1228" s="108"/>
      <c r="K1228"/>
      <c r="L1228"/>
      <c r="M1228"/>
      <c r="N1228"/>
      <c r="O1228"/>
      <c r="P1228"/>
      <c r="Q1228"/>
      <c r="R1228"/>
      <c r="S1228"/>
      <c r="T1228"/>
    </row>
    <row r="1229" spans="1:20" outlineLevel="4" x14ac:dyDescent="0.3">
      <c r="A1229" s="82" t="s">
        <v>2011</v>
      </c>
      <c r="B1229" s="10" t="s">
        <v>323</v>
      </c>
      <c r="C1229" s="60" t="s">
        <v>309</v>
      </c>
      <c r="D1229" s="44" t="s">
        <v>154</v>
      </c>
      <c r="E1229" s="84">
        <v>0</v>
      </c>
      <c r="F1229" s="84"/>
      <c r="G1229" s="94">
        <f>cell_CoefGeneral</f>
        <v>1</v>
      </c>
      <c r="H1229" s="93">
        <f>H92</f>
        <v>2.2999999999999998</v>
      </c>
      <c r="I1229" s="84">
        <f>IFERROR(ROUND(E1229*H1229,2),"-")</f>
        <v>0</v>
      </c>
      <c r="J1229" s="105">
        <f>IFERROR(I1229/cell_Total_HT,"-")</f>
        <v>0</v>
      </c>
      <c r="K1229">
        <f>I1229</f>
        <v>0</v>
      </c>
      <c r="L1229"/>
      <c r="M1229"/>
      <c r="N1229"/>
      <c r="O1229"/>
      <c r="P1229"/>
      <c r="Q1229"/>
      <c r="R1229"/>
      <c r="S1229"/>
      <c r="T1229"/>
    </row>
    <row r="1230" spans="1:20" outlineLevel="4" x14ac:dyDescent="0.3">
      <c r="A1230" s="82" t="s">
        <v>2012</v>
      </c>
      <c r="B1230" s="10" t="s">
        <v>325</v>
      </c>
      <c r="C1230" s="60" t="s">
        <v>326</v>
      </c>
      <c r="D1230" s="44" t="s">
        <v>268</v>
      </c>
      <c r="E1230" s="84">
        <v>0</v>
      </c>
      <c r="F1230" s="84"/>
      <c r="G1230" s="94">
        <f>cell_CoefGeneral</f>
        <v>1</v>
      </c>
      <c r="H1230" s="93">
        <f>H93</f>
        <v>120</v>
      </c>
      <c r="I1230" s="84">
        <f>IFERROR(ROUND(E1230*H1230,2),"-")</f>
        <v>0</v>
      </c>
      <c r="J1230" s="105">
        <f>IFERROR(I1230/cell_Total_HT,"-")</f>
        <v>0</v>
      </c>
      <c r="K1230">
        <f>I1230</f>
        <v>0</v>
      </c>
      <c r="L1230"/>
      <c r="M1230"/>
      <c r="N1230"/>
      <c r="O1230"/>
      <c r="P1230"/>
      <c r="Q1230"/>
      <c r="R1230"/>
      <c r="S1230"/>
      <c r="T1230"/>
    </row>
    <row r="1231" spans="1:20" outlineLevel="3" x14ac:dyDescent="0.3">
      <c r="A1231" s="82" t="s">
        <v>2013</v>
      </c>
      <c r="B1231" s="58" t="s">
        <v>328</v>
      </c>
      <c r="C1231" s="61" t="s">
        <v>329</v>
      </c>
      <c r="D1231" s="115"/>
      <c r="E1231" s="87"/>
      <c r="F1231" s="87"/>
      <c r="G1231" s="97"/>
      <c r="H1231" s="87"/>
      <c r="I1231" s="104">
        <f>SUBTOTAL(9,K1232:K1233)</f>
        <v>0</v>
      </c>
      <c r="J1231" s="108"/>
      <c r="K1231"/>
      <c r="L1231"/>
      <c r="M1231"/>
      <c r="N1231"/>
      <c r="O1231"/>
      <c r="P1231"/>
      <c r="Q1231"/>
      <c r="R1231"/>
      <c r="S1231"/>
      <c r="T1231"/>
    </row>
    <row r="1232" spans="1:20" outlineLevel="4" x14ac:dyDescent="0.3">
      <c r="A1232" s="82" t="s">
        <v>2014</v>
      </c>
      <c r="B1232" s="10" t="s">
        <v>331</v>
      </c>
      <c r="C1232" s="60" t="s">
        <v>332</v>
      </c>
      <c r="D1232" s="44" t="s">
        <v>154</v>
      </c>
      <c r="E1232" s="84">
        <v>0</v>
      </c>
      <c r="F1232" s="84"/>
      <c r="G1232" s="94">
        <f>cell_CoefGeneral</f>
        <v>1</v>
      </c>
      <c r="H1232" s="93">
        <f>H95</f>
        <v>76</v>
      </c>
      <c r="I1232" s="84">
        <f>IFERROR(ROUND(E1232*H1232,2),"-")</f>
        <v>0</v>
      </c>
      <c r="J1232" s="105">
        <f>IFERROR(I1232/cell_Total_HT,"-")</f>
        <v>0</v>
      </c>
      <c r="K1232">
        <f>I1232</f>
        <v>0</v>
      </c>
      <c r="L1232"/>
      <c r="M1232"/>
      <c r="N1232"/>
      <c r="O1232"/>
      <c r="P1232"/>
      <c r="Q1232"/>
      <c r="R1232"/>
      <c r="S1232"/>
      <c r="T1232"/>
    </row>
    <row r="1233" spans="1:20" outlineLevel="4" x14ac:dyDescent="0.3">
      <c r="A1233" s="82" t="s">
        <v>2015</v>
      </c>
      <c r="B1233" s="10" t="s">
        <v>334</v>
      </c>
      <c r="C1233" s="60" t="s">
        <v>335</v>
      </c>
      <c r="D1233" s="44" t="s">
        <v>80</v>
      </c>
      <c r="E1233" s="84">
        <v>0</v>
      </c>
      <c r="F1233" s="84"/>
      <c r="G1233" s="94">
        <f>cell_CoefGeneral</f>
        <v>1</v>
      </c>
      <c r="H1233" s="93">
        <f>H96</f>
        <v>60</v>
      </c>
      <c r="I1233" s="84">
        <f>IFERROR(ROUND(E1233*H1233,2),"-")</f>
        <v>0</v>
      </c>
      <c r="J1233" s="105">
        <f>IFERROR(I1233/cell_Total_HT,"-")</f>
        <v>0</v>
      </c>
      <c r="K1233">
        <f>I1233</f>
        <v>0</v>
      </c>
      <c r="L1233"/>
      <c r="M1233"/>
      <c r="N1233"/>
      <c r="O1233"/>
      <c r="P1233"/>
      <c r="Q1233"/>
      <c r="R1233"/>
      <c r="S1233"/>
      <c r="T1233"/>
    </row>
    <row r="1234" spans="1:20" outlineLevel="3" x14ac:dyDescent="0.3">
      <c r="A1234" s="82" t="s">
        <v>2016</v>
      </c>
      <c r="B1234" s="58" t="s">
        <v>337</v>
      </c>
      <c r="C1234" s="61" t="s">
        <v>338</v>
      </c>
      <c r="D1234" s="115"/>
      <c r="E1234" s="87"/>
      <c r="F1234" s="87"/>
      <c r="G1234" s="97"/>
      <c r="H1234" s="87"/>
      <c r="I1234" s="104">
        <f>SUBTOTAL(9,K1235:K1235)</f>
        <v>0</v>
      </c>
      <c r="J1234" s="108"/>
      <c r="K1234"/>
      <c r="L1234"/>
      <c r="M1234"/>
      <c r="N1234"/>
      <c r="O1234"/>
      <c r="P1234"/>
      <c r="Q1234"/>
      <c r="R1234"/>
      <c r="S1234"/>
      <c r="T1234"/>
    </row>
    <row r="1235" spans="1:20" outlineLevel="4" x14ac:dyDescent="0.3">
      <c r="A1235" s="82" t="s">
        <v>2017</v>
      </c>
      <c r="B1235" s="10" t="s">
        <v>340</v>
      </c>
      <c r="C1235" s="60" t="s">
        <v>332</v>
      </c>
      <c r="D1235" s="44" t="s">
        <v>154</v>
      </c>
      <c r="E1235" s="84">
        <v>0</v>
      </c>
      <c r="F1235" s="84"/>
      <c r="G1235" s="94">
        <f>cell_CoefGeneral</f>
        <v>1</v>
      </c>
      <c r="H1235" s="93">
        <f>H98</f>
        <v>76</v>
      </c>
      <c r="I1235" s="84">
        <f>IFERROR(ROUND(E1235*H1235,2),"-")</f>
        <v>0</v>
      </c>
      <c r="J1235" s="105">
        <f>IFERROR(I1235/cell_Total_HT,"-")</f>
        <v>0</v>
      </c>
      <c r="K1235">
        <f>I1235</f>
        <v>0</v>
      </c>
      <c r="L1235"/>
      <c r="M1235"/>
      <c r="N1235"/>
      <c r="O1235"/>
      <c r="P1235"/>
      <c r="Q1235"/>
      <c r="R1235"/>
      <c r="S1235"/>
      <c r="T1235"/>
    </row>
    <row r="1236" spans="1:20" outlineLevel="3" x14ac:dyDescent="0.3">
      <c r="A1236" s="82" t="s">
        <v>2018</v>
      </c>
      <c r="B1236" s="58" t="s">
        <v>342</v>
      </c>
      <c r="C1236" s="61" t="s">
        <v>343</v>
      </c>
      <c r="D1236" s="115"/>
      <c r="E1236" s="87"/>
      <c r="F1236" s="87"/>
      <c r="G1236" s="97"/>
      <c r="H1236" s="87"/>
      <c r="I1236" s="104">
        <f>SUBTOTAL(9,K1237:K1237)</f>
        <v>15096</v>
      </c>
      <c r="J1236" s="108"/>
      <c r="K1236"/>
      <c r="L1236"/>
      <c r="M1236"/>
      <c r="N1236"/>
      <c r="O1236"/>
      <c r="P1236"/>
      <c r="Q1236"/>
      <c r="R1236"/>
      <c r="S1236"/>
      <c r="T1236"/>
    </row>
    <row r="1237" spans="1:20" outlineLevel="4" x14ac:dyDescent="0.3">
      <c r="A1237" s="82" t="s">
        <v>2019</v>
      </c>
      <c r="B1237" s="10" t="s">
        <v>345</v>
      </c>
      <c r="C1237" s="60" t="s">
        <v>346</v>
      </c>
      <c r="D1237" s="44" t="s">
        <v>154</v>
      </c>
      <c r="E1237" s="84">
        <v>222</v>
      </c>
      <c r="F1237" s="84"/>
      <c r="G1237" s="94">
        <f>cell_CoefGeneral</f>
        <v>1</v>
      </c>
      <c r="H1237" s="93">
        <f>H100</f>
        <v>68</v>
      </c>
      <c r="I1237" s="84">
        <f>IFERROR(ROUND(E1237*H1237,2),"-")</f>
        <v>15096</v>
      </c>
      <c r="J1237" s="105">
        <f>IFERROR(I1237/cell_Total_HT,"-")</f>
        <v>4.4566843844669694E-3</v>
      </c>
      <c r="K1237">
        <f>I1237</f>
        <v>15096</v>
      </c>
      <c r="L1237"/>
      <c r="M1237"/>
      <c r="N1237"/>
      <c r="O1237"/>
      <c r="P1237"/>
      <c r="Q1237"/>
      <c r="R1237"/>
      <c r="S1237"/>
      <c r="T1237"/>
    </row>
    <row r="1238" spans="1:20" outlineLevel="3" x14ac:dyDescent="0.3">
      <c r="A1238" s="82" t="s">
        <v>2020</v>
      </c>
      <c r="B1238" s="58" t="s">
        <v>348</v>
      </c>
      <c r="C1238" s="61" t="s">
        <v>349</v>
      </c>
      <c r="D1238" s="115"/>
      <c r="E1238" s="87"/>
      <c r="F1238" s="87"/>
      <c r="G1238" s="97"/>
      <c r="H1238" s="87"/>
      <c r="I1238" s="104">
        <f>SUBTOTAL(9,K1239:K1240)</f>
        <v>0</v>
      </c>
      <c r="J1238" s="108"/>
      <c r="K1238"/>
      <c r="L1238"/>
      <c r="M1238"/>
      <c r="N1238"/>
      <c r="O1238"/>
      <c r="P1238"/>
      <c r="Q1238"/>
      <c r="R1238"/>
      <c r="S1238"/>
      <c r="T1238"/>
    </row>
    <row r="1239" spans="1:20" ht="28.8" outlineLevel="4" x14ac:dyDescent="0.3">
      <c r="A1239" s="82" t="s">
        <v>2021</v>
      </c>
      <c r="B1239" s="10" t="s">
        <v>351</v>
      </c>
      <c r="C1239" s="60" t="s">
        <v>352</v>
      </c>
      <c r="D1239" s="44" t="s">
        <v>141</v>
      </c>
      <c r="E1239" s="84">
        <v>0</v>
      </c>
      <c r="F1239" s="84"/>
      <c r="G1239" s="94">
        <f>cell_CoefGeneral</f>
        <v>1</v>
      </c>
      <c r="H1239" s="93">
        <f>H102</f>
        <v>43</v>
      </c>
      <c r="I1239" s="84">
        <f>IFERROR(ROUND(E1239*H1239,2),"-")</f>
        <v>0</v>
      </c>
      <c r="J1239" s="105">
        <f>IFERROR(I1239/cell_Total_HT,"-")</f>
        <v>0</v>
      </c>
      <c r="K1239">
        <f>I1239</f>
        <v>0</v>
      </c>
      <c r="L1239"/>
      <c r="M1239"/>
      <c r="N1239"/>
      <c r="O1239"/>
      <c r="P1239"/>
      <c r="Q1239"/>
      <c r="R1239"/>
      <c r="S1239"/>
      <c r="T1239"/>
    </row>
    <row r="1240" spans="1:20" outlineLevel="4" x14ac:dyDescent="0.3">
      <c r="A1240" s="82" t="s">
        <v>2022</v>
      </c>
      <c r="B1240" s="10" t="s">
        <v>354</v>
      </c>
      <c r="C1240" s="60" t="s">
        <v>355</v>
      </c>
      <c r="D1240" s="44" t="s">
        <v>154</v>
      </c>
      <c r="E1240" s="84">
        <v>0</v>
      </c>
      <c r="F1240" s="84"/>
      <c r="G1240" s="94">
        <f>cell_CoefGeneral</f>
        <v>1</v>
      </c>
      <c r="H1240" s="93">
        <f>H103</f>
        <v>9</v>
      </c>
      <c r="I1240" s="84">
        <f>IFERROR(ROUND(E1240*H1240,2),"-")</f>
        <v>0</v>
      </c>
      <c r="J1240" s="105">
        <f>IFERROR(I1240/cell_Total_HT,"-")</f>
        <v>0</v>
      </c>
      <c r="K1240">
        <f>I1240</f>
        <v>0</v>
      </c>
      <c r="L1240"/>
      <c r="M1240"/>
      <c r="N1240"/>
      <c r="O1240"/>
      <c r="P1240"/>
      <c r="Q1240"/>
      <c r="R1240"/>
      <c r="S1240"/>
      <c r="T1240"/>
    </row>
    <row r="1241" spans="1:20" outlineLevel="3" x14ac:dyDescent="0.3">
      <c r="A1241" s="82" t="s">
        <v>2023</v>
      </c>
      <c r="B1241" s="58" t="s">
        <v>357</v>
      </c>
      <c r="C1241" s="61" t="s">
        <v>358</v>
      </c>
      <c r="D1241" s="115"/>
      <c r="E1241" s="87"/>
      <c r="F1241" s="87"/>
      <c r="G1241" s="97"/>
      <c r="H1241" s="87"/>
      <c r="I1241" s="104">
        <f>SUBTOTAL(9,K1242:K1243)</f>
        <v>0</v>
      </c>
      <c r="J1241" s="108"/>
      <c r="K1241"/>
      <c r="L1241"/>
      <c r="M1241"/>
      <c r="N1241"/>
      <c r="O1241"/>
      <c r="P1241"/>
      <c r="Q1241"/>
      <c r="R1241"/>
      <c r="S1241"/>
      <c r="T1241"/>
    </row>
    <row r="1242" spans="1:20" ht="28.8" outlineLevel="4" x14ac:dyDescent="0.3">
      <c r="A1242" s="82" t="s">
        <v>2024</v>
      </c>
      <c r="B1242" s="10" t="s">
        <v>360</v>
      </c>
      <c r="C1242" s="60" t="s">
        <v>352</v>
      </c>
      <c r="D1242" s="44" t="s">
        <v>141</v>
      </c>
      <c r="E1242" s="84">
        <v>0</v>
      </c>
      <c r="F1242" s="84"/>
      <c r="G1242" s="94">
        <f>cell_CoefGeneral</f>
        <v>1</v>
      </c>
      <c r="H1242" s="93">
        <f>H105</f>
        <v>58</v>
      </c>
      <c r="I1242" s="84">
        <f>IFERROR(ROUND(E1242*H1242,2),"-")</f>
        <v>0</v>
      </c>
      <c r="J1242" s="105">
        <f>IFERROR(I1242/cell_Total_HT,"-")</f>
        <v>0</v>
      </c>
      <c r="K1242">
        <f>I1242</f>
        <v>0</v>
      </c>
      <c r="L1242"/>
      <c r="M1242"/>
      <c r="N1242"/>
      <c r="O1242"/>
      <c r="P1242"/>
      <c r="Q1242"/>
      <c r="R1242"/>
      <c r="S1242"/>
      <c r="T1242"/>
    </row>
    <row r="1243" spans="1:20" outlineLevel="4" x14ac:dyDescent="0.3">
      <c r="A1243" s="82" t="s">
        <v>2025</v>
      </c>
      <c r="B1243" s="10" t="s">
        <v>362</v>
      </c>
      <c r="C1243" s="60" t="s">
        <v>363</v>
      </c>
      <c r="D1243" s="44" t="s">
        <v>154</v>
      </c>
      <c r="E1243" s="84">
        <v>0</v>
      </c>
      <c r="F1243" s="84"/>
      <c r="G1243" s="94">
        <f>cell_CoefGeneral</f>
        <v>1</v>
      </c>
      <c r="H1243" s="93">
        <f>H106</f>
        <v>20</v>
      </c>
      <c r="I1243" s="84">
        <f>IFERROR(ROUND(E1243*H1243,2),"-")</f>
        <v>0</v>
      </c>
      <c r="J1243" s="105">
        <f>IFERROR(I1243/cell_Total_HT,"-")</f>
        <v>0</v>
      </c>
      <c r="K1243">
        <f>I1243</f>
        <v>0</v>
      </c>
      <c r="L1243"/>
      <c r="M1243"/>
      <c r="N1243"/>
      <c r="O1243"/>
      <c r="P1243"/>
      <c r="Q1243"/>
      <c r="R1243"/>
      <c r="S1243"/>
      <c r="T1243"/>
    </row>
    <row r="1244" spans="1:20" outlineLevel="3" x14ac:dyDescent="0.3">
      <c r="A1244" s="82" t="s">
        <v>2026</v>
      </c>
      <c r="B1244" s="58" t="s">
        <v>365</v>
      </c>
      <c r="C1244" s="61" t="s">
        <v>366</v>
      </c>
      <c r="D1244" s="115"/>
      <c r="E1244" s="87"/>
      <c r="F1244" s="87"/>
      <c r="G1244" s="97"/>
      <c r="H1244" s="87"/>
      <c r="I1244" s="104">
        <f>SUBTOTAL(9,K1245:K1246)</f>
        <v>0</v>
      </c>
      <c r="J1244" s="108"/>
      <c r="K1244"/>
      <c r="L1244"/>
      <c r="M1244"/>
      <c r="N1244"/>
      <c r="O1244"/>
      <c r="P1244"/>
      <c r="Q1244"/>
      <c r="R1244"/>
      <c r="S1244"/>
      <c r="T1244"/>
    </row>
    <row r="1245" spans="1:20" ht="28.8" outlineLevel="4" x14ac:dyDescent="0.3">
      <c r="A1245" s="82" t="s">
        <v>2027</v>
      </c>
      <c r="B1245" s="10" t="s">
        <v>368</v>
      </c>
      <c r="C1245" s="60" t="s">
        <v>369</v>
      </c>
      <c r="D1245" s="44" t="s">
        <v>141</v>
      </c>
      <c r="E1245" s="84">
        <v>0</v>
      </c>
      <c r="F1245" s="84"/>
      <c r="G1245" s="94">
        <f>cell_CoefGeneral</f>
        <v>1</v>
      </c>
      <c r="H1245" s="93">
        <f>H108</f>
        <v>83</v>
      </c>
      <c r="I1245" s="84">
        <f>IFERROR(ROUND(E1245*H1245,2),"-")</f>
        <v>0</v>
      </c>
      <c r="J1245" s="105">
        <f>IFERROR(I1245/cell_Total_HT,"-")</f>
        <v>0</v>
      </c>
      <c r="K1245">
        <f>I1245</f>
        <v>0</v>
      </c>
      <c r="L1245"/>
      <c r="M1245"/>
      <c r="N1245"/>
      <c r="O1245"/>
      <c r="P1245"/>
      <c r="Q1245"/>
      <c r="R1245"/>
      <c r="S1245"/>
      <c r="T1245"/>
    </row>
    <row r="1246" spans="1:20" outlineLevel="4" x14ac:dyDescent="0.3">
      <c r="A1246" s="82" t="s">
        <v>2028</v>
      </c>
      <c r="B1246" s="10" t="s">
        <v>371</v>
      </c>
      <c r="C1246" s="60" t="s">
        <v>372</v>
      </c>
      <c r="D1246" s="44" t="s">
        <v>154</v>
      </c>
      <c r="E1246" s="84">
        <v>0</v>
      </c>
      <c r="F1246" s="84"/>
      <c r="G1246" s="94">
        <f>cell_CoefGeneral</f>
        <v>1</v>
      </c>
      <c r="H1246" s="93">
        <f>H109</f>
        <v>7.6</v>
      </c>
      <c r="I1246" s="84">
        <f>IFERROR(ROUND(E1246*H1246,2),"-")</f>
        <v>0</v>
      </c>
      <c r="J1246" s="105">
        <f>IFERROR(I1246/cell_Total_HT,"-")</f>
        <v>0</v>
      </c>
      <c r="K1246">
        <f>I1246</f>
        <v>0</v>
      </c>
      <c r="L1246"/>
      <c r="M1246"/>
      <c r="N1246"/>
      <c r="O1246"/>
      <c r="P1246"/>
      <c r="Q1246"/>
      <c r="R1246"/>
      <c r="S1246"/>
      <c r="T1246"/>
    </row>
    <row r="1247" spans="1:20" outlineLevel="3" x14ac:dyDescent="0.3">
      <c r="A1247" s="82" t="s">
        <v>2029</v>
      </c>
      <c r="B1247" s="58" t="s">
        <v>374</v>
      </c>
      <c r="C1247" s="61" t="s">
        <v>375</v>
      </c>
      <c r="D1247" s="115"/>
      <c r="E1247" s="87"/>
      <c r="F1247" s="87"/>
      <c r="G1247" s="97"/>
      <c r="H1247" s="87"/>
      <c r="I1247" s="104">
        <f>SUBTOTAL(9,K1248:K1249)</f>
        <v>0</v>
      </c>
      <c r="J1247" s="108"/>
      <c r="K1247"/>
      <c r="L1247"/>
      <c r="M1247"/>
      <c r="N1247"/>
      <c r="O1247"/>
      <c r="P1247"/>
      <c r="Q1247"/>
      <c r="R1247"/>
      <c r="S1247"/>
      <c r="T1247"/>
    </row>
    <row r="1248" spans="1:20" outlineLevel="4" x14ac:dyDescent="0.3">
      <c r="A1248" s="82" t="s">
        <v>2030</v>
      </c>
      <c r="B1248" s="10" t="s">
        <v>377</v>
      </c>
      <c r="C1248" s="60" t="s">
        <v>309</v>
      </c>
      <c r="D1248" s="44" t="s">
        <v>154</v>
      </c>
      <c r="E1248" s="84">
        <v>0</v>
      </c>
      <c r="F1248" s="84"/>
      <c r="G1248" s="94">
        <f>cell_CoefGeneral</f>
        <v>1</v>
      </c>
      <c r="H1248" s="93">
        <f>H111</f>
        <v>2.2000000000000002</v>
      </c>
      <c r="I1248" s="84">
        <f>IFERROR(ROUND(E1248*H1248,2),"-")</f>
        <v>0</v>
      </c>
      <c r="J1248" s="105">
        <f>IFERROR(I1248/cell_Total_HT,"-")</f>
        <v>0</v>
      </c>
      <c r="K1248">
        <f>I1248</f>
        <v>0</v>
      </c>
      <c r="L1248"/>
      <c r="M1248"/>
      <c r="N1248"/>
      <c r="O1248"/>
      <c r="P1248"/>
      <c r="Q1248"/>
      <c r="R1248"/>
      <c r="S1248"/>
      <c r="T1248"/>
    </row>
    <row r="1249" spans="1:20" outlineLevel="4" x14ac:dyDescent="0.3">
      <c r="A1249" s="82" t="s">
        <v>2031</v>
      </c>
      <c r="B1249" s="10" t="s">
        <v>379</v>
      </c>
      <c r="C1249" s="60" t="s">
        <v>380</v>
      </c>
      <c r="D1249" s="44" t="s">
        <v>268</v>
      </c>
      <c r="E1249" s="84">
        <v>0</v>
      </c>
      <c r="F1249" s="84"/>
      <c r="G1249" s="94">
        <f>cell_CoefGeneral</f>
        <v>1</v>
      </c>
      <c r="H1249" s="93">
        <f>H112</f>
        <v>120</v>
      </c>
      <c r="I1249" s="84">
        <f>IFERROR(ROUND(E1249*H1249,2),"-")</f>
        <v>0</v>
      </c>
      <c r="J1249" s="105">
        <f>IFERROR(I1249/cell_Total_HT,"-")</f>
        <v>0</v>
      </c>
      <c r="K1249">
        <f>I1249</f>
        <v>0</v>
      </c>
      <c r="L1249"/>
      <c r="M1249"/>
      <c r="N1249"/>
      <c r="O1249"/>
      <c r="P1249"/>
      <c r="Q1249"/>
      <c r="R1249"/>
      <c r="S1249"/>
      <c r="T1249"/>
    </row>
    <row r="1250" spans="1:20" outlineLevel="3" x14ac:dyDescent="0.3">
      <c r="A1250" s="82" t="s">
        <v>2032</v>
      </c>
      <c r="B1250" s="58" t="s">
        <v>382</v>
      </c>
      <c r="C1250" s="61" t="s">
        <v>383</v>
      </c>
      <c r="D1250" s="115"/>
      <c r="E1250" s="87"/>
      <c r="F1250" s="87"/>
      <c r="G1250" s="97"/>
      <c r="H1250" s="87"/>
      <c r="I1250" s="104">
        <f>SUBTOTAL(9,K1251:K1251)</f>
        <v>0</v>
      </c>
      <c r="J1250" s="108"/>
      <c r="K1250"/>
      <c r="L1250"/>
      <c r="M1250"/>
      <c r="N1250"/>
      <c r="O1250"/>
      <c r="P1250"/>
      <c r="Q1250"/>
      <c r="R1250"/>
      <c r="S1250"/>
      <c r="T1250"/>
    </row>
    <row r="1251" spans="1:20" ht="28.8" outlineLevel="4" x14ac:dyDescent="0.3">
      <c r="A1251" s="82" t="s">
        <v>2033</v>
      </c>
      <c r="B1251" s="10" t="s">
        <v>385</v>
      </c>
      <c r="C1251" s="60" t="s">
        <v>386</v>
      </c>
      <c r="D1251" s="44" t="s">
        <v>141</v>
      </c>
      <c r="E1251" s="84">
        <v>0</v>
      </c>
      <c r="F1251" s="84"/>
      <c r="G1251" s="94">
        <f>cell_CoefGeneral</f>
        <v>1</v>
      </c>
      <c r="H1251" s="93">
        <f>H114</f>
        <v>42</v>
      </c>
      <c r="I1251" s="84">
        <f>IFERROR(ROUND(E1251*H1251,2),"-")</f>
        <v>0</v>
      </c>
      <c r="J1251" s="105">
        <f>IFERROR(I1251/cell_Total_HT,"-")</f>
        <v>0</v>
      </c>
      <c r="K1251">
        <f>I1251</f>
        <v>0</v>
      </c>
      <c r="L1251"/>
      <c r="M1251"/>
      <c r="N1251"/>
      <c r="O1251"/>
      <c r="P1251"/>
      <c r="Q1251"/>
      <c r="R1251"/>
      <c r="S1251"/>
      <c r="T1251"/>
    </row>
    <row r="1252" spans="1:20" outlineLevel="3" x14ac:dyDescent="0.3">
      <c r="A1252" s="82" t="s">
        <v>2034</v>
      </c>
      <c r="B1252" s="58" t="s">
        <v>388</v>
      </c>
      <c r="C1252" s="61" t="s">
        <v>389</v>
      </c>
      <c r="D1252" s="115"/>
      <c r="E1252" s="87"/>
      <c r="F1252" s="87"/>
      <c r="G1252" s="97"/>
      <c r="H1252" s="87"/>
      <c r="I1252" s="104">
        <f>SUBTOTAL(9,K1253:K1255)</f>
        <v>0</v>
      </c>
      <c r="J1252" s="108"/>
      <c r="K1252"/>
      <c r="L1252"/>
      <c r="M1252"/>
      <c r="N1252"/>
      <c r="O1252"/>
      <c r="P1252"/>
      <c r="Q1252"/>
      <c r="R1252"/>
      <c r="S1252"/>
      <c r="T1252"/>
    </row>
    <row r="1253" spans="1:20" ht="28.8" outlineLevel="4" x14ac:dyDescent="0.3">
      <c r="A1253" s="82" t="s">
        <v>2035</v>
      </c>
      <c r="B1253" s="10" t="s">
        <v>391</v>
      </c>
      <c r="C1253" s="60" t="s">
        <v>392</v>
      </c>
      <c r="D1253" s="44" t="s">
        <v>154</v>
      </c>
      <c r="E1253" s="84">
        <v>0</v>
      </c>
      <c r="F1253" s="84"/>
      <c r="G1253" s="94">
        <f>cell_CoefGeneral</f>
        <v>1</v>
      </c>
      <c r="H1253" s="93">
        <f>H116</f>
        <v>150</v>
      </c>
      <c r="I1253" s="84">
        <f>IFERROR(ROUND(E1253*H1253,2),"-")</f>
        <v>0</v>
      </c>
      <c r="J1253" s="105">
        <f>IFERROR(I1253/cell_Total_HT,"-")</f>
        <v>0</v>
      </c>
      <c r="K1253">
        <f>I1253</f>
        <v>0</v>
      </c>
      <c r="L1253"/>
      <c r="M1253"/>
      <c r="N1253"/>
      <c r="O1253"/>
      <c r="P1253"/>
      <c r="Q1253"/>
      <c r="R1253"/>
      <c r="S1253"/>
      <c r="T1253"/>
    </row>
    <row r="1254" spans="1:20" ht="28.8" outlineLevel="4" x14ac:dyDescent="0.3">
      <c r="A1254" s="82" t="s">
        <v>2036</v>
      </c>
      <c r="B1254" s="10" t="s">
        <v>394</v>
      </c>
      <c r="C1254" s="60" t="s">
        <v>395</v>
      </c>
      <c r="D1254" s="44" t="s">
        <v>154</v>
      </c>
      <c r="E1254" s="84">
        <v>0</v>
      </c>
      <c r="F1254" s="84"/>
      <c r="G1254" s="94">
        <f>cell_CoefGeneral</f>
        <v>1</v>
      </c>
      <c r="H1254" s="93">
        <f>H117</f>
        <v>140</v>
      </c>
      <c r="I1254" s="84">
        <f>IFERROR(ROUND(E1254*H1254,2),"-")</f>
        <v>0</v>
      </c>
      <c r="J1254" s="105">
        <f>IFERROR(I1254/cell_Total_HT,"-")</f>
        <v>0</v>
      </c>
      <c r="K1254">
        <f>I1254</f>
        <v>0</v>
      </c>
      <c r="L1254"/>
      <c r="M1254"/>
      <c r="N1254"/>
      <c r="O1254"/>
      <c r="P1254"/>
      <c r="Q1254"/>
      <c r="R1254"/>
      <c r="S1254"/>
      <c r="T1254"/>
    </row>
    <row r="1255" spans="1:20" ht="28.8" outlineLevel="4" x14ac:dyDescent="0.3">
      <c r="A1255" s="82" t="s">
        <v>2037</v>
      </c>
      <c r="B1255" s="10" t="s">
        <v>397</v>
      </c>
      <c r="C1255" s="60" t="s">
        <v>398</v>
      </c>
      <c r="D1255" s="44" t="s">
        <v>80</v>
      </c>
      <c r="E1255" s="84">
        <v>0</v>
      </c>
      <c r="F1255" s="84"/>
      <c r="G1255" s="94">
        <f>cell_CoefGeneral</f>
        <v>1</v>
      </c>
      <c r="H1255" s="93">
        <f>H118</f>
        <v>140</v>
      </c>
      <c r="I1255" s="84">
        <f>IFERROR(ROUND(E1255*H1255,2),"-")</f>
        <v>0</v>
      </c>
      <c r="J1255" s="105">
        <f>IFERROR(I1255/cell_Total_HT,"-")</f>
        <v>0</v>
      </c>
      <c r="K1255">
        <f>I1255</f>
        <v>0</v>
      </c>
      <c r="L1255"/>
      <c r="M1255"/>
      <c r="N1255"/>
      <c r="O1255"/>
      <c r="P1255"/>
      <c r="Q1255"/>
      <c r="R1255"/>
      <c r="S1255"/>
      <c r="T1255"/>
    </row>
    <row r="1256" spans="1:20" outlineLevel="3" x14ac:dyDescent="0.3">
      <c r="A1256" s="82" t="s">
        <v>2038</v>
      </c>
      <c r="B1256" s="58" t="s">
        <v>400</v>
      </c>
      <c r="C1256" s="61" t="s">
        <v>401</v>
      </c>
      <c r="D1256" s="115"/>
      <c r="E1256" s="87"/>
      <c r="F1256" s="87"/>
      <c r="G1256" s="97"/>
      <c r="H1256" s="87"/>
      <c r="I1256" s="104">
        <f>SUBTOTAL(9,K1257:K1258)</f>
        <v>0</v>
      </c>
      <c r="J1256" s="108"/>
      <c r="K1256"/>
      <c r="L1256"/>
      <c r="M1256"/>
      <c r="N1256"/>
      <c r="O1256"/>
      <c r="P1256"/>
      <c r="Q1256"/>
      <c r="R1256"/>
      <c r="S1256"/>
      <c r="T1256"/>
    </row>
    <row r="1257" spans="1:20" ht="28.8" outlineLevel="4" x14ac:dyDescent="0.3">
      <c r="A1257" s="82" t="s">
        <v>2039</v>
      </c>
      <c r="B1257" s="10" t="s">
        <v>403</v>
      </c>
      <c r="C1257" s="60" t="s">
        <v>404</v>
      </c>
      <c r="D1257" s="44" t="s">
        <v>141</v>
      </c>
      <c r="E1257" s="84">
        <v>0</v>
      </c>
      <c r="F1257" s="84"/>
      <c r="G1257" s="94">
        <f>cell_CoefGeneral</f>
        <v>1</v>
      </c>
      <c r="H1257" s="93">
        <f>H120</f>
        <v>42</v>
      </c>
      <c r="I1257" s="84">
        <f>IFERROR(ROUND(E1257*H1257,2),"-")</f>
        <v>0</v>
      </c>
      <c r="J1257" s="105">
        <f>IFERROR(I1257/cell_Total_HT,"-")</f>
        <v>0</v>
      </c>
      <c r="K1257">
        <f>I1257</f>
        <v>0</v>
      </c>
      <c r="L1257"/>
      <c r="M1257"/>
      <c r="N1257"/>
      <c r="O1257"/>
      <c r="P1257"/>
      <c r="Q1257"/>
      <c r="R1257"/>
      <c r="S1257"/>
      <c r="T1257"/>
    </row>
    <row r="1258" spans="1:20" ht="28.8" outlineLevel="4" x14ac:dyDescent="0.3">
      <c r="A1258" s="82" t="s">
        <v>2040</v>
      </c>
      <c r="B1258" s="10" t="s">
        <v>406</v>
      </c>
      <c r="C1258" s="60" t="s">
        <v>407</v>
      </c>
      <c r="D1258" s="44" t="s">
        <v>154</v>
      </c>
      <c r="E1258" s="84">
        <v>0</v>
      </c>
      <c r="F1258" s="84"/>
      <c r="G1258" s="94">
        <f>cell_CoefGeneral</f>
        <v>1</v>
      </c>
      <c r="H1258" s="93">
        <f>H121</f>
        <v>140</v>
      </c>
      <c r="I1258" s="84">
        <f>IFERROR(ROUND(E1258*H1258,2),"-")</f>
        <v>0</v>
      </c>
      <c r="J1258" s="105">
        <f>IFERROR(I1258/cell_Total_HT,"-")</f>
        <v>0</v>
      </c>
      <c r="K1258">
        <f>I1258</f>
        <v>0</v>
      </c>
      <c r="L1258"/>
      <c r="M1258"/>
      <c r="N1258"/>
      <c r="O1258"/>
      <c r="P1258"/>
      <c r="Q1258"/>
      <c r="R1258"/>
      <c r="S1258"/>
      <c r="T1258"/>
    </row>
    <row r="1259" spans="1:20" outlineLevel="3" x14ac:dyDescent="0.3">
      <c r="A1259" s="82" t="s">
        <v>2041</v>
      </c>
      <c r="B1259" s="58" t="s">
        <v>409</v>
      </c>
      <c r="C1259" s="61" t="s">
        <v>410</v>
      </c>
      <c r="D1259" s="115"/>
      <c r="E1259" s="87"/>
      <c r="F1259" s="87"/>
      <c r="G1259" s="97"/>
      <c r="H1259" s="87"/>
      <c r="I1259" s="104">
        <f>SUBTOTAL(9,K1260:K1261)</f>
        <v>0</v>
      </c>
      <c r="J1259" s="108"/>
      <c r="K1259"/>
      <c r="L1259"/>
      <c r="M1259"/>
      <c r="N1259"/>
      <c r="O1259"/>
      <c r="P1259"/>
      <c r="Q1259"/>
      <c r="R1259"/>
      <c r="S1259"/>
      <c r="T1259"/>
    </row>
    <row r="1260" spans="1:20" ht="28.8" outlineLevel="4" x14ac:dyDescent="0.3">
      <c r="A1260" s="82" t="s">
        <v>2042</v>
      </c>
      <c r="B1260" s="10" t="s">
        <v>412</v>
      </c>
      <c r="C1260" s="60" t="s">
        <v>413</v>
      </c>
      <c r="D1260" s="44" t="s">
        <v>154</v>
      </c>
      <c r="E1260" s="84">
        <v>0</v>
      </c>
      <c r="F1260" s="84"/>
      <c r="G1260" s="94">
        <f>cell_CoefGeneral</f>
        <v>1</v>
      </c>
      <c r="H1260" s="93">
        <f>H123</f>
        <v>26</v>
      </c>
      <c r="I1260" s="84">
        <f>IFERROR(ROUND(E1260*H1260,2),"-")</f>
        <v>0</v>
      </c>
      <c r="J1260" s="105">
        <f>IFERROR(I1260/cell_Total_HT,"-")</f>
        <v>0</v>
      </c>
      <c r="K1260">
        <f>I1260</f>
        <v>0</v>
      </c>
      <c r="L1260"/>
      <c r="M1260"/>
      <c r="N1260"/>
      <c r="O1260"/>
      <c r="P1260"/>
      <c r="Q1260"/>
      <c r="R1260"/>
      <c r="S1260"/>
      <c r="T1260"/>
    </row>
    <row r="1261" spans="1:20" outlineLevel="4" x14ac:dyDescent="0.3">
      <c r="A1261" s="82" t="s">
        <v>2043</v>
      </c>
      <c r="B1261" s="10" t="s">
        <v>415</v>
      </c>
      <c r="C1261" s="60" t="s">
        <v>416</v>
      </c>
      <c r="D1261" s="44" t="s">
        <v>154</v>
      </c>
      <c r="E1261" s="84">
        <v>0</v>
      </c>
      <c r="F1261" s="84"/>
      <c r="G1261" s="94">
        <f>cell_CoefGeneral</f>
        <v>1</v>
      </c>
      <c r="H1261" s="93">
        <f>H124</f>
        <v>29</v>
      </c>
      <c r="I1261" s="84">
        <f>IFERROR(ROUND(E1261*H1261,2),"-")</f>
        <v>0</v>
      </c>
      <c r="J1261" s="105">
        <f>IFERROR(I1261/cell_Total_HT,"-")</f>
        <v>0</v>
      </c>
      <c r="K1261">
        <f>I1261</f>
        <v>0</v>
      </c>
      <c r="L1261"/>
      <c r="M1261"/>
      <c r="N1261"/>
      <c r="O1261"/>
      <c r="P1261"/>
      <c r="Q1261"/>
      <c r="R1261"/>
      <c r="S1261"/>
      <c r="T1261"/>
    </row>
    <row r="1262" spans="1:20" outlineLevel="3" x14ac:dyDescent="0.3">
      <c r="A1262" s="82" t="s">
        <v>2044</v>
      </c>
      <c r="B1262" s="58" t="s">
        <v>418</v>
      </c>
      <c r="C1262" s="61" t="s">
        <v>419</v>
      </c>
      <c r="D1262" s="115"/>
      <c r="E1262" s="87"/>
      <c r="F1262" s="87"/>
      <c r="G1262" s="97"/>
      <c r="H1262" s="87"/>
      <c r="I1262" s="104">
        <f>SUBTOTAL(9,K1263:K1263)</f>
        <v>0</v>
      </c>
      <c r="J1262" s="108"/>
      <c r="K1262"/>
      <c r="L1262"/>
      <c r="M1262"/>
      <c r="N1262"/>
      <c r="O1262"/>
      <c r="P1262"/>
      <c r="Q1262"/>
      <c r="R1262"/>
      <c r="S1262"/>
      <c r="T1262"/>
    </row>
    <row r="1263" spans="1:20" ht="28.8" outlineLevel="4" x14ac:dyDescent="0.3">
      <c r="A1263" s="82" t="s">
        <v>2045</v>
      </c>
      <c r="B1263" s="10" t="s">
        <v>421</v>
      </c>
      <c r="C1263" s="60" t="s">
        <v>422</v>
      </c>
      <c r="D1263" s="44" t="s">
        <v>154</v>
      </c>
      <c r="E1263" s="84">
        <v>0</v>
      </c>
      <c r="F1263" s="84"/>
      <c r="G1263" s="94">
        <f>cell_CoefGeneral</f>
        <v>1</v>
      </c>
      <c r="H1263" s="93">
        <f>H126</f>
        <v>35</v>
      </c>
      <c r="I1263" s="84">
        <f>IFERROR(ROUND(E1263*H1263,2),"-")</f>
        <v>0</v>
      </c>
      <c r="J1263" s="105">
        <f>IFERROR(I1263/cell_Total_HT,"-")</f>
        <v>0</v>
      </c>
      <c r="K1263">
        <f>I1263</f>
        <v>0</v>
      </c>
      <c r="L1263"/>
      <c r="M1263"/>
      <c r="N1263"/>
      <c r="O1263"/>
      <c r="P1263"/>
      <c r="Q1263"/>
      <c r="R1263"/>
      <c r="S1263"/>
      <c r="T1263"/>
    </row>
    <row r="1264" spans="1:20" outlineLevel="3" x14ac:dyDescent="0.3">
      <c r="A1264" s="82" t="s">
        <v>2046</v>
      </c>
      <c r="B1264" s="58" t="s">
        <v>424</v>
      </c>
      <c r="C1264" s="61" t="s">
        <v>425</v>
      </c>
      <c r="D1264" s="115"/>
      <c r="E1264" s="87"/>
      <c r="F1264" s="87"/>
      <c r="G1264" s="97"/>
      <c r="H1264" s="87"/>
      <c r="I1264" s="104">
        <f>SUBTOTAL(9,K1265:K1267)</f>
        <v>2036</v>
      </c>
      <c r="J1264" s="108"/>
      <c r="K1264"/>
      <c r="L1264"/>
      <c r="M1264"/>
      <c r="N1264"/>
      <c r="O1264"/>
      <c r="P1264"/>
      <c r="Q1264"/>
      <c r="R1264"/>
      <c r="S1264"/>
      <c r="T1264"/>
    </row>
    <row r="1265" spans="1:20" ht="28.8" outlineLevel="4" x14ac:dyDescent="0.3">
      <c r="A1265" s="82" t="s">
        <v>2047</v>
      </c>
      <c r="B1265" s="10" t="s">
        <v>427</v>
      </c>
      <c r="C1265" s="60" t="s">
        <v>428</v>
      </c>
      <c r="D1265" s="44" t="s">
        <v>141</v>
      </c>
      <c r="E1265" s="84">
        <v>2</v>
      </c>
      <c r="F1265" s="84"/>
      <c r="G1265" s="94">
        <f>cell_CoefGeneral</f>
        <v>1</v>
      </c>
      <c r="H1265" s="93">
        <f>H128</f>
        <v>66</v>
      </c>
      <c r="I1265" s="84">
        <f>IFERROR(ROUND(E1265*H1265,2),"-")</f>
        <v>132</v>
      </c>
      <c r="J1265" s="105">
        <f>IFERROR(I1265/cell_Total_HT,"-")</f>
        <v>3.8969418306149972E-5</v>
      </c>
      <c r="K1265">
        <f>I1265</f>
        <v>132</v>
      </c>
      <c r="L1265"/>
      <c r="M1265"/>
      <c r="N1265"/>
      <c r="O1265"/>
      <c r="P1265"/>
      <c r="Q1265"/>
      <c r="R1265"/>
      <c r="S1265"/>
      <c r="T1265"/>
    </row>
    <row r="1266" spans="1:20" outlineLevel="4" x14ac:dyDescent="0.3">
      <c r="A1266" s="82" t="s">
        <v>2048</v>
      </c>
      <c r="B1266" s="10" t="s">
        <v>430</v>
      </c>
      <c r="C1266" s="60" t="s">
        <v>431</v>
      </c>
      <c r="D1266" s="44" t="s">
        <v>154</v>
      </c>
      <c r="E1266" s="84">
        <v>17</v>
      </c>
      <c r="F1266" s="84"/>
      <c r="G1266" s="94">
        <f>cell_CoefGeneral</f>
        <v>1</v>
      </c>
      <c r="H1266" s="93">
        <f>H129</f>
        <v>34</v>
      </c>
      <c r="I1266" s="84">
        <f>IFERROR(ROUND(E1266*H1266,2),"-")</f>
        <v>578</v>
      </c>
      <c r="J1266" s="105">
        <f>IFERROR(I1266/cell_Total_HT,"-")</f>
        <v>1.7063881652238397E-4</v>
      </c>
      <c r="K1266">
        <f>I1266</f>
        <v>578</v>
      </c>
      <c r="L1266"/>
      <c r="M1266"/>
      <c r="N1266"/>
      <c r="O1266"/>
      <c r="P1266"/>
      <c r="Q1266"/>
      <c r="R1266"/>
      <c r="S1266"/>
      <c r="T1266"/>
    </row>
    <row r="1267" spans="1:20" outlineLevel="4" x14ac:dyDescent="0.3">
      <c r="A1267" s="82" t="s">
        <v>2049</v>
      </c>
      <c r="B1267" s="10" t="s">
        <v>433</v>
      </c>
      <c r="C1267" s="60" t="s">
        <v>434</v>
      </c>
      <c r="D1267" s="44" t="s">
        <v>154</v>
      </c>
      <c r="E1267" s="84">
        <v>17</v>
      </c>
      <c r="F1267" s="84"/>
      <c r="G1267" s="94">
        <f>cell_CoefGeneral</f>
        <v>1</v>
      </c>
      <c r="H1267" s="93">
        <f>H130</f>
        <v>78</v>
      </c>
      <c r="I1267" s="84">
        <f>IFERROR(ROUND(E1267*H1267,2),"-")</f>
        <v>1326</v>
      </c>
      <c r="J1267" s="105">
        <f>IFERROR(I1267/cell_Total_HT,"-")</f>
        <v>3.914655202572338E-4</v>
      </c>
      <c r="K1267">
        <f>I1267</f>
        <v>1326</v>
      </c>
      <c r="L1267"/>
      <c r="M1267"/>
      <c r="N1267"/>
      <c r="O1267"/>
      <c r="P1267"/>
      <c r="Q1267"/>
      <c r="R1267"/>
      <c r="S1267"/>
      <c r="T1267"/>
    </row>
    <row r="1268" spans="1:20" outlineLevel="3" x14ac:dyDescent="0.3">
      <c r="A1268" s="82" t="s">
        <v>2050</v>
      </c>
      <c r="B1268" s="58" t="s">
        <v>436</v>
      </c>
      <c r="C1268" s="61" t="s">
        <v>437</v>
      </c>
      <c r="D1268" s="115"/>
      <c r="E1268" s="87"/>
      <c r="F1268" s="87"/>
      <c r="G1268" s="97"/>
      <c r="H1268" s="87"/>
      <c r="I1268" s="104">
        <f>SUBTOTAL(9,K1269:K1272)</f>
        <v>0</v>
      </c>
      <c r="J1268" s="108"/>
      <c r="K1268"/>
      <c r="L1268"/>
      <c r="M1268"/>
      <c r="N1268"/>
      <c r="O1268"/>
      <c r="P1268"/>
      <c r="Q1268"/>
      <c r="R1268"/>
      <c r="S1268"/>
      <c r="T1268"/>
    </row>
    <row r="1269" spans="1:20" outlineLevel="4" x14ac:dyDescent="0.3">
      <c r="A1269" s="82" t="s">
        <v>2051</v>
      </c>
      <c r="B1269" s="10" t="s">
        <v>439</v>
      </c>
      <c r="C1269" s="60" t="s">
        <v>440</v>
      </c>
      <c r="D1269" s="44" t="s">
        <v>154</v>
      </c>
      <c r="E1269" s="84">
        <v>0</v>
      </c>
      <c r="F1269" s="84"/>
      <c r="G1269" s="94">
        <f>cell_CoefGeneral</f>
        <v>1</v>
      </c>
      <c r="H1269" s="93">
        <f>H132</f>
        <v>33</v>
      </c>
      <c r="I1269" s="84">
        <f>IFERROR(ROUND(E1269*H1269,2),"-")</f>
        <v>0</v>
      </c>
      <c r="J1269" s="105">
        <f>IFERROR(I1269/cell_Total_HT,"-")</f>
        <v>0</v>
      </c>
      <c r="K1269">
        <f>I1269</f>
        <v>0</v>
      </c>
      <c r="L1269"/>
      <c r="M1269"/>
      <c r="N1269"/>
      <c r="O1269"/>
      <c r="P1269"/>
      <c r="Q1269"/>
      <c r="R1269"/>
      <c r="S1269"/>
      <c r="T1269"/>
    </row>
    <row r="1270" spans="1:20" outlineLevel="4" x14ac:dyDescent="0.3">
      <c r="A1270" s="82" t="s">
        <v>2052</v>
      </c>
      <c r="B1270" s="10" t="s">
        <v>442</v>
      </c>
      <c r="C1270" s="60" t="s">
        <v>443</v>
      </c>
      <c r="D1270" s="44" t="s">
        <v>154</v>
      </c>
      <c r="E1270" s="84">
        <v>0</v>
      </c>
      <c r="F1270" s="84"/>
      <c r="G1270" s="94">
        <f>cell_CoefGeneral</f>
        <v>1</v>
      </c>
      <c r="H1270" s="93">
        <f>H133</f>
        <v>5.7</v>
      </c>
      <c r="I1270" s="84">
        <f>IFERROR(ROUND(E1270*H1270,2),"-")</f>
        <v>0</v>
      </c>
      <c r="J1270" s="105">
        <f>IFERROR(I1270/cell_Total_HT,"-")</f>
        <v>0</v>
      </c>
      <c r="K1270">
        <f>I1270</f>
        <v>0</v>
      </c>
      <c r="L1270"/>
      <c r="M1270"/>
      <c r="N1270"/>
      <c r="O1270"/>
      <c r="P1270"/>
      <c r="Q1270"/>
      <c r="R1270"/>
      <c r="S1270"/>
      <c r="T1270"/>
    </row>
    <row r="1271" spans="1:20" outlineLevel="4" x14ac:dyDescent="0.3">
      <c r="A1271" s="82" t="s">
        <v>2053</v>
      </c>
      <c r="B1271" s="10" t="s">
        <v>445</v>
      </c>
      <c r="C1271" s="60" t="s">
        <v>446</v>
      </c>
      <c r="D1271" s="44" t="s">
        <v>154</v>
      </c>
      <c r="E1271" s="84">
        <v>0</v>
      </c>
      <c r="F1271" s="84"/>
      <c r="G1271" s="94">
        <f>cell_CoefGeneral</f>
        <v>1</v>
      </c>
      <c r="H1271" s="93">
        <f>H134</f>
        <v>24</v>
      </c>
      <c r="I1271" s="84">
        <f>IFERROR(ROUND(E1271*H1271,2),"-")</f>
        <v>0</v>
      </c>
      <c r="J1271" s="105">
        <f>IFERROR(I1271/cell_Total_HT,"-")</f>
        <v>0</v>
      </c>
      <c r="K1271">
        <f>I1271</f>
        <v>0</v>
      </c>
      <c r="L1271"/>
      <c r="M1271"/>
      <c r="N1271"/>
      <c r="O1271"/>
      <c r="P1271"/>
      <c r="Q1271"/>
      <c r="R1271"/>
      <c r="S1271"/>
      <c r="T1271"/>
    </row>
    <row r="1272" spans="1:20" outlineLevel="4" x14ac:dyDescent="0.3">
      <c r="A1272" s="82" t="s">
        <v>2054</v>
      </c>
      <c r="B1272" s="10" t="s">
        <v>448</v>
      </c>
      <c r="C1272" s="60" t="s">
        <v>449</v>
      </c>
      <c r="D1272" s="44" t="s">
        <v>154</v>
      </c>
      <c r="E1272" s="84">
        <v>0</v>
      </c>
      <c r="F1272" s="84"/>
      <c r="G1272" s="94">
        <f>cell_CoefGeneral</f>
        <v>1</v>
      </c>
      <c r="H1272" s="93">
        <f>H135</f>
        <v>5.0999999999999996</v>
      </c>
      <c r="I1272" s="84">
        <f>IFERROR(ROUND(E1272*H1272,2),"-")</f>
        <v>0</v>
      </c>
      <c r="J1272" s="105">
        <f>IFERROR(I1272/cell_Total_HT,"-")</f>
        <v>0</v>
      </c>
      <c r="K1272">
        <f>I1272</f>
        <v>0</v>
      </c>
      <c r="L1272"/>
      <c r="M1272"/>
      <c r="N1272"/>
      <c r="O1272"/>
      <c r="P1272"/>
      <c r="Q1272"/>
      <c r="R1272"/>
      <c r="S1272"/>
      <c r="T1272"/>
    </row>
    <row r="1273" spans="1:20" outlineLevel="3" x14ac:dyDescent="0.3">
      <c r="A1273" s="82" t="s">
        <v>2055</v>
      </c>
      <c r="B1273" s="58" t="s">
        <v>451</v>
      </c>
      <c r="C1273" s="61" t="s">
        <v>452</v>
      </c>
      <c r="D1273" s="115"/>
      <c r="E1273" s="87"/>
      <c r="F1273" s="87"/>
      <c r="G1273" s="97"/>
      <c r="H1273" s="87"/>
      <c r="I1273" s="104">
        <f>SUBTOTAL(9,K1274:K1276)</f>
        <v>0</v>
      </c>
      <c r="J1273" s="108"/>
      <c r="K1273"/>
      <c r="L1273"/>
      <c r="M1273"/>
      <c r="N1273"/>
      <c r="O1273"/>
      <c r="P1273"/>
      <c r="Q1273"/>
      <c r="R1273"/>
      <c r="S1273"/>
      <c r="T1273"/>
    </row>
    <row r="1274" spans="1:20" outlineLevel="4" x14ac:dyDescent="0.3">
      <c r="A1274" s="82" t="s">
        <v>2056</v>
      </c>
      <c r="B1274" s="10" t="s">
        <v>454</v>
      </c>
      <c r="C1274" s="60" t="s">
        <v>455</v>
      </c>
      <c r="D1274" s="44" t="s">
        <v>154</v>
      </c>
      <c r="E1274" s="84">
        <v>0</v>
      </c>
      <c r="F1274" s="84"/>
      <c r="G1274" s="94">
        <f>cell_CoefGeneral</f>
        <v>1</v>
      </c>
      <c r="H1274" s="93">
        <f>H137</f>
        <v>40</v>
      </c>
      <c r="I1274" s="84">
        <f>IFERROR(ROUND(E1274*H1274,2),"-")</f>
        <v>0</v>
      </c>
      <c r="J1274" s="105">
        <f>IFERROR(I1274/cell_Total_HT,"-")</f>
        <v>0</v>
      </c>
      <c r="K1274">
        <f>I1274</f>
        <v>0</v>
      </c>
      <c r="L1274"/>
      <c r="M1274"/>
      <c r="N1274"/>
      <c r="O1274"/>
      <c r="P1274"/>
      <c r="Q1274"/>
      <c r="R1274"/>
      <c r="S1274"/>
      <c r="T1274"/>
    </row>
    <row r="1275" spans="1:20" outlineLevel="4" x14ac:dyDescent="0.3">
      <c r="A1275" s="82" t="s">
        <v>2057</v>
      </c>
      <c r="B1275" s="10" t="s">
        <v>457</v>
      </c>
      <c r="C1275" s="60" t="s">
        <v>458</v>
      </c>
      <c r="D1275" s="44" t="s">
        <v>154</v>
      </c>
      <c r="E1275" s="84">
        <v>0</v>
      </c>
      <c r="F1275" s="84"/>
      <c r="G1275" s="94">
        <f>cell_CoefGeneral</f>
        <v>1</v>
      </c>
      <c r="H1275" s="93">
        <f>H138</f>
        <v>91</v>
      </c>
      <c r="I1275" s="84">
        <f>IFERROR(ROUND(E1275*H1275,2),"-")</f>
        <v>0</v>
      </c>
      <c r="J1275" s="105">
        <f>IFERROR(I1275/cell_Total_HT,"-")</f>
        <v>0</v>
      </c>
      <c r="K1275">
        <f>I1275</f>
        <v>0</v>
      </c>
      <c r="L1275"/>
      <c r="M1275"/>
      <c r="N1275"/>
      <c r="O1275"/>
      <c r="P1275"/>
      <c r="Q1275"/>
      <c r="R1275"/>
      <c r="S1275"/>
      <c r="T1275"/>
    </row>
    <row r="1276" spans="1:20" ht="15" outlineLevel="4" thickBot="1" x14ac:dyDescent="0.35">
      <c r="A1276" s="82" t="s">
        <v>2058</v>
      </c>
      <c r="B1276" s="10" t="s">
        <v>460</v>
      </c>
      <c r="C1276" s="60" t="s">
        <v>461</v>
      </c>
      <c r="D1276" s="44" t="s">
        <v>154</v>
      </c>
      <c r="E1276" s="84">
        <v>0</v>
      </c>
      <c r="F1276" s="84"/>
      <c r="G1276" s="94">
        <f>cell_CoefGeneral</f>
        <v>1</v>
      </c>
      <c r="H1276" s="93">
        <f>H139</f>
        <v>22</v>
      </c>
      <c r="I1276" s="84">
        <f>IFERROR(ROUND(E1276*H1276,2),"-")</f>
        <v>0</v>
      </c>
      <c r="J1276" s="105">
        <f>IFERROR(I1276/cell_Total_HT,"-")</f>
        <v>0</v>
      </c>
      <c r="K1276">
        <f>I1276</f>
        <v>0</v>
      </c>
      <c r="L1276"/>
      <c r="M1276"/>
      <c r="N1276"/>
      <c r="O1276"/>
      <c r="P1276"/>
      <c r="Q1276"/>
      <c r="R1276"/>
      <c r="S1276"/>
      <c r="T1276"/>
    </row>
    <row r="1277" spans="1:20" ht="15" outlineLevel="2" thickTop="1" x14ac:dyDescent="0.3">
      <c r="A1277" s="82" t="s">
        <v>2059</v>
      </c>
      <c r="B1277" s="62" t="s">
        <v>60</v>
      </c>
      <c r="C1277" s="63" t="s">
        <v>463</v>
      </c>
      <c r="D1277" s="116"/>
      <c r="E1277" s="88"/>
      <c r="F1277" s="88"/>
      <c r="G1277" s="98"/>
      <c r="H1277" s="88"/>
      <c r="I1277" s="88">
        <f>SUBTOTAL(9,I1224:I1276)</f>
        <v>17132</v>
      </c>
      <c r="J1277" s="109"/>
      <c r="K1277"/>
      <c r="L1277"/>
      <c r="M1277"/>
      <c r="N1277"/>
      <c r="O1277"/>
      <c r="P1277"/>
      <c r="Q1277"/>
      <c r="R1277"/>
      <c r="S1277"/>
      <c r="T1277"/>
    </row>
    <row r="1278" spans="1:20" outlineLevel="2" x14ac:dyDescent="0.3">
      <c r="A1278" s="82" t="s">
        <v>2060</v>
      </c>
      <c r="B1278" s="64" t="s">
        <v>465</v>
      </c>
      <c r="C1278" s="65" t="s">
        <v>466</v>
      </c>
      <c r="D1278" s="117"/>
      <c r="E1278" s="87"/>
      <c r="F1278" s="87"/>
      <c r="G1278" s="97"/>
      <c r="H1278" s="87"/>
      <c r="I1278" s="104">
        <f>SUBTOTAL(9,K1279:K1303)</f>
        <v>0</v>
      </c>
      <c r="J1278" s="108"/>
      <c r="K1278"/>
      <c r="L1278"/>
      <c r="M1278"/>
      <c r="N1278"/>
      <c r="O1278"/>
      <c r="P1278"/>
      <c r="Q1278"/>
      <c r="R1278"/>
      <c r="S1278"/>
      <c r="T1278"/>
    </row>
    <row r="1279" spans="1:20" outlineLevel="3" x14ac:dyDescent="0.3">
      <c r="A1279" s="82" t="s">
        <v>2061</v>
      </c>
      <c r="B1279" s="64" t="s">
        <v>468</v>
      </c>
      <c r="C1279" s="66" t="s">
        <v>469</v>
      </c>
      <c r="D1279" s="117"/>
      <c r="E1279" s="87"/>
      <c r="F1279" s="87"/>
      <c r="G1279" s="97"/>
      <c r="H1279" s="87"/>
      <c r="I1279" s="104">
        <f>SUBTOTAL(9,K1280:K1289)</f>
        <v>0</v>
      </c>
      <c r="J1279" s="108"/>
      <c r="K1279"/>
      <c r="L1279"/>
      <c r="M1279"/>
      <c r="N1279"/>
      <c r="O1279"/>
      <c r="P1279"/>
      <c r="Q1279"/>
      <c r="R1279"/>
      <c r="S1279"/>
      <c r="T1279"/>
    </row>
    <row r="1280" spans="1:20" outlineLevel="4" x14ac:dyDescent="0.3">
      <c r="A1280" s="82" t="s">
        <v>2062</v>
      </c>
      <c r="B1280" s="10" t="s">
        <v>471</v>
      </c>
      <c r="C1280" s="60" t="s">
        <v>472</v>
      </c>
      <c r="D1280" s="44" t="s">
        <v>80</v>
      </c>
      <c r="E1280" s="84">
        <v>0</v>
      </c>
      <c r="F1280" s="84"/>
      <c r="G1280" s="94">
        <f t="shared" ref="G1280:G1295" si="202">cell_CoefGeneral</f>
        <v>1</v>
      </c>
      <c r="H1280" s="93">
        <f t="shared" ref="H1280:H1295" si="203">H143</f>
        <v>43</v>
      </c>
      <c r="I1280" s="84">
        <f t="shared" ref="I1280:I1295" si="204">IFERROR(ROUND(E1280*H1280,2),"-")</f>
        <v>0</v>
      </c>
      <c r="J1280" s="105">
        <f t="shared" ref="J1280:J1295" si="205">IFERROR(I1280/cell_Total_HT,"-")</f>
        <v>0</v>
      </c>
      <c r="K1280">
        <f t="shared" ref="K1280:K1295" si="206">I1280</f>
        <v>0</v>
      </c>
      <c r="L1280"/>
      <c r="M1280"/>
      <c r="N1280"/>
      <c r="O1280"/>
      <c r="P1280"/>
      <c r="Q1280"/>
      <c r="R1280"/>
      <c r="S1280"/>
      <c r="T1280"/>
    </row>
    <row r="1281" spans="1:20" outlineLevel="4" x14ac:dyDescent="0.3">
      <c r="A1281" s="82" t="s">
        <v>2063</v>
      </c>
      <c r="B1281" s="10" t="s">
        <v>474</v>
      </c>
      <c r="C1281" s="60" t="s">
        <v>475</v>
      </c>
      <c r="D1281" s="44" t="s">
        <v>80</v>
      </c>
      <c r="E1281" s="84">
        <v>0</v>
      </c>
      <c r="F1281" s="84"/>
      <c r="G1281" s="94">
        <f t="shared" si="202"/>
        <v>1</v>
      </c>
      <c r="H1281" s="93">
        <f t="shared" si="203"/>
        <v>53</v>
      </c>
      <c r="I1281" s="84">
        <f t="shared" si="204"/>
        <v>0</v>
      </c>
      <c r="J1281" s="105">
        <f t="shared" si="205"/>
        <v>0</v>
      </c>
      <c r="K1281">
        <f t="shared" si="206"/>
        <v>0</v>
      </c>
      <c r="L1281"/>
      <c r="M1281"/>
      <c r="N1281"/>
      <c r="O1281"/>
      <c r="P1281"/>
      <c r="Q1281"/>
      <c r="R1281"/>
      <c r="S1281"/>
      <c r="T1281"/>
    </row>
    <row r="1282" spans="1:20" outlineLevel="4" x14ac:dyDescent="0.3">
      <c r="A1282" s="82" t="s">
        <v>2064</v>
      </c>
      <c r="B1282" s="10" t="s">
        <v>477</v>
      </c>
      <c r="C1282" s="60" t="s">
        <v>478</v>
      </c>
      <c r="D1282" s="44" t="s">
        <v>80</v>
      </c>
      <c r="E1282" s="84">
        <v>0</v>
      </c>
      <c r="F1282" s="84"/>
      <c r="G1282" s="94">
        <f t="shared" si="202"/>
        <v>1</v>
      </c>
      <c r="H1282" s="93">
        <f t="shared" si="203"/>
        <v>58</v>
      </c>
      <c r="I1282" s="84">
        <f t="shared" si="204"/>
        <v>0</v>
      </c>
      <c r="J1282" s="105">
        <f t="shared" si="205"/>
        <v>0</v>
      </c>
      <c r="K1282">
        <f t="shared" si="206"/>
        <v>0</v>
      </c>
      <c r="L1282"/>
      <c r="M1282"/>
      <c r="N1282"/>
      <c r="O1282"/>
      <c r="P1282"/>
      <c r="Q1282"/>
      <c r="R1282"/>
      <c r="S1282"/>
      <c r="T1282"/>
    </row>
    <row r="1283" spans="1:20" outlineLevel="4" x14ac:dyDescent="0.3">
      <c r="A1283" s="82" t="s">
        <v>2065</v>
      </c>
      <c r="B1283" s="10" t="s">
        <v>480</v>
      </c>
      <c r="C1283" s="60" t="s">
        <v>481</v>
      </c>
      <c r="D1283" s="44" t="s">
        <v>80</v>
      </c>
      <c r="E1283" s="84">
        <v>0</v>
      </c>
      <c r="F1283" s="84"/>
      <c r="G1283" s="94">
        <f t="shared" si="202"/>
        <v>1</v>
      </c>
      <c r="H1283" s="93">
        <f t="shared" si="203"/>
        <v>100</v>
      </c>
      <c r="I1283" s="84">
        <f t="shared" si="204"/>
        <v>0</v>
      </c>
      <c r="J1283" s="105">
        <f t="shared" si="205"/>
        <v>0</v>
      </c>
      <c r="K1283">
        <f t="shared" si="206"/>
        <v>0</v>
      </c>
      <c r="L1283"/>
      <c r="M1283"/>
      <c r="N1283"/>
      <c r="O1283"/>
      <c r="P1283"/>
      <c r="Q1283"/>
      <c r="R1283"/>
      <c r="S1283"/>
      <c r="T1283"/>
    </row>
    <row r="1284" spans="1:20" outlineLevel="4" x14ac:dyDescent="0.3">
      <c r="A1284" s="82" t="s">
        <v>2066</v>
      </c>
      <c r="B1284" s="10" t="s">
        <v>483</v>
      </c>
      <c r="C1284" s="60" t="s">
        <v>484</v>
      </c>
      <c r="D1284" s="44" t="s">
        <v>80</v>
      </c>
      <c r="E1284" s="84">
        <v>0</v>
      </c>
      <c r="F1284" s="84"/>
      <c r="G1284" s="94">
        <f t="shared" si="202"/>
        <v>1</v>
      </c>
      <c r="H1284" s="93">
        <f t="shared" si="203"/>
        <v>120</v>
      </c>
      <c r="I1284" s="84">
        <f t="shared" si="204"/>
        <v>0</v>
      </c>
      <c r="J1284" s="105">
        <f t="shared" si="205"/>
        <v>0</v>
      </c>
      <c r="K1284">
        <f t="shared" si="206"/>
        <v>0</v>
      </c>
      <c r="L1284"/>
      <c r="M1284"/>
      <c r="N1284"/>
      <c r="O1284"/>
      <c r="P1284"/>
      <c r="Q1284"/>
      <c r="R1284"/>
      <c r="S1284"/>
      <c r="T1284"/>
    </row>
    <row r="1285" spans="1:20" outlineLevel="4" x14ac:dyDescent="0.3">
      <c r="A1285" s="82" t="s">
        <v>2067</v>
      </c>
      <c r="B1285" s="10" t="s">
        <v>486</v>
      </c>
      <c r="C1285" s="60" t="s">
        <v>487</v>
      </c>
      <c r="D1285" s="44" t="s">
        <v>121</v>
      </c>
      <c r="E1285" s="84">
        <v>0</v>
      </c>
      <c r="F1285" s="84"/>
      <c r="G1285" s="94">
        <f t="shared" si="202"/>
        <v>1</v>
      </c>
      <c r="H1285" s="93">
        <f t="shared" si="203"/>
        <v>120</v>
      </c>
      <c r="I1285" s="84">
        <f t="shared" si="204"/>
        <v>0</v>
      </c>
      <c r="J1285" s="105">
        <f t="shared" si="205"/>
        <v>0</v>
      </c>
      <c r="K1285">
        <f t="shared" si="206"/>
        <v>0</v>
      </c>
      <c r="L1285"/>
      <c r="M1285"/>
      <c r="N1285"/>
      <c r="O1285"/>
      <c r="P1285"/>
      <c r="Q1285"/>
      <c r="R1285"/>
      <c r="S1285"/>
      <c r="T1285"/>
    </row>
    <row r="1286" spans="1:20" outlineLevel="4" x14ac:dyDescent="0.3">
      <c r="A1286" s="82" t="s">
        <v>2068</v>
      </c>
      <c r="B1286" s="10" t="s">
        <v>489</v>
      </c>
      <c r="C1286" s="60" t="s">
        <v>490</v>
      </c>
      <c r="D1286" s="44" t="s">
        <v>121</v>
      </c>
      <c r="E1286" s="84">
        <v>0</v>
      </c>
      <c r="F1286" s="84"/>
      <c r="G1286" s="94">
        <f t="shared" si="202"/>
        <v>1</v>
      </c>
      <c r="H1286" s="93">
        <f t="shared" si="203"/>
        <v>120</v>
      </c>
      <c r="I1286" s="84">
        <f t="shared" si="204"/>
        <v>0</v>
      </c>
      <c r="J1286" s="105">
        <f t="shared" si="205"/>
        <v>0</v>
      </c>
      <c r="K1286">
        <f t="shared" si="206"/>
        <v>0</v>
      </c>
      <c r="L1286"/>
      <c r="M1286"/>
      <c r="N1286"/>
      <c r="O1286"/>
      <c r="P1286"/>
      <c r="Q1286"/>
      <c r="R1286"/>
      <c r="S1286"/>
      <c r="T1286"/>
    </row>
    <row r="1287" spans="1:20" outlineLevel="4" x14ac:dyDescent="0.3">
      <c r="A1287" s="82" t="s">
        <v>2069</v>
      </c>
      <c r="B1287" s="10" t="s">
        <v>492</v>
      </c>
      <c r="C1287" s="60" t="s">
        <v>493</v>
      </c>
      <c r="D1287" s="44" t="s">
        <v>121</v>
      </c>
      <c r="E1287" s="84">
        <v>0</v>
      </c>
      <c r="F1287" s="84"/>
      <c r="G1287" s="94">
        <f t="shared" si="202"/>
        <v>1</v>
      </c>
      <c r="H1287" s="93">
        <f t="shared" si="203"/>
        <v>150</v>
      </c>
      <c r="I1287" s="84">
        <f t="shared" si="204"/>
        <v>0</v>
      </c>
      <c r="J1287" s="105">
        <f t="shared" si="205"/>
        <v>0</v>
      </c>
      <c r="K1287">
        <f t="shared" si="206"/>
        <v>0</v>
      </c>
      <c r="L1287"/>
      <c r="M1287"/>
      <c r="N1287"/>
      <c r="O1287"/>
      <c r="P1287"/>
      <c r="Q1287"/>
      <c r="R1287"/>
      <c r="S1287"/>
      <c r="T1287"/>
    </row>
    <row r="1288" spans="1:20" outlineLevel="4" x14ac:dyDescent="0.3">
      <c r="A1288" s="82" t="s">
        <v>2070</v>
      </c>
      <c r="B1288" s="10" t="s">
        <v>495</v>
      </c>
      <c r="C1288" s="60" t="s">
        <v>496</v>
      </c>
      <c r="D1288" s="44" t="s">
        <v>121</v>
      </c>
      <c r="E1288" s="84">
        <v>0</v>
      </c>
      <c r="F1288" s="84"/>
      <c r="G1288" s="94">
        <f t="shared" si="202"/>
        <v>1</v>
      </c>
      <c r="H1288" s="93">
        <f t="shared" si="203"/>
        <v>150</v>
      </c>
      <c r="I1288" s="84">
        <f t="shared" si="204"/>
        <v>0</v>
      </c>
      <c r="J1288" s="105">
        <f t="shared" si="205"/>
        <v>0</v>
      </c>
      <c r="K1288">
        <f t="shared" si="206"/>
        <v>0</v>
      </c>
      <c r="L1288"/>
      <c r="M1288"/>
      <c r="N1288"/>
      <c r="O1288"/>
      <c r="P1288"/>
      <c r="Q1288"/>
      <c r="R1288"/>
      <c r="S1288"/>
      <c r="T1288"/>
    </row>
    <row r="1289" spans="1:20" outlineLevel="4" x14ac:dyDescent="0.3">
      <c r="A1289" s="82" t="s">
        <v>2071</v>
      </c>
      <c r="B1289" s="10" t="s">
        <v>498</v>
      </c>
      <c r="C1289" s="60" t="s">
        <v>499</v>
      </c>
      <c r="D1289" s="44" t="s">
        <v>80</v>
      </c>
      <c r="E1289" s="84">
        <v>0</v>
      </c>
      <c r="F1289" s="84"/>
      <c r="G1289" s="94">
        <f t="shared" si="202"/>
        <v>1</v>
      </c>
      <c r="H1289" s="93">
        <f t="shared" si="203"/>
        <v>97</v>
      </c>
      <c r="I1289" s="84">
        <f t="shared" si="204"/>
        <v>0</v>
      </c>
      <c r="J1289" s="105">
        <f t="shared" si="205"/>
        <v>0</v>
      </c>
      <c r="K1289">
        <f t="shared" si="206"/>
        <v>0</v>
      </c>
      <c r="L1289"/>
      <c r="M1289"/>
      <c r="N1289"/>
      <c r="O1289"/>
      <c r="P1289"/>
      <c r="Q1289"/>
      <c r="R1289"/>
      <c r="S1289"/>
      <c r="T1289"/>
    </row>
    <row r="1290" spans="1:20" outlineLevel="3" x14ac:dyDescent="0.3">
      <c r="A1290" s="82" t="s">
        <v>2072</v>
      </c>
      <c r="B1290" s="10" t="s">
        <v>501</v>
      </c>
      <c r="C1290" s="60" t="s">
        <v>502</v>
      </c>
      <c r="D1290" s="44" t="s">
        <v>80</v>
      </c>
      <c r="E1290" s="84">
        <v>0</v>
      </c>
      <c r="F1290" s="84"/>
      <c r="G1290" s="94">
        <f t="shared" si="202"/>
        <v>1</v>
      </c>
      <c r="H1290" s="93">
        <f t="shared" si="203"/>
        <v>51</v>
      </c>
      <c r="I1290" s="84">
        <f t="shared" si="204"/>
        <v>0</v>
      </c>
      <c r="J1290" s="105">
        <f t="shared" si="205"/>
        <v>0</v>
      </c>
      <c r="K1290">
        <f t="shared" si="206"/>
        <v>0</v>
      </c>
      <c r="L1290"/>
      <c r="M1290"/>
      <c r="N1290"/>
      <c r="O1290"/>
      <c r="P1290"/>
      <c r="Q1290"/>
      <c r="R1290"/>
      <c r="S1290"/>
      <c r="T1290"/>
    </row>
    <row r="1291" spans="1:20" outlineLevel="3" x14ac:dyDescent="0.3">
      <c r="A1291" s="82" t="s">
        <v>2073</v>
      </c>
      <c r="B1291" s="10" t="s">
        <v>504</v>
      </c>
      <c r="C1291" s="60" t="s">
        <v>505</v>
      </c>
      <c r="D1291" s="44" t="s">
        <v>80</v>
      </c>
      <c r="E1291" s="84">
        <v>0</v>
      </c>
      <c r="F1291" s="84"/>
      <c r="G1291" s="94">
        <f t="shared" si="202"/>
        <v>1</v>
      </c>
      <c r="H1291" s="93">
        <f t="shared" si="203"/>
        <v>20</v>
      </c>
      <c r="I1291" s="84">
        <f t="shared" si="204"/>
        <v>0</v>
      </c>
      <c r="J1291" s="105">
        <f t="shared" si="205"/>
        <v>0</v>
      </c>
      <c r="K1291">
        <f t="shared" si="206"/>
        <v>0</v>
      </c>
      <c r="L1291"/>
      <c r="M1291"/>
      <c r="N1291"/>
      <c r="O1291"/>
      <c r="P1291"/>
      <c r="Q1291"/>
      <c r="R1291"/>
      <c r="S1291"/>
      <c r="T1291"/>
    </row>
    <row r="1292" spans="1:20" ht="28.8" outlineLevel="3" x14ac:dyDescent="0.3">
      <c r="A1292" s="82" t="s">
        <v>2074</v>
      </c>
      <c r="B1292" s="10" t="s">
        <v>507</v>
      </c>
      <c r="C1292" s="60" t="s">
        <v>508</v>
      </c>
      <c r="D1292" s="44" t="s">
        <v>80</v>
      </c>
      <c r="E1292" s="84">
        <v>0</v>
      </c>
      <c r="F1292" s="84"/>
      <c r="G1292" s="94">
        <f t="shared" si="202"/>
        <v>1</v>
      </c>
      <c r="H1292" s="93">
        <f t="shared" si="203"/>
        <v>31</v>
      </c>
      <c r="I1292" s="84">
        <f t="shared" si="204"/>
        <v>0</v>
      </c>
      <c r="J1292" s="105">
        <f t="shared" si="205"/>
        <v>0</v>
      </c>
      <c r="K1292">
        <f t="shared" si="206"/>
        <v>0</v>
      </c>
      <c r="L1292"/>
      <c r="M1292"/>
      <c r="N1292"/>
      <c r="O1292"/>
      <c r="P1292"/>
      <c r="Q1292"/>
      <c r="R1292"/>
      <c r="S1292"/>
      <c r="T1292"/>
    </row>
    <row r="1293" spans="1:20" outlineLevel="3" x14ac:dyDescent="0.3">
      <c r="A1293" s="82" t="s">
        <v>2075</v>
      </c>
      <c r="B1293" s="10" t="s">
        <v>510</v>
      </c>
      <c r="C1293" s="60" t="s">
        <v>511</v>
      </c>
      <c r="D1293" s="44" t="s">
        <v>80</v>
      </c>
      <c r="E1293" s="84">
        <v>0</v>
      </c>
      <c r="F1293" s="84"/>
      <c r="G1293" s="94">
        <f t="shared" si="202"/>
        <v>1</v>
      </c>
      <c r="H1293" s="93">
        <f t="shared" si="203"/>
        <v>14</v>
      </c>
      <c r="I1293" s="84">
        <f t="shared" si="204"/>
        <v>0</v>
      </c>
      <c r="J1293" s="105">
        <f t="shared" si="205"/>
        <v>0</v>
      </c>
      <c r="K1293">
        <f t="shared" si="206"/>
        <v>0</v>
      </c>
      <c r="L1293"/>
      <c r="M1293"/>
      <c r="N1293"/>
      <c r="O1293"/>
      <c r="P1293"/>
      <c r="Q1293"/>
      <c r="R1293"/>
      <c r="S1293"/>
      <c r="T1293"/>
    </row>
    <row r="1294" spans="1:20" ht="28.8" outlineLevel="3" x14ac:dyDescent="0.3">
      <c r="A1294" s="82" t="s">
        <v>2076</v>
      </c>
      <c r="B1294" s="10" t="s">
        <v>513</v>
      </c>
      <c r="C1294" s="60" t="s">
        <v>514</v>
      </c>
      <c r="D1294" s="44" t="s">
        <v>80</v>
      </c>
      <c r="E1294" s="84">
        <v>0</v>
      </c>
      <c r="F1294" s="84"/>
      <c r="G1294" s="94">
        <f t="shared" si="202"/>
        <v>1</v>
      </c>
      <c r="H1294" s="93">
        <f t="shared" si="203"/>
        <v>59</v>
      </c>
      <c r="I1294" s="84">
        <f t="shared" si="204"/>
        <v>0</v>
      </c>
      <c r="J1294" s="105">
        <f t="shared" si="205"/>
        <v>0</v>
      </c>
      <c r="K1294">
        <f t="shared" si="206"/>
        <v>0</v>
      </c>
      <c r="L1294"/>
      <c r="M1294"/>
      <c r="N1294"/>
      <c r="O1294"/>
      <c r="P1294"/>
      <c r="Q1294"/>
      <c r="R1294"/>
      <c r="S1294"/>
      <c r="T1294"/>
    </row>
    <row r="1295" spans="1:20" outlineLevel="3" x14ac:dyDescent="0.3">
      <c r="A1295" s="82" t="s">
        <v>2077</v>
      </c>
      <c r="B1295" s="10" t="s">
        <v>516</v>
      </c>
      <c r="C1295" s="60" t="s">
        <v>517</v>
      </c>
      <c r="D1295" s="44" t="s">
        <v>80</v>
      </c>
      <c r="E1295" s="84">
        <v>0</v>
      </c>
      <c r="F1295" s="84"/>
      <c r="G1295" s="94">
        <f t="shared" si="202"/>
        <v>1</v>
      </c>
      <c r="H1295" s="93">
        <f t="shared" si="203"/>
        <v>30</v>
      </c>
      <c r="I1295" s="84">
        <f t="shared" si="204"/>
        <v>0</v>
      </c>
      <c r="J1295" s="105">
        <f t="shared" si="205"/>
        <v>0</v>
      </c>
      <c r="K1295">
        <f t="shared" si="206"/>
        <v>0</v>
      </c>
      <c r="L1295"/>
      <c r="M1295"/>
      <c r="N1295"/>
      <c r="O1295"/>
      <c r="P1295"/>
      <c r="Q1295"/>
      <c r="R1295"/>
      <c r="S1295"/>
      <c r="T1295"/>
    </row>
    <row r="1296" spans="1:20" ht="24.6" outlineLevel="3" x14ac:dyDescent="0.3">
      <c r="A1296" s="82" t="s">
        <v>2078</v>
      </c>
      <c r="B1296" s="58" t="s">
        <v>519</v>
      </c>
      <c r="C1296" s="61" t="s">
        <v>520</v>
      </c>
      <c r="D1296" s="115"/>
      <c r="E1296" s="87"/>
      <c r="F1296" s="87"/>
      <c r="G1296" s="97"/>
      <c r="H1296" s="87"/>
      <c r="I1296" s="104">
        <f>SUBTOTAL(9,K1297:K1301)</f>
        <v>0</v>
      </c>
      <c r="J1296" s="108"/>
      <c r="K1296"/>
      <c r="L1296"/>
      <c r="M1296"/>
      <c r="N1296"/>
      <c r="O1296"/>
      <c r="P1296"/>
      <c r="Q1296"/>
      <c r="R1296"/>
      <c r="S1296"/>
      <c r="T1296"/>
    </row>
    <row r="1297" spans="1:20" outlineLevel="4" x14ac:dyDescent="0.3">
      <c r="A1297" s="82" t="s">
        <v>2079</v>
      </c>
      <c r="B1297" s="10" t="s">
        <v>522</v>
      </c>
      <c r="C1297" s="60" t="s">
        <v>523</v>
      </c>
      <c r="D1297" s="44" t="s">
        <v>121</v>
      </c>
      <c r="E1297" s="84">
        <v>0</v>
      </c>
      <c r="F1297" s="84"/>
      <c r="G1297" s="94">
        <f>cell_CoefGeneral</f>
        <v>1</v>
      </c>
      <c r="H1297" s="93">
        <f>H160</f>
        <v>460</v>
      </c>
      <c r="I1297" s="84">
        <f>IFERROR(ROUND(E1297*H1297,2),"-")</f>
        <v>0</v>
      </c>
      <c r="J1297" s="105">
        <f>IFERROR(I1297/cell_Total_HT,"-")</f>
        <v>0</v>
      </c>
      <c r="K1297">
        <f>I1297</f>
        <v>0</v>
      </c>
      <c r="L1297"/>
      <c r="M1297"/>
      <c r="N1297"/>
      <c r="O1297"/>
      <c r="P1297"/>
      <c r="Q1297"/>
      <c r="R1297"/>
      <c r="S1297"/>
      <c r="T1297"/>
    </row>
    <row r="1298" spans="1:20" outlineLevel="4" x14ac:dyDescent="0.3">
      <c r="A1298" s="82" t="s">
        <v>2080</v>
      </c>
      <c r="B1298" s="10" t="s">
        <v>525</v>
      </c>
      <c r="C1298" s="60" t="s">
        <v>526</v>
      </c>
      <c r="D1298" s="44" t="s">
        <v>121</v>
      </c>
      <c r="E1298" s="84">
        <v>0</v>
      </c>
      <c r="F1298" s="84"/>
      <c r="G1298" s="94">
        <f>cell_CoefGeneral</f>
        <v>1</v>
      </c>
      <c r="H1298" s="93">
        <f>H161</f>
        <v>920</v>
      </c>
      <c r="I1298" s="84">
        <f>IFERROR(ROUND(E1298*H1298,2),"-")</f>
        <v>0</v>
      </c>
      <c r="J1298" s="105">
        <f>IFERROR(I1298/cell_Total_HT,"-")</f>
        <v>0</v>
      </c>
      <c r="K1298">
        <f>I1298</f>
        <v>0</v>
      </c>
      <c r="L1298"/>
      <c r="M1298"/>
      <c r="N1298"/>
      <c r="O1298"/>
      <c r="P1298"/>
      <c r="Q1298"/>
      <c r="R1298"/>
      <c r="S1298"/>
      <c r="T1298"/>
    </row>
    <row r="1299" spans="1:20" outlineLevel="4" x14ac:dyDescent="0.3">
      <c r="A1299" s="82" t="s">
        <v>2081</v>
      </c>
      <c r="B1299" s="10" t="s">
        <v>528</v>
      </c>
      <c r="C1299" s="60" t="s">
        <v>529</v>
      </c>
      <c r="D1299" s="44" t="s">
        <v>121</v>
      </c>
      <c r="E1299" s="84">
        <v>0</v>
      </c>
      <c r="F1299" s="84"/>
      <c r="G1299" s="94">
        <f>cell_CoefGeneral</f>
        <v>1</v>
      </c>
      <c r="H1299" s="93">
        <f>H162</f>
        <v>790</v>
      </c>
      <c r="I1299" s="84">
        <f>IFERROR(ROUND(E1299*H1299,2),"-")</f>
        <v>0</v>
      </c>
      <c r="J1299" s="105">
        <f>IFERROR(I1299/cell_Total_HT,"-")</f>
        <v>0</v>
      </c>
      <c r="K1299">
        <f>I1299</f>
        <v>0</v>
      </c>
      <c r="L1299"/>
      <c r="M1299"/>
      <c r="N1299"/>
      <c r="O1299"/>
      <c r="P1299"/>
      <c r="Q1299"/>
      <c r="R1299"/>
      <c r="S1299"/>
      <c r="T1299"/>
    </row>
    <row r="1300" spans="1:20" outlineLevel="4" x14ac:dyDescent="0.3">
      <c r="A1300" s="82" t="s">
        <v>2082</v>
      </c>
      <c r="B1300" s="10" t="s">
        <v>531</v>
      </c>
      <c r="C1300" s="60" t="s">
        <v>532</v>
      </c>
      <c r="D1300" s="44" t="s">
        <v>121</v>
      </c>
      <c r="E1300" s="84">
        <v>0</v>
      </c>
      <c r="F1300" s="84"/>
      <c r="G1300" s="94">
        <f>cell_CoefGeneral</f>
        <v>1</v>
      </c>
      <c r="H1300" s="93">
        <f>H163</f>
        <v>350</v>
      </c>
      <c r="I1300" s="84">
        <f>IFERROR(ROUND(E1300*H1300,2),"-")</f>
        <v>0</v>
      </c>
      <c r="J1300" s="105">
        <f>IFERROR(I1300/cell_Total_HT,"-")</f>
        <v>0</v>
      </c>
      <c r="K1300">
        <f>I1300</f>
        <v>0</v>
      </c>
      <c r="L1300"/>
      <c r="M1300"/>
      <c r="N1300"/>
      <c r="O1300"/>
      <c r="P1300"/>
      <c r="Q1300"/>
      <c r="R1300"/>
      <c r="S1300"/>
      <c r="T1300"/>
    </row>
    <row r="1301" spans="1:20" outlineLevel="4" x14ac:dyDescent="0.3">
      <c r="A1301" s="82" t="s">
        <v>2083</v>
      </c>
      <c r="B1301" s="10" t="s">
        <v>534</v>
      </c>
      <c r="C1301" s="60" t="s">
        <v>535</v>
      </c>
      <c r="D1301" s="44" t="s">
        <v>80</v>
      </c>
      <c r="E1301" s="84">
        <v>0</v>
      </c>
      <c r="F1301" s="84"/>
      <c r="G1301" s="94">
        <f>cell_CoefGeneral</f>
        <v>1</v>
      </c>
      <c r="H1301" s="93">
        <f>H164</f>
        <v>250</v>
      </c>
      <c r="I1301" s="84">
        <f>IFERROR(ROUND(E1301*H1301,2),"-")</f>
        <v>0</v>
      </c>
      <c r="J1301" s="105">
        <f>IFERROR(I1301/cell_Total_HT,"-")</f>
        <v>0</v>
      </c>
      <c r="K1301">
        <f>I1301</f>
        <v>0</v>
      </c>
      <c r="L1301"/>
      <c r="M1301"/>
      <c r="N1301"/>
      <c r="O1301"/>
      <c r="P1301"/>
      <c r="Q1301"/>
      <c r="R1301"/>
      <c r="S1301"/>
      <c r="T1301"/>
    </row>
    <row r="1302" spans="1:20" outlineLevel="3" x14ac:dyDescent="0.3">
      <c r="A1302" s="82" t="s">
        <v>2084</v>
      </c>
      <c r="B1302" s="58" t="s">
        <v>537</v>
      </c>
      <c r="C1302" s="61" t="s">
        <v>538</v>
      </c>
      <c r="D1302" s="115"/>
      <c r="E1302" s="87"/>
      <c r="F1302" s="87"/>
      <c r="G1302" s="97"/>
      <c r="H1302" s="87"/>
      <c r="I1302" s="104">
        <f>SUBTOTAL(9,K1303:K1303)</f>
        <v>0</v>
      </c>
      <c r="J1302" s="108"/>
      <c r="K1302"/>
      <c r="L1302"/>
      <c r="M1302"/>
      <c r="N1302"/>
      <c r="O1302"/>
      <c r="P1302"/>
      <c r="Q1302"/>
      <c r="R1302"/>
      <c r="S1302"/>
      <c r="T1302"/>
    </row>
    <row r="1303" spans="1:20" ht="15" outlineLevel="4" thickBot="1" x14ac:dyDescent="0.35">
      <c r="A1303" s="82" t="s">
        <v>2085</v>
      </c>
      <c r="B1303" s="10" t="s">
        <v>540</v>
      </c>
      <c r="C1303" s="60" t="s">
        <v>541</v>
      </c>
      <c r="D1303" s="44" t="s">
        <v>80</v>
      </c>
      <c r="E1303" s="84">
        <v>0</v>
      </c>
      <c r="F1303" s="84"/>
      <c r="G1303" s="94">
        <f>cell_CoefGeneral</f>
        <v>1</v>
      </c>
      <c r="H1303" s="93">
        <f>H166</f>
        <v>36</v>
      </c>
      <c r="I1303" s="84">
        <f>IFERROR(ROUND(E1303*H1303,2),"-")</f>
        <v>0</v>
      </c>
      <c r="J1303" s="105">
        <f>IFERROR(I1303/cell_Total_HT,"-")</f>
        <v>0</v>
      </c>
      <c r="K1303">
        <f>I1303</f>
        <v>0</v>
      </c>
      <c r="L1303"/>
      <c r="M1303"/>
      <c r="N1303"/>
      <c r="O1303"/>
      <c r="P1303"/>
      <c r="Q1303"/>
      <c r="R1303"/>
      <c r="S1303"/>
      <c r="T1303"/>
    </row>
    <row r="1304" spans="1:20" ht="15" outlineLevel="2" thickTop="1" x14ac:dyDescent="0.3">
      <c r="A1304" s="82" t="s">
        <v>2086</v>
      </c>
      <c r="B1304" s="62" t="s">
        <v>60</v>
      </c>
      <c r="C1304" s="63" t="s">
        <v>543</v>
      </c>
      <c r="D1304" s="116"/>
      <c r="E1304" s="88"/>
      <c r="F1304" s="88"/>
      <c r="G1304" s="98"/>
      <c r="H1304" s="88"/>
      <c r="I1304" s="88">
        <f>SUBTOTAL(9,I1280:I1303)</f>
        <v>0</v>
      </c>
      <c r="J1304" s="109"/>
      <c r="K1304"/>
      <c r="L1304"/>
      <c r="M1304"/>
      <c r="N1304"/>
      <c r="O1304"/>
      <c r="P1304"/>
      <c r="Q1304"/>
      <c r="R1304"/>
      <c r="S1304"/>
      <c r="T1304"/>
    </row>
    <row r="1305" spans="1:20" outlineLevel="2" x14ac:dyDescent="0.3">
      <c r="A1305" s="82" t="s">
        <v>2087</v>
      </c>
      <c r="B1305" s="64" t="s">
        <v>545</v>
      </c>
      <c r="C1305" s="65" t="s">
        <v>546</v>
      </c>
      <c r="D1305" s="117"/>
      <c r="E1305" s="87"/>
      <c r="F1305" s="87"/>
      <c r="G1305" s="97"/>
      <c r="H1305" s="87"/>
      <c r="I1305" s="104">
        <f>SUBTOTAL(9,K1306:K1319)</f>
        <v>1914</v>
      </c>
      <c r="J1305" s="108"/>
      <c r="K1305"/>
      <c r="L1305"/>
      <c r="M1305"/>
      <c r="N1305"/>
      <c r="O1305"/>
      <c r="P1305"/>
      <c r="Q1305"/>
      <c r="R1305"/>
      <c r="S1305"/>
      <c r="T1305"/>
    </row>
    <row r="1306" spans="1:20" outlineLevel="3" x14ac:dyDescent="0.3">
      <c r="A1306" s="82" t="s">
        <v>2088</v>
      </c>
      <c r="B1306" s="10" t="s">
        <v>548</v>
      </c>
      <c r="C1306" s="60" t="s">
        <v>549</v>
      </c>
      <c r="D1306" s="44" t="s">
        <v>121</v>
      </c>
      <c r="E1306" s="84">
        <v>0</v>
      </c>
      <c r="F1306" s="84"/>
      <c r="G1306" s="94">
        <f>cell_CoefGeneral</f>
        <v>1</v>
      </c>
      <c r="H1306" s="93">
        <f>H169</f>
        <v>81</v>
      </c>
      <c r="I1306" s="84">
        <f>IFERROR(ROUND(E1306*H1306,2),"-")</f>
        <v>0</v>
      </c>
      <c r="J1306" s="105">
        <f>IFERROR(I1306/cell_Total_HT,"-")</f>
        <v>0</v>
      </c>
      <c r="K1306">
        <f>I1306</f>
        <v>0</v>
      </c>
      <c r="L1306"/>
      <c r="M1306"/>
      <c r="N1306"/>
      <c r="O1306"/>
      <c r="P1306"/>
      <c r="Q1306"/>
      <c r="R1306"/>
      <c r="S1306"/>
      <c r="T1306"/>
    </row>
    <row r="1307" spans="1:20" outlineLevel="3" x14ac:dyDescent="0.3">
      <c r="A1307" s="82" t="s">
        <v>2089</v>
      </c>
      <c r="B1307" s="10" t="s">
        <v>551</v>
      </c>
      <c r="C1307" s="60" t="s">
        <v>552</v>
      </c>
      <c r="D1307" s="44" t="s">
        <v>121</v>
      </c>
      <c r="E1307" s="84">
        <v>0</v>
      </c>
      <c r="F1307" s="84"/>
      <c r="G1307" s="94">
        <f>cell_CoefGeneral</f>
        <v>1</v>
      </c>
      <c r="H1307" s="93">
        <f>H170</f>
        <v>150</v>
      </c>
      <c r="I1307" s="84">
        <f>IFERROR(ROUND(E1307*H1307,2),"-")</f>
        <v>0</v>
      </c>
      <c r="J1307" s="105">
        <f>IFERROR(I1307/cell_Total_HT,"-")</f>
        <v>0</v>
      </c>
      <c r="K1307">
        <f>I1307</f>
        <v>0</v>
      </c>
      <c r="L1307"/>
      <c r="M1307"/>
      <c r="N1307"/>
      <c r="O1307"/>
      <c r="P1307"/>
      <c r="Q1307"/>
      <c r="R1307"/>
      <c r="S1307"/>
      <c r="T1307"/>
    </row>
    <row r="1308" spans="1:20" outlineLevel="3" x14ac:dyDescent="0.3">
      <c r="A1308" s="82" t="s">
        <v>2090</v>
      </c>
      <c r="B1308" s="58" t="s">
        <v>554</v>
      </c>
      <c r="C1308" s="61" t="s">
        <v>555</v>
      </c>
      <c r="D1308" s="115"/>
      <c r="E1308" s="87"/>
      <c r="F1308" s="87"/>
      <c r="G1308" s="97"/>
      <c r="H1308" s="87"/>
      <c r="I1308" s="104">
        <f>SUBTOTAL(9,K1309:K1310)</f>
        <v>0</v>
      </c>
      <c r="J1308" s="108"/>
      <c r="K1308"/>
      <c r="L1308"/>
      <c r="M1308"/>
      <c r="N1308"/>
      <c r="O1308"/>
      <c r="P1308"/>
      <c r="Q1308"/>
      <c r="R1308"/>
      <c r="S1308"/>
      <c r="T1308"/>
    </row>
    <row r="1309" spans="1:20" outlineLevel="4" x14ac:dyDescent="0.3">
      <c r="A1309" s="82" t="s">
        <v>2091</v>
      </c>
      <c r="B1309" s="10" t="s">
        <v>557</v>
      </c>
      <c r="C1309" s="60" t="s">
        <v>558</v>
      </c>
      <c r="D1309" s="44" t="s">
        <v>121</v>
      </c>
      <c r="E1309" s="84">
        <v>0</v>
      </c>
      <c r="F1309" s="84"/>
      <c r="G1309" s="94">
        <f>cell_CoefGeneral</f>
        <v>1</v>
      </c>
      <c r="H1309" s="93">
        <f>H172</f>
        <v>160</v>
      </c>
      <c r="I1309" s="84">
        <f>IFERROR(ROUND(E1309*H1309,2),"-")</f>
        <v>0</v>
      </c>
      <c r="J1309" s="105">
        <f>IFERROR(I1309/cell_Total_HT,"-")</f>
        <v>0</v>
      </c>
      <c r="K1309">
        <f>I1309</f>
        <v>0</v>
      </c>
      <c r="L1309"/>
      <c r="M1309"/>
      <c r="N1309"/>
      <c r="O1309"/>
      <c r="P1309"/>
      <c r="Q1309"/>
      <c r="R1309"/>
      <c r="S1309"/>
      <c r="T1309"/>
    </row>
    <row r="1310" spans="1:20" outlineLevel="4" x14ac:dyDescent="0.3">
      <c r="A1310" s="82" t="s">
        <v>2092</v>
      </c>
      <c r="B1310" s="10" t="s">
        <v>560</v>
      </c>
      <c r="C1310" s="60" t="s">
        <v>561</v>
      </c>
      <c r="D1310" s="44" t="s">
        <v>121</v>
      </c>
      <c r="E1310" s="84">
        <v>0</v>
      </c>
      <c r="F1310" s="84"/>
      <c r="G1310" s="94">
        <f>cell_CoefGeneral</f>
        <v>1</v>
      </c>
      <c r="H1310" s="93">
        <f>H173</f>
        <v>200</v>
      </c>
      <c r="I1310" s="84">
        <f>IFERROR(ROUND(E1310*H1310,2),"-")</f>
        <v>0</v>
      </c>
      <c r="J1310" s="105">
        <f>IFERROR(I1310/cell_Total_HT,"-")</f>
        <v>0</v>
      </c>
      <c r="K1310">
        <f>I1310</f>
        <v>0</v>
      </c>
      <c r="L1310"/>
      <c r="M1310"/>
      <c r="N1310"/>
      <c r="O1310"/>
      <c r="P1310"/>
      <c r="Q1310"/>
      <c r="R1310"/>
      <c r="S1310"/>
      <c r="T1310"/>
    </row>
    <row r="1311" spans="1:20" outlineLevel="3" x14ac:dyDescent="0.3">
      <c r="A1311" s="82" t="s">
        <v>2093</v>
      </c>
      <c r="B1311" s="58" t="s">
        <v>563</v>
      </c>
      <c r="C1311" s="61" t="s">
        <v>564</v>
      </c>
      <c r="D1311" s="115"/>
      <c r="E1311" s="87"/>
      <c r="F1311" s="87"/>
      <c r="G1311" s="97"/>
      <c r="H1311" s="87"/>
      <c r="I1311" s="104">
        <f>SUBTOTAL(9,K1312:K1314)</f>
        <v>0</v>
      </c>
      <c r="J1311" s="108"/>
      <c r="K1311"/>
      <c r="L1311"/>
      <c r="M1311"/>
      <c r="N1311"/>
      <c r="O1311"/>
      <c r="P1311"/>
      <c r="Q1311"/>
      <c r="R1311"/>
      <c r="S1311"/>
      <c r="T1311"/>
    </row>
    <row r="1312" spans="1:20" outlineLevel="4" x14ac:dyDescent="0.3">
      <c r="A1312" s="82" t="s">
        <v>2094</v>
      </c>
      <c r="B1312" s="10" t="s">
        <v>566</v>
      </c>
      <c r="C1312" s="60" t="s">
        <v>567</v>
      </c>
      <c r="D1312" s="44" t="s">
        <v>121</v>
      </c>
      <c r="E1312" s="84">
        <v>0</v>
      </c>
      <c r="F1312" s="84"/>
      <c r="G1312" s="94">
        <f>cell_CoefGeneral</f>
        <v>1</v>
      </c>
      <c r="H1312" s="93">
        <f>H175</f>
        <v>190</v>
      </c>
      <c r="I1312" s="84">
        <f>IFERROR(ROUND(E1312*H1312,2),"-")</f>
        <v>0</v>
      </c>
      <c r="J1312" s="105">
        <f>IFERROR(I1312/cell_Total_HT,"-")</f>
        <v>0</v>
      </c>
      <c r="K1312">
        <f>I1312</f>
        <v>0</v>
      </c>
      <c r="L1312"/>
      <c r="M1312"/>
      <c r="N1312"/>
      <c r="O1312"/>
      <c r="P1312"/>
      <c r="Q1312"/>
      <c r="R1312"/>
      <c r="S1312"/>
      <c r="T1312"/>
    </row>
    <row r="1313" spans="1:20" outlineLevel="4" x14ac:dyDescent="0.3">
      <c r="A1313" s="82" t="s">
        <v>2095</v>
      </c>
      <c r="B1313" s="10" t="s">
        <v>569</v>
      </c>
      <c r="C1313" s="60" t="s">
        <v>558</v>
      </c>
      <c r="D1313" s="44" t="s">
        <v>121</v>
      </c>
      <c r="E1313" s="84">
        <v>0</v>
      </c>
      <c r="F1313" s="84"/>
      <c r="G1313" s="94">
        <f>cell_CoefGeneral</f>
        <v>1</v>
      </c>
      <c r="H1313" s="93">
        <f>H176</f>
        <v>170</v>
      </c>
      <c r="I1313" s="84">
        <f>IFERROR(ROUND(E1313*H1313,2),"-")</f>
        <v>0</v>
      </c>
      <c r="J1313" s="105">
        <f>IFERROR(I1313/cell_Total_HT,"-")</f>
        <v>0</v>
      </c>
      <c r="K1313">
        <f>I1313</f>
        <v>0</v>
      </c>
      <c r="L1313"/>
      <c r="M1313"/>
      <c r="N1313"/>
      <c r="O1313"/>
      <c r="P1313"/>
      <c r="Q1313"/>
      <c r="R1313"/>
      <c r="S1313"/>
      <c r="T1313"/>
    </row>
    <row r="1314" spans="1:20" outlineLevel="4" x14ac:dyDescent="0.3">
      <c r="A1314" s="82" t="s">
        <v>2096</v>
      </c>
      <c r="B1314" s="10" t="s">
        <v>571</v>
      </c>
      <c r="C1314" s="60" t="s">
        <v>561</v>
      </c>
      <c r="D1314" s="44" t="s">
        <v>121</v>
      </c>
      <c r="E1314" s="84">
        <v>0</v>
      </c>
      <c r="F1314" s="84"/>
      <c r="G1314" s="94">
        <f>cell_CoefGeneral</f>
        <v>1</v>
      </c>
      <c r="H1314" s="93">
        <f>H177</f>
        <v>190</v>
      </c>
      <c r="I1314" s="84">
        <f>IFERROR(ROUND(E1314*H1314,2),"-")</f>
        <v>0</v>
      </c>
      <c r="J1314" s="105">
        <f>IFERROR(I1314/cell_Total_HT,"-")</f>
        <v>0</v>
      </c>
      <c r="K1314">
        <f>I1314</f>
        <v>0</v>
      </c>
      <c r="L1314"/>
      <c r="M1314"/>
      <c r="N1314"/>
      <c r="O1314"/>
      <c r="P1314"/>
      <c r="Q1314"/>
      <c r="R1314"/>
      <c r="S1314"/>
      <c r="T1314"/>
    </row>
    <row r="1315" spans="1:20" outlineLevel="3" x14ac:dyDescent="0.3">
      <c r="A1315" s="82" t="s">
        <v>2097</v>
      </c>
      <c r="B1315" s="58" t="s">
        <v>573</v>
      </c>
      <c r="C1315" s="61" t="s">
        <v>574</v>
      </c>
      <c r="D1315" s="115"/>
      <c r="E1315" s="87"/>
      <c r="F1315" s="87"/>
      <c r="G1315" s="97"/>
      <c r="H1315" s="87"/>
      <c r="I1315" s="104">
        <f>SUBTOTAL(9,K1316:K1317)</f>
        <v>0</v>
      </c>
      <c r="J1315" s="108"/>
      <c r="K1315"/>
      <c r="L1315"/>
      <c r="M1315"/>
      <c r="N1315"/>
      <c r="O1315"/>
      <c r="P1315"/>
      <c r="Q1315"/>
      <c r="R1315"/>
      <c r="S1315"/>
      <c r="T1315"/>
    </row>
    <row r="1316" spans="1:20" outlineLevel="4" x14ac:dyDescent="0.3">
      <c r="A1316" s="82" t="s">
        <v>2098</v>
      </c>
      <c r="B1316" s="10" t="s">
        <v>576</v>
      </c>
      <c r="C1316" s="60" t="s">
        <v>577</v>
      </c>
      <c r="D1316" s="44" t="s">
        <v>121</v>
      </c>
      <c r="E1316" s="84">
        <v>0</v>
      </c>
      <c r="F1316" s="84"/>
      <c r="G1316" s="94">
        <f>cell_CoefGeneral</f>
        <v>1</v>
      </c>
      <c r="H1316" s="93">
        <f>H179</f>
        <v>220</v>
      </c>
      <c r="I1316" s="84">
        <f>IFERROR(ROUND(E1316*H1316,2),"-")</f>
        <v>0</v>
      </c>
      <c r="J1316" s="105">
        <f>IFERROR(I1316/cell_Total_HT,"-")</f>
        <v>0</v>
      </c>
      <c r="K1316">
        <f>I1316</f>
        <v>0</v>
      </c>
      <c r="L1316"/>
      <c r="M1316"/>
      <c r="N1316"/>
      <c r="O1316"/>
      <c r="P1316"/>
      <c r="Q1316"/>
      <c r="R1316"/>
      <c r="S1316"/>
      <c r="T1316"/>
    </row>
    <row r="1317" spans="1:20" outlineLevel="4" x14ac:dyDescent="0.3">
      <c r="A1317" s="82" t="s">
        <v>2099</v>
      </c>
      <c r="B1317" s="10" t="s">
        <v>579</v>
      </c>
      <c r="C1317" s="60" t="s">
        <v>580</v>
      </c>
      <c r="D1317" s="44" t="s">
        <v>121</v>
      </c>
      <c r="E1317" s="84">
        <v>0</v>
      </c>
      <c r="F1317" s="84"/>
      <c r="G1317" s="94">
        <f>cell_CoefGeneral</f>
        <v>1</v>
      </c>
      <c r="H1317" s="93">
        <f>H180</f>
        <v>270</v>
      </c>
      <c r="I1317" s="84">
        <f>IFERROR(ROUND(E1317*H1317,2),"-")</f>
        <v>0</v>
      </c>
      <c r="J1317" s="105">
        <f>IFERROR(I1317/cell_Total_HT,"-")</f>
        <v>0</v>
      </c>
      <c r="K1317">
        <f>I1317</f>
        <v>0</v>
      </c>
      <c r="L1317"/>
      <c r="M1317"/>
      <c r="N1317"/>
      <c r="O1317"/>
      <c r="P1317"/>
      <c r="Q1317"/>
      <c r="R1317"/>
      <c r="S1317"/>
      <c r="T1317"/>
    </row>
    <row r="1318" spans="1:20" outlineLevel="3" x14ac:dyDescent="0.3">
      <c r="A1318" s="82" t="s">
        <v>2100</v>
      </c>
      <c r="B1318" s="10" t="s">
        <v>582</v>
      </c>
      <c r="C1318" s="60" t="s">
        <v>583</v>
      </c>
      <c r="D1318" s="44" t="s">
        <v>80</v>
      </c>
      <c r="E1318" s="84">
        <v>0</v>
      </c>
      <c r="F1318" s="84"/>
      <c r="G1318" s="94">
        <f>cell_CoefGeneral</f>
        <v>1</v>
      </c>
      <c r="H1318" s="93">
        <f>H181</f>
        <v>23</v>
      </c>
      <c r="I1318" s="84">
        <f>IFERROR(ROUND(E1318*H1318,2),"-")</f>
        <v>0</v>
      </c>
      <c r="J1318" s="105">
        <f>IFERROR(I1318/cell_Total_HT,"-")</f>
        <v>0</v>
      </c>
      <c r="K1318">
        <f>I1318</f>
        <v>0</v>
      </c>
      <c r="L1318"/>
      <c r="M1318"/>
      <c r="N1318"/>
      <c r="O1318"/>
      <c r="P1318"/>
      <c r="Q1318"/>
      <c r="R1318"/>
      <c r="S1318"/>
      <c r="T1318"/>
    </row>
    <row r="1319" spans="1:20" ht="15" outlineLevel="3" thickBot="1" x14ac:dyDescent="0.35">
      <c r="A1319" s="82" t="s">
        <v>2101</v>
      </c>
      <c r="B1319" s="10" t="s">
        <v>585</v>
      </c>
      <c r="C1319" s="60" t="s">
        <v>586</v>
      </c>
      <c r="D1319" s="44" t="s">
        <v>154</v>
      </c>
      <c r="E1319" s="84">
        <v>66</v>
      </c>
      <c r="F1319" s="84"/>
      <c r="G1319" s="94">
        <f>cell_CoefGeneral</f>
        <v>1</v>
      </c>
      <c r="H1319" s="93">
        <f>H182</f>
        <v>29</v>
      </c>
      <c r="I1319" s="84">
        <f>IFERROR(ROUND(E1319*H1319,2),"-")</f>
        <v>1914</v>
      </c>
      <c r="J1319" s="105">
        <f>IFERROR(I1319/cell_Total_HT,"-")</f>
        <v>5.6505656543917463E-4</v>
      </c>
      <c r="K1319">
        <f>I1319</f>
        <v>1914</v>
      </c>
      <c r="L1319"/>
      <c r="M1319"/>
      <c r="N1319"/>
      <c r="O1319"/>
      <c r="P1319"/>
      <c r="Q1319"/>
      <c r="R1319"/>
      <c r="S1319"/>
      <c r="T1319"/>
    </row>
    <row r="1320" spans="1:20" ht="15" outlineLevel="2" thickTop="1" x14ac:dyDescent="0.3">
      <c r="A1320" s="82" t="s">
        <v>2102</v>
      </c>
      <c r="B1320" s="62" t="s">
        <v>60</v>
      </c>
      <c r="C1320" s="63" t="s">
        <v>588</v>
      </c>
      <c r="D1320" s="116"/>
      <c r="E1320" s="88"/>
      <c r="F1320" s="88"/>
      <c r="G1320" s="98"/>
      <c r="H1320" s="88"/>
      <c r="I1320" s="88">
        <f>SUBTOTAL(9,I1306:I1319)</f>
        <v>1914</v>
      </c>
      <c r="J1320" s="109"/>
      <c r="K1320"/>
      <c r="L1320"/>
      <c r="M1320"/>
      <c r="N1320"/>
      <c r="O1320"/>
      <c r="P1320"/>
      <c r="Q1320"/>
      <c r="R1320"/>
      <c r="S1320"/>
      <c r="T1320"/>
    </row>
    <row r="1321" spans="1:20" outlineLevel="2" x14ac:dyDescent="0.3">
      <c r="A1321" s="82" t="s">
        <v>2103</v>
      </c>
      <c r="B1321" s="64" t="s">
        <v>590</v>
      </c>
      <c r="C1321" s="65" t="s">
        <v>591</v>
      </c>
      <c r="D1321" s="117"/>
      <c r="E1321" s="87"/>
      <c r="F1321" s="87"/>
      <c r="G1321" s="97"/>
      <c r="H1321" s="87"/>
      <c r="I1321" s="104">
        <f>SUBTOTAL(9,K1322:K1333)</f>
        <v>0</v>
      </c>
      <c r="J1321" s="108"/>
      <c r="K1321"/>
      <c r="L1321"/>
      <c r="M1321"/>
      <c r="N1321"/>
      <c r="O1321"/>
      <c r="P1321"/>
      <c r="Q1321"/>
      <c r="R1321"/>
      <c r="S1321"/>
      <c r="T1321"/>
    </row>
    <row r="1322" spans="1:20" outlineLevel="3" x14ac:dyDescent="0.3">
      <c r="A1322" s="82" t="s">
        <v>2104</v>
      </c>
      <c r="B1322" s="10" t="s">
        <v>593</v>
      </c>
      <c r="C1322" s="60" t="s">
        <v>594</v>
      </c>
      <c r="D1322" s="44" t="s">
        <v>80</v>
      </c>
      <c r="E1322" s="84">
        <v>0</v>
      </c>
      <c r="F1322" s="84"/>
      <c r="G1322" s="94">
        <f>cell_CoefGeneral</f>
        <v>1</v>
      </c>
      <c r="H1322" s="93">
        <f>H185</f>
        <v>46</v>
      </c>
      <c r="I1322" s="84">
        <f>IFERROR(ROUND(E1322*H1322,2),"-")</f>
        <v>0</v>
      </c>
      <c r="J1322" s="105">
        <f>IFERROR(I1322/cell_Total_HT,"-")</f>
        <v>0</v>
      </c>
      <c r="K1322">
        <f>I1322</f>
        <v>0</v>
      </c>
      <c r="L1322"/>
      <c r="M1322"/>
      <c r="N1322"/>
      <c r="O1322"/>
      <c r="P1322"/>
      <c r="Q1322"/>
      <c r="R1322"/>
      <c r="S1322"/>
      <c r="T1322"/>
    </row>
    <row r="1323" spans="1:20" outlineLevel="3" x14ac:dyDescent="0.3">
      <c r="A1323" s="82" t="s">
        <v>2105</v>
      </c>
      <c r="B1323" s="58" t="s">
        <v>596</v>
      </c>
      <c r="C1323" s="61" t="s">
        <v>597</v>
      </c>
      <c r="D1323" s="115"/>
      <c r="E1323" s="87"/>
      <c r="F1323" s="87"/>
      <c r="G1323" s="97"/>
      <c r="H1323" s="87"/>
      <c r="I1323" s="104">
        <f>SUBTOTAL(9,K1324:K1326)</f>
        <v>0</v>
      </c>
      <c r="J1323" s="108"/>
      <c r="K1323"/>
      <c r="L1323"/>
      <c r="M1323"/>
      <c r="N1323"/>
      <c r="O1323"/>
      <c r="P1323"/>
      <c r="Q1323"/>
      <c r="R1323"/>
      <c r="S1323"/>
      <c r="T1323"/>
    </row>
    <row r="1324" spans="1:20" outlineLevel="4" x14ac:dyDescent="0.3">
      <c r="A1324" s="82" t="s">
        <v>2106</v>
      </c>
      <c r="B1324" s="10" t="s">
        <v>599</v>
      </c>
      <c r="C1324" s="60" t="s">
        <v>600</v>
      </c>
      <c r="D1324" s="44" t="s">
        <v>121</v>
      </c>
      <c r="E1324" s="84">
        <v>0</v>
      </c>
      <c r="F1324" s="84"/>
      <c r="G1324" s="94">
        <f>cell_CoefGeneral</f>
        <v>1</v>
      </c>
      <c r="H1324" s="93">
        <f>H187</f>
        <v>64</v>
      </c>
      <c r="I1324" s="84">
        <f>IFERROR(ROUND(E1324*H1324,2),"-")</f>
        <v>0</v>
      </c>
      <c r="J1324" s="105">
        <f>IFERROR(I1324/cell_Total_HT,"-")</f>
        <v>0</v>
      </c>
      <c r="K1324">
        <f>I1324</f>
        <v>0</v>
      </c>
      <c r="L1324"/>
      <c r="M1324"/>
      <c r="N1324"/>
      <c r="O1324"/>
      <c r="P1324"/>
      <c r="Q1324"/>
      <c r="R1324"/>
      <c r="S1324"/>
      <c r="T1324"/>
    </row>
    <row r="1325" spans="1:20" outlineLevel="4" x14ac:dyDescent="0.3">
      <c r="A1325" s="82" t="s">
        <v>2107</v>
      </c>
      <c r="B1325" s="10" t="s">
        <v>602</v>
      </c>
      <c r="C1325" s="60" t="s">
        <v>603</v>
      </c>
      <c r="D1325" s="44" t="s">
        <v>121</v>
      </c>
      <c r="E1325" s="84">
        <v>0</v>
      </c>
      <c r="F1325" s="84"/>
      <c r="G1325" s="94">
        <f>cell_CoefGeneral</f>
        <v>1</v>
      </c>
      <c r="H1325" s="93">
        <f>H188</f>
        <v>96</v>
      </c>
      <c r="I1325" s="84">
        <f>IFERROR(ROUND(E1325*H1325,2),"-")</f>
        <v>0</v>
      </c>
      <c r="J1325" s="105">
        <f>IFERROR(I1325/cell_Total_HT,"-")</f>
        <v>0</v>
      </c>
      <c r="K1325">
        <f>I1325</f>
        <v>0</v>
      </c>
      <c r="L1325"/>
      <c r="M1325"/>
      <c r="N1325"/>
      <c r="O1325"/>
      <c r="P1325"/>
      <c r="Q1325"/>
      <c r="R1325"/>
      <c r="S1325"/>
      <c r="T1325"/>
    </row>
    <row r="1326" spans="1:20" outlineLevel="4" x14ac:dyDescent="0.3">
      <c r="A1326" s="82" t="s">
        <v>2108</v>
      </c>
      <c r="B1326" s="10" t="s">
        <v>605</v>
      </c>
      <c r="C1326" s="60" t="s">
        <v>606</v>
      </c>
      <c r="D1326" s="44" t="s">
        <v>121</v>
      </c>
      <c r="E1326" s="84">
        <v>0</v>
      </c>
      <c r="F1326" s="84"/>
      <c r="G1326" s="94">
        <f>cell_CoefGeneral</f>
        <v>1</v>
      </c>
      <c r="H1326" s="93">
        <f>H189</f>
        <v>140</v>
      </c>
      <c r="I1326" s="84">
        <f>IFERROR(ROUND(E1326*H1326,2),"-")</f>
        <v>0</v>
      </c>
      <c r="J1326" s="105">
        <f>IFERROR(I1326/cell_Total_HT,"-")</f>
        <v>0</v>
      </c>
      <c r="K1326">
        <f>I1326</f>
        <v>0</v>
      </c>
      <c r="L1326"/>
      <c r="M1326"/>
      <c r="N1326"/>
      <c r="O1326"/>
      <c r="P1326"/>
      <c r="Q1326"/>
      <c r="R1326"/>
      <c r="S1326"/>
      <c r="T1326"/>
    </row>
    <row r="1327" spans="1:20" outlineLevel="3" x14ac:dyDescent="0.3">
      <c r="A1327" s="82" t="s">
        <v>2109</v>
      </c>
      <c r="B1327" s="58" t="s">
        <v>608</v>
      </c>
      <c r="C1327" s="61" t="s">
        <v>609</v>
      </c>
      <c r="D1327" s="115"/>
      <c r="E1327" s="87"/>
      <c r="F1327" s="87"/>
      <c r="G1327" s="97"/>
      <c r="H1327" s="87"/>
      <c r="I1327" s="104">
        <f>SUBTOTAL(9,K1328:K1329)</f>
        <v>0</v>
      </c>
      <c r="J1327" s="108"/>
      <c r="K1327"/>
      <c r="L1327"/>
      <c r="M1327"/>
      <c r="N1327"/>
      <c r="O1327"/>
      <c r="P1327"/>
      <c r="Q1327"/>
      <c r="R1327"/>
      <c r="S1327"/>
      <c r="T1327"/>
    </row>
    <row r="1328" spans="1:20" ht="28.8" outlineLevel="4" x14ac:dyDescent="0.3">
      <c r="A1328" s="82" t="s">
        <v>2110</v>
      </c>
      <c r="B1328" s="10" t="s">
        <v>611</v>
      </c>
      <c r="C1328" s="60" t="s">
        <v>612</v>
      </c>
      <c r="D1328" s="44" t="s">
        <v>121</v>
      </c>
      <c r="E1328" s="84">
        <v>0</v>
      </c>
      <c r="F1328" s="84"/>
      <c r="G1328" s="94">
        <f t="shared" ref="G1328:G1333" si="207">cell_CoefGeneral</f>
        <v>1</v>
      </c>
      <c r="H1328" s="93">
        <f t="shared" ref="H1328:H1333" si="208">H191</f>
        <v>290</v>
      </c>
      <c r="I1328" s="84">
        <f t="shared" ref="I1328:I1333" si="209">IFERROR(ROUND(E1328*H1328,2),"-")</f>
        <v>0</v>
      </c>
      <c r="J1328" s="105">
        <f t="shared" ref="J1328:J1333" si="210">IFERROR(I1328/cell_Total_HT,"-")</f>
        <v>0</v>
      </c>
      <c r="K1328">
        <f t="shared" ref="K1328:K1333" si="211">I1328</f>
        <v>0</v>
      </c>
      <c r="L1328"/>
      <c r="M1328"/>
      <c r="N1328"/>
      <c r="O1328"/>
      <c r="P1328"/>
      <c r="Q1328"/>
      <c r="R1328"/>
      <c r="S1328"/>
      <c r="T1328"/>
    </row>
    <row r="1329" spans="1:20" ht="28.8" outlineLevel="4" x14ac:dyDescent="0.3">
      <c r="A1329" s="82" t="s">
        <v>2111</v>
      </c>
      <c r="B1329" s="10" t="s">
        <v>614</v>
      </c>
      <c r="C1329" s="60" t="s">
        <v>615</v>
      </c>
      <c r="D1329" s="44" t="s">
        <v>121</v>
      </c>
      <c r="E1329" s="84">
        <v>0</v>
      </c>
      <c r="F1329" s="84"/>
      <c r="G1329" s="94">
        <f t="shared" si="207"/>
        <v>1</v>
      </c>
      <c r="H1329" s="93">
        <f t="shared" si="208"/>
        <v>970</v>
      </c>
      <c r="I1329" s="84">
        <f t="shared" si="209"/>
        <v>0</v>
      </c>
      <c r="J1329" s="105">
        <f t="shared" si="210"/>
        <v>0</v>
      </c>
      <c r="K1329">
        <f t="shared" si="211"/>
        <v>0</v>
      </c>
      <c r="L1329"/>
      <c r="M1329"/>
      <c r="N1329"/>
      <c r="O1329"/>
      <c r="P1329"/>
      <c r="Q1329"/>
      <c r="R1329"/>
      <c r="S1329"/>
      <c r="T1329"/>
    </row>
    <row r="1330" spans="1:20" outlineLevel="3" x14ac:dyDescent="0.3">
      <c r="A1330" s="82" t="s">
        <v>2112</v>
      </c>
      <c r="B1330" s="10" t="s">
        <v>617</v>
      </c>
      <c r="C1330" s="60" t="s">
        <v>618</v>
      </c>
      <c r="D1330" s="44" t="s">
        <v>121</v>
      </c>
      <c r="E1330" s="84">
        <v>0</v>
      </c>
      <c r="F1330" s="84"/>
      <c r="G1330" s="94">
        <f t="shared" si="207"/>
        <v>1</v>
      </c>
      <c r="H1330" s="93">
        <f t="shared" si="208"/>
        <v>500</v>
      </c>
      <c r="I1330" s="84">
        <f t="shared" si="209"/>
        <v>0</v>
      </c>
      <c r="J1330" s="105">
        <f t="shared" si="210"/>
        <v>0</v>
      </c>
      <c r="K1330">
        <f t="shared" si="211"/>
        <v>0</v>
      </c>
      <c r="L1330"/>
      <c r="M1330"/>
      <c r="N1330"/>
      <c r="O1330"/>
      <c r="P1330"/>
      <c r="Q1330"/>
      <c r="R1330"/>
      <c r="S1330"/>
      <c r="T1330"/>
    </row>
    <row r="1331" spans="1:20" outlineLevel="3" x14ac:dyDescent="0.3">
      <c r="A1331" s="82" t="s">
        <v>2113</v>
      </c>
      <c r="B1331" s="10" t="s">
        <v>620</v>
      </c>
      <c r="C1331" s="60" t="s">
        <v>621</v>
      </c>
      <c r="D1331" s="44" t="s">
        <v>121</v>
      </c>
      <c r="E1331" s="84">
        <v>0</v>
      </c>
      <c r="F1331" s="84"/>
      <c r="G1331" s="94">
        <f t="shared" si="207"/>
        <v>1</v>
      </c>
      <c r="H1331" s="93">
        <f t="shared" si="208"/>
        <v>500</v>
      </c>
      <c r="I1331" s="84">
        <f t="shared" si="209"/>
        <v>0</v>
      </c>
      <c r="J1331" s="105">
        <f t="shared" si="210"/>
        <v>0</v>
      </c>
      <c r="K1331">
        <f t="shared" si="211"/>
        <v>0</v>
      </c>
      <c r="L1331"/>
      <c r="M1331"/>
      <c r="N1331"/>
      <c r="O1331"/>
      <c r="P1331"/>
      <c r="Q1331"/>
      <c r="R1331"/>
      <c r="S1331"/>
      <c r="T1331"/>
    </row>
    <row r="1332" spans="1:20" outlineLevel="3" x14ac:dyDescent="0.3">
      <c r="A1332" s="82" t="s">
        <v>2114</v>
      </c>
      <c r="B1332" s="10" t="s">
        <v>623</v>
      </c>
      <c r="C1332" s="60" t="s">
        <v>624</v>
      </c>
      <c r="D1332" s="44" t="s">
        <v>80</v>
      </c>
      <c r="E1332" s="84">
        <v>0</v>
      </c>
      <c r="F1332" s="84"/>
      <c r="G1332" s="94">
        <f t="shared" si="207"/>
        <v>1</v>
      </c>
      <c r="H1332" s="93">
        <f t="shared" si="208"/>
        <v>3.5</v>
      </c>
      <c r="I1332" s="84">
        <f t="shared" si="209"/>
        <v>0</v>
      </c>
      <c r="J1332" s="105">
        <f t="shared" si="210"/>
        <v>0</v>
      </c>
      <c r="K1332">
        <f t="shared" si="211"/>
        <v>0</v>
      </c>
      <c r="L1332"/>
      <c r="M1332"/>
      <c r="N1332"/>
      <c r="O1332"/>
      <c r="P1332"/>
      <c r="Q1332"/>
      <c r="R1332"/>
      <c r="S1332"/>
      <c r="T1332"/>
    </row>
    <row r="1333" spans="1:20" ht="15" outlineLevel="3" thickBot="1" x14ac:dyDescent="0.35">
      <c r="A1333" s="82" t="s">
        <v>2115</v>
      </c>
      <c r="B1333" s="10" t="s">
        <v>626</v>
      </c>
      <c r="C1333" s="60" t="s">
        <v>627</v>
      </c>
      <c r="D1333" s="44" t="s">
        <v>93</v>
      </c>
      <c r="E1333" s="84">
        <v>0</v>
      </c>
      <c r="F1333" s="84"/>
      <c r="G1333" s="94">
        <f t="shared" si="207"/>
        <v>1</v>
      </c>
      <c r="H1333" s="93">
        <f t="shared" si="208"/>
        <v>460</v>
      </c>
      <c r="I1333" s="84">
        <f t="shared" si="209"/>
        <v>0</v>
      </c>
      <c r="J1333" s="105">
        <f t="shared" si="210"/>
        <v>0</v>
      </c>
      <c r="K1333">
        <f t="shared" si="211"/>
        <v>0</v>
      </c>
      <c r="L1333"/>
      <c r="M1333"/>
      <c r="N1333"/>
      <c r="O1333"/>
      <c r="P1333"/>
      <c r="Q1333"/>
      <c r="R1333"/>
      <c r="S1333"/>
      <c r="T1333"/>
    </row>
    <row r="1334" spans="1:20" ht="15" outlineLevel="2" thickTop="1" x14ac:dyDescent="0.3">
      <c r="A1334" s="82" t="s">
        <v>2116</v>
      </c>
      <c r="B1334" s="62" t="s">
        <v>60</v>
      </c>
      <c r="C1334" s="63" t="s">
        <v>629</v>
      </c>
      <c r="D1334" s="116"/>
      <c r="E1334" s="88"/>
      <c r="F1334" s="88"/>
      <c r="G1334" s="98"/>
      <c r="H1334" s="88"/>
      <c r="I1334" s="88">
        <f>SUBTOTAL(9,I1322:I1333)</f>
        <v>0</v>
      </c>
      <c r="J1334" s="109"/>
      <c r="K1334"/>
      <c r="L1334"/>
      <c r="M1334"/>
      <c r="N1334"/>
      <c r="O1334"/>
      <c r="P1334"/>
      <c r="Q1334"/>
      <c r="R1334"/>
      <c r="S1334"/>
      <c r="T1334"/>
    </row>
    <row r="1335" spans="1:20" outlineLevel="2" x14ac:dyDescent="0.3">
      <c r="A1335" s="82" t="s">
        <v>2117</v>
      </c>
      <c r="B1335" s="64" t="s">
        <v>631</v>
      </c>
      <c r="C1335" s="65" t="s">
        <v>632</v>
      </c>
      <c r="D1335" s="117"/>
      <c r="E1335" s="87"/>
      <c r="F1335" s="87"/>
      <c r="G1335" s="97"/>
      <c r="H1335" s="87"/>
      <c r="I1335" s="104">
        <f>SUBTOTAL(9,K1336:K1363)</f>
        <v>3796.6</v>
      </c>
      <c r="J1335" s="108"/>
      <c r="K1335"/>
      <c r="L1335"/>
      <c r="M1335"/>
      <c r="N1335"/>
      <c r="O1335"/>
      <c r="P1335"/>
      <c r="Q1335"/>
      <c r="R1335"/>
      <c r="S1335"/>
      <c r="T1335"/>
    </row>
    <row r="1336" spans="1:20" outlineLevel="3" x14ac:dyDescent="0.3">
      <c r="A1336" s="82" t="s">
        <v>2118</v>
      </c>
      <c r="B1336" s="10" t="s">
        <v>634</v>
      </c>
      <c r="C1336" s="60" t="s">
        <v>635</v>
      </c>
      <c r="D1336" s="44" t="s">
        <v>80</v>
      </c>
      <c r="E1336" s="84">
        <v>0</v>
      </c>
      <c r="F1336" s="84"/>
      <c r="G1336" s="94">
        <f>cell_CoefGeneral</f>
        <v>1</v>
      </c>
      <c r="H1336" s="93">
        <f>H199</f>
        <v>58</v>
      </c>
      <c r="I1336" s="84">
        <f>IFERROR(ROUND(E1336*H1336,2),"-")</f>
        <v>0</v>
      </c>
      <c r="J1336" s="105">
        <f>IFERROR(I1336/cell_Total_HT,"-")</f>
        <v>0</v>
      </c>
      <c r="K1336">
        <f>I1336</f>
        <v>0</v>
      </c>
      <c r="L1336"/>
      <c r="M1336"/>
      <c r="N1336"/>
      <c r="O1336"/>
      <c r="P1336"/>
      <c r="Q1336"/>
      <c r="R1336"/>
      <c r="S1336"/>
      <c r="T1336"/>
    </row>
    <row r="1337" spans="1:20" outlineLevel="3" x14ac:dyDescent="0.3">
      <c r="A1337" s="82" t="s">
        <v>2119</v>
      </c>
      <c r="B1337" s="58" t="s">
        <v>637</v>
      </c>
      <c r="C1337" s="61" t="s">
        <v>638</v>
      </c>
      <c r="D1337" s="115"/>
      <c r="E1337" s="87"/>
      <c r="F1337" s="87"/>
      <c r="G1337" s="97"/>
      <c r="H1337" s="87"/>
      <c r="I1337" s="104">
        <f>SUBTOTAL(9,K1338:K1340)</f>
        <v>992.6</v>
      </c>
      <c r="J1337" s="108"/>
      <c r="K1337"/>
      <c r="L1337"/>
      <c r="M1337"/>
      <c r="N1337"/>
      <c r="O1337"/>
      <c r="P1337"/>
      <c r="Q1337"/>
      <c r="R1337"/>
      <c r="S1337"/>
      <c r="T1337"/>
    </row>
    <row r="1338" spans="1:20" outlineLevel="4" x14ac:dyDescent="0.3">
      <c r="A1338" s="82" t="s">
        <v>2120</v>
      </c>
      <c r="B1338" s="10" t="s">
        <v>640</v>
      </c>
      <c r="C1338" s="60" t="s">
        <v>641</v>
      </c>
      <c r="D1338" s="44" t="s">
        <v>154</v>
      </c>
      <c r="E1338" s="84">
        <v>256</v>
      </c>
      <c r="F1338" s="84"/>
      <c r="G1338" s="94">
        <f>cell_CoefGeneral</f>
        <v>1</v>
      </c>
      <c r="H1338" s="93">
        <f>H201</f>
        <v>2.1</v>
      </c>
      <c r="I1338" s="84">
        <f>IFERROR(ROUND(E1338*H1338,2),"-")</f>
        <v>537.6</v>
      </c>
      <c r="J1338" s="105">
        <f>IFERROR(I1338/cell_Total_HT,"-")</f>
        <v>1.5871181273777442E-4</v>
      </c>
      <c r="K1338">
        <f>I1338</f>
        <v>537.6</v>
      </c>
      <c r="L1338"/>
      <c r="M1338"/>
      <c r="N1338"/>
      <c r="O1338"/>
      <c r="P1338"/>
      <c r="Q1338"/>
      <c r="R1338"/>
      <c r="S1338"/>
      <c r="T1338"/>
    </row>
    <row r="1339" spans="1:20" ht="28.8" outlineLevel="4" x14ac:dyDescent="0.3">
      <c r="A1339" s="82" t="s">
        <v>2121</v>
      </c>
      <c r="B1339" s="10" t="s">
        <v>643</v>
      </c>
      <c r="C1339" s="60" t="s">
        <v>644</v>
      </c>
      <c r="D1339" s="44" t="s">
        <v>141</v>
      </c>
      <c r="E1339" s="84">
        <v>35</v>
      </c>
      <c r="F1339" s="84"/>
      <c r="G1339" s="94">
        <f>cell_CoefGeneral</f>
        <v>1</v>
      </c>
      <c r="H1339" s="93">
        <f>H202</f>
        <v>13</v>
      </c>
      <c r="I1339" s="84">
        <f>IFERROR(ROUND(E1339*H1339,2),"-")</f>
        <v>455</v>
      </c>
      <c r="J1339" s="105">
        <f>IFERROR(I1339/cell_Total_HT,"-")</f>
        <v>1.3432640400983512E-4</v>
      </c>
      <c r="K1339">
        <f>I1339</f>
        <v>455</v>
      </c>
      <c r="L1339"/>
      <c r="M1339"/>
      <c r="N1339"/>
      <c r="O1339"/>
      <c r="P1339"/>
      <c r="Q1339"/>
      <c r="R1339"/>
      <c r="S1339"/>
      <c r="T1339"/>
    </row>
    <row r="1340" spans="1:20" ht="28.8" outlineLevel="4" x14ac:dyDescent="0.3">
      <c r="A1340" s="82" t="s">
        <v>2122</v>
      </c>
      <c r="B1340" s="10" t="s">
        <v>646</v>
      </c>
      <c r="C1340" s="60" t="s">
        <v>647</v>
      </c>
      <c r="D1340" s="44" t="s">
        <v>141</v>
      </c>
      <c r="E1340" s="84">
        <v>0</v>
      </c>
      <c r="F1340" s="84"/>
      <c r="G1340" s="94">
        <f>cell_CoefGeneral</f>
        <v>1</v>
      </c>
      <c r="H1340" s="93">
        <f>H203</f>
        <v>41</v>
      </c>
      <c r="I1340" s="84">
        <f>IFERROR(ROUND(E1340*H1340,2),"-")</f>
        <v>0</v>
      </c>
      <c r="J1340" s="105">
        <f>IFERROR(I1340/cell_Total_HT,"-")</f>
        <v>0</v>
      </c>
      <c r="K1340">
        <f>I1340</f>
        <v>0</v>
      </c>
      <c r="L1340"/>
      <c r="M1340"/>
      <c r="N1340"/>
      <c r="O1340"/>
      <c r="P1340"/>
      <c r="Q1340"/>
      <c r="R1340"/>
      <c r="S1340"/>
      <c r="T1340"/>
    </row>
    <row r="1341" spans="1:20" outlineLevel="3" x14ac:dyDescent="0.3">
      <c r="A1341" s="82" t="s">
        <v>2123</v>
      </c>
      <c r="B1341" s="58" t="s">
        <v>649</v>
      </c>
      <c r="C1341" s="61" t="s">
        <v>597</v>
      </c>
      <c r="D1341" s="115"/>
      <c r="E1341" s="87"/>
      <c r="F1341" s="87"/>
      <c r="G1341" s="97"/>
      <c r="H1341" s="87"/>
      <c r="I1341" s="104">
        <f>SUBTOTAL(9,K1342:K1344)</f>
        <v>180</v>
      </c>
      <c r="J1341" s="108"/>
      <c r="K1341"/>
      <c r="L1341"/>
      <c r="M1341"/>
      <c r="N1341"/>
      <c r="O1341"/>
      <c r="P1341"/>
      <c r="Q1341"/>
      <c r="R1341"/>
      <c r="S1341"/>
      <c r="T1341"/>
    </row>
    <row r="1342" spans="1:20" outlineLevel="4" x14ac:dyDescent="0.3">
      <c r="A1342" s="82" t="s">
        <v>2124</v>
      </c>
      <c r="B1342" s="10" t="s">
        <v>651</v>
      </c>
      <c r="C1342" s="60" t="s">
        <v>600</v>
      </c>
      <c r="D1342" s="44" t="s">
        <v>121</v>
      </c>
      <c r="E1342" s="84">
        <v>0</v>
      </c>
      <c r="F1342" s="84"/>
      <c r="G1342" s="94">
        <f>cell_CoefGeneral</f>
        <v>1</v>
      </c>
      <c r="H1342" s="93">
        <f>H205</f>
        <v>100</v>
      </c>
      <c r="I1342" s="84">
        <f>IFERROR(ROUND(E1342*H1342,2),"-")</f>
        <v>0</v>
      </c>
      <c r="J1342" s="105">
        <f>IFERROR(I1342/cell_Total_HT,"-")</f>
        <v>0</v>
      </c>
      <c r="K1342">
        <f>I1342</f>
        <v>0</v>
      </c>
      <c r="L1342"/>
      <c r="M1342"/>
      <c r="N1342"/>
      <c r="O1342"/>
      <c r="P1342"/>
      <c r="Q1342"/>
      <c r="R1342"/>
      <c r="S1342"/>
      <c r="T1342"/>
    </row>
    <row r="1343" spans="1:20" outlineLevel="4" x14ac:dyDescent="0.3">
      <c r="A1343" s="82" t="s">
        <v>2125</v>
      </c>
      <c r="B1343" s="10" t="s">
        <v>653</v>
      </c>
      <c r="C1343" s="60" t="s">
        <v>654</v>
      </c>
      <c r="D1343" s="44" t="s">
        <v>121</v>
      </c>
      <c r="E1343" s="84">
        <v>0</v>
      </c>
      <c r="F1343" s="84"/>
      <c r="G1343" s="94">
        <f>cell_CoefGeneral</f>
        <v>1</v>
      </c>
      <c r="H1343" s="93">
        <f>H206</f>
        <v>60</v>
      </c>
      <c r="I1343" s="84">
        <f>IFERROR(ROUND(E1343*H1343,2),"-")</f>
        <v>0</v>
      </c>
      <c r="J1343" s="105">
        <f>IFERROR(I1343/cell_Total_HT,"-")</f>
        <v>0</v>
      </c>
      <c r="K1343">
        <f>I1343</f>
        <v>0</v>
      </c>
      <c r="L1343"/>
      <c r="M1343"/>
      <c r="N1343"/>
      <c r="O1343"/>
      <c r="P1343"/>
      <c r="Q1343"/>
      <c r="R1343"/>
      <c r="S1343"/>
      <c r="T1343"/>
    </row>
    <row r="1344" spans="1:20" outlineLevel="4" x14ac:dyDescent="0.3">
      <c r="A1344" s="82" t="s">
        <v>2126</v>
      </c>
      <c r="B1344" s="10" t="s">
        <v>656</v>
      </c>
      <c r="C1344" s="60" t="s">
        <v>657</v>
      </c>
      <c r="D1344" s="44" t="s">
        <v>121</v>
      </c>
      <c r="E1344" s="84">
        <v>4</v>
      </c>
      <c r="F1344" s="84"/>
      <c r="G1344" s="94">
        <f>cell_CoefGeneral</f>
        <v>1</v>
      </c>
      <c r="H1344" s="93">
        <f>H207</f>
        <v>45</v>
      </c>
      <c r="I1344" s="84">
        <f>IFERROR(ROUND(E1344*H1344,2),"-")</f>
        <v>180</v>
      </c>
      <c r="J1344" s="105">
        <f>IFERROR(I1344/cell_Total_HT,"-")</f>
        <v>5.3140115872022687E-5</v>
      </c>
      <c r="K1344">
        <f>I1344</f>
        <v>180</v>
      </c>
      <c r="L1344"/>
      <c r="M1344"/>
      <c r="N1344"/>
      <c r="O1344"/>
      <c r="P1344"/>
      <c r="Q1344"/>
      <c r="R1344"/>
      <c r="S1344"/>
      <c r="T1344"/>
    </row>
    <row r="1345" spans="1:20" outlineLevel="3" x14ac:dyDescent="0.3">
      <c r="A1345" s="82" t="s">
        <v>2127</v>
      </c>
      <c r="B1345" s="58" t="s">
        <v>659</v>
      </c>
      <c r="C1345" s="61" t="s">
        <v>660</v>
      </c>
      <c r="D1345" s="115"/>
      <c r="E1345" s="87"/>
      <c r="F1345" s="87"/>
      <c r="G1345" s="97"/>
      <c r="H1345" s="87"/>
      <c r="I1345" s="104">
        <f>SUBTOTAL(9,K1346:K1357)</f>
        <v>2610</v>
      </c>
      <c r="J1345" s="108"/>
      <c r="K1345"/>
      <c r="L1345"/>
      <c r="M1345"/>
      <c r="N1345"/>
      <c r="O1345"/>
      <c r="P1345"/>
      <c r="Q1345"/>
      <c r="R1345"/>
      <c r="S1345"/>
      <c r="T1345"/>
    </row>
    <row r="1346" spans="1:20" ht="28.8" outlineLevel="4" x14ac:dyDescent="0.3">
      <c r="A1346" s="82" t="s">
        <v>2128</v>
      </c>
      <c r="B1346" s="10" t="s">
        <v>662</v>
      </c>
      <c r="C1346" s="60" t="s">
        <v>663</v>
      </c>
      <c r="D1346" s="44" t="s">
        <v>121</v>
      </c>
      <c r="E1346" s="84">
        <v>0</v>
      </c>
      <c r="F1346" s="84"/>
      <c r="G1346" s="94">
        <f t="shared" ref="G1346:G1357" si="212">cell_CoefGeneral</f>
        <v>1</v>
      </c>
      <c r="H1346" s="93">
        <f t="shared" ref="H1346:H1357" si="213">H209</f>
        <v>780</v>
      </c>
      <c r="I1346" s="84">
        <f t="shared" ref="I1346:I1357" si="214">IFERROR(ROUND(E1346*H1346,2),"-")</f>
        <v>0</v>
      </c>
      <c r="J1346" s="105">
        <f t="shared" ref="J1346:J1357" si="215">IFERROR(I1346/cell_Total_HT,"-")</f>
        <v>0</v>
      </c>
      <c r="K1346">
        <f t="shared" ref="K1346:K1357" si="216">I1346</f>
        <v>0</v>
      </c>
      <c r="L1346"/>
      <c r="M1346"/>
      <c r="N1346"/>
      <c r="O1346"/>
      <c r="P1346"/>
      <c r="Q1346"/>
      <c r="R1346"/>
      <c r="S1346"/>
      <c r="T1346"/>
    </row>
    <row r="1347" spans="1:20" ht="28.8" outlineLevel="4" x14ac:dyDescent="0.3">
      <c r="A1347" s="82" t="s">
        <v>2129</v>
      </c>
      <c r="B1347" s="10" t="s">
        <v>665</v>
      </c>
      <c r="C1347" s="60" t="s">
        <v>666</v>
      </c>
      <c r="D1347" s="44" t="s">
        <v>121</v>
      </c>
      <c r="E1347" s="84">
        <v>0</v>
      </c>
      <c r="F1347" s="84"/>
      <c r="G1347" s="94">
        <f t="shared" si="212"/>
        <v>1</v>
      </c>
      <c r="H1347" s="93">
        <f t="shared" si="213"/>
        <v>740</v>
      </c>
      <c r="I1347" s="84">
        <f t="shared" si="214"/>
        <v>0</v>
      </c>
      <c r="J1347" s="105">
        <f t="shared" si="215"/>
        <v>0</v>
      </c>
      <c r="K1347">
        <f t="shared" si="216"/>
        <v>0</v>
      </c>
      <c r="L1347"/>
      <c r="M1347"/>
      <c r="N1347"/>
      <c r="O1347"/>
      <c r="P1347"/>
      <c r="Q1347"/>
      <c r="R1347"/>
      <c r="S1347"/>
      <c r="T1347"/>
    </row>
    <row r="1348" spans="1:20" ht="28.8" outlineLevel="4" x14ac:dyDescent="0.3">
      <c r="A1348" s="82" t="s">
        <v>2130</v>
      </c>
      <c r="B1348" s="10" t="s">
        <v>668</v>
      </c>
      <c r="C1348" s="60" t="s">
        <v>669</v>
      </c>
      <c r="D1348" s="44" t="s">
        <v>121</v>
      </c>
      <c r="E1348" s="84">
        <v>0</v>
      </c>
      <c r="F1348" s="84"/>
      <c r="G1348" s="94">
        <f t="shared" si="212"/>
        <v>1</v>
      </c>
      <c r="H1348" s="93">
        <f t="shared" si="213"/>
        <v>900</v>
      </c>
      <c r="I1348" s="84">
        <f t="shared" si="214"/>
        <v>0</v>
      </c>
      <c r="J1348" s="105">
        <f t="shared" si="215"/>
        <v>0</v>
      </c>
      <c r="K1348">
        <f t="shared" si="216"/>
        <v>0</v>
      </c>
      <c r="L1348"/>
      <c r="M1348"/>
      <c r="N1348"/>
      <c r="O1348"/>
      <c r="P1348"/>
      <c r="Q1348"/>
      <c r="R1348"/>
      <c r="S1348"/>
      <c r="T1348"/>
    </row>
    <row r="1349" spans="1:20" ht="28.8" outlineLevel="4" x14ac:dyDescent="0.3">
      <c r="A1349" s="82" t="s">
        <v>2131</v>
      </c>
      <c r="B1349" s="10" t="s">
        <v>671</v>
      </c>
      <c r="C1349" s="60" t="s">
        <v>672</v>
      </c>
      <c r="D1349" s="44" t="s">
        <v>121</v>
      </c>
      <c r="E1349" s="84">
        <v>0</v>
      </c>
      <c r="F1349" s="84"/>
      <c r="G1349" s="94">
        <f t="shared" si="212"/>
        <v>1</v>
      </c>
      <c r="H1349" s="93">
        <f t="shared" si="213"/>
        <v>370</v>
      </c>
      <c r="I1349" s="84">
        <f t="shared" si="214"/>
        <v>0</v>
      </c>
      <c r="J1349" s="105">
        <f t="shared" si="215"/>
        <v>0</v>
      </c>
      <c r="K1349">
        <f t="shared" si="216"/>
        <v>0</v>
      </c>
      <c r="L1349"/>
      <c r="M1349"/>
      <c r="N1349"/>
      <c r="O1349"/>
      <c r="P1349"/>
      <c r="Q1349"/>
      <c r="R1349"/>
      <c r="S1349"/>
      <c r="T1349"/>
    </row>
    <row r="1350" spans="1:20" ht="28.8" outlineLevel="4" x14ac:dyDescent="0.3">
      <c r="A1350" s="82" t="s">
        <v>2132</v>
      </c>
      <c r="B1350" s="10" t="s">
        <v>674</v>
      </c>
      <c r="C1350" s="60" t="s">
        <v>675</v>
      </c>
      <c r="D1350" s="44" t="s">
        <v>121</v>
      </c>
      <c r="E1350" s="84">
        <v>3</v>
      </c>
      <c r="F1350" s="84"/>
      <c r="G1350" s="94">
        <f t="shared" si="212"/>
        <v>1</v>
      </c>
      <c r="H1350" s="93">
        <f t="shared" si="213"/>
        <v>870</v>
      </c>
      <c r="I1350" s="84">
        <f t="shared" si="214"/>
        <v>2610</v>
      </c>
      <c r="J1350" s="105">
        <f t="shared" si="215"/>
        <v>7.7053168014432896E-4</v>
      </c>
      <c r="K1350">
        <f t="shared" si="216"/>
        <v>2610</v>
      </c>
      <c r="L1350"/>
      <c r="M1350"/>
      <c r="N1350"/>
      <c r="O1350"/>
      <c r="P1350"/>
      <c r="Q1350"/>
      <c r="R1350"/>
      <c r="S1350"/>
      <c r="T1350"/>
    </row>
    <row r="1351" spans="1:20" ht="43.2" outlineLevel="4" x14ac:dyDescent="0.3">
      <c r="A1351" s="82" t="s">
        <v>2133</v>
      </c>
      <c r="B1351" s="10" t="s">
        <v>677</v>
      </c>
      <c r="C1351" s="60" t="s">
        <v>678</v>
      </c>
      <c r="D1351" s="44" t="s">
        <v>121</v>
      </c>
      <c r="E1351" s="84">
        <v>0</v>
      </c>
      <c r="F1351" s="84"/>
      <c r="G1351" s="94">
        <f t="shared" si="212"/>
        <v>1</v>
      </c>
      <c r="H1351" s="93">
        <f t="shared" si="213"/>
        <v>980</v>
      </c>
      <c r="I1351" s="84">
        <f t="shared" si="214"/>
        <v>0</v>
      </c>
      <c r="J1351" s="105">
        <f t="shared" si="215"/>
        <v>0</v>
      </c>
      <c r="K1351">
        <f t="shared" si="216"/>
        <v>0</v>
      </c>
      <c r="L1351"/>
      <c r="M1351"/>
      <c r="N1351"/>
      <c r="O1351"/>
      <c r="P1351"/>
      <c r="Q1351"/>
      <c r="R1351"/>
      <c r="S1351"/>
      <c r="T1351"/>
    </row>
    <row r="1352" spans="1:20" ht="28.8" outlineLevel="4" x14ac:dyDescent="0.3">
      <c r="A1352" s="82" t="s">
        <v>2134</v>
      </c>
      <c r="B1352" s="10" t="s">
        <v>680</v>
      </c>
      <c r="C1352" s="60" t="s">
        <v>681</v>
      </c>
      <c r="D1352" s="44" t="s">
        <v>121</v>
      </c>
      <c r="E1352" s="84">
        <v>0</v>
      </c>
      <c r="F1352" s="84"/>
      <c r="G1352" s="94">
        <f t="shared" si="212"/>
        <v>1</v>
      </c>
      <c r="H1352" s="93">
        <f t="shared" si="213"/>
        <v>840</v>
      </c>
      <c r="I1352" s="84">
        <f t="shared" si="214"/>
        <v>0</v>
      </c>
      <c r="J1352" s="105">
        <f t="shared" si="215"/>
        <v>0</v>
      </c>
      <c r="K1352">
        <f t="shared" si="216"/>
        <v>0</v>
      </c>
      <c r="L1352"/>
      <c r="M1352"/>
      <c r="N1352"/>
      <c r="O1352"/>
      <c r="P1352"/>
      <c r="Q1352"/>
      <c r="R1352"/>
      <c r="S1352"/>
      <c r="T1352"/>
    </row>
    <row r="1353" spans="1:20" ht="43.2" outlineLevel="4" x14ac:dyDescent="0.3">
      <c r="A1353" s="82" t="s">
        <v>2135</v>
      </c>
      <c r="B1353" s="10" t="s">
        <v>683</v>
      </c>
      <c r="C1353" s="60" t="s">
        <v>684</v>
      </c>
      <c r="D1353" s="44" t="s">
        <v>121</v>
      </c>
      <c r="E1353" s="84">
        <v>0</v>
      </c>
      <c r="F1353" s="84"/>
      <c r="G1353" s="94">
        <f t="shared" si="212"/>
        <v>1</v>
      </c>
      <c r="H1353" s="93">
        <f t="shared" si="213"/>
        <v>800</v>
      </c>
      <c r="I1353" s="84">
        <f t="shared" si="214"/>
        <v>0</v>
      </c>
      <c r="J1353" s="105">
        <f t="shared" si="215"/>
        <v>0</v>
      </c>
      <c r="K1353">
        <f t="shared" si="216"/>
        <v>0</v>
      </c>
      <c r="L1353"/>
      <c r="M1353"/>
      <c r="N1353"/>
      <c r="O1353"/>
      <c r="P1353"/>
      <c r="Q1353"/>
      <c r="R1353"/>
      <c r="S1353"/>
      <c r="T1353"/>
    </row>
    <row r="1354" spans="1:20" ht="43.2" outlineLevel="4" x14ac:dyDescent="0.3">
      <c r="A1354" s="82" t="s">
        <v>2136</v>
      </c>
      <c r="B1354" s="10" t="s">
        <v>686</v>
      </c>
      <c r="C1354" s="60" t="s">
        <v>687</v>
      </c>
      <c r="D1354" s="44" t="s">
        <v>121</v>
      </c>
      <c r="E1354" s="84">
        <v>0</v>
      </c>
      <c r="F1354" s="84"/>
      <c r="G1354" s="94">
        <f t="shared" si="212"/>
        <v>1</v>
      </c>
      <c r="H1354" s="93">
        <f t="shared" si="213"/>
        <v>920</v>
      </c>
      <c r="I1354" s="84">
        <f t="shared" si="214"/>
        <v>0</v>
      </c>
      <c r="J1354" s="105">
        <f t="shared" si="215"/>
        <v>0</v>
      </c>
      <c r="K1354">
        <f t="shared" si="216"/>
        <v>0</v>
      </c>
      <c r="L1354"/>
      <c r="M1354"/>
      <c r="N1354"/>
      <c r="O1354"/>
      <c r="P1354"/>
      <c r="Q1354"/>
      <c r="R1354"/>
      <c r="S1354"/>
      <c r="T1354"/>
    </row>
    <row r="1355" spans="1:20" ht="43.2" outlineLevel="4" x14ac:dyDescent="0.3">
      <c r="A1355" s="82" t="s">
        <v>2137</v>
      </c>
      <c r="B1355" s="10" t="s">
        <v>689</v>
      </c>
      <c r="C1355" s="60" t="s">
        <v>690</v>
      </c>
      <c r="D1355" s="44" t="s">
        <v>121</v>
      </c>
      <c r="E1355" s="84">
        <v>0</v>
      </c>
      <c r="F1355" s="84"/>
      <c r="G1355" s="94">
        <f t="shared" si="212"/>
        <v>1</v>
      </c>
      <c r="H1355" s="93">
        <f t="shared" si="213"/>
        <v>500</v>
      </c>
      <c r="I1355" s="84">
        <f t="shared" si="214"/>
        <v>0</v>
      </c>
      <c r="J1355" s="105">
        <f t="shared" si="215"/>
        <v>0</v>
      </c>
      <c r="K1355">
        <f t="shared" si="216"/>
        <v>0</v>
      </c>
      <c r="L1355"/>
      <c r="M1355"/>
      <c r="N1355"/>
      <c r="O1355"/>
      <c r="P1355"/>
      <c r="Q1355"/>
      <c r="R1355"/>
      <c r="S1355"/>
      <c r="T1355"/>
    </row>
    <row r="1356" spans="1:20" outlineLevel="4" x14ac:dyDescent="0.3">
      <c r="A1356" s="82" t="s">
        <v>2138</v>
      </c>
      <c r="B1356" s="10" t="s">
        <v>692</v>
      </c>
      <c r="C1356" s="60" t="s">
        <v>693</v>
      </c>
      <c r="D1356" s="44" t="s">
        <v>121</v>
      </c>
      <c r="E1356" s="84">
        <v>0</v>
      </c>
      <c r="F1356" s="84"/>
      <c r="G1356" s="94">
        <f t="shared" si="212"/>
        <v>1</v>
      </c>
      <c r="H1356" s="93">
        <f t="shared" si="213"/>
        <v>850</v>
      </c>
      <c r="I1356" s="84">
        <f t="shared" si="214"/>
        <v>0</v>
      </c>
      <c r="J1356" s="105">
        <f t="shared" si="215"/>
        <v>0</v>
      </c>
      <c r="K1356">
        <f t="shared" si="216"/>
        <v>0</v>
      </c>
      <c r="L1356"/>
      <c r="M1356"/>
      <c r="N1356"/>
      <c r="O1356"/>
      <c r="P1356"/>
      <c r="Q1356"/>
      <c r="R1356"/>
      <c r="S1356"/>
      <c r="T1356"/>
    </row>
    <row r="1357" spans="1:20" ht="28.8" outlineLevel="4" x14ac:dyDescent="0.3">
      <c r="A1357" s="82" t="s">
        <v>2139</v>
      </c>
      <c r="B1357" s="10" t="s">
        <v>695</v>
      </c>
      <c r="C1357" s="60" t="s">
        <v>696</v>
      </c>
      <c r="D1357" s="44" t="s">
        <v>121</v>
      </c>
      <c r="E1357" s="84">
        <v>0</v>
      </c>
      <c r="F1357" s="84"/>
      <c r="G1357" s="94">
        <f t="shared" si="212"/>
        <v>1</v>
      </c>
      <c r="H1357" s="93">
        <f t="shared" si="213"/>
        <v>500</v>
      </c>
      <c r="I1357" s="84">
        <f t="shared" si="214"/>
        <v>0</v>
      </c>
      <c r="J1357" s="105">
        <f t="shared" si="215"/>
        <v>0</v>
      </c>
      <c r="K1357">
        <f t="shared" si="216"/>
        <v>0</v>
      </c>
      <c r="L1357"/>
      <c r="M1357"/>
      <c r="N1357"/>
      <c r="O1357"/>
      <c r="P1357"/>
      <c r="Q1357"/>
      <c r="R1357"/>
      <c r="S1357"/>
      <c r="T1357"/>
    </row>
    <row r="1358" spans="1:20" outlineLevel="3" x14ac:dyDescent="0.3">
      <c r="A1358" s="82" t="s">
        <v>2140</v>
      </c>
      <c r="B1358" s="58" t="s">
        <v>698</v>
      </c>
      <c r="C1358" s="61" t="s">
        <v>699</v>
      </c>
      <c r="D1358" s="115"/>
      <c r="E1358" s="87"/>
      <c r="F1358" s="87"/>
      <c r="G1358" s="97"/>
      <c r="H1358" s="87"/>
      <c r="I1358" s="104">
        <f>SUBTOTAL(9,K1359:K1361)</f>
        <v>0</v>
      </c>
      <c r="J1358" s="108"/>
      <c r="K1358"/>
      <c r="L1358"/>
      <c r="M1358"/>
      <c r="N1358"/>
      <c r="O1358"/>
      <c r="P1358"/>
      <c r="Q1358"/>
      <c r="R1358"/>
      <c r="S1358"/>
      <c r="T1358"/>
    </row>
    <row r="1359" spans="1:20" outlineLevel="4" x14ac:dyDescent="0.3">
      <c r="A1359" s="82" t="s">
        <v>2141</v>
      </c>
      <c r="B1359" s="10" t="s">
        <v>701</v>
      </c>
      <c r="C1359" s="60" t="s">
        <v>618</v>
      </c>
      <c r="D1359" s="44" t="s">
        <v>121</v>
      </c>
      <c r="E1359" s="84">
        <v>0</v>
      </c>
      <c r="F1359" s="84"/>
      <c r="G1359" s="94">
        <f>cell_CoefGeneral</f>
        <v>1</v>
      </c>
      <c r="H1359" s="93">
        <f>H222</f>
        <v>500</v>
      </c>
      <c r="I1359" s="84">
        <f>IFERROR(ROUND(E1359*H1359,2),"-")</f>
        <v>0</v>
      </c>
      <c r="J1359" s="105">
        <f>IFERROR(I1359/cell_Total_HT,"-")</f>
        <v>0</v>
      </c>
      <c r="K1359">
        <f>I1359</f>
        <v>0</v>
      </c>
      <c r="L1359"/>
      <c r="M1359"/>
      <c r="N1359"/>
      <c r="O1359"/>
      <c r="P1359"/>
      <c r="Q1359"/>
      <c r="R1359"/>
      <c r="S1359"/>
      <c r="T1359"/>
    </row>
    <row r="1360" spans="1:20" outlineLevel="4" x14ac:dyDescent="0.3">
      <c r="A1360" s="82" t="s">
        <v>2142</v>
      </c>
      <c r="B1360" s="10" t="s">
        <v>703</v>
      </c>
      <c r="C1360" s="60" t="s">
        <v>621</v>
      </c>
      <c r="D1360" s="44" t="s">
        <v>121</v>
      </c>
      <c r="E1360" s="84">
        <v>0</v>
      </c>
      <c r="F1360" s="84"/>
      <c r="G1360" s="94">
        <f>cell_CoefGeneral</f>
        <v>1</v>
      </c>
      <c r="H1360" s="93">
        <f>H223</f>
        <v>500</v>
      </c>
      <c r="I1360" s="84">
        <f>IFERROR(ROUND(E1360*H1360,2),"-")</f>
        <v>0</v>
      </c>
      <c r="J1360" s="105">
        <f>IFERROR(I1360/cell_Total_HT,"-")</f>
        <v>0</v>
      </c>
      <c r="K1360">
        <f>I1360</f>
        <v>0</v>
      </c>
      <c r="L1360"/>
      <c r="M1360"/>
      <c r="N1360"/>
      <c r="O1360"/>
      <c r="P1360"/>
      <c r="Q1360"/>
      <c r="R1360"/>
      <c r="S1360"/>
      <c r="T1360"/>
    </row>
    <row r="1361" spans="1:20" outlineLevel="4" x14ac:dyDescent="0.3">
      <c r="A1361" s="82" t="s">
        <v>2143</v>
      </c>
      <c r="B1361" s="10" t="s">
        <v>705</v>
      </c>
      <c r="C1361" s="60" t="s">
        <v>706</v>
      </c>
      <c r="D1361" s="44" t="s">
        <v>121</v>
      </c>
      <c r="E1361" s="84">
        <v>0</v>
      </c>
      <c r="F1361" s="84"/>
      <c r="G1361" s="94">
        <f>cell_CoefGeneral</f>
        <v>1</v>
      </c>
      <c r="H1361" s="93">
        <f>H224</f>
        <v>6900</v>
      </c>
      <c r="I1361" s="84">
        <f>IFERROR(ROUND(E1361*H1361,2),"-")</f>
        <v>0</v>
      </c>
      <c r="J1361" s="105">
        <f>IFERROR(I1361/cell_Total_HT,"-")</f>
        <v>0</v>
      </c>
      <c r="K1361">
        <f>I1361</f>
        <v>0</v>
      </c>
      <c r="L1361"/>
      <c r="M1361"/>
      <c r="N1361"/>
      <c r="O1361"/>
      <c r="P1361"/>
      <c r="Q1361"/>
      <c r="R1361"/>
      <c r="S1361"/>
      <c r="T1361"/>
    </row>
    <row r="1362" spans="1:20" outlineLevel="3" x14ac:dyDescent="0.3">
      <c r="A1362" s="82" t="s">
        <v>2144</v>
      </c>
      <c r="B1362" s="10" t="s">
        <v>708</v>
      </c>
      <c r="C1362" s="60" t="s">
        <v>624</v>
      </c>
      <c r="D1362" s="44" t="s">
        <v>80</v>
      </c>
      <c r="E1362" s="84">
        <v>4</v>
      </c>
      <c r="F1362" s="84"/>
      <c r="G1362" s="94">
        <f>cell_CoefGeneral</f>
        <v>1</v>
      </c>
      <c r="H1362" s="93">
        <f>H225</f>
        <v>3.5</v>
      </c>
      <c r="I1362" s="84">
        <f>IFERROR(ROUND(E1362*H1362,2),"-")</f>
        <v>14</v>
      </c>
      <c r="J1362" s="105">
        <f>IFERROR(I1362/cell_Total_HT,"-")</f>
        <v>4.1331201233795425E-6</v>
      </c>
      <c r="K1362">
        <f>I1362</f>
        <v>14</v>
      </c>
      <c r="L1362"/>
      <c r="M1362"/>
      <c r="N1362"/>
      <c r="O1362"/>
      <c r="P1362"/>
      <c r="Q1362"/>
      <c r="R1362"/>
      <c r="S1362"/>
      <c r="T1362"/>
    </row>
    <row r="1363" spans="1:20" ht="15" outlineLevel="3" thickBot="1" x14ac:dyDescent="0.35">
      <c r="A1363" s="82" t="s">
        <v>2145</v>
      </c>
      <c r="B1363" s="10" t="s">
        <v>710</v>
      </c>
      <c r="C1363" s="60" t="s">
        <v>627</v>
      </c>
      <c r="D1363" s="44" t="s">
        <v>93</v>
      </c>
      <c r="E1363" s="84">
        <v>0</v>
      </c>
      <c r="F1363" s="84"/>
      <c r="G1363" s="94">
        <f>cell_CoefGeneral</f>
        <v>1</v>
      </c>
      <c r="H1363" s="93">
        <f>H226</f>
        <v>580</v>
      </c>
      <c r="I1363" s="84">
        <f>IFERROR(ROUND(E1363*H1363,2),"-")</f>
        <v>0</v>
      </c>
      <c r="J1363" s="105">
        <f>IFERROR(I1363/cell_Total_HT,"-")</f>
        <v>0</v>
      </c>
      <c r="K1363">
        <f>I1363</f>
        <v>0</v>
      </c>
      <c r="L1363"/>
      <c r="M1363"/>
      <c r="N1363"/>
      <c r="O1363"/>
      <c r="P1363"/>
      <c r="Q1363"/>
      <c r="R1363"/>
      <c r="S1363"/>
      <c r="T1363"/>
    </row>
    <row r="1364" spans="1:20" ht="15" outlineLevel="2" thickTop="1" x14ac:dyDescent="0.3">
      <c r="A1364" s="82" t="s">
        <v>2146</v>
      </c>
      <c r="B1364" s="62" t="s">
        <v>60</v>
      </c>
      <c r="C1364" s="63" t="s">
        <v>712</v>
      </c>
      <c r="D1364" s="116"/>
      <c r="E1364" s="88"/>
      <c r="F1364" s="88"/>
      <c r="G1364" s="98"/>
      <c r="H1364" s="88"/>
      <c r="I1364" s="88">
        <f>SUBTOTAL(9,I1336:I1363)</f>
        <v>3796.6</v>
      </c>
      <c r="J1364" s="109"/>
      <c r="K1364"/>
      <c r="L1364"/>
      <c r="M1364"/>
      <c r="N1364"/>
      <c r="O1364"/>
      <c r="P1364"/>
      <c r="Q1364"/>
      <c r="R1364"/>
      <c r="S1364"/>
      <c r="T1364"/>
    </row>
    <row r="1365" spans="1:20" outlineLevel="2" x14ac:dyDescent="0.3">
      <c r="A1365" s="82" t="s">
        <v>2147</v>
      </c>
      <c r="B1365" s="64" t="s">
        <v>714</v>
      </c>
      <c r="C1365" s="65" t="s">
        <v>715</v>
      </c>
      <c r="D1365" s="117"/>
      <c r="E1365" s="87"/>
      <c r="F1365" s="87"/>
      <c r="G1365" s="97"/>
      <c r="H1365" s="87"/>
      <c r="I1365" s="104">
        <f>SUBTOTAL(9,K1366:K1388)</f>
        <v>6243.1</v>
      </c>
      <c r="J1365" s="108"/>
      <c r="K1365"/>
      <c r="L1365"/>
      <c r="M1365"/>
      <c r="N1365"/>
      <c r="O1365"/>
      <c r="P1365"/>
      <c r="Q1365"/>
      <c r="R1365"/>
      <c r="S1365"/>
      <c r="T1365"/>
    </row>
    <row r="1366" spans="1:20" ht="24.6" outlineLevel="3" x14ac:dyDescent="0.3">
      <c r="A1366" s="82" t="s">
        <v>2148</v>
      </c>
      <c r="B1366" s="64" t="s">
        <v>717</v>
      </c>
      <c r="C1366" s="66" t="s">
        <v>718</v>
      </c>
      <c r="D1366" s="117"/>
      <c r="E1366" s="87"/>
      <c r="F1366" s="87"/>
      <c r="G1366" s="97"/>
      <c r="H1366" s="87"/>
      <c r="I1366" s="104">
        <f>SUBTOTAL(9,K1367:K1369)</f>
        <v>360</v>
      </c>
      <c r="J1366" s="108"/>
      <c r="K1366"/>
      <c r="L1366"/>
      <c r="M1366"/>
      <c r="N1366"/>
      <c r="O1366"/>
      <c r="P1366"/>
      <c r="Q1366"/>
      <c r="R1366"/>
      <c r="S1366"/>
      <c r="T1366"/>
    </row>
    <row r="1367" spans="1:20" outlineLevel="4" x14ac:dyDescent="0.3">
      <c r="A1367" s="82" t="s">
        <v>2149</v>
      </c>
      <c r="B1367" s="10" t="s">
        <v>720</v>
      </c>
      <c r="C1367" s="60" t="s">
        <v>721</v>
      </c>
      <c r="D1367" s="44" t="s">
        <v>80</v>
      </c>
      <c r="E1367" s="84">
        <v>6</v>
      </c>
      <c r="F1367" s="84"/>
      <c r="G1367" s="94">
        <f>cell_CoefGeneral</f>
        <v>1</v>
      </c>
      <c r="H1367" s="93">
        <f>H230</f>
        <v>28</v>
      </c>
      <c r="I1367" s="84">
        <f>IFERROR(ROUND(E1367*H1367,2),"-")</f>
        <v>168</v>
      </c>
      <c r="J1367" s="105">
        <f>IFERROR(I1367/cell_Total_HT,"-")</f>
        <v>4.9597441480554506E-5</v>
      </c>
      <c r="K1367">
        <f>I1367</f>
        <v>168</v>
      </c>
      <c r="L1367"/>
      <c r="M1367"/>
      <c r="N1367"/>
      <c r="O1367"/>
      <c r="P1367"/>
      <c r="Q1367"/>
      <c r="R1367"/>
      <c r="S1367"/>
      <c r="T1367"/>
    </row>
    <row r="1368" spans="1:20" outlineLevel="4" x14ac:dyDescent="0.3">
      <c r="A1368" s="82" t="s">
        <v>2150</v>
      </c>
      <c r="B1368" s="10" t="s">
        <v>723</v>
      </c>
      <c r="C1368" s="60" t="s">
        <v>724</v>
      </c>
      <c r="D1368" s="44" t="s">
        <v>80</v>
      </c>
      <c r="E1368" s="84">
        <v>6</v>
      </c>
      <c r="F1368" s="84"/>
      <c r="G1368" s="94">
        <f>cell_CoefGeneral</f>
        <v>1</v>
      </c>
      <c r="H1368" s="93">
        <f>H231</f>
        <v>32</v>
      </c>
      <c r="I1368" s="84">
        <f>IFERROR(ROUND(E1368*H1368,2),"-")</f>
        <v>192</v>
      </c>
      <c r="J1368" s="105">
        <f>IFERROR(I1368/cell_Total_HT,"-")</f>
        <v>5.6682790263490867E-5</v>
      </c>
      <c r="K1368">
        <f>I1368</f>
        <v>192</v>
      </c>
      <c r="L1368"/>
      <c r="M1368"/>
      <c r="N1368"/>
      <c r="O1368"/>
      <c r="P1368"/>
      <c r="Q1368"/>
      <c r="R1368"/>
      <c r="S1368"/>
      <c r="T1368"/>
    </row>
    <row r="1369" spans="1:20" outlineLevel="4" x14ac:dyDescent="0.3">
      <c r="A1369" s="82" t="s">
        <v>2151</v>
      </c>
      <c r="B1369" s="10" t="s">
        <v>726</v>
      </c>
      <c r="C1369" s="60" t="s">
        <v>727</v>
      </c>
      <c r="D1369" s="44" t="s">
        <v>80</v>
      </c>
      <c r="E1369" s="84">
        <v>0</v>
      </c>
      <c r="F1369" s="84"/>
      <c r="G1369" s="94">
        <f>cell_CoefGeneral</f>
        <v>1</v>
      </c>
      <c r="H1369" s="93">
        <f>H232</f>
        <v>31</v>
      </c>
      <c r="I1369" s="84">
        <f>IFERROR(ROUND(E1369*H1369,2),"-")</f>
        <v>0</v>
      </c>
      <c r="J1369" s="105">
        <f>IFERROR(I1369/cell_Total_HT,"-")</f>
        <v>0</v>
      </c>
      <c r="K1369">
        <f>I1369</f>
        <v>0</v>
      </c>
      <c r="L1369"/>
      <c r="M1369"/>
      <c r="N1369"/>
      <c r="O1369"/>
      <c r="P1369"/>
      <c r="Q1369"/>
      <c r="R1369"/>
      <c r="S1369"/>
      <c r="T1369"/>
    </row>
    <row r="1370" spans="1:20" outlineLevel="3" x14ac:dyDescent="0.3">
      <c r="A1370" s="82" t="s">
        <v>2152</v>
      </c>
      <c r="B1370" s="58" t="s">
        <v>729</v>
      </c>
      <c r="C1370" s="61" t="s">
        <v>730</v>
      </c>
      <c r="D1370" s="115"/>
      <c r="E1370" s="87"/>
      <c r="F1370" s="87"/>
      <c r="G1370" s="97"/>
      <c r="H1370" s="87"/>
      <c r="I1370" s="104">
        <f>SUBTOTAL(9,K1371:K1374)</f>
        <v>133.1</v>
      </c>
      <c r="J1370" s="108"/>
      <c r="K1370"/>
      <c r="L1370"/>
      <c r="M1370"/>
      <c r="N1370"/>
      <c r="O1370"/>
      <c r="P1370"/>
      <c r="Q1370"/>
      <c r="R1370"/>
      <c r="S1370"/>
      <c r="T1370"/>
    </row>
    <row r="1371" spans="1:20" outlineLevel="4" x14ac:dyDescent="0.3">
      <c r="A1371" s="82" t="s">
        <v>2153</v>
      </c>
      <c r="B1371" s="10" t="s">
        <v>732</v>
      </c>
      <c r="C1371" s="60" t="s">
        <v>733</v>
      </c>
      <c r="D1371" s="44" t="s">
        <v>80</v>
      </c>
      <c r="E1371" s="84">
        <v>11</v>
      </c>
      <c r="F1371" s="84"/>
      <c r="G1371" s="94">
        <f>cell_CoefGeneral</f>
        <v>1</v>
      </c>
      <c r="H1371" s="93">
        <f>H234</f>
        <v>8.6</v>
      </c>
      <c r="I1371" s="84">
        <f>IFERROR(ROUND(E1371*H1371,2),"-")</f>
        <v>94.6</v>
      </c>
      <c r="J1371" s="105">
        <f>IFERROR(I1371/cell_Total_HT,"-")</f>
        <v>2.7928083119407479E-5</v>
      </c>
      <c r="K1371">
        <f>I1371</f>
        <v>94.6</v>
      </c>
      <c r="L1371"/>
      <c r="M1371"/>
      <c r="N1371"/>
      <c r="O1371"/>
      <c r="P1371"/>
      <c r="Q1371"/>
      <c r="R1371"/>
      <c r="S1371"/>
      <c r="T1371"/>
    </row>
    <row r="1372" spans="1:20" outlineLevel="4" x14ac:dyDescent="0.3">
      <c r="A1372" s="82" t="s">
        <v>2154</v>
      </c>
      <c r="B1372" s="10" t="s">
        <v>735</v>
      </c>
      <c r="C1372" s="60" t="s">
        <v>736</v>
      </c>
      <c r="D1372" s="44" t="s">
        <v>80</v>
      </c>
      <c r="E1372" s="84">
        <v>0</v>
      </c>
      <c r="F1372" s="84"/>
      <c r="G1372" s="94">
        <f>cell_CoefGeneral</f>
        <v>1</v>
      </c>
      <c r="H1372" s="93">
        <f>H235</f>
        <v>9.1999999999999993</v>
      </c>
      <c r="I1372" s="84">
        <f>IFERROR(ROUND(E1372*H1372,2),"-")</f>
        <v>0</v>
      </c>
      <c r="J1372" s="105">
        <f>IFERROR(I1372/cell_Total_HT,"-")</f>
        <v>0</v>
      </c>
      <c r="K1372">
        <f>I1372</f>
        <v>0</v>
      </c>
      <c r="L1372"/>
      <c r="M1372"/>
      <c r="N1372"/>
      <c r="O1372"/>
      <c r="P1372"/>
      <c r="Q1372"/>
      <c r="R1372"/>
      <c r="S1372"/>
      <c r="T1372"/>
    </row>
    <row r="1373" spans="1:20" outlineLevel="4" x14ac:dyDescent="0.3">
      <c r="A1373" s="82" t="s">
        <v>2155</v>
      </c>
      <c r="B1373" s="10" t="s">
        <v>738</v>
      </c>
      <c r="C1373" s="60" t="s">
        <v>739</v>
      </c>
      <c r="D1373" s="44" t="s">
        <v>80</v>
      </c>
      <c r="E1373" s="84">
        <v>0</v>
      </c>
      <c r="F1373" s="84"/>
      <c r="G1373" s="94">
        <f>cell_CoefGeneral</f>
        <v>1</v>
      </c>
      <c r="H1373" s="93">
        <f>H236</f>
        <v>38</v>
      </c>
      <c r="I1373" s="84">
        <f>IFERROR(ROUND(E1373*H1373,2),"-")</f>
        <v>0</v>
      </c>
      <c r="J1373" s="105">
        <f>IFERROR(I1373/cell_Total_HT,"-")</f>
        <v>0</v>
      </c>
      <c r="K1373">
        <f>I1373</f>
        <v>0</v>
      </c>
      <c r="L1373"/>
      <c r="M1373"/>
      <c r="N1373"/>
      <c r="O1373"/>
      <c r="P1373"/>
      <c r="Q1373"/>
      <c r="R1373"/>
      <c r="S1373"/>
      <c r="T1373"/>
    </row>
    <row r="1374" spans="1:20" outlineLevel="4" x14ac:dyDescent="0.3">
      <c r="A1374" s="82" t="s">
        <v>2156</v>
      </c>
      <c r="B1374" s="10" t="s">
        <v>741</v>
      </c>
      <c r="C1374" s="60" t="s">
        <v>742</v>
      </c>
      <c r="D1374" s="44" t="s">
        <v>80</v>
      </c>
      <c r="E1374" s="84">
        <v>11</v>
      </c>
      <c r="F1374" s="84"/>
      <c r="G1374" s="94">
        <f>cell_CoefGeneral</f>
        <v>1</v>
      </c>
      <c r="H1374" s="93">
        <f>H237</f>
        <v>3.5</v>
      </c>
      <c r="I1374" s="84">
        <f>IFERROR(ROUND(E1374*H1374,2),"-")</f>
        <v>38.5</v>
      </c>
      <c r="J1374" s="105">
        <f>IFERROR(I1374/cell_Total_HT,"-")</f>
        <v>1.1366080339293741E-5</v>
      </c>
      <c r="K1374">
        <f>I1374</f>
        <v>38.5</v>
      </c>
      <c r="L1374"/>
      <c r="M1374"/>
      <c r="N1374"/>
      <c r="O1374"/>
      <c r="P1374"/>
      <c r="Q1374"/>
      <c r="R1374"/>
      <c r="S1374"/>
      <c r="T1374"/>
    </row>
    <row r="1375" spans="1:20" outlineLevel="3" x14ac:dyDescent="0.3">
      <c r="A1375" s="82" t="s">
        <v>2157</v>
      </c>
      <c r="B1375" s="58" t="s">
        <v>744</v>
      </c>
      <c r="C1375" s="61" t="s">
        <v>745</v>
      </c>
      <c r="D1375" s="115"/>
      <c r="E1375" s="87"/>
      <c r="F1375" s="87"/>
      <c r="G1375" s="97"/>
      <c r="H1375" s="87"/>
      <c r="I1375" s="104">
        <f>SUBTOTAL(9,K1376:K1376)</f>
        <v>0</v>
      </c>
      <c r="J1375" s="108"/>
      <c r="K1375"/>
      <c r="L1375"/>
      <c r="M1375"/>
      <c r="N1375"/>
      <c r="O1375"/>
      <c r="P1375"/>
      <c r="Q1375"/>
      <c r="R1375"/>
      <c r="S1375"/>
      <c r="T1375"/>
    </row>
    <row r="1376" spans="1:20" outlineLevel="4" x14ac:dyDescent="0.3">
      <c r="A1376" s="82" t="s">
        <v>2158</v>
      </c>
      <c r="B1376" s="10" t="s">
        <v>747</v>
      </c>
      <c r="C1376" s="60" t="s">
        <v>748</v>
      </c>
      <c r="D1376" s="44" t="s">
        <v>121</v>
      </c>
      <c r="E1376" s="84">
        <v>0</v>
      </c>
      <c r="F1376" s="84"/>
      <c r="G1376" s="94">
        <f>cell_CoefGeneral</f>
        <v>1</v>
      </c>
      <c r="H1376" s="93">
        <f>H239</f>
        <v>950</v>
      </c>
      <c r="I1376" s="84">
        <f>IFERROR(ROUND(E1376*H1376,2),"-")</f>
        <v>0</v>
      </c>
      <c r="J1376" s="105">
        <f>IFERROR(I1376/cell_Total_HT,"-")</f>
        <v>0</v>
      </c>
      <c r="K1376">
        <f>I1376</f>
        <v>0</v>
      </c>
      <c r="L1376"/>
      <c r="M1376"/>
      <c r="N1376"/>
      <c r="O1376"/>
      <c r="P1376"/>
      <c r="Q1376"/>
      <c r="R1376"/>
      <c r="S1376"/>
      <c r="T1376"/>
    </row>
    <row r="1377" spans="1:20" outlineLevel="3" x14ac:dyDescent="0.3">
      <c r="A1377" s="82" t="s">
        <v>2159</v>
      </c>
      <c r="B1377" s="58" t="s">
        <v>750</v>
      </c>
      <c r="C1377" s="61" t="s">
        <v>751</v>
      </c>
      <c r="D1377" s="115"/>
      <c r="E1377" s="87"/>
      <c r="F1377" s="87"/>
      <c r="G1377" s="97"/>
      <c r="H1377" s="87"/>
      <c r="I1377" s="104">
        <f>SUBTOTAL(9,K1378:K1379)</f>
        <v>980</v>
      </c>
      <c r="J1377" s="108"/>
      <c r="K1377"/>
      <c r="L1377"/>
      <c r="M1377"/>
      <c r="N1377"/>
      <c r="O1377"/>
      <c r="P1377"/>
      <c r="Q1377"/>
      <c r="R1377"/>
      <c r="S1377"/>
      <c r="T1377"/>
    </row>
    <row r="1378" spans="1:20" ht="28.8" outlineLevel="4" x14ac:dyDescent="0.3">
      <c r="A1378" s="82" t="s">
        <v>2160</v>
      </c>
      <c r="B1378" s="10" t="s">
        <v>753</v>
      </c>
      <c r="C1378" s="60" t="s">
        <v>754</v>
      </c>
      <c r="D1378" s="44" t="s">
        <v>121</v>
      </c>
      <c r="E1378" s="84">
        <v>0</v>
      </c>
      <c r="F1378" s="84"/>
      <c r="G1378" s="94">
        <f>cell_CoefGeneral</f>
        <v>1</v>
      </c>
      <c r="H1378" s="93">
        <f>H241</f>
        <v>2800</v>
      </c>
      <c r="I1378" s="84">
        <f>IFERROR(ROUND(E1378*H1378,2),"-")</f>
        <v>0</v>
      </c>
      <c r="J1378" s="105">
        <f>IFERROR(I1378/cell_Total_HT,"-")</f>
        <v>0</v>
      </c>
      <c r="K1378">
        <f>I1378</f>
        <v>0</v>
      </c>
      <c r="L1378"/>
      <c r="M1378"/>
      <c r="N1378"/>
      <c r="O1378"/>
      <c r="P1378"/>
      <c r="Q1378"/>
      <c r="R1378"/>
      <c r="S1378"/>
      <c r="T1378"/>
    </row>
    <row r="1379" spans="1:20" outlineLevel="4" x14ac:dyDescent="0.3">
      <c r="A1379" s="82" t="s">
        <v>2161</v>
      </c>
      <c r="B1379" s="10" t="s">
        <v>756</v>
      </c>
      <c r="C1379" s="60" t="s">
        <v>757</v>
      </c>
      <c r="D1379" s="44" t="s">
        <v>121</v>
      </c>
      <c r="E1379" s="84">
        <v>1</v>
      </c>
      <c r="F1379" s="84"/>
      <c r="G1379" s="94">
        <f>cell_CoefGeneral</f>
        <v>1</v>
      </c>
      <c r="H1379" s="93">
        <f>H242</f>
        <v>980</v>
      </c>
      <c r="I1379" s="84">
        <f>IFERROR(ROUND(E1379*H1379,2),"-")</f>
        <v>980</v>
      </c>
      <c r="J1379" s="105">
        <f>IFERROR(I1379/cell_Total_HT,"-")</f>
        <v>2.8931840863656799E-4</v>
      </c>
      <c r="K1379">
        <f>I1379</f>
        <v>980</v>
      </c>
      <c r="L1379"/>
      <c r="M1379"/>
      <c r="N1379"/>
      <c r="O1379"/>
      <c r="P1379"/>
      <c r="Q1379"/>
      <c r="R1379"/>
      <c r="S1379"/>
      <c r="T1379"/>
    </row>
    <row r="1380" spans="1:20" outlineLevel="3" x14ac:dyDescent="0.3">
      <c r="A1380" s="82" t="s">
        <v>2162</v>
      </c>
      <c r="B1380" s="10" t="s">
        <v>759</v>
      </c>
      <c r="C1380" s="60" t="s">
        <v>760</v>
      </c>
      <c r="D1380" s="44" t="s">
        <v>121</v>
      </c>
      <c r="E1380" s="84">
        <v>1</v>
      </c>
      <c r="F1380" s="84"/>
      <c r="G1380" s="94">
        <f>cell_CoefGeneral</f>
        <v>1</v>
      </c>
      <c r="H1380" s="93">
        <f>H243</f>
        <v>2400</v>
      </c>
      <c r="I1380" s="84">
        <f>IFERROR(ROUND(E1380*H1380,2),"-")</f>
        <v>2400</v>
      </c>
      <c r="J1380" s="105">
        <f>IFERROR(I1380/cell_Total_HT,"-")</f>
        <v>7.0853487829363588E-4</v>
      </c>
      <c r="K1380">
        <f>I1380</f>
        <v>2400</v>
      </c>
      <c r="L1380"/>
      <c r="M1380"/>
      <c r="N1380"/>
      <c r="O1380"/>
      <c r="P1380"/>
      <c r="Q1380"/>
      <c r="R1380"/>
      <c r="S1380"/>
      <c r="T1380"/>
    </row>
    <row r="1381" spans="1:20" outlineLevel="3" x14ac:dyDescent="0.3">
      <c r="A1381" s="82" t="s">
        <v>2163</v>
      </c>
      <c r="B1381" s="10" t="s">
        <v>762</v>
      </c>
      <c r="C1381" s="60" t="s">
        <v>763</v>
      </c>
      <c r="D1381" s="44" t="s">
        <v>121</v>
      </c>
      <c r="E1381" s="84">
        <v>1</v>
      </c>
      <c r="F1381" s="84"/>
      <c r="G1381" s="94">
        <f>cell_CoefGeneral</f>
        <v>1</v>
      </c>
      <c r="H1381" s="93">
        <f>H244</f>
        <v>1300</v>
      </c>
      <c r="I1381" s="84">
        <f>IFERROR(ROUND(E1381*H1381,2),"-")</f>
        <v>1300</v>
      </c>
      <c r="J1381" s="105">
        <f>IFERROR(I1381/cell_Total_HT,"-")</f>
        <v>3.837897257423861E-4</v>
      </c>
      <c r="K1381">
        <f>I1381</f>
        <v>1300</v>
      </c>
      <c r="L1381"/>
      <c r="M1381"/>
      <c r="N1381"/>
      <c r="O1381"/>
      <c r="P1381"/>
      <c r="Q1381"/>
      <c r="R1381"/>
      <c r="S1381"/>
      <c r="T1381"/>
    </row>
    <row r="1382" spans="1:20" outlineLevel="3" x14ac:dyDescent="0.3">
      <c r="A1382" s="82" t="s">
        <v>2164</v>
      </c>
      <c r="B1382" s="10" t="s">
        <v>765</v>
      </c>
      <c r="C1382" s="60" t="s">
        <v>766</v>
      </c>
      <c r="D1382" s="44" t="s">
        <v>93</v>
      </c>
      <c r="E1382" s="84">
        <v>1</v>
      </c>
      <c r="F1382" s="84"/>
      <c r="G1382" s="94">
        <f>cell_CoefGeneral</f>
        <v>1</v>
      </c>
      <c r="H1382" s="93">
        <f>H245</f>
        <v>520</v>
      </c>
      <c r="I1382" s="84">
        <f>IFERROR(ROUND(E1382*H1382,2),"-")</f>
        <v>520</v>
      </c>
      <c r="J1382" s="105">
        <f>IFERROR(I1382/cell_Total_HT,"-")</f>
        <v>1.5351589029695444E-4</v>
      </c>
      <c r="K1382">
        <f>I1382</f>
        <v>520</v>
      </c>
      <c r="L1382"/>
      <c r="M1382"/>
      <c r="N1382"/>
      <c r="O1382"/>
      <c r="P1382"/>
      <c r="Q1382"/>
      <c r="R1382"/>
      <c r="S1382"/>
      <c r="T1382"/>
    </row>
    <row r="1383" spans="1:20" outlineLevel="3" x14ac:dyDescent="0.3">
      <c r="A1383" s="82" t="s">
        <v>2165</v>
      </c>
      <c r="B1383" s="58" t="s">
        <v>768</v>
      </c>
      <c r="C1383" s="61" t="s">
        <v>769</v>
      </c>
      <c r="D1383" s="115"/>
      <c r="E1383" s="87"/>
      <c r="F1383" s="87"/>
      <c r="G1383" s="97"/>
      <c r="H1383" s="87"/>
      <c r="I1383" s="104">
        <f>SUBTOTAL(9,K1384:K1386)</f>
        <v>240</v>
      </c>
      <c r="J1383" s="108"/>
      <c r="K1383"/>
      <c r="L1383"/>
      <c r="M1383"/>
      <c r="N1383"/>
      <c r="O1383"/>
      <c r="P1383"/>
      <c r="Q1383"/>
      <c r="R1383"/>
      <c r="S1383"/>
      <c r="T1383"/>
    </row>
    <row r="1384" spans="1:20" outlineLevel="4" x14ac:dyDescent="0.3">
      <c r="A1384" s="82" t="s">
        <v>2166</v>
      </c>
      <c r="B1384" s="10" t="s">
        <v>771</v>
      </c>
      <c r="C1384" s="60" t="s">
        <v>772</v>
      </c>
      <c r="D1384" s="44" t="s">
        <v>121</v>
      </c>
      <c r="E1384" s="84">
        <v>0</v>
      </c>
      <c r="F1384" s="84"/>
      <c r="G1384" s="94">
        <f>cell_CoefGeneral</f>
        <v>1</v>
      </c>
      <c r="H1384" s="93">
        <f>H247</f>
        <v>440</v>
      </c>
      <c r="I1384" s="84">
        <f>IFERROR(ROUND(E1384*H1384,2),"-")</f>
        <v>0</v>
      </c>
      <c r="J1384" s="105">
        <f>IFERROR(I1384/cell_Total_HT,"-")</f>
        <v>0</v>
      </c>
      <c r="K1384">
        <f>I1384</f>
        <v>0</v>
      </c>
      <c r="L1384"/>
      <c r="M1384"/>
      <c r="N1384"/>
      <c r="O1384"/>
      <c r="P1384"/>
      <c r="Q1384"/>
      <c r="R1384"/>
      <c r="S1384"/>
      <c r="T1384"/>
    </row>
    <row r="1385" spans="1:20" outlineLevel="4" x14ac:dyDescent="0.3">
      <c r="A1385" s="82" t="s">
        <v>2167</v>
      </c>
      <c r="B1385" s="10" t="s">
        <v>774</v>
      </c>
      <c r="C1385" s="60" t="s">
        <v>775</v>
      </c>
      <c r="D1385" s="44" t="s">
        <v>121</v>
      </c>
      <c r="E1385" s="84">
        <v>0</v>
      </c>
      <c r="F1385" s="84"/>
      <c r="G1385" s="94">
        <f>cell_CoefGeneral</f>
        <v>1</v>
      </c>
      <c r="H1385" s="93">
        <f>H248</f>
        <v>290</v>
      </c>
      <c r="I1385" s="84">
        <f>IFERROR(ROUND(E1385*H1385,2),"-")</f>
        <v>0</v>
      </c>
      <c r="J1385" s="105">
        <f>IFERROR(I1385/cell_Total_HT,"-")</f>
        <v>0</v>
      </c>
      <c r="K1385">
        <f>I1385</f>
        <v>0</v>
      </c>
      <c r="L1385"/>
      <c r="M1385"/>
      <c r="N1385"/>
      <c r="O1385"/>
      <c r="P1385"/>
      <c r="Q1385"/>
      <c r="R1385"/>
      <c r="S1385"/>
      <c r="T1385"/>
    </row>
    <row r="1386" spans="1:20" outlineLevel="4" x14ac:dyDescent="0.3">
      <c r="A1386" s="82" t="s">
        <v>2168</v>
      </c>
      <c r="B1386" s="10" t="s">
        <v>777</v>
      </c>
      <c r="C1386" s="60" t="s">
        <v>778</v>
      </c>
      <c r="D1386" s="44" t="s">
        <v>121</v>
      </c>
      <c r="E1386" s="84">
        <v>1</v>
      </c>
      <c r="F1386" s="84"/>
      <c r="G1386" s="94">
        <f>cell_CoefGeneral</f>
        <v>1</v>
      </c>
      <c r="H1386" s="93">
        <f>H249</f>
        <v>240</v>
      </c>
      <c r="I1386" s="84">
        <f>IFERROR(ROUND(E1386*H1386,2),"-")</f>
        <v>240</v>
      </c>
      <c r="J1386" s="105">
        <f>IFERROR(I1386/cell_Total_HT,"-")</f>
        <v>7.0853487829363582E-5</v>
      </c>
      <c r="K1386">
        <f>I1386</f>
        <v>240</v>
      </c>
      <c r="L1386"/>
      <c r="M1386"/>
      <c r="N1386"/>
      <c r="O1386"/>
      <c r="P1386"/>
      <c r="Q1386"/>
      <c r="R1386"/>
      <c r="S1386"/>
      <c r="T1386"/>
    </row>
    <row r="1387" spans="1:20" outlineLevel="3" x14ac:dyDescent="0.3">
      <c r="A1387" s="82" t="s">
        <v>2169</v>
      </c>
      <c r="B1387" s="10" t="s">
        <v>780</v>
      </c>
      <c r="C1387" s="60" t="s">
        <v>781</v>
      </c>
      <c r="D1387" s="44" t="s">
        <v>80</v>
      </c>
      <c r="E1387" s="84">
        <v>0</v>
      </c>
      <c r="F1387" s="84"/>
      <c r="G1387" s="94">
        <f>cell_CoefGeneral</f>
        <v>1</v>
      </c>
      <c r="H1387" s="93">
        <f>H250</f>
        <v>31</v>
      </c>
      <c r="I1387" s="84">
        <f>IFERROR(ROUND(E1387*H1387,2),"-")</f>
        <v>0</v>
      </c>
      <c r="J1387" s="105">
        <f>IFERROR(I1387/cell_Total_HT,"-")</f>
        <v>0</v>
      </c>
      <c r="K1387">
        <f>I1387</f>
        <v>0</v>
      </c>
      <c r="L1387"/>
      <c r="M1387"/>
      <c r="N1387"/>
      <c r="O1387"/>
      <c r="P1387"/>
      <c r="Q1387"/>
      <c r="R1387"/>
      <c r="S1387"/>
      <c r="T1387"/>
    </row>
    <row r="1388" spans="1:20" ht="15" outlineLevel="3" thickBot="1" x14ac:dyDescent="0.35">
      <c r="A1388" s="82" t="s">
        <v>2170</v>
      </c>
      <c r="B1388" s="10" t="s">
        <v>783</v>
      </c>
      <c r="C1388" s="60" t="s">
        <v>784</v>
      </c>
      <c r="D1388" s="44" t="s">
        <v>121</v>
      </c>
      <c r="E1388" s="84">
        <v>1</v>
      </c>
      <c r="F1388" s="84"/>
      <c r="G1388" s="94">
        <f>cell_CoefGeneral</f>
        <v>1</v>
      </c>
      <c r="H1388" s="93">
        <f>H251</f>
        <v>310</v>
      </c>
      <c r="I1388" s="84">
        <f>IFERROR(ROUND(E1388*H1388,2),"-")</f>
        <v>310</v>
      </c>
      <c r="J1388" s="105">
        <f>IFERROR(I1388/cell_Total_HT,"-")</f>
        <v>9.151908844626129E-5</v>
      </c>
      <c r="K1388">
        <f>I1388</f>
        <v>310</v>
      </c>
      <c r="L1388"/>
      <c r="M1388"/>
      <c r="N1388"/>
      <c r="O1388"/>
      <c r="P1388"/>
      <c r="Q1388"/>
      <c r="R1388"/>
      <c r="S1388"/>
      <c r="T1388"/>
    </row>
    <row r="1389" spans="1:20" ht="15" outlineLevel="2" thickTop="1" x14ac:dyDescent="0.3">
      <c r="A1389" s="82" t="s">
        <v>2171</v>
      </c>
      <c r="B1389" s="62" t="s">
        <v>60</v>
      </c>
      <c r="C1389" s="63" t="s">
        <v>786</v>
      </c>
      <c r="D1389" s="116"/>
      <c r="E1389" s="88"/>
      <c r="F1389" s="88"/>
      <c r="G1389" s="98"/>
      <c r="H1389" s="88"/>
      <c r="I1389" s="88">
        <f>SUBTOTAL(9,I1367:I1388)</f>
        <v>6243.1</v>
      </c>
      <c r="J1389" s="109"/>
      <c r="K1389"/>
      <c r="L1389"/>
      <c r="M1389"/>
      <c r="N1389"/>
      <c r="O1389"/>
      <c r="P1389"/>
      <c r="Q1389"/>
      <c r="R1389"/>
      <c r="S1389"/>
      <c r="T1389"/>
    </row>
    <row r="1390" spans="1:20" outlineLevel="2" x14ac:dyDescent="0.3">
      <c r="A1390" s="82" t="s">
        <v>2172</v>
      </c>
      <c r="B1390" s="64" t="s">
        <v>788</v>
      </c>
      <c r="C1390" s="65" t="s">
        <v>789</v>
      </c>
      <c r="D1390" s="117"/>
      <c r="E1390" s="87"/>
      <c r="F1390" s="87"/>
      <c r="G1390" s="97"/>
      <c r="H1390" s="87"/>
      <c r="I1390" s="104">
        <f>SUBTOTAL(9,K1391:K1403)</f>
        <v>0</v>
      </c>
      <c r="J1390" s="108"/>
      <c r="K1390"/>
      <c r="L1390"/>
      <c r="M1390"/>
      <c r="N1390"/>
      <c r="O1390"/>
      <c r="P1390"/>
      <c r="Q1390"/>
      <c r="R1390"/>
      <c r="S1390"/>
      <c r="T1390"/>
    </row>
    <row r="1391" spans="1:20" outlineLevel="3" x14ac:dyDescent="0.3">
      <c r="A1391" s="82" t="s">
        <v>2173</v>
      </c>
      <c r="B1391" s="64" t="s">
        <v>791</v>
      </c>
      <c r="C1391" s="66" t="s">
        <v>792</v>
      </c>
      <c r="D1391" s="117"/>
      <c r="E1391" s="87"/>
      <c r="F1391" s="87"/>
      <c r="G1391" s="97"/>
      <c r="H1391" s="87"/>
      <c r="I1391" s="104">
        <f>SUBTOTAL(9,K1392:K1393)</f>
        <v>0</v>
      </c>
      <c r="J1391" s="108"/>
      <c r="K1391"/>
      <c r="L1391"/>
      <c r="M1391"/>
      <c r="N1391"/>
      <c r="O1391"/>
      <c r="P1391"/>
      <c r="Q1391"/>
      <c r="R1391"/>
      <c r="S1391"/>
      <c r="T1391"/>
    </row>
    <row r="1392" spans="1:20" outlineLevel="4" x14ac:dyDescent="0.3">
      <c r="A1392" s="82" t="s">
        <v>2174</v>
      </c>
      <c r="B1392" s="10" t="s">
        <v>794</v>
      </c>
      <c r="C1392" s="60" t="s">
        <v>795</v>
      </c>
      <c r="D1392" s="44" t="s">
        <v>80</v>
      </c>
      <c r="E1392" s="84">
        <v>0</v>
      </c>
      <c r="F1392" s="84"/>
      <c r="G1392" s="94">
        <f>cell_CoefGeneral</f>
        <v>1</v>
      </c>
      <c r="H1392" s="93">
        <f>H255</f>
        <v>39</v>
      </c>
      <c r="I1392" s="84">
        <f>IFERROR(ROUND(E1392*H1392,2),"-")</f>
        <v>0</v>
      </c>
      <c r="J1392" s="105">
        <f>IFERROR(I1392/cell_Total_HT,"-")</f>
        <v>0</v>
      </c>
      <c r="K1392">
        <f>I1392</f>
        <v>0</v>
      </c>
      <c r="L1392"/>
      <c r="M1392"/>
      <c r="N1392"/>
      <c r="O1392"/>
      <c r="P1392"/>
      <c r="Q1392"/>
      <c r="R1392"/>
      <c r="S1392"/>
      <c r="T1392"/>
    </row>
    <row r="1393" spans="1:20" outlineLevel="4" x14ac:dyDescent="0.3">
      <c r="A1393" s="82" t="s">
        <v>2175</v>
      </c>
      <c r="B1393" s="10" t="s">
        <v>797</v>
      </c>
      <c r="C1393" s="60" t="s">
        <v>798</v>
      </c>
      <c r="D1393" s="44" t="s">
        <v>80</v>
      </c>
      <c r="E1393" s="84">
        <v>0</v>
      </c>
      <c r="F1393" s="84"/>
      <c r="G1393" s="94">
        <f>cell_CoefGeneral</f>
        <v>1</v>
      </c>
      <c r="H1393" s="93">
        <f>H256</f>
        <v>30</v>
      </c>
      <c r="I1393" s="84">
        <f>IFERROR(ROUND(E1393*H1393,2),"-")</f>
        <v>0</v>
      </c>
      <c r="J1393" s="105">
        <f>IFERROR(I1393/cell_Total_HT,"-")</f>
        <v>0</v>
      </c>
      <c r="K1393">
        <f>I1393</f>
        <v>0</v>
      </c>
      <c r="L1393"/>
      <c r="M1393"/>
      <c r="N1393"/>
      <c r="O1393"/>
      <c r="P1393"/>
      <c r="Q1393"/>
      <c r="R1393"/>
      <c r="S1393"/>
      <c r="T1393"/>
    </row>
    <row r="1394" spans="1:20" outlineLevel="3" x14ac:dyDescent="0.3">
      <c r="A1394" s="82" t="s">
        <v>2176</v>
      </c>
      <c r="B1394" s="58" t="s">
        <v>800</v>
      </c>
      <c r="C1394" s="61" t="s">
        <v>801</v>
      </c>
      <c r="D1394" s="115"/>
      <c r="E1394" s="87"/>
      <c r="F1394" s="87"/>
      <c r="G1394" s="97"/>
      <c r="H1394" s="87"/>
      <c r="I1394" s="104">
        <f>SUBTOTAL(9,K1395:K1396)</f>
        <v>0</v>
      </c>
      <c r="J1394" s="108"/>
      <c r="K1394"/>
      <c r="L1394"/>
      <c r="M1394"/>
      <c r="N1394"/>
      <c r="O1394"/>
      <c r="P1394"/>
      <c r="Q1394"/>
      <c r="R1394"/>
      <c r="S1394"/>
      <c r="T1394"/>
    </row>
    <row r="1395" spans="1:20" outlineLevel="4" x14ac:dyDescent="0.3">
      <c r="A1395" s="82" t="s">
        <v>2177</v>
      </c>
      <c r="B1395" s="10" t="s">
        <v>803</v>
      </c>
      <c r="C1395" s="60" t="s">
        <v>804</v>
      </c>
      <c r="D1395" s="44" t="s">
        <v>80</v>
      </c>
      <c r="E1395" s="84">
        <v>0</v>
      </c>
      <c r="F1395" s="84"/>
      <c r="G1395" s="94">
        <f>cell_CoefGeneral</f>
        <v>1</v>
      </c>
      <c r="H1395" s="93">
        <f>H258</f>
        <v>2.9</v>
      </c>
      <c r="I1395" s="84">
        <f>IFERROR(ROUND(E1395*H1395,2),"-")</f>
        <v>0</v>
      </c>
      <c r="J1395" s="105">
        <f>IFERROR(I1395/cell_Total_HT,"-")</f>
        <v>0</v>
      </c>
      <c r="K1395">
        <f>I1395</f>
        <v>0</v>
      </c>
      <c r="L1395"/>
      <c r="M1395"/>
      <c r="N1395"/>
      <c r="O1395"/>
      <c r="P1395"/>
      <c r="Q1395"/>
      <c r="R1395"/>
      <c r="S1395"/>
      <c r="T1395"/>
    </row>
    <row r="1396" spans="1:20" outlineLevel="4" x14ac:dyDescent="0.3">
      <c r="A1396" s="82" t="s">
        <v>2178</v>
      </c>
      <c r="B1396" s="10" t="s">
        <v>806</v>
      </c>
      <c r="C1396" s="60" t="s">
        <v>807</v>
      </c>
      <c r="D1396" s="44" t="s">
        <v>80</v>
      </c>
      <c r="E1396" s="84">
        <v>0</v>
      </c>
      <c r="F1396" s="84"/>
      <c r="G1396" s="94">
        <f>cell_CoefGeneral</f>
        <v>1</v>
      </c>
      <c r="H1396" s="93">
        <f>H259</f>
        <v>4</v>
      </c>
      <c r="I1396" s="84">
        <f>IFERROR(ROUND(E1396*H1396,2),"-")</f>
        <v>0</v>
      </c>
      <c r="J1396" s="105">
        <f>IFERROR(I1396/cell_Total_HT,"-")</f>
        <v>0</v>
      </c>
      <c r="K1396">
        <f>I1396</f>
        <v>0</v>
      </c>
      <c r="L1396"/>
      <c r="M1396"/>
      <c r="N1396"/>
      <c r="O1396"/>
      <c r="P1396"/>
      <c r="Q1396"/>
      <c r="R1396"/>
      <c r="S1396"/>
      <c r="T1396"/>
    </row>
    <row r="1397" spans="1:20" outlineLevel="3" x14ac:dyDescent="0.3">
      <c r="A1397" s="82" t="s">
        <v>2179</v>
      </c>
      <c r="B1397" s="10" t="s">
        <v>809</v>
      </c>
      <c r="C1397" s="60" t="s">
        <v>810</v>
      </c>
      <c r="D1397" s="44" t="s">
        <v>80</v>
      </c>
      <c r="E1397" s="84">
        <v>0</v>
      </c>
      <c r="F1397" s="84"/>
      <c r="G1397" s="94">
        <f>cell_CoefGeneral</f>
        <v>1</v>
      </c>
      <c r="H1397" s="93">
        <f>H260</f>
        <v>28</v>
      </c>
      <c r="I1397" s="84">
        <f>IFERROR(ROUND(E1397*H1397,2),"-")</f>
        <v>0</v>
      </c>
      <c r="J1397" s="105">
        <f>IFERROR(I1397/cell_Total_HT,"-")</f>
        <v>0</v>
      </c>
      <c r="K1397">
        <f>I1397</f>
        <v>0</v>
      </c>
      <c r="L1397"/>
      <c r="M1397"/>
      <c r="N1397"/>
      <c r="O1397"/>
      <c r="P1397"/>
      <c r="Q1397"/>
      <c r="R1397"/>
      <c r="S1397"/>
      <c r="T1397"/>
    </row>
    <row r="1398" spans="1:20" outlineLevel="3" x14ac:dyDescent="0.3">
      <c r="A1398" s="82" t="s">
        <v>2180</v>
      </c>
      <c r="B1398" s="58" t="s">
        <v>812</v>
      </c>
      <c r="C1398" s="61" t="s">
        <v>813</v>
      </c>
      <c r="D1398" s="115"/>
      <c r="E1398" s="87"/>
      <c r="F1398" s="87"/>
      <c r="G1398" s="97"/>
      <c r="H1398" s="87"/>
      <c r="I1398" s="104">
        <f>SUBTOTAL(9,K1399:K1401)</f>
        <v>0</v>
      </c>
      <c r="J1398" s="108"/>
      <c r="K1398"/>
      <c r="L1398"/>
      <c r="M1398"/>
      <c r="N1398"/>
      <c r="O1398"/>
      <c r="P1398"/>
      <c r="Q1398"/>
      <c r="R1398"/>
      <c r="S1398"/>
      <c r="T1398"/>
    </row>
    <row r="1399" spans="1:20" outlineLevel="4" x14ac:dyDescent="0.3">
      <c r="A1399" s="82" t="s">
        <v>2181</v>
      </c>
      <c r="B1399" s="10" t="s">
        <v>815</v>
      </c>
      <c r="C1399" s="60" t="s">
        <v>816</v>
      </c>
      <c r="D1399" s="44" t="s">
        <v>121</v>
      </c>
      <c r="E1399" s="84">
        <v>0</v>
      </c>
      <c r="F1399" s="84"/>
      <c r="G1399" s="94">
        <f>cell_CoefGeneral</f>
        <v>1</v>
      </c>
      <c r="H1399" s="93">
        <f>H262</f>
        <v>280</v>
      </c>
      <c r="I1399" s="84">
        <f>IFERROR(ROUND(E1399*H1399,2),"-")</f>
        <v>0</v>
      </c>
      <c r="J1399" s="105">
        <f>IFERROR(I1399/cell_Total_HT,"-")</f>
        <v>0</v>
      </c>
      <c r="K1399">
        <f>I1399</f>
        <v>0</v>
      </c>
      <c r="L1399"/>
      <c r="M1399"/>
      <c r="N1399"/>
      <c r="O1399"/>
      <c r="P1399"/>
      <c r="Q1399"/>
      <c r="R1399"/>
      <c r="S1399"/>
      <c r="T1399"/>
    </row>
    <row r="1400" spans="1:20" outlineLevel="4" x14ac:dyDescent="0.3">
      <c r="A1400" s="82" t="s">
        <v>2182</v>
      </c>
      <c r="B1400" s="10" t="s">
        <v>818</v>
      </c>
      <c r="C1400" s="60" t="s">
        <v>819</v>
      </c>
      <c r="D1400" s="44" t="s">
        <v>121</v>
      </c>
      <c r="E1400" s="84">
        <v>0</v>
      </c>
      <c r="F1400" s="84"/>
      <c r="G1400" s="94">
        <f>cell_CoefGeneral</f>
        <v>1</v>
      </c>
      <c r="H1400" s="93">
        <f>H263</f>
        <v>400</v>
      </c>
      <c r="I1400" s="84">
        <f>IFERROR(ROUND(E1400*H1400,2),"-")</f>
        <v>0</v>
      </c>
      <c r="J1400" s="105">
        <f>IFERROR(I1400/cell_Total_HT,"-")</f>
        <v>0</v>
      </c>
      <c r="K1400">
        <f>I1400</f>
        <v>0</v>
      </c>
      <c r="L1400"/>
      <c r="M1400"/>
      <c r="N1400"/>
      <c r="O1400"/>
      <c r="P1400"/>
      <c r="Q1400"/>
      <c r="R1400"/>
      <c r="S1400"/>
      <c r="T1400"/>
    </row>
    <row r="1401" spans="1:20" outlineLevel="4" x14ac:dyDescent="0.3">
      <c r="A1401" s="82" t="s">
        <v>2183</v>
      </c>
      <c r="B1401" s="10" t="s">
        <v>821</v>
      </c>
      <c r="C1401" s="60" t="s">
        <v>822</v>
      </c>
      <c r="D1401" s="44" t="s">
        <v>121</v>
      </c>
      <c r="E1401" s="84">
        <v>0</v>
      </c>
      <c r="F1401" s="84"/>
      <c r="G1401" s="94">
        <f>cell_CoefGeneral</f>
        <v>1</v>
      </c>
      <c r="H1401" s="93">
        <f>H264</f>
        <v>520</v>
      </c>
      <c r="I1401" s="84">
        <f>IFERROR(ROUND(E1401*H1401,2),"-")</f>
        <v>0</v>
      </c>
      <c r="J1401" s="105">
        <f>IFERROR(I1401/cell_Total_HT,"-")</f>
        <v>0</v>
      </c>
      <c r="K1401">
        <f>I1401</f>
        <v>0</v>
      </c>
      <c r="L1401"/>
      <c r="M1401"/>
      <c r="N1401"/>
      <c r="O1401"/>
      <c r="P1401"/>
      <c r="Q1401"/>
      <c r="R1401"/>
      <c r="S1401"/>
      <c r="T1401"/>
    </row>
    <row r="1402" spans="1:20" outlineLevel="3" x14ac:dyDescent="0.3">
      <c r="A1402" s="82" t="s">
        <v>2184</v>
      </c>
      <c r="B1402" s="10" t="s">
        <v>824</v>
      </c>
      <c r="C1402" s="60" t="s">
        <v>781</v>
      </c>
      <c r="D1402" s="44" t="s">
        <v>80</v>
      </c>
      <c r="E1402" s="84">
        <v>0</v>
      </c>
      <c r="F1402" s="84"/>
      <c r="G1402" s="94">
        <f>cell_CoefGeneral</f>
        <v>1</v>
      </c>
      <c r="H1402" s="93">
        <f>H265</f>
        <v>31</v>
      </c>
      <c r="I1402" s="84">
        <f>IFERROR(ROUND(E1402*H1402,2),"-")</f>
        <v>0</v>
      </c>
      <c r="J1402" s="105">
        <f>IFERROR(I1402/cell_Total_HT,"-")</f>
        <v>0</v>
      </c>
      <c r="K1402">
        <f>I1402</f>
        <v>0</v>
      </c>
      <c r="L1402"/>
      <c r="M1402"/>
      <c r="N1402"/>
      <c r="O1402"/>
      <c r="P1402"/>
      <c r="Q1402"/>
      <c r="R1402"/>
      <c r="S1402"/>
      <c r="T1402"/>
    </row>
    <row r="1403" spans="1:20" ht="15" outlineLevel="3" thickBot="1" x14ac:dyDescent="0.35">
      <c r="A1403" s="82" t="s">
        <v>2185</v>
      </c>
      <c r="B1403" s="10" t="s">
        <v>826</v>
      </c>
      <c r="C1403" s="60" t="s">
        <v>827</v>
      </c>
      <c r="D1403" s="44" t="s">
        <v>121</v>
      </c>
      <c r="E1403" s="84">
        <v>0</v>
      </c>
      <c r="F1403" s="84"/>
      <c r="G1403" s="94">
        <f>cell_CoefGeneral</f>
        <v>1</v>
      </c>
      <c r="H1403" s="93">
        <f>H266</f>
        <v>230</v>
      </c>
      <c r="I1403" s="84">
        <f>IFERROR(ROUND(E1403*H1403,2),"-")</f>
        <v>0</v>
      </c>
      <c r="J1403" s="105">
        <f>IFERROR(I1403/cell_Total_HT,"-")</f>
        <v>0</v>
      </c>
      <c r="K1403">
        <f>I1403</f>
        <v>0</v>
      </c>
      <c r="L1403"/>
      <c r="M1403"/>
      <c r="N1403"/>
      <c r="O1403"/>
      <c r="P1403"/>
      <c r="Q1403"/>
      <c r="R1403"/>
      <c r="S1403"/>
      <c r="T1403"/>
    </row>
    <row r="1404" spans="1:20" ht="15" outlineLevel="2" thickTop="1" x14ac:dyDescent="0.3">
      <c r="A1404" s="82" t="s">
        <v>2186</v>
      </c>
      <c r="B1404" s="62" t="s">
        <v>60</v>
      </c>
      <c r="C1404" s="63" t="s">
        <v>829</v>
      </c>
      <c r="D1404" s="116"/>
      <c r="E1404" s="88"/>
      <c r="F1404" s="88"/>
      <c r="G1404" s="98"/>
      <c r="H1404" s="88"/>
      <c r="I1404" s="88">
        <f>SUBTOTAL(9,I1392:I1403)</f>
        <v>0</v>
      </c>
      <c r="J1404" s="109"/>
      <c r="K1404"/>
      <c r="L1404"/>
      <c r="M1404"/>
      <c r="N1404"/>
      <c r="O1404"/>
      <c r="P1404"/>
      <c r="Q1404"/>
      <c r="R1404"/>
      <c r="S1404"/>
      <c r="T1404"/>
    </row>
    <row r="1405" spans="1:20" outlineLevel="2" x14ac:dyDescent="0.3">
      <c r="A1405" s="82" t="s">
        <v>2187</v>
      </c>
      <c r="B1405" s="64" t="s">
        <v>831</v>
      </c>
      <c r="C1405" s="65" t="s">
        <v>832</v>
      </c>
      <c r="D1405" s="117"/>
      <c r="E1405" s="87"/>
      <c r="F1405" s="87"/>
      <c r="G1405" s="97"/>
      <c r="H1405" s="87"/>
      <c r="I1405" s="104">
        <f>SUBTOTAL(9,K1406:K1428)</f>
        <v>2302</v>
      </c>
      <c r="J1405" s="108"/>
      <c r="K1405"/>
      <c r="L1405"/>
      <c r="M1405"/>
      <c r="N1405"/>
      <c r="O1405"/>
      <c r="P1405"/>
      <c r="Q1405"/>
      <c r="R1405"/>
      <c r="S1405"/>
      <c r="T1405"/>
    </row>
    <row r="1406" spans="1:20" outlineLevel="3" x14ac:dyDescent="0.3">
      <c r="A1406" s="82" t="s">
        <v>2188</v>
      </c>
      <c r="B1406" s="64" t="s">
        <v>834</v>
      </c>
      <c r="C1406" s="66" t="s">
        <v>835</v>
      </c>
      <c r="D1406" s="117"/>
      <c r="E1406" s="87"/>
      <c r="F1406" s="87"/>
      <c r="G1406" s="97"/>
      <c r="H1406" s="87"/>
      <c r="I1406" s="104">
        <f>SUBTOTAL(9,K1407:K1409)</f>
        <v>918</v>
      </c>
      <c r="J1406" s="108"/>
      <c r="K1406"/>
      <c r="L1406"/>
      <c r="M1406"/>
      <c r="N1406"/>
      <c r="O1406"/>
      <c r="P1406"/>
      <c r="Q1406"/>
      <c r="R1406"/>
      <c r="S1406"/>
      <c r="T1406"/>
    </row>
    <row r="1407" spans="1:20" outlineLevel="4" x14ac:dyDescent="0.3">
      <c r="A1407" s="82" t="s">
        <v>2189</v>
      </c>
      <c r="B1407" s="10" t="s">
        <v>837</v>
      </c>
      <c r="C1407" s="60" t="s">
        <v>795</v>
      </c>
      <c r="D1407" s="44" t="s">
        <v>80</v>
      </c>
      <c r="E1407" s="84">
        <v>0</v>
      </c>
      <c r="F1407" s="84"/>
      <c r="G1407" s="94">
        <f>cell_CoefGeneral</f>
        <v>1</v>
      </c>
      <c r="H1407" s="93">
        <f>H270</f>
        <v>55</v>
      </c>
      <c r="I1407" s="84">
        <f>IFERROR(ROUND(E1407*H1407,2),"-")</f>
        <v>0</v>
      </c>
      <c r="J1407" s="105">
        <f>IFERROR(I1407/cell_Total_HT,"-")</f>
        <v>0</v>
      </c>
      <c r="K1407">
        <f>I1407</f>
        <v>0</v>
      </c>
      <c r="L1407"/>
      <c r="M1407"/>
      <c r="N1407"/>
      <c r="O1407"/>
      <c r="P1407"/>
      <c r="Q1407"/>
      <c r="R1407"/>
      <c r="S1407"/>
      <c r="T1407"/>
    </row>
    <row r="1408" spans="1:20" outlineLevel="4" x14ac:dyDescent="0.3">
      <c r="A1408" s="82" t="s">
        <v>2190</v>
      </c>
      <c r="B1408" s="10" t="s">
        <v>839</v>
      </c>
      <c r="C1408" s="60" t="s">
        <v>798</v>
      </c>
      <c r="D1408" s="44" t="s">
        <v>80</v>
      </c>
      <c r="E1408" s="84">
        <v>51</v>
      </c>
      <c r="F1408" s="84"/>
      <c r="G1408" s="94">
        <f>cell_CoefGeneral</f>
        <v>1</v>
      </c>
      <c r="H1408" s="93">
        <f>H271</f>
        <v>18</v>
      </c>
      <c r="I1408" s="84">
        <f>IFERROR(ROUND(E1408*H1408,2),"-")</f>
        <v>918</v>
      </c>
      <c r="J1408" s="105">
        <f>IFERROR(I1408/cell_Total_HT,"-")</f>
        <v>2.7101459094731569E-4</v>
      </c>
      <c r="K1408">
        <f>I1408</f>
        <v>918</v>
      </c>
      <c r="L1408"/>
      <c r="M1408"/>
      <c r="N1408"/>
      <c r="O1408"/>
      <c r="P1408"/>
      <c r="Q1408"/>
      <c r="R1408"/>
      <c r="S1408"/>
      <c r="T1408"/>
    </row>
    <row r="1409" spans="1:20" outlineLevel="4" x14ac:dyDescent="0.3">
      <c r="A1409" s="82" t="s">
        <v>2191</v>
      </c>
      <c r="B1409" s="10" t="s">
        <v>841</v>
      </c>
      <c r="C1409" s="60" t="s">
        <v>842</v>
      </c>
      <c r="D1409" s="44" t="s">
        <v>80</v>
      </c>
      <c r="E1409" s="84">
        <v>0</v>
      </c>
      <c r="F1409" s="84"/>
      <c r="G1409" s="94">
        <f>cell_CoefGeneral</f>
        <v>1</v>
      </c>
      <c r="H1409" s="93">
        <f>H272</f>
        <v>66</v>
      </c>
      <c r="I1409" s="84">
        <f>IFERROR(ROUND(E1409*H1409,2),"-")</f>
        <v>0</v>
      </c>
      <c r="J1409" s="105">
        <f>IFERROR(I1409/cell_Total_HT,"-")</f>
        <v>0</v>
      </c>
      <c r="K1409">
        <f>I1409</f>
        <v>0</v>
      </c>
      <c r="L1409"/>
      <c r="M1409"/>
      <c r="N1409"/>
      <c r="O1409"/>
      <c r="P1409"/>
      <c r="Q1409"/>
      <c r="R1409"/>
      <c r="S1409"/>
      <c r="T1409"/>
    </row>
    <row r="1410" spans="1:20" outlineLevel="3" x14ac:dyDescent="0.3">
      <c r="A1410" s="82" t="s">
        <v>2192</v>
      </c>
      <c r="B1410" s="58" t="s">
        <v>844</v>
      </c>
      <c r="C1410" s="61" t="s">
        <v>845</v>
      </c>
      <c r="D1410" s="115"/>
      <c r="E1410" s="87"/>
      <c r="F1410" s="87"/>
      <c r="G1410" s="97"/>
      <c r="H1410" s="87"/>
      <c r="I1410" s="104">
        <f>SUBTOTAL(9,K1411:K1414)</f>
        <v>159.6</v>
      </c>
      <c r="J1410" s="108"/>
      <c r="K1410"/>
      <c r="L1410"/>
      <c r="M1410"/>
      <c r="N1410"/>
      <c r="O1410"/>
      <c r="P1410"/>
      <c r="Q1410"/>
      <c r="R1410"/>
      <c r="S1410"/>
      <c r="T1410"/>
    </row>
    <row r="1411" spans="1:20" outlineLevel="4" x14ac:dyDescent="0.3">
      <c r="A1411" s="82" t="s">
        <v>2193</v>
      </c>
      <c r="B1411" s="10" t="s">
        <v>847</v>
      </c>
      <c r="C1411" s="60" t="s">
        <v>848</v>
      </c>
      <c r="D1411" s="44" t="s">
        <v>80</v>
      </c>
      <c r="E1411" s="84">
        <v>0</v>
      </c>
      <c r="F1411" s="84"/>
      <c r="G1411" s="94">
        <f>cell_CoefGeneral</f>
        <v>1</v>
      </c>
      <c r="H1411" s="93">
        <f>H274</f>
        <v>2.6</v>
      </c>
      <c r="I1411" s="84">
        <f>IFERROR(ROUND(E1411*H1411,2),"-")</f>
        <v>0</v>
      </c>
      <c r="J1411" s="105">
        <f>IFERROR(I1411/cell_Total_HT,"-")</f>
        <v>0</v>
      </c>
      <c r="K1411">
        <f>I1411</f>
        <v>0</v>
      </c>
      <c r="L1411"/>
      <c r="M1411"/>
      <c r="N1411"/>
      <c r="O1411"/>
      <c r="P1411"/>
      <c r="Q1411"/>
      <c r="R1411"/>
      <c r="S1411"/>
      <c r="T1411"/>
    </row>
    <row r="1412" spans="1:20" outlineLevel="4" x14ac:dyDescent="0.3">
      <c r="A1412" s="82" t="s">
        <v>2194</v>
      </c>
      <c r="B1412" s="10" t="s">
        <v>850</v>
      </c>
      <c r="C1412" s="60" t="s">
        <v>851</v>
      </c>
      <c r="D1412" s="44" t="s">
        <v>80</v>
      </c>
      <c r="E1412" s="84">
        <v>57</v>
      </c>
      <c r="F1412" s="84"/>
      <c r="G1412" s="94">
        <f>cell_CoefGeneral</f>
        <v>1</v>
      </c>
      <c r="H1412" s="93">
        <f>H275</f>
        <v>2.8</v>
      </c>
      <c r="I1412" s="84">
        <f>IFERROR(ROUND(E1412*H1412,2),"-")</f>
        <v>159.6</v>
      </c>
      <c r="J1412" s="105">
        <f>IFERROR(I1412/cell_Total_HT,"-")</f>
        <v>4.7117569406526781E-5</v>
      </c>
      <c r="K1412">
        <f>I1412</f>
        <v>159.6</v>
      </c>
      <c r="L1412"/>
      <c r="M1412"/>
      <c r="N1412"/>
      <c r="O1412"/>
      <c r="P1412"/>
      <c r="Q1412"/>
      <c r="R1412"/>
      <c r="S1412"/>
      <c r="T1412"/>
    </row>
    <row r="1413" spans="1:20" outlineLevel="4" x14ac:dyDescent="0.3">
      <c r="A1413" s="82" t="s">
        <v>2195</v>
      </c>
      <c r="B1413" s="10" t="s">
        <v>853</v>
      </c>
      <c r="C1413" s="60" t="s">
        <v>854</v>
      </c>
      <c r="D1413" s="44" t="s">
        <v>80</v>
      </c>
      <c r="E1413" s="84">
        <v>0</v>
      </c>
      <c r="F1413" s="84"/>
      <c r="G1413" s="94">
        <f>cell_CoefGeneral</f>
        <v>1</v>
      </c>
      <c r="H1413" s="93">
        <f>H276</f>
        <v>3.2</v>
      </c>
      <c r="I1413" s="84">
        <f>IFERROR(ROUND(E1413*H1413,2),"-")</f>
        <v>0</v>
      </c>
      <c r="J1413" s="105">
        <f>IFERROR(I1413/cell_Total_HT,"-")</f>
        <v>0</v>
      </c>
      <c r="K1413">
        <f>I1413</f>
        <v>0</v>
      </c>
      <c r="L1413"/>
      <c r="M1413"/>
      <c r="N1413"/>
      <c r="O1413"/>
      <c r="P1413"/>
      <c r="Q1413"/>
      <c r="R1413"/>
      <c r="S1413"/>
      <c r="T1413"/>
    </row>
    <row r="1414" spans="1:20" outlineLevel="4" x14ac:dyDescent="0.3">
      <c r="A1414" s="82" t="s">
        <v>2196</v>
      </c>
      <c r="B1414" s="10" t="s">
        <v>856</v>
      </c>
      <c r="C1414" s="60" t="s">
        <v>857</v>
      </c>
      <c r="D1414" s="44" t="s">
        <v>80</v>
      </c>
      <c r="E1414" s="84">
        <v>0</v>
      </c>
      <c r="F1414" s="84"/>
      <c r="G1414" s="94">
        <f>cell_CoefGeneral</f>
        <v>1</v>
      </c>
      <c r="H1414" s="93">
        <f>H277</f>
        <v>3.6</v>
      </c>
      <c r="I1414" s="84">
        <f>IFERROR(ROUND(E1414*H1414,2),"-")</f>
        <v>0</v>
      </c>
      <c r="J1414" s="105">
        <f>IFERROR(I1414/cell_Total_HT,"-")</f>
        <v>0</v>
      </c>
      <c r="K1414">
        <f>I1414</f>
        <v>0</v>
      </c>
      <c r="L1414"/>
      <c r="M1414"/>
      <c r="N1414"/>
      <c r="O1414"/>
      <c r="P1414"/>
      <c r="Q1414"/>
      <c r="R1414"/>
      <c r="S1414"/>
      <c r="T1414"/>
    </row>
    <row r="1415" spans="1:20" outlineLevel="3" x14ac:dyDescent="0.3">
      <c r="A1415" s="82" t="s">
        <v>2197</v>
      </c>
      <c r="B1415" s="10" t="s">
        <v>859</v>
      </c>
      <c r="C1415" s="60" t="s">
        <v>860</v>
      </c>
      <c r="D1415" s="44" t="s">
        <v>80</v>
      </c>
      <c r="E1415" s="84">
        <v>51</v>
      </c>
      <c r="F1415" s="84"/>
      <c r="G1415" s="94">
        <f>cell_CoefGeneral</f>
        <v>1</v>
      </c>
      <c r="H1415" s="93">
        <f>H278</f>
        <v>4.4000000000000004</v>
      </c>
      <c r="I1415" s="84">
        <f>IFERROR(ROUND(E1415*H1415,2),"-")</f>
        <v>224.4</v>
      </c>
      <c r="J1415" s="105">
        <f>IFERROR(I1415/cell_Total_HT,"-")</f>
        <v>6.624801112045496E-5</v>
      </c>
      <c r="K1415">
        <f>I1415</f>
        <v>224.4</v>
      </c>
      <c r="L1415"/>
      <c r="M1415"/>
      <c r="N1415"/>
      <c r="O1415"/>
      <c r="P1415"/>
      <c r="Q1415"/>
      <c r="R1415"/>
      <c r="S1415"/>
      <c r="T1415"/>
    </row>
    <row r="1416" spans="1:20" outlineLevel="3" x14ac:dyDescent="0.3">
      <c r="A1416" s="82" t="s">
        <v>2198</v>
      </c>
      <c r="B1416" s="58" t="s">
        <v>862</v>
      </c>
      <c r="C1416" s="61" t="s">
        <v>863</v>
      </c>
      <c r="D1416" s="115"/>
      <c r="E1416" s="87"/>
      <c r="F1416" s="87"/>
      <c r="G1416" s="97"/>
      <c r="H1416" s="87"/>
      <c r="I1416" s="104">
        <f>SUBTOTAL(9,K1417:K1419)</f>
        <v>320</v>
      </c>
      <c r="J1416" s="108"/>
      <c r="K1416"/>
      <c r="L1416"/>
      <c r="M1416"/>
      <c r="N1416"/>
      <c r="O1416"/>
      <c r="P1416"/>
      <c r="Q1416"/>
      <c r="R1416"/>
      <c r="S1416"/>
      <c r="T1416"/>
    </row>
    <row r="1417" spans="1:20" outlineLevel="4" x14ac:dyDescent="0.3">
      <c r="A1417" s="82" t="s">
        <v>2199</v>
      </c>
      <c r="B1417" s="10" t="s">
        <v>865</v>
      </c>
      <c r="C1417" s="60" t="s">
        <v>866</v>
      </c>
      <c r="D1417" s="44" t="s">
        <v>121</v>
      </c>
      <c r="E1417" s="84">
        <v>1</v>
      </c>
      <c r="F1417" s="84"/>
      <c r="G1417" s="94">
        <f>cell_CoefGeneral</f>
        <v>1</v>
      </c>
      <c r="H1417" s="93">
        <f>H280</f>
        <v>320</v>
      </c>
      <c r="I1417" s="84">
        <f>IFERROR(ROUND(E1417*H1417,2),"-")</f>
        <v>320</v>
      </c>
      <c r="J1417" s="105">
        <f>IFERROR(I1417/cell_Total_HT,"-")</f>
        <v>9.4471317105818109E-5</v>
      </c>
      <c r="K1417">
        <f>I1417</f>
        <v>320</v>
      </c>
      <c r="L1417"/>
      <c r="M1417"/>
      <c r="N1417"/>
      <c r="O1417"/>
      <c r="P1417"/>
      <c r="Q1417"/>
      <c r="R1417"/>
      <c r="S1417"/>
      <c r="T1417"/>
    </row>
    <row r="1418" spans="1:20" outlineLevel="4" x14ac:dyDescent="0.3">
      <c r="A1418" s="82" t="s">
        <v>2200</v>
      </c>
      <c r="B1418" s="10" t="s">
        <v>868</v>
      </c>
      <c r="C1418" s="60" t="s">
        <v>869</v>
      </c>
      <c r="D1418" s="44" t="s">
        <v>121</v>
      </c>
      <c r="E1418" s="84">
        <v>0</v>
      </c>
      <c r="F1418" s="84"/>
      <c r="G1418" s="94">
        <f>cell_CoefGeneral</f>
        <v>1</v>
      </c>
      <c r="H1418" s="93">
        <f>H281</f>
        <v>510</v>
      </c>
      <c r="I1418" s="84">
        <f>IFERROR(ROUND(E1418*H1418,2),"-")</f>
        <v>0</v>
      </c>
      <c r="J1418" s="105">
        <f>IFERROR(I1418/cell_Total_HT,"-")</f>
        <v>0</v>
      </c>
      <c r="K1418">
        <f>I1418</f>
        <v>0</v>
      </c>
      <c r="L1418"/>
      <c r="M1418"/>
      <c r="N1418"/>
      <c r="O1418"/>
      <c r="P1418"/>
      <c r="Q1418"/>
      <c r="R1418"/>
      <c r="S1418"/>
      <c r="T1418"/>
    </row>
    <row r="1419" spans="1:20" outlineLevel="4" x14ac:dyDescent="0.3">
      <c r="A1419" s="82" t="s">
        <v>2201</v>
      </c>
      <c r="B1419" s="10" t="s">
        <v>871</v>
      </c>
      <c r="C1419" s="60" t="s">
        <v>819</v>
      </c>
      <c r="D1419" s="44" t="s">
        <v>121</v>
      </c>
      <c r="E1419" s="84">
        <v>0</v>
      </c>
      <c r="F1419" s="84"/>
      <c r="G1419" s="94">
        <f>cell_CoefGeneral</f>
        <v>1</v>
      </c>
      <c r="H1419" s="93">
        <f>H282</f>
        <v>400</v>
      </c>
      <c r="I1419" s="84">
        <f>IFERROR(ROUND(E1419*H1419,2),"-")</f>
        <v>0</v>
      </c>
      <c r="J1419" s="105">
        <f>IFERROR(I1419/cell_Total_HT,"-")</f>
        <v>0</v>
      </c>
      <c r="K1419">
        <f>I1419</f>
        <v>0</v>
      </c>
      <c r="L1419"/>
      <c r="M1419"/>
      <c r="N1419"/>
      <c r="O1419"/>
      <c r="P1419"/>
      <c r="Q1419"/>
      <c r="R1419"/>
      <c r="S1419"/>
      <c r="T1419"/>
    </row>
    <row r="1420" spans="1:20" outlineLevel="3" x14ac:dyDescent="0.3">
      <c r="A1420" s="82" t="s">
        <v>2202</v>
      </c>
      <c r="B1420" s="10" t="s">
        <v>873</v>
      </c>
      <c r="C1420" s="60" t="s">
        <v>874</v>
      </c>
      <c r="D1420" s="44" t="s">
        <v>121</v>
      </c>
      <c r="E1420" s="84">
        <v>0</v>
      </c>
      <c r="F1420" s="84"/>
      <c r="G1420" s="94">
        <f>cell_CoefGeneral</f>
        <v>1</v>
      </c>
      <c r="H1420" s="93">
        <f>H283</f>
        <v>370</v>
      </c>
      <c r="I1420" s="84">
        <f>IFERROR(ROUND(E1420*H1420,2),"-")</f>
        <v>0</v>
      </c>
      <c r="J1420" s="105">
        <f>IFERROR(I1420/cell_Total_HT,"-")</f>
        <v>0</v>
      </c>
      <c r="K1420">
        <f>I1420</f>
        <v>0</v>
      </c>
      <c r="L1420"/>
      <c r="M1420"/>
      <c r="N1420"/>
      <c r="O1420"/>
      <c r="P1420"/>
      <c r="Q1420"/>
      <c r="R1420"/>
      <c r="S1420"/>
      <c r="T1420"/>
    </row>
    <row r="1421" spans="1:20" outlineLevel="3" x14ac:dyDescent="0.3">
      <c r="A1421" s="82" t="s">
        <v>2203</v>
      </c>
      <c r="B1421" s="10" t="s">
        <v>876</v>
      </c>
      <c r="C1421" s="60" t="s">
        <v>877</v>
      </c>
      <c r="D1421" s="44" t="s">
        <v>121</v>
      </c>
      <c r="E1421" s="84">
        <v>0</v>
      </c>
      <c r="F1421" s="84"/>
      <c r="G1421" s="94">
        <f>cell_CoefGeneral</f>
        <v>1</v>
      </c>
      <c r="H1421" s="93">
        <f>H284</f>
        <v>880</v>
      </c>
      <c r="I1421" s="84">
        <f>IFERROR(ROUND(E1421*H1421,2),"-")</f>
        <v>0</v>
      </c>
      <c r="J1421" s="105">
        <f>IFERROR(I1421/cell_Total_HT,"-")</f>
        <v>0</v>
      </c>
      <c r="K1421">
        <f>I1421</f>
        <v>0</v>
      </c>
      <c r="L1421"/>
      <c r="M1421"/>
      <c r="N1421"/>
      <c r="O1421"/>
      <c r="P1421"/>
      <c r="Q1421"/>
      <c r="R1421"/>
      <c r="S1421"/>
      <c r="T1421"/>
    </row>
    <row r="1422" spans="1:20" outlineLevel="3" x14ac:dyDescent="0.3">
      <c r="A1422" s="82" t="s">
        <v>2204</v>
      </c>
      <c r="B1422" s="58" t="s">
        <v>879</v>
      </c>
      <c r="C1422" s="61" t="s">
        <v>880</v>
      </c>
      <c r="D1422" s="115"/>
      <c r="E1422" s="87"/>
      <c r="F1422" s="87"/>
      <c r="G1422" s="97"/>
      <c r="H1422" s="87"/>
      <c r="I1422" s="104">
        <f>SUBTOTAL(9,K1423:K1426)</f>
        <v>510</v>
      </c>
      <c r="J1422" s="108"/>
      <c r="K1422"/>
      <c r="L1422"/>
      <c r="M1422"/>
      <c r="N1422"/>
      <c r="O1422"/>
      <c r="P1422"/>
      <c r="Q1422"/>
      <c r="R1422"/>
      <c r="S1422"/>
      <c r="T1422"/>
    </row>
    <row r="1423" spans="1:20" outlineLevel="4" x14ac:dyDescent="0.3">
      <c r="A1423" s="82" t="s">
        <v>2205</v>
      </c>
      <c r="B1423" s="10" t="s">
        <v>882</v>
      </c>
      <c r="C1423" s="60" t="s">
        <v>883</v>
      </c>
      <c r="D1423" s="44" t="s">
        <v>121</v>
      </c>
      <c r="E1423" s="84">
        <v>3</v>
      </c>
      <c r="F1423" s="84"/>
      <c r="G1423" s="94">
        <f t="shared" ref="G1423:G1428" si="217">cell_CoefGeneral</f>
        <v>1</v>
      </c>
      <c r="H1423" s="93">
        <f t="shared" ref="H1423:H1428" si="218">H286</f>
        <v>170</v>
      </c>
      <c r="I1423" s="84">
        <f t="shared" ref="I1423:I1428" si="219">IFERROR(ROUND(E1423*H1423,2),"-")</f>
        <v>510</v>
      </c>
      <c r="J1423" s="105">
        <f t="shared" ref="J1423:J1428" si="220">IFERROR(I1423/cell_Total_HT,"-")</f>
        <v>1.5056366163739761E-4</v>
      </c>
      <c r="K1423">
        <f t="shared" ref="K1423:K1428" si="221">I1423</f>
        <v>510</v>
      </c>
      <c r="L1423"/>
      <c r="M1423"/>
      <c r="N1423"/>
      <c r="O1423"/>
      <c r="P1423"/>
      <c r="Q1423"/>
      <c r="R1423"/>
      <c r="S1423"/>
      <c r="T1423"/>
    </row>
    <row r="1424" spans="1:20" outlineLevel="4" x14ac:dyDescent="0.3">
      <c r="A1424" s="82" t="s">
        <v>2206</v>
      </c>
      <c r="B1424" s="10" t="s">
        <v>885</v>
      </c>
      <c r="C1424" s="60" t="s">
        <v>886</v>
      </c>
      <c r="D1424" s="44" t="s">
        <v>121</v>
      </c>
      <c r="E1424" s="84">
        <v>0</v>
      </c>
      <c r="F1424" s="84"/>
      <c r="G1424" s="94">
        <f t="shared" si="217"/>
        <v>1</v>
      </c>
      <c r="H1424" s="93">
        <f t="shared" si="218"/>
        <v>240</v>
      </c>
      <c r="I1424" s="84">
        <f t="shared" si="219"/>
        <v>0</v>
      </c>
      <c r="J1424" s="105">
        <f t="shared" si="220"/>
        <v>0</v>
      </c>
      <c r="K1424">
        <f t="shared" si="221"/>
        <v>0</v>
      </c>
      <c r="L1424"/>
      <c r="M1424"/>
      <c r="N1424"/>
      <c r="O1424"/>
      <c r="P1424"/>
      <c r="Q1424"/>
      <c r="R1424"/>
      <c r="S1424"/>
      <c r="T1424"/>
    </row>
    <row r="1425" spans="1:20" outlineLevel="4" x14ac:dyDescent="0.3">
      <c r="A1425" s="82" t="s">
        <v>2207</v>
      </c>
      <c r="B1425" s="10" t="s">
        <v>888</v>
      </c>
      <c r="C1425" s="60" t="s">
        <v>889</v>
      </c>
      <c r="D1425" s="44" t="s">
        <v>121</v>
      </c>
      <c r="E1425" s="84">
        <v>0</v>
      </c>
      <c r="F1425" s="84"/>
      <c r="G1425" s="94">
        <f t="shared" si="217"/>
        <v>1</v>
      </c>
      <c r="H1425" s="93">
        <f t="shared" si="218"/>
        <v>340</v>
      </c>
      <c r="I1425" s="84">
        <f t="shared" si="219"/>
        <v>0</v>
      </c>
      <c r="J1425" s="105">
        <f t="shared" si="220"/>
        <v>0</v>
      </c>
      <c r="K1425">
        <f t="shared" si="221"/>
        <v>0</v>
      </c>
      <c r="L1425"/>
      <c r="M1425"/>
      <c r="N1425"/>
      <c r="O1425"/>
      <c r="P1425"/>
      <c r="Q1425"/>
      <c r="R1425"/>
      <c r="S1425"/>
      <c r="T1425"/>
    </row>
    <row r="1426" spans="1:20" ht="28.8" outlineLevel="4" x14ac:dyDescent="0.3">
      <c r="A1426" s="82" t="s">
        <v>2208</v>
      </c>
      <c r="B1426" s="10" t="s">
        <v>891</v>
      </c>
      <c r="C1426" s="60" t="s">
        <v>892</v>
      </c>
      <c r="D1426" s="44" t="s">
        <v>121</v>
      </c>
      <c r="E1426" s="84">
        <v>0</v>
      </c>
      <c r="F1426" s="84"/>
      <c r="G1426" s="94">
        <f t="shared" si="217"/>
        <v>1</v>
      </c>
      <c r="H1426" s="93">
        <f t="shared" si="218"/>
        <v>710</v>
      </c>
      <c r="I1426" s="84">
        <f t="shared" si="219"/>
        <v>0</v>
      </c>
      <c r="J1426" s="105">
        <f t="shared" si="220"/>
        <v>0</v>
      </c>
      <c r="K1426">
        <f t="shared" si="221"/>
        <v>0</v>
      </c>
      <c r="L1426"/>
      <c r="M1426"/>
      <c r="N1426"/>
      <c r="O1426"/>
      <c r="P1426"/>
      <c r="Q1426"/>
      <c r="R1426"/>
      <c r="S1426"/>
      <c r="T1426"/>
    </row>
    <row r="1427" spans="1:20" outlineLevel="3" x14ac:dyDescent="0.3">
      <c r="A1427" s="82" t="s">
        <v>2209</v>
      </c>
      <c r="B1427" s="10" t="s">
        <v>894</v>
      </c>
      <c r="C1427" s="60" t="s">
        <v>781</v>
      </c>
      <c r="D1427" s="44" t="s">
        <v>80</v>
      </c>
      <c r="E1427" s="84">
        <v>0</v>
      </c>
      <c r="F1427" s="84"/>
      <c r="G1427" s="94">
        <f t="shared" si="217"/>
        <v>1</v>
      </c>
      <c r="H1427" s="93">
        <f t="shared" si="218"/>
        <v>31</v>
      </c>
      <c r="I1427" s="84">
        <f t="shared" si="219"/>
        <v>0</v>
      </c>
      <c r="J1427" s="105">
        <f t="shared" si="220"/>
        <v>0</v>
      </c>
      <c r="K1427">
        <f t="shared" si="221"/>
        <v>0</v>
      </c>
      <c r="L1427"/>
      <c r="M1427"/>
      <c r="N1427"/>
      <c r="O1427"/>
      <c r="P1427"/>
      <c r="Q1427"/>
      <c r="R1427"/>
      <c r="S1427"/>
      <c r="T1427"/>
    </row>
    <row r="1428" spans="1:20" ht="15" outlineLevel="3" thickBot="1" x14ac:dyDescent="0.35">
      <c r="A1428" s="82" t="s">
        <v>2210</v>
      </c>
      <c r="B1428" s="10" t="s">
        <v>896</v>
      </c>
      <c r="C1428" s="60" t="s">
        <v>897</v>
      </c>
      <c r="D1428" s="44" t="s">
        <v>93</v>
      </c>
      <c r="E1428" s="84">
        <v>1</v>
      </c>
      <c r="F1428" s="84"/>
      <c r="G1428" s="94">
        <f t="shared" si="217"/>
        <v>1</v>
      </c>
      <c r="H1428" s="93">
        <f t="shared" si="218"/>
        <v>170</v>
      </c>
      <c r="I1428" s="84">
        <f t="shared" si="219"/>
        <v>170</v>
      </c>
      <c r="J1428" s="105">
        <f t="shared" si="220"/>
        <v>5.0187887212465874E-5</v>
      </c>
      <c r="K1428">
        <f t="shared" si="221"/>
        <v>170</v>
      </c>
      <c r="L1428"/>
      <c r="M1428"/>
      <c r="N1428"/>
      <c r="O1428"/>
      <c r="P1428"/>
      <c r="Q1428"/>
      <c r="R1428"/>
      <c r="S1428"/>
      <c r="T1428"/>
    </row>
    <row r="1429" spans="1:20" ht="15" outlineLevel="2" thickTop="1" x14ac:dyDescent="0.3">
      <c r="A1429" s="82" t="s">
        <v>2211</v>
      </c>
      <c r="B1429" s="62" t="s">
        <v>60</v>
      </c>
      <c r="C1429" s="63" t="s">
        <v>899</v>
      </c>
      <c r="D1429" s="116"/>
      <c r="E1429" s="88"/>
      <c r="F1429" s="88"/>
      <c r="G1429" s="98"/>
      <c r="H1429" s="88"/>
      <c r="I1429" s="88">
        <f>SUBTOTAL(9,I1407:I1428)</f>
        <v>2302</v>
      </c>
      <c r="J1429" s="109"/>
      <c r="K1429"/>
      <c r="L1429"/>
      <c r="M1429"/>
      <c r="N1429"/>
      <c r="O1429"/>
      <c r="P1429"/>
      <c r="Q1429"/>
      <c r="R1429"/>
      <c r="S1429"/>
      <c r="T1429"/>
    </row>
    <row r="1430" spans="1:20" outlineLevel="2" x14ac:dyDescent="0.3">
      <c r="A1430" s="82" t="s">
        <v>2212</v>
      </c>
      <c r="B1430" s="64" t="s">
        <v>901</v>
      </c>
      <c r="C1430" s="65" t="s">
        <v>902</v>
      </c>
      <c r="D1430" s="117"/>
      <c r="E1430" s="87"/>
      <c r="F1430" s="87"/>
      <c r="G1430" s="97"/>
      <c r="H1430" s="87"/>
      <c r="I1430" s="104">
        <f>SUBTOTAL(9,K1431:K1436)</f>
        <v>0</v>
      </c>
      <c r="J1430" s="108"/>
      <c r="K1430"/>
      <c r="L1430"/>
      <c r="M1430"/>
      <c r="N1430"/>
      <c r="O1430"/>
      <c r="P1430"/>
      <c r="Q1430"/>
      <c r="R1430"/>
      <c r="S1430"/>
      <c r="T1430"/>
    </row>
    <row r="1431" spans="1:20" outlineLevel="3" x14ac:dyDescent="0.3">
      <c r="A1431" s="82" t="s">
        <v>2213</v>
      </c>
      <c r="B1431" s="64" t="s">
        <v>904</v>
      </c>
      <c r="C1431" s="66" t="s">
        <v>905</v>
      </c>
      <c r="D1431" s="117"/>
      <c r="E1431" s="87"/>
      <c r="F1431" s="87"/>
      <c r="G1431" s="97"/>
      <c r="H1431" s="87"/>
      <c r="I1431" s="104">
        <f>SUBTOTAL(9,K1432:K1433)</f>
        <v>0</v>
      </c>
      <c r="J1431" s="108"/>
      <c r="K1431"/>
      <c r="L1431"/>
      <c r="M1431"/>
      <c r="N1431"/>
      <c r="O1431"/>
      <c r="P1431"/>
      <c r="Q1431"/>
      <c r="R1431"/>
      <c r="S1431"/>
      <c r="T1431"/>
    </row>
    <row r="1432" spans="1:20" outlineLevel="4" x14ac:dyDescent="0.3">
      <c r="A1432" s="82" t="s">
        <v>2214</v>
      </c>
      <c r="B1432" s="10" t="s">
        <v>907</v>
      </c>
      <c r="C1432" s="60" t="s">
        <v>908</v>
      </c>
      <c r="D1432" s="44" t="s">
        <v>80</v>
      </c>
      <c r="E1432" s="84">
        <v>0</v>
      </c>
      <c r="F1432" s="84"/>
      <c r="G1432" s="94">
        <f>cell_CoefGeneral</f>
        <v>1</v>
      </c>
      <c r="H1432" s="93">
        <f>H295</f>
        <v>50</v>
      </c>
      <c r="I1432" s="84">
        <f>IFERROR(ROUND(E1432*H1432,2),"-")</f>
        <v>0</v>
      </c>
      <c r="J1432" s="105">
        <f>IFERROR(I1432/cell_Total_HT,"-")</f>
        <v>0</v>
      </c>
      <c r="K1432">
        <f>I1432</f>
        <v>0</v>
      </c>
      <c r="L1432"/>
      <c r="M1432"/>
      <c r="N1432"/>
      <c r="O1432"/>
      <c r="P1432"/>
      <c r="Q1432"/>
      <c r="R1432"/>
      <c r="S1432"/>
      <c r="T1432"/>
    </row>
    <row r="1433" spans="1:20" outlineLevel="4" x14ac:dyDescent="0.3">
      <c r="A1433" s="82" t="s">
        <v>2215</v>
      </c>
      <c r="B1433" s="10" t="s">
        <v>910</v>
      </c>
      <c r="C1433" s="60" t="s">
        <v>911</v>
      </c>
      <c r="D1433" s="44" t="s">
        <v>80</v>
      </c>
      <c r="E1433" s="84">
        <v>0</v>
      </c>
      <c r="F1433" s="84"/>
      <c r="G1433" s="94">
        <f>cell_CoefGeneral</f>
        <v>1</v>
      </c>
      <c r="H1433" s="93">
        <f>H296</f>
        <v>38</v>
      </c>
      <c r="I1433" s="84">
        <f>IFERROR(ROUND(E1433*H1433,2),"-")</f>
        <v>0</v>
      </c>
      <c r="J1433" s="105">
        <f>IFERROR(I1433/cell_Total_HT,"-")</f>
        <v>0</v>
      </c>
      <c r="K1433">
        <f>I1433</f>
        <v>0</v>
      </c>
      <c r="L1433"/>
      <c r="M1433"/>
      <c r="N1433"/>
      <c r="O1433"/>
      <c r="P1433"/>
      <c r="Q1433"/>
      <c r="R1433"/>
      <c r="S1433"/>
      <c r="T1433"/>
    </row>
    <row r="1434" spans="1:20" outlineLevel="3" x14ac:dyDescent="0.3">
      <c r="A1434" s="82" t="s">
        <v>2216</v>
      </c>
      <c r="B1434" s="58" t="s">
        <v>913</v>
      </c>
      <c r="C1434" s="61" t="s">
        <v>914</v>
      </c>
      <c r="D1434" s="115"/>
      <c r="E1434" s="87"/>
      <c r="F1434" s="87"/>
      <c r="G1434" s="97"/>
      <c r="H1434" s="87"/>
      <c r="I1434" s="104">
        <f>SUBTOTAL(9,K1435:K1435)</f>
        <v>0</v>
      </c>
      <c r="J1434" s="108"/>
      <c r="K1434"/>
      <c r="L1434"/>
      <c r="M1434"/>
      <c r="N1434"/>
      <c r="O1434"/>
      <c r="P1434"/>
      <c r="Q1434"/>
      <c r="R1434"/>
      <c r="S1434"/>
      <c r="T1434"/>
    </row>
    <row r="1435" spans="1:20" outlineLevel="4" x14ac:dyDescent="0.3">
      <c r="A1435" s="82" t="s">
        <v>2217</v>
      </c>
      <c r="B1435" s="10" t="s">
        <v>916</v>
      </c>
      <c r="C1435" s="60" t="s">
        <v>917</v>
      </c>
      <c r="D1435" s="44" t="s">
        <v>80</v>
      </c>
      <c r="E1435" s="84">
        <v>0</v>
      </c>
      <c r="F1435" s="84"/>
      <c r="G1435" s="94">
        <f>cell_CoefGeneral</f>
        <v>1</v>
      </c>
      <c r="H1435" s="93">
        <f>H298</f>
        <v>4.5</v>
      </c>
      <c r="I1435" s="84">
        <f>IFERROR(ROUND(E1435*H1435,2),"-")</f>
        <v>0</v>
      </c>
      <c r="J1435" s="105">
        <f>IFERROR(I1435/cell_Total_HT,"-")</f>
        <v>0</v>
      </c>
      <c r="K1435">
        <f>I1435</f>
        <v>0</v>
      </c>
      <c r="L1435"/>
      <c r="M1435"/>
      <c r="N1435"/>
      <c r="O1435"/>
      <c r="P1435"/>
      <c r="Q1435"/>
      <c r="R1435"/>
      <c r="S1435"/>
      <c r="T1435"/>
    </row>
    <row r="1436" spans="1:20" ht="15" outlineLevel="3" thickBot="1" x14ac:dyDescent="0.35">
      <c r="A1436" s="82" t="s">
        <v>2218</v>
      </c>
      <c r="B1436" s="10" t="s">
        <v>919</v>
      </c>
      <c r="C1436" s="60" t="s">
        <v>920</v>
      </c>
      <c r="D1436" s="44" t="s">
        <v>80</v>
      </c>
      <c r="E1436" s="84">
        <v>0</v>
      </c>
      <c r="F1436" s="84"/>
      <c r="G1436" s="94">
        <f>cell_CoefGeneral</f>
        <v>1</v>
      </c>
      <c r="H1436" s="93">
        <f>H299</f>
        <v>35</v>
      </c>
      <c r="I1436" s="84">
        <f>IFERROR(ROUND(E1436*H1436,2),"-")</f>
        <v>0</v>
      </c>
      <c r="J1436" s="105">
        <f>IFERROR(I1436/cell_Total_HT,"-")</f>
        <v>0</v>
      </c>
      <c r="K1436">
        <f>I1436</f>
        <v>0</v>
      </c>
      <c r="L1436"/>
      <c r="M1436"/>
      <c r="N1436"/>
      <c r="O1436"/>
      <c r="P1436"/>
      <c r="Q1436"/>
      <c r="R1436"/>
      <c r="S1436"/>
      <c r="T1436"/>
    </row>
    <row r="1437" spans="1:20" ht="15" outlineLevel="2" thickTop="1" x14ac:dyDescent="0.3">
      <c r="A1437" s="82" t="s">
        <v>2219</v>
      </c>
      <c r="B1437" s="62" t="s">
        <v>60</v>
      </c>
      <c r="C1437" s="63" t="s">
        <v>922</v>
      </c>
      <c r="D1437" s="116"/>
      <c r="E1437" s="88"/>
      <c r="F1437" s="88"/>
      <c r="G1437" s="98"/>
      <c r="H1437" s="88"/>
      <c r="I1437" s="88">
        <f>SUBTOTAL(9,I1432:I1436)</f>
        <v>0</v>
      </c>
      <c r="J1437" s="109"/>
      <c r="K1437"/>
      <c r="L1437"/>
      <c r="M1437"/>
      <c r="N1437"/>
      <c r="O1437"/>
      <c r="P1437"/>
      <c r="Q1437"/>
      <c r="R1437"/>
      <c r="S1437"/>
      <c r="T1437"/>
    </row>
    <row r="1438" spans="1:20" outlineLevel="2" x14ac:dyDescent="0.3">
      <c r="A1438" s="82" t="s">
        <v>2220</v>
      </c>
      <c r="B1438" s="64" t="s">
        <v>924</v>
      </c>
      <c r="C1438" s="65" t="s">
        <v>925</v>
      </c>
      <c r="D1438" s="117"/>
      <c r="E1438" s="87"/>
      <c r="F1438" s="87"/>
      <c r="G1438" s="97"/>
      <c r="H1438" s="87"/>
      <c r="I1438" s="104">
        <f>SUBTOTAL(9,K1439:K1445)</f>
        <v>0</v>
      </c>
      <c r="J1438" s="108"/>
      <c r="K1438"/>
      <c r="L1438"/>
      <c r="M1438"/>
      <c r="N1438"/>
      <c r="O1438"/>
      <c r="P1438"/>
      <c r="Q1438"/>
      <c r="R1438"/>
      <c r="S1438"/>
      <c r="T1438"/>
    </row>
    <row r="1439" spans="1:20" outlineLevel="3" x14ac:dyDescent="0.3">
      <c r="A1439" s="82" t="s">
        <v>2221</v>
      </c>
      <c r="B1439" s="64" t="s">
        <v>927</v>
      </c>
      <c r="C1439" s="66" t="s">
        <v>928</v>
      </c>
      <c r="D1439" s="117"/>
      <c r="E1439" s="87"/>
      <c r="F1439" s="87"/>
      <c r="G1439" s="97"/>
      <c r="H1439" s="87"/>
      <c r="I1439" s="104">
        <f>SUBTOTAL(9,K1440:K1440)</f>
        <v>0</v>
      </c>
      <c r="J1439" s="108"/>
      <c r="K1439"/>
      <c r="L1439"/>
      <c r="M1439"/>
      <c r="N1439"/>
      <c r="O1439"/>
      <c r="P1439"/>
      <c r="Q1439"/>
      <c r="R1439"/>
      <c r="S1439"/>
      <c r="T1439"/>
    </row>
    <row r="1440" spans="1:20" outlineLevel="4" x14ac:dyDescent="0.3">
      <c r="A1440" s="82" t="s">
        <v>2222</v>
      </c>
      <c r="B1440" s="10" t="s">
        <v>930</v>
      </c>
      <c r="C1440" s="60" t="s">
        <v>798</v>
      </c>
      <c r="D1440" s="44" t="s">
        <v>80</v>
      </c>
      <c r="E1440" s="84">
        <v>0</v>
      </c>
      <c r="F1440" s="84"/>
      <c r="G1440" s="94">
        <f>cell_CoefGeneral</f>
        <v>1</v>
      </c>
      <c r="H1440" s="93">
        <f>H303</f>
        <v>39</v>
      </c>
      <c r="I1440" s="84">
        <f>IFERROR(ROUND(E1440*H1440,2),"-")</f>
        <v>0</v>
      </c>
      <c r="J1440" s="105">
        <f>IFERROR(I1440/cell_Total_HT,"-")</f>
        <v>0</v>
      </c>
      <c r="K1440">
        <f>I1440</f>
        <v>0</v>
      </c>
      <c r="L1440"/>
      <c r="M1440"/>
      <c r="N1440"/>
      <c r="O1440"/>
      <c r="P1440"/>
      <c r="Q1440"/>
      <c r="R1440"/>
      <c r="S1440"/>
      <c r="T1440"/>
    </row>
    <row r="1441" spans="1:20" outlineLevel="3" x14ac:dyDescent="0.3">
      <c r="A1441" s="82" t="s">
        <v>2223</v>
      </c>
      <c r="B1441" s="58" t="s">
        <v>932</v>
      </c>
      <c r="C1441" s="61" t="s">
        <v>914</v>
      </c>
      <c r="D1441" s="115"/>
      <c r="E1441" s="87"/>
      <c r="F1441" s="87"/>
      <c r="G1441" s="97"/>
      <c r="H1441" s="87"/>
      <c r="I1441" s="104">
        <f>SUBTOTAL(9,K1442:K1443)</f>
        <v>0</v>
      </c>
      <c r="J1441" s="108"/>
      <c r="K1441"/>
      <c r="L1441"/>
      <c r="M1441"/>
      <c r="N1441"/>
      <c r="O1441"/>
      <c r="P1441"/>
      <c r="Q1441"/>
      <c r="R1441"/>
      <c r="S1441"/>
      <c r="T1441"/>
    </row>
    <row r="1442" spans="1:20" outlineLevel="4" x14ac:dyDescent="0.3">
      <c r="A1442" s="82" t="s">
        <v>2224</v>
      </c>
      <c r="B1442" s="10" t="s">
        <v>934</v>
      </c>
      <c r="C1442" s="60" t="s">
        <v>935</v>
      </c>
      <c r="D1442" s="44" t="s">
        <v>80</v>
      </c>
      <c r="E1442" s="84">
        <v>0</v>
      </c>
      <c r="F1442" s="84"/>
      <c r="G1442" s="94">
        <f>cell_CoefGeneral</f>
        <v>1</v>
      </c>
      <c r="H1442" s="93">
        <f>H305</f>
        <v>2.8</v>
      </c>
      <c r="I1442" s="84">
        <f>IFERROR(ROUND(E1442*H1442,2),"-")</f>
        <v>0</v>
      </c>
      <c r="J1442" s="105">
        <f>IFERROR(I1442/cell_Total_HT,"-")</f>
        <v>0</v>
      </c>
      <c r="K1442">
        <f>I1442</f>
        <v>0</v>
      </c>
      <c r="L1442"/>
      <c r="M1442"/>
      <c r="N1442"/>
      <c r="O1442"/>
      <c r="P1442"/>
      <c r="Q1442"/>
      <c r="R1442"/>
      <c r="S1442"/>
      <c r="T1442"/>
    </row>
    <row r="1443" spans="1:20" outlineLevel="4" x14ac:dyDescent="0.3">
      <c r="A1443" s="82" t="s">
        <v>2225</v>
      </c>
      <c r="B1443" s="10" t="s">
        <v>937</v>
      </c>
      <c r="C1443" s="60" t="s">
        <v>938</v>
      </c>
      <c r="D1443" s="44" t="s">
        <v>80</v>
      </c>
      <c r="E1443" s="84">
        <v>0</v>
      </c>
      <c r="F1443" s="84"/>
      <c r="G1443" s="94">
        <f>cell_CoefGeneral</f>
        <v>1</v>
      </c>
      <c r="H1443" s="93">
        <f>H306</f>
        <v>4.5</v>
      </c>
      <c r="I1443" s="84">
        <f>IFERROR(ROUND(E1443*H1443,2),"-")</f>
        <v>0</v>
      </c>
      <c r="J1443" s="105">
        <f>IFERROR(I1443/cell_Total_HT,"-")</f>
        <v>0</v>
      </c>
      <c r="K1443">
        <f>I1443</f>
        <v>0</v>
      </c>
      <c r="L1443"/>
      <c r="M1443"/>
      <c r="N1443"/>
      <c r="O1443"/>
      <c r="P1443"/>
      <c r="Q1443"/>
      <c r="R1443"/>
      <c r="S1443"/>
      <c r="T1443"/>
    </row>
    <row r="1444" spans="1:20" outlineLevel="3" x14ac:dyDescent="0.3">
      <c r="A1444" s="82" t="s">
        <v>2226</v>
      </c>
      <c r="B1444" s="10" t="s">
        <v>940</v>
      </c>
      <c r="C1444" s="60" t="s">
        <v>860</v>
      </c>
      <c r="D1444" s="44" t="s">
        <v>80</v>
      </c>
      <c r="E1444" s="84">
        <v>0</v>
      </c>
      <c r="F1444" s="84"/>
      <c r="G1444" s="94">
        <f>cell_CoefGeneral</f>
        <v>1</v>
      </c>
      <c r="H1444" s="93">
        <f>H307</f>
        <v>4.4000000000000004</v>
      </c>
      <c r="I1444" s="84">
        <f>IFERROR(ROUND(E1444*H1444,2),"-")</f>
        <v>0</v>
      </c>
      <c r="J1444" s="105">
        <f>IFERROR(I1444/cell_Total_HT,"-")</f>
        <v>0</v>
      </c>
      <c r="K1444">
        <f>I1444</f>
        <v>0</v>
      </c>
      <c r="L1444"/>
      <c r="M1444"/>
      <c r="N1444"/>
      <c r="O1444"/>
      <c r="P1444"/>
      <c r="Q1444"/>
      <c r="R1444"/>
      <c r="S1444"/>
      <c r="T1444"/>
    </row>
    <row r="1445" spans="1:20" ht="15" outlineLevel="3" thickBot="1" x14ac:dyDescent="0.35">
      <c r="A1445" s="82" t="s">
        <v>2227</v>
      </c>
      <c r="B1445" s="10" t="s">
        <v>942</v>
      </c>
      <c r="C1445" s="60" t="s">
        <v>897</v>
      </c>
      <c r="D1445" s="44" t="s">
        <v>93</v>
      </c>
      <c r="E1445" s="84">
        <v>0</v>
      </c>
      <c r="F1445" s="84"/>
      <c r="G1445" s="94">
        <f>cell_CoefGeneral</f>
        <v>1</v>
      </c>
      <c r="H1445" s="93">
        <f>H308</f>
        <v>580</v>
      </c>
      <c r="I1445" s="84">
        <f>IFERROR(ROUND(E1445*H1445,2),"-")</f>
        <v>0</v>
      </c>
      <c r="J1445" s="105">
        <f>IFERROR(I1445/cell_Total_HT,"-")</f>
        <v>0</v>
      </c>
      <c r="K1445">
        <f>I1445</f>
        <v>0</v>
      </c>
      <c r="L1445"/>
      <c r="M1445"/>
      <c r="N1445"/>
      <c r="O1445"/>
      <c r="P1445"/>
      <c r="Q1445"/>
      <c r="R1445"/>
      <c r="S1445"/>
      <c r="T1445"/>
    </row>
    <row r="1446" spans="1:20" ht="15" outlineLevel="2" thickTop="1" x14ac:dyDescent="0.3">
      <c r="A1446" s="82" t="s">
        <v>2228</v>
      </c>
      <c r="B1446" s="62" t="s">
        <v>60</v>
      </c>
      <c r="C1446" s="63" t="s">
        <v>944</v>
      </c>
      <c r="D1446" s="116"/>
      <c r="E1446" s="88"/>
      <c r="F1446" s="88"/>
      <c r="G1446" s="98"/>
      <c r="H1446" s="88"/>
      <c r="I1446" s="88">
        <f>SUBTOTAL(9,I1440:I1445)</f>
        <v>0</v>
      </c>
      <c r="J1446" s="109"/>
      <c r="K1446"/>
      <c r="L1446"/>
      <c r="M1446"/>
      <c r="N1446"/>
      <c r="O1446"/>
      <c r="P1446"/>
      <c r="Q1446"/>
      <c r="R1446"/>
      <c r="S1446"/>
      <c r="T1446"/>
    </row>
    <row r="1447" spans="1:20" outlineLevel="2" x14ac:dyDescent="0.3">
      <c r="A1447" s="82" t="s">
        <v>2229</v>
      </c>
      <c r="B1447" s="64" t="s">
        <v>946</v>
      </c>
      <c r="C1447" s="65" t="s">
        <v>947</v>
      </c>
      <c r="D1447" s="117"/>
      <c r="E1447" s="87"/>
      <c r="F1447" s="87"/>
      <c r="G1447" s="97"/>
      <c r="H1447" s="87"/>
      <c r="I1447" s="104">
        <f>SUBTOTAL(9,K1448:K1477)</f>
        <v>372</v>
      </c>
      <c r="J1447" s="108"/>
      <c r="K1447"/>
      <c r="L1447"/>
      <c r="M1447"/>
      <c r="N1447"/>
      <c r="O1447"/>
      <c r="P1447"/>
      <c r="Q1447"/>
      <c r="R1447"/>
      <c r="S1447"/>
      <c r="T1447"/>
    </row>
    <row r="1448" spans="1:20" outlineLevel="3" x14ac:dyDescent="0.3">
      <c r="A1448" s="82" t="s">
        <v>2230</v>
      </c>
      <c r="B1448" s="64" t="s">
        <v>949</v>
      </c>
      <c r="C1448" s="66" t="s">
        <v>950</v>
      </c>
      <c r="D1448" s="117"/>
      <c r="E1448" s="87"/>
      <c r="F1448" s="87"/>
      <c r="G1448" s="97"/>
      <c r="H1448" s="87"/>
      <c r="I1448" s="104">
        <f>SUBTOTAL(9,K1449:K1450)</f>
        <v>0</v>
      </c>
      <c r="J1448" s="108"/>
      <c r="K1448"/>
      <c r="L1448"/>
      <c r="M1448"/>
      <c r="N1448"/>
      <c r="O1448"/>
      <c r="P1448"/>
      <c r="Q1448"/>
      <c r="R1448"/>
      <c r="S1448"/>
      <c r="T1448"/>
    </row>
    <row r="1449" spans="1:20" outlineLevel="4" x14ac:dyDescent="0.3">
      <c r="A1449" s="82" t="s">
        <v>2231</v>
      </c>
      <c r="B1449" s="10" t="s">
        <v>952</v>
      </c>
      <c r="C1449" s="60" t="s">
        <v>953</v>
      </c>
      <c r="D1449" s="44" t="s">
        <v>154</v>
      </c>
      <c r="E1449" s="84">
        <v>0</v>
      </c>
      <c r="F1449" s="84"/>
      <c r="G1449" s="94">
        <f>cell_CoefGeneral</f>
        <v>1</v>
      </c>
      <c r="H1449" s="93">
        <f>H312</f>
        <v>17</v>
      </c>
      <c r="I1449" s="84">
        <f>IFERROR(ROUND(E1449*H1449,2),"-")</f>
        <v>0</v>
      </c>
      <c r="J1449" s="105">
        <f>IFERROR(I1449/cell_Total_HT,"-")</f>
        <v>0</v>
      </c>
      <c r="K1449">
        <f>I1449</f>
        <v>0</v>
      </c>
      <c r="L1449"/>
      <c r="M1449"/>
      <c r="N1449"/>
      <c r="O1449"/>
      <c r="P1449"/>
      <c r="Q1449"/>
      <c r="R1449"/>
      <c r="S1449"/>
      <c r="T1449"/>
    </row>
    <row r="1450" spans="1:20" outlineLevel="4" x14ac:dyDescent="0.3">
      <c r="A1450" s="82" t="s">
        <v>2232</v>
      </c>
      <c r="B1450" s="10" t="s">
        <v>955</v>
      </c>
      <c r="C1450" s="60" t="s">
        <v>956</v>
      </c>
      <c r="D1450" s="44" t="s">
        <v>80</v>
      </c>
      <c r="E1450" s="84">
        <v>0</v>
      </c>
      <c r="F1450" s="84"/>
      <c r="G1450" s="94">
        <f>cell_CoefGeneral</f>
        <v>1</v>
      </c>
      <c r="H1450" s="93">
        <f>H313</f>
        <v>4.4000000000000004</v>
      </c>
      <c r="I1450" s="84">
        <f>IFERROR(ROUND(E1450*H1450,2),"-")</f>
        <v>0</v>
      </c>
      <c r="J1450" s="105">
        <f>IFERROR(I1450/cell_Total_HT,"-")</f>
        <v>0</v>
      </c>
      <c r="K1450">
        <f>I1450</f>
        <v>0</v>
      </c>
      <c r="L1450"/>
      <c r="M1450"/>
      <c r="N1450"/>
      <c r="O1450"/>
      <c r="P1450"/>
      <c r="Q1450"/>
      <c r="R1450"/>
      <c r="S1450"/>
      <c r="T1450"/>
    </row>
    <row r="1451" spans="1:20" outlineLevel="3" x14ac:dyDescent="0.3">
      <c r="A1451" s="82" t="s">
        <v>2233</v>
      </c>
      <c r="B1451" s="58" t="s">
        <v>958</v>
      </c>
      <c r="C1451" s="61" t="s">
        <v>959</v>
      </c>
      <c r="D1451" s="115"/>
      <c r="E1451" s="87"/>
      <c r="F1451" s="87"/>
      <c r="G1451" s="97"/>
      <c r="H1451" s="87"/>
      <c r="I1451" s="104">
        <f>SUBTOTAL(9,K1452:K1462)</f>
        <v>0</v>
      </c>
      <c r="J1451" s="108"/>
      <c r="K1451"/>
      <c r="L1451"/>
      <c r="M1451"/>
      <c r="N1451"/>
      <c r="O1451"/>
      <c r="P1451"/>
      <c r="Q1451"/>
      <c r="R1451"/>
      <c r="S1451"/>
      <c r="T1451"/>
    </row>
    <row r="1452" spans="1:20" outlineLevel="4" x14ac:dyDescent="0.3">
      <c r="A1452" s="82" t="s">
        <v>2234</v>
      </c>
      <c r="B1452" s="10" t="s">
        <v>961</v>
      </c>
      <c r="C1452" s="60" t="s">
        <v>962</v>
      </c>
      <c r="D1452" s="44" t="s">
        <v>80</v>
      </c>
      <c r="E1452" s="84">
        <v>0</v>
      </c>
      <c r="F1452" s="84"/>
      <c r="G1452" s="94">
        <f t="shared" ref="G1452:G1462" si="222">cell_CoefGeneral</f>
        <v>1</v>
      </c>
      <c r="H1452" s="93">
        <f t="shared" ref="H1452:H1462" si="223">H315</f>
        <v>3.6</v>
      </c>
      <c r="I1452" s="84">
        <f t="shared" ref="I1452:I1462" si="224">IFERROR(ROUND(E1452*H1452,2),"-")</f>
        <v>0</v>
      </c>
      <c r="J1452" s="105">
        <f t="shared" ref="J1452:J1462" si="225">IFERROR(I1452/cell_Total_HT,"-")</f>
        <v>0</v>
      </c>
      <c r="K1452">
        <f t="shared" ref="K1452:K1462" si="226">I1452</f>
        <v>0</v>
      </c>
      <c r="L1452"/>
      <c r="M1452"/>
      <c r="N1452"/>
      <c r="O1452"/>
      <c r="P1452"/>
      <c r="Q1452"/>
      <c r="R1452"/>
      <c r="S1452"/>
      <c r="T1452"/>
    </row>
    <row r="1453" spans="1:20" outlineLevel="4" x14ac:dyDescent="0.3">
      <c r="A1453" s="82" t="s">
        <v>2235</v>
      </c>
      <c r="B1453" s="10" t="s">
        <v>964</v>
      </c>
      <c r="C1453" s="60" t="s">
        <v>965</v>
      </c>
      <c r="D1453" s="44" t="s">
        <v>80</v>
      </c>
      <c r="E1453" s="84">
        <v>0</v>
      </c>
      <c r="F1453" s="84"/>
      <c r="G1453" s="94">
        <f t="shared" si="222"/>
        <v>1</v>
      </c>
      <c r="H1453" s="93">
        <f t="shared" si="223"/>
        <v>1.5</v>
      </c>
      <c r="I1453" s="84">
        <f t="shared" si="224"/>
        <v>0</v>
      </c>
      <c r="J1453" s="105">
        <f t="shared" si="225"/>
        <v>0</v>
      </c>
      <c r="K1453">
        <f t="shared" si="226"/>
        <v>0</v>
      </c>
      <c r="L1453"/>
      <c r="M1453"/>
      <c r="N1453"/>
      <c r="O1453"/>
      <c r="P1453"/>
      <c r="Q1453"/>
      <c r="R1453"/>
      <c r="S1453"/>
      <c r="T1453"/>
    </row>
    <row r="1454" spans="1:20" outlineLevel="4" x14ac:dyDescent="0.3">
      <c r="A1454" s="82" t="s">
        <v>2236</v>
      </c>
      <c r="B1454" s="10" t="s">
        <v>967</v>
      </c>
      <c r="C1454" s="60" t="s">
        <v>968</v>
      </c>
      <c r="D1454" s="44" t="s">
        <v>80</v>
      </c>
      <c r="E1454" s="84">
        <v>0</v>
      </c>
      <c r="F1454" s="84"/>
      <c r="G1454" s="94">
        <f t="shared" si="222"/>
        <v>1</v>
      </c>
      <c r="H1454" s="93">
        <f t="shared" si="223"/>
        <v>1.3</v>
      </c>
      <c r="I1454" s="84">
        <f t="shared" si="224"/>
        <v>0</v>
      </c>
      <c r="J1454" s="105">
        <f t="shared" si="225"/>
        <v>0</v>
      </c>
      <c r="K1454">
        <f t="shared" si="226"/>
        <v>0</v>
      </c>
      <c r="L1454"/>
      <c r="M1454"/>
      <c r="N1454"/>
      <c r="O1454"/>
      <c r="P1454"/>
      <c r="Q1454"/>
      <c r="R1454"/>
      <c r="S1454"/>
      <c r="T1454"/>
    </row>
    <row r="1455" spans="1:20" outlineLevel="4" x14ac:dyDescent="0.3">
      <c r="A1455" s="82" t="s">
        <v>2237</v>
      </c>
      <c r="B1455" s="10" t="s">
        <v>970</v>
      </c>
      <c r="C1455" s="60" t="s">
        <v>971</v>
      </c>
      <c r="D1455" s="44" t="s">
        <v>80</v>
      </c>
      <c r="E1455" s="84">
        <v>0</v>
      </c>
      <c r="F1455" s="84"/>
      <c r="G1455" s="94">
        <f t="shared" si="222"/>
        <v>1</v>
      </c>
      <c r="H1455" s="93">
        <f t="shared" si="223"/>
        <v>58</v>
      </c>
      <c r="I1455" s="84">
        <f t="shared" si="224"/>
        <v>0</v>
      </c>
      <c r="J1455" s="105">
        <f t="shared" si="225"/>
        <v>0</v>
      </c>
      <c r="K1455">
        <f t="shared" si="226"/>
        <v>0</v>
      </c>
      <c r="L1455"/>
      <c r="M1455"/>
      <c r="N1455"/>
      <c r="O1455"/>
      <c r="P1455"/>
      <c r="Q1455"/>
      <c r="R1455"/>
      <c r="S1455"/>
      <c r="T1455"/>
    </row>
    <row r="1456" spans="1:20" outlineLevel="4" x14ac:dyDescent="0.3">
      <c r="A1456" s="82" t="s">
        <v>2238</v>
      </c>
      <c r="B1456" s="10" t="s">
        <v>973</v>
      </c>
      <c r="C1456" s="60" t="s">
        <v>974</v>
      </c>
      <c r="D1456" s="44" t="s">
        <v>80</v>
      </c>
      <c r="E1456" s="84">
        <v>0</v>
      </c>
      <c r="F1456" s="84"/>
      <c r="G1456" s="94">
        <f t="shared" si="222"/>
        <v>1</v>
      </c>
      <c r="H1456" s="93">
        <f t="shared" si="223"/>
        <v>1.8</v>
      </c>
      <c r="I1456" s="84">
        <f t="shared" si="224"/>
        <v>0</v>
      </c>
      <c r="J1456" s="105">
        <f t="shared" si="225"/>
        <v>0</v>
      </c>
      <c r="K1456">
        <f t="shared" si="226"/>
        <v>0</v>
      </c>
      <c r="L1456"/>
      <c r="M1456"/>
      <c r="N1456"/>
      <c r="O1456"/>
      <c r="P1456"/>
      <c r="Q1456"/>
      <c r="R1456"/>
      <c r="S1456"/>
      <c r="T1456"/>
    </row>
    <row r="1457" spans="1:20" outlineLevel="4" x14ac:dyDescent="0.3">
      <c r="A1457" s="82" t="s">
        <v>2239</v>
      </c>
      <c r="B1457" s="10" t="s">
        <v>976</v>
      </c>
      <c r="C1457" s="60" t="s">
        <v>977</v>
      </c>
      <c r="D1457" s="44" t="s">
        <v>154</v>
      </c>
      <c r="E1457" s="84">
        <v>0</v>
      </c>
      <c r="F1457" s="84"/>
      <c r="G1457" s="94">
        <f t="shared" si="222"/>
        <v>1</v>
      </c>
      <c r="H1457" s="93">
        <f t="shared" si="223"/>
        <v>15</v>
      </c>
      <c r="I1457" s="84">
        <f t="shared" si="224"/>
        <v>0</v>
      </c>
      <c r="J1457" s="105">
        <f t="shared" si="225"/>
        <v>0</v>
      </c>
      <c r="K1457">
        <f t="shared" si="226"/>
        <v>0</v>
      </c>
      <c r="L1457"/>
      <c r="M1457"/>
      <c r="N1457"/>
      <c r="O1457"/>
      <c r="P1457"/>
      <c r="Q1457"/>
      <c r="R1457"/>
      <c r="S1457"/>
      <c r="T1457"/>
    </row>
    <row r="1458" spans="1:20" outlineLevel="4" x14ac:dyDescent="0.3">
      <c r="A1458" s="82" t="s">
        <v>2240</v>
      </c>
      <c r="B1458" s="10" t="s">
        <v>979</v>
      </c>
      <c r="C1458" s="60" t="s">
        <v>980</v>
      </c>
      <c r="D1458" s="44" t="s">
        <v>121</v>
      </c>
      <c r="E1458" s="84">
        <v>0</v>
      </c>
      <c r="F1458" s="84"/>
      <c r="G1458" s="94">
        <f t="shared" si="222"/>
        <v>1</v>
      </c>
      <c r="H1458" s="93">
        <f t="shared" si="223"/>
        <v>11</v>
      </c>
      <c r="I1458" s="84">
        <f t="shared" si="224"/>
        <v>0</v>
      </c>
      <c r="J1458" s="105">
        <f t="shared" si="225"/>
        <v>0</v>
      </c>
      <c r="K1458">
        <f t="shared" si="226"/>
        <v>0</v>
      </c>
      <c r="L1458"/>
      <c r="M1458"/>
      <c r="N1458"/>
      <c r="O1458"/>
      <c r="P1458"/>
      <c r="Q1458"/>
      <c r="R1458"/>
      <c r="S1458"/>
      <c r="T1458"/>
    </row>
    <row r="1459" spans="1:20" outlineLevel="4" x14ac:dyDescent="0.3">
      <c r="A1459" s="82" t="s">
        <v>2241</v>
      </c>
      <c r="B1459" s="10" t="s">
        <v>982</v>
      </c>
      <c r="C1459" s="60" t="s">
        <v>983</v>
      </c>
      <c r="D1459" s="44" t="s">
        <v>121</v>
      </c>
      <c r="E1459" s="84">
        <v>0</v>
      </c>
      <c r="F1459" s="84"/>
      <c r="G1459" s="94">
        <f t="shared" si="222"/>
        <v>1</v>
      </c>
      <c r="H1459" s="93">
        <f t="shared" si="223"/>
        <v>31</v>
      </c>
      <c r="I1459" s="84">
        <f t="shared" si="224"/>
        <v>0</v>
      </c>
      <c r="J1459" s="105">
        <f t="shared" si="225"/>
        <v>0</v>
      </c>
      <c r="K1459">
        <f t="shared" si="226"/>
        <v>0</v>
      </c>
      <c r="L1459"/>
      <c r="M1459"/>
      <c r="N1459"/>
      <c r="O1459"/>
      <c r="P1459"/>
      <c r="Q1459"/>
      <c r="R1459"/>
      <c r="S1459"/>
      <c r="T1459"/>
    </row>
    <row r="1460" spans="1:20" outlineLevel="4" x14ac:dyDescent="0.3">
      <c r="A1460" s="82" t="s">
        <v>2242</v>
      </c>
      <c r="B1460" s="10" t="s">
        <v>985</v>
      </c>
      <c r="C1460" s="60" t="s">
        <v>986</v>
      </c>
      <c r="D1460" s="44" t="s">
        <v>121</v>
      </c>
      <c r="E1460" s="84">
        <v>0</v>
      </c>
      <c r="F1460" s="84"/>
      <c r="G1460" s="94">
        <f t="shared" si="222"/>
        <v>1</v>
      </c>
      <c r="H1460" s="93">
        <f t="shared" si="223"/>
        <v>44</v>
      </c>
      <c r="I1460" s="84">
        <f t="shared" si="224"/>
        <v>0</v>
      </c>
      <c r="J1460" s="105">
        <f t="shared" si="225"/>
        <v>0</v>
      </c>
      <c r="K1460">
        <f t="shared" si="226"/>
        <v>0</v>
      </c>
      <c r="L1460"/>
      <c r="M1460"/>
      <c r="N1460"/>
      <c r="O1460"/>
      <c r="P1460"/>
      <c r="Q1460"/>
      <c r="R1460"/>
      <c r="S1460"/>
      <c r="T1460"/>
    </row>
    <row r="1461" spans="1:20" outlineLevel="4" x14ac:dyDescent="0.3">
      <c r="A1461" s="82" t="s">
        <v>2243</v>
      </c>
      <c r="B1461" s="10" t="s">
        <v>988</v>
      </c>
      <c r="C1461" s="60" t="s">
        <v>989</v>
      </c>
      <c r="D1461" s="44" t="s">
        <v>121</v>
      </c>
      <c r="E1461" s="84">
        <v>0</v>
      </c>
      <c r="F1461" s="84"/>
      <c r="G1461" s="94">
        <f t="shared" si="222"/>
        <v>1</v>
      </c>
      <c r="H1461" s="93">
        <f t="shared" si="223"/>
        <v>17</v>
      </c>
      <c r="I1461" s="84">
        <f t="shared" si="224"/>
        <v>0</v>
      </c>
      <c r="J1461" s="105">
        <f t="shared" si="225"/>
        <v>0</v>
      </c>
      <c r="K1461">
        <f t="shared" si="226"/>
        <v>0</v>
      </c>
      <c r="L1461"/>
      <c r="M1461"/>
      <c r="N1461"/>
      <c r="O1461"/>
      <c r="P1461"/>
      <c r="Q1461"/>
      <c r="R1461"/>
      <c r="S1461"/>
      <c r="T1461"/>
    </row>
    <row r="1462" spans="1:20" outlineLevel="4" x14ac:dyDescent="0.3">
      <c r="A1462" s="82" t="s">
        <v>2244</v>
      </c>
      <c r="B1462" s="10" t="s">
        <v>991</v>
      </c>
      <c r="C1462" s="60" t="s">
        <v>992</v>
      </c>
      <c r="D1462" s="44" t="s">
        <v>121</v>
      </c>
      <c r="E1462" s="84">
        <v>0</v>
      </c>
      <c r="F1462" s="84"/>
      <c r="G1462" s="94">
        <f t="shared" si="222"/>
        <v>1</v>
      </c>
      <c r="H1462" s="93">
        <f t="shared" si="223"/>
        <v>95</v>
      </c>
      <c r="I1462" s="84">
        <f t="shared" si="224"/>
        <v>0</v>
      </c>
      <c r="J1462" s="105">
        <f t="shared" si="225"/>
        <v>0</v>
      </c>
      <c r="K1462">
        <f t="shared" si="226"/>
        <v>0</v>
      </c>
      <c r="L1462"/>
      <c r="M1462"/>
      <c r="N1462"/>
      <c r="O1462"/>
      <c r="P1462"/>
      <c r="Q1462"/>
      <c r="R1462"/>
      <c r="S1462"/>
      <c r="T1462"/>
    </row>
    <row r="1463" spans="1:20" outlineLevel="3" x14ac:dyDescent="0.3">
      <c r="A1463" s="82" t="s">
        <v>2245</v>
      </c>
      <c r="B1463" s="58" t="s">
        <v>994</v>
      </c>
      <c r="C1463" s="61" t="s">
        <v>995</v>
      </c>
      <c r="D1463" s="115"/>
      <c r="E1463" s="87"/>
      <c r="F1463" s="87"/>
      <c r="G1463" s="97"/>
      <c r="H1463" s="87"/>
      <c r="I1463" s="104">
        <f>SUBTOTAL(9,K1464:K1477)</f>
        <v>372</v>
      </c>
      <c r="J1463" s="108"/>
      <c r="K1463"/>
      <c r="L1463"/>
      <c r="M1463"/>
      <c r="N1463"/>
      <c r="O1463"/>
      <c r="P1463"/>
      <c r="Q1463"/>
      <c r="R1463"/>
      <c r="S1463"/>
      <c r="T1463"/>
    </row>
    <row r="1464" spans="1:20" outlineLevel="4" x14ac:dyDescent="0.3">
      <c r="A1464" s="82" t="s">
        <v>2246</v>
      </c>
      <c r="B1464" s="58" t="s">
        <v>997</v>
      </c>
      <c r="C1464" s="61" t="s">
        <v>998</v>
      </c>
      <c r="D1464" s="115"/>
      <c r="E1464" s="87"/>
      <c r="F1464" s="87"/>
      <c r="G1464" s="97"/>
      <c r="H1464" s="87"/>
      <c r="I1464" s="104">
        <f>SUBTOTAL(9,K1465:K1465)</f>
        <v>280</v>
      </c>
      <c r="J1464" s="108"/>
      <c r="K1464"/>
      <c r="L1464"/>
      <c r="M1464"/>
      <c r="N1464"/>
      <c r="O1464"/>
      <c r="P1464"/>
      <c r="Q1464"/>
      <c r="R1464"/>
      <c r="S1464"/>
      <c r="T1464"/>
    </row>
    <row r="1465" spans="1:20" outlineLevel="5" x14ac:dyDescent="0.3">
      <c r="A1465" s="82" t="s">
        <v>2247</v>
      </c>
      <c r="B1465" s="10" t="s">
        <v>1000</v>
      </c>
      <c r="C1465" s="60" t="s">
        <v>1001</v>
      </c>
      <c r="D1465" s="44" t="s">
        <v>121</v>
      </c>
      <c r="E1465" s="84">
        <v>2</v>
      </c>
      <c r="F1465" s="84"/>
      <c r="G1465" s="94">
        <f>cell_CoefGeneral</f>
        <v>1</v>
      </c>
      <c r="H1465" s="93">
        <f>H328</f>
        <v>140</v>
      </c>
      <c r="I1465" s="84">
        <f>IFERROR(ROUND(E1465*H1465,2),"-")</f>
        <v>280</v>
      </c>
      <c r="J1465" s="105">
        <f>IFERROR(I1465/cell_Total_HT,"-")</f>
        <v>8.2662402467590846E-5</v>
      </c>
      <c r="K1465">
        <f>I1465</f>
        <v>280</v>
      </c>
      <c r="L1465"/>
      <c r="M1465"/>
      <c r="N1465"/>
      <c r="O1465"/>
      <c r="P1465"/>
      <c r="Q1465"/>
      <c r="R1465"/>
      <c r="S1465"/>
      <c r="T1465"/>
    </row>
    <row r="1466" spans="1:20" outlineLevel="4" x14ac:dyDescent="0.3">
      <c r="A1466" s="82" t="s">
        <v>2248</v>
      </c>
      <c r="B1466" s="58" t="s">
        <v>1003</v>
      </c>
      <c r="C1466" s="61" t="s">
        <v>1004</v>
      </c>
      <c r="D1466" s="115"/>
      <c r="E1466" s="87"/>
      <c r="F1466" s="87"/>
      <c r="G1466" s="97"/>
      <c r="H1466" s="87"/>
      <c r="I1466" s="104">
        <f>SUBTOTAL(9,K1467:K1477)</f>
        <v>92</v>
      </c>
      <c r="J1466" s="108"/>
      <c r="K1466"/>
      <c r="L1466"/>
      <c r="M1466"/>
      <c r="N1466"/>
      <c r="O1466"/>
      <c r="P1466"/>
      <c r="Q1466"/>
      <c r="R1466"/>
      <c r="S1466"/>
      <c r="T1466"/>
    </row>
    <row r="1467" spans="1:20" outlineLevel="5" x14ac:dyDescent="0.3">
      <c r="A1467" s="82" t="s">
        <v>2249</v>
      </c>
      <c r="B1467" s="10" t="s">
        <v>1006</v>
      </c>
      <c r="C1467" s="60" t="s">
        <v>1007</v>
      </c>
      <c r="D1467" s="44" t="s">
        <v>121</v>
      </c>
      <c r="E1467" s="84">
        <v>0</v>
      </c>
      <c r="F1467" s="84"/>
      <c r="G1467" s="94">
        <f t="shared" ref="G1467:G1477" si="227">cell_CoefGeneral</f>
        <v>1</v>
      </c>
      <c r="H1467" s="93">
        <f t="shared" ref="H1467:H1477" si="228">H330</f>
        <v>88</v>
      </c>
      <c r="I1467" s="84">
        <f t="shared" ref="I1467:I1477" si="229">IFERROR(ROUND(E1467*H1467,2),"-")</f>
        <v>0</v>
      </c>
      <c r="J1467" s="105">
        <f t="shared" ref="J1467:J1477" si="230">IFERROR(I1467/cell_Total_HT,"-")</f>
        <v>0</v>
      </c>
      <c r="K1467">
        <f t="shared" ref="K1467:K1477" si="231">I1467</f>
        <v>0</v>
      </c>
      <c r="L1467"/>
      <c r="M1467"/>
      <c r="N1467"/>
      <c r="O1467"/>
      <c r="P1467"/>
      <c r="Q1467"/>
      <c r="R1467"/>
      <c r="S1467"/>
      <c r="T1467"/>
    </row>
    <row r="1468" spans="1:20" outlineLevel="5" x14ac:dyDescent="0.3">
      <c r="A1468" s="82" t="s">
        <v>2250</v>
      </c>
      <c r="B1468" s="10" t="s">
        <v>1009</v>
      </c>
      <c r="C1468" s="60" t="s">
        <v>1010</v>
      </c>
      <c r="D1468" s="44" t="s">
        <v>121</v>
      </c>
      <c r="E1468" s="84">
        <v>0</v>
      </c>
      <c r="F1468" s="84"/>
      <c r="G1468" s="94">
        <f t="shared" si="227"/>
        <v>1</v>
      </c>
      <c r="H1468" s="93">
        <f t="shared" si="228"/>
        <v>58</v>
      </c>
      <c r="I1468" s="84">
        <f t="shared" si="229"/>
        <v>0</v>
      </c>
      <c r="J1468" s="105">
        <f t="shared" si="230"/>
        <v>0</v>
      </c>
      <c r="K1468">
        <f t="shared" si="231"/>
        <v>0</v>
      </c>
      <c r="L1468"/>
      <c r="M1468"/>
      <c r="N1468"/>
      <c r="O1468"/>
      <c r="P1468"/>
      <c r="Q1468"/>
      <c r="R1468"/>
      <c r="S1468"/>
      <c r="T1468"/>
    </row>
    <row r="1469" spans="1:20" ht="28.8" outlineLevel="5" x14ac:dyDescent="0.3">
      <c r="A1469" s="82" t="s">
        <v>2251</v>
      </c>
      <c r="B1469" s="10" t="s">
        <v>1012</v>
      </c>
      <c r="C1469" s="60" t="s">
        <v>1013</v>
      </c>
      <c r="D1469" s="44" t="s">
        <v>121</v>
      </c>
      <c r="E1469" s="84">
        <v>0</v>
      </c>
      <c r="F1469" s="84"/>
      <c r="G1469" s="94">
        <f t="shared" si="227"/>
        <v>1</v>
      </c>
      <c r="H1469" s="93">
        <f t="shared" si="228"/>
        <v>84</v>
      </c>
      <c r="I1469" s="84">
        <f t="shared" si="229"/>
        <v>0</v>
      </c>
      <c r="J1469" s="105">
        <f t="shared" si="230"/>
        <v>0</v>
      </c>
      <c r="K1469">
        <f t="shared" si="231"/>
        <v>0</v>
      </c>
      <c r="L1469"/>
      <c r="M1469"/>
      <c r="N1469"/>
      <c r="O1469"/>
      <c r="P1469"/>
      <c r="Q1469"/>
      <c r="R1469"/>
      <c r="S1469"/>
      <c r="T1469"/>
    </row>
    <row r="1470" spans="1:20" outlineLevel="5" x14ac:dyDescent="0.3">
      <c r="A1470" s="82" t="s">
        <v>2252</v>
      </c>
      <c r="B1470" s="10" t="s">
        <v>1015</v>
      </c>
      <c r="C1470" s="60" t="s">
        <v>1016</v>
      </c>
      <c r="D1470" s="44" t="s">
        <v>121</v>
      </c>
      <c r="E1470" s="84">
        <v>0</v>
      </c>
      <c r="F1470" s="84"/>
      <c r="G1470" s="94">
        <f t="shared" si="227"/>
        <v>1</v>
      </c>
      <c r="H1470" s="93">
        <f t="shared" si="228"/>
        <v>62</v>
      </c>
      <c r="I1470" s="84">
        <f t="shared" si="229"/>
        <v>0</v>
      </c>
      <c r="J1470" s="105">
        <f t="shared" si="230"/>
        <v>0</v>
      </c>
      <c r="K1470">
        <f t="shared" si="231"/>
        <v>0</v>
      </c>
      <c r="L1470"/>
      <c r="M1470"/>
      <c r="N1470"/>
      <c r="O1470"/>
      <c r="P1470"/>
      <c r="Q1470"/>
      <c r="R1470"/>
      <c r="S1470"/>
      <c r="T1470"/>
    </row>
    <row r="1471" spans="1:20" outlineLevel="5" x14ac:dyDescent="0.3">
      <c r="A1471" s="82" t="s">
        <v>2253</v>
      </c>
      <c r="B1471" s="10" t="s">
        <v>1018</v>
      </c>
      <c r="C1471" s="60" t="s">
        <v>1019</v>
      </c>
      <c r="D1471" s="44" t="s">
        <v>121</v>
      </c>
      <c r="E1471" s="84">
        <v>0</v>
      </c>
      <c r="F1471" s="84"/>
      <c r="G1471" s="94">
        <f t="shared" si="227"/>
        <v>1</v>
      </c>
      <c r="H1471" s="93">
        <f t="shared" si="228"/>
        <v>84</v>
      </c>
      <c r="I1471" s="84">
        <f t="shared" si="229"/>
        <v>0</v>
      </c>
      <c r="J1471" s="105">
        <f t="shared" si="230"/>
        <v>0</v>
      </c>
      <c r="K1471">
        <f t="shared" si="231"/>
        <v>0</v>
      </c>
      <c r="L1471"/>
      <c r="M1471"/>
      <c r="N1471"/>
      <c r="O1471"/>
      <c r="P1471"/>
      <c r="Q1471"/>
      <c r="R1471"/>
      <c r="S1471"/>
      <c r="T1471"/>
    </row>
    <row r="1472" spans="1:20" outlineLevel="5" x14ac:dyDescent="0.3">
      <c r="A1472" s="82" t="s">
        <v>2254</v>
      </c>
      <c r="B1472" s="10" t="s">
        <v>1021</v>
      </c>
      <c r="C1472" s="60" t="s">
        <v>1022</v>
      </c>
      <c r="D1472" s="44" t="s">
        <v>121</v>
      </c>
      <c r="E1472" s="84">
        <v>0</v>
      </c>
      <c r="F1472" s="84"/>
      <c r="G1472" s="94">
        <f t="shared" si="227"/>
        <v>1</v>
      </c>
      <c r="H1472" s="93">
        <f t="shared" si="228"/>
        <v>70</v>
      </c>
      <c r="I1472" s="84">
        <f t="shared" si="229"/>
        <v>0</v>
      </c>
      <c r="J1472" s="105">
        <f t="shared" si="230"/>
        <v>0</v>
      </c>
      <c r="K1472">
        <f t="shared" si="231"/>
        <v>0</v>
      </c>
      <c r="L1472"/>
      <c r="M1472"/>
      <c r="N1472"/>
      <c r="O1472"/>
      <c r="P1472"/>
      <c r="Q1472"/>
      <c r="R1472"/>
      <c r="S1472"/>
      <c r="T1472"/>
    </row>
    <row r="1473" spans="1:20" outlineLevel="5" x14ac:dyDescent="0.3">
      <c r="A1473" s="82" t="s">
        <v>2255</v>
      </c>
      <c r="B1473" s="10" t="s">
        <v>1024</v>
      </c>
      <c r="C1473" s="60" t="s">
        <v>1025</v>
      </c>
      <c r="D1473" s="44" t="s">
        <v>121</v>
      </c>
      <c r="E1473" s="84">
        <v>0</v>
      </c>
      <c r="F1473" s="84"/>
      <c r="G1473" s="94">
        <f t="shared" si="227"/>
        <v>1</v>
      </c>
      <c r="H1473" s="93">
        <f t="shared" si="228"/>
        <v>46</v>
      </c>
      <c r="I1473" s="84">
        <f t="shared" si="229"/>
        <v>0</v>
      </c>
      <c r="J1473" s="105">
        <f t="shared" si="230"/>
        <v>0</v>
      </c>
      <c r="K1473">
        <f t="shared" si="231"/>
        <v>0</v>
      </c>
      <c r="L1473"/>
      <c r="M1473"/>
      <c r="N1473"/>
      <c r="O1473"/>
      <c r="P1473"/>
      <c r="Q1473"/>
      <c r="R1473"/>
      <c r="S1473"/>
      <c r="T1473"/>
    </row>
    <row r="1474" spans="1:20" outlineLevel="5" x14ac:dyDescent="0.3">
      <c r="A1474" s="82" t="s">
        <v>2256</v>
      </c>
      <c r="B1474" s="10" t="s">
        <v>1027</v>
      </c>
      <c r="C1474" s="60" t="s">
        <v>1028</v>
      </c>
      <c r="D1474" s="44" t="s">
        <v>121</v>
      </c>
      <c r="E1474" s="84">
        <v>0</v>
      </c>
      <c r="F1474" s="84"/>
      <c r="G1474" s="94">
        <f t="shared" si="227"/>
        <v>1</v>
      </c>
      <c r="H1474" s="93">
        <f t="shared" si="228"/>
        <v>63</v>
      </c>
      <c r="I1474" s="84">
        <f t="shared" si="229"/>
        <v>0</v>
      </c>
      <c r="J1474" s="105">
        <f t="shared" si="230"/>
        <v>0</v>
      </c>
      <c r="K1474">
        <f t="shared" si="231"/>
        <v>0</v>
      </c>
      <c r="L1474"/>
      <c r="M1474"/>
      <c r="N1474"/>
      <c r="O1474"/>
      <c r="P1474"/>
      <c r="Q1474"/>
      <c r="R1474"/>
      <c r="S1474"/>
      <c r="T1474"/>
    </row>
    <row r="1475" spans="1:20" outlineLevel="5" x14ac:dyDescent="0.3">
      <c r="A1475" s="82" t="s">
        <v>2257</v>
      </c>
      <c r="B1475" s="10" t="s">
        <v>1030</v>
      </c>
      <c r="C1475" s="60" t="s">
        <v>1031</v>
      </c>
      <c r="D1475" s="44" t="s">
        <v>121</v>
      </c>
      <c r="E1475" s="84">
        <v>0</v>
      </c>
      <c r="F1475" s="84"/>
      <c r="G1475" s="94">
        <f t="shared" si="227"/>
        <v>1</v>
      </c>
      <c r="H1475" s="93">
        <f t="shared" si="228"/>
        <v>63</v>
      </c>
      <c r="I1475" s="84">
        <f t="shared" si="229"/>
        <v>0</v>
      </c>
      <c r="J1475" s="105">
        <f t="shared" si="230"/>
        <v>0</v>
      </c>
      <c r="K1475">
        <f t="shared" si="231"/>
        <v>0</v>
      </c>
      <c r="L1475"/>
      <c r="M1475"/>
      <c r="N1475"/>
      <c r="O1475"/>
      <c r="P1475"/>
      <c r="Q1475"/>
      <c r="R1475"/>
      <c r="S1475"/>
      <c r="T1475"/>
    </row>
    <row r="1476" spans="1:20" outlineLevel="5" x14ac:dyDescent="0.3">
      <c r="A1476" s="82" t="s">
        <v>2258</v>
      </c>
      <c r="B1476" s="10" t="s">
        <v>1033</v>
      </c>
      <c r="C1476" s="60" t="s">
        <v>1034</v>
      </c>
      <c r="D1476" s="44" t="s">
        <v>121</v>
      </c>
      <c r="E1476" s="84">
        <v>1</v>
      </c>
      <c r="F1476" s="84"/>
      <c r="G1476" s="94">
        <f t="shared" si="227"/>
        <v>1</v>
      </c>
      <c r="H1476" s="93">
        <f t="shared" si="228"/>
        <v>46</v>
      </c>
      <c r="I1476" s="84">
        <f t="shared" si="229"/>
        <v>46</v>
      </c>
      <c r="J1476" s="105">
        <f t="shared" si="230"/>
        <v>1.3580251833961354E-5</v>
      </c>
      <c r="K1476">
        <f t="shared" si="231"/>
        <v>46</v>
      </c>
      <c r="L1476"/>
      <c r="M1476"/>
      <c r="N1476"/>
      <c r="O1476"/>
      <c r="P1476"/>
      <c r="Q1476"/>
      <c r="R1476"/>
      <c r="S1476"/>
      <c r="T1476"/>
    </row>
    <row r="1477" spans="1:20" ht="15" outlineLevel="5" thickBot="1" x14ac:dyDescent="0.35">
      <c r="A1477" s="82" t="s">
        <v>2259</v>
      </c>
      <c r="B1477" s="10" t="s">
        <v>1036</v>
      </c>
      <c r="C1477" s="60" t="s">
        <v>1037</v>
      </c>
      <c r="D1477" s="44" t="s">
        <v>121</v>
      </c>
      <c r="E1477" s="84">
        <v>1</v>
      </c>
      <c r="F1477" s="84"/>
      <c r="G1477" s="94">
        <f t="shared" si="227"/>
        <v>1</v>
      </c>
      <c r="H1477" s="93">
        <f t="shared" si="228"/>
        <v>46</v>
      </c>
      <c r="I1477" s="84">
        <f t="shared" si="229"/>
        <v>46</v>
      </c>
      <c r="J1477" s="105">
        <f t="shared" si="230"/>
        <v>1.3580251833961354E-5</v>
      </c>
      <c r="K1477">
        <f t="shared" si="231"/>
        <v>46</v>
      </c>
      <c r="L1477"/>
      <c r="M1477"/>
      <c r="N1477"/>
      <c r="O1477"/>
      <c r="P1477"/>
      <c r="Q1477"/>
      <c r="R1477"/>
      <c r="S1477"/>
      <c r="T1477"/>
    </row>
    <row r="1478" spans="1:20" ht="15" outlineLevel="2" thickTop="1" x14ac:dyDescent="0.3">
      <c r="A1478" s="82" t="s">
        <v>2260</v>
      </c>
      <c r="B1478" s="62" t="s">
        <v>60</v>
      </c>
      <c r="C1478" s="63" t="s">
        <v>1039</v>
      </c>
      <c r="D1478" s="116"/>
      <c r="E1478" s="88"/>
      <c r="F1478" s="88"/>
      <c r="G1478" s="98"/>
      <c r="H1478" s="88"/>
      <c r="I1478" s="88">
        <f>SUBTOTAL(9,I1449:I1477)</f>
        <v>372</v>
      </c>
      <c r="J1478" s="109"/>
      <c r="K1478"/>
      <c r="L1478"/>
      <c r="M1478"/>
      <c r="N1478"/>
      <c r="O1478"/>
      <c r="P1478"/>
      <c r="Q1478"/>
      <c r="R1478"/>
      <c r="S1478"/>
      <c r="T1478"/>
    </row>
    <row r="1479" spans="1:20" outlineLevel="2" x14ac:dyDescent="0.3">
      <c r="A1479" s="82" t="s">
        <v>2261</v>
      </c>
      <c r="B1479" s="64" t="s">
        <v>1041</v>
      </c>
      <c r="C1479" s="65" t="s">
        <v>1042</v>
      </c>
      <c r="D1479" s="117"/>
      <c r="E1479" s="87"/>
      <c r="F1479" s="87"/>
      <c r="G1479" s="97"/>
      <c r="H1479" s="87"/>
      <c r="I1479" s="104">
        <f>SUBTOTAL(9,K1480:K1508)</f>
        <v>0</v>
      </c>
      <c r="J1479" s="108"/>
      <c r="K1479"/>
      <c r="L1479"/>
      <c r="M1479"/>
      <c r="N1479"/>
      <c r="O1479"/>
      <c r="P1479"/>
      <c r="Q1479"/>
      <c r="R1479"/>
      <c r="S1479"/>
      <c r="T1479"/>
    </row>
    <row r="1480" spans="1:20" outlineLevel="3" x14ac:dyDescent="0.3">
      <c r="A1480" s="82" t="s">
        <v>2262</v>
      </c>
      <c r="B1480" s="10" t="s">
        <v>1044</v>
      </c>
      <c r="C1480" s="60" t="s">
        <v>1045</v>
      </c>
      <c r="D1480" s="44" t="s">
        <v>93</v>
      </c>
      <c r="E1480" s="84">
        <v>0</v>
      </c>
      <c r="F1480" s="84"/>
      <c r="G1480" s="94">
        <f>cell_CoefGeneral</f>
        <v>1</v>
      </c>
      <c r="H1480" s="93">
        <f>H343</f>
        <v>9200</v>
      </c>
      <c r="I1480" s="84">
        <f>IFERROR(ROUND(E1480*H1480,2),"-")</f>
        <v>0</v>
      </c>
      <c r="J1480" s="105">
        <f>IFERROR(I1480/cell_Total_HT,"-")</f>
        <v>0</v>
      </c>
      <c r="K1480">
        <f>I1480</f>
        <v>0</v>
      </c>
      <c r="L1480"/>
      <c r="M1480"/>
      <c r="N1480"/>
      <c r="O1480"/>
      <c r="P1480"/>
      <c r="Q1480"/>
      <c r="R1480"/>
      <c r="S1480"/>
      <c r="T1480"/>
    </row>
    <row r="1481" spans="1:20" outlineLevel="3" x14ac:dyDescent="0.3">
      <c r="A1481" s="82" t="s">
        <v>2263</v>
      </c>
      <c r="B1481" s="58" t="s">
        <v>1047</v>
      </c>
      <c r="C1481" s="61" t="s">
        <v>1048</v>
      </c>
      <c r="D1481" s="115"/>
      <c r="E1481" s="87"/>
      <c r="F1481" s="87"/>
      <c r="G1481" s="97"/>
      <c r="H1481" s="87"/>
      <c r="I1481" s="104">
        <f>SUBTOTAL(9,K1482:K1495)</f>
        <v>0</v>
      </c>
      <c r="J1481" s="108"/>
      <c r="K1481"/>
      <c r="L1481"/>
      <c r="M1481"/>
      <c r="N1481"/>
      <c r="O1481"/>
      <c r="P1481"/>
      <c r="Q1481"/>
      <c r="R1481"/>
      <c r="S1481"/>
      <c r="T1481"/>
    </row>
    <row r="1482" spans="1:20" outlineLevel="4" x14ac:dyDescent="0.3">
      <c r="A1482" s="82" t="s">
        <v>2264</v>
      </c>
      <c r="B1482" s="10" t="s">
        <v>1050</v>
      </c>
      <c r="C1482" s="60" t="s">
        <v>1051</v>
      </c>
      <c r="D1482" s="44" t="s">
        <v>141</v>
      </c>
      <c r="E1482" s="84">
        <v>0</v>
      </c>
      <c r="F1482" s="84"/>
      <c r="G1482" s="94">
        <f t="shared" ref="G1482:G1495" si="232">cell_CoefGeneral</f>
        <v>1</v>
      </c>
      <c r="H1482" s="93">
        <f t="shared" ref="H1482:H1495" si="233">H345</f>
        <v>36</v>
      </c>
      <c r="I1482" s="84">
        <f t="shared" ref="I1482:I1495" si="234">IFERROR(ROUND(E1482*H1482,2),"-")</f>
        <v>0</v>
      </c>
      <c r="J1482" s="105">
        <f t="shared" ref="J1482:J1495" si="235">IFERROR(I1482/cell_Total_HT,"-")</f>
        <v>0</v>
      </c>
      <c r="K1482">
        <f t="shared" ref="K1482:K1495" si="236">I1482</f>
        <v>0</v>
      </c>
      <c r="L1482"/>
      <c r="M1482"/>
      <c r="N1482"/>
      <c r="O1482"/>
      <c r="P1482"/>
      <c r="Q1482"/>
      <c r="R1482"/>
      <c r="S1482"/>
      <c r="T1482"/>
    </row>
    <row r="1483" spans="1:20" outlineLevel="4" x14ac:dyDescent="0.3">
      <c r="A1483" s="82" t="s">
        <v>2265</v>
      </c>
      <c r="B1483" s="10" t="s">
        <v>1053</v>
      </c>
      <c r="C1483" s="60" t="s">
        <v>1054</v>
      </c>
      <c r="D1483" s="44" t="s">
        <v>141</v>
      </c>
      <c r="E1483" s="84">
        <v>0</v>
      </c>
      <c r="F1483" s="84"/>
      <c r="G1483" s="94">
        <f t="shared" si="232"/>
        <v>1</v>
      </c>
      <c r="H1483" s="93">
        <f t="shared" si="233"/>
        <v>38</v>
      </c>
      <c r="I1483" s="84">
        <f t="shared" si="234"/>
        <v>0</v>
      </c>
      <c r="J1483" s="105">
        <f t="shared" si="235"/>
        <v>0</v>
      </c>
      <c r="K1483">
        <f t="shared" si="236"/>
        <v>0</v>
      </c>
      <c r="L1483"/>
      <c r="M1483"/>
      <c r="N1483"/>
      <c r="O1483"/>
      <c r="P1483"/>
      <c r="Q1483"/>
      <c r="R1483"/>
      <c r="S1483"/>
      <c r="T1483"/>
    </row>
    <row r="1484" spans="1:20" outlineLevel="4" x14ac:dyDescent="0.3">
      <c r="A1484" s="82" t="s">
        <v>2266</v>
      </c>
      <c r="B1484" s="10" t="s">
        <v>1056</v>
      </c>
      <c r="C1484" s="60" t="s">
        <v>1057</v>
      </c>
      <c r="D1484" s="44" t="s">
        <v>154</v>
      </c>
      <c r="E1484" s="84">
        <v>0</v>
      </c>
      <c r="F1484" s="84"/>
      <c r="G1484" s="94">
        <f t="shared" si="232"/>
        <v>1</v>
      </c>
      <c r="H1484" s="93">
        <f t="shared" si="233"/>
        <v>81</v>
      </c>
      <c r="I1484" s="84">
        <f t="shared" si="234"/>
        <v>0</v>
      </c>
      <c r="J1484" s="105">
        <f t="shared" si="235"/>
        <v>0</v>
      </c>
      <c r="K1484">
        <f t="shared" si="236"/>
        <v>0</v>
      </c>
      <c r="L1484"/>
      <c r="M1484"/>
      <c r="N1484"/>
      <c r="O1484"/>
      <c r="P1484"/>
      <c r="Q1484"/>
      <c r="R1484"/>
      <c r="S1484"/>
      <c r="T1484"/>
    </row>
    <row r="1485" spans="1:20" outlineLevel="4" x14ac:dyDescent="0.3">
      <c r="A1485" s="82" t="s">
        <v>2267</v>
      </c>
      <c r="B1485" s="10" t="s">
        <v>1059</v>
      </c>
      <c r="C1485" s="60" t="s">
        <v>1060</v>
      </c>
      <c r="D1485" s="44" t="s">
        <v>154</v>
      </c>
      <c r="E1485" s="84">
        <v>0</v>
      </c>
      <c r="F1485" s="84"/>
      <c r="G1485" s="94">
        <f t="shared" si="232"/>
        <v>1</v>
      </c>
      <c r="H1485" s="93">
        <f t="shared" si="233"/>
        <v>81</v>
      </c>
      <c r="I1485" s="84">
        <f t="shared" si="234"/>
        <v>0</v>
      </c>
      <c r="J1485" s="105">
        <f t="shared" si="235"/>
        <v>0</v>
      </c>
      <c r="K1485">
        <f t="shared" si="236"/>
        <v>0</v>
      </c>
      <c r="L1485"/>
      <c r="M1485"/>
      <c r="N1485"/>
      <c r="O1485"/>
      <c r="P1485"/>
      <c r="Q1485"/>
      <c r="R1485"/>
      <c r="S1485"/>
      <c r="T1485"/>
    </row>
    <row r="1486" spans="1:20" ht="28.8" outlineLevel="4" x14ac:dyDescent="0.3">
      <c r="A1486" s="82" t="s">
        <v>2268</v>
      </c>
      <c r="B1486" s="10" t="s">
        <v>1062</v>
      </c>
      <c r="C1486" s="60" t="s">
        <v>1063</v>
      </c>
      <c r="D1486" s="44" t="s">
        <v>93</v>
      </c>
      <c r="E1486" s="84">
        <v>0</v>
      </c>
      <c r="F1486" s="84"/>
      <c r="G1486" s="94">
        <f t="shared" si="232"/>
        <v>1</v>
      </c>
      <c r="H1486" s="93">
        <f t="shared" si="233"/>
        <v>4000</v>
      </c>
      <c r="I1486" s="84">
        <f t="shared" si="234"/>
        <v>0</v>
      </c>
      <c r="J1486" s="105">
        <f t="shared" si="235"/>
        <v>0</v>
      </c>
      <c r="K1486">
        <f t="shared" si="236"/>
        <v>0</v>
      </c>
      <c r="L1486"/>
      <c r="M1486"/>
      <c r="N1486"/>
      <c r="O1486"/>
      <c r="P1486"/>
      <c r="Q1486"/>
      <c r="R1486"/>
      <c r="S1486"/>
      <c r="T1486"/>
    </row>
    <row r="1487" spans="1:20" outlineLevel="4" x14ac:dyDescent="0.3">
      <c r="A1487" s="82" t="s">
        <v>2269</v>
      </c>
      <c r="B1487" s="10" t="s">
        <v>1065</v>
      </c>
      <c r="C1487" s="60" t="s">
        <v>1066</v>
      </c>
      <c r="D1487" s="44" t="s">
        <v>154</v>
      </c>
      <c r="E1487" s="84">
        <v>0</v>
      </c>
      <c r="F1487" s="84"/>
      <c r="G1487" s="94">
        <f t="shared" si="232"/>
        <v>1</v>
      </c>
      <c r="H1487" s="93">
        <f t="shared" si="233"/>
        <v>92</v>
      </c>
      <c r="I1487" s="84">
        <f t="shared" si="234"/>
        <v>0</v>
      </c>
      <c r="J1487" s="105">
        <f t="shared" si="235"/>
        <v>0</v>
      </c>
      <c r="K1487">
        <f t="shared" si="236"/>
        <v>0</v>
      </c>
      <c r="L1487"/>
      <c r="M1487"/>
      <c r="N1487"/>
      <c r="O1487"/>
      <c r="P1487"/>
      <c r="Q1487"/>
      <c r="R1487"/>
      <c r="S1487"/>
      <c r="T1487"/>
    </row>
    <row r="1488" spans="1:20" outlineLevel="4" x14ac:dyDescent="0.3">
      <c r="A1488" s="82" t="s">
        <v>2270</v>
      </c>
      <c r="B1488" s="10" t="s">
        <v>1068</v>
      </c>
      <c r="C1488" s="60" t="s">
        <v>1069</v>
      </c>
      <c r="D1488" s="44" t="s">
        <v>154</v>
      </c>
      <c r="E1488" s="84">
        <v>0</v>
      </c>
      <c r="F1488" s="84"/>
      <c r="G1488" s="94">
        <f t="shared" si="232"/>
        <v>1</v>
      </c>
      <c r="H1488" s="93">
        <f t="shared" si="233"/>
        <v>35</v>
      </c>
      <c r="I1488" s="84">
        <f t="shared" si="234"/>
        <v>0</v>
      </c>
      <c r="J1488" s="105">
        <f t="shared" si="235"/>
        <v>0</v>
      </c>
      <c r="K1488">
        <f t="shared" si="236"/>
        <v>0</v>
      </c>
      <c r="L1488"/>
      <c r="M1488"/>
      <c r="N1488"/>
      <c r="O1488"/>
      <c r="P1488"/>
      <c r="Q1488"/>
      <c r="R1488"/>
      <c r="S1488"/>
      <c r="T1488"/>
    </row>
    <row r="1489" spans="1:20" outlineLevel="4" x14ac:dyDescent="0.3">
      <c r="A1489" s="82" t="s">
        <v>2271</v>
      </c>
      <c r="B1489" s="10" t="s">
        <v>1071</v>
      </c>
      <c r="C1489" s="60" t="s">
        <v>1072</v>
      </c>
      <c r="D1489" s="44" t="s">
        <v>141</v>
      </c>
      <c r="E1489" s="84">
        <v>0</v>
      </c>
      <c r="F1489" s="84"/>
      <c r="G1489" s="94">
        <f t="shared" si="232"/>
        <v>1</v>
      </c>
      <c r="H1489" s="93">
        <f t="shared" si="233"/>
        <v>230</v>
      </c>
      <c r="I1489" s="84">
        <f t="shared" si="234"/>
        <v>0</v>
      </c>
      <c r="J1489" s="105">
        <f t="shared" si="235"/>
        <v>0</v>
      </c>
      <c r="K1489">
        <f t="shared" si="236"/>
        <v>0</v>
      </c>
      <c r="L1489"/>
      <c r="M1489"/>
      <c r="N1489"/>
      <c r="O1489"/>
      <c r="P1489"/>
      <c r="Q1489"/>
      <c r="R1489"/>
      <c r="S1489"/>
      <c r="T1489"/>
    </row>
    <row r="1490" spans="1:20" outlineLevel="4" x14ac:dyDescent="0.3">
      <c r="A1490" s="82" t="s">
        <v>2272</v>
      </c>
      <c r="B1490" s="10" t="s">
        <v>1074</v>
      </c>
      <c r="C1490" s="60" t="s">
        <v>1075</v>
      </c>
      <c r="D1490" s="44" t="s">
        <v>141</v>
      </c>
      <c r="E1490" s="84">
        <v>0</v>
      </c>
      <c r="F1490" s="84"/>
      <c r="G1490" s="94">
        <f t="shared" si="232"/>
        <v>1</v>
      </c>
      <c r="H1490" s="93">
        <f t="shared" si="233"/>
        <v>46</v>
      </c>
      <c r="I1490" s="84">
        <f t="shared" si="234"/>
        <v>0</v>
      </c>
      <c r="J1490" s="105">
        <f t="shared" si="235"/>
        <v>0</v>
      </c>
      <c r="K1490">
        <f t="shared" si="236"/>
        <v>0</v>
      </c>
      <c r="L1490"/>
      <c r="M1490"/>
      <c r="N1490"/>
      <c r="O1490"/>
      <c r="P1490"/>
      <c r="Q1490"/>
      <c r="R1490"/>
      <c r="S1490"/>
      <c r="T1490"/>
    </row>
    <row r="1491" spans="1:20" outlineLevel="4" x14ac:dyDescent="0.3">
      <c r="A1491" s="82" t="s">
        <v>2273</v>
      </c>
      <c r="B1491" s="10" t="s">
        <v>1077</v>
      </c>
      <c r="C1491" s="60" t="s">
        <v>1078</v>
      </c>
      <c r="D1491" s="44" t="s">
        <v>1079</v>
      </c>
      <c r="E1491" s="84">
        <v>0</v>
      </c>
      <c r="F1491" s="84"/>
      <c r="G1491" s="94">
        <f t="shared" si="232"/>
        <v>1</v>
      </c>
      <c r="H1491" s="93">
        <f t="shared" si="233"/>
        <v>1.6</v>
      </c>
      <c r="I1491" s="84">
        <f t="shared" si="234"/>
        <v>0</v>
      </c>
      <c r="J1491" s="105">
        <f t="shared" si="235"/>
        <v>0</v>
      </c>
      <c r="K1491">
        <f t="shared" si="236"/>
        <v>0</v>
      </c>
      <c r="L1491"/>
      <c r="M1491"/>
      <c r="N1491"/>
      <c r="O1491"/>
      <c r="P1491"/>
      <c r="Q1491"/>
      <c r="R1491"/>
      <c r="S1491"/>
      <c r="T1491"/>
    </row>
    <row r="1492" spans="1:20" outlineLevel="4" x14ac:dyDescent="0.3">
      <c r="A1492" s="82" t="s">
        <v>2274</v>
      </c>
      <c r="B1492" s="10" t="s">
        <v>1081</v>
      </c>
      <c r="C1492" s="60" t="s">
        <v>1082</v>
      </c>
      <c r="D1492" s="44" t="s">
        <v>154</v>
      </c>
      <c r="E1492" s="84">
        <v>0</v>
      </c>
      <c r="F1492" s="84"/>
      <c r="G1492" s="94">
        <f t="shared" si="232"/>
        <v>1</v>
      </c>
      <c r="H1492" s="93">
        <f t="shared" si="233"/>
        <v>12</v>
      </c>
      <c r="I1492" s="84">
        <f t="shared" si="234"/>
        <v>0</v>
      </c>
      <c r="J1492" s="105">
        <f t="shared" si="235"/>
        <v>0</v>
      </c>
      <c r="K1492">
        <f t="shared" si="236"/>
        <v>0</v>
      </c>
      <c r="L1492"/>
      <c r="M1492"/>
      <c r="N1492"/>
      <c r="O1492"/>
      <c r="P1492"/>
      <c r="Q1492"/>
      <c r="R1492"/>
      <c r="S1492"/>
      <c r="T1492"/>
    </row>
    <row r="1493" spans="1:20" outlineLevel="4" x14ac:dyDescent="0.3">
      <c r="A1493" s="82" t="s">
        <v>2275</v>
      </c>
      <c r="B1493" s="10" t="s">
        <v>1084</v>
      </c>
      <c r="C1493" s="60" t="s">
        <v>1085</v>
      </c>
      <c r="D1493" s="44" t="s">
        <v>154</v>
      </c>
      <c r="E1493" s="84">
        <v>0</v>
      </c>
      <c r="F1493" s="84"/>
      <c r="G1493" s="94">
        <f t="shared" si="232"/>
        <v>1</v>
      </c>
      <c r="H1493" s="93">
        <f t="shared" si="233"/>
        <v>9.1999999999999993</v>
      </c>
      <c r="I1493" s="84">
        <f t="shared" si="234"/>
        <v>0</v>
      </c>
      <c r="J1493" s="105">
        <f t="shared" si="235"/>
        <v>0</v>
      </c>
      <c r="K1493">
        <f t="shared" si="236"/>
        <v>0</v>
      </c>
      <c r="L1493"/>
      <c r="M1493"/>
      <c r="N1493"/>
      <c r="O1493"/>
      <c r="P1493"/>
      <c r="Q1493"/>
      <c r="R1493"/>
      <c r="S1493"/>
      <c r="T1493"/>
    </row>
    <row r="1494" spans="1:20" ht="28.8" outlineLevel="4" x14ac:dyDescent="0.3">
      <c r="A1494" s="82" t="s">
        <v>2276</v>
      </c>
      <c r="B1494" s="10" t="s">
        <v>1087</v>
      </c>
      <c r="C1494" s="60" t="s">
        <v>1088</v>
      </c>
      <c r="D1494" s="44" t="s">
        <v>121</v>
      </c>
      <c r="E1494" s="84">
        <v>0</v>
      </c>
      <c r="F1494" s="84"/>
      <c r="G1494" s="94">
        <f t="shared" si="232"/>
        <v>1</v>
      </c>
      <c r="H1494" s="93">
        <f t="shared" si="233"/>
        <v>3500</v>
      </c>
      <c r="I1494" s="84">
        <f t="shared" si="234"/>
        <v>0</v>
      </c>
      <c r="J1494" s="105">
        <f t="shared" si="235"/>
        <v>0</v>
      </c>
      <c r="K1494">
        <f t="shared" si="236"/>
        <v>0</v>
      </c>
      <c r="L1494"/>
      <c r="M1494"/>
      <c r="N1494"/>
      <c r="O1494"/>
      <c r="P1494"/>
      <c r="Q1494"/>
      <c r="R1494"/>
      <c r="S1494"/>
      <c r="T1494"/>
    </row>
    <row r="1495" spans="1:20" ht="28.8" outlineLevel="4" x14ac:dyDescent="0.3">
      <c r="A1495" s="82" t="s">
        <v>2277</v>
      </c>
      <c r="B1495" s="10" t="s">
        <v>1090</v>
      </c>
      <c r="C1495" s="60" t="s">
        <v>1091</v>
      </c>
      <c r="D1495" s="44" t="s">
        <v>121</v>
      </c>
      <c r="E1495" s="84">
        <v>0</v>
      </c>
      <c r="F1495" s="84"/>
      <c r="G1495" s="94">
        <f t="shared" si="232"/>
        <v>1</v>
      </c>
      <c r="H1495" s="93">
        <f t="shared" si="233"/>
        <v>5200</v>
      </c>
      <c r="I1495" s="84">
        <f t="shared" si="234"/>
        <v>0</v>
      </c>
      <c r="J1495" s="105">
        <f t="shared" si="235"/>
        <v>0</v>
      </c>
      <c r="K1495">
        <f t="shared" si="236"/>
        <v>0</v>
      </c>
      <c r="L1495"/>
      <c r="M1495"/>
      <c r="N1495"/>
      <c r="O1495"/>
      <c r="P1495"/>
      <c r="Q1495"/>
      <c r="R1495"/>
      <c r="S1495"/>
      <c r="T1495"/>
    </row>
    <row r="1496" spans="1:20" outlineLevel="3" x14ac:dyDescent="0.3">
      <c r="A1496" s="82" t="s">
        <v>2278</v>
      </c>
      <c r="B1496" s="58" t="s">
        <v>1093</v>
      </c>
      <c r="C1496" s="61" t="s">
        <v>1094</v>
      </c>
      <c r="D1496" s="115"/>
      <c r="E1496" s="87"/>
      <c r="F1496" s="87"/>
      <c r="G1496" s="97"/>
      <c r="H1496" s="87"/>
      <c r="I1496" s="104">
        <f>SUBTOTAL(9,K1497:K1505)</f>
        <v>0</v>
      </c>
      <c r="J1496" s="108"/>
      <c r="K1496"/>
      <c r="L1496"/>
      <c r="M1496"/>
      <c r="N1496"/>
      <c r="O1496"/>
      <c r="P1496"/>
      <c r="Q1496"/>
      <c r="R1496"/>
      <c r="S1496"/>
      <c r="T1496"/>
    </row>
    <row r="1497" spans="1:20" outlineLevel="4" x14ac:dyDescent="0.3">
      <c r="A1497" s="82" t="s">
        <v>2279</v>
      </c>
      <c r="B1497" s="10" t="s">
        <v>1096</v>
      </c>
      <c r="C1497" s="60" t="s">
        <v>1051</v>
      </c>
      <c r="D1497" s="44" t="s">
        <v>141</v>
      </c>
      <c r="E1497" s="84">
        <v>0</v>
      </c>
      <c r="F1497" s="84"/>
      <c r="G1497" s="94">
        <f t="shared" ref="G1497:G1505" si="237">cell_CoefGeneral</f>
        <v>1</v>
      </c>
      <c r="H1497" s="93">
        <f t="shared" ref="H1497:H1505" si="238">H360</f>
        <v>33</v>
      </c>
      <c r="I1497" s="84">
        <f t="shared" ref="I1497:I1505" si="239">IFERROR(ROUND(E1497*H1497,2),"-")</f>
        <v>0</v>
      </c>
      <c r="J1497" s="105">
        <f t="shared" ref="J1497:J1505" si="240">IFERROR(I1497/cell_Total_HT,"-")</f>
        <v>0</v>
      </c>
      <c r="K1497">
        <f t="shared" ref="K1497:K1505" si="241">I1497</f>
        <v>0</v>
      </c>
      <c r="L1497"/>
      <c r="M1497"/>
      <c r="N1497"/>
      <c r="O1497"/>
      <c r="P1497"/>
      <c r="Q1497"/>
      <c r="R1497"/>
      <c r="S1497"/>
      <c r="T1497"/>
    </row>
    <row r="1498" spans="1:20" outlineLevel="4" x14ac:dyDescent="0.3">
      <c r="A1498" s="82" t="s">
        <v>2280</v>
      </c>
      <c r="B1498" s="10" t="s">
        <v>1098</v>
      </c>
      <c r="C1498" s="60" t="s">
        <v>1057</v>
      </c>
      <c r="D1498" s="44" t="s">
        <v>154</v>
      </c>
      <c r="E1498" s="84">
        <v>0</v>
      </c>
      <c r="F1498" s="84"/>
      <c r="G1498" s="94">
        <f t="shared" si="237"/>
        <v>1</v>
      </c>
      <c r="H1498" s="93">
        <f t="shared" si="238"/>
        <v>92</v>
      </c>
      <c r="I1498" s="84">
        <f t="shared" si="239"/>
        <v>0</v>
      </c>
      <c r="J1498" s="105">
        <f t="shared" si="240"/>
        <v>0</v>
      </c>
      <c r="K1498">
        <f t="shared" si="241"/>
        <v>0</v>
      </c>
      <c r="L1498"/>
      <c r="M1498"/>
      <c r="N1498"/>
      <c r="O1498"/>
      <c r="P1498"/>
      <c r="Q1498"/>
      <c r="R1498"/>
      <c r="S1498"/>
      <c r="T1498"/>
    </row>
    <row r="1499" spans="1:20" outlineLevel="4" x14ac:dyDescent="0.3">
      <c r="A1499" s="82" t="s">
        <v>2281</v>
      </c>
      <c r="B1499" s="10" t="s">
        <v>1100</v>
      </c>
      <c r="C1499" s="60" t="s">
        <v>1101</v>
      </c>
      <c r="D1499" s="44" t="s">
        <v>80</v>
      </c>
      <c r="E1499" s="84">
        <v>0</v>
      </c>
      <c r="F1499" s="84"/>
      <c r="G1499" s="94">
        <f t="shared" si="237"/>
        <v>1</v>
      </c>
      <c r="H1499" s="93">
        <f t="shared" si="238"/>
        <v>17</v>
      </c>
      <c r="I1499" s="84">
        <f t="shared" si="239"/>
        <v>0</v>
      </c>
      <c r="J1499" s="105">
        <f t="shared" si="240"/>
        <v>0</v>
      </c>
      <c r="K1499">
        <f t="shared" si="241"/>
        <v>0</v>
      </c>
      <c r="L1499"/>
      <c r="M1499"/>
      <c r="N1499"/>
      <c r="O1499"/>
      <c r="P1499"/>
      <c r="Q1499"/>
      <c r="R1499"/>
      <c r="S1499"/>
      <c r="T1499"/>
    </row>
    <row r="1500" spans="1:20" outlineLevel="4" x14ac:dyDescent="0.3">
      <c r="A1500" s="82" t="s">
        <v>2282</v>
      </c>
      <c r="B1500" s="10" t="s">
        <v>1103</v>
      </c>
      <c r="C1500" s="60" t="s">
        <v>1069</v>
      </c>
      <c r="D1500" s="44" t="s">
        <v>154</v>
      </c>
      <c r="E1500" s="84">
        <v>0</v>
      </c>
      <c r="F1500" s="84"/>
      <c r="G1500" s="94">
        <f t="shared" si="237"/>
        <v>1</v>
      </c>
      <c r="H1500" s="93">
        <f t="shared" si="238"/>
        <v>35</v>
      </c>
      <c r="I1500" s="84">
        <f t="shared" si="239"/>
        <v>0</v>
      </c>
      <c r="J1500" s="105">
        <f t="shared" si="240"/>
        <v>0</v>
      </c>
      <c r="K1500">
        <f t="shared" si="241"/>
        <v>0</v>
      </c>
      <c r="L1500"/>
      <c r="M1500"/>
      <c r="N1500"/>
      <c r="O1500"/>
      <c r="P1500"/>
      <c r="Q1500"/>
      <c r="R1500"/>
      <c r="S1500"/>
      <c r="T1500"/>
    </row>
    <row r="1501" spans="1:20" outlineLevel="4" x14ac:dyDescent="0.3">
      <c r="A1501" s="82" t="s">
        <v>2283</v>
      </c>
      <c r="B1501" s="10" t="s">
        <v>1105</v>
      </c>
      <c r="C1501" s="60" t="s">
        <v>1072</v>
      </c>
      <c r="D1501" s="44" t="s">
        <v>141</v>
      </c>
      <c r="E1501" s="84">
        <v>0</v>
      </c>
      <c r="F1501" s="84"/>
      <c r="G1501" s="94">
        <f t="shared" si="237"/>
        <v>1</v>
      </c>
      <c r="H1501" s="93">
        <f t="shared" si="238"/>
        <v>230</v>
      </c>
      <c r="I1501" s="84">
        <f t="shared" si="239"/>
        <v>0</v>
      </c>
      <c r="J1501" s="105">
        <f t="shared" si="240"/>
        <v>0</v>
      </c>
      <c r="K1501">
        <f t="shared" si="241"/>
        <v>0</v>
      </c>
      <c r="L1501"/>
      <c r="M1501"/>
      <c r="N1501"/>
      <c r="O1501"/>
      <c r="P1501"/>
      <c r="Q1501"/>
      <c r="R1501"/>
      <c r="S1501"/>
      <c r="T1501"/>
    </row>
    <row r="1502" spans="1:20" outlineLevel="4" x14ac:dyDescent="0.3">
      <c r="A1502" s="82" t="s">
        <v>2284</v>
      </c>
      <c r="B1502" s="10" t="s">
        <v>1107</v>
      </c>
      <c r="C1502" s="60" t="s">
        <v>1078</v>
      </c>
      <c r="D1502" s="44" t="s">
        <v>1079</v>
      </c>
      <c r="E1502" s="84">
        <v>0</v>
      </c>
      <c r="F1502" s="84"/>
      <c r="G1502" s="94">
        <f t="shared" si="237"/>
        <v>1</v>
      </c>
      <c r="H1502" s="93">
        <f t="shared" si="238"/>
        <v>1.6</v>
      </c>
      <c r="I1502" s="84">
        <f t="shared" si="239"/>
        <v>0</v>
      </c>
      <c r="J1502" s="105">
        <f t="shared" si="240"/>
        <v>0</v>
      </c>
      <c r="K1502">
        <f t="shared" si="241"/>
        <v>0</v>
      </c>
      <c r="L1502"/>
      <c r="M1502"/>
      <c r="N1502"/>
      <c r="O1502"/>
      <c r="P1502"/>
      <c r="Q1502"/>
      <c r="R1502"/>
      <c r="S1502"/>
      <c r="T1502"/>
    </row>
    <row r="1503" spans="1:20" outlineLevel="4" x14ac:dyDescent="0.3">
      <c r="A1503" s="82" t="s">
        <v>2285</v>
      </c>
      <c r="B1503" s="10" t="s">
        <v>1109</v>
      </c>
      <c r="C1503" s="60" t="s">
        <v>1082</v>
      </c>
      <c r="D1503" s="44" t="s">
        <v>154</v>
      </c>
      <c r="E1503" s="84">
        <v>0</v>
      </c>
      <c r="F1503" s="84"/>
      <c r="G1503" s="94">
        <f t="shared" si="237"/>
        <v>1</v>
      </c>
      <c r="H1503" s="93">
        <f t="shared" si="238"/>
        <v>12</v>
      </c>
      <c r="I1503" s="84">
        <f t="shared" si="239"/>
        <v>0</v>
      </c>
      <c r="J1503" s="105">
        <f t="shared" si="240"/>
        <v>0</v>
      </c>
      <c r="K1503">
        <f t="shared" si="241"/>
        <v>0</v>
      </c>
      <c r="L1503"/>
      <c r="M1503"/>
      <c r="N1503"/>
      <c r="O1503"/>
      <c r="P1503"/>
      <c r="Q1503"/>
      <c r="R1503"/>
      <c r="S1503"/>
      <c r="T1503"/>
    </row>
    <row r="1504" spans="1:20" outlineLevel="4" x14ac:dyDescent="0.3">
      <c r="A1504" s="82" t="s">
        <v>2286</v>
      </c>
      <c r="B1504" s="10" t="s">
        <v>1111</v>
      </c>
      <c r="C1504" s="60" t="s">
        <v>1085</v>
      </c>
      <c r="D1504" s="44" t="s">
        <v>154</v>
      </c>
      <c r="E1504" s="84">
        <v>0</v>
      </c>
      <c r="F1504" s="84"/>
      <c r="G1504" s="94">
        <f t="shared" si="237"/>
        <v>1</v>
      </c>
      <c r="H1504" s="93">
        <f t="shared" si="238"/>
        <v>9.1999999999999993</v>
      </c>
      <c r="I1504" s="84">
        <f t="shared" si="239"/>
        <v>0</v>
      </c>
      <c r="J1504" s="105">
        <f t="shared" si="240"/>
        <v>0</v>
      </c>
      <c r="K1504">
        <f t="shared" si="241"/>
        <v>0</v>
      </c>
      <c r="L1504"/>
      <c r="M1504"/>
      <c r="N1504"/>
      <c r="O1504"/>
      <c r="P1504"/>
      <c r="Q1504"/>
      <c r="R1504"/>
      <c r="S1504"/>
      <c r="T1504"/>
    </row>
    <row r="1505" spans="1:20" outlineLevel="4" x14ac:dyDescent="0.3">
      <c r="A1505" s="82" t="s">
        <v>2287</v>
      </c>
      <c r="B1505" s="10" t="s">
        <v>1113</v>
      </c>
      <c r="C1505" s="60" t="s">
        <v>1114</v>
      </c>
      <c r="D1505" s="44" t="s">
        <v>154</v>
      </c>
      <c r="E1505" s="84">
        <v>0</v>
      </c>
      <c r="F1505" s="84"/>
      <c r="G1505" s="94">
        <f t="shared" si="237"/>
        <v>1</v>
      </c>
      <c r="H1505" s="93">
        <f t="shared" si="238"/>
        <v>100</v>
      </c>
      <c r="I1505" s="84">
        <f t="shared" si="239"/>
        <v>0</v>
      </c>
      <c r="J1505" s="105">
        <f t="shared" si="240"/>
        <v>0</v>
      </c>
      <c r="K1505">
        <f t="shared" si="241"/>
        <v>0</v>
      </c>
      <c r="L1505"/>
      <c r="M1505"/>
      <c r="N1505"/>
      <c r="O1505"/>
      <c r="P1505"/>
      <c r="Q1505"/>
      <c r="R1505"/>
      <c r="S1505"/>
      <c r="T1505"/>
    </row>
    <row r="1506" spans="1:20" outlineLevel="3" x14ac:dyDescent="0.3">
      <c r="A1506" s="82" t="s">
        <v>2288</v>
      </c>
      <c r="B1506" s="58" t="s">
        <v>1116</v>
      </c>
      <c r="C1506" s="61" t="s">
        <v>1117</v>
      </c>
      <c r="D1506" s="115"/>
      <c r="E1506" s="87"/>
      <c r="F1506" s="87"/>
      <c r="G1506" s="97"/>
      <c r="H1506" s="87"/>
      <c r="I1506" s="104">
        <f>SUBTOTAL(9,K1507:K1508)</f>
        <v>0</v>
      </c>
      <c r="J1506" s="108"/>
      <c r="K1506"/>
      <c r="L1506"/>
      <c r="M1506"/>
      <c r="N1506"/>
      <c r="O1506"/>
      <c r="P1506"/>
      <c r="Q1506"/>
      <c r="R1506"/>
      <c r="S1506"/>
      <c r="T1506"/>
    </row>
    <row r="1507" spans="1:20" outlineLevel="4" x14ac:dyDescent="0.3">
      <c r="A1507" s="82" t="s">
        <v>2289</v>
      </c>
      <c r="B1507" s="10" t="s">
        <v>1119</v>
      </c>
      <c r="C1507" s="60" t="s">
        <v>1120</v>
      </c>
      <c r="D1507" s="44" t="s">
        <v>154</v>
      </c>
      <c r="E1507" s="84">
        <v>0</v>
      </c>
      <c r="F1507" s="84"/>
      <c r="G1507" s="94">
        <f>cell_CoefGeneral</f>
        <v>1</v>
      </c>
      <c r="H1507" s="93">
        <f>H370</f>
        <v>52</v>
      </c>
      <c r="I1507" s="84">
        <f>IFERROR(ROUND(E1507*H1507,2),"-")</f>
        <v>0</v>
      </c>
      <c r="J1507" s="105">
        <f>IFERROR(I1507/cell_Total_HT,"-")</f>
        <v>0</v>
      </c>
      <c r="K1507">
        <f>I1507</f>
        <v>0</v>
      </c>
      <c r="L1507"/>
      <c r="M1507"/>
      <c r="N1507"/>
      <c r="O1507"/>
      <c r="P1507"/>
      <c r="Q1507"/>
      <c r="R1507"/>
      <c r="S1507"/>
      <c r="T1507"/>
    </row>
    <row r="1508" spans="1:20" ht="15" outlineLevel="4" thickBot="1" x14ac:dyDescent="0.35">
      <c r="A1508" s="82" t="s">
        <v>2290</v>
      </c>
      <c r="B1508" s="10" t="s">
        <v>1122</v>
      </c>
      <c r="C1508" s="60" t="s">
        <v>1123</v>
      </c>
      <c r="D1508" s="44" t="s">
        <v>154</v>
      </c>
      <c r="E1508" s="84">
        <v>0</v>
      </c>
      <c r="F1508" s="84"/>
      <c r="G1508" s="94">
        <f>cell_CoefGeneral</f>
        <v>1</v>
      </c>
      <c r="H1508" s="93">
        <f>H371</f>
        <v>52</v>
      </c>
      <c r="I1508" s="84">
        <f>IFERROR(ROUND(E1508*H1508,2),"-")</f>
        <v>0</v>
      </c>
      <c r="J1508" s="105">
        <f>IFERROR(I1508/cell_Total_HT,"-")</f>
        <v>0</v>
      </c>
      <c r="K1508">
        <f>I1508</f>
        <v>0</v>
      </c>
      <c r="L1508"/>
      <c r="M1508"/>
      <c r="N1508"/>
      <c r="O1508"/>
      <c r="P1508"/>
      <c r="Q1508"/>
      <c r="R1508"/>
      <c r="S1508"/>
      <c r="T1508"/>
    </row>
    <row r="1509" spans="1:20" ht="15" outlineLevel="2" thickTop="1" x14ac:dyDescent="0.3">
      <c r="A1509" s="82" t="s">
        <v>2291</v>
      </c>
      <c r="B1509" s="62" t="s">
        <v>60</v>
      </c>
      <c r="C1509" s="63" t="s">
        <v>1125</v>
      </c>
      <c r="D1509" s="116"/>
      <c r="E1509" s="88"/>
      <c r="F1509" s="88"/>
      <c r="G1509" s="98"/>
      <c r="H1509" s="88"/>
      <c r="I1509" s="88">
        <f>SUBTOTAL(9,I1480:I1508)</f>
        <v>0</v>
      </c>
      <c r="J1509" s="109"/>
      <c r="K1509"/>
      <c r="L1509"/>
      <c r="M1509"/>
      <c r="N1509"/>
      <c r="O1509"/>
      <c r="P1509"/>
      <c r="Q1509"/>
      <c r="R1509"/>
      <c r="S1509"/>
      <c r="T1509"/>
    </row>
    <row r="1510" spans="1:20" outlineLevel="2" x14ac:dyDescent="0.3">
      <c r="A1510" s="82" t="s">
        <v>2292</v>
      </c>
      <c r="B1510" s="64" t="s">
        <v>1127</v>
      </c>
      <c r="C1510" s="65" t="s">
        <v>1128</v>
      </c>
      <c r="D1510" s="117"/>
      <c r="E1510" s="87"/>
      <c r="F1510" s="87"/>
      <c r="G1510" s="97"/>
      <c r="H1510" s="87"/>
      <c r="I1510" s="104">
        <f>SUBTOTAL(9,K1511:K1520)</f>
        <v>6150</v>
      </c>
      <c r="J1510" s="108"/>
      <c r="K1510"/>
      <c r="L1510"/>
      <c r="M1510"/>
      <c r="N1510"/>
      <c r="O1510"/>
      <c r="P1510"/>
      <c r="Q1510"/>
      <c r="R1510"/>
      <c r="S1510"/>
      <c r="T1510"/>
    </row>
    <row r="1511" spans="1:20" outlineLevel="3" x14ac:dyDescent="0.3">
      <c r="A1511" s="82" t="s">
        <v>2293</v>
      </c>
      <c r="B1511" s="64" t="s">
        <v>1130</v>
      </c>
      <c r="C1511" s="66" t="s">
        <v>1131</v>
      </c>
      <c r="D1511" s="117"/>
      <c r="E1511" s="87"/>
      <c r="F1511" s="87"/>
      <c r="G1511" s="97"/>
      <c r="H1511" s="87"/>
      <c r="I1511" s="104">
        <f>SUBTOTAL(9,K1512:K1520)</f>
        <v>6150</v>
      </c>
      <c r="J1511" s="108"/>
      <c r="K1511"/>
      <c r="L1511"/>
      <c r="M1511"/>
      <c r="N1511"/>
      <c r="O1511"/>
      <c r="P1511"/>
      <c r="Q1511"/>
      <c r="R1511"/>
      <c r="S1511"/>
      <c r="T1511"/>
    </row>
    <row r="1512" spans="1:20" outlineLevel="4" x14ac:dyDescent="0.3">
      <c r="A1512" s="82" t="s">
        <v>2294</v>
      </c>
      <c r="B1512" s="10" t="s">
        <v>1133</v>
      </c>
      <c r="C1512" s="60" t="s">
        <v>1134</v>
      </c>
      <c r="D1512" s="44" t="s">
        <v>121</v>
      </c>
      <c r="E1512" s="84">
        <v>0</v>
      </c>
      <c r="F1512" s="84"/>
      <c r="G1512" s="94">
        <f t="shared" ref="G1512:G1520" si="242">cell_CoefGeneral</f>
        <v>1</v>
      </c>
      <c r="H1512" s="93">
        <f t="shared" ref="H1512:H1520" si="243">H375</f>
        <v>100</v>
      </c>
      <c r="I1512" s="84">
        <f t="shared" ref="I1512:I1520" si="244">IFERROR(ROUND(E1512*H1512,2),"-")</f>
        <v>0</v>
      </c>
      <c r="J1512" s="105">
        <f t="shared" ref="J1512:J1520" si="245">IFERROR(I1512/cell_Total_HT,"-")</f>
        <v>0</v>
      </c>
      <c r="K1512">
        <f t="shared" ref="K1512:K1520" si="246">I1512</f>
        <v>0</v>
      </c>
      <c r="L1512"/>
      <c r="M1512"/>
      <c r="N1512"/>
      <c r="O1512"/>
      <c r="P1512"/>
      <c r="Q1512"/>
      <c r="R1512"/>
      <c r="S1512"/>
      <c r="T1512"/>
    </row>
    <row r="1513" spans="1:20" outlineLevel="4" x14ac:dyDescent="0.3">
      <c r="A1513" s="82" t="s">
        <v>2295</v>
      </c>
      <c r="B1513" s="10" t="s">
        <v>1136</v>
      </c>
      <c r="C1513" s="60" t="s">
        <v>1137</v>
      </c>
      <c r="D1513" s="44" t="s">
        <v>121</v>
      </c>
      <c r="E1513" s="84">
        <v>0</v>
      </c>
      <c r="F1513" s="84"/>
      <c r="G1513" s="94">
        <f t="shared" si="242"/>
        <v>1</v>
      </c>
      <c r="H1513" s="93">
        <f t="shared" si="243"/>
        <v>120</v>
      </c>
      <c r="I1513" s="84">
        <f t="shared" si="244"/>
        <v>0</v>
      </c>
      <c r="J1513" s="105">
        <f t="shared" si="245"/>
        <v>0</v>
      </c>
      <c r="K1513">
        <f t="shared" si="246"/>
        <v>0</v>
      </c>
      <c r="L1513"/>
      <c r="M1513"/>
      <c r="N1513"/>
      <c r="O1513"/>
      <c r="P1513"/>
      <c r="Q1513"/>
      <c r="R1513"/>
      <c r="S1513"/>
      <c r="T1513"/>
    </row>
    <row r="1514" spans="1:20" outlineLevel="4" x14ac:dyDescent="0.3">
      <c r="A1514" s="82" t="s">
        <v>2296</v>
      </c>
      <c r="B1514" s="10" t="s">
        <v>1139</v>
      </c>
      <c r="C1514" s="60" t="s">
        <v>1140</v>
      </c>
      <c r="D1514" s="44" t="s">
        <v>121</v>
      </c>
      <c r="E1514" s="84">
        <v>0</v>
      </c>
      <c r="F1514" s="84"/>
      <c r="G1514" s="94">
        <f t="shared" si="242"/>
        <v>1</v>
      </c>
      <c r="H1514" s="93">
        <f t="shared" si="243"/>
        <v>300</v>
      </c>
      <c r="I1514" s="84">
        <f t="shared" si="244"/>
        <v>0</v>
      </c>
      <c r="J1514" s="105">
        <f t="shared" si="245"/>
        <v>0</v>
      </c>
      <c r="K1514">
        <f t="shared" si="246"/>
        <v>0</v>
      </c>
      <c r="L1514"/>
      <c r="M1514"/>
      <c r="N1514"/>
      <c r="O1514"/>
      <c r="P1514"/>
      <c r="Q1514"/>
      <c r="R1514"/>
      <c r="S1514"/>
      <c r="T1514"/>
    </row>
    <row r="1515" spans="1:20" outlineLevel="4" x14ac:dyDescent="0.3">
      <c r="A1515" s="82" t="s">
        <v>2297</v>
      </c>
      <c r="B1515" s="10" t="s">
        <v>1142</v>
      </c>
      <c r="C1515" s="60" t="s">
        <v>1143</v>
      </c>
      <c r="D1515" s="44" t="s">
        <v>121</v>
      </c>
      <c r="E1515" s="84">
        <v>1</v>
      </c>
      <c r="F1515" s="84"/>
      <c r="G1515" s="94">
        <f t="shared" si="242"/>
        <v>1</v>
      </c>
      <c r="H1515" s="93">
        <f t="shared" si="243"/>
        <v>450</v>
      </c>
      <c r="I1515" s="84">
        <f t="shared" si="244"/>
        <v>450</v>
      </c>
      <c r="J1515" s="105">
        <f t="shared" si="245"/>
        <v>1.3285028968005672E-4</v>
      </c>
      <c r="K1515">
        <f t="shared" si="246"/>
        <v>450</v>
      </c>
      <c r="L1515"/>
      <c r="M1515"/>
      <c r="N1515"/>
      <c r="O1515"/>
      <c r="P1515"/>
      <c r="Q1515"/>
      <c r="R1515"/>
      <c r="S1515"/>
      <c r="T1515"/>
    </row>
    <row r="1516" spans="1:20" outlineLevel="4" x14ac:dyDescent="0.3">
      <c r="A1516" s="82" t="s">
        <v>2298</v>
      </c>
      <c r="B1516" s="10" t="s">
        <v>1145</v>
      </c>
      <c r="C1516" s="60" t="s">
        <v>1146</v>
      </c>
      <c r="D1516" s="44" t="s">
        <v>121</v>
      </c>
      <c r="E1516" s="84">
        <v>0</v>
      </c>
      <c r="F1516" s="84"/>
      <c r="G1516" s="94">
        <f t="shared" si="242"/>
        <v>1</v>
      </c>
      <c r="H1516" s="93">
        <f t="shared" si="243"/>
        <v>200</v>
      </c>
      <c r="I1516" s="84">
        <f t="shared" si="244"/>
        <v>0</v>
      </c>
      <c r="J1516" s="105">
        <f t="shared" si="245"/>
        <v>0</v>
      </c>
      <c r="K1516">
        <f t="shared" si="246"/>
        <v>0</v>
      </c>
      <c r="L1516"/>
      <c r="M1516"/>
      <c r="N1516"/>
      <c r="O1516"/>
      <c r="P1516"/>
      <c r="Q1516"/>
      <c r="R1516"/>
      <c r="S1516"/>
      <c r="T1516"/>
    </row>
    <row r="1517" spans="1:20" outlineLevel="4" x14ac:dyDescent="0.3">
      <c r="A1517" s="82" t="s">
        <v>2299</v>
      </c>
      <c r="B1517" s="10" t="s">
        <v>1148</v>
      </c>
      <c r="C1517" s="60" t="s">
        <v>1149</v>
      </c>
      <c r="D1517" s="44" t="s">
        <v>93</v>
      </c>
      <c r="E1517" s="84">
        <v>1</v>
      </c>
      <c r="F1517" s="84"/>
      <c r="G1517" s="94">
        <f t="shared" si="242"/>
        <v>1</v>
      </c>
      <c r="H1517" s="93">
        <f t="shared" si="243"/>
        <v>5300</v>
      </c>
      <c r="I1517" s="84">
        <f t="shared" si="244"/>
        <v>5300</v>
      </c>
      <c r="J1517" s="105">
        <f t="shared" si="245"/>
        <v>1.5646811895651126E-3</v>
      </c>
      <c r="K1517">
        <f t="shared" si="246"/>
        <v>5300</v>
      </c>
      <c r="L1517"/>
      <c r="M1517"/>
      <c r="N1517"/>
      <c r="O1517"/>
      <c r="P1517"/>
      <c r="Q1517"/>
      <c r="R1517"/>
      <c r="S1517"/>
      <c r="T1517"/>
    </row>
    <row r="1518" spans="1:20" outlineLevel="4" x14ac:dyDescent="0.3">
      <c r="A1518" s="82" t="s">
        <v>2300</v>
      </c>
      <c r="B1518" s="10" t="s">
        <v>1151</v>
      </c>
      <c r="C1518" s="60" t="s">
        <v>1152</v>
      </c>
      <c r="D1518" s="44" t="s">
        <v>121</v>
      </c>
      <c r="E1518" s="84">
        <v>2</v>
      </c>
      <c r="F1518" s="84"/>
      <c r="G1518" s="94">
        <f t="shared" si="242"/>
        <v>1</v>
      </c>
      <c r="H1518" s="93">
        <f t="shared" si="243"/>
        <v>200</v>
      </c>
      <c r="I1518" s="84">
        <f t="shared" si="244"/>
        <v>400</v>
      </c>
      <c r="J1518" s="105">
        <f t="shared" si="245"/>
        <v>1.1808914638227264E-4</v>
      </c>
      <c r="K1518">
        <f t="shared" si="246"/>
        <v>400</v>
      </c>
      <c r="L1518"/>
      <c r="M1518"/>
      <c r="N1518"/>
      <c r="O1518"/>
      <c r="P1518"/>
      <c r="Q1518"/>
      <c r="R1518"/>
      <c r="S1518"/>
      <c r="T1518"/>
    </row>
    <row r="1519" spans="1:20" outlineLevel="4" x14ac:dyDescent="0.3">
      <c r="A1519" s="82" t="s">
        <v>2301</v>
      </c>
      <c r="B1519" s="10" t="s">
        <v>1154</v>
      </c>
      <c r="C1519" s="60" t="s">
        <v>1155</v>
      </c>
      <c r="D1519" s="44" t="s">
        <v>93</v>
      </c>
      <c r="E1519" s="84">
        <v>0</v>
      </c>
      <c r="F1519" s="84"/>
      <c r="G1519" s="94">
        <f t="shared" si="242"/>
        <v>1</v>
      </c>
      <c r="H1519" s="93">
        <f t="shared" si="243"/>
        <v>2200</v>
      </c>
      <c r="I1519" s="84">
        <f t="shared" si="244"/>
        <v>0</v>
      </c>
      <c r="J1519" s="105">
        <f t="shared" si="245"/>
        <v>0</v>
      </c>
      <c r="K1519">
        <f t="shared" si="246"/>
        <v>0</v>
      </c>
      <c r="L1519"/>
      <c r="M1519"/>
      <c r="N1519"/>
      <c r="O1519"/>
      <c r="P1519"/>
      <c r="Q1519"/>
      <c r="R1519"/>
      <c r="S1519"/>
      <c r="T1519"/>
    </row>
    <row r="1520" spans="1:20" ht="15" outlineLevel="4" thickBot="1" x14ac:dyDescent="0.35">
      <c r="A1520" s="82" t="s">
        <v>2302</v>
      </c>
      <c r="B1520" s="10" t="s">
        <v>1157</v>
      </c>
      <c r="C1520" s="60" t="s">
        <v>1158</v>
      </c>
      <c r="D1520" s="44" t="s">
        <v>93</v>
      </c>
      <c r="E1520" s="84">
        <v>0</v>
      </c>
      <c r="F1520" s="84"/>
      <c r="G1520" s="94">
        <f t="shared" si="242"/>
        <v>1</v>
      </c>
      <c r="H1520" s="93">
        <f t="shared" si="243"/>
        <v>7400</v>
      </c>
      <c r="I1520" s="84">
        <f t="shared" si="244"/>
        <v>0</v>
      </c>
      <c r="J1520" s="105">
        <f t="shared" si="245"/>
        <v>0</v>
      </c>
      <c r="K1520">
        <f t="shared" si="246"/>
        <v>0</v>
      </c>
      <c r="L1520"/>
      <c r="M1520"/>
      <c r="N1520"/>
      <c r="O1520"/>
      <c r="P1520"/>
      <c r="Q1520"/>
      <c r="R1520"/>
      <c r="S1520"/>
      <c r="T1520"/>
    </row>
    <row r="1521" spans="1:20" ht="15" outlineLevel="2" thickTop="1" x14ac:dyDescent="0.3">
      <c r="A1521" s="82" t="s">
        <v>2303</v>
      </c>
      <c r="B1521" s="62" t="s">
        <v>60</v>
      </c>
      <c r="C1521" s="63" t="s">
        <v>1160</v>
      </c>
      <c r="D1521" s="116"/>
      <c r="E1521" s="88"/>
      <c r="F1521" s="88"/>
      <c r="G1521" s="98"/>
      <c r="H1521" s="88"/>
      <c r="I1521" s="88">
        <f>SUBTOTAL(9,I1512:I1520)</f>
        <v>6150</v>
      </c>
      <c r="J1521" s="109"/>
      <c r="K1521"/>
      <c r="L1521"/>
      <c r="M1521"/>
      <c r="N1521"/>
      <c r="O1521"/>
      <c r="P1521"/>
      <c r="Q1521"/>
      <c r="R1521"/>
      <c r="S1521"/>
      <c r="T1521"/>
    </row>
    <row r="1522" spans="1:20" outlineLevel="1" x14ac:dyDescent="0.3">
      <c r="A1522" s="82" t="s">
        <v>2304</v>
      </c>
      <c r="B1522" s="67" t="s">
        <v>60</v>
      </c>
      <c r="C1522" s="68" t="s">
        <v>2305</v>
      </c>
      <c r="D1522" s="118"/>
      <c r="E1522" s="89"/>
      <c r="F1522" s="89"/>
      <c r="G1522" s="99"/>
      <c r="H1522" s="89"/>
      <c r="I1522" s="89">
        <f>ROUND(I1159+I1199+I1221+I1277+I1304+I1320+I1334+I1364+I1389+I1404+I1429+I1437+I1446+I1478+I1509+I1521,2)</f>
        <v>106869.9</v>
      </c>
      <c r="J1522" s="110"/>
      <c r="K1522"/>
      <c r="L1522"/>
      <c r="M1522"/>
      <c r="N1522"/>
      <c r="O1522"/>
      <c r="P1522"/>
      <c r="Q1522"/>
      <c r="R1522"/>
      <c r="S1522"/>
      <c r="T1522"/>
    </row>
    <row r="1523" spans="1:20" ht="15" outlineLevel="1" thickBot="1" x14ac:dyDescent="0.35">
      <c r="A1523" s="82" t="s">
        <v>2306</v>
      </c>
      <c r="B1523" s="69" t="s">
        <v>60</v>
      </c>
      <c r="C1523" s="70" t="s">
        <v>2307</v>
      </c>
      <c r="D1523" s="119"/>
      <c r="E1523" s="86"/>
      <c r="F1523" s="86"/>
      <c r="G1523" s="96"/>
      <c r="H1523" s="86"/>
      <c r="I1523" s="103">
        <f>SUBTOTAL(9,K1524:K1899)</f>
        <v>127709.6</v>
      </c>
      <c r="J1523" s="107"/>
      <c r="K1523"/>
      <c r="L1523"/>
      <c r="M1523"/>
      <c r="N1523"/>
      <c r="O1523"/>
      <c r="P1523"/>
      <c r="Q1523"/>
      <c r="R1523"/>
      <c r="S1523"/>
      <c r="T1523"/>
    </row>
    <row r="1524" spans="1:20" outlineLevel="2" x14ac:dyDescent="0.3">
      <c r="A1524" s="82" t="s">
        <v>2308</v>
      </c>
      <c r="B1524" s="64" t="s">
        <v>65</v>
      </c>
      <c r="C1524" s="65" t="s">
        <v>66</v>
      </c>
      <c r="D1524" s="117"/>
      <c r="E1524" s="87"/>
      <c r="F1524" s="87"/>
      <c r="G1524" s="97"/>
      <c r="H1524" s="87"/>
      <c r="I1524" s="104">
        <f>SUBTOTAL(9,K1525:K1537)</f>
        <v>2574</v>
      </c>
      <c r="J1524" s="108"/>
      <c r="K1524"/>
      <c r="L1524"/>
      <c r="M1524"/>
      <c r="N1524"/>
      <c r="O1524"/>
      <c r="P1524"/>
      <c r="Q1524"/>
      <c r="R1524"/>
      <c r="S1524"/>
      <c r="T1524"/>
    </row>
    <row r="1525" spans="1:20" outlineLevel="3" x14ac:dyDescent="0.3">
      <c r="A1525" s="82" t="s">
        <v>2309</v>
      </c>
      <c r="B1525" s="10" t="s">
        <v>68</v>
      </c>
      <c r="C1525" s="60" t="s">
        <v>69</v>
      </c>
      <c r="D1525" s="44" t="s">
        <v>70</v>
      </c>
      <c r="E1525" s="84">
        <v>0</v>
      </c>
      <c r="F1525" s="84"/>
      <c r="G1525" s="94">
        <f>cell_CoefGeneral</f>
        <v>1</v>
      </c>
      <c r="H1525" s="93">
        <f>H9</f>
        <v>5700</v>
      </c>
      <c r="I1525" s="84">
        <f>IFERROR(ROUND(E1525*H1525,2),"-")</f>
        <v>0</v>
      </c>
      <c r="J1525" s="105">
        <f>IFERROR(I1525/cell_Total_HT,"-")</f>
        <v>0</v>
      </c>
      <c r="K1525">
        <f>I1525</f>
        <v>0</v>
      </c>
      <c r="L1525"/>
      <c r="M1525"/>
      <c r="N1525"/>
      <c r="O1525"/>
      <c r="P1525"/>
      <c r="Q1525"/>
      <c r="R1525"/>
      <c r="S1525"/>
      <c r="T1525"/>
    </row>
    <row r="1526" spans="1:20" outlineLevel="3" x14ac:dyDescent="0.3">
      <c r="A1526" s="82" t="s">
        <v>2310</v>
      </c>
      <c r="B1526" s="10" t="s">
        <v>72</v>
      </c>
      <c r="C1526" s="60" t="s">
        <v>73</v>
      </c>
      <c r="D1526" s="44" t="s">
        <v>70</v>
      </c>
      <c r="E1526" s="84">
        <v>0</v>
      </c>
      <c r="F1526" s="84"/>
      <c r="G1526" s="94">
        <f>cell_CoefGeneral</f>
        <v>1</v>
      </c>
      <c r="H1526" s="93">
        <f>H10</f>
        <v>780</v>
      </c>
      <c r="I1526" s="84">
        <f>IFERROR(ROUND(E1526*H1526,2),"-")</f>
        <v>0</v>
      </c>
      <c r="J1526" s="105">
        <f>IFERROR(I1526/cell_Total_HT,"-")</f>
        <v>0</v>
      </c>
      <c r="K1526">
        <f>I1526</f>
        <v>0</v>
      </c>
      <c r="L1526"/>
      <c r="M1526"/>
      <c r="N1526"/>
      <c r="O1526"/>
      <c r="P1526"/>
      <c r="Q1526"/>
      <c r="R1526"/>
      <c r="S1526"/>
      <c r="T1526"/>
    </row>
    <row r="1527" spans="1:20" outlineLevel="3" x14ac:dyDescent="0.3">
      <c r="A1527" s="82" t="s">
        <v>2311</v>
      </c>
      <c r="B1527" s="58" t="s">
        <v>75</v>
      </c>
      <c r="C1527" s="61" t="s">
        <v>76</v>
      </c>
      <c r="D1527" s="115"/>
      <c r="E1527" s="87"/>
      <c r="F1527" s="87"/>
      <c r="G1527" s="97"/>
      <c r="H1527" s="87"/>
      <c r="I1527" s="104">
        <f>SUBTOTAL(9,K1528:K1531)</f>
        <v>2574</v>
      </c>
      <c r="J1527" s="108"/>
      <c r="K1527"/>
      <c r="L1527"/>
      <c r="M1527"/>
      <c r="N1527"/>
      <c r="O1527"/>
      <c r="P1527"/>
      <c r="Q1527"/>
      <c r="R1527"/>
      <c r="S1527"/>
      <c r="T1527"/>
    </row>
    <row r="1528" spans="1:20" outlineLevel="4" x14ac:dyDescent="0.3">
      <c r="A1528" s="82" t="s">
        <v>2312</v>
      </c>
      <c r="B1528" s="10" t="s">
        <v>78</v>
      </c>
      <c r="C1528" s="60" t="s">
        <v>79</v>
      </c>
      <c r="D1528" s="44" t="s">
        <v>80</v>
      </c>
      <c r="E1528" s="84">
        <v>0</v>
      </c>
      <c r="F1528" s="84"/>
      <c r="G1528" s="94">
        <f t="shared" ref="G1528:G1537" si="247">cell_CoefGeneral</f>
        <v>1</v>
      </c>
      <c r="H1528" s="93">
        <f t="shared" ref="H1528:H1537" si="248">H12</f>
        <v>48</v>
      </c>
      <c r="I1528" s="84">
        <f t="shared" ref="I1528:I1537" si="249">IFERROR(ROUND(E1528*H1528,2),"-")</f>
        <v>0</v>
      </c>
      <c r="J1528" s="105">
        <f t="shared" ref="J1528:J1537" si="250">IFERROR(I1528/cell_Total_HT,"-")</f>
        <v>0</v>
      </c>
      <c r="K1528">
        <f t="shared" ref="K1528:K1537" si="251">I1528</f>
        <v>0</v>
      </c>
      <c r="L1528"/>
      <c r="M1528"/>
      <c r="N1528"/>
      <c r="O1528"/>
      <c r="P1528"/>
      <c r="Q1528"/>
      <c r="R1528"/>
      <c r="S1528"/>
      <c r="T1528"/>
    </row>
    <row r="1529" spans="1:20" outlineLevel="4" x14ac:dyDescent="0.3">
      <c r="A1529" s="82" t="s">
        <v>2313</v>
      </c>
      <c r="B1529" s="10" t="s">
        <v>82</v>
      </c>
      <c r="C1529" s="60" t="s">
        <v>83</v>
      </c>
      <c r="D1529" s="44" t="s">
        <v>80</v>
      </c>
      <c r="E1529" s="84">
        <v>0</v>
      </c>
      <c r="F1529" s="84"/>
      <c r="G1529" s="94">
        <f t="shared" si="247"/>
        <v>1</v>
      </c>
      <c r="H1529" s="93">
        <f t="shared" si="248"/>
        <v>11</v>
      </c>
      <c r="I1529" s="84">
        <f t="shared" si="249"/>
        <v>0</v>
      </c>
      <c r="J1529" s="105">
        <f t="shared" si="250"/>
        <v>0</v>
      </c>
      <c r="K1529">
        <f t="shared" si="251"/>
        <v>0</v>
      </c>
      <c r="L1529"/>
      <c r="M1529"/>
      <c r="N1529"/>
      <c r="O1529"/>
      <c r="P1529"/>
      <c r="Q1529"/>
      <c r="R1529"/>
      <c r="S1529"/>
      <c r="T1529"/>
    </row>
    <row r="1530" spans="1:20" outlineLevel="4" x14ac:dyDescent="0.3">
      <c r="A1530" s="82" t="s">
        <v>2314</v>
      </c>
      <c r="B1530" s="10" t="s">
        <v>85</v>
      </c>
      <c r="C1530" s="60" t="s">
        <v>86</v>
      </c>
      <c r="D1530" s="44" t="s">
        <v>80</v>
      </c>
      <c r="E1530" s="84">
        <v>33</v>
      </c>
      <c r="F1530" s="84"/>
      <c r="G1530" s="94">
        <f t="shared" si="247"/>
        <v>1</v>
      </c>
      <c r="H1530" s="93">
        <f t="shared" si="248"/>
        <v>67</v>
      </c>
      <c r="I1530" s="84">
        <f t="shared" si="249"/>
        <v>2211</v>
      </c>
      <c r="J1530" s="105">
        <f t="shared" si="250"/>
        <v>6.52737756628012E-4</v>
      </c>
      <c r="K1530">
        <f t="shared" si="251"/>
        <v>2211</v>
      </c>
      <c r="L1530"/>
      <c r="M1530"/>
      <c r="N1530"/>
      <c r="O1530"/>
      <c r="P1530"/>
      <c r="Q1530"/>
      <c r="R1530"/>
      <c r="S1530"/>
      <c r="T1530"/>
    </row>
    <row r="1531" spans="1:20" outlineLevel="4" x14ac:dyDescent="0.3">
      <c r="A1531" s="82" t="s">
        <v>2315</v>
      </c>
      <c r="B1531" s="10" t="s">
        <v>88</v>
      </c>
      <c r="C1531" s="60" t="s">
        <v>89</v>
      </c>
      <c r="D1531" s="44" t="s">
        <v>80</v>
      </c>
      <c r="E1531" s="84">
        <v>33</v>
      </c>
      <c r="F1531" s="84"/>
      <c r="G1531" s="94">
        <f t="shared" si="247"/>
        <v>1</v>
      </c>
      <c r="H1531" s="93">
        <f t="shared" si="248"/>
        <v>11</v>
      </c>
      <c r="I1531" s="84">
        <f t="shared" si="249"/>
        <v>363</v>
      </c>
      <c r="J1531" s="105">
        <f t="shared" si="250"/>
        <v>1.0716590034191241E-4</v>
      </c>
      <c r="K1531">
        <f t="shared" si="251"/>
        <v>363</v>
      </c>
      <c r="L1531"/>
      <c r="M1531"/>
      <c r="N1531"/>
      <c r="O1531"/>
      <c r="P1531"/>
      <c r="Q1531"/>
      <c r="R1531"/>
      <c r="S1531"/>
      <c r="T1531"/>
    </row>
    <row r="1532" spans="1:20" outlineLevel="3" x14ac:dyDescent="0.3">
      <c r="A1532" s="82" t="s">
        <v>2316</v>
      </c>
      <c r="B1532" s="10" t="s">
        <v>91</v>
      </c>
      <c r="C1532" s="60" t="s">
        <v>92</v>
      </c>
      <c r="D1532" s="44" t="s">
        <v>93</v>
      </c>
      <c r="E1532" s="84">
        <v>0</v>
      </c>
      <c r="F1532" s="84"/>
      <c r="G1532" s="94">
        <f t="shared" si="247"/>
        <v>1</v>
      </c>
      <c r="H1532" s="93">
        <f t="shared" si="248"/>
        <v>52000</v>
      </c>
      <c r="I1532" s="84">
        <f t="shared" si="249"/>
        <v>0</v>
      </c>
      <c r="J1532" s="105">
        <f t="shared" si="250"/>
        <v>0</v>
      </c>
      <c r="K1532">
        <f t="shared" si="251"/>
        <v>0</v>
      </c>
      <c r="L1532"/>
      <c r="M1532"/>
      <c r="N1532"/>
      <c r="O1532"/>
      <c r="P1532"/>
      <c r="Q1532"/>
      <c r="R1532"/>
      <c r="S1532"/>
      <c r="T1532"/>
    </row>
    <row r="1533" spans="1:20" outlineLevel="3" x14ac:dyDescent="0.3">
      <c r="A1533" s="82" t="s">
        <v>2317</v>
      </c>
      <c r="B1533" s="10" t="s">
        <v>95</v>
      </c>
      <c r="C1533" s="60" t="s">
        <v>96</v>
      </c>
      <c r="D1533" s="44" t="s">
        <v>93</v>
      </c>
      <c r="E1533" s="84">
        <v>0</v>
      </c>
      <c r="F1533" s="84"/>
      <c r="G1533" s="94">
        <f t="shared" si="247"/>
        <v>1</v>
      </c>
      <c r="H1533" s="93">
        <f t="shared" si="248"/>
        <v>17000</v>
      </c>
      <c r="I1533" s="84">
        <f t="shared" si="249"/>
        <v>0</v>
      </c>
      <c r="J1533" s="105">
        <f t="shared" si="250"/>
        <v>0</v>
      </c>
      <c r="K1533">
        <f t="shared" si="251"/>
        <v>0</v>
      </c>
      <c r="L1533"/>
      <c r="M1533"/>
      <c r="N1533"/>
      <c r="O1533"/>
      <c r="P1533"/>
      <c r="Q1533"/>
      <c r="R1533"/>
      <c r="S1533"/>
      <c r="T1533"/>
    </row>
    <row r="1534" spans="1:20" outlineLevel="3" x14ac:dyDescent="0.3">
      <c r="A1534" s="82" t="s">
        <v>2318</v>
      </c>
      <c r="B1534" s="10" t="s">
        <v>98</v>
      </c>
      <c r="C1534" s="60" t="s">
        <v>99</v>
      </c>
      <c r="D1534" s="44" t="s">
        <v>93</v>
      </c>
      <c r="E1534" s="84">
        <v>0</v>
      </c>
      <c r="F1534" s="84"/>
      <c r="G1534" s="94">
        <f t="shared" si="247"/>
        <v>1</v>
      </c>
      <c r="H1534" s="93">
        <f t="shared" si="248"/>
        <v>5200</v>
      </c>
      <c r="I1534" s="84">
        <f t="shared" si="249"/>
        <v>0</v>
      </c>
      <c r="J1534" s="105">
        <f t="shared" si="250"/>
        <v>0</v>
      </c>
      <c r="K1534">
        <f t="shared" si="251"/>
        <v>0</v>
      </c>
      <c r="L1534"/>
      <c r="M1534"/>
      <c r="N1534"/>
      <c r="O1534"/>
      <c r="P1534"/>
      <c r="Q1534"/>
      <c r="R1534"/>
      <c r="S1534"/>
      <c r="T1534"/>
    </row>
    <row r="1535" spans="1:20" outlineLevel="3" x14ac:dyDescent="0.3">
      <c r="A1535" s="82" t="s">
        <v>2319</v>
      </c>
      <c r="B1535" s="10" t="s">
        <v>101</v>
      </c>
      <c r="C1535" s="60" t="s">
        <v>102</v>
      </c>
      <c r="D1535" s="44" t="s">
        <v>93</v>
      </c>
      <c r="E1535" s="84">
        <v>0</v>
      </c>
      <c r="F1535" s="84"/>
      <c r="G1535" s="94">
        <f t="shared" si="247"/>
        <v>1</v>
      </c>
      <c r="H1535" s="93">
        <f t="shared" si="248"/>
        <v>2900</v>
      </c>
      <c r="I1535" s="84">
        <f t="shared" si="249"/>
        <v>0</v>
      </c>
      <c r="J1535" s="105">
        <f t="shared" si="250"/>
        <v>0</v>
      </c>
      <c r="K1535">
        <f t="shared" si="251"/>
        <v>0</v>
      </c>
      <c r="L1535"/>
      <c r="M1535"/>
      <c r="N1535"/>
      <c r="O1535"/>
      <c r="P1535"/>
      <c r="Q1535"/>
      <c r="R1535"/>
      <c r="S1535"/>
      <c r="T1535"/>
    </row>
    <row r="1536" spans="1:20" outlineLevel="3" x14ac:dyDescent="0.3">
      <c r="A1536" s="82" t="s">
        <v>2320</v>
      </c>
      <c r="B1536" s="10" t="s">
        <v>104</v>
      </c>
      <c r="C1536" s="60" t="s">
        <v>105</v>
      </c>
      <c r="D1536" s="44" t="s">
        <v>106</v>
      </c>
      <c r="E1536" s="84">
        <v>0</v>
      </c>
      <c r="F1536" s="84"/>
      <c r="G1536" s="94">
        <f t="shared" si="247"/>
        <v>1</v>
      </c>
      <c r="H1536" s="93">
        <f t="shared" si="248"/>
        <v>350</v>
      </c>
      <c r="I1536" s="84">
        <f t="shared" si="249"/>
        <v>0</v>
      </c>
      <c r="J1536" s="105">
        <f t="shared" si="250"/>
        <v>0</v>
      </c>
      <c r="K1536">
        <f t="shared" si="251"/>
        <v>0</v>
      </c>
      <c r="L1536"/>
      <c r="M1536"/>
      <c r="N1536"/>
      <c r="O1536"/>
      <c r="P1536"/>
      <c r="Q1536"/>
      <c r="R1536"/>
      <c r="S1536"/>
      <c r="T1536"/>
    </row>
    <row r="1537" spans="1:20" ht="15" outlineLevel="3" thickBot="1" x14ac:dyDescent="0.35">
      <c r="A1537" s="82" t="s">
        <v>2321</v>
      </c>
      <c r="B1537" s="10" t="s">
        <v>108</v>
      </c>
      <c r="C1537" s="60" t="s">
        <v>109</v>
      </c>
      <c r="D1537" s="44" t="s">
        <v>93</v>
      </c>
      <c r="E1537" s="84">
        <v>0</v>
      </c>
      <c r="F1537" s="84"/>
      <c r="G1537" s="94">
        <f t="shared" si="247"/>
        <v>1</v>
      </c>
      <c r="H1537" s="93">
        <f t="shared" si="248"/>
        <v>2500</v>
      </c>
      <c r="I1537" s="84">
        <f t="shared" si="249"/>
        <v>0</v>
      </c>
      <c r="J1537" s="105">
        <f t="shared" si="250"/>
        <v>0</v>
      </c>
      <c r="K1537">
        <f t="shared" si="251"/>
        <v>0</v>
      </c>
      <c r="L1537"/>
      <c r="M1537"/>
      <c r="N1537"/>
      <c r="O1537"/>
      <c r="P1537"/>
      <c r="Q1537"/>
      <c r="R1537"/>
      <c r="S1537"/>
      <c r="T1537"/>
    </row>
    <row r="1538" spans="1:20" ht="15" outlineLevel="2" thickTop="1" x14ac:dyDescent="0.3">
      <c r="A1538" s="82" t="s">
        <v>2322</v>
      </c>
      <c r="B1538" s="62" t="s">
        <v>60</v>
      </c>
      <c r="C1538" s="63" t="s">
        <v>111</v>
      </c>
      <c r="D1538" s="116"/>
      <c r="E1538" s="88"/>
      <c r="F1538" s="88"/>
      <c r="G1538" s="98"/>
      <c r="H1538" s="88"/>
      <c r="I1538" s="88">
        <f>SUBTOTAL(9,I1525:I1537)</f>
        <v>2574</v>
      </c>
      <c r="J1538" s="109"/>
      <c r="K1538"/>
      <c r="L1538"/>
      <c r="M1538"/>
      <c r="N1538"/>
      <c r="O1538"/>
      <c r="P1538"/>
      <c r="Q1538"/>
      <c r="R1538"/>
      <c r="S1538"/>
      <c r="T1538"/>
    </row>
    <row r="1539" spans="1:20" outlineLevel="2" x14ac:dyDescent="0.3">
      <c r="A1539" s="82" t="s">
        <v>2323</v>
      </c>
      <c r="B1539" s="64" t="s">
        <v>113</v>
      </c>
      <c r="C1539" s="65" t="s">
        <v>114</v>
      </c>
      <c r="D1539" s="117"/>
      <c r="E1539" s="87"/>
      <c r="F1539" s="87"/>
      <c r="G1539" s="97"/>
      <c r="H1539" s="87"/>
      <c r="I1539" s="104">
        <f>SUBTOTAL(9,K1540:K1577)</f>
        <v>7321.3</v>
      </c>
      <c r="J1539" s="108"/>
      <c r="K1539"/>
      <c r="L1539"/>
      <c r="M1539"/>
      <c r="N1539"/>
      <c r="O1539"/>
      <c r="P1539"/>
      <c r="Q1539"/>
      <c r="R1539"/>
      <c r="S1539"/>
      <c r="T1539"/>
    </row>
    <row r="1540" spans="1:20" outlineLevel="3" x14ac:dyDescent="0.3">
      <c r="A1540" s="82" t="s">
        <v>2324</v>
      </c>
      <c r="B1540" s="64" t="s">
        <v>116</v>
      </c>
      <c r="C1540" s="66" t="s">
        <v>117</v>
      </c>
      <c r="D1540" s="117"/>
      <c r="E1540" s="87"/>
      <c r="F1540" s="87"/>
      <c r="G1540" s="97"/>
      <c r="H1540" s="87"/>
      <c r="I1540" s="104">
        <f>SUBTOTAL(9,K1541:K1543)</f>
        <v>0</v>
      </c>
      <c r="J1540" s="108"/>
      <c r="K1540"/>
      <c r="L1540"/>
      <c r="M1540"/>
      <c r="N1540"/>
      <c r="O1540"/>
      <c r="P1540"/>
      <c r="Q1540"/>
      <c r="R1540"/>
      <c r="S1540"/>
      <c r="T1540"/>
    </row>
    <row r="1541" spans="1:20" outlineLevel="4" x14ac:dyDescent="0.3">
      <c r="A1541" s="82" t="s">
        <v>2325</v>
      </c>
      <c r="B1541" s="10" t="s">
        <v>119</v>
      </c>
      <c r="C1541" s="60" t="s">
        <v>120</v>
      </c>
      <c r="D1541" s="44" t="s">
        <v>121</v>
      </c>
      <c r="E1541" s="84">
        <v>0</v>
      </c>
      <c r="F1541" s="84"/>
      <c r="G1541" s="94">
        <f>cell_CoefGeneral</f>
        <v>1</v>
      </c>
      <c r="H1541" s="93">
        <f>H25</f>
        <v>120</v>
      </c>
      <c r="I1541" s="84">
        <f>IFERROR(ROUND(E1541*H1541,2),"-")</f>
        <v>0</v>
      </c>
      <c r="J1541" s="105">
        <f>IFERROR(I1541/cell_Total_HT,"-")</f>
        <v>0</v>
      </c>
      <c r="K1541">
        <f>I1541</f>
        <v>0</v>
      </c>
      <c r="L1541"/>
      <c r="M1541"/>
      <c r="N1541"/>
      <c r="O1541"/>
      <c r="P1541"/>
      <c r="Q1541"/>
      <c r="R1541"/>
      <c r="S1541"/>
      <c r="T1541"/>
    </row>
    <row r="1542" spans="1:20" outlineLevel="4" x14ac:dyDescent="0.3">
      <c r="A1542" s="82" t="s">
        <v>2326</v>
      </c>
      <c r="B1542" s="10" t="s">
        <v>123</v>
      </c>
      <c r="C1542" s="60" t="s">
        <v>124</v>
      </c>
      <c r="D1542" s="44" t="s">
        <v>121</v>
      </c>
      <c r="E1542" s="84">
        <v>0</v>
      </c>
      <c r="F1542" s="84"/>
      <c r="G1542" s="94">
        <f>cell_CoefGeneral</f>
        <v>1</v>
      </c>
      <c r="H1542" s="93">
        <f>H26</f>
        <v>290</v>
      </c>
      <c r="I1542" s="84">
        <f>IFERROR(ROUND(E1542*H1542,2),"-")</f>
        <v>0</v>
      </c>
      <c r="J1542" s="105">
        <f>IFERROR(I1542/cell_Total_HT,"-")</f>
        <v>0</v>
      </c>
      <c r="K1542">
        <f>I1542</f>
        <v>0</v>
      </c>
      <c r="L1542"/>
      <c r="M1542"/>
      <c r="N1542"/>
      <c r="O1542"/>
      <c r="P1542"/>
      <c r="Q1542"/>
      <c r="R1542"/>
      <c r="S1542"/>
      <c r="T1542"/>
    </row>
    <row r="1543" spans="1:20" outlineLevel="4" x14ac:dyDescent="0.3">
      <c r="A1543" s="82" t="s">
        <v>2327</v>
      </c>
      <c r="B1543" s="10" t="s">
        <v>126</v>
      </c>
      <c r="C1543" s="60" t="s">
        <v>127</v>
      </c>
      <c r="D1543" s="44" t="s">
        <v>128</v>
      </c>
      <c r="E1543" s="84">
        <v>0</v>
      </c>
      <c r="F1543" s="84"/>
      <c r="G1543" s="94">
        <f>cell_CoefGeneral</f>
        <v>1</v>
      </c>
      <c r="H1543" s="93">
        <f>H27</f>
        <v>23</v>
      </c>
      <c r="I1543" s="84">
        <f>IFERROR(ROUND(E1543*H1543,2),"-")</f>
        <v>0</v>
      </c>
      <c r="J1543" s="105">
        <f>IFERROR(I1543/cell_Total_HT,"-")</f>
        <v>0</v>
      </c>
      <c r="K1543">
        <f>I1543</f>
        <v>0</v>
      </c>
      <c r="L1543"/>
      <c r="M1543"/>
      <c r="N1543"/>
      <c r="O1543"/>
      <c r="P1543"/>
      <c r="Q1543"/>
      <c r="R1543"/>
      <c r="S1543"/>
      <c r="T1543"/>
    </row>
    <row r="1544" spans="1:20" outlineLevel="3" x14ac:dyDescent="0.3">
      <c r="A1544" s="82" t="s">
        <v>2328</v>
      </c>
      <c r="B1544" s="10" t="s">
        <v>130</v>
      </c>
      <c r="C1544" s="60" t="s">
        <v>131</v>
      </c>
      <c r="D1544" s="44" t="s">
        <v>80</v>
      </c>
      <c r="E1544" s="84">
        <v>227</v>
      </c>
      <c r="F1544" s="84"/>
      <c r="G1544" s="94">
        <f>cell_CoefGeneral</f>
        <v>1</v>
      </c>
      <c r="H1544" s="93">
        <f>H28</f>
        <v>4.9000000000000004</v>
      </c>
      <c r="I1544" s="84">
        <f>IFERROR(ROUND(E1544*H1544,2),"-")</f>
        <v>1112.3</v>
      </c>
      <c r="J1544" s="105">
        <f>IFERROR(I1544/cell_Total_HT,"-")</f>
        <v>3.2837639380250462E-4</v>
      </c>
      <c r="K1544">
        <f>I1544</f>
        <v>1112.3</v>
      </c>
      <c r="L1544"/>
      <c r="M1544"/>
      <c r="N1544"/>
      <c r="O1544"/>
      <c r="P1544"/>
      <c r="Q1544"/>
      <c r="R1544"/>
      <c r="S1544"/>
      <c r="T1544"/>
    </row>
    <row r="1545" spans="1:20" outlineLevel="3" x14ac:dyDescent="0.3">
      <c r="A1545" s="82" t="s">
        <v>2329</v>
      </c>
      <c r="B1545" s="10" t="s">
        <v>133</v>
      </c>
      <c r="C1545" s="60" t="s">
        <v>134</v>
      </c>
      <c r="D1545" s="44" t="s">
        <v>93</v>
      </c>
      <c r="E1545" s="84">
        <v>0</v>
      </c>
      <c r="F1545" s="84"/>
      <c r="G1545" s="94">
        <f>cell_CoefGeneral</f>
        <v>1</v>
      </c>
      <c r="H1545" s="93">
        <f>H29</f>
        <v>4000</v>
      </c>
      <c r="I1545" s="84">
        <f>IFERROR(ROUND(E1545*H1545,2),"-")</f>
        <v>0</v>
      </c>
      <c r="J1545" s="105">
        <f>IFERROR(I1545/cell_Total_HT,"-")</f>
        <v>0</v>
      </c>
      <c r="K1545">
        <f>I1545</f>
        <v>0</v>
      </c>
      <c r="L1545"/>
      <c r="M1545"/>
      <c r="N1545"/>
      <c r="O1545"/>
      <c r="P1545"/>
      <c r="Q1545"/>
      <c r="R1545"/>
      <c r="S1545"/>
      <c r="T1545"/>
    </row>
    <row r="1546" spans="1:20" outlineLevel="3" x14ac:dyDescent="0.3">
      <c r="A1546" s="82" t="s">
        <v>2330</v>
      </c>
      <c r="B1546" s="58" t="s">
        <v>136</v>
      </c>
      <c r="C1546" s="61" t="s">
        <v>137</v>
      </c>
      <c r="D1546" s="115"/>
      <c r="E1546" s="87"/>
      <c r="F1546" s="87"/>
      <c r="G1546" s="97"/>
      <c r="H1546" s="87"/>
      <c r="I1546" s="104">
        <f>SUBTOTAL(9,K1547:K1549)</f>
        <v>747</v>
      </c>
      <c r="J1546" s="108"/>
      <c r="K1546"/>
      <c r="L1546"/>
      <c r="M1546"/>
      <c r="N1546"/>
      <c r="O1546"/>
      <c r="P1546"/>
      <c r="Q1546"/>
      <c r="R1546"/>
      <c r="S1546"/>
      <c r="T1546"/>
    </row>
    <row r="1547" spans="1:20" ht="28.8" outlineLevel="4" x14ac:dyDescent="0.3">
      <c r="A1547" s="82" t="s">
        <v>2331</v>
      </c>
      <c r="B1547" s="10" t="s">
        <v>139</v>
      </c>
      <c r="C1547" s="60" t="s">
        <v>140</v>
      </c>
      <c r="D1547" s="44" t="s">
        <v>141</v>
      </c>
      <c r="E1547" s="84">
        <v>0</v>
      </c>
      <c r="F1547" s="84"/>
      <c r="G1547" s="94">
        <f>cell_CoefGeneral</f>
        <v>1</v>
      </c>
      <c r="H1547" s="93">
        <f>H31</f>
        <v>140</v>
      </c>
      <c r="I1547" s="84">
        <f>IFERROR(ROUND(E1547*H1547,2),"-")</f>
        <v>0</v>
      </c>
      <c r="J1547" s="105">
        <f>IFERROR(I1547/cell_Total_HT,"-")</f>
        <v>0</v>
      </c>
      <c r="K1547">
        <f>I1547</f>
        <v>0</v>
      </c>
      <c r="L1547"/>
      <c r="M1547"/>
      <c r="N1547"/>
      <c r="O1547"/>
      <c r="P1547"/>
      <c r="Q1547"/>
      <c r="R1547"/>
      <c r="S1547"/>
      <c r="T1547"/>
    </row>
    <row r="1548" spans="1:20" ht="28.8" outlineLevel="4" x14ac:dyDescent="0.3">
      <c r="A1548" s="82" t="s">
        <v>2332</v>
      </c>
      <c r="B1548" s="10" t="s">
        <v>143</v>
      </c>
      <c r="C1548" s="60" t="s">
        <v>144</v>
      </c>
      <c r="D1548" s="44" t="s">
        <v>141</v>
      </c>
      <c r="E1548" s="84">
        <v>3</v>
      </c>
      <c r="F1548" s="84"/>
      <c r="G1548" s="94">
        <f>cell_CoefGeneral</f>
        <v>1</v>
      </c>
      <c r="H1548" s="93">
        <f>H32</f>
        <v>69</v>
      </c>
      <c r="I1548" s="84">
        <f>IFERROR(ROUND(E1548*H1548,2),"-")</f>
        <v>207</v>
      </c>
      <c r="J1548" s="105">
        <f>IFERROR(I1548/cell_Total_HT,"-")</f>
        <v>6.1111133252826096E-5</v>
      </c>
      <c r="K1548">
        <f>I1548</f>
        <v>207</v>
      </c>
      <c r="L1548"/>
      <c r="M1548"/>
      <c r="N1548"/>
      <c r="O1548"/>
      <c r="P1548"/>
      <c r="Q1548"/>
      <c r="R1548"/>
      <c r="S1548"/>
      <c r="T1548"/>
    </row>
    <row r="1549" spans="1:20" outlineLevel="4" x14ac:dyDescent="0.3">
      <c r="A1549" s="82" t="s">
        <v>2333</v>
      </c>
      <c r="B1549" s="10" t="s">
        <v>146</v>
      </c>
      <c r="C1549" s="60" t="s">
        <v>147</v>
      </c>
      <c r="D1549" s="44" t="s">
        <v>141</v>
      </c>
      <c r="E1549" s="84">
        <v>3</v>
      </c>
      <c r="F1549" s="84"/>
      <c r="G1549" s="94">
        <f>cell_CoefGeneral</f>
        <v>1</v>
      </c>
      <c r="H1549" s="93">
        <f>H33</f>
        <v>180</v>
      </c>
      <c r="I1549" s="84">
        <f>IFERROR(ROUND(E1549*H1549,2),"-")</f>
        <v>540</v>
      </c>
      <c r="J1549" s="105">
        <f>IFERROR(I1549/cell_Total_HT,"-")</f>
        <v>1.5942034761606805E-4</v>
      </c>
      <c r="K1549">
        <f>I1549</f>
        <v>540</v>
      </c>
      <c r="L1549"/>
      <c r="M1549"/>
      <c r="N1549"/>
      <c r="O1549"/>
      <c r="P1549"/>
      <c r="Q1549"/>
      <c r="R1549"/>
      <c r="S1549"/>
      <c r="T1549"/>
    </row>
    <row r="1550" spans="1:20" outlineLevel="3" x14ac:dyDescent="0.3">
      <c r="A1550" s="82" t="s">
        <v>2334</v>
      </c>
      <c r="B1550" s="58" t="s">
        <v>149</v>
      </c>
      <c r="C1550" s="61" t="s">
        <v>150</v>
      </c>
      <c r="D1550" s="115"/>
      <c r="E1550" s="87"/>
      <c r="F1550" s="87"/>
      <c r="G1550" s="97"/>
      <c r="H1550" s="87"/>
      <c r="I1550" s="104">
        <f>SUBTOTAL(9,K1551:K1553)</f>
        <v>0</v>
      </c>
      <c r="J1550" s="108"/>
      <c r="K1550"/>
      <c r="L1550"/>
      <c r="M1550"/>
      <c r="N1550"/>
      <c r="O1550"/>
      <c r="P1550"/>
      <c r="Q1550"/>
      <c r="R1550"/>
      <c r="S1550"/>
      <c r="T1550"/>
    </row>
    <row r="1551" spans="1:20" outlineLevel="4" x14ac:dyDescent="0.3">
      <c r="A1551" s="82" t="s">
        <v>2335</v>
      </c>
      <c r="B1551" s="10" t="s">
        <v>152</v>
      </c>
      <c r="C1551" s="60" t="s">
        <v>153</v>
      </c>
      <c r="D1551" s="44" t="s">
        <v>154</v>
      </c>
      <c r="E1551" s="84">
        <v>0</v>
      </c>
      <c r="F1551" s="84"/>
      <c r="G1551" s="94">
        <f>cell_CoefGeneral</f>
        <v>1</v>
      </c>
      <c r="H1551" s="93">
        <f>H35</f>
        <v>4.5999999999999996</v>
      </c>
      <c r="I1551" s="84">
        <f>IFERROR(ROUND(E1551*H1551,2),"-")</f>
        <v>0</v>
      </c>
      <c r="J1551" s="105">
        <f>IFERROR(I1551/cell_Total_HT,"-")</f>
        <v>0</v>
      </c>
      <c r="K1551">
        <f>I1551</f>
        <v>0</v>
      </c>
      <c r="L1551"/>
      <c r="M1551"/>
      <c r="N1551"/>
      <c r="O1551"/>
      <c r="P1551"/>
      <c r="Q1551"/>
      <c r="R1551"/>
      <c r="S1551"/>
      <c r="T1551"/>
    </row>
    <row r="1552" spans="1:20" outlineLevel="4" x14ac:dyDescent="0.3">
      <c r="A1552" s="82" t="s">
        <v>2336</v>
      </c>
      <c r="B1552" s="10" t="s">
        <v>156</v>
      </c>
      <c r="C1552" s="60" t="s">
        <v>157</v>
      </c>
      <c r="D1552" s="44" t="s">
        <v>154</v>
      </c>
      <c r="E1552" s="84">
        <v>0</v>
      </c>
      <c r="F1552" s="84"/>
      <c r="G1552" s="94">
        <f>cell_CoefGeneral</f>
        <v>1</v>
      </c>
      <c r="H1552" s="93">
        <f>H36</f>
        <v>5.2</v>
      </c>
      <c r="I1552" s="84">
        <f>IFERROR(ROUND(E1552*H1552,2),"-")</f>
        <v>0</v>
      </c>
      <c r="J1552" s="105">
        <f>IFERROR(I1552/cell_Total_HT,"-")</f>
        <v>0</v>
      </c>
      <c r="K1552">
        <f>I1552</f>
        <v>0</v>
      </c>
      <c r="L1552"/>
      <c r="M1552"/>
      <c r="N1552"/>
      <c r="O1552"/>
      <c r="P1552"/>
      <c r="Q1552"/>
      <c r="R1552"/>
      <c r="S1552"/>
      <c r="T1552"/>
    </row>
    <row r="1553" spans="1:20" outlineLevel="4" x14ac:dyDescent="0.3">
      <c r="A1553" s="82" t="s">
        <v>2337</v>
      </c>
      <c r="B1553" s="10" t="s">
        <v>159</v>
      </c>
      <c r="C1553" s="60" t="s">
        <v>160</v>
      </c>
      <c r="D1553" s="44" t="s">
        <v>154</v>
      </c>
      <c r="E1553" s="84">
        <v>0</v>
      </c>
      <c r="F1553" s="84"/>
      <c r="G1553" s="94">
        <f>cell_CoefGeneral</f>
        <v>1</v>
      </c>
      <c r="H1553" s="93">
        <f>H37</f>
        <v>17</v>
      </c>
      <c r="I1553" s="84">
        <f>IFERROR(ROUND(E1553*H1553,2),"-")</f>
        <v>0</v>
      </c>
      <c r="J1553" s="105">
        <f>IFERROR(I1553/cell_Total_HT,"-")</f>
        <v>0</v>
      </c>
      <c r="K1553">
        <f>I1553</f>
        <v>0</v>
      </c>
      <c r="L1553"/>
      <c r="M1553"/>
      <c r="N1553"/>
      <c r="O1553"/>
      <c r="P1553"/>
      <c r="Q1553"/>
      <c r="R1553"/>
      <c r="S1553"/>
      <c r="T1553"/>
    </row>
    <row r="1554" spans="1:20" outlineLevel="3" x14ac:dyDescent="0.3">
      <c r="A1554" s="82" t="s">
        <v>2338</v>
      </c>
      <c r="B1554" s="10" t="s">
        <v>162</v>
      </c>
      <c r="C1554" s="60" t="s">
        <v>163</v>
      </c>
      <c r="D1554" s="44" t="s">
        <v>141</v>
      </c>
      <c r="E1554" s="84">
        <v>132</v>
      </c>
      <c r="F1554" s="84"/>
      <c r="G1554" s="94">
        <f>cell_CoefGeneral</f>
        <v>1</v>
      </c>
      <c r="H1554" s="93">
        <f>H38</f>
        <v>37</v>
      </c>
      <c r="I1554" s="84">
        <f>IFERROR(ROUND(E1554*H1554,2),"-")</f>
        <v>4884</v>
      </c>
      <c r="J1554" s="105">
        <f>IFERROR(I1554/cell_Total_HT,"-")</f>
        <v>1.441868477327549E-3</v>
      </c>
      <c r="K1554">
        <f>I1554</f>
        <v>4884</v>
      </c>
      <c r="L1554"/>
      <c r="M1554"/>
      <c r="N1554"/>
      <c r="O1554"/>
      <c r="P1554"/>
      <c r="Q1554"/>
      <c r="R1554"/>
      <c r="S1554"/>
      <c r="T1554"/>
    </row>
    <row r="1555" spans="1:20" outlineLevel="3" x14ac:dyDescent="0.3">
      <c r="A1555" s="82" t="s">
        <v>2339</v>
      </c>
      <c r="B1555" s="58" t="s">
        <v>165</v>
      </c>
      <c r="C1555" s="61" t="s">
        <v>166</v>
      </c>
      <c r="D1555" s="115"/>
      <c r="E1555" s="87"/>
      <c r="F1555" s="87"/>
      <c r="G1555" s="97"/>
      <c r="H1555" s="87"/>
      <c r="I1555" s="104">
        <f>SUBTOTAL(9,K1556:K1560)</f>
        <v>294</v>
      </c>
      <c r="J1555" s="108"/>
      <c r="K1555"/>
      <c r="L1555"/>
      <c r="M1555"/>
      <c r="N1555"/>
      <c r="O1555"/>
      <c r="P1555"/>
      <c r="Q1555"/>
      <c r="R1555"/>
      <c r="S1555"/>
      <c r="T1555"/>
    </row>
    <row r="1556" spans="1:20" outlineLevel="4" x14ac:dyDescent="0.3">
      <c r="A1556" s="82" t="s">
        <v>2340</v>
      </c>
      <c r="B1556" s="10" t="s">
        <v>168</v>
      </c>
      <c r="C1556" s="60" t="s">
        <v>169</v>
      </c>
      <c r="D1556" s="44" t="s">
        <v>141</v>
      </c>
      <c r="E1556" s="84">
        <v>0</v>
      </c>
      <c r="F1556" s="84"/>
      <c r="G1556" s="94">
        <f>cell_CoefGeneral</f>
        <v>1</v>
      </c>
      <c r="H1556" s="93">
        <f>H40</f>
        <v>28</v>
      </c>
      <c r="I1556" s="84">
        <f>IFERROR(ROUND(E1556*H1556,2),"-")</f>
        <v>0</v>
      </c>
      <c r="J1556" s="105">
        <f>IFERROR(I1556/cell_Total_HT,"-")</f>
        <v>0</v>
      </c>
      <c r="K1556">
        <f>I1556</f>
        <v>0</v>
      </c>
      <c r="L1556"/>
      <c r="M1556"/>
      <c r="N1556"/>
      <c r="O1556"/>
      <c r="P1556"/>
      <c r="Q1556"/>
      <c r="R1556"/>
      <c r="S1556"/>
      <c r="T1556"/>
    </row>
    <row r="1557" spans="1:20" outlineLevel="4" x14ac:dyDescent="0.3">
      <c r="A1557" s="82" t="s">
        <v>2341</v>
      </c>
      <c r="B1557" s="10" t="s">
        <v>171</v>
      </c>
      <c r="C1557" s="60" t="s">
        <v>172</v>
      </c>
      <c r="D1557" s="44" t="s">
        <v>141</v>
      </c>
      <c r="E1557" s="84">
        <v>0</v>
      </c>
      <c r="F1557" s="84"/>
      <c r="G1557" s="94">
        <f>cell_CoefGeneral</f>
        <v>1</v>
      </c>
      <c r="H1557" s="93">
        <f>H41</f>
        <v>38</v>
      </c>
      <c r="I1557" s="84">
        <f>IFERROR(ROUND(E1557*H1557,2),"-")</f>
        <v>0</v>
      </c>
      <c r="J1557" s="105">
        <f>IFERROR(I1557/cell_Total_HT,"-")</f>
        <v>0</v>
      </c>
      <c r="K1557">
        <f>I1557</f>
        <v>0</v>
      </c>
      <c r="L1557"/>
      <c r="M1557"/>
      <c r="N1557"/>
      <c r="O1557"/>
      <c r="P1557"/>
      <c r="Q1557"/>
      <c r="R1557"/>
      <c r="S1557"/>
      <c r="T1557"/>
    </row>
    <row r="1558" spans="1:20" outlineLevel="4" x14ac:dyDescent="0.3">
      <c r="A1558" s="82" t="s">
        <v>2342</v>
      </c>
      <c r="B1558" s="10" t="s">
        <v>174</v>
      </c>
      <c r="C1558" s="60" t="s">
        <v>175</v>
      </c>
      <c r="D1558" s="44" t="s">
        <v>141</v>
      </c>
      <c r="E1558" s="84">
        <v>6</v>
      </c>
      <c r="F1558" s="84"/>
      <c r="G1558" s="94">
        <f>cell_CoefGeneral</f>
        <v>1</v>
      </c>
      <c r="H1558" s="93">
        <f>H42</f>
        <v>49</v>
      </c>
      <c r="I1558" s="84">
        <f>IFERROR(ROUND(E1558*H1558,2),"-")</f>
        <v>294</v>
      </c>
      <c r="J1558" s="105">
        <f>IFERROR(I1558/cell_Total_HT,"-")</f>
        <v>8.6795522590970387E-5</v>
      </c>
      <c r="K1558">
        <f>I1558</f>
        <v>294</v>
      </c>
      <c r="L1558"/>
      <c r="M1558"/>
      <c r="N1558"/>
      <c r="O1558"/>
      <c r="P1558"/>
      <c r="Q1558"/>
      <c r="R1558"/>
      <c r="S1558"/>
      <c r="T1558"/>
    </row>
    <row r="1559" spans="1:20" outlineLevel="4" x14ac:dyDescent="0.3">
      <c r="A1559" s="82" t="s">
        <v>2343</v>
      </c>
      <c r="B1559" s="10" t="s">
        <v>177</v>
      </c>
      <c r="C1559" s="60" t="s">
        <v>178</v>
      </c>
      <c r="D1559" s="44" t="s">
        <v>141</v>
      </c>
      <c r="E1559" s="84">
        <v>0</v>
      </c>
      <c r="F1559" s="84"/>
      <c r="G1559" s="94">
        <f>cell_CoefGeneral</f>
        <v>1</v>
      </c>
      <c r="H1559" s="93">
        <f>H43</f>
        <v>53</v>
      </c>
      <c r="I1559" s="84">
        <f>IFERROR(ROUND(E1559*H1559,2),"-")</f>
        <v>0</v>
      </c>
      <c r="J1559" s="105">
        <f>IFERROR(I1559/cell_Total_HT,"-")</f>
        <v>0</v>
      </c>
      <c r="K1559">
        <f>I1559</f>
        <v>0</v>
      </c>
      <c r="L1559"/>
      <c r="M1559"/>
      <c r="N1559"/>
      <c r="O1559"/>
      <c r="P1559"/>
      <c r="Q1559"/>
      <c r="R1559"/>
      <c r="S1559"/>
      <c r="T1559"/>
    </row>
    <row r="1560" spans="1:20" outlineLevel="4" x14ac:dyDescent="0.3">
      <c r="A1560" s="82" t="s">
        <v>2344</v>
      </c>
      <c r="B1560" s="10" t="s">
        <v>180</v>
      </c>
      <c r="C1560" s="60" t="s">
        <v>181</v>
      </c>
      <c r="D1560" s="44" t="s">
        <v>141</v>
      </c>
      <c r="E1560" s="84">
        <v>0</v>
      </c>
      <c r="F1560" s="84"/>
      <c r="G1560" s="94">
        <f>cell_CoefGeneral</f>
        <v>1</v>
      </c>
      <c r="H1560" s="93">
        <f>H44</f>
        <v>53</v>
      </c>
      <c r="I1560" s="84">
        <f>IFERROR(ROUND(E1560*H1560,2),"-")</f>
        <v>0</v>
      </c>
      <c r="J1560" s="105">
        <f>IFERROR(I1560/cell_Total_HT,"-")</f>
        <v>0</v>
      </c>
      <c r="K1560">
        <f>I1560</f>
        <v>0</v>
      </c>
      <c r="L1560"/>
      <c r="M1560"/>
      <c r="N1560"/>
      <c r="O1560"/>
      <c r="P1560"/>
      <c r="Q1560"/>
      <c r="R1560"/>
      <c r="S1560"/>
      <c r="T1560"/>
    </row>
    <row r="1561" spans="1:20" outlineLevel="3" x14ac:dyDescent="0.3">
      <c r="A1561" s="82" t="s">
        <v>2345</v>
      </c>
      <c r="B1561" s="58" t="s">
        <v>183</v>
      </c>
      <c r="C1561" s="61" t="s">
        <v>184</v>
      </c>
      <c r="D1561" s="115"/>
      <c r="E1561" s="87"/>
      <c r="F1561" s="87"/>
      <c r="G1561" s="97"/>
      <c r="H1561" s="87"/>
      <c r="I1561" s="104">
        <f>SUBTOTAL(9,K1562:K1569)</f>
        <v>284</v>
      </c>
      <c r="J1561" s="108"/>
      <c r="K1561"/>
      <c r="L1561"/>
      <c r="M1561"/>
      <c r="N1561"/>
      <c r="O1561"/>
      <c r="P1561"/>
      <c r="Q1561"/>
      <c r="R1561"/>
      <c r="S1561"/>
      <c r="T1561"/>
    </row>
    <row r="1562" spans="1:20" outlineLevel="4" x14ac:dyDescent="0.3">
      <c r="A1562" s="82" t="s">
        <v>2346</v>
      </c>
      <c r="B1562" s="10" t="s">
        <v>186</v>
      </c>
      <c r="C1562" s="60" t="s">
        <v>187</v>
      </c>
      <c r="D1562" s="44" t="s">
        <v>121</v>
      </c>
      <c r="E1562" s="84">
        <v>0</v>
      </c>
      <c r="F1562" s="84"/>
      <c r="G1562" s="94">
        <f t="shared" ref="G1562:G1570" si="252">cell_CoefGeneral</f>
        <v>1</v>
      </c>
      <c r="H1562" s="93">
        <f t="shared" ref="H1562:H1570" si="253">H46</f>
        <v>90</v>
      </c>
      <c r="I1562" s="84">
        <f t="shared" ref="I1562:I1570" si="254">IFERROR(ROUND(E1562*H1562,2),"-")</f>
        <v>0</v>
      </c>
      <c r="J1562" s="105">
        <f t="shared" ref="J1562:J1570" si="255">IFERROR(I1562/cell_Total_HT,"-")</f>
        <v>0</v>
      </c>
      <c r="K1562">
        <f t="shared" ref="K1562:K1570" si="256">I1562</f>
        <v>0</v>
      </c>
      <c r="L1562"/>
      <c r="M1562"/>
      <c r="N1562"/>
      <c r="O1562"/>
      <c r="P1562"/>
      <c r="Q1562"/>
      <c r="R1562"/>
      <c r="S1562"/>
      <c r="T1562"/>
    </row>
    <row r="1563" spans="1:20" outlineLevel="4" x14ac:dyDescent="0.3">
      <c r="A1563" s="82" t="s">
        <v>2347</v>
      </c>
      <c r="B1563" s="10" t="s">
        <v>189</v>
      </c>
      <c r="C1563" s="60" t="s">
        <v>190</v>
      </c>
      <c r="D1563" s="44" t="s">
        <v>121</v>
      </c>
      <c r="E1563" s="84">
        <v>0</v>
      </c>
      <c r="F1563" s="84"/>
      <c r="G1563" s="94">
        <f t="shared" si="252"/>
        <v>1</v>
      </c>
      <c r="H1563" s="93">
        <f t="shared" si="253"/>
        <v>90</v>
      </c>
      <c r="I1563" s="84">
        <f t="shared" si="254"/>
        <v>0</v>
      </c>
      <c r="J1563" s="105">
        <f t="shared" si="255"/>
        <v>0</v>
      </c>
      <c r="K1563">
        <f t="shared" si="256"/>
        <v>0</v>
      </c>
      <c r="L1563"/>
      <c r="M1563"/>
      <c r="N1563"/>
      <c r="O1563"/>
      <c r="P1563"/>
      <c r="Q1563"/>
      <c r="R1563"/>
      <c r="S1563"/>
      <c r="T1563"/>
    </row>
    <row r="1564" spans="1:20" outlineLevel="4" x14ac:dyDescent="0.3">
      <c r="A1564" s="82" t="s">
        <v>2348</v>
      </c>
      <c r="B1564" s="10" t="s">
        <v>192</v>
      </c>
      <c r="C1564" s="60" t="s">
        <v>193</v>
      </c>
      <c r="D1564" s="44" t="s">
        <v>121</v>
      </c>
      <c r="E1564" s="84">
        <v>0</v>
      </c>
      <c r="F1564" s="84"/>
      <c r="G1564" s="94">
        <f t="shared" si="252"/>
        <v>1</v>
      </c>
      <c r="H1564" s="93">
        <f t="shared" si="253"/>
        <v>72</v>
      </c>
      <c r="I1564" s="84">
        <f t="shared" si="254"/>
        <v>0</v>
      </c>
      <c r="J1564" s="105">
        <f t="shared" si="255"/>
        <v>0</v>
      </c>
      <c r="K1564">
        <f t="shared" si="256"/>
        <v>0</v>
      </c>
      <c r="L1564"/>
      <c r="M1564"/>
      <c r="N1564"/>
      <c r="O1564"/>
      <c r="P1564"/>
      <c r="Q1564"/>
      <c r="R1564"/>
      <c r="S1564"/>
      <c r="T1564"/>
    </row>
    <row r="1565" spans="1:20" outlineLevel="4" x14ac:dyDescent="0.3">
      <c r="A1565" s="82" t="s">
        <v>2349</v>
      </c>
      <c r="B1565" s="10" t="s">
        <v>195</v>
      </c>
      <c r="C1565" s="60" t="s">
        <v>196</v>
      </c>
      <c r="D1565" s="44" t="s">
        <v>121</v>
      </c>
      <c r="E1565" s="84">
        <v>4</v>
      </c>
      <c r="F1565" s="84"/>
      <c r="G1565" s="94">
        <f t="shared" si="252"/>
        <v>1</v>
      </c>
      <c r="H1565" s="93">
        <f t="shared" si="253"/>
        <v>71</v>
      </c>
      <c r="I1565" s="84">
        <f t="shared" si="254"/>
        <v>284</v>
      </c>
      <c r="J1565" s="105">
        <f t="shared" si="255"/>
        <v>8.3843293931413568E-5</v>
      </c>
      <c r="K1565">
        <f t="shared" si="256"/>
        <v>284</v>
      </c>
      <c r="L1565"/>
      <c r="M1565"/>
      <c r="N1565"/>
      <c r="O1565"/>
      <c r="P1565"/>
      <c r="Q1565"/>
      <c r="R1565"/>
      <c r="S1565"/>
      <c r="T1565"/>
    </row>
    <row r="1566" spans="1:20" outlineLevel="4" x14ac:dyDescent="0.3">
      <c r="A1566" s="82" t="s">
        <v>2350</v>
      </c>
      <c r="B1566" s="10" t="s">
        <v>198</v>
      </c>
      <c r="C1566" s="60" t="s">
        <v>199</v>
      </c>
      <c r="D1566" s="44" t="s">
        <v>80</v>
      </c>
      <c r="E1566" s="84">
        <v>0</v>
      </c>
      <c r="F1566" s="84"/>
      <c r="G1566" s="94">
        <f t="shared" si="252"/>
        <v>1</v>
      </c>
      <c r="H1566" s="93">
        <f t="shared" si="253"/>
        <v>8.8000000000000007</v>
      </c>
      <c r="I1566" s="84">
        <f t="shared" si="254"/>
        <v>0</v>
      </c>
      <c r="J1566" s="105">
        <f t="shared" si="255"/>
        <v>0</v>
      </c>
      <c r="K1566">
        <f t="shared" si="256"/>
        <v>0</v>
      </c>
      <c r="L1566"/>
      <c r="M1566"/>
      <c r="N1566"/>
      <c r="O1566"/>
      <c r="P1566"/>
      <c r="Q1566"/>
      <c r="R1566"/>
      <c r="S1566"/>
      <c r="T1566"/>
    </row>
    <row r="1567" spans="1:20" outlineLevel="4" x14ac:dyDescent="0.3">
      <c r="A1567" s="82" t="s">
        <v>2351</v>
      </c>
      <c r="B1567" s="10" t="s">
        <v>201</v>
      </c>
      <c r="C1567" s="60" t="s">
        <v>202</v>
      </c>
      <c r="D1567" s="44" t="s">
        <v>121</v>
      </c>
      <c r="E1567" s="84">
        <v>0</v>
      </c>
      <c r="F1567" s="84"/>
      <c r="G1567" s="94">
        <f t="shared" si="252"/>
        <v>1</v>
      </c>
      <c r="H1567" s="93">
        <f t="shared" si="253"/>
        <v>210</v>
      </c>
      <c r="I1567" s="84">
        <f t="shared" si="254"/>
        <v>0</v>
      </c>
      <c r="J1567" s="105">
        <f t="shared" si="255"/>
        <v>0</v>
      </c>
      <c r="K1567">
        <f t="shared" si="256"/>
        <v>0</v>
      </c>
      <c r="L1567"/>
      <c r="M1567"/>
      <c r="N1567"/>
      <c r="O1567"/>
      <c r="P1567"/>
      <c r="Q1567"/>
      <c r="R1567"/>
      <c r="S1567"/>
      <c r="T1567"/>
    </row>
    <row r="1568" spans="1:20" outlineLevel="4" x14ac:dyDescent="0.3">
      <c r="A1568" s="82" t="s">
        <v>2352</v>
      </c>
      <c r="B1568" s="10" t="s">
        <v>204</v>
      </c>
      <c r="C1568" s="60" t="s">
        <v>205</v>
      </c>
      <c r="D1568" s="44" t="s">
        <v>121</v>
      </c>
      <c r="E1568" s="84">
        <v>0</v>
      </c>
      <c r="F1568" s="84"/>
      <c r="G1568" s="94">
        <f t="shared" si="252"/>
        <v>1</v>
      </c>
      <c r="H1568" s="93">
        <f t="shared" si="253"/>
        <v>100</v>
      </c>
      <c r="I1568" s="84">
        <f t="shared" si="254"/>
        <v>0</v>
      </c>
      <c r="J1568" s="105">
        <f t="shared" si="255"/>
        <v>0</v>
      </c>
      <c r="K1568">
        <f t="shared" si="256"/>
        <v>0</v>
      </c>
      <c r="L1568"/>
      <c r="M1568"/>
      <c r="N1568"/>
      <c r="O1568"/>
      <c r="P1568"/>
      <c r="Q1568"/>
      <c r="R1568"/>
      <c r="S1568"/>
      <c r="T1568"/>
    </row>
    <row r="1569" spans="1:20" outlineLevel="4" x14ac:dyDescent="0.3">
      <c r="A1569" s="82" t="s">
        <v>2353</v>
      </c>
      <c r="B1569" s="10" t="s">
        <v>207</v>
      </c>
      <c r="C1569" s="60" t="s">
        <v>208</v>
      </c>
      <c r="D1569" s="44" t="s">
        <v>121</v>
      </c>
      <c r="E1569" s="84">
        <v>0</v>
      </c>
      <c r="F1569" s="84"/>
      <c r="G1569" s="94">
        <f t="shared" si="252"/>
        <v>1</v>
      </c>
      <c r="H1569" s="93">
        <f t="shared" si="253"/>
        <v>140</v>
      </c>
      <c r="I1569" s="84">
        <f t="shared" si="254"/>
        <v>0</v>
      </c>
      <c r="J1569" s="105">
        <f t="shared" si="255"/>
        <v>0</v>
      </c>
      <c r="K1569">
        <f t="shared" si="256"/>
        <v>0</v>
      </c>
      <c r="L1569"/>
      <c r="M1569"/>
      <c r="N1569"/>
      <c r="O1569"/>
      <c r="P1569"/>
      <c r="Q1569"/>
      <c r="R1569"/>
      <c r="S1569"/>
      <c r="T1569"/>
    </row>
    <row r="1570" spans="1:20" ht="28.8" outlineLevel="3" x14ac:dyDescent="0.3">
      <c r="A1570" s="82" t="s">
        <v>2354</v>
      </c>
      <c r="B1570" s="10" t="s">
        <v>210</v>
      </c>
      <c r="C1570" s="60" t="s">
        <v>211</v>
      </c>
      <c r="D1570" s="44" t="s">
        <v>93</v>
      </c>
      <c r="E1570" s="84">
        <v>0</v>
      </c>
      <c r="F1570" s="84"/>
      <c r="G1570" s="94">
        <f t="shared" si="252"/>
        <v>1</v>
      </c>
      <c r="H1570" s="93">
        <f t="shared" si="253"/>
        <v>9200</v>
      </c>
      <c r="I1570" s="84">
        <f t="shared" si="254"/>
        <v>0</v>
      </c>
      <c r="J1570" s="105">
        <f t="shared" si="255"/>
        <v>0</v>
      </c>
      <c r="K1570">
        <f t="shared" si="256"/>
        <v>0</v>
      </c>
      <c r="L1570"/>
      <c r="M1570"/>
      <c r="N1570"/>
      <c r="O1570"/>
      <c r="P1570"/>
      <c r="Q1570"/>
      <c r="R1570"/>
      <c r="S1570"/>
      <c r="T1570"/>
    </row>
    <row r="1571" spans="1:20" outlineLevel="3" x14ac:dyDescent="0.3">
      <c r="A1571" s="82" t="s">
        <v>2355</v>
      </c>
      <c r="B1571" s="58" t="s">
        <v>213</v>
      </c>
      <c r="C1571" s="61" t="s">
        <v>214</v>
      </c>
      <c r="D1571" s="115"/>
      <c r="E1571" s="87"/>
      <c r="F1571" s="87"/>
      <c r="G1571" s="97"/>
      <c r="H1571" s="87"/>
      <c r="I1571" s="104">
        <f>SUBTOTAL(9,K1572:K1573)</f>
        <v>0</v>
      </c>
      <c r="J1571" s="108"/>
      <c r="K1571"/>
      <c r="L1571"/>
      <c r="M1571"/>
      <c r="N1571"/>
      <c r="O1571"/>
      <c r="P1571"/>
      <c r="Q1571"/>
      <c r="R1571"/>
      <c r="S1571"/>
      <c r="T1571"/>
    </row>
    <row r="1572" spans="1:20" outlineLevel="4" x14ac:dyDescent="0.3">
      <c r="A1572" s="82" t="s">
        <v>2356</v>
      </c>
      <c r="B1572" s="10" t="s">
        <v>216</v>
      </c>
      <c r="C1572" s="60" t="s">
        <v>217</v>
      </c>
      <c r="D1572" s="44" t="s">
        <v>93</v>
      </c>
      <c r="E1572" s="84">
        <v>0</v>
      </c>
      <c r="F1572" s="84"/>
      <c r="G1572" s="94">
        <f>cell_CoefGeneral</f>
        <v>1</v>
      </c>
      <c r="H1572" s="93">
        <f>H56</f>
        <v>3300</v>
      </c>
      <c r="I1572" s="84">
        <f>IFERROR(ROUND(E1572*H1572,2),"-")</f>
        <v>0</v>
      </c>
      <c r="J1572" s="105">
        <f>IFERROR(I1572/cell_Total_HT,"-")</f>
        <v>0</v>
      </c>
      <c r="K1572">
        <f>I1572</f>
        <v>0</v>
      </c>
      <c r="L1572"/>
      <c r="M1572"/>
      <c r="N1572"/>
      <c r="O1572"/>
      <c r="P1572"/>
      <c r="Q1572"/>
      <c r="R1572"/>
      <c r="S1572"/>
      <c r="T1572"/>
    </row>
    <row r="1573" spans="1:20" outlineLevel="4" x14ac:dyDescent="0.3">
      <c r="A1573" s="82" t="s">
        <v>2357</v>
      </c>
      <c r="B1573" s="10" t="s">
        <v>219</v>
      </c>
      <c r="C1573" s="60" t="s">
        <v>220</v>
      </c>
      <c r="D1573" s="44" t="s">
        <v>93</v>
      </c>
      <c r="E1573" s="84">
        <v>0</v>
      </c>
      <c r="F1573" s="84"/>
      <c r="G1573" s="94">
        <f>cell_CoefGeneral</f>
        <v>1</v>
      </c>
      <c r="H1573" s="93">
        <f>H57</f>
        <v>4100</v>
      </c>
      <c r="I1573" s="84">
        <f>IFERROR(ROUND(E1573*H1573,2),"-")</f>
        <v>0</v>
      </c>
      <c r="J1573" s="105">
        <f>IFERROR(I1573/cell_Total_HT,"-")</f>
        <v>0</v>
      </c>
      <c r="K1573">
        <f>I1573</f>
        <v>0</v>
      </c>
      <c r="L1573"/>
      <c r="M1573"/>
      <c r="N1573"/>
      <c r="O1573"/>
      <c r="P1573"/>
      <c r="Q1573"/>
      <c r="R1573"/>
      <c r="S1573"/>
      <c r="T1573"/>
    </row>
    <row r="1574" spans="1:20" outlineLevel="3" x14ac:dyDescent="0.3">
      <c r="A1574" s="82" t="s">
        <v>2358</v>
      </c>
      <c r="B1574" s="10" t="s">
        <v>222</v>
      </c>
      <c r="C1574" s="60" t="s">
        <v>223</v>
      </c>
      <c r="D1574" s="44" t="s">
        <v>154</v>
      </c>
      <c r="E1574" s="84">
        <v>0</v>
      </c>
      <c r="F1574" s="84"/>
      <c r="G1574" s="94">
        <f>cell_CoefGeneral</f>
        <v>1</v>
      </c>
      <c r="H1574" s="93">
        <f>H58</f>
        <v>170</v>
      </c>
      <c r="I1574" s="84">
        <f>IFERROR(ROUND(E1574*H1574,2),"-")</f>
        <v>0</v>
      </c>
      <c r="J1574" s="105">
        <f>IFERROR(I1574/cell_Total_HT,"-")</f>
        <v>0</v>
      </c>
      <c r="K1574">
        <f>I1574</f>
        <v>0</v>
      </c>
      <c r="L1574"/>
      <c r="M1574"/>
      <c r="N1574"/>
      <c r="O1574"/>
      <c r="P1574"/>
      <c r="Q1574"/>
      <c r="R1574"/>
      <c r="S1574"/>
      <c r="T1574"/>
    </row>
    <row r="1575" spans="1:20" outlineLevel="3" x14ac:dyDescent="0.3">
      <c r="A1575" s="82" t="s">
        <v>2359</v>
      </c>
      <c r="B1575" s="58" t="s">
        <v>225</v>
      </c>
      <c r="C1575" s="61" t="s">
        <v>226</v>
      </c>
      <c r="D1575" s="115"/>
      <c r="E1575" s="87"/>
      <c r="F1575" s="87"/>
      <c r="G1575" s="97"/>
      <c r="H1575" s="87"/>
      <c r="I1575" s="104">
        <f>SUBTOTAL(9,K1576:K1577)</f>
        <v>0</v>
      </c>
      <c r="J1575" s="108"/>
      <c r="K1575"/>
      <c r="L1575"/>
      <c r="M1575"/>
      <c r="N1575"/>
      <c r="O1575"/>
      <c r="P1575"/>
      <c r="Q1575"/>
      <c r="R1575"/>
      <c r="S1575"/>
      <c r="T1575"/>
    </row>
    <row r="1576" spans="1:20" ht="28.8" outlineLevel="4" x14ac:dyDescent="0.3">
      <c r="A1576" s="82" t="s">
        <v>2360</v>
      </c>
      <c r="B1576" s="10" t="s">
        <v>228</v>
      </c>
      <c r="C1576" s="60" t="s">
        <v>229</v>
      </c>
      <c r="D1576" s="44" t="s">
        <v>121</v>
      </c>
      <c r="E1576" s="84">
        <v>0</v>
      </c>
      <c r="F1576" s="84"/>
      <c r="G1576" s="94">
        <f>cell_CoefGeneral</f>
        <v>1</v>
      </c>
      <c r="H1576" s="93">
        <f>H60</f>
        <v>200</v>
      </c>
      <c r="I1576" s="84">
        <f>IFERROR(ROUND(E1576*H1576,2),"-")</f>
        <v>0</v>
      </c>
      <c r="J1576" s="105">
        <f>IFERROR(I1576/cell_Total_HT,"-")</f>
        <v>0</v>
      </c>
      <c r="K1576">
        <f>I1576</f>
        <v>0</v>
      </c>
      <c r="L1576"/>
      <c r="M1576"/>
      <c r="N1576"/>
      <c r="O1576"/>
      <c r="P1576"/>
      <c r="Q1576"/>
      <c r="R1576"/>
      <c r="S1576"/>
      <c r="T1576"/>
    </row>
    <row r="1577" spans="1:20" ht="15" outlineLevel="4" thickBot="1" x14ac:dyDescent="0.35">
      <c r="A1577" s="82" t="s">
        <v>2361</v>
      </c>
      <c r="B1577" s="10" t="s">
        <v>231</v>
      </c>
      <c r="C1577" s="60" t="s">
        <v>232</v>
      </c>
      <c r="D1577" s="44" t="s">
        <v>121</v>
      </c>
      <c r="E1577" s="84">
        <v>0</v>
      </c>
      <c r="F1577" s="84"/>
      <c r="G1577" s="94">
        <f>cell_CoefGeneral</f>
        <v>1</v>
      </c>
      <c r="H1577" s="93">
        <f>H61</f>
        <v>220</v>
      </c>
      <c r="I1577" s="84">
        <f>IFERROR(ROUND(E1577*H1577,2),"-")</f>
        <v>0</v>
      </c>
      <c r="J1577" s="105">
        <f>IFERROR(I1577/cell_Total_HT,"-")</f>
        <v>0</v>
      </c>
      <c r="K1577">
        <f>I1577</f>
        <v>0</v>
      </c>
      <c r="L1577"/>
      <c r="M1577"/>
      <c r="N1577"/>
      <c r="O1577"/>
      <c r="P1577"/>
      <c r="Q1577"/>
      <c r="R1577"/>
      <c r="S1577"/>
      <c r="T1577"/>
    </row>
    <row r="1578" spans="1:20" ht="15" outlineLevel="2" thickTop="1" x14ac:dyDescent="0.3">
      <c r="A1578" s="82" t="s">
        <v>2362</v>
      </c>
      <c r="B1578" s="62" t="s">
        <v>60</v>
      </c>
      <c r="C1578" s="63" t="s">
        <v>234</v>
      </c>
      <c r="D1578" s="116"/>
      <c r="E1578" s="88"/>
      <c r="F1578" s="88"/>
      <c r="G1578" s="98"/>
      <c r="H1578" s="88"/>
      <c r="I1578" s="88">
        <f>SUBTOTAL(9,I1541:I1577)</f>
        <v>7321.3</v>
      </c>
      <c r="J1578" s="109"/>
      <c r="K1578"/>
      <c r="L1578"/>
      <c r="M1578"/>
      <c r="N1578"/>
      <c r="O1578"/>
      <c r="P1578"/>
      <c r="Q1578"/>
      <c r="R1578"/>
      <c r="S1578"/>
      <c r="T1578"/>
    </row>
    <row r="1579" spans="1:20" outlineLevel="2" x14ac:dyDescent="0.3">
      <c r="A1579" s="82" t="s">
        <v>2363</v>
      </c>
      <c r="B1579" s="64" t="s">
        <v>236</v>
      </c>
      <c r="C1579" s="65" t="s">
        <v>237</v>
      </c>
      <c r="D1579" s="117"/>
      <c r="E1579" s="87"/>
      <c r="F1579" s="87"/>
      <c r="G1579" s="97"/>
      <c r="H1579" s="87"/>
      <c r="I1579" s="104">
        <f>SUBTOTAL(9,K1580:K1599)</f>
        <v>57294.3</v>
      </c>
      <c r="J1579" s="108"/>
      <c r="K1579"/>
      <c r="L1579"/>
      <c r="M1579"/>
      <c r="N1579"/>
      <c r="O1579"/>
      <c r="P1579"/>
      <c r="Q1579"/>
      <c r="R1579"/>
      <c r="S1579"/>
      <c r="T1579"/>
    </row>
    <row r="1580" spans="1:20" outlineLevel="3" x14ac:dyDescent="0.3">
      <c r="A1580" s="82" t="s">
        <v>2364</v>
      </c>
      <c r="B1580" s="10" t="s">
        <v>239</v>
      </c>
      <c r="C1580" s="60" t="s">
        <v>240</v>
      </c>
      <c r="D1580" s="44" t="s">
        <v>93</v>
      </c>
      <c r="E1580" s="84">
        <v>0</v>
      </c>
      <c r="F1580" s="84"/>
      <c r="G1580" s="94">
        <f t="shared" ref="G1580:G1587" si="257">cell_CoefGeneral</f>
        <v>1</v>
      </c>
      <c r="H1580" s="93">
        <f t="shared" ref="H1580:H1587" si="258">H64</f>
        <v>36000</v>
      </c>
      <c r="I1580" s="84">
        <f t="shared" ref="I1580:I1587" si="259">IFERROR(ROUND(E1580*H1580,2),"-")</f>
        <v>0</v>
      </c>
      <c r="J1580" s="105">
        <f t="shared" ref="J1580:J1587" si="260">IFERROR(I1580/cell_Total_HT,"-")</f>
        <v>0</v>
      </c>
      <c r="K1580">
        <f t="shared" ref="K1580:K1587" si="261">I1580</f>
        <v>0</v>
      </c>
      <c r="L1580"/>
      <c r="M1580"/>
      <c r="N1580"/>
      <c r="O1580"/>
      <c r="P1580"/>
      <c r="Q1580"/>
      <c r="R1580"/>
      <c r="S1580"/>
      <c r="T1580"/>
    </row>
    <row r="1581" spans="1:20" outlineLevel="3" x14ac:dyDescent="0.3">
      <c r="A1581" s="82" t="s">
        <v>2365</v>
      </c>
      <c r="B1581" s="10" t="s">
        <v>242</v>
      </c>
      <c r="C1581" s="60" t="s">
        <v>243</v>
      </c>
      <c r="D1581" s="44" t="s">
        <v>141</v>
      </c>
      <c r="E1581" s="84">
        <v>446</v>
      </c>
      <c r="F1581" s="84"/>
      <c r="G1581" s="94">
        <f t="shared" si="257"/>
        <v>1</v>
      </c>
      <c r="H1581" s="93">
        <f t="shared" si="258"/>
        <v>8</v>
      </c>
      <c r="I1581" s="84">
        <f t="shared" si="259"/>
        <v>3568</v>
      </c>
      <c r="J1581" s="105">
        <f t="shared" si="260"/>
        <v>1.053355185729872E-3</v>
      </c>
      <c r="K1581">
        <f t="shared" si="261"/>
        <v>3568</v>
      </c>
      <c r="L1581"/>
      <c r="M1581"/>
      <c r="N1581"/>
      <c r="O1581"/>
      <c r="P1581"/>
      <c r="Q1581"/>
      <c r="R1581"/>
      <c r="S1581"/>
      <c r="T1581"/>
    </row>
    <row r="1582" spans="1:20" ht="28.8" outlineLevel="3" x14ac:dyDescent="0.3">
      <c r="A1582" s="82" t="s">
        <v>2366</v>
      </c>
      <c r="B1582" s="10" t="s">
        <v>245</v>
      </c>
      <c r="C1582" s="60" t="s">
        <v>246</v>
      </c>
      <c r="D1582" s="44" t="s">
        <v>141</v>
      </c>
      <c r="E1582" s="84">
        <v>660</v>
      </c>
      <c r="F1582" s="84"/>
      <c r="G1582" s="94">
        <f t="shared" si="257"/>
        <v>1</v>
      </c>
      <c r="H1582" s="93">
        <f t="shared" si="258"/>
        <v>4.9000000000000004</v>
      </c>
      <c r="I1582" s="84">
        <f t="shared" si="259"/>
        <v>3234</v>
      </c>
      <c r="J1582" s="105">
        <f t="shared" si="260"/>
        <v>9.5475074850067429E-4</v>
      </c>
      <c r="K1582">
        <f t="shared" si="261"/>
        <v>3234</v>
      </c>
      <c r="L1582"/>
      <c r="M1582"/>
      <c r="N1582"/>
      <c r="O1582"/>
      <c r="P1582"/>
      <c r="Q1582"/>
      <c r="R1582"/>
      <c r="S1582"/>
      <c r="T1582"/>
    </row>
    <row r="1583" spans="1:20" outlineLevel="3" x14ac:dyDescent="0.3">
      <c r="A1583" s="82" t="s">
        <v>2367</v>
      </c>
      <c r="B1583" s="10" t="s">
        <v>248</v>
      </c>
      <c r="C1583" s="60" t="s">
        <v>249</v>
      </c>
      <c r="D1583" s="44" t="s">
        <v>141</v>
      </c>
      <c r="E1583" s="84">
        <v>0</v>
      </c>
      <c r="F1583" s="84"/>
      <c r="G1583" s="94">
        <f t="shared" si="257"/>
        <v>1</v>
      </c>
      <c r="H1583" s="93">
        <f t="shared" si="258"/>
        <v>9</v>
      </c>
      <c r="I1583" s="84">
        <f t="shared" si="259"/>
        <v>0</v>
      </c>
      <c r="J1583" s="105">
        <f t="shared" si="260"/>
        <v>0</v>
      </c>
      <c r="K1583">
        <f t="shared" si="261"/>
        <v>0</v>
      </c>
      <c r="L1583"/>
      <c r="M1583"/>
      <c r="N1583"/>
      <c r="O1583"/>
      <c r="P1583"/>
      <c r="Q1583"/>
      <c r="R1583"/>
      <c r="S1583"/>
      <c r="T1583"/>
    </row>
    <row r="1584" spans="1:20" outlineLevel="3" x14ac:dyDescent="0.3">
      <c r="A1584" s="82" t="s">
        <v>2368</v>
      </c>
      <c r="B1584" s="10" t="s">
        <v>251</v>
      </c>
      <c r="C1584" s="60" t="s">
        <v>252</v>
      </c>
      <c r="D1584" s="44" t="s">
        <v>141</v>
      </c>
      <c r="E1584" s="84">
        <v>0</v>
      </c>
      <c r="F1584" s="84"/>
      <c r="G1584" s="94">
        <f t="shared" si="257"/>
        <v>1</v>
      </c>
      <c r="H1584" s="93">
        <f t="shared" si="258"/>
        <v>10</v>
      </c>
      <c r="I1584" s="84">
        <f t="shared" si="259"/>
        <v>0</v>
      </c>
      <c r="J1584" s="105">
        <f t="shared" si="260"/>
        <v>0</v>
      </c>
      <c r="K1584">
        <f t="shared" si="261"/>
        <v>0</v>
      </c>
      <c r="L1584"/>
      <c r="M1584"/>
      <c r="N1584"/>
      <c r="O1584"/>
      <c r="P1584"/>
      <c r="Q1584"/>
      <c r="R1584"/>
      <c r="S1584"/>
      <c r="T1584"/>
    </row>
    <row r="1585" spans="1:20" outlineLevel="3" x14ac:dyDescent="0.3">
      <c r="A1585" s="82" t="s">
        <v>2369</v>
      </c>
      <c r="B1585" s="10" t="s">
        <v>254</v>
      </c>
      <c r="C1585" s="60" t="s">
        <v>255</v>
      </c>
      <c r="D1585" s="44" t="s">
        <v>141</v>
      </c>
      <c r="E1585" s="84">
        <v>0</v>
      </c>
      <c r="F1585" s="84"/>
      <c r="G1585" s="94">
        <f t="shared" si="257"/>
        <v>1</v>
      </c>
      <c r="H1585" s="93">
        <f t="shared" si="258"/>
        <v>13</v>
      </c>
      <c r="I1585" s="84">
        <f t="shared" si="259"/>
        <v>0</v>
      </c>
      <c r="J1585" s="105">
        <f t="shared" si="260"/>
        <v>0</v>
      </c>
      <c r="K1585">
        <f t="shared" si="261"/>
        <v>0</v>
      </c>
      <c r="L1585"/>
      <c r="M1585"/>
      <c r="N1585"/>
      <c r="O1585"/>
      <c r="P1585"/>
      <c r="Q1585"/>
      <c r="R1585"/>
      <c r="S1585"/>
      <c r="T1585"/>
    </row>
    <row r="1586" spans="1:20" outlineLevel="3" x14ac:dyDescent="0.3">
      <c r="A1586" s="82" t="s">
        <v>2370</v>
      </c>
      <c r="B1586" s="10" t="s">
        <v>257</v>
      </c>
      <c r="C1586" s="60" t="s">
        <v>258</v>
      </c>
      <c r="D1586" s="44" t="s">
        <v>141</v>
      </c>
      <c r="E1586" s="84">
        <v>48</v>
      </c>
      <c r="F1586" s="84"/>
      <c r="G1586" s="94">
        <f t="shared" si="257"/>
        <v>1</v>
      </c>
      <c r="H1586" s="93">
        <f t="shared" si="258"/>
        <v>11</v>
      </c>
      <c r="I1586" s="84">
        <f t="shared" si="259"/>
        <v>528</v>
      </c>
      <c r="J1586" s="105">
        <f t="shared" si="260"/>
        <v>1.5587767322459989E-4</v>
      </c>
      <c r="K1586">
        <f t="shared" si="261"/>
        <v>528</v>
      </c>
      <c r="L1586"/>
      <c r="M1586"/>
      <c r="N1586"/>
      <c r="O1586"/>
      <c r="P1586"/>
      <c r="Q1586"/>
      <c r="R1586"/>
      <c r="S1586"/>
      <c r="T1586"/>
    </row>
    <row r="1587" spans="1:20" outlineLevel="3" x14ac:dyDescent="0.3">
      <c r="A1587" s="82" t="s">
        <v>2371</v>
      </c>
      <c r="B1587" s="10" t="s">
        <v>260</v>
      </c>
      <c r="C1587" s="60" t="s">
        <v>261</v>
      </c>
      <c r="D1587" s="44" t="s">
        <v>141</v>
      </c>
      <c r="E1587" s="84">
        <v>0</v>
      </c>
      <c r="F1587" s="84"/>
      <c r="G1587" s="94">
        <f t="shared" si="257"/>
        <v>1</v>
      </c>
      <c r="H1587" s="93">
        <f t="shared" si="258"/>
        <v>7.5</v>
      </c>
      <c r="I1587" s="84">
        <f t="shared" si="259"/>
        <v>0</v>
      </c>
      <c r="J1587" s="105">
        <f t="shared" si="260"/>
        <v>0</v>
      </c>
      <c r="K1587">
        <f t="shared" si="261"/>
        <v>0</v>
      </c>
      <c r="L1587"/>
      <c r="M1587"/>
      <c r="N1587"/>
      <c r="O1587"/>
      <c r="P1587"/>
      <c r="Q1587"/>
      <c r="R1587"/>
      <c r="S1587"/>
      <c r="T1587"/>
    </row>
    <row r="1588" spans="1:20" outlineLevel="3" x14ac:dyDescent="0.3">
      <c r="A1588" s="82" t="s">
        <v>2372</v>
      </c>
      <c r="B1588" s="58" t="s">
        <v>263</v>
      </c>
      <c r="C1588" s="61" t="s">
        <v>264</v>
      </c>
      <c r="D1588" s="115"/>
      <c r="E1588" s="87"/>
      <c r="F1588" s="87"/>
      <c r="G1588" s="97"/>
      <c r="H1588" s="87"/>
      <c r="I1588" s="104">
        <f>SUBTOTAL(9,K1589:K1593)</f>
        <v>46595</v>
      </c>
      <c r="J1588" s="108"/>
      <c r="K1588"/>
      <c r="L1588"/>
      <c r="M1588"/>
      <c r="N1588"/>
      <c r="O1588"/>
      <c r="P1588"/>
      <c r="Q1588"/>
      <c r="R1588"/>
      <c r="S1588"/>
      <c r="T1588"/>
    </row>
    <row r="1589" spans="1:20" outlineLevel="4" x14ac:dyDescent="0.3">
      <c r="A1589" s="82" t="s">
        <v>2373</v>
      </c>
      <c r="B1589" s="10" t="s">
        <v>266</v>
      </c>
      <c r="C1589" s="60" t="s">
        <v>267</v>
      </c>
      <c r="D1589" s="44" t="s">
        <v>268</v>
      </c>
      <c r="E1589" s="84">
        <v>119</v>
      </c>
      <c r="F1589" s="84"/>
      <c r="G1589" s="94">
        <f t="shared" ref="G1589:G1599" si="262">cell_CoefGeneral</f>
        <v>1</v>
      </c>
      <c r="H1589" s="93">
        <f t="shared" ref="H1589:H1599" si="263">H73</f>
        <v>11</v>
      </c>
      <c r="I1589" s="84">
        <f t="shared" ref="I1589:I1599" si="264">IFERROR(ROUND(E1589*H1589,2),"-")</f>
        <v>1309</v>
      </c>
      <c r="J1589" s="105">
        <f t="shared" ref="J1589:J1599" si="265">IFERROR(I1589/cell_Total_HT,"-")</f>
        <v>3.864467315359872E-4</v>
      </c>
      <c r="K1589">
        <f t="shared" ref="K1589:K1599" si="266">I1589</f>
        <v>1309</v>
      </c>
      <c r="L1589"/>
      <c r="M1589"/>
      <c r="N1589"/>
      <c r="O1589"/>
      <c r="P1589"/>
      <c r="Q1589"/>
      <c r="R1589"/>
      <c r="S1589"/>
      <c r="T1589"/>
    </row>
    <row r="1590" spans="1:20" outlineLevel="4" x14ac:dyDescent="0.3">
      <c r="A1590" s="82" t="s">
        <v>2374</v>
      </c>
      <c r="B1590" s="10" t="s">
        <v>270</v>
      </c>
      <c r="C1590" s="60" t="s">
        <v>271</v>
      </c>
      <c r="D1590" s="44" t="s">
        <v>268</v>
      </c>
      <c r="E1590" s="84">
        <v>891</v>
      </c>
      <c r="F1590" s="84"/>
      <c r="G1590" s="94">
        <f t="shared" si="262"/>
        <v>1</v>
      </c>
      <c r="H1590" s="93">
        <f t="shared" si="263"/>
        <v>46</v>
      </c>
      <c r="I1590" s="84">
        <f t="shared" si="264"/>
        <v>40986</v>
      </c>
      <c r="J1590" s="105">
        <f t="shared" si="265"/>
        <v>1.2100004384059566E-2</v>
      </c>
      <c r="K1590">
        <f t="shared" si="266"/>
        <v>40986</v>
      </c>
      <c r="L1590"/>
      <c r="M1590"/>
      <c r="N1590"/>
      <c r="O1590"/>
      <c r="P1590"/>
      <c r="Q1590"/>
      <c r="R1590"/>
      <c r="S1590"/>
      <c r="T1590"/>
    </row>
    <row r="1591" spans="1:20" outlineLevel="4" x14ac:dyDescent="0.3">
      <c r="A1591" s="82" t="s">
        <v>2375</v>
      </c>
      <c r="B1591" s="10" t="s">
        <v>273</v>
      </c>
      <c r="C1591" s="60" t="s">
        <v>274</v>
      </c>
      <c r="D1591" s="44" t="s">
        <v>268</v>
      </c>
      <c r="E1591" s="84">
        <v>40</v>
      </c>
      <c r="F1591" s="84"/>
      <c r="G1591" s="94">
        <f t="shared" si="262"/>
        <v>1</v>
      </c>
      <c r="H1591" s="93">
        <f t="shared" si="263"/>
        <v>56</v>
      </c>
      <c r="I1591" s="84">
        <f t="shared" si="264"/>
        <v>2240</v>
      </c>
      <c r="J1591" s="105">
        <f t="shared" si="265"/>
        <v>6.6129921974072677E-4</v>
      </c>
      <c r="K1591">
        <f t="shared" si="266"/>
        <v>2240</v>
      </c>
      <c r="L1591"/>
      <c r="M1591"/>
      <c r="N1591"/>
      <c r="O1591"/>
      <c r="P1591"/>
      <c r="Q1591"/>
      <c r="R1591"/>
      <c r="S1591"/>
      <c r="T1591"/>
    </row>
    <row r="1592" spans="1:20" outlineLevel="4" x14ac:dyDescent="0.3">
      <c r="A1592" s="82" t="s">
        <v>2376</v>
      </c>
      <c r="B1592" s="10" t="s">
        <v>276</v>
      </c>
      <c r="C1592" s="60" t="s">
        <v>277</v>
      </c>
      <c r="D1592" s="44" t="s">
        <v>268</v>
      </c>
      <c r="E1592" s="84">
        <v>10</v>
      </c>
      <c r="F1592" s="84"/>
      <c r="G1592" s="94">
        <f t="shared" si="262"/>
        <v>1</v>
      </c>
      <c r="H1592" s="93">
        <f t="shared" si="263"/>
        <v>150</v>
      </c>
      <c r="I1592" s="84">
        <f t="shared" si="264"/>
        <v>1500</v>
      </c>
      <c r="J1592" s="105">
        <f t="shared" si="265"/>
        <v>4.4283429893352238E-4</v>
      </c>
      <c r="K1592">
        <f t="shared" si="266"/>
        <v>1500</v>
      </c>
      <c r="L1592"/>
      <c r="M1592"/>
      <c r="N1592"/>
      <c r="O1592"/>
      <c r="P1592"/>
      <c r="Q1592"/>
      <c r="R1592"/>
      <c r="S1592"/>
      <c r="T1592"/>
    </row>
    <row r="1593" spans="1:20" outlineLevel="4" x14ac:dyDescent="0.3">
      <c r="A1593" s="82" t="s">
        <v>2377</v>
      </c>
      <c r="B1593" s="10" t="s">
        <v>279</v>
      </c>
      <c r="C1593" s="60" t="s">
        <v>280</v>
      </c>
      <c r="D1593" s="44" t="s">
        <v>268</v>
      </c>
      <c r="E1593" s="84">
        <v>10</v>
      </c>
      <c r="F1593" s="84"/>
      <c r="G1593" s="94">
        <f t="shared" si="262"/>
        <v>1</v>
      </c>
      <c r="H1593" s="93">
        <f t="shared" si="263"/>
        <v>56</v>
      </c>
      <c r="I1593" s="84">
        <f t="shared" si="264"/>
        <v>560</v>
      </c>
      <c r="J1593" s="105">
        <f t="shared" si="265"/>
        <v>1.6532480493518169E-4</v>
      </c>
      <c r="K1593">
        <f t="shared" si="266"/>
        <v>560</v>
      </c>
      <c r="L1593"/>
      <c r="M1593"/>
      <c r="N1593"/>
      <c r="O1593"/>
      <c r="P1593"/>
      <c r="Q1593"/>
      <c r="R1593"/>
      <c r="S1593"/>
      <c r="T1593"/>
    </row>
    <row r="1594" spans="1:20" outlineLevel="3" x14ac:dyDescent="0.3">
      <c r="A1594" s="82" t="s">
        <v>2378</v>
      </c>
      <c r="B1594" s="10" t="s">
        <v>282</v>
      </c>
      <c r="C1594" s="60" t="s">
        <v>283</v>
      </c>
      <c r="D1594" s="44" t="s">
        <v>128</v>
      </c>
      <c r="E1594" s="84">
        <v>249</v>
      </c>
      <c r="F1594" s="84"/>
      <c r="G1594" s="94">
        <f t="shared" si="262"/>
        <v>1</v>
      </c>
      <c r="H1594" s="93">
        <f t="shared" si="263"/>
        <v>1.7</v>
      </c>
      <c r="I1594" s="84">
        <f t="shared" si="264"/>
        <v>423.3</v>
      </c>
      <c r="J1594" s="105">
        <f t="shared" si="265"/>
        <v>1.2496783915904002E-4</v>
      </c>
      <c r="K1594">
        <f t="shared" si="266"/>
        <v>423.3</v>
      </c>
      <c r="L1594"/>
      <c r="M1594"/>
      <c r="N1594"/>
      <c r="O1594"/>
      <c r="P1594"/>
      <c r="Q1594"/>
      <c r="R1594"/>
      <c r="S1594"/>
      <c r="T1594"/>
    </row>
    <row r="1595" spans="1:20" outlineLevel="3" x14ac:dyDescent="0.3">
      <c r="A1595" s="82" t="s">
        <v>2379</v>
      </c>
      <c r="B1595" s="10" t="s">
        <v>285</v>
      </c>
      <c r="C1595" s="60" t="s">
        <v>286</v>
      </c>
      <c r="D1595" s="44" t="s">
        <v>141</v>
      </c>
      <c r="E1595" s="84">
        <v>48</v>
      </c>
      <c r="F1595" s="84"/>
      <c r="G1595" s="94">
        <f t="shared" si="262"/>
        <v>1</v>
      </c>
      <c r="H1595" s="93">
        <f t="shared" si="263"/>
        <v>13</v>
      </c>
      <c r="I1595" s="84">
        <f t="shared" si="264"/>
        <v>624</v>
      </c>
      <c r="J1595" s="105">
        <f t="shared" si="265"/>
        <v>1.8421906835634533E-4</v>
      </c>
      <c r="K1595">
        <f t="shared" si="266"/>
        <v>624</v>
      </c>
      <c r="L1595"/>
      <c r="M1595"/>
      <c r="N1595"/>
      <c r="O1595"/>
      <c r="P1595"/>
      <c r="Q1595"/>
      <c r="R1595"/>
      <c r="S1595"/>
      <c r="T1595"/>
    </row>
    <row r="1596" spans="1:20" outlineLevel="3" x14ac:dyDescent="0.3">
      <c r="A1596" s="82" t="s">
        <v>2380</v>
      </c>
      <c r="B1596" s="10" t="s">
        <v>288</v>
      </c>
      <c r="C1596" s="60" t="s">
        <v>289</v>
      </c>
      <c r="D1596" s="44" t="s">
        <v>141</v>
      </c>
      <c r="E1596" s="84">
        <v>0</v>
      </c>
      <c r="F1596" s="84"/>
      <c r="G1596" s="94">
        <f t="shared" si="262"/>
        <v>1</v>
      </c>
      <c r="H1596" s="93">
        <f t="shared" si="263"/>
        <v>14</v>
      </c>
      <c r="I1596" s="84">
        <f t="shared" si="264"/>
        <v>0</v>
      </c>
      <c r="J1596" s="105">
        <f t="shared" si="265"/>
        <v>0</v>
      </c>
      <c r="K1596">
        <f t="shared" si="266"/>
        <v>0</v>
      </c>
      <c r="L1596"/>
      <c r="M1596"/>
      <c r="N1596"/>
      <c r="O1596"/>
      <c r="P1596"/>
      <c r="Q1596"/>
      <c r="R1596"/>
      <c r="S1596"/>
      <c r="T1596"/>
    </row>
    <row r="1597" spans="1:20" outlineLevel="3" x14ac:dyDescent="0.3">
      <c r="A1597" s="82" t="s">
        <v>2381</v>
      </c>
      <c r="B1597" s="10" t="s">
        <v>291</v>
      </c>
      <c r="C1597" s="60" t="s">
        <v>292</v>
      </c>
      <c r="D1597" s="44" t="s">
        <v>141</v>
      </c>
      <c r="E1597" s="84">
        <v>0</v>
      </c>
      <c r="F1597" s="84"/>
      <c r="G1597" s="94">
        <f t="shared" si="262"/>
        <v>1</v>
      </c>
      <c r="H1597" s="93">
        <f t="shared" si="263"/>
        <v>29</v>
      </c>
      <c r="I1597" s="84">
        <f t="shared" si="264"/>
        <v>0</v>
      </c>
      <c r="J1597" s="105">
        <f t="shared" si="265"/>
        <v>0</v>
      </c>
      <c r="K1597">
        <f t="shared" si="266"/>
        <v>0</v>
      </c>
      <c r="L1597"/>
      <c r="M1597"/>
      <c r="N1597"/>
      <c r="O1597"/>
      <c r="P1597"/>
      <c r="Q1597"/>
      <c r="R1597"/>
      <c r="S1597"/>
      <c r="T1597"/>
    </row>
    <row r="1598" spans="1:20" ht="28.8" outlineLevel="3" x14ac:dyDescent="0.3">
      <c r="A1598" s="82" t="s">
        <v>2382</v>
      </c>
      <c r="B1598" s="10" t="s">
        <v>294</v>
      </c>
      <c r="C1598" s="60" t="s">
        <v>295</v>
      </c>
      <c r="D1598" s="44" t="s">
        <v>141</v>
      </c>
      <c r="E1598" s="84">
        <v>19</v>
      </c>
      <c r="F1598" s="84"/>
      <c r="G1598" s="94">
        <f t="shared" si="262"/>
        <v>1</v>
      </c>
      <c r="H1598" s="93">
        <f t="shared" si="263"/>
        <v>38</v>
      </c>
      <c r="I1598" s="84">
        <f t="shared" si="264"/>
        <v>722</v>
      </c>
      <c r="J1598" s="105">
        <f t="shared" si="265"/>
        <v>2.1315090922000211E-4</v>
      </c>
      <c r="K1598">
        <f t="shared" si="266"/>
        <v>722</v>
      </c>
      <c r="L1598"/>
      <c r="M1598"/>
      <c r="N1598"/>
      <c r="O1598"/>
      <c r="P1598"/>
      <c r="Q1598"/>
      <c r="R1598"/>
      <c r="S1598"/>
      <c r="T1598"/>
    </row>
    <row r="1599" spans="1:20" ht="15" outlineLevel="3" thickBot="1" x14ac:dyDescent="0.35">
      <c r="A1599" s="82" t="s">
        <v>2383</v>
      </c>
      <c r="B1599" s="10" t="s">
        <v>297</v>
      </c>
      <c r="C1599" s="60" t="s">
        <v>298</v>
      </c>
      <c r="D1599" s="44" t="s">
        <v>121</v>
      </c>
      <c r="E1599" s="84">
        <v>10</v>
      </c>
      <c r="F1599" s="84"/>
      <c r="G1599" s="94">
        <f t="shared" si="262"/>
        <v>1</v>
      </c>
      <c r="H1599" s="93">
        <f t="shared" si="263"/>
        <v>160</v>
      </c>
      <c r="I1599" s="84">
        <f t="shared" si="264"/>
        <v>1600</v>
      </c>
      <c r="J1599" s="105">
        <f t="shared" si="265"/>
        <v>4.7235658552909055E-4</v>
      </c>
      <c r="K1599">
        <f t="shared" si="266"/>
        <v>1600</v>
      </c>
      <c r="L1599"/>
      <c r="M1599"/>
      <c r="N1599"/>
      <c r="O1599"/>
      <c r="P1599"/>
      <c r="Q1599"/>
      <c r="R1599"/>
      <c r="S1599"/>
      <c r="T1599"/>
    </row>
    <row r="1600" spans="1:20" ht="15" outlineLevel="2" thickTop="1" x14ac:dyDescent="0.3">
      <c r="A1600" s="82" t="s">
        <v>2384</v>
      </c>
      <c r="B1600" s="62" t="s">
        <v>60</v>
      </c>
      <c r="C1600" s="63" t="s">
        <v>300</v>
      </c>
      <c r="D1600" s="116"/>
      <c r="E1600" s="88"/>
      <c r="F1600" s="88"/>
      <c r="G1600" s="98"/>
      <c r="H1600" s="88"/>
      <c r="I1600" s="88">
        <f>SUBTOTAL(9,I1580:I1599)</f>
        <v>57294.3</v>
      </c>
      <c r="J1600" s="109"/>
      <c r="K1600"/>
      <c r="L1600"/>
      <c r="M1600"/>
      <c r="N1600"/>
      <c r="O1600"/>
      <c r="P1600"/>
      <c r="Q1600"/>
      <c r="R1600"/>
      <c r="S1600"/>
      <c r="T1600"/>
    </row>
    <row r="1601" spans="1:20" outlineLevel="2" x14ac:dyDescent="0.3">
      <c r="A1601" s="82" t="s">
        <v>2385</v>
      </c>
      <c r="B1601" s="64" t="s">
        <v>302</v>
      </c>
      <c r="C1601" s="65" t="s">
        <v>303</v>
      </c>
      <c r="D1601" s="117"/>
      <c r="E1601" s="87"/>
      <c r="F1601" s="87"/>
      <c r="G1601" s="97"/>
      <c r="H1601" s="87"/>
      <c r="I1601" s="104">
        <f>SUBTOTAL(9,K1602:K1655)</f>
        <v>28216</v>
      </c>
      <c r="J1601" s="108"/>
      <c r="K1601"/>
      <c r="L1601"/>
      <c r="M1601"/>
      <c r="N1601"/>
      <c r="O1601"/>
      <c r="P1601"/>
      <c r="Q1601"/>
      <c r="R1601"/>
      <c r="S1601"/>
      <c r="T1601"/>
    </row>
    <row r="1602" spans="1:20" outlineLevel="3" x14ac:dyDescent="0.3">
      <c r="A1602" s="82" t="s">
        <v>2386</v>
      </c>
      <c r="B1602" s="64" t="s">
        <v>305</v>
      </c>
      <c r="C1602" s="66" t="s">
        <v>306</v>
      </c>
      <c r="D1602" s="117"/>
      <c r="E1602" s="87"/>
      <c r="F1602" s="87"/>
      <c r="G1602" s="97"/>
      <c r="H1602" s="87"/>
      <c r="I1602" s="104">
        <f>SUBTOTAL(9,K1603:K1606)</f>
        <v>0</v>
      </c>
      <c r="J1602" s="108"/>
      <c r="K1602"/>
      <c r="L1602"/>
      <c r="M1602"/>
      <c r="N1602"/>
      <c r="O1602"/>
      <c r="P1602"/>
      <c r="Q1602"/>
      <c r="R1602"/>
      <c r="S1602"/>
      <c r="T1602"/>
    </row>
    <row r="1603" spans="1:20" outlineLevel="4" x14ac:dyDescent="0.3">
      <c r="A1603" s="82" t="s">
        <v>2387</v>
      </c>
      <c r="B1603" s="10" t="s">
        <v>308</v>
      </c>
      <c r="C1603" s="60" t="s">
        <v>309</v>
      </c>
      <c r="D1603" s="44" t="s">
        <v>154</v>
      </c>
      <c r="E1603" s="84">
        <v>0</v>
      </c>
      <c r="F1603" s="84"/>
      <c r="G1603" s="94">
        <f>cell_CoefGeneral</f>
        <v>1</v>
      </c>
      <c r="H1603" s="93">
        <f>H87</f>
        <v>1.8</v>
      </c>
      <c r="I1603" s="84">
        <f>IFERROR(ROUND(E1603*H1603,2),"-")</f>
        <v>0</v>
      </c>
      <c r="J1603" s="105">
        <f>IFERROR(I1603/cell_Total_HT,"-")</f>
        <v>0</v>
      </c>
      <c r="K1603">
        <f>I1603</f>
        <v>0</v>
      </c>
      <c r="L1603"/>
      <c r="M1603"/>
      <c r="N1603"/>
      <c r="O1603"/>
      <c r="P1603"/>
      <c r="Q1603"/>
      <c r="R1603"/>
      <c r="S1603"/>
      <c r="T1603"/>
    </row>
    <row r="1604" spans="1:20" ht="28.8" outlineLevel="4" x14ac:dyDescent="0.3">
      <c r="A1604" s="82" t="s">
        <v>2388</v>
      </c>
      <c r="B1604" s="10" t="s">
        <v>311</v>
      </c>
      <c r="C1604" s="60" t="s">
        <v>312</v>
      </c>
      <c r="D1604" s="44" t="s">
        <v>268</v>
      </c>
      <c r="E1604" s="84">
        <v>0</v>
      </c>
      <c r="F1604" s="84"/>
      <c r="G1604" s="94">
        <f>cell_CoefGeneral</f>
        <v>1</v>
      </c>
      <c r="H1604" s="93">
        <f>H88</f>
        <v>83</v>
      </c>
      <c r="I1604" s="84">
        <f>IFERROR(ROUND(E1604*H1604,2),"-")</f>
        <v>0</v>
      </c>
      <c r="J1604" s="105">
        <f>IFERROR(I1604/cell_Total_HT,"-")</f>
        <v>0</v>
      </c>
      <c r="K1604">
        <f>I1604</f>
        <v>0</v>
      </c>
      <c r="L1604"/>
      <c r="M1604"/>
      <c r="N1604"/>
      <c r="O1604"/>
      <c r="P1604"/>
      <c r="Q1604"/>
      <c r="R1604"/>
      <c r="S1604"/>
      <c r="T1604"/>
    </row>
    <row r="1605" spans="1:20" outlineLevel="4" x14ac:dyDescent="0.3">
      <c r="A1605" s="82" t="s">
        <v>2389</v>
      </c>
      <c r="B1605" s="10" t="s">
        <v>314</v>
      </c>
      <c r="C1605" s="60" t="s">
        <v>315</v>
      </c>
      <c r="D1605" s="44" t="s">
        <v>154</v>
      </c>
      <c r="E1605" s="84">
        <v>0</v>
      </c>
      <c r="F1605" s="84"/>
      <c r="G1605" s="94">
        <f>cell_CoefGeneral</f>
        <v>1</v>
      </c>
      <c r="H1605" s="93">
        <f>H89</f>
        <v>0.9</v>
      </c>
      <c r="I1605" s="84">
        <f>IFERROR(ROUND(E1605*H1605,2),"-")</f>
        <v>0</v>
      </c>
      <c r="J1605" s="105">
        <f>IFERROR(I1605/cell_Total_HT,"-")</f>
        <v>0</v>
      </c>
      <c r="K1605">
        <f>I1605</f>
        <v>0</v>
      </c>
      <c r="L1605"/>
      <c r="M1605"/>
      <c r="N1605"/>
      <c r="O1605"/>
      <c r="P1605"/>
      <c r="Q1605"/>
      <c r="R1605"/>
      <c r="S1605"/>
      <c r="T1605"/>
    </row>
    <row r="1606" spans="1:20" outlineLevel="4" x14ac:dyDescent="0.3">
      <c r="A1606" s="82" t="s">
        <v>2390</v>
      </c>
      <c r="B1606" s="10" t="s">
        <v>317</v>
      </c>
      <c r="C1606" s="60" t="s">
        <v>318</v>
      </c>
      <c r="D1606" s="44" t="s">
        <v>268</v>
      </c>
      <c r="E1606" s="84">
        <v>0</v>
      </c>
      <c r="F1606" s="84"/>
      <c r="G1606" s="94">
        <f>cell_CoefGeneral</f>
        <v>1</v>
      </c>
      <c r="H1606" s="93">
        <f>H90</f>
        <v>100</v>
      </c>
      <c r="I1606" s="84">
        <f>IFERROR(ROUND(E1606*H1606,2),"-")</f>
        <v>0</v>
      </c>
      <c r="J1606" s="105">
        <f>IFERROR(I1606/cell_Total_HT,"-")</f>
        <v>0</v>
      </c>
      <c r="K1606">
        <f>I1606</f>
        <v>0</v>
      </c>
      <c r="L1606"/>
      <c r="M1606"/>
      <c r="N1606"/>
      <c r="O1606"/>
      <c r="P1606"/>
      <c r="Q1606"/>
      <c r="R1606"/>
      <c r="S1606"/>
      <c r="T1606"/>
    </row>
    <row r="1607" spans="1:20" outlineLevel="3" x14ac:dyDescent="0.3">
      <c r="A1607" s="82" t="s">
        <v>2391</v>
      </c>
      <c r="B1607" s="58" t="s">
        <v>320</v>
      </c>
      <c r="C1607" s="61" t="s">
        <v>321</v>
      </c>
      <c r="D1607" s="115"/>
      <c r="E1607" s="87"/>
      <c r="F1607" s="87"/>
      <c r="G1607" s="97"/>
      <c r="H1607" s="87"/>
      <c r="I1607" s="104">
        <f>SUBTOTAL(9,K1608:K1609)</f>
        <v>0</v>
      </c>
      <c r="J1607" s="108"/>
      <c r="K1607"/>
      <c r="L1607"/>
      <c r="M1607"/>
      <c r="N1607"/>
      <c r="O1607"/>
      <c r="P1607"/>
      <c r="Q1607"/>
      <c r="R1607"/>
      <c r="S1607"/>
      <c r="T1607"/>
    </row>
    <row r="1608" spans="1:20" outlineLevel="4" x14ac:dyDescent="0.3">
      <c r="A1608" s="82" t="s">
        <v>2392</v>
      </c>
      <c r="B1608" s="10" t="s">
        <v>323</v>
      </c>
      <c r="C1608" s="60" t="s">
        <v>309</v>
      </c>
      <c r="D1608" s="44" t="s">
        <v>154</v>
      </c>
      <c r="E1608" s="84">
        <v>0</v>
      </c>
      <c r="F1608" s="84"/>
      <c r="G1608" s="94">
        <f>cell_CoefGeneral</f>
        <v>1</v>
      </c>
      <c r="H1608" s="93">
        <f>H92</f>
        <v>2.2999999999999998</v>
      </c>
      <c r="I1608" s="84">
        <f>IFERROR(ROUND(E1608*H1608,2),"-")</f>
        <v>0</v>
      </c>
      <c r="J1608" s="105">
        <f>IFERROR(I1608/cell_Total_HT,"-")</f>
        <v>0</v>
      </c>
      <c r="K1608">
        <f>I1608</f>
        <v>0</v>
      </c>
      <c r="L1608"/>
      <c r="M1608"/>
      <c r="N1608"/>
      <c r="O1608"/>
      <c r="P1608"/>
      <c r="Q1608"/>
      <c r="R1608"/>
      <c r="S1608"/>
      <c r="T1608"/>
    </row>
    <row r="1609" spans="1:20" outlineLevel="4" x14ac:dyDescent="0.3">
      <c r="A1609" s="82" t="s">
        <v>2393</v>
      </c>
      <c r="B1609" s="10" t="s">
        <v>325</v>
      </c>
      <c r="C1609" s="60" t="s">
        <v>326</v>
      </c>
      <c r="D1609" s="44" t="s">
        <v>268</v>
      </c>
      <c r="E1609" s="84">
        <v>0</v>
      </c>
      <c r="F1609" s="84"/>
      <c r="G1609" s="94">
        <f>cell_CoefGeneral</f>
        <v>1</v>
      </c>
      <c r="H1609" s="93">
        <f>H93</f>
        <v>120</v>
      </c>
      <c r="I1609" s="84">
        <f>IFERROR(ROUND(E1609*H1609,2),"-")</f>
        <v>0</v>
      </c>
      <c r="J1609" s="105">
        <f>IFERROR(I1609/cell_Total_HT,"-")</f>
        <v>0</v>
      </c>
      <c r="K1609">
        <f>I1609</f>
        <v>0</v>
      </c>
      <c r="L1609"/>
      <c r="M1609"/>
      <c r="N1609"/>
      <c r="O1609"/>
      <c r="P1609"/>
      <c r="Q1609"/>
      <c r="R1609"/>
      <c r="S1609"/>
      <c r="T1609"/>
    </row>
    <row r="1610" spans="1:20" outlineLevel="3" x14ac:dyDescent="0.3">
      <c r="A1610" s="82" t="s">
        <v>2394</v>
      </c>
      <c r="B1610" s="58" t="s">
        <v>328</v>
      </c>
      <c r="C1610" s="61" t="s">
        <v>329</v>
      </c>
      <c r="D1610" s="115"/>
      <c r="E1610" s="87"/>
      <c r="F1610" s="87"/>
      <c r="G1610" s="97"/>
      <c r="H1610" s="87"/>
      <c r="I1610" s="104">
        <f>SUBTOTAL(9,K1611:K1612)</f>
        <v>0</v>
      </c>
      <c r="J1610" s="108"/>
      <c r="K1610"/>
      <c r="L1610"/>
      <c r="M1610"/>
      <c r="N1610"/>
      <c r="O1610"/>
      <c r="P1610"/>
      <c r="Q1610"/>
      <c r="R1610"/>
      <c r="S1610"/>
      <c r="T1610"/>
    </row>
    <row r="1611" spans="1:20" outlineLevel="4" x14ac:dyDescent="0.3">
      <c r="A1611" s="82" t="s">
        <v>2395</v>
      </c>
      <c r="B1611" s="10" t="s">
        <v>331</v>
      </c>
      <c r="C1611" s="60" t="s">
        <v>332</v>
      </c>
      <c r="D1611" s="44" t="s">
        <v>154</v>
      </c>
      <c r="E1611" s="84">
        <v>0</v>
      </c>
      <c r="F1611" s="84"/>
      <c r="G1611" s="94">
        <f>cell_CoefGeneral</f>
        <v>1</v>
      </c>
      <c r="H1611" s="93">
        <f>H95</f>
        <v>76</v>
      </c>
      <c r="I1611" s="84">
        <f>IFERROR(ROUND(E1611*H1611,2),"-")</f>
        <v>0</v>
      </c>
      <c r="J1611" s="105">
        <f>IFERROR(I1611/cell_Total_HT,"-")</f>
        <v>0</v>
      </c>
      <c r="K1611">
        <f>I1611</f>
        <v>0</v>
      </c>
      <c r="L1611"/>
      <c r="M1611"/>
      <c r="N1611"/>
      <c r="O1611"/>
      <c r="P1611"/>
      <c r="Q1611"/>
      <c r="R1611"/>
      <c r="S1611"/>
      <c r="T1611"/>
    </row>
    <row r="1612" spans="1:20" outlineLevel="4" x14ac:dyDescent="0.3">
      <c r="A1612" s="82" t="s">
        <v>2396</v>
      </c>
      <c r="B1612" s="10" t="s">
        <v>334</v>
      </c>
      <c r="C1612" s="60" t="s">
        <v>335</v>
      </c>
      <c r="D1612" s="44" t="s">
        <v>80</v>
      </c>
      <c r="E1612" s="84">
        <v>0</v>
      </c>
      <c r="F1612" s="84"/>
      <c r="G1612" s="94">
        <f>cell_CoefGeneral</f>
        <v>1</v>
      </c>
      <c r="H1612" s="93">
        <f>H96</f>
        <v>60</v>
      </c>
      <c r="I1612" s="84">
        <f>IFERROR(ROUND(E1612*H1612,2),"-")</f>
        <v>0</v>
      </c>
      <c r="J1612" s="105">
        <f>IFERROR(I1612/cell_Total_HT,"-")</f>
        <v>0</v>
      </c>
      <c r="K1612">
        <f>I1612</f>
        <v>0</v>
      </c>
      <c r="L1612"/>
      <c r="M1612"/>
      <c r="N1612"/>
      <c r="O1612"/>
      <c r="P1612"/>
      <c r="Q1612"/>
      <c r="R1612"/>
      <c r="S1612"/>
      <c r="T1612"/>
    </row>
    <row r="1613" spans="1:20" outlineLevel="3" x14ac:dyDescent="0.3">
      <c r="A1613" s="82" t="s">
        <v>2397</v>
      </c>
      <c r="B1613" s="58" t="s">
        <v>337</v>
      </c>
      <c r="C1613" s="61" t="s">
        <v>338</v>
      </c>
      <c r="D1613" s="115"/>
      <c r="E1613" s="87"/>
      <c r="F1613" s="87"/>
      <c r="G1613" s="97"/>
      <c r="H1613" s="87"/>
      <c r="I1613" s="104">
        <f>SUBTOTAL(9,K1614:K1614)</f>
        <v>0</v>
      </c>
      <c r="J1613" s="108"/>
      <c r="K1613"/>
      <c r="L1613"/>
      <c r="M1613"/>
      <c r="N1613"/>
      <c r="O1613"/>
      <c r="P1613"/>
      <c r="Q1613"/>
      <c r="R1613"/>
      <c r="S1613"/>
      <c r="T1613"/>
    </row>
    <row r="1614" spans="1:20" outlineLevel="4" x14ac:dyDescent="0.3">
      <c r="A1614" s="82" t="s">
        <v>2398</v>
      </c>
      <c r="B1614" s="10" t="s">
        <v>340</v>
      </c>
      <c r="C1614" s="60" t="s">
        <v>332</v>
      </c>
      <c r="D1614" s="44" t="s">
        <v>154</v>
      </c>
      <c r="E1614" s="84">
        <v>0</v>
      </c>
      <c r="F1614" s="84"/>
      <c r="G1614" s="94">
        <f>cell_CoefGeneral</f>
        <v>1</v>
      </c>
      <c r="H1614" s="93">
        <f>H98</f>
        <v>76</v>
      </c>
      <c r="I1614" s="84">
        <f>IFERROR(ROUND(E1614*H1614,2),"-")</f>
        <v>0</v>
      </c>
      <c r="J1614" s="105">
        <f>IFERROR(I1614/cell_Total_HT,"-")</f>
        <v>0</v>
      </c>
      <c r="K1614">
        <f>I1614</f>
        <v>0</v>
      </c>
      <c r="L1614"/>
      <c r="M1614"/>
      <c r="N1614"/>
      <c r="O1614"/>
      <c r="P1614"/>
      <c r="Q1614"/>
      <c r="R1614"/>
      <c r="S1614"/>
      <c r="T1614"/>
    </row>
    <row r="1615" spans="1:20" outlineLevel="3" x14ac:dyDescent="0.3">
      <c r="A1615" s="82" t="s">
        <v>2399</v>
      </c>
      <c r="B1615" s="58" t="s">
        <v>342</v>
      </c>
      <c r="C1615" s="61" t="s">
        <v>343</v>
      </c>
      <c r="D1615" s="115"/>
      <c r="E1615" s="87"/>
      <c r="F1615" s="87"/>
      <c r="G1615" s="97"/>
      <c r="H1615" s="87"/>
      <c r="I1615" s="104">
        <f>SUBTOTAL(9,K1616:K1616)</f>
        <v>26180</v>
      </c>
      <c r="J1615" s="108"/>
      <c r="K1615"/>
      <c r="L1615"/>
      <c r="M1615"/>
      <c r="N1615"/>
      <c r="O1615"/>
      <c r="P1615"/>
      <c r="Q1615"/>
      <c r="R1615"/>
      <c r="S1615"/>
      <c r="T1615"/>
    </row>
    <row r="1616" spans="1:20" outlineLevel="4" x14ac:dyDescent="0.3">
      <c r="A1616" s="82" t="s">
        <v>2400</v>
      </c>
      <c r="B1616" s="10" t="s">
        <v>345</v>
      </c>
      <c r="C1616" s="60" t="s">
        <v>346</v>
      </c>
      <c r="D1616" s="44" t="s">
        <v>154</v>
      </c>
      <c r="E1616" s="84">
        <v>385</v>
      </c>
      <c r="F1616" s="84"/>
      <c r="G1616" s="94">
        <f>cell_CoefGeneral</f>
        <v>1</v>
      </c>
      <c r="H1616" s="93">
        <f>H100</f>
        <v>68</v>
      </c>
      <c r="I1616" s="84">
        <f>IFERROR(ROUND(E1616*H1616,2),"-")</f>
        <v>26180</v>
      </c>
      <c r="J1616" s="105">
        <f>IFERROR(I1616/cell_Total_HT,"-")</f>
        <v>7.7289346307197445E-3</v>
      </c>
      <c r="K1616">
        <f>I1616</f>
        <v>26180</v>
      </c>
      <c r="L1616"/>
      <c r="M1616"/>
      <c r="N1616"/>
      <c r="O1616"/>
      <c r="P1616"/>
      <c r="Q1616"/>
      <c r="R1616"/>
      <c r="S1616"/>
      <c r="T1616"/>
    </row>
    <row r="1617" spans="1:20" outlineLevel="3" x14ac:dyDescent="0.3">
      <c r="A1617" s="82" t="s">
        <v>2401</v>
      </c>
      <c r="B1617" s="58" t="s">
        <v>348</v>
      </c>
      <c r="C1617" s="61" t="s">
        <v>349</v>
      </c>
      <c r="D1617" s="115"/>
      <c r="E1617" s="87"/>
      <c r="F1617" s="87"/>
      <c r="G1617" s="97"/>
      <c r="H1617" s="87"/>
      <c r="I1617" s="104">
        <f>SUBTOTAL(9,K1618:K1619)</f>
        <v>0</v>
      </c>
      <c r="J1617" s="108"/>
      <c r="K1617"/>
      <c r="L1617"/>
      <c r="M1617"/>
      <c r="N1617"/>
      <c r="O1617"/>
      <c r="P1617"/>
      <c r="Q1617"/>
      <c r="R1617"/>
      <c r="S1617"/>
      <c r="T1617"/>
    </row>
    <row r="1618" spans="1:20" ht="28.8" outlineLevel="4" x14ac:dyDescent="0.3">
      <c r="A1618" s="82" t="s">
        <v>2402</v>
      </c>
      <c r="B1618" s="10" t="s">
        <v>351</v>
      </c>
      <c r="C1618" s="60" t="s">
        <v>352</v>
      </c>
      <c r="D1618" s="44" t="s">
        <v>141</v>
      </c>
      <c r="E1618" s="84">
        <v>0</v>
      </c>
      <c r="F1618" s="84"/>
      <c r="G1618" s="94">
        <f>cell_CoefGeneral</f>
        <v>1</v>
      </c>
      <c r="H1618" s="93">
        <f>H102</f>
        <v>43</v>
      </c>
      <c r="I1618" s="84">
        <f>IFERROR(ROUND(E1618*H1618,2),"-")</f>
        <v>0</v>
      </c>
      <c r="J1618" s="105">
        <f>IFERROR(I1618/cell_Total_HT,"-")</f>
        <v>0</v>
      </c>
      <c r="K1618">
        <f>I1618</f>
        <v>0</v>
      </c>
      <c r="L1618"/>
      <c r="M1618"/>
      <c r="N1618"/>
      <c r="O1618"/>
      <c r="P1618"/>
      <c r="Q1618"/>
      <c r="R1618"/>
      <c r="S1618"/>
      <c r="T1618"/>
    </row>
    <row r="1619" spans="1:20" outlineLevel="4" x14ac:dyDescent="0.3">
      <c r="A1619" s="82" t="s">
        <v>2403</v>
      </c>
      <c r="B1619" s="10" t="s">
        <v>354</v>
      </c>
      <c r="C1619" s="60" t="s">
        <v>355</v>
      </c>
      <c r="D1619" s="44" t="s">
        <v>154</v>
      </c>
      <c r="E1619" s="84">
        <v>0</v>
      </c>
      <c r="F1619" s="84"/>
      <c r="G1619" s="94">
        <f>cell_CoefGeneral</f>
        <v>1</v>
      </c>
      <c r="H1619" s="93">
        <f>H103</f>
        <v>9</v>
      </c>
      <c r="I1619" s="84">
        <f>IFERROR(ROUND(E1619*H1619,2),"-")</f>
        <v>0</v>
      </c>
      <c r="J1619" s="105">
        <f>IFERROR(I1619/cell_Total_HT,"-")</f>
        <v>0</v>
      </c>
      <c r="K1619">
        <f>I1619</f>
        <v>0</v>
      </c>
      <c r="L1619"/>
      <c r="M1619"/>
      <c r="N1619"/>
      <c r="O1619"/>
      <c r="P1619"/>
      <c r="Q1619"/>
      <c r="R1619"/>
      <c r="S1619"/>
      <c r="T1619"/>
    </row>
    <row r="1620" spans="1:20" outlineLevel="3" x14ac:dyDescent="0.3">
      <c r="A1620" s="82" t="s">
        <v>2404</v>
      </c>
      <c r="B1620" s="58" t="s">
        <v>357</v>
      </c>
      <c r="C1620" s="61" t="s">
        <v>358</v>
      </c>
      <c r="D1620" s="115"/>
      <c r="E1620" s="87"/>
      <c r="F1620" s="87"/>
      <c r="G1620" s="97"/>
      <c r="H1620" s="87"/>
      <c r="I1620" s="104">
        <f>SUBTOTAL(9,K1621:K1622)</f>
        <v>0</v>
      </c>
      <c r="J1620" s="108"/>
      <c r="K1620"/>
      <c r="L1620"/>
      <c r="M1620"/>
      <c r="N1620"/>
      <c r="O1620"/>
      <c r="P1620"/>
      <c r="Q1620"/>
      <c r="R1620"/>
      <c r="S1620"/>
      <c r="T1620"/>
    </row>
    <row r="1621" spans="1:20" ht="28.8" outlineLevel="4" x14ac:dyDescent="0.3">
      <c r="A1621" s="82" t="s">
        <v>2405</v>
      </c>
      <c r="B1621" s="10" t="s">
        <v>360</v>
      </c>
      <c r="C1621" s="60" t="s">
        <v>352</v>
      </c>
      <c r="D1621" s="44" t="s">
        <v>141</v>
      </c>
      <c r="E1621" s="84">
        <v>0</v>
      </c>
      <c r="F1621" s="84"/>
      <c r="G1621" s="94">
        <f>cell_CoefGeneral</f>
        <v>1</v>
      </c>
      <c r="H1621" s="93">
        <f>H105</f>
        <v>58</v>
      </c>
      <c r="I1621" s="84">
        <f>IFERROR(ROUND(E1621*H1621,2),"-")</f>
        <v>0</v>
      </c>
      <c r="J1621" s="105">
        <f>IFERROR(I1621/cell_Total_HT,"-")</f>
        <v>0</v>
      </c>
      <c r="K1621">
        <f>I1621</f>
        <v>0</v>
      </c>
      <c r="L1621"/>
      <c r="M1621"/>
      <c r="N1621"/>
      <c r="O1621"/>
      <c r="P1621"/>
      <c r="Q1621"/>
      <c r="R1621"/>
      <c r="S1621"/>
      <c r="T1621"/>
    </row>
    <row r="1622" spans="1:20" outlineLevel="4" x14ac:dyDescent="0.3">
      <c r="A1622" s="82" t="s">
        <v>2406</v>
      </c>
      <c r="B1622" s="10" t="s">
        <v>362</v>
      </c>
      <c r="C1622" s="60" t="s">
        <v>363</v>
      </c>
      <c r="D1622" s="44" t="s">
        <v>154</v>
      </c>
      <c r="E1622" s="84">
        <v>0</v>
      </c>
      <c r="F1622" s="84"/>
      <c r="G1622" s="94">
        <f>cell_CoefGeneral</f>
        <v>1</v>
      </c>
      <c r="H1622" s="93">
        <f>H106</f>
        <v>20</v>
      </c>
      <c r="I1622" s="84">
        <f>IFERROR(ROUND(E1622*H1622,2),"-")</f>
        <v>0</v>
      </c>
      <c r="J1622" s="105">
        <f>IFERROR(I1622/cell_Total_HT,"-")</f>
        <v>0</v>
      </c>
      <c r="K1622">
        <f>I1622</f>
        <v>0</v>
      </c>
      <c r="L1622"/>
      <c r="M1622"/>
      <c r="N1622"/>
      <c r="O1622"/>
      <c r="P1622"/>
      <c r="Q1622"/>
      <c r="R1622"/>
      <c r="S1622"/>
      <c r="T1622"/>
    </row>
    <row r="1623" spans="1:20" outlineLevel="3" x14ac:dyDescent="0.3">
      <c r="A1623" s="82" t="s">
        <v>2407</v>
      </c>
      <c r="B1623" s="58" t="s">
        <v>365</v>
      </c>
      <c r="C1623" s="61" t="s">
        <v>366</v>
      </c>
      <c r="D1623" s="115"/>
      <c r="E1623" s="87"/>
      <c r="F1623" s="87"/>
      <c r="G1623" s="97"/>
      <c r="H1623" s="87"/>
      <c r="I1623" s="104">
        <f>SUBTOTAL(9,K1624:K1625)</f>
        <v>0</v>
      </c>
      <c r="J1623" s="108"/>
      <c r="K1623"/>
      <c r="L1623"/>
      <c r="M1623"/>
      <c r="N1623"/>
      <c r="O1623"/>
      <c r="P1623"/>
      <c r="Q1623"/>
      <c r="R1623"/>
      <c r="S1623"/>
      <c r="T1623"/>
    </row>
    <row r="1624" spans="1:20" ht="28.8" outlineLevel="4" x14ac:dyDescent="0.3">
      <c r="A1624" s="82" t="s">
        <v>2408</v>
      </c>
      <c r="B1624" s="10" t="s">
        <v>368</v>
      </c>
      <c r="C1624" s="60" t="s">
        <v>369</v>
      </c>
      <c r="D1624" s="44" t="s">
        <v>141</v>
      </c>
      <c r="E1624" s="84">
        <v>0</v>
      </c>
      <c r="F1624" s="84"/>
      <c r="G1624" s="94">
        <f>cell_CoefGeneral</f>
        <v>1</v>
      </c>
      <c r="H1624" s="93">
        <f>H108</f>
        <v>83</v>
      </c>
      <c r="I1624" s="84">
        <f>IFERROR(ROUND(E1624*H1624,2),"-")</f>
        <v>0</v>
      </c>
      <c r="J1624" s="105">
        <f>IFERROR(I1624/cell_Total_HT,"-")</f>
        <v>0</v>
      </c>
      <c r="K1624">
        <f>I1624</f>
        <v>0</v>
      </c>
      <c r="L1624"/>
      <c r="M1624"/>
      <c r="N1624"/>
      <c r="O1624"/>
      <c r="P1624"/>
      <c r="Q1624"/>
      <c r="R1624"/>
      <c r="S1624"/>
      <c r="T1624"/>
    </row>
    <row r="1625" spans="1:20" outlineLevel="4" x14ac:dyDescent="0.3">
      <c r="A1625" s="82" t="s">
        <v>2409</v>
      </c>
      <c r="B1625" s="10" t="s">
        <v>371</v>
      </c>
      <c r="C1625" s="60" t="s">
        <v>372</v>
      </c>
      <c r="D1625" s="44" t="s">
        <v>154</v>
      </c>
      <c r="E1625" s="84">
        <v>0</v>
      </c>
      <c r="F1625" s="84"/>
      <c r="G1625" s="94">
        <f>cell_CoefGeneral</f>
        <v>1</v>
      </c>
      <c r="H1625" s="93">
        <f>H109</f>
        <v>7.6</v>
      </c>
      <c r="I1625" s="84">
        <f>IFERROR(ROUND(E1625*H1625,2),"-")</f>
        <v>0</v>
      </c>
      <c r="J1625" s="105">
        <f>IFERROR(I1625/cell_Total_HT,"-")</f>
        <v>0</v>
      </c>
      <c r="K1625">
        <f>I1625</f>
        <v>0</v>
      </c>
      <c r="L1625"/>
      <c r="M1625"/>
      <c r="N1625"/>
      <c r="O1625"/>
      <c r="P1625"/>
      <c r="Q1625"/>
      <c r="R1625"/>
      <c r="S1625"/>
      <c r="T1625"/>
    </row>
    <row r="1626" spans="1:20" outlineLevel="3" x14ac:dyDescent="0.3">
      <c r="A1626" s="82" t="s">
        <v>2410</v>
      </c>
      <c r="B1626" s="58" t="s">
        <v>374</v>
      </c>
      <c r="C1626" s="61" t="s">
        <v>375</v>
      </c>
      <c r="D1626" s="115"/>
      <c r="E1626" s="87"/>
      <c r="F1626" s="87"/>
      <c r="G1626" s="97"/>
      <c r="H1626" s="87"/>
      <c r="I1626" s="104">
        <f>SUBTOTAL(9,K1627:K1628)</f>
        <v>0</v>
      </c>
      <c r="J1626" s="108"/>
      <c r="K1626"/>
      <c r="L1626"/>
      <c r="M1626"/>
      <c r="N1626"/>
      <c r="O1626"/>
      <c r="P1626"/>
      <c r="Q1626"/>
      <c r="R1626"/>
      <c r="S1626"/>
      <c r="T1626"/>
    </row>
    <row r="1627" spans="1:20" outlineLevel="4" x14ac:dyDescent="0.3">
      <c r="A1627" s="82" t="s">
        <v>2411</v>
      </c>
      <c r="B1627" s="10" t="s">
        <v>377</v>
      </c>
      <c r="C1627" s="60" t="s">
        <v>309</v>
      </c>
      <c r="D1627" s="44" t="s">
        <v>154</v>
      </c>
      <c r="E1627" s="84">
        <v>0</v>
      </c>
      <c r="F1627" s="84"/>
      <c r="G1627" s="94">
        <f>cell_CoefGeneral</f>
        <v>1</v>
      </c>
      <c r="H1627" s="93">
        <f>H111</f>
        <v>2.2000000000000002</v>
      </c>
      <c r="I1627" s="84">
        <f>IFERROR(ROUND(E1627*H1627,2),"-")</f>
        <v>0</v>
      </c>
      <c r="J1627" s="105">
        <f>IFERROR(I1627/cell_Total_HT,"-")</f>
        <v>0</v>
      </c>
      <c r="K1627">
        <f>I1627</f>
        <v>0</v>
      </c>
      <c r="L1627"/>
      <c r="M1627"/>
      <c r="N1627"/>
      <c r="O1627"/>
      <c r="P1627"/>
      <c r="Q1627"/>
      <c r="R1627"/>
      <c r="S1627"/>
      <c r="T1627"/>
    </row>
    <row r="1628" spans="1:20" outlineLevel="4" x14ac:dyDescent="0.3">
      <c r="A1628" s="82" t="s">
        <v>2412</v>
      </c>
      <c r="B1628" s="10" t="s">
        <v>379</v>
      </c>
      <c r="C1628" s="60" t="s">
        <v>380</v>
      </c>
      <c r="D1628" s="44" t="s">
        <v>268</v>
      </c>
      <c r="E1628" s="84">
        <v>0</v>
      </c>
      <c r="F1628" s="84"/>
      <c r="G1628" s="94">
        <f>cell_CoefGeneral</f>
        <v>1</v>
      </c>
      <c r="H1628" s="93">
        <f>H112</f>
        <v>120</v>
      </c>
      <c r="I1628" s="84">
        <f>IFERROR(ROUND(E1628*H1628,2),"-")</f>
        <v>0</v>
      </c>
      <c r="J1628" s="105">
        <f>IFERROR(I1628/cell_Total_HT,"-")</f>
        <v>0</v>
      </c>
      <c r="K1628">
        <f>I1628</f>
        <v>0</v>
      </c>
      <c r="L1628"/>
      <c r="M1628"/>
      <c r="N1628"/>
      <c r="O1628"/>
      <c r="P1628"/>
      <c r="Q1628"/>
      <c r="R1628"/>
      <c r="S1628"/>
      <c r="T1628"/>
    </row>
    <row r="1629" spans="1:20" outlineLevel="3" x14ac:dyDescent="0.3">
      <c r="A1629" s="82" t="s">
        <v>2413</v>
      </c>
      <c r="B1629" s="58" t="s">
        <v>382</v>
      </c>
      <c r="C1629" s="61" t="s">
        <v>383</v>
      </c>
      <c r="D1629" s="115"/>
      <c r="E1629" s="87"/>
      <c r="F1629" s="87"/>
      <c r="G1629" s="97"/>
      <c r="H1629" s="87"/>
      <c r="I1629" s="104">
        <f>SUBTOTAL(9,K1630:K1630)</f>
        <v>0</v>
      </c>
      <c r="J1629" s="108"/>
      <c r="K1629"/>
      <c r="L1629"/>
      <c r="M1629"/>
      <c r="N1629"/>
      <c r="O1629"/>
      <c r="P1629"/>
      <c r="Q1629"/>
      <c r="R1629"/>
      <c r="S1629"/>
      <c r="T1629"/>
    </row>
    <row r="1630" spans="1:20" ht="28.8" outlineLevel="4" x14ac:dyDescent="0.3">
      <c r="A1630" s="82" t="s">
        <v>2414</v>
      </c>
      <c r="B1630" s="10" t="s">
        <v>385</v>
      </c>
      <c r="C1630" s="60" t="s">
        <v>386</v>
      </c>
      <c r="D1630" s="44" t="s">
        <v>141</v>
      </c>
      <c r="E1630" s="84">
        <v>0</v>
      </c>
      <c r="F1630" s="84"/>
      <c r="G1630" s="94">
        <f>cell_CoefGeneral</f>
        <v>1</v>
      </c>
      <c r="H1630" s="93">
        <f>H114</f>
        <v>42</v>
      </c>
      <c r="I1630" s="84">
        <f>IFERROR(ROUND(E1630*H1630,2),"-")</f>
        <v>0</v>
      </c>
      <c r="J1630" s="105">
        <f>IFERROR(I1630/cell_Total_HT,"-")</f>
        <v>0</v>
      </c>
      <c r="K1630">
        <f>I1630</f>
        <v>0</v>
      </c>
      <c r="L1630"/>
      <c r="M1630"/>
      <c r="N1630"/>
      <c r="O1630"/>
      <c r="P1630"/>
      <c r="Q1630"/>
      <c r="R1630"/>
      <c r="S1630"/>
      <c r="T1630"/>
    </row>
    <row r="1631" spans="1:20" outlineLevel="3" x14ac:dyDescent="0.3">
      <c r="A1631" s="82" t="s">
        <v>2415</v>
      </c>
      <c r="B1631" s="58" t="s">
        <v>388</v>
      </c>
      <c r="C1631" s="61" t="s">
        <v>389</v>
      </c>
      <c r="D1631" s="115"/>
      <c r="E1631" s="87"/>
      <c r="F1631" s="87"/>
      <c r="G1631" s="97"/>
      <c r="H1631" s="87"/>
      <c r="I1631" s="104">
        <f>SUBTOTAL(9,K1632:K1634)</f>
        <v>0</v>
      </c>
      <c r="J1631" s="108"/>
      <c r="K1631"/>
      <c r="L1631"/>
      <c r="M1631"/>
      <c r="N1631"/>
      <c r="O1631"/>
      <c r="P1631"/>
      <c r="Q1631"/>
      <c r="R1631"/>
      <c r="S1631"/>
      <c r="T1631"/>
    </row>
    <row r="1632" spans="1:20" ht="28.8" outlineLevel="4" x14ac:dyDescent="0.3">
      <c r="A1632" s="82" t="s">
        <v>2416</v>
      </c>
      <c r="B1632" s="10" t="s">
        <v>391</v>
      </c>
      <c r="C1632" s="60" t="s">
        <v>392</v>
      </c>
      <c r="D1632" s="44" t="s">
        <v>154</v>
      </c>
      <c r="E1632" s="84">
        <v>0</v>
      </c>
      <c r="F1632" s="84"/>
      <c r="G1632" s="94">
        <f>cell_CoefGeneral</f>
        <v>1</v>
      </c>
      <c r="H1632" s="93">
        <f>H116</f>
        <v>150</v>
      </c>
      <c r="I1632" s="84">
        <f>IFERROR(ROUND(E1632*H1632,2),"-")</f>
        <v>0</v>
      </c>
      <c r="J1632" s="105">
        <f>IFERROR(I1632/cell_Total_HT,"-")</f>
        <v>0</v>
      </c>
      <c r="K1632">
        <f>I1632</f>
        <v>0</v>
      </c>
      <c r="L1632"/>
      <c r="M1632"/>
      <c r="N1632"/>
      <c r="O1632"/>
      <c r="P1632"/>
      <c r="Q1632"/>
      <c r="R1632"/>
      <c r="S1632"/>
      <c r="T1632"/>
    </row>
    <row r="1633" spans="1:20" ht="28.8" outlineLevel="4" x14ac:dyDescent="0.3">
      <c r="A1633" s="82" t="s">
        <v>2417</v>
      </c>
      <c r="B1633" s="10" t="s">
        <v>394</v>
      </c>
      <c r="C1633" s="60" t="s">
        <v>395</v>
      </c>
      <c r="D1633" s="44" t="s">
        <v>154</v>
      </c>
      <c r="E1633" s="84">
        <v>0</v>
      </c>
      <c r="F1633" s="84"/>
      <c r="G1633" s="94">
        <f>cell_CoefGeneral</f>
        <v>1</v>
      </c>
      <c r="H1633" s="93">
        <f>H117</f>
        <v>140</v>
      </c>
      <c r="I1633" s="84">
        <f>IFERROR(ROUND(E1633*H1633,2),"-")</f>
        <v>0</v>
      </c>
      <c r="J1633" s="105">
        <f>IFERROR(I1633/cell_Total_HT,"-")</f>
        <v>0</v>
      </c>
      <c r="K1633">
        <f>I1633</f>
        <v>0</v>
      </c>
      <c r="L1633"/>
      <c r="M1633"/>
      <c r="N1633"/>
      <c r="O1633"/>
      <c r="P1633"/>
      <c r="Q1633"/>
      <c r="R1633"/>
      <c r="S1633"/>
      <c r="T1633"/>
    </row>
    <row r="1634" spans="1:20" ht="28.8" outlineLevel="4" x14ac:dyDescent="0.3">
      <c r="A1634" s="82" t="s">
        <v>2418</v>
      </c>
      <c r="B1634" s="10" t="s">
        <v>397</v>
      </c>
      <c r="C1634" s="60" t="s">
        <v>398</v>
      </c>
      <c r="D1634" s="44" t="s">
        <v>80</v>
      </c>
      <c r="E1634" s="84">
        <v>0</v>
      </c>
      <c r="F1634" s="84"/>
      <c r="G1634" s="94">
        <f>cell_CoefGeneral</f>
        <v>1</v>
      </c>
      <c r="H1634" s="93">
        <f>H118</f>
        <v>140</v>
      </c>
      <c r="I1634" s="84">
        <f>IFERROR(ROUND(E1634*H1634,2),"-")</f>
        <v>0</v>
      </c>
      <c r="J1634" s="105">
        <f>IFERROR(I1634/cell_Total_HT,"-")</f>
        <v>0</v>
      </c>
      <c r="K1634">
        <f>I1634</f>
        <v>0</v>
      </c>
      <c r="L1634"/>
      <c r="M1634"/>
      <c r="N1634"/>
      <c r="O1634"/>
      <c r="P1634"/>
      <c r="Q1634"/>
      <c r="R1634"/>
      <c r="S1634"/>
      <c r="T1634"/>
    </row>
    <row r="1635" spans="1:20" outlineLevel="3" x14ac:dyDescent="0.3">
      <c r="A1635" s="82" t="s">
        <v>2419</v>
      </c>
      <c r="B1635" s="58" t="s">
        <v>400</v>
      </c>
      <c r="C1635" s="61" t="s">
        <v>401</v>
      </c>
      <c r="D1635" s="115"/>
      <c r="E1635" s="87"/>
      <c r="F1635" s="87"/>
      <c r="G1635" s="97"/>
      <c r="H1635" s="87"/>
      <c r="I1635" s="104">
        <f>SUBTOTAL(9,K1636:K1637)</f>
        <v>0</v>
      </c>
      <c r="J1635" s="108"/>
      <c r="K1635"/>
      <c r="L1635"/>
      <c r="M1635"/>
      <c r="N1635"/>
      <c r="O1635"/>
      <c r="P1635"/>
      <c r="Q1635"/>
      <c r="R1635"/>
      <c r="S1635"/>
      <c r="T1635"/>
    </row>
    <row r="1636" spans="1:20" ht="28.8" outlineLevel="4" x14ac:dyDescent="0.3">
      <c r="A1636" s="82" t="s">
        <v>2420</v>
      </c>
      <c r="B1636" s="10" t="s">
        <v>403</v>
      </c>
      <c r="C1636" s="60" t="s">
        <v>404</v>
      </c>
      <c r="D1636" s="44" t="s">
        <v>141</v>
      </c>
      <c r="E1636" s="84">
        <v>0</v>
      </c>
      <c r="F1636" s="84"/>
      <c r="G1636" s="94">
        <f>cell_CoefGeneral</f>
        <v>1</v>
      </c>
      <c r="H1636" s="93">
        <f>H120</f>
        <v>42</v>
      </c>
      <c r="I1636" s="84">
        <f>IFERROR(ROUND(E1636*H1636,2),"-")</f>
        <v>0</v>
      </c>
      <c r="J1636" s="105">
        <f>IFERROR(I1636/cell_Total_HT,"-")</f>
        <v>0</v>
      </c>
      <c r="K1636">
        <f>I1636</f>
        <v>0</v>
      </c>
      <c r="L1636"/>
      <c r="M1636"/>
      <c r="N1636"/>
      <c r="O1636"/>
      <c r="P1636"/>
      <c r="Q1636"/>
      <c r="R1636"/>
      <c r="S1636"/>
      <c r="T1636"/>
    </row>
    <row r="1637" spans="1:20" ht="28.8" outlineLevel="4" x14ac:dyDescent="0.3">
      <c r="A1637" s="82" t="s">
        <v>2421</v>
      </c>
      <c r="B1637" s="10" t="s">
        <v>406</v>
      </c>
      <c r="C1637" s="60" t="s">
        <v>407</v>
      </c>
      <c r="D1637" s="44" t="s">
        <v>154</v>
      </c>
      <c r="E1637" s="84">
        <v>0</v>
      </c>
      <c r="F1637" s="84"/>
      <c r="G1637" s="94">
        <f>cell_CoefGeneral</f>
        <v>1</v>
      </c>
      <c r="H1637" s="93">
        <f>H121</f>
        <v>140</v>
      </c>
      <c r="I1637" s="84">
        <f>IFERROR(ROUND(E1637*H1637,2),"-")</f>
        <v>0</v>
      </c>
      <c r="J1637" s="105">
        <f>IFERROR(I1637/cell_Total_HT,"-")</f>
        <v>0</v>
      </c>
      <c r="K1637">
        <f>I1637</f>
        <v>0</v>
      </c>
      <c r="L1637"/>
      <c r="M1637"/>
      <c r="N1637"/>
      <c r="O1637"/>
      <c r="P1637"/>
      <c r="Q1637"/>
      <c r="R1637"/>
      <c r="S1637"/>
      <c r="T1637"/>
    </row>
    <row r="1638" spans="1:20" outlineLevel="3" x14ac:dyDescent="0.3">
      <c r="A1638" s="82" t="s">
        <v>2422</v>
      </c>
      <c r="B1638" s="58" t="s">
        <v>409</v>
      </c>
      <c r="C1638" s="61" t="s">
        <v>410</v>
      </c>
      <c r="D1638" s="115"/>
      <c r="E1638" s="87"/>
      <c r="F1638" s="87"/>
      <c r="G1638" s="97"/>
      <c r="H1638" s="87"/>
      <c r="I1638" s="104">
        <f>SUBTOTAL(9,K1639:K1640)</f>
        <v>0</v>
      </c>
      <c r="J1638" s="108"/>
      <c r="K1638"/>
      <c r="L1638"/>
      <c r="M1638"/>
      <c r="N1638"/>
      <c r="O1638"/>
      <c r="P1638"/>
      <c r="Q1638"/>
      <c r="R1638"/>
      <c r="S1638"/>
      <c r="T1638"/>
    </row>
    <row r="1639" spans="1:20" ht="28.8" outlineLevel="4" x14ac:dyDescent="0.3">
      <c r="A1639" s="82" t="s">
        <v>2423</v>
      </c>
      <c r="B1639" s="10" t="s">
        <v>412</v>
      </c>
      <c r="C1639" s="60" t="s">
        <v>413</v>
      </c>
      <c r="D1639" s="44" t="s">
        <v>154</v>
      </c>
      <c r="E1639" s="84">
        <v>0</v>
      </c>
      <c r="F1639" s="84"/>
      <c r="G1639" s="94">
        <f>cell_CoefGeneral</f>
        <v>1</v>
      </c>
      <c r="H1639" s="93">
        <f>H123</f>
        <v>26</v>
      </c>
      <c r="I1639" s="84">
        <f>IFERROR(ROUND(E1639*H1639,2),"-")</f>
        <v>0</v>
      </c>
      <c r="J1639" s="105">
        <f>IFERROR(I1639/cell_Total_HT,"-")</f>
        <v>0</v>
      </c>
      <c r="K1639">
        <f>I1639</f>
        <v>0</v>
      </c>
      <c r="L1639"/>
      <c r="M1639"/>
      <c r="N1639"/>
      <c r="O1639"/>
      <c r="P1639"/>
      <c r="Q1639"/>
      <c r="R1639"/>
      <c r="S1639"/>
      <c r="T1639"/>
    </row>
    <row r="1640" spans="1:20" outlineLevel="4" x14ac:dyDescent="0.3">
      <c r="A1640" s="82" t="s">
        <v>2424</v>
      </c>
      <c r="B1640" s="10" t="s">
        <v>415</v>
      </c>
      <c r="C1640" s="60" t="s">
        <v>416</v>
      </c>
      <c r="D1640" s="44" t="s">
        <v>154</v>
      </c>
      <c r="E1640" s="84">
        <v>0</v>
      </c>
      <c r="F1640" s="84"/>
      <c r="G1640" s="94">
        <f>cell_CoefGeneral</f>
        <v>1</v>
      </c>
      <c r="H1640" s="93">
        <f>H124</f>
        <v>29</v>
      </c>
      <c r="I1640" s="84">
        <f>IFERROR(ROUND(E1640*H1640,2),"-")</f>
        <v>0</v>
      </c>
      <c r="J1640" s="105">
        <f>IFERROR(I1640/cell_Total_HT,"-")</f>
        <v>0</v>
      </c>
      <c r="K1640">
        <f>I1640</f>
        <v>0</v>
      </c>
      <c r="L1640"/>
      <c r="M1640"/>
      <c r="N1640"/>
      <c r="O1640"/>
      <c r="P1640"/>
      <c r="Q1640"/>
      <c r="R1640"/>
      <c r="S1640"/>
      <c r="T1640"/>
    </row>
    <row r="1641" spans="1:20" outlineLevel="3" x14ac:dyDescent="0.3">
      <c r="A1641" s="82" t="s">
        <v>2425</v>
      </c>
      <c r="B1641" s="58" t="s">
        <v>418</v>
      </c>
      <c r="C1641" s="61" t="s">
        <v>419</v>
      </c>
      <c r="D1641" s="115"/>
      <c r="E1641" s="87"/>
      <c r="F1641" s="87"/>
      <c r="G1641" s="97"/>
      <c r="H1641" s="87"/>
      <c r="I1641" s="104">
        <f>SUBTOTAL(9,K1642:K1642)</f>
        <v>0</v>
      </c>
      <c r="J1641" s="108"/>
      <c r="K1641"/>
      <c r="L1641"/>
      <c r="M1641"/>
      <c r="N1641"/>
      <c r="O1641"/>
      <c r="P1641"/>
      <c r="Q1641"/>
      <c r="R1641"/>
      <c r="S1641"/>
      <c r="T1641"/>
    </row>
    <row r="1642" spans="1:20" ht="28.8" outlineLevel="4" x14ac:dyDescent="0.3">
      <c r="A1642" s="82" t="s">
        <v>2426</v>
      </c>
      <c r="B1642" s="10" t="s">
        <v>421</v>
      </c>
      <c r="C1642" s="60" t="s">
        <v>422</v>
      </c>
      <c r="D1642" s="44" t="s">
        <v>154</v>
      </c>
      <c r="E1642" s="84">
        <v>0</v>
      </c>
      <c r="F1642" s="84"/>
      <c r="G1642" s="94">
        <f>cell_CoefGeneral</f>
        <v>1</v>
      </c>
      <c r="H1642" s="93">
        <f>H126</f>
        <v>35</v>
      </c>
      <c r="I1642" s="84">
        <f>IFERROR(ROUND(E1642*H1642,2),"-")</f>
        <v>0</v>
      </c>
      <c r="J1642" s="105">
        <f>IFERROR(I1642/cell_Total_HT,"-")</f>
        <v>0</v>
      </c>
      <c r="K1642">
        <f>I1642</f>
        <v>0</v>
      </c>
      <c r="L1642"/>
      <c r="M1642"/>
      <c r="N1642"/>
      <c r="O1642"/>
      <c r="P1642"/>
      <c r="Q1642"/>
      <c r="R1642"/>
      <c r="S1642"/>
      <c r="T1642"/>
    </row>
    <row r="1643" spans="1:20" outlineLevel="3" x14ac:dyDescent="0.3">
      <c r="A1643" s="82" t="s">
        <v>2427</v>
      </c>
      <c r="B1643" s="58" t="s">
        <v>424</v>
      </c>
      <c r="C1643" s="61" t="s">
        <v>425</v>
      </c>
      <c r="D1643" s="115"/>
      <c r="E1643" s="87"/>
      <c r="F1643" s="87"/>
      <c r="G1643" s="97"/>
      <c r="H1643" s="87"/>
      <c r="I1643" s="104">
        <f>SUBTOTAL(9,K1644:K1646)</f>
        <v>2036</v>
      </c>
      <c r="J1643" s="108"/>
      <c r="K1643"/>
      <c r="L1643"/>
      <c r="M1643"/>
      <c r="N1643"/>
      <c r="O1643"/>
      <c r="P1643"/>
      <c r="Q1643"/>
      <c r="R1643"/>
      <c r="S1643"/>
      <c r="T1643"/>
    </row>
    <row r="1644" spans="1:20" ht="28.8" outlineLevel="4" x14ac:dyDescent="0.3">
      <c r="A1644" s="82" t="s">
        <v>2428</v>
      </c>
      <c r="B1644" s="10" t="s">
        <v>427</v>
      </c>
      <c r="C1644" s="60" t="s">
        <v>428</v>
      </c>
      <c r="D1644" s="44" t="s">
        <v>141</v>
      </c>
      <c r="E1644" s="84">
        <v>2</v>
      </c>
      <c r="F1644" s="84"/>
      <c r="G1644" s="94">
        <f>cell_CoefGeneral</f>
        <v>1</v>
      </c>
      <c r="H1644" s="93">
        <f>H128</f>
        <v>66</v>
      </c>
      <c r="I1644" s="84">
        <f>IFERROR(ROUND(E1644*H1644,2),"-")</f>
        <v>132</v>
      </c>
      <c r="J1644" s="105">
        <f>IFERROR(I1644/cell_Total_HT,"-")</f>
        <v>3.8969418306149972E-5</v>
      </c>
      <c r="K1644">
        <f>I1644</f>
        <v>132</v>
      </c>
      <c r="L1644"/>
      <c r="M1644"/>
      <c r="N1644"/>
      <c r="O1644"/>
      <c r="P1644"/>
      <c r="Q1644"/>
      <c r="R1644"/>
      <c r="S1644"/>
      <c r="T1644"/>
    </row>
    <row r="1645" spans="1:20" outlineLevel="4" x14ac:dyDescent="0.3">
      <c r="A1645" s="82" t="s">
        <v>2429</v>
      </c>
      <c r="B1645" s="10" t="s">
        <v>430</v>
      </c>
      <c r="C1645" s="60" t="s">
        <v>431</v>
      </c>
      <c r="D1645" s="44" t="s">
        <v>154</v>
      </c>
      <c r="E1645" s="84">
        <v>17</v>
      </c>
      <c r="F1645" s="84"/>
      <c r="G1645" s="94">
        <f>cell_CoefGeneral</f>
        <v>1</v>
      </c>
      <c r="H1645" s="93">
        <f>H129</f>
        <v>34</v>
      </c>
      <c r="I1645" s="84">
        <f>IFERROR(ROUND(E1645*H1645,2),"-")</f>
        <v>578</v>
      </c>
      <c r="J1645" s="105">
        <f>IFERROR(I1645/cell_Total_HT,"-")</f>
        <v>1.7063881652238397E-4</v>
      </c>
      <c r="K1645">
        <f>I1645</f>
        <v>578</v>
      </c>
      <c r="L1645"/>
      <c r="M1645"/>
      <c r="N1645"/>
      <c r="O1645"/>
      <c r="P1645"/>
      <c r="Q1645"/>
      <c r="R1645"/>
      <c r="S1645"/>
      <c r="T1645"/>
    </row>
    <row r="1646" spans="1:20" outlineLevel="4" x14ac:dyDescent="0.3">
      <c r="A1646" s="82" t="s">
        <v>2430</v>
      </c>
      <c r="B1646" s="10" t="s">
        <v>433</v>
      </c>
      <c r="C1646" s="60" t="s">
        <v>434</v>
      </c>
      <c r="D1646" s="44" t="s">
        <v>154</v>
      </c>
      <c r="E1646" s="84">
        <v>17</v>
      </c>
      <c r="F1646" s="84"/>
      <c r="G1646" s="94">
        <f>cell_CoefGeneral</f>
        <v>1</v>
      </c>
      <c r="H1646" s="93">
        <f>H130</f>
        <v>78</v>
      </c>
      <c r="I1646" s="84">
        <f>IFERROR(ROUND(E1646*H1646,2),"-")</f>
        <v>1326</v>
      </c>
      <c r="J1646" s="105">
        <f>IFERROR(I1646/cell_Total_HT,"-")</f>
        <v>3.914655202572338E-4</v>
      </c>
      <c r="K1646">
        <f>I1646</f>
        <v>1326</v>
      </c>
      <c r="L1646"/>
      <c r="M1646"/>
      <c r="N1646"/>
      <c r="O1646"/>
      <c r="P1646"/>
      <c r="Q1646"/>
      <c r="R1646"/>
      <c r="S1646"/>
      <c r="T1646"/>
    </row>
    <row r="1647" spans="1:20" outlineLevel="3" x14ac:dyDescent="0.3">
      <c r="A1647" s="82" t="s">
        <v>2431</v>
      </c>
      <c r="B1647" s="58" t="s">
        <v>436</v>
      </c>
      <c r="C1647" s="61" t="s">
        <v>437</v>
      </c>
      <c r="D1647" s="115"/>
      <c r="E1647" s="87"/>
      <c r="F1647" s="87"/>
      <c r="G1647" s="97"/>
      <c r="H1647" s="87"/>
      <c r="I1647" s="104">
        <f>SUBTOTAL(9,K1648:K1651)</f>
        <v>0</v>
      </c>
      <c r="J1647" s="108"/>
      <c r="K1647"/>
      <c r="L1647"/>
      <c r="M1647"/>
      <c r="N1647"/>
      <c r="O1647"/>
      <c r="P1647"/>
      <c r="Q1647"/>
      <c r="R1647"/>
      <c r="S1647"/>
      <c r="T1647"/>
    </row>
    <row r="1648" spans="1:20" outlineLevel="4" x14ac:dyDescent="0.3">
      <c r="A1648" s="82" t="s">
        <v>2432</v>
      </c>
      <c r="B1648" s="10" t="s">
        <v>439</v>
      </c>
      <c r="C1648" s="60" t="s">
        <v>440</v>
      </c>
      <c r="D1648" s="44" t="s">
        <v>154</v>
      </c>
      <c r="E1648" s="84">
        <v>0</v>
      </c>
      <c r="F1648" s="84"/>
      <c r="G1648" s="94">
        <f>cell_CoefGeneral</f>
        <v>1</v>
      </c>
      <c r="H1648" s="93">
        <f>H132</f>
        <v>33</v>
      </c>
      <c r="I1648" s="84">
        <f>IFERROR(ROUND(E1648*H1648,2),"-")</f>
        <v>0</v>
      </c>
      <c r="J1648" s="105">
        <f>IFERROR(I1648/cell_Total_HT,"-")</f>
        <v>0</v>
      </c>
      <c r="K1648">
        <f>I1648</f>
        <v>0</v>
      </c>
      <c r="L1648"/>
      <c r="M1648"/>
      <c r="N1648"/>
      <c r="O1648"/>
      <c r="P1648"/>
      <c r="Q1648"/>
      <c r="R1648"/>
      <c r="S1648"/>
      <c r="T1648"/>
    </row>
    <row r="1649" spans="1:20" outlineLevel="4" x14ac:dyDescent="0.3">
      <c r="A1649" s="82" t="s">
        <v>2433</v>
      </c>
      <c r="B1649" s="10" t="s">
        <v>442</v>
      </c>
      <c r="C1649" s="60" t="s">
        <v>443</v>
      </c>
      <c r="D1649" s="44" t="s">
        <v>154</v>
      </c>
      <c r="E1649" s="84">
        <v>0</v>
      </c>
      <c r="F1649" s="84"/>
      <c r="G1649" s="94">
        <f>cell_CoefGeneral</f>
        <v>1</v>
      </c>
      <c r="H1649" s="93">
        <f>H133</f>
        <v>5.7</v>
      </c>
      <c r="I1649" s="84">
        <f>IFERROR(ROUND(E1649*H1649,2),"-")</f>
        <v>0</v>
      </c>
      <c r="J1649" s="105">
        <f>IFERROR(I1649/cell_Total_HT,"-")</f>
        <v>0</v>
      </c>
      <c r="K1649">
        <f>I1649</f>
        <v>0</v>
      </c>
      <c r="L1649"/>
      <c r="M1649"/>
      <c r="N1649"/>
      <c r="O1649"/>
      <c r="P1649"/>
      <c r="Q1649"/>
      <c r="R1649"/>
      <c r="S1649"/>
      <c r="T1649"/>
    </row>
    <row r="1650" spans="1:20" outlineLevel="4" x14ac:dyDescent="0.3">
      <c r="A1650" s="82" t="s">
        <v>2434</v>
      </c>
      <c r="B1650" s="10" t="s">
        <v>445</v>
      </c>
      <c r="C1650" s="60" t="s">
        <v>446</v>
      </c>
      <c r="D1650" s="44" t="s">
        <v>154</v>
      </c>
      <c r="E1650" s="84">
        <v>0</v>
      </c>
      <c r="F1650" s="84"/>
      <c r="G1650" s="94">
        <f>cell_CoefGeneral</f>
        <v>1</v>
      </c>
      <c r="H1650" s="93">
        <f>H134</f>
        <v>24</v>
      </c>
      <c r="I1650" s="84">
        <f>IFERROR(ROUND(E1650*H1650,2),"-")</f>
        <v>0</v>
      </c>
      <c r="J1650" s="105">
        <f>IFERROR(I1650/cell_Total_HT,"-")</f>
        <v>0</v>
      </c>
      <c r="K1650">
        <f>I1650</f>
        <v>0</v>
      </c>
      <c r="L1650"/>
      <c r="M1650"/>
      <c r="N1650"/>
      <c r="O1650"/>
      <c r="P1650"/>
      <c r="Q1650"/>
      <c r="R1650"/>
      <c r="S1650"/>
      <c r="T1650"/>
    </row>
    <row r="1651" spans="1:20" outlineLevel="4" x14ac:dyDescent="0.3">
      <c r="A1651" s="82" t="s">
        <v>2435</v>
      </c>
      <c r="B1651" s="10" t="s">
        <v>448</v>
      </c>
      <c r="C1651" s="60" t="s">
        <v>449</v>
      </c>
      <c r="D1651" s="44" t="s">
        <v>154</v>
      </c>
      <c r="E1651" s="84">
        <v>0</v>
      </c>
      <c r="F1651" s="84"/>
      <c r="G1651" s="94">
        <f>cell_CoefGeneral</f>
        <v>1</v>
      </c>
      <c r="H1651" s="93">
        <f>H135</f>
        <v>5.0999999999999996</v>
      </c>
      <c r="I1651" s="84">
        <f>IFERROR(ROUND(E1651*H1651,2),"-")</f>
        <v>0</v>
      </c>
      <c r="J1651" s="105">
        <f>IFERROR(I1651/cell_Total_HT,"-")</f>
        <v>0</v>
      </c>
      <c r="K1651">
        <f>I1651</f>
        <v>0</v>
      </c>
      <c r="L1651"/>
      <c r="M1651"/>
      <c r="N1651"/>
      <c r="O1651"/>
      <c r="P1651"/>
      <c r="Q1651"/>
      <c r="R1651"/>
      <c r="S1651"/>
      <c r="T1651"/>
    </row>
    <row r="1652" spans="1:20" outlineLevel="3" x14ac:dyDescent="0.3">
      <c r="A1652" s="82" t="s">
        <v>2436</v>
      </c>
      <c r="B1652" s="58" t="s">
        <v>451</v>
      </c>
      <c r="C1652" s="61" t="s">
        <v>452</v>
      </c>
      <c r="D1652" s="115"/>
      <c r="E1652" s="87"/>
      <c r="F1652" s="87"/>
      <c r="G1652" s="97"/>
      <c r="H1652" s="87"/>
      <c r="I1652" s="104">
        <f>SUBTOTAL(9,K1653:K1655)</f>
        <v>0</v>
      </c>
      <c r="J1652" s="108"/>
      <c r="K1652"/>
      <c r="L1652"/>
      <c r="M1652"/>
      <c r="N1652"/>
      <c r="O1652"/>
      <c r="P1652"/>
      <c r="Q1652"/>
      <c r="R1652"/>
      <c r="S1652"/>
      <c r="T1652"/>
    </row>
    <row r="1653" spans="1:20" outlineLevel="4" x14ac:dyDescent="0.3">
      <c r="A1653" s="82" t="s">
        <v>2437</v>
      </c>
      <c r="B1653" s="10" t="s">
        <v>454</v>
      </c>
      <c r="C1653" s="60" t="s">
        <v>455</v>
      </c>
      <c r="D1653" s="44" t="s">
        <v>154</v>
      </c>
      <c r="E1653" s="84">
        <v>0</v>
      </c>
      <c r="F1653" s="84"/>
      <c r="G1653" s="94">
        <f>cell_CoefGeneral</f>
        <v>1</v>
      </c>
      <c r="H1653" s="93">
        <f>H137</f>
        <v>40</v>
      </c>
      <c r="I1653" s="84">
        <f>IFERROR(ROUND(E1653*H1653,2),"-")</f>
        <v>0</v>
      </c>
      <c r="J1653" s="105">
        <f>IFERROR(I1653/cell_Total_HT,"-")</f>
        <v>0</v>
      </c>
      <c r="K1653">
        <f>I1653</f>
        <v>0</v>
      </c>
      <c r="L1653"/>
      <c r="M1653"/>
      <c r="N1653"/>
      <c r="O1653"/>
      <c r="P1653"/>
      <c r="Q1653"/>
      <c r="R1653"/>
      <c r="S1653"/>
      <c r="T1653"/>
    </row>
    <row r="1654" spans="1:20" outlineLevel="4" x14ac:dyDescent="0.3">
      <c r="A1654" s="82" t="s">
        <v>2438</v>
      </c>
      <c r="B1654" s="10" t="s">
        <v>457</v>
      </c>
      <c r="C1654" s="60" t="s">
        <v>458</v>
      </c>
      <c r="D1654" s="44" t="s">
        <v>154</v>
      </c>
      <c r="E1654" s="84">
        <v>0</v>
      </c>
      <c r="F1654" s="84"/>
      <c r="G1654" s="94">
        <f>cell_CoefGeneral</f>
        <v>1</v>
      </c>
      <c r="H1654" s="93">
        <f>H138</f>
        <v>91</v>
      </c>
      <c r="I1654" s="84">
        <f>IFERROR(ROUND(E1654*H1654,2),"-")</f>
        <v>0</v>
      </c>
      <c r="J1654" s="105">
        <f>IFERROR(I1654/cell_Total_HT,"-")</f>
        <v>0</v>
      </c>
      <c r="K1654">
        <f>I1654</f>
        <v>0</v>
      </c>
      <c r="L1654"/>
      <c r="M1654"/>
      <c r="N1654"/>
      <c r="O1654"/>
      <c r="P1654"/>
      <c r="Q1654"/>
      <c r="R1654"/>
      <c r="S1654"/>
      <c r="T1654"/>
    </row>
    <row r="1655" spans="1:20" ht="15" outlineLevel="4" thickBot="1" x14ac:dyDescent="0.35">
      <c r="A1655" s="82" t="s">
        <v>2439</v>
      </c>
      <c r="B1655" s="10" t="s">
        <v>460</v>
      </c>
      <c r="C1655" s="60" t="s">
        <v>461</v>
      </c>
      <c r="D1655" s="44" t="s">
        <v>154</v>
      </c>
      <c r="E1655" s="84">
        <v>0</v>
      </c>
      <c r="F1655" s="84"/>
      <c r="G1655" s="94">
        <f>cell_CoefGeneral</f>
        <v>1</v>
      </c>
      <c r="H1655" s="93">
        <f>H139</f>
        <v>22</v>
      </c>
      <c r="I1655" s="84">
        <f>IFERROR(ROUND(E1655*H1655,2),"-")</f>
        <v>0</v>
      </c>
      <c r="J1655" s="105">
        <f>IFERROR(I1655/cell_Total_HT,"-")</f>
        <v>0</v>
      </c>
      <c r="K1655">
        <f>I1655</f>
        <v>0</v>
      </c>
      <c r="L1655"/>
      <c r="M1655"/>
      <c r="N1655"/>
      <c r="O1655"/>
      <c r="P1655"/>
      <c r="Q1655"/>
      <c r="R1655"/>
      <c r="S1655"/>
      <c r="T1655"/>
    </row>
    <row r="1656" spans="1:20" ht="15" outlineLevel="2" thickTop="1" x14ac:dyDescent="0.3">
      <c r="A1656" s="82" t="s">
        <v>2440</v>
      </c>
      <c r="B1656" s="62" t="s">
        <v>60</v>
      </c>
      <c r="C1656" s="63" t="s">
        <v>463</v>
      </c>
      <c r="D1656" s="116"/>
      <c r="E1656" s="88"/>
      <c r="F1656" s="88"/>
      <c r="G1656" s="98"/>
      <c r="H1656" s="88"/>
      <c r="I1656" s="88">
        <f>SUBTOTAL(9,I1603:I1655)</f>
        <v>28216</v>
      </c>
      <c r="J1656" s="109"/>
      <c r="K1656"/>
      <c r="L1656"/>
      <c r="M1656"/>
      <c r="N1656"/>
      <c r="O1656"/>
      <c r="P1656"/>
      <c r="Q1656"/>
      <c r="R1656"/>
      <c r="S1656"/>
      <c r="T1656"/>
    </row>
    <row r="1657" spans="1:20" outlineLevel="2" x14ac:dyDescent="0.3">
      <c r="A1657" s="82" t="s">
        <v>2441</v>
      </c>
      <c r="B1657" s="64" t="s">
        <v>465</v>
      </c>
      <c r="C1657" s="65" t="s">
        <v>466</v>
      </c>
      <c r="D1657" s="117"/>
      <c r="E1657" s="87"/>
      <c r="F1657" s="87"/>
      <c r="G1657" s="97"/>
      <c r="H1657" s="87"/>
      <c r="I1657" s="104">
        <f>SUBTOTAL(9,K1658:K1682)</f>
        <v>15989</v>
      </c>
      <c r="J1657" s="108"/>
      <c r="K1657"/>
      <c r="L1657"/>
      <c r="M1657"/>
      <c r="N1657"/>
      <c r="O1657"/>
      <c r="P1657"/>
      <c r="Q1657"/>
      <c r="R1657"/>
      <c r="S1657"/>
      <c r="T1657"/>
    </row>
    <row r="1658" spans="1:20" outlineLevel="3" x14ac:dyDescent="0.3">
      <c r="A1658" s="82" t="s">
        <v>2442</v>
      </c>
      <c r="B1658" s="64" t="s">
        <v>468</v>
      </c>
      <c r="C1658" s="66" t="s">
        <v>469</v>
      </c>
      <c r="D1658" s="117"/>
      <c r="E1658" s="87"/>
      <c r="F1658" s="87"/>
      <c r="G1658" s="97"/>
      <c r="H1658" s="87"/>
      <c r="I1658" s="104">
        <f>SUBTOTAL(9,K1659:K1668)</f>
        <v>0</v>
      </c>
      <c r="J1658" s="108"/>
      <c r="K1658"/>
      <c r="L1658"/>
      <c r="M1658"/>
      <c r="N1658"/>
      <c r="O1658"/>
      <c r="P1658"/>
      <c r="Q1658"/>
      <c r="R1658"/>
      <c r="S1658"/>
      <c r="T1658"/>
    </row>
    <row r="1659" spans="1:20" outlineLevel="4" x14ac:dyDescent="0.3">
      <c r="A1659" s="82" t="s">
        <v>2443</v>
      </c>
      <c r="B1659" s="10" t="s">
        <v>471</v>
      </c>
      <c r="C1659" s="60" t="s">
        <v>472</v>
      </c>
      <c r="D1659" s="44" t="s">
        <v>80</v>
      </c>
      <c r="E1659" s="84">
        <v>0</v>
      </c>
      <c r="F1659" s="84"/>
      <c r="G1659" s="94">
        <f t="shared" ref="G1659:G1674" si="267">cell_CoefGeneral</f>
        <v>1</v>
      </c>
      <c r="H1659" s="93">
        <f t="shared" ref="H1659:H1674" si="268">H143</f>
        <v>43</v>
      </c>
      <c r="I1659" s="84">
        <f t="shared" ref="I1659:I1674" si="269">IFERROR(ROUND(E1659*H1659,2),"-")</f>
        <v>0</v>
      </c>
      <c r="J1659" s="105">
        <f t="shared" ref="J1659:J1674" si="270">IFERROR(I1659/cell_Total_HT,"-")</f>
        <v>0</v>
      </c>
      <c r="K1659">
        <f t="shared" ref="K1659:K1674" si="271">I1659</f>
        <v>0</v>
      </c>
      <c r="L1659"/>
      <c r="M1659"/>
      <c r="N1659"/>
      <c r="O1659"/>
      <c r="P1659"/>
      <c r="Q1659"/>
      <c r="R1659"/>
      <c r="S1659"/>
      <c r="T1659"/>
    </row>
    <row r="1660" spans="1:20" outlineLevel="4" x14ac:dyDescent="0.3">
      <c r="A1660" s="82" t="s">
        <v>2444</v>
      </c>
      <c r="B1660" s="10" t="s">
        <v>474</v>
      </c>
      <c r="C1660" s="60" t="s">
        <v>475</v>
      </c>
      <c r="D1660" s="44" t="s">
        <v>80</v>
      </c>
      <c r="E1660" s="84">
        <v>0</v>
      </c>
      <c r="F1660" s="84"/>
      <c r="G1660" s="94">
        <f t="shared" si="267"/>
        <v>1</v>
      </c>
      <c r="H1660" s="93">
        <f t="shared" si="268"/>
        <v>53</v>
      </c>
      <c r="I1660" s="84">
        <f t="shared" si="269"/>
        <v>0</v>
      </c>
      <c r="J1660" s="105">
        <f t="shared" si="270"/>
        <v>0</v>
      </c>
      <c r="K1660">
        <f t="shared" si="271"/>
        <v>0</v>
      </c>
      <c r="L1660"/>
      <c r="M1660"/>
      <c r="N1660"/>
      <c r="O1660"/>
      <c r="P1660"/>
      <c r="Q1660"/>
      <c r="R1660"/>
      <c r="S1660"/>
      <c r="T1660"/>
    </row>
    <row r="1661" spans="1:20" outlineLevel="4" x14ac:dyDescent="0.3">
      <c r="A1661" s="82" t="s">
        <v>2445</v>
      </c>
      <c r="B1661" s="10" t="s">
        <v>477</v>
      </c>
      <c r="C1661" s="60" t="s">
        <v>478</v>
      </c>
      <c r="D1661" s="44" t="s">
        <v>80</v>
      </c>
      <c r="E1661" s="84">
        <v>0</v>
      </c>
      <c r="F1661" s="84"/>
      <c r="G1661" s="94">
        <f t="shared" si="267"/>
        <v>1</v>
      </c>
      <c r="H1661" s="93">
        <f t="shared" si="268"/>
        <v>58</v>
      </c>
      <c r="I1661" s="84">
        <f t="shared" si="269"/>
        <v>0</v>
      </c>
      <c r="J1661" s="105">
        <f t="shared" si="270"/>
        <v>0</v>
      </c>
      <c r="K1661">
        <f t="shared" si="271"/>
        <v>0</v>
      </c>
      <c r="L1661"/>
      <c r="M1661"/>
      <c r="N1661"/>
      <c r="O1661"/>
      <c r="P1661"/>
      <c r="Q1661"/>
      <c r="R1661"/>
      <c r="S1661"/>
      <c r="T1661"/>
    </row>
    <row r="1662" spans="1:20" outlineLevel="4" x14ac:dyDescent="0.3">
      <c r="A1662" s="82" t="s">
        <v>2446</v>
      </c>
      <c r="B1662" s="10" t="s">
        <v>480</v>
      </c>
      <c r="C1662" s="60" t="s">
        <v>481</v>
      </c>
      <c r="D1662" s="44" t="s">
        <v>80</v>
      </c>
      <c r="E1662" s="84">
        <v>0</v>
      </c>
      <c r="F1662" s="84"/>
      <c r="G1662" s="94">
        <f t="shared" si="267"/>
        <v>1</v>
      </c>
      <c r="H1662" s="93">
        <f t="shared" si="268"/>
        <v>100</v>
      </c>
      <c r="I1662" s="84">
        <f t="shared" si="269"/>
        <v>0</v>
      </c>
      <c r="J1662" s="105">
        <f t="shared" si="270"/>
        <v>0</v>
      </c>
      <c r="K1662">
        <f t="shared" si="271"/>
        <v>0</v>
      </c>
      <c r="L1662"/>
      <c r="M1662"/>
      <c r="N1662"/>
      <c r="O1662"/>
      <c r="P1662"/>
      <c r="Q1662"/>
      <c r="R1662"/>
      <c r="S1662"/>
      <c r="T1662"/>
    </row>
    <row r="1663" spans="1:20" outlineLevel="4" x14ac:dyDescent="0.3">
      <c r="A1663" s="82" t="s">
        <v>2447</v>
      </c>
      <c r="B1663" s="10" t="s">
        <v>483</v>
      </c>
      <c r="C1663" s="60" t="s">
        <v>484</v>
      </c>
      <c r="D1663" s="44" t="s">
        <v>80</v>
      </c>
      <c r="E1663" s="84">
        <v>0</v>
      </c>
      <c r="F1663" s="84"/>
      <c r="G1663" s="94">
        <f t="shared" si="267"/>
        <v>1</v>
      </c>
      <c r="H1663" s="93">
        <f t="shared" si="268"/>
        <v>120</v>
      </c>
      <c r="I1663" s="84">
        <f t="shared" si="269"/>
        <v>0</v>
      </c>
      <c r="J1663" s="105">
        <f t="shared" si="270"/>
        <v>0</v>
      </c>
      <c r="K1663">
        <f t="shared" si="271"/>
        <v>0</v>
      </c>
      <c r="L1663"/>
      <c r="M1663"/>
      <c r="N1663"/>
      <c r="O1663"/>
      <c r="P1663"/>
      <c r="Q1663"/>
      <c r="R1663"/>
      <c r="S1663"/>
      <c r="T1663"/>
    </row>
    <row r="1664" spans="1:20" outlineLevel="4" x14ac:dyDescent="0.3">
      <c r="A1664" s="82" t="s">
        <v>2448</v>
      </c>
      <c r="B1664" s="10" t="s">
        <v>486</v>
      </c>
      <c r="C1664" s="60" t="s">
        <v>487</v>
      </c>
      <c r="D1664" s="44" t="s">
        <v>121</v>
      </c>
      <c r="E1664" s="84">
        <v>0</v>
      </c>
      <c r="F1664" s="84"/>
      <c r="G1664" s="94">
        <f t="shared" si="267"/>
        <v>1</v>
      </c>
      <c r="H1664" s="93">
        <f t="shared" si="268"/>
        <v>120</v>
      </c>
      <c r="I1664" s="84">
        <f t="shared" si="269"/>
        <v>0</v>
      </c>
      <c r="J1664" s="105">
        <f t="shared" si="270"/>
        <v>0</v>
      </c>
      <c r="K1664">
        <f t="shared" si="271"/>
        <v>0</v>
      </c>
      <c r="L1664"/>
      <c r="M1664"/>
      <c r="N1664"/>
      <c r="O1664"/>
      <c r="P1664"/>
      <c r="Q1664"/>
      <c r="R1664"/>
      <c r="S1664"/>
      <c r="T1664"/>
    </row>
    <row r="1665" spans="1:20" outlineLevel="4" x14ac:dyDescent="0.3">
      <c r="A1665" s="82" t="s">
        <v>2449</v>
      </c>
      <c r="B1665" s="10" t="s">
        <v>489</v>
      </c>
      <c r="C1665" s="60" t="s">
        <v>490</v>
      </c>
      <c r="D1665" s="44" t="s">
        <v>121</v>
      </c>
      <c r="E1665" s="84">
        <v>0</v>
      </c>
      <c r="F1665" s="84"/>
      <c r="G1665" s="94">
        <f t="shared" si="267"/>
        <v>1</v>
      </c>
      <c r="H1665" s="93">
        <f t="shared" si="268"/>
        <v>120</v>
      </c>
      <c r="I1665" s="84">
        <f t="shared" si="269"/>
        <v>0</v>
      </c>
      <c r="J1665" s="105">
        <f t="shared" si="270"/>
        <v>0</v>
      </c>
      <c r="K1665">
        <f t="shared" si="271"/>
        <v>0</v>
      </c>
      <c r="L1665"/>
      <c r="M1665"/>
      <c r="N1665"/>
      <c r="O1665"/>
      <c r="P1665"/>
      <c r="Q1665"/>
      <c r="R1665"/>
      <c r="S1665"/>
      <c r="T1665"/>
    </row>
    <row r="1666" spans="1:20" outlineLevel="4" x14ac:dyDescent="0.3">
      <c r="A1666" s="82" t="s">
        <v>2450</v>
      </c>
      <c r="B1666" s="10" t="s">
        <v>492</v>
      </c>
      <c r="C1666" s="60" t="s">
        <v>493</v>
      </c>
      <c r="D1666" s="44" t="s">
        <v>121</v>
      </c>
      <c r="E1666" s="84">
        <v>0</v>
      </c>
      <c r="F1666" s="84"/>
      <c r="G1666" s="94">
        <f t="shared" si="267"/>
        <v>1</v>
      </c>
      <c r="H1666" s="93">
        <f t="shared" si="268"/>
        <v>150</v>
      </c>
      <c r="I1666" s="84">
        <f t="shared" si="269"/>
        <v>0</v>
      </c>
      <c r="J1666" s="105">
        <f t="shared" si="270"/>
        <v>0</v>
      </c>
      <c r="K1666">
        <f t="shared" si="271"/>
        <v>0</v>
      </c>
      <c r="L1666"/>
      <c r="M1666"/>
      <c r="N1666"/>
      <c r="O1666"/>
      <c r="P1666"/>
      <c r="Q1666"/>
      <c r="R1666"/>
      <c r="S1666"/>
      <c r="T1666"/>
    </row>
    <row r="1667" spans="1:20" outlineLevel="4" x14ac:dyDescent="0.3">
      <c r="A1667" s="82" t="s">
        <v>2451</v>
      </c>
      <c r="B1667" s="10" t="s">
        <v>495</v>
      </c>
      <c r="C1667" s="60" t="s">
        <v>496</v>
      </c>
      <c r="D1667" s="44" t="s">
        <v>121</v>
      </c>
      <c r="E1667" s="84">
        <v>0</v>
      </c>
      <c r="F1667" s="84"/>
      <c r="G1667" s="94">
        <f t="shared" si="267"/>
        <v>1</v>
      </c>
      <c r="H1667" s="93">
        <f t="shared" si="268"/>
        <v>150</v>
      </c>
      <c r="I1667" s="84">
        <f t="shared" si="269"/>
        <v>0</v>
      </c>
      <c r="J1667" s="105">
        <f t="shared" si="270"/>
        <v>0</v>
      </c>
      <c r="K1667">
        <f t="shared" si="271"/>
        <v>0</v>
      </c>
      <c r="L1667"/>
      <c r="M1667"/>
      <c r="N1667"/>
      <c r="O1667"/>
      <c r="P1667"/>
      <c r="Q1667"/>
      <c r="R1667"/>
      <c r="S1667"/>
      <c r="T1667"/>
    </row>
    <row r="1668" spans="1:20" outlineLevel="4" x14ac:dyDescent="0.3">
      <c r="A1668" s="82" t="s">
        <v>2452</v>
      </c>
      <c r="B1668" s="10" t="s">
        <v>498</v>
      </c>
      <c r="C1668" s="60" t="s">
        <v>499</v>
      </c>
      <c r="D1668" s="44" t="s">
        <v>80</v>
      </c>
      <c r="E1668" s="84">
        <v>0</v>
      </c>
      <c r="F1668" s="84"/>
      <c r="G1668" s="94">
        <f t="shared" si="267"/>
        <v>1</v>
      </c>
      <c r="H1668" s="93">
        <f t="shared" si="268"/>
        <v>97</v>
      </c>
      <c r="I1668" s="84">
        <f t="shared" si="269"/>
        <v>0</v>
      </c>
      <c r="J1668" s="105">
        <f t="shared" si="270"/>
        <v>0</v>
      </c>
      <c r="K1668">
        <f t="shared" si="271"/>
        <v>0</v>
      </c>
      <c r="L1668"/>
      <c r="M1668"/>
      <c r="N1668"/>
      <c r="O1668"/>
      <c r="P1668"/>
      <c r="Q1668"/>
      <c r="R1668"/>
      <c r="S1668"/>
      <c r="T1668"/>
    </row>
    <row r="1669" spans="1:20" outlineLevel="3" x14ac:dyDescent="0.3">
      <c r="A1669" s="82" t="s">
        <v>2453</v>
      </c>
      <c r="B1669" s="10" t="s">
        <v>501</v>
      </c>
      <c r="C1669" s="60" t="s">
        <v>502</v>
      </c>
      <c r="D1669" s="44" t="s">
        <v>80</v>
      </c>
      <c r="E1669" s="84">
        <v>0</v>
      </c>
      <c r="F1669" s="84"/>
      <c r="G1669" s="94">
        <f t="shared" si="267"/>
        <v>1</v>
      </c>
      <c r="H1669" s="93">
        <f t="shared" si="268"/>
        <v>51</v>
      </c>
      <c r="I1669" s="84">
        <f t="shared" si="269"/>
        <v>0</v>
      </c>
      <c r="J1669" s="105">
        <f t="shared" si="270"/>
        <v>0</v>
      </c>
      <c r="K1669">
        <f t="shared" si="271"/>
        <v>0</v>
      </c>
      <c r="L1669"/>
      <c r="M1669"/>
      <c r="N1669"/>
      <c r="O1669"/>
      <c r="P1669"/>
      <c r="Q1669"/>
      <c r="R1669"/>
      <c r="S1669"/>
      <c r="T1669"/>
    </row>
    <row r="1670" spans="1:20" outlineLevel="3" x14ac:dyDescent="0.3">
      <c r="A1670" s="82" t="s">
        <v>2454</v>
      </c>
      <c r="B1670" s="10" t="s">
        <v>504</v>
      </c>
      <c r="C1670" s="60" t="s">
        <v>505</v>
      </c>
      <c r="D1670" s="44" t="s">
        <v>80</v>
      </c>
      <c r="E1670" s="84">
        <v>0</v>
      </c>
      <c r="F1670" s="84"/>
      <c r="G1670" s="94">
        <f t="shared" si="267"/>
        <v>1</v>
      </c>
      <c r="H1670" s="93">
        <f t="shared" si="268"/>
        <v>20</v>
      </c>
      <c r="I1670" s="84">
        <f t="shared" si="269"/>
        <v>0</v>
      </c>
      <c r="J1670" s="105">
        <f t="shared" si="270"/>
        <v>0</v>
      </c>
      <c r="K1670">
        <f t="shared" si="271"/>
        <v>0</v>
      </c>
      <c r="L1670"/>
      <c r="M1670"/>
      <c r="N1670"/>
      <c r="O1670"/>
      <c r="P1670"/>
      <c r="Q1670"/>
      <c r="R1670"/>
      <c r="S1670"/>
      <c r="T1670"/>
    </row>
    <row r="1671" spans="1:20" ht="28.8" outlineLevel="3" x14ac:dyDescent="0.3">
      <c r="A1671" s="82" t="s">
        <v>2455</v>
      </c>
      <c r="B1671" s="10" t="s">
        <v>507</v>
      </c>
      <c r="C1671" s="60" t="s">
        <v>508</v>
      </c>
      <c r="D1671" s="44" t="s">
        <v>80</v>
      </c>
      <c r="E1671" s="84">
        <v>0</v>
      </c>
      <c r="F1671" s="84"/>
      <c r="G1671" s="94">
        <f t="shared" si="267"/>
        <v>1</v>
      </c>
      <c r="H1671" s="93">
        <f t="shared" si="268"/>
        <v>31</v>
      </c>
      <c r="I1671" s="84">
        <f t="shared" si="269"/>
        <v>0</v>
      </c>
      <c r="J1671" s="105">
        <f t="shared" si="270"/>
        <v>0</v>
      </c>
      <c r="K1671">
        <f t="shared" si="271"/>
        <v>0</v>
      </c>
      <c r="L1671"/>
      <c r="M1671"/>
      <c r="N1671"/>
      <c r="O1671"/>
      <c r="P1671"/>
      <c r="Q1671"/>
      <c r="R1671"/>
      <c r="S1671"/>
      <c r="T1671"/>
    </row>
    <row r="1672" spans="1:20" outlineLevel="3" x14ac:dyDescent="0.3">
      <c r="A1672" s="82" t="s">
        <v>2456</v>
      </c>
      <c r="B1672" s="10" t="s">
        <v>510</v>
      </c>
      <c r="C1672" s="60" t="s">
        <v>511</v>
      </c>
      <c r="D1672" s="44" t="s">
        <v>80</v>
      </c>
      <c r="E1672" s="84">
        <v>0</v>
      </c>
      <c r="F1672" s="84"/>
      <c r="G1672" s="94">
        <f t="shared" si="267"/>
        <v>1</v>
      </c>
      <c r="H1672" s="93">
        <f t="shared" si="268"/>
        <v>14</v>
      </c>
      <c r="I1672" s="84">
        <f t="shared" si="269"/>
        <v>0</v>
      </c>
      <c r="J1672" s="105">
        <f t="shared" si="270"/>
        <v>0</v>
      </c>
      <c r="K1672">
        <f t="shared" si="271"/>
        <v>0</v>
      </c>
      <c r="L1672"/>
      <c r="M1672"/>
      <c r="N1672"/>
      <c r="O1672"/>
      <c r="P1672"/>
      <c r="Q1672"/>
      <c r="R1672"/>
      <c r="S1672"/>
      <c r="T1672"/>
    </row>
    <row r="1673" spans="1:20" ht="28.8" outlineLevel="3" x14ac:dyDescent="0.3">
      <c r="A1673" s="82" t="s">
        <v>2457</v>
      </c>
      <c r="B1673" s="10" t="s">
        <v>513</v>
      </c>
      <c r="C1673" s="60" t="s">
        <v>514</v>
      </c>
      <c r="D1673" s="44" t="s">
        <v>80</v>
      </c>
      <c r="E1673" s="84">
        <v>271</v>
      </c>
      <c r="F1673" s="84"/>
      <c r="G1673" s="94">
        <f t="shared" si="267"/>
        <v>1</v>
      </c>
      <c r="H1673" s="93">
        <f t="shared" si="268"/>
        <v>59</v>
      </c>
      <c r="I1673" s="84">
        <f t="shared" si="269"/>
        <v>15989</v>
      </c>
      <c r="J1673" s="105">
        <f t="shared" si="270"/>
        <v>4.7203184037653929E-3</v>
      </c>
      <c r="K1673">
        <f t="shared" si="271"/>
        <v>15989</v>
      </c>
      <c r="L1673"/>
      <c r="M1673"/>
      <c r="N1673"/>
      <c r="O1673"/>
      <c r="P1673"/>
      <c r="Q1673"/>
      <c r="R1673"/>
      <c r="S1673"/>
      <c r="T1673"/>
    </row>
    <row r="1674" spans="1:20" outlineLevel="3" x14ac:dyDescent="0.3">
      <c r="A1674" s="82" t="s">
        <v>2458</v>
      </c>
      <c r="B1674" s="10" t="s">
        <v>516</v>
      </c>
      <c r="C1674" s="60" t="s">
        <v>517</v>
      </c>
      <c r="D1674" s="44" t="s">
        <v>80</v>
      </c>
      <c r="E1674" s="84">
        <v>0</v>
      </c>
      <c r="F1674" s="84"/>
      <c r="G1674" s="94">
        <f t="shared" si="267"/>
        <v>1</v>
      </c>
      <c r="H1674" s="93">
        <f t="shared" si="268"/>
        <v>30</v>
      </c>
      <c r="I1674" s="84">
        <f t="shared" si="269"/>
        <v>0</v>
      </c>
      <c r="J1674" s="105">
        <f t="shared" si="270"/>
        <v>0</v>
      </c>
      <c r="K1674">
        <f t="shared" si="271"/>
        <v>0</v>
      </c>
      <c r="L1674"/>
      <c r="M1674"/>
      <c r="N1674"/>
      <c r="O1674"/>
      <c r="P1674"/>
      <c r="Q1674"/>
      <c r="R1674"/>
      <c r="S1674"/>
      <c r="T1674"/>
    </row>
    <row r="1675" spans="1:20" ht="24.6" outlineLevel="3" x14ac:dyDescent="0.3">
      <c r="A1675" s="82" t="s">
        <v>2459</v>
      </c>
      <c r="B1675" s="58" t="s">
        <v>519</v>
      </c>
      <c r="C1675" s="61" t="s">
        <v>520</v>
      </c>
      <c r="D1675" s="115"/>
      <c r="E1675" s="87"/>
      <c r="F1675" s="87"/>
      <c r="G1675" s="97"/>
      <c r="H1675" s="87"/>
      <c r="I1675" s="104">
        <f>SUBTOTAL(9,K1676:K1680)</f>
        <v>0</v>
      </c>
      <c r="J1675" s="108"/>
      <c r="K1675"/>
      <c r="L1675"/>
      <c r="M1675"/>
      <c r="N1675"/>
      <c r="O1675"/>
      <c r="P1675"/>
      <c r="Q1675"/>
      <c r="R1675"/>
      <c r="S1675"/>
      <c r="T1675"/>
    </row>
    <row r="1676" spans="1:20" outlineLevel="4" x14ac:dyDescent="0.3">
      <c r="A1676" s="82" t="s">
        <v>2460</v>
      </c>
      <c r="B1676" s="10" t="s">
        <v>522</v>
      </c>
      <c r="C1676" s="60" t="s">
        <v>523</v>
      </c>
      <c r="D1676" s="44" t="s">
        <v>121</v>
      </c>
      <c r="E1676" s="84">
        <v>0</v>
      </c>
      <c r="F1676" s="84"/>
      <c r="G1676" s="94">
        <f>cell_CoefGeneral</f>
        <v>1</v>
      </c>
      <c r="H1676" s="93">
        <f>H160</f>
        <v>460</v>
      </c>
      <c r="I1676" s="84">
        <f>IFERROR(ROUND(E1676*H1676,2),"-")</f>
        <v>0</v>
      </c>
      <c r="J1676" s="105">
        <f>IFERROR(I1676/cell_Total_HT,"-")</f>
        <v>0</v>
      </c>
      <c r="K1676">
        <f>I1676</f>
        <v>0</v>
      </c>
      <c r="L1676"/>
      <c r="M1676"/>
      <c r="N1676"/>
      <c r="O1676"/>
      <c r="P1676"/>
      <c r="Q1676"/>
      <c r="R1676"/>
      <c r="S1676"/>
      <c r="T1676"/>
    </row>
    <row r="1677" spans="1:20" outlineLevel="4" x14ac:dyDescent="0.3">
      <c r="A1677" s="82" t="s">
        <v>2461</v>
      </c>
      <c r="B1677" s="10" t="s">
        <v>525</v>
      </c>
      <c r="C1677" s="60" t="s">
        <v>526</v>
      </c>
      <c r="D1677" s="44" t="s">
        <v>121</v>
      </c>
      <c r="E1677" s="84">
        <v>0</v>
      </c>
      <c r="F1677" s="84"/>
      <c r="G1677" s="94">
        <f>cell_CoefGeneral</f>
        <v>1</v>
      </c>
      <c r="H1677" s="93">
        <f>H161</f>
        <v>920</v>
      </c>
      <c r="I1677" s="84">
        <f>IFERROR(ROUND(E1677*H1677,2),"-")</f>
        <v>0</v>
      </c>
      <c r="J1677" s="105">
        <f>IFERROR(I1677/cell_Total_HT,"-")</f>
        <v>0</v>
      </c>
      <c r="K1677">
        <f>I1677</f>
        <v>0</v>
      </c>
      <c r="L1677"/>
      <c r="M1677"/>
      <c r="N1677"/>
      <c r="O1677"/>
      <c r="P1677"/>
      <c r="Q1677"/>
      <c r="R1677"/>
      <c r="S1677"/>
      <c r="T1677"/>
    </row>
    <row r="1678" spans="1:20" outlineLevel="4" x14ac:dyDescent="0.3">
      <c r="A1678" s="82" t="s">
        <v>2462</v>
      </c>
      <c r="B1678" s="10" t="s">
        <v>528</v>
      </c>
      <c r="C1678" s="60" t="s">
        <v>529</v>
      </c>
      <c r="D1678" s="44" t="s">
        <v>121</v>
      </c>
      <c r="E1678" s="84">
        <v>0</v>
      </c>
      <c r="F1678" s="84"/>
      <c r="G1678" s="94">
        <f>cell_CoefGeneral</f>
        <v>1</v>
      </c>
      <c r="H1678" s="93">
        <f>H162</f>
        <v>790</v>
      </c>
      <c r="I1678" s="84">
        <f>IFERROR(ROUND(E1678*H1678,2),"-")</f>
        <v>0</v>
      </c>
      <c r="J1678" s="105">
        <f>IFERROR(I1678/cell_Total_HT,"-")</f>
        <v>0</v>
      </c>
      <c r="K1678">
        <f>I1678</f>
        <v>0</v>
      </c>
      <c r="L1678"/>
      <c r="M1678"/>
      <c r="N1678"/>
      <c r="O1678"/>
      <c r="P1678"/>
      <c r="Q1678"/>
      <c r="R1678"/>
      <c r="S1678"/>
      <c r="T1678"/>
    </row>
    <row r="1679" spans="1:20" outlineLevel="4" x14ac:dyDescent="0.3">
      <c r="A1679" s="82" t="s">
        <v>2463</v>
      </c>
      <c r="B1679" s="10" t="s">
        <v>531</v>
      </c>
      <c r="C1679" s="60" t="s">
        <v>532</v>
      </c>
      <c r="D1679" s="44" t="s">
        <v>121</v>
      </c>
      <c r="E1679" s="84">
        <v>0</v>
      </c>
      <c r="F1679" s="84"/>
      <c r="G1679" s="94">
        <f>cell_CoefGeneral</f>
        <v>1</v>
      </c>
      <c r="H1679" s="93">
        <f>H163</f>
        <v>350</v>
      </c>
      <c r="I1679" s="84">
        <f>IFERROR(ROUND(E1679*H1679,2),"-")</f>
        <v>0</v>
      </c>
      <c r="J1679" s="105">
        <f>IFERROR(I1679/cell_Total_HT,"-")</f>
        <v>0</v>
      </c>
      <c r="K1679">
        <f>I1679</f>
        <v>0</v>
      </c>
      <c r="L1679"/>
      <c r="M1679"/>
      <c r="N1679"/>
      <c r="O1679"/>
      <c r="P1679"/>
      <c r="Q1679"/>
      <c r="R1679"/>
      <c r="S1679"/>
      <c r="T1679"/>
    </row>
    <row r="1680" spans="1:20" outlineLevel="4" x14ac:dyDescent="0.3">
      <c r="A1680" s="82" t="s">
        <v>2464</v>
      </c>
      <c r="B1680" s="10" t="s">
        <v>534</v>
      </c>
      <c r="C1680" s="60" t="s">
        <v>535</v>
      </c>
      <c r="D1680" s="44" t="s">
        <v>80</v>
      </c>
      <c r="E1680" s="84">
        <v>0</v>
      </c>
      <c r="F1680" s="84"/>
      <c r="G1680" s="94">
        <f>cell_CoefGeneral</f>
        <v>1</v>
      </c>
      <c r="H1680" s="93">
        <f>H164</f>
        <v>250</v>
      </c>
      <c r="I1680" s="84">
        <f>IFERROR(ROUND(E1680*H1680,2),"-")</f>
        <v>0</v>
      </c>
      <c r="J1680" s="105">
        <f>IFERROR(I1680/cell_Total_HT,"-")</f>
        <v>0</v>
      </c>
      <c r="K1680">
        <f>I1680</f>
        <v>0</v>
      </c>
      <c r="L1680"/>
      <c r="M1680"/>
      <c r="N1680"/>
      <c r="O1680"/>
      <c r="P1680"/>
      <c r="Q1680"/>
      <c r="R1680"/>
      <c r="S1680"/>
      <c r="T1680"/>
    </row>
    <row r="1681" spans="1:20" outlineLevel="3" x14ac:dyDescent="0.3">
      <c r="A1681" s="82" t="s">
        <v>2465</v>
      </c>
      <c r="B1681" s="58" t="s">
        <v>537</v>
      </c>
      <c r="C1681" s="61" t="s">
        <v>538</v>
      </c>
      <c r="D1681" s="115"/>
      <c r="E1681" s="87"/>
      <c r="F1681" s="87"/>
      <c r="G1681" s="97"/>
      <c r="H1681" s="87"/>
      <c r="I1681" s="104">
        <f>SUBTOTAL(9,K1682:K1682)</f>
        <v>0</v>
      </c>
      <c r="J1681" s="108"/>
      <c r="K1681"/>
      <c r="L1681"/>
      <c r="M1681"/>
      <c r="N1681"/>
      <c r="O1681"/>
      <c r="P1681"/>
      <c r="Q1681"/>
      <c r="R1681"/>
      <c r="S1681"/>
      <c r="T1681"/>
    </row>
    <row r="1682" spans="1:20" ht="15" outlineLevel="4" thickBot="1" x14ac:dyDescent="0.35">
      <c r="A1682" s="82" t="s">
        <v>2466</v>
      </c>
      <c r="B1682" s="10" t="s">
        <v>540</v>
      </c>
      <c r="C1682" s="60" t="s">
        <v>541</v>
      </c>
      <c r="D1682" s="44" t="s">
        <v>80</v>
      </c>
      <c r="E1682" s="84">
        <v>0</v>
      </c>
      <c r="F1682" s="84"/>
      <c r="G1682" s="94">
        <f>cell_CoefGeneral</f>
        <v>1</v>
      </c>
      <c r="H1682" s="93">
        <f>H166</f>
        <v>36</v>
      </c>
      <c r="I1682" s="84">
        <f>IFERROR(ROUND(E1682*H1682,2),"-")</f>
        <v>0</v>
      </c>
      <c r="J1682" s="105">
        <f>IFERROR(I1682/cell_Total_HT,"-")</f>
        <v>0</v>
      </c>
      <c r="K1682">
        <f>I1682</f>
        <v>0</v>
      </c>
      <c r="L1682"/>
      <c r="M1682"/>
      <c r="N1682"/>
      <c r="O1682"/>
      <c r="P1682"/>
      <c r="Q1682"/>
      <c r="R1682"/>
      <c r="S1682"/>
      <c r="T1682"/>
    </row>
    <row r="1683" spans="1:20" ht="15" outlineLevel="2" thickTop="1" x14ac:dyDescent="0.3">
      <c r="A1683" s="82" t="s">
        <v>2467</v>
      </c>
      <c r="B1683" s="62" t="s">
        <v>60</v>
      </c>
      <c r="C1683" s="63" t="s">
        <v>543</v>
      </c>
      <c r="D1683" s="116"/>
      <c r="E1683" s="88"/>
      <c r="F1683" s="88"/>
      <c r="G1683" s="98"/>
      <c r="H1683" s="88"/>
      <c r="I1683" s="88">
        <f>SUBTOTAL(9,I1659:I1682)</f>
        <v>15989</v>
      </c>
      <c r="J1683" s="109"/>
      <c r="K1683"/>
      <c r="L1683"/>
      <c r="M1683"/>
      <c r="N1683"/>
      <c r="O1683"/>
      <c r="P1683"/>
      <c r="Q1683"/>
      <c r="R1683"/>
      <c r="S1683"/>
      <c r="T1683"/>
    </row>
    <row r="1684" spans="1:20" outlineLevel="2" x14ac:dyDescent="0.3">
      <c r="A1684" s="82" t="s">
        <v>2468</v>
      </c>
      <c r="B1684" s="64" t="s">
        <v>545</v>
      </c>
      <c r="C1684" s="65" t="s">
        <v>546</v>
      </c>
      <c r="D1684" s="117"/>
      <c r="E1684" s="87"/>
      <c r="F1684" s="87"/>
      <c r="G1684" s="97"/>
      <c r="H1684" s="87"/>
      <c r="I1684" s="104">
        <f>SUBTOTAL(9,K1685:K1698)</f>
        <v>0</v>
      </c>
      <c r="J1684" s="108"/>
      <c r="K1684"/>
      <c r="L1684"/>
      <c r="M1684"/>
      <c r="N1684"/>
      <c r="O1684"/>
      <c r="P1684"/>
      <c r="Q1684"/>
      <c r="R1684"/>
      <c r="S1684"/>
      <c r="T1684"/>
    </row>
    <row r="1685" spans="1:20" outlineLevel="3" x14ac:dyDescent="0.3">
      <c r="A1685" s="82" t="s">
        <v>2469</v>
      </c>
      <c r="B1685" s="10" t="s">
        <v>548</v>
      </c>
      <c r="C1685" s="60" t="s">
        <v>549</v>
      </c>
      <c r="D1685" s="44" t="s">
        <v>121</v>
      </c>
      <c r="E1685" s="84">
        <v>0</v>
      </c>
      <c r="F1685" s="84"/>
      <c r="G1685" s="94">
        <f>cell_CoefGeneral</f>
        <v>1</v>
      </c>
      <c r="H1685" s="93">
        <f>H169</f>
        <v>81</v>
      </c>
      <c r="I1685" s="84">
        <f>IFERROR(ROUND(E1685*H1685,2),"-")</f>
        <v>0</v>
      </c>
      <c r="J1685" s="105">
        <f>IFERROR(I1685/cell_Total_HT,"-")</f>
        <v>0</v>
      </c>
      <c r="K1685">
        <f>I1685</f>
        <v>0</v>
      </c>
      <c r="L1685"/>
      <c r="M1685"/>
      <c r="N1685"/>
      <c r="O1685"/>
      <c r="P1685"/>
      <c r="Q1685"/>
      <c r="R1685"/>
      <c r="S1685"/>
      <c r="T1685"/>
    </row>
    <row r="1686" spans="1:20" outlineLevel="3" x14ac:dyDescent="0.3">
      <c r="A1686" s="82" t="s">
        <v>2470</v>
      </c>
      <c r="B1686" s="10" t="s">
        <v>551</v>
      </c>
      <c r="C1686" s="60" t="s">
        <v>552</v>
      </c>
      <c r="D1686" s="44" t="s">
        <v>121</v>
      </c>
      <c r="E1686" s="84">
        <v>0</v>
      </c>
      <c r="F1686" s="84"/>
      <c r="G1686" s="94">
        <f>cell_CoefGeneral</f>
        <v>1</v>
      </c>
      <c r="H1686" s="93">
        <f>H170</f>
        <v>150</v>
      </c>
      <c r="I1686" s="84">
        <f>IFERROR(ROUND(E1686*H1686,2),"-")</f>
        <v>0</v>
      </c>
      <c r="J1686" s="105">
        <f>IFERROR(I1686/cell_Total_HT,"-")</f>
        <v>0</v>
      </c>
      <c r="K1686">
        <f>I1686</f>
        <v>0</v>
      </c>
      <c r="L1686"/>
      <c r="M1686"/>
      <c r="N1686"/>
      <c r="O1686"/>
      <c r="P1686"/>
      <c r="Q1686"/>
      <c r="R1686"/>
      <c r="S1686"/>
      <c r="T1686"/>
    </row>
    <row r="1687" spans="1:20" outlineLevel="3" x14ac:dyDescent="0.3">
      <c r="A1687" s="82" t="s">
        <v>2471</v>
      </c>
      <c r="B1687" s="58" t="s">
        <v>554</v>
      </c>
      <c r="C1687" s="61" t="s">
        <v>555</v>
      </c>
      <c r="D1687" s="115"/>
      <c r="E1687" s="87"/>
      <c r="F1687" s="87"/>
      <c r="G1687" s="97"/>
      <c r="H1687" s="87"/>
      <c r="I1687" s="104">
        <f>SUBTOTAL(9,K1688:K1689)</f>
        <v>0</v>
      </c>
      <c r="J1687" s="108"/>
      <c r="K1687"/>
      <c r="L1687"/>
      <c r="M1687"/>
      <c r="N1687"/>
      <c r="O1687"/>
      <c r="P1687"/>
      <c r="Q1687"/>
      <c r="R1687"/>
      <c r="S1687"/>
      <c r="T1687"/>
    </row>
    <row r="1688" spans="1:20" outlineLevel="4" x14ac:dyDescent="0.3">
      <c r="A1688" s="82" t="s">
        <v>2472</v>
      </c>
      <c r="B1688" s="10" t="s">
        <v>557</v>
      </c>
      <c r="C1688" s="60" t="s">
        <v>558</v>
      </c>
      <c r="D1688" s="44" t="s">
        <v>121</v>
      </c>
      <c r="E1688" s="84">
        <v>0</v>
      </c>
      <c r="F1688" s="84"/>
      <c r="G1688" s="94">
        <f>cell_CoefGeneral</f>
        <v>1</v>
      </c>
      <c r="H1688" s="93">
        <f>H172</f>
        <v>160</v>
      </c>
      <c r="I1688" s="84">
        <f>IFERROR(ROUND(E1688*H1688,2),"-")</f>
        <v>0</v>
      </c>
      <c r="J1688" s="105">
        <f>IFERROR(I1688/cell_Total_HT,"-")</f>
        <v>0</v>
      </c>
      <c r="K1688">
        <f>I1688</f>
        <v>0</v>
      </c>
      <c r="L1688"/>
      <c r="M1688"/>
      <c r="N1688"/>
      <c r="O1688"/>
      <c r="P1688"/>
      <c r="Q1688"/>
      <c r="R1688"/>
      <c r="S1688"/>
      <c r="T1688"/>
    </row>
    <row r="1689" spans="1:20" outlineLevel="4" x14ac:dyDescent="0.3">
      <c r="A1689" s="82" t="s">
        <v>2473</v>
      </c>
      <c r="B1689" s="10" t="s">
        <v>560</v>
      </c>
      <c r="C1689" s="60" t="s">
        <v>561</v>
      </c>
      <c r="D1689" s="44" t="s">
        <v>121</v>
      </c>
      <c r="E1689" s="84">
        <v>0</v>
      </c>
      <c r="F1689" s="84"/>
      <c r="G1689" s="94">
        <f>cell_CoefGeneral</f>
        <v>1</v>
      </c>
      <c r="H1689" s="93">
        <f>H173</f>
        <v>200</v>
      </c>
      <c r="I1689" s="84">
        <f>IFERROR(ROUND(E1689*H1689,2),"-")</f>
        <v>0</v>
      </c>
      <c r="J1689" s="105">
        <f>IFERROR(I1689/cell_Total_HT,"-")</f>
        <v>0</v>
      </c>
      <c r="K1689">
        <f>I1689</f>
        <v>0</v>
      </c>
      <c r="L1689"/>
      <c r="M1689"/>
      <c r="N1689"/>
      <c r="O1689"/>
      <c r="P1689"/>
      <c r="Q1689"/>
      <c r="R1689"/>
      <c r="S1689"/>
      <c r="T1689"/>
    </row>
    <row r="1690" spans="1:20" outlineLevel="3" x14ac:dyDescent="0.3">
      <c r="A1690" s="82" t="s">
        <v>2474</v>
      </c>
      <c r="B1690" s="58" t="s">
        <v>563</v>
      </c>
      <c r="C1690" s="61" t="s">
        <v>564</v>
      </c>
      <c r="D1690" s="115"/>
      <c r="E1690" s="87"/>
      <c r="F1690" s="87"/>
      <c r="G1690" s="97"/>
      <c r="H1690" s="87"/>
      <c r="I1690" s="104">
        <f>SUBTOTAL(9,K1691:K1693)</f>
        <v>0</v>
      </c>
      <c r="J1690" s="108"/>
      <c r="K1690"/>
      <c r="L1690"/>
      <c r="M1690"/>
      <c r="N1690"/>
      <c r="O1690"/>
      <c r="P1690"/>
      <c r="Q1690"/>
      <c r="R1690"/>
      <c r="S1690"/>
      <c r="T1690"/>
    </row>
    <row r="1691" spans="1:20" outlineLevel="4" x14ac:dyDescent="0.3">
      <c r="A1691" s="82" t="s">
        <v>2475</v>
      </c>
      <c r="B1691" s="10" t="s">
        <v>566</v>
      </c>
      <c r="C1691" s="60" t="s">
        <v>567</v>
      </c>
      <c r="D1691" s="44" t="s">
        <v>121</v>
      </c>
      <c r="E1691" s="84">
        <v>0</v>
      </c>
      <c r="F1691" s="84"/>
      <c r="G1691" s="94">
        <f>cell_CoefGeneral</f>
        <v>1</v>
      </c>
      <c r="H1691" s="93">
        <f>H175</f>
        <v>190</v>
      </c>
      <c r="I1691" s="84">
        <f>IFERROR(ROUND(E1691*H1691,2),"-")</f>
        <v>0</v>
      </c>
      <c r="J1691" s="105">
        <f>IFERROR(I1691/cell_Total_HT,"-")</f>
        <v>0</v>
      </c>
      <c r="K1691">
        <f>I1691</f>
        <v>0</v>
      </c>
      <c r="L1691"/>
      <c r="M1691"/>
      <c r="N1691"/>
      <c r="O1691"/>
      <c r="P1691"/>
      <c r="Q1691"/>
      <c r="R1691"/>
      <c r="S1691"/>
      <c r="T1691"/>
    </row>
    <row r="1692" spans="1:20" outlineLevel="4" x14ac:dyDescent="0.3">
      <c r="A1692" s="82" t="s">
        <v>2476</v>
      </c>
      <c r="B1692" s="10" t="s">
        <v>569</v>
      </c>
      <c r="C1692" s="60" t="s">
        <v>558</v>
      </c>
      <c r="D1692" s="44" t="s">
        <v>121</v>
      </c>
      <c r="E1692" s="84">
        <v>0</v>
      </c>
      <c r="F1692" s="84"/>
      <c r="G1692" s="94">
        <f>cell_CoefGeneral</f>
        <v>1</v>
      </c>
      <c r="H1692" s="93">
        <f>H176</f>
        <v>170</v>
      </c>
      <c r="I1692" s="84">
        <f>IFERROR(ROUND(E1692*H1692,2),"-")</f>
        <v>0</v>
      </c>
      <c r="J1692" s="105">
        <f>IFERROR(I1692/cell_Total_HT,"-")</f>
        <v>0</v>
      </c>
      <c r="K1692">
        <f>I1692</f>
        <v>0</v>
      </c>
      <c r="L1692"/>
      <c r="M1692"/>
      <c r="N1692"/>
      <c r="O1692"/>
      <c r="P1692"/>
      <c r="Q1692"/>
      <c r="R1692"/>
      <c r="S1692"/>
      <c r="T1692"/>
    </row>
    <row r="1693" spans="1:20" outlineLevel="4" x14ac:dyDescent="0.3">
      <c r="A1693" s="82" t="s">
        <v>2477</v>
      </c>
      <c r="B1693" s="10" t="s">
        <v>571</v>
      </c>
      <c r="C1693" s="60" t="s">
        <v>561</v>
      </c>
      <c r="D1693" s="44" t="s">
        <v>121</v>
      </c>
      <c r="E1693" s="84">
        <v>0</v>
      </c>
      <c r="F1693" s="84"/>
      <c r="G1693" s="94">
        <f>cell_CoefGeneral</f>
        <v>1</v>
      </c>
      <c r="H1693" s="93">
        <f>H177</f>
        <v>190</v>
      </c>
      <c r="I1693" s="84">
        <f>IFERROR(ROUND(E1693*H1693,2),"-")</f>
        <v>0</v>
      </c>
      <c r="J1693" s="105">
        <f>IFERROR(I1693/cell_Total_HT,"-")</f>
        <v>0</v>
      </c>
      <c r="K1693">
        <f>I1693</f>
        <v>0</v>
      </c>
      <c r="L1693"/>
      <c r="M1693"/>
      <c r="N1693"/>
      <c r="O1693"/>
      <c r="P1693"/>
      <c r="Q1693"/>
      <c r="R1693"/>
      <c r="S1693"/>
      <c r="T1693"/>
    </row>
    <row r="1694" spans="1:20" outlineLevel="3" x14ac:dyDescent="0.3">
      <c r="A1694" s="82" t="s">
        <v>2478</v>
      </c>
      <c r="B1694" s="58" t="s">
        <v>573</v>
      </c>
      <c r="C1694" s="61" t="s">
        <v>574</v>
      </c>
      <c r="D1694" s="115"/>
      <c r="E1694" s="87"/>
      <c r="F1694" s="87"/>
      <c r="G1694" s="97"/>
      <c r="H1694" s="87"/>
      <c r="I1694" s="104">
        <f>SUBTOTAL(9,K1695:K1696)</f>
        <v>0</v>
      </c>
      <c r="J1694" s="108"/>
      <c r="K1694"/>
      <c r="L1694"/>
      <c r="M1694"/>
      <c r="N1694"/>
      <c r="O1694"/>
      <c r="P1694"/>
      <c r="Q1694"/>
      <c r="R1694"/>
      <c r="S1694"/>
      <c r="T1694"/>
    </row>
    <row r="1695" spans="1:20" outlineLevel="4" x14ac:dyDescent="0.3">
      <c r="A1695" s="82" t="s">
        <v>2479</v>
      </c>
      <c r="B1695" s="10" t="s">
        <v>576</v>
      </c>
      <c r="C1695" s="60" t="s">
        <v>577</v>
      </c>
      <c r="D1695" s="44" t="s">
        <v>121</v>
      </c>
      <c r="E1695" s="84">
        <v>0</v>
      </c>
      <c r="F1695" s="84"/>
      <c r="G1695" s="94">
        <f>cell_CoefGeneral</f>
        <v>1</v>
      </c>
      <c r="H1695" s="93">
        <f>H179</f>
        <v>220</v>
      </c>
      <c r="I1695" s="84">
        <f>IFERROR(ROUND(E1695*H1695,2),"-")</f>
        <v>0</v>
      </c>
      <c r="J1695" s="105">
        <f>IFERROR(I1695/cell_Total_HT,"-")</f>
        <v>0</v>
      </c>
      <c r="K1695">
        <f>I1695</f>
        <v>0</v>
      </c>
      <c r="L1695"/>
      <c r="M1695"/>
      <c r="N1695"/>
      <c r="O1695"/>
      <c r="P1695"/>
      <c r="Q1695"/>
      <c r="R1695"/>
      <c r="S1695"/>
      <c r="T1695"/>
    </row>
    <row r="1696" spans="1:20" outlineLevel="4" x14ac:dyDescent="0.3">
      <c r="A1696" s="82" t="s">
        <v>2480</v>
      </c>
      <c r="B1696" s="10" t="s">
        <v>579</v>
      </c>
      <c r="C1696" s="60" t="s">
        <v>580</v>
      </c>
      <c r="D1696" s="44" t="s">
        <v>121</v>
      </c>
      <c r="E1696" s="84">
        <v>0</v>
      </c>
      <c r="F1696" s="84"/>
      <c r="G1696" s="94">
        <f>cell_CoefGeneral</f>
        <v>1</v>
      </c>
      <c r="H1696" s="93">
        <f>H180</f>
        <v>270</v>
      </c>
      <c r="I1696" s="84">
        <f>IFERROR(ROUND(E1696*H1696,2),"-")</f>
        <v>0</v>
      </c>
      <c r="J1696" s="105">
        <f>IFERROR(I1696/cell_Total_HT,"-")</f>
        <v>0</v>
      </c>
      <c r="K1696">
        <f>I1696</f>
        <v>0</v>
      </c>
      <c r="L1696"/>
      <c r="M1696"/>
      <c r="N1696"/>
      <c r="O1696"/>
      <c r="P1696"/>
      <c r="Q1696"/>
      <c r="R1696"/>
      <c r="S1696"/>
      <c r="T1696"/>
    </row>
    <row r="1697" spans="1:20" outlineLevel="3" x14ac:dyDescent="0.3">
      <c r="A1697" s="82" t="s">
        <v>2481</v>
      </c>
      <c r="B1697" s="10" t="s">
        <v>582</v>
      </c>
      <c r="C1697" s="60" t="s">
        <v>583</v>
      </c>
      <c r="D1697" s="44" t="s">
        <v>80</v>
      </c>
      <c r="E1697" s="84">
        <v>0</v>
      </c>
      <c r="F1697" s="84"/>
      <c r="G1697" s="94">
        <f>cell_CoefGeneral</f>
        <v>1</v>
      </c>
      <c r="H1697" s="93">
        <f>H181</f>
        <v>23</v>
      </c>
      <c r="I1697" s="84">
        <f>IFERROR(ROUND(E1697*H1697,2),"-")</f>
        <v>0</v>
      </c>
      <c r="J1697" s="105">
        <f>IFERROR(I1697/cell_Total_HT,"-")</f>
        <v>0</v>
      </c>
      <c r="K1697">
        <f>I1697</f>
        <v>0</v>
      </c>
      <c r="L1697"/>
      <c r="M1697"/>
      <c r="N1697"/>
      <c r="O1697"/>
      <c r="P1697"/>
      <c r="Q1697"/>
      <c r="R1697"/>
      <c r="S1697"/>
      <c r="T1697"/>
    </row>
    <row r="1698" spans="1:20" ht="15" outlineLevel="3" thickBot="1" x14ac:dyDescent="0.35">
      <c r="A1698" s="82" t="s">
        <v>2482</v>
      </c>
      <c r="B1698" s="10" t="s">
        <v>585</v>
      </c>
      <c r="C1698" s="60" t="s">
        <v>586</v>
      </c>
      <c r="D1698" s="44" t="s">
        <v>154</v>
      </c>
      <c r="E1698" s="84">
        <v>0</v>
      </c>
      <c r="F1698" s="84"/>
      <c r="G1698" s="94">
        <f>cell_CoefGeneral</f>
        <v>1</v>
      </c>
      <c r="H1698" s="93">
        <f>H182</f>
        <v>29</v>
      </c>
      <c r="I1698" s="84">
        <f>IFERROR(ROUND(E1698*H1698,2),"-")</f>
        <v>0</v>
      </c>
      <c r="J1698" s="105">
        <f>IFERROR(I1698/cell_Total_HT,"-")</f>
        <v>0</v>
      </c>
      <c r="K1698">
        <f>I1698</f>
        <v>0</v>
      </c>
      <c r="L1698"/>
      <c r="M1698"/>
      <c r="N1698"/>
      <c r="O1698"/>
      <c r="P1698"/>
      <c r="Q1698"/>
      <c r="R1698"/>
      <c r="S1698"/>
      <c r="T1698"/>
    </row>
    <row r="1699" spans="1:20" ht="15" outlineLevel="2" thickTop="1" x14ac:dyDescent="0.3">
      <c r="A1699" s="82" t="s">
        <v>2483</v>
      </c>
      <c r="B1699" s="62" t="s">
        <v>60</v>
      </c>
      <c r="C1699" s="63" t="s">
        <v>588</v>
      </c>
      <c r="D1699" s="116"/>
      <c r="E1699" s="88"/>
      <c r="F1699" s="88"/>
      <c r="G1699" s="98"/>
      <c r="H1699" s="88"/>
      <c r="I1699" s="88">
        <f>SUBTOTAL(9,I1685:I1698)</f>
        <v>0</v>
      </c>
      <c r="J1699" s="109"/>
      <c r="K1699"/>
      <c r="L1699"/>
      <c r="M1699"/>
      <c r="N1699"/>
      <c r="O1699"/>
      <c r="P1699"/>
      <c r="Q1699"/>
      <c r="R1699"/>
      <c r="S1699"/>
      <c r="T1699"/>
    </row>
    <row r="1700" spans="1:20" outlineLevel="2" x14ac:dyDescent="0.3">
      <c r="A1700" s="82" t="s">
        <v>2484</v>
      </c>
      <c r="B1700" s="64" t="s">
        <v>590</v>
      </c>
      <c r="C1700" s="65" t="s">
        <v>591</v>
      </c>
      <c r="D1700" s="117"/>
      <c r="E1700" s="87"/>
      <c r="F1700" s="87"/>
      <c r="G1700" s="97"/>
      <c r="H1700" s="87"/>
      <c r="I1700" s="104">
        <f>SUBTOTAL(9,K1701:K1712)</f>
        <v>0</v>
      </c>
      <c r="J1700" s="108"/>
      <c r="K1700"/>
      <c r="L1700"/>
      <c r="M1700"/>
      <c r="N1700"/>
      <c r="O1700"/>
      <c r="P1700"/>
      <c r="Q1700"/>
      <c r="R1700"/>
      <c r="S1700"/>
      <c r="T1700"/>
    </row>
    <row r="1701" spans="1:20" outlineLevel="3" x14ac:dyDescent="0.3">
      <c r="A1701" s="82" t="s">
        <v>2485</v>
      </c>
      <c r="B1701" s="10" t="s">
        <v>593</v>
      </c>
      <c r="C1701" s="60" t="s">
        <v>594</v>
      </c>
      <c r="D1701" s="44" t="s">
        <v>80</v>
      </c>
      <c r="E1701" s="84">
        <v>0</v>
      </c>
      <c r="F1701" s="84"/>
      <c r="G1701" s="94">
        <f>cell_CoefGeneral</f>
        <v>1</v>
      </c>
      <c r="H1701" s="93">
        <f>H185</f>
        <v>46</v>
      </c>
      <c r="I1701" s="84">
        <f>IFERROR(ROUND(E1701*H1701,2),"-")</f>
        <v>0</v>
      </c>
      <c r="J1701" s="105">
        <f>IFERROR(I1701/cell_Total_HT,"-")</f>
        <v>0</v>
      </c>
      <c r="K1701">
        <f>I1701</f>
        <v>0</v>
      </c>
      <c r="L1701"/>
      <c r="M1701"/>
      <c r="N1701"/>
      <c r="O1701"/>
      <c r="P1701"/>
      <c r="Q1701"/>
      <c r="R1701"/>
      <c r="S1701"/>
      <c r="T1701"/>
    </row>
    <row r="1702" spans="1:20" outlineLevel="3" x14ac:dyDescent="0.3">
      <c r="A1702" s="82" t="s">
        <v>2486</v>
      </c>
      <c r="B1702" s="58" t="s">
        <v>596</v>
      </c>
      <c r="C1702" s="61" t="s">
        <v>597</v>
      </c>
      <c r="D1702" s="115"/>
      <c r="E1702" s="87"/>
      <c r="F1702" s="87"/>
      <c r="G1702" s="97"/>
      <c r="H1702" s="87"/>
      <c r="I1702" s="104">
        <f>SUBTOTAL(9,K1703:K1705)</f>
        <v>0</v>
      </c>
      <c r="J1702" s="108"/>
      <c r="K1702"/>
      <c r="L1702"/>
      <c r="M1702"/>
      <c r="N1702"/>
      <c r="O1702"/>
      <c r="P1702"/>
      <c r="Q1702"/>
      <c r="R1702"/>
      <c r="S1702"/>
      <c r="T1702"/>
    </row>
    <row r="1703" spans="1:20" outlineLevel="4" x14ac:dyDescent="0.3">
      <c r="A1703" s="82" t="s">
        <v>2487</v>
      </c>
      <c r="B1703" s="10" t="s">
        <v>599</v>
      </c>
      <c r="C1703" s="60" t="s">
        <v>600</v>
      </c>
      <c r="D1703" s="44" t="s">
        <v>121</v>
      </c>
      <c r="E1703" s="84">
        <v>0</v>
      </c>
      <c r="F1703" s="84"/>
      <c r="G1703" s="94">
        <f>cell_CoefGeneral</f>
        <v>1</v>
      </c>
      <c r="H1703" s="93">
        <f>H187</f>
        <v>64</v>
      </c>
      <c r="I1703" s="84">
        <f>IFERROR(ROUND(E1703*H1703,2),"-")</f>
        <v>0</v>
      </c>
      <c r="J1703" s="105">
        <f>IFERROR(I1703/cell_Total_HT,"-")</f>
        <v>0</v>
      </c>
      <c r="K1703">
        <f>I1703</f>
        <v>0</v>
      </c>
      <c r="L1703"/>
      <c r="M1703"/>
      <c r="N1703"/>
      <c r="O1703"/>
      <c r="P1703"/>
      <c r="Q1703"/>
      <c r="R1703"/>
      <c r="S1703"/>
      <c r="T1703"/>
    </row>
    <row r="1704" spans="1:20" outlineLevel="4" x14ac:dyDescent="0.3">
      <c r="A1704" s="82" t="s">
        <v>2488</v>
      </c>
      <c r="B1704" s="10" t="s">
        <v>602</v>
      </c>
      <c r="C1704" s="60" t="s">
        <v>603</v>
      </c>
      <c r="D1704" s="44" t="s">
        <v>121</v>
      </c>
      <c r="E1704" s="84">
        <v>0</v>
      </c>
      <c r="F1704" s="84"/>
      <c r="G1704" s="94">
        <f>cell_CoefGeneral</f>
        <v>1</v>
      </c>
      <c r="H1704" s="93">
        <f>H188</f>
        <v>96</v>
      </c>
      <c r="I1704" s="84">
        <f>IFERROR(ROUND(E1704*H1704,2),"-")</f>
        <v>0</v>
      </c>
      <c r="J1704" s="105">
        <f>IFERROR(I1704/cell_Total_HT,"-")</f>
        <v>0</v>
      </c>
      <c r="K1704">
        <f>I1704</f>
        <v>0</v>
      </c>
      <c r="L1704"/>
      <c r="M1704"/>
      <c r="N1704"/>
      <c r="O1704"/>
      <c r="P1704"/>
      <c r="Q1704"/>
      <c r="R1704"/>
      <c r="S1704"/>
      <c r="T1704"/>
    </row>
    <row r="1705" spans="1:20" outlineLevel="4" x14ac:dyDescent="0.3">
      <c r="A1705" s="82" t="s">
        <v>2489</v>
      </c>
      <c r="B1705" s="10" t="s">
        <v>605</v>
      </c>
      <c r="C1705" s="60" t="s">
        <v>606</v>
      </c>
      <c r="D1705" s="44" t="s">
        <v>121</v>
      </c>
      <c r="E1705" s="84">
        <v>0</v>
      </c>
      <c r="F1705" s="84"/>
      <c r="G1705" s="94">
        <f>cell_CoefGeneral</f>
        <v>1</v>
      </c>
      <c r="H1705" s="93">
        <f>H189</f>
        <v>140</v>
      </c>
      <c r="I1705" s="84">
        <f>IFERROR(ROUND(E1705*H1705,2),"-")</f>
        <v>0</v>
      </c>
      <c r="J1705" s="105">
        <f>IFERROR(I1705/cell_Total_HT,"-")</f>
        <v>0</v>
      </c>
      <c r="K1705">
        <f>I1705</f>
        <v>0</v>
      </c>
      <c r="L1705"/>
      <c r="M1705"/>
      <c r="N1705"/>
      <c r="O1705"/>
      <c r="P1705"/>
      <c r="Q1705"/>
      <c r="R1705"/>
      <c r="S1705"/>
      <c r="T1705"/>
    </row>
    <row r="1706" spans="1:20" outlineLevel="3" x14ac:dyDescent="0.3">
      <c r="A1706" s="82" t="s">
        <v>2490</v>
      </c>
      <c r="B1706" s="58" t="s">
        <v>608</v>
      </c>
      <c r="C1706" s="61" t="s">
        <v>609</v>
      </c>
      <c r="D1706" s="115"/>
      <c r="E1706" s="87"/>
      <c r="F1706" s="87"/>
      <c r="G1706" s="97"/>
      <c r="H1706" s="87"/>
      <c r="I1706" s="104">
        <f>SUBTOTAL(9,K1707:K1708)</f>
        <v>0</v>
      </c>
      <c r="J1706" s="108"/>
      <c r="K1706"/>
      <c r="L1706"/>
      <c r="M1706"/>
      <c r="N1706"/>
      <c r="O1706"/>
      <c r="P1706"/>
      <c r="Q1706"/>
      <c r="R1706"/>
      <c r="S1706"/>
      <c r="T1706"/>
    </row>
    <row r="1707" spans="1:20" ht="28.8" outlineLevel="4" x14ac:dyDescent="0.3">
      <c r="A1707" s="82" t="s">
        <v>2491</v>
      </c>
      <c r="B1707" s="10" t="s">
        <v>611</v>
      </c>
      <c r="C1707" s="60" t="s">
        <v>612</v>
      </c>
      <c r="D1707" s="44" t="s">
        <v>121</v>
      </c>
      <c r="E1707" s="84">
        <v>0</v>
      </c>
      <c r="F1707" s="84"/>
      <c r="G1707" s="94">
        <f t="shared" ref="G1707:G1712" si="272">cell_CoefGeneral</f>
        <v>1</v>
      </c>
      <c r="H1707" s="93">
        <f t="shared" ref="H1707:H1712" si="273">H191</f>
        <v>290</v>
      </c>
      <c r="I1707" s="84">
        <f t="shared" ref="I1707:I1712" si="274">IFERROR(ROUND(E1707*H1707,2),"-")</f>
        <v>0</v>
      </c>
      <c r="J1707" s="105">
        <f t="shared" ref="J1707:J1712" si="275">IFERROR(I1707/cell_Total_HT,"-")</f>
        <v>0</v>
      </c>
      <c r="K1707">
        <f t="shared" ref="K1707:K1712" si="276">I1707</f>
        <v>0</v>
      </c>
      <c r="L1707"/>
      <c r="M1707"/>
      <c r="N1707"/>
      <c r="O1707"/>
      <c r="P1707"/>
      <c r="Q1707"/>
      <c r="R1707"/>
      <c r="S1707"/>
      <c r="T1707"/>
    </row>
    <row r="1708" spans="1:20" ht="28.8" outlineLevel="4" x14ac:dyDescent="0.3">
      <c r="A1708" s="82" t="s">
        <v>2492</v>
      </c>
      <c r="B1708" s="10" t="s">
        <v>614</v>
      </c>
      <c r="C1708" s="60" t="s">
        <v>615</v>
      </c>
      <c r="D1708" s="44" t="s">
        <v>121</v>
      </c>
      <c r="E1708" s="84">
        <v>0</v>
      </c>
      <c r="F1708" s="84"/>
      <c r="G1708" s="94">
        <f t="shared" si="272"/>
        <v>1</v>
      </c>
      <c r="H1708" s="93">
        <f t="shared" si="273"/>
        <v>970</v>
      </c>
      <c r="I1708" s="84">
        <f t="shared" si="274"/>
        <v>0</v>
      </c>
      <c r="J1708" s="105">
        <f t="shared" si="275"/>
        <v>0</v>
      </c>
      <c r="K1708">
        <f t="shared" si="276"/>
        <v>0</v>
      </c>
      <c r="L1708"/>
      <c r="M1708"/>
      <c r="N1708"/>
      <c r="O1708"/>
      <c r="P1708"/>
      <c r="Q1708"/>
      <c r="R1708"/>
      <c r="S1708"/>
      <c r="T1708"/>
    </row>
    <row r="1709" spans="1:20" outlineLevel="3" x14ac:dyDescent="0.3">
      <c r="A1709" s="82" t="s">
        <v>2493</v>
      </c>
      <c r="B1709" s="10" t="s">
        <v>617</v>
      </c>
      <c r="C1709" s="60" t="s">
        <v>618</v>
      </c>
      <c r="D1709" s="44" t="s">
        <v>121</v>
      </c>
      <c r="E1709" s="84">
        <v>0</v>
      </c>
      <c r="F1709" s="84"/>
      <c r="G1709" s="94">
        <f t="shared" si="272"/>
        <v>1</v>
      </c>
      <c r="H1709" s="93">
        <f t="shared" si="273"/>
        <v>500</v>
      </c>
      <c r="I1709" s="84">
        <f t="shared" si="274"/>
        <v>0</v>
      </c>
      <c r="J1709" s="105">
        <f t="shared" si="275"/>
        <v>0</v>
      </c>
      <c r="K1709">
        <f t="shared" si="276"/>
        <v>0</v>
      </c>
      <c r="L1709"/>
      <c r="M1709"/>
      <c r="N1709"/>
      <c r="O1709"/>
      <c r="P1709"/>
      <c r="Q1709"/>
      <c r="R1709"/>
      <c r="S1709"/>
      <c r="T1709"/>
    </row>
    <row r="1710" spans="1:20" outlineLevel="3" x14ac:dyDescent="0.3">
      <c r="A1710" s="82" t="s">
        <v>2494</v>
      </c>
      <c r="B1710" s="10" t="s">
        <v>620</v>
      </c>
      <c r="C1710" s="60" t="s">
        <v>621</v>
      </c>
      <c r="D1710" s="44" t="s">
        <v>121</v>
      </c>
      <c r="E1710" s="84">
        <v>0</v>
      </c>
      <c r="F1710" s="84"/>
      <c r="G1710" s="94">
        <f t="shared" si="272"/>
        <v>1</v>
      </c>
      <c r="H1710" s="93">
        <f t="shared" si="273"/>
        <v>500</v>
      </c>
      <c r="I1710" s="84">
        <f t="shared" si="274"/>
        <v>0</v>
      </c>
      <c r="J1710" s="105">
        <f t="shared" si="275"/>
        <v>0</v>
      </c>
      <c r="K1710">
        <f t="shared" si="276"/>
        <v>0</v>
      </c>
      <c r="L1710"/>
      <c r="M1710"/>
      <c r="N1710"/>
      <c r="O1710"/>
      <c r="P1710"/>
      <c r="Q1710"/>
      <c r="R1710"/>
      <c r="S1710"/>
      <c r="T1710"/>
    </row>
    <row r="1711" spans="1:20" outlineLevel="3" x14ac:dyDescent="0.3">
      <c r="A1711" s="82" t="s">
        <v>2495</v>
      </c>
      <c r="B1711" s="10" t="s">
        <v>623</v>
      </c>
      <c r="C1711" s="60" t="s">
        <v>624</v>
      </c>
      <c r="D1711" s="44" t="s">
        <v>80</v>
      </c>
      <c r="E1711" s="84">
        <v>0</v>
      </c>
      <c r="F1711" s="84"/>
      <c r="G1711" s="94">
        <f t="shared" si="272"/>
        <v>1</v>
      </c>
      <c r="H1711" s="93">
        <f t="shared" si="273"/>
        <v>3.5</v>
      </c>
      <c r="I1711" s="84">
        <f t="shared" si="274"/>
        <v>0</v>
      </c>
      <c r="J1711" s="105">
        <f t="shared" si="275"/>
        <v>0</v>
      </c>
      <c r="K1711">
        <f t="shared" si="276"/>
        <v>0</v>
      </c>
      <c r="L1711"/>
      <c r="M1711"/>
      <c r="N1711"/>
      <c r="O1711"/>
      <c r="P1711"/>
      <c r="Q1711"/>
      <c r="R1711"/>
      <c r="S1711"/>
      <c r="T1711"/>
    </row>
    <row r="1712" spans="1:20" ht="15" outlineLevel="3" thickBot="1" x14ac:dyDescent="0.35">
      <c r="A1712" s="82" t="s">
        <v>2496</v>
      </c>
      <c r="B1712" s="10" t="s">
        <v>626</v>
      </c>
      <c r="C1712" s="60" t="s">
        <v>627</v>
      </c>
      <c r="D1712" s="44" t="s">
        <v>93</v>
      </c>
      <c r="E1712" s="84">
        <v>0</v>
      </c>
      <c r="F1712" s="84"/>
      <c r="G1712" s="94">
        <f t="shared" si="272"/>
        <v>1</v>
      </c>
      <c r="H1712" s="93">
        <f t="shared" si="273"/>
        <v>460</v>
      </c>
      <c r="I1712" s="84">
        <f t="shared" si="274"/>
        <v>0</v>
      </c>
      <c r="J1712" s="105">
        <f t="shared" si="275"/>
        <v>0</v>
      </c>
      <c r="K1712">
        <f t="shared" si="276"/>
        <v>0</v>
      </c>
      <c r="L1712"/>
      <c r="M1712"/>
      <c r="N1712"/>
      <c r="O1712"/>
      <c r="P1712"/>
      <c r="Q1712"/>
      <c r="R1712"/>
      <c r="S1712"/>
      <c r="T1712"/>
    </row>
    <row r="1713" spans="1:20" ht="15" outlineLevel="2" thickTop="1" x14ac:dyDescent="0.3">
      <c r="A1713" s="82" t="s">
        <v>2497</v>
      </c>
      <c r="B1713" s="62" t="s">
        <v>60</v>
      </c>
      <c r="C1713" s="63" t="s">
        <v>629</v>
      </c>
      <c r="D1713" s="116"/>
      <c r="E1713" s="88"/>
      <c r="F1713" s="88"/>
      <c r="G1713" s="98"/>
      <c r="H1713" s="88"/>
      <c r="I1713" s="88">
        <f>SUBTOTAL(9,I1701:I1712)</f>
        <v>0</v>
      </c>
      <c r="J1713" s="109"/>
      <c r="K1713"/>
      <c r="L1713"/>
      <c r="M1713"/>
      <c r="N1713"/>
      <c r="O1713"/>
      <c r="P1713"/>
      <c r="Q1713"/>
      <c r="R1713"/>
      <c r="S1713"/>
      <c r="T1713"/>
    </row>
    <row r="1714" spans="1:20" outlineLevel="2" x14ac:dyDescent="0.3">
      <c r="A1714" s="82" t="s">
        <v>2498</v>
      </c>
      <c r="B1714" s="64" t="s">
        <v>631</v>
      </c>
      <c r="C1714" s="65" t="s">
        <v>632</v>
      </c>
      <c r="D1714" s="117"/>
      <c r="E1714" s="87"/>
      <c r="F1714" s="87"/>
      <c r="G1714" s="97"/>
      <c r="H1714" s="87"/>
      <c r="I1714" s="104">
        <f>SUBTOTAL(9,K1715:K1742)</f>
        <v>8071.4</v>
      </c>
      <c r="J1714" s="108"/>
      <c r="K1714"/>
      <c r="L1714"/>
      <c r="M1714"/>
      <c r="N1714"/>
      <c r="O1714"/>
      <c r="P1714"/>
      <c r="Q1714"/>
      <c r="R1714"/>
      <c r="S1714"/>
      <c r="T1714"/>
    </row>
    <row r="1715" spans="1:20" outlineLevel="3" x14ac:dyDescent="0.3">
      <c r="A1715" s="82" t="s">
        <v>2499</v>
      </c>
      <c r="B1715" s="10" t="s">
        <v>634</v>
      </c>
      <c r="C1715" s="60" t="s">
        <v>635</v>
      </c>
      <c r="D1715" s="44" t="s">
        <v>80</v>
      </c>
      <c r="E1715" s="84">
        <v>0</v>
      </c>
      <c r="F1715" s="84"/>
      <c r="G1715" s="94">
        <f>cell_CoefGeneral</f>
        <v>1</v>
      </c>
      <c r="H1715" s="93">
        <f>H199</f>
        <v>58</v>
      </c>
      <c r="I1715" s="84">
        <f>IFERROR(ROUND(E1715*H1715,2),"-")</f>
        <v>0</v>
      </c>
      <c r="J1715" s="105">
        <f>IFERROR(I1715/cell_Total_HT,"-")</f>
        <v>0</v>
      </c>
      <c r="K1715">
        <f>I1715</f>
        <v>0</v>
      </c>
      <c r="L1715"/>
      <c r="M1715"/>
      <c r="N1715"/>
      <c r="O1715"/>
      <c r="P1715"/>
      <c r="Q1715"/>
      <c r="R1715"/>
      <c r="S1715"/>
      <c r="T1715"/>
    </row>
    <row r="1716" spans="1:20" outlineLevel="3" x14ac:dyDescent="0.3">
      <c r="A1716" s="82" t="s">
        <v>2500</v>
      </c>
      <c r="B1716" s="58" t="s">
        <v>637</v>
      </c>
      <c r="C1716" s="61" t="s">
        <v>638</v>
      </c>
      <c r="D1716" s="115"/>
      <c r="E1716" s="87"/>
      <c r="F1716" s="87"/>
      <c r="G1716" s="97"/>
      <c r="H1716" s="87"/>
      <c r="I1716" s="104">
        <f>SUBTOTAL(9,K1717:K1719)</f>
        <v>2560.4</v>
      </c>
      <c r="J1716" s="108"/>
      <c r="K1716"/>
      <c r="L1716"/>
      <c r="M1716"/>
      <c r="N1716"/>
      <c r="O1716"/>
      <c r="P1716"/>
      <c r="Q1716"/>
      <c r="R1716"/>
      <c r="S1716"/>
      <c r="T1716"/>
    </row>
    <row r="1717" spans="1:20" outlineLevel="4" x14ac:dyDescent="0.3">
      <c r="A1717" s="82" t="s">
        <v>2501</v>
      </c>
      <c r="B1717" s="10" t="s">
        <v>640</v>
      </c>
      <c r="C1717" s="60" t="s">
        <v>641</v>
      </c>
      <c r="D1717" s="44" t="s">
        <v>154</v>
      </c>
      <c r="E1717" s="84">
        <v>594</v>
      </c>
      <c r="F1717" s="84"/>
      <c r="G1717" s="94">
        <f>cell_CoefGeneral</f>
        <v>1</v>
      </c>
      <c r="H1717" s="93">
        <f>H201</f>
        <v>2.1</v>
      </c>
      <c r="I1717" s="84">
        <f>IFERROR(ROUND(E1717*H1717,2),"-")</f>
        <v>1247.4000000000001</v>
      </c>
      <c r="J1717" s="105">
        <f>IFERROR(I1717/cell_Total_HT,"-")</f>
        <v>3.6826100299311725E-4</v>
      </c>
      <c r="K1717">
        <f>I1717</f>
        <v>1247.4000000000001</v>
      </c>
      <c r="L1717"/>
      <c r="M1717"/>
      <c r="N1717"/>
      <c r="O1717"/>
      <c r="P1717"/>
      <c r="Q1717"/>
      <c r="R1717"/>
      <c r="S1717"/>
      <c r="T1717"/>
    </row>
    <row r="1718" spans="1:20" ht="28.8" outlineLevel="4" x14ac:dyDescent="0.3">
      <c r="A1718" s="82" t="s">
        <v>2502</v>
      </c>
      <c r="B1718" s="10" t="s">
        <v>643</v>
      </c>
      <c r="C1718" s="60" t="s">
        <v>644</v>
      </c>
      <c r="D1718" s="44" t="s">
        <v>141</v>
      </c>
      <c r="E1718" s="84">
        <v>101</v>
      </c>
      <c r="F1718" s="84"/>
      <c r="G1718" s="94">
        <f>cell_CoefGeneral</f>
        <v>1</v>
      </c>
      <c r="H1718" s="93">
        <f>H202</f>
        <v>13</v>
      </c>
      <c r="I1718" s="84">
        <f>IFERROR(ROUND(E1718*H1718,2),"-")</f>
        <v>1313</v>
      </c>
      <c r="J1718" s="105">
        <f>IFERROR(I1718/cell_Total_HT,"-")</f>
        <v>3.8762762299980992E-4</v>
      </c>
      <c r="K1718">
        <f>I1718</f>
        <v>1313</v>
      </c>
      <c r="L1718"/>
      <c r="M1718"/>
      <c r="N1718"/>
      <c r="O1718"/>
      <c r="P1718"/>
      <c r="Q1718"/>
      <c r="R1718"/>
      <c r="S1718"/>
      <c r="T1718"/>
    </row>
    <row r="1719" spans="1:20" ht="28.8" outlineLevel="4" x14ac:dyDescent="0.3">
      <c r="A1719" s="82" t="s">
        <v>2503</v>
      </c>
      <c r="B1719" s="10" t="s">
        <v>646</v>
      </c>
      <c r="C1719" s="60" t="s">
        <v>647</v>
      </c>
      <c r="D1719" s="44" t="s">
        <v>141</v>
      </c>
      <c r="E1719" s="84">
        <v>0</v>
      </c>
      <c r="F1719" s="84"/>
      <c r="G1719" s="94">
        <f>cell_CoefGeneral</f>
        <v>1</v>
      </c>
      <c r="H1719" s="93">
        <f>H203</f>
        <v>41</v>
      </c>
      <c r="I1719" s="84">
        <f>IFERROR(ROUND(E1719*H1719,2),"-")</f>
        <v>0</v>
      </c>
      <c r="J1719" s="105">
        <f>IFERROR(I1719/cell_Total_HT,"-")</f>
        <v>0</v>
      </c>
      <c r="K1719">
        <f>I1719</f>
        <v>0</v>
      </c>
      <c r="L1719"/>
      <c r="M1719"/>
      <c r="N1719"/>
      <c r="O1719"/>
      <c r="P1719"/>
      <c r="Q1719"/>
      <c r="R1719"/>
      <c r="S1719"/>
      <c r="T1719"/>
    </row>
    <row r="1720" spans="1:20" outlineLevel="3" x14ac:dyDescent="0.3">
      <c r="A1720" s="82" t="s">
        <v>2504</v>
      </c>
      <c r="B1720" s="58" t="s">
        <v>649</v>
      </c>
      <c r="C1720" s="61" t="s">
        <v>597</v>
      </c>
      <c r="D1720" s="115"/>
      <c r="E1720" s="87"/>
      <c r="F1720" s="87"/>
      <c r="G1720" s="97"/>
      <c r="H1720" s="87"/>
      <c r="I1720" s="104">
        <f>SUBTOTAL(9,K1721:K1723)</f>
        <v>270</v>
      </c>
      <c r="J1720" s="108"/>
      <c r="K1720"/>
      <c r="L1720"/>
      <c r="M1720"/>
      <c r="N1720"/>
      <c r="O1720"/>
      <c r="P1720"/>
      <c r="Q1720"/>
      <c r="R1720"/>
      <c r="S1720"/>
      <c r="T1720"/>
    </row>
    <row r="1721" spans="1:20" outlineLevel="4" x14ac:dyDescent="0.3">
      <c r="A1721" s="82" t="s">
        <v>2505</v>
      </c>
      <c r="B1721" s="10" t="s">
        <v>651</v>
      </c>
      <c r="C1721" s="60" t="s">
        <v>600</v>
      </c>
      <c r="D1721" s="44" t="s">
        <v>121</v>
      </c>
      <c r="E1721" s="84">
        <v>0</v>
      </c>
      <c r="F1721" s="84"/>
      <c r="G1721" s="94">
        <f>cell_CoefGeneral</f>
        <v>1</v>
      </c>
      <c r="H1721" s="93">
        <f>H205</f>
        <v>100</v>
      </c>
      <c r="I1721" s="84">
        <f>IFERROR(ROUND(E1721*H1721,2),"-")</f>
        <v>0</v>
      </c>
      <c r="J1721" s="105">
        <f>IFERROR(I1721/cell_Total_HT,"-")</f>
        <v>0</v>
      </c>
      <c r="K1721">
        <f>I1721</f>
        <v>0</v>
      </c>
      <c r="L1721"/>
      <c r="M1721"/>
      <c r="N1721"/>
      <c r="O1721"/>
      <c r="P1721"/>
      <c r="Q1721"/>
      <c r="R1721"/>
      <c r="S1721"/>
      <c r="T1721"/>
    </row>
    <row r="1722" spans="1:20" outlineLevel="4" x14ac:dyDescent="0.3">
      <c r="A1722" s="82" t="s">
        <v>2506</v>
      </c>
      <c r="B1722" s="10" t="s">
        <v>653</v>
      </c>
      <c r="C1722" s="60" t="s">
        <v>654</v>
      </c>
      <c r="D1722" s="44" t="s">
        <v>121</v>
      </c>
      <c r="E1722" s="84">
        <v>0</v>
      </c>
      <c r="F1722" s="84"/>
      <c r="G1722" s="94">
        <f>cell_CoefGeneral</f>
        <v>1</v>
      </c>
      <c r="H1722" s="93">
        <f>H206</f>
        <v>60</v>
      </c>
      <c r="I1722" s="84">
        <f>IFERROR(ROUND(E1722*H1722,2),"-")</f>
        <v>0</v>
      </c>
      <c r="J1722" s="105">
        <f>IFERROR(I1722/cell_Total_HT,"-")</f>
        <v>0</v>
      </c>
      <c r="K1722">
        <f>I1722</f>
        <v>0</v>
      </c>
      <c r="L1722"/>
      <c r="M1722"/>
      <c r="N1722"/>
      <c r="O1722"/>
      <c r="P1722"/>
      <c r="Q1722"/>
      <c r="R1722"/>
      <c r="S1722"/>
      <c r="T1722"/>
    </row>
    <row r="1723" spans="1:20" outlineLevel="4" x14ac:dyDescent="0.3">
      <c r="A1723" s="82" t="s">
        <v>2507</v>
      </c>
      <c r="B1723" s="10" t="s">
        <v>656</v>
      </c>
      <c r="C1723" s="60" t="s">
        <v>657</v>
      </c>
      <c r="D1723" s="44" t="s">
        <v>121</v>
      </c>
      <c r="E1723" s="84">
        <v>6</v>
      </c>
      <c r="F1723" s="84"/>
      <c r="G1723" s="94">
        <f>cell_CoefGeneral</f>
        <v>1</v>
      </c>
      <c r="H1723" s="93">
        <f>H207</f>
        <v>45</v>
      </c>
      <c r="I1723" s="84">
        <f>IFERROR(ROUND(E1723*H1723,2),"-")</f>
        <v>270</v>
      </c>
      <c r="J1723" s="105">
        <f>IFERROR(I1723/cell_Total_HT,"-")</f>
        <v>7.9710173808034026E-5</v>
      </c>
      <c r="K1723">
        <f>I1723</f>
        <v>270</v>
      </c>
      <c r="L1723"/>
      <c r="M1723"/>
      <c r="N1723"/>
      <c r="O1723"/>
      <c r="P1723"/>
      <c r="Q1723"/>
      <c r="R1723"/>
      <c r="S1723"/>
      <c r="T1723"/>
    </row>
    <row r="1724" spans="1:20" outlineLevel="3" x14ac:dyDescent="0.3">
      <c r="A1724" s="82" t="s">
        <v>2508</v>
      </c>
      <c r="B1724" s="58" t="s">
        <v>659</v>
      </c>
      <c r="C1724" s="61" t="s">
        <v>660</v>
      </c>
      <c r="D1724" s="115"/>
      <c r="E1724" s="87"/>
      <c r="F1724" s="87"/>
      <c r="G1724" s="97"/>
      <c r="H1724" s="87"/>
      <c r="I1724" s="104">
        <f>SUBTOTAL(9,K1725:K1736)</f>
        <v>5220</v>
      </c>
      <c r="J1724" s="108"/>
      <c r="K1724"/>
      <c r="L1724"/>
      <c r="M1724"/>
      <c r="N1724"/>
      <c r="O1724"/>
      <c r="P1724"/>
      <c r="Q1724"/>
      <c r="R1724"/>
      <c r="S1724"/>
      <c r="T1724"/>
    </row>
    <row r="1725" spans="1:20" ht="28.8" outlineLevel="4" x14ac:dyDescent="0.3">
      <c r="A1725" s="82" t="s">
        <v>2509</v>
      </c>
      <c r="B1725" s="10" t="s">
        <v>662</v>
      </c>
      <c r="C1725" s="60" t="s">
        <v>663</v>
      </c>
      <c r="D1725" s="44" t="s">
        <v>121</v>
      </c>
      <c r="E1725" s="84">
        <v>0</v>
      </c>
      <c r="F1725" s="84"/>
      <c r="G1725" s="94">
        <f t="shared" ref="G1725:G1736" si="277">cell_CoefGeneral</f>
        <v>1</v>
      </c>
      <c r="H1725" s="93">
        <f t="shared" ref="H1725:H1736" si="278">H209</f>
        <v>780</v>
      </c>
      <c r="I1725" s="84">
        <f t="shared" ref="I1725:I1736" si="279">IFERROR(ROUND(E1725*H1725,2),"-")</f>
        <v>0</v>
      </c>
      <c r="J1725" s="105">
        <f t="shared" ref="J1725:J1736" si="280">IFERROR(I1725/cell_Total_HT,"-")</f>
        <v>0</v>
      </c>
      <c r="K1725">
        <f t="shared" ref="K1725:K1736" si="281">I1725</f>
        <v>0</v>
      </c>
      <c r="L1725"/>
      <c r="M1725"/>
      <c r="N1725"/>
      <c r="O1725"/>
      <c r="P1725"/>
      <c r="Q1725"/>
      <c r="R1725"/>
      <c r="S1725"/>
      <c r="T1725"/>
    </row>
    <row r="1726" spans="1:20" ht="28.8" outlineLevel="4" x14ac:dyDescent="0.3">
      <c r="A1726" s="82" t="s">
        <v>2510</v>
      </c>
      <c r="B1726" s="10" t="s">
        <v>665</v>
      </c>
      <c r="C1726" s="60" t="s">
        <v>666</v>
      </c>
      <c r="D1726" s="44" t="s">
        <v>121</v>
      </c>
      <c r="E1726" s="84">
        <v>0</v>
      </c>
      <c r="F1726" s="84"/>
      <c r="G1726" s="94">
        <f t="shared" si="277"/>
        <v>1</v>
      </c>
      <c r="H1726" s="93">
        <f t="shared" si="278"/>
        <v>740</v>
      </c>
      <c r="I1726" s="84">
        <f t="shared" si="279"/>
        <v>0</v>
      </c>
      <c r="J1726" s="105">
        <f t="shared" si="280"/>
        <v>0</v>
      </c>
      <c r="K1726">
        <f t="shared" si="281"/>
        <v>0</v>
      </c>
      <c r="L1726"/>
      <c r="M1726"/>
      <c r="N1726"/>
      <c r="O1726"/>
      <c r="P1726"/>
      <c r="Q1726"/>
      <c r="R1726"/>
      <c r="S1726"/>
      <c r="T1726"/>
    </row>
    <row r="1727" spans="1:20" ht="28.8" outlineLevel="4" x14ac:dyDescent="0.3">
      <c r="A1727" s="82" t="s">
        <v>2511</v>
      </c>
      <c r="B1727" s="10" t="s">
        <v>668</v>
      </c>
      <c r="C1727" s="60" t="s">
        <v>669</v>
      </c>
      <c r="D1727" s="44" t="s">
        <v>121</v>
      </c>
      <c r="E1727" s="84">
        <v>0</v>
      </c>
      <c r="F1727" s="84"/>
      <c r="G1727" s="94">
        <f t="shared" si="277"/>
        <v>1</v>
      </c>
      <c r="H1727" s="93">
        <f t="shared" si="278"/>
        <v>900</v>
      </c>
      <c r="I1727" s="84">
        <f t="shared" si="279"/>
        <v>0</v>
      </c>
      <c r="J1727" s="105">
        <f t="shared" si="280"/>
        <v>0</v>
      </c>
      <c r="K1727">
        <f t="shared" si="281"/>
        <v>0</v>
      </c>
      <c r="L1727"/>
      <c r="M1727"/>
      <c r="N1727"/>
      <c r="O1727"/>
      <c r="P1727"/>
      <c r="Q1727"/>
      <c r="R1727"/>
      <c r="S1727"/>
      <c r="T1727"/>
    </row>
    <row r="1728" spans="1:20" ht="28.8" outlineLevel="4" x14ac:dyDescent="0.3">
      <c r="A1728" s="82" t="s">
        <v>2512</v>
      </c>
      <c r="B1728" s="10" t="s">
        <v>671</v>
      </c>
      <c r="C1728" s="60" t="s">
        <v>672</v>
      </c>
      <c r="D1728" s="44" t="s">
        <v>121</v>
      </c>
      <c r="E1728" s="84">
        <v>0</v>
      </c>
      <c r="F1728" s="84"/>
      <c r="G1728" s="94">
        <f t="shared" si="277"/>
        <v>1</v>
      </c>
      <c r="H1728" s="93">
        <f t="shared" si="278"/>
        <v>370</v>
      </c>
      <c r="I1728" s="84">
        <f t="shared" si="279"/>
        <v>0</v>
      </c>
      <c r="J1728" s="105">
        <f t="shared" si="280"/>
        <v>0</v>
      </c>
      <c r="K1728">
        <f t="shared" si="281"/>
        <v>0</v>
      </c>
      <c r="L1728"/>
      <c r="M1728"/>
      <c r="N1728"/>
      <c r="O1728"/>
      <c r="P1728"/>
      <c r="Q1728"/>
      <c r="R1728"/>
      <c r="S1728"/>
      <c r="T1728"/>
    </row>
    <row r="1729" spans="1:20" ht="28.8" outlineLevel="4" x14ac:dyDescent="0.3">
      <c r="A1729" s="82" t="s">
        <v>2513</v>
      </c>
      <c r="B1729" s="10" t="s">
        <v>674</v>
      </c>
      <c r="C1729" s="60" t="s">
        <v>675</v>
      </c>
      <c r="D1729" s="44" t="s">
        <v>121</v>
      </c>
      <c r="E1729" s="84">
        <v>6</v>
      </c>
      <c r="F1729" s="84"/>
      <c r="G1729" s="94">
        <f t="shared" si="277"/>
        <v>1</v>
      </c>
      <c r="H1729" s="93">
        <f t="shared" si="278"/>
        <v>870</v>
      </c>
      <c r="I1729" s="84">
        <f t="shared" si="279"/>
        <v>5220</v>
      </c>
      <c r="J1729" s="105">
        <f t="shared" si="280"/>
        <v>1.5410633602886579E-3</v>
      </c>
      <c r="K1729">
        <f t="shared" si="281"/>
        <v>5220</v>
      </c>
      <c r="L1729"/>
      <c r="M1729"/>
      <c r="N1729"/>
      <c r="O1729"/>
      <c r="P1729"/>
      <c r="Q1729"/>
      <c r="R1729"/>
      <c r="S1729"/>
      <c r="T1729"/>
    </row>
    <row r="1730" spans="1:20" ht="43.2" outlineLevel="4" x14ac:dyDescent="0.3">
      <c r="A1730" s="82" t="s">
        <v>2514</v>
      </c>
      <c r="B1730" s="10" t="s">
        <v>677</v>
      </c>
      <c r="C1730" s="60" t="s">
        <v>678</v>
      </c>
      <c r="D1730" s="44" t="s">
        <v>121</v>
      </c>
      <c r="E1730" s="84">
        <v>0</v>
      </c>
      <c r="F1730" s="84"/>
      <c r="G1730" s="94">
        <f t="shared" si="277"/>
        <v>1</v>
      </c>
      <c r="H1730" s="93">
        <f t="shared" si="278"/>
        <v>980</v>
      </c>
      <c r="I1730" s="84">
        <f t="shared" si="279"/>
        <v>0</v>
      </c>
      <c r="J1730" s="105">
        <f t="shared" si="280"/>
        <v>0</v>
      </c>
      <c r="K1730">
        <f t="shared" si="281"/>
        <v>0</v>
      </c>
      <c r="L1730"/>
      <c r="M1730"/>
      <c r="N1730"/>
      <c r="O1730"/>
      <c r="P1730"/>
      <c r="Q1730"/>
      <c r="R1730"/>
      <c r="S1730"/>
      <c r="T1730"/>
    </row>
    <row r="1731" spans="1:20" ht="28.8" outlineLevel="4" x14ac:dyDescent="0.3">
      <c r="A1731" s="82" t="s">
        <v>2515</v>
      </c>
      <c r="B1731" s="10" t="s">
        <v>680</v>
      </c>
      <c r="C1731" s="60" t="s">
        <v>681</v>
      </c>
      <c r="D1731" s="44" t="s">
        <v>121</v>
      </c>
      <c r="E1731" s="84">
        <v>0</v>
      </c>
      <c r="F1731" s="84"/>
      <c r="G1731" s="94">
        <f t="shared" si="277"/>
        <v>1</v>
      </c>
      <c r="H1731" s="93">
        <f t="shared" si="278"/>
        <v>840</v>
      </c>
      <c r="I1731" s="84">
        <f t="shared" si="279"/>
        <v>0</v>
      </c>
      <c r="J1731" s="105">
        <f t="shared" si="280"/>
        <v>0</v>
      </c>
      <c r="K1731">
        <f t="shared" si="281"/>
        <v>0</v>
      </c>
      <c r="L1731"/>
      <c r="M1731"/>
      <c r="N1731"/>
      <c r="O1731"/>
      <c r="P1731"/>
      <c r="Q1731"/>
      <c r="R1731"/>
      <c r="S1731"/>
      <c r="T1731"/>
    </row>
    <row r="1732" spans="1:20" ht="43.2" outlineLevel="4" x14ac:dyDescent="0.3">
      <c r="A1732" s="82" t="s">
        <v>2516</v>
      </c>
      <c r="B1732" s="10" t="s">
        <v>683</v>
      </c>
      <c r="C1732" s="60" t="s">
        <v>684</v>
      </c>
      <c r="D1732" s="44" t="s">
        <v>121</v>
      </c>
      <c r="E1732" s="84">
        <v>0</v>
      </c>
      <c r="F1732" s="84"/>
      <c r="G1732" s="94">
        <f t="shared" si="277"/>
        <v>1</v>
      </c>
      <c r="H1732" s="93">
        <f t="shared" si="278"/>
        <v>800</v>
      </c>
      <c r="I1732" s="84">
        <f t="shared" si="279"/>
        <v>0</v>
      </c>
      <c r="J1732" s="105">
        <f t="shared" si="280"/>
        <v>0</v>
      </c>
      <c r="K1732">
        <f t="shared" si="281"/>
        <v>0</v>
      </c>
      <c r="L1732"/>
      <c r="M1732"/>
      <c r="N1732"/>
      <c r="O1732"/>
      <c r="P1732"/>
      <c r="Q1732"/>
      <c r="R1732"/>
      <c r="S1732"/>
      <c r="T1732"/>
    </row>
    <row r="1733" spans="1:20" ht="43.2" outlineLevel="4" x14ac:dyDescent="0.3">
      <c r="A1733" s="82" t="s">
        <v>2517</v>
      </c>
      <c r="B1733" s="10" t="s">
        <v>686</v>
      </c>
      <c r="C1733" s="60" t="s">
        <v>687</v>
      </c>
      <c r="D1733" s="44" t="s">
        <v>121</v>
      </c>
      <c r="E1733" s="84">
        <v>0</v>
      </c>
      <c r="F1733" s="84"/>
      <c r="G1733" s="94">
        <f t="shared" si="277"/>
        <v>1</v>
      </c>
      <c r="H1733" s="93">
        <f t="shared" si="278"/>
        <v>920</v>
      </c>
      <c r="I1733" s="84">
        <f t="shared" si="279"/>
        <v>0</v>
      </c>
      <c r="J1733" s="105">
        <f t="shared" si="280"/>
        <v>0</v>
      </c>
      <c r="K1733">
        <f t="shared" si="281"/>
        <v>0</v>
      </c>
      <c r="L1733"/>
      <c r="M1733"/>
      <c r="N1733"/>
      <c r="O1733"/>
      <c r="P1733"/>
      <c r="Q1733"/>
      <c r="R1733"/>
      <c r="S1733"/>
      <c r="T1733"/>
    </row>
    <row r="1734" spans="1:20" ht="43.2" outlineLevel="4" x14ac:dyDescent="0.3">
      <c r="A1734" s="82" t="s">
        <v>2518</v>
      </c>
      <c r="B1734" s="10" t="s">
        <v>689</v>
      </c>
      <c r="C1734" s="60" t="s">
        <v>690</v>
      </c>
      <c r="D1734" s="44" t="s">
        <v>121</v>
      </c>
      <c r="E1734" s="84">
        <v>0</v>
      </c>
      <c r="F1734" s="84"/>
      <c r="G1734" s="94">
        <f t="shared" si="277"/>
        <v>1</v>
      </c>
      <c r="H1734" s="93">
        <f t="shared" si="278"/>
        <v>500</v>
      </c>
      <c r="I1734" s="84">
        <f t="shared" si="279"/>
        <v>0</v>
      </c>
      <c r="J1734" s="105">
        <f t="shared" si="280"/>
        <v>0</v>
      </c>
      <c r="K1734">
        <f t="shared" si="281"/>
        <v>0</v>
      </c>
      <c r="L1734"/>
      <c r="M1734"/>
      <c r="N1734"/>
      <c r="O1734"/>
      <c r="P1734"/>
      <c r="Q1734"/>
      <c r="R1734"/>
      <c r="S1734"/>
      <c r="T1734"/>
    </row>
    <row r="1735" spans="1:20" outlineLevel="4" x14ac:dyDescent="0.3">
      <c r="A1735" s="82" t="s">
        <v>2519</v>
      </c>
      <c r="B1735" s="10" t="s">
        <v>692</v>
      </c>
      <c r="C1735" s="60" t="s">
        <v>693</v>
      </c>
      <c r="D1735" s="44" t="s">
        <v>121</v>
      </c>
      <c r="E1735" s="84">
        <v>0</v>
      </c>
      <c r="F1735" s="84"/>
      <c r="G1735" s="94">
        <f t="shared" si="277"/>
        <v>1</v>
      </c>
      <c r="H1735" s="93">
        <f t="shared" si="278"/>
        <v>850</v>
      </c>
      <c r="I1735" s="84">
        <f t="shared" si="279"/>
        <v>0</v>
      </c>
      <c r="J1735" s="105">
        <f t="shared" si="280"/>
        <v>0</v>
      </c>
      <c r="K1735">
        <f t="shared" si="281"/>
        <v>0</v>
      </c>
      <c r="L1735"/>
      <c r="M1735"/>
      <c r="N1735"/>
      <c r="O1735"/>
      <c r="P1735"/>
      <c r="Q1735"/>
      <c r="R1735"/>
      <c r="S1735"/>
      <c r="T1735"/>
    </row>
    <row r="1736" spans="1:20" ht="28.8" outlineLevel="4" x14ac:dyDescent="0.3">
      <c r="A1736" s="82" t="s">
        <v>2520</v>
      </c>
      <c r="B1736" s="10" t="s">
        <v>695</v>
      </c>
      <c r="C1736" s="60" t="s">
        <v>696</v>
      </c>
      <c r="D1736" s="44" t="s">
        <v>121</v>
      </c>
      <c r="E1736" s="84">
        <v>0</v>
      </c>
      <c r="F1736" s="84"/>
      <c r="G1736" s="94">
        <f t="shared" si="277"/>
        <v>1</v>
      </c>
      <c r="H1736" s="93">
        <f t="shared" si="278"/>
        <v>500</v>
      </c>
      <c r="I1736" s="84">
        <f t="shared" si="279"/>
        <v>0</v>
      </c>
      <c r="J1736" s="105">
        <f t="shared" si="280"/>
        <v>0</v>
      </c>
      <c r="K1736">
        <f t="shared" si="281"/>
        <v>0</v>
      </c>
      <c r="L1736"/>
      <c r="M1736"/>
      <c r="N1736"/>
      <c r="O1736"/>
      <c r="P1736"/>
      <c r="Q1736"/>
      <c r="R1736"/>
      <c r="S1736"/>
      <c r="T1736"/>
    </row>
    <row r="1737" spans="1:20" outlineLevel="3" x14ac:dyDescent="0.3">
      <c r="A1737" s="82" t="s">
        <v>2521</v>
      </c>
      <c r="B1737" s="58" t="s">
        <v>698</v>
      </c>
      <c r="C1737" s="61" t="s">
        <v>699</v>
      </c>
      <c r="D1737" s="115"/>
      <c r="E1737" s="87"/>
      <c r="F1737" s="87"/>
      <c r="G1737" s="97"/>
      <c r="H1737" s="87"/>
      <c r="I1737" s="104">
        <f>SUBTOTAL(9,K1738:K1740)</f>
        <v>0</v>
      </c>
      <c r="J1737" s="108"/>
      <c r="K1737"/>
      <c r="L1737"/>
      <c r="M1737"/>
      <c r="N1737"/>
      <c r="O1737"/>
      <c r="P1737"/>
      <c r="Q1737"/>
      <c r="R1737"/>
      <c r="S1737"/>
      <c r="T1737"/>
    </row>
    <row r="1738" spans="1:20" outlineLevel="4" x14ac:dyDescent="0.3">
      <c r="A1738" s="82" t="s">
        <v>2522</v>
      </c>
      <c r="B1738" s="10" t="s">
        <v>701</v>
      </c>
      <c r="C1738" s="60" t="s">
        <v>618</v>
      </c>
      <c r="D1738" s="44" t="s">
        <v>121</v>
      </c>
      <c r="E1738" s="84">
        <v>0</v>
      </c>
      <c r="F1738" s="84"/>
      <c r="G1738" s="94">
        <f>cell_CoefGeneral</f>
        <v>1</v>
      </c>
      <c r="H1738" s="93">
        <f>H222</f>
        <v>500</v>
      </c>
      <c r="I1738" s="84">
        <f>IFERROR(ROUND(E1738*H1738,2),"-")</f>
        <v>0</v>
      </c>
      <c r="J1738" s="105">
        <f>IFERROR(I1738/cell_Total_HT,"-")</f>
        <v>0</v>
      </c>
      <c r="K1738">
        <f>I1738</f>
        <v>0</v>
      </c>
      <c r="L1738"/>
      <c r="M1738"/>
      <c r="N1738"/>
      <c r="O1738"/>
      <c r="P1738"/>
      <c r="Q1738"/>
      <c r="R1738"/>
      <c r="S1738"/>
      <c r="T1738"/>
    </row>
    <row r="1739" spans="1:20" outlineLevel="4" x14ac:dyDescent="0.3">
      <c r="A1739" s="82" t="s">
        <v>2523</v>
      </c>
      <c r="B1739" s="10" t="s">
        <v>703</v>
      </c>
      <c r="C1739" s="60" t="s">
        <v>621</v>
      </c>
      <c r="D1739" s="44" t="s">
        <v>121</v>
      </c>
      <c r="E1739" s="84">
        <v>0</v>
      </c>
      <c r="F1739" s="84"/>
      <c r="G1739" s="94">
        <f>cell_CoefGeneral</f>
        <v>1</v>
      </c>
      <c r="H1739" s="93">
        <f>H223</f>
        <v>500</v>
      </c>
      <c r="I1739" s="84">
        <f>IFERROR(ROUND(E1739*H1739,2),"-")</f>
        <v>0</v>
      </c>
      <c r="J1739" s="105">
        <f>IFERROR(I1739/cell_Total_HT,"-")</f>
        <v>0</v>
      </c>
      <c r="K1739">
        <f>I1739</f>
        <v>0</v>
      </c>
      <c r="L1739"/>
      <c r="M1739"/>
      <c r="N1739"/>
      <c r="O1739"/>
      <c r="P1739"/>
      <c r="Q1739"/>
      <c r="R1739"/>
      <c r="S1739"/>
      <c r="T1739"/>
    </row>
    <row r="1740" spans="1:20" outlineLevel="4" x14ac:dyDescent="0.3">
      <c r="A1740" s="82" t="s">
        <v>2524</v>
      </c>
      <c r="B1740" s="10" t="s">
        <v>705</v>
      </c>
      <c r="C1740" s="60" t="s">
        <v>706</v>
      </c>
      <c r="D1740" s="44" t="s">
        <v>121</v>
      </c>
      <c r="E1740" s="84">
        <v>0</v>
      </c>
      <c r="F1740" s="84"/>
      <c r="G1740" s="94">
        <f>cell_CoefGeneral</f>
        <v>1</v>
      </c>
      <c r="H1740" s="93">
        <f>H224</f>
        <v>6900</v>
      </c>
      <c r="I1740" s="84">
        <f>IFERROR(ROUND(E1740*H1740,2),"-")</f>
        <v>0</v>
      </c>
      <c r="J1740" s="105">
        <f>IFERROR(I1740/cell_Total_HT,"-")</f>
        <v>0</v>
      </c>
      <c r="K1740">
        <f>I1740</f>
        <v>0</v>
      </c>
      <c r="L1740"/>
      <c r="M1740"/>
      <c r="N1740"/>
      <c r="O1740"/>
      <c r="P1740"/>
      <c r="Q1740"/>
      <c r="R1740"/>
      <c r="S1740"/>
      <c r="T1740"/>
    </row>
    <row r="1741" spans="1:20" outlineLevel="3" x14ac:dyDescent="0.3">
      <c r="A1741" s="82" t="s">
        <v>2525</v>
      </c>
      <c r="B1741" s="10" t="s">
        <v>708</v>
      </c>
      <c r="C1741" s="60" t="s">
        <v>624</v>
      </c>
      <c r="D1741" s="44" t="s">
        <v>80</v>
      </c>
      <c r="E1741" s="84">
        <v>6</v>
      </c>
      <c r="F1741" s="84"/>
      <c r="G1741" s="94">
        <f>cell_CoefGeneral</f>
        <v>1</v>
      </c>
      <c r="H1741" s="93">
        <f>H225</f>
        <v>3.5</v>
      </c>
      <c r="I1741" s="84">
        <f>IFERROR(ROUND(E1741*H1741,2),"-")</f>
        <v>21</v>
      </c>
      <c r="J1741" s="105">
        <f>IFERROR(I1741/cell_Total_HT,"-")</f>
        <v>6.1996801850693133E-6</v>
      </c>
      <c r="K1741">
        <f>I1741</f>
        <v>21</v>
      </c>
      <c r="L1741"/>
      <c r="M1741"/>
      <c r="N1741"/>
      <c r="O1741"/>
      <c r="P1741"/>
      <c r="Q1741"/>
      <c r="R1741"/>
      <c r="S1741"/>
      <c r="T1741"/>
    </row>
    <row r="1742" spans="1:20" ht="15" outlineLevel="3" thickBot="1" x14ac:dyDescent="0.35">
      <c r="A1742" s="82" t="s">
        <v>2526</v>
      </c>
      <c r="B1742" s="10" t="s">
        <v>710</v>
      </c>
      <c r="C1742" s="60" t="s">
        <v>627</v>
      </c>
      <c r="D1742" s="44" t="s">
        <v>93</v>
      </c>
      <c r="E1742" s="84">
        <v>0</v>
      </c>
      <c r="F1742" s="84"/>
      <c r="G1742" s="94">
        <f>cell_CoefGeneral</f>
        <v>1</v>
      </c>
      <c r="H1742" s="93">
        <f>H226</f>
        <v>580</v>
      </c>
      <c r="I1742" s="84">
        <f>IFERROR(ROUND(E1742*H1742,2),"-")</f>
        <v>0</v>
      </c>
      <c r="J1742" s="105">
        <f>IFERROR(I1742/cell_Total_HT,"-")</f>
        <v>0</v>
      </c>
      <c r="K1742">
        <f>I1742</f>
        <v>0</v>
      </c>
      <c r="L1742"/>
      <c r="M1742"/>
      <c r="N1742"/>
      <c r="O1742"/>
      <c r="P1742"/>
      <c r="Q1742"/>
      <c r="R1742"/>
      <c r="S1742"/>
      <c r="T1742"/>
    </row>
    <row r="1743" spans="1:20" ht="15" outlineLevel="2" thickTop="1" x14ac:dyDescent="0.3">
      <c r="A1743" s="82" t="s">
        <v>2527</v>
      </c>
      <c r="B1743" s="62" t="s">
        <v>60</v>
      </c>
      <c r="C1743" s="63" t="s">
        <v>712</v>
      </c>
      <c r="D1743" s="116"/>
      <c r="E1743" s="88"/>
      <c r="F1743" s="88"/>
      <c r="G1743" s="98"/>
      <c r="H1743" s="88"/>
      <c r="I1743" s="88">
        <f>SUBTOTAL(9,I1715:I1742)</f>
        <v>8071.4</v>
      </c>
      <c r="J1743" s="109"/>
      <c r="K1743"/>
      <c r="L1743"/>
      <c r="M1743"/>
      <c r="N1743"/>
      <c r="O1743"/>
      <c r="P1743"/>
      <c r="Q1743"/>
      <c r="R1743"/>
      <c r="S1743"/>
      <c r="T1743"/>
    </row>
    <row r="1744" spans="1:20" outlineLevel="2" x14ac:dyDescent="0.3">
      <c r="A1744" s="82" t="s">
        <v>2528</v>
      </c>
      <c r="B1744" s="64" t="s">
        <v>714</v>
      </c>
      <c r="C1744" s="65" t="s">
        <v>715</v>
      </c>
      <c r="D1744" s="117"/>
      <c r="E1744" s="87"/>
      <c r="F1744" s="87"/>
      <c r="G1744" s="97"/>
      <c r="H1744" s="87"/>
      <c r="I1744" s="104">
        <f>SUBTOTAL(9,K1745:K1767)</f>
        <v>0</v>
      </c>
      <c r="J1744" s="108"/>
      <c r="K1744"/>
      <c r="L1744"/>
      <c r="M1744"/>
      <c r="N1744"/>
      <c r="O1744"/>
      <c r="P1744"/>
      <c r="Q1744"/>
      <c r="R1744"/>
      <c r="S1744"/>
      <c r="T1744"/>
    </row>
    <row r="1745" spans="1:20" ht="24.6" outlineLevel="3" x14ac:dyDescent="0.3">
      <c r="A1745" s="82" t="s">
        <v>2529</v>
      </c>
      <c r="B1745" s="64" t="s">
        <v>717</v>
      </c>
      <c r="C1745" s="66" t="s">
        <v>718</v>
      </c>
      <c r="D1745" s="117"/>
      <c r="E1745" s="87"/>
      <c r="F1745" s="87"/>
      <c r="G1745" s="97"/>
      <c r="H1745" s="87"/>
      <c r="I1745" s="104">
        <f>SUBTOTAL(9,K1746:K1748)</f>
        <v>0</v>
      </c>
      <c r="J1745" s="108"/>
      <c r="K1745"/>
      <c r="L1745"/>
      <c r="M1745"/>
      <c r="N1745"/>
      <c r="O1745"/>
      <c r="P1745"/>
      <c r="Q1745"/>
      <c r="R1745"/>
      <c r="S1745"/>
      <c r="T1745"/>
    </row>
    <row r="1746" spans="1:20" outlineLevel="4" x14ac:dyDescent="0.3">
      <c r="A1746" s="82" t="s">
        <v>2530</v>
      </c>
      <c r="B1746" s="10" t="s">
        <v>720</v>
      </c>
      <c r="C1746" s="60" t="s">
        <v>721</v>
      </c>
      <c r="D1746" s="44" t="s">
        <v>80</v>
      </c>
      <c r="E1746" s="84">
        <v>0</v>
      </c>
      <c r="F1746" s="84"/>
      <c r="G1746" s="94">
        <f>cell_CoefGeneral</f>
        <v>1</v>
      </c>
      <c r="H1746" s="93">
        <f>H230</f>
        <v>28</v>
      </c>
      <c r="I1746" s="84">
        <f>IFERROR(ROUND(E1746*H1746,2),"-")</f>
        <v>0</v>
      </c>
      <c r="J1746" s="105">
        <f>IFERROR(I1746/cell_Total_HT,"-")</f>
        <v>0</v>
      </c>
      <c r="K1746">
        <f>I1746</f>
        <v>0</v>
      </c>
      <c r="L1746"/>
      <c r="M1746"/>
      <c r="N1746"/>
      <c r="O1746"/>
      <c r="P1746"/>
      <c r="Q1746"/>
      <c r="R1746"/>
      <c r="S1746"/>
      <c r="T1746"/>
    </row>
    <row r="1747" spans="1:20" outlineLevel="4" x14ac:dyDescent="0.3">
      <c r="A1747" s="82" t="s">
        <v>2531</v>
      </c>
      <c r="B1747" s="10" t="s">
        <v>723</v>
      </c>
      <c r="C1747" s="60" t="s">
        <v>724</v>
      </c>
      <c r="D1747" s="44" t="s">
        <v>80</v>
      </c>
      <c r="E1747" s="84">
        <v>0</v>
      </c>
      <c r="F1747" s="84"/>
      <c r="G1747" s="94">
        <f>cell_CoefGeneral</f>
        <v>1</v>
      </c>
      <c r="H1747" s="93">
        <f>H231</f>
        <v>32</v>
      </c>
      <c r="I1747" s="84">
        <f>IFERROR(ROUND(E1747*H1747,2),"-")</f>
        <v>0</v>
      </c>
      <c r="J1747" s="105">
        <f>IFERROR(I1747/cell_Total_HT,"-")</f>
        <v>0</v>
      </c>
      <c r="K1747">
        <f>I1747</f>
        <v>0</v>
      </c>
      <c r="L1747"/>
      <c r="M1747"/>
      <c r="N1747"/>
      <c r="O1747"/>
      <c r="P1747"/>
      <c r="Q1747"/>
      <c r="R1747"/>
      <c r="S1747"/>
      <c r="T1747"/>
    </row>
    <row r="1748" spans="1:20" outlineLevel="4" x14ac:dyDescent="0.3">
      <c r="A1748" s="82" t="s">
        <v>2532</v>
      </c>
      <c r="B1748" s="10" t="s">
        <v>726</v>
      </c>
      <c r="C1748" s="60" t="s">
        <v>727</v>
      </c>
      <c r="D1748" s="44" t="s">
        <v>80</v>
      </c>
      <c r="E1748" s="84">
        <v>0</v>
      </c>
      <c r="F1748" s="84"/>
      <c r="G1748" s="94">
        <f>cell_CoefGeneral</f>
        <v>1</v>
      </c>
      <c r="H1748" s="93">
        <f>H232</f>
        <v>31</v>
      </c>
      <c r="I1748" s="84">
        <f>IFERROR(ROUND(E1748*H1748,2),"-")</f>
        <v>0</v>
      </c>
      <c r="J1748" s="105">
        <f>IFERROR(I1748/cell_Total_HT,"-")</f>
        <v>0</v>
      </c>
      <c r="K1748">
        <f>I1748</f>
        <v>0</v>
      </c>
      <c r="L1748"/>
      <c r="M1748"/>
      <c r="N1748"/>
      <c r="O1748"/>
      <c r="P1748"/>
      <c r="Q1748"/>
      <c r="R1748"/>
      <c r="S1748"/>
      <c r="T1748"/>
    </row>
    <row r="1749" spans="1:20" outlineLevel="3" x14ac:dyDescent="0.3">
      <c r="A1749" s="82" t="s">
        <v>2533</v>
      </c>
      <c r="B1749" s="58" t="s">
        <v>729</v>
      </c>
      <c r="C1749" s="61" t="s">
        <v>730</v>
      </c>
      <c r="D1749" s="115"/>
      <c r="E1749" s="87"/>
      <c r="F1749" s="87"/>
      <c r="G1749" s="97"/>
      <c r="H1749" s="87"/>
      <c r="I1749" s="104">
        <f>SUBTOTAL(9,K1750:K1753)</f>
        <v>0</v>
      </c>
      <c r="J1749" s="108"/>
      <c r="K1749"/>
      <c r="L1749"/>
      <c r="M1749"/>
      <c r="N1749"/>
      <c r="O1749"/>
      <c r="P1749"/>
      <c r="Q1749"/>
      <c r="R1749"/>
      <c r="S1749"/>
      <c r="T1749"/>
    </row>
    <row r="1750" spans="1:20" outlineLevel="4" x14ac:dyDescent="0.3">
      <c r="A1750" s="82" t="s">
        <v>2534</v>
      </c>
      <c r="B1750" s="10" t="s">
        <v>732</v>
      </c>
      <c r="C1750" s="60" t="s">
        <v>733</v>
      </c>
      <c r="D1750" s="44" t="s">
        <v>80</v>
      </c>
      <c r="E1750" s="84">
        <v>0</v>
      </c>
      <c r="F1750" s="84"/>
      <c r="G1750" s="94">
        <f>cell_CoefGeneral</f>
        <v>1</v>
      </c>
      <c r="H1750" s="93">
        <f>H234</f>
        <v>8.6</v>
      </c>
      <c r="I1750" s="84">
        <f>IFERROR(ROUND(E1750*H1750,2),"-")</f>
        <v>0</v>
      </c>
      <c r="J1750" s="105">
        <f>IFERROR(I1750/cell_Total_HT,"-")</f>
        <v>0</v>
      </c>
      <c r="K1750">
        <f>I1750</f>
        <v>0</v>
      </c>
      <c r="L1750"/>
      <c r="M1750"/>
      <c r="N1750"/>
      <c r="O1750"/>
      <c r="P1750"/>
      <c r="Q1750"/>
      <c r="R1750"/>
      <c r="S1750"/>
      <c r="T1750"/>
    </row>
    <row r="1751" spans="1:20" outlineLevel="4" x14ac:dyDescent="0.3">
      <c r="A1751" s="82" t="s">
        <v>2535</v>
      </c>
      <c r="B1751" s="10" t="s">
        <v>735</v>
      </c>
      <c r="C1751" s="60" t="s">
        <v>736</v>
      </c>
      <c r="D1751" s="44" t="s">
        <v>80</v>
      </c>
      <c r="E1751" s="84">
        <v>0</v>
      </c>
      <c r="F1751" s="84"/>
      <c r="G1751" s="94">
        <f>cell_CoefGeneral</f>
        <v>1</v>
      </c>
      <c r="H1751" s="93">
        <f>H235</f>
        <v>9.1999999999999993</v>
      </c>
      <c r="I1751" s="84">
        <f>IFERROR(ROUND(E1751*H1751,2),"-")</f>
        <v>0</v>
      </c>
      <c r="J1751" s="105">
        <f>IFERROR(I1751/cell_Total_HT,"-")</f>
        <v>0</v>
      </c>
      <c r="K1751">
        <f>I1751</f>
        <v>0</v>
      </c>
      <c r="L1751"/>
      <c r="M1751"/>
      <c r="N1751"/>
      <c r="O1751"/>
      <c r="P1751"/>
      <c r="Q1751"/>
      <c r="R1751"/>
      <c r="S1751"/>
      <c r="T1751"/>
    </row>
    <row r="1752" spans="1:20" outlineLevel="4" x14ac:dyDescent="0.3">
      <c r="A1752" s="82" t="s">
        <v>2536</v>
      </c>
      <c r="B1752" s="10" t="s">
        <v>738</v>
      </c>
      <c r="C1752" s="60" t="s">
        <v>739</v>
      </c>
      <c r="D1752" s="44" t="s">
        <v>80</v>
      </c>
      <c r="E1752" s="84">
        <v>0</v>
      </c>
      <c r="F1752" s="84"/>
      <c r="G1752" s="94">
        <f>cell_CoefGeneral</f>
        <v>1</v>
      </c>
      <c r="H1752" s="93">
        <f>H236</f>
        <v>38</v>
      </c>
      <c r="I1752" s="84">
        <f>IFERROR(ROUND(E1752*H1752,2),"-")</f>
        <v>0</v>
      </c>
      <c r="J1752" s="105">
        <f>IFERROR(I1752/cell_Total_HT,"-")</f>
        <v>0</v>
      </c>
      <c r="K1752">
        <f>I1752</f>
        <v>0</v>
      </c>
      <c r="L1752"/>
      <c r="M1752"/>
      <c r="N1752"/>
      <c r="O1752"/>
      <c r="P1752"/>
      <c r="Q1752"/>
      <c r="R1752"/>
      <c r="S1752"/>
      <c r="T1752"/>
    </row>
    <row r="1753" spans="1:20" outlineLevel="4" x14ac:dyDescent="0.3">
      <c r="A1753" s="82" t="s">
        <v>2537</v>
      </c>
      <c r="B1753" s="10" t="s">
        <v>741</v>
      </c>
      <c r="C1753" s="60" t="s">
        <v>742</v>
      </c>
      <c r="D1753" s="44" t="s">
        <v>80</v>
      </c>
      <c r="E1753" s="84">
        <v>0</v>
      </c>
      <c r="F1753" s="84"/>
      <c r="G1753" s="94">
        <f>cell_CoefGeneral</f>
        <v>1</v>
      </c>
      <c r="H1753" s="93">
        <f>H237</f>
        <v>3.5</v>
      </c>
      <c r="I1753" s="84">
        <f>IFERROR(ROUND(E1753*H1753,2),"-")</f>
        <v>0</v>
      </c>
      <c r="J1753" s="105">
        <f>IFERROR(I1753/cell_Total_HT,"-")</f>
        <v>0</v>
      </c>
      <c r="K1753">
        <f>I1753</f>
        <v>0</v>
      </c>
      <c r="L1753"/>
      <c r="M1753"/>
      <c r="N1753"/>
      <c r="O1753"/>
      <c r="P1753"/>
      <c r="Q1753"/>
      <c r="R1753"/>
      <c r="S1753"/>
      <c r="T1753"/>
    </row>
    <row r="1754" spans="1:20" outlineLevel="3" x14ac:dyDescent="0.3">
      <c r="A1754" s="82" t="s">
        <v>2538</v>
      </c>
      <c r="B1754" s="58" t="s">
        <v>744</v>
      </c>
      <c r="C1754" s="61" t="s">
        <v>745</v>
      </c>
      <c r="D1754" s="115"/>
      <c r="E1754" s="87"/>
      <c r="F1754" s="87"/>
      <c r="G1754" s="97"/>
      <c r="H1754" s="87"/>
      <c r="I1754" s="104">
        <f>SUBTOTAL(9,K1755:K1755)</f>
        <v>0</v>
      </c>
      <c r="J1754" s="108"/>
      <c r="K1754"/>
      <c r="L1754"/>
      <c r="M1754"/>
      <c r="N1754"/>
      <c r="O1754"/>
      <c r="P1754"/>
      <c r="Q1754"/>
      <c r="R1754"/>
      <c r="S1754"/>
      <c r="T1754"/>
    </row>
    <row r="1755" spans="1:20" outlineLevel="4" x14ac:dyDescent="0.3">
      <c r="A1755" s="82" t="s">
        <v>2539</v>
      </c>
      <c r="B1755" s="10" t="s">
        <v>747</v>
      </c>
      <c r="C1755" s="60" t="s">
        <v>748</v>
      </c>
      <c r="D1755" s="44" t="s">
        <v>121</v>
      </c>
      <c r="E1755" s="84">
        <v>0</v>
      </c>
      <c r="F1755" s="84"/>
      <c r="G1755" s="94">
        <f>cell_CoefGeneral</f>
        <v>1</v>
      </c>
      <c r="H1755" s="93">
        <f>H239</f>
        <v>950</v>
      </c>
      <c r="I1755" s="84">
        <f>IFERROR(ROUND(E1755*H1755,2),"-")</f>
        <v>0</v>
      </c>
      <c r="J1755" s="105">
        <f>IFERROR(I1755/cell_Total_HT,"-")</f>
        <v>0</v>
      </c>
      <c r="K1755">
        <f>I1755</f>
        <v>0</v>
      </c>
      <c r="L1755"/>
      <c r="M1755"/>
      <c r="N1755"/>
      <c r="O1755"/>
      <c r="P1755"/>
      <c r="Q1755"/>
      <c r="R1755"/>
      <c r="S1755"/>
      <c r="T1755"/>
    </row>
    <row r="1756" spans="1:20" outlineLevel="3" x14ac:dyDescent="0.3">
      <c r="A1756" s="82" t="s">
        <v>2540</v>
      </c>
      <c r="B1756" s="58" t="s">
        <v>750</v>
      </c>
      <c r="C1756" s="61" t="s">
        <v>751</v>
      </c>
      <c r="D1756" s="115"/>
      <c r="E1756" s="87"/>
      <c r="F1756" s="87"/>
      <c r="G1756" s="97"/>
      <c r="H1756" s="87"/>
      <c r="I1756" s="104">
        <f>SUBTOTAL(9,K1757:K1758)</f>
        <v>0</v>
      </c>
      <c r="J1756" s="108"/>
      <c r="K1756"/>
      <c r="L1756"/>
      <c r="M1756"/>
      <c r="N1756"/>
      <c r="O1756"/>
      <c r="P1756"/>
      <c r="Q1756"/>
      <c r="R1756"/>
      <c r="S1756"/>
      <c r="T1756"/>
    </row>
    <row r="1757" spans="1:20" ht="28.8" outlineLevel="4" x14ac:dyDescent="0.3">
      <c r="A1757" s="82" t="s">
        <v>2541</v>
      </c>
      <c r="B1757" s="10" t="s">
        <v>753</v>
      </c>
      <c r="C1757" s="60" t="s">
        <v>754</v>
      </c>
      <c r="D1757" s="44" t="s">
        <v>121</v>
      </c>
      <c r="E1757" s="84">
        <v>0</v>
      </c>
      <c r="F1757" s="84"/>
      <c r="G1757" s="94">
        <f>cell_CoefGeneral</f>
        <v>1</v>
      </c>
      <c r="H1757" s="93">
        <f>H241</f>
        <v>2800</v>
      </c>
      <c r="I1757" s="84">
        <f>IFERROR(ROUND(E1757*H1757,2),"-")</f>
        <v>0</v>
      </c>
      <c r="J1757" s="105">
        <f>IFERROR(I1757/cell_Total_HT,"-")</f>
        <v>0</v>
      </c>
      <c r="K1757">
        <f>I1757</f>
        <v>0</v>
      </c>
      <c r="L1757"/>
      <c r="M1757"/>
      <c r="N1757"/>
      <c r="O1757"/>
      <c r="P1757"/>
      <c r="Q1757"/>
      <c r="R1757"/>
      <c r="S1757"/>
      <c r="T1757"/>
    </row>
    <row r="1758" spans="1:20" outlineLevel="4" x14ac:dyDescent="0.3">
      <c r="A1758" s="82" t="s">
        <v>2542</v>
      </c>
      <c r="B1758" s="10" t="s">
        <v>756</v>
      </c>
      <c r="C1758" s="60" t="s">
        <v>757</v>
      </c>
      <c r="D1758" s="44" t="s">
        <v>121</v>
      </c>
      <c r="E1758" s="84">
        <v>0</v>
      </c>
      <c r="F1758" s="84"/>
      <c r="G1758" s="94">
        <f>cell_CoefGeneral</f>
        <v>1</v>
      </c>
      <c r="H1758" s="93">
        <f>H242</f>
        <v>980</v>
      </c>
      <c r="I1758" s="84">
        <f>IFERROR(ROUND(E1758*H1758,2),"-")</f>
        <v>0</v>
      </c>
      <c r="J1758" s="105">
        <f>IFERROR(I1758/cell_Total_HT,"-")</f>
        <v>0</v>
      </c>
      <c r="K1758">
        <f>I1758</f>
        <v>0</v>
      </c>
      <c r="L1758"/>
      <c r="M1758"/>
      <c r="N1758"/>
      <c r="O1758"/>
      <c r="P1758"/>
      <c r="Q1758"/>
      <c r="R1758"/>
      <c r="S1758"/>
      <c r="T1758"/>
    </row>
    <row r="1759" spans="1:20" outlineLevel="3" x14ac:dyDescent="0.3">
      <c r="A1759" s="82" t="s">
        <v>2543</v>
      </c>
      <c r="B1759" s="10" t="s">
        <v>759</v>
      </c>
      <c r="C1759" s="60" t="s">
        <v>760</v>
      </c>
      <c r="D1759" s="44" t="s">
        <v>121</v>
      </c>
      <c r="E1759" s="84">
        <v>0</v>
      </c>
      <c r="F1759" s="84"/>
      <c r="G1759" s="94">
        <f>cell_CoefGeneral</f>
        <v>1</v>
      </c>
      <c r="H1759" s="93">
        <f>H243</f>
        <v>2400</v>
      </c>
      <c r="I1759" s="84">
        <f>IFERROR(ROUND(E1759*H1759,2),"-")</f>
        <v>0</v>
      </c>
      <c r="J1759" s="105">
        <f>IFERROR(I1759/cell_Total_HT,"-")</f>
        <v>0</v>
      </c>
      <c r="K1759">
        <f>I1759</f>
        <v>0</v>
      </c>
      <c r="L1759"/>
      <c r="M1759"/>
      <c r="N1759"/>
      <c r="O1759"/>
      <c r="P1759"/>
      <c r="Q1759"/>
      <c r="R1759"/>
      <c r="S1759"/>
      <c r="T1759"/>
    </row>
    <row r="1760" spans="1:20" outlineLevel="3" x14ac:dyDescent="0.3">
      <c r="A1760" s="82" t="s">
        <v>2544</v>
      </c>
      <c r="B1760" s="10" t="s">
        <v>762</v>
      </c>
      <c r="C1760" s="60" t="s">
        <v>763</v>
      </c>
      <c r="D1760" s="44" t="s">
        <v>121</v>
      </c>
      <c r="E1760" s="84">
        <v>0</v>
      </c>
      <c r="F1760" s="84"/>
      <c r="G1760" s="94">
        <f>cell_CoefGeneral</f>
        <v>1</v>
      </c>
      <c r="H1760" s="93">
        <f>H244</f>
        <v>1300</v>
      </c>
      <c r="I1760" s="84">
        <f>IFERROR(ROUND(E1760*H1760,2),"-")</f>
        <v>0</v>
      </c>
      <c r="J1760" s="105">
        <f>IFERROR(I1760/cell_Total_HT,"-")</f>
        <v>0</v>
      </c>
      <c r="K1760">
        <f>I1760</f>
        <v>0</v>
      </c>
      <c r="L1760"/>
      <c r="M1760"/>
      <c r="N1760"/>
      <c r="O1760"/>
      <c r="P1760"/>
      <c r="Q1760"/>
      <c r="R1760"/>
      <c r="S1760"/>
      <c r="T1760"/>
    </row>
    <row r="1761" spans="1:20" outlineLevel="3" x14ac:dyDescent="0.3">
      <c r="A1761" s="82" t="s">
        <v>2545</v>
      </c>
      <c r="B1761" s="10" t="s">
        <v>765</v>
      </c>
      <c r="C1761" s="60" t="s">
        <v>766</v>
      </c>
      <c r="D1761" s="44" t="s">
        <v>93</v>
      </c>
      <c r="E1761" s="84">
        <v>0</v>
      </c>
      <c r="F1761" s="84"/>
      <c r="G1761" s="94">
        <f>cell_CoefGeneral</f>
        <v>1</v>
      </c>
      <c r="H1761" s="93">
        <f>H245</f>
        <v>520</v>
      </c>
      <c r="I1761" s="84">
        <f>IFERROR(ROUND(E1761*H1761,2),"-")</f>
        <v>0</v>
      </c>
      <c r="J1761" s="105">
        <f>IFERROR(I1761/cell_Total_HT,"-")</f>
        <v>0</v>
      </c>
      <c r="K1761">
        <f>I1761</f>
        <v>0</v>
      </c>
      <c r="L1761"/>
      <c r="M1761"/>
      <c r="N1761"/>
      <c r="O1761"/>
      <c r="P1761"/>
      <c r="Q1761"/>
      <c r="R1761"/>
      <c r="S1761"/>
      <c r="T1761"/>
    </row>
    <row r="1762" spans="1:20" outlineLevel="3" x14ac:dyDescent="0.3">
      <c r="A1762" s="82" t="s">
        <v>2546</v>
      </c>
      <c r="B1762" s="58" t="s">
        <v>768</v>
      </c>
      <c r="C1762" s="61" t="s">
        <v>769</v>
      </c>
      <c r="D1762" s="115"/>
      <c r="E1762" s="87"/>
      <c r="F1762" s="87"/>
      <c r="G1762" s="97"/>
      <c r="H1762" s="87"/>
      <c r="I1762" s="104">
        <f>SUBTOTAL(9,K1763:K1765)</f>
        <v>0</v>
      </c>
      <c r="J1762" s="108"/>
      <c r="K1762"/>
      <c r="L1762"/>
      <c r="M1762"/>
      <c r="N1762"/>
      <c r="O1762"/>
      <c r="P1762"/>
      <c r="Q1762"/>
      <c r="R1762"/>
      <c r="S1762"/>
      <c r="T1762"/>
    </row>
    <row r="1763" spans="1:20" outlineLevel="4" x14ac:dyDescent="0.3">
      <c r="A1763" s="82" t="s">
        <v>2547</v>
      </c>
      <c r="B1763" s="10" t="s">
        <v>771</v>
      </c>
      <c r="C1763" s="60" t="s">
        <v>772</v>
      </c>
      <c r="D1763" s="44" t="s">
        <v>121</v>
      </c>
      <c r="E1763" s="84">
        <v>0</v>
      </c>
      <c r="F1763" s="84"/>
      <c r="G1763" s="94">
        <f>cell_CoefGeneral</f>
        <v>1</v>
      </c>
      <c r="H1763" s="93">
        <f>H247</f>
        <v>440</v>
      </c>
      <c r="I1763" s="84">
        <f>IFERROR(ROUND(E1763*H1763,2),"-")</f>
        <v>0</v>
      </c>
      <c r="J1763" s="105">
        <f>IFERROR(I1763/cell_Total_HT,"-")</f>
        <v>0</v>
      </c>
      <c r="K1763">
        <f>I1763</f>
        <v>0</v>
      </c>
      <c r="L1763"/>
      <c r="M1763"/>
      <c r="N1763"/>
      <c r="O1763"/>
      <c r="P1763"/>
      <c r="Q1763"/>
      <c r="R1763"/>
      <c r="S1763"/>
      <c r="T1763"/>
    </row>
    <row r="1764" spans="1:20" outlineLevel="4" x14ac:dyDescent="0.3">
      <c r="A1764" s="82" t="s">
        <v>2548</v>
      </c>
      <c r="B1764" s="10" t="s">
        <v>774</v>
      </c>
      <c r="C1764" s="60" t="s">
        <v>775</v>
      </c>
      <c r="D1764" s="44" t="s">
        <v>121</v>
      </c>
      <c r="E1764" s="84">
        <v>0</v>
      </c>
      <c r="F1764" s="84"/>
      <c r="G1764" s="94">
        <f>cell_CoefGeneral</f>
        <v>1</v>
      </c>
      <c r="H1764" s="93">
        <f>H248</f>
        <v>290</v>
      </c>
      <c r="I1764" s="84">
        <f>IFERROR(ROUND(E1764*H1764,2),"-")</f>
        <v>0</v>
      </c>
      <c r="J1764" s="105">
        <f>IFERROR(I1764/cell_Total_HT,"-")</f>
        <v>0</v>
      </c>
      <c r="K1764">
        <f>I1764</f>
        <v>0</v>
      </c>
      <c r="L1764"/>
      <c r="M1764"/>
      <c r="N1764"/>
      <c r="O1764"/>
      <c r="P1764"/>
      <c r="Q1764"/>
      <c r="R1764"/>
      <c r="S1764"/>
      <c r="T1764"/>
    </row>
    <row r="1765" spans="1:20" outlineLevel="4" x14ac:dyDescent="0.3">
      <c r="A1765" s="82" t="s">
        <v>2549</v>
      </c>
      <c r="B1765" s="10" t="s">
        <v>777</v>
      </c>
      <c r="C1765" s="60" t="s">
        <v>778</v>
      </c>
      <c r="D1765" s="44" t="s">
        <v>121</v>
      </c>
      <c r="E1765" s="84">
        <v>0</v>
      </c>
      <c r="F1765" s="84"/>
      <c r="G1765" s="94">
        <f>cell_CoefGeneral</f>
        <v>1</v>
      </c>
      <c r="H1765" s="93">
        <f>H249</f>
        <v>240</v>
      </c>
      <c r="I1765" s="84">
        <f>IFERROR(ROUND(E1765*H1765,2),"-")</f>
        <v>0</v>
      </c>
      <c r="J1765" s="105">
        <f>IFERROR(I1765/cell_Total_HT,"-")</f>
        <v>0</v>
      </c>
      <c r="K1765">
        <f>I1765</f>
        <v>0</v>
      </c>
      <c r="L1765"/>
      <c r="M1765"/>
      <c r="N1765"/>
      <c r="O1765"/>
      <c r="P1765"/>
      <c r="Q1765"/>
      <c r="R1765"/>
      <c r="S1765"/>
      <c r="T1765"/>
    </row>
    <row r="1766" spans="1:20" outlineLevel="3" x14ac:dyDescent="0.3">
      <c r="A1766" s="82" t="s">
        <v>2550</v>
      </c>
      <c r="B1766" s="10" t="s">
        <v>780</v>
      </c>
      <c r="C1766" s="60" t="s">
        <v>781</v>
      </c>
      <c r="D1766" s="44" t="s">
        <v>80</v>
      </c>
      <c r="E1766" s="84">
        <v>0</v>
      </c>
      <c r="F1766" s="84"/>
      <c r="G1766" s="94">
        <f>cell_CoefGeneral</f>
        <v>1</v>
      </c>
      <c r="H1766" s="93">
        <f>H250</f>
        <v>31</v>
      </c>
      <c r="I1766" s="84">
        <f>IFERROR(ROUND(E1766*H1766,2),"-")</f>
        <v>0</v>
      </c>
      <c r="J1766" s="105">
        <f>IFERROR(I1766/cell_Total_HT,"-")</f>
        <v>0</v>
      </c>
      <c r="K1766">
        <f>I1766</f>
        <v>0</v>
      </c>
      <c r="L1766"/>
      <c r="M1766"/>
      <c r="N1766"/>
      <c r="O1766"/>
      <c r="P1766"/>
      <c r="Q1766"/>
      <c r="R1766"/>
      <c r="S1766"/>
      <c r="T1766"/>
    </row>
    <row r="1767" spans="1:20" ht="15" outlineLevel="3" thickBot="1" x14ac:dyDescent="0.35">
      <c r="A1767" s="82" t="s">
        <v>2551</v>
      </c>
      <c r="B1767" s="10" t="s">
        <v>783</v>
      </c>
      <c r="C1767" s="60" t="s">
        <v>784</v>
      </c>
      <c r="D1767" s="44" t="s">
        <v>121</v>
      </c>
      <c r="E1767" s="84">
        <v>0</v>
      </c>
      <c r="F1767" s="84"/>
      <c r="G1767" s="94">
        <f>cell_CoefGeneral</f>
        <v>1</v>
      </c>
      <c r="H1767" s="93">
        <f>H251</f>
        <v>310</v>
      </c>
      <c r="I1767" s="84">
        <f>IFERROR(ROUND(E1767*H1767,2),"-")</f>
        <v>0</v>
      </c>
      <c r="J1767" s="105">
        <f>IFERROR(I1767/cell_Total_HT,"-")</f>
        <v>0</v>
      </c>
      <c r="K1767">
        <f>I1767</f>
        <v>0</v>
      </c>
      <c r="L1767"/>
      <c r="M1767"/>
      <c r="N1767"/>
      <c r="O1767"/>
      <c r="P1767"/>
      <c r="Q1767"/>
      <c r="R1767"/>
      <c r="S1767"/>
      <c r="T1767"/>
    </row>
    <row r="1768" spans="1:20" ht="15" outlineLevel="2" thickTop="1" x14ac:dyDescent="0.3">
      <c r="A1768" s="82" t="s">
        <v>2552</v>
      </c>
      <c r="B1768" s="62" t="s">
        <v>60</v>
      </c>
      <c r="C1768" s="63" t="s">
        <v>786</v>
      </c>
      <c r="D1768" s="116"/>
      <c r="E1768" s="88"/>
      <c r="F1768" s="88"/>
      <c r="G1768" s="98"/>
      <c r="H1768" s="88"/>
      <c r="I1768" s="88">
        <f>SUBTOTAL(9,I1746:I1767)</f>
        <v>0</v>
      </c>
      <c r="J1768" s="109"/>
      <c r="K1768"/>
      <c r="L1768"/>
      <c r="M1768"/>
      <c r="N1768"/>
      <c r="O1768"/>
      <c r="P1768"/>
      <c r="Q1768"/>
      <c r="R1768"/>
      <c r="S1768"/>
      <c r="T1768"/>
    </row>
    <row r="1769" spans="1:20" outlineLevel="2" x14ac:dyDescent="0.3">
      <c r="A1769" s="82" t="s">
        <v>2553</v>
      </c>
      <c r="B1769" s="64" t="s">
        <v>788</v>
      </c>
      <c r="C1769" s="65" t="s">
        <v>789</v>
      </c>
      <c r="D1769" s="117"/>
      <c r="E1769" s="87"/>
      <c r="F1769" s="87"/>
      <c r="G1769" s="97"/>
      <c r="H1769" s="87"/>
      <c r="I1769" s="104">
        <f>SUBTOTAL(9,K1770:K1782)</f>
        <v>0</v>
      </c>
      <c r="J1769" s="108"/>
      <c r="K1769"/>
      <c r="L1769"/>
      <c r="M1769"/>
      <c r="N1769"/>
      <c r="O1769"/>
      <c r="P1769"/>
      <c r="Q1769"/>
      <c r="R1769"/>
      <c r="S1769"/>
      <c r="T1769"/>
    </row>
    <row r="1770" spans="1:20" outlineLevel="3" x14ac:dyDescent="0.3">
      <c r="A1770" s="82" t="s">
        <v>2554</v>
      </c>
      <c r="B1770" s="64" t="s">
        <v>791</v>
      </c>
      <c r="C1770" s="66" t="s">
        <v>792</v>
      </c>
      <c r="D1770" s="117"/>
      <c r="E1770" s="87"/>
      <c r="F1770" s="87"/>
      <c r="G1770" s="97"/>
      <c r="H1770" s="87"/>
      <c r="I1770" s="104">
        <f>SUBTOTAL(9,K1771:K1772)</f>
        <v>0</v>
      </c>
      <c r="J1770" s="108"/>
      <c r="K1770"/>
      <c r="L1770"/>
      <c r="M1770"/>
      <c r="N1770"/>
      <c r="O1770"/>
      <c r="P1770"/>
      <c r="Q1770"/>
      <c r="R1770"/>
      <c r="S1770"/>
      <c r="T1770"/>
    </row>
    <row r="1771" spans="1:20" outlineLevel="4" x14ac:dyDescent="0.3">
      <c r="A1771" s="82" t="s">
        <v>2555</v>
      </c>
      <c r="B1771" s="10" t="s">
        <v>794</v>
      </c>
      <c r="C1771" s="60" t="s">
        <v>795</v>
      </c>
      <c r="D1771" s="44" t="s">
        <v>80</v>
      </c>
      <c r="E1771" s="84">
        <v>0</v>
      </c>
      <c r="F1771" s="84"/>
      <c r="G1771" s="94">
        <f>cell_CoefGeneral</f>
        <v>1</v>
      </c>
      <c r="H1771" s="93">
        <f>H255</f>
        <v>39</v>
      </c>
      <c r="I1771" s="84">
        <f>IFERROR(ROUND(E1771*H1771,2),"-")</f>
        <v>0</v>
      </c>
      <c r="J1771" s="105">
        <f>IFERROR(I1771/cell_Total_HT,"-")</f>
        <v>0</v>
      </c>
      <c r="K1771">
        <f>I1771</f>
        <v>0</v>
      </c>
      <c r="L1771"/>
      <c r="M1771"/>
      <c r="N1771"/>
      <c r="O1771"/>
      <c r="P1771"/>
      <c r="Q1771"/>
      <c r="R1771"/>
      <c r="S1771"/>
      <c r="T1771"/>
    </row>
    <row r="1772" spans="1:20" outlineLevel="4" x14ac:dyDescent="0.3">
      <c r="A1772" s="82" t="s">
        <v>2556</v>
      </c>
      <c r="B1772" s="10" t="s">
        <v>797</v>
      </c>
      <c r="C1772" s="60" t="s">
        <v>798</v>
      </c>
      <c r="D1772" s="44" t="s">
        <v>80</v>
      </c>
      <c r="E1772" s="84">
        <v>0</v>
      </c>
      <c r="F1772" s="84"/>
      <c r="G1772" s="94">
        <f>cell_CoefGeneral</f>
        <v>1</v>
      </c>
      <c r="H1772" s="93">
        <f>H256</f>
        <v>30</v>
      </c>
      <c r="I1772" s="84">
        <f>IFERROR(ROUND(E1772*H1772,2),"-")</f>
        <v>0</v>
      </c>
      <c r="J1772" s="105">
        <f>IFERROR(I1772/cell_Total_HT,"-")</f>
        <v>0</v>
      </c>
      <c r="K1772">
        <f>I1772</f>
        <v>0</v>
      </c>
      <c r="L1772"/>
      <c r="M1772"/>
      <c r="N1772"/>
      <c r="O1772"/>
      <c r="P1772"/>
      <c r="Q1772"/>
      <c r="R1772"/>
      <c r="S1772"/>
      <c r="T1772"/>
    </row>
    <row r="1773" spans="1:20" outlineLevel="3" x14ac:dyDescent="0.3">
      <c r="A1773" s="82" t="s">
        <v>2557</v>
      </c>
      <c r="B1773" s="58" t="s">
        <v>800</v>
      </c>
      <c r="C1773" s="61" t="s">
        <v>801</v>
      </c>
      <c r="D1773" s="115"/>
      <c r="E1773" s="87"/>
      <c r="F1773" s="87"/>
      <c r="G1773" s="97"/>
      <c r="H1773" s="87"/>
      <c r="I1773" s="104">
        <f>SUBTOTAL(9,K1774:K1775)</f>
        <v>0</v>
      </c>
      <c r="J1773" s="108"/>
      <c r="K1773"/>
      <c r="L1773"/>
      <c r="M1773"/>
      <c r="N1773"/>
      <c r="O1773"/>
      <c r="P1773"/>
      <c r="Q1773"/>
      <c r="R1773"/>
      <c r="S1773"/>
      <c r="T1773"/>
    </row>
    <row r="1774" spans="1:20" outlineLevel="4" x14ac:dyDescent="0.3">
      <c r="A1774" s="82" t="s">
        <v>2558</v>
      </c>
      <c r="B1774" s="10" t="s">
        <v>803</v>
      </c>
      <c r="C1774" s="60" t="s">
        <v>804</v>
      </c>
      <c r="D1774" s="44" t="s">
        <v>80</v>
      </c>
      <c r="E1774" s="84">
        <v>0</v>
      </c>
      <c r="F1774" s="84"/>
      <c r="G1774" s="94">
        <f>cell_CoefGeneral</f>
        <v>1</v>
      </c>
      <c r="H1774" s="93">
        <f>H258</f>
        <v>2.9</v>
      </c>
      <c r="I1774" s="84">
        <f>IFERROR(ROUND(E1774*H1774,2),"-")</f>
        <v>0</v>
      </c>
      <c r="J1774" s="105">
        <f>IFERROR(I1774/cell_Total_HT,"-")</f>
        <v>0</v>
      </c>
      <c r="K1774">
        <f>I1774</f>
        <v>0</v>
      </c>
      <c r="L1774"/>
      <c r="M1774"/>
      <c r="N1774"/>
      <c r="O1774"/>
      <c r="P1774"/>
      <c r="Q1774"/>
      <c r="R1774"/>
      <c r="S1774"/>
      <c r="T1774"/>
    </row>
    <row r="1775" spans="1:20" outlineLevel="4" x14ac:dyDescent="0.3">
      <c r="A1775" s="82" t="s">
        <v>2559</v>
      </c>
      <c r="B1775" s="10" t="s">
        <v>806</v>
      </c>
      <c r="C1775" s="60" t="s">
        <v>807</v>
      </c>
      <c r="D1775" s="44" t="s">
        <v>80</v>
      </c>
      <c r="E1775" s="84">
        <v>0</v>
      </c>
      <c r="F1775" s="84"/>
      <c r="G1775" s="94">
        <f>cell_CoefGeneral</f>
        <v>1</v>
      </c>
      <c r="H1775" s="93">
        <f>H259</f>
        <v>4</v>
      </c>
      <c r="I1775" s="84">
        <f>IFERROR(ROUND(E1775*H1775,2),"-")</f>
        <v>0</v>
      </c>
      <c r="J1775" s="105">
        <f>IFERROR(I1775/cell_Total_HT,"-")</f>
        <v>0</v>
      </c>
      <c r="K1775">
        <f>I1775</f>
        <v>0</v>
      </c>
      <c r="L1775"/>
      <c r="M1775"/>
      <c r="N1775"/>
      <c r="O1775"/>
      <c r="P1775"/>
      <c r="Q1775"/>
      <c r="R1775"/>
      <c r="S1775"/>
      <c r="T1775"/>
    </row>
    <row r="1776" spans="1:20" outlineLevel="3" x14ac:dyDescent="0.3">
      <c r="A1776" s="82" t="s">
        <v>2560</v>
      </c>
      <c r="B1776" s="10" t="s">
        <v>809</v>
      </c>
      <c r="C1776" s="60" t="s">
        <v>810</v>
      </c>
      <c r="D1776" s="44" t="s">
        <v>80</v>
      </c>
      <c r="E1776" s="84">
        <v>0</v>
      </c>
      <c r="F1776" s="84"/>
      <c r="G1776" s="94">
        <f>cell_CoefGeneral</f>
        <v>1</v>
      </c>
      <c r="H1776" s="93">
        <f>H260</f>
        <v>28</v>
      </c>
      <c r="I1776" s="84">
        <f>IFERROR(ROUND(E1776*H1776,2),"-")</f>
        <v>0</v>
      </c>
      <c r="J1776" s="105">
        <f>IFERROR(I1776/cell_Total_HT,"-")</f>
        <v>0</v>
      </c>
      <c r="K1776">
        <f>I1776</f>
        <v>0</v>
      </c>
      <c r="L1776"/>
      <c r="M1776"/>
      <c r="N1776"/>
      <c r="O1776"/>
      <c r="P1776"/>
      <c r="Q1776"/>
      <c r="R1776"/>
      <c r="S1776"/>
      <c r="T1776"/>
    </row>
    <row r="1777" spans="1:20" outlineLevel="3" x14ac:dyDescent="0.3">
      <c r="A1777" s="82" t="s">
        <v>2561</v>
      </c>
      <c r="B1777" s="58" t="s">
        <v>812</v>
      </c>
      <c r="C1777" s="61" t="s">
        <v>813</v>
      </c>
      <c r="D1777" s="115"/>
      <c r="E1777" s="87"/>
      <c r="F1777" s="87"/>
      <c r="G1777" s="97"/>
      <c r="H1777" s="87"/>
      <c r="I1777" s="104">
        <f>SUBTOTAL(9,K1778:K1780)</f>
        <v>0</v>
      </c>
      <c r="J1777" s="108"/>
      <c r="K1777"/>
      <c r="L1777"/>
      <c r="M1777"/>
      <c r="N1777"/>
      <c r="O1777"/>
      <c r="P1777"/>
      <c r="Q1777"/>
      <c r="R1777"/>
      <c r="S1777"/>
      <c r="T1777"/>
    </row>
    <row r="1778" spans="1:20" outlineLevel="4" x14ac:dyDescent="0.3">
      <c r="A1778" s="82" t="s">
        <v>2562</v>
      </c>
      <c r="B1778" s="10" t="s">
        <v>815</v>
      </c>
      <c r="C1778" s="60" t="s">
        <v>816</v>
      </c>
      <c r="D1778" s="44" t="s">
        <v>121</v>
      </c>
      <c r="E1778" s="84">
        <v>0</v>
      </c>
      <c r="F1778" s="84"/>
      <c r="G1778" s="94">
        <f>cell_CoefGeneral</f>
        <v>1</v>
      </c>
      <c r="H1778" s="93">
        <f>H262</f>
        <v>280</v>
      </c>
      <c r="I1778" s="84">
        <f>IFERROR(ROUND(E1778*H1778,2),"-")</f>
        <v>0</v>
      </c>
      <c r="J1778" s="105">
        <f>IFERROR(I1778/cell_Total_HT,"-")</f>
        <v>0</v>
      </c>
      <c r="K1778">
        <f>I1778</f>
        <v>0</v>
      </c>
      <c r="L1778"/>
      <c r="M1778"/>
      <c r="N1778"/>
      <c r="O1778"/>
      <c r="P1778"/>
      <c r="Q1778"/>
      <c r="R1778"/>
      <c r="S1778"/>
      <c r="T1778"/>
    </row>
    <row r="1779" spans="1:20" outlineLevel="4" x14ac:dyDescent="0.3">
      <c r="A1779" s="82" t="s">
        <v>2563</v>
      </c>
      <c r="B1779" s="10" t="s">
        <v>818</v>
      </c>
      <c r="C1779" s="60" t="s">
        <v>819</v>
      </c>
      <c r="D1779" s="44" t="s">
        <v>121</v>
      </c>
      <c r="E1779" s="84">
        <v>0</v>
      </c>
      <c r="F1779" s="84"/>
      <c r="G1779" s="94">
        <f>cell_CoefGeneral</f>
        <v>1</v>
      </c>
      <c r="H1779" s="93">
        <f>H263</f>
        <v>400</v>
      </c>
      <c r="I1779" s="84">
        <f>IFERROR(ROUND(E1779*H1779,2),"-")</f>
        <v>0</v>
      </c>
      <c r="J1779" s="105">
        <f>IFERROR(I1779/cell_Total_HT,"-")</f>
        <v>0</v>
      </c>
      <c r="K1779">
        <f>I1779</f>
        <v>0</v>
      </c>
      <c r="L1779"/>
      <c r="M1779"/>
      <c r="N1779"/>
      <c r="O1779"/>
      <c r="P1779"/>
      <c r="Q1779"/>
      <c r="R1779"/>
      <c r="S1779"/>
      <c r="T1779"/>
    </row>
    <row r="1780" spans="1:20" outlineLevel="4" x14ac:dyDescent="0.3">
      <c r="A1780" s="82" t="s">
        <v>2564</v>
      </c>
      <c r="B1780" s="10" t="s">
        <v>821</v>
      </c>
      <c r="C1780" s="60" t="s">
        <v>822</v>
      </c>
      <c r="D1780" s="44" t="s">
        <v>121</v>
      </c>
      <c r="E1780" s="84">
        <v>0</v>
      </c>
      <c r="F1780" s="84"/>
      <c r="G1780" s="94">
        <f>cell_CoefGeneral</f>
        <v>1</v>
      </c>
      <c r="H1780" s="93">
        <f>H264</f>
        <v>520</v>
      </c>
      <c r="I1780" s="84">
        <f>IFERROR(ROUND(E1780*H1780,2),"-")</f>
        <v>0</v>
      </c>
      <c r="J1780" s="105">
        <f>IFERROR(I1780/cell_Total_HT,"-")</f>
        <v>0</v>
      </c>
      <c r="K1780">
        <f>I1780</f>
        <v>0</v>
      </c>
      <c r="L1780"/>
      <c r="M1780"/>
      <c r="N1780"/>
      <c r="O1780"/>
      <c r="P1780"/>
      <c r="Q1780"/>
      <c r="R1780"/>
      <c r="S1780"/>
      <c r="T1780"/>
    </row>
    <row r="1781" spans="1:20" outlineLevel="3" x14ac:dyDescent="0.3">
      <c r="A1781" s="82" t="s">
        <v>2565</v>
      </c>
      <c r="B1781" s="10" t="s">
        <v>824</v>
      </c>
      <c r="C1781" s="60" t="s">
        <v>781</v>
      </c>
      <c r="D1781" s="44" t="s">
        <v>80</v>
      </c>
      <c r="E1781" s="84">
        <v>0</v>
      </c>
      <c r="F1781" s="84"/>
      <c r="G1781" s="94">
        <f>cell_CoefGeneral</f>
        <v>1</v>
      </c>
      <c r="H1781" s="93">
        <f>H265</f>
        <v>31</v>
      </c>
      <c r="I1781" s="84">
        <f>IFERROR(ROUND(E1781*H1781,2),"-")</f>
        <v>0</v>
      </c>
      <c r="J1781" s="105">
        <f>IFERROR(I1781/cell_Total_HT,"-")</f>
        <v>0</v>
      </c>
      <c r="K1781">
        <f>I1781</f>
        <v>0</v>
      </c>
      <c r="L1781"/>
      <c r="M1781"/>
      <c r="N1781"/>
      <c r="O1781"/>
      <c r="P1781"/>
      <c r="Q1781"/>
      <c r="R1781"/>
      <c r="S1781"/>
      <c r="T1781"/>
    </row>
    <row r="1782" spans="1:20" ht="15" outlineLevel="3" thickBot="1" x14ac:dyDescent="0.35">
      <c r="A1782" s="82" t="s">
        <v>2566</v>
      </c>
      <c r="B1782" s="10" t="s">
        <v>826</v>
      </c>
      <c r="C1782" s="60" t="s">
        <v>827</v>
      </c>
      <c r="D1782" s="44" t="s">
        <v>121</v>
      </c>
      <c r="E1782" s="84">
        <v>0</v>
      </c>
      <c r="F1782" s="84"/>
      <c r="G1782" s="94">
        <f>cell_CoefGeneral</f>
        <v>1</v>
      </c>
      <c r="H1782" s="93">
        <f>H266</f>
        <v>230</v>
      </c>
      <c r="I1782" s="84">
        <f>IFERROR(ROUND(E1782*H1782,2),"-")</f>
        <v>0</v>
      </c>
      <c r="J1782" s="105">
        <f>IFERROR(I1782/cell_Total_HT,"-")</f>
        <v>0</v>
      </c>
      <c r="K1782">
        <f>I1782</f>
        <v>0</v>
      </c>
      <c r="L1782"/>
      <c r="M1782"/>
      <c r="N1782"/>
      <c r="O1782"/>
      <c r="P1782"/>
      <c r="Q1782"/>
      <c r="R1782"/>
      <c r="S1782"/>
      <c r="T1782"/>
    </row>
    <row r="1783" spans="1:20" ht="15" outlineLevel="2" thickTop="1" x14ac:dyDescent="0.3">
      <c r="A1783" s="82" t="s">
        <v>2567</v>
      </c>
      <c r="B1783" s="62" t="s">
        <v>60</v>
      </c>
      <c r="C1783" s="63" t="s">
        <v>829</v>
      </c>
      <c r="D1783" s="116"/>
      <c r="E1783" s="88"/>
      <c r="F1783" s="88"/>
      <c r="G1783" s="98"/>
      <c r="H1783" s="88"/>
      <c r="I1783" s="88">
        <f>SUBTOTAL(9,I1771:I1782)</f>
        <v>0</v>
      </c>
      <c r="J1783" s="109"/>
      <c r="K1783"/>
      <c r="L1783"/>
      <c r="M1783"/>
      <c r="N1783"/>
      <c r="O1783"/>
      <c r="P1783"/>
      <c r="Q1783"/>
      <c r="R1783"/>
      <c r="S1783"/>
      <c r="T1783"/>
    </row>
    <row r="1784" spans="1:20" outlineLevel="2" x14ac:dyDescent="0.3">
      <c r="A1784" s="82" t="s">
        <v>2568</v>
      </c>
      <c r="B1784" s="64" t="s">
        <v>831</v>
      </c>
      <c r="C1784" s="65" t="s">
        <v>832</v>
      </c>
      <c r="D1784" s="117"/>
      <c r="E1784" s="87"/>
      <c r="F1784" s="87"/>
      <c r="G1784" s="97"/>
      <c r="H1784" s="87"/>
      <c r="I1784" s="104">
        <f>SUBTOTAL(9,K1785:K1807)</f>
        <v>4987.6000000000004</v>
      </c>
      <c r="J1784" s="108"/>
      <c r="K1784"/>
      <c r="L1784"/>
      <c r="M1784"/>
      <c r="N1784"/>
      <c r="O1784"/>
      <c r="P1784"/>
      <c r="Q1784"/>
      <c r="R1784"/>
      <c r="S1784"/>
      <c r="T1784"/>
    </row>
    <row r="1785" spans="1:20" outlineLevel="3" x14ac:dyDescent="0.3">
      <c r="A1785" s="82" t="s">
        <v>2569</v>
      </c>
      <c r="B1785" s="64" t="s">
        <v>834</v>
      </c>
      <c r="C1785" s="66" t="s">
        <v>835</v>
      </c>
      <c r="D1785" s="117"/>
      <c r="E1785" s="87"/>
      <c r="F1785" s="87"/>
      <c r="G1785" s="97"/>
      <c r="H1785" s="87"/>
      <c r="I1785" s="104">
        <f>SUBTOTAL(9,K1786:K1788)</f>
        <v>2106</v>
      </c>
      <c r="J1785" s="108"/>
      <c r="K1785"/>
      <c r="L1785"/>
      <c r="M1785"/>
      <c r="N1785"/>
      <c r="O1785"/>
      <c r="P1785"/>
      <c r="Q1785"/>
      <c r="R1785"/>
      <c r="S1785"/>
      <c r="T1785"/>
    </row>
    <row r="1786" spans="1:20" outlineLevel="4" x14ac:dyDescent="0.3">
      <c r="A1786" s="82" t="s">
        <v>2570</v>
      </c>
      <c r="B1786" s="10" t="s">
        <v>837</v>
      </c>
      <c r="C1786" s="60" t="s">
        <v>795</v>
      </c>
      <c r="D1786" s="44" t="s">
        <v>80</v>
      </c>
      <c r="E1786" s="84">
        <v>0</v>
      </c>
      <c r="F1786" s="84"/>
      <c r="G1786" s="94">
        <f>cell_CoefGeneral</f>
        <v>1</v>
      </c>
      <c r="H1786" s="93">
        <f>H270</f>
        <v>55</v>
      </c>
      <c r="I1786" s="84">
        <f>IFERROR(ROUND(E1786*H1786,2),"-")</f>
        <v>0</v>
      </c>
      <c r="J1786" s="105">
        <f>IFERROR(I1786/cell_Total_HT,"-")</f>
        <v>0</v>
      </c>
      <c r="K1786">
        <f>I1786</f>
        <v>0</v>
      </c>
      <c r="L1786"/>
      <c r="M1786"/>
      <c r="N1786"/>
      <c r="O1786"/>
      <c r="P1786"/>
      <c r="Q1786"/>
      <c r="R1786"/>
      <c r="S1786"/>
      <c r="T1786"/>
    </row>
    <row r="1787" spans="1:20" outlineLevel="4" x14ac:dyDescent="0.3">
      <c r="A1787" s="82" t="s">
        <v>2571</v>
      </c>
      <c r="B1787" s="10" t="s">
        <v>839</v>
      </c>
      <c r="C1787" s="60" t="s">
        <v>798</v>
      </c>
      <c r="D1787" s="44" t="s">
        <v>80</v>
      </c>
      <c r="E1787" s="84">
        <v>117</v>
      </c>
      <c r="F1787" s="84"/>
      <c r="G1787" s="94">
        <f>cell_CoefGeneral</f>
        <v>1</v>
      </c>
      <c r="H1787" s="93">
        <f>H271</f>
        <v>18</v>
      </c>
      <c r="I1787" s="84">
        <f>IFERROR(ROUND(E1787*H1787,2),"-")</f>
        <v>2106</v>
      </c>
      <c r="J1787" s="105">
        <f>IFERROR(I1787/cell_Total_HT,"-")</f>
        <v>6.2173935570266541E-4</v>
      </c>
      <c r="K1787">
        <f>I1787</f>
        <v>2106</v>
      </c>
      <c r="L1787"/>
      <c r="M1787"/>
      <c r="N1787"/>
      <c r="O1787"/>
      <c r="P1787"/>
      <c r="Q1787"/>
      <c r="R1787"/>
      <c r="S1787"/>
      <c r="T1787"/>
    </row>
    <row r="1788" spans="1:20" outlineLevel="4" x14ac:dyDescent="0.3">
      <c r="A1788" s="82" t="s">
        <v>2572</v>
      </c>
      <c r="B1788" s="10" t="s">
        <v>841</v>
      </c>
      <c r="C1788" s="60" t="s">
        <v>842</v>
      </c>
      <c r="D1788" s="44" t="s">
        <v>80</v>
      </c>
      <c r="E1788" s="84">
        <v>0</v>
      </c>
      <c r="F1788" s="84"/>
      <c r="G1788" s="94">
        <f>cell_CoefGeneral</f>
        <v>1</v>
      </c>
      <c r="H1788" s="93">
        <f>H272</f>
        <v>66</v>
      </c>
      <c r="I1788" s="84">
        <f>IFERROR(ROUND(E1788*H1788,2),"-")</f>
        <v>0</v>
      </c>
      <c r="J1788" s="105">
        <f>IFERROR(I1788/cell_Total_HT,"-")</f>
        <v>0</v>
      </c>
      <c r="K1788">
        <f>I1788</f>
        <v>0</v>
      </c>
      <c r="L1788"/>
      <c r="M1788"/>
      <c r="N1788"/>
      <c r="O1788"/>
      <c r="P1788"/>
      <c r="Q1788"/>
      <c r="R1788"/>
      <c r="S1788"/>
      <c r="T1788"/>
    </row>
    <row r="1789" spans="1:20" outlineLevel="3" x14ac:dyDescent="0.3">
      <c r="A1789" s="82" t="s">
        <v>2573</v>
      </c>
      <c r="B1789" s="58" t="s">
        <v>844</v>
      </c>
      <c r="C1789" s="61" t="s">
        <v>845</v>
      </c>
      <c r="D1789" s="115"/>
      <c r="E1789" s="87"/>
      <c r="F1789" s="87"/>
      <c r="G1789" s="97"/>
      <c r="H1789" s="87"/>
      <c r="I1789" s="104">
        <f>SUBTOTAL(9,K1790:K1793)</f>
        <v>366.8</v>
      </c>
      <c r="J1789" s="108"/>
      <c r="K1789"/>
      <c r="L1789"/>
      <c r="M1789"/>
      <c r="N1789"/>
      <c r="O1789"/>
      <c r="P1789"/>
      <c r="Q1789"/>
      <c r="R1789"/>
      <c r="S1789"/>
      <c r="T1789"/>
    </row>
    <row r="1790" spans="1:20" outlineLevel="4" x14ac:dyDescent="0.3">
      <c r="A1790" s="82" t="s">
        <v>2574</v>
      </c>
      <c r="B1790" s="10" t="s">
        <v>847</v>
      </c>
      <c r="C1790" s="60" t="s">
        <v>848</v>
      </c>
      <c r="D1790" s="44" t="s">
        <v>80</v>
      </c>
      <c r="E1790" s="84">
        <v>0</v>
      </c>
      <c r="F1790" s="84"/>
      <c r="G1790" s="94">
        <f>cell_CoefGeneral</f>
        <v>1</v>
      </c>
      <c r="H1790" s="93">
        <f>H274</f>
        <v>2.6</v>
      </c>
      <c r="I1790" s="84">
        <f>IFERROR(ROUND(E1790*H1790,2),"-")</f>
        <v>0</v>
      </c>
      <c r="J1790" s="105">
        <f>IFERROR(I1790/cell_Total_HT,"-")</f>
        <v>0</v>
      </c>
      <c r="K1790">
        <f>I1790</f>
        <v>0</v>
      </c>
      <c r="L1790"/>
      <c r="M1790"/>
      <c r="N1790"/>
      <c r="O1790"/>
      <c r="P1790"/>
      <c r="Q1790"/>
      <c r="R1790"/>
      <c r="S1790"/>
      <c r="T1790"/>
    </row>
    <row r="1791" spans="1:20" outlineLevel="4" x14ac:dyDescent="0.3">
      <c r="A1791" s="82" t="s">
        <v>2575</v>
      </c>
      <c r="B1791" s="10" t="s">
        <v>850</v>
      </c>
      <c r="C1791" s="60" t="s">
        <v>851</v>
      </c>
      <c r="D1791" s="44" t="s">
        <v>80</v>
      </c>
      <c r="E1791" s="84">
        <v>131</v>
      </c>
      <c r="F1791" s="84"/>
      <c r="G1791" s="94">
        <f>cell_CoefGeneral</f>
        <v>1</v>
      </c>
      <c r="H1791" s="93">
        <f>H275</f>
        <v>2.8</v>
      </c>
      <c r="I1791" s="84">
        <f>IFERROR(ROUND(E1791*H1791,2),"-")</f>
        <v>366.8</v>
      </c>
      <c r="J1791" s="105">
        <f>IFERROR(I1791/cell_Total_HT,"-")</f>
        <v>1.0828774723254402E-4</v>
      </c>
      <c r="K1791">
        <f>I1791</f>
        <v>366.8</v>
      </c>
      <c r="L1791"/>
      <c r="M1791"/>
      <c r="N1791"/>
      <c r="O1791"/>
      <c r="P1791"/>
      <c r="Q1791"/>
      <c r="R1791"/>
      <c r="S1791"/>
      <c r="T1791"/>
    </row>
    <row r="1792" spans="1:20" outlineLevel="4" x14ac:dyDescent="0.3">
      <c r="A1792" s="82" t="s">
        <v>2576</v>
      </c>
      <c r="B1792" s="10" t="s">
        <v>853</v>
      </c>
      <c r="C1792" s="60" t="s">
        <v>854</v>
      </c>
      <c r="D1792" s="44" t="s">
        <v>80</v>
      </c>
      <c r="E1792" s="84">
        <v>0</v>
      </c>
      <c r="F1792" s="84"/>
      <c r="G1792" s="94">
        <f>cell_CoefGeneral</f>
        <v>1</v>
      </c>
      <c r="H1792" s="93">
        <f>H276</f>
        <v>3.2</v>
      </c>
      <c r="I1792" s="84">
        <f>IFERROR(ROUND(E1792*H1792,2),"-")</f>
        <v>0</v>
      </c>
      <c r="J1792" s="105">
        <f>IFERROR(I1792/cell_Total_HT,"-")</f>
        <v>0</v>
      </c>
      <c r="K1792">
        <f>I1792</f>
        <v>0</v>
      </c>
      <c r="L1792"/>
      <c r="M1792"/>
      <c r="N1792"/>
      <c r="O1792"/>
      <c r="P1792"/>
      <c r="Q1792"/>
      <c r="R1792"/>
      <c r="S1792"/>
      <c r="T1792"/>
    </row>
    <row r="1793" spans="1:20" outlineLevel="4" x14ac:dyDescent="0.3">
      <c r="A1793" s="82" t="s">
        <v>2577</v>
      </c>
      <c r="B1793" s="10" t="s">
        <v>856</v>
      </c>
      <c r="C1793" s="60" t="s">
        <v>857</v>
      </c>
      <c r="D1793" s="44" t="s">
        <v>80</v>
      </c>
      <c r="E1793" s="84">
        <v>0</v>
      </c>
      <c r="F1793" s="84"/>
      <c r="G1793" s="94">
        <f>cell_CoefGeneral</f>
        <v>1</v>
      </c>
      <c r="H1793" s="93">
        <f>H277</f>
        <v>3.6</v>
      </c>
      <c r="I1793" s="84">
        <f>IFERROR(ROUND(E1793*H1793,2),"-")</f>
        <v>0</v>
      </c>
      <c r="J1793" s="105">
        <f>IFERROR(I1793/cell_Total_HT,"-")</f>
        <v>0</v>
      </c>
      <c r="K1793">
        <f>I1793</f>
        <v>0</v>
      </c>
      <c r="L1793"/>
      <c r="M1793"/>
      <c r="N1793"/>
      <c r="O1793"/>
      <c r="P1793"/>
      <c r="Q1793"/>
      <c r="R1793"/>
      <c r="S1793"/>
      <c r="T1793"/>
    </row>
    <row r="1794" spans="1:20" outlineLevel="3" x14ac:dyDescent="0.3">
      <c r="A1794" s="82" t="s">
        <v>2578</v>
      </c>
      <c r="B1794" s="10" t="s">
        <v>859</v>
      </c>
      <c r="C1794" s="60" t="s">
        <v>860</v>
      </c>
      <c r="D1794" s="44" t="s">
        <v>80</v>
      </c>
      <c r="E1794" s="84">
        <v>117</v>
      </c>
      <c r="F1794" s="84"/>
      <c r="G1794" s="94">
        <f>cell_CoefGeneral</f>
        <v>1</v>
      </c>
      <c r="H1794" s="93">
        <f>H278</f>
        <v>4.4000000000000004</v>
      </c>
      <c r="I1794" s="84">
        <f>IFERROR(ROUND(E1794*H1794,2),"-")</f>
        <v>514.79999999999995</v>
      </c>
      <c r="J1794" s="105">
        <f>IFERROR(I1794/cell_Total_HT,"-")</f>
        <v>1.5198073139398486E-4</v>
      </c>
      <c r="K1794">
        <f>I1794</f>
        <v>514.79999999999995</v>
      </c>
      <c r="L1794"/>
      <c r="M1794"/>
      <c r="N1794"/>
      <c r="O1794"/>
      <c r="P1794"/>
      <c r="Q1794"/>
      <c r="R1794"/>
      <c r="S1794"/>
      <c r="T1794"/>
    </row>
    <row r="1795" spans="1:20" outlineLevel="3" x14ac:dyDescent="0.3">
      <c r="A1795" s="82" t="s">
        <v>2579</v>
      </c>
      <c r="B1795" s="58" t="s">
        <v>862</v>
      </c>
      <c r="C1795" s="61" t="s">
        <v>863</v>
      </c>
      <c r="D1795" s="115"/>
      <c r="E1795" s="87"/>
      <c r="F1795" s="87"/>
      <c r="G1795" s="97"/>
      <c r="H1795" s="87"/>
      <c r="I1795" s="104">
        <f>SUBTOTAL(9,K1796:K1798)</f>
        <v>640</v>
      </c>
      <c r="J1795" s="108"/>
      <c r="K1795"/>
      <c r="L1795"/>
      <c r="M1795"/>
      <c r="N1795"/>
      <c r="O1795"/>
      <c r="P1795"/>
      <c r="Q1795"/>
      <c r="R1795"/>
      <c r="S1795"/>
      <c r="T1795"/>
    </row>
    <row r="1796" spans="1:20" outlineLevel="4" x14ac:dyDescent="0.3">
      <c r="A1796" s="82" t="s">
        <v>2580</v>
      </c>
      <c r="B1796" s="10" t="s">
        <v>865</v>
      </c>
      <c r="C1796" s="60" t="s">
        <v>866</v>
      </c>
      <c r="D1796" s="44" t="s">
        <v>121</v>
      </c>
      <c r="E1796" s="84">
        <v>2</v>
      </c>
      <c r="F1796" s="84"/>
      <c r="G1796" s="94">
        <f>cell_CoefGeneral</f>
        <v>1</v>
      </c>
      <c r="H1796" s="93">
        <f>H280</f>
        <v>320</v>
      </c>
      <c r="I1796" s="84">
        <f>IFERROR(ROUND(E1796*H1796,2),"-")</f>
        <v>640</v>
      </c>
      <c r="J1796" s="105">
        <f>IFERROR(I1796/cell_Total_HT,"-")</f>
        <v>1.8894263421163622E-4</v>
      </c>
      <c r="K1796">
        <f>I1796</f>
        <v>640</v>
      </c>
      <c r="L1796"/>
      <c r="M1796"/>
      <c r="N1796"/>
      <c r="O1796"/>
      <c r="P1796"/>
      <c r="Q1796"/>
      <c r="R1796"/>
      <c r="S1796"/>
      <c r="T1796"/>
    </row>
    <row r="1797" spans="1:20" outlineLevel="4" x14ac:dyDescent="0.3">
      <c r="A1797" s="82" t="s">
        <v>2581</v>
      </c>
      <c r="B1797" s="10" t="s">
        <v>868</v>
      </c>
      <c r="C1797" s="60" t="s">
        <v>869</v>
      </c>
      <c r="D1797" s="44" t="s">
        <v>121</v>
      </c>
      <c r="E1797" s="84">
        <v>0</v>
      </c>
      <c r="F1797" s="84"/>
      <c r="G1797" s="94">
        <f>cell_CoefGeneral</f>
        <v>1</v>
      </c>
      <c r="H1797" s="93">
        <f>H281</f>
        <v>510</v>
      </c>
      <c r="I1797" s="84">
        <f>IFERROR(ROUND(E1797*H1797,2),"-")</f>
        <v>0</v>
      </c>
      <c r="J1797" s="105">
        <f>IFERROR(I1797/cell_Total_HT,"-")</f>
        <v>0</v>
      </c>
      <c r="K1797">
        <f>I1797</f>
        <v>0</v>
      </c>
      <c r="L1797"/>
      <c r="M1797"/>
      <c r="N1797"/>
      <c r="O1797"/>
      <c r="P1797"/>
      <c r="Q1797"/>
      <c r="R1797"/>
      <c r="S1797"/>
      <c r="T1797"/>
    </row>
    <row r="1798" spans="1:20" outlineLevel="4" x14ac:dyDescent="0.3">
      <c r="A1798" s="82" t="s">
        <v>2582</v>
      </c>
      <c r="B1798" s="10" t="s">
        <v>871</v>
      </c>
      <c r="C1798" s="60" t="s">
        <v>819</v>
      </c>
      <c r="D1798" s="44" t="s">
        <v>121</v>
      </c>
      <c r="E1798" s="84">
        <v>0</v>
      </c>
      <c r="F1798" s="84"/>
      <c r="G1798" s="94">
        <f>cell_CoefGeneral</f>
        <v>1</v>
      </c>
      <c r="H1798" s="93">
        <f>H282</f>
        <v>400</v>
      </c>
      <c r="I1798" s="84">
        <f>IFERROR(ROUND(E1798*H1798,2),"-")</f>
        <v>0</v>
      </c>
      <c r="J1798" s="105">
        <f>IFERROR(I1798/cell_Total_HT,"-")</f>
        <v>0</v>
      </c>
      <c r="K1798">
        <f>I1798</f>
        <v>0</v>
      </c>
      <c r="L1798"/>
      <c r="M1798"/>
      <c r="N1798"/>
      <c r="O1798"/>
      <c r="P1798"/>
      <c r="Q1798"/>
      <c r="R1798"/>
      <c r="S1798"/>
      <c r="T1798"/>
    </row>
    <row r="1799" spans="1:20" outlineLevel="3" x14ac:dyDescent="0.3">
      <c r="A1799" s="82" t="s">
        <v>2583</v>
      </c>
      <c r="B1799" s="10" t="s">
        <v>873</v>
      </c>
      <c r="C1799" s="60" t="s">
        <v>874</v>
      </c>
      <c r="D1799" s="44" t="s">
        <v>121</v>
      </c>
      <c r="E1799" s="84">
        <v>0</v>
      </c>
      <c r="F1799" s="84"/>
      <c r="G1799" s="94">
        <f>cell_CoefGeneral</f>
        <v>1</v>
      </c>
      <c r="H1799" s="93">
        <f>H283</f>
        <v>370</v>
      </c>
      <c r="I1799" s="84">
        <f>IFERROR(ROUND(E1799*H1799,2),"-")</f>
        <v>0</v>
      </c>
      <c r="J1799" s="105">
        <f>IFERROR(I1799/cell_Total_HT,"-")</f>
        <v>0</v>
      </c>
      <c r="K1799">
        <f>I1799</f>
        <v>0</v>
      </c>
      <c r="L1799"/>
      <c r="M1799"/>
      <c r="N1799"/>
      <c r="O1799"/>
      <c r="P1799"/>
      <c r="Q1799"/>
      <c r="R1799"/>
      <c r="S1799"/>
      <c r="T1799"/>
    </row>
    <row r="1800" spans="1:20" outlineLevel="3" x14ac:dyDescent="0.3">
      <c r="A1800" s="82" t="s">
        <v>2584</v>
      </c>
      <c r="B1800" s="10" t="s">
        <v>876</v>
      </c>
      <c r="C1800" s="60" t="s">
        <v>877</v>
      </c>
      <c r="D1800" s="44" t="s">
        <v>121</v>
      </c>
      <c r="E1800" s="84">
        <v>0</v>
      </c>
      <c r="F1800" s="84"/>
      <c r="G1800" s="94">
        <f>cell_CoefGeneral</f>
        <v>1</v>
      </c>
      <c r="H1800" s="93">
        <f>H284</f>
        <v>880</v>
      </c>
      <c r="I1800" s="84">
        <f>IFERROR(ROUND(E1800*H1800,2),"-")</f>
        <v>0</v>
      </c>
      <c r="J1800" s="105">
        <f>IFERROR(I1800/cell_Total_HT,"-")</f>
        <v>0</v>
      </c>
      <c r="K1800">
        <f>I1800</f>
        <v>0</v>
      </c>
      <c r="L1800"/>
      <c r="M1800"/>
      <c r="N1800"/>
      <c r="O1800"/>
      <c r="P1800"/>
      <c r="Q1800"/>
      <c r="R1800"/>
      <c r="S1800"/>
      <c r="T1800"/>
    </row>
    <row r="1801" spans="1:20" outlineLevel="3" x14ac:dyDescent="0.3">
      <c r="A1801" s="82" t="s">
        <v>2585</v>
      </c>
      <c r="B1801" s="58" t="s">
        <v>879</v>
      </c>
      <c r="C1801" s="61" t="s">
        <v>880</v>
      </c>
      <c r="D1801" s="115"/>
      <c r="E1801" s="87"/>
      <c r="F1801" s="87"/>
      <c r="G1801" s="97"/>
      <c r="H1801" s="87"/>
      <c r="I1801" s="104">
        <f>SUBTOTAL(9,K1802:K1805)</f>
        <v>1190</v>
      </c>
      <c r="J1801" s="108"/>
      <c r="K1801"/>
      <c r="L1801"/>
      <c r="M1801"/>
      <c r="N1801"/>
      <c r="O1801"/>
      <c r="P1801"/>
      <c r="Q1801"/>
      <c r="R1801"/>
      <c r="S1801"/>
      <c r="T1801"/>
    </row>
    <row r="1802" spans="1:20" outlineLevel="4" x14ac:dyDescent="0.3">
      <c r="A1802" s="82" t="s">
        <v>2586</v>
      </c>
      <c r="B1802" s="10" t="s">
        <v>882</v>
      </c>
      <c r="C1802" s="60" t="s">
        <v>883</v>
      </c>
      <c r="D1802" s="44" t="s">
        <v>121</v>
      </c>
      <c r="E1802" s="84">
        <v>7</v>
      </c>
      <c r="F1802" s="84"/>
      <c r="G1802" s="94">
        <f t="shared" ref="G1802:G1807" si="282">cell_CoefGeneral</f>
        <v>1</v>
      </c>
      <c r="H1802" s="93">
        <f t="shared" ref="H1802:H1807" si="283">H286</f>
        <v>170</v>
      </c>
      <c r="I1802" s="84">
        <f t="shared" ref="I1802:I1807" si="284">IFERROR(ROUND(E1802*H1802,2),"-")</f>
        <v>1190</v>
      </c>
      <c r="J1802" s="105">
        <f t="shared" ref="J1802:J1807" si="285">IFERROR(I1802/cell_Total_HT,"-")</f>
        <v>3.5131521048726113E-4</v>
      </c>
      <c r="K1802">
        <f t="shared" ref="K1802:K1807" si="286">I1802</f>
        <v>1190</v>
      </c>
      <c r="L1802"/>
      <c r="M1802"/>
      <c r="N1802"/>
      <c r="O1802"/>
      <c r="P1802"/>
      <c r="Q1802"/>
      <c r="R1802"/>
      <c r="S1802"/>
      <c r="T1802"/>
    </row>
    <row r="1803" spans="1:20" outlineLevel="4" x14ac:dyDescent="0.3">
      <c r="A1803" s="82" t="s">
        <v>2587</v>
      </c>
      <c r="B1803" s="10" t="s">
        <v>885</v>
      </c>
      <c r="C1803" s="60" t="s">
        <v>886</v>
      </c>
      <c r="D1803" s="44" t="s">
        <v>121</v>
      </c>
      <c r="E1803" s="84">
        <v>0</v>
      </c>
      <c r="F1803" s="84"/>
      <c r="G1803" s="94">
        <f t="shared" si="282"/>
        <v>1</v>
      </c>
      <c r="H1803" s="93">
        <f t="shared" si="283"/>
        <v>240</v>
      </c>
      <c r="I1803" s="84">
        <f t="shared" si="284"/>
        <v>0</v>
      </c>
      <c r="J1803" s="105">
        <f t="shared" si="285"/>
        <v>0</v>
      </c>
      <c r="K1803">
        <f t="shared" si="286"/>
        <v>0</v>
      </c>
      <c r="L1803"/>
      <c r="M1803"/>
      <c r="N1803"/>
      <c r="O1803"/>
      <c r="P1803"/>
      <c r="Q1803"/>
      <c r="R1803"/>
      <c r="S1803"/>
      <c r="T1803"/>
    </row>
    <row r="1804" spans="1:20" outlineLevel="4" x14ac:dyDescent="0.3">
      <c r="A1804" s="82" t="s">
        <v>2588</v>
      </c>
      <c r="B1804" s="10" t="s">
        <v>888</v>
      </c>
      <c r="C1804" s="60" t="s">
        <v>889</v>
      </c>
      <c r="D1804" s="44" t="s">
        <v>121</v>
      </c>
      <c r="E1804" s="84">
        <v>0</v>
      </c>
      <c r="F1804" s="84"/>
      <c r="G1804" s="94">
        <f t="shared" si="282"/>
        <v>1</v>
      </c>
      <c r="H1804" s="93">
        <f t="shared" si="283"/>
        <v>340</v>
      </c>
      <c r="I1804" s="84">
        <f t="shared" si="284"/>
        <v>0</v>
      </c>
      <c r="J1804" s="105">
        <f t="shared" si="285"/>
        <v>0</v>
      </c>
      <c r="K1804">
        <f t="shared" si="286"/>
        <v>0</v>
      </c>
      <c r="L1804"/>
      <c r="M1804"/>
      <c r="N1804"/>
      <c r="O1804"/>
      <c r="P1804"/>
      <c r="Q1804"/>
      <c r="R1804"/>
      <c r="S1804"/>
      <c r="T1804"/>
    </row>
    <row r="1805" spans="1:20" ht="28.8" outlineLevel="4" x14ac:dyDescent="0.3">
      <c r="A1805" s="82" t="s">
        <v>2589</v>
      </c>
      <c r="B1805" s="10" t="s">
        <v>891</v>
      </c>
      <c r="C1805" s="60" t="s">
        <v>892</v>
      </c>
      <c r="D1805" s="44" t="s">
        <v>121</v>
      </c>
      <c r="E1805" s="84">
        <v>0</v>
      </c>
      <c r="F1805" s="84"/>
      <c r="G1805" s="94">
        <f t="shared" si="282"/>
        <v>1</v>
      </c>
      <c r="H1805" s="93">
        <f t="shared" si="283"/>
        <v>710</v>
      </c>
      <c r="I1805" s="84">
        <f t="shared" si="284"/>
        <v>0</v>
      </c>
      <c r="J1805" s="105">
        <f t="shared" si="285"/>
        <v>0</v>
      </c>
      <c r="K1805">
        <f t="shared" si="286"/>
        <v>0</v>
      </c>
      <c r="L1805"/>
      <c r="M1805"/>
      <c r="N1805"/>
      <c r="O1805"/>
      <c r="P1805"/>
      <c r="Q1805"/>
      <c r="R1805"/>
      <c r="S1805"/>
      <c r="T1805"/>
    </row>
    <row r="1806" spans="1:20" outlineLevel="3" x14ac:dyDescent="0.3">
      <c r="A1806" s="82" t="s">
        <v>2590</v>
      </c>
      <c r="B1806" s="10" t="s">
        <v>894</v>
      </c>
      <c r="C1806" s="60" t="s">
        <v>781</v>
      </c>
      <c r="D1806" s="44" t="s">
        <v>80</v>
      </c>
      <c r="E1806" s="84">
        <v>0</v>
      </c>
      <c r="F1806" s="84"/>
      <c r="G1806" s="94">
        <f t="shared" si="282"/>
        <v>1</v>
      </c>
      <c r="H1806" s="93">
        <f t="shared" si="283"/>
        <v>31</v>
      </c>
      <c r="I1806" s="84">
        <f t="shared" si="284"/>
        <v>0</v>
      </c>
      <c r="J1806" s="105">
        <f t="shared" si="285"/>
        <v>0</v>
      </c>
      <c r="K1806">
        <f t="shared" si="286"/>
        <v>0</v>
      </c>
      <c r="L1806"/>
      <c r="M1806"/>
      <c r="N1806"/>
      <c r="O1806"/>
      <c r="P1806"/>
      <c r="Q1806"/>
      <c r="R1806"/>
      <c r="S1806"/>
      <c r="T1806"/>
    </row>
    <row r="1807" spans="1:20" ht="15" outlineLevel="3" thickBot="1" x14ac:dyDescent="0.35">
      <c r="A1807" s="82" t="s">
        <v>2591</v>
      </c>
      <c r="B1807" s="10" t="s">
        <v>896</v>
      </c>
      <c r="C1807" s="60" t="s">
        <v>897</v>
      </c>
      <c r="D1807" s="44" t="s">
        <v>93</v>
      </c>
      <c r="E1807" s="84">
        <v>1</v>
      </c>
      <c r="F1807" s="84"/>
      <c r="G1807" s="94">
        <f t="shared" si="282"/>
        <v>1</v>
      </c>
      <c r="H1807" s="93">
        <f t="shared" si="283"/>
        <v>170</v>
      </c>
      <c r="I1807" s="84">
        <f t="shared" si="284"/>
        <v>170</v>
      </c>
      <c r="J1807" s="105">
        <f t="shared" si="285"/>
        <v>5.0187887212465874E-5</v>
      </c>
      <c r="K1807">
        <f t="shared" si="286"/>
        <v>170</v>
      </c>
      <c r="L1807"/>
      <c r="M1807"/>
      <c r="N1807"/>
      <c r="O1807"/>
      <c r="P1807"/>
      <c r="Q1807"/>
      <c r="R1807"/>
      <c r="S1807"/>
      <c r="T1807"/>
    </row>
    <row r="1808" spans="1:20" ht="15" outlineLevel="2" thickTop="1" x14ac:dyDescent="0.3">
      <c r="A1808" s="82" t="s">
        <v>2592</v>
      </c>
      <c r="B1808" s="62" t="s">
        <v>60</v>
      </c>
      <c r="C1808" s="63" t="s">
        <v>899</v>
      </c>
      <c r="D1808" s="116"/>
      <c r="E1808" s="88"/>
      <c r="F1808" s="88"/>
      <c r="G1808" s="98"/>
      <c r="H1808" s="88"/>
      <c r="I1808" s="88">
        <f>SUBTOTAL(9,I1786:I1807)</f>
        <v>4987.6000000000004</v>
      </c>
      <c r="J1808" s="109"/>
      <c r="K1808"/>
      <c r="L1808"/>
      <c r="M1808"/>
      <c r="N1808"/>
      <c r="O1808"/>
      <c r="P1808"/>
      <c r="Q1808"/>
      <c r="R1808"/>
      <c r="S1808"/>
      <c r="T1808"/>
    </row>
    <row r="1809" spans="1:20" outlineLevel="2" x14ac:dyDescent="0.3">
      <c r="A1809" s="82" t="s">
        <v>2593</v>
      </c>
      <c r="B1809" s="64" t="s">
        <v>901</v>
      </c>
      <c r="C1809" s="65" t="s">
        <v>902</v>
      </c>
      <c r="D1809" s="117"/>
      <c r="E1809" s="87"/>
      <c r="F1809" s="87"/>
      <c r="G1809" s="97"/>
      <c r="H1809" s="87"/>
      <c r="I1809" s="104">
        <f>SUBTOTAL(9,K1810:K1815)</f>
        <v>0</v>
      </c>
      <c r="J1809" s="108"/>
      <c r="K1809"/>
      <c r="L1809"/>
      <c r="M1809"/>
      <c r="N1809"/>
      <c r="O1809"/>
      <c r="P1809"/>
      <c r="Q1809"/>
      <c r="R1809"/>
      <c r="S1809"/>
      <c r="T1809"/>
    </row>
    <row r="1810" spans="1:20" outlineLevel="3" x14ac:dyDescent="0.3">
      <c r="A1810" s="82" t="s">
        <v>2594</v>
      </c>
      <c r="B1810" s="64" t="s">
        <v>904</v>
      </c>
      <c r="C1810" s="66" t="s">
        <v>905</v>
      </c>
      <c r="D1810" s="117"/>
      <c r="E1810" s="87"/>
      <c r="F1810" s="87"/>
      <c r="G1810" s="97"/>
      <c r="H1810" s="87"/>
      <c r="I1810" s="104">
        <f>SUBTOTAL(9,K1811:K1812)</f>
        <v>0</v>
      </c>
      <c r="J1810" s="108"/>
      <c r="K1810"/>
      <c r="L1810"/>
      <c r="M1810"/>
      <c r="N1810"/>
      <c r="O1810"/>
      <c r="P1810"/>
      <c r="Q1810"/>
      <c r="R1810"/>
      <c r="S1810"/>
      <c r="T1810"/>
    </row>
    <row r="1811" spans="1:20" outlineLevel="4" x14ac:dyDescent="0.3">
      <c r="A1811" s="82" t="s">
        <v>2595</v>
      </c>
      <c r="B1811" s="10" t="s">
        <v>907</v>
      </c>
      <c r="C1811" s="60" t="s">
        <v>908</v>
      </c>
      <c r="D1811" s="44" t="s">
        <v>80</v>
      </c>
      <c r="E1811" s="84">
        <v>0</v>
      </c>
      <c r="F1811" s="84"/>
      <c r="G1811" s="94">
        <f>cell_CoefGeneral</f>
        <v>1</v>
      </c>
      <c r="H1811" s="93">
        <f>H295</f>
        <v>50</v>
      </c>
      <c r="I1811" s="84">
        <f>IFERROR(ROUND(E1811*H1811,2),"-")</f>
        <v>0</v>
      </c>
      <c r="J1811" s="105">
        <f>IFERROR(I1811/cell_Total_HT,"-")</f>
        <v>0</v>
      </c>
      <c r="K1811">
        <f>I1811</f>
        <v>0</v>
      </c>
      <c r="L1811"/>
      <c r="M1811"/>
      <c r="N1811"/>
      <c r="O1811"/>
      <c r="P1811"/>
      <c r="Q1811"/>
      <c r="R1811"/>
      <c r="S1811"/>
      <c r="T1811"/>
    </row>
    <row r="1812" spans="1:20" outlineLevel="4" x14ac:dyDescent="0.3">
      <c r="A1812" s="82" t="s">
        <v>2596</v>
      </c>
      <c r="B1812" s="10" t="s">
        <v>910</v>
      </c>
      <c r="C1812" s="60" t="s">
        <v>911</v>
      </c>
      <c r="D1812" s="44" t="s">
        <v>80</v>
      </c>
      <c r="E1812" s="84">
        <v>0</v>
      </c>
      <c r="F1812" s="84"/>
      <c r="G1812" s="94">
        <f>cell_CoefGeneral</f>
        <v>1</v>
      </c>
      <c r="H1812" s="93">
        <f>H296</f>
        <v>38</v>
      </c>
      <c r="I1812" s="84">
        <f>IFERROR(ROUND(E1812*H1812,2),"-")</f>
        <v>0</v>
      </c>
      <c r="J1812" s="105">
        <f>IFERROR(I1812/cell_Total_HT,"-")</f>
        <v>0</v>
      </c>
      <c r="K1812">
        <f>I1812</f>
        <v>0</v>
      </c>
      <c r="L1812"/>
      <c r="M1812"/>
      <c r="N1812"/>
      <c r="O1812"/>
      <c r="P1812"/>
      <c r="Q1812"/>
      <c r="R1812"/>
      <c r="S1812"/>
      <c r="T1812"/>
    </row>
    <row r="1813" spans="1:20" outlineLevel="3" x14ac:dyDescent="0.3">
      <c r="A1813" s="82" t="s">
        <v>2597</v>
      </c>
      <c r="B1813" s="58" t="s">
        <v>913</v>
      </c>
      <c r="C1813" s="61" t="s">
        <v>914</v>
      </c>
      <c r="D1813" s="115"/>
      <c r="E1813" s="87"/>
      <c r="F1813" s="87"/>
      <c r="G1813" s="97"/>
      <c r="H1813" s="87"/>
      <c r="I1813" s="104">
        <f>SUBTOTAL(9,K1814:K1814)</f>
        <v>0</v>
      </c>
      <c r="J1813" s="108"/>
      <c r="K1813"/>
      <c r="L1813"/>
      <c r="M1813"/>
      <c r="N1813"/>
      <c r="O1813"/>
      <c r="P1813"/>
      <c r="Q1813"/>
      <c r="R1813"/>
      <c r="S1813"/>
      <c r="T1813"/>
    </row>
    <row r="1814" spans="1:20" outlineLevel="4" x14ac:dyDescent="0.3">
      <c r="A1814" s="82" t="s">
        <v>2598</v>
      </c>
      <c r="B1814" s="10" t="s">
        <v>916</v>
      </c>
      <c r="C1814" s="60" t="s">
        <v>917</v>
      </c>
      <c r="D1814" s="44" t="s">
        <v>80</v>
      </c>
      <c r="E1814" s="84">
        <v>0</v>
      </c>
      <c r="F1814" s="84"/>
      <c r="G1814" s="94">
        <f>cell_CoefGeneral</f>
        <v>1</v>
      </c>
      <c r="H1814" s="93">
        <f>H298</f>
        <v>4.5</v>
      </c>
      <c r="I1814" s="84">
        <f>IFERROR(ROUND(E1814*H1814,2),"-")</f>
        <v>0</v>
      </c>
      <c r="J1814" s="105">
        <f>IFERROR(I1814/cell_Total_HT,"-")</f>
        <v>0</v>
      </c>
      <c r="K1814">
        <f>I1814</f>
        <v>0</v>
      </c>
      <c r="L1814"/>
      <c r="M1814"/>
      <c r="N1814"/>
      <c r="O1814"/>
      <c r="P1814"/>
      <c r="Q1814"/>
      <c r="R1814"/>
      <c r="S1814"/>
      <c r="T1814"/>
    </row>
    <row r="1815" spans="1:20" ht="15" outlineLevel="3" thickBot="1" x14ac:dyDescent="0.35">
      <c r="A1815" s="82" t="s">
        <v>2599</v>
      </c>
      <c r="B1815" s="10" t="s">
        <v>919</v>
      </c>
      <c r="C1815" s="60" t="s">
        <v>920</v>
      </c>
      <c r="D1815" s="44" t="s">
        <v>80</v>
      </c>
      <c r="E1815" s="84">
        <v>0</v>
      </c>
      <c r="F1815" s="84"/>
      <c r="G1815" s="94">
        <f>cell_CoefGeneral</f>
        <v>1</v>
      </c>
      <c r="H1815" s="93">
        <f>H299</f>
        <v>35</v>
      </c>
      <c r="I1815" s="84">
        <f>IFERROR(ROUND(E1815*H1815,2),"-")</f>
        <v>0</v>
      </c>
      <c r="J1815" s="105">
        <f>IFERROR(I1815/cell_Total_HT,"-")</f>
        <v>0</v>
      </c>
      <c r="K1815">
        <f>I1815</f>
        <v>0</v>
      </c>
      <c r="L1815"/>
      <c r="M1815"/>
      <c r="N1815"/>
      <c r="O1815"/>
      <c r="P1815"/>
      <c r="Q1815"/>
      <c r="R1815"/>
      <c r="S1815"/>
      <c r="T1815"/>
    </row>
    <row r="1816" spans="1:20" ht="15" outlineLevel="2" thickTop="1" x14ac:dyDescent="0.3">
      <c r="A1816" s="82" t="s">
        <v>2600</v>
      </c>
      <c r="B1816" s="62" t="s">
        <v>60</v>
      </c>
      <c r="C1816" s="63" t="s">
        <v>922</v>
      </c>
      <c r="D1816" s="116"/>
      <c r="E1816" s="88"/>
      <c r="F1816" s="88"/>
      <c r="G1816" s="98"/>
      <c r="H1816" s="88"/>
      <c r="I1816" s="88">
        <f>SUBTOTAL(9,I1811:I1815)</f>
        <v>0</v>
      </c>
      <c r="J1816" s="109"/>
      <c r="K1816"/>
      <c r="L1816"/>
      <c r="M1816"/>
      <c r="N1816"/>
      <c r="O1816"/>
      <c r="P1816"/>
      <c r="Q1816"/>
      <c r="R1816"/>
      <c r="S1816"/>
      <c r="T1816"/>
    </row>
    <row r="1817" spans="1:20" outlineLevel="2" x14ac:dyDescent="0.3">
      <c r="A1817" s="82" t="s">
        <v>2601</v>
      </c>
      <c r="B1817" s="64" t="s">
        <v>924</v>
      </c>
      <c r="C1817" s="65" t="s">
        <v>925</v>
      </c>
      <c r="D1817" s="117"/>
      <c r="E1817" s="87"/>
      <c r="F1817" s="87"/>
      <c r="G1817" s="97"/>
      <c r="H1817" s="87"/>
      <c r="I1817" s="104">
        <f>SUBTOTAL(9,K1818:K1824)</f>
        <v>0</v>
      </c>
      <c r="J1817" s="108"/>
      <c r="K1817"/>
      <c r="L1817"/>
      <c r="M1817"/>
      <c r="N1817"/>
      <c r="O1817"/>
      <c r="P1817"/>
      <c r="Q1817"/>
      <c r="R1817"/>
      <c r="S1817"/>
      <c r="T1817"/>
    </row>
    <row r="1818" spans="1:20" outlineLevel="3" x14ac:dyDescent="0.3">
      <c r="A1818" s="82" t="s">
        <v>2602</v>
      </c>
      <c r="B1818" s="64" t="s">
        <v>927</v>
      </c>
      <c r="C1818" s="66" t="s">
        <v>928</v>
      </c>
      <c r="D1818" s="117"/>
      <c r="E1818" s="87"/>
      <c r="F1818" s="87"/>
      <c r="G1818" s="97"/>
      <c r="H1818" s="87"/>
      <c r="I1818" s="104">
        <f>SUBTOTAL(9,K1819:K1819)</f>
        <v>0</v>
      </c>
      <c r="J1818" s="108"/>
      <c r="K1818"/>
      <c r="L1818"/>
      <c r="M1818"/>
      <c r="N1818"/>
      <c r="O1818"/>
      <c r="P1818"/>
      <c r="Q1818"/>
      <c r="R1818"/>
      <c r="S1818"/>
      <c r="T1818"/>
    </row>
    <row r="1819" spans="1:20" outlineLevel="4" x14ac:dyDescent="0.3">
      <c r="A1819" s="82" t="s">
        <v>2603</v>
      </c>
      <c r="B1819" s="10" t="s">
        <v>930</v>
      </c>
      <c r="C1819" s="60" t="s">
        <v>798</v>
      </c>
      <c r="D1819" s="44" t="s">
        <v>80</v>
      </c>
      <c r="E1819" s="84">
        <v>0</v>
      </c>
      <c r="F1819" s="84"/>
      <c r="G1819" s="94">
        <f>cell_CoefGeneral</f>
        <v>1</v>
      </c>
      <c r="H1819" s="93">
        <f>H303</f>
        <v>39</v>
      </c>
      <c r="I1819" s="84">
        <f>IFERROR(ROUND(E1819*H1819,2),"-")</f>
        <v>0</v>
      </c>
      <c r="J1819" s="105">
        <f>IFERROR(I1819/cell_Total_HT,"-")</f>
        <v>0</v>
      </c>
      <c r="K1819">
        <f>I1819</f>
        <v>0</v>
      </c>
      <c r="L1819"/>
      <c r="M1819"/>
      <c r="N1819"/>
      <c r="O1819"/>
      <c r="P1819"/>
      <c r="Q1819"/>
      <c r="R1819"/>
      <c r="S1819"/>
      <c r="T1819"/>
    </row>
    <row r="1820" spans="1:20" outlineLevel="3" x14ac:dyDescent="0.3">
      <c r="A1820" s="82" t="s">
        <v>2604</v>
      </c>
      <c r="B1820" s="58" t="s">
        <v>932</v>
      </c>
      <c r="C1820" s="61" t="s">
        <v>914</v>
      </c>
      <c r="D1820" s="115"/>
      <c r="E1820" s="87"/>
      <c r="F1820" s="87"/>
      <c r="G1820" s="97"/>
      <c r="H1820" s="87"/>
      <c r="I1820" s="104">
        <f>SUBTOTAL(9,K1821:K1822)</f>
        <v>0</v>
      </c>
      <c r="J1820" s="108"/>
      <c r="K1820"/>
      <c r="L1820"/>
      <c r="M1820"/>
      <c r="N1820"/>
      <c r="O1820"/>
      <c r="P1820"/>
      <c r="Q1820"/>
      <c r="R1820"/>
      <c r="S1820"/>
      <c r="T1820"/>
    </row>
    <row r="1821" spans="1:20" outlineLevel="4" x14ac:dyDescent="0.3">
      <c r="A1821" s="82" t="s">
        <v>2605</v>
      </c>
      <c r="B1821" s="10" t="s">
        <v>934</v>
      </c>
      <c r="C1821" s="60" t="s">
        <v>935</v>
      </c>
      <c r="D1821" s="44" t="s">
        <v>80</v>
      </c>
      <c r="E1821" s="84">
        <v>0</v>
      </c>
      <c r="F1821" s="84"/>
      <c r="G1821" s="94">
        <f>cell_CoefGeneral</f>
        <v>1</v>
      </c>
      <c r="H1821" s="93">
        <f>H305</f>
        <v>2.8</v>
      </c>
      <c r="I1821" s="84">
        <f>IFERROR(ROUND(E1821*H1821,2),"-")</f>
        <v>0</v>
      </c>
      <c r="J1821" s="105">
        <f>IFERROR(I1821/cell_Total_HT,"-")</f>
        <v>0</v>
      </c>
      <c r="K1821">
        <f>I1821</f>
        <v>0</v>
      </c>
      <c r="L1821"/>
      <c r="M1821"/>
      <c r="N1821"/>
      <c r="O1821"/>
      <c r="P1821"/>
      <c r="Q1821"/>
      <c r="R1821"/>
      <c r="S1821"/>
      <c r="T1821"/>
    </row>
    <row r="1822" spans="1:20" outlineLevel="4" x14ac:dyDescent="0.3">
      <c r="A1822" s="82" t="s">
        <v>2606</v>
      </c>
      <c r="B1822" s="10" t="s">
        <v>937</v>
      </c>
      <c r="C1822" s="60" t="s">
        <v>938</v>
      </c>
      <c r="D1822" s="44" t="s">
        <v>80</v>
      </c>
      <c r="E1822" s="84">
        <v>0</v>
      </c>
      <c r="F1822" s="84"/>
      <c r="G1822" s="94">
        <f>cell_CoefGeneral</f>
        <v>1</v>
      </c>
      <c r="H1822" s="93">
        <f>H306</f>
        <v>4.5</v>
      </c>
      <c r="I1822" s="84">
        <f>IFERROR(ROUND(E1822*H1822,2),"-")</f>
        <v>0</v>
      </c>
      <c r="J1822" s="105">
        <f>IFERROR(I1822/cell_Total_HT,"-")</f>
        <v>0</v>
      </c>
      <c r="K1822">
        <f>I1822</f>
        <v>0</v>
      </c>
      <c r="L1822"/>
      <c r="M1822"/>
      <c r="N1822"/>
      <c r="O1822"/>
      <c r="P1822"/>
      <c r="Q1822"/>
      <c r="R1822"/>
      <c r="S1822"/>
      <c r="T1822"/>
    </row>
    <row r="1823" spans="1:20" outlineLevel="3" x14ac:dyDescent="0.3">
      <c r="A1823" s="82" t="s">
        <v>2607</v>
      </c>
      <c r="B1823" s="10" t="s">
        <v>940</v>
      </c>
      <c r="C1823" s="60" t="s">
        <v>860</v>
      </c>
      <c r="D1823" s="44" t="s">
        <v>80</v>
      </c>
      <c r="E1823" s="84">
        <v>0</v>
      </c>
      <c r="F1823" s="84"/>
      <c r="G1823" s="94">
        <f>cell_CoefGeneral</f>
        <v>1</v>
      </c>
      <c r="H1823" s="93">
        <f>H307</f>
        <v>4.4000000000000004</v>
      </c>
      <c r="I1823" s="84">
        <f>IFERROR(ROUND(E1823*H1823,2),"-")</f>
        <v>0</v>
      </c>
      <c r="J1823" s="105">
        <f>IFERROR(I1823/cell_Total_HT,"-")</f>
        <v>0</v>
      </c>
      <c r="K1823">
        <f>I1823</f>
        <v>0</v>
      </c>
      <c r="L1823"/>
      <c r="M1823"/>
      <c r="N1823"/>
      <c r="O1823"/>
      <c r="P1823"/>
      <c r="Q1823"/>
      <c r="R1823"/>
      <c r="S1823"/>
      <c r="T1823"/>
    </row>
    <row r="1824" spans="1:20" ht="15" outlineLevel="3" thickBot="1" x14ac:dyDescent="0.35">
      <c r="A1824" s="82" t="s">
        <v>2608</v>
      </c>
      <c r="B1824" s="10" t="s">
        <v>942</v>
      </c>
      <c r="C1824" s="60" t="s">
        <v>897</v>
      </c>
      <c r="D1824" s="44" t="s">
        <v>93</v>
      </c>
      <c r="E1824" s="84">
        <v>0</v>
      </c>
      <c r="F1824" s="84"/>
      <c r="G1824" s="94">
        <f>cell_CoefGeneral</f>
        <v>1</v>
      </c>
      <c r="H1824" s="93">
        <f>H308</f>
        <v>580</v>
      </c>
      <c r="I1824" s="84">
        <f>IFERROR(ROUND(E1824*H1824,2),"-")</f>
        <v>0</v>
      </c>
      <c r="J1824" s="105">
        <f>IFERROR(I1824/cell_Total_HT,"-")</f>
        <v>0</v>
      </c>
      <c r="K1824">
        <f>I1824</f>
        <v>0</v>
      </c>
      <c r="L1824"/>
      <c r="M1824"/>
      <c r="N1824"/>
      <c r="O1824"/>
      <c r="P1824"/>
      <c r="Q1824"/>
      <c r="R1824"/>
      <c r="S1824"/>
      <c r="T1824"/>
    </row>
    <row r="1825" spans="1:20" ht="15" outlineLevel="2" thickTop="1" x14ac:dyDescent="0.3">
      <c r="A1825" s="82" t="s">
        <v>2609</v>
      </c>
      <c r="B1825" s="62" t="s">
        <v>60</v>
      </c>
      <c r="C1825" s="63" t="s">
        <v>944</v>
      </c>
      <c r="D1825" s="116"/>
      <c r="E1825" s="88"/>
      <c r="F1825" s="88"/>
      <c r="G1825" s="98"/>
      <c r="H1825" s="88"/>
      <c r="I1825" s="88">
        <f>SUBTOTAL(9,I1819:I1824)</f>
        <v>0</v>
      </c>
      <c r="J1825" s="109"/>
      <c r="K1825"/>
      <c r="L1825"/>
      <c r="M1825"/>
      <c r="N1825"/>
      <c r="O1825"/>
      <c r="P1825"/>
      <c r="Q1825"/>
      <c r="R1825"/>
      <c r="S1825"/>
      <c r="T1825"/>
    </row>
    <row r="1826" spans="1:20" outlineLevel="2" x14ac:dyDescent="0.3">
      <c r="A1826" s="82" t="s">
        <v>2610</v>
      </c>
      <c r="B1826" s="64" t="s">
        <v>946</v>
      </c>
      <c r="C1826" s="65" t="s">
        <v>947</v>
      </c>
      <c r="D1826" s="117"/>
      <c r="E1826" s="87"/>
      <c r="F1826" s="87"/>
      <c r="G1826" s="97"/>
      <c r="H1826" s="87"/>
      <c r="I1826" s="104">
        <f>SUBTOTAL(9,K1827:K1856)</f>
        <v>1256</v>
      </c>
      <c r="J1826" s="108"/>
      <c r="K1826"/>
      <c r="L1826"/>
      <c r="M1826"/>
      <c r="N1826"/>
      <c r="O1826"/>
      <c r="P1826"/>
      <c r="Q1826"/>
      <c r="R1826"/>
      <c r="S1826"/>
      <c r="T1826"/>
    </row>
    <row r="1827" spans="1:20" outlineLevel="3" x14ac:dyDescent="0.3">
      <c r="A1827" s="82" t="s">
        <v>2611</v>
      </c>
      <c r="B1827" s="64" t="s">
        <v>949</v>
      </c>
      <c r="C1827" s="66" t="s">
        <v>950</v>
      </c>
      <c r="D1827" s="117"/>
      <c r="E1827" s="87"/>
      <c r="F1827" s="87"/>
      <c r="G1827" s="97"/>
      <c r="H1827" s="87"/>
      <c r="I1827" s="104">
        <f>SUBTOTAL(9,K1828:K1829)</f>
        <v>0</v>
      </c>
      <c r="J1827" s="108"/>
      <c r="K1827"/>
      <c r="L1827"/>
      <c r="M1827"/>
      <c r="N1827"/>
      <c r="O1827"/>
      <c r="P1827"/>
      <c r="Q1827"/>
      <c r="R1827"/>
      <c r="S1827"/>
      <c r="T1827"/>
    </row>
    <row r="1828" spans="1:20" outlineLevel="4" x14ac:dyDescent="0.3">
      <c r="A1828" s="82" t="s">
        <v>2612</v>
      </c>
      <c r="B1828" s="10" t="s">
        <v>952</v>
      </c>
      <c r="C1828" s="60" t="s">
        <v>953</v>
      </c>
      <c r="D1828" s="44" t="s">
        <v>154</v>
      </c>
      <c r="E1828" s="84">
        <v>0</v>
      </c>
      <c r="F1828" s="84"/>
      <c r="G1828" s="94">
        <f>cell_CoefGeneral</f>
        <v>1</v>
      </c>
      <c r="H1828" s="93">
        <f>H312</f>
        <v>17</v>
      </c>
      <c r="I1828" s="84">
        <f>IFERROR(ROUND(E1828*H1828,2),"-")</f>
        <v>0</v>
      </c>
      <c r="J1828" s="105">
        <f>IFERROR(I1828/cell_Total_HT,"-")</f>
        <v>0</v>
      </c>
      <c r="K1828">
        <f>I1828</f>
        <v>0</v>
      </c>
      <c r="L1828"/>
      <c r="M1828"/>
      <c r="N1828"/>
      <c r="O1828"/>
      <c r="P1828"/>
      <c r="Q1828"/>
      <c r="R1828"/>
      <c r="S1828"/>
      <c r="T1828"/>
    </row>
    <row r="1829" spans="1:20" outlineLevel="4" x14ac:dyDescent="0.3">
      <c r="A1829" s="82" t="s">
        <v>2613</v>
      </c>
      <c r="B1829" s="10" t="s">
        <v>955</v>
      </c>
      <c r="C1829" s="60" t="s">
        <v>956</v>
      </c>
      <c r="D1829" s="44" t="s">
        <v>80</v>
      </c>
      <c r="E1829" s="84">
        <v>0</v>
      </c>
      <c r="F1829" s="84"/>
      <c r="G1829" s="94">
        <f>cell_CoefGeneral</f>
        <v>1</v>
      </c>
      <c r="H1829" s="93">
        <f>H313</f>
        <v>4.4000000000000004</v>
      </c>
      <c r="I1829" s="84">
        <f>IFERROR(ROUND(E1829*H1829,2),"-")</f>
        <v>0</v>
      </c>
      <c r="J1829" s="105">
        <f>IFERROR(I1829/cell_Total_HT,"-")</f>
        <v>0</v>
      </c>
      <c r="K1829">
        <f>I1829</f>
        <v>0</v>
      </c>
      <c r="L1829"/>
      <c r="M1829"/>
      <c r="N1829"/>
      <c r="O1829"/>
      <c r="P1829"/>
      <c r="Q1829"/>
      <c r="R1829"/>
      <c r="S1829"/>
      <c r="T1829"/>
    </row>
    <row r="1830" spans="1:20" outlineLevel="3" x14ac:dyDescent="0.3">
      <c r="A1830" s="82" t="s">
        <v>2614</v>
      </c>
      <c r="B1830" s="58" t="s">
        <v>958</v>
      </c>
      <c r="C1830" s="61" t="s">
        <v>959</v>
      </c>
      <c r="D1830" s="115"/>
      <c r="E1830" s="87"/>
      <c r="F1830" s="87"/>
      <c r="G1830" s="97"/>
      <c r="H1830" s="87"/>
      <c r="I1830" s="104">
        <f>SUBTOTAL(9,K1831:K1841)</f>
        <v>0</v>
      </c>
      <c r="J1830" s="108"/>
      <c r="K1830"/>
      <c r="L1830"/>
      <c r="M1830"/>
      <c r="N1830"/>
      <c r="O1830"/>
      <c r="P1830"/>
      <c r="Q1830"/>
      <c r="R1830"/>
      <c r="S1830"/>
      <c r="T1830"/>
    </row>
    <row r="1831" spans="1:20" outlineLevel="4" x14ac:dyDescent="0.3">
      <c r="A1831" s="82" t="s">
        <v>2615</v>
      </c>
      <c r="B1831" s="10" t="s">
        <v>961</v>
      </c>
      <c r="C1831" s="60" t="s">
        <v>962</v>
      </c>
      <c r="D1831" s="44" t="s">
        <v>80</v>
      </c>
      <c r="E1831" s="84">
        <v>0</v>
      </c>
      <c r="F1831" s="84"/>
      <c r="G1831" s="94">
        <f t="shared" ref="G1831:G1841" si="287">cell_CoefGeneral</f>
        <v>1</v>
      </c>
      <c r="H1831" s="93">
        <f t="shared" ref="H1831:H1841" si="288">H315</f>
        <v>3.6</v>
      </c>
      <c r="I1831" s="84">
        <f t="shared" ref="I1831:I1841" si="289">IFERROR(ROUND(E1831*H1831,2),"-")</f>
        <v>0</v>
      </c>
      <c r="J1831" s="105">
        <f t="shared" ref="J1831:J1841" si="290">IFERROR(I1831/cell_Total_HT,"-")</f>
        <v>0</v>
      </c>
      <c r="K1831">
        <f t="shared" ref="K1831:K1841" si="291">I1831</f>
        <v>0</v>
      </c>
      <c r="L1831"/>
      <c r="M1831"/>
      <c r="N1831"/>
      <c r="O1831"/>
      <c r="P1831"/>
      <c r="Q1831"/>
      <c r="R1831"/>
      <c r="S1831"/>
      <c r="T1831"/>
    </row>
    <row r="1832" spans="1:20" outlineLevel="4" x14ac:dyDescent="0.3">
      <c r="A1832" s="82" t="s">
        <v>2616</v>
      </c>
      <c r="B1832" s="10" t="s">
        <v>964</v>
      </c>
      <c r="C1832" s="60" t="s">
        <v>965</v>
      </c>
      <c r="D1832" s="44" t="s">
        <v>80</v>
      </c>
      <c r="E1832" s="84">
        <v>0</v>
      </c>
      <c r="F1832" s="84"/>
      <c r="G1832" s="94">
        <f t="shared" si="287"/>
        <v>1</v>
      </c>
      <c r="H1832" s="93">
        <f t="shared" si="288"/>
        <v>1.5</v>
      </c>
      <c r="I1832" s="84">
        <f t="shared" si="289"/>
        <v>0</v>
      </c>
      <c r="J1832" s="105">
        <f t="shared" si="290"/>
        <v>0</v>
      </c>
      <c r="K1832">
        <f t="shared" si="291"/>
        <v>0</v>
      </c>
      <c r="L1832"/>
      <c r="M1832"/>
      <c r="N1832"/>
      <c r="O1832"/>
      <c r="P1832"/>
      <c r="Q1832"/>
      <c r="R1832"/>
      <c r="S1832"/>
      <c r="T1832"/>
    </row>
    <row r="1833" spans="1:20" outlineLevel="4" x14ac:dyDescent="0.3">
      <c r="A1833" s="82" t="s">
        <v>2617</v>
      </c>
      <c r="B1833" s="10" t="s">
        <v>967</v>
      </c>
      <c r="C1833" s="60" t="s">
        <v>968</v>
      </c>
      <c r="D1833" s="44" t="s">
        <v>80</v>
      </c>
      <c r="E1833" s="84">
        <v>0</v>
      </c>
      <c r="F1833" s="84"/>
      <c r="G1833" s="94">
        <f t="shared" si="287"/>
        <v>1</v>
      </c>
      <c r="H1833" s="93">
        <f t="shared" si="288"/>
        <v>1.3</v>
      </c>
      <c r="I1833" s="84">
        <f t="shared" si="289"/>
        <v>0</v>
      </c>
      <c r="J1833" s="105">
        <f t="shared" si="290"/>
        <v>0</v>
      </c>
      <c r="K1833">
        <f t="shared" si="291"/>
        <v>0</v>
      </c>
      <c r="L1833"/>
      <c r="M1833"/>
      <c r="N1833"/>
      <c r="O1833"/>
      <c r="P1833"/>
      <c r="Q1833"/>
      <c r="R1833"/>
      <c r="S1833"/>
      <c r="T1833"/>
    </row>
    <row r="1834" spans="1:20" outlineLevel="4" x14ac:dyDescent="0.3">
      <c r="A1834" s="82" t="s">
        <v>2618</v>
      </c>
      <c r="B1834" s="10" t="s">
        <v>970</v>
      </c>
      <c r="C1834" s="60" t="s">
        <v>971</v>
      </c>
      <c r="D1834" s="44" t="s">
        <v>80</v>
      </c>
      <c r="E1834" s="84">
        <v>0</v>
      </c>
      <c r="F1834" s="84"/>
      <c r="G1834" s="94">
        <f t="shared" si="287"/>
        <v>1</v>
      </c>
      <c r="H1834" s="93">
        <f t="shared" si="288"/>
        <v>58</v>
      </c>
      <c r="I1834" s="84">
        <f t="shared" si="289"/>
        <v>0</v>
      </c>
      <c r="J1834" s="105">
        <f t="shared" si="290"/>
        <v>0</v>
      </c>
      <c r="K1834">
        <f t="shared" si="291"/>
        <v>0</v>
      </c>
      <c r="L1834"/>
      <c r="M1834"/>
      <c r="N1834"/>
      <c r="O1834"/>
      <c r="P1834"/>
      <c r="Q1834"/>
      <c r="R1834"/>
      <c r="S1834"/>
      <c r="T1834"/>
    </row>
    <row r="1835" spans="1:20" outlineLevel="4" x14ac:dyDescent="0.3">
      <c r="A1835" s="82" t="s">
        <v>2619</v>
      </c>
      <c r="B1835" s="10" t="s">
        <v>973</v>
      </c>
      <c r="C1835" s="60" t="s">
        <v>974</v>
      </c>
      <c r="D1835" s="44" t="s">
        <v>80</v>
      </c>
      <c r="E1835" s="84">
        <v>0</v>
      </c>
      <c r="F1835" s="84"/>
      <c r="G1835" s="94">
        <f t="shared" si="287"/>
        <v>1</v>
      </c>
      <c r="H1835" s="93">
        <f t="shared" si="288"/>
        <v>1.8</v>
      </c>
      <c r="I1835" s="84">
        <f t="shared" si="289"/>
        <v>0</v>
      </c>
      <c r="J1835" s="105">
        <f t="shared" si="290"/>
        <v>0</v>
      </c>
      <c r="K1835">
        <f t="shared" si="291"/>
        <v>0</v>
      </c>
      <c r="L1835"/>
      <c r="M1835"/>
      <c r="N1835"/>
      <c r="O1835"/>
      <c r="P1835"/>
      <c r="Q1835"/>
      <c r="R1835"/>
      <c r="S1835"/>
      <c r="T1835"/>
    </row>
    <row r="1836" spans="1:20" outlineLevel="4" x14ac:dyDescent="0.3">
      <c r="A1836" s="82" t="s">
        <v>2620</v>
      </c>
      <c r="B1836" s="10" t="s">
        <v>976</v>
      </c>
      <c r="C1836" s="60" t="s">
        <v>977</v>
      </c>
      <c r="D1836" s="44" t="s">
        <v>154</v>
      </c>
      <c r="E1836" s="84">
        <v>0</v>
      </c>
      <c r="F1836" s="84"/>
      <c r="G1836" s="94">
        <f t="shared" si="287"/>
        <v>1</v>
      </c>
      <c r="H1836" s="93">
        <f t="shared" si="288"/>
        <v>15</v>
      </c>
      <c r="I1836" s="84">
        <f t="shared" si="289"/>
        <v>0</v>
      </c>
      <c r="J1836" s="105">
        <f t="shared" si="290"/>
        <v>0</v>
      </c>
      <c r="K1836">
        <f t="shared" si="291"/>
        <v>0</v>
      </c>
      <c r="L1836"/>
      <c r="M1836"/>
      <c r="N1836"/>
      <c r="O1836"/>
      <c r="P1836"/>
      <c r="Q1836"/>
      <c r="R1836"/>
      <c r="S1836"/>
      <c r="T1836"/>
    </row>
    <row r="1837" spans="1:20" outlineLevel="4" x14ac:dyDescent="0.3">
      <c r="A1837" s="82" t="s">
        <v>2621</v>
      </c>
      <c r="B1837" s="10" t="s">
        <v>979</v>
      </c>
      <c r="C1837" s="60" t="s">
        <v>980</v>
      </c>
      <c r="D1837" s="44" t="s">
        <v>121</v>
      </c>
      <c r="E1837" s="84">
        <v>0</v>
      </c>
      <c r="F1837" s="84"/>
      <c r="G1837" s="94">
        <f t="shared" si="287"/>
        <v>1</v>
      </c>
      <c r="H1837" s="93">
        <f t="shared" si="288"/>
        <v>11</v>
      </c>
      <c r="I1837" s="84">
        <f t="shared" si="289"/>
        <v>0</v>
      </c>
      <c r="J1837" s="105">
        <f t="shared" si="290"/>
        <v>0</v>
      </c>
      <c r="K1837">
        <f t="shared" si="291"/>
        <v>0</v>
      </c>
      <c r="L1837"/>
      <c r="M1837"/>
      <c r="N1837"/>
      <c r="O1837"/>
      <c r="P1837"/>
      <c r="Q1837"/>
      <c r="R1837"/>
      <c r="S1837"/>
      <c r="T1837"/>
    </row>
    <row r="1838" spans="1:20" outlineLevel="4" x14ac:dyDescent="0.3">
      <c r="A1838" s="82" t="s">
        <v>2622</v>
      </c>
      <c r="B1838" s="10" t="s">
        <v>982</v>
      </c>
      <c r="C1838" s="60" t="s">
        <v>983</v>
      </c>
      <c r="D1838" s="44" t="s">
        <v>121</v>
      </c>
      <c r="E1838" s="84">
        <v>0</v>
      </c>
      <c r="F1838" s="84"/>
      <c r="G1838" s="94">
        <f t="shared" si="287"/>
        <v>1</v>
      </c>
      <c r="H1838" s="93">
        <f t="shared" si="288"/>
        <v>31</v>
      </c>
      <c r="I1838" s="84">
        <f t="shared" si="289"/>
        <v>0</v>
      </c>
      <c r="J1838" s="105">
        <f t="shared" si="290"/>
        <v>0</v>
      </c>
      <c r="K1838">
        <f t="shared" si="291"/>
        <v>0</v>
      </c>
      <c r="L1838"/>
      <c r="M1838"/>
      <c r="N1838"/>
      <c r="O1838"/>
      <c r="P1838"/>
      <c r="Q1838"/>
      <c r="R1838"/>
      <c r="S1838"/>
      <c r="T1838"/>
    </row>
    <row r="1839" spans="1:20" outlineLevel="4" x14ac:dyDescent="0.3">
      <c r="A1839" s="82" t="s">
        <v>2623</v>
      </c>
      <c r="B1839" s="10" t="s">
        <v>985</v>
      </c>
      <c r="C1839" s="60" t="s">
        <v>986</v>
      </c>
      <c r="D1839" s="44" t="s">
        <v>121</v>
      </c>
      <c r="E1839" s="84">
        <v>0</v>
      </c>
      <c r="F1839" s="84"/>
      <c r="G1839" s="94">
        <f t="shared" si="287"/>
        <v>1</v>
      </c>
      <c r="H1839" s="93">
        <f t="shared" si="288"/>
        <v>44</v>
      </c>
      <c r="I1839" s="84">
        <f t="shared" si="289"/>
        <v>0</v>
      </c>
      <c r="J1839" s="105">
        <f t="shared" si="290"/>
        <v>0</v>
      </c>
      <c r="K1839">
        <f t="shared" si="291"/>
        <v>0</v>
      </c>
      <c r="L1839"/>
      <c r="M1839"/>
      <c r="N1839"/>
      <c r="O1839"/>
      <c r="P1839"/>
      <c r="Q1839"/>
      <c r="R1839"/>
      <c r="S1839"/>
      <c r="T1839"/>
    </row>
    <row r="1840" spans="1:20" outlineLevel="4" x14ac:dyDescent="0.3">
      <c r="A1840" s="82" t="s">
        <v>2624</v>
      </c>
      <c r="B1840" s="10" t="s">
        <v>988</v>
      </c>
      <c r="C1840" s="60" t="s">
        <v>989</v>
      </c>
      <c r="D1840" s="44" t="s">
        <v>121</v>
      </c>
      <c r="E1840" s="84">
        <v>0</v>
      </c>
      <c r="F1840" s="84"/>
      <c r="G1840" s="94">
        <f t="shared" si="287"/>
        <v>1</v>
      </c>
      <c r="H1840" s="93">
        <f t="shared" si="288"/>
        <v>17</v>
      </c>
      <c r="I1840" s="84">
        <f t="shared" si="289"/>
        <v>0</v>
      </c>
      <c r="J1840" s="105">
        <f t="shared" si="290"/>
        <v>0</v>
      </c>
      <c r="K1840">
        <f t="shared" si="291"/>
        <v>0</v>
      </c>
      <c r="L1840"/>
      <c r="M1840"/>
      <c r="N1840"/>
      <c r="O1840"/>
      <c r="P1840"/>
      <c r="Q1840"/>
      <c r="R1840"/>
      <c r="S1840"/>
      <c r="T1840"/>
    </row>
    <row r="1841" spans="1:20" outlineLevel="4" x14ac:dyDescent="0.3">
      <c r="A1841" s="82" t="s">
        <v>2625</v>
      </c>
      <c r="B1841" s="10" t="s">
        <v>991</v>
      </c>
      <c r="C1841" s="60" t="s">
        <v>992</v>
      </c>
      <c r="D1841" s="44" t="s">
        <v>121</v>
      </c>
      <c r="E1841" s="84">
        <v>0</v>
      </c>
      <c r="F1841" s="84"/>
      <c r="G1841" s="94">
        <f t="shared" si="287"/>
        <v>1</v>
      </c>
      <c r="H1841" s="93">
        <f t="shared" si="288"/>
        <v>95</v>
      </c>
      <c r="I1841" s="84">
        <f t="shared" si="289"/>
        <v>0</v>
      </c>
      <c r="J1841" s="105">
        <f t="shared" si="290"/>
        <v>0</v>
      </c>
      <c r="K1841">
        <f t="shared" si="291"/>
        <v>0</v>
      </c>
      <c r="L1841"/>
      <c r="M1841"/>
      <c r="N1841"/>
      <c r="O1841"/>
      <c r="P1841"/>
      <c r="Q1841"/>
      <c r="R1841"/>
      <c r="S1841"/>
      <c r="T1841"/>
    </row>
    <row r="1842" spans="1:20" outlineLevel="3" x14ac:dyDescent="0.3">
      <c r="A1842" s="82" t="s">
        <v>2626</v>
      </c>
      <c r="B1842" s="58" t="s">
        <v>994</v>
      </c>
      <c r="C1842" s="61" t="s">
        <v>995</v>
      </c>
      <c r="D1842" s="115"/>
      <c r="E1842" s="87"/>
      <c r="F1842" s="87"/>
      <c r="G1842" s="97"/>
      <c r="H1842" s="87"/>
      <c r="I1842" s="104">
        <f>SUBTOTAL(9,K1843:K1856)</f>
        <v>1256</v>
      </c>
      <c r="J1842" s="108"/>
      <c r="K1842"/>
      <c r="L1842"/>
      <c r="M1842"/>
      <c r="N1842"/>
      <c r="O1842"/>
      <c r="P1842"/>
      <c r="Q1842"/>
      <c r="R1842"/>
      <c r="S1842"/>
      <c r="T1842"/>
    </row>
    <row r="1843" spans="1:20" outlineLevel="4" x14ac:dyDescent="0.3">
      <c r="A1843" s="82" t="s">
        <v>2627</v>
      </c>
      <c r="B1843" s="58" t="s">
        <v>997</v>
      </c>
      <c r="C1843" s="61" t="s">
        <v>998</v>
      </c>
      <c r="D1843" s="115"/>
      <c r="E1843" s="87"/>
      <c r="F1843" s="87"/>
      <c r="G1843" s="97"/>
      <c r="H1843" s="87"/>
      <c r="I1843" s="104">
        <f>SUBTOTAL(9,K1844:K1844)</f>
        <v>980</v>
      </c>
      <c r="J1843" s="108"/>
      <c r="K1843"/>
      <c r="L1843"/>
      <c r="M1843"/>
      <c r="N1843"/>
      <c r="O1843"/>
      <c r="P1843"/>
      <c r="Q1843"/>
      <c r="R1843"/>
      <c r="S1843"/>
      <c r="T1843"/>
    </row>
    <row r="1844" spans="1:20" outlineLevel="5" x14ac:dyDescent="0.3">
      <c r="A1844" s="82" t="s">
        <v>2628</v>
      </c>
      <c r="B1844" s="10" t="s">
        <v>1000</v>
      </c>
      <c r="C1844" s="60" t="s">
        <v>1001</v>
      </c>
      <c r="D1844" s="44" t="s">
        <v>121</v>
      </c>
      <c r="E1844" s="84">
        <v>7</v>
      </c>
      <c r="F1844" s="84"/>
      <c r="G1844" s="94">
        <f>cell_CoefGeneral</f>
        <v>1</v>
      </c>
      <c r="H1844" s="93">
        <f>H328</f>
        <v>140</v>
      </c>
      <c r="I1844" s="84">
        <f>IFERROR(ROUND(E1844*H1844,2),"-")</f>
        <v>980</v>
      </c>
      <c r="J1844" s="105">
        <f>IFERROR(I1844/cell_Total_HT,"-")</f>
        <v>2.8931840863656799E-4</v>
      </c>
      <c r="K1844">
        <f>I1844</f>
        <v>980</v>
      </c>
      <c r="L1844"/>
      <c r="M1844"/>
      <c r="N1844"/>
      <c r="O1844"/>
      <c r="P1844"/>
      <c r="Q1844"/>
      <c r="R1844"/>
      <c r="S1844"/>
      <c r="T1844"/>
    </row>
    <row r="1845" spans="1:20" outlineLevel="4" x14ac:dyDescent="0.3">
      <c r="A1845" s="82" t="s">
        <v>2629</v>
      </c>
      <c r="B1845" s="58" t="s">
        <v>1003</v>
      </c>
      <c r="C1845" s="61" t="s">
        <v>1004</v>
      </c>
      <c r="D1845" s="115"/>
      <c r="E1845" s="87"/>
      <c r="F1845" s="87"/>
      <c r="G1845" s="97"/>
      <c r="H1845" s="87"/>
      <c r="I1845" s="104">
        <f>SUBTOTAL(9,K1846:K1856)</f>
        <v>276</v>
      </c>
      <c r="J1845" s="108"/>
      <c r="K1845"/>
      <c r="L1845"/>
      <c r="M1845"/>
      <c r="N1845"/>
      <c r="O1845"/>
      <c r="P1845"/>
      <c r="Q1845"/>
      <c r="R1845"/>
      <c r="S1845"/>
      <c r="T1845"/>
    </row>
    <row r="1846" spans="1:20" outlineLevel="5" x14ac:dyDescent="0.3">
      <c r="A1846" s="82" t="s">
        <v>2630</v>
      </c>
      <c r="B1846" s="10" t="s">
        <v>1006</v>
      </c>
      <c r="C1846" s="60" t="s">
        <v>1007</v>
      </c>
      <c r="D1846" s="44" t="s">
        <v>121</v>
      </c>
      <c r="E1846" s="84">
        <v>0</v>
      </c>
      <c r="F1846" s="84"/>
      <c r="G1846" s="94">
        <f t="shared" ref="G1846:G1856" si="292">cell_CoefGeneral</f>
        <v>1</v>
      </c>
      <c r="H1846" s="93">
        <f t="shared" ref="H1846:H1856" si="293">H330</f>
        <v>88</v>
      </c>
      <c r="I1846" s="84">
        <f t="shared" ref="I1846:I1856" si="294">IFERROR(ROUND(E1846*H1846,2),"-")</f>
        <v>0</v>
      </c>
      <c r="J1846" s="105">
        <f t="shared" ref="J1846:J1856" si="295">IFERROR(I1846/cell_Total_HT,"-")</f>
        <v>0</v>
      </c>
      <c r="K1846">
        <f t="shared" ref="K1846:K1856" si="296">I1846</f>
        <v>0</v>
      </c>
      <c r="L1846"/>
      <c r="M1846"/>
      <c r="N1846"/>
      <c r="O1846"/>
      <c r="P1846"/>
      <c r="Q1846"/>
      <c r="R1846"/>
      <c r="S1846"/>
      <c r="T1846"/>
    </row>
    <row r="1847" spans="1:20" outlineLevel="5" x14ac:dyDescent="0.3">
      <c r="A1847" s="82" t="s">
        <v>2631</v>
      </c>
      <c r="B1847" s="10" t="s">
        <v>1009</v>
      </c>
      <c r="C1847" s="60" t="s">
        <v>1010</v>
      </c>
      <c r="D1847" s="44" t="s">
        <v>121</v>
      </c>
      <c r="E1847" s="84">
        <v>0</v>
      </c>
      <c r="F1847" s="84"/>
      <c r="G1847" s="94">
        <f t="shared" si="292"/>
        <v>1</v>
      </c>
      <c r="H1847" s="93">
        <f t="shared" si="293"/>
        <v>58</v>
      </c>
      <c r="I1847" s="84">
        <f t="shared" si="294"/>
        <v>0</v>
      </c>
      <c r="J1847" s="105">
        <f t="shared" si="295"/>
        <v>0</v>
      </c>
      <c r="K1847">
        <f t="shared" si="296"/>
        <v>0</v>
      </c>
      <c r="L1847"/>
      <c r="M1847"/>
      <c r="N1847"/>
      <c r="O1847"/>
      <c r="P1847"/>
      <c r="Q1847"/>
      <c r="R1847"/>
      <c r="S1847"/>
      <c r="T1847"/>
    </row>
    <row r="1848" spans="1:20" ht="28.8" outlineLevel="5" x14ac:dyDescent="0.3">
      <c r="A1848" s="82" t="s">
        <v>2632</v>
      </c>
      <c r="B1848" s="10" t="s">
        <v>1012</v>
      </c>
      <c r="C1848" s="60" t="s">
        <v>1013</v>
      </c>
      <c r="D1848" s="44" t="s">
        <v>121</v>
      </c>
      <c r="E1848" s="84">
        <v>0</v>
      </c>
      <c r="F1848" s="84"/>
      <c r="G1848" s="94">
        <f t="shared" si="292"/>
        <v>1</v>
      </c>
      <c r="H1848" s="93">
        <f t="shared" si="293"/>
        <v>84</v>
      </c>
      <c r="I1848" s="84">
        <f t="shared" si="294"/>
        <v>0</v>
      </c>
      <c r="J1848" s="105">
        <f t="shared" si="295"/>
        <v>0</v>
      </c>
      <c r="K1848">
        <f t="shared" si="296"/>
        <v>0</v>
      </c>
      <c r="L1848"/>
      <c r="M1848"/>
      <c r="N1848"/>
      <c r="O1848"/>
      <c r="P1848"/>
      <c r="Q1848"/>
      <c r="R1848"/>
      <c r="S1848"/>
      <c r="T1848"/>
    </row>
    <row r="1849" spans="1:20" outlineLevel="5" x14ac:dyDescent="0.3">
      <c r="A1849" s="82" t="s">
        <v>2633</v>
      </c>
      <c r="B1849" s="10" t="s">
        <v>1015</v>
      </c>
      <c r="C1849" s="60" t="s">
        <v>1016</v>
      </c>
      <c r="D1849" s="44" t="s">
        <v>121</v>
      </c>
      <c r="E1849" s="84">
        <v>0</v>
      </c>
      <c r="F1849" s="84"/>
      <c r="G1849" s="94">
        <f t="shared" si="292"/>
        <v>1</v>
      </c>
      <c r="H1849" s="93">
        <f t="shared" si="293"/>
        <v>62</v>
      </c>
      <c r="I1849" s="84">
        <f t="shared" si="294"/>
        <v>0</v>
      </c>
      <c r="J1849" s="105">
        <f t="shared" si="295"/>
        <v>0</v>
      </c>
      <c r="K1849">
        <f t="shared" si="296"/>
        <v>0</v>
      </c>
      <c r="L1849"/>
      <c r="M1849"/>
      <c r="N1849"/>
      <c r="O1849"/>
      <c r="P1849"/>
      <c r="Q1849"/>
      <c r="R1849"/>
      <c r="S1849"/>
      <c r="T1849"/>
    </row>
    <row r="1850" spans="1:20" outlineLevel="5" x14ac:dyDescent="0.3">
      <c r="A1850" s="82" t="s">
        <v>2634</v>
      </c>
      <c r="B1850" s="10" t="s">
        <v>1018</v>
      </c>
      <c r="C1850" s="60" t="s">
        <v>1019</v>
      </c>
      <c r="D1850" s="44" t="s">
        <v>121</v>
      </c>
      <c r="E1850" s="84">
        <v>0</v>
      </c>
      <c r="F1850" s="84"/>
      <c r="G1850" s="94">
        <f t="shared" si="292"/>
        <v>1</v>
      </c>
      <c r="H1850" s="93">
        <f t="shared" si="293"/>
        <v>84</v>
      </c>
      <c r="I1850" s="84">
        <f t="shared" si="294"/>
        <v>0</v>
      </c>
      <c r="J1850" s="105">
        <f t="shared" si="295"/>
        <v>0</v>
      </c>
      <c r="K1850">
        <f t="shared" si="296"/>
        <v>0</v>
      </c>
      <c r="L1850"/>
      <c r="M1850"/>
      <c r="N1850"/>
      <c r="O1850"/>
      <c r="P1850"/>
      <c r="Q1850"/>
      <c r="R1850"/>
      <c r="S1850"/>
      <c r="T1850"/>
    </row>
    <row r="1851" spans="1:20" outlineLevel="5" x14ac:dyDescent="0.3">
      <c r="A1851" s="82" t="s">
        <v>2635</v>
      </c>
      <c r="B1851" s="10" t="s">
        <v>1021</v>
      </c>
      <c r="C1851" s="60" t="s">
        <v>1022</v>
      </c>
      <c r="D1851" s="44" t="s">
        <v>121</v>
      </c>
      <c r="E1851" s="84">
        <v>0</v>
      </c>
      <c r="F1851" s="84"/>
      <c r="G1851" s="94">
        <f t="shared" si="292"/>
        <v>1</v>
      </c>
      <c r="H1851" s="93">
        <f t="shared" si="293"/>
        <v>70</v>
      </c>
      <c r="I1851" s="84">
        <f t="shared" si="294"/>
        <v>0</v>
      </c>
      <c r="J1851" s="105">
        <f t="shared" si="295"/>
        <v>0</v>
      </c>
      <c r="K1851">
        <f t="shared" si="296"/>
        <v>0</v>
      </c>
      <c r="L1851"/>
      <c r="M1851"/>
      <c r="N1851"/>
      <c r="O1851"/>
      <c r="P1851"/>
      <c r="Q1851"/>
      <c r="R1851"/>
      <c r="S1851"/>
      <c r="T1851"/>
    </row>
    <row r="1852" spans="1:20" outlineLevel="5" x14ac:dyDescent="0.3">
      <c r="A1852" s="82" t="s">
        <v>2636</v>
      </c>
      <c r="B1852" s="10" t="s">
        <v>1024</v>
      </c>
      <c r="C1852" s="60" t="s">
        <v>1025</v>
      </c>
      <c r="D1852" s="44" t="s">
        <v>121</v>
      </c>
      <c r="E1852" s="84">
        <v>0</v>
      </c>
      <c r="F1852" s="84"/>
      <c r="G1852" s="94">
        <f t="shared" si="292"/>
        <v>1</v>
      </c>
      <c r="H1852" s="93">
        <f t="shared" si="293"/>
        <v>46</v>
      </c>
      <c r="I1852" s="84">
        <f t="shared" si="294"/>
        <v>0</v>
      </c>
      <c r="J1852" s="105">
        <f t="shared" si="295"/>
        <v>0</v>
      </c>
      <c r="K1852">
        <f t="shared" si="296"/>
        <v>0</v>
      </c>
      <c r="L1852"/>
      <c r="M1852"/>
      <c r="N1852"/>
      <c r="O1852"/>
      <c r="P1852"/>
      <c r="Q1852"/>
      <c r="R1852"/>
      <c r="S1852"/>
      <c r="T1852"/>
    </row>
    <row r="1853" spans="1:20" outlineLevel="5" x14ac:dyDescent="0.3">
      <c r="A1853" s="82" t="s">
        <v>2637</v>
      </c>
      <c r="B1853" s="10" t="s">
        <v>1027</v>
      </c>
      <c r="C1853" s="60" t="s">
        <v>1028</v>
      </c>
      <c r="D1853" s="44" t="s">
        <v>121</v>
      </c>
      <c r="E1853" s="84">
        <v>0</v>
      </c>
      <c r="F1853" s="84"/>
      <c r="G1853" s="94">
        <f t="shared" si="292"/>
        <v>1</v>
      </c>
      <c r="H1853" s="93">
        <f t="shared" si="293"/>
        <v>63</v>
      </c>
      <c r="I1853" s="84">
        <f t="shared" si="294"/>
        <v>0</v>
      </c>
      <c r="J1853" s="105">
        <f t="shared" si="295"/>
        <v>0</v>
      </c>
      <c r="K1853">
        <f t="shared" si="296"/>
        <v>0</v>
      </c>
      <c r="L1853"/>
      <c r="M1853"/>
      <c r="N1853"/>
      <c r="O1853"/>
      <c r="P1853"/>
      <c r="Q1853"/>
      <c r="R1853"/>
      <c r="S1853"/>
      <c r="T1853"/>
    </row>
    <row r="1854" spans="1:20" outlineLevel="5" x14ac:dyDescent="0.3">
      <c r="A1854" s="82" t="s">
        <v>2638</v>
      </c>
      <c r="B1854" s="10" t="s">
        <v>1030</v>
      </c>
      <c r="C1854" s="60" t="s">
        <v>1031</v>
      </c>
      <c r="D1854" s="44" t="s">
        <v>121</v>
      </c>
      <c r="E1854" s="84">
        <v>0</v>
      </c>
      <c r="F1854" s="84"/>
      <c r="G1854" s="94">
        <f t="shared" si="292"/>
        <v>1</v>
      </c>
      <c r="H1854" s="93">
        <f t="shared" si="293"/>
        <v>63</v>
      </c>
      <c r="I1854" s="84">
        <f t="shared" si="294"/>
        <v>0</v>
      </c>
      <c r="J1854" s="105">
        <f t="shared" si="295"/>
        <v>0</v>
      </c>
      <c r="K1854">
        <f t="shared" si="296"/>
        <v>0</v>
      </c>
      <c r="L1854"/>
      <c r="M1854"/>
      <c r="N1854"/>
      <c r="O1854"/>
      <c r="P1854"/>
      <c r="Q1854"/>
      <c r="R1854"/>
      <c r="S1854"/>
      <c r="T1854"/>
    </row>
    <row r="1855" spans="1:20" outlineLevel="5" x14ac:dyDescent="0.3">
      <c r="A1855" s="82" t="s">
        <v>2639</v>
      </c>
      <c r="B1855" s="10" t="s">
        <v>1033</v>
      </c>
      <c r="C1855" s="60" t="s">
        <v>1034</v>
      </c>
      <c r="D1855" s="44" t="s">
        <v>121</v>
      </c>
      <c r="E1855" s="84">
        <v>3</v>
      </c>
      <c r="F1855" s="84"/>
      <c r="G1855" s="94">
        <f t="shared" si="292"/>
        <v>1</v>
      </c>
      <c r="H1855" s="93">
        <f t="shared" si="293"/>
        <v>46</v>
      </c>
      <c r="I1855" s="84">
        <f t="shared" si="294"/>
        <v>138</v>
      </c>
      <c r="J1855" s="105">
        <f t="shared" si="295"/>
        <v>4.0740755501884062E-5</v>
      </c>
      <c r="K1855">
        <f t="shared" si="296"/>
        <v>138</v>
      </c>
      <c r="L1855"/>
      <c r="M1855"/>
      <c r="N1855"/>
      <c r="O1855"/>
      <c r="P1855"/>
      <c r="Q1855"/>
      <c r="R1855"/>
      <c r="S1855"/>
      <c r="T1855"/>
    </row>
    <row r="1856" spans="1:20" ht="15" outlineLevel="5" thickBot="1" x14ac:dyDescent="0.35">
      <c r="A1856" s="82" t="s">
        <v>2640</v>
      </c>
      <c r="B1856" s="10" t="s">
        <v>1036</v>
      </c>
      <c r="C1856" s="60" t="s">
        <v>1037</v>
      </c>
      <c r="D1856" s="44" t="s">
        <v>121</v>
      </c>
      <c r="E1856" s="84">
        <v>3</v>
      </c>
      <c r="F1856" s="84"/>
      <c r="G1856" s="94">
        <f t="shared" si="292"/>
        <v>1</v>
      </c>
      <c r="H1856" s="93">
        <f t="shared" si="293"/>
        <v>46</v>
      </c>
      <c r="I1856" s="84">
        <f t="shared" si="294"/>
        <v>138</v>
      </c>
      <c r="J1856" s="105">
        <f t="shared" si="295"/>
        <v>4.0740755501884062E-5</v>
      </c>
      <c r="K1856">
        <f t="shared" si="296"/>
        <v>138</v>
      </c>
      <c r="L1856"/>
      <c r="M1856"/>
      <c r="N1856"/>
      <c r="O1856"/>
      <c r="P1856"/>
      <c r="Q1856"/>
      <c r="R1856"/>
      <c r="S1856"/>
      <c r="T1856"/>
    </row>
    <row r="1857" spans="1:20" ht="15" outlineLevel="2" thickTop="1" x14ac:dyDescent="0.3">
      <c r="A1857" s="82" t="s">
        <v>2641</v>
      </c>
      <c r="B1857" s="62" t="s">
        <v>60</v>
      </c>
      <c r="C1857" s="63" t="s">
        <v>1039</v>
      </c>
      <c r="D1857" s="116"/>
      <c r="E1857" s="88"/>
      <c r="F1857" s="88"/>
      <c r="G1857" s="98"/>
      <c r="H1857" s="88"/>
      <c r="I1857" s="88">
        <f>SUBTOTAL(9,I1828:I1856)</f>
        <v>1256</v>
      </c>
      <c r="J1857" s="109"/>
      <c r="K1857"/>
      <c r="L1857"/>
      <c r="M1857"/>
      <c r="N1857"/>
      <c r="O1857"/>
      <c r="P1857"/>
      <c r="Q1857"/>
      <c r="R1857"/>
      <c r="S1857"/>
      <c r="T1857"/>
    </row>
    <row r="1858" spans="1:20" outlineLevel="2" x14ac:dyDescent="0.3">
      <c r="A1858" s="82" t="s">
        <v>2642</v>
      </c>
      <c r="B1858" s="64" t="s">
        <v>1041</v>
      </c>
      <c r="C1858" s="65" t="s">
        <v>1042</v>
      </c>
      <c r="D1858" s="117"/>
      <c r="E1858" s="87"/>
      <c r="F1858" s="87"/>
      <c r="G1858" s="97"/>
      <c r="H1858" s="87"/>
      <c r="I1858" s="104">
        <f>SUBTOTAL(9,K1859:K1887)</f>
        <v>0</v>
      </c>
      <c r="J1858" s="108"/>
      <c r="K1858"/>
      <c r="L1858"/>
      <c r="M1858"/>
      <c r="N1858"/>
      <c r="O1858"/>
      <c r="P1858"/>
      <c r="Q1858"/>
      <c r="R1858"/>
      <c r="S1858"/>
      <c r="T1858"/>
    </row>
    <row r="1859" spans="1:20" outlineLevel="3" x14ac:dyDescent="0.3">
      <c r="A1859" s="82" t="s">
        <v>2643</v>
      </c>
      <c r="B1859" s="10" t="s">
        <v>1044</v>
      </c>
      <c r="C1859" s="60" t="s">
        <v>1045</v>
      </c>
      <c r="D1859" s="44" t="s">
        <v>93</v>
      </c>
      <c r="E1859" s="84">
        <v>0</v>
      </c>
      <c r="F1859" s="84"/>
      <c r="G1859" s="94">
        <f>cell_CoefGeneral</f>
        <v>1</v>
      </c>
      <c r="H1859" s="93">
        <f>H343</f>
        <v>9200</v>
      </c>
      <c r="I1859" s="84">
        <f>IFERROR(ROUND(E1859*H1859,2),"-")</f>
        <v>0</v>
      </c>
      <c r="J1859" s="105">
        <f>IFERROR(I1859/cell_Total_HT,"-")</f>
        <v>0</v>
      </c>
      <c r="K1859">
        <f>I1859</f>
        <v>0</v>
      </c>
      <c r="L1859"/>
      <c r="M1859"/>
      <c r="N1859"/>
      <c r="O1859"/>
      <c r="P1859"/>
      <c r="Q1859"/>
      <c r="R1859"/>
      <c r="S1859"/>
      <c r="T1859"/>
    </row>
    <row r="1860" spans="1:20" outlineLevel="3" x14ac:dyDescent="0.3">
      <c r="A1860" s="82" t="s">
        <v>2644</v>
      </c>
      <c r="B1860" s="58" t="s">
        <v>1047</v>
      </c>
      <c r="C1860" s="61" t="s">
        <v>1048</v>
      </c>
      <c r="D1860" s="115"/>
      <c r="E1860" s="87"/>
      <c r="F1860" s="87"/>
      <c r="G1860" s="97"/>
      <c r="H1860" s="87"/>
      <c r="I1860" s="104">
        <f>SUBTOTAL(9,K1861:K1874)</f>
        <v>0</v>
      </c>
      <c r="J1860" s="108"/>
      <c r="K1860"/>
      <c r="L1860"/>
      <c r="M1860"/>
      <c r="N1860"/>
      <c r="O1860"/>
      <c r="P1860"/>
      <c r="Q1860"/>
      <c r="R1860"/>
      <c r="S1860"/>
      <c r="T1860"/>
    </row>
    <row r="1861" spans="1:20" outlineLevel="4" x14ac:dyDescent="0.3">
      <c r="A1861" s="82" t="s">
        <v>2645</v>
      </c>
      <c r="B1861" s="10" t="s">
        <v>1050</v>
      </c>
      <c r="C1861" s="60" t="s">
        <v>1051</v>
      </c>
      <c r="D1861" s="44" t="s">
        <v>141</v>
      </c>
      <c r="E1861" s="84">
        <v>0</v>
      </c>
      <c r="F1861" s="84"/>
      <c r="G1861" s="94">
        <f t="shared" ref="G1861:G1874" si="297">cell_CoefGeneral</f>
        <v>1</v>
      </c>
      <c r="H1861" s="93">
        <f t="shared" ref="H1861:H1874" si="298">H345</f>
        <v>36</v>
      </c>
      <c r="I1861" s="84">
        <f t="shared" ref="I1861:I1874" si="299">IFERROR(ROUND(E1861*H1861,2),"-")</f>
        <v>0</v>
      </c>
      <c r="J1861" s="105">
        <f t="shared" ref="J1861:J1874" si="300">IFERROR(I1861/cell_Total_HT,"-")</f>
        <v>0</v>
      </c>
      <c r="K1861">
        <f t="shared" ref="K1861:K1874" si="301">I1861</f>
        <v>0</v>
      </c>
      <c r="L1861"/>
      <c r="M1861"/>
      <c r="N1861"/>
      <c r="O1861"/>
      <c r="P1861"/>
      <c r="Q1861"/>
      <c r="R1861"/>
      <c r="S1861"/>
      <c r="T1861"/>
    </row>
    <row r="1862" spans="1:20" outlineLevel="4" x14ac:dyDescent="0.3">
      <c r="A1862" s="82" t="s">
        <v>2646</v>
      </c>
      <c r="B1862" s="10" t="s">
        <v>1053</v>
      </c>
      <c r="C1862" s="60" t="s">
        <v>1054</v>
      </c>
      <c r="D1862" s="44" t="s">
        <v>141</v>
      </c>
      <c r="E1862" s="84">
        <v>0</v>
      </c>
      <c r="F1862" s="84"/>
      <c r="G1862" s="94">
        <f t="shared" si="297"/>
        <v>1</v>
      </c>
      <c r="H1862" s="93">
        <f t="shared" si="298"/>
        <v>38</v>
      </c>
      <c r="I1862" s="84">
        <f t="shared" si="299"/>
        <v>0</v>
      </c>
      <c r="J1862" s="105">
        <f t="shared" si="300"/>
        <v>0</v>
      </c>
      <c r="K1862">
        <f t="shared" si="301"/>
        <v>0</v>
      </c>
      <c r="L1862"/>
      <c r="M1862"/>
      <c r="N1862"/>
      <c r="O1862"/>
      <c r="P1862"/>
      <c r="Q1862"/>
      <c r="R1862"/>
      <c r="S1862"/>
      <c r="T1862"/>
    </row>
    <row r="1863" spans="1:20" outlineLevel="4" x14ac:dyDescent="0.3">
      <c r="A1863" s="82" t="s">
        <v>2647</v>
      </c>
      <c r="B1863" s="10" t="s">
        <v>1056</v>
      </c>
      <c r="C1863" s="60" t="s">
        <v>1057</v>
      </c>
      <c r="D1863" s="44" t="s">
        <v>154</v>
      </c>
      <c r="E1863" s="84">
        <v>0</v>
      </c>
      <c r="F1863" s="84"/>
      <c r="G1863" s="94">
        <f t="shared" si="297"/>
        <v>1</v>
      </c>
      <c r="H1863" s="93">
        <f t="shared" si="298"/>
        <v>81</v>
      </c>
      <c r="I1863" s="84">
        <f t="shared" si="299"/>
        <v>0</v>
      </c>
      <c r="J1863" s="105">
        <f t="shared" si="300"/>
        <v>0</v>
      </c>
      <c r="K1863">
        <f t="shared" si="301"/>
        <v>0</v>
      </c>
      <c r="L1863"/>
      <c r="M1863"/>
      <c r="N1863"/>
      <c r="O1863"/>
      <c r="P1863"/>
      <c r="Q1863"/>
      <c r="R1863"/>
      <c r="S1863"/>
      <c r="T1863"/>
    </row>
    <row r="1864" spans="1:20" outlineLevel="4" x14ac:dyDescent="0.3">
      <c r="A1864" s="82" t="s">
        <v>2648</v>
      </c>
      <c r="B1864" s="10" t="s">
        <v>1059</v>
      </c>
      <c r="C1864" s="60" t="s">
        <v>1060</v>
      </c>
      <c r="D1864" s="44" t="s">
        <v>154</v>
      </c>
      <c r="E1864" s="84">
        <v>0</v>
      </c>
      <c r="F1864" s="84"/>
      <c r="G1864" s="94">
        <f t="shared" si="297"/>
        <v>1</v>
      </c>
      <c r="H1864" s="93">
        <f t="shared" si="298"/>
        <v>81</v>
      </c>
      <c r="I1864" s="84">
        <f t="shared" si="299"/>
        <v>0</v>
      </c>
      <c r="J1864" s="105">
        <f t="shared" si="300"/>
        <v>0</v>
      </c>
      <c r="K1864">
        <f t="shared" si="301"/>
        <v>0</v>
      </c>
      <c r="L1864"/>
      <c r="M1864"/>
      <c r="N1864"/>
      <c r="O1864"/>
      <c r="P1864"/>
      <c r="Q1864"/>
      <c r="R1864"/>
      <c r="S1864"/>
      <c r="T1864"/>
    </row>
    <row r="1865" spans="1:20" ht="28.8" outlineLevel="4" x14ac:dyDescent="0.3">
      <c r="A1865" s="82" t="s">
        <v>2649</v>
      </c>
      <c r="B1865" s="10" t="s">
        <v>1062</v>
      </c>
      <c r="C1865" s="60" t="s">
        <v>1063</v>
      </c>
      <c r="D1865" s="44" t="s">
        <v>93</v>
      </c>
      <c r="E1865" s="84">
        <v>0</v>
      </c>
      <c r="F1865" s="84"/>
      <c r="G1865" s="94">
        <f t="shared" si="297"/>
        <v>1</v>
      </c>
      <c r="H1865" s="93">
        <f t="shared" si="298"/>
        <v>4000</v>
      </c>
      <c r="I1865" s="84">
        <f t="shared" si="299"/>
        <v>0</v>
      </c>
      <c r="J1865" s="105">
        <f t="shared" si="300"/>
        <v>0</v>
      </c>
      <c r="K1865">
        <f t="shared" si="301"/>
        <v>0</v>
      </c>
      <c r="L1865"/>
      <c r="M1865"/>
      <c r="N1865"/>
      <c r="O1865"/>
      <c r="P1865"/>
      <c r="Q1865"/>
      <c r="R1865"/>
      <c r="S1865"/>
      <c r="T1865"/>
    </row>
    <row r="1866" spans="1:20" outlineLevel="4" x14ac:dyDescent="0.3">
      <c r="A1866" s="82" t="s">
        <v>2650</v>
      </c>
      <c r="B1866" s="10" t="s">
        <v>1065</v>
      </c>
      <c r="C1866" s="60" t="s">
        <v>1066</v>
      </c>
      <c r="D1866" s="44" t="s">
        <v>154</v>
      </c>
      <c r="E1866" s="84">
        <v>0</v>
      </c>
      <c r="F1866" s="84"/>
      <c r="G1866" s="94">
        <f t="shared" si="297"/>
        <v>1</v>
      </c>
      <c r="H1866" s="93">
        <f t="shared" si="298"/>
        <v>92</v>
      </c>
      <c r="I1866" s="84">
        <f t="shared" si="299"/>
        <v>0</v>
      </c>
      <c r="J1866" s="105">
        <f t="shared" si="300"/>
        <v>0</v>
      </c>
      <c r="K1866">
        <f t="shared" si="301"/>
        <v>0</v>
      </c>
      <c r="L1866"/>
      <c r="M1866"/>
      <c r="N1866"/>
      <c r="O1866"/>
      <c r="P1866"/>
      <c r="Q1866"/>
      <c r="R1866"/>
      <c r="S1866"/>
      <c r="T1866"/>
    </row>
    <row r="1867" spans="1:20" outlineLevel="4" x14ac:dyDescent="0.3">
      <c r="A1867" s="82" t="s">
        <v>2651</v>
      </c>
      <c r="B1867" s="10" t="s">
        <v>1068</v>
      </c>
      <c r="C1867" s="60" t="s">
        <v>1069</v>
      </c>
      <c r="D1867" s="44" t="s">
        <v>154</v>
      </c>
      <c r="E1867" s="84">
        <v>0</v>
      </c>
      <c r="F1867" s="84"/>
      <c r="G1867" s="94">
        <f t="shared" si="297"/>
        <v>1</v>
      </c>
      <c r="H1867" s="93">
        <f t="shared" si="298"/>
        <v>35</v>
      </c>
      <c r="I1867" s="84">
        <f t="shared" si="299"/>
        <v>0</v>
      </c>
      <c r="J1867" s="105">
        <f t="shared" si="300"/>
        <v>0</v>
      </c>
      <c r="K1867">
        <f t="shared" si="301"/>
        <v>0</v>
      </c>
      <c r="L1867"/>
      <c r="M1867"/>
      <c r="N1867"/>
      <c r="O1867"/>
      <c r="P1867"/>
      <c r="Q1867"/>
      <c r="R1867"/>
      <c r="S1867"/>
      <c r="T1867"/>
    </row>
    <row r="1868" spans="1:20" outlineLevel="4" x14ac:dyDescent="0.3">
      <c r="A1868" s="82" t="s">
        <v>2652</v>
      </c>
      <c r="B1868" s="10" t="s">
        <v>1071</v>
      </c>
      <c r="C1868" s="60" t="s">
        <v>1072</v>
      </c>
      <c r="D1868" s="44" t="s">
        <v>141</v>
      </c>
      <c r="E1868" s="84">
        <v>0</v>
      </c>
      <c r="F1868" s="84"/>
      <c r="G1868" s="94">
        <f t="shared" si="297"/>
        <v>1</v>
      </c>
      <c r="H1868" s="93">
        <f t="shared" si="298"/>
        <v>230</v>
      </c>
      <c r="I1868" s="84">
        <f t="shared" si="299"/>
        <v>0</v>
      </c>
      <c r="J1868" s="105">
        <f t="shared" si="300"/>
        <v>0</v>
      </c>
      <c r="K1868">
        <f t="shared" si="301"/>
        <v>0</v>
      </c>
      <c r="L1868"/>
      <c r="M1868"/>
      <c r="N1868"/>
      <c r="O1868"/>
      <c r="P1868"/>
      <c r="Q1868"/>
      <c r="R1868"/>
      <c r="S1868"/>
      <c r="T1868"/>
    </row>
    <row r="1869" spans="1:20" outlineLevel="4" x14ac:dyDescent="0.3">
      <c r="A1869" s="82" t="s">
        <v>2653</v>
      </c>
      <c r="B1869" s="10" t="s">
        <v>1074</v>
      </c>
      <c r="C1869" s="60" t="s">
        <v>1075</v>
      </c>
      <c r="D1869" s="44" t="s">
        <v>141</v>
      </c>
      <c r="E1869" s="84">
        <v>0</v>
      </c>
      <c r="F1869" s="84"/>
      <c r="G1869" s="94">
        <f t="shared" si="297"/>
        <v>1</v>
      </c>
      <c r="H1869" s="93">
        <f t="shared" si="298"/>
        <v>46</v>
      </c>
      <c r="I1869" s="84">
        <f t="shared" si="299"/>
        <v>0</v>
      </c>
      <c r="J1869" s="105">
        <f t="shared" si="300"/>
        <v>0</v>
      </c>
      <c r="K1869">
        <f t="shared" si="301"/>
        <v>0</v>
      </c>
      <c r="L1869"/>
      <c r="M1869"/>
      <c r="N1869"/>
      <c r="O1869"/>
      <c r="P1869"/>
      <c r="Q1869"/>
      <c r="R1869"/>
      <c r="S1869"/>
      <c r="T1869"/>
    </row>
    <row r="1870" spans="1:20" outlineLevel="4" x14ac:dyDescent="0.3">
      <c r="A1870" s="82" t="s">
        <v>2654</v>
      </c>
      <c r="B1870" s="10" t="s">
        <v>1077</v>
      </c>
      <c r="C1870" s="60" t="s">
        <v>1078</v>
      </c>
      <c r="D1870" s="44" t="s">
        <v>1079</v>
      </c>
      <c r="E1870" s="84">
        <v>0</v>
      </c>
      <c r="F1870" s="84"/>
      <c r="G1870" s="94">
        <f t="shared" si="297"/>
        <v>1</v>
      </c>
      <c r="H1870" s="93">
        <f t="shared" si="298"/>
        <v>1.6</v>
      </c>
      <c r="I1870" s="84">
        <f t="shared" si="299"/>
        <v>0</v>
      </c>
      <c r="J1870" s="105">
        <f t="shared" si="300"/>
        <v>0</v>
      </c>
      <c r="K1870">
        <f t="shared" si="301"/>
        <v>0</v>
      </c>
      <c r="L1870"/>
      <c r="M1870"/>
      <c r="N1870"/>
      <c r="O1870"/>
      <c r="P1870"/>
      <c r="Q1870"/>
      <c r="R1870"/>
      <c r="S1870"/>
      <c r="T1870"/>
    </row>
    <row r="1871" spans="1:20" outlineLevel="4" x14ac:dyDescent="0.3">
      <c r="A1871" s="82" t="s">
        <v>2655</v>
      </c>
      <c r="B1871" s="10" t="s">
        <v>1081</v>
      </c>
      <c r="C1871" s="60" t="s">
        <v>1082</v>
      </c>
      <c r="D1871" s="44" t="s">
        <v>154</v>
      </c>
      <c r="E1871" s="84">
        <v>0</v>
      </c>
      <c r="F1871" s="84"/>
      <c r="G1871" s="94">
        <f t="shared" si="297"/>
        <v>1</v>
      </c>
      <c r="H1871" s="93">
        <f t="shared" si="298"/>
        <v>12</v>
      </c>
      <c r="I1871" s="84">
        <f t="shared" si="299"/>
        <v>0</v>
      </c>
      <c r="J1871" s="105">
        <f t="shared" si="300"/>
        <v>0</v>
      </c>
      <c r="K1871">
        <f t="shared" si="301"/>
        <v>0</v>
      </c>
      <c r="L1871"/>
      <c r="M1871"/>
      <c r="N1871"/>
      <c r="O1871"/>
      <c r="P1871"/>
      <c r="Q1871"/>
      <c r="R1871"/>
      <c r="S1871"/>
      <c r="T1871"/>
    </row>
    <row r="1872" spans="1:20" outlineLevel="4" x14ac:dyDescent="0.3">
      <c r="A1872" s="82" t="s">
        <v>2656</v>
      </c>
      <c r="B1872" s="10" t="s">
        <v>1084</v>
      </c>
      <c r="C1872" s="60" t="s">
        <v>1085</v>
      </c>
      <c r="D1872" s="44" t="s">
        <v>154</v>
      </c>
      <c r="E1872" s="84">
        <v>0</v>
      </c>
      <c r="F1872" s="84"/>
      <c r="G1872" s="94">
        <f t="shared" si="297"/>
        <v>1</v>
      </c>
      <c r="H1872" s="93">
        <f t="shared" si="298"/>
        <v>9.1999999999999993</v>
      </c>
      <c r="I1872" s="84">
        <f t="shared" si="299"/>
        <v>0</v>
      </c>
      <c r="J1872" s="105">
        <f t="shared" si="300"/>
        <v>0</v>
      </c>
      <c r="K1872">
        <f t="shared" si="301"/>
        <v>0</v>
      </c>
      <c r="L1872"/>
      <c r="M1872"/>
      <c r="N1872"/>
      <c r="O1872"/>
      <c r="P1872"/>
      <c r="Q1872"/>
      <c r="R1872"/>
      <c r="S1872"/>
      <c r="T1872"/>
    </row>
    <row r="1873" spans="1:20" ht="28.8" outlineLevel="4" x14ac:dyDescent="0.3">
      <c r="A1873" s="82" t="s">
        <v>2657</v>
      </c>
      <c r="B1873" s="10" t="s">
        <v>1087</v>
      </c>
      <c r="C1873" s="60" t="s">
        <v>1088</v>
      </c>
      <c r="D1873" s="44" t="s">
        <v>121</v>
      </c>
      <c r="E1873" s="84">
        <v>0</v>
      </c>
      <c r="F1873" s="84"/>
      <c r="G1873" s="94">
        <f t="shared" si="297"/>
        <v>1</v>
      </c>
      <c r="H1873" s="93">
        <f t="shared" si="298"/>
        <v>3500</v>
      </c>
      <c r="I1873" s="84">
        <f t="shared" si="299"/>
        <v>0</v>
      </c>
      <c r="J1873" s="105">
        <f t="shared" si="300"/>
        <v>0</v>
      </c>
      <c r="K1873">
        <f t="shared" si="301"/>
        <v>0</v>
      </c>
      <c r="L1873"/>
      <c r="M1873"/>
      <c r="N1873"/>
      <c r="O1873"/>
      <c r="P1873"/>
      <c r="Q1873"/>
      <c r="R1873"/>
      <c r="S1873"/>
      <c r="T1873"/>
    </row>
    <row r="1874" spans="1:20" ht="28.8" outlineLevel="4" x14ac:dyDescent="0.3">
      <c r="A1874" s="82" t="s">
        <v>2658</v>
      </c>
      <c r="B1874" s="10" t="s">
        <v>1090</v>
      </c>
      <c r="C1874" s="60" t="s">
        <v>1091</v>
      </c>
      <c r="D1874" s="44" t="s">
        <v>121</v>
      </c>
      <c r="E1874" s="84">
        <v>0</v>
      </c>
      <c r="F1874" s="84"/>
      <c r="G1874" s="94">
        <f t="shared" si="297"/>
        <v>1</v>
      </c>
      <c r="H1874" s="93">
        <f t="shared" si="298"/>
        <v>5200</v>
      </c>
      <c r="I1874" s="84">
        <f t="shared" si="299"/>
        <v>0</v>
      </c>
      <c r="J1874" s="105">
        <f t="shared" si="300"/>
        <v>0</v>
      </c>
      <c r="K1874">
        <f t="shared" si="301"/>
        <v>0</v>
      </c>
      <c r="L1874"/>
      <c r="M1874"/>
      <c r="N1874"/>
      <c r="O1874"/>
      <c r="P1874"/>
      <c r="Q1874"/>
      <c r="R1874"/>
      <c r="S1874"/>
      <c r="T1874"/>
    </row>
    <row r="1875" spans="1:20" outlineLevel="3" x14ac:dyDescent="0.3">
      <c r="A1875" s="82" t="s">
        <v>2659</v>
      </c>
      <c r="B1875" s="58" t="s">
        <v>1093</v>
      </c>
      <c r="C1875" s="61" t="s">
        <v>1094</v>
      </c>
      <c r="D1875" s="115"/>
      <c r="E1875" s="87"/>
      <c r="F1875" s="87"/>
      <c r="G1875" s="97"/>
      <c r="H1875" s="87"/>
      <c r="I1875" s="104">
        <f>SUBTOTAL(9,K1876:K1884)</f>
        <v>0</v>
      </c>
      <c r="J1875" s="108"/>
      <c r="K1875"/>
      <c r="L1875"/>
      <c r="M1875"/>
      <c r="N1875"/>
      <c r="O1875"/>
      <c r="P1875"/>
      <c r="Q1875"/>
      <c r="R1875"/>
      <c r="S1875"/>
      <c r="T1875"/>
    </row>
    <row r="1876" spans="1:20" outlineLevel="4" x14ac:dyDescent="0.3">
      <c r="A1876" s="82" t="s">
        <v>2660</v>
      </c>
      <c r="B1876" s="10" t="s">
        <v>1096</v>
      </c>
      <c r="C1876" s="60" t="s">
        <v>1051</v>
      </c>
      <c r="D1876" s="44" t="s">
        <v>141</v>
      </c>
      <c r="E1876" s="84">
        <v>0</v>
      </c>
      <c r="F1876" s="84"/>
      <c r="G1876" s="94">
        <f t="shared" ref="G1876:G1884" si="302">cell_CoefGeneral</f>
        <v>1</v>
      </c>
      <c r="H1876" s="93">
        <f t="shared" ref="H1876:H1884" si="303">H360</f>
        <v>33</v>
      </c>
      <c r="I1876" s="84">
        <f t="shared" ref="I1876:I1884" si="304">IFERROR(ROUND(E1876*H1876,2),"-")</f>
        <v>0</v>
      </c>
      <c r="J1876" s="105">
        <f t="shared" ref="J1876:J1884" si="305">IFERROR(I1876/cell_Total_HT,"-")</f>
        <v>0</v>
      </c>
      <c r="K1876">
        <f t="shared" ref="K1876:K1884" si="306">I1876</f>
        <v>0</v>
      </c>
      <c r="L1876"/>
      <c r="M1876"/>
      <c r="N1876"/>
      <c r="O1876"/>
      <c r="P1876"/>
      <c r="Q1876"/>
      <c r="R1876"/>
      <c r="S1876"/>
      <c r="T1876"/>
    </row>
    <row r="1877" spans="1:20" outlineLevel="4" x14ac:dyDescent="0.3">
      <c r="A1877" s="82" t="s">
        <v>2661</v>
      </c>
      <c r="B1877" s="10" t="s">
        <v>1098</v>
      </c>
      <c r="C1877" s="60" t="s">
        <v>1057</v>
      </c>
      <c r="D1877" s="44" t="s">
        <v>154</v>
      </c>
      <c r="E1877" s="84">
        <v>0</v>
      </c>
      <c r="F1877" s="84"/>
      <c r="G1877" s="94">
        <f t="shared" si="302"/>
        <v>1</v>
      </c>
      <c r="H1877" s="93">
        <f t="shared" si="303"/>
        <v>92</v>
      </c>
      <c r="I1877" s="84">
        <f t="shared" si="304"/>
        <v>0</v>
      </c>
      <c r="J1877" s="105">
        <f t="shared" si="305"/>
        <v>0</v>
      </c>
      <c r="K1877">
        <f t="shared" si="306"/>
        <v>0</v>
      </c>
      <c r="L1877"/>
      <c r="M1877"/>
      <c r="N1877"/>
      <c r="O1877"/>
      <c r="P1877"/>
      <c r="Q1877"/>
      <c r="R1877"/>
      <c r="S1877"/>
      <c r="T1877"/>
    </row>
    <row r="1878" spans="1:20" outlineLevel="4" x14ac:dyDescent="0.3">
      <c r="A1878" s="82" t="s">
        <v>2662</v>
      </c>
      <c r="B1878" s="10" t="s">
        <v>1100</v>
      </c>
      <c r="C1878" s="60" t="s">
        <v>1101</v>
      </c>
      <c r="D1878" s="44" t="s">
        <v>80</v>
      </c>
      <c r="E1878" s="84">
        <v>0</v>
      </c>
      <c r="F1878" s="84"/>
      <c r="G1878" s="94">
        <f t="shared" si="302"/>
        <v>1</v>
      </c>
      <c r="H1878" s="93">
        <f t="shared" si="303"/>
        <v>17</v>
      </c>
      <c r="I1878" s="84">
        <f t="shared" si="304"/>
        <v>0</v>
      </c>
      <c r="J1878" s="105">
        <f t="shared" si="305"/>
        <v>0</v>
      </c>
      <c r="K1878">
        <f t="shared" si="306"/>
        <v>0</v>
      </c>
      <c r="L1878"/>
      <c r="M1878"/>
      <c r="N1878"/>
      <c r="O1878"/>
      <c r="P1878"/>
      <c r="Q1878"/>
      <c r="R1878"/>
      <c r="S1878"/>
      <c r="T1878"/>
    </row>
    <row r="1879" spans="1:20" outlineLevel="4" x14ac:dyDescent="0.3">
      <c r="A1879" s="82" t="s">
        <v>2663</v>
      </c>
      <c r="B1879" s="10" t="s">
        <v>1103</v>
      </c>
      <c r="C1879" s="60" t="s">
        <v>1069</v>
      </c>
      <c r="D1879" s="44" t="s">
        <v>154</v>
      </c>
      <c r="E1879" s="84">
        <v>0</v>
      </c>
      <c r="F1879" s="84"/>
      <c r="G1879" s="94">
        <f t="shared" si="302"/>
        <v>1</v>
      </c>
      <c r="H1879" s="93">
        <f t="shared" si="303"/>
        <v>35</v>
      </c>
      <c r="I1879" s="84">
        <f t="shared" si="304"/>
        <v>0</v>
      </c>
      <c r="J1879" s="105">
        <f t="shared" si="305"/>
        <v>0</v>
      </c>
      <c r="K1879">
        <f t="shared" si="306"/>
        <v>0</v>
      </c>
      <c r="L1879"/>
      <c r="M1879"/>
      <c r="N1879"/>
      <c r="O1879"/>
      <c r="P1879"/>
      <c r="Q1879"/>
      <c r="R1879"/>
      <c r="S1879"/>
      <c r="T1879"/>
    </row>
    <row r="1880" spans="1:20" outlineLevel="4" x14ac:dyDescent="0.3">
      <c r="A1880" s="82" t="s">
        <v>2664</v>
      </c>
      <c r="B1880" s="10" t="s">
        <v>1105</v>
      </c>
      <c r="C1880" s="60" t="s">
        <v>1072</v>
      </c>
      <c r="D1880" s="44" t="s">
        <v>141</v>
      </c>
      <c r="E1880" s="84">
        <v>0</v>
      </c>
      <c r="F1880" s="84"/>
      <c r="G1880" s="94">
        <f t="shared" si="302"/>
        <v>1</v>
      </c>
      <c r="H1880" s="93">
        <f t="shared" si="303"/>
        <v>230</v>
      </c>
      <c r="I1880" s="84">
        <f t="shared" si="304"/>
        <v>0</v>
      </c>
      <c r="J1880" s="105">
        <f t="shared" si="305"/>
        <v>0</v>
      </c>
      <c r="K1880">
        <f t="shared" si="306"/>
        <v>0</v>
      </c>
      <c r="L1880"/>
      <c r="M1880"/>
      <c r="N1880"/>
      <c r="O1880"/>
      <c r="P1880"/>
      <c r="Q1880"/>
      <c r="R1880"/>
      <c r="S1880"/>
      <c r="T1880"/>
    </row>
    <row r="1881" spans="1:20" outlineLevel="4" x14ac:dyDescent="0.3">
      <c r="A1881" s="82" t="s">
        <v>2665</v>
      </c>
      <c r="B1881" s="10" t="s">
        <v>1107</v>
      </c>
      <c r="C1881" s="60" t="s">
        <v>1078</v>
      </c>
      <c r="D1881" s="44" t="s">
        <v>1079</v>
      </c>
      <c r="E1881" s="84">
        <v>0</v>
      </c>
      <c r="F1881" s="84"/>
      <c r="G1881" s="94">
        <f t="shared" si="302"/>
        <v>1</v>
      </c>
      <c r="H1881" s="93">
        <f t="shared" si="303"/>
        <v>1.6</v>
      </c>
      <c r="I1881" s="84">
        <f t="shared" si="304"/>
        <v>0</v>
      </c>
      <c r="J1881" s="105">
        <f t="shared" si="305"/>
        <v>0</v>
      </c>
      <c r="K1881">
        <f t="shared" si="306"/>
        <v>0</v>
      </c>
      <c r="L1881"/>
      <c r="M1881"/>
      <c r="N1881"/>
      <c r="O1881"/>
      <c r="P1881"/>
      <c r="Q1881"/>
      <c r="R1881"/>
      <c r="S1881"/>
      <c r="T1881"/>
    </row>
    <row r="1882" spans="1:20" outlineLevel="4" x14ac:dyDescent="0.3">
      <c r="A1882" s="82" t="s">
        <v>2666</v>
      </c>
      <c r="B1882" s="10" t="s">
        <v>1109</v>
      </c>
      <c r="C1882" s="60" t="s">
        <v>1082</v>
      </c>
      <c r="D1882" s="44" t="s">
        <v>154</v>
      </c>
      <c r="E1882" s="84">
        <v>0</v>
      </c>
      <c r="F1882" s="84"/>
      <c r="G1882" s="94">
        <f t="shared" si="302"/>
        <v>1</v>
      </c>
      <c r="H1882" s="93">
        <f t="shared" si="303"/>
        <v>12</v>
      </c>
      <c r="I1882" s="84">
        <f t="shared" si="304"/>
        <v>0</v>
      </c>
      <c r="J1882" s="105">
        <f t="shared" si="305"/>
        <v>0</v>
      </c>
      <c r="K1882">
        <f t="shared" si="306"/>
        <v>0</v>
      </c>
      <c r="L1882"/>
      <c r="M1882"/>
      <c r="N1882"/>
      <c r="O1882"/>
      <c r="P1882"/>
      <c r="Q1882"/>
      <c r="R1882"/>
      <c r="S1882"/>
      <c r="T1882"/>
    </row>
    <row r="1883" spans="1:20" outlineLevel="4" x14ac:dyDescent="0.3">
      <c r="A1883" s="82" t="s">
        <v>2667</v>
      </c>
      <c r="B1883" s="10" t="s">
        <v>1111</v>
      </c>
      <c r="C1883" s="60" t="s">
        <v>1085</v>
      </c>
      <c r="D1883" s="44" t="s">
        <v>154</v>
      </c>
      <c r="E1883" s="84">
        <v>0</v>
      </c>
      <c r="F1883" s="84"/>
      <c r="G1883" s="94">
        <f t="shared" si="302"/>
        <v>1</v>
      </c>
      <c r="H1883" s="93">
        <f t="shared" si="303"/>
        <v>9.1999999999999993</v>
      </c>
      <c r="I1883" s="84">
        <f t="shared" si="304"/>
        <v>0</v>
      </c>
      <c r="J1883" s="105">
        <f t="shared" si="305"/>
        <v>0</v>
      </c>
      <c r="K1883">
        <f t="shared" si="306"/>
        <v>0</v>
      </c>
      <c r="L1883"/>
      <c r="M1883"/>
      <c r="N1883"/>
      <c r="O1883"/>
      <c r="P1883"/>
      <c r="Q1883"/>
      <c r="R1883"/>
      <c r="S1883"/>
      <c r="T1883"/>
    </row>
    <row r="1884" spans="1:20" outlineLevel="4" x14ac:dyDescent="0.3">
      <c r="A1884" s="82" t="s">
        <v>2668</v>
      </c>
      <c r="B1884" s="10" t="s">
        <v>1113</v>
      </c>
      <c r="C1884" s="60" t="s">
        <v>1114</v>
      </c>
      <c r="D1884" s="44" t="s">
        <v>154</v>
      </c>
      <c r="E1884" s="84">
        <v>0</v>
      </c>
      <c r="F1884" s="84"/>
      <c r="G1884" s="94">
        <f t="shared" si="302"/>
        <v>1</v>
      </c>
      <c r="H1884" s="93">
        <f t="shared" si="303"/>
        <v>100</v>
      </c>
      <c r="I1884" s="84">
        <f t="shared" si="304"/>
        <v>0</v>
      </c>
      <c r="J1884" s="105">
        <f t="shared" si="305"/>
        <v>0</v>
      </c>
      <c r="K1884">
        <f t="shared" si="306"/>
        <v>0</v>
      </c>
      <c r="L1884"/>
      <c r="M1884"/>
      <c r="N1884"/>
      <c r="O1884"/>
      <c r="P1884"/>
      <c r="Q1884"/>
      <c r="R1884"/>
      <c r="S1884"/>
      <c r="T1884"/>
    </row>
    <row r="1885" spans="1:20" outlineLevel="3" x14ac:dyDescent="0.3">
      <c r="A1885" s="82" t="s">
        <v>2669</v>
      </c>
      <c r="B1885" s="58" t="s">
        <v>1116</v>
      </c>
      <c r="C1885" s="61" t="s">
        <v>1117</v>
      </c>
      <c r="D1885" s="115"/>
      <c r="E1885" s="87"/>
      <c r="F1885" s="87"/>
      <c r="G1885" s="97"/>
      <c r="H1885" s="87"/>
      <c r="I1885" s="104">
        <f>SUBTOTAL(9,K1886:K1887)</f>
        <v>0</v>
      </c>
      <c r="J1885" s="108"/>
      <c r="K1885"/>
      <c r="L1885"/>
      <c r="M1885"/>
      <c r="N1885"/>
      <c r="O1885"/>
      <c r="P1885"/>
      <c r="Q1885"/>
      <c r="R1885"/>
      <c r="S1885"/>
      <c r="T1885"/>
    </row>
    <row r="1886" spans="1:20" outlineLevel="4" x14ac:dyDescent="0.3">
      <c r="A1886" s="82" t="s">
        <v>2670</v>
      </c>
      <c r="B1886" s="10" t="s">
        <v>1119</v>
      </c>
      <c r="C1886" s="60" t="s">
        <v>1120</v>
      </c>
      <c r="D1886" s="44" t="s">
        <v>154</v>
      </c>
      <c r="E1886" s="84">
        <v>0</v>
      </c>
      <c r="F1886" s="84"/>
      <c r="G1886" s="94">
        <f>cell_CoefGeneral</f>
        <v>1</v>
      </c>
      <c r="H1886" s="93">
        <f>H370</f>
        <v>52</v>
      </c>
      <c r="I1886" s="84">
        <f>IFERROR(ROUND(E1886*H1886,2),"-")</f>
        <v>0</v>
      </c>
      <c r="J1886" s="105">
        <f>IFERROR(I1886/cell_Total_HT,"-")</f>
        <v>0</v>
      </c>
      <c r="K1886">
        <f>I1886</f>
        <v>0</v>
      </c>
      <c r="L1886"/>
      <c r="M1886"/>
      <c r="N1886"/>
      <c r="O1886"/>
      <c r="P1886"/>
      <c r="Q1886"/>
      <c r="R1886"/>
      <c r="S1886"/>
      <c r="T1886"/>
    </row>
    <row r="1887" spans="1:20" ht="15" outlineLevel="4" thickBot="1" x14ac:dyDescent="0.35">
      <c r="A1887" s="82" t="s">
        <v>2671</v>
      </c>
      <c r="B1887" s="10" t="s">
        <v>1122</v>
      </c>
      <c r="C1887" s="60" t="s">
        <v>1123</v>
      </c>
      <c r="D1887" s="44" t="s">
        <v>154</v>
      </c>
      <c r="E1887" s="84">
        <v>0</v>
      </c>
      <c r="F1887" s="84"/>
      <c r="G1887" s="94">
        <f>cell_CoefGeneral</f>
        <v>1</v>
      </c>
      <c r="H1887" s="93">
        <f>H371</f>
        <v>52</v>
      </c>
      <c r="I1887" s="84">
        <f>IFERROR(ROUND(E1887*H1887,2),"-")</f>
        <v>0</v>
      </c>
      <c r="J1887" s="105">
        <f>IFERROR(I1887/cell_Total_HT,"-")</f>
        <v>0</v>
      </c>
      <c r="K1887">
        <f>I1887</f>
        <v>0</v>
      </c>
      <c r="L1887"/>
      <c r="M1887"/>
      <c r="N1887"/>
      <c r="O1887"/>
      <c r="P1887"/>
      <c r="Q1887"/>
      <c r="R1887"/>
      <c r="S1887"/>
      <c r="T1887"/>
    </row>
    <row r="1888" spans="1:20" ht="15" outlineLevel="2" thickTop="1" x14ac:dyDescent="0.3">
      <c r="A1888" s="82" t="s">
        <v>2672</v>
      </c>
      <c r="B1888" s="62" t="s">
        <v>60</v>
      </c>
      <c r="C1888" s="63" t="s">
        <v>1125</v>
      </c>
      <c r="D1888" s="116"/>
      <c r="E1888" s="88"/>
      <c r="F1888" s="88"/>
      <c r="G1888" s="98"/>
      <c r="H1888" s="88"/>
      <c r="I1888" s="88">
        <f>SUBTOTAL(9,I1859:I1887)</f>
        <v>0</v>
      </c>
      <c r="J1888" s="109"/>
      <c r="K1888"/>
      <c r="L1888"/>
      <c r="M1888"/>
      <c r="N1888"/>
      <c r="O1888"/>
      <c r="P1888"/>
      <c r="Q1888"/>
      <c r="R1888"/>
      <c r="S1888"/>
      <c r="T1888"/>
    </row>
    <row r="1889" spans="1:20" outlineLevel="2" x14ac:dyDescent="0.3">
      <c r="A1889" s="82" t="s">
        <v>2673</v>
      </c>
      <c r="B1889" s="64" t="s">
        <v>1127</v>
      </c>
      <c r="C1889" s="65" t="s">
        <v>1128</v>
      </c>
      <c r="D1889" s="117"/>
      <c r="E1889" s="87"/>
      <c r="F1889" s="87"/>
      <c r="G1889" s="97"/>
      <c r="H1889" s="87"/>
      <c r="I1889" s="104">
        <f>SUBTOTAL(9,K1890:K1899)</f>
        <v>2000</v>
      </c>
      <c r="J1889" s="108"/>
      <c r="K1889"/>
      <c r="L1889"/>
      <c r="M1889"/>
      <c r="N1889"/>
      <c r="O1889"/>
      <c r="P1889"/>
      <c r="Q1889"/>
      <c r="R1889"/>
      <c r="S1889"/>
      <c r="T1889"/>
    </row>
    <row r="1890" spans="1:20" outlineLevel="3" x14ac:dyDescent="0.3">
      <c r="A1890" s="82" t="s">
        <v>2674</v>
      </c>
      <c r="B1890" s="64" t="s">
        <v>1130</v>
      </c>
      <c r="C1890" s="66" t="s">
        <v>1131</v>
      </c>
      <c r="D1890" s="117"/>
      <c r="E1890" s="87"/>
      <c r="F1890" s="87"/>
      <c r="G1890" s="97"/>
      <c r="H1890" s="87"/>
      <c r="I1890" s="104">
        <f>SUBTOTAL(9,K1891:K1899)</f>
        <v>2000</v>
      </c>
      <c r="J1890" s="108"/>
      <c r="K1890"/>
      <c r="L1890"/>
      <c r="M1890"/>
      <c r="N1890"/>
      <c r="O1890"/>
      <c r="P1890"/>
      <c r="Q1890"/>
      <c r="R1890"/>
      <c r="S1890"/>
      <c r="T1890"/>
    </row>
    <row r="1891" spans="1:20" outlineLevel="4" x14ac:dyDescent="0.3">
      <c r="A1891" s="82" t="s">
        <v>2675</v>
      </c>
      <c r="B1891" s="10" t="s">
        <v>1133</v>
      </c>
      <c r="C1891" s="60" t="s">
        <v>1134</v>
      </c>
      <c r="D1891" s="44" t="s">
        <v>121</v>
      </c>
      <c r="E1891" s="84">
        <v>2</v>
      </c>
      <c r="F1891" s="84"/>
      <c r="G1891" s="94">
        <f t="shared" ref="G1891:G1899" si="307">cell_CoefGeneral</f>
        <v>1</v>
      </c>
      <c r="H1891" s="93">
        <f t="shared" ref="H1891:H1899" si="308">H375</f>
        <v>100</v>
      </c>
      <c r="I1891" s="84">
        <f t="shared" ref="I1891:I1899" si="309">IFERROR(ROUND(E1891*H1891,2),"-")</f>
        <v>200</v>
      </c>
      <c r="J1891" s="105">
        <f t="shared" ref="J1891:J1899" si="310">IFERROR(I1891/cell_Total_HT,"-")</f>
        <v>5.9044573191136318E-5</v>
      </c>
      <c r="K1891">
        <f t="shared" ref="K1891:K1899" si="311">I1891</f>
        <v>200</v>
      </c>
      <c r="L1891"/>
      <c r="M1891"/>
      <c r="N1891"/>
      <c r="O1891"/>
      <c r="P1891"/>
      <c r="Q1891"/>
      <c r="R1891"/>
      <c r="S1891"/>
      <c r="T1891"/>
    </row>
    <row r="1892" spans="1:20" outlineLevel="4" x14ac:dyDescent="0.3">
      <c r="A1892" s="82" t="s">
        <v>2676</v>
      </c>
      <c r="B1892" s="10" t="s">
        <v>1136</v>
      </c>
      <c r="C1892" s="60" t="s">
        <v>1137</v>
      </c>
      <c r="D1892" s="44" t="s">
        <v>121</v>
      </c>
      <c r="E1892" s="84">
        <v>0</v>
      </c>
      <c r="F1892" s="84"/>
      <c r="G1892" s="94">
        <f t="shared" si="307"/>
        <v>1</v>
      </c>
      <c r="H1892" s="93">
        <f t="shared" si="308"/>
        <v>120</v>
      </c>
      <c r="I1892" s="84">
        <f t="shared" si="309"/>
        <v>0</v>
      </c>
      <c r="J1892" s="105">
        <f t="shared" si="310"/>
        <v>0</v>
      </c>
      <c r="K1892">
        <f t="shared" si="311"/>
        <v>0</v>
      </c>
      <c r="L1892"/>
      <c r="M1892"/>
      <c r="N1892"/>
      <c r="O1892"/>
      <c r="P1892"/>
      <c r="Q1892"/>
      <c r="R1892"/>
      <c r="S1892"/>
      <c r="T1892"/>
    </row>
    <row r="1893" spans="1:20" outlineLevel="4" x14ac:dyDescent="0.3">
      <c r="A1893" s="82" t="s">
        <v>2677</v>
      </c>
      <c r="B1893" s="10" t="s">
        <v>1139</v>
      </c>
      <c r="C1893" s="60" t="s">
        <v>1140</v>
      </c>
      <c r="D1893" s="44" t="s">
        <v>121</v>
      </c>
      <c r="E1893" s="84">
        <v>0</v>
      </c>
      <c r="F1893" s="84"/>
      <c r="G1893" s="94">
        <f t="shared" si="307"/>
        <v>1</v>
      </c>
      <c r="H1893" s="93">
        <f t="shared" si="308"/>
        <v>300</v>
      </c>
      <c r="I1893" s="84">
        <f t="shared" si="309"/>
        <v>0</v>
      </c>
      <c r="J1893" s="105">
        <f t="shared" si="310"/>
        <v>0</v>
      </c>
      <c r="K1893">
        <f t="shared" si="311"/>
        <v>0</v>
      </c>
      <c r="L1893"/>
      <c r="M1893"/>
      <c r="N1893"/>
      <c r="O1893"/>
      <c r="P1893"/>
      <c r="Q1893"/>
      <c r="R1893"/>
      <c r="S1893"/>
      <c r="T1893"/>
    </row>
    <row r="1894" spans="1:20" outlineLevel="4" x14ac:dyDescent="0.3">
      <c r="A1894" s="82" t="s">
        <v>2678</v>
      </c>
      <c r="B1894" s="10" t="s">
        <v>1142</v>
      </c>
      <c r="C1894" s="60" t="s">
        <v>1143</v>
      </c>
      <c r="D1894" s="44" t="s">
        <v>121</v>
      </c>
      <c r="E1894" s="84">
        <v>0</v>
      </c>
      <c r="F1894" s="84"/>
      <c r="G1894" s="94">
        <f t="shared" si="307"/>
        <v>1</v>
      </c>
      <c r="H1894" s="93">
        <f t="shared" si="308"/>
        <v>450</v>
      </c>
      <c r="I1894" s="84">
        <f t="shared" si="309"/>
        <v>0</v>
      </c>
      <c r="J1894" s="105">
        <f t="shared" si="310"/>
        <v>0</v>
      </c>
      <c r="K1894">
        <f t="shared" si="311"/>
        <v>0</v>
      </c>
      <c r="L1894"/>
      <c r="M1894"/>
      <c r="N1894"/>
      <c r="O1894"/>
      <c r="P1894"/>
      <c r="Q1894"/>
      <c r="R1894"/>
      <c r="S1894"/>
      <c r="T1894"/>
    </row>
    <row r="1895" spans="1:20" outlineLevel="4" x14ac:dyDescent="0.3">
      <c r="A1895" s="82" t="s">
        <v>2679</v>
      </c>
      <c r="B1895" s="10" t="s">
        <v>1145</v>
      </c>
      <c r="C1895" s="60" t="s">
        <v>1146</v>
      </c>
      <c r="D1895" s="44" t="s">
        <v>121</v>
      </c>
      <c r="E1895" s="84">
        <v>0</v>
      </c>
      <c r="F1895" s="84"/>
      <c r="G1895" s="94">
        <f t="shared" si="307"/>
        <v>1</v>
      </c>
      <c r="H1895" s="93">
        <f t="shared" si="308"/>
        <v>200</v>
      </c>
      <c r="I1895" s="84">
        <f t="shared" si="309"/>
        <v>0</v>
      </c>
      <c r="J1895" s="105">
        <f t="shared" si="310"/>
        <v>0</v>
      </c>
      <c r="K1895">
        <f t="shared" si="311"/>
        <v>0</v>
      </c>
      <c r="L1895"/>
      <c r="M1895"/>
      <c r="N1895"/>
      <c r="O1895"/>
      <c r="P1895"/>
      <c r="Q1895"/>
      <c r="R1895"/>
      <c r="S1895"/>
      <c r="T1895"/>
    </row>
    <row r="1896" spans="1:20" outlineLevel="4" x14ac:dyDescent="0.3">
      <c r="A1896" s="82" t="s">
        <v>2680</v>
      </c>
      <c r="B1896" s="10" t="s">
        <v>1148</v>
      </c>
      <c r="C1896" s="60" t="s">
        <v>1149</v>
      </c>
      <c r="D1896" s="44" t="s">
        <v>93</v>
      </c>
      <c r="E1896" s="84">
        <v>0</v>
      </c>
      <c r="F1896" s="84"/>
      <c r="G1896" s="94">
        <f t="shared" si="307"/>
        <v>1</v>
      </c>
      <c r="H1896" s="93">
        <f t="shared" si="308"/>
        <v>5300</v>
      </c>
      <c r="I1896" s="84">
        <f t="shared" si="309"/>
        <v>0</v>
      </c>
      <c r="J1896" s="105">
        <f t="shared" si="310"/>
        <v>0</v>
      </c>
      <c r="K1896">
        <f t="shared" si="311"/>
        <v>0</v>
      </c>
      <c r="L1896"/>
      <c r="M1896"/>
      <c r="N1896"/>
      <c r="O1896"/>
      <c r="P1896"/>
      <c r="Q1896"/>
      <c r="R1896"/>
      <c r="S1896"/>
      <c r="T1896"/>
    </row>
    <row r="1897" spans="1:20" outlineLevel="4" x14ac:dyDescent="0.3">
      <c r="A1897" s="82" t="s">
        <v>2681</v>
      </c>
      <c r="B1897" s="10" t="s">
        <v>1151</v>
      </c>
      <c r="C1897" s="60" t="s">
        <v>1152</v>
      </c>
      <c r="D1897" s="44" t="s">
        <v>121</v>
      </c>
      <c r="E1897" s="84">
        <v>9</v>
      </c>
      <c r="F1897" s="84"/>
      <c r="G1897" s="94">
        <f t="shared" si="307"/>
        <v>1</v>
      </c>
      <c r="H1897" s="93">
        <f t="shared" si="308"/>
        <v>200</v>
      </c>
      <c r="I1897" s="84">
        <f t="shared" si="309"/>
        <v>1800</v>
      </c>
      <c r="J1897" s="105">
        <f t="shared" si="310"/>
        <v>5.3140115872022688E-4</v>
      </c>
      <c r="K1897">
        <f t="shared" si="311"/>
        <v>1800</v>
      </c>
      <c r="L1897"/>
      <c r="M1897"/>
      <c r="N1897"/>
      <c r="O1897"/>
      <c r="P1897"/>
      <c r="Q1897"/>
      <c r="R1897"/>
      <c r="S1897"/>
      <c r="T1897"/>
    </row>
    <row r="1898" spans="1:20" outlineLevel="4" x14ac:dyDescent="0.3">
      <c r="A1898" s="82" t="s">
        <v>2682</v>
      </c>
      <c r="B1898" s="10" t="s">
        <v>1154</v>
      </c>
      <c r="C1898" s="60" t="s">
        <v>1155</v>
      </c>
      <c r="D1898" s="44" t="s">
        <v>93</v>
      </c>
      <c r="E1898" s="84">
        <v>0</v>
      </c>
      <c r="F1898" s="84"/>
      <c r="G1898" s="94">
        <f t="shared" si="307"/>
        <v>1</v>
      </c>
      <c r="H1898" s="93">
        <f t="shared" si="308"/>
        <v>2200</v>
      </c>
      <c r="I1898" s="84">
        <f t="shared" si="309"/>
        <v>0</v>
      </c>
      <c r="J1898" s="105">
        <f t="shared" si="310"/>
        <v>0</v>
      </c>
      <c r="K1898">
        <f t="shared" si="311"/>
        <v>0</v>
      </c>
      <c r="L1898"/>
      <c r="M1898"/>
      <c r="N1898"/>
      <c r="O1898"/>
      <c r="P1898"/>
      <c r="Q1898"/>
      <c r="R1898"/>
      <c r="S1898"/>
      <c r="T1898"/>
    </row>
    <row r="1899" spans="1:20" ht="15" outlineLevel="4" thickBot="1" x14ac:dyDescent="0.35">
      <c r="A1899" s="82" t="s">
        <v>2683</v>
      </c>
      <c r="B1899" s="10" t="s">
        <v>1157</v>
      </c>
      <c r="C1899" s="60" t="s">
        <v>1158</v>
      </c>
      <c r="D1899" s="44" t="s">
        <v>93</v>
      </c>
      <c r="E1899" s="84">
        <v>0</v>
      </c>
      <c r="F1899" s="84"/>
      <c r="G1899" s="94">
        <f t="shared" si="307"/>
        <v>1</v>
      </c>
      <c r="H1899" s="93">
        <f t="shared" si="308"/>
        <v>7400</v>
      </c>
      <c r="I1899" s="84">
        <f t="shared" si="309"/>
        <v>0</v>
      </c>
      <c r="J1899" s="105">
        <f t="shared" si="310"/>
        <v>0</v>
      </c>
      <c r="K1899">
        <f t="shared" si="311"/>
        <v>0</v>
      </c>
      <c r="L1899"/>
      <c r="M1899"/>
      <c r="N1899"/>
      <c r="O1899"/>
      <c r="P1899"/>
      <c r="Q1899"/>
      <c r="R1899"/>
      <c r="S1899"/>
      <c r="T1899"/>
    </row>
    <row r="1900" spans="1:20" ht="15" outlineLevel="2" thickTop="1" x14ac:dyDescent="0.3">
      <c r="A1900" s="82" t="s">
        <v>2684</v>
      </c>
      <c r="B1900" s="62" t="s">
        <v>60</v>
      </c>
      <c r="C1900" s="63" t="s">
        <v>1160</v>
      </c>
      <c r="D1900" s="116"/>
      <c r="E1900" s="88"/>
      <c r="F1900" s="88"/>
      <c r="G1900" s="98"/>
      <c r="H1900" s="88"/>
      <c r="I1900" s="88">
        <f>SUBTOTAL(9,I1891:I1899)</f>
        <v>2000</v>
      </c>
      <c r="J1900" s="109"/>
      <c r="K1900"/>
      <c r="L1900"/>
      <c r="M1900"/>
      <c r="N1900"/>
      <c r="O1900"/>
      <c r="P1900"/>
      <c r="Q1900"/>
      <c r="R1900"/>
      <c r="S1900"/>
      <c r="T1900"/>
    </row>
    <row r="1901" spans="1:20" outlineLevel="1" x14ac:dyDescent="0.3">
      <c r="A1901" s="82" t="s">
        <v>2685</v>
      </c>
      <c r="B1901" s="67" t="s">
        <v>60</v>
      </c>
      <c r="C1901" s="68" t="s">
        <v>2686</v>
      </c>
      <c r="D1901" s="118"/>
      <c r="E1901" s="89"/>
      <c r="F1901" s="89"/>
      <c r="G1901" s="99"/>
      <c r="H1901" s="89"/>
      <c r="I1901" s="89">
        <f>ROUND(I1538+I1578+I1600+I1656+I1683+I1699+I1713+I1743+I1768+I1783+I1808+I1816+I1825+I1857+I1888+I1900,2)</f>
        <v>127709.6</v>
      </c>
      <c r="J1901" s="110"/>
      <c r="K1901"/>
      <c r="L1901"/>
      <c r="M1901"/>
      <c r="N1901"/>
      <c r="O1901"/>
      <c r="P1901"/>
      <c r="Q1901"/>
      <c r="R1901"/>
      <c r="S1901"/>
      <c r="T1901"/>
    </row>
    <row r="1902" spans="1:20" ht="36" x14ac:dyDescent="0.3">
      <c r="A1902" s="82" t="s">
        <v>2687</v>
      </c>
      <c r="B1902" s="67" t="s">
        <v>60</v>
      </c>
      <c r="C1902" s="71" t="s">
        <v>2688</v>
      </c>
      <c r="D1902" s="118"/>
      <c r="E1902" s="89"/>
      <c r="F1902" s="89"/>
      <c r="G1902" s="99"/>
      <c r="H1902" s="89"/>
      <c r="I1902" s="89">
        <f>ROUND(I385+I764+I1143+I1522+I1901,2)</f>
        <v>3387271.5</v>
      </c>
      <c r="J1902" s="110"/>
      <c r="K1902"/>
      <c r="L1902"/>
      <c r="M1902"/>
      <c r="N1902"/>
      <c r="O1902"/>
      <c r="P1902"/>
      <c r="Q1902"/>
      <c r="R1902"/>
      <c r="S1902"/>
      <c r="T1902"/>
    </row>
    <row r="1903" spans="1:20" hidden="1" x14ac:dyDescent="0.3">
      <c r="A1903" s="82" t="s">
        <v>2689</v>
      </c>
      <c r="B1903" s="72" t="s">
        <v>60</v>
      </c>
      <c r="C1903" s="73" t="s">
        <v>2690</v>
      </c>
      <c r="D1903" s="120"/>
      <c r="E1903" s="90"/>
      <c r="F1903" s="90"/>
      <c r="G1903" s="100"/>
      <c r="H1903" s="90"/>
      <c r="I1903" s="90">
        <f>ROUND(I1902*TVA,2)</f>
        <v>677454.3</v>
      </c>
      <c r="J1903" s="111"/>
      <c r="K1903"/>
      <c r="L1903"/>
      <c r="M1903"/>
      <c r="N1903"/>
      <c r="O1903"/>
      <c r="P1903"/>
      <c r="Q1903"/>
      <c r="R1903"/>
      <c r="S1903"/>
      <c r="T1903"/>
    </row>
    <row r="1904" spans="1:20" hidden="1" x14ac:dyDescent="0.3">
      <c r="A1904" s="82" t="s">
        <v>2691</v>
      </c>
      <c r="B1904" s="72" t="s">
        <v>60</v>
      </c>
      <c r="C1904" s="73" t="s">
        <v>2692</v>
      </c>
      <c r="D1904" s="120"/>
      <c r="E1904" s="90"/>
      <c r="F1904" s="90"/>
      <c r="G1904" s="100"/>
      <c r="H1904" s="90"/>
      <c r="I1904" s="90">
        <f>ROUND(I1902+I1903,2)</f>
        <v>4064725.8</v>
      </c>
      <c r="J1904" s="111"/>
      <c r="K1904"/>
      <c r="L1904"/>
      <c r="M1904"/>
      <c r="N1904"/>
      <c r="O1904"/>
      <c r="P1904"/>
      <c r="Q1904"/>
      <c r="R1904"/>
      <c r="S1904"/>
      <c r="T1904"/>
    </row>
    <row r="1905" spans="1:20" x14ac:dyDescent="0.3">
      <c r="A1905" s="82" t="s">
        <v>2693</v>
      </c>
      <c r="B1905" s="67" t="s">
        <v>60</v>
      </c>
      <c r="C1905" s="74" t="s">
        <v>2694</v>
      </c>
      <c r="D1905" s="118"/>
      <c r="E1905" s="89"/>
      <c r="F1905" s="89"/>
      <c r="G1905" s="99"/>
      <c r="H1905" s="89"/>
      <c r="I1905" s="89">
        <f>ROUND(I1902,2)</f>
        <v>3387271.5</v>
      </c>
      <c r="J1905" s="110"/>
      <c r="K1905"/>
      <c r="L1905"/>
      <c r="M1905"/>
      <c r="N1905"/>
      <c r="O1905"/>
      <c r="P1905"/>
      <c r="Q1905"/>
      <c r="R1905"/>
      <c r="S1905"/>
      <c r="T1905"/>
    </row>
    <row r="1906" spans="1:20" ht="16.2" thickBot="1" x14ac:dyDescent="0.35">
      <c r="A1906" s="82" t="s">
        <v>2695</v>
      </c>
      <c r="B1906" s="75" t="s">
        <v>60</v>
      </c>
      <c r="C1906" s="76" t="s">
        <v>2696</v>
      </c>
      <c r="D1906" s="121"/>
      <c r="E1906" s="85"/>
      <c r="F1906" s="85"/>
      <c r="G1906" s="95"/>
      <c r="H1906" s="85"/>
      <c r="I1906" s="102">
        <f>SUBTOTAL(9,K1907:K1910)</f>
        <v>0</v>
      </c>
      <c r="J1906" s="106"/>
      <c r="K1906"/>
      <c r="L1906"/>
      <c r="M1906"/>
      <c r="N1906"/>
      <c r="O1906"/>
      <c r="P1906"/>
      <c r="Q1906"/>
      <c r="R1906"/>
      <c r="S1906"/>
      <c r="T1906"/>
    </row>
    <row r="1907" spans="1:20" ht="15" outlineLevel="1" thickTop="1" x14ac:dyDescent="0.3">
      <c r="A1907" s="82" t="s">
        <v>2697</v>
      </c>
      <c r="B1907" s="77" t="s">
        <v>60</v>
      </c>
      <c r="C1907" s="78" t="s">
        <v>2698</v>
      </c>
      <c r="D1907" s="122"/>
      <c r="E1907" s="91"/>
      <c r="F1907" s="91"/>
      <c r="G1907" s="101"/>
      <c r="H1907" s="91"/>
      <c r="I1907" s="91"/>
      <c r="J1907" s="112"/>
      <c r="K1907"/>
      <c r="L1907"/>
      <c r="M1907"/>
      <c r="N1907"/>
      <c r="O1907"/>
      <c r="P1907"/>
      <c r="Q1907"/>
      <c r="R1907"/>
      <c r="S1907"/>
      <c r="T1907"/>
    </row>
    <row r="1908" spans="1:20" ht="72" outlineLevel="1" x14ac:dyDescent="0.3">
      <c r="A1908" s="82" t="s">
        <v>2699</v>
      </c>
      <c r="B1908" s="10" t="s">
        <v>2700</v>
      </c>
      <c r="C1908" s="60" t="s">
        <v>2701</v>
      </c>
      <c r="D1908" s="44" t="s">
        <v>141</v>
      </c>
      <c r="E1908" s="92" t="s">
        <v>22</v>
      </c>
      <c r="F1908" s="84"/>
      <c r="G1908" s="94">
        <f>cell_CoefGeneral</f>
        <v>1</v>
      </c>
      <c r="H1908" s="84">
        <v>0</v>
      </c>
      <c r="I1908" s="84">
        <f>IF(ISNUMBER(E1908),ROUND(E1908*H1908,2),0)</f>
        <v>0</v>
      </c>
      <c r="J1908" s="105">
        <f>IFERROR(I1908/cell_Total_HT,"-")</f>
        <v>0</v>
      </c>
      <c r="K1908">
        <f>I1908</f>
        <v>0</v>
      </c>
      <c r="L1908"/>
      <c r="M1908"/>
      <c r="N1908"/>
      <c r="O1908"/>
      <c r="P1908"/>
      <c r="Q1908"/>
      <c r="R1908"/>
      <c r="S1908"/>
      <c r="T1908"/>
    </row>
    <row r="1909" spans="1:20" outlineLevel="1" x14ac:dyDescent="0.3">
      <c r="A1909" s="82" t="s">
        <v>2702</v>
      </c>
      <c r="B1909" s="10" t="s">
        <v>2703</v>
      </c>
      <c r="C1909" s="60" t="s">
        <v>2704</v>
      </c>
      <c r="D1909" s="44" t="s">
        <v>80</v>
      </c>
      <c r="E1909" s="92" t="s">
        <v>22</v>
      </c>
      <c r="F1909" s="84"/>
      <c r="G1909" s="94">
        <f>cell_CoefGeneral</f>
        <v>1</v>
      </c>
      <c r="H1909" s="84">
        <v>32</v>
      </c>
      <c r="I1909" s="84">
        <f>IF(ISNUMBER(E1909),ROUND(E1909*H1909,2),0)</f>
        <v>0</v>
      </c>
      <c r="J1909" s="105">
        <f>IFERROR(I1909/cell_Total_HT,"-")</f>
        <v>0</v>
      </c>
      <c r="K1909">
        <f>I1909</f>
        <v>0</v>
      </c>
      <c r="L1909"/>
      <c r="M1909"/>
      <c r="N1909"/>
      <c r="O1909"/>
      <c r="P1909"/>
      <c r="Q1909"/>
      <c r="R1909"/>
      <c r="S1909"/>
      <c r="T1909"/>
    </row>
    <row r="1910" spans="1:20" outlineLevel="1" x14ac:dyDescent="0.3">
      <c r="A1910" s="82" t="s">
        <v>2705</v>
      </c>
      <c r="B1910" s="10" t="s">
        <v>2706</v>
      </c>
      <c r="C1910" s="60" t="s">
        <v>2707</v>
      </c>
      <c r="D1910" s="44" t="s">
        <v>80</v>
      </c>
      <c r="E1910" s="92" t="s">
        <v>22</v>
      </c>
      <c r="F1910" s="84"/>
      <c r="G1910" s="94">
        <f>cell_CoefGeneral</f>
        <v>1</v>
      </c>
      <c r="H1910" s="84">
        <v>2.8</v>
      </c>
      <c r="I1910" s="84">
        <f>IF(ISNUMBER(E1910),ROUND(E1910*H1910,2),0)</f>
        <v>0</v>
      </c>
      <c r="J1910" s="105">
        <f>IFERROR(I1910/cell_Total_HT,"-")</f>
        <v>0</v>
      </c>
      <c r="K1910">
        <f>I1910</f>
        <v>0</v>
      </c>
      <c r="L1910"/>
      <c r="M1910"/>
      <c r="N1910"/>
      <c r="O1910"/>
      <c r="P1910"/>
      <c r="Q1910"/>
      <c r="R1910"/>
      <c r="S1910"/>
      <c r="T1910"/>
    </row>
  </sheetData>
  <dataConsolidate/>
  <mergeCells count="1">
    <mergeCell ref="C1:H1"/>
  </mergeCells>
  <hyperlinks>
    <hyperlink ref="I1" r:id="rId1"/>
  </hyperlinks>
  <pageMargins left="0.70866141732283472" right="0.70866141732283472" top="0.74803149606299213" bottom="0.74803149606299213" header="0.31496062992125984" footer="0.31496062992125984"/>
  <pageSetup paperSize="9" scale="68" fitToHeight="100" orientation="portrait" r:id="rId2"/>
  <customProperties>
    <customPr name="SpigaoCoeff" r:id="rId3"/>
    <customPr name="SpigaoDealId" r:id="rId4"/>
    <customPr name="SpigaoDieId" r:id="rId5"/>
    <customPr name="SpigaoDieName" r:id="rId6"/>
    <customPr name="SpigaoFolderPath" r:id="rId7"/>
    <customPr name="SpigaoIsBoq" r:id="rId8"/>
    <customPr name="SpigaoIsCoefAllowed" r:id="rId9"/>
    <customPr name="SpigaoIsCumulAllowed" r:id="rId10"/>
    <customPr name="SpigaoIsPriceStrengthAllowed" r:id="rId11"/>
    <customPr name="SpigaoIsRecapAllowed" r:id="rId12"/>
    <customPr name="SpigaoIsSubTotalAllowed" r:id="rId13"/>
    <customPr name="SpigaoIsTotalGeneralAllowed" r:id="rId14"/>
    <customPr name="SpigaoIsTotalOnChapterAllowed" r:id="rId15"/>
    <customPr name="SpigaoPoidsPrix" r:id="rId16"/>
    <customPr name="SpigaoProjectId" r:id="rId17"/>
    <customPr name="SpigaoRowsTaxeHidden" r:id="rId18"/>
    <customPr name="SpigaoTypeSheet" r:id="rId19"/>
  </customProperties>
  <drawing r:id="rId20"/>
  <legacy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D41"/>
  <sheetViews>
    <sheetView workbookViewId="0">
      <pane ySplit="5" topLeftCell="A12" activePane="bottomLeft" state="frozenSplit"/>
      <selection pane="bottomLeft" activeCell="A3" sqref="A3"/>
    </sheetView>
  </sheetViews>
  <sheetFormatPr baseColWidth="10" defaultRowHeight="14.4" x14ac:dyDescent="0.3"/>
  <cols>
    <col min="1" max="1" width="33.77734375" style="32" customWidth="1"/>
    <col min="2" max="4" width="33.6640625" style="32" customWidth="1"/>
    <col min="5" max="256" width="11.44140625" style="32"/>
    <col min="257" max="260" width="33.6640625" style="32" customWidth="1"/>
    <col min="261" max="512" width="11.44140625" style="32"/>
    <col min="513" max="516" width="33.6640625" style="32" customWidth="1"/>
    <col min="517" max="768" width="11.44140625" style="32"/>
    <col min="769" max="772" width="33.6640625" style="32" customWidth="1"/>
    <col min="773" max="1024" width="11.44140625" style="32"/>
    <col min="1025" max="1028" width="33.6640625" style="32" customWidth="1"/>
    <col min="1029" max="1280" width="11.44140625" style="32"/>
    <col min="1281" max="1284" width="33.6640625" style="32" customWidth="1"/>
    <col min="1285" max="1536" width="11.44140625" style="32"/>
    <col min="1537" max="1540" width="33.6640625" style="32" customWidth="1"/>
    <col min="1541" max="1792" width="11.44140625" style="32"/>
    <col min="1793" max="1796" width="33.6640625" style="32" customWidth="1"/>
    <col min="1797" max="2048" width="11.44140625" style="32"/>
    <col min="2049" max="2052" width="33.6640625" style="32" customWidth="1"/>
    <col min="2053" max="2304" width="11.44140625" style="32"/>
    <col min="2305" max="2308" width="33.6640625" style="32" customWidth="1"/>
    <col min="2309" max="2560" width="11.44140625" style="32"/>
    <col min="2561" max="2564" width="33.6640625" style="32" customWidth="1"/>
    <col min="2565" max="2816" width="11.44140625" style="32"/>
    <col min="2817" max="2820" width="33.6640625" style="32" customWidth="1"/>
    <col min="2821" max="3072" width="11.44140625" style="32"/>
    <col min="3073" max="3076" width="33.6640625" style="32" customWidth="1"/>
    <col min="3077" max="3328" width="11.44140625" style="32"/>
    <col min="3329" max="3332" width="33.6640625" style="32" customWidth="1"/>
    <col min="3333" max="3584" width="11.44140625" style="32"/>
    <col min="3585" max="3588" width="33.6640625" style="32" customWidth="1"/>
    <col min="3589" max="3840" width="11.44140625" style="32"/>
    <col min="3841" max="3844" width="33.6640625" style="32" customWidth="1"/>
    <col min="3845" max="4096" width="11.44140625" style="32"/>
    <col min="4097" max="4100" width="33.6640625" style="32" customWidth="1"/>
    <col min="4101" max="4352" width="11.44140625" style="32"/>
    <col min="4353" max="4356" width="33.6640625" style="32" customWidth="1"/>
    <col min="4357" max="4608" width="11.44140625" style="32"/>
    <col min="4609" max="4612" width="33.6640625" style="32" customWidth="1"/>
    <col min="4613" max="4864" width="11.44140625" style="32"/>
    <col min="4865" max="4868" width="33.6640625" style="32" customWidth="1"/>
    <col min="4869" max="5120" width="11.44140625" style="32"/>
    <col min="5121" max="5124" width="33.6640625" style="32" customWidth="1"/>
    <col min="5125" max="5376" width="11.44140625" style="32"/>
    <col min="5377" max="5380" width="33.6640625" style="32" customWidth="1"/>
    <col min="5381" max="5632" width="11.44140625" style="32"/>
    <col min="5633" max="5636" width="33.6640625" style="32" customWidth="1"/>
    <col min="5637" max="5888" width="11.44140625" style="32"/>
    <col min="5889" max="5892" width="33.6640625" style="32" customWidth="1"/>
    <col min="5893" max="6144" width="11.44140625" style="32"/>
    <col min="6145" max="6148" width="33.6640625" style="32" customWidth="1"/>
    <col min="6149" max="6400" width="11.44140625" style="32"/>
    <col min="6401" max="6404" width="33.6640625" style="32" customWidth="1"/>
    <col min="6405" max="6656" width="11.44140625" style="32"/>
    <col min="6657" max="6660" width="33.6640625" style="32" customWidth="1"/>
    <col min="6661" max="6912" width="11.44140625" style="32"/>
    <col min="6913" max="6916" width="33.6640625" style="32" customWidth="1"/>
    <col min="6917" max="7168" width="11.44140625" style="32"/>
    <col min="7169" max="7172" width="33.6640625" style="32" customWidth="1"/>
    <col min="7173" max="7424" width="11.44140625" style="32"/>
    <col min="7425" max="7428" width="33.6640625" style="32" customWidth="1"/>
    <col min="7429" max="7680" width="11.44140625" style="32"/>
    <col min="7681" max="7684" width="33.6640625" style="32" customWidth="1"/>
    <col min="7685" max="7936" width="11.44140625" style="32"/>
    <col min="7937" max="7940" width="33.6640625" style="32" customWidth="1"/>
    <col min="7941" max="8192" width="11.44140625" style="32"/>
    <col min="8193" max="8196" width="33.6640625" style="32" customWidth="1"/>
    <col min="8197" max="8448" width="11.44140625" style="32"/>
    <col min="8449" max="8452" width="33.6640625" style="32" customWidth="1"/>
    <col min="8453" max="8704" width="11.44140625" style="32"/>
    <col min="8705" max="8708" width="33.6640625" style="32" customWidth="1"/>
    <col min="8709" max="8960" width="11.44140625" style="32"/>
    <col min="8961" max="8964" width="33.6640625" style="32" customWidth="1"/>
    <col min="8965" max="9216" width="11.44140625" style="32"/>
    <col min="9217" max="9220" width="33.6640625" style="32" customWidth="1"/>
    <col min="9221" max="9472" width="11.44140625" style="32"/>
    <col min="9473" max="9476" width="33.6640625" style="32" customWidth="1"/>
    <col min="9477" max="9728" width="11.44140625" style="32"/>
    <col min="9729" max="9732" width="33.6640625" style="32" customWidth="1"/>
    <col min="9733" max="9984" width="11.44140625" style="32"/>
    <col min="9985" max="9988" width="33.6640625" style="32" customWidth="1"/>
    <col min="9989" max="10240" width="11.44140625" style="32"/>
    <col min="10241" max="10244" width="33.6640625" style="32" customWidth="1"/>
    <col min="10245" max="10496" width="11.44140625" style="32"/>
    <col min="10497" max="10500" width="33.6640625" style="32" customWidth="1"/>
    <col min="10501" max="10752" width="11.44140625" style="32"/>
    <col min="10753" max="10756" width="33.6640625" style="32" customWidth="1"/>
    <col min="10757" max="11008" width="11.44140625" style="32"/>
    <col min="11009" max="11012" width="33.6640625" style="32" customWidth="1"/>
    <col min="11013" max="11264" width="11.44140625" style="32"/>
    <col min="11265" max="11268" width="33.6640625" style="32" customWidth="1"/>
    <col min="11269" max="11520" width="11.44140625" style="32"/>
    <col min="11521" max="11524" width="33.6640625" style="32" customWidth="1"/>
    <col min="11525" max="11776" width="11.44140625" style="32"/>
    <col min="11777" max="11780" width="33.6640625" style="32" customWidth="1"/>
    <col min="11781" max="12032" width="11.44140625" style="32"/>
    <col min="12033" max="12036" width="33.6640625" style="32" customWidth="1"/>
    <col min="12037" max="12288" width="11.44140625" style="32"/>
    <col min="12289" max="12292" width="33.6640625" style="32" customWidth="1"/>
    <col min="12293" max="12544" width="11.44140625" style="32"/>
    <col min="12545" max="12548" width="33.6640625" style="32" customWidth="1"/>
    <col min="12549" max="12800" width="11.44140625" style="32"/>
    <col min="12801" max="12804" width="33.6640625" style="32" customWidth="1"/>
    <col min="12805" max="13056" width="11.44140625" style="32"/>
    <col min="13057" max="13060" width="33.6640625" style="32" customWidth="1"/>
    <col min="13061" max="13312" width="11.44140625" style="32"/>
    <col min="13313" max="13316" width="33.6640625" style="32" customWidth="1"/>
    <col min="13317" max="13568" width="11.44140625" style="32"/>
    <col min="13569" max="13572" width="33.6640625" style="32" customWidth="1"/>
    <col min="13573" max="13824" width="11.44140625" style="32"/>
    <col min="13825" max="13828" width="33.6640625" style="32" customWidth="1"/>
    <col min="13829" max="14080" width="11.44140625" style="32"/>
    <col min="14081" max="14084" width="33.6640625" style="32" customWidth="1"/>
    <col min="14085" max="14336" width="11.44140625" style="32"/>
    <col min="14337" max="14340" width="33.6640625" style="32" customWidth="1"/>
    <col min="14341" max="14592" width="11.44140625" style="32"/>
    <col min="14593" max="14596" width="33.6640625" style="32" customWidth="1"/>
    <col min="14597" max="14848" width="11.44140625" style="32"/>
    <col min="14849" max="14852" width="33.6640625" style="32" customWidth="1"/>
    <col min="14853" max="15104" width="11.44140625" style="32"/>
    <col min="15105" max="15108" width="33.6640625" style="32" customWidth="1"/>
    <col min="15109" max="15360" width="11.44140625" style="32"/>
    <col min="15361" max="15364" width="33.6640625" style="32" customWidth="1"/>
    <col min="15365" max="15616" width="11.44140625" style="32"/>
    <col min="15617" max="15620" width="33.6640625" style="32" customWidth="1"/>
    <col min="15621" max="15872" width="11.44140625" style="32"/>
    <col min="15873" max="15876" width="33.6640625" style="32" customWidth="1"/>
    <col min="15877" max="16128" width="11.44140625" style="32"/>
    <col min="16129" max="16132" width="33.6640625" style="32" customWidth="1"/>
    <col min="16133" max="16384" width="11.44140625" style="32"/>
  </cols>
  <sheetData>
    <row r="1" spans="1:4" ht="42" customHeight="1" x14ac:dyDescent="0.3">
      <c r="A1" s="30"/>
      <c r="B1" s="31"/>
      <c r="C1" s="31"/>
      <c r="D1" s="31"/>
    </row>
    <row r="2" spans="1:4" ht="75.900000000000006" customHeight="1" x14ac:dyDescent="0.3">
      <c r="A2" s="126" t="s">
        <v>58</v>
      </c>
      <c r="B2" s="126"/>
      <c r="C2" s="126"/>
      <c r="D2" s="126"/>
    </row>
    <row r="3" spans="1:4" x14ac:dyDescent="0.3">
      <c r="A3" s="31"/>
      <c r="B3" s="31"/>
      <c r="C3" s="31"/>
      <c r="D3" s="31"/>
    </row>
    <row r="4" spans="1:4" x14ac:dyDescent="0.3">
      <c r="A4" s="127" t="s">
        <v>27</v>
      </c>
      <c r="B4" s="127"/>
      <c r="C4" s="31"/>
      <c r="D4" s="31" t="s">
        <v>2708</v>
      </c>
    </row>
    <row r="5" spans="1:4" x14ac:dyDescent="0.3">
      <c r="A5" s="31"/>
      <c r="B5" s="31"/>
      <c r="C5" s="31"/>
      <c r="D5" s="31"/>
    </row>
    <row r="6" spans="1:4" x14ac:dyDescent="0.3">
      <c r="A6" s="31"/>
      <c r="B6" s="31"/>
      <c r="C6" s="31"/>
      <c r="D6" s="31"/>
    </row>
    <row r="7" spans="1:4" ht="18" x14ac:dyDescent="0.35">
      <c r="A7" s="33" t="s">
        <v>28</v>
      </c>
      <c r="B7" s="33"/>
      <c r="C7" s="33"/>
      <c r="D7" s="33"/>
    </row>
    <row r="8" spans="1:4" x14ac:dyDescent="0.3">
      <c r="A8" s="34" t="s">
        <v>29</v>
      </c>
      <c r="B8" s="34" t="s">
        <v>30</v>
      </c>
      <c r="C8" s="34" t="s">
        <v>31</v>
      </c>
      <c r="D8" s="34" t="s">
        <v>32</v>
      </c>
    </row>
    <row r="9" spans="1:4" x14ac:dyDescent="0.3">
      <c r="A9" s="35"/>
      <c r="B9" s="36" t="s">
        <v>33</v>
      </c>
      <c r="C9" s="36" t="s">
        <v>33</v>
      </c>
      <c r="D9" s="44" t="s">
        <v>2709</v>
      </c>
    </row>
    <row r="10" spans="1:4" x14ac:dyDescent="0.3">
      <c r="A10" s="37"/>
      <c r="B10" s="35"/>
      <c r="C10" s="35"/>
      <c r="D10" s="38"/>
    </row>
    <row r="11" spans="1:4" x14ac:dyDescent="0.3">
      <c r="A11" s="31"/>
      <c r="B11" s="31"/>
      <c r="C11" s="31"/>
      <c r="D11" s="31"/>
    </row>
    <row r="12" spans="1:4" ht="18" x14ac:dyDescent="0.35">
      <c r="A12" s="33" t="s">
        <v>34</v>
      </c>
      <c r="B12" s="33"/>
      <c r="C12" s="33" t="s">
        <v>35</v>
      </c>
      <c r="D12" s="33"/>
    </row>
    <row r="13" spans="1:4" x14ac:dyDescent="0.3">
      <c r="A13" s="31" t="s">
        <v>36</v>
      </c>
      <c r="B13" s="128"/>
      <c r="C13" s="128"/>
      <c r="D13" s="128"/>
    </row>
    <row r="14" spans="1:4" x14ac:dyDescent="0.3">
      <c r="A14" s="31" t="s">
        <v>37</v>
      </c>
      <c r="B14" s="39" t="s">
        <v>60</v>
      </c>
      <c r="C14" s="31"/>
      <c r="D14" s="31"/>
    </row>
    <row r="15" spans="1:4" x14ac:dyDescent="0.3">
      <c r="A15" s="31" t="s">
        <v>38</v>
      </c>
      <c r="B15" s="31" t="s">
        <v>2710</v>
      </c>
      <c r="C15" s="31"/>
      <c r="D15" s="31"/>
    </row>
    <row r="16" spans="1:4" x14ac:dyDescent="0.3">
      <c r="A16" s="31" t="s">
        <v>39</v>
      </c>
      <c r="B16" s="31"/>
      <c r="C16" s="31"/>
      <c r="D16" s="31"/>
    </row>
    <row r="17" spans="1:4" x14ac:dyDescent="0.3">
      <c r="A17" s="31"/>
      <c r="B17" s="31"/>
      <c r="C17" s="31"/>
      <c r="D17" s="31"/>
    </row>
    <row r="18" spans="1:4" x14ac:dyDescent="0.3">
      <c r="A18" s="31" t="s">
        <v>40</v>
      </c>
      <c r="B18" s="40">
        <v>10</v>
      </c>
      <c r="C18" s="31"/>
      <c r="D18" s="31"/>
    </row>
    <row r="19" spans="1:4" x14ac:dyDescent="0.3">
      <c r="A19" s="31" t="s">
        <v>41</v>
      </c>
      <c r="B19" s="40">
        <v>125</v>
      </c>
      <c r="C19" s="31"/>
      <c r="D19" s="31"/>
    </row>
    <row r="20" spans="1:4" x14ac:dyDescent="0.3">
      <c r="A20" s="31"/>
      <c r="B20" s="31"/>
      <c r="C20" s="31"/>
      <c r="D20" s="31"/>
    </row>
    <row r="21" spans="1:4" ht="18" x14ac:dyDescent="0.35">
      <c r="A21" s="33" t="s">
        <v>42</v>
      </c>
      <c r="B21" s="41" t="s">
        <v>43</v>
      </c>
      <c r="C21" s="33"/>
      <c r="D21" s="33"/>
    </row>
    <row r="22" spans="1:4" x14ac:dyDescent="0.3">
      <c r="A22" s="42" t="s">
        <v>44</v>
      </c>
      <c r="B22" s="31"/>
      <c r="C22" s="31"/>
      <c r="D22" s="31"/>
    </row>
    <row r="23" spans="1:4" x14ac:dyDescent="0.3">
      <c r="A23" s="42" t="s">
        <v>45</v>
      </c>
      <c r="B23" s="31"/>
      <c r="C23" s="31"/>
      <c r="D23" s="31"/>
    </row>
    <row r="24" spans="1:4" x14ac:dyDescent="0.3">
      <c r="A24" s="42" t="s">
        <v>46</v>
      </c>
      <c r="B24" s="31"/>
      <c r="C24" s="31"/>
      <c r="D24" s="31"/>
    </row>
    <row r="25" spans="1:4" x14ac:dyDescent="0.3">
      <c r="A25" s="42" t="s">
        <v>47</v>
      </c>
      <c r="B25" s="31"/>
      <c r="C25" s="31"/>
      <c r="D25" s="31"/>
    </row>
    <row r="26" spans="1:4" x14ac:dyDescent="0.3">
      <c r="A26" s="42" t="s">
        <v>48</v>
      </c>
      <c r="B26" s="31"/>
      <c r="C26" s="31"/>
      <c r="D26" s="31"/>
    </row>
    <row r="27" spans="1:4" x14ac:dyDescent="0.3">
      <c r="A27" s="42" t="s">
        <v>49</v>
      </c>
      <c r="B27" s="31"/>
      <c r="C27" s="31"/>
      <c r="D27" s="31"/>
    </row>
    <row r="28" spans="1:4" x14ac:dyDescent="0.3">
      <c r="A28" s="31"/>
      <c r="B28" s="31"/>
      <c r="C28" s="31"/>
      <c r="D28" s="31"/>
    </row>
    <row r="29" spans="1:4" ht="18" x14ac:dyDescent="0.35">
      <c r="A29" s="33" t="s">
        <v>50</v>
      </c>
      <c r="B29" s="33"/>
      <c r="C29" s="33"/>
      <c r="D29" s="33"/>
    </row>
    <row r="30" spans="1:4" hidden="1" x14ac:dyDescent="0.3">
      <c r="A30" s="128"/>
      <c r="B30" s="128"/>
      <c r="C30" s="128"/>
      <c r="D30" s="128"/>
    </row>
    <row r="31" spans="1:4" x14ac:dyDescent="0.3">
      <c r="A31" s="123" t="s">
        <v>2711</v>
      </c>
      <c r="B31" s="53"/>
      <c r="C31" s="53"/>
      <c r="D31" s="53"/>
    </row>
    <row r="32" spans="1:4" ht="13.95" customHeight="1" x14ac:dyDescent="0.3">
      <c r="A32" s="129" t="s">
        <v>2712</v>
      </c>
      <c r="B32" s="129"/>
      <c r="C32" s="129"/>
      <c r="D32" s="129"/>
    </row>
    <row r="33" spans="1:4" ht="13.95" customHeight="1" x14ac:dyDescent="0.3">
      <c r="A33" s="129" t="s">
        <v>2713</v>
      </c>
      <c r="B33" s="129"/>
      <c r="C33" s="129"/>
      <c r="D33" s="129"/>
    </row>
    <row r="34" spans="1:4" ht="13.95" customHeight="1" x14ac:dyDescent="0.3">
      <c r="A34" s="129" t="s">
        <v>2714</v>
      </c>
      <c r="B34" s="129"/>
      <c r="C34" s="129"/>
      <c r="D34" s="129"/>
    </row>
    <row r="35" spans="1:4" x14ac:dyDescent="0.3">
      <c r="A35" s="31"/>
      <c r="B35" s="31"/>
      <c r="C35" s="31"/>
      <c r="D35" s="31"/>
    </row>
    <row r="36" spans="1:4" x14ac:dyDescent="0.3">
      <c r="A36" s="48" t="s">
        <v>2715</v>
      </c>
      <c r="B36" s="31"/>
      <c r="C36" s="31"/>
      <c r="D36" s="31"/>
    </row>
    <row r="37" spans="1:4" ht="13.95" customHeight="1" x14ac:dyDescent="0.3">
      <c r="A37" s="129" t="s">
        <v>2716</v>
      </c>
      <c r="B37" s="129"/>
      <c r="C37" s="129"/>
      <c r="D37" s="129"/>
    </row>
    <row r="38" spans="1:4" ht="13.95" customHeight="1" x14ac:dyDescent="0.3">
      <c r="A38" s="129" t="s">
        <v>2717</v>
      </c>
      <c r="B38" s="129"/>
      <c r="C38" s="129"/>
      <c r="D38" s="129"/>
    </row>
    <row r="39" spans="1:4" x14ac:dyDescent="0.3">
      <c r="A39" s="128"/>
      <c r="B39" s="128"/>
      <c r="C39" s="128"/>
      <c r="D39" s="128"/>
    </row>
    <row r="40" spans="1:4" x14ac:dyDescent="0.3">
      <c r="A40" s="128"/>
      <c r="B40" s="128"/>
      <c r="C40" s="128"/>
      <c r="D40" s="128"/>
    </row>
    <row r="41" spans="1:4" x14ac:dyDescent="0.3">
      <c r="A41" s="31"/>
      <c r="B41" s="31"/>
      <c r="C41" s="31"/>
      <c r="D41" s="31"/>
    </row>
  </sheetData>
  <mergeCells count="11">
    <mergeCell ref="A2:D2"/>
    <mergeCell ref="A4:B4"/>
    <mergeCell ref="B13:D13"/>
    <mergeCell ref="A39:D39"/>
    <mergeCell ref="A40:D40"/>
    <mergeCell ref="A30:D30"/>
    <mergeCell ref="A32:D32"/>
    <mergeCell ref="A33:D33"/>
    <mergeCell ref="A34:D34"/>
    <mergeCell ref="A37:D37"/>
    <mergeCell ref="A38:D38"/>
  </mergeCells>
  <hyperlinks>
    <hyperlink ref="A4" location="BOLBEC!D1" tooltip="Devis" display="Accédez au devis en cliquant ici"/>
    <hyperlink ref="A4:B4" location="row_Start" tooltip="Devis" display="Accédez au devis en cliquant ici"/>
  </hyperlinks>
  <pageMargins left="0.7" right="0.7" top="0.75" bottom="0.75" header="0.3" footer="0.3"/>
  <pageSetup paperSize="9" orientation="portrait" r:id="rId1"/>
  <customProperties>
    <customPr name="SpigaoTypeSheet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D22"/>
  <sheetViews>
    <sheetView workbookViewId="0">
      <selection activeCell="G20" sqref="G20"/>
    </sheetView>
  </sheetViews>
  <sheetFormatPr baseColWidth="10" defaultRowHeight="14.4" x14ac:dyDescent="0.3"/>
  <sheetData>
    <row r="1" spans="1:1" s="12" customFormat="1" x14ac:dyDescent="0.3">
      <c r="A1" s="12" t="s">
        <v>17</v>
      </c>
    </row>
    <row r="2" spans="1:1" s="11" customFormat="1" ht="12" x14ac:dyDescent="0.3">
      <c r="A2" s="11" t="s">
        <v>16</v>
      </c>
    </row>
    <row r="3" spans="1:1" s="7" customFormat="1" ht="16.2" thickBot="1" x14ac:dyDescent="0.35">
      <c r="A3" s="7" t="s">
        <v>11</v>
      </c>
    </row>
    <row r="4" spans="1:1" s="8" customFormat="1" thickTop="1" thickBot="1" x14ac:dyDescent="0.3">
      <c r="A4" s="8" t="s">
        <v>12</v>
      </c>
    </row>
    <row r="5" spans="1:1" s="9" customFormat="1" ht="12" x14ac:dyDescent="0.25">
      <c r="A5" s="9" t="s">
        <v>13</v>
      </c>
    </row>
    <row r="6" spans="1:1" s="13" customFormat="1" ht="11.4" x14ac:dyDescent="0.2">
      <c r="A6" s="13" t="s">
        <v>18</v>
      </c>
    </row>
    <row r="7" spans="1:1" x14ac:dyDescent="0.3">
      <c r="A7" t="s">
        <v>19</v>
      </c>
    </row>
    <row r="8" spans="1:1" x14ac:dyDescent="0.3">
      <c r="A8" t="s">
        <v>14</v>
      </c>
    </row>
    <row r="9" spans="1:1" ht="15" thickBot="1" x14ac:dyDescent="0.35">
      <c r="A9" t="s">
        <v>15</v>
      </c>
    </row>
    <row r="10" spans="1:1" s="27" customFormat="1" ht="12.6" thickTop="1" thickBot="1" x14ac:dyDescent="0.35">
      <c r="A10" s="27" t="s">
        <v>25</v>
      </c>
    </row>
    <row r="11" spans="1:1" s="50" customFormat="1" ht="12.6" thickTop="1" thickBot="1" x14ac:dyDescent="0.35">
      <c r="A11" s="50" t="s">
        <v>55</v>
      </c>
    </row>
    <row r="12" spans="1:1" s="51" customFormat="1" ht="12" thickTop="1" x14ac:dyDescent="0.3">
      <c r="A12" s="51" t="s">
        <v>56</v>
      </c>
    </row>
    <row r="13" spans="1:1" s="28" customFormat="1" ht="12" x14ac:dyDescent="0.3">
      <c r="A13" s="28" t="s">
        <v>26</v>
      </c>
    </row>
    <row r="14" spans="1:1" s="29" customFormat="1" ht="11.4" x14ac:dyDescent="0.3">
      <c r="A14" s="29" t="s">
        <v>24</v>
      </c>
    </row>
    <row r="15" spans="1:1" s="52" customFormat="1" ht="12" x14ac:dyDescent="0.3">
      <c r="A15" s="52" t="s">
        <v>57</v>
      </c>
    </row>
    <row r="16" spans="1:1" x14ac:dyDescent="0.3">
      <c r="A16" s="24" t="s">
        <v>21</v>
      </c>
    </row>
    <row r="17" spans="1:4" x14ac:dyDescent="0.3">
      <c r="A17" s="25" t="s">
        <v>22</v>
      </c>
    </row>
    <row r="18" spans="1:4" x14ac:dyDescent="0.3">
      <c r="A18" s="26" t="s">
        <v>23</v>
      </c>
    </row>
    <row r="20" spans="1:4" x14ac:dyDescent="0.3">
      <c r="A20" s="49" t="s">
        <v>51</v>
      </c>
      <c r="D20" s="46" t="s">
        <v>54</v>
      </c>
    </row>
    <row r="21" spans="1:4" x14ac:dyDescent="0.3">
      <c r="A21" s="43" t="s">
        <v>52</v>
      </c>
      <c r="D21" s="48" t="s">
        <v>54</v>
      </c>
    </row>
    <row r="22" spans="1:4" x14ac:dyDescent="0.3">
      <c r="A22" s="45" t="s">
        <v>53</v>
      </c>
      <c r="D22" s="47" t="s">
        <v>54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22</vt:i4>
      </vt:variant>
    </vt:vector>
  </HeadingPairs>
  <TitlesOfParts>
    <vt:vector size="25" baseType="lpstr">
      <vt:lpstr>Spigao</vt:lpstr>
      <vt:lpstr>SPECIFICITE</vt:lpstr>
      <vt:lpstr>Styles</vt:lpstr>
      <vt:lpstr>cell_CoefGeneral</vt:lpstr>
      <vt:lpstr>cell_Title</vt:lpstr>
      <vt:lpstr>cell_Total_HT</vt:lpstr>
      <vt:lpstr>col_Coef</vt:lpstr>
      <vt:lpstr>col_Designation</vt:lpstr>
      <vt:lpstr>col_ID</vt:lpstr>
      <vt:lpstr>col_Max</vt:lpstr>
      <vt:lpstr>col_Min</vt:lpstr>
      <vt:lpstr>col_PriceNumber</vt:lpstr>
      <vt:lpstr>col_PriceStrength</vt:lpstr>
      <vt:lpstr>col_Quantity</vt:lpstr>
      <vt:lpstr>col_report_MT</vt:lpstr>
      <vt:lpstr>col_TotalPrice</vt:lpstr>
      <vt:lpstr>col_Unit</vt:lpstr>
      <vt:lpstr>col_UnitPrice</vt:lpstr>
      <vt:lpstr>col_UnitPriceWithoutCoef</vt:lpstr>
      <vt:lpstr>Spigao!Impression_des_titres</vt:lpstr>
      <vt:lpstr>row_Start</vt:lpstr>
      <vt:lpstr>row_Title</vt:lpstr>
      <vt:lpstr>rowImportantRule</vt:lpstr>
      <vt:lpstr>rowInfosGenerales</vt:lpstr>
      <vt:lpstr>Spigao!Zone_d_impression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2015-12-28T10:11:44Z</dcterms:created>
  <dcterms:modified xsi:type="dcterms:W3CDTF">2019-01-23T13:35:14Z</dcterms:modified>
</cp:coreProperties>
</file>