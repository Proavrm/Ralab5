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Auvergne\RA N92K  Clermont Ferrand - BHNS\Essais de Laboratoire\"/>
    </mc:Choice>
  </mc:AlternateContent>
  <xr:revisionPtr revIDLastSave="0" documentId="13_ncr:1_{32A865BA-3509-4DBA-8033-4A61D9414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40525 CDF zone 8d" sheetId="20" r:id="rId1"/>
    <sheet name="140525 CDF zone 8b" sheetId="19" r:id="rId2"/>
    <sheet name="140525 CDF zone 8a" sheetId="18" r:id="rId3"/>
    <sheet name="050325 CdF Voirie Bret." sheetId="17" r:id="rId4"/>
    <sheet name="050325 CdF Voirie S8D (2)" sheetId="15" r:id="rId5"/>
    <sheet name="050325 CdF Voirie S8D" sheetId="16" r:id="rId6"/>
    <sheet name="050325 CdF S08 OA" sheetId="14" r:id="rId7"/>
    <sheet name="050325 CdF S08" sheetId="13" r:id="rId8"/>
    <sheet name="190225 CdF" sheetId="12" r:id="rId9"/>
    <sheet name="190225 AT" sheetId="11" r:id="rId10"/>
    <sheet name="050225 Voirie 8D (2)" sheetId="10" r:id="rId11"/>
    <sheet name="050225 Voirie 8D " sheetId="9" r:id="rId12"/>
    <sheet name="050225 Voirie 8B" sheetId="8" r:id="rId13"/>
    <sheet name="060225 Voirie 8A" sheetId="7" r:id="rId14"/>
    <sheet name="051124 CdF Gir Pardieu" sheetId="6" r:id="rId15"/>
    <sheet name="161024 CdF exist." sheetId="5" r:id="rId16"/>
    <sheet name="190824 Comparatif" sheetId="4" r:id="rId17"/>
    <sheet name="190824 Dyna 31,5" sheetId="3" r:id="rId18"/>
    <sheet name="190824 CdF Dyna" sheetId="2" r:id="rId19"/>
    <sheet name="190824 CdF EV1_EV2" sheetId="1" r:id="rId20"/>
  </sheets>
  <definedNames>
    <definedName name="_xlnm.Print_Area" localSheetId="12">'050225 Voirie 8B'!$A$1:$Z$69</definedName>
    <definedName name="_xlnm.Print_Area" localSheetId="11">'050225 Voirie 8D '!$A$1:$Z$69</definedName>
    <definedName name="_xlnm.Print_Area" localSheetId="10">'050225 Voirie 8D (2)'!$A$1:$Z$69</definedName>
    <definedName name="_xlnm.Print_Area" localSheetId="7">'050325 CdF S08'!$A$1:$Z$69</definedName>
    <definedName name="_xlnm.Print_Area" localSheetId="6">'050325 CdF S08 OA'!$A$1:$Z$69</definedName>
    <definedName name="_xlnm.Print_Area" localSheetId="3">'050325 CdF Voirie Bret.'!$A$1:$Z$69</definedName>
    <definedName name="_xlnm.Print_Area" localSheetId="5">'050325 CdF Voirie S8D'!$A$1:$Z$69</definedName>
    <definedName name="_xlnm.Print_Area" localSheetId="4">'050325 CdF Voirie S8D (2)'!$A$1:$Z$69</definedName>
    <definedName name="_xlnm.Print_Area" localSheetId="14">'051124 CdF Gir Pardieu'!$A$1:$Z$69</definedName>
    <definedName name="_xlnm.Print_Area" localSheetId="13">'060225 Voirie 8A'!$A$1:$Z$69</definedName>
    <definedName name="_xlnm.Print_Area" localSheetId="2">'140525 CDF zone 8a'!$A$1:$Z$63</definedName>
    <definedName name="_xlnm.Print_Area" localSheetId="1">'140525 CDF zone 8b'!$A$1:$Z$61</definedName>
    <definedName name="_xlnm.Print_Area" localSheetId="0">'140525 CDF zone 8d'!$A$1:$Z$69</definedName>
    <definedName name="_xlnm.Print_Area" localSheetId="15">'161024 CdF exist.'!$A$1:$Z$69</definedName>
    <definedName name="_xlnm.Print_Area" localSheetId="9">'190225 AT'!$A$1:$Z$69</definedName>
    <definedName name="_xlnm.Print_Area" localSheetId="8">'190225 CdF'!$A$1:$Z$69</definedName>
    <definedName name="_xlnm.Print_Area" localSheetId="18">'190824 CdF Dyna'!$A$1:$Z$69</definedName>
    <definedName name="_xlnm.Print_Area" localSheetId="19">'190824 CdF EV1_EV2'!$A$1:$Z$69</definedName>
    <definedName name="_xlnm.Print_Area" localSheetId="16">'190824 Comparatif'!$A$1:$Z$69</definedName>
    <definedName name="_xlnm.Print_Area" localSheetId="17">'190824 Dyna 31,5'!$A$1:$Z$69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20" l="1"/>
  <c r="H56" i="20"/>
  <c r="H55" i="20"/>
  <c r="H49" i="19"/>
  <c r="H48" i="19"/>
  <c r="H47" i="19"/>
  <c r="H49" i="18"/>
  <c r="H50" i="18"/>
  <c r="H51" i="18"/>
  <c r="H55" i="17"/>
  <c r="H56" i="17"/>
  <c r="H57" i="17"/>
  <c r="H55" i="16"/>
  <c r="H56" i="16"/>
  <c r="H57" i="16"/>
  <c r="H55" i="15"/>
  <c r="H56" i="15"/>
  <c r="H57" i="15"/>
  <c r="H55" i="14"/>
  <c r="H56" i="14"/>
  <c r="H57" i="14"/>
  <c r="H55" i="13"/>
  <c r="H56" i="13"/>
  <c r="H57" i="13"/>
  <c r="H55" i="12"/>
  <c r="H56" i="12"/>
  <c r="H57" i="12"/>
  <c r="H55" i="11"/>
  <c r="H56" i="11"/>
  <c r="H57" i="11"/>
  <c r="H55" i="10"/>
  <c r="H56" i="10"/>
  <c r="H57" i="10"/>
  <c r="H55" i="9"/>
  <c r="H56" i="9"/>
  <c r="H57" i="9"/>
  <c r="H55" i="8"/>
  <c r="H56" i="8"/>
  <c r="H57" i="8"/>
  <c r="H55" i="7"/>
  <c r="H56" i="7"/>
  <c r="H57" i="7"/>
  <c r="H55" i="6"/>
  <c r="H56" i="6"/>
  <c r="H57" i="6"/>
  <c r="H55" i="5"/>
  <c r="H56" i="5"/>
  <c r="H57" i="5"/>
  <c r="Q57" i="4"/>
  <c r="Q56" i="4"/>
  <c r="Q5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25" i="4"/>
  <c r="N57" i="4"/>
  <c r="K57" i="4"/>
  <c r="H57" i="4"/>
  <c r="N56" i="4"/>
  <c r="K56" i="4"/>
  <c r="H56" i="4"/>
  <c r="N55" i="4"/>
  <c r="K55" i="4"/>
  <c r="H55" i="4"/>
  <c r="H57" i="3"/>
  <c r="H56" i="3"/>
  <c r="H55" i="3"/>
  <c r="H55" i="2"/>
  <c r="H56" i="2"/>
  <c r="H57" i="2"/>
  <c r="N57" i="1"/>
  <c r="K57" i="1"/>
  <c r="H57" i="1"/>
  <c r="N56" i="1"/>
  <c r="K56" i="1"/>
  <c r="H56" i="1"/>
  <c r="N55" i="1"/>
  <c r="K55" i="1"/>
  <c r="H55" i="1"/>
  <c r="T57" i="4" l="1"/>
  <c r="T55" i="4"/>
  <c r="T56" i="4"/>
</calcChain>
</file>

<file path=xl/sharedStrings.xml><?xml version="1.0" encoding="utf-8"?>
<sst xmlns="http://schemas.openxmlformats.org/spreadsheetml/2006/main" count="1190" uniqueCount="122">
  <si>
    <t>COMPTE RENDU D'ESSAIS</t>
  </si>
  <si>
    <t>PORTANCES DES PLATES-FORMES  
( NF P 94-117-1 et NF P 94-117-3 )</t>
  </si>
  <si>
    <t>PLW12 N°</t>
  </si>
  <si>
    <t>19/08/2024</t>
  </si>
  <si>
    <t>Chrono</t>
  </si>
  <si>
    <t>N° d'affaire</t>
  </si>
  <si>
    <t>Date de rédaction</t>
  </si>
  <si>
    <t>Laboratoire :</t>
  </si>
  <si>
    <t>Laboratoire Rhône Auvergne - Avenue de l'Europe - ZA Le Petit Champ - 63430 PONT DU CHÂTEAU</t>
  </si>
  <si>
    <t>1/</t>
  </si>
  <si>
    <t>RENSEIGNEMENTS GENERAUX</t>
  </si>
  <si>
    <t>Opérateur :</t>
  </si>
  <si>
    <t>Sylvain LHOPITAL</t>
  </si>
  <si>
    <t>Nature du matériau :</t>
  </si>
  <si>
    <t>GDNT en place</t>
  </si>
  <si>
    <t>Date de(s) essai(s) :</t>
  </si>
  <si>
    <t>Météo :</t>
  </si>
  <si>
    <t>Couvert</t>
  </si>
  <si>
    <t>Partie de l'ouvrage :</t>
  </si>
  <si>
    <t>CdF Bd 9.a.1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</si>
  <si>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</si>
  <si>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</si>
  <si>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</si>
  <si>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</si>
  <si>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</si>
  <si>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</si>
  <si>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</si>
  <si>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</si>
  <si>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</si>
  <si>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</si>
  <si>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</si>
  <si>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</si>
  <si>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</si>
  <si>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EV1</t>
  </si>
  <si>
    <t>Module EV2</t>
  </si>
  <si>
    <t>EV2 / EV1</t>
  </si>
  <si>
    <t>Observations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</si>
  <si>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</si>
  <si>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</si>
  <si>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</si>
  <si>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</si>
  <si>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</si>
  <si>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</si>
  <si>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</si>
  <si>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</si>
  <si>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</si>
  <si>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</si>
  <si>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</si>
  <si>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6/</t>
  </si>
  <si>
    <t>COMMENTAIRES</t>
  </si>
  <si>
    <t>Visa</t>
  </si>
  <si>
    <t xml:space="preserve"> 100.00</t>
  </si>
  <si>
    <t>0/31,5 - N°1</t>
  </si>
  <si>
    <t>0/31,5 - Entre N°1 et N°2</t>
  </si>
  <si>
    <t>0/31,5 - N°2</t>
  </si>
  <si>
    <t>0/31,5 - N°3</t>
  </si>
  <si>
    <t>PLD N°</t>
  </si>
  <si>
    <t>PORTANCES DES PLATES-FORMES DYNAPLAQUE 
(NF P 94-117-2 d'octobre 2004)</t>
  </si>
  <si>
    <t>Clermont-Ferrand
BHNS</t>
  </si>
  <si>
    <t>Chef de Section Laboratoire</t>
  </si>
  <si>
    <t>Dynaplaque</t>
  </si>
  <si>
    <t>Delta
Dyna - EV2</t>
  </si>
  <si>
    <t>Beau</t>
  </si>
  <si>
    <t>16/10/2024</t>
  </si>
  <si>
    <t>In situ</t>
  </si>
  <si>
    <t>Laboratoire Rhône Auvergne - 29-31 rue des tâches - ZI mi-plaine - 69800 SAINT PRIEST</t>
  </si>
  <si>
    <t>RA N92E</t>
  </si>
  <si>
    <t>Chef de section laboratoire</t>
  </si>
  <si>
    <t>Reprise point précédent</t>
  </si>
  <si>
    <t>Gir. Partdieu
Voie Droite</t>
  </si>
  <si>
    <t>Gir. Partdieu
Voie Gauche</t>
  </si>
  <si>
    <t>CdF Voirie - Giratoire Pardieu</t>
  </si>
  <si>
    <t>05/11/2024</t>
  </si>
  <si>
    <t>GDNT</t>
  </si>
  <si>
    <t>RA N92K</t>
  </si>
  <si>
    <t>Voirie Bus</t>
  </si>
  <si>
    <t>Voirie VL</t>
  </si>
  <si>
    <t>Oui</t>
  </si>
  <si>
    <t>CdF Voirie - Zone 8A</t>
  </si>
  <si>
    <t>05/02/2025</t>
  </si>
  <si>
    <t>Grave 0/63 carriere</t>
  </si>
  <si>
    <t>CdF Voirie - Zone 8B</t>
  </si>
  <si>
    <t>CdF Voirie - Zone 8D</t>
  </si>
  <si>
    <t>Pour information</t>
  </si>
  <si>
    <t xml:space="preserve"> 0.00</t>
  </si>
  <si>
    <t>&lt;20</t>
  </si>
  <si>
    <t>AT</t>
  </si>
  <si>
    <t>19/02/2025</t>
  </si>
  <si>
    <t>Entrée parking</t>
  </si>
  <si>
    <t>La côte et l'arête</t>
  </si>
  <si>
    <t>Manucentre</t>
  </si>
  <si>
    <t>Signarama</t>
  </si>
  <si>
    <t>Kerry's pub</t>
  </si>
  <si>
    <t>Carrefour D765/Eminée</t>
  </si>
  <si>
    <t>CdF Voirie</t>
  </si>
  <si>
    <t>Limon argileux</t>
  </si>
  <si>
    <t>Hétérogène - Structure existante</t>
  </si>
  <si>
    <t>05/03/2025</t>
  </si>
  <si>
    <t>Grave concassée 0/63</t>
  </si>
  <si>
    <t>CdF Voirie - Pl.803/804</t>
  </si>
  <si>
    <t>GDNT 0/63</t>
  </si>
  <si>
    <t>CdF Voirie - Pl.804</t>
  </si>
  <si>
    <t xml:space="preserve"> 84.62</t>
  </si>
  <si>
    <t>CdF Voirie - S08D</t>
  </si>
  <si>
    <t>La non-conformité porte sur la zone d'entrée du parking de l'enseigne "Cuisinella". La taille de la purge est déterminée sur site.</t>
  </si>
  <si>
    <t>Non conforme</t>
  </si>
  <si>
    <t>Zone à purger déterminée sur site</t>
  </si>
  <si>
    <t>CdF Voirie - Pl.807</t>
  </si>
  <si>
    <t>Technicien de laboratoire</t>
  </si>
  <si>
    <t>F. MONTET</t>
  </si>
  <si>
    <t>CDF existante zone 8a</t>
  </si>
  <si>
    <t>14/05/2025</t>
  </si>
  <si>
    <t>Matériau en place</t>
  </si>
  <si>
    <t>F. Montet</t>
  </si>
  <si>
    <t xml:space="preserve">Inspire lot2 - Clermont-Ferrand
BHNS </t>
  </si>
  <si>
    <t>Axe</t>
  </si>
  <si>
    <t>Même profil</t>
  </si>
  <si>
    <t>Gauche</t>
  </si>
  <si>
    <t>Devant leclerc livraison</t>
  </si>
  <si>
    <t>Droite</t>
  </si>
  <si>
    <t>CDF existante zone 8b</t>
  </si>
  <si>
    <t>CDF existante zone 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</si>
</sst>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"/>
  </numFmts>
  <fonts count="24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0" fontId="12" fillId="0" borderId="0"/>
  </cellStyleXfs>
  <cellXfs count="674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left"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7" fillId="0" borderId="9" xfId="0" applyFont="1" applyBorder="1"/>
    <xf numFmtId="0" fontId="7" fillId="0" borderId="10" xfId="0" applyFont="1" applyBorder="1"/>
    <xf numFmtId="0" fontId="7" fillId="0" borderId="19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9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7" fillId="0" borderId="19" xfId="0" applyNumberFormat="1" applyFont="1" applyBorder="1" applyAlignment="1">
      <alignment horizontal="center" wrapText="1"/>
    </xf>
    <xf numFmtId="2" fontId="7" fillId="0" borderId="19" xfId="0" applyNumberFormat="1" applyFont="1" applyBorder="1" applyAlignment="1">
      <alignment horizontal="center"/>
    </xf>
    <xf numFmtId="0" fontId="12" fillId="0" borderId="0" xfId="2"/>
    <xf numFmtId="0" fontId="1" fillId="0" borderId="0" xfId="2" applyFont="1" applyAlignment="1" applyProtection="1">
      <alignment vertical="center"/>
      <protection hidden="1"/>
    </xf>
    <xf numFmtId="0" fontId="1" fillId="0" borderId="0" xfId="2" applyFont="1" applyAlignment="1" applyProtection="1">
      <alignment horizontal="center" vertical="center"/>
      <protection hidden="1"/>
    </xf>
    <xf numFmtId="0" fontId="1" fillId="0" borderId="0" xfId="2" applyFont="1" applyProtection="1">
      <protection hidden="1"/>
    </xf>
    <xf numFmtId="0" fontId="7" fillId="0" borderId="4" xfId="2" applyFont="1" applyBorder="1" applyAlignment="1" applyProtection="1">
      <alignment vertical="center"/>
      <protection locked="0"/>
    </xf>
    <xf numFmtId="0" fontId="5" fillId="0" borderId="4" xfId="2" applyFont="1" applyBorder="1" applyAlignment="1" applyProtection="1">
      <alignment vertical="center"/>
      <protection hidden="1"/>
    </xf>
    <xf numFmtId="0" fontId="7" fillId="0" borderId="4" xfId="2" applyFont="1" applyBorder="1" applyAlignment="1" applyProtection="1">
      <alignment vertical="center" wrapText="1"/>
      <protection locked="0"/>
    </xf>
    <xf numFmtId="0" fontId="4" fillId="0" borderId="7" xfId="2" applyFont="1" applyBorder="1" applyAlignment="1" applyProtection="1">
      <alignment vertical="center"/>
      <protection hidden="1"/>
    </xf>
    <xf numFmtId="0" fontId="4" fillId="0" borderId="0" xfId="2" applyFont="1" applyAlignment="1" applyProtection="1">
      <alignment vertical="center"/>
      <protection hidden="1"/>
    </xf>
    <xf numFmtId="0" fontId="3" fillId="0" borderId="0" xfId="2" applyFont="1" applyAlignment="1" applyProtection="1">
      <alignment vertical="center"/>
      <protection hidden="1"/>
    </xf>
    <xf numFmtId="0" fontId="2" fillId="0" borderId="6" xfId="2" applyFont="1" applyBorder="1" applyAlignment="1" applyProtection="1">
      <alignment horizontal="center" vertical="center"/>
      <protection hidden="1"/>
    </xf>
    <xf numFmtId="0" fontId="1" fillId="0" borderId="10" xfId="2" applyFont="1" applyBorder="1" applyAlignment="1" applyProtection="1">
      <alignment horizontal="center" vertical="center" wrapText="1"/>
      <protection hidden="1"/>
    </xf>
    <xf numFmtId="0" fontId="1" fillId="0" borderId="9" xfId="2" applyFont="1" applyBorder="1" applyAlignment="1" applyProtection="1">
      <alignment horizontal="center" vertical="center" wrapText="1"/>
      <protection hidden="1"/>
    </xf>
    <xf numFmtId="0" fontId="5" fillId="0" borderId="9" xfId="2" applyFont="1" applyBorder="1" applyAlignment="1" applyProtection="1">
      <alignment horizontal="center" vertical="center" wrapText="1"/>
      <protection hidden="1"/>
    </xf>
    <xf numFmtId="0" fontId="5" fillId="0" borderId="4" xfId="2" applyFont="1" applyBorder="1" applyAlignment="1" applyProtection="1">
      <alignment horizontal="center" vertical="center" wrapText="1"/>
      <protection hidden="1"/>
    </xf>
    <xf numFmtId="0" fontId="1" fillId="0" borderId="4" xfId="2" applyFont="1" applyBorder="1" applyAlignment="1" applyProtection="1">
      <alignment vertical="center"/>
      <protection hidden="1"/>
    </xf>
    <xf numFmtId="0" fontId="1" fillId="0" borderId="13" xfId="2" applyFont="1" applyBorder="1" applyAlignment="1" applyProtection="1">
      <alignment vertical="center"/>
      <protection hidden="1"/>
    </xf>
    <xf numFmtId="0" fontId="8" fillId="0" borderId="13" xfId="2" applyFont="1" applyBorder="1" applyAlignment="1" applyProtection="1">
      <alignment vertical="center"/>
      <protection hidden="1"/>
    </xf>
    <xf numFmtId="0" fontId="3" fillId="0" borderId="4" xfId="2" applyFont="1" applyBorder="1" applyAlignment="1" applyProtection="1">
      <alignment vertical="center"/>
      <protection hidden="1"/>
    </xf>
    <xf numFmtId="0" fontId="2" fillId="0" borderId="3" xfId="2" applyFont="1" applyBorder="1" applyAlignment="1" applyProtection="1">
      <alignment vertical="center"/>
      <protection hidden="1"/>
    </xf>
    <xf numFmtId="0" fontId="9" fillId="0" borderId="0" xfId="2" applyFont="1" applyAlignment="1" applyProtection="1">
      <alignment vertical="center"/>
      <protection hidden="1"/>
    </xf>
    <xf numFmtId="0" fontId="9" fillId="0" borderId="0" xfId="2" applyFont="1" applyAlignment="1" applyProtection="1">
      <alignment horizontal="center" vertical="center"/>
      <protection hidden="1"/>
    </xf>
    <xf numFmtId="0" fontId="1" fillId="0" borderId="8" xfId="2" applyFont="1" applyBorder="1" applyAlignment="1" applyProtection="1">
      <alignment vertical="center"/>
      <protection hidden="1"/>
    </xf>
    <xf numFmtId="0" fontId="1" fillId="0" borderId="2" xfId="2" applyFont="1" applyBorder="1" applyAlignment="1" applyProtection="1">
      <alignment vertical="center"/>
      <protection hidden="1"/>
    </xf>
    <xf numFmtId="0" fontId="9" fillId="0" borderId="1" xfId="2" applyFont="1" applyBorder="1" applyAlignment="1" applyProtection="1">
      <alignment vertical="center"/>
      <protection hidden="1"/>
    </xf>
    <xf numFmtId="0" fontId="9" fillId="0" borderId="1" xfId="2" applyFont="1" applyBorder="1" applyAlignment="1" applyProtection="1">
      <alignment horizontal="center" vertical="center"/>
      <protection hidden="1"/>
    </xf>
    <xf numFmtId="0" fontId="1" fillId="0" borderId="7" xfId="2" applyFont="1" applyBorder="1" applyAlignment="1" applyProtection="1">
      <alignment vertical="center"/>
      <protection hidden="1"/>
    </xf>
    <xf numFmtId="0" fontId="1" fillId="0" borderId="6" xfId="2" applyFont="1" applyBorder="1" applyAlignment="1" applyProtection="1">
      <alignment horizontal="center" vertical="center"/>
      <protection hidden="1"/>
    </xf>
    <xf numFmtId="0" fontId="6" fillId="0" borderId="12" xfId="2" applyFont="1" applyBorder="1" applyAlignment="1">
      <alignment horizontal="center"/>
    </xf>
    <xf numFmtId="0" fontId="7" fillId="0" borderId="10" xfId="2" applyFont="1" applyBorder="1" applyAlignment="1" applyProtection="1">
      <alignment horizontal="center"/>
      <protection locked="0"/>
    </xf>
    <xf numFmtId="0" fontId="7" fillId="0" borderId="9" xfId="2" applyFont="1" applyBorder="1" applyAlignment="1" applyProtection="1">
      <alignment horizontal="center"/>
      <protection locked="0"/>
    </xf>
    <xf numFmtId="0" fontId="7" fillId="0" borderId="19" xfId="2" applyFont="1" applyBorder="1" applyAlignment="1" applyProtection="1">
      <alignment horizontal="center"/>
      <protection locked="0"/>
    </xf>
    <xf numFmtId="0" fontId="7" fillId="0" borderId="10" xfId="2" applyFont="1" applyBorder="1" applyAlignment="1">
      <alignment vertical="center"/>
    </xf>
    <xf numFmtId="0" fontId="7" fillId="0" borderId="9" xfId="2" applyFont="1" applyBorder="1" applyAlignment="1">
      <alignment vertical="center"/>
    </xf>
    <xf numFmtId="164" fontId="7" fillId="0" borderId="19" xfId="2" applyNumberFormat="1" applyFont="1" applyBorder="1" applyAlignment="1">
      <alignment horizontal="center" vertical="center"/>
    </xf>
    <xf numFmtId="0" fontId="6" fillId="0" borderId="11" xfId="2" applyFont="1" applyBorder="1" applyAlignment="1">
      <alignment horizontal="center"/>
    </xf>
    <xf numFmtId="0" fontId="7" fillId="0" borderId="4" xfId="2" applyFont="1" applyBorder="1"/>
    <xf numFmtId="0" fontId="1" fillId="0" borderId="6" xfId="2" applyFont="1" applyBorder="1" applyAlignment="1" applyProtection="1">
      <alignment vertical="center"/>
      <protection hidden="1"/>
    </xf>
    <xf numFmtId="0" fontId="1" fillId="0" borderId="5" xfId="2" applyFont="1" applyBorder="1" applyAlignment="1" applyProtection="1">
      <alignment vertical="center"/>
      <protection hidden="1"/>
    </xf>
    <xf numFmtId="0" fontId="8" fillId="0" borderId="4" xfId="2" applyFont="1" applyBorder="1" applyAlignment="1" applyProtection="1">
      <alignment vertical="center"/>
      <protection hidden="1"/>
    </xf>
    <xf numFmtId="0" fontId="8" fillId="0" borderId="4" xfId="2" applyFont="1" applyBorder="1" applyAlignment="1" applyProtection="1">
      <alignment horizontal="center" vertical="center"/>
      <protection hidden="1"/>
    </xf>
    <xf numFmtId="0" fontId="3" fillId="0" borderId="3" xfId="2" applyFont="1" applyBorder="1" applyAlignment="1" applyProtection="1">
      <alignment vertical="center"/>
      <protection hidden="1"/>
    </xf>
    <xf numFmtId="0" fontId="2" fillId="0" borderId="3" xfId="2" applyFont="1" applyBorder="1" applyAlignment="1" applyProtection="1">
      <alignment horizontal="center" vertical="center"/>
      <protection hidden="1"/>
    </xf>
    <xf numFmtId="0" fontId="1" fillId="0" borderId="0" xfId="2" applyFont="1" applyAlignment="1" applyProtection="1">
      <alignment horizontal="left" vertical="center"/>
      <protection hidden="1"/>
    </xf>
    <xf numFmtId="0" fontId="1" fillId="0" borderId="8" xfId="2" applyFont="1" applyBorder="1" applyProtection="1">
      <protection hidden="1"/>
    </xf>
    <xf numFmtId="0" fontId="1" fillId="0" borderId="2" xfId="2" applyFont="1" applyBorder="1" applyProtection="1">
      <protection hidden="1"/>
    </xf>
    <xf numFmtId="0" fontId="1" fillId="0" borderId="1" xfId="2" applyFont="1" applyBorder="1" applyProtection="1">
      <protection hidden="1"/>
    </xf>
    <xf numFmtId="0" fontId="4" fillId="0" borderId="7" xfId="2" applyFont="1" applyBorder="1" applyAlignment="1" applyProtection="1">
      <alignment horizontal="left"/>
      <protection hidden="1"/>
    </xf>
    <xf numFmtId="0" fontId="7" fillId="0" borderId="0" xfId="2" applyFont="1" applyAlignment="1" applyProtection="1">
      <alignment horizontal="left"/>
      <protection locked="0"/>
    </xf>
    <xf numFmtId="0" fontId="1" fillId="0" borderId="6" xfId="2" applyFont="1" applyBorder="1" applyProtection="1">
      <protection hidden="1"/>
    </xf>
    <xf numFmtId="0" fontId="1" fillId="0" borderId="7" xfId="2" applyFont="1" applyBorder="1" applyProtection="1">
      <protection hidden="1"/>
    </xf>
    <xf numFmtId="0" fontId="2" fillId="0" borderId="0" xfId="2" applyFont="1" applyProtection="1">
      <protection hidden="1"/>
    </xf>
    <xf numFmtId="0" fontId="1" fillId="0" borderId="5" xfId="2" applyFont="1" applyBorder="1" applyProtection="1">
      <protection hidden="1"/>
    </xf>
    <xf numFmtId="0" fontId="1" fillId="0" borderId="4" xfId="2" applyFont="1" applyBorder="1" applyProtection="1">
      <protection hidden="1"/>
    </xf>
    <xf numFmtId="0" fontId="3" fillId="0" borderId="4" xfId="2" applyFont="1" applyBorder="1" applyProtection="1">
      <protection hidden="1"/>
    </xf>
    <xf numFmtId="14" fontId="6" fillId="0" borderId="0" xfId="2" applyNumberFormat="1" applyFont="1" applyAlignment="1" applyProtection="1">
      <alignment horizontal="center"/>
      <protection hidden="1"/>
    </xf>
    <xf numFmtId="0" fontId="5" fillId="0" borderId="0" xfId="2" applyFont="1" applyAlignment="1" applyProtection="1">
      <alignment horizontal="right"/>
      <protection hidden="1"/>
    </xf>
    <xf numFmtId="0" fontId="3" fillId="0" borderId="0" xfId="2" applyFont="1" applyAlignment="1" applyProtection="1">
      <alignment horizontal="right"/>
      <protection hidden="1"/>
    </xf>
    <xf numFmtId="0" fontId="1" fillId="0" borderId="2" xfId="2" applyFont="1" applyBorder="1" applyAlignment="1" applyProtection="1">
      <alignment horizontal="left" vertical="center"/>
      <protection hidden="1"/>
    </xf>
    <xf numFmtId="0" fontId="1" fillId="0" borderId="2" xfId="2" applyFont="1" applyBorder="1" applyAlignment="1" applyProtection="1">
      <alignment horizontal="center" vertical="center"/>
      <protection hidden="1"/>
    </xf>
    <xf numFmtId="0" fontId="1" fillId="0" borderId="1" xfId="2" applyFont="1" applyBorder="1" applyAlignment="1" applyProtection="1">
      <alignment horizontal="center" vertical="center"/>
      <protection hidden="1"/>
    </xf>
    <xf numFmtId="0" fontId="4" fillId="0" borderId="7" xfId="2" applyFont="1" applyBorder="1" applyAlignment="1" applyProtection="1">
      <alignment horizontal="left" vertical="center"/>
      <protection hidden="1"/>
    </xf>
    <xf numFmtId="0" fontId="1" fillId="0" borderId="4" xfId="2" applyFont="1" applyBorder="1" applyAlignment="1" applyProtection="1">
      <alignment horizontal="center" vertical="center"/>
      <protection hidden="1"/>
    </xf>
    <xf numFmtId="0" fontId="1" fillId="0" borderId="1" xfId="2" applyFont="1" applyBorder="1" applyAlignment="1" applyProtection="1">
      <alignment vertical="center"/>
      <protection hidden="1"/>
    </xf>
    <xf numFmtId="0" fontId="6" fillId="0" borderId="30" xfId="2" applyFont="1" applyBorder="1" applyAlignment="1">
      <alignment horizontal="center"/>
    </xf>
    <xf numFmtId="0" fontId="7" fillId="0" borderId="15" xfId="0" applyFont="1" applyBorder="1" applyProtection="1">
      <protection locked="0"/>
    </xf>
    <xf numFmtId="0" fontId="7" fillId="0" borderId="16" xfId="0" applyFont="1" applyBorder="1" applyProtection="1">
      <protection locked="0"/>
    </xf>
    <xf numFmtId="0" fontId="7" fillId="0" borderId="17" xfId="0" applyFont="1" applyBorder="1" applyProtection="1">
      <protection locked="0"/>
    </xf>
    <xf numFmtId="0" fontId="7" fillId="0" borderId="39" xfId="0" applyFont="1" applyBorder="1" applyAlignment="1" applyProtection="1">
      <alignment horizontal="center"/>
      <protection locked="0"/>
    </xf>
    <xf numFmtId="0" fontId="7" fillId="0" borderId="38" xfId="0" applyFont="1" applyBorder="1" applyProtection="1">
      <protection locked="0"/>
    </xf>
    <xf numFmtId="0" fontId="1" fillId="0" borderId="8" xfId="2" applyFont="1" applyBorder="1" applyAlignment="1" applyProtection="1">
      <alignment vertical="center" wrapText="1"/>
      <protection locked="0"/>
    </xf>
    <xf numFmtId="0" fontId="1" fillId="0" borderId="2" xfId="2" applyFont="1" applyBorder="1" applyAlignment="1" applyProtection="1">
      <alignment vertical="center" wrapText="1"/>
      <protection locked="0"/>
    </xf>
    <xf numFmtId="0" fontId="1" fillId="0" borderId="1" xfId="2" applyFont="1" applyBorder="1" applyAlignment="1" applyProtection="1">
      <alignment vertical="center" wrapText="1"/>
      <protection locked="0"/>
    </xf>
    <xf numFmtId="0" fontId="1" fillId="0" borderId="7" xfId="2" applyFont="1" applyBorder="1" applyAlignment="1" applyProtection="1">
      <alignment vertical="center" wrapText="1"/>
      <protection locked="0"/>
    </xf>
    <xf numFmtId="0" fontId="1" fillId="0" borderId="6" xfId="2" applyFont="1" applyBorder="1" applyAlignment="1" applyProtection="1">
      <alignment vertical="center" wrapText="1"/>
      <protection locked="0"/>
    </xf>
    <xf numFmtId="0" fontId="1" fillId="0" borderId="5" xfId="2" applyFont="1" applyBorder="1" applyAlignment="1" applyProtection="1">
      <alignment vertical="center" wrapText="1"/>
      <protection locked="0"/>
    </xf>
    <xf numFmtId="0" fontId="1" fillId="0" borderId="4" xfId="2" applyFont="1" applyBorder="1" applyAlignment="1" applyProtection="1">
      <alignment vertical="center" wrapText="1"/>
      <protection locked="0"/>
    </xf>
    <xf numFmtId="0" fontId="1" fillId="0" borderId="3" xfId="2" applyFont="1" applyBorder="1" applyAlignment="1" applyProtection="1">
      <alignment vertical="center" wrapText="1"/>
      <protection locked="0"/>
    </xf>
    <xf numFmtId="0" fontId="7" fillId="0" borderId="19" xfId="2" applyFont="1" applyBorder="1" applyAlignment="1" applyProtection="1">
      <alignment horizontal="center" vertical="center" wrapText="1"/>
      <protection locked="0"/>
    </xf>
    <xf numFmtId="0" fontId="7" fillId="0" borderId="9" xfId="2" applyFont="1" applyBorder="1" applyAlignment="1" applyProtection="1">
      <alignment horizontal="center" vertical="center" wrapText="1"/>
      <protection locked="0"/>
    </xf>
    <xf numFmtId="0" fontId="7" fillId="0" borderId="10" xfId="2" applyFont="1" applyBorder="1" applyAlignment="1" applyProtection="1">
      <alignment horizontal="center" vertical="center" wrapText="1"/>
      <protection locked="0"/>
    </xf>
    <xf numFmtId="0" fontId="7" fillId="0" borderId="10" xfId="2" applyFont="1" applyBorder="1" applyAlignment="1" applyProtection="1">
      <alignment horizontal="center" vertical="center"/>
      <protection locked="0"/>
    </xf>
    <xf numFmtId="0" fontId="7" fillId="0" borderId="9" xfId="2" applyFont="1" applyBorder="1" applyAlignment="1" applyProtection="1">
      <alignment horizontal="center" vertical="center"/>
      <protection locked="0"/>
    </xf>
    <xf numFmtId="0" fontId="7" fillId="0" borderId="19" xfId="2" applyFont="1" applyBorder="1" applyAlignment="1" applyProtection="1">
      <alignment horizontal="center" vertical="center"/>
      <protection locked="0"/>
    </xf>
    <xf numFmtId="0" fontId="7" fillId="0" borderId="1" xfId="2" applyFont="1" applyBorder="1" applyAlignment="1" applyProtection="1">
      <alignment vertical="center"/>
      <protection locked="0"/>
    </xf>
    <xf numFmtId="0" fontId="7" fillId="0" borderId="2" xfId="2" applyFont="1" applyBorder="1" applyAlignment="1" applyProtection="1">
      <alignment vertical="center"/>
      <protection locked="0"/>
    </xf>
    <xf numFmtId="0" fontId="7" fillId="0" borderId="8" xfId="2" applyFont="1" applyBorder="1" applyAlignment="1" applyProtection="1">
      <alignment vertical="center"/>
      <protection locked="0"/>
    </xf>
    <xf numFmtId="0" fontId="7" fillId="0" borderId="15" xfId="2" applyFont="1" applyBorder="1" applyAlignment="1" applyProtection="1">
      <alignment horizontal="center"/>
      <protection locked="0"/>
    </xf>
    <xf numFmtId="0" fontId="7" fillId="0" borderId="16" xfId="2" applyFont="1" applyBorder="1" applyAlignment="1" applyProtection="1">
      <alignment horizontal="center"/>
      <protection locked="0"/>
    </xf>
    <xf numFmtId="0" fontId="7" fillId="0" borderId="17" xfId="2" applyFont="1" applyBorder="1" applyAlignment="1" applyProtection="1">
      <alignment horizontal="center"/>
      <protection locked="0"/>
    </xf>
    <xf numFmtId="164" fontId="7" fillId="0" borderId="15" xfId="2" applyNumberFormat="1" applyFont="1" applyBorder="1" applyAlignment="1">
      <alignment horizontal="center" vertical="center"/>
    </xf>
    <xf numFmtId="0" fontId="7" fillId="0" borderId="17" xfId="2" applyFont="1" applyBorder="1" applyAlignment="1">
      <alignment vertical="center"/>
    </xf>
    <xf numFmtId="0" fontId="7" fillId="0" borderId="16" xfId="2" applyFont="1" applyBorder="1" applyAlignment="1">
      <alignment vertical="center"/>
    </xf>
    <xf numFmtId="0" fontId="7" fillId="0" borderId="19" xfId="2" applyFont="1" applyBorder="1" applyAlignment="1" applyProtection="1">
      <alignment horizontal="center" vertical="center" wrapText="1"/>
      <protection locked="0"/>
    </xf>
    <xf numFmtId="0" fontId="7" fillId="0" borderId="9" xfId="2" applyFont="1" applyBorder="1" applyAlignment="1" applyProtection="1">
      <alignment horizontal="center" vertical="center" wrapText="1"/>
      <protection locked="0"/>
    </xf>
    <xf numFmtId="0" fontId="1" fillId="0" borderId="9" xfId="2" applyFont="1" applyBorder="1" applyAlignment="1" applyProtection="1">
      <alignment horizontal="center" vertical="center" wrapText="1"/>
      <protection locked="0"/>
    </xf>
    <xf numFmtId="0" fontId="1" fillId="0" borderId="10" xfId="2" applyFont="1" applyBorder="1" applyAlignment="1" applyProtection="1">
      <alignment horizontal="center" vertical="center" wrapText="1"/>
      <protection locked="0"/>
    </xf>
    <xf numFmtId="0" fontId="2" fillId="0" borderId="6" xfId="2" applyFont="1" applyBorder="1" applyAlignment="1" applyProtection="1">
      <alignment horizontal="center" vertical="center"/>
      <protection hidden="1"/>
    </xf>
    <xf numFmtId="0" fontId="2" fillId="0" borderId="0" xfId="2" applyFont="1" applyAlignment="1" applyProtection="1">
      <alignment horizontal="center" vertical="center"/>
      <protection hidden="1"/>
    </xf>
    <xf numFmtId="0" fontId="2" fillId="0" borderId="7" xfId="2" applyFont="1" applyBorder="1" applyAlignment="1" applyProtection="1">
      <alignment horizontal="center" vertical="center"/>
      <protection hidden="1"/>
    </xf>
    <xf numFmtId="0" fontId="2" fillId="0" borderId="1" xfId="2" applyFont="1" applyBorder="1" applyAlignment="1" applyProtection="1">
      <alignment horizontal="center" vertical="center"/>
      <protection hidden="1"/>
    </xf>
    <xf numFmtId="0" fontId="2" fillId="0" borderId="2" xfId="2" applyFont="1" applyBorder="1" applyAlignment="1" applyProtection="1">
      <alignment horizontal="center" vertical="center"/>
      <protection hidden="1"/>
    </xf>
    <xf numFmtId="0" fontId="2" fillId="0" borderId="8" xfId="2" applyFont="1" applyBorder="1" applyAlignment="1" applyProtection="1">
      <alignment horizontal="center" vertical="center"/>
      <protection hidden="1"/>
    </xf>
    <xf numFmtId="0" fontId="5" fillId="0" borderId="6" xfId="2" applyFont="1" applyBorder="1" applyAlignment="1" applyProtection="1">
      <alignment horizontal="center" vertical="center"/>
      <protection hidden="1"/>
    </xf>
    <xf numFmtId="0" fontId="5" fillId="0" borderId="0" xfId="2" applyFont="1" applyAlignment="1" applyProtection="1">
      <alignment horizontal="center" vertical="center"/>
      <protection hidden="1"/>
    </xf>
    <xf numFmtId="0" fontId="5" fillId="0" borderId="7" xfId="2" applyFont="1" applyBorder="1" applyAlignment="1" applyProtection="1">
      <alignment horizontal="center" vertical="center"/>
      <protection hidden="1"/>
    </xf>
    <xf numFmtId="0" fontId="7" fillId="0" borderId="3" xfId="2" applyFont="1" applyBorder="1" applyAlignment="1" applyProtection="1">
      <alignment horizontal="center" vertical="center" wrapText="1"/>
      <protection locked="0"/>
    </xf>
    <xf numFmtId="0" fontId="7" fillId="0" borderId="4" xfId="2" applyFont="1" applyBorder="1" applyAlignment="1" applyProtection="1">
      <alignment horizontal="center" vertical="center" wrapText="1"/>
      <protection locked="0"/>
    </xf>
    <xf numFmtId="0" fontId="1" fillId="0" borderId="4" xfId="2" applyFont="1" applyBorder="1" applyAlignment="1" applyProtection="1">
      <alignment horizontal="center" vertical="center" wrapText="1"/>
      <protection locked="0"/>
    </xf>
    <xf numFmtId="0" fontId="1" fillId="0" borderId="5" xfId="2" applyFont="1" applyBorder="1" applyAlignment="1" applyProtection="1">
      <alignment horizontal="center" vertical="center" wrapText="1"/>
      <protection locked="0"/>
    </xf>
    <xf numFmtId="0" fontId="7" fillId="0" borderId="6" xfId="2" applyFont="1" applyBorder="1" applyAlignment="1" applyProtection="1">
      <alignment horizontal="center" vertical="center" wrapText="1"/>
      <protection locked="0"/>
    </xf>
    <xf numFmtId="0" fontId="7" fillId="0" borderId="0" xfId="2" applyFont="1" applyAlignment="1" applyProtection="1">
      <alignment horizontal="center" vertical="center" wrapText="1"/>
      <protection locked="0"/>
    </xf>
    <xf numFmtId="0" fontId="1" fillId="0" borderId="0" xfId="2" applyFont="1" applyAlignment="1" applyProtection="1">
      <alignment horizontal="center" vertical="center" wrapText="1"/>
      <protection locked="0"/>
    </xf>
    <xf numFmtId="0" fontId="1" fillId="0" borderId="7" xfId="2" applyFont="1" applyBorder="1" applyAlignment="1" applyProtection="1">
      <alignment horizontal="center" vertical="center" wrapText="1"/>
      <protection locked="0"/>
    </xf>
    <xf numFmtId="0" fontId="7" fillId="0" borderId="1" xfId="2" applyFont="1" applyBorder="1" applyAlignment="1" applyProtection="1">
      <alignment horizontal="center" vertical="center" wrapText="1"/>
      <protection locked="0"/>
    </xf>
    <xf numFmtId="0" fontId="7" fillId="0" borderId="2" xfId="2" applyFont="1" applyBorder="1" applyAlignment="1" applyProtection="1">
      <alignment horizontal="center" vertical="center" wrapText="1"/>
      <protection locked="0"/>
    </xf>
    <xf numFmtId="0" fontId="1" fillId="0" borderId="2" xfId="2" applyFont="1" applyBorder="1" applyAlignment="1" applyProtection="1">
      <alignment horizontal="center" vertical="center" wrapText="1"/>
      <protection locked="0"/>
    </xf>
    <xf numFmtId="0" fontId="1" fillId="0" borderId="8" xfId="2" applyFont="1" applyBorder="1" applyAlignment="1" applyProtection="1">
      <alignment horizontal="center" vertical="center" wrapText="1"/>
      <protection locked="0"/>
    </xf>
    <xf numFmtId="164" fontId="6" fillId="0" borderId="19" xfId="2" applyNumberFormat="1" applyFont="1" applyBorder="1" applyAlignment="1">
      <alignment horizontal="center" vertical="center"/>
    </xf>
    <xf numFmtId="0" fontId="7" fillId="0" borderId="9" xfId="2" applyFont="1" applyBorder="1"/>
    <xf numFmtId="0" fontId="7" fillId="0" borderId="10" xfId="2" applyFont="1" applyBorder="1"/>
    <xf numFmtId="0" fontId="7" fillId="0" borderId="0" xfId="2" applyFont="1" applyAlignment="1" applyProtection="1">
      <alignment horizontal="left"/>
      <protection hidden="1"/>
    </xf>
    <xf numFmtId="0" fontId="7" fillId="0" borderId="0" xfId="2" applyFont="1" applyAlignment="1" applyProtection="1">
      <alignment horizontal="left" vertical="center"/>
      <protection hidden="1"/>
    </xf>
    <xf numFmtId="0" fontId="2" fillId="0" borderId="32" xfId="2" applyFont="1" applyBorder="1" applyAlignment="1" applyProtection="1">
      <alignment horizontal="center" vertical="center"/>
      <protection hidden="1"/>
    </xf>
    <xf numFmtId="0" fontId="2" fillId="0" borderId="33" xfId="2" applyFont="1" applyBorder="1" applyAlignment="1" applyProtection="1">
      <alignment horizontal="center" vertical="center"/>
      <protection hidden="1"/>
    </xf>
    <xf numFmtId="0" fontId="2" fillId="0" borderId="34" xfId="2" applyFont="1" applyBorder="1" applyAlignment="1" applyProtection="1">
      <alignment horizontal="center" vertical="center"/>
      <protection hidden="1"/>
    </xf>
    <xf numFmtId="0" fontId="10" fillId="0" borderId="3" xfId="2" applyFont="1" applyBorder="1" applyAlignment="1" applyProtection="1">
      <alignment horizontal="center" vertical="center" wrapText="1"/>
      <protection locked="0"/>
    </xf>
    <xf numFmtId="0" fontId="10" fillId="0" borderId="4" xfId="2" applyFont="1" applyBorder="1" applyAlignment="1" applyProtection="1">
      <alignment horizontal="center" vertical="center" wrapText="1"/>
      <protection locked="0"/>
    </xf>
    <xf numFmtId="0" fontId="10" fillId="0" borderId="5" xfId="2" applyFont="1" applyBorder="1" applyAlignment="1" applyProtection="1">
      <alignment horizontal="center" vertical="center" wrapText="1"/>
      <protection locked="0"/>
    </xf>
    <xf numFmtId="0" fontId="10" fillId="0" borderId="6" xfId="2" applyFont="1" applyBorder="1" applyAlignment="1" applyProtection="1">
      <alignment horizontal="center" vertical="center" wrapText="1"/>
      <protection locked="0"/>
    </xf>
    <xf numFmtId="0" fontId="10" fillId="0" borderId="0" xfId="2" applyFont="1" applyAlignment="1" applyProtection="1">
      <alignment horizontal="center" vertical="center" wrapText="1"/>
      <protection locked="0"/>
    </xf>
    <xf numFmtId="0" fontId="10" fillId="0" borderId="7" xfId="2" applyFont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0" fontId="10" fillId="0" borderId="2" xfId="2" applyFont="1" applyBorder="1" applyAlignment="1" applyProtection="1">
      <alignment horizontal="center" vertical="center" wrapText="1"/>
      <protection locked="0"/>
    </xf>
    <xf numFmtId="0" fontId="10" fillId="0" borderId="8" xfId="2" applyFont="1" applyBorder="1" applyAlignment="1" applyProtection="1">
      <alignment horizontal="center" vertical="center" wrapText="1"/>
      <protection locked="0"/>
    </xf>
    <xf numFmtId="0" fontId="7" fillId="0" borderId="19" xfId="2" applyFont="1" applyBorder="1" applyAlignment="1" applyProtection="1">
      <alignment horizontal="center"/>
      <protection locked="0"/>
    </xf>
    <xf numFmtId="0" fontId="7" fillId="0" borderId="9" xfId="2" applyFont="1" applyBorder="1" applyAlignment="1" applyProtection="1">
      <alignment horizontal="center"/>
      <protection locked="0"/>
    </xf>
    <xf numFmtId="0" fontId="7" fillId="0" borderId="10" xfId="2" applyFont="1" applyBorder="1" applyAlignment="1" applyProtection="1">
      <alignment horizontal="center"/>
      <protection locked="0"/>
    </xf>
    <xf numFmtId="0" fontId="7" fillId="0" borderId="25" xfId="2" applyFont="1" applyBorder="1" applyAlignment="1" applyProtection="1">
      <alignment horizontal="center" vertical="center" wrapText="1"/>
      <protection locked="0"/>
    </xf>
    <xf numFmtId="0" fontId="7" fillId="0" borderId="26" xfId="2" applyFont="1" applyBorder="1" applyAlignment="1" applyProtection="1">
      <alignment horizontal="center" vertical="center" wrapText="1"/>
      <protection locked="0"/>
    </xf>
    <xf numFmtId="0" fontId="7" fillId="0" borderId="27" xfId="2" applyFont="1" applyBorder="1" applyAlignment="1" applyProtection="1">
      <alignment horizontal="center" vertical="center" wrapText="1"/>
      <protection locked="0"/>
    </xf>
    <xf numFmtId="0" fontId="7" fillId="0" borderId="14" xfId="2" applyFont="1" applyBorder="1" applyAlignment="1" applyProtection="1">
      <alignment horizontal="center" vertical="center" wrapText="1"/>
      <protection locked="0"/>
    </xf>
    <xf numFmtId="0" fontId="7" fillId="0" borderId="28" xfId="2" applyFont="1" applyBorder="1" applyAlignment="1" applyProtection="1">
      <alignment horizontal="center" vertical="center" wrapText="1"/>
      <protection locked="0"/>
    </xf>
    <xf numFmtId="0" fontId="7" fillId="0" borderId="29" xfId="2" applyFont="1" applyBorder="1" applyAlignment="1" applyProtection="1">
      <alignment horizontal="center" vertical="center"/>
      <protection locked="0"/>
    </xf>
    <xf numFmtId="0" fontId="7" fillId="0" borderId="25" xfId="2" applyFont="1" applyBorder="1" applyAlignment="1" applyProtection="1">
      <alignment horizontal="center" vertical="center"/>
      <protection locked="0"/>
    </xf>
    <xf numFmtId="0" fontId="7" fillId="0" borderId="6" xfId="2" applyFont="1" applyBorder="1" applyAlignment="1" applyProtection="1">
      <alignment horizontal="center" vertical="center"/>
      <protection locked="0"/>
    </xf>
    <xf numFmtId="0" fontId="7" fillId="0" borderId="0" xfId="2" applyFont="1" applyAlignment="1" applyProtection="1">
      <alignment horizontal="center" vertical="center"/>
      <protection locked="0"/>
    </xf>
    <xf numFmtId="0" fontId="7" fillId="0" borderId="18" xfId="2" applyFont="1" applyBorder="1" applyAlignment="1" applyProtection="1">
      <alignment horizontal="center" vertical="center"/>
      <protection locked="0"/>
    </xf>
    <xf numFmtId="0" fontId="7" fillId="0" borderId="14" xfId="2" applyFont="1" applyBorder="1" applyAlignment="1" applyProtection="1">
      <alignment horizontal="center" vertical="center"/>
      <protection locked="0"/>
    </xf>
    <xf numFmtId="0" fontId="7" fillId="0" borderId="0" xfId="2" applyFont="1" applyAlignment="1" applyProtection="1">
      <alignment horizontal="left" vertical="center"/>
      <protection locked="0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7" fillId="0" borderId="0" xfId="2" applyFont="1" applyAlignment="1" applyProtection="1">
      <alignment horizontal="left"/>
      <protection locked="0"/>
    </xf>
    <xf numFmtId="164" fontId="7" fillId="0" borderId="15" xfId="2" applyNumberFormat="1" applyFont="1" applyBorder="1" applyAlignment="1">
      <alignment horizontal="center" vertical="center"/>
    </xf>
    <xf numFmtId="164" fontId="7" fillId="0" borderId="16" xfId="2" applyNumberFormat="1" applyFont="1" applyBorder="1" applyAlignment="1">
      <alignment horizontal="center" vertical="center"/>
    </xf>
    <xf numFmtId="164" fontId="7" fillId="0" borderId="17" xfId="2" applyNumberFormat="1" applyFont="1" applyBorder="1" applyAlignment="1">
      <alignment horizontal="center" vertical="center"/>
    </xf>
    <xf numFmtId="0" fontId="7" fillId="0" borderId="15" xfId="2" applyFont="1" applyBorder="1" applyAlignment="1" applyProtection="1">
      <alignment horizontal="center"/>
      <protection locked="0"/>
    </xf>
    <xf numFmtId="0" fontId="7" fillId="0" borderId="16" xfId="2" applyFont="1" applyBorder="1" applyAlignment="1" applyProtection="1">
      <alignment horizontal="center"/>
      <protection locked="0"/>
    </xf>
    <xf numFmtId="0" fontId="7" fillId="0" borderId="17" xfId="2" applyFont="1" applyBorder="1" applyAlignment="1" applyProtection="1">
      <alignment horizontal="center"/>
      <protection locked="0"/>
    </xf>
    <xf numFmtId="0" fontId="6" fillId="0" borderId="6" xfId="2" applyFont="1" applyBorder="1" applyAlignment="1" applyProtection="1">
      <alignment horizontal="center" vertical="center" wrapText="1"/>
      <protection hidden="1"/>
    </xf>
    <xf numFmtId="0" fontId="6" fillId="0" borderId="0" xfId="2" applyFont="1" applyAlignment="1" applyProtection="1">
      <alignment horizontal="center" vertical="center" wrapText="1"/>
      <protection hidden="1"/>
    </xf>
    <xf numFmtId="0" fontId="2" fillId="0" borderId="9" xfId="2" applyFont="1" applyBorder="1" applyAlignment="1" applyProtection="1">
      <alignment horizontal="center" vertical="center"/>
      <protection hidden="1"/>
    </xf>
    <xf numFmtId="0" fontId="4" fillId="0" borderId="9" xfId="2" applyFont="1" applyBorder="1" applyAlignment="1" applyProtection="1">
      <alignment horizontal="center" vertical="center"/>
      <protection hidden="1"/>
    </xf>
    <xf numFmtId="14" fontId="7" fillId="0" borderId="0" xfId="2" applyNumberFormat="1" applyFont="1" applyAlignment="1" applyProtection="1">
      <alignment horizontal="left" vertical="center"/>
      <protection locked="0"/>
    </xf>
    <xf numFmtId="0" fontId="6" fillId="0" borderId="0" xfId="2" applyFont="1" applyAlignment="1" applyProtection="1">
      <alignment horizontal="center" vertical="center"/>
      <protection hidden="1"/>
    </xf>
    <xf numFmtId="0" fontId="6" fillId="0" borderId="7" xfId="2" applyFont="1" applyBorder="1" applyAlignment="1" applyProtection="1">
      <alignment horizontal="center" vertical="center"/>
      <protection hidden="1"/>
    </xf>
    <xf numFmtId="0" fontId="11" fillId="0" borderId="2" xfId="2" applyFont="1" applyBorder="1" applyAlignment="1" applyProtection="1">
      <alignment horizontal="center" vertical="center"/>
      <protection hidden="1"/>
    </xf>
    <xf numFmtId="0" fontId="6" fillId="0" borderId="6" xfId="2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0" fontId="6" fillId="0" borderId="7" xfId="2" applyFont="1" applyBorder="1" applyAlignment="1" applyProtection="1">
      <alignment horizontal="center" vertical="center"/>
      <protection locked="0"/>
    </xf>
    <xf numFmtId="14" fontId="6" fillId="0" borderId="6" xfId="2" applyNumberFormat="1" applyFont="1" applyBorder="1" applyAlignment="1" applyProtection="1">
      <alignment horizontal="center" vertical="center"/>
      <protection locked="0"/>
    </xf>
    <xf numFmtId="14" fontId="6" fillId="0" borderId="0" xfId="2" applyNumberFormat="1" applyFont="1" applyAlignment="1" applyProtection="1">
      <alignment horizontal="center" vertical="center"/>
      <protection locked="0"/>
    </xf>
    <xf numFmtId="14" fontId="6" fillId="0" borderId="7" xfId="2" applyNumberFormat="1" applyFont="1" applyBorder="1" applyAlignment="1" applyProtection="1">
      <alignment horizontal="center" vertical="center"/>
      <protection locked="0"/>
    </xf>
    <xf numFmtId="0" fontId="11" fillId="0" borderId="8" xfId="2" applyFont="1" applyBorder="1" applyAlignment="1" applyProtection="1">
      <alignment horizontal="center" vertical="center"/>
      <protection hidden="1"/>
    </xf>
    <xf numFmtId="164" fontId="7" fillId="0" borderId="1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vertical="center"/>
    </xf>
    <xf numFmtId="0" fontId="7" fillId="0" borderId="10" xfId="2" applyFont="1" applyBorder="1" applyAlignment="1">
      <alignment vertical="center"/>
    </xf>
    <xf numFmtId="0" fontId="1" fillId="0" borderId="3" xfId="2" applyFont="1" applyBorder="1" applyAlignment="1" applyProtection="1">
      <alignment horizontal="center" vertical="center" wrapText="1"/>
      <protection hidden="1"/>
    </xf>
    <xf numFmtId="0" fontId="1" fillId="0" borderId="4" xfId="2" applyFont="1" applyBorder="1" applyAlignment="1" applyProtection="1">
      <alignment horizontal="center" vertical="center" wrapText="1"/>
      <protection hidden="1"/>
    </xf>
    <xf numFmtId="0" fontId="1" fillId="0" borderId="5" xfId="2" applyFont="1" applyBorder="1" applyAlignment="1" applyProtection="1">
      <alignment horizontal="center" vertical="center" wrapText="1"/>
      <protection hidden="1"/>
    </xf>
    <xf numFmtId="0" fontId="1" fillId="0" borderId="6" xfId="2" applyFont="1" applyBorder="1" applyAlignment="1" applyProtection="1">
      <alignment horizontal="center" vertical="center" wrapText="1"/>
      <protection hidden="1"/>
    </xf>
    <xf numFmtId="0" fontId="1" fillId="0" borderId="0" xfId="2" applyFont="1" applyAlignment="1" applyProtection="1">
      <alignment horizontal="center" vertical="center" wrapText="1"/>
      <protection hidden="1"/>
    </xf>
    <xf numFmtId="0" fontId="1" fillId="0" borderId="7" xfId="2" applyFont="1" applyBorder="1" applyAlignment="1" applyProtection="1">
      <alignment horizontal="center" vertical="center" wrapText="1"/>
      <protection hidden="1"/>
    </xf>
    <xf numFmtId="0" fontId="1" fillId="0" borderId="1" xfId="2" applyFont="1" applyBorder="1" applyAlignment="1" applyProtection="1">
      <alignment horizontal="center" vertical="center" wrapText="1"/>
      <protection hidden="1"/>
    </xf>
    <xf numFmtId="0" fontId="1" fillId="0" borderId="2" xfId="2" applyFont="1" applyBorder="1" applyAlignment="1" applyProtection="1">
      <alignment horizontal="center" vertical="center" wrapText="1"/>
      <protection hidden="1"/>
    </xf>
    <xf numFmtId="0" fontId="1" fillId="0" borderId="8" xfId="2" applyFont="1" applyBorder="1" applyAlignment="1" applyProtection="1">
      <alignment horizontal="center" vertical="center" wrapText="1"/>
      <protection hidden="1"/>
    </xf>
    <xf numFmtId="0" fontId="9" fillId="0" borderId="3" xfId="2" applyFont="1" applyBorder="1" applyAlignment="1" applyProtection="1">
      <alignment horizontal="center" vertical="center"/>
      <protection hidden="1"/>
    </xf>
    <xf numFmtId="0" fontId="9" fillId="0" borderId="4" xfId="2" applyFont="1" applyBorder="1" applyAlignment="1" applyProtection="1">
      <alignment horizontal="center" vertical="center"/>
      <protection hidden="1"/>
    </xf>
    <xf numFmtId="0" fontId="9" fillId="0" borderId="5" xfId="2" applyFont="1" applyBorder="1" applyAlignment="1" applyProtection="1">
      <alignment horizontal="center" vertical="center"/>
      <protection hidden="1"/>
    </xf>
    <xf numFmtId="0" fontId="10" fillId="0" borderId="6" xfId="2" applyFont="1" applyBorder="1" applyAlignment="1" applyProtection="1">
      <alignment horizontal="center" vertical="center" wrapText="1"/>
      <protection hidden="1"/>
    </xf>
    <xf numFmtId="0" fontId="10" fillId="0" borderId="0" xfId="2" applyFont="1" applyAlignment="1" applyProtection="1">
      <alignment horizontal="center" vertical="center" wrapText="1"/>
      <protection hidden="1"/>
    </xf>
    <xf numFmtId="0" fontId="10" fillId="0" borderId="7" xfId="2" applyFont="1" applyBorder="1" applyAlignment="1" applyProtection="1">
      <alignment horizontal="center" vertical="center" wrapText="1"/>
      <protection hidden="1"/>
    </xf>
    <xf numFmtId="0" fontId="7" fillId="0" borderId="6" xfId="2" applyFont="1" applyBorder="1" applyAlignment="1" applyProtection="1">
      <alignment horizontal="left" vertical="center" wrapText="1"/>
      <protection locked="0"/>
    </xf>
    <xf numFmtId="0" fontId="7" fillId="0" borderId="0" xfId="2" applyFont="1" applyAlignment="1" applyProtection="1">
      <alignment horizontal="left" vertical="center" wrapText="1"/>
      <protection locked="0"/>
    </xf>
    <xf numFmtId="0" fontId="7" fillId="0" borderId="7" xfId="2" applyFont="1" applyBorder="1" applyAlignment="1" applyProtection="1">
      <alignment horizontal="left" vertical="center" wrapText="1"/>
      <protection locked="0"/>
    </xf>
    <xf numFmtId="0" fontId="7" fillId="0" borderId="1" xfId="2" applyFont="1" applyBorder="1" applyAlignment="1" applyProtection="1">
      <alignment horizontal="left" vertical="center" wrapText="1"/>
      <protection locked="0"/>
    </xf>
    <xf numFmtId="0" fontId="7" fillId="0" borderId="2" xfId="2" applyFont="1" applyBorder="1" applyAlignment="1" applyProtection="1">
      <alignment horizontal="left" vertical="center" wrapText="1"/>
      <protection locked="0"/>
    </xf>
    <xf numFmtId="0" fontId="7" fillId="0" borderId="8" xfId="2" applyFont="1" applyBorder="1" applyAlignment="1" applyProtection="1">
      <alignment horizontal="left" vertical="center" wrapText="1"/>
      <protection locked="0"/>
    </xf>
    <xf numFmtId="0" fontId="5" fillId="0" borderId="1" xfId="2" applyFont="1" applyBorder="1" applyAlignment="1" applyProtection="1">
      <alignment horizontal="center" vertical="center"/>
      <protection hidden="1"/>
    </xf>
    <xf numFmtId="0" fontId="5" fillId="0" borderId="2" xfId="2" applyFont="1" applyBorder="1" applyAlignment="1" applyProtection="1">
      <alignment horizontal="center" vertical="center"/>
      <protection hidden="1"/>
    </xf>
    <xf numFmtId="0" fontId="5" fillId="0" borderId="8" xfId="2" applyFont="1" applyBorder="1" applyAlignment="1" applyProtection="1">
      <alignment horizontal="center" vertical="center"/>
      <protection hidden="1"/>
    </xf>
    <xf numFmtId="0" fontId="6" fillId="0" borderId="20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164" fontId="6" fillId="0" borderId="15" xfId="2" applyNumberFormat="1" applyFont="1" applyBorder="1" applyAlignment="1">
      <alignment horizontal="center" vertical="center"/>
    </xf>
    <xf numFmtId="0" fontId="7" fillId="0" borderId="16" xfId="2" applyFont="1" applyBorder="1"/>
    <xf numFmtId="0" fontId="7" fillId="0" borderId="17" xfId="2" applyFont="1" applyBorder="1"/>
    <xf numFmtId="164" fontId="6" fillId="0" borderId="35" xfId="2" applyNumberFormat="1" applyFont="1" applyBorder="1" applyAlignment="1">
      <alignment horizontal="center" vertical="top"/>
    </xf>
    <xf numFmtId="0" fontId="7" fillId="0" borderId="23" xfId="2" applyFont="1" applyBorder="1" applyAlignment="1">
      <alignment vertical="top"/>
    </xf>
    <xf numFmtId="0" fontId="7" fillId="0" borderId="24" xfId="2" applyFont="1" applyBorder="1" applyAlignment="1">
      <alignment vertical="top"/>
    </xf>
    <xf numFmtId="0" fontId="7" fillId="0" borderId="0" xfId="2" applyFont="1" applyAlignment="1" applyProtection="1">
      <alignment horizontal="center"/>
      <protection locked="0"/>
    </xf>
    <xf numFmtId="0" fontId="6" fillId="0" borderId="1" xfId="2" applyFont="1" applyBorder="1" applyAlignment="1">
      <alignment horizontal="center" vertical="center"/>
    </xf>
    <xf numFmtId="0" fontId="7" fillId="0" borderId="2" xfId="2" applyFont="1" applyBorder="1"/>
    <xf numFmtId="0" fontId="7" fillId="0" borderId="8" xfId="2" applyFont="1" applyBorder="1"/>
    <xf numFmtId="0" fontId="6" fillId="0" borderId="3" xfId="2" applyFont="1" applyBorder="1" applyAlignment="1">
      <alignment horizontal="center" vertical="center"/>
    </xf>
    <xf numFmtId="0" fontId="7" fillId="0" borderId="4" xfId="2" applyFont="1" applyBorder="1"/>
    <xf numFmtId="0" fontId="7" fillId="0" borderId="5" xfId="2" applyFont="1" applyBorder="1"/>
    <xf numFmtId="0" fontId="7" fillId="0" borderId="30" xfId="2" applyFont="1" applyBorder="1" applyAlignment="1" applyProtection="1">
      <alignment horizontal="center" vertical="center"/>
      <protection hidden="1"/>
    </xf>
    <xf numFmtId="0" fontId="7" fillId="0" borderId="31" xfId="2" applyFont="1" applyBorder="1" applyAlignment="1" applyProtection="1">
      <alignment horizontal="center" vertical="center"/>
      <protection hidden="1"/>
    </xf>
    <xf numFmtId="0" fontId="7" fillId="0" borderId="4" xfId="2" applyFont="1" applyBorder="1" applyAlignment="1">
      <alignment horizontal="center"/>
    </xf>
    <xf numFmtId="0" fontId="7" fillId="0" borderId="3" xfId="2" applyFont="1" applyBorder="1" applyAlignment="1" applyProtection="1">
      <alignment horizontal="left" vertical="center" wrapText="1"/>
      <protection locked="0"/>
    </xf>
    <xf numFmtId="0" fontId="7" fillId="0" borderId="4" xfId="2" applyFont="1" applyBorder="1" applyAlignment="1" applyProtection="1">
      <alignment horizontal="left" vertical="center" wrapText="1"/>
      <protection locked="0"/>
    </xf>
    <xf numFmtId="0" fontId="7" fillId="0" borderId="5" xfId="2" applyFont="1" applyBorder="1" applyAlignment="1" applyProtection="1">
      <alignment horizontal="left" vertical="center" wrapText="1"/>
      <protection locked="0"/>
    </xf>
    <xf numFmtId="0" fontId="7" fillId="0" borderId="3" xfId="2" applyFont="1" applyBorder="1" applyAlignment="1" applyProtection="1">
      <alignment horizontal="center" vertical="center"/>
      <protection locked="0"/>
    </xf>
    <xf numFmtId="0" fontId="7" fillId="0" borderId="4" xfId="2" applyFont="1" applyBorder="1" applyAlignment="1" applyProtection="1">
      <alignment horizontal="center" vertical="center"/>
      <protection locked="0"/>
    </xf>
    <xf numFmtId="0" fontId="7" fillId="0" borderId="5" xfId="2" applyFont="1" applyBorder="1" applyAlignment="1" applyProtection="1">
      <alignment horizontal="center" vertical="center"/>
      <protection locked="0"/>
    </xf>
    <xf numFmtId="0" fontId="7" fillId="0" borderId="7" xfId="2" applyFont="1" applyBorder="1" applyAlignment="1" applyProtection="1">
      <alignment horizontal="center" vertical="center"/>
      <protection locked="0"/>
    </xf>
    <xf numFmtId="0" fontId="7" fillId="0" borderId="1" xfId="2" applyFont="1" applyBorder="1" applyAlignment="1" applyProtection="1">
      <alignment horizontal="center" vertical="center"/>
      <protection locked="0"/>
    </xf>
    <xf numFmtId="0" fontId="7" fillId="0" borderId="2" xfId="2" applyFont="1" applyBorder="1" applyAlignment="1" applyProtection="1">
      <alignment horizontal="center" vertical="center"/>
      <protection locked="0"/>
    </xf>
    <xf numFmtId="0" fontId="7" fillId="0" borderId="8" xfId="2" applyFont="1" applyBorder="1" applyAlignment="1" applyProtection="1">
      <alignment horizontal="center" vertical="center"/>
      <protection locked="0"/>
    </xf>
    <xf numFmtId="0" fontId="7" fillId="0" borderId="40" xfId="2" applyFont="1" applyBorder="1" applyAlignment="1" applyProtection="1">
      <alignment horizontal="center" vertical="center"/>
      <protection locked="0"/>
    </xf>
    <xf numFmtId="0" fontId="7" fillId="0" borderId="41" xfId="2" applyFont="1" applyBorder="1" applyAlignment="1" applyProtection="1">
      <alignment horizontal="center" vertical="center"/>
      <protection locked="0"/>
    </xf>
    <xf numFmtId="0" fontId="7" fillId="0" borderId="42" xfId="2" applyFont="1" applyBorder="1" applyAlignment="1" applyProtection="1">
      <alignment horizontal="center" vertical="center"/>
      <protection locked="0"/>
    </xf>
    <xf numFmtId="0" fontId="7" fillId="0" borderId="5" xfId="2" applyFont="1" applyBorder="1" applyAlignment="1" applyProtection="1">
      <alignment horizontal="center" vertical="center" wrapText="1"/>
      <protection locked="0"/>
    </xf>
    <xf numFmtId="0" fontId="7" fillId="0" borderId="7" xfId="2" applyFont="1" applyBorder="1" applyAlignment="1" applyProtection="1">
      <alignment horizontal="center" vertical="center" wrapText="1"/>
      <protection locked="0"/>
    </xf>
    <xf numFmtId="0" fontId="7" fillId="0" borderId="8" xfId="2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6" fillId="0" borderId="2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2" fillId="0" borderId="32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9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9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7" fillId="0" borderId="19" xfId="0" applyNumberFormat="1" applyFont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  <xf numFmtId="2" fontId="7" fillId="0" borderId="19" xfId="0" applyNumberFormat="1" applyFont="1" applyBorder="1" applyAlignment="1">
      <alignment horizontal="center"/>
    </xf>
    <xf numFmtId="164" fontId="6" fillId="0" borderId="19" xfId="0" applyNumberFormat="1" applyFont="1" applyBorder="1" applyAlignment="1">
      <alignment horizontal="center" vertical="center"/>
    </xf>
    <xf numFmtId="0" fontId="7" fillId="0" borderId="16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164" fontId="7" fillId="0" borderId="15" xfId="0" applyNumberFormat="1" applyFont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4" xfId="0" applyFont="1" applyBorder="1" applyAlignment="1">
      <alignment horizontal="center"/>
    </xf>
    <xf numFmtId="0" fontId="7" fillId="0" borderId="30" xfId="0" applyFont="1" applyBorder="1" applyAlignment="1" applyProtection="1">
      <alignment horizontal="center" vertical="center"/>
      <protection hidden="1"/>
    </xf>
    <xf numFmtId="0" fontId="7" fillId="0" borderId="31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" xfId="0" applyFont="1" applyBorder="1"/>
    <xf numFmtId="0" fontId="6" fillId="0" borderId="3" xfId="1" applyNumberFormat="1" applyFont="1" applyBorder="1" applyAlignment="1">
      <alignment horizontal="center" vertical="center"/>
    </xf>
    <xf numFmtId="0" fontId="6" fillId="0" borderId="4" xfId="1" applyNumberFormat="1" applyFont="1" applyBorder="1" applyAlignment="1">
      <alignment horizontal="center" vertical="center"/>
    </xf>
    <xf numFmtId="0" fontId="6" fillId="0" borderId="36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center" vertical="center"/>
    </xf>
    <xf numFmtId="0" fontId="6" fillId="0" borderId="37" xfId="1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2" fontId="7" fillId="0" borderId="15" xfId="0" applyNumberFormat="1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14" fillId="0" borderId="4" xfId="0" applyFont="1" applyBorder="1" applyAlignment="1" applyProtection="1">
      <alignment vertical="center"/>
      <protection locked="0"/>
    </xf>
    <xf numFmtId="0" fontId="15" fillId="0" borderId="4" xfId="0" applyFont="1" applyBorder="1" applyAlignment="1" applyProtection="1">
      <alignment vertical="center"/>
      <protection hidden="1"/>
    </xf>
    <xf numFmtId="0" fontId="14" fillId="0" borderId="4" xfId="0" applyFont="1" applyBorder="1" applyAlignment="1" applyProtection="1">
      <alignment vertical="center" wrapText="1"/>
      <protection locked="0"/>
    </xf>
    <xf numFmtId="0" fontId="13" fillId="0" borderId="8" xfId="0" applyFont="1" applyBorder="1" applyAlignment="1" applyProtection="1">
      <alignment vertical="center" wrapText="1"/>
      <protection locked="0"/>
    </xf>
    <xf numFmtId="0" fontId="13" fillId="0" borderId="2" xfId="0" applyFont="1" applyBorder="1" applyAlignment="1" applyProtection="1">
      <alignment vertical="center" wrapText="1"/>
      <protection locked="0"/>
    </xf>
    <xf numFmtId="0" fontId="13" fillId="0" borderId="1" xfId="0" applyFont="1" applyBorder="1" applyAlignment="1" applyProtection="1">
      <alignment vertical="center" wrapText="1"/>
      <protection locked="0"/>
    </xf>
    <xf numFmtId="0" fontId="15" fillId="0" borderId="8" xfId="0" applyFont="1" applyBorder="1" applyAlignment="1" applyProtection="1">
      <alignment horizontal="center" vertical="center"/>
      <protection hidden="1"/>
    </xf>
    <xf numFmtId="0" fontId="15" fillId="0" borderId="2" xfId="0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2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5" fillId="0" borderId="7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5" fillId="0" borderId="6" xfId="0" applyFont="1" applyBorder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4" xfId="0" applyFont="1" applyBorder="1" applyAlignment="1" applyProtection="1">
      <alignment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 applyProtection="1">
      <alignment horizontal="center" vertical="center" wrapText="1"/>
      <protection locked="0"/>
    </xf>
    <xf numFmtId="0" fontId="18" fillId="0" borderId="34" xfId="0" applyFont="1" applyBorder="1" applyAlignment="1" applyProtection="1">
      <alignment horizontal="center" vertical="center"/>
      <protection hidden="1"/>
    </xf>
    <xf numFmtId="0" fontId="18" fillId="0" borderId="33" xfId="0" applyFont="1" applyBorder="1" applyAlignment="1" applyProtection="1">
      <alignment horizontal="center" vertical="center"/>
      <protection hidden="1"/>
    </xf>
    <xf numFmtId="0" fontId="18" fillId="0" borderId="32" xfId="0" applyFont="1" applyBorder="1" applyAlignment="1" applyProtection="1">
      <alignment horizontal="center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0" fontId="15" fillId="0" borderId="9" xfId="0" applyFont="1" applyBorder="1" applyAlignment="1" applyProtection="1">
      <alignment horizontal="center" vertical="center" wrapText="1"/>
      <protection hidden="1"/>
    </xf>
    <xf numFmtId="0" fontId="15" fillId="0" borderId="4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9" fillId="0" borderId="13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18" fillId="0" borderId="3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vertical="center"/>
      <protection hidden="1"/>
    </xf>
    <xf numFmtId="0" fontId="13" fillId="0" borderId="2" xfId="0" applyFont="1" applyBorder="1" applyAlignment="1" applyProtection="1">
      <alignment vertical="center"/>
      <protection hidden="1"/>
    </xf>
    <xf numFmtId="0" fontId="20" fillId="0" borderId="1" xfId="0" applyFont="1" applyBorder="1" applyAlignment="1" applyProtection="1">
      <alignment vertical="center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vertical="center"/>
      <protection hidden="1"/>
    </xf>
    <xf numFmtId="0" fontId="14" fillId="0" borderId="28" xfId="0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14" fillId="0" borderId="17" xfId="0" applyFont="1" applyBorder="1"/>
    <xf numFmtId="0" fontId="14" fillId="0" borderId="16" xfId="0" applyFont="1" applyBorder="1"/>
    <xf numFmtId="164" fontId="21" fillId="0" borderId="15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 vertical="center"/>
      <protection hidden="1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10" xfId="0" applyFont="1" applyBorder="1"/>
    <xf numFmtId="0" fontId="14" fillId="0" borderId="9" xfId="0" applyFont="1" applyBorder="1"/>
    <xf numFmtId="164" fontId="21" fillId="0" borderId="19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4" fillId="0" borderId="26" xfId="0" applyFont="1" applyBorder="1" applyAlignment="1" applyProtection="1">
      <alignment horizontal="center" vertical="center" wrapText="1"/>
      <protection locked="0"/>
    </xf>
    <xf numFmtId="0" fontId="14" fillId="0" borderId="25" xfId="0" applyFont="1" applyBorder="1" applyAlignment="1" applyProtection="1">
      <alignment horizontal="center" vertical="center" wrapText="1"/>
      <protection locked="0"/>
    </xf>
    <xf numFmtId="0" fontId="14" fillId="0" borderId="25" xfId="0" applyFont="1" applyBorder="1" applyAlignment="1" applyProtection="1">
      <alignment horizontal="center" vertical="center"/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4" fillId="0" borderId="24" xfId="0" applyFont="1" applyBorder="1" applyAlignment="1">
      <alignment vertical="top"/>
    </xf>
    <xf numFmtId="0" fontId="14" fillId="0" borderId="23" xfId="0" applyFont="1" applyBorder="1" applyAlignment="1">
      <alignment vertical="top"/>
    </xf>
    <xf numFmtId="164" fontId="21" fillId="0" borderId="35" xfId="0" applyNumberFormat="1" applyFont="1" applyBorder="1" applyAlignment="1">
      <alignment horizontal="center" vertical="top"/>
    </xf>
    <xf numFmtId="0" fontId="21" fillId="0" borderId="24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4" fillId="0" borderId="43" xfId="0" applyFont="1" applyBorder="1" applyAlignment="1" applyProtection="1">
      <alignment horizontal="center"/>
      <protection locked="0"/>
    </xf>
    <xf numFmtId="0" fontId="14" fillId="0" borderId="14" xfId="0" applyFont="1" applyBorder="1" applyAlignment="1" applyProtection="1">
      <alignment horizontal="center"/>
      <protection locked="0"/>
    </xf>
    <xf numFmtId="0" fontId="14" fillId="0" borderId="18" xfId="0" applyFont="1" applyBorder="1" applyAlignment="1" applyProtection="1">
      <alignment horizontal="center"/>
      <protection locked="0"/>
    </xf>
    <xf numFmtId="164" fontId="14" fillId="0" borderId="43" xfId="0" applyNumberFormat="1" applyFont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9" xfId="0" applyFont="1" applyBorder="1" applyAlignment="1" applyProtection="1">
      <alignment horizontal="center"/>
      <protection locked="0"/>
    </xf>
    <xf numFmtId="0" fontId="14" fillId="0" borderId="19" xfId="0" applyFont="1" applyBorder="1" applyAlignment="1" applyProtection="1">
      <alignment horizontal="center"/>
      <protection locked="0"/>
    </xf>
    <xf numFmtId="0" fontId="14" fillId="0" borderId="10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164" fontId="14" fillId="0" borderId="19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0" fontId="21" fillId="0" borderId="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4" fillId="0" borderId="8" xfId="0" applyFont="1" applyBorder="1"/>
    <xf numFmtId="0" fontId="14" fillId="0" borderId="2" xfId="0" applyFont="1" applyBorder="1"/>
    <xf numFmtId="0" fontId="21" fillId="0" borderId="1" xfId="0" applyFont="1" applyBorder="1" applyAlignment="1">
      <alignment horizontal="center" vertical="center"/>
    </xf>
    <xf numFmtId="0" fontId="14" fillId="0" borderId="31" xfId="0" applyFont="1" applyBorder="1" applyAlignment="1" applyProtection="1">
      <alignment horizontal="center" vertical="center"/>
      <protection hidden="1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4" fillId="0" borderId="5" xfId="0" applyFont="1" applyBorder="1"/>
    <xf numFmtId="0" fontId="14" fillId="0" borderId="4" xfId="0" applyFont="1" applyBorder="1"/>
    <xf numFmtId="0" fontId="21" fillId="0" borderId="3" xfId="0" applyFont="1" applyBorder="1" applyAlignment="1">
      <alignment horizontal="center" vertical="center"/>
    </xf>
    <xf numFmtId="0" fontId="14" fillId="0" borderId="30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vertical="center"/>
      <protection hidden="1"/>
    </xf>
    <xf numFmtId="0" fontId="13" fillId="0" borderId="5" xfId="0" applyFont="1" applyBorder="1" applyAlignment="1" applyProtection="1">
      <alignment vertical="center"/>
      <protection hidden="1"/>
    </xf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19" fillId="0" borderId="4" xfId="0" applyFont="1" applyBorder="1" applyAlignment="1" applyProtection="1">
      <alignment vertical="center"/>
      <protection hidden="1"/>
    </xf>
    <xf numFmtId="0" fontId="19" fillId="0" borderId="4" xfId="0" applyFont="1" applyBorder="1" applyAlignment="1" applyProtection="1">
      <alignment horizontal="center" vertical="center"/>
      <protection hidden="1"/>
    </xf>
    <xf numFmtId="0" fontId="17" fillId="0" borderId="3" xfId="0" applyFont="1" applyBorder="1" applyAlignment="1" applyProtection="1">
      <alignment vertical="center"/>
      <protection hidden="1"/>
    </xf>
    <xf numFmtId="0" fontId="18" fillId="0" borderId="3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8" xfId="0" applyFont="1" applyBorder="1" applyProtection="1">
      <protection hidden="1"/>
    </xf>
    <xf numFmtId="0" fontId="13" fillId="0" borderId="2" xfId="0" applyFont="1" applyBorder="1" applyProtection="1">
      <protection hidden="1"/>
    </xf>
    <xf numFmtId="0" fontId="13" fillId="0" borderId="1" xfId="0" applyFont="1" applyBorder="1" applyProtection="1">
      <protection hidden="1"/>
    </xf>
    <xf numFmtId="0" fontId="16" fillId="0" borderId="7" xfId="0" applyFont="1" applyBorder="1" applyAlignment="1" applyProtection="1">
      <alignment horizontal="left"/>
      <protection hidden="1"/>
    </xf>
    <xf numFmtId="0" fontId="14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left"/>
      <protection hidden="1"/>
    </xf>
    <xf numFmtId="0" fontId="13" fillId="0" borderId="6" xfId="0" applyFont="1" applyBorder="1" applyProtection="1">
      <protection hidden="1"/>
    </xf>
    <xf numFmtId="0" fontId="14" fillId="0" borderId="0" xfId="0" applyFont="1" applyAlignment="1" applyProtection="1">
      <alignment horizontal="left"/>
      <protection locked="0"/>
    </xf>
    <xf numFmtId="0" fontId="13" fillId="0" borderId="7" xfId="0" applyFont="1" applyBorder="1" applyProtection="1">
      <protection hidden="1"/>
    </xf>
    <xf numFmtId="0" fontId="18" fillId="0" borderId="0" xfId="0" applyFont="1" applyProtection="1">
      <protection hidden="1"/>
    </xf>
    <xf numFmtId="0" fontId="13" fillId="0" borderId="5" xfId="0" applyFont="1" applyBorder="1" applyProtection="1">
      <protection hidden="1"/>
    </xf>
    <xf numFmtId="0" fontId="13" fillId="0" borderId="4" xfId="0" applyFont="1" applyBorder="1" applyProtection="1">
      <protection hidden="1"/>
    </xf>
    <xf numFmtId="0" fontId="17" fillId="0" borderId="4" xfId="0" applyFont="1" applyBorder="1" applyProtection="1">
      <protection hidden="1"/>
    </xf>
    <xf numFmtId="14" fontId="21" fillId="0" borderId="0" xfId="0" applyNumberFormat="1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right"/>
      <protection hidden="1"/>
    </xf>
    <xf numFmtId="0" fontId="17" fillId="0" borderId="0" xfId="0" applyFont="1" applyAlignment="1" applyProtection="1">
      <alignment horizontal="righ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/>
      <protection hidden="1"/>
    </xf>
    <xf numFmtId="14" fontId="14" fillId="0" borderId="0" xfId="0" applyNumberFormat="1" applyFont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center" vertical="center"/>
      <protection hidden="1"/>
    </xf>
    <xf numFmtId="0" fontId="16" fillId="0" borderId="9" xfId="0" applyFont="1" applyBorder="1" applyAlignment="1" applyProtection="1">
      <alignment horizontal="center" vertical="center"/>
      <protection hidden="1"/>
    </xf>
    <xf numFmtId="0" fontId="18" fillId="0" borderId="9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 wrapText="1"/>
      <protection locked="0"/>
    </xf>
    <xf numFmtId="0" fontId="22" fillId="0" borderId="2" xfId="0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/>
      <protection hidden="1"/>
    </xf>
    <xf numFmtId="0" fontId="23" fillId="0" borderId="2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vertic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22" fillId="0" borderId="7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locked="0"/>
    </xf>
    <xf numFmtId="14" fontId="21" fillId="0" borderId="7" xfId="0" applyNumberFormat="1" applyFont="1" applyBorder="1" applyAlignment="1" applyProtection="1">
      <alignment horizontal="center" vertical="center"/>
      <protection locked="0"/>
    </xf>
    <xf numFmtId="14" fontId="21" fillId="0" borderId="0" xfId="0" applyNumberFormat="1" applyFont="1" applyAlignment="1" applyProtection="1">
      <alignment horizontal="center" vertical="center"/>
      <protection locked="0"/>
    </xf>
    <xf numFmtId="14" fontId="21" fillId="0" borderId="6" xfId="0" applyNumberFormat="1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6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6" xfId="0" applyFont="1" applyBorder="1" applyAlignment="1" applyProtection="1">
      <alignment horizontal="center" vertical="center" wrapText="1"/>
      <protection hidden="1"/>
    </xf>
    <xf numFmtId="0" fontId="22" fillId="0" borderId="7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2" fillId="0" borderId="5" xfId="0" applyFont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center" vertical="center"/>
      <protection hidden="1"/>
    </xf>
    <xf numFmtId="0" fontId="13" fillId="0" borderId="5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21" fillId="0" borderId="30" xfId="0" applyFont="1" applyBorder="1" applyAlignment="1">
      <alignment horizontal="center"/>
    </xf>
  </cellXfs>
  <cellStyles count="3">
    <cellStyle name="Monétaire" xfId="1" builtinId="4"/>
    <cellStyle name="Normal" xfId="0" builtinId="0"/>
    <cellStyle name="Normal 2" xfId="2" xr:uid="{E8A827DE-101C-4ECC-AAAD-69B3E952A61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FA06CD0-1336-452A-BD58-A68FC257D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4DCDA4E-A6C3-4B63-91AA-121055258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1E40043-792B-4559-B73C-68BD955E1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D70812E-57B0-4C52-80DF-C32DA2537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1984F275-5928-4B20-8812-EB1121A2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1" y="11010900"/>
          <a:ext cx="1773555" cy="69680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6D70144-0681-45F1-9D5C-652956077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38AC2E12-0B0D-4E58-A94C-84CEF7AF0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1" y="11010900"/>
          <a:ext cx="1773555" cy="69680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5232D42-FA88-4D8A-977F-5499EF88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3321CAD8-3324-4968-B061-8CD69EE21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1" y="11010900"/>
          <a:ext cx="1773555" cy="69680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72D8349-E1EB-4B13-83BE-27E55507F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82F293FA-BFFC-45E4-B1EC-700C9D3C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1" y="11010900"/>
          <a:ext cx="1773555" cy="69680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DEB273B-F914-4CE3-832E-7CDE1CC5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5FF88688-C842-402E-B3B9-870D86338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1" y="11010900"/>
          <a:ext cx="1773555" cy="69680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E0A478C-7CEB-49A8-825C-1174F9B2B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EE14DA13-3B3D-4910-9D02-8CE39EFA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1" y="11010900"/>
          <a:ext cx="1773555" cy="69680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367CC8A-BFE5-4F62-98D9-D54A6A579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537D62FA-F584-475E-9FDF-4466C4601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1" y="11010900"/>
          <a:ext cx="1773555" cy="69680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06EC935-5F37-45D3-969B-24639D239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2E93E42E-9171-49FC-9E7A-1134C3E5A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1" y="11010900"/>
          <a:ext cx="1773555" cy="69680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06D1775-7A9B-4C62-8BFD-D1F4DE863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AB194FF8-F6E1-445A-948B-C8E226854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1" y="11010900"/>
          <a:ext cx="1773555" cy="69680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E29B691-0797-4EA0-B168-397551C06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190500</xdr:colOff>
      <xdr:row>64</xdr:row>
      <xdr:rowOff>85726</xdr:rowOff>
    </xdr:from>
    <xdr:ext cx="1649730" cy="648415"/>
    <xdr:pic>
      <xdr:nvPicPr>
        <xdr:cNvPr id="3" name="Image 2">
          <a:extLst>
            <a:ext uri="{FF2B5EF4-FFF2-40B4-BE49-F238E27FC236}">
              <a16:creationId xmlns:a16="http://schemas.microsoft.com/office/drawing/2014/main" id="{4074BA68-C998-4DDB-B7FB-6C7E3A1FC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0" y="11060431"/>
          <a:ext cx="1649730" cy="64841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28C342C-75A8-4A2C-AAE6-41CB91298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53342</xdr:rowOff>
    </xdr:from>
    <xdr:ext cx="1739265" cy="685201"/>
    <xdr:pic>
      <xdr:nvPicPr>
        <xdr:cNvPr id="3" name="Image 2">
          <a:extLst>
            <a:ext uri="{FF2B5EF4-FFF2-40B4-BE49-F238E27FC236}">
              <a16:creationId xmlns:a16="http://schemas.microsoft.com/office/drawing/2014/main" id="{9E1C39DD-16B8-457F-8BBD-D6A52E100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9952"/>
          <a:ext cx="1739265" cy="685201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B1E4B23-B25B-47A3-806C-3BD323CE2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140970</xdr:colOff>
      <xdr:row>64</xdr:row>
      <xdr:rowOff>64770</xdr:rowOff>
    </xdr:from>
    <xdr:ext cx="1677766" cy="672464"/>
    <xdr:pic>
      <xdr:nvPicPr>
        <xdr:cNvPr id="3" name="Image 2">
          <a:extLst>
            <a:ext uri="{FF2B5EF4-FFF2-40B4-BE49-F238E27FC236}">
              <a16:creationId xmlns:a16="http://schemas.microsoft.com/office/drawing/2014/main" id="{9A1D6BD1-368A-40E6-8129-FA548F59E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0065" y="11035665"/>
          <a:ext cx="1677766" cy="672464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353916E-A93D-4DD7-B269-0F8AA15EF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137160</xdr:colOff>
      <xdr:row>64</xdr:row>
      <xdr:rowOff>38100</xdr:rowOff>
    </xdr:from>
    <xdr:ext cx="1688973" cy="655320"/>
    <xdr:pic>
      <xdr:nvPicPr>
        <xdr:cNvPr id="3" name="Image 2">
          <a:extLst>
            <a:ext uri="{FF2B5EF4-FFF2-40B4-BE49-F238E27FC236}">
              <a16:creationId xmlns:a16="http://schemas.microsoft.com/office/drawing/2014/main" id="{EE0AD53B-96B7-4E44-8B07-BBB60FD91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10900"/>
          <a:ext cx="1688973" cy="65532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EF204BA-2D1B-4E81-AAEB-0D3479931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993B549-4869-42F2-B84F-72A3C84FE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137160</xdr:colOff>
      <xdr:row>64</xdr:row>
      <xdr:rowOff>38100</xdr:rowOff>
    </xdr:from>
    <xdr:to>
      <xdr:col>25</xdr:col>
      <xdr:colOff>64008</xdr:colOff>
      <xdr:row>67</xdr:row>
      <xdr:rowOff>106680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442AD65-AC7A-4F92-8188-A1E7832B6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560" y="13921740"/>
          <a:ext cx="1679448" cy="6629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2696899-ACAA-4B14-BB5C-C577B7E63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137160</xdr:colOff>
      <xdr:row>64</xdr:row>
      <xdr:rowOff>38100</xdr:rowOff>
    </xdr:from>
    <xdr:to>
      <xdr:col>25</xdr:col>
      <xdr:colOff>64008</xdr:colOff>
      <xdr:row>67</xdr:row>
      <xdr:rowOff>106680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786A93F-2F76-487E-9CF7-FDDA33645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560" y="13921740"/>
          <a:ext cx="1679448" cy="66294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137160</xdr:colOff>
      <xdr:row>64</xdr:row>
      <xdr:rowOff>38100</xdr:rowOff>
    </xdr:from>
    <xdr:to>
      <xdr:col>25</xdr:col>
      <xdr:colOff>64008</xdr:colOff>
      <xdr:row>67</xdr:row>
      <xdr:rowOff>106680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98F5410-3CEF-B7C4-6612-E7C332D8B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560" y="13921740"/>
          <a:ext cx="1679448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0E70-1FC9-451D-BB83-8E983A93AC14}">
  <sheetPr>
    <pageSetUpPr fitToPage="1"/>
  </sheetPr>
  <dimension ref="A1:AA76"/>
  <sheetViews>
    <sheetView tabSelected="1" topLeftCell="A51" workbookViewId="0">
      <selection activeCell="A65" sqref="A65:Q68"/>
    </sheetView>
  </sheetViews>
  <sheetFormatPr baseColWidth="10" defaultColWidth="11.44140625" defaultRowHeight="12.75" customHeight="1" x14ac:dyDescent="0.25"/>
  <cols>
    <col min="1" max="1" width="5.109375" style="468" customWidth="1"/>
    <col min="2" max="26" width="5.109375" style="467" customWidth="1"/>
    <col min="27" max="27" width="11.44140625" style="467"/>
  </cols>
  <sheetData>
    <row r="1" spans="1:26" ht="12.75" customHeight="1" x14ac:dyDescent="0.25">
      <c r="A1" s="666"/>
      <c r="B1" s="665"/>
      <c r="C1" s="665"/>
      <c r="D1" s="665"/>
      <c r="E1" s="665"/>
      <c r="F1" s="664"/>
      <c r="G1" s="663" t="s">
        <v>0</v>
      </c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1"/>
      <c r="U1" s="660" t="s">
        <v>114</v>
      </c>
      <c r="V1" s="659"/>
      <c r="W1" s="659"/>
      <c r="X1" s="659"/>
      <c r="Y1" s="659"/>
      <c r="Z1" s="658"/>
    </row>
    <row r="2" spans="1:26" ht="12.75" customHeight="1" x14ac:dyDescent="0.25">
      <c r="A2" s="654"/>
      <c r="B2" s="653"/>
      <c r="C2" s="653"/>
      <c r="D2" s="653"/>
      <c r="E2" s="653"/>
      <c r="F2" s="652"/>
      <c r="G2" s="657" t="s">
        <v>57</v>
      </c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655"/>
      <c r="U2" s="641"/>
      <c r="V2" s="640"/>
      <c r="W2" s="640"/>
      <c r="X2" s="640"/>
      <c r="Y2" s="640"/>
      <c r="Z2" s="639"/>
    </row>
    <row r="3" spans="1:26" ht="12.75" customHeight="1" x14ac:dyDescent="0.25">
      <c r="A3" s="654"/>
      <c r="B3" s="653"/>
      <c r="C3" s="653"/>
      <c r="D3" s="653"/>
      <c r="E3" s="653"/>
      <c r="F3" s="652"/>
      <c r="G3" s="657"/>
      <c r="H3" s="656"/>
      <c r="I3" s="656"/>
      <c r="J3" s="656"/>
      <c r="K3" s="656"/>
      <c r="L3" s="656"/>
      <c r="M3" s="656"/>
      <c r="N3" s="656"/>
      <c r="O3" s="656"/>
      <c r="P3" s="656"/>
      <c r="Q3" s="656"/>
      <c r="R3" s="656"/>
      <c r="S3" s="656"/>
      <c r="T3" s="655"/>
      <c r="U3" s="641"/>
      <c r="V3" s="640"/>
      <c r="W3" s="640"/>
      <c r="X3" s="640"/>
      <c r="Y3" s="640"/>
      <c r="Z3" s="639"/>
    </row>
    <row r="4" spans="1:26" ht="12.75" customHeight="1" x14ac:dyDescent="0.25">
      <c r="A4" s="654"/>
      <c r="B4" s="653"/>
      <c r="C4" s="653"/>
      <c r="D4" s="653"/>
      <c r="E4" s="653"/>
      <c r="F4" s="652"/>
      <c r="G4" s="657"/>
      <c r="H4" s="656"/>
      <c r="I4" s="656"/>
      <c r="J4" s="656"/>
      <c r="K4" s="656"/>
      <c r="L4" s="656"/>
      <c r="M4" s="656"/>
      <c r="N4" s="656"/>
      <c r="O4" s="656"/>
      <c r="P4" s="656"/>
      <c r="Q4" s="656"/>
      <c r="R4" s="656"/>
      <c r="S4" s="656"/>
      <c r="T4" s="655"/>
      <c r="U4" s="641"/>
      <c r="V4" s="640"/>
      <c r="W4" s="640"/>
      <c r="X4" s="640"/>
      <c r="Y4" s="640"/>
      <c r="Z4" s="639"/>
    </row>
    <row r="5" spans="1:26" ht="12.75" customHeight="1" x14ac:dyDescent="0.25">
      <c r="A5" s="654"/>
      <c r="B5" s="653"/>
      <c r="C5" s="653"/>
      <c r="D5" s="653"/>
      <c r="E5" s="653"/>
      <c r="F5" s="652"/>
      <c r="G5" s="651" t="s">
        <v>56</v>
      </c>
      <c r="H5" s="650"/>
      <c r="I5" s="649">
        <v>19</v>
      </c>
      <c r="J5" s="649"/>
      <c r="K5" s="648"/>
      <c r="L5" s="647" t="s">
        <v>66</v>
      </c>
      <c r="M5" s="646"/>
      <c r="N5" s="646"/>
      <c r="O5" s="645"/>
      <c r="P5" s="644" t="s">
        <v>111</v>
      </c>
      <c r="Q5" s="643"/>
      <c r="R5" s="643"/>
      <c r="S5" s="643"/>
      <c r="T5" s="642"/>
      <c r="U5" s="641"/>
      <c r="V5" s="640"/>
      <c r="W5" s="640"/>
      <c r="X5" s="640"/>
      <c r="Y5" s="640"/>
      <c r="Z5" s="639"/>
    </row>
    <row r="6" spans="1:26" ht="12.75" customHeight="1" x14ac:dyDescent="0.25">
      <c r="A6" s="638"/>
      <c r="B6" s="637"/>
      <c r="C6" s="637"/>
      <c r="D6" s="637"/>
      <c r="E6" s="637"/>
      <c r="F6" s="636"/>
      <c r="G6" s="635"/>
      <c r="H6" s="534"/>
      <c r="I6" s="634" t="s">
        <v>4</v>
      </c>
      <c r="J6" s="634"/>
      <c r="K6" s="634"/>
      <c r="L6" s="634" t="s">
        <v>5</v>
      </c>
      <c r="M6" s="634"/>
      <c r="N6" s="634"/>
      <c r="O6" s="634"/>
      <c r="P6" s="634" t="s">
        <v>6</v>
      </c>
      <c r="Q6" s="634"/>
      <c r="R6" s="634"/>
      <c r="S6" s="634"/>
      <c r="T6" s="633"/>
      <c r="U6" s="632"/>
      <c r="V6" s="631"/>
      <c r="W6" s="631"/>
      <c r="X6" s="631"/>
      <c r="Y6" s="631"/>
      <c r="Z6" s="630"/>
    </row>
    <row r="7" spans="1:26" ht="36.6" customHeight="1" x14ac:dyDescent="0.25">
      <c r="A7" s="629" t="s">
        <v>7</v>
      </c>
      <c r="B7" s="629"/>
      <c r="C7" s="629"/>
      <c r="D7" s="629"/>
      <c r="E7" s="629"/>
      <c r="F7" s="629"/>
      <c r="G7" s="628" t="s">
        <v>65</v>
      </c>
      <c r="H7" s="628"/>
      <c r="I7" s="628"/>
      <c r="J7" s="628"/>
      <c r="K7" s="628"/>
      <c r="L7" s="628"/>
      <c r="M7" s="628"/>
      <c r="N7" s="628"/>
      <c r="O7" s="628"/>
      <c r="P7" s="628"/>
      <c r="Q7" s="628"/>
      <c r="R7" s="628"/>
      <c r="S7" s="628"/>
      <c r="T7" s="628"/>
      <c r="U7" s="628"/>
      <c r="V7" s="628"/>
      <c r="W7" s="628"/>
      <c r="X7" s="628"/>
      <c r="Y7" s="628"/>
      <c r="Z7" s="628"/>
    </row>
    <row r="8" spans="1:26" ht="15.9" customHeight="1" x14ac:dyDescent="0.25">
      <c r="A8" s="601" t="s">
        <v>9</v>
      </c>
      <c r="B8" s="529" t="s">
        <v>10</v>
      </c>
      <c r="C8" s="526"/>
      <c r="D8" s="627"/>
      <c r="E8" s="627"/>
      <c r="F8" s="627"/>
      <c r="G8" s="627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95"/>
    </row>
    <row r="9" spans="1:26" ht="8.25" customHeight="1" x14ac:dyDescent="0.25">
      <c r="A9" s="548"/>
      <c r="D9" s="468"/>
      <c r="E9" s="468"/>
      <c r="F9" s="468"/>
      <c r="G9" s="468"/>
      <c r="Z9" s="537"/>
    </row>
    <row r="10" spans="1:26" ht="15.9" customHeight="1" x14ac:dyDescent="0.25">
      <c r="A10" s="548"/>
      <c r="B10" s="625" t="s">
        <v>11</v>
      </c>
      <c r="C10" s="625"/>
      <c r="D10" s="625"/>
      <c r="E10" s="625"/>
      <c r="F10" s="625"/>
      <c r="G10" s="625"/>
      <c r="H10" s="626" t="s">
        <v>113</v>
      </c>
      <c r="I10" s="626"/>
      <c r="J10" s="626"/>
      <c r="K10" s="626"/>
      <c r="L10" s="626"/>
      <c r="M10" s="626"/>
      <c r="N10" s="625" t="s">
        <v>13</v>
      </c>
      <c r="O10" s="625"/>
      <c r="P10" s="625"/>
      <c r="Q10" s="625"/>
      <c r="R10" s="625"/>
      <c r="S10" s="624" t="s">
        <v>112</v>
      </c>
      <c r="T10" s="624"/>
      <c r="U10" s="624"/>
      <c r="V10" s="624"/>
      <c r="W10" s="624"/>
      <c r="X10" s="624"/>
      <c r="Y10" s="624"/>
      <c r="Z10" s="623"/>
    </row>
    <row r="11" spans="1:26" ht="15.9" customHeight="1" x14ac:dyDescent="0.25">
      <c r="A11" s="548"/>
      <c r="B11" s="625" t="s">
        <v>15</v>
      </c>
      <c r="C11" s="625"/>
      <c r="D11" s="625"/>
      <c r="E11" s="625"/>
      <c r="F11" s="625"/>
      <c r="G11" s="625"/>
      <c r="H11" s="626" t="s">
        <v>111</v>
      </c>
      <c r="I11" s="626"/>
      <c r="J11" s="626"/>
      <c r="K11" s="626"/>
      <c r="L11" s="626"/>
      <c r="M11" s="626"/>
      <c r="N11" s="625" t="s">
        <v>16</v>
      </c>
      <c r="O11" s="625"/>
      <c r="P11" s="625"/>
      <c r="Q11" s="625"/>
      <c r="R11" s="625"/>
      <c r="S11" s="624" t="s">
        <v>62</v>
      </c>
      <c r="T11" s="624"/>
      <c r="U11" s="624"/>
      <c r="V11" s="624"/>
      <c r="W11" s="624"/>
      <c r="X11" s="624"/>
      <c r="Y11" s="624"/>
      <c r="Z11" s="623"/>
    </row>
    <row r="12" spans="1:26" ht="15.9" customHeight="1" x14ac:dyDescent="0.25">
      <c r="A12" s="548"/>
      <c r="B12" s="625" t="s">
        <v>18</v>
      </c>
      <c r="C12" s="625"/>
      <c r="D12" s="625"/>
      <c r="E12" s="625"/>
      <c r="F12" s="625"/>
      <c r="G12" s="625"/>
      <c r="H12" s="626" t="s">
        <v>121</v>
      </c>
      <c r="I12" s="626"/>
      <c r="J12" s="626"/>
      <c r="K12" s="626"/>
      <c r="L12" s="626"/>
      <c r="M12" s="626"/>
      <c r="N12" s="625" t="s">
        <v>20</v>
      </c>
      <c r="O12" s="625"/>
      <c r="P12" s="625"/>
      <c r="Q12" s="625"/>
      <c r="R12" s="625"/>
      <c r="S12" s="624" t="s">
        <v>77</v>
      </c>
      <c r="T12" s="624"/>
      <c r="U12" s="624"/>
      <c r="V12" s="624"/>
      <c r="W12" s="624"/>
      <c r="X12" s="624"/>
      <c r="Y12" s="624"/>
      <c r="Z12" s="623"/>
    </row>
    <row r="13" spans="1:26" ht="8.25" customHeight="1" x14ac:dyDescent="0.25">
      <c r="A13" s="622"/>
      <c r="B13" s="534"/>
      <c r="C13" s="534"/>
      <c r="D13" s="621"/>
      <c r="E13" s="621"/>
      <c r="F13" s="621"/>
      <c r="G13" s="621"/>
      <c r="H13" s="534"/>
      <c r="I13" s="534"/>
      <c r="J13" s="534"/>
      <c r="K13" s="534"/>
      <c r="L13" s="534"/>
      <c r="M13" s="534"/>
      <c r="N13" s="620"/>
      <c r="O13" s="534"/>
      <c r="P13" s="534"/>
      <c r="Q13" s="534"/>
      <c r="R13" s="534"/>
      <c r="S13" s="534"/>
      <c r="T13" s="534"/>
      <c r="U13" s="534"/>
      <c r="V13" s="534"/>
      <c r="W13" s="534"/>
      <c r="X13" s="534"/>
      <c r="Y13" s="534"/>
      <c r="Z13" s="533"/>
    </row>
    <row r="14" spans="1:26" s="469" customFormat="1" ht="15" customHeight="1" x14ac:dyDescent="0.25">
      <c r="B14" s="618"/>
      <c r="C14" s="618"/>
      <c r="K14" s="619"/>
      <c r="L14" s="618"/>
      <c r="M14" s="617"/>
    </row>
    <row r="15" spans="1:26" s="469" customFormat="1" ht="15.6" customHeight="1" x14ac:dyDescent="0.25">
      <c r="A15" s="601" t="s">
        <v>22</v>
      </c>
      <c r="B15" s="616" t="s">
        <v>23</v>
      </c>
      <c r="C15" s="615"/>
      <c r="D15" s="615"/>
      <c r="E15" s="615"/>
      <c r="F15" s="615"/>
      <c r="G15" s="615"/>
      <c r="H15" s="615"/>
      <c r="I15" s="615"/>
      <c r="J15" s="615"/>
      <c r="K15" s="615"/>
      <c r="L15" s="615"/>
      <c r="M15" s="615"/>
      <c r="N15" s="615"/>
      <c r="O15" s="615"/>
      <c r="P15" s="615"/>
      <c r="Q15" s="615"/>
      <c r="R15" s="615"/>
      <c r="S15" s="615"/>
      <c r="T15" s="615"/>
      <c r="U15" s="615"/>
      <c r="V15" s="615"/>
      <c r="W15" s="615"/>
      <c r="X15" s="615"/>
      <c r="Y15" s="615"/>
      <c r="Z15" s="614"/>
    </row>
    <row r="16" spans="1:26" s="469" customFormat="1" ht="15" customHeight="1" x14ac:dyDescent="0.25">
      <c r="A16" s="610"/>
      <c r="B16" s="613"/>
      <c r="Z16" s="612"/>
    </row>
    <row r="17" spans="1:26" s="469" customFormat="1" ht="15" customHeight="1" x14ac:dyDescent="0.25">
      <c r="A17" s="610"/>
      <c r="B17" s="609" t="s">
        <v>24</v>
      </c>
      <c r="C17" s="609"/>
      <c r="D17" s="609"/>
      <c r="E17" s="609"/>
      <c r="F17" s="609"/>
      <c r="G17" s="609"/>
      <c r="H17" s="609"/>
      <c r="I17" s="611"/>
      <c r="J17" s="611"/>
      <c r="K17" s="611"/>
      <c r="L17" s="611"/>
      <c r="M17" s="611"/>
      <c r="N17" s="611"/>
      <c r="O17" s="611"/>
      <c r="P17" s="611"/>
      <c r="Q17" s="611"/>
      <c r="R17" s="611"/>
      <c r="S17" s="611"/>
      <c r="T17" s="611"/>
      <c r="U17" s="611"/>
      <c r="V17" s="611"/>
      <c r="W17" s="611"/>
      <c r="X17" s="611"/>
      <c r="Y17" s="611"/>
      <c r="Z17" s="606"/>
    </row>
    <row r="18" spans="1:26" s="469" customFormat="1" ht="15" customHeight="1" x14ac:dyDescent="0.25">
      <c r="A18" s="610"/>
      <c r="B18" s="609" t="s">
        <v>25</v>
      </c>
      <c r="C18" s="609"/>
      <c r="D18" s="609"/>
      <c r="E18" s="609"/>
      <c r="F18" s="609"/>
      <c r="G18" s="609"/>
      <c r="H18" s="609"/>
      <c r="I18" s="608" t="s">
        <v>26</v>
      </c>
      <c r="J18" s="608"/>
      <c r="K18" s="607">
        <v>50</v>
      </c>
      <c r="L18" s="607" t="s">
        <v>27</v>
      </c>
      <c r="M18" s="607"/>
      <c r="N18" s="607"/>
      <c r="O18" s="607"/>
      <c r="P18" s="607"/>
      <c r="Q18" s="607"/>
      <c r="R18" s="607"/>
      <c r="S18" s="607"/>
      <c r="T18" s="607"/>
      <c r="U18" s="607"/>
      <c r="V18" s="607"/>
      <c r="W18" s="607"/>
      <c r="X18" s="607"/>
      <c r="Y18" s="607"/>
      <c r="Z18" s="606"/>
    </row>
    <row r="19" spans="1:26" s="469" customFormat="1" ht="13.2" customHeight="1" x14ac:dyDescent="0.25">
      <c r="A19" s="605"/>
      <c r="B19" s="604"/>
      <c r="C19" s="604"/>
      <c r="D19" s="604"/>
      <c r="E19" s="604"/>
      <c r="F19" s="604"/>
      <c r="G19" s="604"/>
      <c r="H19" s="604"/>
      <c r="I19" s="604"/>
      <c r="J19" s="604"/>
      <c r="K19" s="604"/>
      <c r="L19" s="604"/>
      <c r="M19" s="604"/>
      <c r="N19" s="604"/>
      <c r="O19" s="604"/>
      <c r="P19" s="604"/>
      <c r="Q19" s="604"/>
      <c r="R19" s="604"/>
      <c r="S19" s="604"/>
      <c r="T19" s="604"/>
      <c r="U19" s="604"/>
      <c r="V19" s="604"/>
      <c r="W19" s="604"/>
      <c r="X19" s="604"/>
      <c r="Y19" s="604"/>
      <c r="Z19" s="603"/>
    </row>
    <row r="20" spans="1:26" ht="12.75" customHeight="1" x14ac:dyDescent="0.25">
      <c r="D20" s="468"/>
      <c r="E20" s="468"/>
      <c r="F20" s="468"/>
      <c r="G20" s="468"/>
      <c r="N20" s="602"/>
    </row>
    <row r="21" spans="1:26" ht="15.9" customHeight="1" x14ac:dyDescent="0.25">
      <c r="A21" s="601" t="s">
        <v>28</v>
      </c>
      <c r="B21" s="600" t="s">
        <v>29</v>
      </c>
      <c r="C21" s="598"/>
      <c r="D21" s="599"/>
      <c r="E21" s="599"/>
      <c r="F21" s="599"/>
      <c r="G21" s="599"/>
      <c r="H21" s="598"/>
      <c r="I21" s="598"/>
      <c r="J21" s="597" t="s">
        <v>30</v>
      </c>
      <c r="K21" s="597"/>
      <c r="L21" s="597"/>
      <c r="M21" s="597"/>
      <c r="N21" s="597"/>
      <c r="O21" s="597"/>
      <c r="P21" s="597"/>
      <c r="Q21" s="596">
        <v>600</v>
      </c>
      <c r="R21" s="526"/>
      <c r="S21" s="526"/>
      <c r="T21" s="526"/>
      <c r="U21" s="526"/>
      <c r="V21" s="526"/>
      <c r="W21" s="526"/>
      <c r="X21" s="526"/>
      <c r="Y21" s="526"/>
      <c r="Z21" s="595"/>
    </row>
    <row r="22" spans="1:26" ht="12.75" customHeight="1" x14ac:dyDescent="0.25">
      <c r="A22" s="548"/>
      <c r="B22" s="594"/>
      <c r="Z22" s="537"/>
    </row>
    <row r="23" spans="1:26" ht="15.75" customHeight="1" x14ac:dyDescent="0.25">
      <c r="A23" s="548"/>
      <c r="B23" s="593" t="s">
        <v>31</v>
      </c>
      <c r="C23" s="589" t="s">
        <v>32</v>
      </c>
      <c r="D23" s="589"/>
      <c r="E23" s="589"/>
      <c r="F23" s="589"/>
      <c r="G23" s="588"/>
      <c r="H23" s="592" t="s">
        <v>34</v>
      </c>
      <c r="I23" s="591"/>
      <c r="J23" s="590"/>
      <c r="K23" s="589" t="s">
        <v>36</v>
      </c>
      <c r="L23" s="589"/>
      <c r="M23" s="589"/>
      <c r="N23" s="589"/>
      <c r="O23" s="589"/>
      <c r="P23" s="588"/>
      <c r="Z23" s="537"/>
    </row>
    <row r="24" spans="1:26" ht="15.75" customHeight="1" x14ac:dyDescent="0.25">
      <c r="A24" s="548"/>
      <c r="B24" s="587"/>
      <c r="C24" s="583"/>
      <c r="D24" s="583"/>
      <c r="E24" s="583"/>
      <c r="F24" s="583"/>
      <c r="G24" s="582"/>
      <c r="H24" s="586" t="s">
        <v>37</v>
      </c>
      <c r="I24" s="585"/>
      <c r="J24" s="584"/>
      <c r="K24" s="583"/>
      <c r="L24" s="583"/>
      <c r="M24" s="583"/>
      <c r="N24" s="583"/>
      <c r="O24" s="583"/>
      <c r="P24" s="582"/>
      <c r="Z24" s="537"/>
    </row>
    <row r="25" spans="1:26" ht="19.5" customHeight="1" x14ac:dyDescent="0.25">
      <c r="A25" s="548"/>
      <c r="B25" s="581">
        <v>1</v>
      </c>
      <c r="C25" s="577" t="s">
        <v>119</v>
      </c>
      <c r="D25" s="576"/>
      <c r="E25" s="576"/>
      <c r="F25" s="576"/>
      <c r="G25" s="575"/>
      <c r="H25" s="580">
        <v>28</v>
      </c>
      <c r="I25" s="579"/>
      <c r="J25" s="578"/>
      <c r="K25" s="577"/>
      <c r="L25" s="576"/>
      <c r="M25" s="576"/>
      <c r="N25" s="576"/>
      <c r="O25" s="576"/>
      <c r="P25" s="575"/>
      <c r="Z25" s="537"/>
    </row>
    <row r="26" spans="1:26" ht="19.5" customHeight="1" x14ac:dyDescent="0.25">
      <c r="A26" s="548"/>
      <c r="B26" s="581">
        <v>2</v>
      </c>
      <c r="C26" s="577" t="s">
        <v>117</v>
      </c>
      <c r="D26" s="576"/>
      <c r="E26" s="576"/>
      <c r="F26" s="576"/>
      <c r="G26" s="575"/>
      <c r="H26" s="580">
        <v>25</v>
      </c>
      <c r="I26" s="579"/>
      <c r="J26" s="578"/>
      <c r="K26" s="577"/>
      <c r="L26" s="576"/>
      <c r="M26" s="576"/>
      <c r="N26" s="576"/>
      <c r="O26" s="576"/>
      <c r="P26" s="575"/>
      <c r="Z26" s="537"/>
    </row>
    <row r="27" spans="1:26" ht="19.5" customHeight="1" x14ac:dyDescent="0.25">
      <c r="A27" s="548"/>
      <c r="B27" s="581">
        <v>3</v>
      </c>
      <c r="C27" s="577" t="s">
        <v>115</v>
      </c>
      <c r="D27" s="576"/>
      <c r="E27" s="576"/>
      <c r="F27" s="576"/>
      <c r="G27" s="575"/>
      <c r="H27" s="580" t="s">
        <v>85</v>
      </c>
      <c r="I27" s="579"/>
      <c r="J27" s="578"/>
      <c r="K27" s="577"/>
      <c r="L27" s="576"/>
      <c r="M27" s="576"/>
      <c r="N27" s="576"/>
      <c r="O27" s="576"/>
      <c r="P27" s="575"/>
      <c r="Z27" s="537"/>
    </row>
    <row r="28" spans="1:26" ht="19.5" customHeight="1" x14ac:dyDescent="0.25">
      <c r="A28" s="548"/>
      <c r="B28" s="581">
        <v>4</v>
      </c>
      <c r="C28" s="577" t="s">
        <v>117</v>
      </c>
      <c r="D28" s="576"/>
      <c r="E28" s="576"/>
      <c r="F28" s="576"/>
      <c r="G28" s="575"/>
      <c r="H28" s="580">
        <v>21</v>
      </c>
      <c r="I28" s="579"/>
      <c r="J28" s="578"/>
      <c r="K28" s="577"/>
      <c r="L28" s="576"/>
      <c r="M28" s="576"/>
      <c r="N28" s="576"/>
      <c r="O28" s="576"/>
      <c r="P28" s="575"/>
      <c r="Z28" s="537"/>
    </row>
    <row r="29" spans="1:26" ht="19.5" customHeight="1" x14ac:dyDescent="0.25">
      <c r="A29" s="548"/>
      <c r="B29" s="581">
        <v>5</v>
      </c>
      <c r="C29" s="577" t="s">
        <v>115</v>
      </c>
      <c r="D29" s="576"/>
      <c r="E29" s="576"/>
      <c r="F29" s="576"/>
      <c r="G29" s="575"/>
      <c r="H29" s="580">
        <v>58</v>
      </c>
      <c r="I29" s="579"/>
      <c r="J29" s="578"/>
      <c r="K29" s="577"/>
      <c r="L29" s="576"/>
      <c r="M29" s="576"/>
      <c r="N29" s="576"/>
      <c r="O29" s="576"/>
      <c r="P29" s="575"/>
      <c r="Z29" s="537"/>
    </row>
    <row r="30" spans="1:26" ht="19.5" customHeight="1" x14ac:dyDescent="0.25">
      <c r="A30" s="548"/>
      <c r="B30" s="581">
        <v>6</v>
      </c>
      <c r="C30" s="577" t="s">
        <v>117</v>
      </c>
      <c r="D30" s="576"/>
      <c r="E30" s="576"/>
      <c r="F30" s="576"/>
      <c r="G30" s="575"/>
      <c r="H30" s="580">
        <v>71</v>
      </c>
      <c r="I30" s="579"/>
      <c r="J30" s="578"/>
      <c r="K30" s="577"/>
      <c r="L30" s="576"/>
      <c r="M30" s="576"/>
      <c r="N30" s="576"/>
      <c r="O30" s="576"/>
      <c r="P30" s="575"/>
      <c r="Z30" s="537"/>
    </row>
    <row r="31" spans="1:26" ht="19.5" customHeight="1" x14ac:dyDescent="0.25">
      <c r="A31" s="548"/>
      <c r="B31" s="581">
        <v>7</v>
      </c>
      <c r="C31" s="577" t="s">
        <v>115</v>
      </c>
      <c r="D31" s="576"/>
      <c r="E31" s="576"/>
      <c r="F31" s="576"/>
      <c r="G31" s="575"/>
      <c r="H31" s="580">
        <v>31</v>
      </c>
      <c r="I31" s="579"/>
      <c r="J31" s="578"/>
      <c r="K31" s="577"/>
      <c r="L31" s="576"/>
      <c r="M31" s="576"/>
      <c r="N31" s="576"/>
      <c r="O31" s="576"/>
      <c r="P31" s="575"/>
      <c r="Z31" s="537"/>
    </row>
    <row r="32" spans="1:26" ht="19.5" customHeight="1" x14ac:dyDescent="0.25">
      <c r="A32" s="548"/>
      <c r="B32" s="581">
        <v>8</v>
      </c>
      <c r="C32" s="577" t="s">
        <v>117</v>
      </c>
      <c r="D32" s="576"/>
      <c r="E32" s="576"/>
      <c r="F32" s="576"/>
      <c r="G32" s="575"/>
      <c r="H32" s="580">
        <v>38</v>
      </c>
      <c r="I32" s="579"/>
      <c r="J32" s="578"/>
      <c r="K32" s="577"/>
      <c r="L32" s="576"/>
      <c r="M32" s="576"/>
      <c r="N32" s="576"/>
      <c r="O32" s="576"/>
      <c r="P32" s="575"/>
      <c r="Z32" s="537"/>
    </row>
    <row r="33" spans="1:26" ht="19.5" customHeight="1" x14ac:dyDescent="0.25">
      <c r="A33" s="548"/>
      <c r="B33" s="581">
        <v>9</v>
      </c>
      <c r="C33" s="577" t="s">
        <v>117</v>
      </c>
      <c r="D33" s="576"/>
      <c r="E33" s="576"/>
      <c r="F33" s="576"/>
      <c r="G33" s="575"/>
      <c r="H33" s="580">
        <v>123</v>
      </c>
      <c r="I33" s="579"/>
      <c r="J33" s="578"/>
      <c r="K33" s="577"/>
      <c r="L33" s="576"/>
      <c r="M33" s="576"/>
      <c r="N33" s="576"/>
      <c r="O33" s="576"/>
      <c r="P33" s="575"/>
      <c r="Z33" s="537"/>
    </row>
    <row r="34" spans="1:26" ht="19.5" customHeight="1" x14ac:dyDescent="0.25">
      <c r="A34" s="548"/>
      <c r="B34" s="581">
        <v>10</v>
      </c>
      <c r="C34" s="577" t="s">
        <v>115</v>
      </c>
      <c r="D34" s="576"/>
      <c r="E34" s="576"/>
      <c r="F34" s="576"/>
      <c r="G34" s="575"/>
      <c r="H34" s="580">
        <v>123</v>
      </c>
      <c r="I34" s="579"/>
      <c r="J34" s="578"/>
      <c r="K34" s="577"/>
      <c r="L34" s="576"/>
      <c r="M34" s="576"/>
      <c r="N34" s="576"/>
      <c r="O34" s="576"/>
      <c r="P34" s="575"/>
      <c r="Z34" s="537"/>
    </row>
    <row r="35" spans="1:26" ht="19.5" customHeight="1" x14ac:dyDescent="0.25">
      <c r="A35" s="548"/>
      <c r="B35" s="581">
        <v>11</v>
      </c>
      <c r="C35" s="577" t="s">
        <v>117</v>
      </c>
      <c r="D35" s="576"/>
      <c r="E35" s="576"/>
      <c r="F35" s="576"/>
      <c r="G35" s="575"/>
      <c r="H35" s="580">
        <v>111</v>
      </c>
      <c r="I35" s="579"/>
      <c r="J35" s="578"/>
      <c r="K35" s="577"/>
      <c r="L35" s="576"/>
      <c r="M35" s="576"/>
      <c r="N35" s="576"/>
      <c r="O35" s="576"/>
      <c r="P35" s="575"/>
      <c r="Z35" s="537"/>
    </row>
    <row r="36" spans="1:26" ht="19.5" customHeight="1" x14ac:dyDescent="0.25">
      <c r="A36" s="548"/>
      <c r="B36" s="581">
        <v>12</v>
      </c>
      <c r="C36" s="577" t="s">
        <v>115</v>
      </c>
      <c r="D36" s="576"/>
      <c r="E36" s="576"/>
      <c r="F36" s="576"/>
      <c r="G36" s="575"/>
      <c r="H36" s="580">
        <v>144</v>
      </c>
      <c r="I36" s="579"/>
      <c r="J36" s="578"/>
      <c r="K36" s="577"/>
      <c r="L36" s="576"/>
      <c r="M36" s="576"/>
      <c r="N36" s="576"/>
      <c r="O36" s="576"/>
      <c r="P36" s="575"/>
      <c r="Z36" s="537"/>
    </row>
    <row r="37" spans="1:26" ht="19.5" customHeight="1" x14ac:dyDescent="0.25">
      <c r="A37" s="548"/>
      <c r="B37" s="581">
        <v>13</v>
      </c>
      <c r="C37" s="577" t="s">
        <v>115</v>
      </c>
      <c r="D37" s="576"/>
      <c r="E37" s="576"/>
      <c r="F37" s="576"/>
      <c r="G37" s="575"/>
      <c r="H37" s="580">
        <v>159</v>
      </c>
      <c r="I37" s="579"/>
      <c r="J37" s="578"/>
      <c r="K37" s="577"/>
      <c r="L37" s="576"/>
      <c r="M37" s="576"/>
      <c r="N37" s="576"/>
      <c r="O37" s="576"/>
      <c r="P37" s="575"/>
      <c r="Z37" s="537"/>
    </row>
    <row r="38" spans="1:26" ht="19.5" customHeight="1" x14ac:dyDescent="0.25">
      <c r="A38" s="548"/>
      <c r="B38" s="581">
        <v>14</v>
      </c>
      <c r="C38" s="577" t="s">
        <v>119</v>
      </c>
      <c r="D38" s="576"/>
      <c r="E38" s="576"/>
      <c r="F38" s="576"/>
      <c r="G38" s="575"/>
      <c r="H38" s="580">
        <v>71</v>
      </c>
      <c r="I38" s="579"/>
      <c r="J38" s="578"/>
      <c r="K38" s="577"/>
      <c r="L38" s="576"/>
      <c r="M38" s="576"/>
      <c r="N38" s="576"/>
      <c r="O38" s="576"/>
      <c r="P38" s="575"/>
      <c r="Z38" s="537"/>
    </row>
    <row r="39" spans="1:26" ht="19.5" customHeight="1" x14ac:dyDescent="0.25">
      <c r="A39" s="548"/>
      <c r="B39" s="581">
        <v>15</v>
      </c>
      <c r="C39" s="577" t="s">
        <v>117</v>
      </c>
      <c r="D39" s="576"/>
      <c r="E39" s="576"/>
      <c r="F39" s="576"/>
      <c r="G39" s="575"/>
      <c r="H39" s="580">
        <v>121</v>
      </c>
      <c r="I39" s="579"/>
      <c r="J39" s="578"/>
      <c r="K39" s="577"/>
      <c r="L39" s="576"/>
      <c r="M39" s="576"/>
      <c r="N39" s="576"/>
      <c r="O39" s="576"/>
      <c r="P39" s="575"/>
      <c r="Z39" s="537"/>
    </row>
    <row r="40" spans="1:26" ht="19.5" customHeight="1" x14ac:dyDescent="0.25">
      <c r="A40" s="548"/>
      <c r="B40" s="581">
        <v>16</v>
      </c>
      <c r="C40" s="577" t="s">
        <v>119</v>
      </c>
      <c r="D40" s="576"/>
      <c r="E40" s="576"/>
      <c r="F40" s="576"/>
      <c r="G40" s="575"/>
      <c r="H40" s="580">
        <v>93</v>
      </c>
      <c r="I40" s="579"/>
      <c r="J40" s="578"/>
      <c r="K40" s="577"/>
      <c r="L40" s="576"/>
      <c r="M40" s="576"/>
      <c r="N40" s="576"/>
      <c r="O40" s="576"/>
      <c r="P40" s="575"/>
      <c r="Z40" s="537"/>
    </row>
    <row r="41" spans="1:26" ht="19.5" customHeight="1" x14ac:dyDescent="0.25">
      <c r="A41" s="548"/>
      <c r="B41" s="581">
        <v>17</v>
      </c>
      <c r="C41" s="577" t="s">
        <v>117</v>
      </c>
      <c r="D41" s="576"/>
      <c r="E41" s="576"/>
      <c r="F41" s="576"/>
      <c r="G41" s="575"/>
      <c r="H41" s="580">
        <v>134</v>
      </c>
      <c r="I41" s="579"/>
      <c r="J41" s="578"/>
      <c r="K41" s="577"/>
      <c r="L41" s="576"/>
      <c r="M41" s="576"/>
      <c r="N41" s="576"/>
      <c r="O41" s="576"/>
      <c r="P41" s="575"/>
      <c r="Z41" s="537"/>
    </row>
    <row r="42" spans="1:26" ht="19.5" customHeight="1" x14ac:dyDescent="0.25">
      <c r="A42" s="548"/>
      <c r="B42" s="581">
        <v>18</v>
      </c>
      <c r="C42" s="577" t="s">
        <v>119</v>
      </c>
      <c r="D42" s="576"/>
      <c r="E42" s="576"/>
      <c r="F42" s="576"/>
      <c r="G42" s="575"/>
      <c r="H42" s="580">
        <v>103</v>
      </c>
      <c r="I42" s="579"/>
      <c r="J42" s="578"/>
      <c r="K42" s="577"/>
      <c r="L42" s="576"/>
      <c r="M42" s="576"/>
      <c r="N42" s="576"/>
      <c r="O42" s="576"/>
      <c r="P42" s="575"/>
      <c r="Z42" s="537"/>
    </row>
    <row r="43" spans="1:26" ht="19.5" customHeight="1" x14ac:dyDescent="0.25">
      <c r="A43" s="548"/>
      <c r="B43" s="581">
        <v>19</v>
      </c>
      <c r="C43" s="577" t="s">
        <v>115</v>
      </c>
      <c r="D43" s="576"/>
      <c r="E43" s="576"/>
      <c r="F43" s="576"/>
      <c r="G43" s="575"/>
      <c r="H43" s="580">
        <v>121</v>
      </c>
      <c r="I43" s="579"/>
      <c r="J43" s="578"/>
      <c r="K43" s="577"/>
      <c r="L43" s="576"/>
      <c r="M43" s="576"/>
      <c r="N43" s="576"/>
      <c r="O43" s="576"/>
      <c r="P43" s="575"/>
      <c r="Z43" s="537"/>
    </row>
    <row r="44" spans="1:26" ht="19.5" customHeight="1" x14ac:dyDescent="0.25">
      <c r="A44" s="548"/>
      <c r="B44" s="581">
        <v>20</v>
      </c>
      <c r="C44" s="577" t="s">
        <v>115</v>
      </c>
      <c r="D44" s="576"/>
      <c r="E44" s="576"/>
      <c r="F44" s="576"/>
      <c r="G44" s="575"/>
      <c r="H44" s="580">
        <v>101</v>
      </c>
      <c r="I44" s="579"/>
      <c r="J44" s="578"/>
      <c r="K44" s="577"/>
      <c r="L44" s="576"/>
      <c r="M44" s="576"/>
      <c r="N44" s="576"/>
      <c r="O44" s="576"/>
      <c r="P44" s="575"/>
      <c r="Z44" s="537"/>
    </row>
    <row r="45" spans="1:26" ht="19.5" customHeight="1" x14ac:dyDescent="0.25">
      <c r="A45" s="548"/>
      <c r="B45" s="581">
        <v>21</v>
      </c>
      <c r="C45" s="577" t="s">
        <v>115</v>
      </c>
      <c r="D45" s="576"/>
      <c r="E45" s="576"/>
      <c r="F45" s="576"/>
      <c r="G45" s="575"/>
      <c r="H45" s="580">
        <v>137</v>
      </c>
      <c r="I45" s="579"/>
      <c r="J45" s="578"/>
      <c r="K45" s="577"/>
      <c r="L45" s="576"/>
      <c r="M45" s="576"/>
      <c r="N45" s="576"/>
      <c r="O45" s="576"/>
      <c r="P45" s="575"/>
      <c r="Z45" s="537"/>
    </row>
    <row r="46" spans="1:26" ht="19.5" customHeight="1" x14ac:dyDescent="0.25">
      <c r="A46" s="548"/>
      <c r="B46" s="581">
        <v>22</v>
      </c>
      <c r="C46" s="577" t="s">
        <v>115</v>
      </c>
      <c r="D46" s="576"/>
      <c r="E46" s="576"/>
      <c r="F46" s="576"/>
      <c r="G46" s="575"/>
      <c r="H46" s="580">
        <v>145</v>
      </c>
      <c r="I46" s="579"/>
      <c r="J46" s="578"/>
      <c r="K46" s="577"/>
      <c r="L46" s="576"/>
      <c r="M46" s="576"/>
      <c r="N46" s="576"/>
      <c r="O46" s="576"/>
      <c r="P46" s="575"/>
      <c r="Z46" s="537"/>
    </row>
    <row r="47" spans="1:26" ht="19.5" customHeight="1" x14ac:dyDescent="0.25">
      <c r="A47" s="548"/>
      <c r="B47" s="581">
        <v>23</v>
      </c>
      <c r="C47" s="577" t="s">
        <v>119</v>
      </c>
      <c r="D47" s="576"/>
      <c r="E47" s="576"/>
      <c r="F47" s="576"/>
      <c r="G47" s="575"/>
      <c r="H47" s="580">
        <v>116</v>
      </c>
      <c r="I47" s="579"/>
      <c r="J47" s="578"/>
      <c r="K47" s="577"/>
      <c r="L47" s="576"/>
      <c r="M47" s="576"/>
      <c r="N47" s="576"/>
      <c r="O47" s="576"/>
      <c r="P47" s="575"/>
      <c r="Z47" s="537"/>
    </row>
    <row r="48" spans="1:26" ht="19.5" customHeight="1" x14ac:dyDescent="0.25">
      <c r="A48" s="548"/>
      <c r="B48" s="581">
        <v>24</v>
      </c>
      <c r="C48" s="577" t="s">
        <v>117</v>
      </c>
      <c r="D48" s="576"/>
      <c r="E48" s="576"/>
      <c r="F48" s="576"/>
      <c r="G48" s="575"/>
      <c r="H48" s="580">
        <v>128</v>
      </c>
      <c r="I48" s="579"/>
      <c r="J48" s="578"/>
      <c r="K48" s="577"/>
      <c r="L48" s="576"/>
      <c r="M48" s="576"/>
      <c r="N48" s="576"/>
      <c r="O48" s="576"/>
      <c r="P48" s="575"/>
      <c r="Z48" s="537"/>
    </row>
    <row r="49" spans="1:26" ht="19.5" customHeight="1" x14ac:dyDescent="0.25">
      <c r="A49" s="548"/>
      <c r="B49" s="581">
        <v>25</v>
      </c>
      <c r="C49" s="577" t="s">
        <v>119</v>
      </c>
      <c r="D49" s="576"/>
      <c r="E49" s="576"/>
      <c r="F49" s="576"/>
      <c r="G49" s="575"/>
      <c r="H49" s="580">
        <v>129</v>
      </c>
      <c r="I49" s="579"/>
      <c r="J49" s="578"/>
      <c r="K49" s="577"/>
      <c r="L49" s="576"/>
      <c r="M49" s="576"/>
      <c r="N49" s="576"/>
      <c r="O49" s="576"/>
      <c r="P49" s="575"/>
      <c r="Z49" s="537"/>
    </row>
    <row r="50" spans="1:26" ht="19.5" customHeight="1" x14ac:dyDescent="0.25">
      <c r="A50" s="548"/>
      <c r="B50" s="581">
        <v>26</v>
      </c>
      <c r="C50" s="577" t="s">
        <v>117</v>
      </c>
      <c r="D50" s="576"/>
      <c r="E50" s="576"/>
      <c r="F50" s="576"/>
      <c r="G50" s="575"/>
      <c r="H50" s="580">
        <v>111</v>
      </c>
      <c r="I50" s="579"/>
      <c r="J50" s="578"/>
      <c r="K50" s="577"/>
      <c r="L50" s="576"/>
      <c r="M50" s="576"/>
      <c r="N50" s="576"/>
      <c r="O50" s="576"/>
      <c r="P50" s="575"/>
      <c r="Z50" s="537"/>
    </row>
    <row r="51" spans="1:26" ht="19.5" customHeight="1" x14ac:dyDescent="0.25">
      <c r="A51" s="548"/>
      <c r="B51" s="581">
        <v>27</v>
      </c>
      <c r="C51" s="577" t="s">
        <v>115</v>
      </c>
      <c r="D51" s="576"/>
      <c r="E51" s="576"/>
      <c r="F51" s="576"/>
      <c r="G51" s="575"/>
      <c r="H51" s="580">
        <v>125</v>
      </c>
      <c r="I51" s="579"/>
      <c r="J51" s="578"/>
      <c r="K51" s="577"/>
      <c r="L51" s="576"/>
      <c r="M51" s="576"/>
      <c r="N51" s="576"/>
      <c r="O51" s="576"/>
      <c r="P51" s="575"/>
      <c r="Z51" s="537"/>
    </row>
    <row r="52" spans="1:26" ht="19.5" customHeight="1" x14ac:dyDescent="0.25">
      <c r="A52" s="548"/>
      <c r="B52" s="581">
        <v>28</v>
      </c>
      <c r="C52" s="577" t="s">
        <v>117</v>
      </c>
      <c r="D52" s="576"/>
      <c r="E52" s="576"/>
      <c r="F52" s="576"/>
      <c r="G52" s="575"/>
      <c r="H52" s="580">
        <v>150</v>
      </c>
      <c r="I52" s="579"/>
      <c r="J52" s="578"/>
      <c r="K52" s="577"/>
      <c r="L52" s="576"/>
      <c r="M52" s="576"/>
      <c r="N52" s="576"/>
      <c r="O52" s="576"/>
      <c r="P52" s="575"/>
      <c r="Z52" s="537"/>
    </row>
    <row r="53" spans="1:26" ht="19.5" customHeight="1" x14ac:dyDescent="0.25">
      <c r="A53" s="548"/>
      <c r="B53" s="581">
        <v>29</v>
      </c>
      <c r="C53" s="577" t="s">
        <v>119</v>
      </c>
      <c r="D53" s="576"/>
      <c r="E53" s="576"/>
      <c r="F53" s="576"/>
      <c r="G53" s="575"/>
      <c r="H53" s="580">
        <v>81</v>
      </c>
      <c r="I53" s="579"/>
      <c r="J53" s="578"/>
      <c r="K53" s="577"/>
      <c r="L53" s="576"/>
      <c r="M53" s="576"/>
      <c r="N53" s="576"/>
      <c r="O53" s="576"/>
      <c r="P53" s="575"/>
      <c r="Z53" s="537"/>
    </row>
    <row r="54" spans="1:26" ht="19.5" customHeight="1" thickBot="1" x14ac:dyDescent="0.3">
      <c r="A54" s="548"/>
      <c r="B54" s="574"/>
      <c r="C54" s="569"/>
      <c r="D54" s="569"/>
      <c r="E54" s="569"/>
      <c r="F54" s="569"/>
      <c r="G54" s="568"/>
      <c r="H54" s="573"/>
      <c r="I54" s="572"/>
      <c r="J54" s="571"/>
      <c r="K54" s="570"/>
      <c r="L54" s="569"/>
      <c r="M54" s="569"/>
      <c r="N54" s="569"/>
      <c r="O54" s="569"/>
      <c r="P54" s="568"/>
      <c r="Z54" s="537"/>
    </row>
    <row r="55" spans="1:26" ht="15.75" customHeight="1" x14ac:dyDescent="0.25">
      <c r="A55" s="548"/>
      <c r="B55" s="567" t="s">
        <v>38</v>
      </c>
      <c r="C55" s="566"/>
      <c r="D55" s="566"/>
      <c r="E55" s="566"/>
      <c r="F55" s="566"/>
      <c r="G55" s="565"/>
      <c r="H55" s="564">
        <f>AVERAGE(H25:J54)</f>
        <v>99.928571428571431</v>
      </c>
      <c r="I55" s="563"/>
      <c r="J55" s="562"/>
      <c r="K55" s="561">
        <v>79.31</v>
      </c>
      <c r="L55" s="560"/>
      <c r="M55" s="559" t="s">
        <v>39</v>
      </c>
      <c r="N55" s="559"/>
      <c r="O55" s="559"/>
      <c r="P55" s="558"/>
      <c r="Z55" s="537"/>
    </row>
    <row r="56" spans="1:26" ht="15.75" customHeight="1" x14ac:dyDescent="0.25">
      <c r="A56" s="548"/>
      <c r="B56" s="557" t="s">
        <v>40</v>
      </c>
      <c r="C56" s="556"/>
      <c r="D56" s="556"/>
      <c r="E56" s="556"/>
      <c r="F56" s="556"/>
      <c r="G56" s="555"/>
      <c r="H56" s="554" t="str">
        <f>IF(COUNTIF(H25:J54,"*&lt;20*"),"&lt;20",MIN(H25:J54))</f>
        <v>&lt;20</v>
      </c>
      <c r="I56" s="553"/>
      <c r="J56" s="552"/>
      <c r="K56" s="551"/>
      <c r="L56" s="550"/>
      <c r="M56" s="483"/>
      <c r="N56" s="483"/>
      <c r="O56" s="483"/>
      <c r="P56" s="549"/>
      <c r="Z56" s="537"/>
    </row>
    <row r="57" spans="1:26" ht="15.75" customHeight="1" thickBot="1" x14ac:dyDescent="0.3">
      <c r="A57" s="548"/>
      <c r="B57" s="547" t="s">
        <v>41</v>
      </c>
      <c r="C57" s="546"/>
      <c r="D57" s="546"/>
      <c r="E57" s="546"/>
      <c r="F57" s="546"/>
      <c r="G57" s="545"/>
      <c r="H57" s="544">
        <f>IF(COUNTIF(H25:J54,"*&gt;250*"),"&gt;250",MAX(H25:J54))</f>
        <v>159</v>
      </c>
      <c r="I57" s="543"/>
      <c r="J57" s="542"/>
      <c r="K57" s="541"/>
      <c r="L57" s="540"/>
      <c r="M57" s="539"/>
      <c r="N57" s="539"/>
      <c r="O57" s="539"/>
      <c r="P57" s="538"/>
      <c r="Z57" s="537"/>
    </row>
    <row r="58" spans="1:26" ht="15.9" customHeight="1" x14ac:dyDescent="0.25">
      <c r="A58" s="536"/>
      <c r="B58" s="535"/>
      <c r="C58" s="534"/>
      <c r="D58" s="534"/>
      <c r="E58" s="534"/>
      <c r="F58" s="534"/>
      <c r="G58" s="534"/>
      <c r="H58" s="534"/>
      <c r="I58" s="534"/>
      <c r="J58" s="534"/>
      <c r="K58" s="534"/>
      <c r="L58" s="534"/>
      <c r="M58" s="534"/>
      <c r="N58" s="534"/>
      <c r="O58" s="534"/>
      <c r="P58" s="534"/>
      <c r="Q58" s="534"/>
      <c r="R58" s="534"/>
      <c r="S58" s="534"/>
      <c r="T58" s="534"/>
      <c r="U58" s="534"/>
      <c r="V58" s="534"/>
      <c r="W58" s="534"/>
      <c r="X58" s="534"/>
      <c r="Y58" s="534"/>
      <c r="Z58" s="533"/>
    </row>
    <row r="59" spans="1:26" ht="12.75" customHeight="1" x14ac:dyDescent="0.25">
      <c r="A59" s="532"/>
      <c r="B59" s="531"/>
    </row>
    <row r="60" spans="1:26" s="469" customFormat="1" ht="15.6" customHeight="1" x14ac:dyDescent="0.25">
      <c r="A60" s="530" t="s">
        <v>42</v>
      </c>
      <c r="B60" s="529" t="s">
        <v>43</v>
      </c>
      <c r="C60" s="528"/>
      <c r="D60" s="528"/>
      <c r="E60" s="528"/>
      <c r="F60" s="527"/>
      <c r="G60" s="527"/>
      <c r="H60" s="527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5"/>
      <c r="V60" s="524"/>
      <c r="W60" s="524"/>
      <c r="X60" s="523"/>
      <c r="Y60" s="523"/>
      <c r="Z60" s="522"/>
    </row>
    <row r="61" spans="1:26" s="469" customFormat="1" ht="28.5" customHeight="1" x14ac:dyDescent="0.25">
      <c r="A61" s="521" t="s">
        <v>44</v>
      </c>
      <c r="B61" s="520"/>
      <c r="C61" s="520"/>
      <c r="D61" s="520"/>
      <c r="E61" s="520"/>
      <c r="F61" s="520"/>
      <c r="G61" s="520"/>
      <c r="H61" s="520"/>
      <c r="I61" s="520"/>
      <c r="J61" s="520"/>
      <c r="K61" s="520"/>
      <c r="L61" s="520"/>
      <c r="M61" s="520"/>
      <c r="N61" s="520"/>
      <c r="O61" s="520"/>
      <c r="P61" s="520"/>
      <c r="Q61" s="519"/>
      <c r="R61" s="487" t="s">
        <v>45</v>
      </c>
      <c r="S61" s="486"/>
      <c r="T61" s="485"/>
      <c r="U61" s="518" t="s">
        <v>109</v>
      </c>
      <c r="V61" s="517"/>
      <c r="W61" s="517"/>
      <c r="X61" s="516"/>
      <c r="Y61" s="516"/>
      <c r="Z61" s="515"/>
    </row>
    <row r="62" spans="1:26" s="469" customFormat="1" ht="15.6" customHeight="1" x14ac:dyDescent="0.25">
      <c r="A62" s="514" t="s">
        <v>105</v>
      </c>
      <c r="B62" s="513"/>
      <c r="C62" s="513"/>
      <c r="D62" s="513"/>
      <c r="E62" s="513"/>
      <c r="F62" s="513"/>
      <c r="G62" s="513"/>
      <c r="H62" s="513"/>
      <c r="I62" s="513"/>
      <c r="J62" s="513"/>
      <c r="K62" s="513"/>
      <c r="L62" s="513"/>
      <c r="M62" s="513"/>
      <c r="N62" s="513"/>
      <c r="O62" s="513"/>
      <c r="P62" s="513"/>
      <c r="Q62" s="512"/>
      <c r="R62" s="487" t="s">
        <v>47</v>
      </c>
      <c r="S62" s="486"/>
      <c r="T62" s="485"/>
      <c r="U62" s="511" t="s">
        <v>108</v>
      </c>
      <c r="V62" s="510"/>
      <c r="W62" s="510"/>
      <c r="X62" s="509"/>
      <c r="Y62" s="509"/>
      <c r="Z62" s="508"/>
    </row>
    <row r="63" spans="1:26" s="469" customFormat="1" ht="15.6" customHeight="1" x14ac:dyDescent="0.25">
      <c r="A63" s="507"/>
      <c r="B63" s="506"/>
      <c r="C63" s="506"/>
      <c r="D63" s="506"/>
      <c r="E63" s="506"/>
      <c r="F63" s="506"/>
      <c r="G63" s="506"/>
      <c r="H63" s="506"/>
      <c r="I63" s="506"/>
      <c r="J63" s="506"/>
      <c r="K63" s="506"/>
      <c r="L63" s="506"/>
      <c r="M63" s="506"/>
      <c r="N63" s="506"/>
      <c r="O63" s="506"/>
      <c r="P63" s="506"/>
      <c r="Q63" s="505"/>
      <c r="R63" s="487"/>
      <c r="S63" s="486"/>
      <c r="T63" s="485"/>
      <c r="U63" s="504"/>
      <c r="V63" s="483"/>
      <c r="W63" s="483"/>
      <c r="X63" s="503"/>
      <c r="Y63" s="503"/>
      <c r="Z63" s="502"/>
    </row>
    <row r="64" spans="1:26" s="469" customFormat="1" ht="15.6" customHeight="1" x14ac:dyDescent="0.25">
      <c r="A64" s="501" t="s">
        <v>48</v>
      </c>
      <c r="B64" s="500" t="s">
        <v>49</v>
      </c>
      <c r="C64" s="467"/>
      <c r="D64" s="467"/>
      <c r="E64" s="499"/>
      <c r="F64" s="499"/>
      <c r="G64" s="499"/>
      <c r="H64" s="499"/>
      <c r="I64" s="499"/>
      <c r="J64" s="499"/>
      <c r="K64" s="499"/>
      <c r="L64" s="499"/>
      <c r="M64" s="499"/>
      <c r="N64" s="499"/>
      <c r="O64" s="499"/>
      <c r="P64" s="499"/>
      <c r="Q64" s="498"/>
      <c r="R64" s="487"/>
      <c r="S64" s="486"/>
      <c r="T64" s="485"/>
      <c r="U64" s="497"/>
      <c r="V64" s="496"/>
      <c r="W64" s="496"/>
      <c r="X64" s="495"/>
      <c r="Y64" s="495"/>
      <c r="Z64" s="494"/>
    </row>
    <row r="65" spans="1:26" s="469" customFormat="1" ht="15.6" customHeight="1" x14ac:dyDescent="0.25">
      <c r="A65" s="490"/>
      <c r="B65" s="489"/>
      <c r="C65" s="489"/>
      <c r="D65" s="489"/>
      <c r="E65" s="489"/>
      <c r="F65" s="489"/>
      <c r="G65" s="489"/>
      <c r="H65" s="489"/>
      <c r="I65" s="489"/>
      <c r="J65" s="489"/>
      <c r="K65" s="489"/>
      <c r="L65" s="489"/>
      <c r="M65" s="489"/>
      <c r="N65" s="489"/>
      <c r="O65" s="489"/>
      <c r="P65" s="489"/>
      <c r="Q65" s="488"/>
      <c r="R65" s="487" t="s">
        <v>50</v>
      </c>
      <c r="S65" s="486"/>
      <c r="T65" s="485"/>
      <c r="U65" s="493"/>
      <c r="V65" s="492"/>
      <c r="W65" s="492"/>
      <c r="X65" s="492"/>
      <c r="Y65" s="492"/>
      <c r="Z65" s="491"/>
    </row>
    <row r="66" spans="1:26" s="469" customFormat="1" ht="15.6" customHeight="1" x14ac:dyDescent="0.25">
      <c r="A66" s="490"/>
      <c r="B66" s="489"/>
      <c r="C66" s="489"/>
      <c r="D66" s="489"/>
      <c r="E66" s="489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8"/>
      <c r="R66" s="487"/>
      <c r="S66" s="486"/>
      <c r="T66" s="485"/>
      <c r="U66" s="484"/>
      <c r="V66" s="483"/>
      <c r="W66" s="483"/>
      <c r="X66" s="483"/>
      <c r="Y66" s="483"/>
      <c r="Z66" s="482"/>
    </row>
    <row r="67" spans="1:26" s="469" customFormat="1" ht="15.6" customHeight="1" x14ac:dyDescent="0.25">
      <c r="A67" s="490"/>
      <c r="B67" s="489"/>
      <c r="C67" s="489"/>
      <c r="D67" s="489"/>
      <c r="E67" s="489"/>
      <c r="F67" s="489"/>
      <c r="G67" s="489"/>
      <c r="H67" s="489"/>
      <c r="I67" s="489"/>
      <c r="J67" s="489"/>
      <c r="K67" s="489"/>
      <c r="L67" s="489"/>
      <c r="M67" s="489"/>
      <c r="N67" s="489"/>
      <c r="O67" s="489"/>
      <c r="P67" s="489"/>
      <c r="Q67" s="488"/>
      <c r="R67" s="487"/>
      <c r="S67" s="486"/>
      <c r="T67" s="485"/>
      <c r="U67" s="484"/>
      <c r="V67" s="483"/>
      <c r="W67" s="483"/>
      <c r="X67" s="483"/>
      <c r="Y67" s="483"/>
      <c r="Z67" s="482"/>
    </row>
    <row r="68" spans="1:26" s="469" customFormat="1" ht="15.6" customHeight="1" x14ac:dyDescent="0.25">
      <c r="A68" s="481"/>
      <c r="B68" s="480"/>
      <c r="C68" s="480"/>
      <c r="D68" s="480"/>
      <c r="E68" s="480"/>
      <c r="F68" s="480"/>
      <c r="G68" s="480"/>
      <c r="H68" s="480"/>
      <c r="I68" s="480"/>
      <c r="J68" s="480"/>
      <c r="K68" s="480"/>
      <c r="L68" s="480"/>
      <c r="M68" s="480"/>
      <c r="N68" s="480"/>
      <c r="O68" s="480"/>
      <c r="P68" s="480"/>
      <c r="Q68" s="479"/>
      <c r="R68" s="478"/>
      <c r="S68" s="477"/>
      <c r="T68" s="476"/>
      <c r="U68" s="475"/>
      <c r="V68" s="474"/>
      <c r="W68" s="474"/>
      <c r="X68" s="474"/>
      <c r="Y68" s="474"/>
      <c r="Z68" s="473"/>
    </row>
    <row r="69" spans="1:26" s="469" customFormat="1" ht="15" customHeight="1" x14ac:dyDescent="0.25">
      <c r="A69" s="472"/>
      <c r="B69" s="472"/>
      <c r="C69" s="472"/>
      <c r="D69" s="472"/>
      <c r="E69" s="472"/>
      <c r="F69" s="472"/>
      <c r="G69" s="472"/>
      <c r="H69" s="472"/>
      <c r="I69" s="472"/>
      <c r="J69" s="472"/>
      <c r="K69" s="472"/>
      <c r="L69" s="472"/>
      <c r="M69" s="472"/>
      <c r="N69" s="472"/>
      <c r="O69" s="472"/>
      <c r="P69" s="472"/>
      <c r="Q69" s="472"/>
      <c r="R69" s="471"/>
      <c r="S69" s="471"/>
      <c r="T69" s="471"/>
      <c r="U69" s="470"/>
      <c r="V69" s="470"/>
      <c r="W69" s="470"/>
      <c r="X69" s="470"/>
      <c r="Y69" s="470"/>
      <c r="Z69" s="470"/>
    </row>
    <row r="71" spans="1:26" ht="12.75" customHeight="1" x14ac:dyDescent="0.25">
      <c r="A71" s="467"/>
    </row>
    <row r="72" spans="1:26" ht="12.75" customHeight="1" x14ac:dyDescent="0.25">
      <c r="A72" s="467"/>
    </row>
    <row r="73" spans="1:26" ht="12.75" customHeight="1" x14ac:dyDescent="0.25">
      <c r="A73" s="467"/>
    </row>
    <row r="74" spans="1:26" ht="12.75" customHeight="1" x14ac:dyDescent="0.25">
      <c r="A74" s="467"/>
    </row>
    <row r="75" spans="1:26" ht="12.75" customHeight="1" x14ac:dyDescent="0.25">
      <c r="A75" s="467"/>
    </row>
    <row r="76" spans="1:26" ht="12.75" customHeight="1" x14ac:dyDescent="0.25">
      <c r="A76" s="467"/>
    </row>
  </sheetData>
  <sheetProtection formatCells="0" formatColumns="0" formatRows="0" insertColumns="0" insertRows="0" insertHyperlinks="0" deleteColumns="0" deleteRows="0" selectLockedCells="1" sort="0" autoFilter="0" pivotTables="0"/>
  <mergeCells count="142">
    <mergeCell ref="A65:Q68"/>
    <mergeCell ref="R65:T68"/>
    <mergeCell ref="V66:Y67"/>
    <mergeCell ref="A61:Q61"/>
    <mergeCell ref="R61:T61"/>
    <mergeCell ref="U61:Z61"/>
    <mergeCell ref="A62:Q63"/>
    <mergeCell ref="R62:T64"/>
    <mergeCell ref="U62:Z64"/>
    <mergeCell ref="B55:G55"/>
    <mergeCell ref="H55:J55"/>
    <mergeCell ref="K55:L57"/>
    <mergeCell ref="M55:P57"/>
    <mergeCell ref="B56:G56"/>
    <mergeCell ref="H56:J56"/>
    <mergeCell ref="B57:G57"/>
    <mergeCell ref="H57:J57"/>
    <mergeCell ref="C53:G53"/>
    <mergeCell ref="H53:J53"/>
    <mergeCell ref="K53:P53"/>
    <mergeCell ref="C54:G54"/>
    <mergeCell ref="H54:J54"/>
    <mergeCell ref="K54:P54"/>
    <mergeCell ref="C51:G51"/>
    <mergeCell ref="H51:J51"/>
    <mergeCell ref="K51:P51"/>
    <mergeCell ref="C52:G52"/>
    <mergeCell ref="H52:J52"/>
    <mergeCell ref="K52:P52"/>
    <mergeCell ref="C49:G49"/>
    <mergeCell ref="H49:J49"/>
    <mergeCell ref="K49:P49"/>
    <mergeCell ref="C50:G50"/>
    <mergeCell ref="H50:J50"/>
    <mergeCell ref="K50:P50"/>
    <mergeCell ref="C47:G47"/>
    <mergeCell ref="H47:J47"/>
    <mergeCell ref="K47:P47"/>
    <mergeCell ref="C48:G48"/>
    <mergeCell ref="H48:J48"/>
    <mergeCell ref="K48:P48"/>
    <mergeCell ref="C45:G45"/>
    <mergeCell ref="H45:J45"/>
    <mergeCell ref="K45:P45"/>
    <mergeCell ref="C46:G46"/>
    <mergeCell ref="H46:J46"/>
    <mergeCell ref="K46:P46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FF6D-80B6-4B5B-8EFF-E06EC43665DA}">
  <sheetPr>
    <pageSetUpPr fitToPage="1"/>
  </sheetPr>
  <dimension ref="A1:AA68"/>
  <sheetViews>
    <sheetView topLeftCell="A44" workbookViewId="0">
      <selection activeCell="K47" sqref="K47:L49"/>
    </sheetView>
  </sheetViews>
  <sheetFormatPr baseColWidth="10" defaultColWidth="11.44140625" defaultRowHeight="12.75" customHeight="1" x14ac:dyDescent="0.25"/>
  <cols>
    <col min="1" max="1" width="5.109375" style="468" customWidth="1"/>
    <col min="2" max="26" width="5.109375" style="467" customWidth="1"/>
    <col min="27" max="27" width="11.44140625" style="467"/>
  </cols>
  <sheetData>
    <row r="1" spans="1:26" ht="12.75" customHeight="1" x14ac:dyDescent="0.25">
      <c r="A1" s="666"/>
      <c r="B1" s="665"/>
      <c r="C1" s="665"/>
      <c r="D1" s="665"/>
      <c r="E1" s="665"/>
      <c r="F1" s="664"/>
      <c r="G1" s="663" t="s">
        <v>0</v>
      </c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1"/>
      <c r="U1" s="660" t="s">
        <v>114</v>
      </c>
      <c r="V1" s="659"/>
      <c r="W1" s="659"/>
      <c r="X1" s="659"/>
      <c r="Y1" s="659"/>
      <c r="Z1" s="658"/>
    </row>
    <row r="2" spans="1:26" ht="12.75" customHeight="1" x14ac:dyDescent="0.25">
      <c r="A2" s="654"/>
      <c r="B2" s="653"/>
      <c r="C2" s="653"/>
      <c r="D2" s="653"/>
      <c r="E2" s="653"/>
      <c r="F2" s="652"/>
      <c r="G2" s="657" t="s">
        <v>57</v>
      </c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655"/>
      <c r="U2" s="641"/>
      <c r="V2" s="640"/>
      <c r="W2" s="640"/>
      <c r="X2" s="640"/>
      <c r="Y2" s="640"/>
      <c r="Z2" s="639"/>
    </row>
    <row r="3" spans="1:26" ht="12.75" customHeight="1" x14ac:dyDescent="0.25">
      <c r="A3" s="654"/>
      <c r="B3" s="653"/>
      <c r="C3" s="653"/>
      <c r="D3" s="653"/>
      <c r="E3" s="653"/>
      <c r="F3" s="652"/>
      <c r="G3" s="657"/>
      <c r="H3" s="656"/>
      <c r="I3" s="656"/>
      <c r="J3" s="656"/>
      <c r="K3" s="656"/>
      <c r="L3" s="656"/>
      <c r="M3" s="656"/>
      <c r="N3" s="656"/>
      <c r="O3" s="656"/>
      <c r="P3" s="656"/>
      <c r="Q3" s="656"/>
      <c r="R3" s="656"/>
      <c r="S3" s="656"/>
      <c r="T3" s="655"/>
      <c r="U3" s="641"/>
      <c r="V3" s="640"/>
      <c r="W3" s="640"/>
      <c r="X3" s="640"/>
      <c r="Y3" s="640"/>
      <c r="Z3" s="639"/>
    </row>
    <row r="4" spans="1:26" ht="12.75" customHeight="1" x14ac:dyDescent="0.25">
      <c r="A4" s="654"/>
      <c r="B4" s="653"/>
      <c r="C4" s="653"/>
      <c r="D4" s="653"/>
      <c r="E4" s="653"/>
      <c r="F4" s="652"/>
      <c r="G4" s="657"/>
      <c r="H4" s="656"/>
      <c r="I4" s="656"/>
      <c r="J4" s="656"/>
      <c r="K4" s="656"/>
      <c r="L4" s="656"/>
      <c r="M4" s="656"/>
      <c r="N4" s="656"/>
      <c r="O4" s="656"/>
      <c r="P4" s="656"/>
      <c r="Q4" s="656"/>
      <c r="R4" s="656"/>
      <c r="S4" s="656"/>
      <c r="T4" s="655"/>
      <c r="U4" s="641"/>
      <c r="V4" s="640"/>
      <c r="W4" s="640"/>
      <c r="X4" s="640"/>
      <c r="Y4" s="640"/>
      <c r="Z4" s="639"/>
    </row>
    <row r="5" spans="1:26" ht="12.75" customHeight="1" x14ac:dyDescent="0.25">
      <c r="A5" s="654"/>
      <c r="B5" s="653"/>
      <c r="C5" s="653"/>
      <c r="D5" s="653"/>
      <c r="E5" s="653"/>
      <c r="F5" s="652"/>
      <c r="G5" s="651" t="s">
        <v>56</v>
      </c>
      <c r="H5" s="650"/>
      <c r="I5" s="649">
        <v>18</v>
      </c>
      <c r="J5" s="649"/>
      <c r="K5" s="648"/>
      <c r="L5" s="647" t="s">
        <v>66</v>
      </c>
      <c r="M5" s="646"/>
      <c r="N5" s="646"/>
      <c r="O5" s="645"/>
      <c r="P5" s="644" t="s">
        <v>111</v>
      </c>
      <c r="Q5" s="643"/>
      <c r="R5" s="643"/>
      <c r="S5" s="643"/>
      <c r="T5" s="642"/>
      <c r="U5" s="641"/>
      <c r="V5" s="640"/>
      <c r="W5" s="640"/>
      <c r="X5" s="640"/>
      <c r="Y5" s="640"/>
      <c r="Z5" s="639"/>
    </row>
    <row r="6" spans="1:26" ht="12.75" customHeight="1" x14ac:dyDescent="0.25">
      <c r="A6" s="638"/>
      <c r="B6" s="637"/>
      <c r="C6" s="637"/>
      <c r="D6" s="637"/>
      <c r="E6" s="637"/>
      <c r="F6" s="636"/>
      <c r="G6" s="635"/>
      <c r="H6" s="534"/>
      <c r="I6" s="634" t="s">
        <v>4</v>
      </c>
      <c r="J6" s="634"/>
      <c r="K6" s="634"/>
      <c r="L6" s="634" t="s">
        <v>5</v>
      </c>
      <c r="M6" s="634"/>
      <c r="N6" s="634"/>
      <c r="O6" s="634"/>
      <c r="P6" s="634" t="s">
        <v>6</v>
      </c>
      <c r="Q6" s="634"/>
      <c r="R6" s="634"/>
      <c r="S6" s="634"/>
      <c r="T6" s="633"/>
      <c r="U6" s="632"/>
      <c r="V6" s="631"/>
      <c r="W6" s="631"/>
      <c r="X6" s="631"/>
      <c r="Y6" s="631"/>
      <c r="Z6" s="630"/>
    </row>
    <row r="7" spans="1:26" ht="36.6" customHeight="1" x14ac:dyDescent="0.25">
      <c r="A7" s="629" t="s">
        <v>7</v>
      </c>
      <c r="B7" s="629"/>
      <c r="C7" s="629"/>
      <c r="D7" s="629"/>
      <c r="E7" s="629"/>
      <c r="F7" s="629"/>
      <c r="G7" s="628" t="s">
        <v>65</v>
      </c>
      <c r="H7" s="628"/>
      <c r="I7" s="628"/>
      <c r="J7" s="628"/>
      <c r="K7" s="628"/>
      <c r="L7" s="628"/>
      <c r="M7" s="628"/>
      <c r="N7" s="628"/>
      <c r="O7" s="628"/>
      <c r="P7" s="628"/>
      <c r="Q7" s="628"/>
      <c r="R7" s="628"/>
      <c r="S7" s="628"/>
      <c r="T7" s="628"/>
      <c r="U7" s="628"/>
      <c r="V7" s="628"/>
      <c r="W7" s="628"/>
      <c r="X7" s="628"/>
      <c r="Y7" s="628"/>
      <c r="Z7" s="628"/>
    </row>
    <row r="8" spans="1:26" ht="15.9" customHeight="1" x14ac:dyDescent="0.25">
      <c r="A8" s="601" t="s">
        <v>9</v>
      </c>
      <c r="B8" s="529" t="s">
        <v>10</v>
      </c>
      <c r="C8" s="526"/>
      <c r="D8" s="627"/>
      <c r="E8" s="627"/>
      <c r="F8" s="627"/>
      <c r="G8" s="627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95"/>
    </row>
    <row r="9" spans="1:26" ht="8.25" customHeight="1" x14ac:dyDescent="0.25">
      <c r="A9" s="548"/>
      <c r="D9" s="468"/>
      <c r="E9" s="468"/>
      <c r="F9" s="468"/>
      <c r="G9" s="468"/>
      <c r="Z9" s="537"/>
    </row>
    <row r="10" spans="1:26" ht="15.9" customHeight="1" x14ac:dyDescent="0.25">
      <c r="A10" s="548"/>
      <c r="B10" s="625" t="s">
        <v>11</v>
      </c>
      <c r="C10" s="625"/>
      <c r="D10" s="625"/>
      <c r="E10" s="625"/>
      <c r="F10" s="625"/>
      <c r="G10" s="625"/>
      <c r="H10" s="626" t="s">
        <v>113</v>
      </c>
      <c r="I10" s="626"/>
      <c r="J10" s="626"/>
      <c r="K10" s="626"/>
      <c r="L10" s="626"/>
      <c r="M10" s="626"/>
      <c r="N10" s="625" t="s">
        <v>13</v>
      </c>
      <c r="O10" s="625"/>
      <c r="P10" s="625"/>
      <c r="Q10" s="625"/>
      <c r="R10" s="625"/>
      <c r="S10" s="624" t="s">
        <v>112</v>
      </c>
      <c r="T10" s="624"/>
      <c r="U10" s="624"/>
      <c r="V10" s="624"/>
      <c r="W10" s="624"/>
      <c r="X10" s="624"/>
      <c r="Y10" s="624"/>
      <c r="Z10" s="623"/>
    </row>
    <row r="11" spans="1:26" ht="15.9" customHeight="1" x14ac:dyDescent="0.25">
      <c r="A11" s="548"/>
      <c r="B11" s="625" t="s">
        <v>15</v>
      </c>
      <c r="C11" s="625"/>
      <c r="D11" s="625"/>
      <c r="E11" s="625"/>
      <c r="F11" s="625"/>
      <c r="G11" s="625"/>
      <c r="H11" s="626" t="s">
        <v>111</v>
      </c>
      <c r="I11" s="626"/>
      <c r="J11" s="626"/>
      <c r="K11" s="626"/>
      <c r="L11" s="626"/>
      <c r="M11" s="626"/>
      <c r="N11" s="625" t="s">
        <v>16</v>
      </c>
      <c r="O11" s="625"/>
      <c r="P11" s="625"/>
      <c r="Q11" s="625"/>
      <c r="R11" s="625"/>
      <c r="S11" s="624" t="s">
        <v>62</v>
      </c>
      <c r="T11" s="624"/>
      <c r="U11" s="624"/>
      <c r="V11" s="624"/>
      <c r="W11" s="624"/>
      <c r="X11" s="624"/>
      <c r="Y11" s="624"/>
      <c r="Z11" s="623"/>
    </row>
    <row r="12" spans="1:26" ht="15.9" customHeight="1" x14ac:dyDescent="0.25">
      <c r="A12" s="548"/>
      <c r="B12" s="625" t="s">
        <v>18</v>
      </c>
      <c r="C12" s="625"/>
      <c r="D12" s="625"/>
      <c r="E12" s="625"/>
      <c r="F12" s="625"/>
      <c r="G12" s="625"/>
      <c r="H12" s="626" t="s">
        <v>120</v>
      </c>
      <c r="I12" s="626"/>
      <c r="J12" s="626"/>
      <c r="K12" s="626"/>
      <c r="L12" s="626"/>
      <c r="M12" s="626"/>
      <c r="N12" s="625" t="s">
        <v>20</v>
      </c>
      <c r="O12" s="625"/>
      <c r="P12" s="625"/>
      <c r="Q12" s="625"/>
      <c r="R12" s="625"/>
      <c r="S12" s="624" t="s">
        <v>77</v>
      </c>
      <c r="T12" s="624"/>
      <c r="U12" s="624"/>
      <c r="V12" s="624"/>
      <c r="W12" s="624"/>
      <c r="X12" s="624"/>
      <c r="Y12" s="624"/>
      <c r="Z12" s="623"/>
    </row>
    <row r="13" spans="1:26" ht="8.25" customHeight="1" x14ac:dyDescent="0.25">
      <c r="A13" s="622"/>
      <c r="B13" s="534"/>
      <c r="C13" s="534"/>
      <c r="D13" s="621"/>
      <c r="E13" s="621"/>
      <c r="F13" s="621"/>
      <c r="G13" s="621"/>
      <c r="H13" s="534"/>
      <c r="I13" s="534"/>
      <c r="J13" s="534"/>
      <c r="K13" s="534"/>
      <c r="L13" s="534"/>
      <c r="M13" s="534"/>
      <c r="N13" s="620"/>
      <c r="O13" s="534"/>
      <c r="P13" s="534"/>
      <c r="Q13" s="534"/>
      <c r="R13" s="534"/>
      <c r="S13" s="534"/>
      <c r="T13" s="534"/>
      <c r="U13" s="534"/>
      <c r="V13" s="534"/>
      <c r="W13" s="534"/>
      <c r="X13" s="534"/>
      <c r="Y13" s="534"/>
      <c r="Z13" s="533"/>
    </row>
    <row r="14" spans="1:26" s="469" customFormat="1" ht="15" customHeight="1" x14ac:dyDescent="0.25">
      <c r="B14" s="618"/>
      <c r="C14" s="618"/>
      <c r="K14" s="619"/>
      <c r="L14" s="618"/>
      <c r="M14" s="617"/>
    </row>
    <row r="15" spans="1:26" s="469" customFormat="1" ht="15.6" customHeight="1" x14ac:dyDescent="0.25">
      <c r="A15" s="601" t="s">
        <v>22</v>
      </c>
      <c r="B15" s="616" t="s">
        <v>23</v>
      </c>
      <c r="C15" s="615"/>
      <c r="D15" s="615"/>
      <c r="E15" s="615"/>
      <c r="F15" s="615"/>
      <c r="G15" s="615"/>
      <c r="H15" s="615"/>
      <c r="I15" s="615"/>
      <c r="J15" s="615"/>
      <c r="K15" s="615"/>
      <c r="L15" s="615"/>
      <c r="M15" s="615"/>
      <c r="N15" s="615"/>
      <c r="O15" s="615"/>
      <c r="P15" s="615"/>
      <c r="Q15" s="615"/>
      <c r="R15" s="615"/>
      <c r="S15" s="615"/>
      <c r="T15" s="615"/>
      <c r="U15" s="615"/>
      <c r="V15" s="615"/>
      <c r="W15" s="615"/>
      <c r="X15" s="615"/>
      <c r="Y15" s="615"/>
      <c r="Z15" s="614"/>
    </row>
    <row r="16" spans="1:26" s="469" customFormat="1" ht="15" customHeight="1" x14ac:dyDescent="0.25">
      <c r="A16" s="610"/>
      <c r="B16" s="613"/>
      <c r="Z16" s="612"/>
    </row>
    <row r="17" spans="1:26" s="469" customFormat="1" ht="15" customHeight="1" x14ac:dyDescent="0.25">
      <c r="A17" s="610"/>
      <c r="B17" s="609" t="s">
        <v>24</v>
      </c>
      <c r="C17" s="609"/>
      <c r="D17" s="609"/>
      <c r="E17" s="609"/>
      <c r="F17" s="609"/>
      <c r="G17" s="609"/>
      <c r="H17" s="609"/>
      <c r="I17" s="611"/>
      <c r="J17" s="611"/>
      <c r="K17" s="611"/>
      <c r="L17" s="611"/>
      <c r="M17" s="611"/>
      <c r="N17" s="611"/>
      <c r="O17" s="611"/>
      <c r="P17" s="611"/>
      <c r="Q17" s="611"/>
      <c r="R17" s="611"/>
      <c r="S17" s="611"/>
      <c r="T17" s="611"/>
      <c r="U17" s="611"/>
      <c r="V17" s="611"/>
      <c r="W17" s="611"/>
      <c r="X17" s="611"/>
      <c r="Y17" s="611"/>
      <c r="Z17" s="606"/>
    </row>
    <row r="18" spans="1:26" s="469" customFormat="1" ht="15" customHeight="1" x14ac:dyDescent="0.25">
      <c r="A18" s="610"/>
      <c r="B18" s="609" t="s">
        <v>25</v>
      </c>
      <c r="C18" s="609"/>
      <c r="D18" s="609"/>
      <c r="E18" s="609"/>
      <c r="F18" s="609"/>
      <c r="G18" s="609"/>
      <c r="H18" s="609"/>
      <c r="I18" s="608" t="s">
        <v>26</v>
      </c>
      <c r="J18" s="608"/>
      <c r="K18" s="607">
        <v>50</v>
      </c>
      <c r="L18" s="607" t="s">
        <v>27</v>
      </c>
      <c r="M18" s="607"/>
      <c r="N18" s="607"/>
      <c r="O18" s="607"/>
      <c r="P18" s="607"/>
      <c r="Q18" s="607"/>
      <c r="R18" s="607"/>
      <c r="S18" s="607"/>
      <c r="T18" s="607"/>
      <c r="U18" s="607"/>
      <c r="V18" s="607"/>
      <c r="W18" s="607"/>
      <c r="X18" s="607"/>
      <c r="Y18" s="607"/>
      <c r="Z18" s="606"/>
    </row>
    <row r="19" spans="1:26" s="469" customFormat="1" ht="13.2" customHeight="1" x14ac:dyDescent="0.25">
      <c r="A19" s="605"/>
      <c r="B19" s="604"/>
      <c r="C19" s="604"/>
      <c r="D19" s="604"/>
      <c r="E19" s="604"/>
      <c r="F19" s="604"/>
      <c r="G19" s="604"/>
      <c r="H19" s="604"/>
      <c r="I19" s="604"/>
      <c r="J19" s="604"/>
      <c r="K19" s="604"/>
      <c r="L19" s="604"/>
      <c r="M19" s="604"/>
      <c r="N19" s="604"/>
      <c r="O19" s="604"/>
      <c r="P19" s="604"/>
      <c r="Q19" s="604"/>
      <c r="R19" s="604"/>
      <c r="S19" s="604"/>
      <c r="T19" s="604"/>
      <c r="U19" s="604"/>
      <c r="V19" s="604"/>
      <c r="W19" s="604"/>
      <c r="X19" s="604"/>
      <c r="Y19" s="604"/>
      <c r="Z19" s="603"/>
    </row>
    <row r="20" spans="1:26" ht="12.75" customHeight="1" x14ac:dyDescent="0.25">
      <c r="D20" s="468"/>
      <c r="E20" s="468"/>
      <c r="F20" s="468"/>
      <c r="G20" s="468"/>
      <c r="N20" s="602"/>
    </row>
    <row r="21" spans="1:26" ht="15.9" customHeight="1" x14ac:dyDescent="0.25">
      <c r="A21" s="601" t="s">
        <v>28</v>
      </c>
      <c r="B21" s="600" t="s">
        <v>29</v>
      </c>
      <c r="C21" s="598"/>
      <c r="D21" s="599"/>
      <c r="E21" s="599"/>
      <c r="F21" s="599"/>
      <c r="G21" s="599"/>
      <c r="H21" s="598"/>
      <c r="I21" s="598"/>
      <c r="J21" s="597" t="s">
        <v>30</v>
      </c>
      <c r="K21" s="597"/>
      <c r="L21" s="597"/>
      <c r="M21" s="597"/>
      <c r="N21" s="597"/>
      <c r="O21" s="597"/>
      <c r="P21" s="597"/>
      <c r="Q21" s="596">
        <v>600</v>
      </c>
      <c r="R21" s="526"/>
      <c r="S21" s="526"/>
      <c r="T21" s="526"/>
      <c r="U21" s="526"/>
      <c r="V21" s="526"/>
      <c r="W21" s="526"/>
      <c r="X21" s="526"/>
      <c r="Y21" s="526"/>
      <c r="Z21" s="595"/>
    </row>
    <row r="22" spans="1:26" ht="12.75" customHeight="1" x14ac:dyDescent="0.25">
      <c r="A22" s="548"/>
      <c r="B22" s="594"/>
      <c r="Z22" s="537"/>
    </row>
    <row r="23" spans="1:26" ht="15.75" customHeight="1" x14ac:dyDescent="0.25">
      <c r="A23" s="548"/>
      <c r="B23" s="593" t="s">
        <v>31</v>
      </c>
      <c r="C23" s="589" t="s">
        <v>32</v>
      </c>
      <c r="D23" s="589"/>
      <c r="E23" s="589"/>
      <c r="F23" s="589"/>
      <c r="G23" s="588"/>
      <c r="H23" s="592" t="s">
        <v>34</v>
      </c>
      <c r="I23" s="591"/>
      <c r="J23" s="590"/>
      <c r="K23" s="589" t="s">
        <v>36</v>
      </c>
      <c r="L23" s="589"/>
      <c r="M23" s="589"/>
      <c r="N23" s="589"/>
      <c r="O23" s="589"/>
      <c r="P23" s="588"/>
      <c r="Z23" s="537"/>
    </row>
    <row r="24" spans="1:26" ht="15.75" customHeight="1" x14ac:dyDescent="0.25">
      <c r="A24" s="548"/>
      <c r="B24" s="587"/>
      <c r="C24" s="583"/>
      <c r="D24" s="583"/>
      <c r="E24" s="583"/>
      <c r="F24" s="583"/>
      <c r="G24" s="582"/>
      <c r="H24" s="586" t="s">
        <v>37</v>
      </c>
      <c r="I24" s="585"/>
      <c r="J24" s="584"/>
      <c r="K24" s="583"/>
      <c r="L24" s="583"/>
      <c r="M24" s="583"/>
      <c r="N24" s="583"/>
      <c r="O24" s="583"/>
      <c r="P24" s="582"/>
      <c r="Z24" s="537"/>
    </row>
    <row r="25" spans="1:26" ht="19.5" customHeight="1" x14ac:dyDescent="0.25">
      <c r="A25" s="548"/>
      <c r="B25" s="581">
        <v>1</v>
      </c>
      <c r="C25" s="577"/>
      <c r="D25" s="576"/>
      <c r="E25" s="576"/>
      <c r="F25" s="576"/>
      <c r="G25" s="575"/>
      <c r="H25" s="580">
        <v>125</v>
      </c>
      <c r="I25" s="579"/>
      <c r="J25" s="578"/>
      <c r="K25" s="577"/>
      <c r="L25" s="576"/>
      <c r="M25" s="576"/>
      <c r="N25" s="576"/>
      <c r="O25" s="576"/>
      <c r="P25" s="575"/>
      <c r="Z25" s="537"/>
    </row>
    <row r="26" spans="1:26" ht="19.5" customHeight="1" x14ac:dyDescent="0.25">
      <c r="A26" s="548"/>
      <c r="B26" s="581">
        <v>2</v>
      </c>
      <c r="C26" s="577"/>
      <c r="D26" s="576"/>
      <c r="E26" s="576"/>
      <c r="F26" s="576"/>
      <c r="G26" s="575"/>
      <c r="H26" s="580">
        <v>120</v>
      </c>
      <c r="I26" s="579"/>
      <c r="J26" s="578"/>
      <c r="K26" s="577"/>
      <c r="L26" s="576"/>
      <c r="M26" s="576"/>
      <c r="N26" s="576"/>
      <c r="O26" s="576"/>
      <c r="P26" s="575"/>
      <c r="Z26" s="537"/>
    </row>
    <row r="27" spans="1:26" ht="19.5" customHeight="1" x14ac:dyDescent="0.25">
      <c r="A27" s="548"/>
      <c r="B27" s="581">
        <v>3</v>
      </c>
      <c r="C27" s="577"/>
      <c r="D27" s="576"/>
      <c r="E27" s="576"/>
      <c r="F27" s="576"/>
      <c r="G27" s="575"/>
      <c r="H27" s="580">
        <v>81</v>
      </c>
      <c r="I27" s="579"/>
      <c r="J27" s="578"/>
      <c r="K27" s="577"/>
      <c r="L27" s="576"/>
      <c r="M27" s="576"/>
      <c r="N27" s="576"/>
      <c r="O27" s="576"/>
      <c r="P27" s="575"/>
      <c r="Z27" s="537"/>
    </row>
    <row r="28" spans="1:26" ht="19.5" customHeight="1" x14ac:dyDescent="0.25">
      <c r="A28" s="548"/>
      <c r="B28" s="581">
        <v>4</v>
      </c>
      <c r="C28" s="577"/>
      <c r="D28" s="576"/>
      <c r="E28" s="576"/>
      <c r="F28" s="576"/>
      <c r="G28" s="575"/>
      <c r="H28" s="580">
        <v>65</v>
      </c>
      <c r="I28" s="579"/>
      <c r="J28" s="578"/>
      <c r="K28" s="577"/>
      <c r="L28" s="576"/>
      <c r="M28" s="576"/>
      <c r="N28" s="576"/>
      <c r="O28" s="576"/>
      <c r="P28" s="575"/>
      <c r="Z28" s="537"/>
    </row>
    <row r="29" spans="1:26" ht="19.5" customHeight="1" x14ac:dyDescent="0.25">
      <c r="A29" s="548"/>
      <c r="B29" s="581">
        <v>5</v>
      </c>
      <c r="C29" s="577"/>
      <c r="D29" s="576"/>
      <c r="E29" s="576"/>
      <c r="F29" s="576"/>
      <c r="G29" s="575"/>
      <c r="H29" s="580">
        <v>115</v>
      </c>
      <c r="I29" s="579"/>
      <c r="J29" s="578"/>
      <c r="K29" s="577"/>
      <c r="L29" s="576"/>
      <c r="M29" s="576"/>
      <c r="N29" s="576"/>
      <c r="O29" s="576"/>
      <c r="P29" s="575"/>
      <c r="Z29" s="537"/>
    </row>
    <row r="30" spans="1:26" ht="19.5" customHeight="1" x14ac:dyDescent="0.25">
      <c r="A30" s="548"/>
      <c r="B30" s="581">
        <v>6</v>
      </c>
      <c r="C30" s="577"/>
      <c r="D30" s="576"/>
      <c r="E30" s="576"/>
      <c r="F30" s="576"/>
      <c r="G30" s="575"/>
      <c r="H30" s="580">
        <v>97</v>
      </c>
      <c r="I30" s="579"/>
      <c r="J30" s="578"/>
      <c r="K30" s="577"/>
      <c r="L30" s="576"/>
      <c r="M30" s="576"/>
      <c r="N30" s="576"/>
      <c r="O30" s="576"/>
      <c r="P30" s="575"/>
      <c r="Z30" s="537"/>
    </row>
    <row r="31" spans="1:26" ht="19.5" customHeight="1" x14ac:dyDescent="0.25">
      <c r="A31" s="548"/>
      <c r="B31" s="581">
        <v>7</v>
      </c>
      <c r="C31" s="577"/>
      <c r="D31" s="576"/>
      <c r="E31" s="576"/>
      <c r="F31" s="576"/>
      <c r="G31" s="575"/>
      <c r="H31" s="580">
        <v>111</v>
      </c>
      <c r="I31" s="579"/>
      <c r="J31" s="578"/>
      <c r="K31" s="577"/>
      <c r="L31" s="576"/>
      <c r="M31" s="576"/>
      <c r="N31" s="576"/>
      <c r="O31" s="576"/>
      <c r="P31" s="575"/>
      <c r="Z31" s="537"/>
    </row>
    <row r="32" spans="1:26" ht="19.5" customHeight="1" x14ac:dyDescent="0.25">
      <c r="A32" s="548"/>
      <c r="B32" s="673"/>
      <c r="C32" s="577"/>
      <c r="D32" s="576"/>
      <c r="E32" s="576"/>
      <c r="F32" s="576"/>
      <c r="G32" s="575"/>
      <c r="H32" s="580"/>
      <c r="I32" s="579"/>
      <c r="J32" s="578"/>
      <c r="K32" s="577"/>
      <c r="L32" s="576"/>
      <c r="M32" s="576"/>
      <c r="N32" s="576"/>
      <c r="O32" s="576"/>
      <c r="P32" s="575"/>
      <c r="Z32" s="537"/>
    </row>
    <row r="33" spans="1:26" ht="19.5" customHeight="1" x14ac:dyDescent="0.25">
      <c r="A33" s="548"/>
      <c r="B33" s="673"/>
      <c r="C33" s="577"/>
      <c r="D33" s="576"/>
      <c r="E33" s="576"/>
      <c r="F33" s="576"/>
      <c r="G33" s="575"/>
      <c r="H33" s="580"/>
      <c r="I33" s="579"/>
      <c r="J33" s="578"/>
      <c r="K33" s="577"/>
      <c r="L33" s="576"/>
      <c r="M33" s="576"/>
      <c r="N33" s="576"/>
      <c r="O33" s="576"/>
      <c r="P33" s="575"/>
      <c r="Z33" s="537"/>
    </row>
    <row r="34" spans="1:26" ht="19.5" customHeight="1" x14ac:dyDescent="0.25">
      <c r="A34" s="548"/>
      <c r="B34" s="673"/>
      <c r="C34" s="577"/>
      <c r="D34" s="576"/>
      <c r="E34" s="576"/>
      <c r="F34" s="576"/>
      <c r="G34" s="575"/>
      <c r="H34" s="580"/>
      <c r="I34" s="579"/>
      <c r="J34" s="578"/>
      <c r="K34" s="577"/>
      <c r="L34" s="576"/>
      <c r="M34" s="576"/>
      <c r="N34" s="576"/>
      <c r="O34" s="576"/>
      <c r="P34" s="575"/>
      <c r="Z34" s="537"/>
    </row>
    <row r="35" spans="1:26" ht="19.5" customHeight="1" x14ac:dyDescent="0.25">
      <c r="A35" s="548"/>
      <c r="B35" s="673"/>
      <c r="C35" s="577"/>
      <c r="D35" s="576"/>
      <c r="E35" s="576"/>
      <c r="F35" s="576"/>
      <c r="G35" s="575"/>
      <c r="H35" s="580"/>
      <c r="I35" s="579"/>
      <c r="J35" s="578"/>
      <c r="K35" s="577"/>
      <c r="L35" s="576"/>
      <c r="M35" s="576"/>
      <c r="N35" s="576"/>
      <c r="O35" s="576"/>
      <c r="P35" s="575"/>
      <c r="Z35" s="537"/>
    </row>
    <row r="36" spans="1:26" ht="19.5" customHeight="1" x14ac:dyDescent="0.25">
      <c r="A36" s="548"/>
      <c r="B36" s="673"/>
      <c r="C36" s="577"/>
      <c r="D36" s="576"/>
      <c r="E36" s="576"/>
      <c r="F36" s="576"/>
      <c r="G36" s="575"/>
      <c r="H36" s="580"/>
      <c r="I36" s="579"/>
      <c r="J36" s="578"/>
      <c r="K36" s="577"/>
      <c r="L36" s="576"/>
      <c r="M36" s="576"/>
      <c r="N36" s="576"/>
      <c r="O36" s="576"/>
      <c r="P36" s="575"/>
      <c r="Z36" s="537"/>
    </row>
    <row r="37" spans="1:26" ht="19.5" customHeight="1" x14ac:dyDescent="0.25">
      <c r="A37" s="548"/>
      <c r="B37" s="673"/>
      <c r="C37" s="577"/>
      <c r="D37" s="576"/>
      <c r="E37" s="576"/>
      <c r="F37" s="576"/>
      <c r="G37" s="575"/>
      <c r="H37" s="580"/>
      <c r="I37" s="579"/>
      <c r="J37" s="578"/>
      <c r="K37" s="577"/>
      <c r="L37" s="576"/>
      <c r="M37" s="576"/>
      <c r="N37" s="576"/>
      <c r="O37" s="576"/>
      <c r="P37" s="575"/>
      <c r="Z37" s="537"/>
    </row>
    <row r="38" spans="1:26" ht="19.5" customHeight="1" x14ac:dyDescent="0.25">
      <c r="A38" s="548"/>
      <c r="B38" s="673"/>
      <c r="C38" s="577"/>
      <c r="D38" s="576"/>
      <c r="E38" s="576"/>
      <c r="F38" s="576"/>
      <c r="G38" s="575"/>
      <c r="H38" s="580"/>
      <c r="I38" s="579"/>
      <c r="J38" s="578"/>
      <c r="K38" s="577"/>
      <c r="L38" s="576"/>
      <c r="M38" s="576"/>
      <c r="N38" s="576"/>
      <c r="O38" s="576"/>
      <c r="P38" s="575"/>
      <c r="Z38" s="537"/>
    </row>
    <row r="39" spans="1:26" ht="19.5" customHeight="1" x14ac:dyDescent="0.25">
      <c r="A39" s="548"/>
      <c r="B39" s="673"/>
      <c r="C39" s="577"/>
      <c r="D39" s="576"/>
      <c r="E39" s="576"/>
      <c r="F39" s="576"/>
      <c r="G39" s="575"/>
      <c r="H39" s="580"/>
      <c r="I39" s="579"/>
      <c r="J39" s="578"/>
      <c r="K39" s="577"/>
      <c r="L39" s="576"/>
      <c r="M39" s="576"/>
      <c r="N39" s="576"/>
      <c r="O39" s="576"/>
      <c r="P39" s="575"/>
      <c r="Z39" s="537"/>
    </row>
    <row r="40" spans="1:26" ht="19.5" customHeight="1" x14ac:dyDescent="0.25">
      <c r="A40" s="548"/>
      <c r="B40" s="673"/>
      <c r="C40" s="577"/>
      <c r="D40" s="576"/>
      <c r="E40" s="576"/>
      <c r="F40" s="576"/>
      <c r="G40" s="575"/>
      <c r="H40" s="580"/>
      <c r="I40" s="579"/>
      <c r="J40" s="578"/>
      <c r="K40" s="577"/>
      <c r="L40" s="576"/>
      <c r="M40" s="576"/>
      <c r="N40" s="576"/>
      <c r="O40" s="576"/>
      <c r="P40" s="575"/>
      <c r="Z40" s="537"/>
    </row>
    <row r="41" spans="1:26" ht="19.5" customHeight="1" x14ac:dyDescent="0.25">
      <c r="A41" s="548"/>
      <c r="B41" s="673"/>
      <c r="C41" s="577"/>
      <c r="D41" s="576"/>
      <c r="E41" s="576"/>
      <c r="F41" s="576"/>
      <c r="G41" s="575"/>
      <c r="H41" s="580"/>
      <c r="I41" s="579"/>
      <c r="J41" s="578"/>
      <c r="K41" s="577"/>
      <c r="L41" s="576"/>
      <c r="M41" s="576"/>
      <c r="N41" s="576"/>
      <c r="O41" s="576"/>
      <c r="P41" s="575"/>
      <c r="Z41" s="537"/>
    </row>
    <row r="42" spans="1:26" ht="19.5" customHeight="1" x14ac:dyDescent="0.25">
      <c r="A42" s="548"/>
      <c r="B42" s="673"/>
      <c r="C42" s="577"/>
      <c r="D42" s="576"/>
      <c r="E42" s="576"/>
      <c r="F42" s="576"/>
      <c r="G42" s="575"/>
      <c r="H42" s="580"/>
      <c r="I42" s="579"/>
      <c r="J42" s="578"/>
      <c r="K42" s="577"/>
      <c r="L42" s="576"/>
      <c r="M42" s="576"/>
      <c r="N42" s="576"/>
      <c r="O42" s="576"/>
      <c r="P42" s="575"/>
      <c r="Z42" s="537"/>
    </row>
    <row r="43" spans="1:26" ht="19.5" customHeight="1" x14ac:dyDescent="0.25">
      <c r="A43" s="548"/>
      <c r="B43" s="673"/>
      <c r="C43" s="577"/>
      <c r="D43" s="576"/>
      <c r="E43" s="576"/>
      <c r="F43" s="576"/>
      <c r="G43" s="575"/>
      <c r="H43" s="580"/>
      <c r="I43" s="579"/>
      <c r="J43" s="578"/>
      <c r="K43" s="577"/>
      <c r="L43" s="576"/>
      <c r="M43" s="576"/>
      <c r="N43" s="576"/>
      <c r="O43" s="576"/>
      <c r="P43" s="575"/>
      <c r="Z43" s="537"/>
    </row>
    <row r="44" spans="1:26" ht="19.5" customHeight="1" x14ac:dyDescent="0.25">
      <c r="A44" s="548"/>
      <c r="B44" s="673"/>
      <c r="C44" s="577"/>
      <c r="D44" s="576"/>
      <c r="E44" s="576"/>
      <c r="F44" s="576"/>
      <c r="G44" s="575"/>
      <c r="H44" s="580"/>
      <c r="I44" s="579"/>
      <c r="J44" s="578"/>
      <c r="K44" s="577"/>
      <c r="L44" s="576"/>
      <c r="M44" s="576"/>
      <c r="N44" s="576"/>
      <c r="O44" s="576"/>
      <c r="P44" s="575"/>
      <c r="Z44" s="537"/>
    </row>
    <row r="45" spans="1:26" ht="19.5" customHeight="1" x14ac:dyDescent="0.25">
      <c r="A45" s="548"/>
      <c r="B45" s="673"/>
      <c r="C45" s="577"/>
      <c r="D45" s="576"/>
      <c r="E45" s="576"/>
      <c r="F45" s="576"/>
      <c r="G45" s="575"/>
      <c r="H45" s="580"/>
      <c r="I45" s="579"/>
      <c r="J45" s="578"/>
      <c r="K45" s="577"/>
      <c r="L45" s="576"/>
      <c r="M45" s="576"/>
      <c r="N45" s="576"/>
      <c r="O45" s="576"/>
      <c r="P45" s="575"/>
      <c r="Z45" s="537"/>
    </row>
    <row r="46" spans="1:26" ht="19.5" customHeight="1" thickBot="1" x14ac:dyDescent="0.3">
      <c r="A46" s="548"/>
      <c r="B46" s="574"/>
      <c r="C46" s="569"/>
      <c r="D46" s="569"/>
      <c r="E46" s="569"/>
      <c r="F46" s="569"/>
      <c r="G46" s="568"/>
      <c r="H46" s="573"/>
      <c r="I46" s="572"/>
      <c r="J46" s="571"/>
      <c r="K46" s="570"/>
      <c r="L46" s="569"/>
      <c r="M46" s="569"/>
      <c r="N46" s="569"/>
      <c r="O46" s="569"/>
      <c r="P46" s="568"/>
      <c r="Z46" s="537"/>
    </row>
    <row r="47" spans="1:26" ht="15.75" customHeight="1" x14ac:dyDescent="0.25">
      <c r="A47" s="548"/>
      <c r="B47" s="567" t="s">
        <v>38</v>
      </c>
      <c r="C47" s="566"/>
      <c r="D47" s="566"/>
      <c r="E47" s="566"/>
      <c r="F47" s="566"/>
      <c r="G47" s="565"/>
      <c r="H47" s="564">
        <f>AVERAGE(H25:J46)</f>
        <v>102</v>
      </c>
      <c r="I47" s="563"/>
      <c r="J47" s="562"/>
      <c r="K47" s="561">
        <v>100</v>
      </c>
      <c r="L47" s="560"/>
      <c r="M47" s="559" t="s">
        <v>39</v>
      </c>
      <c r="N47" s="559"/>
      <c r="O47" s="559"/>
      <c r="P47" s="558"/>
      <c r="Z47" s="537"/>
    </row>
    <row r="48" spans="1:26" ht="15.75" customHeight="1" x14ac:dyDescent="0.25">
      <c r="A48" s="548"/>
      <c r="B48" s="557" t="s">
        <v>40</v>
      </c>
      <c r="C48" s="556"/>
      <c r="D48" s="556"/>
      <c r="E48" s="556"/>
      <c r="F48" s="556"/>
      <c r="G48" s="555"/>
      <c r="H48" s="554">
        <f>IF(COUNTIF(H25:J46,"*&lt;20*"),"&lt;20",MIN(H25:J46))</f>
        <v>65</v>
      </c>
      <c r="I48" s="553"/>
      <c r="J48" s="552"/>
      <c r="K48" s="551"/>
      <c r="L48" s="550"/>
      <c r="M48" s="483"/>
      <c r="N48" s="483"/>
      <c r="O48" s="483"/>
      <c r="P48" s="549"/>
      <c r="Z48" s="537"/>
    </row>
    <row r="49" spans="1:26" ht="15.75" customHeight="1" thickBot="1" x14ac:dyDescent="0.3">
      <c r="A49" s="548"/>
      <c r="B49" s="547" t="s">
        <v>41</v>
      </c>
      <c r="C49" s="546"/>
      <c r="D49" s="546"/>
      <c r="E49" s="546"/>
      <c r="F49" s="546"/>
      <c r="G49" s="545"/>
      <c r="H49" s="544">
        <f>IF(COUNTIF(H25:J46,"*&gt;250*"),"&gt;250",MAX(H25:J46))</f>
        <v>125</v>
      </c>
      <c r="I49" s="543"/>
      <c r="J49" s="542"/>
      <c r="K49" s="541"/>
      <c r="L49" s="540"/>
      <c r="M49" s="539"/>
      <c r="N49" s="539"/>
      <c r="O49" s="539"/>
      <c r="P49" s="538"/>
      <c r="Z49" s="537"/>
    </row>
    <row r="50" spans="1:26" ht="15.9" customHeight="1" x14ac:dyDescent="0.25">
      <c r="A50" s="536"/>
      <c r="B50" s="535"/>
      <c r="C50" s="534"/>
      <c r="D50" s="534"/>
      <c r="E50" s="534"/>
      <c r="F50" s="534"/>
      <c r="G50" s="534"/>
      <c r="H50" s="534"/>
      <c r="I50" s="534"/>
      <c r="J50" s="534"/>
      <c r="K50" s="534"/>
      <c r="L50" s="534"/>
      <c r="M50" s="534"/>
      <c r="N50" s="534"/>
      <c r="O50" s="534"/>
      <c r="P50" s="534"/>
      <c r="Q50" s="534"/>
      <c r="R50" s="534"/>
      <c r="S50" s="534"/>
      <c r="T50" s="534"/>
      <c r="U50" s="534"/>
      <c r="V50" s="534"/>
      <c r="W50" s="534"/>
      <c r="X50" s="534"/>
      <c r="Y50" s="534"/>
      <c r="Z50" s="533"/>
    </row>
    <row r="51" spans="1:26" ht="12.75" customHeight="1" x14ac:dyDescent="0.25">
      <c r="A51" s="532"/>
      <c r="B51" s="531"/>
    </row>
    <row r="52" spans="1:26" s="469" customFormat="1" ht="15.6" customHeight="1" x14ac:dyDescent="0.25">
      <c r="A52" s="530" t="s">
        <v>42</v>
      </c>
      <c r="B52" s="529" t="s">
        <v>43</v>
      </c>
      <c r="C52" s="528"/>
      <c r="D52" s="528"/>
      <c r="E52" s="528"/>
      <c r="F52" s="527"/>
      <c r="G52" s="527"/>
      <c r="H52" s="527"/>
      <c r="I52" s="526"/>
      <c r="J52" s="526"/>
      <c r="K52" s="526"/>
      <c r="L52" s="526"/>
      <c r="M52" s="526"/>
      <c r="N52" s="526"/>
      <c r="O52" s="526"/>
      <c r="P52" s="526"/>
      <c r="Q52" s="526"/>
      <c r="R52" s="526"/>
      <c r="S52" s="526"/>
      <c r="T52" s="526"/>
      <c r="U52" s="525"/>
      <c r="V52" s="524"/>
      <c r="W52" s="524"/>
      <c r="X52" s="523"/>
      <c r="Y52" s="523"/>
      <c r="Z52" s="522"/>
    </row>
    <row r="53" spans="1:26" s="469" customFormat="1" ht="28.5" customHeight="1" x14ac:dyDescent="0.25">
      <c r="A53" s="521" t="s">
        <v>44</v>
      </c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19"/>
      <c r="R53" s="487" t="s">
        <v>45</v>
      </c>
      <c r="S53" s="486"/>
      <c r="T53" s="485"/>
      <c r="U53" s="518" t="s">
        <v>109</v>
      </c>
      <c r="V53" s="517"/>
      <c r="W53" s="517"/>
      <c r="X53" s="516"/>
      <c r="Y53" s="516"/>
      <c r="Z53" s="515"/>
    </row>
    <row r="54" spans="1:26" s="469" customFormat="1" ht="15.6" customHeight="1" x14ac:dyDescent="0.25">
      <c r="A54" s="514" t="s">
        <v>46</v>
      </c>
      <c r="B54" s="513"/>
      <c r="C54" s="513"/>
      <c r="D54" s="513"/>
      <c r="E54" s="513"/>
      <c r="F54" s="513"/>
      <c r="G54" s="513"/>
      <c r="H54" s="513"/>
      <c r="I54" s="513"/>
      <c r="J54" s="513"/>
      <c r="K54" s="513"/>
      <c r="L54" s="513"/>
      <c r="M54" s="513"/>
      <c r="N54" s="513"/>
      <c r="O54" s="513"/>
      <c r="P54" s="513"/>
      <c r="Q54" s="512"/>
      <c r="R54" s="487" t="s">
        <v>47</v>
      </c>
      <c r="S54" s="486"/>
      <c r="T54" s="485"/>
      <c r="U54" s="511" t="s">
        <v>108</v>
      </c>
      <c r="V54" s="510"/>
      <c r="W54" s="510"/>
      <c r="X54" s="509"/>
      <c r="Y54" s="509"/>
      <c r="Z54" s="508"/>
    </row>
    <row r="55" spans="1:26" s="469" customFormat="1" ht="15.6" customHeight="1" x14ac:dyDescent="0.25">
      <c r="A55" s="507"/>
      <c r="B55" s="506"/>
      <c r="C55" s="506"/>
      <c r="D55" s="506"/>
      <c r="E55" s="506"/>
      <c r="F55" s="506"/>
      <c r="G55" s="506"/>
      <c r="H55" s="506"/>
      <c r="I55" s="506"/>
      <c r="J55" s="506"/>
      <c r="K55" s="506"/>
      <c r="L55" s="506"/>
      <c r="M55" s="506"/>
      <c r="N55" s="506"/>
      <c r="O55" s="506"/>
      <c r="P55" s="506"/>
      <c r="Q55" s="505"/>
      <c r="R55" s="487"/>
      <c r="S55" s="486"/>
      <c r="T55" s="485"/>
      <c r="U55" s="504"/>
      <c r="V55" s="483"/>
      <c r="W55" s="483"/>
      <c r="X55" s="503"/>
      <c r="Y55" s="503"/>
      <c r="Z55" s="502"/>
    </row>
    <row r="56" spans="1:26" s="469" customFormat="1" ht="15.6" customHeight="1" x14ac:dyDescent="0.25">
      <c r="A56" s="501" t="s">
        <v>48</v>
      </c>
      <c r="B56" s="500" t="s">
        <v>49</v>
      </c>
      <c r="C56" s="467"/>
      <c r="D56" s="467"/>
      <c r="E56" s="499"/>
      <c r="F56" s="499"/>
      <c r="G56" s="499"/>
      <c r="H56" s="499"/>
      <c r="I56" s="499"/>
      <c r="J56" s="499"/>
      <c r="K56" s="499"/>
      <c r="L56" s="499"/>
      <c r="M56" s="499"/>
      <c r="N56" s="499"/>
      <c r="O56" s="499"/>
      <c r="P56" s="499"/>
      <c r="Q56" s="498"/>
      <c r="R56" s="487"/>
      <c r="S56" s="486"/>
      <c r="T56" s="485"/>
      <c r="U56" s="497"/>
      <c r="V56" s="496"/>
      <c r="W56" s="496"/>
      <c r="X56" s="495"/>
      <c r="Y56" s="495"/>
      <c r="Z56" s="494"/>
    </row>
    <row r="57" spans="1:26" s="469" customFormat="1" ht="15.6" customHeight="1" x14ac:dyDescent="0.25">
      <c r="A57" s="490"/>
      <c r="B57" s="489"/>
      <c r="C57" s="489"/>
      <c r="D57" s="489"/>
      <c r="E57" s="489"/>
      <c r="F57" s="489"/>
      <c r="G57" s="489"/>
      <c r="H57" s="489"/>
      <c r="I57" s="489"/>
      <c r="J57" s="489"/>
      <c r="K57" s="489"/>
      <c r="L57" s="489"/>
      <c r="M57" s="489"/>
      <c r="N57" s="489"/>
      <c r="O57" s="489"/>
      <c r="P57" s="489"/>
      <c r="Q57" s="488"/>
      <c r="R57" s="487" t="s">
        <v>50</v>
      </c>
      <c r="S57" s="486"/>
      <c r="T57" s="485"/>
      <c r="U57" s="493"/>
      <c r="V57" s="492"/>
      <c r="W57" s="492"/>
      <c r="X57" s="492"/>
      <c r="Y57" s="492"/>
      <c r="Z57" s="491"/>
    </row>
    <row r="58" spans="1:26" s="469" customFormat="1" ht="15.6" customHeight="1" x14ac:dyDescent="0.25">
      <c r="A58" s="490"/>
      <c r="B58" s="489"/>
      <c r="C58" s="489"/>
      <c r="D58" s="489"/>
      <c r="E58" s="489"/>
      <c r="F58" s="489"/>
      <c r="G58" s="489"/>
      <c r="H58" s="489"/>
      <c r="I58" s="489"/>
      <c r="J58" s="489"/>
      <c r="K58" s="489"/>
      <c r="L58" s="489"/>
      <c r="M58" s="489"/>
      <c r="N58" s="489"/>
      <c r="O58" s="489"/>
      <c r="P58" s="489"/>
      <c r="Q58" s="488"/>
      <c r="R58" s="487"/>
      <c r="S58" s="486"/>
      <c r="T58" s="485"/>
      <c r="U58" s="484"/>
      <c r="V58" s="483"/>
      <c r="W58" s="483"/>
      <c r="X58" s="483"/>
      <c r="Y58" s="483"/>
      <c r="Z58" s="482"/>
    </row>
    <row r="59" spans="1:26" s="469" customFormat="1" ht="15.6" customHeight="1" x14ac:dyDescent="0.25">
      <c r="A59" s="490"/>
      <c r="B59" s="489"/>
      <c r="C59" s="489"/>
      <c r="D59" s="489"/>
      <c r="E59" s="489"/>
      <c r="F59" s="489"/>
      <c r="G59" s="489"/>
      <c r="H59" s="489"/>
      <c r="I59" s="489"/>
      <c r="J59" s="489"/>
      <c r="K59" s="489"/>
      <c r="L59" s="489"/>
      <c r="M59" s="489"/>
      <c r="N59" s="489"/>
      <c r="O59" s="489"/>
      <c r="P59" s="489"/>
      <c r="Q59" s="488"/>
      <c r="R59" s="487"/>
      <c r="S59" s="486"/>
      <c r="T59" s="485"/>
      <c r="U59" s="484"/>
      <c r="V59" s="483"/>
      <c r="W59" s="483"/>
      <c r="X59" s="483"/>
      <c r="Y59" s="483"/>
      <c r="Z59" s="482"/>
    </row>
    <row r="60" spans="1:26" s="469" customFormat="1" ht="15.6" customHeight="1" x14ac:dyDescent="0.25">
      <c r="A60" s="481"/>
      <c r="B60" s="480"/>
      <c r="C60" s="480"/>
      <c r="D60" s="480"/>
      <c r="E60" s="480"/>
      <c r="F60" s="480"/>
      <c r="G60" s="480"/>
      <c r="H60" s="480"/>
      <c r="I60" s="480"/>
      <c r="J60" s="480"/>
      <c r="K60" s="480"/>
      <c r="L60" s="480"/>
      <c r="M60" s="480"/>
      <c r="N60" s="480"/>
      <c r="O60" s="480"/>
      <c r="P60" s="480"/>
      <c r="Q60" s="479"/>
      <c r="R60" s="478"/>
      <c r="S60" s="477"/>
      <c r="T60" s="476"/>
      <c r="U60" s="475"/>
      <c r="V60" s="474"/>
      <c r="W60" s="474"/>
      <c r="X60" s="474"/>
      <c r="Y60" s="474"/>
      <c r="Z60" s="473"/>
    </row>
    <row r="61" spans="1:26" s="469" customFormat="1" ht="15" customHeight="1" x14ac:dyDescent="0.25">
      <c r="A61" s="472"/>
      <c r="B61" s="472"/>
      <c r="C61" s="472"/>
      <c r="D61" s="472"/>
      <c r="E61" s="472"/>
      <c r="F61" s="472"/>
      <c r="G61" s="472"/>
      <c r="H61" s="472"/>
      <c r="I61" s="472"/>
      <c r="J61" s="472"/>
      <c r="K61" s="472"/>
      <c r="L61" s="472"/>
      <c r="M61" s="472"/>
      <c r="N61" s="472"/>
      <c r="O61" s="472"/>
      <c r="P61" s="472"/>
      <c r="Q61" s="472"/>
      <c r="R61" s="471"/>
      <c r="S61" s="471"/>
      <c r="T61" s="471"/>
      <c r="U61" s="470"/>
      <c r="V61" s="470"/>
      <c r="W61" s="470"/>
      <c r="X61" s="470"/>
      <c r="Y61" s="470"/>
      <c r="Z61" s="470"/>
    </row>
    <row r="63" spans="1:26" ht="12.75" customHeight="1" x14ac:dyDescent="0.25">
      <c r="A63" s="467"/>
    </row>
    <row r="64" spans="1:26" ht="12.75" customHeight="1" x14ac:dyDescent="0.25">
      <c r="A64" s="467"/>
    </row>
    <row r="65" spans="1:1" ht="12.75" customHeight="1" x14ac:dyDescent="0.25">
      <c r="A65" s="467"/>
    </row>
    <row r="66" spans="1:1" ht="12.75" customHeight="1" x14ac:dyDescent="0.25">
      <c r="A66" s="467"/>
    </row>
    <row r="67" spans="1:1" ht="12.75" customHeight="1" x14ac:dyDescent="0.25">
      <c r="A67" s="467"/>
    </row>
    <row r="68" spans="1:1" ht="12.75" customHeight="1" x14ac:dyDescent="0.25">
      <c r="A68" s="467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A57:Q60"/>
    <mergeCell ref="R57:T60"/>
    <mergeCell ref="V58:Y59"/>
    <mergeCell ref="A53:Q53"/>
    <mergeCell ref="R53:T53"/>
    <mergeCell ref="U53:Z53"/>
    <mergeCell ref="A54:Q55"/>
    <mergeCell ref="R54:T56"/>
    <mergeCell ref="U54:Z56"/>
    <mergeCell ref="B47:G47"/>
    <mergeCell ref="H47:J47"/>
    <mergeCell ref="K47:L49"/>
    <mergeCell ref="M47:P49"/>
    <mergeCell ref="B48:G48"/>
    <mergeCell ref="H48:J48"/>
    <mergeCell ref="B49:G49"/>
    <mergeCell ref="H49:J49"/>
    <mergeCell ref="C46:G46"/>
    <mergeCell ref="H46:J46"/>
    <mergeCell ref="K46:P46"/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K29:P29"/>
    <mergeCell ref="C26:G26"/>
    <mergeCell ref="H26:J26"/>
    <mergeCell ref="K26:P26"/>
    <mergeCell ref="C27:G27"/>
    <mergeCell ref="H27:J27"/>
    <mergeCell ref="K27:P27"/>
    <mergeCell ref="C25:G25"/>
    <mergeCell ref="H25:J25"/>
    <mergeCell ref="K25:P25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C5FB-98D1-42ED-A9B2-1990BB1AC622}">
  <sheetPr>
    <pageSetUpPr fitToPage="1"/>
  </sheetPr>
  <dimension ref="A1:AA70"/>
  <sheetViews>
    <sheetView topLeftCell="A45" workbookViewId="0">
      <selection activeCell="M54" sqref="M54"/>
    </sheetView>
  </sheetViews>
  <sheetFormatPr baseColWidth="10" defaultColWidth="11.44140625" defaultRowHeight="12.75" customHeight="1" x14ac:dyDescent="0.25"/>
  <cols>
    <col min="1" max="1" width="5.109375" style="468" customWidth="1"/>
    <col min="2" max="26" width="5.109375" style="467" customWidth="1"/>
    <col min="27" max="27" width="11.44140625" style="467"/>
  </cols>
  <sheetData>
    <row r="1" spans="1:26" ht="12.75" customHeight="1" x14ac:dyDescent="0.25">
      <c r="A1" s="666"/>
      <c r="B1" s="665"/>
      <c r="C1" s="665"/>
      <c r="D1" s="665"/>
      <c r="E1" s="665"/>
      <c r="F1" s="664"/>
      <c r="G1" s="663" t="s">
        <v>0</v>
      </c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1"/>
      <c r="U1" s="660" t="s">
        <v>114</v>
      </c>
      <c r="V1" s="659"/>
      <c r="W1" s="659"/>
      <c r="X1" s="659"/>
      <c r="Y1" s="659"/>
      <c r="Z1" s="658"/>
    </row>
    <row r="2" spans="1:26" ht="12.75" customHeight="1" x14ac:dyDescent="0.25">
      <c r="A2" s="654"/>
      <c r="B2" s="653"/>
      <c r="C2" s="653"/>
      <c r="D2" s="653"/>
      <c r="E2" s="653"/>
      <c r="F2" s="652"/>
      <c r="G2" s="657" t="s">
        <v>57</v>
      </c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655"/>
      <c r="U2" s="641"/>
      <c r="V2" s="640"/>
      <c r="W2" s="640"/>
      <c r="X2" s="640"/>
      <c r="Y2" s="640"/>
      <c r="Z2" s="639"/>
    </row>
    <row r="3" spans="1:26" ht="12.75" customHeight="1" x14ac:dyDescent="0.25">
      <c r="A3" s="654"/>
      <c r="B3" s="653"/>
      <c r="C3" s="653"/>
      <c r="D3" s="653"/>
      <c r="E3" s="653"/>
      <c r="F3" s="652"/>
      <c r="G3" s="657"/>
      <c r="H3" s="656"/>
      <c r="I3" s="656"/>
      <c r="J3" s="656"/>
      <c r="K3" s="656"/>
      <c r="L3" s="656"/>
      <c r="M3" s="656"/>
      <c r="N3" s="656"/>
      <c r="O3" s="656"/>
      <c r="P3" s="656"/>
      <c r="Q3" s="656"/>
      <c r="R3" s="656"/>
      <c r="S3" s="656"/>
      <c r="T3" s="655"/>
      <c r="U3" s="641"/>
      <c r="V3" s="640"/>
      <c r="W3" s="640"/>
      <c r="X3" s="640"/>
      <c r="Y3" s="640"/>
      <c r="Z3" s="639"/>
    </row>
    <row r="4" spans="1:26" ht="12.75" customHeight="1" x14ac:dyDescent="0.25">
      <c r="A4" s="654"/>
      <c r="B4" s="653"/>
      <c r="C4" s="653"/>
      <c r="D4" s="653"/>
      <c r="E4" s="653"/>
      <c r="F4" s="652"/>
      <c r="G4" s="657"/>
      <c r="H4" s="656"/>
      <c r="I4" s="656"/>
      <c r="J4" s="656"/>
      <c r="K4" s="656"/>
      <c r="L4" s="656"/>
      <c r="M4" s="656"/>
      <c r="N4" s="656"/>
      <c r="O4" s="656"/>
      <c r="P4" s="656"/>
      <c r="Q4" s="656"/>
      <c r="R4" s="656"/>
      <c r="S4" s="656"/>
      <c r="T4" s="655"/>
      <c r="U4" s="641"/>
      <c r="V4" s="640"/>
      <c r="W4" s="640"/>
      <c r="X4" s="640"/>
      <c r="Y4" s="640"/>
      <c r="Z4" s="639"/>
    </row>
    <row r="5" spans="1:26" ht="12.75" customHeight="1" x14ac:dyDescent="0.25">
      <c r="A5" s="654"/>
      <c r="B5" s="653"/>
      <c r="C5" s="653"/>
      <c r="D5" s="653"/>
      <c r="E5" s="653"/>
      <c r="F5" s="652"/>
      <c r="G5" s="651" t="s">
        <v>56</v>
      </c>
      <c r="H5" s="650"/>
      <c r="I5" s="649">
        <v>17</v>
      </c>
      <c r="J5" s="649"/>
      <c r="K5" s="648"/>
      <c r="L5" s="647" t="s">
        <v>66</v>
      </c>
      <c r="M5" s="646"/>
      <c r="N5" s="646"/>
      <c r="O5" s="645"/>
      <c r="P5" s="644" t="s">
        <v>111</v>
      </c>
      <c r="Q5" s="643"/>
      <c r="R5" s="643"/>
      <c r="S5" s="643"/>
      <c r="T5" s="642"/>
      <c r="U5" s="641"/>
      <c r="V5" s="640"/>
      <c r="W5" s="640"/>
      <c r="X5" s="640"/>
      <c r="Y5" s="640"/>
      <c r="Z5" s="639"/>
    </row>
    <row r="6" spans="1:26" ht="12.75" customHeight="1" x14ac:dyDescent="0.25">
      <c r="A6" s="638"/>
      <c r="B6" s="637"/>
      <c r="C6" s="637"/>
      <c r="D6" s="637"/>
      <c r="E6" s="637"/>
      <c r="F6" s="636"/>
      <c r="G6" s="635"/>
      <c r="H6" s="534"/>
      <c r="I6" s="634" t="s">
        <v>4</v>
      </c>
      <c r="J6" s="634"/>
      <c r="K6" s="634"/>
      <c r="L6" s="634" t="s">
        <v>5</v>
      </c>
      <c r="M6" s="634"/>
      <c r="N6" s="634"/>
      <c r="O6" s="634"/>
      <c r="P6" s="634" t="s">
        <v>6</v>
      </c>
      <c r="Q6" s="634"/>
      <c r="R6" s="634"/>
      <c r="S6" s="634"/>
      <c r="T6" s="633"/>
      <c r="U6" s="632"/>
      <c r="V6" s="631"/>
      <c r="W6" s="631"/>
      <c r="X6" s="631"/>
      <c r="Y6" s="631"/>
      <c r="Z6" s="630"/>
    </row>
    <row r="7" spans="1:26" ht="36.6" customHeight="1" x14ac:dyDescent="0.25">
      <c r="A7" s="629" t="s">
        <v>7</v>
      </c>
      <c r="B7" s="629"/>
      <c r="C7" s="629"/>
      <c r="D7" s="629"/>
      <c r="E7" s="629"/>
      <c r="F7" s="629"/>
      <c r="G7" s="628" t="s">
        <v>65</v>
      </c>
      <c r="H7" s="628"/>
      <c r="I7" s="628"/>
      <c r="J7" s="628"/>
      <c r="K7" s="628"/>
      <c r="L7" s="628"/>
      <c r="M7" s="628"/>
      <c r="N7" s="628"/>
      <c r="O7" s="628"/>
      <c r="P7" s="628"/>
      <c r="Q7" s="628"/>
      <c r="R7" s="628"/>
      <c r="S7" s="628"/>
      <c r="T7" s="628"/>
      <c r="U7" s="628"/>
      <c r="V7" s="628"/>
      <c r="W7" s="628"/>
      <c r="X7" s="628"/>
      <c r="Y7" s="628"/>
      <c r="Z7" s="628"/>
    </row>
    <row r="8" spans="1:26" ht="15.9" customHeight="1" x14ac:dyDescent="0.25">
      <c r="A8" s="601" t="s">
        <v>9</v>
      </c>
      <c r="B8" s="529" t="s">
        <v>10</v>
      </c>
      <c r="C8" s="526"/>
      <c r="D8" s="627"/>
      <c r="E8" s="627"/>
      <c r="F8" s="627"/>
      <c r="G8" s="627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95"/>
    </row>
    <row r="9" spans="1:26" ht="8.25" customHeight="1" x14ac:dyDescent="0.25">
      <c r="A9" s="548"/>
      <c r="D9" s="468"/>
      <c r="E9" s="468"/>
      <c r="F9" s="468"/>
      <c r="G9" s="468"/>
      <c r="Z9" s="537"/>
    </row>
    <row r="10" spans="1:26" ht="15.9" customHeight="1" x14ac:dyDescent="0.25">
      <c r="A10" s="548"/>
      <c r="B10" s="625" t="s">
        <v>11</v>
      </c>
      <c r="C10" s="625"/>
      <c r="D10" s="625"/>
      <c r="E10" s="625"/>
      <c r="F10" s="625"/>
      <c r="G10" s="625"/>
      <c r="H10" s="626" t="s">
        <v>113</v>
      </c>
      <c r="I10" s="626"/>
      <c r="J10" s="626"/>
      <c r="K10" s="626"/>
      <c r="L10" s="626"/>
      <c r="M10" s="626"/>
      <c r="N10" s="625" t="s">
        <v>13</v>
      </c>
      <c r="O10" s="625"/>
      <c r="P10" s="625"/>
      <c r="Q10" s="625"/>
      <c r="R10" s="625"/>
      <c r="S10" s="624" t="s">
        <v>112</v>
      </c>
      <c r="T10" s="624"/>
      <c r="U10" s="624"/>
      <c r="V10" s="624"/>
      <c r="W10" s="624"/>
      <c r="X10" s="624"/>
      <c r="Y10" s="624"/>
      <c r="Z10" s="623"/>
    </row>
    <row r="11" spans="1:26" ht="15.9" customHeight="1" x14ac:dyDescent="0.25">
      <c r="A11" s="548"/>
      <c r="B11" s="625" t="s">
        <v>15</v>
      </c>
      <c r="C11" s="625"/>
      <c r="D11" s="625"/>
      <c r="E11" s="625"/>
      <c r="F11" s="625"/>
      <c r="G11" s="625"/>
      <c r="H11" s="626" t="s">
        <v>111</v>
      </c>
      <c r="I11" s="626"/>
      <c r="J11" s="626"/>
      <c r="K11" s="626"/>
      <c r="L11" s="626"/>
      <c r="M11" s="626"/>
      <c r="N11" s="625" t="s">
        <v>16</v>
      </c>
      <c r="O11" s="625"/>
      <c r="P11" s="625"/>
      <c r="Q11" s="625"/>
      <c r="R11" s="625"/>
      <c r="S11" s="624" t="s">
        <v>62</v>
      </c>
      <c r="T11" s="624"/>
      <c r="U11" s="624"/>
      <c r="V11" s="624"/>
      <c r="W11" s="624"/>
      <c r="X11" s="624"/>
      <c r="Y11" s="624"/>
      <c r="Z11" s="623"/>
    </row>
    <row r="12" spans="1:26" ht="15.9" customHeight="1" x14ac:dyDescent="0.25">
      <c r="A12" s="548"/>
      <c r="B12" s="625" t="s">
        <v>18</v>
      </c>
      <c r="C12" s="625"/>
      <c r="D12" s="625"/>
      <c r="E12" s="625"/>
      <c r="F12" s="625"/>
      <c r="G12" s="625"/>
      <c r="H12" s="626" t="s">
        <v>110</v>
      </c>
      <c r="I12" s="626"/>
      <c r="J12" s="626"/>
      <c r="K12" s="626"/>
      <c r="L12" s="626"/>
      <c r="M12" s="626"/>
      <c r="N12" s="625" t="s">
        <v>20</v>
      </c>
      <c r="O12" s="625"/>
      <c r="P12" s="625"/>
      <c r="Q12" s="625"/>
      <c r="R12" s="625"/>
      <c r="S12" s="624" t="s">
        <v>77</v>
      </c>
      <c r="T12" s="624"/>
      <c r="U12" s="624"/>
      <c r="V12" s="624"/>
      <c r="W12" s="624"/>
      <c r="X12" s="624"/>
      <c r="Y12" s="624"/>
      <c r="Z12" s="623"/>
    </row>
    <row r="13" spans="1:26" ht="8.25" customHeight="1" x14ac:dyDescent="0.25">
      <c r="A13" s="622"/>
      <c r="B13" s="534"/>
      <c r="C13" s="534"/>
      <c r="D13" s="621"/>
      <c r="E13" s="621"/>
      <c r="F13" s="621"/>
      <c r="G13" s="621"/>
      <c r="H13" s="534"/>
      <c r="I13" s="534"/>
      <c r="J13" s="534"/>
      <c r="K13" s="534"/>
      <c r="L13" s="534"/>
      <c r="M13" s="534"/>
      <c r="N13" s="620"/>
      <c r="O13" s="534"/>
      <c r="P13" s="534"/>
      <c r="Q13" s="534"/>
      <c r="R13" s="534"/>
      <c r="S13" s="534"/>
      <c r="T13" s="534"/>
      <c r="U13" s="534"/>
      <c r="V13" s="534"/>
      <c r="W13" s="534"/>
      <c r="X13" s="534"/>
      <c r="Y13" s="534"/>
      <c r="Z13" s="533"/>
    </row>
    <row r="14" spans="1:26" s="469" customFormat="1" ht="15" customHeight="1" x14ac:dyDescent="0.25">
      <c r="B14" s="618"/>
      <c r="C14" s="618"/>
      <c r="K14" s="619"/>
      <c r="L14" s="618"/>
      <c r="M14" s="617"/>
    </row>
    <row r="15" spans="1:26" s="469" customFormat="1" ht="15.6" customHeight="1" x14ac:dyDescent="0.25">
      <c r="A15" s="601" t="s">
        <v>22</v>
      </c>
      <c r="B15" s="616" t="s">
        <v>23</v>
      </c>
      <c r="C15" s="615"/>
      <c r="D15" s="615"/>
      <c r="E15" s="615"/>
      <c r="F15" s="615"/>
      <c r="G15" s="615"/>
      <c r="H15" s="615"/>
      <c r="I15" s="615"/>
      <c r="J15" s="615"/>
      <c r="K15" s="615"/>
      <c r="L15" s="615"/>
      <c r="M15" s="615"/>
      <c r="N15" s="615"/>
      <c r="O15" s="615"/>
      <c r="P15" s="615"/>
      <c r="Q15" s="615"/>
      <c r="R15" s="615"/>
      <c r="S15" s="615"/>
      <c r="T15" s="615"/>
      <c r="U15" s="615"/>
      <c r="V15" s="615"/>
      <c r="W15" s="615"/>
      <c r="X15" s="615"/>
      <c r="Y15" s="615"/>
      <c r="Z15" s="614"/>
    </row>
    <row r="16" spans="1:26" s="469" customFormat="1" ht="15" customHeight="1" x14ac:dyDescent="0.25">
      <c r="A16" s="610"/>
      <c r="B16" s="613"/>
      <c r="Z16" s="612"/>
    </row>
    <row r="17" spans="1:26" s="469" customFormat="1" ht="15" customHeight="1" x14ac:dyDescent="0.25">
      <c r="A17" s="610"/>
      <c r="B17" s="609" t="s">
        <v>24</v>
      </c>
      <c r="C17" s="609"/>
      <c r="D17" s="609"/>
      <c r="E17" s="609"/>
      <c r="F17" s="609"/>
      <c r="G17" s="609"/>
      <c r="H17" s="609"/>
      <c r="I17" s="611"/>
      <c r="J17" s="611"/>
      <c r="K17" s="611"/>
      <c r="L17" s="611"/>
      <c r="M17" s="611"/>
      <c r="N17" s="611"/>
      <c r="O17" s="611"/>
      <c r="P17" s="611"/>
      <c r="Q17" s="611"/>
      <c r="R17" s="611"/>
      <c r="S17" s="611"/>
      <c r="T17" s="611"/>
      <c r="U17" s="611"/>
      <c r="V17" s="611"/>
      <c r="W17" s="611"/>
      <c r="X17" s="611"/>
      <c r="Y17" s="611"/>
      <c r="Z17" s="606"/>
    </row>
    <row r="18" spans="1:26" s="469" customFormat="1" ht="15" customHeight="1" x14ac:dyDescent="0.25">
      <c r="A18" s="610"/>
      <c r="B18" s="609" t="s">
        <v>25</v>
      </c>
      <c r="C18" s="609"/>
      <c r="D18" s="609"/>
      <c r="E18" s="609"/>
      <c r="F18" s="609"/>
      <c r="G18" s="609"/>
      <c r="H18" s="609"/>
      <c r="I18" s="608" t="s">
        <v>26</v>
      </c>
      <c r="J18" s="608"/>
      <c r="K18" s="607">
        <v>50</v>
      </c>
      <c r="L18" s="607" t="s">
        <v>27</v>
      </c>
      <c r="M18" s="607"/>
      <c r="N18" s="607"/>
      <c r="O18" s="607"/>
      <c r="P18" s="607"/>
      <c r="Q18" s="607"/>
      <c r="R18" s="607"/>
      <c r="S18" s="607"/>
      <c r="T18" s="607"/>
      <c r="U18" s="607"/>
      <c r="V18" s="607"/>
      <c r="W18" s="607"/>
      <c r="X18" s="607"/>
      <c r="Y18" s="607"/>
      <c r="Z18" s="606"/>
    </row>
    <row r="19" spans="1:26" s="469" customFormat="1" ht="13.2" customHeight="1" x14ac:dyDescent="0.25">
      <c r="A19" s="605"/>
      <c r="B19" s="604"/>
      <c r="C19" s="604"/>
      <c r="D19" s="604"/>
      <c r="E19" s="604"/>
      <c r="F19" s="604"/>
      <c r="G19" s="604"/>
      <c r="H19" s="604"/>
      <c r="I19" s="604"/>
      <c r="J19" s="604"/>
      <c r="K19" s="604"/>
      <c r="L19" s="604"/>
      <c r="M19" s="604"/>
      <c r="N19" s="604"/>
      <c r="O19" s="604"/>
      <c r="P19" s="604"/>
      <c r="Q19" s="604"/>
      <c r="R19" s="604"/>
      <c r="S19" s="604"/>
      <c r="T19" s="604"/>
      <c r="U19" s="604"/>
      <c r="V19" s="604"/>
      <c r="W19" s="604"/>
      <c r="X19" s="604"/>
      <c r="Y19" s="604"/>
      <c r="Z19" s="603"/>
    </row>
    <row r="20" spans="1:26" ht="12.75" customHeight="1" x14ac:dyDescent="0.25">
      <c r="D20" s="468"/>
      <c r="E20" s="468"/>
      <c r="F20" s="468"/>
      <c r="G20" s="468"/>
      <c r="N20" s="602"/>
    </row>
    <row r="21" spans="1:26" ht="15.9" customHeight="1" x14ac:dyDescent="0.25">
      <c r="A21" s="601" t="s">
        <v>28</v>
      </c>
      <c r="B21" s="600" t="s">
        <v>29</v>
      </c>
      <c r="C21" s="598"/>
      <c r="D21" s="599"/>
      <c r="E21" s="599"/>
      <c r="F21" s="599"/>
      <c r="G21" s="599"/>
      <c r="H21" s="598"/>
      <c r="I21" s="598"/>
      <c r="J21" s="597" t="s">
        <v>30</v>
      </c>
      <c r="K21" s="597"/>
      <c r="L21" s="597"/>
      <c r="M21" s="597"/>
      <c r="N21" s="597"/>
      <c r="O21" s="597"/>
      <c r="P21" s="597"/>
      <c r="Q21" s="596">
        <v>600</v>
      </c>
      <c r="R21" s="526"/>
      <c r="S21" s="526"/>
      <c r="T21" s="526"/>
      <c r="U21" s="526"/>
      <c r="V21" s="526"/>
      <c r="W21" s="526"/>
      <c r="X21" s="526"/>
      <c r="Y21" s="526"/>
      <c r="Z21" s="595"/>
    </row>
    <row r="22" spans="1:26" ht="12.75" customHeight="1" x14ac:dyDescent="0.25">
      <c r="A22" s="548"/>
      <c r="B22" s="594"/>
      <c r="Z22" s="537"/>
    </row>
    <row r="23" spans="1:26" ht="15.75" customHeight="1" x14ac:dyDescent="0.25">
      <c r="A23" s="548"/>
      <c r="B23" s="593" t="s">
        <v>31</v>
      </c>
      <c r="C23" s="589" t="s">
        <v>32</v>
      </c>
      <c r="D23" s="589"/>
      <c r="E23" s="589"/>
      <c r="F23" s="589"/>
      <c r="G23" s="588"/>
      <c r="H23" s="592" t="s">
        <v>34</v>
      </c>
      <c r="I23" s="591"/>
      <c r="J23" s="590"/>
      <c r="K23" s="589" t="s">
        <v>36</v>
      </c>
      <c r="L23" s="589"/>
      <c r="M23" s="589"/>
      <c r="N23" s="589"/>
      <c r="O23" s="589"/>
      <c r="P23" s="588"/>
      <c r="Z23" s="537"/>
    </row>
    <row r="24" spans="1:26" ht="15.75" customHeight="1" x14ac:dyDescent="0.25">
      <c r="A24" s="548"/>
      <c r="B24" s="587"/>
      <c r="C24" s="583"/>
      <c r="D24" s="583"/>
      <c r="E24" s="583"/>
      <c r="F24" s="583"/>
      <c r="G24" s="582"/>
      <c r="H24" s="586" t="s">
        <v>37</v>
      </c>
      <c r="I24" s="585"/>
      <c r="J24" s="584"/>
      <c r="K24" s="583"/>
      <c r="L24" s="583"/>
      <c r="M24" s="583"/>
      <c r="N24" s="583"/>
      <c r="O24" s="583"/>
      <c r="P24" s="582"/>
      <c r="Z24" s="537"/>
    </row>
    <row r="25" spans="1:26" ht="19.5" customHeight="1" x14ac:dyDescent="0.25">
      <c r="A25" s="548"/>
      <c r="B25" s="581">
        <v>1</v>
      </c>
      <c r="C25" s="577" t="s">
        <v>115</v>
      </c>
      <c r="D25" s="576"/>
      <c r="E25" s="576"/>
      <c r="F25" s="576"/>
      <c r="G25" s="575"/>
      <c r="H25" s="580">
        <v>64</v>
      </c>
      <c r="I25" s="579"/>
      <c r="J25" s="578"/>
      <c r="K25" s="577"/>
      <c r="L25" s="576"/>
      <c r="M25" s="576"/>
      <c r="N25" s="576"/>
      <c r="O25" s="576"/>
      <c r="P25" s="575"/>
      <c r="Z25" s="537"/>
    </row>
    <row r="26" spans="1:26" ht="19.5" customHeight="1" x14ac:dyDescent="0.25">
      <c r="A26" s="548"/>
      <c r="B26" s="581">
        <v>2</v>
      </c>
      <c r="C26" s="577" t="s">
        <v>115</v>
      </c>
      <c r="D26" s="576"/>
      <c r="E26" s="576"/>
      <c r="F26" s="576"/>
      <c r="G26" s="575"/>
      <c r="H26" s="580">
        <v>87</v>
      </c>
      <c r="I26" s="579"/>
      <c r="J26" s="578"/>
      <c r="K26" s="577"/>
      <c r="L26" s="576"/>
      <c r="M26" s="576"/>
      <c r="N26" s="576"/>
      <c r="O26" s="576"/>
      <c r="P26" s="575"/>
      <c r="Z26" s="537"/>
    </row>
    <row r="27" spans="1:26" ht="19.5" customHeight="1" x14ac:dyDescent="0.25">
      <c r="A27" s="548"/>
      <c r="B27" s="581">
        <v>3</v>
      </c>
      <c r="C27" s="577" t="s">
        <v>115</v>
      </c>
      <c r="D27" s="576"/>
      <c r="E27" s="576"/>
      <c r="F27" s="576"/>
      <c r="G27" s="575"/>
      <c r="H27" s="580">
        <v>61</v>
      </c>
      <c r="I27" s="579"/>
      <c r="J27" s="578"/>
      <c r="K27" s="577"/>
      <c r="L27" s="576"/>
      <c r="M27" s="576"/>
      <c r="N27" s="576"/>
      <c r="O27" s="576"/>
      <c r="P27" s="575"/>
      <c r="Z27" s="537"/>
    </row>
    <row r="28" spans="1:26" ht="19.5" customHeight="1" x14ac:dyDescent="0.25">
      <c r="A28" s="548"/>
      <c r="B28" s="581">
        <v>4</v>
      </c>
      <c r="C28" s="577" t="s">
        <v>115</v>
      </c>
      <c r="D28" s="576"/>
      <c r="E28" s="576"/>
      <c r="F28" s="576"/>
      <c r="G28" s="575"/>
      <c r="H28" s="580">
        <v>110</v>
      </c>
      <c r="I28" s="579"/>
      <c r="J28" s="578"/>
      <c r="K28" s="577"/>
      <c r="L28" s="576"/>
      <c r="M28" s="576"/>
      <c r="N28" s="576"/>
      <c r="O28" s="576"/>
      <c r="P28" s="575"/>
      <c r="Z28" s="537"/>
    </row>
    <row r="29" spans="1:26" ht="19.5" customHeight="1" x14ac:dyDescent="0.25">
      <c r="A29" s="548"/>
      <c r="B29" s="581">
        <v>5</v>
      </c>
      <c r="C29" s="577" t="s">
        <v>115</v>
      </c>
      <c r="D29" s="576"/>
      <c r="E29" s="576"/>
      <c r="F29" s="576"/>
      <c r="G29" s="575"/>
      <c r="H29" s="580">
        <v>63</v>
      </c>
      <c r="I29" s="579"/>
      <c r="J29" s="578"/>
      <c r="K29" s="577"/>
      <c r="L29" s="576"/>
      <c r="M29" s="576"/>
      <c r="N29" s="576"/>
      <c r="O29" s="576"/>
      <c r="P29" s="575"/>
      <c r="Z29" s="537"/>
    </row>
    <row r="30" spans="1:26" ht="19.5" customHeight="1" x14ac:dyDescent="0.25">
      <c r="A30" s="548"/>
      <c r="B30" s="581">
        <v>6</v>
      </c>
      <c r="C30" s="577" t="s">
        <v>115</v>
      </c>
      <c r="D30" s="576"/>
      <c r="E30" s="576"/>
      <c r="F30" s="576"/>
      <c r="G30" s="575"/>
      <c r="H30" s="580">
        <v>120</v>
      </c>
      <c r="I30" s="579"/>
      <c r="J30" s="578"/>
      <c r="K30" s="577"/>
      <c r="L30" s="576"/>
      <c r="M30" s="576"/>
      <c r="N30" s="576"/>
      <c r="O30" s="576"/>
      <c r="P30" s="575"/>
      <c r="Z30" s="537"/>
    </row>
    <row r="31" spans="1:26" ht="19.5" customHeight="1" x14ac:dyDescent="0.25">
      <c r="A31" s="548"/>
      <c r="B31" s="581">
        <v>7</v>
      </c>
      <c r="C31" s="577" t="s">
        <v>115</v>
      </c>
      <c r="D31" s="576"/>
      <c r="E31" s="576"/>
      <c r="F31" s="576"/>
      <c r="G31" s="575"/>
      <c r="H31" s="580">
        <v>240</v>
      </c>
      <c r="I31" s="579"/>
      <c r="J31" s="578"/>
      <c r="K31" s="577"/>
      <c r="L31" s="576"/>
      <c r="M31" s="576"/>
      <c r="N31" s="576"/>
      <c r="O31" s="576"/>
      <c r="P31" s="575"/>
      <c r="Z31" s="537"/>
    </row>
    <row r="32" spans="1:26" ht="19.5" customHeight="1" x14ac:dyDescent="0.25">
      <c r="A32" s="548"/>
      <c r="B32" s="581">
        <v>8</v>
      </c>
      <c r="C32" s="577" t="s">
        <v>117</v>
      </c>
      <c r="D32" s="576"/>
      <c r="E32" s="576"/>
      <c r="F32" s="576"/>
      <c r="G32" s="575"/>
      <c r="H32" s="580">
        <v>32</v>
      </c>
      <c r="I32" s="579"/>
      <c r="J32" s="578"/>
      <c r="K32" s="577"/>
      <c r="L32" s="576"/>
      <c r="M32" s="576"/>
      <c r="N32" s="576"/>
      <c r="O32" s="576"/>
      <c r="P32" s="575"/>
      <c r="Z32" s="537"/>
    </row>
    <row r="33" spans="1:26" ht="19.5" customHeight="1" x14ac:dyDescent="0.25">
      <c r="A33" s="548"/>
      <c r="B33" s="581">
        <v>9</v>
      </c>
      <c r="C33" s="577" t="s">
        <v>119</v>
      </c>
      <c r="D33" s="576"/>
      <c r="E33" s="576"/>
      <c r="F33" s="576"/>
      <c r="G33" s="575"/>
      <c r="H33" s="580">
        <v>48</v>
      </c>
      <c r="I33" s="579"/>
      <c r="J33" s="578"/>
      <c r="K33" s="667" t="s">
        <v>116</v>
      </c>
      <c r="L33" s="668"/>
      <c r="M33" s="668"/>
      <c r="N33" s="668"/>
      <c r="O33" s="668"/>
      <c r="P33" s="669"/>
      <c r="Z33" s="537"/>
    </row>
    <row r="34" spans="1:26" ht="19.5" customHeight="1" x14ac:dyDescent="0.25">
      <c r="A34" s="548"/>
      <c r="B34" s="581">
        <v>10</v>
      </c>
      <c r="C34" s="577" t="s">
        <v>117</v>
      </c>
      <c r="D34" s="576"/>
      <c r="E34" s="576"/>
      <c r="F34" s="576"/>
      <c r="G34" s="575"/>
      <c r="H34" s="580">
        <v>34</v>
      </c>
      <c r="I34" s="579"/>
      <c r="J34" s="578"/>
      <c r="K34" s="670"/>
      <c r="L34" s="671"/>
      <c r="M34" s="671"/>
      <c r="N34" s="671"/>
      <c r="O34" s="671"/>
      <c r="P34" s="672"/>
      <c r="Z34" s="537"/>
    </row>
    <row r="35" spans="1:26" ht="19.5" customHeight="1" x14ac:dyDescent="0.25">
      <c r="A35" s="548"/>
      <c r="B35" s="581">
        <v>11</v>
      </c>
      <c r="C35" s="577" t="s">
        <v>117</v>
      </c>
      <c r="D35" s="576"/>
      <c r="E35" s="576"/>
      <c r="F35" s="576"/>
      <c r="G35" s="575"/>
      <c r="H35" s="580">
        <v>35</v>
      </c>
      <c r="I35" s="579"/>
      <c r="J35" s="578"/>
      <c r="K35" s="577"/>
      <c r="L35" s="576"/>
      <c r="M35" s="576"/>
      <c r="N35" s="576"/>
      <c r="O35" s="576"/>
      <c r="P35" s="575"/>
      <c r="Z35" s="537"/>
    </row>
    <row r="36" spans="1:26" ht="19.5" customHeight="1" x14ac:dyDescent="0.25">
      <c r="A36" s="548"/>
      <c r="B36" s="581">
        <v>12</v>
      </c>
      <c r="C36" s="577" t="s">
        <v>119</v>
      </c>
      <c r="D36" s="576"/>
      <c r="E36" s="576"/>
      <c r="F36" s="576"/>
      <c r="G36" s="575"/>
      <c r="H36" s="580">
        <v>87</v>
      </c>
      <c r="I36" s="579"/>
      <c r="J36" s="578"/>
      <c r="K36" s="577"/>
      <c r="L36" s="576"/>
      <c r="M36" s="576"/>
      <c r="N36" s="576"/>
      <c r="O36" s="576"/>
      <c r="P36" s="575"/>
      <c r="Z36" s="537"/>
    </row>
    <row r="37" spans="1:26" ht="19.5" customHeight="1" x14ac:dyDescent="0.25">
      <c r="A37" s="548"/>
      <c r="B37" s="581">
        <v>13</v>
      </c>
      <c r="C37" s="577" t="s">
        <v>117</v>
      </c>
      <c r="D37" s="576"/>
      <c r="E37" s="576"/>
      <c r="F37" s="576"/>
      <c r="G37" s="575"/>
      <c r="H37" s="580">
        <v>44</v>
      </c>
      <c r="I37" s="579"/>
      <c r="J37" s="578"/>
      <c r="K37" s="577"/>
      <c r="L37" s="576"/>
      <c r="M37" s="576"/>
      <c r="N37" s="576"/>
      <c r="O37" s="576"/>
      <c r="P37" s="575"/>
      <c r="Z37" s="537"/>
    </row>
    <row r="38" spans="1:26" ht="19.5" customHeight="1" x14ac:dyDescent="0.25">
      <c r="A38" s="548"/>
      <c r="B38" s="581">
        <v>14</v>
      </c>
      <c r="C38" s="577" t="s">
        <v>119</v>
      </c>
      <c r="D38" s="576"/>
      <c r="E38" s="576"/>
      <c r="F38" s="576"/>
      <c r="G38" s="575"/>
      <c r="H38" s="580">
        <v>108</v>
      </c>
      <c r="I38" s="579"/>
      <c r="J38" s="578"/>
      <c r="K38" s="577" t="s">
        <v>118</v>
      </c>
      <c r="L38" s="576"/>
      <c r="M38" s="576"/>
      <c r="N38" s="576"/>
      <c r="O38" s="576"/>
      <c r="P38" s="575"/>
      <c r="Z38" s="537"/>
    </row>
    <row r="39" spans="1:26" ht="19.5" customHeight="1" x14ac:dyDescent="0.25">
      <c r="A39" s="548"/>
      <c r="B39" s="581">
        <v>15</v>
      </c>
      <c r="C39" s="577" t="s">
        <v>117</v>
      </c>
      <c r="D39" s="576"/>
      <c r="E39" s="576"/>
      <c r="F39" s="576"/>
      <c r="G39" s="575"/>
      <c r="H39" s="580" t="s">
        <v>85</v>
      </c>
      <c r="I39" s="579"/>
      <c r="J39" s="578"/>
      <c r="K39" s="577"/>
      <c r="L39" s="576"/>
      <c r="M39" s="576"/>
      <c r="N39" s="576"/>
      <c r="O39" s="576"/>
      <c r="P39" s="575"/>
      <c r="Z39" s="537"/>
    </row>
    <row r="40" spans="1:26" ht="19.5" customHeight="1" x14ac:dyDescent="0.25">
      <c r="A40" s="548"/>
      <c r="B40" s="581">
        <v>16</v>
      </c>
      <c r="C40" s="577" t="s">
        <v>115</v>
      </c>
      <c r="D40" s="576"/>
      <c r="E40" s="576"/>
      <c r="F40" s="576"/>
      <c r="G40" s="575"/>
      <c r="H40" s="580">
        <v>81</v>
      </c>
      <c r="I40" s="579"/>
      <c r="J40" s="578"/>
      <c r="K40" s="577"/>
      <c r="L40" s="576"/>
      <c r="M40" s="576"/>
      <c r="N40" s="576"/>
      <c r="O40" s="576"/>
      <c r="P40" s="575"/>
      <c r="Z40" s="537"/>
    </row>
    <row r="41" spans="1:26" ht="19.5" customHeight="1" x14ac:dyDescent="0.25">
      <c r="A41" s="548"/>
      <c r="B41" s="581">
        <v>17</v>
      </c>
      <c r="C41" s="577" t="s">
        <v>117</v>
      </c>
      <c r="D41" s="576"/>
      <c r="E41" s="576"/>
      <c r="F41" s="576"/>
      <c r="G41" s="575"/>
      <c r="H41" s="580">
        <v>47</v>
      </c>
      <c r="I41" s="579"/>
      <c r="J41" s="578"/>
      <c r="K41" s="577"/>
      <c r="L41" s="576"/>
      <c r="M41" s="576"/>
      <c r="N41" s="576"/>
      <c r="O41" s="576"/>
      <c r="P41" s="575"/>
      <c r="Z41" s="537"/>
    </row>
    <row r="42" spans="1:26" ht="19.5" customHeight="1" x14ac:dyDescent="0.25">
      <c r="A42" s="548"/>
      <c r="B42" s="581">
        <v>18</v>
      </c>
      <c r="C42" s="577" t="s">
        <v>115</v>
      </c>
      <c r="D42" s="576"/>
      <c r="E42" s="576"/>
      <c r="F42" s="576"/>
      <c r="G42" s="575"/>
      <c r="H42" s="580">
        <v>104</v>
      </c>
      <c r="I42" s="579"/>
      <c r="J42" s="578"/>
      <c r="K42" s="577"/>
      <c r="L42" s="576"/>
      <c r="M42" s="576"/>
      <c r="N42" s="576"/>
      <c r="O42" s="576"/>
      <c r="P42" s="575"/>
      <c r="Z42" s="537"/>
    </row>
    <row r="43" spans="1:26" ht="19.5" customHeight="1" x14ac:dyDescent="0.25">
      <c r="A43" s="548"/>
      <c r="B43" s="581">
        <v>19</v>
      </c>
      <c r="C43" s="577" t="s">
        <v>117</v>
      </c>
      <c r="D43" s="576"/>
      <c r="E43" s="576"/>
      <c r="F43" s="576"/>
      <c r="G43" s="575"/>
      <c r="H43" s="580">
        <v>88</v>
      </c>
      <c r="I43" s="579"/>
      <c r="J43" s="578"/>
      <c r="K43" s="577"/>
      <c r="L43" s="576"/>
      <c r="M43" s="576"/>
      <c r="N43" s="576"/>
      <c r="O43" s="576"/>
      <c r="P43" s="575"/>
      <c r="Z43" s="537"/>
    </row>
    <row r="44" spans="1:26" ht="19.5" customHeight="1" x14ac:dyDescent="0.25">
      <c r="A44" s="548"/>
      <c r="B44" s="581">
        <v>20</v>
      </c>
      <c r="C44" s="577" t="s">
        <v>115</v>
      </c>
      <c r="D44" s="576"/>
      <c r="E44" s="576"/>
      <c r="F44" s="576"/>
      <c r="G44" s="575"/>
      <c r="H44" s="580">
        <v>50</v>
      </c>
      <c r="I44" s="579"/>
      <c r="J44" s="578"/>
      <c r="K44" s="577"/>
      <c r="L44" s="576"/>
      <c r="M44" s="576"/>
      <c r="N44" s="576"/>
      <c r="O44" s="576"/>
      <c r="P44" s="575"/>
      <c r="Z44" s="537"/>
    </row>
    <row r="45" spans="1:26" ht="19.5" customHeight="1" x14ac:dyDescent="0.25">
      <c r="A45" s="548"/>
      <c r="B45" s="581">
        <v>21</v>
      </c>
      <c r="C45" s="577" t="s">
        <v>117</v>
      </c>
      <c r="D45" s="576"/>
      <c r="E45" s="576"/>
      <c r="F45" s="576"/>
      <c r="G45" s="575"/>
      <c r="H45" s="580">
        <v>50</v>
      </c>
      <c r="I45" s="579"/>
      <c r="J45" s="578"/>
      <c r="K45" s="577"/>
      <c r="L45" s="576"/>
      <c r="M45" s="576"/>
      <c r="N45" s="576"/>
      <c r="O45" s="576"/>
      <c r="P45" s="575"/>
      <c r="Z45" s="537"/>
    </row>
    <row r="46" spans="1:26" ht="19.5" customHeight="1" x14ac:dyDescent="0.25">
      <c r="A46" s="548"/>
      <c r="B46" s="581">
        <v>22</v>
      </c>
      <c r="C46" s="577" t="s">
        <v>115</v>
      </c>
      <c r="D46" s="576"/>
      <c r="E46" s="576"/>
      <c r="F46" s="576"/>
      <c r="G46" s="575"/>
      <c r="H46" s="580">
        <v>61</v>
      </c>
      <c r="I46" s="579"/>
      <c r="J46" s="578"/>
      <c r="K46" s="577"/>
      <c r="L46" s="576"/>
      <c r="M46" s="576"/>
      <c r="N46" s="576"/>
      <c r="O46" s="576"/>
      <c r="P46" s="575"/>
      <c r="Z46" s="537"/>
    </row>
    <row r="47" spans="1:26" ht="19.5" customHeight="1" x14ac:dyDescent="0.25">
      <c r="A47" s="548"/>
      <c r="B47" s="581">
        <v>23</v>
      </c>
      <c r="C47" s="577" t="s">
        <v>117</v>
      </c>
      <c r="D47" s="576"/>
      <c r="E47" s="576"/>
      <c r="F47" s="576"/>
      <c r="G47" s="575"/>
      <c r="H47" s="580">
        <v>70</v>
      </c>
      <c r="I47" s="579"/>
      <c r="J47" s="578"/>
      <c r="K47" s="577"/>
      <c r="L47" s="576"/>
      <c r="M47" s="576"/>
      <c r="N47" s="576"/>
      <c r="O47" s="576"/>
      <c r="P47" s="575"/>
      <c r="Z47" s="537"/>
    </row>
    <row r="48" spans="1:26" ht="19.5" customHeight="1" thickBot="1" x14ac:dyDescent="0.3">
      <c r="A48" s="548"/>
      <c r="B48" s="574"/>
      <c r="C48" s="569"/>
      <c r="D48" s="569"/>
      <c r="E48" s="569"/>
      <c r="F48" s="569"/>
      <c r="G48" s="568"/>
      <c r="H48" s="573"/>
      <c r="I48" s="572"/>
      <c r="J48" s="571"/>
      <c r="K48" s="570"/>
      <c r="L48" s="569"/>
      <c r="M48" s="569"/>
      <c r="N48" s="569"/>
      <c r="O48" s="569"/>
      <c r="P48" s="568"/>
      <c r="Z48" s="537"/>
    </row>
    <row r="49" spans="1:26" ht="15.75" customHeight="1" x14ac:dyDescent="0.25">
      <c r="A49" s="548"/>
      <c r="B49" s="567" t="s">
        <v>38</v>
      </c>
      <c r="C49" s="566"/>
      <c r="D49" s="566"/>
      <c r="E49" s="566"/>
      <c r="F49" s="566"/>
      <c r="G49" s="565"/>
      <c r="H49" s="564">
        <f>AVERAGE(H25:J48)</f>
        <v>76.545454545454547</v>
      </c>
      <c r="I49" s="563"/>
      <c r="J49" s="562"/>
      <c r="K49" s="561">
        <v>69.569999999999993</v>
      </c>
      <c r="L49" s="560"/>
      <c r="M49" s="559" t="s">
        <v>39</v>
      </c>
      <c r="N49" s="559"/>
      <c r="O49" s="559"/>
      <c r="P49" s="558"/>
      <c r="Z49" s="537"/>
    </row>
    <row r="50" spans="1:26" ht="15.75" customHeight="1" x14ac:dyDescent="0.25">
      <c r="A50" s="548"/>
      <c r="B50" s="557" t="s">
        <v>40</v>
      </c>
      <c r="C50" s="556"/>
      <c r="D50" s="556"/>
      <c r="E50" s="556"/>
      <c r="F50" s="556"/>
      <c r="G50" s="555"/>
      <c r="H50" s="554" t="str">
        <f>IF(COUNTIF(H25:J48,"*&lt;20*"),"&lt;20",MIN(H25:J48))</f>
        <v>&lt;20</v>
      </c>
      <c r="I50" s="553"/>
      <c r="J50" s="552"/>
      <c r="K50" s="551"/>
      <c r="L50" s="550"/>
      <c r="M50" s="483"/>
      <c r="N50" s="483"/>
      <c r="O50" s="483"/>
      <c r="P50" s="549"/>
      <c r="Z50" s="537"/>
    </row>
    <row r="51" spans="1:26" ht="15.75" customHeight="1" thickBot="1" x14ac:dyDescent="0.3">
      <c r="A51" s="548"/>
      <c r="B51" s="547" t="s">
        <v>41</v>
      </c>
      <c r="C51" s="546"/>
      <c r="D51" s="546"/>
      <c r="E51" s="546"/>
      <c r="F51" s="546"/>
      <c r="G51" s="545"/>
      <c r="H51" s="544">
        <f>IF(COUNTIF(H25:J48,"*&gt;250*"),"&gt;250",MAX(H25:J48))</f>
        <v>240</v>
      </c>
      <c r="I51" s="543"/>
      <c r="J51" s="542"/>
      <c r="K51" s="541"/>
      <c r="L51" s="540"/>
      <c r="M51" s="539"/>
      <c r="N51" s="539"/>
      <c r="O51" s="539"/>
      <c r="P51" s="538"/>
      <c r="Z51" s="537"/>
    </row>
    <row r="52" spans="1:26" ht="15.9" customHeight="1" x14ac:dyDescent="0.25">
      <c r="A52" s="536"/>
      <c r="B52" s="535"/>
      <c r="C52" s="534"/>
      <c r="D52" s="534"/>
      <c r="E52" s="534"/>
      <c r="F52" s="534"/>
      <c r="G52" s="534"/>
      <c r="H52" s="534"/>
      <c r="I52" s="534"/>
      <c r="J52" s="534"/>
      <c r="K52" s="534"/>
      <c r="L52" s="534"/>
      <c r="M52" s="534"/>
      <c r="N52" s="534"/>
      <c r="O52" s="534"/>
      <c r="P52" s="534"/>
      <c r="Q52" s="534"/>
      <c r="R52" s="534"/>
      <c r="S52" s="534"/>
      <c r="T52" s="534"/>
      <c r="U52" s="534"/>
      <c r="V52" s="534"/>
      <c r="W52" s="534"/>
      <c r="X52" s="534"/>
      <c r="Y52" s="534"/>
      <c r="Z52" s="533"/>
    </row>
    <row r="53" spans="1:26" ht="12.75" customHeight="1" x14ac:dyDescent="0.25">
      <c r="A53" s="532"/>
      <c r="B53" s="531"/>
    </row>
    <row r="54" spans="1:26" s="469" customFormat="1" ht="15.6" customHeight="1" x14ac:dyDescent="0.25">
      <c r="A54" s="530" t="s">
        <v>42</v>
      </c>
      <c r="B54" s="529" t="s">
        <v>43</v>
      </c>
      <c r="C54" s="528"/>
      <c r="D54" s="528"/>
      <c r="E54" s="528"/>
      <c r="F54" s="527"/>
      <c r="G54" s="527"/>
      <c r="H54" s="527"/>
      <c r="I54" s="526"/>
      <c r="J54" s="526"/>
      <c r="K54" s="526"/>
      <c r="L54" s="526"/>
      <c r="M54" s="526"/>
      <c r="N54" s="526"/>
      <c r="O54" s="526"/>
      <c r="P54" s="526"/>
      <c r="Q54" s="526"/>
      <c r="R54" s="526"/>
      <c r="S54" s="526"/>
      <c r="T54" s="526"/>
      <c r="U54" s="525"/>
      <c r="V54" s="524"/>
      <c r="W54" s="524"/>
      <c r="X54" s="523"/>
      <c r="Y54" s="523"/>
      <c r="Z54" s="522"/>
    </row>
    <row r="55" spans="1:26" s="469" customFormat="1" ht="28.5" customHeight="1" x14ac:dyDescent="0.25">
      <c r="A55" s="521" t="s">
        <v>44</v>
      </c>
      <c r="B55" s="520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19"/>
      <c r="R55" s="487" t="s">
        <v>45</v>
      </c>
      <c r="S55" s="486"/>
      <c r="T55" s="485"/>
      <c r="U55" s="518" t="s">
        <v>109</v>
      </c>
      <c r="V55" s="517"/>
      <c r="W55" s="517"/>
      <c r="X55" s="516"/>
      <c r="Y55" s="516"/>
      <c r="Z55" s="515"/>
    </row>
    <row r="56" spans="1:26" s="469" customFormat="1" ht="15.6" customHeight="1" x14ac:dyDescent="0.25">
      <c r="A56" s="514" t="s">
        <v>105</v>
      </c>
      <c r="B56" s="513"/>
      <c r="C56" s="513"/>
      <c r="D56" s="513"/>
      <c r="E56" s="513"/>
      <c r="F56" s="513"/>
      <c r="G56" s="513"/>
      <c r="H56" s="513"/>
      <c r="I56" s="513"/>
      <c r="J56" s="513"/>
      <c r="K56" s="513"/>
      <c r="L56" s="513"/>
      <c r="M56" s="513"/>
      <c r="N56" s="513"/>
      <c r="O56" s="513"/>
      <c r="P56" s="513"/>
      <c r="Q56" s="512"/>
      <c r="R56" s="487" t="s">
        <v>47</v>
      </c>
      <c r="S56" s="486"/>
      <c r="T56" s="485"/>
      <c r="U56" s="511" t="s">
        <v>108</v>
      </c>
      <c r="V56" s="510"/>
      <c r="W56" s="510"/>
      <c r="X56" s="509"/>
      <c r="Y56" s="509"/>
      <c r="Z56" s="508"/>
    </row>
    <row r="57" spans="1:26" s="469" customFormat="1" ht="15.6" customHeight="1" x14ac:dyDescent="0.25">
      <c r="A57" s="507"/>
      <c r="B57" s="506"/>
      <c r="C57" s="506"/>
      <c r="D57" s="506"/>
      <c r="E57" s="506"/>
      <c r="F57" s="506"/>
      <c r="G57" s="506"/>
      <c r="H57" s="506"/>
      <c r="I57" s="506"/>
      <c r="J57" s="506"/>
      <c r="K57" s="506"/>
      <c r="L57" s="506"/>
      <c r="M57" s="506"/>
      <c r="N57" s="506"/>
      <c r="O57" s="506"/>
      <c r="P57" s="506"/>
      <c r="Q57" s="505"/>
      <c r="R57" s="487"/>
      <c r="S57" s="486"/>
      <c r="T57" s="485"/>
      <c r="U57" s="504"/>
      <c r="V57" s="483"/>
      <c r="W57" s="483"/>
      <c r="X57" s="503"/>
      <c r="Y57" s="503"/>
      <c r="Z57" s="502"/>
    </row>
    <row r="58" spans="1:26" s="469" customFormat="1" ht="15.6" customHeight="1" x14ac:dyDescent="0.25">
      <c r="A58" s="501" t="s">
        <v>48</v>
      </c>
      <c r="B58" s="500" t="s">
        <v>49</v>
      </c>
      <c r="C58" s="467"/>
      <c r="D58" s="467"/>
      <c r="E58" s="499"/>
      <c r="F58" s="499"/>
      <c r="G58" s="499"/>
      <c r="H58" s="499"/>
      <c r="I58" s="499"/>
      <c r="J58" s="499"/>
      <c r="K58" s="499"/>
      <c r="L58" s="499"/>
      <c r="M58" s="499"/>
      <c r="N58" s="499"/>
      <c r="O58" s="499"/>
      <c r="P58" s="499"/>
      <c r="Q58" s="498"/>
      <c r="R58" s="487"/>
      <c r="S58" s="486"/>
      <c r="T58" s="485"/>
      <c r="U58" s="497"/>
      <c r="V58" s="496"/>
      <c r="W58" s="496"/>
      <c r="X58" s="495"/>
      <c r="Y58" s="495"/>
      <c r="Z58" s="494"/>
    </row>
    <row r="59" spans="1:26" s="469" customFormat="1" ht="15.6" customHeight="1" x14ac:dyDescent="0.25">
      <c r="A59" s="490"/>
      <c r="B59" s="489"/>
      <c r="C59" s="489"/>
      <c r="D59" s="489"/>
      <c r="E59" s="489"/>
      <c r="F59" s="489"/>
      <c r="G59" s="489"/>
      <c r="H59" s="489"/>
      <c r="I59" s="489"/>
      <c r="J59" s="489"/>
      <c r="K59" s="489"/>
      <c r="L59" s="489"/>
      <c r="M59" s="489"/>
      <c r="N59" s="489"/>
      <c r="O59" s="489"/>
      <c r="P59" s="489"/>
      <c r="Q59" s="488"/>
      <c r="R59" s="487" t="s">
        <v>50</v>
      </c>
      <c r="S59" s="486"/>
      <c r="T59" s="485"/>
      <c r="U59" s="493"/>
      <c r="V59" s="492"/>
      <c r="W59" s="492"/>
      <c r="X59" s="492"/>
      <c r="Y59" s="492"/>
      <c r="Z59" s="491"/>
    </row>
    <row r="60" spans="1:26" s="469" customFormat="1" ht="15.6" customHeight="1" x14ac:dyDescent="0.25">
      <c r="A60" s="490"/>
      <c r="B60" s="489"/>
      <c r="C60" s="489"/>
      <c r="D60" s="489"/>
      <c r="E60" s="489"/>
      <c r="F60" s="489"/>
      <c r="G60" s="489"/>
      <c r="H60" s="489"/>
      <c r="I60" s="489"/>
      <c r="J60" s="489"/>
      <c r="K60" s="489"/>
      <c r="L60" s="489"/>
      <c r="M60" s="489"/>
      <c r="N60" s="489"/>
      <c r="O60" s="489"/>
      <c r="P60" s="489"/>
      <c r="Q60" s="488"/>
      <c r="R60" s="487"/>
      <c r="S60" s="486"/>
      <c r="T60" s="485"/>
      <c r="U60" s="484"/>
      <c r="V60" s="483"/>
      <c r="W60" s="483"/>
      <c r="X60" s="483"/>
      <c r="Y60" s="483"/>
      <c r="Z60" s="482"/>
    </row>
    <row r="61" spans="1:26" s="469" customFormat="1" ht="15.6" customHeight="1" x14ac:dyDescent="0.25">
      <c r="A61" s="490"/>
      <c r="B61" s="489"/>
      <c r="C61" s="489"/>
      <c r="D61" s="489"/>
      <c r="E61" s="489"/>
      <c r="F61" s="489"/>
      <c r="G61" s="489"/>
      <c r="H61" s="489"/>
      <c r="I61" s="489"/>
      <c r="J61" s="489"/>
      <c r="K61" s="489"/>
      <c r="L61" s="489"/>
      <c r="M61" s="489"/>
      <c r="N61" s="489"/>
      <c r="O61" s="489"/>
      <c r="P61" s="489"/>
      <c r="Q61" s="488"/>
      <c r="R61" s="487"/>
      <c r="S61" s="486"/>
      <c r="T61" s="485"/>
      <c r="U61" s="484"/>
      <c r="V61" s="483"/>
      <c r="W61" s="483"/>
      <c r="X61" s="483"/>
      <c r="Y61" s="483"/>
      <c r="Z61" s="482"/>
    </row>
    <row r="62" spans="1:26" s="469" customFormat="1" ht="15.6" customHeight="1" x14ac:dyDescent="0.25">
      <c r="A62" s="481"/>
      <c r="B62" s="480"/>
      <c r="C62" s="480"/>
      <c r="D62" s="480"/>
      <c r="E62" s="480"/>
      <c r="F62" s="480"/>
      <c r="G62" s="480"/>
      <c r="H62" s="480"/>
      <c r="I62" s="480"/>
      <c r="J62" s="480"/>
      <c r="K62" s="480"/>
      <c r="L62" s="480"/>
      <c r="M62" s="480"/>
      <c r="N62" s="480"/>
      <c r="O62" s="480"/>
      <c r="P62" s="480"/>
      <c r="Q62" s="479"/>
      <c r="R62" s="478"/>
      <c r="S62" s="477"/>
      <c r="T62" s="476"/>
      <c r="U62" s="475"/>
      <c r="V62" s="474"/>
      <c r="W62" s="474"/>
      <c r="X62" s="474"/>
      <c r="Y62" s="474"/>
      <c r="Z62" s="473"/>
    </row>
    <row r="63" spans="1:26" s="469" customFormat="1" ht="15" customHeight="1" x14ac:dyDescent="0.25">
      <c r="A63" s="472"/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2"/>
      <c r="N63" s="472"/>
      <c r="O63" s="472"/>
      <c r="P63" s="472"/>
      <c r="Q63" s="472"/>
      <c r="R63" s="471"/>
      <c r="S63" s="471"/>
      <c r="T63" s="471"/>
      <c r="U63" s="470"/>
      <c r="V63" s="470"/>
      <c r="W63" s="470"/>
      <c r="X63" s="470"/>
      <c r="Y63" s="470"/>
      <c r="Z63" s="470"/>
    </row>
    <row r="65" spans="1:1" ht="12.75" customHeight="1" x14ac:dyDescent="0.25">
      <c r="A65" s="467"/>
    </row>
    <row r="66" spans="1:1" ht="12.75" customHeight="1" x14ac:dyDescent="0.25">
      <c r="A66" s="467"/>
    </row>
    <row r="67" spans="1:1" ht="12.75" customHeight="1" x14ac:dyDescent="0.25">
      <c r="A67" s="467"/>
    </row>
    <row r="68" spans="1:1" ht="12.75" customHeight="1" x14ac:dyDescent="0.25">
      <c r="A68" s="467"/>
    </row>
    <row r="69" spans="1:1" ht="12.75" customHeight="1" x14ac:dyDescent="0.25">
      <c r="A69" s="467"/>
    </row>
    <row r="70" spans="1:1" ht="12.75" customHeight="1" x14ac:dyDescent="0.25">
      <c r="A70" s="467"/>
    </row>
  </sheetData>
  <sheetProtection formatCells="0" formatColumns="0" formatRows="0" insertColumns="0" insertRows="0" insertHyperlinks="0" deleteColumns="0" deleteRows="0" selectLockedCells="1" sort="0" autoFilter="0" pivotTables="0"/>
  <mergeCells count="123">
    <mergeCell ref="B17:H17"/>
    <mergeCell ref="B12:G12"/>
    <mergeCell ref="B11:G11"/>
    <mergeCell ref="K33:P34"/>
    <mergeCell ref="U1:Z6"/>
    <mergeCell ref="K25:P25"/>
    <mergeCell ref="M49:P51"/>
    <mergeCell ref="K49:L51"/>
    <mergeCell ref="S12:Y12"/>
    <mergeCell ref="K23:P24"/>
    <mergeCell ref="I17:Y17"/>
    <mergeCell ref="S11:Y11"/>
    <mergeCell ref="H48:J48"/>
    <mergeCell ref="K48:P48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A59:Q62"/>
    <mergeCell ref="R59:T62"/>
    <mergeCell ref="A55:Q55"/>
    <mergeCell ref="R55:T55"/>
    <mergeCell ref="A56:Q57"/>
    <mergeCell ref="R56:T58"/>
    <mergeCell ref="C48:G48"/>
    <mergeCell ref="B50:G50"/>
    <mergeCell ref="B51:G51"/>
    <mergeCell ref="B49:G49"/>
    <mergeCell ref="U55:Z55"/>
    <mergeCell ref="U56:Z58"/>
    <mergeCell ref="H51:J51"/>
    <mergeCell ref="H49:J49"/>
    <mergeCell ref="H50:J50"/>
    <mergeCell ref="V60:Y61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C34:G34"/>
    <mergeCell ref="H34:J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  <mergeCell ref="C46:G46"/>
    <mergeCell ref="H46:J46"/>
    <mergeCell ref="K46:P46"/>
    <mergeCell ref="C47:G47"/>
    <mergeCell ref="H47:J47"/>
    <mergeCell ref="K47:P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817F-35F8-40A6-A345-ADD184797E47}">
  <sheetPr>
    <pageSetUpPr fitToPage="1"/>
  </sheetPr>
  <dimension ref="A1:AA76"/>
  <sheetViews>
    <sheetView topLeftCell="A44"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16</v>
      </c>
      <c r="J5" s="243"/>
      <c r="K5" s="244"/>
      <c r="L5" s="246" t="s">
        <v>66</v>
      </c>
      <c r="M5" s="247"/>
      <c r="N5" s="247"/>
      <c r="O5" s="248"/>
      <c r="P5" s="249" t="s">
        <v>97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98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97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62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107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77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212"/>
      <c r="D25" s="213"/>
      <c r="E25" s="213"/>
      <c r="F25" s="213"/>
      <c r="G25" s="214"/>
      <c r="H25" s="253">
        <v>94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12"/>
      <c r="D26" s="213"/>
      <c r="E26" s="213"/>
      <c r="F26" s="213"/>
      <c r="G26" s="214"/>
      <c r="H26" s="253">
        <v>71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12"/>
      <c r="D27" s="213"/>
      <c r="E27" s="213"/>
      <c r="F27" s="213"/>
      <c r="G27" s="214"/>
      <c r="H27" s="253">
        <v>75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12"/>
      <c r="D28" s="213"/>
      <c r="E28" s="213"/>
      <c r="F28" s="213"/>
      <c r="G28" s="214"/>
      <c r="H28" s="253">
        <v>115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12"/>
      <c r="D29" s="213"/>
      <c r="E29" s="213"/>
      <c r="F29" s="213"/>
      <c r="G29" s="214"/>
      <c r="H29" s="253">
        <v>95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41"/>
      <c r="C30" s="108"/>
      <c r="D30" s="107"/>
      <c r="E30" s="107"/>
      <c r="F30" s="107"/>
      <c r="G30" s="106"/>
      <c r="H30" s="111"/>
      <c r="I30" s="110"/>
      <c r="J30" s="109"/>
      <c r="K30" s="108"/>
      <c r="L30" s="107"/>
      <c r="M30" s="107"/>
      <c r="N30" s="107"/>
      <c r="O30" s="107"/>
      <c r="P30" s="106"/>
      <c r="Z30" s="103"/>
    </row>
    <row r="31" spans="1:26" ht="19.5" customHeight="1" x14ac:dyDescent="0.25">
      <c r="A31" s="104"/>
      <c r="B31" s="141"/>
      <c r="C31" s="108"/>
      <c r="D31" s="107"/>
      <c r="E31" s="107"/>
      <c r="F31" s="107"/>
      <c r="G31" s="106"/>
      <c r="H31" s="111"/>
      <c r="I31" s="110"/>
      <c r="J31" s="109"/>
      <c r="K31" s="108"/>
      <c r="L31" s="107"/>
      <c r="M31" s="107"/>
      <c r="N31" s="107"/>
      <c r="O31" s="107"/>
      <c r="P31" s="106"/>
      <c r="Z31" s="103"/>
    </row>
    <row r="32" spans="1:26" ht="19.5" customHeight="1" x14ac:dyDescent="0.25">
      <c r="A32" s="104"/>
      <c r="B32" s="141"/>
      <c r="C32" s="108"/>
      <c r="D32" s="107"/>
      <c r="E32" s="107"/>
      <c r="F32" s="107"/>
      <c r="G32" s="106"/>
      <c r="H32" s="111"/>
      <c r="I32" s="110"/>
      <c r="J32" s="109"/>
      <c r="K32" s="108"/>
      <c r="L32" s="107"/>
      <c r="M32" s="107"/>
      <c r="N32" s="107"/>
      <c r="O32" s="107"/>
      <c r="P32" s="106"/>
      <c r="Z32" s="103"/>
    </row>
    <row r="33" spans="1:26" ht="19.5" customHeight="1" x14ac:dyDescent="0.25">
      <c r="A33" s="104"/>
      <c r="B33" s="141"/>
      <c r="C33" s="108"/>
      <c r="D33" s="107"/>
      <c r="E33" s="107"/>
      <c r="F33" s="107"/>
      <c r="G33" s="106"/>
      <c r="H33" s="111"/>
      <c r="I33" s="110"/>
      <c r="J33" s="109"/>
      <c r="K33" s="108"/>
      <c r="L33" s="107"/>
      <c r="M33" s="107"/>
      <c r="N33" s="107"/>
      <c r="O33" s="107"/>
      <c r="P33" s="106"/>
      <c r="Z33" s="103"/>
    </row>
    <row r="34" spans="1:26" ht="19.5" customHeight="1" x14ac:dyDescent="0.25">
      <c r="A34" s="104"/>
      <c r="B34" s="141"/>
      <c r="C34" s="108"/>
      <c r="D34" s="107"/>
      <c r="E34" s="107"/>
      <c r="F34" s="107"/>
      <c r="G34" s="106"/>
      <c r="H34" s="111"/>
      <c r="I34" s="110"/>
      <c r="J34" s="109"/>
      <c r="K34" s="108"/>
      <c r="L34" s="107"/>
      <c r="M34" s="107"/>
      <c r="N34" s="107"/>
      <c r="O34" s="107"/>
      <c r="P34" s="106"/>
      <c r="Z34" s="103"/>
    </row>
    <row r="35" spans="1:26" ht="19.5" customHeight="1" x14ac:dyDescent="0.25">
      <c r="A35" s="104"/>
      <c r="B35" s="141"/>
      <c r="C35" s="108"/>
      <c r="D35" s="107"/>
      <c r="E35" s="107"/>
      <c r="F35" s="107"/>
      <c r="G35" s="106"/>
      <c r="H35" s="111"/>
      <c r="I35" s="110"/>
      <c r="J35" s="109"/>
      <c r="K35" s="108"/>
      <c r="L35" s="107"/>
      <c r="M35" s="107"/>
      <c r="N35" s="107"/>
      <c r="O35" s="107"/>
      <c r="P35" s="106"/>
      <c r="Z35" s="103"/>
    </row>
    <row r="36" spans="1:26" ht="19.5" customHeight="1" x14ac:dyDescent="0.25">
      <c r="A36" s="104"/>
      <c r="B36" s="141"/>
      <c r="C36" s="108"/>
      <c r="D36" s="107"/>
      <c r="E36" s="107"/>
      <c r="F36" s="107"/>
      <c r="G36" s="106"/>
      <c r="H36" s="111"/>
      <c r="I36" s="110"/>
      <c r="J36" s="109"/>
      <c r="K36" s="108"/>
      <c r="L36" s="107"/>
      <c r="M36" s="107"/>
      <c r="N36" s="107"/>
      <c r="O36" s="107"/>
      <c r="P36" s="106"/>
      <c r="Z36" s="103"/>
    </row>
    <row r="37" spans="1:26" ht="19.5" customHeight="1" x14ac:dyDescent="0.25">
      <c r="A37" s="104"/>
      <c r="B37" s="141"/>
      <c r="C37" s="108"/>
      <c r="D37" s="107"/>
      <c r="E37" s="107"/>
      <c r="F37" s="107"/>
      <c r="G37" s="106"/>
      <c r="H37" s="111"/>
      <c r="I37" s="110"/>
      <c r="J37" s="109"/>
      <c r="K37" s="108"/>
      <c r="L37" s="107"/>
      <c r="M37" s="107"/>
      <c r="N37" s="107"/>
      <c r="O37" s="107"/>
      <c r="P37" s="106"/>
      <c r="Z37" s="103"/>
    </row>
    <row r="38" spans="1:26" ht="19.5" customHeight="1" x14ac:dyDescent="0.25">
      <c r="A38" s="104"/>
      <c r="B38" s="141"/>
      <c r="C38" s="108"/>
      <c r="D38" s="107"/>
      <c r="E38" s="107"/>
      <c r="F38" s="107"/>
      <c r="G38" s="106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08"/>
      <c r="D39" s="107"/>
      <c r="E39" s="107"/>
      <c r="F39" s="107"/>
      <c r="G39" s="106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08"/>
      <c r="D40" s="107"/>
      <c r="E40" s="107"/>
      <c r="F40" s="107"/>
      <c r="G40" s="106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08"/>
      <c r="D41" s="107"/>
      <c r="E41" s="107"/>
      <c r="F41" s="107"/>
      <c r="G41" s="106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08"/>
      <c r="D42" s="107"/>
      <c r="E42" s="107"/>
      <c r="F42" s="107"/>
      <c r="G42" s="106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08"/>
      <c r="D43" s="107"/>
      <c r="E43" s="107"/>
      <c r="F43" s="107"/>
      <c r="G43" s="106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08"/>
      <c r="D44" s="107"/>
      <c r="E44" s="107"/>
      <c r="F44" s="107"/>
      <c r="G44" s="106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08"/>
      <c r="D45" s="107"/>
      <c r="E45" s="107"/>
      <c r="F45" s="107"/>
      <c r="G45" s="106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08"/>
      <c r="D46" s="107"/>
      <c r="E46" s="107"/>
      <c r="F46" s="107"/>
      <c r="G46" s="106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08"/>
      <c r="D47" s="107"/>
      <c r="E47" s="107"/>
      <c r="F47" s="107"/>
      <c r="G47" s="106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08"/>
      <c r="D48" s="107"/>
      <c r="E48" s="107"/>
      <c r="F48" s="107"/>
      <c r="G48" s="106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08"/>
      <c r="D49" s="107"/>
      <c r="E49" s="107"/>
      <c r="F49" s="107"/>
      <c r="G49" s="106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08"/>
      <c r="D50" s="107"/>
      <c r="E50" s="107"/>
      <c r="F50" s="107"/>
      <c r="G50" s="106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08"/>
      <c r="D51" s="107"/>
      <c r="E51" s="107"/>
      <c r="F51" s="107"/>
      <c r="G51" s="106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08"/>
      <c r="D52" s="107"/>
      <c r="E52" s="107"/>
      <c r="F52" s="107"/>
      <c r="G52" s="106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08"/>
      <c r="D53" s="107"/>
      <c r="E53" s="107"/>
      <c r="F53" s="107"/>
      <c r="G53" s="106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90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71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115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70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A61:Q61"/>
    <mergeCell ref="R61:T61"/>
    <mergeCell ref="H12:M12"/>
    <mergeCell ref="H11:M11"/>
    <mergeCell ref="N11:R11"/>
    <mergeCell ref="U61:Z61"/>
    <mergeCell ref="A62:Q63"/>
    <mergeCell ref="R62:T64"/>
    <mergeCell ref="U62:Z64"/>
    <mergeCell ref="H56:J5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5366-63E1-4D94-97BC-E71E2EF40D8D}">
  <sheetPr>
    <pageSetUpPr fitToPage="1"/>
  </sheetPr>
  <dimension ref="A1:AA76"/>
  <sheetViews>
    <sheetView topLeftCell="A31" workbookViewId="0">
      <selection activeCell="T51" sqref="T51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15</v>
      </c>
      <c r="J5" s="243"/>
      <c r="K5" s="244"/>
      <c r="L5" s="246" t="s">
        <v>66</v>
      </c>
      <c r="M5" s="247"/>
      <c r="N5" s="247"/>
      <c r="O5" s="248"/>
      <c r="P5" s="249" t="s">
        <v>97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98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97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62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103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77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31</v>
      </c>
      <c r="C25" s="212"/>
      <c r="D25" s="213"/>
      <c r="E25" s="213"/>
      <c r="F25" s="213"/>
      <c r="G25" s="214"/>
      <c r="H25" s="253">
        <v>59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32</v>
      </c>
      <c r="C26" s="212"/>
      <c r="D26" s="213"/>
      <c r="E26" s="213"/>
      <c r="F26" s="213"/>
      <c r="G26" s="214"/>
      <c r="H26" s="253">
        <v>51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33</v>
      </c>
      <c r="C27" s="212"/>
      <c r="D27" s="213"/>
      <c r="E27" s="213"/>
      <c r="F27" s="213"/>
      <c r="G27" s="214"/>
      <c r="H27" s="253">
        <v>50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34</v>
      </c>
      <c r="C28" s="212"/>
      <c r="D28" s="213"/>
      <c r="E28" s="213"/>
      <c r="F28" s="213"/>
      <c r="G28" s="214"/>
      <c r="H28" s="253">
        <v>53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35</v>
      </c>
      <c r="C29" s="212"/>
      <c r="D29" s="213"/>
      <c r="E29" s="213"/>
      <c r="F29" s="213"/>
      <c r="G29" s="214"/>
      <c r="H29" s="253">
        <v>90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36</v>
      </c>
      <c r="C30" s="212"/>
      <c r="D30" s="213"/>
      <c r="E30" s="213"/>
      <c r="F30" s="213"/>
      <c r="G30" s="214"/>
      <c r="H30" s="253">
        <v>75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37</v>
      </c>
      <c r="C31" s="212"/>
      <c r="D31" s="213"/>
      <c r="E31" s="213"/>
      <c r="F31" s="213"/>
      <c r="G31" s="214"/>
      <c r="H31" s="253">
        <v>83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38</v>
      </c>
      <c r="C32" s="212"/>
      <c r="D32" s="213"/>
      <c r="E32" s="213"/>
      <c r="F32" s="213"/>
      <c r="G32" s="214"/>
      <c r="H32" s="253">
        <v>114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>
        <v>39</v>
      </c>
      <c r="C33" s="212"/>
      <c r="D33" s="213"/>
      <c r="E33" s="213"/>
      <c r="F33" s="213"/>
      <c r="G33" s="214"/>
      <c r="H33" s="253">
        <v>52</v>
      </c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41"/>
      <c r="C34" s="108"/>
      <c r="D34" s="107"/>
      <c r="E34" s="107"/>
      <c r="F34" s="107"/>
      <c r="G34" s="106"/>
      <c r="H34" s="111"/>
      <c r="I34" s="110"/>
      <c r="J34" s="109"/>
      <c r="K34" s="108"/>
      <c r="L34" s="107"/>
      <c r="M34" s="107"/>
      <c r="N34" s="107"/>
      <c r="O34" s="107"/>
      <c r="P34" s="106"/>
      <c r="Z34" s="103"/>
    </row>
    <row r="35" spans="1:26" ht="19.5" customHeight="1" x14ac:dyDescent="0.25">
      <c r="A35" s="104"/>
      <c r="B35" s="141"/>
      <c r="C35" s="108"/>
      <c r="D35" s="107"/>
      <c r="E35" s="107"/>
      <c r="F35" s="107"/>
      <c r="G35" s="106"/>
      <c r="H35" s="111"/>
      <c r="I35" s="110"/>
      <c r="J35" s="109"/>
      <c r="K35" s="108"/>
      <c r="L35" s="107"/>
      <c r="M35" s="107"/>
      <c r="N35" s="107"/>
      <c r="O35" s="107"/>
      <c r="P35" s="106"/>
      <c r="Z35" s="103"/>
    </row>
    <row r="36" spans="1:26" ht="19.5" customHeight="1" x14ac:dyDescent="0.25">
      <c r="A36" s="104"/>
      <c r="B36" s="141"/>
      <c r="C36" s="108"/>
      <c r="D36" s="107"/>
      <c r="E36" s="107"/>
      <c r="F36" s="107"/>
      <c r="G36" s="106"/>
      <c r="H36" s="111"/>
      <c r="I36" s="110"/>
      <c r="J36" s="109"/>
      <c r="K36" s="108"/>
      <c r="L36" s="107"/>
      <c r="M36" s="107"/>
      <c r="N36" s="107"/>
      <c r="O36" s="107"/>
      <c r="P36" s="106"/>
      <c r="Z36" s="103"/>
    </row>
    <row r="37" spans="1:26" ht="19.5" customHeight="1" x14ac:dyDescent="0.25">
      <c r="A37" s="104"/>
      <c r="B37" s="141"/>
      <c r="C37" s="108"/>
      <c r="D37" s="107"/>
      <c r="E37" s="107"/>
      <c r="F37" s="107"/>
      <c r="G37" s="106"/>
      <c r="H37" s="111"/>
      <c r="I37" s="110"/>
      <c r="J37" s="109"/>
      <c r="K37" s="108"/>
      <c r="L37" s="107"/>
      <c r="M37" s="107"/>
      <c r="N37" s="107"/>
      <c r="O37" s="107"/>
      <c r="P37" s="106"/>
      <c r="Z37" s="103"/>
    </row>
    <row r="38" spans="1:26" ht="19.5" customHeight="1" x14ac:dyDescent="0.25">
      <c r="A38" s="104"/>
      <c r="B38" s="141"/>
      <c r="C38" s="108"/>
      <c r="D38" s="107"/>
      <c r="E38" s="107"/>
      <c r="F38" s="107"/>
      <c r="G38" s="106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08"/>
      <c r="D39" s="107"/>
      <c r="E39" s="107"/>
      <c r="F39" s="107"/>
      <c r="G39" s="106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08"/>
      <c r="D40" s="107"/>
      <c r="E40" s="107"/>
      <c r="F40" s="107"/>
      <c r="G40" s="106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08"/>
      <c r="D41" s="107"/>
      <c r="E41" s="107"/>
      <c r="F41" s="107"/>
      <c r="G41" s="106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08"/>
      <c r="D42" s="107"/>
      <c r="E42" s="107"/>
      <c r="F42" s="107"/>
      <c r="G42" s="106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08"/>
      <c r="D43" s="107"/>
      <c r="E43" s="107"/>
      <c r="F43" s="107"/>
      <c r="G43" s="106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08"/>
      <c r="D44" s="107"/>
      <c r="E44" s="107"/>
      <c r="F44" s="107"/>
      <c r="G44" s="106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08"/>
      <c r="D45" s="107"/>
      <c r="E45" s="107"/>
      <c r="F45" s="107"/>
      <c r="G45" s="106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08"/>
      <c r="D46" s="107"/>
      <c r="E46" s="107"/>
      <c r="F46" s="107"/>
      <c r="G46" s="106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08"/>
      <c r="D47" s="107"/>
      <c r="E47" s="107"/>
      <c r="F47" s="107"/>
      <c r="G47" s="106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08"/>
      <c r="D48" s="107"/>
      <c r="E48" s="107"/>
      <c r="F48" s="107"/>
      <c r="G48" s="106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08"/>
      <c r="D49" s="107"/>
      <c r="E49" s="107"/>
      <c r="F49" s="107"/>
      <c r="G49" s="106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08"/>
      <c r="D50" s="107"/>
      <c r="E50" s="107"/>
      <c r="F50" s="107"/>
      <c r="G50" s="106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08"/>
      <c r="D51" s="107"/>
      <c r="E51" s="107"/>
      <c r="F51" s="107"/>
      <c r="G51" s="106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08"/>
      <c r="D52" s="107"/>
      <c r="E52" s="107"/>
      <c r="F52" s="107"/>
      <c r="G52" s="106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08"/>
      <c r="D53" s="107"/>
      <c r="E53" s="107"/>
      <c r="F53" s="107"/>
      <c r="G53" s="106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69.666666666666671</v>
      </c>
      <c r="I55" s="293"/>
      <c r="J55" s="294"/>
      <c r="K55" s="220" t="s">
        <v>102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50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114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I6:K6"/>
    <mergeCell ref="L6:O6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P6:T6"/>
    <mergeCell ref="A7:F7"/>
    <mergeCell ref="G7:Z7"/>
    <mergeCell ref="B10:G10"/>
    <mergeCell ref="S11:Y11"/>
    <mergeCell ref="B12:G12"/>
    <mergeCell ref="H12:M12"/>
    <mergeCell ref="N12:R12"/>
    <mergeCell ref="S12:Y12"/>
    <mergeCell ref="H10:M10"/>
    <mergeCell ref="H23:J23"/>
    <mergeCell ref="K23:P24"/>
    <mergeCell ref="H24:J24"/>
    <mergeCell ref="B11:G11"/>
    <mergeCell ref="H11:M11"/>
    <mergeCell ref="N11:R11"/>
    <mergeCell ref="C25:G25"/>
    <mergeCell ref="H25:J25"/>
    <mergeCell ref="K25:P25"/>
    <mergeCell ref="B17:H17"/>
    <mergeCell ref="I17:Y17"/>
    <mergeCell ref="B18:H18"/>
    <mergeCell ref="I18:J18"/>
    <mergeCell ref="J21:P21"/>
    <mergeCell ref="B23:B24"/>
    <mergeCell ref="C23:G24"/>
    <mergeCell ref="C26:G26"/>
    <mergeCell ref="H26:J26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54:G54"/>
    <mergeCell ref="H54:J54"/>
    <mergeCell ref="K54:P54"/>
    <mergeCell ref="B55:G55"/>
    <mergeCell ref="H55:J55"/>
    <mergeCell ref="K55:L57"/>
    <mergeCell ref="M55:P57"/>
    <mergeCell ref="B56:G56"/>
    <mergeCell ref="H56:J56"/>
    <mergeCell ref="B57:G57"/>
    <mergeCell ref="A65:Q68"/>
    <mergeCell ref="R65:T68"/>
    <mergeCell ref="V66:Y67"/>
    <mergeCell ref="H57:J57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E6A4-42C8-4B37-BAAA-32FF16BB07E8}">
  <sheetPr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14</v>
      </c>
      <c r="J5" s="243"/>
      <c r="K5" s="244"/>
      <c r="L5" s="246" t="s">
        <v>66</v>
      </c>
      <c r="M5" s="247"/>
      <c r="N5" s="247"/>
      <c r="O5" s="248"/>
      <c r="P5" s="249" t="s">
        <v>97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98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97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62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103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77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212"/>
      <c r="D25" s="213"/>
      <c r="E25" s="213"/>
      <c r="F25" s="213"/>
      <c r="G25" s="214"/>
      <c r="H25" s="253">
        <v>21</v>
      </c>
      <c r="I25" s="254"/>
      <c r="J25" s="255"/>
      <c r="K25" s="305" t="s">
        <v>106</v>
      </c>
      <c r="L25" s="306"/>
      <c r="M25" s="306"/>
      <c r="N25" s="306"/>
      <c r="O25" s="306"/>
      <c r="P25" s="307"/>
      <c r="Z25" s="103"/>
    </row>
    <row r="26" spans="1:26" ht="19.5" customHeight="1" x14ac:dyDescent="0.25">
      <c r="A26" s="104"/>
      <c r="B26" s="112">
        <v>2</v>
      </c>
      <c r="C26" s="212"/>
      <c r="D26" s="213"/>
      <c r="E26" s="213"/>
      <c r="F26" s="213"/>
      <c r="G26" s="214"/>
      <c r="H26" s="253">
        <v>36</v>
      </c>
      <c r="I26" s="254"/>
      <c r="J26" s="255"/>
      <c r="K26" s="271"/>
      <c r="L26" s="272"/>
      <c r="M26" s="272"/>
      <c r="N26" s="272"/>
      <c r="O26" s="272"/>
      <c r="P26" s="273"/>
      <c r="Z26" s="103"/>
    </row>
    <row r="27" spans="1:26" ht="19.5" customHeight="1" x14ac:dyDescent="0.25">
      <c r="A27" s="104"/>
      <c r="B27" s="112">
        <v>3</v>
      </c>
      <c r="C27" s="212"/>
      <c r="D27" s="213"/>
      <c r="E27" s="213"/>
      <c r="F27" s="213"/>
      <c r="G27" s="214"/>
      <c r="H27" s="253">
        <v>41</v>
      </c>
      <c r="I27" s="254"/>
      <c r="J27" s="255"/>
      <c r="K27" s="274"/>
      <c r="L27" s="275"/>
      <c r="M27" s="275"/>
      <c r="N27" s="275"/>
      <c r="O27" s="275"/>
      <c r="P27" s="276"/>
      <c r="Z27" s="103"/>
    </row>
    <row r="28" spans="1:26" ht="19.5" customHeight="1" x14ac:dyDescent="0.25">
      <c r="A28" s="104"/>
      <c r="B28" s="112">
        <v>4</v>
      </c>
      <c r="C28" s="212"/>
      <c r="D28" s="213"/>
      <c r="E28" s="213"/>
      <c r="F28" s="213"/>
      <c r="G28" s="214"/>
      <c r="H28" s="253">
        <v>68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12"/>
      <c r="D29" s="213"/>
      <c r="E29" s="213"/>
      <c r="F29" s="213"/>
      <c r="G29" s="214"/>
      <c r="H29" s="253">
        <v>50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212"/>
      <c r="D30" s="213"/>
      <c r="E30" s="213"/>
      <c r="F30" s="213"/>
      <c r="G30" s="214"/>
      <c r="H30" s="253">
        <v>64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212"/>
      <c r="D31" s="213"/>
      <c r="E31" s="213"/>
      <c r="F31" s="213"/>
      <c r="G31" s="214"/>
      <c r="H31" s="253">
        <v>68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212"/>
      <c r="D32" s="213"/>
      <c r="E32" s="213"/>
      <c r="F32" s="213"/>
      <c r="G32" s="214"/>
      <c r="H32" s="253">
        <v>58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>
        <v>9</v>
      </c>
      <c r="C33" s="212"/>
      <c r="D33" s="213"/>
      <c r="E33" s="213"/>
      <c r="F33" s="213"/>
      <c r="G33" s="214"/>
      <c r="H33" s="253">
        <v>70</v>
      </c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12">
        <v>10</v>
      </c>
      <c r="C34" s="212"/>
      <c r="D34" s="213"/>
      <c r="E34" s="213"/>
      <c r="F34" s="213"/>
      <c r="G34" s="214"/>
      <c r="H34" s="253">
        <v>105</v>
      </c>
      <c r="I34" s="254"/>
      <c r="J34" s="255"/>
      <c r="K34" s="212"/>
      <c r="L34" s="213"/>
      <c r="M34" s="213"/>
      <c r="N34" s="213"/>
      <c r="O34" s="213"/>
      <c r="P34" s="214"/>
      <c r="Z34" s="103"/>
    </row>
    <row r="35" spans="1:26" ht="19.5" customHeight="1" x14ac:dyDescent="0.25">
      <c r="A35" s="104"/>
      <c r="B35" s="112">
        <v>11</v>
      </c>
      <c r="C35" s="212"/>
      <c r="D35" s="213"/>
      <c r="E35" s="213"/>
      <c r="F35" s="213"/>
      <c r="G35" s="214"/>
      <c r="H35" s="253">
        <v>71</v>
      </c>
      <c r="I35" s="254"/>
      <c r="J35" s="255"/>
      <c r="K35" s="212"/>
      <c r="L35" s="213"/>
      <c r="M35" s="213"/>
      <c r="N35" s="213"/>
      <c r="O35" s="213"/>
      <c r="P35" s="214"/>
      <c r="Z35" s="103"/>
    </row>
    <row r="36" spans="1:26" ht="19.5" customHeight="1" x14ac:dyDescent="0.25">
      <c r="A36" s="104"/>
      <c r="B36" s="112">
        <v>12</v>
      </c>
      <c r="C36" s="212"/>
      <c r="D36" s="213"/>
      <c r="E36" s="213"/>
      <c r="F36" s="213"/>
      <c r="G36" s="214"/>
      <c r="H36" s="253">
        <v>74</v>
      </c>
      <c r="I36" s="254"/>
      <c r="J36" s="255"/>
      <c r="K36" s="212"/>
      <c r="L36" s="213"/>
      <c r="M36" s="213"/>
      <c r="N36" s="213"/>
      <c r="O36" s="213"/>
      <c r="P36" s="214"/>
      <c r="Z36" s="103"/>
    </row>
    <row r="37" spans="1:26" ht="19.5" customHeight="1" x14ac:dyDescent="0.25">
      <c r="A37" s="104"/>
      <c r="B37" s="112">
        <v>13</v>
      </c>
      <c r="C37" s="212"/>
      <c r="D37" s="213"/>
      <c r="E37" s="213"/>
      <c r="F37" s="213"/>
      <c r="G37" s="214"/>
      <c r="H37" s="253">
        <v>73</v>
      </c>
      <c r="I37" s="254"/>
      <c r="J37" s="255"/>
      <c r="K37" s="212"/>
      <c r="L37" s="213"/>
      <c r="M37" s="213"/>
      <c r="N37" s="213"/>
      <c r="O37" s="213"/>
      <c r="P37" s="214"/>
      <c r="Z37" s="103"/>
    </row>
    <row r="38" spans="1:26" ht="19.5" customHeight="1" x14ac:dyDescent="0.25">
      <c r="A38" s="104"/>
      <c r="B38" s="112">
        <v>14</v>
      </c>
      <c r="C38" s="212"/>
      <c r="D38" s="213"/>
      <c r="E38" s="213"/>
      <c r="F38" s="213"/>
      <c r="G38" s="214"/>
      <c r="H38" s="253">
        <v>74</v>
      </c>
      <c r="I38" s="254"/>
      <c r="J38" s="255"/>
      <c r="K38" s="212"/>
      <c r="L38" s="213"/>
      <c r="M38" s="213"/>
      <c r="N38" s="213"/>
      <c r="O38" s="213"/>
      <c r="P38" s="214"/>
      <c r="Z38" s="103"/>
    </row>
    <row r="39" spans="1:26" ht="19.5" customHeight="1" x14ac:dyDescent="0.25">
      <c r="A39" s="104"/>
      <c r="B39" s="112">
        <v>15</v>
      </c>
      <c r="C39" s="212"/>
      <c r="D39" s="213"/>
      <c r="E39" s="213"/>
      <c r="F39" s="213"/>
      <c r="G39" s="214"/>
      <c r="H39" s="253">
        <v>89</v>
      </c>
      <c r="I39" s="254"/>
      <c r="J39" s="255"/>
      <c r="K39" s="212"/>
      <c r="L39" s="213"/>
      <c r="M39" s="213"/>
      <c r="N39" s="213"/>
      <c r="O39" s="213"/>
      <c r="P39" s="214"/>
      <c r="Z39" s="103"/>
    </row>
    <row r="40" spans="1:26" ht="19.5" customHeight="1" x14ac:dyDescent="0.25">
      <c r="A40" s="104"/>
      <c r="B40" s="112">
        <v>16</v>
      </c>
      <c r="C40" s="212"/>
      <c r="D40" s="213"/>
      <c r="E40" s="213"/>
      <c r="F40" s="213"/>
      <c r="G40" s="214"/>
      <c r="H40" s="253">
        <v>66</v>
      </c>
      <c r="I40" s="254"/>
      <c r="J40" s="255"/>
      <c r="K40" s="212"/>
      <c r="L40" s="213"/>
      <c r="M40" s="213"/>
      <c r="N40" s="213"/>
      <c r="O40" s="213"/>
      <c r="P40" s="214"/>
      <c r="Z40" s="103"/>
    </row>
    <row r="41" spans="1:26" ht="19.5" customHeight="1" x14ac:dyDescent="0.25">
      <c r="A41" s="104"/>
      <c r="B41" s="112">
        <v>17</v>
      </c>
      <c r="C41" s="212"/>
      <c r="D41" s="213"/>
      <c r="E41" s="213"/>
      <c r="F41" s="213"/>
      <c r="G41" s="214"/>
      <c r="H41" s="253">
        <v>72</v>
      </c>
      <c r="I41" s="254"/>
      <c r="J41" s="255"/>
      <c r="K41" s="212"/>
      <c r="L41" s="213"/>
      <c r="M41" s="213"/>
      <c r="N41" s="213"/>
      <c r="O41" s="213"/>
      <c r="P41" s="214"/>
      <c r="Z41" s="103"/>
    </row>
    <row r="42" spans="1:26" ht="19.5" customHeight="1" x14ac:dyDescent="0.25">
      <c r="A42" s="104"/>
      <c r="B42" s="112">
        <v>18</v>
      </c>
      <c r="C42" s="212"/>
      <c r="D42" s="213"/>
      <c r="E42" s="213"/>
      <c r="F42" s="213"/>
      <c r="G42" s="214"/>
      <c r="H42" s="253">
        <v>73</v>
      </c>
      <c r="I42" s="254"/>
      <c r="J42" s="255"/>
      <c r="K42" s="212"/>
      <c r="L42" s="213"/>
      <c r="M42" s="213"/>
      <c r="N42" s="213"/>
      <c r="O42" s="213"/>
      <c r="P42" s="214"/>
      <c r="Z42" s="103"/>
    </row>
    <row r="43" spans="1:26" ht="19.5" customHeight="1" x14ac:dyDescent="0.25">
      <c r="A43" s="104"/>
      <c r="B43" s="112">
        <v>19</v>
      </c>
      <c r="C43" s="212"/>
      <c r="D43" s="213"/>
      <c r="E43" s="213"/>
      <c r="F43" s="213"/>
      <c r="G43" s="214"/>
      <c r="H43" s="253">
        <v>70</v>
      </c>
      <c r="I43" s="254"/>
      <c r="J43" s="255"/>
      <c r="K43" s="212"/>
      <c r="L43" s="213"/>
      <c r="M43" s="213"/>
      <c r="N43" s="213"/>
      <c r="O43" s="213"/>
      <c r="P43" s="214"/>
      <c r="Z43" s="103"/>
    </row>
    <row r="44" spans="1:26" ht="19.5" customHeight="1" x14ac:dyDescent="0.25">
      <c r="A44" s="104"/>
      <c r="B44" s="112">
        <v>20</v>
      </c>
      <c r="C44" s="212"/>
      <c r="D44" s="213"/>
      <c r="E44" s="213"/>
      <c r="F44" s="213"/>
      <c r="G44" s="214"/>
      <c r="H44" s="253">
        <v>77</v>
      </c>
      <c r="I44" s="254"/>
      <c r="J44" s="255"/>
      <c r="K44" s="212" t="s">
        <v>100</v>
      </c>
      <c r="L44" s="213"/>
      <c r="M44" s="213"/>
      <c r="N44" s="213"/>
      <c r="O44" s="213"/>
      <c r="P44" s="214"/>
      <c r="Z44" s="103"/>
    </row>
    <row r="45" spans="1:26" ht="19.5" customHeight="1" x14ac:dyDescent="0.25">
      <c r="A45" s="104"/>
      <c r="B45" s="112">
        <v>21</v>
      </c>
      <c r="C45" s="212"/>
      <c r="D45" s="213"/>
      <c r="E45" s="213"/>
      <c r="F45" s="213"/>
      <c r="G45" s="214"/>
      <c r="H45" s="253">
        <v>54</v>
      </c>
      <c r="I45" s="254"/>
      <c r="J45" s="255"/>
      <c r="K45" s="212" t="s">
        <v>100</v>
      </c>
      <c r="L45" s="213"/>
      <c r="M45" s="213"/>
      <c r="N45" s="213"/>
      <c r="O45" s="213"/>
      <c r="P45" s="214"/>
      <c r="Z45" s="103"/>
    </row>
    <row r="46" spans="1:26" ht="19.5" customHeight="1" x14ac:dyDescent="0.25">
      <c r="A46" s="104"/>
      <c r="B46" s="112">
        <v>22</v>
      </c>
      <c r="C46" s="212"/>
      <c r="D46" s="213"/>
      <c r="E46" s="213"/>
      <c r="F46" s="213"/>
      <c r="G46" s="214"/>
      <c r="H46" s="253">
        <v>41</v>
      </c>
      <c r="I46" s="254"/>
      <c r="J46" s="255"/>
      <c r="K46" s="305" t="s">
        <v>106</v>
      </c>
      <c r="L46" s="306"/>
      <c r="M46" s="306"/>
      <c r="N46" s="306"/>
      <c r="O46" s="306"/>
      <c r="P46" s="307"/>
      <c r="Z46" s="103"/>
    </row>
    <row r="47" spans="1:26" ht="19.5" customHeight="1" x14ac:dyDescent="0.25">
      <c r="A47" s="104"/>
      <c r="B47" s="112">
        <v>23</v>
      </c>
      <c r="C47" s="212"/>
      <c r="D47" s="213"/>
      <c r="E47" s="213"/>
      <c r="F47" s="213"/>
      <c r="G47" s="214"/>
      <c r="H47" s="253">
        <v>22</v>
      </c>
      <c r="I47" s="254"/>
      <c r="J47" s="255"/>
      <c r="K47" s="274"/>
      <c r="L47" s="275"/>
      <c r="M47" s="275"/>
      <c r="N47" s="275"/>
      <c r="O47" s="275"/>
      <c r="P47" s="276"/>
      <c r="Z47" s="103"/>
    </row>
    <row r="48" spans="1:26" ht="19.5" customHeight="1" x14ac:dyDescent="0.25">
      <c r="A48" s="104"/>
      <c r="B48" s="112">
        <v>24</v>
      </c>
      <c r="C48" s="212"/>
      <c r="D48" s="213"/>
      <c r="E48" s="213"/>
      <c r="F48" s="213"/>
      <c r="G48" s="214"/>
      <c r="H48" s="253">
        <v>50</v>
      </c>
      <c r="I48" s="254"/>
      <c r="J48" s="255"/>
      <c r="K48" s="212" t="s">
        <v>100</v>
      </c>
      <c r="L48" s="213"/>
      <c r="M48" s="213"/>
      <c r="N48" s="213"/>
      <c r="O48" s="213"/>
      <c r="P48" s="214"/>
      <c r="Z48" s="103"/>
    </row>
    <row r="49" spans="1:26" ht="19.5" customHeight="1" x14ac:dyDescent="0.25">
      <c r="A49" s="104"/>
      <c r="B49" s="112">
        <v>25</v>
      </c>
      <c r="C49" s="212"/>
      <c r="D49" s="213"/>
      <c r="E49" s="213"/>
      <c r="F49" s="213"/>
      <c r="G49" s="214"/>
      <c r="H49" s="253">
        <v>46</v>
      </c>
      <c r="I49" s="254"/>
      <c r="J49" s="255"/>
      <c r="K49" s="212" t="s">
        <v>100</v>
      </c>
      <c r="L49" s="213"/>
      <c r="M49" s="213"/>
      <c r="N49" s="213"/>
      <c r="O49" s="213"/>
      <c r="P49" s="214"/>
      <c r="Z49" s="103"/>
    </row>
    <row r="50" spans="1:26" ht="19.5" customHeight="1" x14ac:dyDescent="0.25">
      <c r="A50" s="104"/>
      <c r="B50" s="112">
        <v>26</v>
      </c>
      <c r="C50" s="212"/>
      <c r="D50" s="213"/>
      <c r="E50" s="213"/>
      <c r="F50" s="213"/>
      <c r="G50" s="214"/>
      <c r="H50" s="253">
        <v>61</v>
      </c>
      <c r="I50" s="254"/>
      <c r="J50" s="255"/>
      <c r="K50" s="212" t="s">
        <v>100</v>
      </c>
      <c r="L50" s="213"/>
      <c r="M50" s="213"/>
      <c r="N50" s="213"/>
      <c r="O50" s="213"/>
      <c r="P50" s="214"/>
      <c r="Z50" s="103"/>
    </row>
    <row r="51" spans="1:26" ht="19.5" customHeight="1" x14ac:dyDescent="0.25">
      <c r="A51" s="104"/>
      <c r="B51" s="112">
        <v>27</v>
      </c>
      <c r="C51" s="212"/>
      <c r="D51" s="213"/>
      <c r="E51" s="213"/>
      <c r="F51" s="213"/>
      <c r="G51" s="214"/>
      <c r="H51" s="253">
        <v>58</v>
      </c>
      <c r="I51" s="254"/>
      <c r="J51" s="255"/>
      <c r="K51" s="212" t="s">
        <v>100</v>
      </c>
      <c r="L51" s="213"/>
      <c r="M51" s="213"/>
      <c r="N51" s="213"/>
      <c r="O51" s="213"/>
      <c r="P51" s="214"/>
      <c r="Z51" s="103"/>
    </row>
    <row r="52" spans="1:26" ht="19.5" customHeight="1" x14ac:dyDescent="0.25">
      <c r="A52" s="104"/>
      <c r="B52" s="112">
        <v>28</v>
      </c>
      <c r="C52" s="212"/>
      <c r="D52" s="213"/>
      <c r="E52" s="213"/>
      <c r="F52" s="213"/>
      <c r="G52" s="214"/>
      <c r="H52" s="253">
        <v>69</v>
      </c>
      <c r="I52" s="254"/>
      <c r="J52" s="255"/>
      <c r="K52" s="212" t="s">
        <v>100</v>
      </c>
      <c r="L52" s="213"/>
      <c r="M52" s="213"/>
      <c r="N52" s="213"/>
      <c r="O52" s="213"/>
      <c r="P52" s="214"/>
      <c r="Z52" s="103"/>
    </row>
    <row r="53" spans="1:26" ht="19.5" customHeight="1" x14ac:dyDescent="0.25">
      <c r="A53" s="104"/>
      <c r="B53" s="112">
        <v>29</v>
      </c>
      <c r="C53" s="212"/>
      <c r="D53" s="213"/>
      <c r="E53" s="213"/>
      <c r="F53" s="213"/>
      <c r="G53" s="214"/>
      <c r="H53" s="253">
        <v>51</v>
      </c>
      <c r="I53" s="254"/>
      <c r="J53" s="255"/>
      <c r="K53" s="212" t="s">
        <v>100</v>
      </c>
      <c r="L53" s="213"/>
      <c r="M53" s="213"/>
      <c r="N53" s="213"/>
      <c r="O53" s="213"/>
      <c r="P53" s="214"/>
      <c r="Z53" s="103"/>
    </row>
    <row r="54" spans="1:26" ht="19.5" customHeight="1" thickBot="1" x14ac:dyDescent="0.3">
      <c r="A54" s="104"/>
      <c r="B54" s="112">
        <v>30</v>
      </c>
      <c r="C54" s="212"/>
      <c r="D54" s="213"/>
      <c r="E54" s="213"/>
      <c r="F54" s="213"/>
      <c r="G54" s="214"/>
      <c r="H54" s="253">
        <v>69</v>
      </c>
      <c r="I54" s="254"/>
      <c r="J54" s="255"/>
      <c r="K54" s="212"/>
      <c r="L54" s="213"/>
      <c r="M54" s="213"/>
      <c r="N54" s="213"/>
      <c r="O54" s="213"/>
      <c r="P54" s="214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61.366666666666667</v>
      </c>
      <c r="I55" s="293"/>
      <c r="J55" s="294"/>
      <c r="K55" s="220" t="s">
        <v>102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21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105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105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 t="s">
        <v>104</v>
      </c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139">
    <mergeCell ref="U61:Z61"/>
    <mergeCell ref="A62:Q63"/>
    <mergeCell ref="R62:T64"/>
    <mergeCell ref="U62:Z64"/>
    <mergeCell ref="K25:P27"/>
    <mergeCell ref="H56:J56"/>
    <mergeCell ref="B17:H17"/>
    <mergeCell ref="B12:G12"/>
    <mergeCell ref="B11:G11"/>
    <mergeCell ref="A61:Q61"/>
    <mergeCell ref="R61:T61"/>
    <mergeCell ref="C26:G26"/>
    <mergeCell ref="C39:G39"/>
    <mergeCell ref="K39:P39"/>
    <mergeCell ref="C40:G40"/>
    <mergeCell ref="H40:J40"/>
    <mergeCell ref="K40:P40"/>
    <mergeCell ref="C41:G41"/>
    <mergeCell ref="H41:J41"/>
    <mergeCell ref="K41:P41"/>
    <mergeCell ref="K45:P45"/>
    <mergeCell ref="C42:G42"/>
    <mergeCell ref="H42:J42"/>
    <mergeCell ref="K42:P42"/>
    <mergeCell ref="M55:P57"/>
    <mergeCell ref="K55:L57"/>
    <mergeCell ref="S12:Y12"/>
    <mergeCell ref="K23:P24"/>
    <mergeCell ref="I17:Y17"/>
    <mergeCell ref="S11:Y11"/>
    <mergeCell ref="H57:J57"/>
    <mergeCell ref="H55:J55"/>
    <mergeCell ref="H10:M10"/>
    <mergeCell ref="K29:P29"/>
    <mergeCell ref="H11:M11"/>
    <mergeCell ref="N11:R11"/>
    <mergeCell ref="H26:J26"/>
    <mergeCell ref="N12:R12"/>
    <mergeCell ref="H12:M12"/>
    <mergeCell ref="K38:P38"/>
    <mergeCell ref="H39:J39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U1:Z6"/>
    <mergeCell ref="I5:K5"/>
    <mergeCell ref="I6:K6"/>
    <mergeCell ref="L5:O5"/>
    <mergeCell ref="P5:T5"/>
    <mergeCell ref="L6:O6"/>
    <mergeCell ref="P6:T6"/>
    <mergeCell ref="A65:Q68"/>
    <mergeCell ref="R65:T68"/>
    <mergeCell ref="C27:G27"/>
    <mergeCell ref="H27:J27"/>
    <mergeCell ref="C28:G28"/>
    <mergeCell ref="H28:J28"/>
    <mergeCell ref="B56:G56"/>
    <mergeCell ref="B57:G57"/>
    <mergeCell ref="B55:G55"/>
    <mergeCell ref="K28:P28"/>
    <mergeCell ref="C29:G29"/>
    <mergeCell ref="H29:J29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C43:G43"/>
    <mergeCell ref="H43:J43"/>
    <mergeCell ref="K43:P43"/>
    <mergeCell ref="C46:G46"/>
    <mergeCell ref="H46:J46"/>
    <mergeCell ref="C47:G47"/>
    <mergeCell ref="H47:J47"/>
    <mergeCell ref="K46:P47"/>
    <mergeCell ref="C44:G44"/>
    <mergeCell ref="H44:J44"/>
    <mergeCell ref="K44:P44"/>
    <mergeCell ref="C45:G45"/>
    <mergeCell ref="H45:J45"/>
    <mergeCell ref="C48:G48"/>
    <mergeCell ref="H48:J48"/>
    <mergeCell ref="K48:P48"/>
    <mergeCell ref="C49:G49"/>
    <mergeCell ref="H49:J49"/>
    <mergeCell ref="K49:P49"/>
    <mergeCell ref="C50:G50"/>
    <mergeCell ref="H50:J50"/>
    <mergeCell ref="K50:P50"/>
    <mergeCell ref="C51:G51"/>
    <mergeCell ref="H51:J51"/>
    <mergeCell ref="K51:P51"/>
    <mergeCell ref="C54:G54"/>
    <mergeCell ref="H54:J54"/>
    <mergeCell ref="K54:P54"/>
    <mergeCell ref="C52:G52"/>
    <mergeCell ref="H52:J52"/>
    <mergeCell ref="K52:P52"/>
    <mergeCell ref="C53:G53"/>
    <mergeCell ref="H53:J53"/>
    <mergeCell ref="K53:P53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35A3-845D-4831-BFBF-A09693539099}">
  <sheetPr>
    <pageSetUpPr fitToPage="1"/>
  </sheetPr>
  <dimension ref="A1:AA76"/>
  <sheetViews>
    <sheetView topLeftCell="A26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13</v>
      </c>
      <c r="J5" s="243"/>
      <c r="K5" s="244"/>
      <c r="L5" s="246" t="s">
        <v>66</v>
      </c>
      <c r="M5" s="247"/>
      <c r="N5" s="247"/>
      <c r="O5" s="248"/>
      <c r="P5" s="249" t="s">
        <v>97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100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97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62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101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77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212"/>
      <c r="D25" s="213"/>
      <c r="E25" s="213"/>
      <c r="F25" s="213"/>
      <c r="G25" s="214"/>
      <c r="H25" s="253">
        <v>98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12"/>
      <c r="D26" s="213"/>
      <c r="E26" s="213"/>
      <c r="F26" s="213"/>
      <c r="G26" s="214"/>
      <c r="H26" s="253">
        <v>98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12"/>
      <c r="D27" s="213"/>
      <c r="E27" s="213"/>
      <c r="F27" s="213"/>
      <c r="G27" s="214"/>
      <c r="H27" s="253">
        <v>76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12"/>
      <c r="D28" s="213"/>
      <c r="E28" s="213"/>
      <c r="F28" s="213"/>
      <c r="G28" s="214"/>
      <c r="H28" s="253">
        <v>103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12"/>
      <c r="D29" s="213"/>
      <c r="E29" s="213"/>
      <c r="F29" s="213"/>
      <c r="G29" s="214"/>
      <c r="H29" s="253">
        <v>88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212"/>
      <c r="D30" s="213"/>
      <c r="E30" s="213"/>
      <c r="F30" s="213"/>
      <c r="G30" s="214"/>
      <c r="H30" s="253">
        <v>127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41"/>
      <c r="C31" s="108"/>
      <c r="D31" s="107"/>
      <c r="E31" s="107"/>
      <c r="F31" s="107"/>
      <c r="G31" s="106"/>
      <c r="H31" s="111"/>
      <c r="I31" s="110"/>
      <c r="J31" s="109"/>
      <c r="K31" s="108"/>
      <c r="L31" s="107"/>
      <c r="M31" s="107"/>
      <c r="N31" s="107"/>
      <c r="O31" s="107"/>
      <c r="P31" s="106"/>
      <c r="Z31" s="103"/>
    </row>
    <row r="32" spans="1:26" ht="19.5" customHeight="1" x14ac:dyDescent="0.25">
      <c r="A32" s="104"/>
      <c r="B32" s="141"/>
      <c r="C32" s="108"/>
      <c r="D32" s="107"/>
      <c r="E32" s="107"/>
      <c r="F32" s="107"/>
      <c r="G32" s="106"/>
      <c r="H32" s="111"/>
      <c r="I32" s="110"/>
      <c r="J32" s="109"/>
      <c r="K32" s="108"/>
      <c r="L32" s="107"/>
      <c r="M32" s="107"/>
      <c r="N32" s="107"/>
      <c r="O32" s="107"/>
      <c r="P32" s="106"/>
      <c r="Z32" s="103"/>
    </row>
    <row r="33" spans="1:26" ht="19.5" customHeight="1" x14ac:dyDescent="0.25">
      <c r="A33" s="104"/>
      <c r="B33" s="141"/>
      <c r="C33" s="108"/>
      <c r="D33" s="107"/>
      <c r="E33" s="107"/>
      <c r="F33" s="107"/>
      <c r="G33" s="106"/>
      <c r="H33" s="111"/>
      <c r="I33" s="110"/>
      <c r="J33" s="109"/>
      <c r="K33" s="108"/>
      <c r="L33" s="107"/>
      <c r="M33" s="107"/>
      <c r="N33" s="107"/>
      <c r="O33" s="107"/>
      <c r="P33" s="106"/>
      <c r="Z33" s="103"/>
    </row>
    <row r="34" spans="1:26" ht="19.5" customHeight="1" x14ac:dyDescent="0.25">
      <c r="A34" s="104"/>
      <c r="B34" s="141"/>
      <c r="C34" s="108"/>
      <c r="D34" s="107"/>
      <c r="E34" s="107"/>
      <c r="F34" s="107"/>
      <c r="G34" s="106"/>
      <c r="H34" s="111"/>
      <c r="I34" s="110"/>
      <c r="J34" s="109"/>
      <c r="K34" s="108"/>
      <c r="L34" s="107"/>
      <c r="M34" s="107"/>
      <c r="N34" s="107"/>
      <c r="O34" s="107"/>
      <c r="P34" s="106"/>
      <c r="Z34" s="103"/>
    </row>
    <row r="35" spans="1:26" ht="19.5" customHeight="1" x14ac:dyDescent="0.25">
      <c r="A35" s="104"/>
      <c r="B35" s="141"/>
      <c r="C35" s="108"/>
      <c r="D35" s="107"/>
      <c r="E35" s="107"/>
      <c r="F35" s="107"/>
      <c r="G35" s="106"/>
      <c r="H35" s="111"/>
      <c r="I35" s="110"/>
      <c r="J35" s="109"/>
      <c r="K35" s="108"/>
      <c r="L35" s="107"/>
      <c r="M35" s="107"/>
      <c r="N35" s="107"/>
      <c r="O35" s="107"/>
      <c r="P35" s="106"/>
      <c r="Z35" s="103"/>
    </row>
    <row r="36" spans="1:26" ht="19.5" customHeight="1" x14ac:dyDescent="0.25">
      <c r="A36" s="104"/>
      <c r="B36" s="141"/>
      <c r="C36" s="108"/>
      <c r="D36" s="107"/>
      <c r="E36" s="107"/>
      <c r="F36" s="107"/>
      <c r="G36" s="106"/>
      <c r="H36" s="111"/>
      <c r="I36" s="110"/>
      <c r="J36" s="109"/>
      <c r="K36" s="108"/>
      <c r="L36" s="107"/>
      <c r="M36" s="107"/>
      <c r="N36" s="107"/>
      <c r="O36" s="107"/>
      <c r="P36" s="106"/>
      <c r="Z36" s="103"/>
    </row>
    <row r="37" spans="1:26" ht="19.5" customHeight="1" x14ac:dyDescent="0.25">
      <c r="A37" s="104"/>
      <c r="B37" s="141"/>
      <c r="C37" s="108"/>
      <c r="D37" s="107"/>
      <c r="E37" s="107"/>
      <c r="F37" s="107"/>
      <c r="G37" s="106"/>
      <c r="H37" s="111"/>
      <c r="I37" s="110"/>
      <c r="J37" s="109"/>
      <c r="K37" s="108"/>
      <c r="L37" s="107"/>
      <c r="M37" s="107"/>
      <c r="N37" s="107"/>
      <c r="O37" s="107"/>
      <c r="P37" s="106"/>
      <c r="Z37" s="103"/>
    </row>
    <row r="38" spans="1:26" ht="19.5" customHeight="1" x14ac:dyDescent="0.25">
      <c r="A38" s="104"/>
      <c r="B38" s="141"/>
      <c r="C38" s="108"/>
      <c r="D38" s="107"/>
      <c r="E38" s="107"/>
      <c r="F38" s="107"/>
      <c r="G38" s="106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08"/>
      <c r="D39" s="107"/>
      <c r="E39" s="107"/>
      <c r="F39" s="107"/>
      <c r="G39" s="106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08"/>
      <c r="D40" s="107"/>
      <c r="E40" s="107"/>
      <c r="F40" s="107"/>
      <c r="G40" s="106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08"/>
      <c r="D41" s="107"/>
      <c r="E41" s="107"/>
      <c r="F41" s="107"/>
      <c r="G41" s="106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08"/>
      <c r="D42" s="107"/>
      <c r="E42" s="107"/>
      <c r="F42" s="107"/>
      <c r="G42" s="106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08"/>
      <c r="D43" s="107"/>
      <c r="E43" s="107"/>
      <c r="F43" s="107"/>
      <c r="G43" s="106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08"/>
      <c r="D44" s="107"/>
      <c r="E44" s="107"/>
      <c r="F44" s="107"/>
      <c r="G44" s="106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08"/>
      <c r="D45" s="107"/>
      <c r="E45" s="107"/>
      <c r="F45" s="107"/>
      <c r="G45" s="106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08"/>
      <c r="D46" s="107"/>
      <c r="E46" s="107"/>
      <c r="F46" s="107"/>
      <c r="G46" s="106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08"/>
      <c r="D47" s="107"/>
      <c r="E47" s="107"/>
      <c r="F47" s="107"/>
      <c r="G47" s="106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08"/>
      <c r="D48" s="107"/>
      <c r="E48" s="107"/>
      <c r="F48" s="107"/>
      <c r="G48" s="106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08"/>
      <c r="D49" s="107"/>
      <c r="E49" s="107"/>
      <c r="F49" s="107"/>
      <c r="G49" s="106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08"/>
      <c r="D50" s="107"/>
      <c r="E50" s="107"/>
      <c r="F50" s="107"/>
      <c r="G50" s="106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08"/>
      <c r="D51" s="107"/>
      <c r="E51" s="107"/>
      <c r="F51" s="107"/>
      <c r="G51" s="106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08"/>
      <c r="D52" s="107"/>
      <c r="E52" s="107"/>
      <c r="F52" s="107"/>
      <c r="G52" s="106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08"/>
      <c r="D53" s="107"/>
      <c r="E53" s="107"/>
      <c r="F53" s="107"/>
      <c r="G53" s="106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98.333333333333329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76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127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H57:J57"/>
    <mergeCell ref="H55:J55"/>
    <mergeCell ref="H56:J56"/>
    <mergeCell ref="B17:H17"/>
    <mergeCell ref="B12:G12"/>
    <mergeCell ref="H12:M12"/>
    <mergeCell ref="R61:T61"/>
    <mergeCell ref="U61:Z61"/>
    <mergeCell ref="A62:Q63"/>
    <mergeCell ref="R62:T64"/>
    <mergeCell ref="U62:Z64"/>
    <mergeCell ref="G5:H5"/>
    <mergeCell ref="H28:J28"/>
    <mergeCell ref="K28:P28"/>
    <mergeCell ref="C29:G29"/>
    <mergeCell ref="H29:J29"/>
    <mergeCell ref="B11:G11"/>
    <mergeCell ref="K29:P29"/>
    <mergeCell ref="N12:R12"/>
    <mergeCell ref="S12:Y12"/>
    <mergeCell ref="K23:P24"/>
    <mergeCell ref="I17:Y17"/>
    <mergeCell ref="S11:Y11"/>
    <mergeCell ref="H54:J54"/>
    <mergeCell ref="K54:P54"/>
    <mergeCell ref="A7:F7"/>
    <mergeCell ref="G7:Z7"/>
    <mergeCell ref="H10:M10"/>
    <mergeCell ref="I5:K5"/>
    <mergeCell ref="I6:K6"/>
    <mergeCell ref="L5:O5"/>
    <mergeCell ref="P5:T5"/>
    <mergeCell ref="L6:O6"/>
    <mergeCell ref="A1:F6"/>
    <mergeCell ref="G1:T1"/>
    <mergeCell ref="B10:G10"/>
    <mergeCell ref="S10:Y10"/>
    <mergeCell ref="N10:R10"/>
    <mergeCell ref="P6:T6"/>
    <mergeCell ref="U1:Z6"/>
    <mergeCell ref="G2:T4"/>
    <mergeCell ref="H11:M11"/>
    <mergeCell ref="N11:R11"/>
    <mergeCell ref="A65:Q68"/>
    <mergeCell ref="R65:T68"/>
    <mergeCell ref="K26:P26"/>
    <mergeCell ref="C27:G27"/>
    <mergeCell ref="H27:J27"/>
    <mergeCell ref="K27:P27"/>
    <mergeCell ref="B23:B24"/>
    <mergeCell ref="C23:G24"/>
    <mergeCell ref="J21:P21"/>
    <mergeCell ref="C54:G54"/>
    <mergeCell ref="B56:G56"/>
    <mergeCell ref="B57:G57"/>
    <mergeCell ref="B55:G55"/>
    <mergeCell ref="C26:G26"/>
    <mergeCell ref="V66:Y67"/>
    <mergeCell ref="I18:J18"/>
    <mergeCell ref="H25:J25"/>
    <mergeCell ref="C25:G25"/>
    <mergeCell ref="H24:J24"/>
    <mergeCell ref="H23:J23"/>
    <mergeCell ref="B18:H18"/>
    <mergeCell ref="H26:J26"/>
    <mergeCell ref="C28:G28"/>
    <mergeCell ref="C30:G30"/>
    <mergeCell ref="H30:J30"/>
    <mergeCell ref="K30:P30"/>
    <mergeCell ref="K25:P25"/>
    <mergeCell ref="M55:P57"/>
    <mergeCell ref="K55:L57"/>
    <mergeCell ref="A61:Q6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5E99-9847-43AE-992D-83F7A8CF5C24}">
  <sheetPr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12</v>
      </c>
      <c r="J5" s="243"/>
      <c r="K5" s="244"/>
      <c r="L5" s="246" t="s">
        <v>66</v>
      </c>
      <c r="M5" s="247"/>
      <c r="N5" s="247"/>
      <c r="O5" s="248"/>
      <c r="P5" s="249" t="s">
        <v>97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98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97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62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99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77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212"/>
      <c r="D25" s="213"/>
      <c r="E25" s="213"/>
      <c r="F25" s="213"/>
      <c r="G25" s="214"/>
      <c r="H25" s="253">
        <v>72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12"/>
      <c r="D26" s="213"/>
      <c r="E26" s="213"/>
      <c r="F26" s="213"/>
      <c r="G26" s="214"/>
      <c r="H26" s="253">
        <v>62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12"/>
      <c r="D27" s="213"/>
      <c r="E27" s="213"/>
      <c r="F27" s="213"/>
      <c r="G27" s="214"/>
      <c r="H27" s="253">
        <v>74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12"/>
      <c r="D28" s="213"/>
      <c r="E28" s="213"/>
      <c r="F28" s="213"/>
      <c r="G28" s="214"/>
      <c r="H28" s="253">
        <v>65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12"/>
      <c r="D29" s="213"/>
      <c r="E29" s="213"/>
      <c r="F29" s="213"/>
      <c r="G29" s="214"/>
      <c r="H29" s="253">
        <v>82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212"/>
      <c r="D30" s="213"/>
      <c r="E30" s="213"/>
      <c r="F30" s="213"/>
      <c r="G30" s="214"/>
      <c r="H30" s="253">
        <v>55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212"/>
      <c r="D31" s="213"/>
      <c r="E31" s="213"/>
      <c r="F31" s="213"/>
      <c r="G31" s="214"/>
      <c r="H31" s="253">
        <v>51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212"/>
      <c r="D32" s="213"/>
      <c r="E32" s="213"/>
      <c r="F32" s="213"/>
      <c r="G32" s="214"/>
      <c r="H32" s="253">
        <v>57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>
        <v>9</v>
      </c>
      <c r="C33" s="212"/>
      <c r="D33" s="213"/>
      <c r="E33" s="213"/>
      <c r="F33" s="213"/>
      <c r="G33" s="214"/>
      <c r="H33" s="253">
        <v>81</v>
      </c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41"/>
      <c r="C34" s="108"/>
      <c r="D34" s="107"/>
      <c r="E34" s="107"/>
      <c r="F34" s="107"/>
      <c r="G34" s="106"/>
      <c r="H34" s="111"/>
      <c r="I34" s="110"/>
      <c r="J34" s="109"/>
      <c r="K34" s="108"/>
      <c r="L34" s="107"/>
      <c r="M34" s="107"/>
      <c r="N34" s="107"/>
      <c r="O34" s="107"/>
      <c r="P34" s="106"/>
      <c r="Z34" s="103"/>
    </row>
    <row r="35" spans="1:26" ht="19.5" customHeight="1" x14ac:dyDescent="0.25">
      <c r="A35" s="104"/>
      <c r="B35" s="141"/>
      <c r="C35" s="108"/>
      <c r="D35" s="107"/>
      <c r="E35" s="107"/>
      <c r="F35" s="107"/>
      <c r="G35" s="106"/>
      <c r="H35" s="111"/>
      <c r="I35" s="110"/>
      <c r="J35" s="109"/>
      <c r="K35" s="108"/>
      <c r="L35" s="107"/>
      <c r="M35" s="107"/>
      <c r="N35" s="107"/>
      <c r="O35" s="107"/>
      <c r="P35" s="106"/>
      <c r="Z35" s="103"/>
    </row>
    <row r="36" spans="1:26" ht="19.5" customHeight="1" x14ac:dyDescent="0.25">
      <c r="A36" s="104"/>
      <c r="B36" s="141"/>
      <c r="C36" s="108"/>
      <c r="D36" s="107"/>
      <c r="E36" s="107"/>
      <c r="F36" s="107"/>
      <c r="G36" s="106"/>
      <c r="H36" s="111"/>
      <c r="I36" s="110"/>
      <c r="J36" s="109"/>
      <c r="K36" s="108"/>
      <c r="L36" s="107"/>
      <c r="M36" s="107"/>
      <c r="N36" s="107"/>
      <c r="O36" s="107"/>
      <c r="P36" s="106"/>
      <c r="Z36" s="103"/>
    </row>
    <row r="37" spans="1:26" ht="19.5" customHeight="1" x14ac:dyDescent="0.25">
      <c r="A37" s="104"/>
      <c r="B37" s="141"/>
      <c r="C37" s="108"/>
      <c r="D37" s="107"/>
      <c r="E37" s="107"/>
      <c r="F37" s="107"/>
      <c r="G37" s="106"/>
      <c r="H37" s="111"/>
      <c r="I37" s="110"/>
      <c r="J37" s="109"/>
      <c r="K37" s="108"/>
      <c r="L37" s="107"/>
      <c r="M37" s="107"/>
      <c r="N37" s="107"/>
      <c r="O37" s="107"/>
      <c r="P37" s="106"/>
      <c r="Z37" s="103"/>
    </row>
    <row r="38" spans="1:26" ht="19.5" customHeight="1" x14ac:dyDescent="0.25">
      <c r="A38" s="104"/>
      <c r="B38" s="141"/>
      <c r="C38" s="108"/>
      <c r="D38" s="107"/>
      <c r="E38" s="107"/>
      <c r="F38" s="107"/>
      <c r="G38" s="106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08"/>
      <c r="D39" s="107"/>
      <c r="E39" s="107"/>
      <c r="F39" s="107"/>
      <c r="G39" s="106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08"/>
      <c r="D40" s="107"/>
      <c r="E40" s="107"/>
      <c r="F40" s="107"/>
      <c r="G40" s="106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08"/>
      <c r="D41" s="107"/>
      <c r="E41" s="107"/>
      <c r="F41" s="107"/>
      <c r="G41" s="106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08"/>
      <c r="D42" s="107"/>
      <c r="E42" s="107"/>
      <c r="F42" s="107"/>
      <c r="G42" s="106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08"/>
      <c r="D43" s="107"/>
      <c r="E43" s="107"/>
      <c r="F43" s="107"/>
      <c r="G43" s="106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08"/>
      <c r="D44" s="107"/>
      <c r="E44" s="107"/>
      <c r="F44" s="107"/>
      <c r="G44" s="106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08"/>
      <c r="D45" s="107"/>
      <c r="E45" s="107"/>
      <c r="F45" s="107"/>
      <c r="G45" s="106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08"/>
      <c r="D46" s="107"/>
      <c r="E46" s="107"/>
      <c r="F46" s="107"/>
      <c r="G46" s="106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08"/>
      <c r="D47" s="107"/>
      <c r="E47" s="107"/>
      <c r="F47" s="107"/>
      <c r="G47" s="106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08"/>
      <c r="D48" s="107"/>
      <c r="E48" s="107"/>
      <c r="F48" s="107"/>
      <c r="G48" s="106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08"/>
      <c r="D49" s="107"/>
      <c r="E49" s="107"/>
      <c r="F49" s="107"/>
      <c r="G49" s="106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08"/>
      <c r="D50" s="107"/>
      <c r="E50" s="107"/>
      <c r="F50" s="107"/>
      <c r="G50" s="106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08"/>
      <c r="D51" s="107"/>
      <c r="E51" s="107"/>
      <c r="F51" s="107"/>
      <c r="G51" s="106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08"/>
      <c r="D52" s="107"/>
      <c r="E52" s="107"/>
      <c r="F52" s="107"/>
      <c r="G52" s="106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08"/>
      <c r="D53" s="107"/>
      <c r="E53" s="107"/>
      <c r="F53" s="107"/>
      <c r="G53" s="106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66.555555555555557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51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82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U61:Z61"/>
    <mergeCell ref="A62:Q63"/>
    <mergeCell ref="R62:T64"/>
    <mergeCell ref="U62:Z64"/>
    <mergeCell ref="H56:J56"/>
    <mergeCell ref="A61:Q61"/>
    <mergeCell ref="R61:T61"/>
    <mergeCell ref="H12:M12"/>
    <mergeCell ref="H11:M11"/>
    <mergeCell ref="N11:R11"/>
    <mergeCell ref="C32:G32"/>
    <mergeCell ref="H32:J32"/>
    <mergeCell ref="K32:P32"/>
    <mergeCell ref="C33:G33"/>
    <mergeCell ref="H33:J33"/>
    <mergeCell ref="K33:P33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M55:P57"/>
    <mergeCell ref="K55:L57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6E1F-3C10-4663-9058-A5C097C2E1CF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11</v>
      </c>
      <c r="J5" s="243"/>
      <c r="K5" s="244"/>
      <c r="L5" s="246" t="s">
        <v>66</v>
      </c>
      <c r="M5" s="247"/>
      <c r="N5" s="247"/>
      <c r="O5" s="248"/>
      <c r="P5" s="249">
        <v>45707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96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87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62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94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21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212" t="s">
        <v>93</v>
      </c>
      <c r="D25" s="213"/>
      <c r="E25" s="213"/>
      <c r="F25" s="213"/>
      <c r="G25" s="214"/>
      <c r="H25" s="253">
        <v>139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12" t="s">
        <v>92</v>
      </c>
      <c r="D26" s="213"/>
      <c r="E26" s="213"/>
      <c r="F26" s="213"/>
      <c r="G26" s="214"/>
      <c r="H26" s="253">
        <v>118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12" t="s">
        <v>91</v>
      </c>
      <c r="D27" s="213"/>
      <c r="E27" s="213"/>
      <c r="F27" s="213"/>
      <c r="G27" s="214"/>
      <c r="H27" s="253">
        <v>119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12" t="s">
        <v>90</v>
      </c>
      <c r="D28" s="213"/>
      <c r="E28" s="213"/>
      <c r="F28" s="213"/>
      <c r="G28" s="214"/>
      <c r="H28" s="253">
        <v>165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12"/>
      <c r="D29" s="213"/>
      <c r="E29" s="213"/>
      <c r="F29" s="213"/>
      <c r="G29" s="214"/>
      <c r="H29" s="253">
        <v>80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212"/>
      <c r="D30" s="213"/>
      <c r="E30" s="213"/>
      <c r="F30" s="213"/>
      <c r="G30" s="214"/>
      <c r="H30" s="253">
        <v>157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212" t="s">
        <v>89</v>
      </c>
      <c r="D31" s="213"/>
      <c r="E31" s="213"/>
      <c r="F31" s="213"/>
      <c r="G31" s="214"/>
      <c r="H31" s="253">
        <v>87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212"/>
      <c r="D32" s="213"/>
      <c r="E32" s="213"/>
      <c r="F32" s="213"/>
      <c r="G32" s="214"/>
      <c r="H32" s="253">
        <v>115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>
        <v>9</v>
      </c>
      <c r="C33" s="212"/>
      <c r="D33" s="213"/>
      <c r="E33" s="213"/>
      <c r="F33" s="213"/>
      <c r="G33" s="214"/>
      <c r="H33" s="253">
        <v>79</v>
      </c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12">
        <v>10</v>
      </c>
      <c r="C34" s="212"/>
      <c r="D34" s="213"/>
      <c r="E34" s="213"/>
      <c r="F34" s="213"/>
      <c r="G34" s="214"/>
      <c r="H34" s="253">
        <v>70</v>
      </c>
      <c r="I34" s="254"/>
      <c r="J34" s="255"/>
      <c r="K34" s="212"/>
      <c r="L34" s="213"/>
      <c r="M34" s="213"/>
      <c r="N34" s="213"/>
      <c r="O34" s="213"/>
      <c r="P34" s="214"/>
      <c r="Z34" s="103"/>
    </row>
    <row r="35" spans="1:26" ht="19.5" customHeight="1" x14ac:dyDescent="0.25">
      <c r="A35" s="104"/>
      <c r="B35" s="112">
        <v>11</v>
      </c>
      <c r="C35" s="212"/>
      <c r="D35" s="213"/>
      <c r="E35" s="213"/>
      <c r="F35" s="213"/>
      <c r="G35" s="214"/>
      <c r="H35" s="253">
        <v>168</v>
      </c>
      <c r="I35" s="254"/>
      <c r="J35" s="255"/>
      <c r="K35" s="212"/>
      <c r="L35" s="213"/>
      <c r="M35" s="213"/>
      <c r="N35" s="213"/>
      <c r="O35" s="213"/>
      <c r="P35" s="214"/>
      <c r="Z35" s="103"/>
    </row>
    <row r="36" spans="1:26" ht="19.5" customHeight="1" x14ac:dyDescent="0.25">
      <c r="A36" s="104"/>
      <c r="B36" s="112">
        <v>12</v>
      </c>
      <c r="C36" s="212" t="s">
        <v>88</v>
      </c>
      <c r="D36" s="213"/>
      <c r="E36" s="213"/>
      <c r="F36" s="213"/>
      <c r="G36" s="214"/>
      <c r="H36" s="253">
        <v>122</v>
      </c>
      <c r="I36" s="254"/>
      <c r="J36" s="255"/>
      <c r="K36" s="212"/>
      <c r="L36" s="213"/>
      <c r="M36" s="213"/>
      <c r="N36" s="213"/>
      <c r="O36" s="213"/>
      <c r="P36" s="214"/>
      <c r="Z36" s="103"/>
    </row>
    <row r="37" spans="1:26" ht="19.5" customHeight="1" x14ac:dyDescent="0.25">
      <c r="A37" s="104"/>
      <c r="B37" s="112">
        <v>13</v>
      </c>
      <c r="C37" s="212" t="s">
        <v>88</v>
      </c>
      <c r="D37" s="213"/>
      <c r="E37" s="213"/>
      <c r="F37" s="213"/>
      <c r="G37" s="214"/>
      <c r="H37" s="253">
        <v>54</v>
      </c>
      <c r="I37" s="254"/>
      <c r="J37" s="255"/>
      <c r="K37" s="212"/>
      <c r="L37" s="213"/>
      <c r="M37" s="213"/>
      <c r="N37" s="213"/>
      <c r="O37" s="213"/>
      <c r="P37" s="214"/>
      <c r="Z37" s="103"/>
    </row>
    <row r="38" spans="1:26" ht="19.5" customHeight="1" x14ac:dyDescent="0.25">
      <c r="A38" s="104"/>
      <c r="B38" s="141"/>
      <c r="C38" s="108"/>
      <c r="D38" s="107"/>
      <c r="E38" s="107"/>
      <c r="F38" s="107"/>
      <c r="G38" s="106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08"/>
      <c r="D39" s="107"/>
      <c r="E39" s="107"/>
      <c r="F39" s="107"/>
      <c r="G39" s="106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08"/>
      <c r="D40" s="107"/>
      <c r="E40" s="107"/>
      <c r="F40" s="107"/>
      <c r="G40" s="106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08"/>
      <c r="D41" s="107"/>
      <c r="E41" s="107"/>
      <c r="F41" s="107"/>
      <c r="G41" s="106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08"/>
      <c r="D42" s="107"/>
      <c r="E42" s="107"/>
      <c r="F42" s="107"/>
      <c r="G42" s="106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08"/>
      <c r="D43" s="107"/>
      <c r="E43" s="107"/>
      <c r="F43" s="107"/>
      <c r="G43" s="106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08"/>
      <c r="D44" s="107"/>
      <c r="E44" s="107"/>
      <c r="F44" s="107"/>
      <c r="G44" s="106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08"/>
      <c r="D45" s="107"/>
      <c r="E45" s="107"/>
      <c r="F45" s="107"/>
      <c r="G45" s="106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08"/>
      <c r="D46" s="107"/>
      <c r="E46" s="107"/>
      <c r="F46" s="107"/>
      <c r="G46" s="106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08"/>
      <c r="D47" s="107"/>
      <c r="E47" s="107"/>
      <c r="F47" s="107"/>
      <c r="G47" s="106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08"/>
      <c r="D48" s="107"/>
      <c r="E48" s="107"/>
      <c r="F48" s="107"/>
      <c r="G48" s="106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08"/>
      <c r="D49" s="107"/>
      <c r="E49" s="107"/>
      <c r="F49" s="107"/>
      <c r="G49" s="106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08"/>
      <c r="D50" s="107"/>
      <c r="E50" s="107"/>
      <c r="F50" s="107"/>
      <c r="G50" s="106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08"/>
      <c r="D51" s="107"/>
      <c r="E51" s="107"/>
      <c r="F51" s="107"/>
      <c r="G51" s="106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08"/>
      <c r="D52" s="107"/>
      <c r="E52" s="107"/>
      <c r="F52" s="107"/>
      <c r="G52" s="106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08"/>
      <c r="D53" s="107"/>
      <c r="E53" s="107"/>
      <c r="F53" s="107"/>
      <c r="G53" s="106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113.30769230769231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54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168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94"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H12:M12"/>
    <mergeCell ref="H11:M11"/>
    <mergeCell ref="N11:R11"/>
    <mergeCell ref="C32:G32"/>
    <mergeCell ref="H32:J32"/>
    <mergeCell ref="K32:P32"/>
    <mergeCell ref="C33:G33"/>
    <mergeCell ref="H33:J33"/>
    <mergeCell ref="K33:P33"/>
    <mergeCell ref="C34:G34"/>
    <mergeCell ref="H34:J34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7:G37"/>
    <mergeCell ref="H37:J37"/>
    <mergeCell ref="K37:P37"/>
    <mergeCell ref="K34:P34"/>
    <mergeCell ref="C35:G35"/>
    <mergeCell ref="H35:J35"/>
    <mergeCell ref="K35:P35"/>
    <mergeCell ref="C36:G36"/>
    <mergeCell ref="H36:J36"/>
    <mergeCell ref="K36:P3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FCE2-A6A2-4151-B504-C69B573F5377}">
  <sheetPr>
    <pageSetUpPr fitToPage="1"/>
  </sheetPr>
  <dimension ref="A1:AA76"/>
  <sheetViews>
    <sheetView workbookViewId="0">
      <selection activeCell="AB10" sqref="AB10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10</v>
      </c>
      <c r="J5" s="243"/>
      <c r="K5" s="244"/>
      <c r="L5" s="246" t="s">
        <v>66</v>
      </c>
      <c r="M5" s="247"/>
      <c r="N5" s="247"/>
      <c r="O5" s="248"/>
      <c r="P5" s="249" t="s">
        <v>87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95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87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62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86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21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30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212"/>
      <c r="D25" s="213"/>
      <c r="E25" s="213"/>
      <c r="F25" s="213"/>
      <c r="G25" s="214"/>
      <c r="H25" s="253" t="s">
        <v>85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12"/>
      <c r="D26" s="213"/>
      <c r="E26" s="213"/>
      <c r="F26" s="213"/>
      <c r="G26" s="214"/>
      <c r="H26" s="253" t="s">
        <v>85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12"/>
      <c r="D27" s="213"/>
      <c r="E27" s="213"/>
      <c r="F27" s="213"/>
      <c r="G27" s="214"/>
      <c r="H27" s="253">
        <v>21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41"/>
      <c r="C28" s="108"/>
      <c r="D28" s="107"/>
      <c r="E28" s="107"/>
      <c r="F28" s="107"/>
      <c r="G28" s="106"/>
      <c r="H28" s="111"/>
      <c r="I28" s="110"/>
      <c r="J28" s="109"/>
      <c r="K28" s="108"/>
      <c r="L28" s="107"/>
      <c r="M28" s="107"/>
      <c r="N28" s="107"/>
      <c r="O28" s="107"/>
      <c r="P28" s="106"/>
      <c r="Z28" s="103"/>
    </row>
    <row r="29" spans="1:26" ht="19.5" customHeight="1" x14ac:dyDescent="0.25">
      <c r="A29" s="104"/>
      <c r="B29" s="141"/>
      <c r="C29" s="108"/>
      <c r="D29" s="107"/>
      <c r="E29" s="107"/>
      <c r="F29" s="107"/>
      <c r="G29" s="106"/>
      <c r="H29" s="111"/>
      <c r="I29" s="110"/>
      <c r="J29" s="109"/>
      <c r="K29" s="108"/>
      <c r="L29" s="107"/>
      <c r="M29" s="107"/>
      <c r="N29" s="107"/>
      <c r="O29" s="107"/>
      <c r="P29" s="106"/>
      <c r="Z29" s="103"/>
    </row>
    <row r="30" spans="1:26" ht="19.5" customHeight="1" x14ac:dyDescent="0.25">
      <c r="A30" s="104"/>
      <c r="B30" s="141"/>
      <c r="C30" s="108"/>
      <c r="D30" s="107"/>
      <c r="E30" s="107"/>
      <c r="F30" s="107"/>
      <c r="G30" s="106"/>
      <c r="H30" s="111"/>
      <c r="I30" s="110"/>
      <c r="J30" s="109"/>
      <c r="K30" s="108"/>
      <c r="L30" s="107"/>
      <c r="M30" s="107"/>
      <c r="N30" s="107"/>
      <c r="O30" s="107"/>
      <c r="P30" s="106"/>
      <c r="Z30" s="103"/>
    </row>
    <row r="31" spans="1:26" ht="19.5" customHeight="1" x14ac:dyDescent="0.25">
      <c r="A31" s="104"/>
      <c r="B31" s="141"/>
      <c r="C31" s="108"/>
      <c r="D31" s="107"/>
      <c r="E31" s="107"/>
      <c r="F31" s="107"/>
      <c r="G31" s="106"/>
      <c r="H31" s="111"/>
      <c r="I31" s="110"/>
      <c r="J31" s="109"/>
      <c r="K31" s="108"/>
      <c r="L31" s="107"/>
      <c r="M31" s="107"/>
      <c r="N31" s="107"/>
      <c r="O31" s="107"/>
      <c r="P31" s="106"/>
      <c r="Z31" s="103"/>
    </row>
    <row r="32" spans="1:26" ht="19.5" customHeight="1" x14ac:dyDescent="0.25">
      <c r="A32" s="104"/>
      <c r="B32" s="141"/>
      <c r="C32" s="108"/>
      <c r="D32" s="107"/>
      <c r="E32" s="107"/>
      <c r="F32" s="107"/>
      <c r="G32" s="106"/>
      <c r="H32" s="111"/>
      <c r="I32" s="110"/>
      <c r="J32" s="109"/>
      <c r="K32" s="108"/>
      <c r="L32" s="107"/>
      <c r="M32" s="107"/>
      <c r="N32" s="107"/>
      <c r="O32" s="107"/>
      <c r="P32" s="106"/>
      <c r="Z32" s="103"/>
    </row>
    <row r="33" spans="1:26" ht="19.5" customHeight="1" x14ac:dyDescent="0.25">
      <c r="A33" s="104"/>
      <c r="B33" s="141"/>
      <c r="C33" s="108"/>
      <c r="D33" s="107"/>
      <c r="E33" s="107"/>
      <c r="F33" s="107"/>
      <c r="G33" s="106"/>
      <c r="H33" s="111"/>
      <c r="I33" s="110"/>
      <c r="J33" s="109"/>
      <c r="K33" s="108"/>
      <c r="L33" s="107"/>
      <c r="M33" s="107"/>
      <c r="N33" s="107"/>
      <c r="O33" s="107"/>
      <c r="P33" s="106"/>
      <c r="Z33" s="103"/>
    </row>
    <row r="34" spans="1:26" ht="19.5" customHeight="1" x14ac:dyDescent="0.25">
      <c r="A34" s="104"/>
      <c r="B34" s="141"/>
      <c r="C34" s="108"/>
      <c r="D34" s="107"/>
      <c r="E34" s="107"/>
      <c r="F34" s="107"/>
      <c r="G34" s="106"/>
      <c r="H34" s="111"/>
      <c r="I34" s="110"/>
      <c r="J34" s="109"/>
      <c r="K34" s="108"/>
      <c r="L34" s="107"/>
      <c r="M34" s="107"/>
      <c r="N34" s="107"/>
      <c r="O34" s="107"/>
      <c r="P34" s="106"/>
      <c r="Z34" s="103"/>
    </row>
    <row r="35" spans="1:26" ht="19.5" customHeight="1" x14ac:dyDescent="0.25">
      <c r="A35" s="104"/>
      <c r="B35" s="141"/>
      <c r="C35" s="108"/>
      <c r="D35" s="107"/>
      <c r="E35" s="107"/>
      <c r="F35" s="107"/>
      <c r="G35" s="106"/>
      <c r="H35" s="111"/>
      <c r="I35" s="110"/>
      <c r="J35" s="109"/>
      <c r="K35" s="108"/>
      <c r="L35" s="107"/>
      <c r="M35" s="107"/>
      <c r="N35" s="107"/>
      <c r="O35" s="107"/>
      <c r="P35" s="106"/>
      <c r="Z35" s="103"/>
    </row>
    <row r="36" spans="1:26" ht="19.5" customHeight="1" x14ac:dyDescent="0.25">
      <c r="A36" s="104"/>
      <c r="B36" s="141"/>
      <c r="C36" s="108"/>
      <c r="D36" s="107"/>
      <c r="E36" s="107"/>
      <c r="F36" s="107"/>
      <c r="G36" s="106"/>
      <c r="H36" s="111"/>
      <c r="I36" s="110"/>
      <c r="J36" s="109"/>
      <c r="K36" s="108"/>
      <c r="L36" s="107"/>
      <c r="M36" s="107"/>
      <c r="N36" s="107"/>
      <c r="O36" s="107"/>
      <c r="P36" s="106"/>
      <c r="Z36" s="103"/>
    </row>
    <row r="37" spans="1:26" ht="19.5" customHeight="1" x14ac:dyDescent="0.25">
      <c r="A37" s="104"/>
      <c r="B37" s="141"/>
      <c r="C37" s="108"/>
      <c r="D37" s="107"/>
      <c r="E37" s="107"/>
      <c r="F37" s="107"/>
      <c r="G37" s="106"/>
      <c r="H37" s="111"/>
      <c r="I37" s="110"/>
      <c r="J37" s="109"/>
      <c r="K37" s="108"/>
      <c r="L37" s="107"/>
      <c r="M37" s="107"/>
      <c r="N37" s="107"/>
      <c r="O37" s="107"/>
      <c r="P37" s="106"/>
      <c r="Z37" s="103"/>
    </row>
    <row r="38" spans="1:26" ht="19.5" customHeight="1" x14ac:dyDescent="0.25">
      <c r="A38" s="104"/>
      <c r="B38" s="141"/>
      <c r="C38" s="108"/>
      <c r="D38" s="107"/>
      <c r="E38" s="107"/>
      <c r="F38" s="107"/>
      <c r="G38" s="106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08"/>
      <c r="D39" s="107"/>
      <c r="E39" s="107"/>
      <c r="F39" s="107"/>
      <c r="G39" s="106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08"/>
      <c r="D40" s="107"/>
      <c r="E40" s="107"/>
      <c r="F40" s="107"/>
      <c r="G40" s="106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08"/>
      <c r="D41" s="107"/>
      <c r="E41" s="107"/>
      <c r="F41" s="107"/>
      <c r="G41" s="106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08"/>
      <c r="D42" s="107"/>
      <c r="E42" s="107"/>
      <c r="F42" s="107"/>
      <c r="G42" s="106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08"/>
      <c r="D43" s="107"/>
      <c r="E43" s="107"/>
      <c r="F43" s="107"/>
      <c r="G43" s="106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08"/>
      <c r="D44" s="107"/>
      <c r="E44" s="107"/>
      <c r="F44" s="107"/>
      <c r="G44" s="106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08"/>
      <c r="D45" s="107"/>
      <c r="E45" s="107"/>
      <c r="F45" s="107"/>
      <c r="G45" s="106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08"/>
      <c r="D46" s="107"/>
      <c r="E46" s="107"/>
      <c r="F46" s="107"/>
      <c r="G46" s="106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08"/>
      <c r="D47" s="107"/>
      <c r="E47" s="107"/>
      <c r="F47" s="107"/>
      <c r="G47" s="106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08"/>
      <c r="D48" s="107"/>
      <c r="E48" s="107"/>
      <c r="F48" s="107"/>
      <c r="G48" s="106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08"/>
      <c r="D49" s="107"/>
      <c r="E49" s="107"/>
      <c r="F49" s="107"/>
      <c r="G49" s="106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08"/>
      <c r="D50" s="107"/>
      <c r="E50" s="107"/>
      <c r="F50" s="107"/>
      <c r="G50" s="106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08"/>
      <c r="D51" s="107"/>
      <c r="E51" s="107"/>
      <c r="F51" s="107"/>
      <c r="G51" s="106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08"/>
      <c r="D52" s="107"/>
      <c r="E52" s="107"/>
      <c r="F52" s="107"/>
      <c r="G52" s="106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08"/>
      <c r="D53" s="107"/>
      <c r="E53" s="107"/>
      <c r="F53" s="107"/>
      <c r="G53" s="106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41"/>
      <c r="C54" s="164"/>
      <c r="D54" s="165"/>
      <c r="E54" s="165"/>
      <c r="F54" s="165"/>
      <c r="G54" s="166"/>
      <c r="H54" s="167"/>
      <c r="I54" s="169"/>
      <c r="J54" s="168"/>
      <c r="K54" s="164"/>
      <c r="L54" s="165"/>
      <c r="M54" s="165"/>
      <c r="N54" s="165"/>
      <c r="O54" s="165"/>
      <c r="P54" s="166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21</v>
      </c>
      <c r="I55" s="293"/>
      <c r="J55" s="294"/>
      <c r="K55" s="220" t="s">
        <v>84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 t="str">
        <f>IF(COUNTIF(H25:J54,"*&lt;20*"),"&lt;20",MIN(H25:J54))</f>
        <v>&lt;20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21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83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A62:Q63"/>
    <mergeCell ref="R62:T64"/>
    <mergeCell ref="U62:Z64"/>
    <mergeCell ref="H11:M11"/>
    <mergeCell ref="N11:R11"/>
    <mergeCell ref="B17:H17"/>
    <mergeCell ref="N12:R12"/>
    <mergeCell ref="H12:M12"/>
    <mergeCell ref="B12:G12"/>
    <mergeCell ref="S11:Y11"/>
    <mergeCell ref="H57:J57"/>
    <mergeCell ref="H55:J55"/>
    <mergeCell ref="P6:T6"/>
    <mergeCell ref="B11:G11"/>
    <mergeCell ref="A61:Q61"/>
    <mergeCell ref="R61:T61"/>
    <mergeCell ref="U61:Z61"/>
    <mergeCell ref="K25:P25"/>
    <mergeCell ref="M55:P57"/>
    <mergeCell ref="K55:L57"/>
    <mergeCell ref="S12:Y12"/>
    <mergeCell ref="K23:P24"/>
    <mergeCell ref="I17:Y17"/>
    <mergeCell ref="H56:J5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B56:G56"/>
    <mergeCell ref="B57:G57"/>
    <mergeCell ref="B55:G55"/>
    <mergeCell ref="C26:G26"/>
    <mergeCell ref="H26:J2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BC62-A66C-453A-A99E-4A1D73F06247}">
  <sheetPr>
    <pageSetUpPr fitToPage="1"/>
  </sheetPr>
  <dimension ref="A1:AA76"/>
  <sheetViews>
    <sheetView topLeftCell="A4" workbookViewId="0">
      <selection activeCell="AC60" sqref="AC60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9</v>
      </c>
      <c r="J5" s="243"/>
      <c r="K5" s="244"/>
      <c r="L5" s="246" t="s">
        <v>66</v>
      </c>
      <c r="M5" s="247"/>
      <c r="N5" s="247"/>
      <c r="O5" s="248"/>
      <c r="P5" s="249" t="s">
        <v>79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80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79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62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82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77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308" t="s">
        <v>75</v>
      </c>
      <c r="D25" s="309"/>
      <c r="E25" s="309"/>
      <c r="F25" s="309"/>
      <c r="G25" s="310"/>
      <c r="H25" s="253">
        <v>103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22"/>
      <c r="D26" s="223"/>
      <c r="E26" s="223"/>
      <c r="F26" s="223"/>
      <c r="G26" s="311"/>
      <c r="H26" s="253">
        <v>117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22"/>
      <c r="D27" s="223"/>
      <c r="E27" s="223"/>
      <c r="F27" s="223"/>
      <c r="G27" s="311"/>
      <c r="H27" s="253">
        <v>120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22"/>
      <c r="D28" s="223"/>
      <c r="E28" s="223"/>
      <c r="F28" s="223"/>
      <c r="G28" s="311"/>
      <c r="H28" s="253">
        <v>138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22"/>
      <c r="D29" s="223"/>
      <c r="E29" s="223"/>
      <c r="F29" s="223"/>
      <c r="G29" s="311"/>
      <c r="H29" s="253">
        <v>72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222"/>
      <c r="D30" s="223"/>
      <c r="E30" s="223"/>
      <c r="F30" s="223"/>
      <c r="G30" s="311"/>
      <c r="H30" s="253">
        <v>82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222"/>
      <c r="D31" s="223"/>
      <c r="E31" s="223"/>
      <c r="F31" s="223"/>
      <c r="G31" s="311"/>
      <c r="H31" s="253">
        <v>78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222"/>
      <c r="D32" s="223"/>
      <c r="E32" s="223"/>
      <c r="F32" s="223"/>
      <c r="G32" s="311"/>
      <c r="H32" s="253">
        <v>106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>
        <v>9</v>
      </c>
      <c r="C33" s="222"/>
      <c r="D33" s="223"/>
      <c r="E33" s="223"/>
      <c r="F33" s="223"/>
      <c r="G33" s="311"/>
      <c r="H33" s="253">
        <v>91</v>
      </c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12">
        <v>10</v>
      </c>
      <c r="C34" s="222"/>
      <c r="D34" s="223"/>
      <c r="E34" s="223"/>
      <c r="F34" s="223"/>
      <c r="G34" s="311"/>
      <c r="H34" s="253">
        <v>92</v>
      </c>
      <c r="I34" s="254"/>
      <c r="J34" s="255"/>
      <c r="K34" s="212"/>
      <c r="L34" s="213"/>
      <c r="M34" s="213"/>
      <c r="N34" s="213"/>
      <c r="O34" s="213"/>
      <c r="P34" s="214"/>
      <c r="Z34" s="103"/>
    </row>
    <row r="35" spans="1:26" ht="19.5" customHeight="1" x14ac:dyDescent="0.25">
      <c r="A35" s="104"/>
      <c r="B35" s="112">
        <v>11</v>
      </c>
      <c r="C35" s="222"/>
      <c r="D35" s="223"/>
      <c r="E35" s="223"/>
      <c r="F35" s="223"/>
      <c r="G35" s="311"/>
      <c r="H35" s="253">
        <v>93</v>
      </c>
      <c r="I35" s="254"/>
      <c r="J35" s="255"/>
      <c r="K35" s="212"/>
      <c r="L35" s="213"/>
      <c r="M35" s="213"/>
      <c r="N35" s="213"/>
      <c r="O35" s="213"/>
      <c r="P35" s="214"/>
      <c r="Z35" s="103"/>
    </row>
    <row r="36" spans="1:26" ht="19.5" customHeight="1" x14ac:dyDescent="0.25">
      <c r="A36" s="104"/>
      <c r="B36" s="112">
        <v>12</v>
      </c>
      <c r="C36" s="222"/>
      <c r="D36" s="223"/>
      <c r="E36" s="223"/>
      <c r="F36" s="223"/>
      <c r="G36" s="311"/>
      <c r="H36" s="253">
        <v>145</v>
      </c>
      <c r="I36" s="254"/>
      <c r="J36" s="255"/>
      <c r="K36" s="212"/>
      <c r="L36" s="213"/>
      <c r="M36" s="213"/>
      <c r="N36" s="213"/>
      <c r="O36" s="213"/>
      <c r="P36" s="214"/>
      <c r="Z36" s="103"/>
    </row>
    <row r="37" spans="1:26" ht="19.5" customHeight="1" x14ac:dyDescent="0.25">
      <c r="A37" s="104"/>
      <c r="B37" s="112">
        <v>13</v>
      </c>
      <c r="C37" s="312"/>
      <c r="D37" s="313"/>
      <c r="E37" s="313"/>
      <c r="F37" s="313"/>
      <c r="G37" s="314"/>
      <c r="H37" s="253">
        <v>78</v>
      </c>
      <c r="I37" s="254"/>
      <c r="J37" s="255"/>
      <c r="K37" s="212"/>
      <c r="L37" s="213"/>
      <c r="M37" s="213"/>
      <c r="N37" s="213"/>
      <c r="O37" s="213"/>
      <c r="P37" s="214"/>
      <c r="Z37" s="103"/>
    </row>
    <row r="38" spans="1:26" ht="19.5" customHeight="1" x14ac:dyDescent="0.25">
      <c r="A38" s="104"/>
      <c r="B38" s="141"/>
      <c r="C38" s="160"/>
      <c r="D38" s="159"/>
      <c r="E38" s="159"/>
      <c r="F38" s="159"/>
      <c r="G38" s="158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60"/>
      <c r="D39" s="159"/>
      <c r="E39" s="159"/>
      <c r="F39" s="159"/>
      <c r="G39" s="158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60"/>
      <c r="D40" s="159"/>
      <c r="E40" s="159"/>
      <c r="F40" s="159"/>
      <c r="G40" s="158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60"/>
      <c r="D41" s="159"/>
      <c r="E41" s="159"/>
      <c r="F41" s="159"/>
      <c r="G41" s="158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60"/>
      <c r="D42" s="159"/>
      <c r="E42" s="159"/>
      <c r="F42" s="159"/>
      <c r="G42" s="158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60"/>
      <c r="D43" s="159"/>
      <c r="E43" s="159"/>
      <c r="F43" s="159"/>
      <c r="G43" s="158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60"/>
      <c r="D44" s="159"/>
      <c r="E44" s="159"/>
      <c r="F44" s="159"/>
      <c r="G44" s="158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60"/>
      <c r="D45" s="159"/>
      <c r="E45" s="159"/>
      <c r="F45" s="159"/>
      <c r="G45" s="158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60"/>
      <c r="D46" s="159"/>
      <c r="E46" s="159"/>
      <c r="F46" s="159"/>
      <c r="G46" s="158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60"/>
      <c r="D47" s="159"/>
      <c r="E47" s="159"/>
      <c r="F47" s="159"/>
      <c r="G47" s="158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60"/>
      <c r="D48" s="159"/>
      <c r="E48" s="159"/>
      <c r="F48" s="159"/>
      <c r="G48" s="158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60"/>
      <c r="D49" s="159"/>
      <c r="E49" s="159"/>
      <c r="F49" s="159"/>
      <c r="G49" s="158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60"/>
      <c r="D50" s="159"/>
      <c r="E50" s="159"/>
      <c r="F50" s="159"/>
      <c r="G50" s="158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60"/>
      <c r="D51" s="159"/>
      <c r="E51" s="159"/>
      <c r="F51" s="159"/>
      <c r="G51" s="158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60"/>
      <c r="D52" s="159"/>
      <c r="E52" s="159"/>
      <c r="F52" s="159"/>
      <c r="G52" s="158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60"/>
      <c r="D53" s="159"/>
      <c r="E53" s="159"/>
      <c r="F53" s="159"/>
      <c r="G53" s="158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101.15384615384616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72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145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K34:P34"/>
    <mergeCell ref="H35:J35"/>
    <mergeCell ref="K35:P35"/>
    <mergeCell ref="H32:J32"/>
    <mergeCell ref="V66:Y67"/>
    <mergeCell ref="A62:Q63"/>
    <mergeCell ref="R62:T64"/>
    <mergeCell ref="U62:Z64"/>
    <mergeCell ref="K33:P33"/>
    <mergeCell ref="H30:J30"/>
    <mergeCell ref="K30:P30"/>
    <mergeCell ref="H31:J31"/>
    <mergeCell ref="I18:J18"/>
    <mergeCell ref="H25:J25"/>
    <mergeCell ref="H24:J24"/>
    <mergeCell ref="H23:J23"/>
    <mergeCell ref="B18:H18"/>
    <mergeCell ref="B23:B24"/>
    <mergeCell ref="C23:G24"/>
    <mergeCell ref="J21:P21"/>
    <mergeCell ref="H11:M11"/>
    <mergeCell ref="N11:R11"/>
    <mergeCell ref="A65:Q68"/>
    <mergeCell ref="R65:T68"/>
    <mergeCell ref="K26:P26"/>
    <mergeCell ref="H27:J27"/>
    <mergeCell ref="K27:P27"/>
    <mergeCell ref="H28:J28"/>
    <mergeCell ref="K28:P28"/>
    <mergeCell ref="H29:J29"/>
    <mergeCell ref="B56:G56"/>
    <mergeCell ref="B57:G57"/>
    <mergeCell ref="B55:G55"/>
    <mergeCell ref="H26:J26"/>
    <mergeCell ref="N12:R12"/>
    <mergeCell ref="H12:M12"/>
    <mergeCell ref="B10:G10"/>
    <mergeCell ref="S10:Y10"/>
    <mergeCell ref="N10:R10"/>
    <mergeCell ref="G2:T4"/>
    <mergeCell ref="G5:H5"/>
    <mergeCell ref="A7:F7"/>
    <mergeCell ref="G7:Z7"/>
    <mergeCell ref="H10:M10"/>
    <mergeCell ref="L5:O5"/>
    <mergeCell ref="P5:T5"/>
    <mergeCell ref="L6:O6"/>
    <mergeCell ref="P6:T6"/>
    <mergeCell ref="A1:F6"/>
    <mergeCell ref="G1:T1"/>
    <mergeCell ref="B11:G11"/>
    <mergeCell ref="A61:Q61"/>
    <mergeCell ref="R61:T61"/>
    <mergeCell ref="U61:Z6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B17:H17"/>
    <mergeCell ref="B12:G12"/>
    <mergeCell ref="K29:P29"/>
    <mergeCell ref="H57:J57"/>
    <mergeCell ref="H55:J55"/>
    <mergeCell ref="H56:J56"/>
    <mergeCell ref="K31:P31"/>
    <mergeCell ref="H36:J36"/>
    <mergeCell ref="K36:P36"/>
    <mergeCell ref="H37:J37"/>
    <mergeCell ref="K37:P37"/>
    <mergeCell ref="C25:G37"/>
    <mergeCell ref="H34:J34"/>
    <mergeCell ref="C54:G54"/>
    <mergeCell ref="K32:P32"/>
    <mergeCell ref="H33:J33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E973-08C9-4C41-A63E-C4B1A3BFFDF5}">
  <sheetPr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8</v>
      </c>
      <c r="J5" s="243"/>
      <c r="K5" s="244"/>
      <c r="L5" s="246" t="s">
        <v>66</v>
      </c>
      <c r="M5" s="247"/>
      <c r="N5" s="247"/>
      <c r="O5" s="248"/>
      <c r="P5" s="249" t="s">
        <v>79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80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79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17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82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77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308" t="s">
        <v>75</v>
      </c>
      <c r="D25" s="309"/>
      <c r="E25" s="309"/>
      <c r="F25" s="309"/>
      <c r="G25" s="310"/>
      <c r="H25" s="253">
        <v>57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22"/>
      <c r="D26" s="223"/>
      <c r="E26" s="223"/>
      <c r="F26" s="223"/>
      <c r="G26" s="311"/>
      <c r="H26" s="253">
        <v>57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22"/>
      <c r="D27" s="223"/>
      <c r="E27" s="223"/>
      <c r="F27" s="223"/>
      <c r="G27" s="311"/>
      <c r="H27" s="253">
        <v>90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22"/>
      <c r="D28" s="223"/>
      <c r="E28" s="223"/>
      <c r="F28" s="223"/>
      <c r="G28" s="311"/>
      <c r="H28" s="253">
        <v>61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312"/>
      <c r="D29" s="313"/>
      <c r="E29" s="313"/>
      <c r="F29" s="313"/>
      <c r="G29" s="314"/>
      <c r="H29" s="253">
        <v>52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308" t="s">
        <v>76</v>
      </c>
      <c r="D30" s="309"/>
      <c r="E30" s="309"/>
      <c r="F30" s="309"/>
      <c r="G30" s="310"/>
      <c r="H30" s="253">
        <v>62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222"/>
      <c r="D31" s="223"/>
      <c r="E31" s="223"/>
      <c r="F31" s="223"/>
      <c r="G31" s="311"/>
      <c r="H31" s="253">
        <v>93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315"/>
      <c r="D32" s="316"/>
      <c r="E32" s="316"/>
      <c r="F32" s="316"/>
      <c r="G32" s="317"/>
      <c r="H32" s="253">
        <v>57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/>
      <c r="C33" s="161"/>
      <c r="D33" s="162"/>
      <c r="E33" s="162"/>
      <c r="F33" s="162"/>
      <c r="G33" s="163"/>
      <c r="H33" s="253"/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41"/>
      <c r="C34" s="160"/>
      <c r="D34" s="159"/>
      <c r="E34" s="159"/>
      <c r="F34" s="159"/>
      <c r="G34" s="158"/>
      <c r="H34" s="111"/>
      <c r="I34" s="110"/>
      <c r="J34" s="109"/>
      <c r="K34" s="108"/>
      <c r="L34" s="107"/>
      <c r="M34" s="107"/>
      <c r="N34" s="107"/>
      <c r="O34" s="107"/>
      <c r="P34" s="106"/>
      <c r="Z34" s="103"/>
    </row>
    <row r="35" spans="1:26" ht="19.5" customHeight="1" x14ac:dyDescent="0.25">
      <c r="A35" s="104"/>
      <c r="B35" s="141"/>
      <c r="C35" s="160"/>
      <c r="D35" s="159"/>
      <c r="E35" s="159"/>
      <c r="F35" s="159"/>
      <c r="G35" s="158"/>
      <c r="H35" s="111"/>
      <c r="I35" s="110"/>
      <c r="J35" s="109"/>
      <c r="K35" s="108"/>
      <c r="L35" s="107"/>
      <c r="M35" s="107"/>
      <c r="N35" s="107"/>
      <c r="O35" s="107"/>
      <c r="P35" s="106"/>
      <c r="Z35" s="103"/>
    </row>
    <row r="36" spans="1:26" ht="19.5" customHeight="1" x14ac:dyDescent="0.25">
      <c r="A36" s="104"/>
      <c r="B36" s="141"/>
      <c r="C36" s="160"/>
      <c r="D36" s="159"/>
      <c r="E36" s="159"/>
      <c r="F36" s="159"/>
      <c r="G36" s="158"/>
      <c r="H36" s="111"/>
      <c r="I36" s="110"/>
      <c r="J36" s="109"/>
      <c r="K36" s="108"/>
      <c r="L36" s="107"/>
      <c r="M36" s="107"/>
      <c r="N36" s="107"/>
      <c r="O36" s="107"/>
      <c r="P36" s="106"/>
      <c r="Z36" s="103"/>
    </row>
    <row r="37" spans="1:26" ht="19.5" customHeight="1" x14ac:dyDescent="0.25">
      <c r="A37" s="104"/>
      <c r="B37" s="141"/>
      <c r="C37" s="160"/>
      <c r="D37" s="159"/>
      <c r="E37" s="159"/>
      <c r="F37" s="159"/>
      <c r="G37" s="158"/>
      <c r="H37" s="111"/>
      <c r="I37" s="110"/>
      <c r="J37" s="109"/>
      <c r="K37" s="108"/>
      <c r="L37" s="107"/>
      <c r="M37" s="107"/>
      <c r="N37" s="107"/>
      <c r="O37" s="107"/>
      <c r="P37" s="106"/>
      <c r="Z37" s="103"/>
    </row>
    <row r="38" spans="1:26" ht="19.5" customHeight="1" x14ac:dyDescent="0.25">
      <c r="A38" s="104"/>
      <c r="B38" s="141"/>
      <c r="C38" s="160"/>
      <c r="D38" s="159"/>
      <c r="E38" s="159"/>
      <c r="F38" s="159"/>
      <c r="G38" s="158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60"/>
      <c r="D39" s="159"/>
      <c r="E39" s="159"/>
      <c r="F39" s="159"/>
      <c r="G39" s="158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60"/>
      <c r="D40" s="159"/>
      <c r="E40" s="159"/>
      <c r="F40" s="159"/>
      <c r="G40" s="158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60"/>
      <c r="D41" s="159"/>
      <c r="E41" s="159"/>
      <c r="F41" s="159"/>
      <c r="G41" s="158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60"/>
      <c r="D42" s="159"/>
      <c r="E42" s="159"/>
      <c r="F42" s="159"/>
      <c r="G42" s="158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60"/>
      <c r="D43" s="159"/>
      <c r="E43" s="159"/>
      <c r="F43" s="159"/>
      <c r="G43" s="158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60"/>
      <c r="D44" s="159"/>
      <c r="E44" s="159"/>
      <c r="F44" s="159"/>
      <c r="G44" s="158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60"/>
      <c r="D45" s="159"/>
      <c r="E45" s="159"/>
      <c r="F45" s="159"/>
      <c r="G45" s="158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60"/>
      <c r="D46" s="159"/>
      <c r="E46" s="159"/>
      <c r="F46" s="159"/>
      <c r="G46" s="158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60"/>
      <c r="D47" s="159"/>
      <c r="E47" s="159"/>
      <c r="F47" s="159"/>
      <c r="G47" s="158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60"/>
      <c r="D48" s="159"/>
      <c r="E48" s="159"/>
      <c r="F48" s="159"/>
      <c r="G48" s="158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60"/>
      <c r="D49" s="159"/>
      <c r="E49" s="159"/>
      <c r="F49" s="159"/>
      <c r="G49" s="158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60"/>
      <c r="D50" s="159"/>
      <c r="E50" s="159"/>
      <c r="F50" s="159"/>
      <c r="G50" s="158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60"/>
      <c r="D51" s="159"/>
      <c r="E51" s="159"/>
      <c r="F51" s="159"/>
      <c r="G51" s="158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60"/>
      <c r="D52" s="159"/>
      <c r="E52" s="159"/>
      <c r="F52" s="159"/>
      <c r="G52" s="158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60"/>
      <c r="D53" s="159"/>
      <c r="E53" s="159"/>
      <c r="F53" s="159"/>
      <c r="G53" s="158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66.125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52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93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75"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C25:G29"/>
    <mergeCell ref="H32:J32"/>
    <mergeCell ref="K32:P32"/>
    <mergeCell ref="H33:J33"/>
    <mergeCell ref="K33:P33"/>
    <mergeCell ref="A62:Q63"/>
    <mergeCell ref="H11:M11"/>
    <mergeCell ref="N11:R11"/>
    <mergeCell ref="A65:Q68"/>
    <mergeCell ref="R65:T68"/>
    <mergeCell ref="K26:P26"/>
    <mergeCell ref="H27:J27"/>
    <mergeCell ref="K27:P27"/>
    <mergeCell ref="H28:J28"/>
    <mergeCell ref="K28:P28"/>
    <mergeCell ref="H29:J29"/>
    <mergeCell ref="B56:G56"/>
    <mergeCell ref="B57:G57"/>
    <mergeCell ref="B55:G55"/>
    <mergeCell ref="H26:J26"/>
    <mergeCell ref="N12:R12"/>
    <mergeCell ref="H12:M12"/>
    <mergeCell ref="B10:G10"/>
    <mergeCell ref="S10:Y10"/>
    <mergeCell ref="N10:R10"/>
    <mergeCell ref="G2:T4"/>
    <mergeCell ref="G5:H5"/>
    <mergeCell ref="A7:F7"/>
    <mergeCell ref="G7:Z7"/>
    <mergeCell ref="H10:M10"/>
    <mergeCell ref="L5:O5"/>
    <mergeCell ref="P5:T5"/>
    <mergeCell ref="L6:O6"/>
    <mergeCell ref="P6:T6"/>
    <mergeCell ref="A1:F6"/>
    <mergeCell ref="G1:T1"/>
    <mergeCell ref="B11:G11"/>
    <mergeCell ref="A61:Q61"/>
    <mergeCell ref="R61:T61"/>
    <mergeCell ref="U61:Z6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R62:T64"/>
    <mergeCell ref="U62:Z64"/>
    <mergeCell ref="B17:H17"/>
    <mergeCell ref="B12:G12"/>
    <mergeCell ref="K29:P29"/>
    <mergeCell ref="H57:J57"/>
    <mergeCell ref="H55:J55"/>
    <mergeCell ref="H56:J56"/>
    <mergeCell ref="H30:J30"/>
    <mergeCell ref="K30:P30"/>
    <mergeCell ref="H31:J31"/>
    <mergeCell ref="K31:P31"/>
    <mergeCell ref="C30:G32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758A-A13C-4867-8100-51B3E75B6DD9}">
  <sheetPr>
    <pageSetUpPr fitToPage="1"/>
  </sheetPr>
  <dimension ref="A1:AA76"/>
  <sheetViews>
    <sheetView topLeftCell="A14"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7</v>
      </c>
      <c r="J5" s="243"/>
      <c r="K5" s="244"/>
      <c r="L5" s="246" t="s">
        <v>66</v>
      </c>
      <c r="M5" s="247"/>
      <c r="N5" s="247"/>
      <c r="O5" s="248"/>
      <c r="P5" s="249" t="s">
        <v>79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80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79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17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81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77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308" t="s">
        <v>75</v>
      </c>
      <c r="D25" s="309"/>
      <c r="E25" s="309"/>
      <c r="F25" s="309"/>
      <c r="G25" s="310"/>
      <c r="H25" s="253">
        <v>92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22"/>
      <c r="D26" s="223"/>
      <c r="E26" s="223"/>
      <c r="F26" s="223"/>
      <c r="G26" s="311"/>
      <c r="H26" s="253">
        <v>86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22"/>
      <c r="D27" s="223"/>
      <c r="E27" s="223"/>
      <c r="F27" s="223"/>
      <c r="G27" s="311"/>
      <c r="H27" s="253">
        <v>76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22"/>
      <c r="D28" s="223"/>
      <c r="E28" s="223"/>
      <c r="F28" s="223"/>
      <c r="G28" s="311"/>
      <c r="H28" s="253">
        <v>65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22"/>
      <c r="D29" s="223"/>
      <c r="E29" s="223"/>
      <c r="F29" s="223"/>
      <c r="G29" s="311"/>
      <c r="H29" s="253">
        <v>73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222"/>
      <c r="D30" s="223"/>
      <c r="E30" s="223"/>
      <c r="F30" s="223"/>
      <c r="G30" s="311"/>
      <c r="H30" s="253">
        <v>69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222"/>
      <c r="D31" s="223"/>
      <c r="E31" s="223"/>
      <c r="F31" s="223"/>
      <c r="G31" s="311"/>
      <c r="H31" s="253">
        <v>57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222"/>
      <c r="D32" s="223"/>
      <c r="E32" s="223"/>
      <c r="F32" s="223"/>
      <c r="G32" s="311"/>
      <c r="H32" s="253">
        <v>52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>
        <v>9</v>
      </c>
      <c r="C33" s="222"/>
      <c r="D33" s="223"/>
      <c r="E33" s="223"/>
      <c r="F33" s="223"/>
      <c r="G33" s="311"/>
      <c r="H33" s="253">
        <v>84</v>
      </c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12">
        <v>10</v>
      </c>
      <c r="C34" s="312"/>
      <c r="D34" s="313"/>
      <c r="E34" s="313"/>
      <c r="F34" s="313"/>
      <c r="G34" s="314"/>
      <c r="H34" s="253">
        <v>59</v>
      </c>
      <c r="I34" s="254"/>
      <c r="J34" s="255"/>
      <c r="K34" s="212"/>
      <c r="L34" s="213"/>
      <c r="M34" s="213"/>
      <c r="N34" s="213"/>
      <c r="O34" s="213"/>
      <c r="P34" s="214"/>
      <c r="Z34" s="103"/>
    </row>
    <row r="35" spans="1:26" ht="19.5" customHeight="1" x14ac:dyDescent="0.25">
      <c r="A35" s="104"/>
      <c r="B35" s="112">
        <v>11</v>
      </c>
      <c r="C35" s="308" t="s">
        <v>76</v>
      </c>
      <c r="D35" s="309"/>
      <c r="E35" s="309"/>
      <c r="F35" s="309"/>
      <c r="G35" s="310"/>
      <c r="H35" s="253">
        <v>100</v>
      </c>
      <c r="I35" s="254"/>
      <c r="J35" s="255"/>
      <c r="K35" s="212"/>
      <c r="L35" s="213"/>
      <c r="M35" s="213"/>
      <c r="N35" s="213"/>
      <c r="O35" s="213"/>
      <c r="P35" s="214"/>
      <c r="Z35" s="103"/>
    </row>
    <row r="36" spans="1:26" ht="19.5" customHeight="1" x14ac:dyDescent="0.25">
      <c r="A36" s="104"/>
      <c r="B36" s="112">
        <v>12</v>
      </c>
      <c r="C36" s="222"/>
      <c r="D36" s="223"/>
      <c r="E36" s="223"/>
      <c r="F36" s="223"/>
      <c r="G36" s="311"/>
      <c r="H36" s="253">
        <v>123</v>
      </c>
      <c r="I36" s="254"/>
      <c r="J36" s="255"/>
      <c r="K36" s="212"/>
      <c r="L36" s="213"/>
      <c r="M36" s="213"/>
      <c r="N36" s="213"/>
      <c r="O36" s="213"/>
      <c r="P36" s="214"/>
      <c r="Z36" s="103"/>
    </row>
    <row r="37" spans="1:26" ht="19.5" customHeight="1" x14ac:dyDescent="0.25">
      <c r="A37" s="104"/>
      <c r="B37" s="112">
        <v>13</v>
      </c>
      <c r="C37" s="222"/>
      <c r="D37" s="223"/>
      <c r="E37" s="223"/>
      <c r="F37" s="223"/>
      <c r="G37" s="311"/>
      <c r="H37" s="253">
        <v>105</v>
      </c>
      <c r="I37" s="254"/>
      <c r="J37" s="255"/>
      <c r="K37" s="212"/>
      <c r="L37" s="213"/>
      <c r="M37" s="213"/>
      <c r="N37" s="213"/>
      <c r="O37" s="213"/>
      <c r="P37" s="214"/>
      <c r="Z37" s="103"/>
    </row>
    <row r="38" spans="1:26" ht="19.5" customHeight="1" x14ac:dyDescent="0.25">
      <c r="A38" s="104"/>
      <c r="B38" s="112">
        <v>14</v>
      </c>
      <c r="C38" s="222"/>
      <c r="D38" s="223"/>
      <c r="E38" s="223"/>
      <c r="F38" s="223"/>
      <c r="G38" s="311"/>
      <c r="H38" s="253">
        <v>91</v>
      </c>
      <c r="I38" s="254"/>
      <c r="J38" s="255"/>
      <c r="K38" s="212"/>
      <c r="L38" s="213"/>
      <c r="M38" s="213"/>
      <c r="N38" s="213"/>
      <c r="O38" s="213"/>
      <c r="P38" s="214"/>
      <c r="Z38" s="103"/>
    </row>
    <row r="39" spans="1:26" ht="19.5" customHeight="1" x14ac:dyDescent="0.25">
      <c r="A39" s="104"/>
      <c r="B39" s="112">
        <v>15</v>
      </c>
      <c r="C39" s="222"/>
      <c r="D39" s="223"/>
      <c r="E39" s="223"/>
      <c r="F39" s="223"/>
      <c r="G39" s="311"/>
      <c r="H39" s="253">
        <v>99</v>
      </c>
      <c r="I39" s="254"/>
      <c r="J39" s="255"/>
      <c r="K39" s="212"/>
      <c r="L39" s="213"/>
      <c r="M39" s="213"/>
      <c r="N39" s="213"/>
      <c r="O39" s="213"/>
      <c r="P39" s="214"/>
      <c r="Z39" s="103"/>
    </row>
    <row r="40" spans="1:26" ht="19.5" customHeight="1" x14ac:dyDescent="0.25">
      <c r="A40" s="104"/>
      <c r="B40" s="112">
        <v>16</v>
      </c>
      <c r="C40" s="222"/>
      <c r="D40" s="223"/>
      <c r="E40" s="223"/>
      <c r="F40" s="223"/>
      <c r="G40" s="311"/>
      <c r="H40" s="253">
        <v>96</v>
      </c>
      <c r="I40" s="254"/>
      <c r="J40" s="255"/>
      <c r="K40" s="212"/>
      <c r="L40" s="213"/>
      <c r="M40" s="213"/>
      <c r="N40" s="213"/>
      <c r="O40" s="213"/>
      <c r="P40" s="214"/>
      <c r="Z40" s="103"/>
    </row>
    <row r="41" spans="1:26" ht="19.5" customHeight="1" x14ac:dyDescent="0.25">
      <c r="A41" s="104"/>
      <c r="B41" s="112">
        <v>17</v>
      </c>
      <c r="C41" s="222"/>
      <c r="D41" s="223"/>
      <c r="E41" s="223"/>
      <c r="F41" s="223"/>
      <c r="G41" s="311"/>
      <c r="H41" s="253">
        <v>62</v>
      </c>
      <c r="I41" s="254"/>
      <c r="J41" s="255"/>
      <c r="K41" s="212"/>
      <c r="L41" s="213"/>
      <c r="M41" s="213"/>
      <c r="N41" s="213"/>
      <c r="O41" s="213"/>
      <c r="P41" s="214"/>
      <c r="Z41" s="103"/>
    </row>
    <row r="42" spans="1:26" ht="19.5" customHeight="1" x14ac:dyDescent="0.25">
      <c r="A42" s="104"/>
      <c r="B42" s="112">
        <v>18</v>
      </c>
      <c r="C42" s="312"/>
      <c r="D42" s="313"/>
      <c r="E42" s="313"/>
      <c r="F42" s="313"/>
      <c r="G42" s="314"/>
      <c r="H42" s="253">
        <v>50</v>
      </c>
      <c r="I42" s="254"/>
      <c r="J42" s="255"/>
      <c r="K42" s="212"/>
      <c r="L42" s="213"/>
      <c r="M42" s="213"/>
      <c r="N42" s="213"/>
      <c r="O42" s="213"/>
      <c r="P42" s="214"/>
      <c r="Z42" s="103"/>
    </row>
    <row r="43" spans="1:26" ht="19.5" customHeight="1" x14ac:dyDescent="0.25">
      <c r="A43" s="104"/>
      <c r="B43" s="141"/>
      <c r="C43" s="160"/>
      <c r="D43" s="159"/>
      <c r="E43" s="159"/>
      <c r="F43" s="159"/>
      <c r="G43" s="158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60"/>
      <c r="D44" s="159"/>
      <c r="E44" s="159"/>
      <c r="F44" s="159"/>
      <c r="G44" s="158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60"/>
      <c r="D45" s="159"/>
      <c r="E45" s="159"/>
      <c r="F45" s="159"/>
      <c r="G45" s="158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60"/>
      <c r="D46" s="159"/>
      <c r="E46" s="159"/>
      <c r="F46" s="159"/>
      <c r="G46" s="158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60"/>
      <c r="D47" s="159"/>
      <c r="E47" s="159"/>
      <c r="F47" s="159"/>
      <c r="G47" s="158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60"/>
      <c r="D48" s="159"/>
      <c r="E48" s="159"/>
      <c r="F48" s="159"/>
      <c r="G48" s="158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60"/>
      <c r="D49" s="159"/>
      <c r="E49" s="159"/>
      <c r="F49" s="159"/>
      <c r="G49" s="158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60"/>
      <c r="D50" s="159"/>
      <c r="E50" s="159"/>
      <c r="F50" s="159"/>
      <c r="G50" s="158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60"/>
      <c r="D51" s="159"/>
      <c r="E51" s="159"/>
      <c r="F51" s="159"/>
      <c r="G51" s="158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60"/>
      <c r="D52" s="159"/>
      <c r="E52" s="159"/>
      <c r="F52" s="159"/>
      <c r="G52" s="158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60"/>
      <c r="D53" s="159"/>
      <c r="E53" s="159"/>
      <c r="F53" s="159"/>
      <c r="G53" s="158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79.944444444444443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50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123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93">
    <mergeCell ref="C35:G42"/>
    <mergeCell ref="H40:J40"/>
    <mergeCell ref="K40:P40"/>
    <mergeCell ref="H41:J41"/>
    <mergeCell ref="K41:P41"/>
    <mergeCell ref="H38:J38"/>
    <mergeCell ref="K38:P38"/>
    <mergeCell ref="V66:Y67"/>
    <mergeCell ref="I18:J18"/>
    <mergeCell ref="H25:J25"/>
    <mergeCell ref="H24:J24"/>
    <mergeCell ref="H23:J23"/>
    <mergeCell ref="B18:H18"/>
    <mergeCell ref="H34:J34"/>
    <mergeCell ref="K34:P34"/>
    <mergeCell ref="H35:J35"/>
    <mergeCell ref="K35:P35"/>
    <mergeCell ref="H32:J32"/>
    <mergeCell ref="K32:P32"/>
    <mergeCell ref="H33:J33"/>
    <mergeCell ref="K33:P33"/>
    <mergeCell ref="H39:J39"/>
    <mergeCell ref="K39:P39"/>
    <mergeCell ref="A65:Q68"/>
    <mergeCell ref="R65:T68"/>
    <mergeCell ref="K26:P26"/>
    <mergeCell ref="H27:J27"/>
    <mergeCell ref="K27:P27"/>
    <mergeCell ref="H28:J28"/>
    <mergeCell ref="C54:G54"/>
    <mergeCell ref="B56:G56"/>
    <mergeCell ref="B57:G57"/>
    <mergeCell ref="B55:G55"/>
    <mergeCell ref="H26:J26"/>
    <mergeCell ref="K28:P28"/>
    <mergeCell ref="H29:J29"/>
    <mergeCell ref="H30:J30"/>
    <mergeCell ref="K30:P30"/>
    <mergeCell ref="H31:J31"/>
    <mergeCell ref="L6:O6"/>
    <mergeCell ref="P6:T6"/>
    <mergeCell ref="K29:P29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N12:R12"/>
    <mergeCell ref="H12:M12"/>
    <mergeCell ref="H11:M11"/>
    <mergeCell ref="N11:R11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10:M10"/>
    <mergeCell ref="I5:K5"/>
    <mergeCell ref="I6:K6"/>
    <mergeCell ref="L5:O5"/>
    <mergeCell ref="P5:T5"/>
    <mergeCell ref="H57:J57"/>
    <mergeCell ref="H55:J55"/>
    <mergeCell ref="H56:J56"/>
    <mergeCell ref="B17:H17"/>
    <mergeCell ref="B12:G12"/>
    <mergeCell ref="B23:B24"/>
    <mergeCell ref="C23:G24"/>
    <mergeCell ref="J21:P21"/>
    <mergeCell ref="K31:P31"/>
    <mergeCell ref="H36:J36"/>
    <mergeCell ref="K36:P36"/>
    <mergeCell ref="H37:J37"/>
    <mergeCell ref="K37:P37"/>
    <mergeCell ref="H42:J42"/>
    <mergeCell ref="K42:P42"/>
    <mergeCell ref="C25:G34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177A-2E52-45F2-84FC-C57EA07AC00F}">
  <sheetPr>
    <pageSetUpPr fitToPage="1"/>
  </sheetPr>
  <dimension ref="A1:AA76"/>
  <sheetViews>
    <sheetView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6</v>
      </c>
      <c r="J5" s="243"/>
      <c r="K5" s="244"/>
      <c r="L5" s="246" t="s">
        <v>66</v>
      </c>
      <c r="M5" s="247"/>
      <c r="N5" s="247"/>
      <c r="O5" s="248"/>
      <c r="P5" s="249" t="s">
        <v>79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80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79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17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78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77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308" t="s">
        <v>76</v>
      </c>
      <c r="D25" s="309"/>
      <c r="E25" s="309"/>
      <c r="F25" s="309"/>
      <c r="G25" s="310"/>
      <c r="H25" s="253">
        <v>99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22"/>
      <c r="D26" s="223"/>
      <c r="E26" s="223"/>
      <c r="F26" s="223"/>
      <c r="G26" s="311"/>
      <c r="H26" s="253">
        <v>86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22"/>
      <c r="D27" s="223"/>
      <c r="E27" s="223"/>
      <c r="F27" s="223"/>
      <c r="G27" s="311"/>
      <c r="H27" s="253">
        <v>73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22"/>
      <c r="D28" s="223"/>
      <c r="E28" s="223"/>
      <c r="F28" s="223"/>
      <c r="G28" s="311"/>
      <c r="H28" s="253">
        <v>52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22"/>
      <c r="D29" s="223"/>
      <c r="E29" s="223"/>
      <c r="F29" s="223"/>
      <c r="G29" s="311"/>
      <c r="H29" s="253">
        <v>82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222"/>
      <c r="D30" s="223"/>
      <c r="E30" s="223"/>
      <c r="F30" s="223"/>
      <c r="G30" s="311"/>
      <c r="H30" s="253">
        <v>90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222"/>
      <c r="D31" s="223"/>
      <c r="E31" s="223"/>
      <c r="F31" s="223"/>
      <c r="G31" s="311"/>
      <c r="H31" s="253">
        <v>72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222"/>
      <c r="D32" s="223"/>
      <c r="E32" s="223"/>
      <c r="F32" s="223"/>
      <c r="G32" s="311"/>
      <c r="H32" s="253">
        <v>76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>
        <v>9</v>
      </c>
      <c r="C33" s="312"/>
      <c r="D33" s="313"/>
      <c r="E33" s="313"/>
      <c r="F33" s="313"/>
      <c r="G33" s="314"/>
      <c r="H33" s="253">
        <v>73</v>
      </c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12">
        <v>10</v>
      </c>
      <c r="C34" s="308" t="s">
        <v>75</v>
      </c>
      <c r="D34" s="309"/>
      <c r="E34" s="309"/>
      <c r="F34" s="309"/>
      <c r="G34" s="310"/>
      <c r="H34" s="253">
        <v>104</v>
      </c>
      <c r="I34" s="254"/>
      <c r="J34" s="255"/>
      <c r="K34" s="212"/>
      <c r="L34" s="213"/>
      <c r="M34" s="213"/>
      <c r="N34" s="213"/>
      <c r="O34" s="213"/>
      <c r="P34" s="214"/>
      <c r="Z34" s="103"/>
    </row>
    <row r="35" spans="1:26" ht="19.5" customHeight="1" x14ac:dyDescent="0.25">
      <c r="A35" s="104"/>
      <c r="B35" s="112">
        <v>11</v>
      </c>
      <c r="C35" s="222"/>
      <c r="D35" s="223"/>
      <c r="E35" s="223"/>
      <c r="F35" s="223"/>
      <c r="G35" s="311"/>
      <c r="H35" s="253">
        <v>133</v>
      </c>
      <c r="I35" s="254"/>
      <c r="J35" s="255"/>
      <c r="K35" s="212"/>
      <c r="L35" s="213"/>
      <c r="M35" s="213"/>
      <c r="N35" s="213"/>
      <c r="O35" s="213"/>
      <c r="P35" s="214"/>
      <c r="Z35" s="103"/>
    </row>
    <row r="36" spans="1:26" ht="19.5" customHeight="1" x14ac:dyDescent="0.25">
      <c r="A36" s="104"/>
      <c r="B36" s="112">
        <v>12</v>
      </c>
      <c r="C36" s="222"/>
      <c r="D36" s="223"/>
      <c r="E36" s="223"/>
      <c r="F36" s="223"/>
      <c r="G36" s="311"/>
      <c r="H36" s="253">
        <v>109</v>
      </c>
      <c r="I36" s="254"/>
      <c r="J36" s="255"/>
      <c r="K36" s="212"/>
      <c r="L36" s="213"/>
      <c r="M36" s="213"/>
      <c r="N36" s="213"/>
      <c r="O36" s="213"/>
      <c r="P36" s="214"/>
      <c r="Z36" s="103"/>
    </row>
    <row r="37" spans="1:26" ht="19.5" customHeight="1" x14ac:dyDescent="0.25">
      <c r="A37" s="104"/>
      <c r="B37" s="112">
        <v>13</v>
      </c>
      <c r="C37" s="222"/>
      <c r="D37" s="223"/>
      <c r="E37" s="223"/>
      <c r="F37" s="223"/>
      <c r="G37" s="311"/>
      <c r="H37" s="253">
        <v>132</v>
      </c>
      <c r="I37" s="254"/>
      <c r="J37" s="255"/>
      <c r="K37" s="212"/>
      <c r="L37" s="213"/>
      <c r="M37" s="213"/>
      <c r="N37" s="213"/>
      <c r="O37" s="213"/>
      <c r="P37" s="214"/>
      <c r="Z37" s="103"/>
    </row>
    <row r="38" spans="1:26" ht="19.5" customHeight="1" x14ac:dyDescent="0.25">
      <c r="A38" s="104"/>
      <c r="B38" s="112">
        <v>14</v>
      </c>
      <c r="C38" s="222"/>
      <c r="D38" s="223"/>
      <c r="E38" s="223"/>
      <c r="F38" s="223"/>
      <c r="G38" s="311"/>
      <c r="H38" s="253">
        <v>139</v>
      </c>
      <c r="I38" s="254"/>
      <c r="J38" s="255"/>
      <c r="K38" s="212"/>
      <c r="L38" s="213"/>
      <c r="M38" s="213"/>
      <c r="N38" s="213"/>
      <c r="O38" s="213"/>
      <c r="P38" s="214"/>
      <c r="Z38" s="103"/>
    </row>
    <row r="39" spans="1:26" ht="19.5" customHeight="1" x14ac:dyDescent="0.25">
      <c r="A39" s="104"/>
      <c r="B39" s="112">
        <v>15</v>
      </c>
      <c r="C39" s="222"/>
      <c r="D39" s="223"/>
      <c r="E39" s="223"/>
      <c r="F39" s="223"/>
      <c r="G39" s="311"/>
      <c r="H39" s="253">
        <v>112</v>
      </c>
      <c r="I39" s="254"/>
      <c r="J39" s="255"/>
      <c r="K39" s="212"/>
      <c r="L39" s="213"/>
      <c r="M39" s="213"/>
      <c r="N39" s="213"/>
      <c r="O39" s="213"/>
      <c r="P39" s="214"/>
      <c r="Z39" s="103"/>
    </row>
    <row r="40" spans="1:26" ht="19.5" customHeight="1" x14ac:dyDescent="0.25">
      <c r="A40" s="104"/>
      <c r="B40" s="112">
        <v>16</v>
      </c>
      <c r="C40" s="312"/>
      <c r="D40" s="313"/>
      <c r="E40" s="313"/>
      <c r="F40" s="313"/>
      <c r="G40" s="314"/>
      <c r="H40" s="253">
        <v>123</v>
      </c>
      <c r="I40" s="254"/>
      <c r="J40" s="255"/>
      <c r="K40" s="212"/>
      <c r="L40" s="213"/>
      <c r="M40" s="213"/>
      <c r="N40" s="213"/>
      <c r="O40" s="213"/>
      <c r="P40" s="214"/>
      <c r="Z40" s="103"/>
    </row>
    <row r="41" spans="1:26" ht="19.5" customHeight="1" x14ac:dyDescent="0.25">
      <c r="A41" s="104"/>
      <c r="B41" s="141"/>
      <c r="C41" s="160"/>
      <c r="D41" s="159"/>
      <c r="E41" s="159"/>
      <c r="F41" s="159"/>
      <c r="G41" s="158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60"/>
      <c r="D42" s="159"/>
      <c r="E42" s="159"/>
      <c r="F42" s="159"/>
      <c r="G42" s="158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60"/>
      <c r="D43" s="159"/>
      <c r="E43" s="159"/>
      <c r="F43" s="159"/>
      <c r="G43" s="158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60"/>
      <c r="D44" s="159"/>
      <c r="E44" s="159"/>
      <c r="F44" s="159"/>
      <c r="G44" s="158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60"/>
      <c r="D45" s="159"/>
      <c r="E45" s="159"/>
      <c r="F45" s="159"/>
      <c r="G45" s="158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60"/>
      <c r="D46" s="159"/>
      <c r="E46" s="159"/>
      <c r="F46" s="159"/>
      <c r="G46" s="158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60"/>
      <c r="D47" s="159"/>
      <c r="E47" s="159"/>
      <c r="F47" s="159"/>
      <c r="G47" s="158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60"/>
      <c r="D48" s="159"/>
      <c r="E48" s="159"/>
      <c r="F48" s="159"/>
      <c r="G48" s="158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60"/>
      <c r="D49" s="159"/>
      <c r="E49" s="159"/>
      <c r="F49" s="159"/>
      <c r="G49" s="158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60"/>
      <c r="D50" s="159"/>
      <c r="E50" s="159"/>
      <c r="F50" s="159"/>
      <c r="G50" s="158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60"/>
      <c r="D51" s="159"/>
      <c r="E51" s="159"/>
      <c r="F51" s="159"/>
      <c r="G51" s="158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60"/>
      <c r="D52" s="159"/>
      <c r="E52" s="159"/>
      <c r="F52" s="159"/>
      <c r="G52" s="158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60"/>
      <c r="D53" s="159"/>
      <c r="E53" s="159"/>
      <c r="F53" s="159"/>
      <c r="G53" s="158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97.1875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52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139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89">
    <mergeCell ref="K35:P35"/>
    <mergeCell ref="H40:J40"/>
    <mergeCell ref="K40:P40"/>
    <mergeCell ref="C25:G33"/>
    <mergeCell ref="C34:G40"/>
    <mergeCell ref="H38:J38"/>
    <mergeCell ref="K38:P38"/>
    <mergeCell ref="H39:J39"/>
    <mergeCell ref="K39:P39"/>
    <mergeCell ref="H36:J36"/>
    <mergeCell ref="K36:P36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H32:J32"/>
    <mergeCell ref="K32:P32"/>
    <mergeCell ref="H33:J33"/>
    <mergeCell ref="K33:P33"/>
    <mergeCell ref="H30:J30"/>
    <mergeCell ref="K30:P30"/>
    <mergeCell ref="H11:M11"/>
    <mergeCell ref="N11:R11"/>
    <mergeCell ref="A65:Q68"/>
    <mergeCell ref="R65:T68"/>
    <mergeCell ref="K26:P26"/>
    <mergeCell ref="H27:J27"/>
    <mergeCell ref="K27:P27"/>
    <mergeCell ref="H28:J28"/>
    <mergeCell ref="K28:P28"/>
    <mergeCell ref="H29:J29"/>
    <mergeCell ref="B56:G56"/>
    <mergeCell ref="B57:G57"/>
    <mergeCell ref="B55:G55"/>
    <mergeCell ref="H26:J26"/>
    <mergeCell ref="N12:R12"/>
    <mergeCell ref="H12:M12"/>
    <mergeCell ref="B10:G10"/>
    <mergeCell ref="S10:Y10"/>
    <mergeCell ref="N10:R10"/>
    <mergeCell ref="G2:T4"/>
    <mergeCell ref="G5:H5"/>
    <mergeCell ref="A7:F7"/>
    <mergeCell ref="G7:Z7"/>
    <mergeCell ref="H10:M10"/>
    <mergeCell ref="L5:O5"/>
    <mergeCell ref="P5:T5"/>
    <mergeCell ref="L6:O6"/>
    <mergeCell ref="P6:T6"/>
    <mergeCell ref="A1:F6"/>
    <mergeCell ref="G1:T1"/>
    <mergeCell ref="B11:G11"/>
    <mergeCell ref="A61:Q61"/>
    <mergeCell ref="R61:T61"/>
    <mergeCell ref="U61:Z6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A62:Q63"/>
    <mergeCell ref="R62:T64"/>
    <mergeCell ref="U62:Z64"/>
    <mergeCell ref="B17:H17"/>
    <mergeCell ref="B12:G12"/>
    <mergeCell ref="K29:P29"/>
    <mergeCell ref="H57:J57"/>
    <mergeCell ref="H55:J55"/>
    <mergeCell ref="H56:J56"/>
    <mergeCell ref="H31:J31"/>
    <mergeCell ref="K31:P31"/>
    <mergeCell ref="H37:J37"/>
    <mergeCell ref="K37:P37"/>
    <mergeCell ref="H34:J34"/>
    <mergeCell ref="K34:P34"/>
    <mergeCell ref="H35:J3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C5F0-373B-4F6F-999A-B62BD3AD3E94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5</v>
      </c>
      <c r="J5" s="243"/>
      <c r="K5" s="244"/>
      <c r="L5" s="246" t="s">
        <v>74</v>
      </c>
      <c r="M5" s="247"/>
      <c r="N5" s="247"/>
      <c r="O5" s="248"/>
      <c r="P5" s="249" t="s">
        <v>72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73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72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17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71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21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183" t="s">
        <v>70</v>
      </c>
      <c r="D25" s="184"/>
      <c r="E25" s="184"/>
      <c r="F25" s="184"/>
      <c r="G25" s="318"/>
      <c r="H25" s="253">
        <v>110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187"/>
      <c r="D26" s="188"/>
      <c r="E26" s="188"/>
      <c r="F26" s="188"/>
      <c r="G26" s="319"/>
      <c r="H26" s="253">
        <v>114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187"/>
      <c r="D27" s="188"/>
      <c r="E27" s="188"/>
      <c r="F27" s="188"/>
      <c r="G27" s="319"/>
      <c r="H27" s="253">
        <v>112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191"/>
      <c r="D28" s="192"/>
      <c r="E28" s="192"/>
      <c r="F28" s="192"/>
      <c r="G28" s="320"/>
      <c r="H28" s="253">
        <v>125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183" t="s">
        <v>69</v>
      </c>
      <c r="D29" s="184"/>
      <c r="E29" s="184"/>
      <c r="F29" s="184"/>
      <c r="G29" s="318"/>
      <c r="H29" s="253">
        <v>58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187"/>
      <c r="D30" s="188"/>
      <c r="E30" s="188"/>
      <c r="F30" s="188"/>
      <c r="G30" s="319"/>
      <c r="H30" s="253">
        <v>88</v>
      </c>
      <c r="I30" s="254"/>
      <c r="J30" s="255"/>
      <c r="K30" s="212" t="s">
        <v>68</v>
      </c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187"/>
      <c r="D31" s="188"/>
      <c r="E31" s="188"/>
      <c r="F31" s="188"/>
      <c r="G31" s="319"/>
      <c r="H31" s="253">
        <v>107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187"/>
      <c r="D32" s="188"/>
      <c r="E32" s="188"/>
      <c r="F32" s="188"/>
      <c r="G32" s="319"/>
      <c r="H32" s="253">
        <v>97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>
        <v>9</v>
      </c>
      <c r="C33" s="191"/>
      <c r="D33" s="192"/>
      <c r="E33" s="192"/>
      <c r="F33" s="192"/>
      <c r="G33" s="320"/>
      <c r="H33" s="253">
        <v>110</v>
      </c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41"/>
      <c r="C34" s="155"/>
      <c r="D34" s="156"/>
      <c r="E34" s="156"/>
      <c r="F34" s="156"/>
      <c r="G34" s="157"/>
      <c r="H34" s="111"/>
      <c r="I34" s="110"/>
      <c r="J34" s="109"/>
      <c r="K34" s="108"/>
      <c r="L34" s="107"/>
      <c r="M34" s="107"/>
      <c r="N34" s="107"/>
      <c r="O34" s="107"/>
      <c r="P34" s="106"/>
      <c r="Z34" s="103"/>
    </row>
    <row r="35" spans="1:26" ht="19.5" customHeight="1" x14ac:dyDescent="0.25">
      <c r="A35" s="104"/>
      <c r="B35" s="141"/>
      <c r="C35" s="155"/>
      <c r="D35" s="156"/>
      <c r="E35" s="156"/>
      <c r="F35" s="156"/>
      <c r="G35" s="157"/>
      <c r="H35" s="111"/>
      <c r="I35" s="110"/>
      <c r="J35" s="109"/>
      <c r="K35" s="108"/>
      <c r="L35" s="107"/>
      <c r="M35" s="107"/>
      <c r="N35" s="107"/>
      <c r="O35" s="107"/>
      <c r="P35" s="106"/>
      <c r="Z35" s="103"/>
    </row>
    <row r="36" spans="1:26" ht="19.5" customHeight="1" x14ac:dyDescent="0.25">
      <c r="A36" s="104"/>
      <c r="B36" s="141"/>
      <c r="C36" s="155"/>
      <c r="D36" s="156"/>
      <c r="E36" s="156"/>
      <c r="F36" s="156"/>
      <c r="G36" s="157"/>
      <c r="H36" s="111"/>
      <c r="I36" s="110"/>
      <c r="J36" s="109"/>
      <c r="K36" s="108"/>
      <c r="L36" s="107"/>
      <c r="M36" s="107"/>
      <c r="N36" s="107"/>
      <c r="O36" s="107"/>
      <c r="P36" s="106"/>
      <c r="Z36" s="103"/>
    </row>
    <row r="37" spans="1:26" ht="19.5" customHeight="1" x14ac:dyDescent="0.25">
      <c r="A37" s="104"/>
      <c r="B37" s="141"/>
      <c r="C37" s="155"/>
      <c r="D37" s="156"/>
      <c r="E37" s="156"/>
      <c r="F37" s="156"/>
      <c r="G37" s="157"/>
      <c r="H37" s="111"/>
      <c r="I37" s="110"/>
      <c r="J37" s="109"/>
      <c r="K37" s="108"/>
      <c r="L37" s="107"/>
      <c r="M37" s="107"/>
      <c r="N37" s="107"/>
      <c r="O37" s="107"/>
      <c r="P37" s="106"/>
      <c r="Z37" s="103"/>
    </row>
    <row r="38" spans="1:26" ht="19.5" customHeight="1" x14ac:dyDescent="0.25">
      <c r="A38" s="104"/>
      <c r="B38" s="141"/>
      <c r="C38" s="155"/>
      <c r="D38" s="156"/>
      <c r="E38" s="156"/>
      <c r="F38" s="156"/>
      <c r="G38" s="157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55"/>
      <c r="D39" s="156"/>
      <c r="E39" s="156"/>
      <c r="F39" s="156"/>
      <c r="G39" s="157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55"/>
      <c r="D40" s="156"/>
      <c r="E40" s="156"/>
      <c r="F40" s="156"/>
      <c r="G40" s="157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55"/>
      <c r="D41" s="156"/>
      <c r="E41" s="156"/>
      <c r="F41" s="156"/>
      <c r="G41" s="157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55"/>
      <c r="D42" s="156"/>
      <c r="E42" s="156"/>
      <c r="F42" s="156"/>
      <c r="G42" s="157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55"/>
      <c r="D43" s="156"/>
      <c r="E43" s="156"/>
      <c r="F43" s="156"/>
      <c r="G43" s="157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55"/>
      <c r="D44" s="156"/>
      <c r="E44" s="156"/>
      <c r="F44" s="156"/>
      <c r="G44" s="157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55"/>
      <c r="D45" s="156"/>
      <c r="E45" s="156"/>
      <c r="F45" s="156"/>
      <c r="G45" s="157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55"/>
      <c r="D46" s="156"/>
      <c r="E46" s="156"/>
      <c r="F46" s="156"/>
      <c r="G46" s="157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55"/>
      <c r="D47" s="156"/>
      <c r="E47" s="156"/>
      <c r="F47" s="156"/>
      <c r="G47" s="157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55"/>
      <c r="D48" s="156"/>
      <c r="E48" s="156"/>
      <c r="F48" s="156"/>
      <c r="G48" s="157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55"/>
      <c r="D49" s="156"/>
      <c r="E49" s="156"/>
      <c r="F49" s="156"/>
      <c r="G49" s="157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55"/>
      <c r="D50" s="156"/>
      <c r="E50" s="156"/>
      <c r="F50" s="156"/>
      <c r="G50" s="157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55"/>
      <c r="D51" s="156"/>
      <c r="E51" s="156"/>
      <c r="F51" s="156"/>
      <c r="G51" s="157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55"/>
      <c r="D52" s="156"/>
      <c r="E52" s="156"/>
      <c r="F52" s="156"/>
      <c r="G52" s="157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55"/>
      <c r="D53" s="156"/>
      <c r="E53" s="156"/>
      <c r="F53" s="156"/>
      <c r="G53" s="157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102.33333333333333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58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125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67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75">
    <mergeCell ref="A62:Q63"/>
    <mergeCell ref="R62:T64"/>
    <mergeCell ref="U62:Z64"/>
    <mergeCell ref="B17:H17"/>
    <mergeCell ref="B12:G12"/>
    <mergeCell ref="K29:P29"/>
    <mergeCell ref="H57:J57"/>
    <mergeCell ref="H55:J55"/>
    <mergeCell ref="H56:J56"/>
    <mergeCell ref="H30:J30"/>
    <mergeCell ref="K30:P30"/>
    <mergeCell ref="H31:J31"/>
    <mergeCell ref="K31:P31"/>
    <mergeCell ref="B11:G11"/>
    <mergeCell ref="A61:Q61"/>
    <mergeCell ref="R61:T61"/>
    <mergeCell ref="U61:Z6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B10:G10"/>
    <mergeCell ref="S10:Y10"/>
    <mergeCell ref="N10:R10"/>
    <mergeCell ref="G2:T4"/>
    <mergeCell ref="G5:H5"/>
    <mergeCell ref="A7:F7"/>
    <mergeCell ref="G7:Z7"/>
    <mergeCell ref="H10:M10"/>
    <mergeCell ref="L5:O5"/>
    <mergeCell ref="P5:T5"/>
    <mergeCell ref="L6:O6"/>
    <mergeCell ref="P6:T6"/>
    <mergeCell ref="A1:F6"/>
    <mergeCell ref="G1:T1"/>
    <mergeCell ref="H11:M11"/>
    <mergeCell ref="N11:R11"/>
    <mergeCell ref="A65:Q68"/>
    <mergeCell ref="R65:T68"/>
    <mergeCell ref="K26:P26"/>
    <mergeCell ref="H27:J27"/>
    <mergeCell ref="K27:P27"/>
    <mergeCell ref="H28:J28"/>
    <mergeCell ref="K28:P28"/>
    <mergeCell ref="H29:J29"/>
    <mergeCell ref="B56:G56"/>
    <mergeCell ref="B57:G57"/>
    <mergeCell ref="B55:G55"/>
    <mergeCell ref="H26:J26"/>
    <mergeCell ref="N12:R12"/>
    <mergeCell ref="H12:M12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C25:G28"/>
    <mergeCell ref="C29:G33"/>
    <mergeCell ref="H32:J32"/>
    <mergeCell ref="K32:P32"/>
    <mergeCell ref="H33:J33"/>
    <mergeCell ref="K33:P33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10F9-1E7B-4ED1-9C41-4DCAC0D6A6BE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4</v>
      </c>
      <c r="J5" s="243"/>
      <c r="K5" s="244"/>
      <c r="L5" s="246" t="s">
        <v>66</v>
      </c>
      <c r="M5" s="247"/>
      <c r="N5" s="247"/>
      <c r="O5" s="248"/>
      <c r="P5" s="249" t="s">
        <v>63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65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64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63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62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19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21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212"/>
      <c r="D25" s="213"/>
      <c r="E25" s="213"/>
      <c r="F25" s="213"/>
      <c r="G25" s="214"/>
      <c r="H25" s="253">
        <v>82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12"/>
      <c r="D26" s="213"/>
      <c r="E26" s="213"/>
      <c r="F26" s="213"/>
      <c r="G26" s="214"/>
      <c r="H26" s="253">
        <v>88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12"/>
      <c r="D27" s="213"/>
      <c r="E27" s="213"/>
      <c r="F27" s="213"/>
      <c r="G27" s="214"/>
      <c r="H27" s="253">
        <v>89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12"/>
      <c r="D28" s="213"/>
      <c r="E28" s="213"/>
      <c r="F28" s="213"/>
      <c r="G28" s="214"/>
      <c r="H28" s="253">
        <v>93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12"/>
      <c r="D29" s="213"/>
      <c r="E29" s="213"/>
      <c r="F29" s="213"/>
      <c r="G29" s="214"/>
      <c r="H29" s="253">
        <v>94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212"/>
      <c r="D30" s="213"/>
      <c r="E30" s="213"/>
      <c r="F30" s="213"/>
      <c r="G30" s="214"/>
      <c r="H30" s="253">
        <v>72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212"/>
      <c r="D31" s="213"/>
      <c r="E31" s="213"/>
      <c r="F31" s="213"/>
      <c r="G31" s="214"/>
      <c r="H31" s="253">
        <v>84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212"/>
      <c r="D32" s="213"/>
      <c r="E32" s="213"/>
      <c r="F32" s="213"/>
      <c r="G32" s="214"/>
      <c r="H32" s="253">
        <v>73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41"/>
      <c r="C33" s="108"/>
      <c r="D33" s="107"/>
      <c r="E33" s="107"/>
      <c r="F33" s="107"/>
      <c r="G33" s="106"/>
      <c r="H33" s="111"/>
      <c r="I33" s="110"/>
      <c r="J33" s="109"/>
      <c r="K33" s="108"/>
      <c r="L33" s="107"/>
      <c r="M33" s="107"/>
      <c r="N33" s="107"/>
      <c r="O33" s="107"/>
      <c r="P33" s="106"/>
      <c r="Z33" s="103"/>
    </row>
    <row r="34" spans="1:26" ht="19.5" customHeight="1" x14ac:dyDescent="0.25">
      <c r="A34" s="104"/>
      <c r="B34" s="141"/>
      <c r="C34" s="108"/>
      <c r="D34" s="107"/>
      <c r="E34" s="107"/>
      <c r="F34" s="107"/>
      <c r="G34" s="106"/>
      <c r="H34" s="111"/>
      <c r="I34" s="110"/>
      <c r="J34" s="109"/>
      <c r="K34" s="108"/>
      <c r="L34" s="107"/>
      <c r="M34" s="107"/>
      <c r="N34" s="107"/>
      <c r="O34" s="107"/>
      <c r="P34" s="106"/>
      <c r="Z34" s="103"/>
    </row>
    <row r="35" spans="1:26" ht="19.5" customHeight="1" x14ac:dyDescent="0.25">
      <c r="A35" s="104"/>
      <c r="B35" s="141"/>
      <c r="C35" s="108"/>
      <c r="D35" s="107"/>
      <c r="E35" s="107"/>
      <c r="F35" s="107"/>
      <c r="G35" s="106"/>
      <c r="H35" s="111"/>
      <c r="I35" s="110"/>
      <c r="J35" s="109"/>
      <c r="K35" s="108"/>
      <c r="L35" s="107"/>
      <c r="M35" s="107"/>
      <c r="N35" s="107"/>
      <c r="O35" s="107"/>
      <c r="P35" s="106"/>
      <c r="Z35" s="103"/>
    </row>
    <row r="36" spans="1:26" ht="19.5" customHeight="1" x14ac:dyDescent="0.25">
      <c r="A36" s="104"/>
      <c r="B36" s="141"/>
      <c r="C36" s="108"/>
      <c r="D36" s="107"/>
      <c r="E36" s="107"/>
      <c r="F36" s="107"/>
      <c r="G36" s="106"/>
      <c r="H36" s="111"/>
      <c r="I36" s="110"/>
      <c r="J36" s="109"/>
      <c r="K36" s="108"/>
      <c r="L36" s="107"/>
      <c r="M36" s="107"/>
      <c r="N36" s="107"/>
      <c r="O36" s="107"/>
      <c r="P36" s="106"/>
      <c r="Z36" s="103"/>
    </row>
    <row r="37" spans="1:26" ht="19.5" customHeight="1" x14ac:dyDescent="0.25">
      <c r="A37" s="104"/>
      <c r="B37" s="141"/>
      <c r="C37" s="108"/>
      <c r="D37" s="107"/>
      <c r="E37" s="107"/>
      <c r="F37" s="107"/>
      <c r="G37" s="106"/>
      <c r="H37" s="111"/>
      <c r="I37" s="110"/>
      <c r="J37" s="109"/>
      <c r="K37" s="108"/>
      <c r="L37" s="107"/>
      <c r="M37" s="107"/>
      <c r="N37" s="107"/>
      <c r="O37" s="107"/>
      <c r="P37" s="106"/>
      <c r="Z37" s="103"/>
    </row>
    <row r="38" spans="1:26" ht="19.5" customHeight="1" x14ac:dyDescent="0.25">
      <c r="A38" s="104"/>
      <c r="B38" s="141"/>
      <c r="C38" s="108"/>
      <c r="D38" s="107"/>
      <c r="E38" s="107"/>
      <c r="F38" s="107"/>
      <c r="G38" s="106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08"/>
      <c r="D39" s="107"/>
      <c r="E39" s="107"/>
      <c r="F39" s="107"/>
      <c r="G39" s="106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08"/>
      <c r="D40" s="107"/>
      <c r="E40" s="107"/>
      <c r="F40" s="107"/>
      <c r="G40" s="106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08"/>
      <c r="D41" s="107"/>
      <c r="E41" s="107"/>
      <c r="F41" s="107"/>
      <c r="G41" s="106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08"/>
      <c r="D42" s="107"/>
      <c r="E42" s="107"/>
      <c r="F42" s="107"/>
      <c r="G42" s="106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08"/>
      <c r="D43" s="107"/>
      <c r="E43" s="107"/>
      <c r="F43" s="107"/>
      <c r="G43" s="106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08"/>
      <c r="D44" s="107"/>
      <c r="E44" s="107"/>
      <c r="F44" s="107"/>
      <c r="G44" s="106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08"/>
      <c r="D45" s="107"/>
      <c r="E45" s="107"/>
      <c r="F45" s="107"/>
      <c r="G45" s="106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08"/>
      <c r="D46" s="107"/>
      <c r="E46" s="107"/>
      <c r="F46" s="107"/>
      <c r="G46" s="106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08"/>
      <c r="D47" s="107"/>
      <c r="E47" s="107"/>
      <c r="F47" s="107"/>
      <c r="G47" s="106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08"/>
      <c r="D48" s="107"/>
      <c r="E48" s="107"/>
      <c r="F48" s="107"/>
      <c r="G48" s="106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08"/>
      <c r="D49" s="107"/>
      <c r="E49" s="107"/>
      <c r="F49" s="107"/>
      <c r="G49" s="106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08"/>
      <c r="D50" s="107"/>
      <c r="E50" s="107"/>
      <c r="F50" s="107"/>
      <c r="G50" s="106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08"/>
      <c r="D51" s="107"/>
      <c r="E51" s="107"/>
      <c r="F51" s="107"/>
      <c r="G51" s="106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08"/>
      <c r="D52" s="107"/>
      <c r="E52" s="107"/>
      <c r="F52" s="107"/>
      <c r="G52" s="106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08"/>
      <c r="D53" s="107"/>
      <c r="E53" s="107"/>
      <c r="F53" s="107"/>
      <c r="G53" s="106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84.375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72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94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170" t="s">
        <v>12</v>
      </c>
      <c r="V61" s="171"/>
      <c r="W61" s="171"/>
      <c r="X61" s="172"/>
      <c r="Y61" s="172"/>
      <c r="Z61" s="173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183" t="s">
        <v>59</v>
      </c>
      <c r="V62" s="184"/>
      <c r="W62" s="184"/>
      <c r="X62" s="185"/>
      <c r="Y62" s="185"/>
      <c r="Z62" s="186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187"/>
      <c r="V63" s="188"/>
      <c r="W63" s="188"/>
      <c r="X63" s="189"/>
      <c r="Y63" s="189"/>
      <c r="Z63" s="190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191"/>
      <c r="V64" s="192"/>
      <c r="W64" s="192"/>
      <c r="X64" s="193"/>
      <c r="Y64" s="193"/>
      <c r="Z64" s="194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154"/>
      <c r="V65" s="153"/>
      <c r="W65" s="153"/>
      <c r="X65" s="153"/>
      <c r="Y65" s="153"/>
      <c r="Z65" s="152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151"/>
      <c r="V66" s="188"/>
      <c r="W66" s="188"/>
      <c r="X66" s="188"/>
      <c r="Y66" s="188"/>
      <c r="Z66" s="150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151"/>
      <c r="V67" s="188"/>
      <c r="W67" s="188"/>
      <c r="X67" s="188"/>
      <c r="Y67" s="188"/>
      <c r="Z67" s="150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149"/>
      <c r="V68" s="148"/>
      <c r="W68" s="148"/>
      <c r="X68" s="148"/>
      <c r="Y68" s="148"/>
      <c r="Z68" s="147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H12:M12"/>
    <mergeCell ref="H11:M11"/>
    <mergeCell ref="N11:R11"/>
    <mergeCell ref="C31:G31"/>
    <mergeCell ref="H31:J31"/>
    <mergeCell ref="K31:P31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2:G32"/>
    <mergeCell ref="H32:J32"/>
    <mergeCell ref="K32:P32"/>
    <mergeCell ref="C30:G30"/>
    <mergeCell ref="H30:J30"/>
    <mergeCell ref="K30:P3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4545-9508-4EAD-B1EB-DA18903A6BB1}">
  <sheetPr>
    <pageSetUpPr fitToPage="1"/>
  </sheetPr>
  <dimension ref="A1:AA76"/>
  <sheetViews>
    <sheetView workbookViewId="0">
      <selection activeCell="L6" sqref="L6:O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443"/>
      <c r="B1" s="444"/>
      <c r="C1" s="444"/>
      <c r="D1" s="444"/>
      <c r="E1" s="444"/>
      <c r="F1" s="445"/>
      <c r="G1" s="452" t="s">
        <v>0</v>
      </c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4"/>
      <c r="U1" s="392" t="s">
        <v>58</v>
      </c>
      <c r="V1" s="393"/>
      <c r="W1" s="393"/>
      <c r="X1" s="393"/>
      <c r="Y1" s="393"/>
      <c r="Z1" s="394"/>
    </row>
    <row r="2" spans="1:26" ht="12.75" customHeight="1" x14ac:dyDescent="0.25">
      <c r="A2" s="446"/>
      <c r="B2" s="447"/>
      <c r="C2" s="447"/>
      <c r="D2" s="447"/>
      <c r="E2" s="447"/>
      <c r="F2" s="448"/>
      <c r="G2" s="401" t="s">
        <v>1</v>
      </c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3"/>
      <c r="U2" s="395"/>
      <c r="V2" s="396"/>
      <c r="W2" s="396"/>
      <c r="X2" s="396"/>
      <c r="Y2" s="396"/>
      <c r="Z2" s="397"/>
    </row>
    <row r="3" spans="1:26" ht="12.75" customHeight="1" x14ac:dyDescent="0.25">
      <c r="A3" s="446"/>
      <c r="B3" s="447"/>
      <c r="C3" s="447"/>
      <c r="D3" s="447"/>
      <c r="E3" s="447"/>
      <c r="F3" s="448"/>
      <c r="G3" s="401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2"/>
      <c r="T3" s="403"/>
      <c r="U3" s="395"/>
      <c r="V3" s="396"/>
      <c r="W3" s="396"/>
      <c r="X3" s="396"/>
      <c r="Y3" s="396"/>
      <c r="Z3" s="397"/>
    </row>
    <row r="4" spans="1:26" ht="12.75" customHeight="1" x14ac:dyDescent="0.25">
      <c r="A4" s="446"/>
      <c r="B4" s="447"/>
      <c r="C4" s="447"/>
      <c r="D4" s="447"/>
      <c r="E4" s="447"/>
      <c r="F4" s="448"/>
      <c r="G4" s="401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3"/>
      <c r="U4" s="395"/>
      <c r="V4" s="396"/>
      <c r="W4" s="396"/>
      <c r="X4" s="396"/>
      <c r="Y4" s="396"/>
      <c r="Z4" s="397"/>
    </row>
    <row r="5" spans="1:26" ht="12.75" customHeight="1" x14ac:dyDescent="0.25">
      <c r="A5" s="446"/>
      <c r="B5" s="447"/>
      <c r="C5" s="447"/>
      <c r="D5" s="447"/>
      <c r="E5" s="447"/>
      <c r="F5" s="448"/>
      <c r="G5" s="404" t="s">
        <v>2</v>
      </c>
      <c r="H5" s="405"/>
      <c r="I5" s="406"/>
      <c r="J5" s="406"/>
      <c r="K5" s="407"/>
      <c r="L5" s="408" t="s">
        <v>66</v>
      </c>
      <c r="M5" s="409"/>
      <c r="N5" s="409"/>
      <c r="O5" s="410"/>
      <c r="P5" s="411" t="s">
        <v>3</v>
      </c>
      <c r="Q5" s="412"/>
      <c r="R5" s="412"/>
      <c r="S5" s="412"/>
      <c r="T5" s="413"/>
      <c r="U5" s="395"/>
      <c r="V5" s="396"/>
      <c r="W5" s="396"/>
      <c r="X5" s="396"/>
      <c r="Y5" s="396"/>
      <c r="Z5" s="397"/>
    </row>
    <row r="6" spans="1:26" ht="12.75" customHeight="1" x14ac:dyDescent="0.25">
      <c r="A6" s="449"/>
      <c r="B6" s="450"/>
      <c r="C6" s="450"/>
      <c r="D6" s="450"/>
      <c r="E6" s="450"/>
      <c r="F6" s="451"/>
      <c r="G6" s="2"/>
      <c r="H6" s="3"/>
      <c r="I6" s="414" t="s">
        <v>4</v>
      </c>
      <c r="J6" s="414"/>
      <c r="K6" s="414"/>
      <c r="L6" s="414" t="s">
        <v>5</v>
      </c>
      <c r="M6" s="414"/>
      <c r="N6" s="414"/>
      <c r="O6" s="414"/>
      <c r="P6" s="414" t="s">
        <v>6</v>
      </c>
      <c r="Q6" s="414"/>
      <c r="R6" s="414"/>
      <c r="S6" s="414"/>
      <c r="T6" s="440"/>
      <c r="U6" s="398"/>
      <c r="V6" s="399"/>
      <c r="W6" s="399"/>
      <c r="X6" s="399"/>
      <c r="Y6" s="399"/>
      <c r="Z6" s="400"/>
    </row>
    <row r="7" spans="1:26" ht="36.6" customHeight="1" x14ac:dyDescent="0.25">
      <c r="A7" s="441" t="s">
        <v>7</v>
      </c>
      <c r="B7" s="441"/>
      <c r="C7" s="441"/>
      <c r="D7" s="441"/>
      <c r="E7" s="441"/>
      <c r="F7" s="441"/>
      <c r="G7" s="442" t="s">
        <v>8</v>
      </c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437" t="s">
        <v>11</v>
      </c>
      <c r="C10" s="437"/>
      <c r="D10" s="437"/>
      <c r="E10" s="437"/>
      <c r="F10" s="437"/>
      <c r="G10" s="437"/>
      <c r="H10" s="438" t="s">
        <v>12</v>
      </c>
      <c r="I10" s="438"/>
      <c r="J10" s="438"/>
      <c r="K10" s="438"/>
      <c r="L10" s="438"/>
      <c r="M10" s="438"/>
      <c r="N10" s="437" t="s">
        <v>13</v>
      </c>
      <c r="O10" s="437"/>
      <c r="P10" s="437"/>
      <c r="Q10" s="437"/>
      <c r="R10" s="437"/>
      <c r="S10" s="439" t="s">
        <v>14</v>
      </c>
      <c r="T10" s="439"/>
      <c r="U10" s="439"/>
      <c r="V10" s="439"/>
      <c r="W10" s="439"/>
      <c r="X10" s="439"/>
      <c r="Y10" s="439"/>
      <c r="Z10" s="12"/>
    </row>
    <row r="11" spans="1:26" ht="15.9" customHeight="1" x14ac:dyDescent="0.25">
      <c r="A11" s="9"/>
      <c r="B11" s="437" t="s">
        <v>15</v>
      </c>
      <c r="C11" s="437"/>
      <c r="D11" s="437"/>
      <c r="E11" s="437"/>
      <c r="F11" s="437"/>
      <c r="G11" s="437"/>
      <c r="H11" s="438" t="s">
        <v>3</v>
      </c>
      <c r="I11" s="438"/>
      <c r="J11" s="438"/>
      <c r="K11" s="438"/>
      <c r="L11" s="438"/>
      <c r="M11" s="438"/>
      <c r="N11" s="437" t="s">
        <v>16</v>
      </c>
      <c r="O11" s="437"/>
      <c r="P11" s="437"/>
      <c r="Q11" s="437"/>
      <c r="R11" s="437"/>
      <c r="S11" s="439" t="s">
        <v>17</v>
      </c>
      <c r="T11" s="439"/>
      <c r="U11" s="439"/>
      <c r="V11" s="439"/>
      <c r="W11" s="439"/>
      <c r="X11" s="439"/>
      <c r="Y11" s="439"/>
      <c r="Z11" s="12"/>
    </row>
    <row r="12" spans="1:26" ht="15.9" customHeight="1" x14ac:dyDescent="0.25">
      <c r="A12" s="9"/>
      <c r="B12" s="437" t="s">
        <v>18</v>
      </c>
      <c r="C12" s="437"/>
      <c r="D12" s="437"/>
      <c r="E12" s="437"/>
      <c r="F12" s="437"/>
      <c r="G12" s="437"/>
      <c r="H12" s="438" t="s">
        <v>19</v>
      </c>
      <c r="I12" s="438"/>
      <c r="J12" s="438"/>
      <c r="K12" s="438"/>
      <c r="L12" s="438"/>
      <c r="M12" s="438"/>
      <c r="N12" s="437" t="s">
        <v>20</v>
      </c>
      <c r="O12" s="437"/>
      <c r="P12" s="437"/>
      <c r="Q12" s="437"/>
      <c r="R12" s="437"/>
      <c r="S12" s="439" t="s">
        <v>21</v>
      </c>
      <c r="T12" s="439"/>
      <c r="U12" s="439"/>
      <c r="V12" s="439"/>
      <c r="W12" s="439"/>
      <c r="X12" s="439"/>
      <c r="Y12" s="43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6.2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415" t="s">
        <v>24</v>
      </c>
      <c r="C17" s="415"/>
      <c r="D17" s="415"/>
      <c r="E17" s="415"/>
      <c r="F17" s="415"/>
      <c r="G17" s="415"/>
      <c r="H17" s="415"/>
      <c r="I17" s="416"/>
      <c r="J17" s="416"/>
      <c r="K17" s="416"/>
      <c r="L17" s="416"/>
      <c r="M17" s="416"/>
      <c r="N17" s="416"/>
      <c r="O17" s="416"/>
      <c r="P17" s="416"/>
      <c r="Q17" s="416"/>
      <c r="R17" s="416"/>
      <c r="S17" s="416"/>
      <c r="T17" s="416"/>
      <c r="U17" s="416"/>
      <c r="V17" s="416"/>
      <c r="W17" s="416"/>
      <c r="X17" s="416"/>
      <c r="Y17" s="416"/>
      <c r="Z17" s="28"/>
    </row>
    <row r="18" spans="1:26" s="17" customFormat="1" ht="15" customHeight="1" x14ac:dyDescent="0.25">
      <c r="A18" s="24"/>
      <c r="B18" s="415" t="s">
        <v>25</v>
      </c>
      <c r="C18" s="415"/>
      <c r="D18" s="415"/>
      <c r="E18" s="415"/>
      <c r="F18" s="415"/>
      <c r="G18" s="415"/>
      <c r="H18" s="415"/>
      <c r="I18" s="417" t="s">
        <v>26</v>
      </c>
      <c r="J18" s="417"/>
      <c r="K18" s="27">
        <v>50</v>
      </c>
      <c r="L18" s="27" t="s">
        <v>27</v>
      </c>
      <c r="M18" s="27"/>
      <c r="N18" s="27"/>
      <c r="O18" s="27"/>
      <c r="P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B20" s="37"/>
      <c r="C20" s="6"/>
      <c r="D20" s="7"/>
      <c r="E20" s="7"/>
      <c r="F20" s="7"/>
      <c r="G20" s="7"/>
      <c r="H20" s="6"/>
      <c r="I20" s="6"/>
      <c r="J20" s="6"/>
      <c r="K20" s="6"/>
      <c r="L20" s="6"/>
      <c r="M20" s="6"/>
      <c r="N20" s="3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6" ht="15.9" customHeight="1" x14ac:dyDescent="0.25">
      <c r="A21" s="4" t="s">
        <v>28</v>
      </c>
      <c r="B21" s="39" t="s">
        <v>29</v>
      </c>
      <c r="C21" s="32"/>
      <c r="D21" s="33"/>
      <c r="E21" s="33"/>
      <c r="F21" s="33"/>
      <c r="G21" s="33"/>
      <c r="H21" s="32"/>
      <c r="I21" s="32"/>
      <c r="J21" s="418" t="s">
        <v>30</v>
      </c>
      <c r="K21" s="418"/>
      <c r="L21" s="418"/>
      <c r="M21" s="418"/>
      <c r="N21" s="418"/>
      <c r="O21" s="418"/>
      <c r="P21" s="418"/>
      <c r="Q21" s="55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40"/>
      <c r="Z22" s="11"/>
    </row>
    <row r="23" spans="1:26" ht="15.75" customHeight="1" x14ac:dyDescent="0.25">
      <c r="A23" s="9"/>
      <c r="B23" s="419" t="s">
        <v>31</v>
      </c>
      <c r="C23" s="421" t="s">
        <v>32</v>
      </c>
      <c r="D23" s="421"/>
      <c r="E23" s="421"/>
      <c r="F23" s="421"/>
      <c r="G23" s="422"/>
      <c r="H23" s="423" t="s">
        <v>33</v>
      </c>
      <c r="I23" s="421"/>
      <c r="J23" s="422"/>
      <c r="K23" s="423" t="s">
        <v>34</v>
      </c>
      <c r="L23" s="424"/>
      <c r="M23" s="425"/>
      <c r="N23" s="423" t="s">
        <v>35</v>
      </c>
      <c r="O23" s="424"/>
      <c r="P23" s="425"/>
      <c r="Q23" s="427" t="s">
        <v>60</v>
      </c>
      <c r="R23" s="428"/>
      <c r="S23" s="429"/>
      <c r="T23" s="433" t="s">
        <v>61</v>
      </c>
      <c r="U23" s="421"/>
      <c r="V23" s="422"/>
      <c r="Z23" s="11"/>
    </row>
    <row r="24" spans="1:26" ht="15.75" customHeight="1" x14ac:dyDescent="0.25">
      <c r="A24" s="9"/>
      <c r="B24" s="420"/>
      <c r="C24" s="390"/>
      <c r="D24" s="390"/>
      <c r="E24" s="390"/>
      <c r="F24" s="390"/>
      <c r="G24" s="391"/>
      <c r="H24" s="389" t="s">
        <v>37</v>
      </c>
      <c r="I24" s="390"/>
      <c r="J24" s="391"/>
      <c r="K24" s="389" t="s">
        <v>37</v>
      </c>
      <c r="L24" s="387"/>
      <c r="M24" s="388"/>
      <c r="N24" s="426"/>
      <c r="O24" s="387"/>
      <c r="P24" s="388"/>
      <c r="Q24" s="430"/>
      <c r="R24" s="431"/>
      <c r="S24" s="432"/>
      <c r="T24" s="390"/>
      <c r="U24" s="390"/>
      <c r="V24" s="391"/>
      <c r="Z24" s="11"/>
    </row>
    <row r="25" spans="1:26" ht="19.5" customHeight="1" x14ac:dyDescent="0.25">
      <c r="A25" s="9"/>
      <c r="B25" s="44">
        <v>1</v>
      </c>
      <c r="C25" s="367"/>
      <c r="D25" s="368"/>
      <c r="E25" s="368"/>
      <c r="F25" s="368"/>
      <c r="G25" s="369"/>
      <c r="H25" s="370">
        <v>37.75</v>
      </c>
      <c r="I25" s="371"/>
      <c r="J25" s="372"/>
      <c r="K25" s="373">
        <v>150</v>
      </c>
      <c r="L25" s="374"/>
      <c r="M25" s="375"/>
      <c r="N25" s="376">
        <v>3.97</v>
      </c>
      <c r="O25" s="374"/>
      <c r="P25" s="375"/>
      <c r="Q25" s="253">
        <v>147</v>
      </c>
      <c r="R25" s="254"/>
      <c r="S25" s="255"/>
      <c r="T25" s="253">
        <f>Q25-K25</f>
        <v>-3</v>
      </c>
      <c r="U25" s="254"/>
      <c r="V25" s="255"/>
      <c r="Z25" s="11"/>
    </row>
    <row r="26" spans="1:26" ht="19.5" customHeight="1" x14ac:dyDescent="0.25">
      <c r="A26" s="9"/>
      <c r="B26" s="44">
        <v>2</v>
      </c>
      <c r="C26" s="367"/>
      <c r="D26" s="368"/>
      <c r="E26" s="368"/>
      <c r="F26" s="368"/>
      <c r="G26" s="369"/>
      <c r="H26" s="370">
        <v>48.91</v>
      </c>
      <c r="I26" s="371"/>
      <c r="J26" s="372"/>
      <c r="K26" s="373">
        <v>90</v>
      </c>
      <c r="L26" s="374"/>
      <c r="M26" s="375"/>
      <c r="N26" s="376">
        <v>1.84</v>
      </c>
      <c r="O26" s="374"/>
      <c r="P26" s="375"/>
      <c r="Q26" s="253">
        <v>115</v>
      </c>
      <c r="R26" s="254"/>
      <c r="S26" s="255"/>
      <c r="T26" s="253">
        <f t="shared" ref="T26:T38" si="0">Q26-K26</f>
        <v>25</v>
      </c>
      <c r="U26" s="254"/>
      <c r="V26" s="255"/>
      <c r="Z26" s="11"/>
    </row>
    <row r="27" spans="1:26" ht="19.5" customHeight="1" x14ac:dyDescent="0.25">
      <c r="A27" s="9"/>
      <c r="B27" s="44">
        <v>3</v>
      </c>
      <c r="C27" s="367"/>
      <c r="D27" s="368"/>
      <c r="E27" s="368"/>
      <c r="F27" s="368"/>
      <c r="G27" s="369"/>
      <c r="H27" s="370">
        <v>35.83</v>
      </c>
      <c r="I27" s="371"/>
      <c r="J27" s="372"/>
      <c r="K27" s="373">
        <v>52.3</v>
      </c>
      <c r="L27" s="374"/>
      <c r="M27" s="375"/>
      <c r="N27" s="376">
        <v>1.46</v>
      </c>
      <c r="O27" s="374"/>
      <c r="P27" s="375"/>
      <c r="Q27" s="253">
        <v>75</v>
      </c>
      <c r="R27" s="254"/>
      <c r="S27" s="255"/>
      <c r="T27" s="253">
        <f t="shared" si="0"/>
        <v>22.700000000000003</v>
      </c>
      <c r="U27" s="254"/>
      <c r="V27" s="255"/>
      <c r="Z27" s="11"/>
    </row>
    <row r="28" spans="1:26" ht="19.5" customHeight="1" x14ac:dyDescent="0.25">
      <c r="A28" s="9"/>
      <c r="B28" s="44">
        <v>4</v>
      </c>
      <c r="C28" s="367"/>
      <c r="D28" s="368"/>
      <c r="E28" s="368"/>
      <c r="F28" s="368"/>
      <c r="G28" s="369"/>
      <c r="H28" s="370">
        <v>44.64</v>
      </c>
      <c r="I28" s="371"/>
      <c r="J28" s="372"/>
      <c r="K28" s="373">
        <v>64.3</v>
      </c>
      <c r="L28" s="374"/>
      <c r="M28" s="375"/>
      <c r="N28" s="376">
        <v>1.44</v>
      </c>
      <c r="O28" s="374"/>
      <c r="P28" s="375"/>
      <c r="Q28" s="253">
        <v>92</v>
      </c>
      <c r="R28" s="254"/>
      <c r="S28" s="255"/>
      <c r="T28" s="253">
        <f t="shared" si="0"/>
        <v>27.700000000000003</v>
      </c>
      <c r="U28" s="254"/>
      <c r="V28" s="255"/>
      <c r="Z28" s="11"/>
    </row>
    <row r="29" spans="1:26" ht="19.5" customHeight="1" x14ac:dyDescent="0.25">
      <c r="A29" s="9"/>
      <c r="B29" s="44">
        <v>5</v>
      </c>
      <c r="C29" s="367"/>
      <c r="D29" s="368"/>
      <c r="E29" s="368"/>
      <c r="F29" s="368"/>
      <c r="G29" s="369"/>
      <c r="H29" s="370">
        <v>54.61</v>
      </c>
      <c r="I29" s="371"/>
      <c r="J29" s="372"/>
      <c r="K29" s="373">
        <v>77.599999999999994</v>
      </c>
      <c r="L29" s="374"/>
      <c r="M29" s="375"/>
      <c r="N29" s="376">
        <v>1.42</v>
      </c>
      <c r="O29" s="374"/>
      <c r="P29" s="375"/>
      <c r="Q29" s="253">
        <v>99</v>
      </c>
      <c r="R29" s="254"/>
      <c r="S29" s="255"/>
      <c r="T29" s="253">
        <f t="shared" si="0"/>
        <v>21.400000000000006</v>
      </c>
      <c r="U29" s="254"/>
      <c r="V29" s="255"/>
      <c r="Z29" s="11"/>
    </row>
    <row r="30" spans="1:26" ht="19.5" customHeight="1" x14ac:dyDescent="0.25">
      <c r="A30" s="9"/>
      <c r="B30" s="44">
        <v>6</v>
      </c>
      <c r="C30" s="367"/>
      <c r="D30" s="368"/>
      <c r="E30" s="368"/>
      <c r="F30" s="368"/>
      <c r="G30" s="369"/>
      <c r="H30" s="370">
        <v>63.92</v>
      </c>
      <c r="I30" s="371"/>
      <c r="J30" s="372"/>
      <c r="K30" s="373">
        <v>115.4</v>
      </c>
      <c r="L30" s="374"/>
      <c r="M30" s="375"/>
      <c r="N30" s="376">
        <v>1.81</v>
      </c>
      <c r="O30" s="374"/>
      <c r="P30" s="375"/>
      <c r="Q30" s="253">
        <v>109</v>
      </c>
      <c r="R30" s="254"/>
      <c r="S30" s="255"/>
      <c r="T30" s="253">
        <f t="shared" si="0"/>
        <v>-6.4000000000000057</v>
      </c>
      <c r="U30" s="254"/>
      <c r="V30" s="255"/>
      <c r="Z30" s="11"/>
    </row>
    <row r="31" spans="1:26" ht="19.5" customHeight="1" x14ac:dyDescent="0.25">
      <c r="A31" s="9"/>
      <c r="B31" s="44">
        <v>7</v>
      </c>
      <c r="C31" s="367"/>
      <c r="D31" s="368"/>
      <c r="E31" s="368"/>
      <c r="F31" s="368"/>
      <c r="G31" s="369"/>
      <c r="H31" s="370">
        <v>43.6</v>
      </c>
      <c r="I31" s="371"/>
      <c r="J31" s="372"/>
      <c r="K31" s="373">
        <v>109.8</v>
      </c>
      <c r="L31" s="374"/>
      <c r="M31" s="375"/>
      <c r="N31" s="376">
        <v>2.52</v>
      </c>
      <c r="O31" s="374"/>
      <c r="P31" s="375"/>
      <c r="Q31" s="253">
        <v>109</v>
      </c>
      <c r="R31" s="254"/>
      <c r="S31" s="255"/>
      <c r="T31" s="253">
        <f t="shared" si="0"/>
        <v>-0.79999999999999716</v>
      </c>
      <c r="U31" s="254"/>
      <c r="V31" s="255"/>
      <c r="Z31" s="11"/>
    </row>
    <row r="32" spans="1:26" ht="19.5" customHeight="1" x14ac:dyDescent="0.25">
      <c r="A32" s="9"/>
      <c r="B32" s="44">
        <v>8</v>
      </c>
      <c r="C32" s="367"/>
      <c r="D32" s="368"/>
      <c r="E32" s="368"/>
      <c r="F32" s="368"/>
      <c r="G32" s="369"/>
      <c r="H32" s="370">
        <v>38.270000000000003</v>
      </c>
      <c r="I32" s="371"/>
      <c r="J32" s="372"/>
      <c r="K32" s="373">
        <v>76.3</v>
      </c>
      <c r="L32" s="374"/>
      <c r="M32" s="375"/>
      <c r="N32" s="376">
        <v>1.99</v>
      </c>
      <c r="O32" s="374"/>
      <c r="P32" s="375"/>
      <c r="Q32" s="253">
        <v>93</v>
      </c>
      <c r="R32" s="254"/>
      <c r="S32" s="255"/>
      <c r="T32" s="253">
        <f t="shared" si="0"/>
        <v>16.700000000000003</v>
      </c>
      <c r="U32" s="254"/>
      <c r="V32" s="255"/>
      <c r="Z32" s="11"/>
    </row>
    <row r="33" spans="1:26" ht="19.5" customHeight="1" x14ac:dyDescent="0.25">
      <c r="A33" s="9"/>
      <c r="B33" s="44">
        <v>9</v>
      </c>
      <c r="C33" s="367"/>
      <c r="D33" s="368"/>
      <c r="E33" s="368"/>
      <c r="F33" s="368"/>
      <c r="G33" s="369"/>
      <c r="H33" s="370">
        <v>48.08</v>
      </c>
      <c r="I33" s="371"/>
      <c r="J33" s="372"/>
      <c r="K33" s="373">
        <v>118.4</v>
      </c>
      <c r="L33" s="374"/>
      <c r="M33" s="375"/>
      <c r="N33" s="376">
        <v>2.46</v>
      </c>
      <c r="O33" s="374"/>
      <c r="P33" s="375"/>
      <c r="Q33" s="253">
        <v>92</v>
      </c>
      <c r="R33" s="254"/>
      <c r="S33" s="255"/>
      <c r="T33" s="253">
        <f t="shared" si="0"/>
        <v>-26.400000000000006</v>
      </c>
      <c r="U33" s="254"/>
      <c r="V33" s="255"/>
      <c r="Z33" s="11"/>
    </row>
    <row r="34" spans="1:26" ht="19.5" customHeight="1" x14ac:dyDescent="0.25">
      <c r="A34" s="9"/>
      <c r="B34" s="44">
        <v>10</v>
      </c>
      <c r="C34" s="367"/>
      <c r="D34" s="368"/>
      <c r="E34" s="368"/>
      <c r="F34" s="368"/>
      <c r="G34" s="369"/>
      <c r="H34" s="370">
        <v>41.06</v>
      </c>
      <c r="I34" s="371"/>
      <c r="J34" s="372"/>
      <c r="K34" s="373">
        <v>84.9</v>
      </c>
      <c r="L34" s="374"/>
      <c r="M34" s="375"/>
      <c r="N34" s="376">
        <v>2.0699999999999998</v>
      </c>
      <c r="O34" s="374"/>
      <c r="P34" s="375"/>
      <c r="Q34" s="253">
        <v>113</v>
      </c>
      <c r="R34" s="254"/>
      <c r="S34" s="255"/>
      <c r="T34" s="253">
        <f t="shared" si="0"/>
        <v>28.099999999999994</v>
      </c>
      <c r="U34" s="254"/>
      <c r="V34" s="255"/>
      <c r="Z34" s="11"/>
    </row>
    <row r="35" spans="1:26" ht="19.5" customHeight="1" x14ac:dyDescent="0.25">
      <c r="A35" s="9"/>
      <c r="B35" s="44">
        <v>11</v>
      </c>
      <c r="C35" s="367"/>
      <c r="D35" s="368"/>
      <c r="E35" s="368"/>
      <c r="F35" s="368"/>
      <c r="G35" s="369"/>
      <c r="H35" s="370">
        <v>34.090000000000003</v>
      </c>
      <c r="I35" s="371"/>
      <c r="J35" s="372"/>
      <c r="K35" s="373">
        <v>69.2</v>
      </c>
      <c r="L35" s="374"/>
      <c r="M35" s="375"/>
      <c r="N35" s="376">
        <v>2.0299999999999998</v>
      </c>
      <c r="O35" s="374"/>
      <c r="P35" s="375"/>
      <c r="Q35" s="253">
        <v>111</v>
      </c>
      <c r="R35" s="254"/>
      <c r="S35" s="255"/>
      <c r="T35" s="253">
        <f t="shared" si="0"/>
        <v>41.8</v>
      </c>
      <c r="U35" s="254"/>
      <c r="V35" s="255"/>
      <c r="Z35" s="11"/>
    </row>
    <row r="36" spans="1:26" ht="19.5" customHeight="1" x14ac:dyDescent="0.25">
      <c r="A36" s="9"/>
      <c r="B36" s="44">
        <v>12</v>
      </c>
      <c r="C36" s="367"/>
      <c r="D36" s="368"/>
      <c r="E36" s="368"/>
      <c r="F36" s="368"/>
      <c r="G36" s="369"/>
      <c r="H36" s="370">
        <v>44.29</v>
      </c>
      <c r="I36" s="371"/>
      <c r="J36" s="372"/>
      <c r="K36" s="373">
        <v>88.2</v>
      </c>
      <c r="L36" s="374"/>
      <c r="M36" s="375"/>
      <c r="N36" s="376">
        <v>1.99</v>
      </c>
      <c r="O36" s="374"/>
      <c r="P36" s="375"/>
      <c r="Q36" s="253">
        <v>81</v>
      </c>
      <c r="R36" s="254"/>
      <c r="S36" s="255"/>
      <c r="T36" s="253">
        <f t="shared" si="0"/>
        <v>-7.2000000000000028</v>
      </c>
      <c r="U36" s="254"/>
      <c r="V36" s="255"/>
      <c r="Z36" s="11"/>
    </row>
    <row r="37" spans="1:26" ht="19.5" customHeight="1" x14ac:dyDescent="0.25">
      <c r="A37" s="9"/>
      <c r="B37" s="44">
        <v>13</v>
      </c>
      <c r="C37" s="367"/>
      <c r="D37" s="368"/>
      <c r="E37" s="368"/>
      <c r="F37" s="368"/>
      <c r="G37" s="369"/>
      <c r="H37" s="370">
        <v>55.15</v>
      </c>
      <c r="I37" s="371"/>
      <c r="J37" s="372"/>
      <c r="K37" s="373">
        <v>84.9</v>
      </c>
      <c r="L37" s="374"/>
      <c r="M37" s="375"/>
      <c r="N37" s="376">
        <v>1.54</v>
      </c>
      <c r="O37" s="374"/>
      <c r="P37" s="375"/>
      <c r="Q37" s="253">
        <v>98</v>
      </c>
      <c r="R37" s="254"/>
      <c r="S37" s="255"/>
      <c r="T37" s="253">
        <f t="shared" si="0"/>
        <v>13.099999999999994</v>
      </c>
      <c r="U37" s="254"/>
      <c r="V37" s="255"/>
      <c r="Z37" s="11"/>
    </row>
    <row r="38" spans="1:26" ht="19.5" customHeight="1" x14ac:dyDescent="0.25">
      <c r="A38" s="9"/>
      <c r="B38" s="44">
        <v>14</v>
      </c>
      <c r="C38" s="367"/>
      <c r="D38" s="368"/>
      <c r="E38" s="368"/>
      <c r="F38" s="368"/>
      <c r="G38" s="369"/>
      <c r="H38" s="370">
        <v>43.95</v>
      </c>
      <c r="I38" s="371"/>
      <c r="J38" s="372"/>
      <c r="K38" s="373">
        <v>60.8</v>
      </c>
      <c r="L38" s="374"/>
      <c r="M38" s="375"/>
      <c r="N38" s="376">
        <v>1.38</v>
      </c>
      <c r="O38" s="374"/>
      <c r="P38" s="375"/>
      <c r="Q38" s="253">
        <v>85</v>
      </c>
      <c r="R38" s="254"/>
      <c r="S38" s="255"/>
      <c r="T38" s="253">
        <f t="shared" si="0"/>
        <v>24.200000000000003</v>
      </c>
      <c r="U38" s="254"/>
      <c r="V38" s="255"/>
      <c r="Z38" s="11"/>
    </row>
    <row r="39" spans="1:26" ht="19.5" customHeight="1" x14ac:dyDescent="0.25">
      <c r="A39" s="9"/>
      <c r="B39" s="44"/>
      <c r="C39" s="70"/>
      <c r="D39" s="70"/>
      <c r="E39" s="70"/>
      <c r="F39" s="70"/>
      <c r="G39" s="71"/>
      <c r="H39" s="72"/>
      <c r="I39" s="73"/>
      <c r="J39" s="74"/>
      <c r="K39" s="75"/>
      <c r="L39" s="67"/>
      <c r="M39" s="68"/>
      <c r="N39" s="76"/>
      <c r="O39" s="67"/>
      <c r="P39" s="68"/>
      <c r="Q39" s="69"/>
      <c r="R39" s="70"/>
      <c r="S39" s="145"/>
      <c r="T39" s="70"/>
      <c r="U39" s="70"/>
      <c r="V39" s="71"/>
      <c r="Z39" s="11"/>
    </row>
    <row r="40" spans="1:26" ht="19.5" customHeight="1" x14ac:dyDescent="0.25">
      <c r="A40" s="9"/>
      <c r="B40" s="44"/>
      <c r="C40" s="70"/>
      <c r="D40" s="70"/>
      <c r="E40" s="70"/>
      <c r="F40" s="70"/>
      <c r="G40" s="71"/>
      <c r="H40" s="72"/>
      <c r="I40" s="73"/>
      <c r="J40" s="74"/>
      <c r="K40" s="75"/>
      <c r="L40" s="67"/>
      <c r="M40" s="68"/>
      <c r="N40" s="76"/>
      <c r="O40" s="67"/>
      <c r="P40" s="68"/>
      <c r="Q40" s="69"/>
      <c r="R40" s="70"/>
      <c r="S40" s="145"/>
      <c r="T40" s="70"/>
      <c r="U40" s="70"/>
      <c r="V40" s="71"/>
      <c r="Z40" s="11"/>
    </row>
    <row r="41" spans="1:26" ht="19.5" customHeight="1" x14ac:dyDescent="0.25">
      <c r="A41" s="9"/>
      <c r="B41" s="44"/>
      <c r="C41" s="70"/>
      <c r="D41" s="70"/>
      <c r="E41" s="70"/>
      <c r="F41" s="70"/>
      <c r="G41" s="71"/>
      <c r="H41" s="72"/>
      <c r="I41" s="73"/>
      <c r="J41" s="74"/>
      <c r="K41" s="75"/>
      <c r="L41" s="67"/>
      <c r="M41" s="68"/>
      <c r="N41" s="76"/>
      <c r="O41" s="67"/>
      <c r="P41" s="68"/>
      <c r="Q41" s="69"/>
      <c r="R41" s="70"/>
      <c r="S41" s="145"/>
      <c r="T41" s="70"/>
      <c r="U41" s="70"/>
      <c r="V41" s="71"/>
      <c r="Z41" s="11"/>
    </row>
    <row r="42" spans="1:26" ht="19.5" customHeight="1" x14ac:dyDescent="0.25">
      <c r="A42" s="9"/>
      <c r="B42" s="44"/>
      <c r="C42" s="70"/>
      <c r="D42" s="70"/>
      <c r="E42" s="70"/>
      <c r="F42" s="70"/>
      <c r="G42" s="71"/>
      <c r="H42" s="72"/>
      <c r="I42" s="73"/>
      <c r="J42" s="74"/>
      <c r="K42" s="75"/>
      <c r="L42" s="67"/>
      <c r="M42" s="68"/>
      <c r="N42" s="76"/>
      <c r="O42" s="67"/>
      <c r="P42" s="68"/>
      <c r="Q42" s="69"/>
      <c r="R42" s="70"/>
      <c r="S42" s="145"/>
      <c r="T42" s="70"/>
      <c r="U42" s="70"/>
      <c r="V42" s="71"/>
      <c r="Z42" s="11"/>
    </row>
    <row r="43" spans="1:26" ht="19.5" customHeight="1" x14ac:dyDescent="0.25">
      <c r="A43" s="9"/>
      <c r="B43" s="44"/>
      <c r="C43" s="70"/>
      <c r="D43" s="70"/>
      <c r="E43" s="70"/>
      <c r="F43" s="70"/>
      <c r="G43" s="71"/>
      <c r="H43" s="72"/>
      <c r="I43" s="73"/>
      <c r="J43" s="74"/>
      <c r="K43" s="75"/>
      <c r="L43" s="67"/>
      <c r="M43" s="68"/>
      <c r="N43" s="76"/>
      <c r="O43" s="67"/>
      <c r="P43" s="68"/>
      <c r="Q43" s="69"/>
      <c r="R43" s="70"/>
      <c r="S43" s="145"/>
      <c r="T43" s="70"/>
      <c r="U43" s="70"/>
      <c r="V43" s="71"/>
      <c r="Z43" s="11"/>
    </row>
    <row r="44" spans="1:26" ht="19.5" customHeight="1" x14ac:dyDescent="0.25">
      <c r="A44" s="9"/>
      <c r="B44" s="44"/>
      <c r="C44" s="70"/>
      <c r="D44" s="70"/>
      <c r="E44" s="70"/>
      <c r="F44" s="70"/>
      <c r="G44" s="71"/>
      <c r="H44" s="72"/>
      <c r="I44" s="73"/>
      <c r="J44" s="74"/>
      <c r="K44" s="75"/>
      <c r="L44" s="67"/>
      <c r="M44" s="68"/>
      <c r="N44" s="76"/>
      <c r="O44" s="67"/>
      <c r="P44" s="68"/>
      <c r="Q44" s="69"/>
      <c r="R44" s="70"/>
      <c r="S44" s="145"/>
      <c r="T44" s="70"/>
      <c r="U44" s="70"/>
      <c r="V44" s="71"/>
      <c r="Z44" s="11"/>
    </row>
    <row r="45" spans="1:26" ht="19.5" customHeight="1" x14ac:dyDescent="0.25">
      <c r="A45" s="9"/>
      <c r="B45" s="44"/>
      <c r="C45" s="70"/>
      <c r="D45" s="70"/>
      <c r="E45" s="70"/>
      <c r="F45" s="70"/>
      <c r="G45" s="71"/>
      <c r="H45" s="72"/>
      <c r="I45" s="73"/>
      <c r="J45" s="74"/>
      <c r="K45" s="75"/>
      <c r="L45" s="67"/>
      <c r="M45" s="68"/>
      <c r="N45" s="76"/>
      <c r="O45" s="67"/>
      <c r="P45" s="68"/>
      <c r="Q45" s="69"/>
      <c r="R45" s="70"/>
      <c r="S45" s="145"/>
      <c r="T45" s="70"/>
      <c r="U45" s="70"/>
      <c r="V45" s="71"/>
      <c r="Z45" s="11"/>
    </row>
    <row r="46" spans="1:26" ht="19.5" customHeight="1" x14ac:dyDescent="0.25">
      <c r="A46" s="9"/>
      <c r="B46" s="44"/>
      <c r="C46" s="70"/>
      <c r="D46" s="70"/>
      <c r="E46" s="70"/>
      <c r="F46" s="70"/>
      <c r="G46" s="71"/>
      <c r="H46" s="72"/>
      <c r="I46" s="73"/>
      <c r="J46" s="74"/>
      <c r="K46" s="75"/>
      <c r="L46" s="67"/>
      <c r="M46" s="68"/>
      <c r="N46" s="76"/>
      <c r="O46" s="67"/>
      <c r="P46" s="68"/>
      <c r="Q46" s="69"/>
      <c r="R46" s="70"/>
      <c r="S46" s="145"/>
      <c r="T46" s="70"/>
      <c r="U46" s="70"/>
      <c r="V46" s="71"/>
      <c r="Z46" s="11"/>
    </row>
    <row r="47" spans="1:26" ht="19.5" customHeight="1" x14ac:dyDescent="0.25">
      <c r="A47" s="9"/>
      <c r="B47" s="44"/>
      <c r="C47" s="70"/>
      <c r="D47" s="70"/>
      <c r="E47" s="70"/>
      <c r="F47" s="70"/>
      <c r="G47" s="71"/>
      <c r="H47" s="72"/>
      <c r="I47" s="73"/>
      <c r="J47" s="74"/>
      <c r="K47" s="75"/>
      <c r="L47" s="67"/>
      <c r="M47" s="68"/>
      <c r="N47" s="76"/>
      <c r="O47" s="67"/>
      <c r="P47" s="68"/>
      <c r="Q47" s="69"/>
      <c r="R47" s="70"/>
      <c r="S47" s="145"/>
      <c r="T47" s="70"/>
      <c r="U47" s="70"/>
      <c r="V47" s="71"/>
      <c r="Z47" s="11"/>
    </row>
    <row r="48" spans="1:26" ht="19.5" customHeight="1" x14ac:dyDescent="0.25">
      <c r="A48" s="9"/>
      <c r="B48" s="44"/>
      <c r="C48" s="70"/>
      <c r="D48" s="70"/>
      <c r="E48" s="70"/>
      <c r="F48" s="70"/>
      <c r="G48" s="71"/>
      <c r="H48" s="72"/>
      <c r="I48" s="73"/>
      <c r="J48" s="74"/>
      <c r="K48" s="75"/>
      <c r="L48" s="67"/>
      <c r="M48" s="68"/>
      <c r="N48" s="76"/>
      <c r="O48" s="67"/>
      <c r="P48" s="68"/>
      <c r="Q48" s="69"/>
      <c r="R48" s="70"/>
      <c r="S48" s="145"/>
      <c r="T48" s="70"/>
      <c r="U48" s="70"/>
      <c r="V48" s="71"/>
      <c r="Z48" s="11"/>
    </row>
    <row r="49" spans="1:26" ht="19.5" customHeight="1" x14ac:dyDescent="0.25">
      <c r="A49" s="9"/>
      <c r="B49" s="44"/>
      <c r="C49" s="70"/>
      <c r="D49" s="70"/>
      <c r="E49" s="70"/>
      <c r="F49" s="70"/>
      <c r="G49" s="71"/>
      <c r="H49" s="72"/>
      <c r="I49" s="73"/>
      <c r="J49" s="74"/>
      <c r="K49" s="75"/>
      <c r="L49" s="67"/>
      <c r="M49" s="68"/>
      <c r="N49" s="76"/>
      <c r="O49" s="67"/>
      <c r="P49" s="68"/>
      <c r="Q49" s="69"/>
      <c r="R49" s="70"/>
      <c r="S49" s="145"/>
      <c r="T49" s="70"/>
      <c r="U49" s="70"/>
      <c r="V49" s="71"/>
      <c r="Z49" s="11"/>
    </row>
    <row r="50" spans="1:26" ht="19.5" customHeight="1" x14ac:dyDescent="0.25">
      <c r="A50" s="9"/>
      <c r="B50" s="44"/>
      <c r="C50" s="70"/>
      <c r="D50" s="70"/>
      <c r="E50" s="70"/>
      <c r="F50" s="70"/>
      <c r="G50" s="71"/>
      <c r="H50" s="72"/>
      <c r="I50" s="73"/>
      <c r="J50" s="74"/>
      <c r="K50" s="75"/>
      <c r="L50" s="67"/>
      <c r="M50" s="68"/>
      <c r="N50" s="76"/>
      <c r="O50" s="67"/>
      <c r="P50" s="68"/>
      <c r="Q50" s="69"/>
      <c r="R50" s="70"/>
      <c r="S50" s="145"/>
      <c r="T50" s="70"/>
      <c r="U50" s="70"/>
      <c r="V50" s="71"/>
      <c r="Z50" s="11"/>
    </row>
    <row r="51" spans="1:26" ht="19.5" customHeight="1" x14ac:dyDescent="0.25">
      <c r="A51" s="9"/>
      <c r="B51" s="44"/>
      <c r="C51" s="70"/>
      <c r="D51" s="70"/>
      <c r="E51" s="70"/>
      <c r="F51" s="70"/>
      <c r="G51" s="71"/>
      <c r="H51" s="72"/>
      <c r="I51" s="73"/>
      <c r="J51" s="74"/>
      <c r="K51" s="75"/>
      <c r="L51" s="67"/>
      <c r="M51" s="68"/>
      <c r="N51" s="76"/>
      <c r="O51" s="67"/>
      <c r="P51" s="68"/>
      <c r="Q51" s="69"/>
      <c r="R51" s="70"/>
      <c r="S51" s="145"/>
      <c r="T51" s="70"/>
      <c r="U51" s="70"/>
      <c r="V51" s="71"/>
      <c r="Z51" s="11"/>
    </row>
    <row r="52" spans="1:26" ht="19.5" customHeight="1" x14ac:dyDescent="0.25">
      <c r="A52" s="9"/>
      <c r="B52" s="44"/>
      <c r="C52" s="70"/>
      <c r="D52" s="70"/>
      <c r="E52" s="70"/>
      <c r="F52" s="70"/>
      <c r="G52" s="71"/>
      <c r="H52" s="72"/>
      <c r="I52" s="73"/>
      <c r="J52" s="74"/>
      <c r="K52" s="75"/>
      <c r="L52" s="67"/>
      <c r="M52" s="68"/>
      <c r="N52" s="76"/>
      <c r="O52" s="67"/>
      <c r="P52" s="68"/>
      <c r="Q52" s="69"/>
      <c r="R52" s="70"/>
      <c r="S52" s="145"/>
      <c r="T52" s="70"/>
      <c r="U52" s="70"/>
      <c r="V52" s="71"/>
      <c r="Z52" s="11"/>
    </row>
    <row r="53" spans="1:26" ht="19.5" customHeight="1" x14ac:dyDescent="0.25">
      <c r="A53" s="9"/>
      <c r="B53" s="44"/>
      <c r="C53" s="70"/>
      <c r="D53" s="70"/>
      <c r="E53" s="70"/>
      <c r="F53" s="70"/>
      <c r="G53" s="71"/>
      <c r="H53" s="72"/>
      <c r="I53" s="73"/>
      <c r="J53" s="74"/>
      <c r="K53" s="75"/>
      <c r="L53" s="67"/>
      <c r="M53" s="68"/>
      <c r="N53" s="76"/>
      <c r="O53" s="67"/>
      <c r="P53" s="68"/>
      <c r="Q53" s="69"/>
      <c r="R53" s="70"/>
      <c r="S53" s="145"/>
      <c r="T53" s="70"/>
      <c r="U53" s="70"/>
      <c r="V53" s="71"/>
      <c r="Z53" s="11"/>
    </row>
    <row r="54" spans="1:26" ht="19.5" customHeight="1" thickBot="1" x14ac:dyDescent="0.3">
      <c r="A54" s="9"/>
      <c r="B54" s="45"/>
      <c r="C54" s="378"/>
      <c r="D54" s="378"/>
      <c r="E54" s="378"/>
      <c r="F54" s="378"/>
      <c r="G54" s="379"/>
      <c r="H54" s="380"/>
      <c r="I54" s="381"/>
      <c r="J54" s="382"/>
      <c r="K54" s="380"/>
      <c r="L54" s="381"/>
      <c r="M54" s="382"/>
      <c r="N54" s="434"/>
      <c r="O54" s="435"/>
      <c r="P54" s="436"/>
      <c r="Q54" s="142"/>
      <c r="R54" s="143"/>
      <c r="S54" s="146"/>
      <c r="T54" s="143"/>
      <c r="U54" s="143"/>
      <c r="V54" s="144"/>
      <c r="Z54" s="11"/>
    </row>
    <row r="55" spans="1:26" ht="15.75" customHeight="1" x14ac:dyDescent="0.25">
      <c r="A55" s="9"/>
      <c r="B55" s="383" t="s">
        <v>38</v>
      </c>
      <c r="C55" s="384"/>
      <c r="D55" s="384"/>
      <c r="E55" s="384"/>
      <c r="F55" s="384"/>
      <c r="G55" s="385"/>
      <c r="H55" s="386">
        <f>AVERAGE(H25:J54)</f>
        <v>45.296428571428571</v>
      </c>
      <c r="I55" s="387"/>
      <c r="J55" s="388"/>
      <c r="K55" s="377">
        <f>AVERAGE(K25:M54)</f>
        <v>88.721428571428561</v>
      </c>
      <c r="L55" s="374"/>
      <c r="M55" s="375"/>
      <c r="N55" s="377">
        <f>AVERAGE(N25:P54)</f>
        <v>1.9942857142857142</v>
      </c>
      <c r="O55" s="374"/>
      <c r="P55" s="375"/>
      <c r="Q55" s="377">
        <f>AVERAGE(Q25:S54)</f>
        <v>101.35714285714286</v>
      </c>
      <c r="R55" s="374"/>
      <c r="S55" s="375"/>
      <c r="T55" s="377">
        <f>AVERAGE(T25:V54)</f>
        <v>12.635714285714288</v>
      </c>
      <c r="U55" s="374"/>
      <c r="V55" s="375"/>
      <c r="Z55" s="11"/>
    </row>
    <row r="56" spans="1:26" ht="15.75" customHeight="1" x14ac:dyDescent="0.25">
      <c r="A56" s="9"/>
      <c r="B56" s="364" t="s">
        <v>40</v>
      </c>
      <c r="C56" s="365"/>
      <c r="D56" s="365"/>
      <c r="E56" s="365"/>
      <c r="F56" s="365"/>
      <c r="G56" s="366"/>
      <c r="H56" s="377">
        <f>IF(H25&lt;&gt;"",MIN(H25:J54),"")</f>
        <v>34.090000000000003</v>
      </c>
      <c r="I56" s="374"/>
      <c r="J56" s="375"/>
      <c r="K56" s="377">
        <f>IF(COUNTIF(K25:M54,"*&lt;20*"),"&lt;20",MIN(K25:M54))</f>
        <v>52.3</v>
      </c>
      <c r="L56" s="374"/>
      <c r="M56" s="375"/>
      <c r="N56" s="377">
        <f>IF(N25&lt;&gt;"",MIN(N25:P54),"")</f>
        <v>1.38</v>
      </c>
      <c r="O56" s="374"/>
      <c r="P56" s="375"/>
      <c r="Q56" s="377">
        <f>IF(COUNTIF(Q25:S54,"*&lt;20*"),"&lt;20",MIN(Q25:S54))</f>
        <v>75</v>
      </c>
      <c r="R56" s="374"/>
      <c r="S56" s="375"/>
      <c r="T56" s="377">
        <f>IF(COUNTIF(T25:V54,"*&lt;20*"),"&lt;20",MIN(T25:V54))</f>
        <v>-26.400000000000006</v>
      </c>
      <c r="U56" s="374"/>
      <c r="V56" s="375"/>
      <c r="Z56" s="11"/>
    </row>
    <row r="57" spans="1:26" ht="15.75" customHeight="1" thickBot="1" x14ac:dyDescent="0.3">
      <c r="A57" s="9"/>
      <c r="B57" s="355" t="s">
        <v>41</v>
      </c>
      <c r="C57" s="356"/>
      <c r="D57" s="356"/>
      <c r="E57" s="356"/>
      <c r="F57" s="356"/>
      <c r="G57" s="357"/>
      <c r="H57" s="358">
        <f>IF(H25&lt;&gt;"",MAX(H25:J54),"")</f>
        <v>63.92</v>
      </c>
      <c r="I57" s="359"/>
      <c r="J57" s="360"/>
      <c r="K57" s="358">
        <f>IF(COUNTIF(K25:M54,"*&gt;250*"),"&gt;250",MAX(K25:M54))</f>
        <v>150</v>
      </c>
      <c r="L57" s="359"/>
      <c r="M57" s="360"/>
      <c r="N57" s="358">
        <f>IF(N25&lt;&gt;"",MAX(N25:P54),"")</f>
        <v>3.97</v>
      </c>
      <c r="O57" s="359"/>
      <c r="P57" s="360"/>
      <c r="Q57" s="358">
        <f>IF(COUNTIF(Q25:S54,"*&gt;250*"),"&gt;250",MAX(Q25:S54))</f>
        <v>147</v>
      </c>
      <c r="R57" s="359"/>
      <c r="S57" s="360"/>
      <c r="T57" s="358">
        <f>IF(COUNTIF(T25:V54,"*&gt;250*"),"&gt;250",MAX(T25:V54))</f>
        <v>41.8</v>
      </c>
      <c r="U57" s="359"/>
      <c r="V57" s="360"/>
      <c r="Z57" s="11"/>
    </row>
    <row r="58" spans="1:26" ht="15.9" customHeight="1" x14ac:dyDescent="0.25">
      <c r="A58" s="34"/>
      <c r="B58" s="4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5"/>
      <c r="B59" s="36"/>
    </row>
    <row r="60" spans="1:26" s="17" customFormat="1" ht="15.6" customHeight="1" x14ac:dyDescent="0.25">
      <c r="A60" s="47" t="s">
        <v>42</v>
      </c>
      <c r="B60" s="5" t="s">
        <v>43</v>
      </c>
      <c r="C60" s="48"/>
      <c r="D60" s="48"/>
      <c r="E60" s="48"/>
      <c r="F60" s="49"/>
      <c r="G60" s="49"/>
      <c r="H60" s="4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0"/>
      <c r="V60" s="54"/>
      <c r="W60" s="54"/>
      <c r="X60" s="42"/>
      <c r="Y60" s="42"/>
      <c r="Z60" s="43"/>
    </row>
    <row r="61" spans="1:26" s="17" customFormat="1" ht="28.5" customHeight="1" x14ac:dyDescent="0.25">
      <c r="A61" s="361" t="s">
        <v>44</v>
      </c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2"/>
      <c r="P61" s="362"/>
      <c r="Q61" s="363"/>
      <c r="R61" s="331" t="s">
        <v>45</v>
      </c>
      <c r="S61" s="332"/>
      <c r="T61" s="333"/>
      <c r="U61" s="321" t="s">
        <v>12</v>
      </c>
      <c r="V61" s="322"/>
      <c r="W61" s="322"/>
      <c r="X61" s="323"/>
      <c r="Y61" s="323"/>
      <c r="Z61" s="324"/>
    </row>
    <row r="62" spans="1:26" s="17" customFormat="1" ht="15.6" customHeight="1" x14ac:dyDescent="0.25">
      <c r="A62" s="325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7"/>
      <c r="R62" s="331" t="s">
        <v>47</v>
      </c>
      <c r="S62" s="332"/>
      <c r="T62" s="333"/>
      <c r="U62" s="334" t="s">
        <v>59</v>
      </c>
      <c r="V62" s="335"/>
      <c r="W62" s="335"/>
      <c r="X62" s="336"/>
      <c r="Y62" s="336"/>
      <c r="Z62" s="337"/>
    </row>
    <row r="63" spans="1:26" s="17" customFormat="1" ht="15.6" customHeight="1" x14ac:dyDescent="0.25">
      <c r="A63" s="328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30"/>
      <c r="R63" s="331"/>
      <c r="S63" s="332"/>
      <c r="T63" s="333"/>
      <c r="U63" s="338"/>
      <c r="V63" s="339"/>
      <c r="W63" s="339"/>
      <c r="X63" s="340"/>
      <c r="Y63" s="340"/>
      <c r="Z63" s="341"/>
    </row>
    <row r="64" spans="1:26" s="17" customFormat="1" ht="15.6" customHeight="1" x14ac:dyDescent="0.25">
      <c r="A64" s="56" t="s">
        <v>48</v>
      </c>
      <c r="B64" s="57" t="s">
        <v>49</v>
      </c>
      <c r="C64" s="1"/>
      <c r="D64" s="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8"/>
      <c r="R64" s="331"/>
      <c r="S64" s="332"/>
      <c r="T64" s="333"/>
      <c r="U64" s="342"/>
      <c r="V64" s="343"/>
      <c r="W64" s="343"/>
      <c r="X64" s="344"/>
      <c r="Y64" s="344"/>
      <c r="Z64" s="345"/>
    </row>
    <row r="65" spans="1:26" s="17" customFormat="1" ht="15.6" customHeight="1" x14ac:dyDescent="0.25">
      <c r="A65" s="346"/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  <c r="N65" s="347"/>
      <c r="O65" s="347"/>
      <c r="P65" s="347"/>
      <c r="Q65" s="348"/>
      <c r="R65" s="331" t="s">
        <v>50</v>
      </c>
      <c r="S65" s="332"/>
      <c r="T65" s="333"/>
      <c r="U65" s="59"/>
      <c r="V65" s="60"/>
      <c r="W65" s="60"/>
      <c r="X65" s="60"/>
      <c r="Y65" s="60"/>
      <c r="Z65" s="61"/>
    </row>
    <row r="66" spans="1:26" s="17" customFormat="1" ht="15.6" customHeight="1" x14ac:dyDescent="0.25">
      <c r="A66" s="346"/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8"/>
      <c r="R66" s="331"/>
      <c r="S66" s="332"/>
      <c r="T66" s="333"/>
      <c r="U66" s="62"/>
      <c r="V66" s="339"/>
      <c r="W66" s="339"/>
      <c r="X66" s="339"/>
      <c r="Y66" s="339"/>
      <c r="Z66" s="63"/>
    </row>
    <row r="67" spans="1:26" s="17" customFormat="1" ht="15.6" customHeight="1" x14ac:dyDescent="0.25">
      <c r="A67" s="346"/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8"/>
      <c r="R67" s="331"/>
      <c r="S67" s="332"/>
      <c r="T67" s="333"/>
      <c r="U67" s="62"/>
      <c r="V67" s="339"/>
      <c r="W67" s="339"/>
      <c r="X67" s="339"/>
      <c r="Y67" s="339"/>
      <c r="Z67" s="63"/>
    </row>
    <row r="68" spans="1:26" s="17" customFormat="1" ht="15.6" customHeight="1" x14ac:dyDescent="0.25">
      <c r="A68" s="349"/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1"/>
      <c r="R68" s="352"/>
      <c r="S68" s="353"/>
      <c r="T68" s="354"/>
      <c r="U68" s="64"/>
      <c r="V68" s="65"/>
      <c r="W68" s="65"/>
      <c r="X68" s="65"/>
      <c r="Y68" s="65"/>
      <c r="Z68" s="66"/>
    </row>
    <row r="69" spans="1:26" s="17" customFormat="1" ht="15" customHeight="1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52"/>
      <c r="S69" s="52"/>
      <c r="T69" s="52"/>
      <c r="U69" s="53"/>
      <c r="V69" s="53"/>
      <c r="W69" s="53"/>
      <c r="X69" s="53"/>
      <c r="Y69" s="53"/>
      <c r="Z69" s="53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54"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N23:P24"/>
    <mergeCell ref="Q23:S24"/>
    <mergeCell ref="T23:V24"/>
    <mergeCell ref="L6:O6"/>
    <mergeCell ref="Q55:S55"/>
    <mergeCell ref="Q56:S56"/>
    <mergeCell ref="Q57:S57"/>
    <mergeCell ref="T55:V55"/>
    <mergeCell ref="T56:V56"/>
    <mergeCell ref="T57:V57"/>
    <mergeCell ref="K54:M54"/>
    <mergeCell ref="N54:P54"/>
    <mergeCell ref="Q32:S32"/>
    <mergeCell ref="T32:V32"/>
    <mergeCell ref="Q33:S33"/>
    <mergeCell ref="T33:V33"/>
    <mergeCell ref="Q34:S34"/>
    <mergeCell ref="T34:V34"/>
    <mergeCell ref="Q29:S29"/>
    <mergeCell ref="T29:V29"/>
    <mergeCell ref="Q30:S30"/>
    <mergeCell ref="T30:V30"/>
    <mergeCell ref="Q31:S31"/>
    <mergeCell ref="T31:V31"/>
    <mergeCell ref="H24:J24"/>
    <mergeCell ref="K24:M24"/>
    <mergeCell ref="C25:G25"/>
    <mergeCell ref="H25:J25"/>
    <mergeCell ref="K25:M25"/>
    <mergeCell ref="N25:P25"/>
    <mergeCell ref="U1:Z6"/>
    <mergeCell ref="G2:T4"/>
    <mergeCell ref="G5:H5"/>
    <mergeCell ref="I5:K5"/>
    <mergeCell ref="L5:O5"/>
    <mergeCell ref="P5:T5"/>
    <mergeCell ref="I6:K6"/>
    <mergeCell ref="Q25:S25"/>
    <mergeCell ref="T25:V25"/>
    <mergeCell ref="B17:H17"/>
    <mergeCell ref="I17:Y17"/>
    <mergeCell ref="B18:H18"/>
    <mergeCell ref="I18:J18"/>
    <mergeCell ref="J21:P21"/>
    <mergeCell ref="B23:B24"/>
    <mergeCell ref="C23:G24"/>
    <mergeCell ref="H23:J23"/>
    <mergeCell ref="K23:M23"/>
    <mergeCell ref="C28:G28"/>
    <mergeCell ref="H28:J28"/>
    <mergeCell ref="K28:M28"/>
    <mergeCell ref="N28:P28"/>
    <mergeCell ref="C29:G29"/>
    <mergeCell ref="H29:J29"/>
    <mergeCell ref="K29:M29"/>
    <mergeCell ref="N29:P29"/>
    <mergeCell ref="C26:G26"/>
    <mergeCell ref="H26:J26"/>
    <mergeCell ref="K26:M26"/>
    <mergeCell ref="N26:P26"/>
    <mergeCell ref="C27:G27"/>
    <mergeCell ref="H27:J27"/>
    <mergeCell ref="K27:M27"/>
    <mergeCell ref="N27:P27"/>
    <mergeCell ref="C32:G32"/>
    <mergeCell ref="H32:J32"/>
    <mergeCell ref="K32:M32"/>
    <mergeCell ref="N32:P32"/>
    <mergeCell ref="C33:G33"/>
    <mergeCell ref="H33:J33"/>
    <mergeCell ref="K33:M33"/>
    <mergeCell ref="N33:P33"/>
    <mergeCell ref="C30:G30"/>
    <mergeCell ref="H30:J30"/>
    <mergeCell ref="K30:M30"/>
    <mergeCell ref="N30:P30"/>
    <mergeCell ref="C31:G31"/>
    <mergeCell ref="H31:J31"/>
    <mergeCell ref="K31:M31"/>
    <mergeCell ref="N31:P31"/>
    <mergeCell ref="C34:G34"/>
    <mergeCell ref="H34:J34"/>
    <mergeCell ref="K34:M34"/>
    <mergeCell ref="N34:P34"/>
    <mergeCell ref="C35:G35"/>
    <mergeCell ref="H35:J35"/>
    <mergeCell ref="K35:M35"/>
    <mergeCell ref="N35:P35"/>
    <mergeCell ref="B55:G55"/>
    <mergeCell ref="H55:J55"/>
    <mergeCell ref="K55:M55"/>
    <mergeCell ref="N55:P55"/>
    <mergeCell ref="B56:G56"/>
    <mergeCell ref="Q38:S38"/>
    <mergeCell ref="T38:V38"/>
    <mergeCell ref="C36:G36"/>
    <mergeCell ref="H36:J36"/>
    <mergeCell ref="K36:M36"/>
    <mergeCell ref="N36:P36"/>
    <mergeCell ref="C37:G37"/>
    <mergeCell ref="H37:J37"/>
    <mergeCell ref="K37:M37"/>
    <mergeCell ref="N37:P37"/>
    <mergeCell ref="H56:J56"/>
    <mergeCell ref="K56:M56"/>
    <mergeCell ref="N56:P56"/>
    <mergeCell ref="C38:G38"/>
    <mergeCell ref="H38:J38"/>
    <mergeCell ref="K38:M38"/>
    <mergeCell ref="N38:P38"/>
    <mergeCell ref="C54:G54"/>
    <mergeCell ref="H54:J54"/>
    <mergeCell ref="Q36:S36"/>
    <mergeCell ref="T36:V36"/>
    <mergeCell ref="Q37:S37"/>
    <mergeCell ref="T37:V37"/>
    <mergeCell ref="A62:Q63"/>
    <mergeCell ref="R62:T64"/>
    <mergeCell ref="U62:Z64"/>
    <mergeCell ref="A65:Q68"/>
    <mergeCell ref="R65:T68"/>
    <mergeCell ref="V66:Y67"/>
    <mergeCell ref="B57:G57"/>
    <mergeCell ref="H57:J57"/>
    <mergeCell ref="K57:M57"/>
    <mergeCell ref="N57:P57"/>
    <mergeCell ref="A61:Q61"/>
    <mergeCell ref="R61:T61"/>
    <mergeCell ref="Q26:S26"/>
    <mergeCell ref="T26:V26"/>
    <mergeCell ref="Q35:S35"/>
    <mergeCell ref="T35:V35"/>
    <mergeCell ref="Q27:S27"/>
    <mergeCell ref="T27:V27"/>
    <mergeCell ref="Q28:S28"/>
    <mergeCell ref="T28:V28"/>
    <mergeCell ref="U61:Z6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5123-27FD-42AA-9F75-336676DCB01E}">
  <sheetPr>
    <pageSetUpPr fitToPage="1"/>
  </sheetPr>
  <dimension ref="A1:AA76"/>
  <sheetViews>
    <sheetView workbookViewId="0">
      <selection activeCell="L6" sqref="L6:O6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3</v>
      </c>
      <c r="J5" s="243"/>
      <c r="K5" s="244"/>
      <c r="L5" s="246" t="s">
        <v>66</v>
      </c>
      <c r="M5" s="247"/>
      <c r="N5" s="247"/>
      <c r="O5" s="248"/>
      <c r="P5" s="249" t="s">
        <v>3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8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14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3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17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19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21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212" t="s">
        <v>55</v>
      </c>
      <c r="D25" s="213"/>
      <c r="E25" s="213"/>
      <c r="F25" s="213"/>
      <c r="G25" s="214"/>
      <c r="H25" s="253">
        <v>103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12" t="s">
        <v>55</v>
      </c>
      <c r="D26" s="213"/>
      <c r="E26" s="213"/>
      <c r="F26" s="213"/>
      <c r="G26" s="214"/>
      <c r="H26" s="253">
        <v>69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12" t="s">
        <v>54</v>
      </c>
      <c r="D27" s="213"/>
      <c r="E27" s="213"/>
      <c r="F27" s="213"/>
      <c r="G27" s="214"/>
      <c r="H27" s="253">
        <v>79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12" t="s">
        <v>53</v>
      </c>
      <c r="D28" s="213"/>
      <c r="E28" s="213"/>
      <c r="F28" s="213"/>
      <c r="G28" s="214"/>
      <c r="H28" s="253">
        <v>111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12" t="s">
        <v>52</v>
      </c>
      <c r="D29" s="213"/>
      <c r="E29" s="213"/>
      <c r="F29" s="213"/>
      <c r="G29" s="214"/>
      <c r="H29" s="253">
        <v>89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41"/>
      <c r="C30" s="108"/>
      <c r="D30" s="107"/>
      <c r="E30" s="107"/>
      <c r="F30" s="107"/>
      <c r="G30" s="106"/>
      <c r="H30" s="111"/>
      <c r="I30" s="110"/>
      <c r="J30" s="109"/>
      <c r="K30" s="108"/>
      <c r="L30" s="107"/>
      <c r="M30" s="107"/>
      <c r="N30" s="107"/>
      <c r="O30" s="107"/>
      <c r="P30" s="106"/>
      <c r="Z30" s="103"/>
    </row>
    <row r="31" spans="1:26" ht="19.5" customHeight="1" x14ac:dyDescent="0.25">
      <c r="A31" s="104"/>
      <c r="B31" s="141"/>
      <c r="C31" s="108"/>
      <c r="D31" s="107"/>
      <c r="E31" s="107"/>
      <c r="F31" s="107"/>
      <c r="G31" s="106"/>
      <c r="H31" s="111"/>
      <c r="I31" s="110"/>
      <c r="J31" s="109"/>
      <c r="K31" s="108"/>
      <c r="L31" s="107"/>
      <c r="M31" s="107"/>
      <c r="N31" s="107"/>
      <c r="O31" s="107"/>
      <c r="P31" s="106"/>
      <c r="Z31" s="103"/>
    </row>
    <row r="32" spans="1:26" ht="19.5" customHeight="1" x14ac:dyDescent="0.25">
      <c r="A32" s="104"/>
      <c r="B32" s="141"/>
      <c r="C32" s="108"/>
      <c r="D32" s="107"/>
      <c r="E32" s="107"/>
      <c r="F32" s="107"/>
      <c r="G32" s="106"/>
      <c r="H32" s="111"/>
      <c r="I32" s="110"/>
      <c r="J32" s="109"/>
      <c r="K32" s="108"/>
      <c r="L32" s="107"/>
      <c r="M32" s="107"/>
      <c r="N32" s="107"/>
      <c r="O32" s="107"/>
      <c r="P32" s="106"/>
      <c r="Z32" s="103"/>
    </row>
    <row r="33" spans="1:26" ht="19.5" customHeight="1" x14ac:dyDescent="0.25">
      <c r="A33" s="104"/>
      <c r="B33" s="141"/>
      <c r="C33" s="108"/>
      <c r="D33" s="107"/>
      <c r="E33" s="107"/>
      <c r="F33" s="107"/>
      <c r="G33" s="106"/>
      <c r="H33" s="111"/>
      <c r="I33" s="110"/>
      <c r="J33" s="109"/>
      <c r="K33" s="108"/>
      <c r="L33" s="107"/>
      <c r="M33" s="107"/>
      <c r="N33" s="107"/>
      <c r="O33" s="107"/>
      <c r="P33" s="106"/>
      <c r="Z33" s="103"/>
    </row>
    <row r="34" spans="1:26" ht="19.5" customHeight="1" x14ac:dyDescent="0.25">
      <c r="A34" s="104"/>
      <c r="B34" s="141"/>
      <c r="C34" s="108"/>
      <c r="D34" s="107"/>
      <c r="E34" s="107"/>
      <c r="F34" s="107"/>
      <c r="G34" s="106"/>
      <c r="H34" s="111"/>
      <c r="I34" s="110"/>
      <c r="J34" s="109"/>
      <c r="K34" s="108"/>
      <c r="L34" s="107"/>
      <c r="M34" s="107"/>
      <c r="N34" s="107"/>
      <c r="O34" s="107"/>
      <c r="P34" s="106"/>
      <c r="Z34" s="103"/>
    </row>
    <row r="35" spans="1:26" ht="19.5" customHeight="1" x14ac:dyDescent="0.25">
      <c r="A35" s="104"/>
      <c r="B35" s="141"/>
      <c r="C35" s="108"/>
      <c r="D35" s="107"/>
      <c r="E35" s="107"/>
      <c r="F35" s="107"/>
      <c r="G35" s="106"/>
      <c r="H35" s="111"/>
      <c r="I35" s="110"/>
      <c r="J35" s="109"/>
      <c r="K35" s="108"/>
      <c r="L35" s="107"/>
      <c r="M35" s="107"/>
      <c r="N35" s="107"/>
      <c r="O35" s="107"/>
      <c r="P35" s="106"/>
      <c r="Z35" s="103"/>
    </row>
    <row r="36" spans="1:26" ht="19.5" customHeight="1" x14ac:dyDescent="0.25">
      <c r="A36" s="104"/>
      <c r="B36" s="141"/>
      <c r="C36" s="108"/>
      <c r="D36" s="107"/>
      <c r="E36" s="107"/>
      <c r="F36" s="107"/>
      <c r="G36" s="106"/>
      <c r="H36" s="111"/>
      <c r="I36" s="110"/>
      <c r="J36" s="109"/>
      <c r="K36" s="108"/>
      <c r="L36" s="107"/>
      <c r="M36" s="107"/>
      <c r="N36" s="107"/>
      <c r="O36" s="107"/>
      <c r="P36" s="106"/>
      <c r="Z36" s="103"/>
    </row>
    <row r="37" spans="1:26" ht="19.5" customHeight="1" x14ac:dyDescent="0.25">
      <c r="A37" s="104"/>
      <c r="B37" s="141"/>
      <c r="C37" s="108"/>
      <c r="D37" s="107"/>
      <c r="E37" s="107"/>
      <c r="F37" s="107"/>
      <c r="G37" s="106"/>
      <c r="H37" s="111"/>
      <c r="I37" s="110"/>
      <c r="J37" s="109"/>
      <c r="K37" s="108"/>
      <c r="L37" s="107"/>
      <c r="M37" s="107"/>
      <c r="N37" s="107"/>
      <c r="O37" s="107"/>
      <c r="P37" s="106"/>
      <c r="Z37" s="103"/>
    </row>
    <row r="38" spans="1:26" ht="19.5" customHeight="1" x14ac:dyDescent="0.25">
      <c r="A38" s="104"/>
      <c r="B38" s="141"/>
      <c r="C38" s="108"/>
      <c r="D38" s="107"/>
      <c r="E38" s="107"/>
      <c r="F38" s="107"/>
      <c r="G38" s="106"/>
      <c r="H38" s="111"/>
      <c r="I38" s="110"/>
      <c r="J38" s="109"/>
      <c r="K38" s="108"/>
      <c r="L38" s="107"/>
      <c r="M38" s="107"/>
      <c r="N38" s="107"/>
      <c r="O38" s="107"/>
      <c r="P38" s="106"/>
      <c r="Z38" s="103"/>
    </row>
    <row r="39" spans="1:26" ht="19.5" customHeight="1" x14ac:dyDescent="0.25">
      <c r="A39" s="104"/>
      <c r="B39" s="141"/>
      <c r="C39" s="108"/>
      <c r="D39" s="107"/>
      <c r="E39" s="107"/>
      <c r="F39" s="107"/>
      <c r="G39" s="106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41"/>
      <c r="C40" s="108"/>
      <c r="D40" s="107"/>
      <c r="E40" s="107"/>
      <c r="F40" s="107"/>
      <c r="G40" s="106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41"/>
      <c r="C41" s="108"/>
      <c r="D41" s="107"/>
      <c r="E41" s="107"/>
      <c r="F41" s="107"/>
      <c r="G41" s="106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41"/>
      <c r="C42" s="108"/>
      <c r="D42" s="107"/>
      <c r="E42" s="107"/>
      <c r="F42" s="107"/>
      <c r="G42" s="106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41"/>
      <c r="C43" s="108"/>
      <c r="D43" s="107"/>
      <c r="E43" s="107"/>
      <c r="F43" s="107"/>
      <c r="G43" s="106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41"/>
      <c r="C44" s="108"/>
      <c r="D44" s="107"/>
      <c r="E44" s="107"/>
      <c r="F44" s="107"/>
      <c r="G44" s="106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41"/>
      <c r="C45" s="108"/>
      <c r="D45" s="107"/>
      <c r="E45" s="107"/>
      <c r="F45" s="107"/>
      <c r="G45" s="106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41"/>
      <c r="C46" s="108"/>
      <c r="D46" s="107"/>
      <c r="E46" s="107"/>
      <c r="F46" s="107"/>
      <c r="G46" s="106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41"/>
      <c r="C47" s="108"/>
      <c r="D47" s="107"/>
      <c r="E47" s="107"/>
      <c r="F47" s="107"/>
      <c r="G47" s="106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41"/>
      <c r="C48" s="108"/>
      <c r="D48" s="107"/>
      <c r="E48" s="107"/>
      <c r="F48" s="107"/>
      <c r="G48" s="106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41"/>
      <c r="C49" s="108"/>
      <c r="D49" s="107"/>
      <c r="E49" s="107"/>
      <c r="F49" s="107"/>
      <c r="G49" s="106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41"/>
      <c r="C50" s="108"/>
      <c r="D50" s="107"/>
      <c r="E50" s="107"/>
      <c r="F50" s="107"/>
      <c r="G50" s="106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41"/>
      <c r="C51" s="108"/>
      <c r="D51" s="107"/>
      <c r="E51" s="107"/>
      <c r="F51" s="107"/>
      <c r="G51" s="106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41"/>
      <c r="C52" s="108"/>
      <c r="D52" s="107"/>
      <c r="E52" s="107"/>
      <c r="F52" s="107"/>
      <c r="G52" s="106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41"/>
      <c r="C53" s="108"/>
      <c r="D53" s="107"/>
      <c r="E53" s="107"/>
      <c r="F53" s="107"/>
      <c r="G53" s="106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05"/>
      <c r="C54" s="235"/>
      <c r="D54" s="236"/>
      <c r="E54" s="236"/>
      <c r="F54" s="236"/>
      <c r="G54" s="237"/>
      <c r="H54" s="232"/>
      <c r="I54" s="233"/>
      <c r="J54" s="234"/>
      <c r="K54" s="235"/>
      <c r="L54" s="236"/>
      <c r="M54" s="236"/>
      <c r="N54" s="236"/>
      <c r="O54" s="236"/>
      <c r="P54" s="237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90.2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69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111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321" t="s">
        <v>12</v>
      </c>
      <c r="V61" s="322"/>
      <c r="W61" s="322"/>
      <c r="X61" s="323"/>
      <c r="Y61" s="323"/>
      <c r="Z61" s="324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334" t="s">
        <v>59</v>
      </c>
      <c r="V62" s="335"/>
      <c r="W62" s="335"/>
      <c r="X62" s="336"/>
      <c r="Y62" s="336"/>
      <c r="Z62" s="337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338"/>
      <c r="V63" s="339"/>
      <c r="W63" s="339"/>
      <c r="X63" s="340"/>
      <c r="Y63" s="340"/>
      <c r="Z63" s="341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342"/>
      <c r="V64" s="343"/>
      <c r="W64" s="343"/>
      <c r="X64" s="344"/>
      <c r="Y64" s="344"/>
      <c r="Z64" s="345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59"/>
      <c r="V65" s="60"/>
      <c r="W65" s="60"/>
      <c r="X65" s="60"/>
      <c r="Y65" s="60"/>
      <c r="Z65" s="61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62"/>
      <c r="V66" s="339"/>
      <c r="W66" s="339"/>
      <c r="X66" s="339"/>
      <c r="Y66" s="339"/>
      <c r="Z66" s="63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62"/>
      <c r="V67" s="339"/>
      <c r="W67" s="339"/>
      <c r="X67" s="339"/>
      <c r="Y67" s="339"/>
      <c r="Z67" s="63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64"/>
      <c r="V68" s="65"/>
      <c r="W68" s="65"/>
      <c r="X68" s="65"/>
      <c r="Y68" s="65"/>
      <c r="Z68" s="66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70">
    <mergeCell ref="G2:T4"/>
    <mergeCell ref="G5:H5"/>
    <mergeCell ref="I5:K5"/>
    <mergeCell ref="L5:O5"/>
    <mergeCell ref="P5:T5"/>
    <mergeCell ref="I6:K6"/>
    <mergeCell ref="B11:G11"/>
    <mergeCell ref="H11:M11"/>
    <mergeCell ref="N11:R11"/>
    <mergeCell ref="S11:Y11"/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B12:G12"/>
    <mergeCell ref="H12:M12"/>
    <mergeCell ref="N12:R12"/>
    <mergeCell ref="S12:Y12"/>
    <mergeCell ref="B23:B24"/>
    <mergeCell ref="C23:G24"/>
    <mergeCell ref="H23:J23"/>
    <mergeCell ref="K23:P24"/>
    <mergeCell ref="H24:J24"/>
    <mergeCell ref="B17:H17"/>
    <mergeCell ref="I17:Y17"/>
    <mergeCell ref="B18:H18"/>
    <mergeCell ref="I18:J18"/>
    <mergeCell ref="J21:P21"/>
    <mergeCell ref="C25:G25"/>
    <mergeCell ref="H25:J25"/>
    <mergeCell ref="K25:P25"/>
    <mergeCell ref="C26:G26"/>
    <mergeCell ref="H26:J26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C54:G54"/>
    <mergeCell ref="H54:J54"/>
    <mergeCell ref="K54:P54"/>
    <mergeCell ref="B55:G55"/>
    <mergeCell ref="H55:J55"/>
    <mergeCell ref="K55:L57"/>
    <mergeCell ref="M55:P57"/>
    <mergeCell ref="B56:G56"/>
    <mergeCell ref="H56:J56"/>
    <mergeCell ref="B57:G57"/>
    <mergeCell ref="H57:J57"/>
    <mergeCell ref="A65:Q68"/>
    <mergeCell ref="R65:T68"/>
    <mergeCell ref="V66:Y67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5D06-7046-4CF4-A2B6-9FA6A7C8253E}">
  <sheetPr>
    <pageSetUpPr fitToPage="1"/>
  </sheetPr>
  <dimension ref="A1:AA76"/>
  <sheetViews>
    <sheetView workbookViewId="0">
      <selection activeCell="L6" sqref="L6:O6"/>
    </sheetView>
  </sheetViews>
  <sheetFormatPr baseColWidth="10" defaultColWidth="11.44140625" defaultRowHeight="12.75" customHeight="1" x14ac:dyDescent="0.25"/>
  <cols>
    <col min="1" max="1" width="5.109375" style="79" customWidth="1"/>
    <col min="2" max="26" width="5.109375" style="78" customWidth="1"/>
    <col min="27" max="27" width="11.44140625" style="78"/>
    <col min="28" max="16384" width="11.44140625" style="77"/>
  </cols>
  <sheetData>
    <row r="1" spans="1:26" ht="12.75" customHeight="1" x14ac:dyDescent="0.25">
      <c r="A1" s="256"/>
      <c r="B1" s="257"/>
      <c r="C1" s="257"/>
      <c r="D1" s="257"/>
      <c r="E1" s="257"/>
      <c r="F1" s="258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7"/>
      <c r="U1" s="203" t="s">
        <v>58</v>
      </c>
      <c r="V1" s="204"/>
      <c r="W1" s="204"/>
      <c r="X1" s="204"/>
      <c r="Y1" s="204"/>
      <c r="Z1" s="205"/>
    </row>
    <row r="2" spans="1:26" ht="12.75" customHeight="1" x14ac:dyDescent="0.25">
      <c r="A2" s="259"/>
      <c r="B2" s="260"/>
      <c r="C2" s="260"/>
      <c r="D2" s="260"/>
      <c r="E2" s="260"/>
      <c r="F2" s="261"/>
      <c r="G2" s="268" t="s">
        <v>57</v>
      </c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  <c r="U2" s="206"/>
      <c r="V2" s="207"/>
      <c r="W2" s="207"/>
      <c r="X2" s="207"/>
      <c r="Y2" s="207"/>
      <c r="Z2" s="208"/>
    </row>
    <row r="3" spans="1:26" ht="12.75" customHeight="1" x14ac:dyDescent="0.25">
      <c r="A3" s="259"/>
      <c r="B3" s="260"/>
      <c r="C3" s="260"/>
      <c r="D3" s="260"/>
      <c r="E3" s="260"/>
      <c r="F3" s="261"/>
      <c r="G3" s="268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70"/>
      <c r="U3" s="206"/>
      <c r="V3" s="207"/>
      <c r="W3" s="207"/>
      <c r="X3" s="207"/>
      <c r="Y3" s="207"/>
      <c r="Z3" s="208"/>
    </row>
    <row r="4" spans="1:26" ht="12.75" customHeight="1" x14ac:dyDescent="0.25">
      <c r="A4" s="259"/>
      <c r="B4" s="260"/>
      <c r="C4" s="260"/>
      <c r="D4" s="260"/>
      <c r="E4" s="260"/>
      <c r="F4" s="261"/>
      <c r="G4" s="268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06"/>
      <c r="V4" s="207"/>
      <c r="W4" s="207"/>
      <c r="X4" s="207"/>
      <c r="Y4" s="207"/>
      <c r="Z4" s="208"/>
    </row>
    <row r="5" spans="1:26" ht="12.75" customHeight="1" x14ac:dyDescent="0.25">
      <c r="A5" s="259"/>
      <c r="B5" s="260"/>
      <c r="C5" s="260"/>
      <c r="D5" s="260"/>
      <c r="E5" s="260"/>
      <c r="F5" s="261"/>
      <c r="G5" s="238" t="s">
        <v>56</v>
      </c>
      <c r="H5" s="239"/>
      <c r="I5" s="243">
        <v>2</v>
      </c>
      <c r="J5" s="243"/>
      <c r="K5" s="244"/>
      <c r="L5" s="246" t="s">
        <v>66</v>
      </c>
      <c r="M5" s="247"/>
      <c r="N5" s="247"/>
      <c r="O5" s="248"/>
      <c r="P5" s="249" t="s">
        <v>3</v>
      </c>
      <c r="Q5" s="250"/>
      <c r="R5" s="250"/>
      <c r="S5" s="250"/>
      <c r="T5" s="251"/>
      <c r="U5" s="206"/>
      <c r="V5" s="207"/>
      <c r="W5" s="207"/>
      <c r="X5" s="207"/>
      <c r="Y5" s="207"/>
      <c r="Z5" s="208"/>
    </row>
    <row r="6" spans="1:26" ht="12.75" customHeight="1" x14ac:dyDescent="0.25">
      <c r="A6" s="262"/>
      <c r="B6" s="263"/>
      <c r="C6" s="263"/>
      <c r="D6" s="263"/>
      <c r="E6" s="263"/>
      <c r="F6" s="264"/>
      <c r="G6" s="140"/>
      <c r="H6" s="100"/>
      <c r="I6" s="245" t="s">
        <v>4</v>
      </c>
      <c r="J6" s="245"/>
      <c r="K6" s="245"/>
      <c r="L6" s="245" t="s">
        <v>5</v>
      </c>
      <c r="M6" s="245"/>
      <c r="N6" s="245"/>
      <c r="O6" s="245"/>
      <c r="P6" s="245" t="s">
        <v>6</v>
      </c>
      <c r="Q6" s="245"/>
      <c r="R6" s="245"/>
      <c r="S6" s="245"/>
      <c r="T6" s="252"/>
      <c r="U6" s="209"/>
      <c r="V6" s="210"/>
      <c r="W6" s="210"/>
      <c r="X6" s="210"/>
      <c r="Y6" s="210"/>
      <c r="Z6" s="211"/>
    </row>
    <row r="7" spans="1:26" ht="36.6" customHeight="1" x14ac:dyDescent="0.25">
      <c r="A7" s="240" t="s">
        <v>7</v>
      </c>
      <c r="B7" s="240"/>
      <c r="C7" s="240"/>
      <c r="D7" s="240"/>
      <c r="E7" s="240"/>
      <c r="F7" s="240"/>
      <c r="G7" s="241" t="s">
        <v>8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9" customHeight="1" x14ac:dyDescent="0.25">
      <c r="A8" s="119" t="s">
        <v>9</v>
      </c>
      <c r="B8" s="95" t="s">
        <v>10</v>
      </c>
      <c r="C8" s="92"/>
      <c r="D8" s="139"/>
      <c r="E8" s="139"/>
      <c r="F8" s="139"/>
      <c r="G8" s="139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115"/>
    </row>
    <row r="9" spans="1:26" ht="8.25" customHeight="1" x14ac:dyDescent="0.25">
      <c r="A9" s="104"/>
      <c r="D9" s="79"/>
      <c r="E9" s="79"/>
      <c r="F9" s="79"/>
      <c r="G9" s="79"/>
      <c r="Z9" s="103"/>
    </row>
    <row r="10" spans="1:26" ht="15.9" customHeight="1" x14ac:dyDescent="0.25">
      <c r="A10" s="104"/>
      <c r="B10" s="199" t="s">
        <v>11</v>
      </c>
      <c r="C10" s="199"/>
      <c r="D10" s="199"/>
      <c r="E10" s="199"/>
      <c r="F10" s="199"/>
      <c r="G10" s="199"/>
      <c r="H10" s="242" t="s">
        <v>12</v>
      </c>
      <c r="I10" s="242"/>
      <c r="J10" s="242"/>
      <c r="K10" s="242"/>
      <c r="L10" s="242"/>
      <c r="M10" s="242"/>
      <c r="N10" s="199" t="s">
        <v>13</v>
      </c>
      <c r="O10" s="199"/>
      <c r="P10" s="199"/>
      <c r="Q10" s="199"/>
      <c r="R10" s="199"/>
      <c r="S10" s="226" t="s">
        <v>14</v>
      </c>
      <c r="T10" s="226"/>
      <c r="U10" s="226"/>
      <c r="V10" s="226"/>
      <c r="W10" s="226"/>
      <c r="X10" s="226"/>
      <c r="Y10" s="226"/>
      <c r="Z10" s="138"/>
    </row>
    <row r="11" spans="1:26" ht="15.9" customHeight="1" x14ac:dyDescent="0.25">
      <c r="A11" s="104"/>
      <c r="B11" s="199" t="s">
        <v>15</v>
      </c>
      <c r="C11" s="199"/>
      <c r="D11" s="199"/>
      <c r="E11" s="199"/>
      <c r="F11" s="199"/>
      <c r="G11" s="199"/>
      <c r="H11" s="242" t="s">
        <v>3</v>
      </c>
      <c r="I11" s="242"/>
      <c r="J11" s="242"/>
      <c r="K11" s="242"/>
      <c r="L11" s="242"/>
      <c r="M11" s="242"/>
      <c r="N11" s="199" t="s">
        <v>16</v>
      </c>
      <c r="O11" s="199"/>
      <c r="P11" s="199"/>
      <c r="Q11" s="199"/>
      <c r="R11" s="199"/>
      <c r="S11" s="226" t="s">
        <v>17</v>
      </c>
      <c r="T11" s="226"/>
      <c r="U11" s="226"/>
      <c r="V11" s="226"/>
      <c r="W11" s="226"/>
      <c r="X11" s="226"/>
      <c r="Y11" s="226"/>
      <c r="Z11" s="138"/>
    </row>
    <row r="12" spans="1:26" ht="15.9" customHeight="1" x14ac:dyDescent="0.25">
      <c r="A12" s="104"/>
      <c r="B12" s="199" t="s">
        <v>18</v>
      </c>
      <c r="C12" s="199"/>
      <c r="D12" s="199"/>
      <c r="E12" s="199"/>
      <c r="F12" s="199"/>
      <c r="G12" s="199"/>
      <c r="H12" s="242" t="s">
        <v>19</v>
      </c>
      <c r="I12" s="242"/>
      <c r="J12" s="242"/>
      <c r="K12" s="242"/>
      <c r="L12" s="242"/>
      <c r="M12" s="242"/>
      <c r="N12" s="199" t="s">
        <v>20</v>
      </c>
      <c r="O12" s="199"/>
      <c r="P12" s="199"/>
      <c r="Q12" s="199"/>
      <c r="R12" s="199"/>
      <c r="S12" s="226" t="s">
        <v>21</v>
      </c>
      <c r="T12" s="226"/>
      <c r="U12" s="226"/>
      <c r="V12" s="226"/>
      <c r="W12" s="226"/>
      <c r="X12" s="226"/>
      <c r="Y12" s="226"/>
      <c r="Z12" s="138"/>
    </row>
    <row r="13" spans="1:26" ht="8.25" customHeight="1" x14ac:dyDescent="0.25">
      <c r="A13" s="137"/>
      <c r="B13" s="100"/>
      <c r="C13" s="100"/>
      <c r="D13" s="136"/>
      <c r="E13" s="136"/>
      <c r="F13" s="136"/>
      <c r="G13" s="136"/>
      <c r="H13" s="100"/>
      <c r="I13" s="100"/>
      <c r="J13" s="100"/>
      <c r="K13" s="100"/>
      <c r="L13" s="100"/>
      <c r="M13" s="100"/>
      <c r="N13" s="135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99"/>
    </row>
    <row r="14" spans="1:26" s="80" customFormat="1" ht="15" customHeight="1" x14ac:dyDescent="0.25">
      <c r="B14" s="133"/>
      <c r="C14" s="133"/>
      <c r="K14" s="134"/>
      <c r="L14" s="133"/>
      <c r="M14" s="132"/>
    </row>
    <row r="15" spans="1:26" s="80" customFormat="1" ht="15.6" customHeight="1" x14ac:dyDescent="0.25">
      <c r="A15" s="119" t="s">
        <v>22</v>
      </c>
      <c r="B15" s="131" t="s">
        <v>23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29"/>
    </row>
    <row r="16" spans="1:26" s="80" customFormat="1" ht="15" customHeight="1" x14ac:dyDescent="0.25">
      <c r="A16" s="126"/>
      <c r="B16" s="128"/>
      <c r="Z16" s="127"/>
    </row>
    <row r="17" spans="1:26" s="80" customFormat="1" ht="15" customHeight="1" x14ac:dyDescent="0.25">
      <c r="A17" s="126"/>
      <c r="B17" s="198" t="s">
        <v>24</v>
      </c>
      <c r="C17" s="198"/>
      <c r="D17" s="198"/>
      <c r="E17" s="198"/>
      <c r="F17" s="198"/>
      <c r="G17" s="198"/>
      <c r="H17" s="198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124"/>
    </row>
    <row r="18" spans="1:26" s="80" customFormat="1" ht="15" customHeight="1" x14ac:dyDescent="0.25">
      <c r="A18" s="126"/>
      <c r="B18" s="198" t="s">
        <v>25</v>
      </c>
      <c r="C18" s="198"/>
      <c r="D18" s="198"/>
      <c r="E18" s="198"/>
      <c r="F18" s="198"/>
      <c r="G18" s="198"/>
      <c r="H18" s="198"/>
      <c r="I18" s="295" t="s">
        <v>26</v>
      </c>
      <c r="J18" s="295"/>
      <c r="K18" s="125">
        <v>50</v>
      </c>
      <c r="L18" s="125" t="s">
        <v>27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4"/>
    </row>
    <row r="19" spans="1:26" s="80" customFormat="1" ht="13.2" customHeight="1" x14ac:dyDescent="0.25">
      <c r="A19" s="12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1"/>
    </row>
    <row r="20" spans="1:26" ht="12.75" customHeight="1" x14ac:dyDescent="0.25">
      <c r="D20" s="79"/>
      <c r="E20" s="79"/>
      <c r="F20" s="79"/>
      <c r="G20" s="79"/>
      <c r="N20" s="120"/>
    </row>
    <row r="21" spans="1:26" ht="15.9" customHeight="1" x14ac:dyDescent="0.25">
      <c r="A21" s="119" t="s">
        <v>28</v>
      </c>
      <c r="B21" s="118" t="s">
        <v>29</v>
      </c>
      <c r="C21" s="116"/>
      <c r="D21" s="117"/>
      <c r="E21" s="117"/>
      <c r="F21" s="117"/>
      <c r="G21" s="117"/>
      <c r="H21" s="116"/>
      <c r="I21" s="116"/>
      <c r="J21" s="304" t="s">
        <v>30</v>
      </c>
      <c r="K21" s="304"/>
      <c r="L21" s="304"/>
      <c r="M21" s="304"/>
      <c r="N21" s="304"/>
      <c r="O21" s="304"/>
      <c r="P21" s="304"/>
      <c r="Q21" s="113">
        <v>600</v>
      </c>
      <c r="R21" s="92"/>
      <c r="S21" s="92"/>
      <c r="T21" s="92"/>
      <c r="U21" s="92"/>
      <c r="V21" s="92"/>
      <c r="W21" s="92"/>
      <c r="X21" s="92"/>
      <c r="Y21" s="92"/>
      <c r="Z21" s="115"/>
    </row>
    <row r="22" spans="1:26" ht="12.75" customHeight="1" x14ac:dyDescent="0.25">
      <c r="A22" s="104"/>
      <c r="B22" s="114"/>
      <c r="Z22" s="103"/>
    </row>
    <row r="23" spans="1:26" ht="15.75" customHeight="1" x14ac:dyDescent="0.25">
      <c r="A23" s="104"/>
      <c r="B23" s="302" t="s">
        <v>31</v>
      </c>
      <c r="C23" s="227" t="s">
        <v>32</v>
      </c>
      <c r="D23" s="227"/>
      <c r="E23" s="227"/>
      <c r="F23" s="227"/>
      <c r="G23" s="228"/>
      <c r="H23" s="299" t="s">
        <v>34</v>
      </c>
      <c r="I23" s="300"/>
      <c r="J23" s="301"/>
      <c r="K23" s="227" t="s">
        <v>36</v>
      </c>
      <c r="L23" s="227"/>
      <c r="M23" s="227"/>
      <c r="N23" s="227"/>
      <c r="O23" s="227"/>
      <c r="P23" s="228"/>
      <c r="Z23" s="103"/>
    </row>
    <row r="24" spans="1:26" ht="15.75" customHeight="1" x14ac:dyDescent="0.25">
      <c r="A24" s="104"/>
      <c r="B24" s="303"/>
      <c r="C24" s="229"/>
      <c r="D24" s="229"/>
      <c r="E24" s="229"/>
      <c r="F24" s="229"/>
      <c r="G24" s="230"/>
      <c r="H24" s="296" t="s">
        <v>37</v>
      </c>
      <c r="I24" s="297"/>
      <c r="J24" s="298"/>
      <c r="K24" s="229"/>
      <c r="L24" s="229"/>
      <c r="M24" s="229"/>
      <c r="N24" s="229"/>
      <c r="O24" s="229"/>
      <c r="P24" s="230"/>
      <c r="Z24" s="103"/>
    </row>
    <row r="25" spans="1:26" ht="19.5" customHeight="1" x14ac:dyDescent="0.25">
      <c r="A25" s="104"/>
      <c r="B25" s="112">
        <v>1</v>
      </c>
      <c r="C25" s="212"/>
      <c r="D25" s="213"/>
      <c r="E25" s="213"/>
      <c r="F25" s="213"/>
      <c r="G25" s="214"/>
      <c r="H25" s="253">
        <v>147</v>
      </c>
      <c r="I25" s="254"/>
      <c r="J25" s="255"/>
      <c r="K25" s="212"/>
      <c r="L25" s="213"/>
      <c r="M25" s="213"/>
      <c r="N25" s="213"/>
      <c r="O25" s="213"/>
      <c r="P25" s="214"/>
      <c r="Z25" s="103"/>
    </row>
    <row r="26" spans="1:26" ht="19.5" customHeight="1" x14ac:dyDescent="0.25">
      <c r="A26" s="104"/>
      <c r="B26" s="112">
        <v>2</v>
      </c>
      <c r="C26" s="212"/>
      <c r="D26" s="213"/>
      <c r="E26" s="213"/>
      <c r="F26" s="213"/>
      <c r="G26" s="214"/>
      <c r="H26" s="253">
        <v>115</v>
      </c>
      <c r="I26" s="254"/>
      <c r="J26" s="255"/>
      <c r="K26" s="212"/>
      <c r="L26" s="213"/>
      <c r="M26" s="213"/>
      <c r="N26" s="213"/>
      <c r="O26" s="213"/>
      <c r="P26" s="214"/>
      <c r="Z26" s="103"/>
    </row>
    <row r="27" spans="1:26" ht="19.5" customHeight="1" x14ac:dyDescent="0.25">
      <c r="A27" s="104"/>
      <c r="B27" s="112">
        <v>3</v>
      </c>
      <c r="C27" s="212"/>
      <c r="D27" s="213"/>
      <c r="E27" s="213"/>
      <c r="F27" s="213"/>
      <c r="G27" s="214"/>
      <c r="H27" s="253">
        <v>75</v>
      </c>
      <c r="I27" s="254"/>
      <c r="J27" s="255"/>
      <c r="K27" s="212"/>
      <c r="L27" s="213"/>
      <c r="M27" s="213"/>
      <c r="N27" s="213"/>
      <c r="O27" s="213"/>
      <c r="P27" s="214"/>
      <c r="Z27" s="103"/>
    </row>
    <row r="28" spans="1:26" ht="19.5" customHeight="1" x14ac:dyDescent="0.25">
      <c r="A28" s="104"/>
      <c r="B28" s="112">
        <v>4</v>
      </c>
      <c r="C28" s="212"/>
      <c r="D28" s="213"/>
      <c r="E28" s="213"/>
      <c r="F28" s="213"/>
      <c r="G28" s="214"/>
      <c r="H28" s="253">
        <v>92</v>
      </c>
      <c r="I28" s="254"/>
      <c r="J28" s="255"/>
      <c r="K28" s="212"/>
      <c r="L28" s="213"/>
      <c r="M28" s="213"/>
      <c r="N28" s="213"/>
      <c r="O28" s="213"/>
      <c r="P28" s="214"/>
      <c r="Z28" s="103"/>
    </row>
    <row r="29" spans="1:26" ht="19.5" customHeight="1" x14ac:dyDescent="0.25">
      <c r="A29" s="104"/>
      <c r="B29" s="112">
        <v>5</v>
      </c>
      <c r="C29" s="212"/>
      <c r="D29" s="213"/>
      <c r="E29" s="213"/>
      <c r="F29" s="213"/>
      <c r="G29" s="214"/>
      <c r="H29" s="253">
        <v>99</v>
      </c>
      <c r="I29" s="254"/>
      <c r="J29" s="255"/>
      <c r="K29" s="212"/>
      <c r="L29" s="213"/>
      <c r="M29" s="213"/>
      <c r="N29" s="213"/>
      <c r="O29" s="213"/>
      <c r="P29" s="214"/>
      <c r="Z29" s="103"/>
    </row>
    <row r="30" spans="1:26" ht="19.5" customHeight="1" x14ac:dyDescent="0.25">
      <c r="A30" s="104"/>
      <c r="B30" s="112">
        <v>6</v>
      </c>
      <c r="C30" s="212"/>
      <c r="D30" s="213"/>
      <c r="E30" s="213"/>
      <c r="F30" s="213"/>
      <c r="G30" s="214"/>
      <c r="H30" s="253">
        <v>109</v>
      </c>
      <c r="I30" s="254"/>
      <c r="J30" s="255"/>
      <c r="K30" s="212"/>
      <c r="L30" s="213"/>
      <c r="M30" s="213"/>
      <c r="N30" s="213"/>
      <c r="O30" s="213"/>
      <c r="P30" s="214"/>
      <c r="Z30" s="103"/>
    </row>
    <row r="31" spans="1:26" ht="19.5" customHeight="1" x14ac:dyDescent="0.25">
      <c r="A31" s="104"/>
      <c r="B31" s="112">
        <v>7</v>
      </c>
      <c r="C31" s="212"/>
      <c r="D31" s="213"/>
      <c r="E31" s="213"/>
      <c r="F31" s="213"/>
      <c r="G31" s="214"/>
      <c r="H31" s="253">
        <v>109</v>
      </c>
      <c r="I31" s="254"/>
      <c r="J31" s="255"/>
      <c r="K31" s="212"/>
      <c r="L31" s="213"/>
      <c r="M31" s="213"/>
      <c r="N31" s="213"/>
      <c r="O31" s="213"/>
      <c r="P31" s="214"/>
      <c r="Z31" s="103"/>
    </row>
    <row r="32" spans="1:26" ht="19.5" customHeight="1" x14ac:dyDescent="0.25">
      <c r="A32" s="104"/>
      <c r="B32" s="112">
        <v>8</v>
      </c>
      <c r="C32" s="212"/>
      <c r="D32" s="213"/>
      <c r="E32" s="213"/>
      <c r="F32" s="213"/>
      <c r="G32" s="214"/>
      <c r="H32" s="253">
        <v>93</v>
      </c>
      <c r="I32" s="254"/>
      <c r="J32" s="255"/>
      <c r="K32" s="212"/>
      <c r="L32" s="213"/>
      <c r="M32" s="213"/>
      <c r="N32" s="213"/>
      <c r="O32" s="213"/>
      <c r="P32" s="214"/>
      <c r="Z32" s="103"/>
    </row>
    <row r="33" spans="1:26" ht="19.5" customHeight="1" x14ac:dyDescent="0.25">
      <c r="A33" s="104"/>
      <c r="B33" s="112">
        <v>9</v>
      </c>
      <c r="C33" s="212"/>
      <c r="D33" s="213"/>
      <c r="E33" s="213"/>
      <c r="F33" s="213"/>
      <c r="G33" s="214"/>
      <c r="H33" s="253">
        <v>92</v>
      </c>
      <c r="I33" s="254"/>
      <c r="J33" s="255"/>
      <c r="K33" s="212"/>
      <c r="L33" s="213"/>
      <c r="M33" s="213"/>
      <c r="N33" s="213"/>
      <c r="O33" s="213"/>
      <c r="P33" s="214"/>
      <c r="Z33" s="103"/>
    </row>
    <row r="34" spans="1:26" ht="19.5" customHeight="1" x14ac:dyDescent="0.25">
      <c r="A34" s="104"/>
      <c r="B34" s="112">
        <v>10</v>
      </c>
      <c r="C34" s="212"/>
      <c r="D34" s="213"/>
      <c r="E34" s="213"/>
      <c r="F34" s="213"/>
      <c r="G34" s="214"/>
      <c r="H34" s="253">
        <v>113</v>
      </c>
      <c r="I34" s="254"/>
      <c r="J34" s="255"/>
      <c r="K34" s="212"/>
      <c r="L34" s="213"/>
      <c r="M34" s="213"/>
      <c r="N34" s="213"/>
      <c r="O34" s="213"/>
      <c r="P34" s="214"/>
      <c r="Z34" s="103"/>
    </row>
    <row r="35" spans="1:26" ht="19.5" customHeight="1" x14ac:dyDescent="0.25">
      <c r="A35" s="104"/>
      <c r="B35" s="112">
        <v>11</v>
      </c>
      <c r="C35" s="212"/>
      <c r="D35" s="213"/>
      <c r="E35" s="213"/>
      <c r="F35" s="213"/>
      <c r="G35" s="214"/>
      <c r="H35" s="253">
        <v>111</v>
      </c>
      <c r="I35" s="254"/>
      <c r="J35" s="255"/>
      <c r="K35" s="212"/>
      <c r="L35" s="213"/>
      <c r="M35" s="213"/>
      <c r="N35" s="213"/>
      <c r="O35" s="213"/>
      <c r="P35" s="214"/>
      <c r="Z35" s="103"/>
    </row>
    <row r="36" spans="1:26" ht="19.5" customHeight="1" x14ac:dyDescent="0.25">
      <c r="A36" s="104"/>
      <c r="B36" s="112">
        <v>12</v>
      </c>
      <c r="C36" s="212"/>
      <c r="D36" s="213"/>
      <c r="E36" s="213"/>
      <c r="F36" s="213"/>
      <c r="G36" s="214"/>
      <c r="H36" s="253">
        <v>81</v>
      </c>
      <c r="I36" s="254"/>
      <c r="J36" s="255"/>
      <c r="K36" s="212"/>
      <c r="L36" s="213"/>
      <c r="M36" s="213"/>
      <c r="N36" s="213"/>
      <c r="O36" s="213"/>
      <c r="P36" s="214"/>
      <c r="Z36" s="103"/>
    </row>
    <row r="37" spans="1:26" ht="19.5" customHeight="1" x14ac:dyDescent="0.25">
      <c r="A37" s="104"/>
      <c r="B37" s="112">
        <v>13</v>
      </c>
      <c r="C37" s="212"/>
      <c r="D37" s="213"/>
      <c r="E37" s="213"/>
      <c r="F37" s="213"/>
      <c r="G37" s="214"/>
      <c r="H37" s="253">
        <v>98</v>
      </c>
      <c r="I37" s="254"/>
      <c r="J37" s="255"/>
      <c r="K37" s="212"/>
      <c r="L37" s="213"/>
      <c r="M37" s="213"/>
      <c r="N37" s="213"/>
      <c r="O37" s="213"/>
      <c r="P37" s="214"/>
      <c r="Z37" s="103"/>
    </row>
    <row r="38" spans="1:26" ht="19.5" customHeight="1" x14ac:dyDescent="0.25">
      <c r="A38" s="104"/>
      <c r="B38" s="112">
        <v>14</v>
      </c>
      <c r="C38" s="212"/>
      <c r="D38" s="213"/>
      <c r="E38" s="213"/>
      <c r="F38" s="213"/>
      <c r="G38" s="214"/>
      <c r="H38" s="253">
        <v>85</v>
      </c>
      <c r="I38" s="254"/>
      <c r="J38" s="255"/>
      <c r="K38" s="212"/>
      <c r="L38" s="213"/>
      <c r="M38" s="213"/>
      <c r="N38" s="213"/>
      <c r="O38" s="213"/>
      <c r="P38" s="214"/>
      <c r="Z38" s="103"/>
    </row>
    <row r="39" spans="1:26" ht="19.5" customHeight="1" x14ac:dyDescent="0.25">
      <c r="A39" s="104"/>
      <c r="B39" s="112"/>
      <c r="C39" s="108"/>
      <c r="D39" s="107"/>
      <c r="E39" s="107"/>
      <c r="F39" s="107"/>
      <c r="G39" s="106"/>
      <c r="H39" s="111"/>
      <c r="I39" s="110"/>
      <c r="J39" s="109"/>
      <c r="K39" s="108"/>
      <c r="L39" s="107"/>
      <c r="M39" s="107"/>
      <c r="N39" s="107"/>
      <c r="O39" s="107"/>
      <c r="P39" s="106"/>
      <c r="Z39" s="103"/>
    </row>
    <row r="40" spans="1:26" ht="19.5" customHeight="1" x14ac:dyDescent="0.25">
      <c r="A40" s="104"/>
      <c r="B40" s="112"/>
      <c r="C40" s="108"/>
      <c r="D40" s="107"/>
      <c r="E40" s="107"/>
      <c r="F40" s="107"/>
      <c r="G40" s="106"/>
      <c r="H40" s="111"/>
      <c r="I40" s="110"/>
      <c r="J40" s="109"/>
      <c r="K40" s="108"/>
      <c r="L40" s="107"/>
      <c r="M40" s="107"/>
      <c r="N40" s="107"/>
      <c r="O40" s="107"/>
      <c r="P40" s="106"/>
      <c r="Z40" s="103"/>
    </row>
    <row r="41" spans="1:26" ht="19.5" customHeight="1" x14ac:dyDescent="0.25">
      <c r="A41" s="104"/>
      <c r="B41" s="112"/>
      <c r="C41" s="108"/>
      <c r="D41" s="107"/>
      <c r="E41" s="107"/>
      <c r="F41" s="107"/>
      <c r="G41" s="106"/>
      <c r="H41" s="111"/>
      <c r="I41" s="110"/>
      <c r="J41" s="109"/>
      <c r="K41" s="108"/>
      <c r="L41" s="107"/>
      <c r="M41" s="107"/>
      <c r="N41" s="107"/>
      <c r="O41" s="107"/>
      <c r="P41" s="106"/>
      <c r="Z41" s="103"/>
    </row>
    <row r="42" spans="1:26" ht="19.5" customHeight="1" x14ac:dyDescent="0.25">
      <c r="A42" s="104"/>
      <c r="B42" s="112"/>
      <c r="C42" s="108"/>
      <c r="D42" s="107"/>
      <c r="E42" s="107"/>
      <c r="F42" s="107"/>
      <c r="G42" s="106"/>
      <c r="H42" s="111"/>
      <c r="I42" s="110"/>
      <c r="J42" s="109"/>
      <c r="K42" s="108"/>
      <c r="L42" s="107"/>
      <c r="M42" s="107"/>
      <c r="N42" s="107"/>
      <c r="O42" s="107"/>
      <c r="P42" s="106"/>
      <c r="Z42" s="103"/>
    </row>
    <row r="43" spans="1:26" ht="19.5" customHeight="1" x14ac:dyDescent="0.25">
      <c r="A43" s="104"/>
      <c r="B43" s="112"/>
      <c r="C43" s="108"/>
      <c r="D43" s="107"/>
      <c r="E43" s="107"/>
      <c r="F43" s="107"/>
      <c r="G43" s="106"/>
      <c r="H43" s="111"/>
      <c r="I43" s="110"/>
      <c r="J43" s="109"/>
      <c r="K43" s="108"/>
      <c r="L43" s="107"/>
      <c r="M43" s="107"/>
      <c r="N43" s="107"/>
      <c r="O43" s="107"/>
      <c r="P43" s="106"/>
      <c r="Z43" s="103"/>
    </row>
    <row r="44" spans="1:26" ht="19.5" customHeight="1" x14ac:dyDescent="0.25">
      <c r="A44" s="104"/>
      <c r="B44" s="112"/>
      <c r="C44" s="108"/>
      <c r="D44" s="107"/>
      <c r="E44" s="107"/>
      <c r="F44" s="107"/>
      <c r="G44" s="106"/>
      <c r="H44" s="111"/>
      <c r="I44" s="110"/>
      <c r="J44" s="109"/>
      <c r="K44" s="108"/>
      <c r="L44" s="107"/>
      <c r="M44" s="107"/>
      <c r="N44" s="107"/>
      <c r="O44" s="107"/>
      <c r="P44" s="106"/>
      <c r="Z44" s="103"/>
    </row>
    <row r="45" spans="1:26" ht="19.5" customHeight="1" x14ac:dyDescent="0.25">
      <c r="A45" s="104"/>
      <c r="B45" s="112"/>
      <c r="C45" s="108"/>
      <c r="D45" s="107"/>
      <c r="E45" s="107"/>
      <c r="F45" s="107"/>
      <c r="G45" s="106"/>
      <c r="H45" s="111"/>
      <c r="I45" s="110"/>
      <c r="J45" s="109"/>
      <c r="K45" s="108"/>
      <c r="L45" s="107"/>
      <c r="M45" s="107"/>
      <c r="N45" s="107"/>
      <c r="O45" s="107"/>
      <c r="P45" s="106"/>
      <c r="Z45" s="103"/>
    </row>
    <row r="46" spans="1:26" ht="19.5" customHeight="1" x14ac:dyDescent="0.25">
      <c r="A46" s="104"/>
      <c r="B46" s="112"/>
      <c r="C46" s="108"/>
      <c r="D46" s="107"/>
      <c r="E46" s="107"/>
      <c r="F46" s="107"/>
      <c r="G46" s="106"/>
      <c r="H46" s="111"/>
      <c r="I46" s="110"/>
      <c r="J46" s="109"/>
      <c r="K46" s="108"/>
      <c r="L46" s="107"/>
      <c r="M46" s="107"/>
      <c r="N46" s="107"/>
      <c r="O46" s="107"/>
      <c r="P46" s="106"/>
      <c r="Z46" s="103"/>
    </row>
    <row r="47" spans="1:26" ht="19.5" customHeight="1" x14ac:dyDescent="0.25">
      <c r="A47" s="104"/>
      <c r="B47" s="112"/>
      <c r="C47" s="108"/>
      <c r="D47" s="107"/>
      <c r="E47" s="107"/>
      <c r="F47" s="107"/>
      <c r="G47" s="106"/>
      <c r="H47" s="111"/>
      <c r="I47" s="110"/>
      <c r="J47" s="109"/>
      <c r="K47" s="108"/>
      <c r="L47" s="107"/>
      <c r="M47" s="107"/>
      <c r="N47" s="107"/>
      <c r="O47" s="107"/>
      <c r="P47" s="106"/>
      <c r="Z47" s="103"/>
    </row>
    <row r="48" spans="1:26" ht="19.5" customHeight="1" x14ac:dyDescent="0.25">
      <c r="A48" s="104"/>
      <c r="B48" s="112"/>
      <c r="C48" s="108"/>
      <c r="D48" s="107"/>
      <c r="E48" s="107"/>
      <c r="F48" s="107"/>
      <c r="G48" s="106"/>
      <c r="H48" s="111"/>
      <c r="I48" s="110"/>
      <c r="J48" s="109"/>
      <c r="K48" s="108"/>
      <c r="L48" s="107"/>
      <c r="M48" s="107"/>
      <c r="N48" s="107"/>
      <c r="O48" s="107"/>
      <c r="P48" s="106"/>
      <c r="Z48" s="103"/>
    </row>
    <row r="49" spans="1:26" ht="19.5" customHeight="1" x14ac:dyDescent="0.25">
      <c r="A49" s="104"/>
      <c r="B49" s="112"/>
      <c r="C49" s="108"/>
      <c r="D49" s="107"/>
      <c r="E49" s="107"/>
      <c r="F49" s="107"/>
      <c r="G49" s="106"/>
      <c r="H49" s="111"/>
      <c r="I49" s="110"/>
      <c r="J49" s="109"/>
      <c r="K49" s="108"/>
      <c r="L49" s="107"/>
      <c r="M49" s="107"/>
      <c r="N49" s="107"/>
      <c r="O49" s="107"/>
      <c r="P49" s="106"/>
      <c r="Z49" s="103"/>
    </row>
    <row r="50" spans="1:26" ht="19.5" customHeight="1" x14ac:dyDescent="0.25">
      <c r="A50" s="104"/>
      <c r="B50" s="112"/>
      <c r="C50" s="108"/>
      <c r="D50" s="107"/>
      <c r="E50" s="107"/>
      <c r="F50" s="107"/>
      <c r="G50" s="106"/>
      <c r="H50" s="111"/>
      <c r="I50" s="110"/>
      <c r="J50" s="109"/>
      <c r="K50" s="108"/>
      <c r="L50" s="107"/>
      <c r="M50" s="107"/>
      <c r="N50" s="107"/>
      <c r="O50" s="107"/>
      <c r="P50" s="106"/>
      <c r="Z50" s="103"/>
    </row>
    <row r="51" spans="1:26" ht="19.5" customHeight="1" x14ac:dyDescent="0.25">
      <c r="A51" s="104"/>
      <c r="B51" s="112"/>
      <c r="C51" s="108"/>
      <c r="D51" s="107"/>
      <c r="E51" s="107"/>
      <c r="F51" s="107"/>
      <c r="G51" s="106"/>
      <c r="H51" s="111"/>
      <c r="I51" s="110"/>
      <c r="J51" s="109"/>
      <c r="K51" s="108"/>
      <c r="L51" s="107"/>
      <c r="M51" s="107"/>
      <c r="N51" s="107"/>
      <c r="O51" s="107"/>
      <c r="P51" s="106"/>
      <c r="Z51" s="103"/>
    </row>
    <row r="52" spans="1:26" ht="19.5" customHeight="1" x14ac:dyDescent="0.25">
      <c r="A52" s="104"/>
      <c r="B52" s="112"/>
      <c r="C52" s="108"/>
      <c r="D52" s="107"/>
      <c r="E52" s="107"/>
      <c r="F52" s="107"/>
      <c r="G52" s="106"/>
      <c r="H52" s="111"/>
      <c r="I52" s="110"/>
      <c r="J52" s="109"/>
      <c r="K52" s="108"/>
      <c r="L52" s="107"/>
      <c r="M52" s="107"/>
      <c r="N52" s="107"/>
      <c r="O52" s="107"/>
      <c r="P52" s="106"/>
      <c r="Z52" s="103"/>
    </row>
    <row r="53" spans="1:26" ht="19.5" customHeight="1" x14ac:dyDescent="0.25">
      <c r="A53" s="104"/>
      <c r="B53" s="112"/>
      <c r="C53" s="108"/>
      <c r="D53" s="107"/>
      <c r="E53" s="107"/>
      <c r="F53" s="107"/>
      <c r="G53" s="106"/>
      <c r="H53" s="111"/>
      <c r="I53" s="110"/>
      <c r="J53" s="109"/>
      <c r="K53" s="108"/>
      <c r="L53" s="107"/>
      <c r="M53" s="107"/>
      <c r="N53" s="107"/>
      <c r="O53" s="107"/>
      <c r="P53" s="106"/>
      <c r="Z53" s="103"/>
    </row>
    <row r="54" spans="1:26" ht="19.5" customHeight="1" thickBot="1" x14ac:dyDescent="0.3">
      <c r="A54" s="104"/>
      <c r="B54" s="112"/>
      <c r="C54" s="108"/>
      <c r="D54" s="107"/>
      <c r="E54" s="107"/>
      <c r="F54" s="107"/>
      <c r="G54" s="106"/>
      <c r="H54" s="111"/>
      <c r="I54" s="110"/>
      <c r="J54" s="109"/>
      <c r="K54" s="108"/>
      <c r="L54" s="107"/>
      <c r="M54" s="107"/>
      <c r="N54" s="107"/>
      <c r="O54" s="107"/>
      <c r="P54" s="106"/>
      <c r="Z54" s="103"/>
    </row>
    <row r="55" spans="1:26" ht="15.75" customHeight="1" x14ac:dyDescent="0.25">
      <c r="A55" s="104"/>
      <c r="B55" s="286" t="s">
        <v>38</v>
      </c>
      <c r="C55" s="287"/>
      <c r="D55" s="287"/>
      <c r="E55" s="287"/>
      <c r="F55" s="287"/>
      <c r="G55" s="288"/>
      <c r="H55" s="292">
        <f>AVERAGE(H25:J54)</f>
        <v>101.35714285714286</v>
      </c>
      <c r="I55" s="293"/>
      <c r="J55" s="294"/>
      <c r="K55" s="220" t="s">
        <v>51</v>
      </c>
      <c r="L55" s="221"/>
      <c r="M55" s="215" t="s">
        <v>39</v>
      </c>
      <c r="N55" s="215"/>
      <c r="O55" s="215"/>
      <c r="P55" s="216"/>
      <c r="Z55" s="103"/>
    </row>
    <row r="56" spans="1:26" ht="15.75" customHeight="1" x14ac:dyDescent="0.25">
      <c r="A56" s="104"/>
      <c r="B56" s="280" t="s">
        <v>40</v>
      </c>
      <c r="C56" s="281"/>
      <c r="D56" s="281"/>
      <c r="E56" s="281"/>
      <c r="F56" s="281"/>
      <c r="G56" s="282"/>
      <c r="H56" s="195">
        <f>IF(COUNTIF(H25:J54,"*&lt;20*"),"&lt;20",MIN(H25:J54))</f>
        <v>75</v>
      </c>
      <c r="I56" s="196"/>
      <c r="J56" s="197"/>
      <c r="K56" s="222"/>
      <c r="L56" s="223"/>
      <c r="M56" s="188"/>
      <c r="N56" s="188"/>
      <c r="O56" s="188"/>
      <c r="P56" s="217"/>
      <c r="Z56" s="103"/>
    </row>
    <row r="57" spans="1:26" ht="15.75" customHeight="1" thickBot="1" x14ac:dyDescent="0.3">
      <c r="A57" s="104"/>
      <c r="B57" s="283" t="s">
        <v>41</v>
      </c>
      <c r="C57" s="284"/>
      <c r="D57" s="284"/>
      <c r="E57" s="284"/>
      <c r="F57" s="284"/>
      <c r="G57" s="285"/>
      <c r="H57" s="289">
        <f>IF(COUNTIF(H25:J54,"*&gt;250*"),"&gt;250",MAX(H25:J54))</f>
        <v>147</v>
      </c>
      <c r="I57" s="290"/>
      <c r="J57" s="291"/>
      <c r="K57" s="224"/>
      <c r="L57" s="225"/>
      <c r="M57" s="218"/>
      <c r="N57" s="218"/>
      <c r="O57" s="218"/>
      <c r="P57" s="219"/>
      <c r="Z57" s="103"/>
    </row>
    <row r="58" spans="1:26" ht="15.9" customHeight="1" x14ac:dyDescent="0.25">
      <c r="A58" s="102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99"/>
    </row>
    <row r="59" spans="1:26" ht="12.75" customHeight="1" x14ac:dyDescent="0.25">
      <c r="A59" s="98"/>
      <c r="B59" s="97"/>
    </row>
    <row r="60" spans="1:26" s="80" customFormat="1" ht="15.6" customHeight="1" x14ac:dyDescent="0.25">
      <c r="A60" s="96" t="s">
        <v>42</v>
      </c>
      <c r="B60" s="95" t="s">
        <v>43</v>
      </c>
      <c r="C60" s="94"/>
      <c r="D60" s="94"/>
      <c r="E60" s="94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1"/>
      <c r="V60" s="90"/>
      <c r="W60" s="90"/>
      <c r="X60" s="89"/>
      <c r="Y60" s="89"/>
      <c r="Z60" s="88"/>
    </row>
    <row r="61" spans="1:26" s="80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80" t="s">
        <v>45</v>
      </c>
      <c r="S61" s="181"/>
      <c r="T61" s="182"/>
      <c r="U61" s="321" t="s">
        <v>12</v>
      </c>
      <c r="V61" s="322"/>
      <c r="W61" s="322"/>
      <c r="X61" s="323"/>
      <c r="Y61" s="323"/>
      <c r="Z61" s="324"/>
    </row>
    <row r="62" spans="1:26" s="80" customFormat="1" ht="15.6" customHeight="1" x14ac:dyDescent="0.25">
      <c r="A62" s="174" t="s">
        <v>46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6"/>
      <c r="R62" s="180" t="s">
        <v>47</v>
      </c>
      <c r="S62" s="181"/>
      <c r="T62" s="182"/>
      <c r="U62" s="334" t="s">
        <v>59</v>
      </c>
      <c r="V62" s="335"/>
      <c r="W62" s="335"/>
      <c r="X62" s="336"/>
      <c r="Y62" s="336"/>
      <c r="Z62" s="337"/>
    </row>
    <row r="63" spans="1:26" s="80" customFormat="1" ht="15.6" customHeight="1" x14ac:dyDescent="0.25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9"/>
      <c r="R63" s="180"/>
      <c r="S63" s="181"/>
      <c r="T63" s="182"/>
      <c r="U63" s="338"/>
      <c r="V63" s="339"/>
      <c r="W63" s="339"/>
      <c r="X63" s="340"/>
      <c r="Y63" s="340"/>
      <c r="Z63" s="341"/>
    </row>
    <row r="64" spans="1:26" s="80" customFormat="1" ht="15.6" customHeight="1" x14ac:dyDescent="0.25">
      <c r="A64" s="87" t="s">
        <v>48</v>
      </c>
      <c r="B64" s="86" t="s">
        <v>49</v>
      </c>
      <c r="C64" s="78"/>
      <c r="D64" s="78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4"/>
      <c r="R64" s="180"/>
      <c r="S64" s="181"/>
      <c r="T64" s="182"/>
      <c r="U64" s="342"/>
      <c r="V64" s="343"/>
      <c r="W64" s="343"/>
      <c r="X64" s="344"/>
      <c r="Y64" s="344"/>
      <c r="Z64" s="345"/>
    </row>
    <row r="65" spans="1:26" s="80" customFormat="1" ht="15.6" customHeight="1" x14ac:dyDescent="0.25">
      <c r="A65" s="271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3"/>
      <c r="R65" s="180" t="s">
        <v>50</v>
      </c>
      <c r="S65" s="181"/>
      <c r="T65" s="182"/>
      <c r="U65" s="59"/>
      <c r="V65" s="60"/>
      <c r="W65" s="60"/>
      <c r="X65" s="60"/>
      <c r="Y65" s="60"/>
      <c r="Z65" s="61"/>
    </row>
    <row r="66" spans="1:26" s="80" customFormat="1" ht="15.6" customHeight="1" x14ac:dyDescent="0.25">
      <c r="A66" s="271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3"/>
      <c r="R66" s="180"/>
      <c r="S66" s="181"/>
      <c r="T66" s="182"/>
      <c r="U66" s="62"/>
      <c r="V66" s="339"/>
      <c r="W66" s="339"/>
      <c r="X66" s="339"/>
      <c r="Y66" s="339"/>
      <c r="Z66" s="63"/>
    </row>
    <row r="67" spans="1:26" s="80" customFormat="1" ht="15.6" customHeight="1" x14ac:dyDescent="0.25">
      <c r="A67" s="271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3"/>
      <c r="R67" s="180"/>
      <c r="S67" s="181"/>
      <c r="T67" s="182"/>
      <c r="U67" s="62"/>
      <c r="V67" s="339"/>
      <c r="W67" s="339"/>
      <c r="X67" s="339"/>
      <c r="Y67" s="339"/>
      <c r="Z67" s="63"/>
    </row>
    <row r="68" spans="1:26" s="80" customFormat="1" ht="15.6" customHeight="1" x14ac:dyDescent="0.25">
      <c r="A68" s="274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6"/>
      <c r="R68" s="277"/>
      <c r="S68" s="278"/>
      <c r="T68" s="279"/>
      <c r="U68" s="64"/>
      <c r="V68" s="65"/>
      <c r="W68" s="65"/>
      <c r="X68" s="65"/>
      <c r="Y68" s="65"/>
      <c r="Z68" s="66"/>
    </row>
    <row r="69" spans="1:26" s="80" customFormat="1" ht="15" customHeight="1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82"/>
      <c r="T69" s="82"/>
      <c r="U69" s="81"/>
      <c r="V69" s="81"/>
      <c r="W69" s="81"/>
      <c r="X69" s="81"/>
      <c r="Y69" s="81"/>
      <c r="Z69" s="81"/>
    </row>
    <row r="71" spans="1:26" ht="12.75" customHeight="1" x14ac:dyDescent="0.25">
      <c r="A71" s="78"/>
    </row>
    <row r="72" spans="1:26" ht="12.75" customHeight="1" x14ac:dyDescent="0.25">
      <c r="A72" s="78"/>
    </row>
    <row r="73" spans="1:26" ht="12.75" customHeight="1" x14ac:dyDescent="0.25">
      <c r="A73" s="78"/>
    </row>
    <row r="74" spans="1:26" ht="12.75" customHeight="1" x14ac:dyDescent="0.25">
      <c r="A74" s="78"/>
    </row>
    <row r="75" spans="1:26" ht="12.75" customHeight="1" x14ac:dyDescent="0.25">
      <c r="A75" s="78"/>
    </row>
    <row r="76" spans="1:26" ht="12.75" customHeight="1" x14ac:dyDescent="0.25">
      <c r="A76" s="78"/>
    </row>
  </sheetData>
  <sheetProtection formatCells="0" formatColumns="0" formatRows="0" insertColumns="0" insertRows="0" insertHyperlinks="0" deleteColumns="0" deleteRows="0" selectLockedCells="1" sort="0" autoFilter="0" pivotTables="0"/>
  <mergeCells count="94">
    <mergeCell ref="C38:G38"/>
    <mergeCell ref="H38:J38"/>
    <mergeCell ref="K38:P38"/>
    <mergeCell ref="C36:G36"/>
    <mergeCell ref="H36:J36"/>
    <mergeCell ref="K36:P36"/>
    <mergeCell ref="C37:G37"/>
    <mergeCell ref="H37:J37"/>
    <mergeCell ref="K37:P3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C32:G32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55:P57"/>
    <mergeCell ref="K55:L57"/>
    <mergeCell ref="S12:Y12"/>
    <mergeCell ref="K23:P24"/>
    <mergeCell ref="I17:Y17"/>
    <mergeCell ref="S11:Y11"/>
    <mergeCell ref="K28:P28"/>
    <mergeCell ref="H29:J29"/>
    <mergeCell ref="K29:P29"/>
    <mergeCell ref="N12:R12"/>
    <mergeCell ref="H12:M12"/>
    <mergeCell ref="H11:M11"/>
    <mergeCell ref="N11:R11"/>
    <mergeCell ref="H32:J32"/>
    <mergeCell ref="B17:H17"/>
    <mergeCell ref="B12:G12"/>
    <mergeCell ref="B11:G11"/>
    <mergeCell ref="A61:Q61"/>
    <mergeCell ref="R61:T61"/>
    <mergeCell ref="C29:G29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U61:Z61"/>
    <mergeCell ref="A62:Q63"/>
    <mergeCell ref="R62:T64"/>
    <mergeCell ref="U62:Z64"/>
    <mergeCell ref="H56:J5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workbookViewId="0">
      <selection activeCell="L6" sqref="L6:O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443"/>
      <c r="B1" s="444"/>
      <c r="C1" s="444"/>
      <c r="D1" s="444"/>
      <c r="E1" s="444"/>
      <c r="F1" s="445"/>
      <c r="G1" s="452" t="s">
        <v>0</v>
      </c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4"/>
      <c r="U1" s="392" t="s">
        <v>58</v>
      </c>
      <c r="V1" s="393"/>
      <c r="W1" s="393"/>
      <c r="X1" s="393"/>
      <c r="Y1" s="393"/>
      <c r="Z1" s="394"/>
    </row>
    <row r="2" spans="1:26" ht="12.75" customHeight="1" x14ac:dyDescent="0.25">
      <c r="A2" s="446"/>
      <c r="B2" s="447"/>
      <c r="C2" s="447"/>
      <c r="D2" s="447"/>
      <c r="E2" s="447"/>
      <c r="F2" s="448"/>
      <c r="G2" s="401" t="s">
        <v>1</v>
      </c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3"/>
      <c r="U2" s="395"/>
      <c r="V2" s="396"/>
      <c r="W2" s="396"/>
      <c r="X2" s="396"/>
      <c r="Y2" s="396"/>
      <c r="Z2" s="397"/>
    </row>
    <row r="3" spans="1:26" ht="12.75" customHeight="1" x14ac:dyDescent="0.25">
      <c r="A3" s="446"/>
      <c r="B3" s="447"/>
      <c r="C3" s="447"/>
      <c r="D3" s="447"/>
      <c r="E3" s="447"/>
      <c r="F3" s="448"/>
      <c r="G3" s="401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2"/>
      <c r="T3" s="403"/>
      <c r="U3" s="395"/>
      <c r="V3" s="396"/>
      <c r="W3" s="396"/>
      <c r="X3" s="396"/>
      <c r="Y3" s="396"/>
      <c r="Z3" s="397"/>
    </row>
    <row r="4" spans="1:26" ht="12.75" customHeight="1" x14ac:dyDescent="0.25">
      <c r="A4" s="446"/>
      <c r="B4" s="447"/>
      <c r="C4" s="447"/>
      <c r="D4" s="447"/>
      <c r="E4" s="447"/>
      <c r="F4" s="448"/>
      <c r="G4" s="401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3"/>
      <c r="U4" s="395"/>
      <c r="V4" s="396"/>
      <c r="W4" s="396"/>
      <c r="X4" s="396"/>
      <c r="Y4" s="396"/>
      <c r="Z4" s="397"/>
    </row>
    <row r="5" spans="1:26" ht="12.75" customHeight="1" x14ac:dyDescent="0.25">
      <c r="A5" s="446"/>
      <c r="B5" s="447"/>
      <c r="C5" s="447"/>
      <c r="D5" s="447"/>
      <c r="E5" s="447"/>
      <c r="F5" s="448"/>
      <c r="G5" s="404" t="s">
        <v>2</v>
      </c>
      <c r="H5" s="405"/>
      <c r="I5" s="406">
        <v>1</v>
      </c>
      <c r="J5" s="406"/>
      <c r="K5" s="407"/>
      <c r="L5" s="408" t="s">
        <v>66</v>
      </c>
      <c r="M5" s="409"/>
      <c r="N5" s="409"/>
      <c r="O5" s="410"/>
      <c r="P5" s="411" t="s">
        <v>3</v>
      </c>
      <c r="Q5" s="412"/>
      <c r="R5" s="412"/>
      <c r="S5" s="412"/>
      <c r="T5" s="413"/>
      <c r="U5" s="395"/>
      <c r="V5" s="396"/>
      <c r="W5" s="396"/>
      <c r="X5" s="396"/>
      <c r="Y5" s="396"/>
      <c r="Z5" s="397"/>
    </row>
    <row r="6" spans="1:26" ht="12.75" customHeight="1" x14ac:dyDescent="0.25">
      <c r="A6" s="449"/>
      <c r="B6" s="450"/>
      <c r="C6" s="450"/>
      <c r="D6" s="450"/>
      <c r="E6" s="450"/>
      <c r="F6" s="451"/>
      <c r="G6" s="2"/>
      <c r="H6" s="3"/>
      <c r="I6" s="414" t="s">
        <v>4</v>
      </c>
      <c r="J6" s="414"/>
      <c r="K6" s="414"/>
      <c r="L6" s="414" t="s">
        <v>5</v>
      </c>
      <c r="M6" s="414"/>
      <c r="N6" s="414"/>
      <c r="O6" s="414"/>
      <c r="P6" s="414" t="s">
        <v>6</v>
      </c>
      <c r="Q6" s="414"/>
      <c r="R6" s="414"/>
      <c r="S6" s="414"/>
      <c r="T6" s="440"/>
      <c r="U6" s="398"/>
      <c r="V6" s="399"/>
      <c r="W6" s="399"/>
      <c r="X6" s="399"/>
      <c r="Y6" s="399"/>
      <c r="Z6" s="400"/>
    </row>
    <row r="7" spans="1:26" ht="36.6" customHeight="1" x14ac:dyDescent="0.25">
      <c r="A7" s="441" t="s">
        <v>7</v>
      </c>
      <c r="B7" s="441"/>
      <c r="C7" s="441"/>
      <c r="D7" s="441"/>
      <c r="E7" s="441"/>
      <c r="F7" s="441"/>
      <c r="G7" s="442" t="s">
        <v>8</v>
      </c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437" t="s">
        <v>11</v>
      </c>
      <c r="C10" s="437"/>
      <c r="D10" s="437"/>
      <c r="E10" s="437"/>
      <c r="F10" s="437"/>
      <c r="G10" s="437"/>
      <c r="H10" s="438" t="s">
        <v>12</v>
      </c>
      <c r="I10" s="438"/>
      <c r="J10" s="438"/>
      <c r="K10" s="438"/>
      <c r="L10" s="438"/>
      <c r="M10" s="438"/>
      <c r="N10" s="437" t="s">
        <v>13</v>
      </c>
      <c r="O10" s="437"/>
      <c r="P10" s="437"/>
      <c r="Q10" s="437"/>
      <c r="R10" s="437"/>
      <c r="S10" s="439" t="s">
        <v>14</v>
      </c>
      <c r="T10" s="439"/>
      <c r="U10" s="439"/>
      <c r="V10" s="439"/>
      <c r="W10" s="439"/>
      <c r="X10" s="439"/>
      <c r="Y10" s="439"/>
      <c r="Z10" s="12"/>
    </row>
    <row r="11" spans="1:26" ht="15.9" customHeight="1" x14ac:dyDescent="0.25">
      <c r="A11" s="9"/>
      <c r="B11" s="437" t="s">
        <v>15</v>
      </c>
      <c r="C11" s="437"/>
      <c r="D11" s="437"/>
      <c r="E11" s="437"/>
      <c r="F11" s="437"/>
      <c r="G11" s="437"/>
      <c r="H11" s="438" t="s">
        <v>3</v>
      </c>
      <c r="I11" s="438"/>
      <c r="J11" s="438"/>
      <c r="K11" s="438"/>
      <c r="L11" s="438"/>
      <c r="M11" s="438"/>
      <c r="N11" s="437" t="s">
        <v>16</v>
      </c>
      <c r="O11" s="437"/>
      <c r="P11" s="437"/>
      <c r="Q11" s="437"/>
      <c r="R11" s="437"/>
      <c r="S11" s="439" t="s">
        <v>17</v>
      </c>
      <c r="T11" s="439"/>
      <c r="U11" s="439"/>
      <c r="V11" s="439"/>
      <c r="W11" s="439"/>
      <c r="X11" s="439"/>
      <c r="Y11" s="439"/>
      <c r="Z11" s="12"/>
    </row>
    <row r="12" spans="1:26" ht="15.9" customHeight="1" x14ac:dyDescent="0.25">
      <c r="A12" s="9"/>
      <c r="B12" s="437" t="s">
        <v>18</v>
      </c>
      <c r="C12" s="437"/>
      <c r="D12" s="437"/>
      <c r="E12" s="437"/>
      <c r="F12" s="437"/>
      <c r="G12" s="437"/>
      <c r="H12" s="438" t="s">
        <v>19</v>
      </c>
      <c r="I12" s="438"/>
      <c r="J12" s="438"/>
      <c r="K12" s="438"/>
      <c r="L12" s="438"/>
      <c r="M12" s="438"/>
      <c r="N12" s="437" t="s">
        <v>20</v>
      </c>
      <c r="O12" s="437"/>
      <c r="P12" s="437"/>
      <c r="Q12" s="437"/>
      <c r="R12" s="437"/>
      <c r="S12" s="439" t="s">
        <v>21</v>
      </c>
      <c r="T12" s="439"/>
      <c r="U12" s="439"/>
      <c r="V12" s="439"/>
      <c r="W12" s="439"/>
      <c r="X12" s="439"/>
      <c r="Y12" s="43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6.2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415" t="s">
        <v>24</v>
      </c>
      <c r="C17" s="415"/>
      <c r="D17" s="415"/>
      <c r="E17" s="415"/>
      <c r="F17" s="415"/>
      <c r="G17" s="415"/>
      <c r="H17" s="415"/>
      <c r="I17" s="416"/>
      <c r="J17" s="416"/>
      <c r="K17" s="416"/>
      <c r="L17" s="416"/>
      <c r="M17" s="416"/>
      <c r="N17" s="416"/>
      <c r="O17" s="416"/>
      <c r="P17" s="416"/>
      <c r="Q17" s="416"/>
      <c r="R17" s="416"/>
      <c r="S17" s="416"/>
      <c r="T17" s="416"/>
      <c r="U17" s="416"/>
      <c r="V17" s="416"/>
      <c r="W17" s="416"/>
      <c r="X17" s="416"/>
      <c r="Y17" s="416"/>
      <c r="Z17" s="28"/>
    </row>
    <row r="18" spans="1:26" s="17" customFormat="1" ht="15" customHeight="1" x14ac:dyDescent="0.25">
      <c r="A18" s="24"/>
      <c r="B18" s="415" t="s">
        <v>25</v>
      </c>
      <c r="C18" s="415"/>
      <c r="D18" s="415"/>
      <c r="E18" s="415"/>
      <c r="F18" s="415"/>
      <c r="G18" s="415"/>
      <c r="H18" s="415"/>
      <c r="I18" s="417" t="s">
        <v>26</v>
      </c>
      <c r="J18" s="417"/>
      <c r="K18" s="27">
        <v>50</v>
      </c>
      <c r="L18" s="27" t="s">
        <v>27</v>
      </c>
      <c r="M18" s="27"/>
      <c r="N18" s="27"/>
      <c r="O18" s="27"/>
      <c r="P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B20" s="37"/>
      <c r="C20" s="6"/>
      <c r="D20" s="7"/>
      <c r="E20" s="7"/>
      <c r="F20" s="7"/>
      <c r="G20" s="7"/>
      <c r="H20" s="6"/>
      <c r="I20" s="6"/>
      <c r="J20" s="6"/>
      <c r="K20" s="6"/>
      <c r="L20" s="6"/>
      <c r="M20" s="6"/>
      <c r="N20" s="3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6" ht="15.9" customHeight="1" x14ac:dyDescent="0.25">
      <c r="A21" s="4" t="s">
        <v>28</v>
      </c>
      <c r="B21" s="39" t="s">
        <v>29</v>
      </c>
      <c r="C21" s="32"/>
      <c r="D21" s="33"/>
      <c r="E21" s="33"/>
      <c r="F21" s="33"/>
      <c r="G21" s="33"/>
      <c r="H21" s="32"/>
      <c r="I21" s="32"/>
      <c r="J21" s="418" t="s">
        <v>30</v>
      </c>
      <c r="K21" s="418"/>
      <c r="L21" s="418"/>
      <c r="M21" s="418"/>
      <c r="N21" s="418"/>
      <c r="O21" s="418"/>
      <c r="P21" s="418"/>
      <c r="Q21" s="55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40"/>
      <c r="Z22" s="11"/>
    </row>
    <row r="23" spans="1:26" ht="15.75" customHeight="1" x14ac:dyDescent="0.25">
      <c r="A23" s="9"/>
      <c r="B23" s="419" t="s">
        <v>31</v>
      </c>
      <c r="C23" s="421" t="s">
        <v>32</v>
      </c>
      <c r="D23" s="421"/>
      <c r="E23" s="421"/>
      <c r="F23" s="421"/>
      <c r="G23" s="422"/>
      <c r="H23" s="423" t="s">
        <v>33</v>
      </c>
      <c r="I23" s="421"/>
      <c r="J23" s="422"/>
      <c r="K23" s="423" t="s">
        <v>34</v>
      </c>
      <c r="L23" s="424"/>
      <c r="M23" s="425"/>
      <c r="N23" s="423" t="s">
        <v>35</v>
      </c>
      <c r="O23" s="424"/>
      <c r="P23" s="425"/>
      <c r="Q23" s="421" t="s">
        <v>36</v>
      </c>
      <c r="R23" s="421"/>
      <c r="S23" s="421"/>
      <c r="T23" s="421"/>
      <c r="U23" s="421"/>
      <c r="V23" s="422"/>
      <c r="Z23" s="11"/>
    </row>
    <row r="24" spans="1:26" ht="15.75" customHeight="1" x14ac:dyDescent="0.25">
      <c r="A24" s="9"/>
      <c r="B24" s="420"/>
      <c r="C24" s="390"/>
      <c r="D24" s="390"/>
      <c r="E24" s="390"/>
      <c r="F24" s="390"/>
      <c r="G24" s="391"/>
      <c r="H24" s="389" t="s">
        <v>37</v>
      </c>
      <c r="I24" s="390"/>
      <c r="J24" s="391"/>
      <c r="K24" s="389" t="s">
        <v>37</v>
      </c>
      <c r="L24" s="387"/>
      <c r="M24" s="388"/>
      <c r="N24" s="426"/>
      <c r="O24" s="387"/>
      <c r="P24" s="388"/>
      <c r="Q24" s="390"/>
      <c r="R24" s="390"/>
      <c r="S24" s="390"/>
      <c r="T24" s="390"/>
      <c r="U24" s="390"/>
      <c r="V24" s="391"/>
      <c r="Z24" s="11"/>
    </row>
    <row r="25" spans="1:26" ht="19.5" customHeight="1" x14ac:dyDescent="0.25">
      <c r="A25" s="9"/>
      <c r="B25" s="44">
        <v>1</v>
      </c>
      <c r="C25" s="367"/>
      <c r="D25" s="368"/>
      <c r="E25" s="368"/>
      <c r="F25" s="368"/>
      <c r="G25" s="369"/>
      <c r="H25" s="370">
        <v>37.75</v>
      </c>
      <c r="I25" s="371"/>
      <c r="J25" s="372"/>
      <c r="K25" s="373">
        <v>150</v>
      </c>
      <c r="L25" s="374"/>
      <c r="M25" s="375"/>
      <c r="N25" s="376">
        <v>3.97</v>
      </c>
      <c r="O25" s="374"/>
      <c r="P25" s="375"/>
      <c r="Q25" s="367"/>
      <c r="R25" s="368"/>
      <c r="S25" s="368"/>
      <c r="T25" s="368"/>
      <c r="U25" s="368"/>
      <c r="V25" s="369"/>
      <c r="Z25" s="11"/>
    </row>
    <row r="26" spans="1:26" ht="19.5" customHeight="1" x14ac:dyDescent="0.25">
      <c r="A26" s="9"/>
      <c r="B26" s="44">
        <v>2</v>
      </c>
      <c r="C26" s="367"/>
      <c r="D26" s="368"/>
      <c r="E26" s="368"/>
      <c r="F26" s="368"/>
      <c r="G26" s="369"/>
      <c r="H26" s="370">
        <v>48.91</v>
      </c>
      <c r="I26" s="371"/>
      <c r="J26" s="372"/>
      <c r="K26" s="373">
        <v>90</v>
      </c>
      <c r="L26" s="374"/>
      <c r="M26" s="375"/>
      <c r="N26" s="376">
        <v>1.84</v>
      </c>
      <c r="O26" s="374"/>
      <c r="P26" s="375"/>
      <c r="Q26" s="367"/>
      <c r="R26" s="368"/>
      <c r="S26" s="368"/>
      <c r="T26" s="368"/>
      <c r="U26" s="368"/>
      <c r="V26" s="369"/>
      <c r="Z26" s="11"/>
    </row>
    <row r="27" spans="1:26" ht="19.5" customHeight="1" x14ac:dyDescent="0.25">
      <c r="A27" s="9"/>
      <c r="B27" s="44">
        <v>3</v>
      </c>
      <c r="C27" s="367"/>
      <c r="D27" s="368"/>
      <c r="E27" s="368"/>
      <c r="F27" s="368"/>
      <c r="G27" s="369"/>
      <c r="H27" s="370">
        <v>35.83</v>
      </c>
      <c r="I27" s="371"/>
      <c r="J27" s="372"/>
      <c r="K27" s="373">
        <v>52.3</v>
      </c>
      <c r="L27" s="374"/>
      <c r="M27" s="375"/>
      <c r="N27" s="376">
        <v>1.46</v>
      </c>
      <c r="O27" s="374"/>
      <c r="P27" s="375"/>
      <c r="Q27" s="367"/>
      <c r="R27" s="368"/>
      <c r="S27" s="368"/>
      <c r="T27" s="368"/>
      <c r="U27" s="368"/>
      <c r="V27" s="369"/>
      <c r="Z27" s="11"/>
    </row>
    <row r="28" spans="1:26" ht="19.5" customHeight="1" x14ac:dyDescent="0.25">
      <c r="A28" s="9"/>
      <c r="B28" s="44">
        <v>4</v>
      </c>
      <c r="C28" s="367"/>
      <c r="D28" s="368"/>
      <c r="E28" s="368"/>
      <c r="F28" s="368"/>
      <c r="G28" s="369"/>
      <c r="H28" s="370">
        <v>44.64</v>
      </c>
      <c r="I28" s="371"/>
      <c r="J28" s="372"/>
      <c r="K28" s="373">
        <v>64.3</v>
      </c>
      <c r="L28" s="374"/>
      <c r="M28" s="375"/>
      <c r="N28" s="376">
        <v>1.44</v>
      </c>
      <c r="O28" s="374"/>
      <c r="P28" s="375"/>
      <c r="Q28" s="367"/>
      <c r="R28" s="368"/>
      <c r="S28" s="368"/>
      <c r="T28" s="368"/>
      <c r="U28" s="368"/>
      <c r="V28" s="369"/>
      <c r="Z28" s="11"/>
    </row>
    <row r="29" spans="1:26" ht="19.5" customHeight="1" x14ac:dyDescent="0.25">
      <c r="A29" s="9"/>
      <c r="B29" s="44">
        <v>5</v>
      </c>
      <c r="C29" s="367"/>
      <c r="D29" s="368"/>
      <c r="E29" s="368"/>
      <c r="F29" s="368"/>
      <c r="G29" s="369"/>
      <c r="H29" s="370">
        <v>54.61</v>
      </c>
      <c r="I29" s="371"/>
      <c r="J29" s="372"/>
      <c r="K29" s="373">
        <v>77.599999999999994</v>
      </c>
      <c r="L29" s="374"/>
      <c r="M29" s="375"/>
      <c r="N29" s="376">
        <v>1.42</v>
      </c>
      <c r="O29" s="374"/>
      <c r="P29" s="375"/>
      <c r="Q29" s="367"/>
      <c r="R29" s="368"/>
      <c r="S29" s="368"/>
      <c r="T29" s="368"/>
      <c r="U29" s="368"/>
      <c r="V29" s="369"/>
      <c r="Z29" s="11"/>
    </row>
    <row r="30" spans="1:26" ht="19.5" customHeight="1" x14ac:dyDescent="0.25">
      <c r="A30" s="9"/>
      <c r="B30" s="44">
        <v>6</v>
      </c>
      <c r="C30" s="367"/>
      <c r="D30" s="368"/>
      <c r="E30" s="368"/>
      <c r="F30" s="368"/>
      <c r="G30" s="369"/>
      <c r="H30" s="370">
        <v>63.92</v>
      </c>
      <c r="I30" s="371"/>
      <c r="J30" s="372"/>
      <c r="K30" s="373">
        <v>115.4</v>
      </c>
      <c r="L30" s="374"/>
      <c r="M30" s="375"/>
      <c r="N30" s="376">
        <v>1.81</v>
      </c>
      <c r="O30" s="374"/>
      <c r="P30" s="375"/>
      <c r="Q30" s="367"/>
      <c r="R30" s="368"/>
      <c r="S30" s="368"/>
      <c r="T30" s="368"/>
      <c r="U30" s="368"/>
      <c r="V30" s="369"/>
      <c r="Z30" s="11"/>
    </row>
    <row r="31" spans="1:26" ht="19.5" customHeight="1" x14ac:dyDescent="0.25">
      <c r="A31" s="9"/>
      <c r="B31" s="44">
        <v>7</v>
      </c>
      <c r="C31" s="367"/>
      <c r="D31" s="368"/>
      <c r="E31" s="368"/>
      <c r="F31" s="368"/>
      <c r="G31" s="369"/>
      <c r="H31" s="370">
        <v>43.6</v>
      </c>
      <c r="I31" s="371"/>
      <c r="J31" s="372"/>
      <c r="K31" s="373">
        <v>109.8</v>
      </c>
      <c r="L31" s="374"/>
      <c r="M31" s="375"/>
      <c r="N31" s="376">
        <v>2.52</v>
      </c>
      <c r="O31" s="374"/>
      <c r="P31" s="375"/>
      <c r="Q31" s="367"/>
      <c r="R31" s="368"/>
      <c r="S31" s="368"/>
      <c r="T31" s="368"/>
      <c r="U31" s="368"/>
      <c r="V31" s="369"/>
      <c r="Z31" s="11"/>
    </row>
    <row r="32" spans="1:26" ht="19.5" customHeight="1" x14ac:dyDescent="0.25">
      <c r="A32" s="9"/>
      <c r="B32" s="44">
        <v>8</v>
      </c>
      <c r="C32" s="367"/>
      <c r="D32" s="368"/>
      <c r="E32" s="368"/>
      <c r="F32" s="368"/>
      <c r="G32" s="369"/>
      <c r="H32" s="370">
        <v>38.270000000000003</v>
      </c>
      <c r="I32" s="371"/>
      <c r="J32" s="372"/>
      <c r="K32" s="373">
        <v>76.3</v>
      </c>
      <c r="L32" s="374"/>
      <c r="M32" s="375"/>
      <c r="N32" s="376">
        <v>1.99</v>
      </c>
      <c r="O32" s="374"/>
      <c r="P32" s="375"/>
      <c r="Q32" s="367"/>
      <c r="R32" s="368"/>
      <c r="S32" s="368"/>
      <c r="T32" s="368"/>
      <c r="U32" s="368"/>
      <c r="V32" s="369"/>
      <c r="Z32" s="11"/>
    </row>
    <row r="33" spans="1:26" ht="19.5" customHeight="1" x14ac:dyDescent="0.25">
      <c r="A33" s="9"/>
      <c r="B33" s="44">
        <v>9</v>
      </c>
      <c r="C33" s="367"/>
      <c r="D33" s="368"/>
      <c r="E33" s="368"/>
      <c r="F33" s="368"/>
      <c r="G33" s="369"/>
      <c r="H33" s="370">
        <v>48.08</v>
      </c>
      <c r="I33" s="371"/>
      <c r="J33" s="372"/>
      <c r="K33" s="373">
        <v>118.4</v>
      </c>
      <c r="L33" s="374"/>
      <c r="M33" s="375"/>
      <c r="N33" s="376">
        <v>2.46</v>
      </c>
      <c r="O33" s="374"/>
      <c r="P33" s="375"/>
      <c r="Q33" s="367"/>
      <c r="R33" s="368"/>
      <c r="S33" s="368"/>
      <c r="T33" s="368"/>
      <c r="U33" s="368"/>
      <c r="V33" s="369"/>
      <c r="Z33" s="11"/>
    </row>
    <row r="34" spans="1:26" ht="19.5" customHeight="1" x14ac:dyDescent="0.25">
      <c r="A34" s="9"/>
      <c r="B34" s="44">
        <v>10</v>
      </c>
      <c r="C34" s="367"/>
      <c r="D34" s="368"/>
      <c r="E34" s="368"/>
      <c r="F34" s="368"/>
      <c r="G34" s="369"/>
      <c r="H34" s="370">
        <v>41.06</v>
      </c>
      <c r="I34" s="371"/>
      <c r="J34" s="372"/>
      <c r="K34" s="373">
        <v>84.9</v>
      </c>
      <c r="L34" s="374"/>
      <c r="M34" s="375"/>
      <c r="N34" s="376">
        <v>2.0699999999999998</v>
      </c>
      <c r="O34" s="374"/>
      <c r="P34" s="375"/>
      <c r="Q34" s="367"/>
      <c r="R34" s="368"/>
      <c r="S34" s="368"/>
      <c r="T34" s="368"/>
      <c r="U34" s="368"/>
      <c r="V34" s="369"/>
      <c r="Z34" s="11"/>
    </row>
    <row r="35" spans="1:26" ht="19.5" customHeight="1" x14ac:dyDescent="0.25">
      <c r="A35" s="9"/>
      <c r="B35" s="44">
        <v>11</v>
      </c>
      <c r="C35" s="367"/>
      <c r="D35" s="368"/>
      <c r="E35" s="368"/>
      <c r="F35" s="368"/>
      <c r="G35" s="369"/>
      <c r="H35" s="370">
        <v>34.090000000000003</v>
      </c>
      <c r="I35" s="371"/>
      <c r="J35" s="372"/>
      <c r="K35" s="373">
        <v>69.2</v>
      </c>
      <c r="L35" s="374"/>
      <c r="M35" s="375"/>
      <c r="N35" s="376">
        <v>2.0299999999999998</v>
      </c>
      <c r="O35" s="374"/>
      <c r="P35" s="375"/>
      <c r="Q35" s="367"/>
      <c r="R35" s="368"/>
      <c r="S35" s="368"/>
      <c r="T35" s="368"/>
      <c r="U35" s="368"/>
      <c r="V35" s="369"/>
      <c r="Z35" s="11"/>
    </row>
    <row r="36" spans="1:26" ht="19.5" customHeight="1" x14ac:dyDescent="0.25">
      <c r="A36" s="9"/>
      <c r="B36" s="44">
        <v>12</v>
      </c>
      <c r="C36" s="367"/>
      <c r="D36" s="368"/>
      <c r="E36" s="368"/>
      <c r="F36" s="368"/>
      <c r="G36" s="369"/>
      <c r="H36" s="370">
        <v>44.29</v>
      </c>
      <c r="I36" s="371"/>
      <c r="J36" s="372"/>
      <c r="K36" s="373">
        <v>88.2</v>
      </c>
      <c r="L36" s="374"/>
      <c r="M36" s="375"/>
      <c r="N36" s="376">
        <v>1.99</v>
      </c>
      <c r="O36" s="374"/>
      <c r="P36" s="375"/>
      <c r="Q36" s="367"/>
      <c r="R36" s="368"/>
      <c r="S36" s="368"/>
      <c r="T36" s="368"/>
      <c r="U36" s="368"/>
      <c r="V36" s="369"/>
      <c r="Z36" s="11"/>
    </row>
    <row r="37" spans="1:26" ht="19.5" customHeight="1" x14ac:dyDescent="0.25">
      <c r="A37" s="9"/>
      <c r="B37" s="44">
        <v>13</v>
      </c>
      <c r="C37" s="367"/>
      <c r="D37" s="368"/>
      <c r="E37" s="368"/>
      <c r="F37" s="368"/>
      <c r="G37" s="369"/>
      <c r="H37" s="370">
        <v>55.15</v>
      </c>
      <c r="I37" s="371"/>
      <c r="J37" s="372"/>
      <c r="K37" s="373">
        <v>84.9</v>
      </c>
      <c r="L37" s="374"/>
      <c r="M37" s="375"/>
      <c r="N37" s="376">
        <v>1.54</v>
      </c>
      <c r="O37" s="374"/>
      <c r="P37" s="375"/>
      <c r="Q37" s="367"/>
      <c r="R37" s="368"/>
      <c r="S37" s="368"/>
      <c r="T37" s="368"/>
      <c r="U37" s="368"/>
      <c r="V37" s="369"/>
      <c r="Z37" s="11"/>
    </row>
    <row r="38" spans="1:26" ht="19.5" customHeight="1" x14ac:dyDescent="0.25">
      <c r="A38" s="9"/>
      <c r="B38" s="44">
        <v>14</v>
      </c>
      <c r="C38" s="367"/>
      <c r="D38" s="368"/>
      <c r="E38" s="368"/>
      <c r="F38" s="368"/>
      <c r="G38" s="369"/>
      <c r="H38" s="370">
        <v>43.95</v>
      </c>
      <c r="I38" s="371"/>
      <c r="J38" s="372"/>
      <c r="K38" s="373">
        <v>60.8</v>
      </c>
      <c r="L38" s="374"/>
      <c r="M38" s="375"/>
      <c r="N38" s="376">
        <v>1.38</v>
      </c>
      <c r="O38" s="374"/>
      <c r="P38" s="375"/>
      <c r="Q38" s="367"/>
      <c r="R38" s="368"/>
      <c r="S38" s="368"/>
      <c r="T38" s="368"/>
      <c r="U38" s="368"/>
      <c r="V38" s="369"/>
      <c r="Z38" s="11"/>
    </row>
    <row r="39" spans="1:26" ht="19.5" customHeight="1" x14ac:dyDescent="0.25">
      <c r="A39" s="9"/>
      <c r="B39" s="44"/>
      <c r="C39" s="70"/>
      <c r="D39" s="70"/>
      <c r="E39" s="70"/>
      <c r="F39" s="70"/>
      <c r="G39" s="71"/>
      <c r="H39" s="72"/>
      <c r="I39" s="73"/>
      <c r="J39" s="74"/>
      <c r="K39" s="75"/>
      <c r="L39" s="67"/>
      <c r="M39" s="68"/>
      <c r="N39" s="76"/>
      <c r="O39" s="67"/>
      <c r="P39" s="68"/>
      <c r="Q39" s="69"/>
      <c r="R39" s="70"/>
      <c r="S39" s="70"/>
      <c r="T39" s="70"/>
      <c r="U39" s="70"/>
      <c r="V39" s="71"/>
      <c r="Z39" s="11"/>
    </row>
    <row r="40" spans="1:26" ht="19.5" customHeight="1" x14ac:dyDescent="0.25">
      <c r="A40" s="9"/>
      <c r="B40" s="44"/>
      <c r="C40" s="70"/>
      <c r="D40" s="70"/>
      <c r="E40" s="70"/>
      <c r="F40" s="70"/>
      <c r="G40" s="71"/>
      <c r="H40" s="72"/>
      <c r="I40" s="73"/>
      <c r="J40" s="74"/>
      <c r="K40" s="75"/>
      <c r="L40" s="67"/>
      <c r="M40" s="68"/>
      <c r="N40" s="76"/>
      <c r="O40" s="67"/>
      <c r="P40" s="68"/>
      <c r="Q40" s="69"/>
      <c r="R40" s="70"/>
      <c r="S40" s="70"/>
      <c r="T40" s="70"/>
      <c r="U40" s="70"/>
      <c r="V40" s="71"/>
      <c r="Z40" s="11"/>
    </row>
    <row r="41" spans="1:26" ht="19.5" customHeight="1" x14ac:dyDescent="0.25">
      <c r="A41" s="9"/>
      <c r="B41" s="44"/>
      <c r="C41" s="70"/>
      <c r="D41" s="70"/>
      <c r="E41" s="70"/>
      <c r="F41" s="70"/>
      <c r="G41" s="71"/>
      <c r="H41" s="72"/>
      <c r="I41" s="73"/>
      <c r="J41" s="74"/>
      <c r="K41" s="75"/>
      <c r="L41" s="67"/>
      <c r="M41" s="68"/>
      <c r="N41" s="76"/>
      <c r="O41" s="67"/>
      <c r="P41" s="68"/>
      <c r="Q41" s="69"/>
      <c r="R41" s="70"/>
      <c r="S41" s="70"/>
      <c r="T41" s="70"/>
      <c r="U41" s="70"/>
      <c r="V41" s="71"/>
      <c r="Z41" s="11"/>
    </row>
    <row r="42" spans="1:26" ht="19.5" customHeight="1" x14ac:dyDescent="0.25">
      <c r="A42" s="9"/>
      <c r="B42" s="44"/>
      <c r="C42" s="70"/>
      <c r="D42" s="70"/>
      <c r="E42" s="70"/>
      <c r="F42" s="70"/>
      <c r="G42" s="71"/>
      <c r="H42" s="72"/>
      <c r="I42" s="73"/>
      <c r="J42" s="74"/>
      <c r="K42" s="75"/>
      <c r="L42" s="67"/>
      <c r="M42" s="68"/>
      <c r="N42" s="76"/>
      <c r="O42" s="67"/>
      <c r="P42" s="68"/>
      <c r="Q42" s="69"/>
      <c r="R42" s="70"/>
      <c r="S42" s="70"/>
      <c r="T42" s="70"/>
      <c r="U42" s="70"/>
      <c r="V42" s="71"/>
      <c r="Z42" s="11"/>
    </row>
    <row r="43" spans="1:26" ht="19.5" customHeight="1" x14ac:dyDescent="0.25">
      <c r="A43" s="9"/>
      <c r="B43" s="44"/>
      <c r="C43" s="70"/>
      <c r="D43" s="70"/>
      <c r="E43" s="70"/>
      <c r="F43" s="70"/>
      <c r="G43" s="71"/>
      <c r="H43" s="72"/>
      <c r="I43" s="73"/>
      <c r="J43" s="74"/>
      <c r="K43" s="75"/>
      <c r="L43" s="67"/>
      <c r="M43" s="68"/>
      <c r="N43" s="76"/>
      <c r="O43" s="67"/>
      <c r="P43" s="68"/>
      <c r="Q43" s="69"/>
      <c r="R43" s="70"/>
      <c r="S43" s="70"/>
      <c r="T43" s="70"/>
      <c r="U43" s="70"/>
      <c r="V43" s="71"/>
      <c r="Z43" s="11"/>
    </row>
    <row r="44" spans="1:26" ht="19.5" customHeight="1" x14ac:dyDescent="0.25">
      <c r="A44" s="9"/>
      <c r="B44" s="44"/>
      <c r="C44" s="70"/>
      <c r="D44" s="70"/>
      <c r="E44" s="70"/>
      <c r="F44" s="70"/>
      <c r="G44" s="71"/>
      <c r="H44" s="72"/>
      <c r="I44" s="73"/>
      <c r="J44" s="74"/>
      <c r="K44" s="75"/>
      <c r="L44" s="67"/>
      <c r="M44" s="68"/>
      <c r="N44" s="76"/>
      <c r="O44" s="67"/>
      <c r="P44" s="68"/>
      <c r="Q44" s="69"/>
      <c r="R44" s="70"/>
      <c r="S44" s="70"/>
      <c r="T44" s="70"/>
      <c r="U44" s="70"/>
      <c r="V44" s="71"/>
      <c r="Z44" s="11"/>
    </row>
    <row r="45" spans="1:26" ht="19.5" customHeight="1" x14ac:dyDescent="0.25">
      <c r="A45" s="9"/>
      <c r="B45" s="44"/>
      <c r="C45" s="70"/>
      <c r="D45" s="70"/>
      <c r="E45" s="70"/>
      <c r="F45" s="70"/>
      <c r="G45" s="71"/>
      <c r="H45" s="72"/>
      <c r="I45" s="73"/>
      <c r="J45" s="74"/>
      <c r="K45" s="75"/>
      <c r="L45" s="67"/>
      <c r="M45" s="68"/>
      <c r="N45" s="76"/>
      <c r="O45" s="67"/>
      <c r="P45" s="68"/>
      <c r="Q45" s="69"/>
      <c r="R45" s="70"/>
      <c r="S45" s="70"/>
      <c r="T45" s="70"/>
      <c r="U45" s="70"/>
      <c r="V45" s="71"/>
      <c r="Z45" s="11"/>
    </row>
    <row r="46" spans="1:26" ht="19.5" customHeight="1" x14ac:dyDescent="0.25">
      <c r="A46" s="9"/>
      <c r="B46" s="44"/>
      <c r="C46" s="70"/>
      <c r="D46" s="70"/>
      <c r="E46" s="70"/>
      <c r="F46" s="70"/>
      <c r="G46" s="71"/>
      <c r="H46" s="72"/>
      <c r="I46" s="73"/>
      <c r="J46" s="74"/>
      <c r="K46" s="75"/>
      <c r="L46" s="67"/>
      <c r="M46" s="68"/>
      <c r="N46" s="76"/>
      <c r="O46" s="67"/>
      <c r="P46" s="68"/>
      <c r="Q46" s="69"/>
      <c r="R46" s="70"/>
      <c r="S46" s="70"/>
      <c r="T46" s="70"/>
      <c r="U46" s="70"/>
      <c r="V46" s="71"/>
      <c r="Z46" s="11"/>
    </row>
    <row r="47" spans="1:26" ht="19.5" customHeight="1" x14ac:dyDescent="0.25">
      <c r="A47" s="9"/>
      <c r="B47" s="44"/>
      <c r="C47" s="70"/>
      <c r="D47" s="70"/>
      <c r="E47" s="70"/>
      <c r="F47" s="70"/>
      <c r="G47" s="71"/>
      <c r="H47" s="72"/>
      <c r="I47" s="73"/>
      <c r="J47" s="74"/>
      <c r="K47" s="75"/>
      <c r="L47" s="67"/>
      <c r="M47" s="68"/>
      <c r="N47" s="76"/>
      <c r="O47" s="67"/>
      <c r="P47" s="68"/>
      <c r="Q47" s="69"/>
      <c r="R47" s="70"/>
      <c r="S47" s="70"/>
      <c r="T47" s="70"/>
      <c r="U47" s="70"/>
      <c r="V47" s="71"/>
      <c r="Z47" s="11"/>
    </row>
    <row r="48" spans="1:26" ht="19.5" customHeight="1" x14ac:dyDescent="0.25">
      <c r="A48" s="9"/>
      <c r="B48" s="44"/>
      <c r="C48" s="70"/>
      <c r="D48" s="70"/>
      <c r="E48" s="70"/>
      <c r="F48" s="70"/>
      <c r="G48" s="71"/>
      <c r="H48" s="72"/>
      <c r="I48" s="73"/>
      <c r="J48" s="74"/>
      <c r="K48" s="75"/>
      <c r="L48" s="67"/>
      <c r="M48" s="68"/>
      <c r="N48" s="76"/>
      <c r="O48" s="67"/>
      <c r="P48" s="68"/>
      <c r="Q48" s="69"/>
      <c r="R48" s="70"/>
      <c r="S48" s="70"/>
      <c r="T48" s="70"/>
      <c r="U48" s="70"/>
      <c r="V48" s="71"/>
      <c r="Z48" s="11"/>
    </row>
    <row r="49" spans="1:26" ht="19.5" customHeight="1" x14ac:dyDescent="0.25">
      <c r="A49" s="9"/>
      <c r="B49" s="44"/>
      <c r="C49" s="70"/>
      <c r="D49" s="70"/>
      <c r="E49" s="70"/>
      <c r="F49" s="70"/>
      <c r="G49" s="71"/>
      <c r="H49" s="72"/>
      <c r="I49" s="73"/>
      <c r="J49" s="74"/>
      <c r="K49" s="75"/>
      <c r="L49" s="67"/>
      <c r="M49" s="68"/>
      <c r="N49" s="76"/>
      <c r="O49" s="67"/>
      <c r="P49" s="68"/>
      <c r="Q49" s="69"/>
      <c r="R49" s="70"/>
      <c r="S49" s="70"/>
      <c r="T49" s="70"/>
      <c r="U49" s="70"/>
      <c r="V49" s="71"/>
      <c r="Z49" s="11"/>
    </row>
    <row r="50" spans="1:26" ht="19.5" customHeight="1" x14ac:dyDescent="0.25">
      <c r="A50" s="9"/>
      <c r="B50" s="44"/>
      <c r="C50" s="70"/>
      <c r="D50" s="70"/>
      <c r="E50" s="70"/>
      <c r="F50" s="70"/>
      <c r="G50" s="71"/>
      <c r="H50" s="72"/>
      <c r="I50" s="73"/>
      <c r="J50" s="74"/>
      <c r="K50" s="75"/>
      <c r="L50" s="67"/>
      <c r="M50" s="68"/>
      <c r="N50" s="76"/>
      <c r="O50" s="67"/>
      <c r="P50" s="68"/>
      <c r="Q50" s="69"/>
      <c r="R50" s="70"/>
      <c r="S50" s="70"/>
      <c r="T50" s="70"/>
      <c r="U50" s="70"/>
      <c r="V50" s="71"/>
      <c r="Z50" s="11"/>
    </row>
    <row r="51" spans="1:26" ht="19.5" customHeight="1" x14ac:dyDescent="0.25">
      <c r="A51" s="9"/>
      <c r="B51" s="44"/>
      <c r="C51" s="70"/>
      <c r="D51" s="70"/>
      <c r="E51" s="70"/>
      <c r="F51" s="70"/>
      <c r="G51" s="71"/>
      <c r="H51" s="72"/>
      <c r="I51" s="73"/>
      <c r="J51" s="74"/>
      <c r="K51" s="75"/>
      <c r="L51" s="67"/>
      <c r="M51" s="68"/>
      <c r="N51" s="76"/>
      <c r="O51" s="67"/>
      <c r="P51" s="68"/>
      <c r="Q51" s="69"/>
      <c r="R51" s="70"/>
      <c r="S51" s="70"/>
      <c r="T51" s="70"/>
      <c r="U51" s="70"/>
      <c r="V51" s="71"/>
      <c r="Z51" s="11"/>
    </row>
    <row r="52" spans="1:26" ht="19.5" customHeight="1" x14ac:dyDescent="0.25">
      <c r="A52" s="9"/>
      <c r="B52" s="44"/>
      <c r="C52" s="70"/>
      <c r="D52" s="70"/>
      <c r="E52" s="70"/>
      <c r="F52" s="70"/>
      <c r="G52" s="71"/>
      <c r="H52" s="72"/>
      <c r="I52" s="73"/>
      <c r="J52" s="74"/>
      <c r="K52" s="75"/>
      <c r="L52" s="67"/>
      <c r="M52" s="68"/>
      <c r="N52" s="76"/>
      <c r="O52" s="67"/>
      <c r="P52" s="68"/>
      <c r="Q52" s="69"/>
      <c r="R52" s="70"/>
      <c r="S52" s="70"/>
      <c r="T52" s="70"/>
      <c r="U52" s="70"/>
      <c r="V52" s="71"/>
      <c r="Z52" s="11"/>
    </row>
    <row r="53" spans="1:26" ht="19.5" customHeight="1" x14ac:dyDescent="0.25">
      <c r="A53" s="9"/>
      <c r="B53" s="44"/>
      <c r="C53" s="70"/>
      <c r="D53" s="70"/>
      <c r="E53" s="70"/>
      <c r="F53" s="70"/>
      <c r="G53" s="71"/>
      <c r="H53" s="72"/>
      <c r="I53" s="73"/>
      <c r="J53" s="74"/>
      <c r="K53" s="75"/>
      <c r="L53" s="67"/>
      <c r="M53" s="68"/>
      <c r="N53" s="76"/>
      <c r="O53" s="67"/>
      <c r="P53" s="68"/>
      <c r="Q53" s="69"/>
      <c r="R53" s="70"/>
      <c r="S53" s="70"/>
      <c r="T53" s="70"/>
      <c r="U53" s="70"/>
      <c r="V53" s="71"/>
      <c r="Z53" s="11"/>
    </row>
    <row r="54" spans="1:26" ht="19.5" customHeight="1" x14ac:dyDescent="0.25">
      <c r="A54" s="9"/>
      <c r="B54" s="45"/>
      <c r="C54" s="378"/>
      <c r="D54" s="378"/>
      <c r="E54" s="378"/>
      <c r="F54" s="378"/>
      <c r="G54" s="379"/>
      <c r="H54" s="380"/>
      <c r="I54" s="381"/>
      <c r="J54" s="382"/>
      <c r="K54" s="380"/>
      <c r="L54" s="381"/>
      <c r="M54" s="382"/>
      <c r="N54" s="434"/>
      <c r="O54" s="435"/>
      <c r="P54" s="436"/>
      <c r="Q54" s="466"/>
      <c r="R54" s="378"/>
      <c r="S54" s="378"/>
      <c r="T54" s="378"/>
      <c r="U54" s="378"/>
      <c r="V54" s="379"/>
      <c r="Z54" s="11"/>
    </row>
    <row r="55" spans="1:26" ht="15.75" customHeight="1" x14ac:dyDescent="0.25">
      <c r="A55" s="9"/>
      <c r="B55" s="383" t="s">
        <v>38</v>
      </c>
      <c r="C55" s="384"/>
      <c r="D55" s="384"/>
      <c r="E55" s="384"/>
      <c r="F55" s="384"/>
      <c r="G55" s="385"/>
      <c r="H55" s="386">
        <f>AVERAGE(H25:J54)</f>
        <v>45.296428571428571</v>
      </c>
      <c r="I55" s="387"/>
      <c r="J55" s="388"/>
      <c r="K55" s="377">
        <f>AVERAGE(K25:M54)</f>
        <v>88.721428571428561</v>
      </c>
      <c r="L55" s="374"/>
      <c r="M55" s="375"/>
      <c r="N55" s="377">
        <f>AVERAGE(N25:P54)</f>
        <v>1.9942857142857142</v>
      </c>
      <c r="O55" s="374"/>
      <c r="P55" s="375"/>
      <c r="Q55" s="460">
        <v>100</v>
      </c>
      <c r="R55" s="461"/>
      <c r="S55" s="455" t="s">
        <v>39</v>
      </c>
      <c r="T55" s="455"/>
      <c r="U55" s="455"/>
      <c r="V55" s="456"/>
      <c r="Z55" s="11"/>
    </row>
    <row r="56" spans="1:26" ht="15.75" customHeight="1" x14ac:dyDescent="0.25">
      <c r="A56" s="9"/>
      <c r="B56" s="364" t="s">
        <v>40</v>
      </c>
      <c r="C56" s="365"/>
      <c r="D56" s="365"/>
      <c r="E56" s="365"/>
      <c r="F56" s="365"/>
      <c r="G56" s="366"/>
      <c r="H56" s="377">
        <f>IF(H25&lt;&gt;"",MIN(H25:J54),"")</f>
        <v>34.090000000000003</v>
      </c>
      <c r="I56" s="374"/>
      <c r="J56" s="375"/>
      <c r="K56" s="377">
        <f>IF(COUNTIF(K25:M54,"*&lt;20*"),"&lt;20",MIN(K25:M54))</f>
        <v>52.3</v>
      </c>
      <c r="L56" s="374"/>
      <c r="M56" s="375"/>
      <c r="N56" s="377">
        <f>IF(N25&lt;&gt;"",MIN(N25:P54),"")</f>
        <v>1.38</v>
      </c>
      <c r="O56" s="374"/>
      <c r="P56" s="375"/>
      <c r="Q56" s="462"/>
      <c r="R56" s="463"/>
      <c r="S56" s="339"/>
      <c r="T56" s="339"/>
      <c r="U56" s="339"/>
      <c r="V56" s="457"/>
      <c r="Z56" s="11"/>
    </row>
    <row r="57" spans="1:26" ht="15.75" customHeight="1" x14ac:dyDescent="0.25">
      <c r="A57" s="9"/>
      <c r="B57" s="355" t="s">
        <v>41</v>
      </c>
      <c r="C57" s="356"/>
      <c r="D57" s="356"/>
      <c r="E57" s="356"/>
      <c r="F57" s="356"/>
      <c r="G57" s="357"/>
      <c r="H57" s="358">
        <f>IF(H25&lt;&gt;"",MAX(H25:J54),"")</f>
        <v>63.92</v>
      </c>
      <c r="I57" s="359"/>
      <c r="J57" s="360"/>
      <c r="K57" s="358">
        <f>IF(COUNTIF(K25:M54,"*&gt;250*"),"&gt;250",MAX(K25:M54))</f>
        <v>150</v>
      </c>
      <c r="L57" s="359"/>
      <c r="M57" s="360"/>
      <c r="N57" s="358">
        <f>IF(N25&lt;&gt;"",MAX(N25:P54),"")</f>
        <v>3.97</v>
      </c>
      <c r="O57" s="359"/>
      <c r="P57" s="360"/>
      <c r="Q57" s="464"/>
      <c r="R57" s="465"/>
      <c r="S57" s="458"/>
      <c r="T57" s="458"/>
      <c r="U57" s="458"/>
      <c r="V57" s="459"/>
      <c r="Z57" s="11"/>
    </row>
    <row r="58" spans="1:26" ht="15.9" customHeight="1" x14ac:dyDescent="0.25">
      <c r="A58" s="34"/>
      <c r="B58" s="4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5"/>
      <c r="B59" s="36"/>
    </row>
    <row r="60" spans="1:26" s="17" customFormat="1" ht="15.6" customHeight="1" x14ac:dyDescent="0.25">
      <c r="A60" s="47" t="s">
        <v>42</v>
      </c>
      <c r="B60" s="5" t="s">
        <v>43</v>
      </c>
      <c r="C60" s="48"/>
      <c r="D60" s="48"/>
      <c r="E60" s="48"/>
      <c r="F60" s="49"/>
      <c r="G60" s="49"/>
      <c r="H60" s="4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0"/>
      <c r="V60" s="54"/>
      <c r="W60" s="54"/>
      <c r="X60" s="42"/>
      <c r="Y60" s="42"/>
      <c r="Z60" s="43"/>
    </row>
    <row r="61" spans="1:26" s="17" customFormat="1" ht="28.5" customHeight="1" x14ac:dyDescent="0.25">
      <c r="A61" s="361" t="s">
        <v>44</v>
      </c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2"/>
      <c r="P61" s="362"/>
      <c r="Q61" s="363"/>
      <c r="R61" s="331" t="s">
        <v>45</v>
      </c>
      <c r="S61" s="332"/>
      <c r="T61" s="333"/>
      <c r="U61" s="321" t="s">
        <v>12</v>
      </c>
      <c r="V61" s="322"/>
      <c r="W61" s="322"/>
      <c r="X61" s="323"/>
      <c r="Y61" s="323"/>
      <c r="Z61" s="324"/>
    </row>
    <row r="62" spans="1:26" s="17" customFormat="1" ht="15.6" customHeight="1" x14ac:dyDescent="0.25">
      <c r="A62" s="325" t="s">
        <v>46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7"/>
      <c r="R62" s="331" t="s">
        <v>47</v>
      </c>
      <c r="S62" s="332"/>
      <c r="T62" s="333"/>
      <c r="U62" s="334" t="s">
        <v>59</v>
      </c>
      <c r="V62" s="335"/>
      <c r="W62" s="335"/>
      <c r="X62" s="336"/>
      <c r="Y62" s="336"/>
      <c r="Z62" s="337"/>
    </row>
    <row r="63" spans="1:26" s="17" customFormat="1" ht="15.6" customHeight="1" x14ac:dyDescent="0.25">
      <c r="A63" s="328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30"/>
      <c r="R63" s="331"/>
      <c r="S63" s="332"/>
      <c r="T63" s="333"/>
      <c r="U63" s="338"/>
      <c r="V63" s="339"/>
      <c r="W63" s="339"/>
      <c r="X63" s="340"/>
      <c r="Y63" s="340"/>
      <c r="Z63" s="341"/>
    </row>
    <row r="64" spans="1:26" s="17" customFormat="1" ht="15.6" customHeight="1" x14ac:dyDescent="0.25">
      <c r="A64" s="56" t="s">
        <v>48</v>
      </c>
      <c r="B64" s="57" t="s">
        <v>49</v>
      </c>
      <c r="C64" s="1"/>
      <c r="D64" s="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8"/>
      <c r="R64" s="331"/>
      <c r="S64" s="332"/>
      <c r="T64" s="333"/>
      <c r="U64" s="342"/>
      <c r="V64" s="343"/>
      <c r="W64" s="343"/>
      <c r="X64" s="344"/>
      <c r="Y64" s="344"/>
      <c r="Z64" s="345"/>
    </row>
    <row r="65" spans="1:26" s="17" customFormat="1" ht="15.6" customHeight="1" x14ac:dyDescent="0.25">
      <c r="A65" s="346"/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  <c r="N65" s="347"/>
      <c r="O65" s="347"/>
      <c r="P65" s="347"/>
      <c r="Q65" s="348"/>
      <c r="R65" s="331" t="s">
        <v>50</v>
      </c>
      <c r="S65" s="332"/>
      <c r="T65" s="333"/>
      <c r="U65" s="59"/>
      <c r="V65" s="60"/>
      <c r="W65" s="60"/>
      <c r="X65" s="60"/>
      <c r="Y65" s="60"/>
      <c r="Z65" s="61"/>
    </row>
    <row r="66" spans="1:26" s="17" customFormat="1" ht="15.6" customHeight="1" x14ac:dyDescent="0.25">
      <c r="A66" s="346"/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8"/>
      <c r="R66" s="331"/>
      <c r="S66" s="332"/>
      <c r="T66" s="333"/>
      <c r="U66" s="62"/>
      <c r="V66" s="339"/>
      <c r="W66" s="339"/>
      <c r="X66" s="339"/>
      <c r="Y66" s="339"/>
      <c r="Z66" s="63"/>
    </row>
    <row r="67" spans="1:26" s="17" customFormat="1" ht="15.6" customHeight="1" x14ac:dyDescent="0.25">
      <c r="A67" s="346"/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8"/>
      <c r="R67" s="331"/>
      <c r="S67" s="332"/>
      <c r="T67" s="333"/>
      <c r="U67" s="62"/>
      <c r="V67" s="339"/>
      <c r="W67" s="339"/>
      <c r="X67" s="339"/>
      <c r="Y67" s="339"/>
      <c r="Z67" s="63"/>
    </row>
    <row r="68" spans="1:26" s="17" customFormat="1" ht="15.6" customHeight="1" x14ac:dyDescent="0.25">
      <c r="A68" s="349"/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1"/>
      <c r="R68" s="352"/>
      <c r="S68" s="353"/>
      <c r="T68" s="354"/>
      <c r="U68" s="64"/>
      <c r="V68" s="65"/>
      <c r="W68" s="65"/>
      <c r="X68" s="65"/>
      <c r="Y68" s="65"/>
      <c r="Z68" s="66"/>
    </row>
    <row r="69" spans="1:26" s="17" customFormat="1" ht="15" customHeight="1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52"/>
      <c r="S69" s="52"/>
      <c r="T69" s="52"/>
      <c r="U69" s="53"/>
      <c r="V69" s="53"/>
      <c r="W69" s="53"/>
      <c r="X69" s="53"/>
      <c r="Y69" s="53"/>
      <c r="Z69" s="53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36">
    <mergeCell ref="U62:Z64"/>
    <mergeCell ref="P6:T6"/>
    <mergeCell ref="H25:J25"/>
    <mergeCell ref="K25:M25"/>
    <mergeCell ref="B18:H18"/>
    <mergeCell ref="B23:B24"/>
    <mergeCell ref="C23:G24"/>
    <mergeCell ref="C25:G25"/>
    <mergeCell ref="H24:J24"/>
    <mergeCell ref="K24:M24"/>
    <mergeCell ref="H23:J23"/>
    <mergeCell ref="K23:M23"/>
    <mergeCell ref="J21:P21"/>
    <mergeCell ref="N25:P25"/>
    <mergeCell ref="N23:P24"/>
    <mergeCell ref="I18:J18"/>
    <mergeCell ref="B17:H17"/>
    <mergeCell ref="B12:G12"/>
    <mergeCell ref="B11:G11"/>
    <mergeCell ref="S12:Y12"/>
    <mergeCell ref="Q23:V24"/>
    <mergeCell ref="I17:Y17"/>
    <mergeCell ref="S11:Y11"/>
    <mergeCell ref="A1:F6"/>
    <mergeCell ref="G2:T4"/>
    <mergeCell ref="G5:H5"/>
    <mergeCell ref="A7:F7"/>
    <mergeCell ref="G7:Z7"/>
    <mergeCell ref="H10:M10"/>
    <mergeCell ref="I5:K5"/>
    <mergeCell ref="A61:Q61"/>
    <mergeCell ref="R61:T61"/>
    <mergeCell ref="U61:Z61"/>
    <mergeCell ref="I6:K6"/>
    <mergeCell ref="L5:O5"/>
    <mergeCell ref="P5:T5"/>
    <mergeCell ref="L6:O6"/>
    <mergeCell ref="C26:G26"/>
    <mergeCell ref="H26:J26"/>
    <mergeCell ref="K26:M26"/>
    <mergeCell ref="N26:P26"/>
    <mergeCell ref="Q26:V26"/>
    <mergeCell ref="N12:R12"/>
    <mergeCell ref="H12:M12"/>
    <mergeCell ref="H11:M11"/>
    <mergeCell ref="N11:R11"/>
    <mergeCell ref="U1:Z6"/>
    <mergeCell ref="Q25:V25"/>
    <mergeCell ref="G1:T1"/>
    <mergeCell ref="B10:G10"/>
    <mergeCell ref="S10:Y10"/>
    <mergeCell ref="N10:R10"/>
    <mergeCell ref="A65:Q68"/>
    <mergeCell ref="R65:T68"/>
    <mergeCell ref="V66:Y67"/>
    <mergeCell ref="C54:G54"/>
    <mergeCell ref="H54:J54"/>
    <mergeCell ref="K54:M54"/>
    <mergeCell ref="N54:P54"/>
    <mergeCell ref="Q54:V54"/>
    <mergeCell ref="K57:M57"/>
    <mergeCell ref="K55:M55"/>
    <mergeCell ref="K56:M56"/>
    <mergeCell ref="N55:P55"/>
    <mergeCell ref="N56:P56"/>
    <mergeCell ref="N57:P57"/>
    <mergeCell ref="B56:G56"/>
    <mergeCell ref="B57:G57"/>
    <mergeCell ref="H57:J57"/>
    <mergeCell ref="H56:J56"/>
    <mergeCell ref="H55:J55"/>
    <mergeCell ref="B55:G55"/>
    <mergeCell ref="S55:V57"/>
    <mergeCell ref="Q55:R57"/>
    <mergeCell ref="A62:Q63"/>
    <mergeCell ref="R62:T64"/>
    <mergeCell ref="C28:G28"/>
    <mergeCell ref="H28:J28"/>
    <mergeCell ref="K28:M28"/>
    <mergeCell ref="N28:P28"/>
    <mergeCell ref="Q28:V28"/>
    <mergeCell ref="C32:G32"/>
    <mergeCell ref="H32:J32"/>
    <mergeCell ref="K32:M32"/>
    <mergeCell ref="N32:P32"/>
    <mergeCell ref="Q32:V32"/>
    <mergeCell ref="C31:G31"/>
    <mergeCell ref="H31:J31"/>
    <mergeCell ref="K31:M31"/>
    <mergeCell ref="N31:P31"/>
    <mergeCell ref="Q31:V31"/>
    <mergeCell ref="C34:G34"/>
    <mergeCell ref="H34:J34"/>
    <mergeCell ref="K34:M34"/>
    <mergeCell ref="N34:P34"/>
    <mergeCell ref="Q34:V34"/>
    <mergeCell ref="C27:G27"/>
    <mergeCell ref="H27:J27"/>
    <mergeCell ref="K27:M27"/>
    <mergeCell ref="N27:P27"/>
    <mergeCell ref="Q27:V27"/>
    <mergeCell ref="C30:G30"/>
    <mergeCell ref="H30:J30"/>
    <mergeCell ref="K30:M30"/>
    <mergeCell ref="N30:P30"/>
    <mergeCell ref="Q30:V30"/>
    <mergeCell ref="C29:G29"/>
    <mergeCell ref="H29:J29"/>
    <mergeCell ref="K29:M29"/>
    <mergeCell ref="N29:P29"/>
    <mergeCell ref="Q29:V29"/>
    <mergeCell ref="C33:G33"/>
    <mergeCell ref="H33:J33"/>
    <mergeCell ref="K33:M33"/>
    <mergeCell ref="N33:P33"/>
    <mergeCell ref="Q33:V33"/>
    <mergeCell ref="C36:G36"/>
    <mergeCell ref="H36:J36"/>
    <mergeCell ref="K36:M36"/>
    <mergeCell ref="N36:P36"/>
    <mergeCell ref="Q36:V36"/>
    <mergeCell ref="C35:G35"/>
    <mergeCell ref="H35:J35"/>
    <mergeCell ref="K35:M35"/>
    <mergeCell ref="N35:P35"/>
    <mergeCell ref="Q35:V35"/>
    <mergeCell ref="C38:G38"/>
    <mergeCell ref="H38:J38"/>
    <mergeCell ref="K38:M38"/>
    <mergeCell ref="N38:P38"/>
    <mergeCell ref="Q38:V38"/>
    <mergeCell ref="C37:G37"/>
    <mergeCell ref="H37:J37"/>
    <mergeCell ref="K37:M37"/>
    <mergeCell ref="N37:P37"/>
    <mergeCell ref="Q37:V3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20</vt:i4>
      </vt:variant>
      <vt:variant>
        <vt:lpstr>Plages nommées</vt:lpstr>
      </vt:variant>
      <vt:variant>
        <vt:i4>20</vt:i4>
      </vt:variant>
    </vt:vector>
  </HeadingPairs>
  <TitlesOfParts>
    <vt:vector size="40" baseType="lpstr">
      <vt:lpstr>140525 CDF zone 8d</vt:lpstr>
      <vt:lpstr>140525 CDF zone 8b</vt:lpstr>
      <vt:lpstr>140525 CDF zone 8a</vt:lpstr>
      <vt:lpstr>050325 CdF Voirie Bret.</vt:lpstr>
      <vt:lpstr>050325 CdF Voirie S8D (2)</vt:lpstr>
      <vt:lpstr>050325 CdF Voirie S8D</vt:lpstr>
      <vt:lpstr>050325 CdF S08 OA</vt:lpstr>
      <vt:lpstr>050325 CdF S08</vt:lpstr>
      <vt:lpstr>190225 CdF</vt:lpstr>
      <vt:lpstr>190225 AT</vt:lpstr>
      <vt:lpstr>050225 Voirie 8D (2)</vt:lpstr>
      <vt:lpstr>050225 Voirie 8D </vt:lpstr>
      <vt:lpstr>050225 Voirie 8B</vt:lpstr>
      <vt:lpstr>060225 Voirie 8A</vt:lpstr>
      <vt:lpstr>051124 CdF Gir Pardieu</vt:lpstr>
      <vt:lpstr>161024 CdF exist.</vt:lpstr>
      <vt:lpstr>190824 Comparatif</vt:lpstr>
      <vt:lpstr>190824 Dyna 31,5</vt:lpstr>
      <vt:lpstr>190824 CdF Dyna</vt:lpstr>
      <vt:lpstr>190824 CdF EV1_EV2</vt:lpstr>
      <vt:lpstr>'050225 Voirie 8B'!Zone_d_impression</vt:lpstr>
      <vt:lpstr>'050225 Voirie 8D '!Zone_d_impression</vt:lpstr>
      <vt:lpstr>'050225 Voirie 8D (2)'!Zone_d_impression</vt:lpstr>
      <vt:lpstr>'050325 CdF S08'!Zone_d_impression</vt:lpstr>
      <vt:lpstr>'050325 CdF S08 OA'!Zone_d_impression</vt:lpstr>
      <vt:lpstr>'050325 CdF Voirie Bret.'!Zone_d_impression</vt:lpstr>
      <vt:lpstr>'050325 CdF Voirie S8D'!Zone_d_impression</vt:lpstr>
      <vt:lpstr>'050325 CdF Voirie S8D (2)'!Zone_d_impression</vt:lpstr>
      <vt:lpstr>'051124 CdF Gir Pardieu'!Zone_d_impression</vt:lpstr>
      <vt:lpstr>'060225 Voirie 8A'!Zone_d_impression</vt:lpstr>
      <vt:lpstr>'140525 CDF zone 8a'!Zone_d_impression</vt:lpstr>
      <vt:lpstr>'140525 CDF zone 8b'!Zone_d_impression</vt:lpstr>
      <vt:lpstr>'140525 CDF zone 8d'!Zone_d_impression</vt:lpstr>
      <vt:lpstr>'161024 CdF exist.'!Zone_d_impression</vt:lpstr>
      <vt:lpstr>'190225 AT'!Zone_d_impression</vt:lpstr>
      <vt:lpstr>'190225 CdF'!Zone_d_impression</vt:lpstr>
      <vt:lpstr>'190824 CdF Dyna'!Zone_d_impression</vt:lpstr>
      <vt:lpstr>'190824 CdF EV1_EV2'!Zone_d_impression</vt:lpstr>
      <vt:lpstr>'190824 Comparatif'!Zone_d_impression</vt:lpstr>
      <vt:lpstr>'190824 Dyna 31,5'!Zone_d_impression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2025-05-14T09:25:33Z</cp:lastPrinted>
  <dcterms:created xsi:type="dcterms:W3CDTF">2004-11-13T18:13:05Z</dcterms:created>
  <dcterms:modified xsi:type="dcterms:W3CDTF">2025-05-14T09:26:06Z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