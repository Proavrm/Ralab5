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4\69\RA L14C  Lyon 7e - Réfection de tranchées\Essais de laboratoire\Enrobés\"/>
    </mc:Choice>
  </mc:AlternateContent>
  <xr:revisionPtr revIDLastSave="0" documentId="13_ncr:1_{58CB46C3-F2BC-4471-A252-8BE19B4A0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41124 BBSG Rosière" sheetId="42" r:id="rId1"/>
    <sheet name="131124 GB Rosière" sheetId="41" r:id="rId2"/>
    <sheet name="231024 BBSG Pasteur" sheetId="40" r:id="rId3"/>
    <sheet name="231024 GB pasteur" sheetId="39" r:id="rId4"/>
    <sheet name="151024 BBSG Lyon7" sheetId="38" r:id="rId5"/>
    <sheet name="151024 GB lyon7" sheetId="37" r:id="rId6"/>
    <sheet name="071024 BBSG 7e" sheetId="36" r:id="rId7"/>
    <sheet name="091024 GB 7e" sheetId="35" r:id="rId8"/>
    <sheet name="030724 BBSG Fays" sheetId="34" r:id="rId9"/>
    <sheet name="010724 GB Fays" sheetId="33" r:id="rId10"/>
    <sheet name="280224 GB Veyron" sheetId="32" r:id="rId11"/>
    <sheet name="270224 BBSG Veyron" sheetId="31" r:id="rId12"/>
    <sheet name="270224 GB Veyron" sheetId="30" r:id="rId13"/>
    <sheet name="070922 BBSG Chevrot" sheetId="29" r:id="rId14"/>
    <sheet name="070922 GB Chevrot" sheetId="28" r:id="rId15"/>
    <sheet name="300822" sheetId="27" r:id="rId16"/>
    <sheet name="180322 GB" sheetId="26" r:id="rId17"/>
    <sheet name="110222 (2)" sheetId="25" r:id="rId18"/>
    <sheet name="110222" sheetId="24" r:id="rId19"/>
    <sheet name="100222 (2)" sheetId="23" r:id="rId20"/>
    <sheet name="100222" sheetId="22" r:id="rId21"/>
    <sheet name="091221 (2)" sheetId="21" r:id="rId22"/>
    <sheet name="091221" sheetId="20" r:id="rId23"/>
    <sheet name="081221" sheetId="19" r:id="rId24"/>
    <sheet name="271021 (2)" sheetId="18" r:id="rId25"/>
    <sheet name="271021" sheetId="17" r:id="rId26"/>
    <sheet name="261021 (2)" sheetId="16" r:id="rId27"/>
    <sheet name="261021" sheetId="15" r:id="rId28"/>
    <sheet name="061021" sheetId="14" r:id="rId29"/>
    <sheet name="051021 (2)" sheetId="13" r:id="rId30"/>
    <sheet name="051021" sheetId="12" r:id="rId31"/>
    <sheet name="030921 (2)" sheetId="11" r:id="rId32"/>
    <sheet name="030921" sheetId="10" r:id="rId33"/>
    <sheet name="020921" sheetId="9" r:id="rId34"/>
    <sheet name="010921 (2)" sheetId="8" r:id="rId35"/>
    <sheet name="010921" sheetId="7" r:id="rId36"/>
    <sheet name="310821" sheetId="6" r:id="rId37"/>
    <sheet name="300821 (2)" sheetId="5" r:id="rId38"/>
    <sheet name="300821" sheetId="4" r:id="rId39"/>
    <sheet name="050721" sheetId="3" r:id="rId40"/>
    <sheet name="110621 (2)" sheetId="2" r:id="rId41"/>
    <sheet name="110621" sheetId="1" r:id="rId42"/>
  </sheets>
  <definedNames>
    <definedName name="_xlnm.Print_Area" localSheetId="9">'010724 GB Fays'!$A$1:$Z$63</definedName>
    <definedName name="_xlnm.Print_Area" localSheetId="35">'010921'!$A$1:$Z$64</definedName>
    <definedName name="_xlnm.Print_Area" localSheetId="34">'010921 (2)'!$A$1:$Z$64</definedName>
    <definedName name="_xlnm.Print_Area" localSheetId="33">'020921'!$A$1:$Z$64</definedName>
    <definedName name="_xlnm.Print_Area" localSheetId="8">'030724 BBSG Fays'!$A$1:$Z$66</definedName>
    <definedName name="_xlnm.Print_Area" localSheetId="32">'030921'!$A$1:$Z$64</definedName>
    <definedName name="_xlnm.Print_Area" localSheetId="31">'030921 (2)'!$A$1:$Z$64</definedName>
    <definedName name="_xlnm.Print_Area" localSheetId="39">'050721'!$A$1:$Z$64</definedName>
    <definedName name="_xlnm.Print_Area" localSheetId="30">'051021'!$A$1:$Z$64</definedName>
    <definedName name="_xlnm.Print_Area" localSheetId="29">'051021 (2)'!$A$1:$Z$64</definedName>
    <definedName name="_xlnm.Print_Area" localSheetId="28">'061021'!$A$1:$Z$63</definedName>
    <definedName name="_xlnm.Print_Area" localSheetId="13">'070922 BBSG Chevrot'!$A$1:$Z$67</definedName>
    <definedName name="_xlnm.Print_Area" localSheetId="14">'070922 GB Chevrot'!$A$1:$Z$67</definedName>
    <definedName name="_xlnm.Print_Area" localSheetId="6">'071024 BBSG 7e'!$A$1:$Z$63</definedName>
    <definedName name="_xlnm.Print_Area" localSheetId="23">'081221'!$A$1:$Z$63</definedName>
    <definedName name="_xlnm.Print_Area" localSheetId="7">'091024 GB 7e'!$A$1:$Z$63</definedName>
    <definedName name="_xlnm.Print_Area" localSheetId="22">'091221'!$A$1:$Z$63</definedName>
    <definedName name="_xlnm.Print_Area" localSheetId="21">'091221 (2)'!$A$1:$Z$63</definedName>
    <definedName name="_xlnm.Print_Area" localSheetId="20">'100222'!$A$1:$Z$64</definedName>
    <definedName name="_xlnm.Print_Area" localSheetId="19">'100222 (2)'!$A$1:$Z$63</definedName>
    <definedName name="_xlnm.Print_Area" localSheetId="18">'110222'!$A$1:$Z$69</definedName>
    <definedName name="_xlnm.Print_Area" localSheetId="17">'110222 (2)'!$A$1:$Z$64</definedName>
    <definedName name="_xlnm.Print_Area" localSheetId="41">'110621'!$A$1:$Z$64</definedName>
    <definedName name="_xlnm.Print_Area" localSheetId="40">'110621 (2)'!$A$1:$Z$64</definedName>
    <definedName name="_xlnm.Print_Area" localSheetId="1">'131124 GB Rosière'!$A$1:$Z$63</definedName>
    <definedName name="_xlnm.Print_Area" localSheetId="0">'141124 BBSG Rosière'!$A$1:$Z$63</definedName>
    <definedName name="_xlnm.Print_Area" localSheetId="4">'151024 BBSG Lyon7'!$A$1:$Z$63</definedName>
    <definedName name="_xlnm.Print_Area" localSheetId="5">'151024 GB lyon7'!$A$1:$Z$63</definedName>
    <definedName name="_xlnm.Print_Area" localSheetId="16">'180322 GB'!$A$1:$Z$67</definedName>
    <definedName name="_xlnm.Print_Area" localSheetId="2">'231024 BBSG Pasteur'!$A$1:$Z$63</definedName>
    <definedName name="_xlnm.Print_Area" localSheetId="3">'231024 GB pasteur'!$A$1:$Z$63</definedName>
    <definedName name="_xlnm.Print_Area" localSheetId="27">'261021'!$A$1:$Z$64</definedName>
    <definedName name="_xlnm.Print_Area" localSheetId="26">'261021 (2)'!$A$1:$Z$64</definedName>
    <definedName name="_xlnm.Print_Area" localSheetId="11">'270224 BBSG Veyron'!$A$1:$Z$72</definedName>
    <definedName name="_xlnm.Print_Area" localSheetId="12">'270224 GB Veyron'!$A$1:$Z$72</definedName>
    <definedName name="_xlnm.Print_Area" localSheetId="25">'271021'!$A$1:$Z$64</definedName>
    <definedName name="_xlnm.Print_Area" localSheetId="24">'271021 (2)'!$A$1:$Z$64</definedName>
    <definedName name="_xlnm.Print_Area" localSheetId="10">'280224 GB Veyron'!$A$1:$Z$72</definedName>
    <definedName name="_xlnm.Print_Area" localSheetId="38">'300821'!$A$1:$Z$63</definedName>
    <definedName name="_xlnm.Print_Area" localSheetId="37">'300821 (2)'!$A$1:$Z$64</definedName>
    <definedName name="_xlnm.Print_Area" localSheetId="15">'300822'!$A$1:$Z$63</definedName>
    <definedName name="_xlnm.Print_Area" localSheetId="36">'310821'!$A$1:$Z$64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33" l="1"/>
  <c r="L31" i="33"/>
  <c r="O31" i="33" s="1"/>
  <c r="L32" i="33"/>
  <c r="O32" i="33" s="1"/>
  <c r="L33" i="33"/>
  <c r="O33" i="33" s="1"/>
  <c r="L34" i="33"/>
  <c r="O34" i="33" s="1"/>
  <c r="L35" i="33"/>
  <c r="O35" i="33" s="1"/>
  <c r="L36" i="33"/>
  <c r="O36" i="33" s="1"/>
  <c r="L37" i="33"/>
  <c r="O37" i="33" s="1"/>
  <c r="L38" i="33"/>
  <c r="O38" i="33" s="1"/>
  <c r="L39" i="33"/>
  <c r="O39" i="33" s="1"/>
  <c r="L40" i="33"/>
  <c r="O40" i="33" s="1"/>
  <c r="L41" i="33"/>
  <c r="O41" i="33" s="1"/>
  <c r="L42" i="33"/>
  <c r="O42" i="33" s="1"/>
  <c r="L43" i="33"/>
  <c r="O43" i="33" s="1"/>
  <c r="L44" i="33"/>
  <c r="O44" i="33" s="1"/>
  <c r="L45" i="33"/>
  <c r="O45" i="33" s="1"/>
  <c r="L46" i="33"/>
  <c r="O46" i="33" s="1"/>
  <c r="L47" i="33"/>
  <c r="O47" i="33" s="1"/>
  <c r="L48" i="33"/>
  <c r="O48" i="33" s="1"/>
  <c r="L30" i="33"/>
  <c r="O30" i="33" s="1"/>
  <c r="L29" i="33"/>
  <c r="O29" i="33" s="1"/>
  <c r="O50" i="33" l="1"/>
  <c r="L50" i="33"/>
  <c r="L29" i="31" l="1"/>
  <c r="O29" i="31" s="1"/>
  <c r="L30" i="31"/>
  <c r="O30" i="31" s="1"/>
  <c r="L31" i="31"/>
  <c r="O31" i="31" s="1"/>
  <c r="L32" i="31"/>
  <c r="O32" i="31" s="1"/>
  <c r="L33" i="31"/>
  <c r="O33" i="31" s="1"/>
  <c r="L34" i="31"/>
  <c r="O34" i="31" s="1"/>
  <c r="L35" i="31"/>
  <c r="O35" i="31" s="1"/>
  <c r="L36" i="31"/>
  <c r="O36" i="31" s="1"/>
  <c r="L37" i="31"/>
  <c r="O37" i="31" s="1"/>
  <c r="L38" i="31"/>
  <c r="O38" i="31" s="1"/>
  <c r="L39" i="31"/>
  <c r="O39" i="31" s="1"/>
  <c r="L40" i="31"/>
  <c r="O40" i="31" s="1"/>
  <c r="L41" i="31"/>
  <c r="O41" i="31" s="1"/>
  <c r="L42" i="31"/>
  <c r="O42" i="31" s="1"/>
  <c r="L43" i="31"/>
  <c r="O43" i="31" s="1"/>
  <c r="L29" i="30"/>
  <c r="O29" i="30" s="1"/>
  <c r="L30" i="30"/>
  <c r="O30" i="30" s="1"/>
  <c r="L31" i="30"/>
  <c r="O31" i="30" s="1"/>
  <c r="L32" i="30"/>
  <c r="O32" i="30" s="1"/>
  <c r="L33" i="30"/>
  <c r="O33" i="30" s="1"/>
  <c r="L34" i="30"/>
  <c r="O34" i="30" s="1"/>
  <c r="L35" i="30"/>
  <c r="O35" i="30" s="1"/>
  <c r="L36" i="30"/>
  <c r="O36" i="30" s="1"/>
  <c r="L37" i="30"/>
  <c r="O37" i="30" s="1"/>
  <c r="L38" i="30"/>
  <c r="O38" i="30" s="1"/>
  <c r="L39" i="30"/>
  <c r="O39" i="30" s="1"/>
  <c r="L40" i="30"/>
  <c r="O40" i="30" s="1"/>
  <c r="L41" i="30"/>
  <c r="O41" i="30" s="1"/>
  <c r="L42" i="30"/>
  <c r="O42" i="30" s="1"/>
  <c r="L43" i="30"/>
  <c r="O43" i="30" s="1"/>
  <c r="I56" i="24"/>
  <c r="L42" i="24"/>
  <c r="O42" i="24" s="1"/>
  <c r="L41" i="24"/>
  <c r="O41" i="24" s="1"/>
  <c r="L40" i="24"/>
  <c r="O40" i="24" s="1"/>
  <c r="L39" i="24"/>
  <c r="O39" i="24" s="1"/>
  <c r="I50" i="19"/>
  <c r="L50" i="19"/>
  <c r="O50" i="19"/>
  <c r="O56" i="24" l="1"/>
  <c r="L56" i="24"/>
</calcChain>
</file>

<file path=xl/sharedStrings.xml><?xml version="1.0" encoding="utf-8"?>
<sst xmlns="http://schemas.openxmlformats.org/spreadsheetml/2006/main" count="3289" uniqueCount="195">
  <si>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</si>
  <si>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</si>
  <si>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</si>
  <si>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01</t>
  </si>
  <si>
    <t>RA L14C</t>
  </si>
  <si>
    <t>11/06/2021</t>
  </si>
  <si>
    <t>N°Chrono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</si>
  <si>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</si>
  <si>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</si>
  <si>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</si>
  <si>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</si>
  <si>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</si>
  <si>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</si>
  <si>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</si>
  <si>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</si>
  <si>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</si>
  <si>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</si>
  <si>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</si>
  <si>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</si>
  <si>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Epaisseur de la couche :</t>
  </si>
  <si>
    <t>9 cm</t>
  </si>
  <si>
    <t>Couche :</t>
  </si>
  <si>
    <t>Base</t>
  </si>
  <si>
    <t>Lieu de fabrication :</t>
  </si>
  <si>
    <t>P2R</t>
  </si>
  <si>
    <t>Date de mise en œuvre:</t>
  </si>
  <si>
    <t>Section contrôlée :</t>
  </si>
  <si>
    <t>Rue de Gerland</t>
  </si>
  <si>
    <t>Gammadensimètre :</t>
  </si>
  <si>
    <t>Humbolt-9340</t>
  </si>
  <si>
    <t>Conditions météorologiques :</t>
  </si>
  <si>
    <t>Beau</t>
  </si>
  <si>
    <t>Date du dernier calibrage :</t>
  </si>
  <si>
    <t>Mars 2021</t>
  </si>
  <si>
    <t>Profondeur de mesure :</t>
  </si>
  <si>
    <t>7,5cm</t>
  </si>
  <si>
    <t>Atelier de mise en œuvre :</t>
  </si>
  <si>
    <t>Mini finisseur,  bomag bw 120 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</si>
  <si>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</si>
  <si>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</si>
  <si>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</si>
  <si>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</si>
  <si>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</si>
  <si>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11</t>
  </si>
  <si>
    <t>≤ Moyenne de % de vide ≤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</si>
  <si>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</si>
  <si>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</si>
  <si>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</si>
  <si>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0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</si>
  <si>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</si>
  <si>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</si>
  <si>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</si>
  <si>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0"/>
        <color rgb="FF000000"/>
        <rFont val="Century Gothic"/>
        <family val="2"/>
      </rPr>
      <t>3</t>
    </r>
    <r>
      <rPr>
        <b/>
        <sz val="10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</si>
  <si>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</si>
  <si>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</si>
  <si>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</si>
  <si>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</si>
  <si>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</si>
  <si>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</si>
  <si>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</si>
  <si>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</si>
  <si>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</si>
  <si>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</si>
  <si>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</si>
  <si>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</si>
  <si>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</si>
  <si>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 :</t>
  </si>
  <si>
    <t>Nom</t>
  </si>
  <si>
    <t>Fonction</t>
  </si>
  <si>
    <t>5/</t>
  </si>
  <si>
    <t>COMMENTAIRES</t>
  </si>
  <si>
    <t>Visa</t>
  </si>
  <si>
    <t>Réfection de tranchées Lyon 7ème</t>
  </si>
  <si>
    <t xml:space="preserve"> F. MONTET</t>
  </si>
  <si>
    <t>Conforme</t>
  </si>
  <si>
    <t>Technicien de laboratoire</t>
  </si>
  <si>
    <t xml:space="preserve"> 8</t>
  </si>
  <si>
    <t>Rétrodiffusion</t>
  </si>
  <si>
    <t>Roulement</t>
  </si>
  <si>
    <t>6 cm</t>
  </si>
  <si>
    <t>BBSG 0/10 Classe 2</t>
  </si>
  <si>
    <t>02</t>
  </si>
  <si>
    <t xml:space="preserve"> 9</t>
  </si>
  <si>
    <t>Mini finisseur , bomag CC120ad</t>
  </si>
  <si>
    <t>05/07/2021</t>
  </si>
  <si>
    <t>03</t>
  </si>
  <si>
    <t>Rue de Gerland (total)</t>
  </si>
  <si>
    <t>Atelier manuel</t>
  </si>
  <si>
    <t>Carrefour Tony Garnier rue de Gerland</t>
  </si>
  <si>
    <t>30/08/2021</t>
  </si>
  <si>
    <t>04</t>
  </si>
  <si>
    <t>Fondation/Base</t>
  </si>
  <si>
    <t>8/9 cm</t>
  </si>
  <si>
    <t>couche de fondation 8 cm</t>
  </si>
  <si>
    <t>couche de base 9 cm</t>
  </si>
  <si>
    <t>Couvert</t>
  </si>
  <si>
    <t>BBSG 0/10 Classe 3</t>
  </si>
  <si>
    <t>05</t>
  </si>
  <si>
    <t>31/08/2021</t>
  </si>
  <si>
    <t>Fondation</t>
  </si>
  <si>
    <t>11 cm</t>
  </si>
  <si>
    <t>06</t>
  </si>
  <si>
    <t>10cm</t>
  </si>
  <si>
    <t>01/09/2021</t>
  </si>
  <si>
    <t>07</t>
  </si>
  <si>
    <t>08</t>
  </si>
  <si>
    <t>02/09/2021</t>
  </si>
  <si>
    <t>03/09/2021</t>
  </si>
  <si>
    <t>05/10/2021</t>
  </si>
  <si>
    <t>06/10/2021</t>
  </si>
  <si>
    <t>Rue Clément Marot</t>
  </si>
  <si>
    <t>26/10/2021</t>
  </si>
  <si>
    <t>12 / 9 cm</t>
  </si>
  <si>
    <t>Mini finisseur, bomag bw 120 ad</t>
  </si>
  <si>
    <t>Epaisseur 12 cm</t>
  </si>
  <si>
    <t>Epaisseur 9 cm</t>
  </si>
  <si>
    <t>Mini finisseur, bomag bw120ad</t>
  </si>
  <si>
    <t>12 cm</t>
  </si>
  <si>
    <t>27/10/2021</t>
  </si>
  <si>
    <t>Mini finisseur, bomag bw100ad</t>
  </si>
  <si>
    <t>PQI</t>
  </si>
  <si>
    <t>Rue Croix-Barret</t>
  </si>
  <si>
    <t>08/12/2021</t>
  </si>
  <si>
    <t>F</t>
  </si>
  <si>
    <t>09/12/2021</t>
  </si>
  <si>
    <t>Février 2022</t>
  </si>
  <si>
    <t>Avenue Tony Garnier</t>
  </si>
  <si>
    <t>10/02/2022</t>
  </si>
  <si>
    <t>11/02/2022</t>
  </si>
  <si>
    <t>Non conforme</t>
  </si>
  <si>
    <t>Chef de section laboratoire</t>
  </si>
  <si>
    <t xml:space="preserve"> Sylvain LHOPITAL</t>
  </si>
  <si>
    <t>Vogele Super 700-3i, Bomag BW120AD</t>
  </si>
  <si>
    <t>Rue C. Marot</t>
  </si>
  <si>
    <t>18/03/2022</t>
  </si>
  <si>
    <t>Sylvain LHOPITAL</t>
  </si>
  <si>
    <r>
      <t>Lyon 7</t>
    </r>
    <r>
      <rPr>
        <b/>
        <vertAlign val="superscript"/>
        <sz val="14"/>
        <color rgb="FF000000"/>
        <rFont val="Century Gothic"/>
        <family val="2"/>
      </rPr>
      <t>ème</t>
    </r>
    <r>
      <rPr>
        <b/>
        <sz val="14"/>
        <color rgb="FF000000"/>
        <rFont val="Century Gothic"/>
        <family val="2"/>
      </rPr>
      <t xml:space="preserve">
Réfection de tranchées</t>
    </r>
  </si>
  <si>
    <r>
      <t>Masse volumique (g/cm</t>
    </r>
    <r>
      <rPr>
        <b/>
        <vertAlign val="superscript"/>
        <sz val="10"/>
        <color rgb="FF000000"/>
        <rFont val="Century Gothic"/>
        <family val="2"/>
      </rPr>
      <t>3</t>
    </r>
    <r>
      <rPr>
        <b/>
        <sz val="10"/>
        <color rgb="FF000000"/>
        <rFont val="Century Gothic"/>
        <family val="2"/>
      </rPr>
      <t>)</t>
    </r>
  </si>
  <si>
    <r>
      <t>g/cm</t>
    </r>
    <r>
      <rPr>
        <b/>
        <vertAlign val="superscript"/>
        <sz val="10"/>
        <color rgb="FF000000"/>
        <rFont val="Century Gothic"/>
        <family val="2"/>
      </rPr>
      <t>3</t>
    </r>
  </si>
  <si>
    <t>Finisseur Vogele super 1800-3i, hamm hd 14</t>
  </si>
  <si>
    <t>Allée Pierre de Coubertin</t>
  </si>
  <si>
    <t>30/08/2022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</si>
  <si>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</si>
  <si>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Réfection de tranchées - Lyon 7</t>
  </si>
  <si>
    <t xml:space="preserve"> SYLVAIN LHOPITAL</t>
  </si>
  <si>
    <t>Fevrier 2022</t>
  </si>
  <si>
    <t>Rue Chevrot et carrefour Chevrot/Coubertin</t>
  </si>
  <si>
    <t>07/09/2022</t>
  </si>
  <si>
    <t>Vogele Super 800i, Bomag BW120AD5</t>
  </si>
  <si>
    <t>6/</t>
  </si>
  <si>
    <t>Contrôle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</si>
  <si>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</si>
  <si>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</si>
  <si>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>Vogele Super700-3i, Bomag BW120AD</t>
  </si>
  <si>
    <t>Rue Cl. Veyron</t>
  </si>
  <si>
    <t>27/02/2024</t>
  </si>
  <si>
    <t>Laboratoire Rhône Auvergne - 29-31 rue des tâches - ZI mi-plaine - 69800 SAINT PRIEST</t>
  </si>
  <si>
    <t>Février 23</t>
  </si>
  <si>
    <t>28/02/2024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</si>
  <si>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</si>
  <si>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</si>
  <si>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t>Mars 2024</t>
  </si>
  <si>
    <t>Rue Fays - Villeurbanne</t>
  </si>
  <si>
    <t>01/07/2024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</si>
  <si>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</si>
  <si>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Lyon 7eme - réfection de tranchées</t>
  </si>
  <si>
    <t>Mini finisseur, hamm hd 14</t>
  </si>
  <si>
    <t>Mini-finisseur, hamm hd 14</t>
  </si>
  <si>
    <t>03/07/2024</t>
  </si>
  <si>
    <t>4 rue simone de Beauvoir</t>
  </si>
  <si>
    <t>93 rue de gerland</t>
  </si>
  <si>
    <t>105 rue de gerland</t>
  </si>
  <si>
    <t>169 rue de gerland</t>
  </si>
  <si>
    <t>Atelier manuel, Amman ARW65</t>
  </si>
  <si>
    <t>Lyon 7</t>
  </si>
  <si>
    <t>09/10/2024</t>
  </si>
  <si>
    <t>168 rue de gerland</t>
  </si>
  <si>
    <t>4 rue simone de beauvoir</t>
  </si>
  <si>
    <t>Atelier manuel, Ammann ARW65</t>
  </si>
  <si>
    <t>38 rue simone de Beauvoir</t>
  </si>
  <si>
    <t>30 rue simone de Beauvoir</t>
  </si>
  <si>
    <t>15/10/2024</t>
  </si>
  <si>
    <t>94 Av Jean Jaurès</t>
  </si>
  <si>
    <t>38 rue Simone de Beauvoir</t>
  </si>
  <si>
    <t>94 rue Jaures</t>
  </si>
  <si>
    <t>Rue Bonald</t>
  </si>
  <si>
    <t>Rue pasteur</t>
  </si>
  <si>
    <t>Rue Bonald / rue Pasteur</t>
  </si>
  <si>
    <t>23/10/2024</t>
  </si>
  <si>
    <t>GB 0/14 Cl3</t>
  </si>
  <si>
    <t>Laboratoire Rhône Auvergne - Avenue de l'Europe - ZA Le Petit Champ - 63430 PONT DU CHÂTEAU</t>
  </si>
  <si>
    <t>Atelier manuel, Bomag bw120ad</t>
  </si>
  <si>
    <t>Rue de la rosière</t>
  </si>
  <si>
    <t>13/11/2024</t>
  </si>
  <si>
    <t>Lyon - réfection de tranchées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</si>
</sst>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&quot; %&quot;"/>
  </numFmts>
  <fonts count="4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  <font>
      <sz val="10"/>
      <color rgb="FF000000"/>
      <name val="Arial"/>
      <family val="2"/>
    </font>
    <font>
      <b/>
      <vertAlign val="superscript"/>
      <sz val="14"/>
      <color rgb="FF000000"/>
      <name val="Century Gothic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vertAlign val="superscript"/>
      <sz val="11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  <font>
      <sz val="8"/>
      <name val="Arial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/>
  </cellStyleXfs>
  <cellXfs count="81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5" fillId="0" borderId="0" xfId="1"/>
    <xf numFmtId="0" fontId="1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hidden="1"/>
    </xf>
    <xf numFmtId="0" fontId="4" fillId="0" borderId="8" xfId="1" applyFont="1" applyBorder="1" applyAlignment="1" applyProtection="1">
      <alignment vertical="center"/>
      <protection locked="0"/>
    </xf>
    <xf numFmtId="0" fontId="4" fillId="0" borderId="2" xfId="1" applyFont="1" applyBorder="1" applyAlignment="1" applyProtection="1">
      <alignment vertical="center"/>
      <protection locked="0"/>
    </xf>
    <xf numFmtId="0" fontId="4" fillId="0" borderId="1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9" fillId="0" borderId="5" xfId="1" applyFont="1" applyBorder="1" applyAlignment="1" applyProtection="1">
      <alignment vertical="center"/>
      <protection hidden="1"/>
    </xf>
    <xf numFmtId="0" fontId="9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2" fillId="0" borderId="14" xfId="1" applyFont="1" applyBorder="1" applyAlignment="1" applyProtection="1">
      <alignment vertical="center"/>
      <protection hidden="1"/>
    </xf>
    <xf numFmtId="0" fontId="2" fillId="0" borderId="13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2" fontId="1" fillId="0" borderId="21" xfId="1" applyNumberFormat="1" applyFont="1" applyBorder="1" applyAlignment="1" applyProtection="1">
      <alignment horizontal="center" vertical="center"/>
      <protection hidden="1"/>
    </xf>
    <xf numFmtId="2" fontId="1" fillId="0" borderId="16" xfId="1" applyNumberFormat="1" applyFont="1" applyBorder="1" applyAlignment="1" applyProtection="1">
      <alignment horizontal="center" vertical="center"/>
      <protection hidden="1"/>
    </xf>
    <xf numFmtId="165" fontId="1" fillId="0" borderId="18" xfId="1" applyNumberFormat="1" applyFont="1" applyBorder="1" applyAlignment="1">
      <alignment horizontal="center" vertical="center"/>
    </xf>
    <xf numFmtId="165" fontId="1" fillId="0" borderId="16" xfId="1" applyNumberFormat="1" applyFont="1" applyBorder="1" applyAlignment="1">
      <alignment horizontal="center" vertical="center"/>
    </xf>
    <xf numFmtId="165" fontId="1" fillId="0" borderId="17" xfId="1" applyNumberFormat="1" applyFont="1" applyBorder="1" applyAlignment="1">
      <alignment horizontal="center" vertical="center"/>
    </xf>
    <xf numFmtId="164" fontId="1" fillId="0" borderId="16" xfId="1" applyNumberFormat="1" applyFont="1" applyBorder="1" applyAlignment="1" applyProtection="1">
      <alignment horizontal="center" vertical="center"/>
      <protection locked="0"/>
    </xf>
    <xf numFmtId="0" fontId="1" fillId="0" borderId="18" xfId="1" applyFont="1" applyBorder="1" applyAlignment="1" applyProtection="1">
      <alignment horizontal="center" vertical="center"/>
      <protection locked="0"/>
    </xf>
    <xf numFmtId="0" fontId="1" fillId="0" borderId="16" xfId="1" applyFont="1" applyBorder="1" applyAlignment="1" applyProtection="1">
      <alignment horizontal="center" vertical="center"/>
      <protection locked="0"/>
    </xf>
    <xf numFmtId="0" fontId="1" fillId="0" borderId="17" xfId="1" applyFont="1" applyBorder="1" applyAlignment="1" applyProtection="1">
      <alignment horizontal="center" vertical="center"/>
      <protection locked="0"/>
    </xf>
    <xf numFmtId="0" fontId="1" fillId="0" borderId="16" xfId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right" vertical="center"/>
      <protection hidden="1"/>
    </xf>
    <xf numFmtId="0" fontId="2" fillId="0" borderId="0" xfId="1" applyFont="1" applyAlignment="1" applyProtection="1">
      <alignment vertical="center"/>
      <protection hidden="1"/>
    </xf>
    <xf numFmtId="14" fontId="6" fillId="0" borderId="0" xfId="1" applyNumberFormat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 vertical="center"/>
      <protection hidden="1"/>
    </xf>
    <xf numFmtId="0" fontId="3" fillId="0" borderId="0" xfId="1" applyFont="1" applyAlignment="1" applyProtection="1">
      <alignment horizontal="right" vertical="center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4" fillId="0" borderId="7" xfId="1" applyFont="1" applyBorder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20" fillId="0" borderId="8" xfId="0" applyFont="1" applyBorder="1" applyAlignment="1" applyProtection="1">
      <alignment vertical="center"/>
      <protection locked="0"/>
    </xf>
    <xf numFmtId="0" fontId="20" fillId="0" borderId="2" xfId="0" applyFont="1" applyBorder="1" applyAlignment="1" applyProtection="1">
      <alignment vertical="center"/>
      <protection locked="0"/>
    </xf>
    <xf numFmtId="0" fontId="20" fillId="0" borderId="1" xfId="0" applyFont="1" applyBorder="1" applyAlignment="1" applyProtection="1">
      <alignment vertical="center"/>
      <protection locked="0"/>
    </xf>
    <xf numFmtId="0" fontId="20" fillId="0" borderId="7" xfId="0" applyFont="1" applyBorder="1" applyAlignment="1" applyProtection="1">
      <alignment vertical="center"/>
      <protection locked="0"/>
    </xf>
    <xf numFmtId="0" fontId="20" fillId="0" borderId="6" xfId="0" applyFont="1" applyBorder="1" applyAlignment="1" applyProtection="1">
      <alignment vertical="center"/>
      <protection locked="0"/>
    </xf>
    <xf numFmtId="0" fontId="20" fillId="0" borderId="5" xfId="0" applyFont="1" applyBorder="1" applyAlignment="1" applyProtection="1">
      <alignment vertical="center"/>
      <protection locked="0"/>
    </xf>
    <xf numFmtId="0" fontId="20" fillId="0" borderId="4" xfId="0" applyFont="1" applyBorder="1" applyAlignment="1" applyProtection="1">
      <alignment vertical="center"/>
      <protection locked="0"/>
    </xf>
    <xf numFmtId="0" fontId="20" fillId="0" borderId="3" xfId="0" applyFont="1" applyBorder="1" applyAlignment="1" applyProtection="1">
      <alignment vertical="center"/>
      <protection locked="0"/>
    </xf>
    <xf numFmtId="0" fontId="18" fillId="0" borderId="5" xfId="0" applyFont="1" applyBorder="1" applyAlignment="1" applyProtection="1">
      <alignment vertical="center"/>
      <protection hidden="1"/>
    </xf>
    <xf numFmtId="0" fontId="18" fillId="0" borderId="4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21" fillId="0" borderId="4" xfId="0" applyFont="1" applyBorder="1" applyAlignment="1" applyProtection="1">
      <alignment vertical="center"/>
      <protection hidden="1"/>
    </xf>
    <xf numFmtId="0" fontId="22" fillId="0" borderId="3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17" fillId="0" borderId="12" xfId="0" applyFont="1" applyBorder="1" applyAlignment="1" applyProtection="1">
      <alignment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vertical="center"/>
      <protection hidden="1"/>
    </xf>
    <xf numFmtId="0" fontId="17" fillId="0" borderId="6" xfId="0" applyFont="1" applyBorder="1" applyAlignment="1" applyProtection="1">
      <alignment horizontal="center" vertical="center"/>
      <protection hidden="1"/>
    </xf>
    <xf numFmtId="0" fontId="17" fillId="0" borderId="13" xfId="0" applyFont="1" applyBorder="1" applyAlignment="1" applyProtection="1">
      <alignment vertical="center"/>
      <protection hidden="1"/>
    </xf>
    <xf numFmtId="0" fontId="22" fillId="0" borderId="14" xfId="0" applyFont="1" applyBorder="1" applyAlignment="1" applyProtection="1">
      <alignment vertical="center"/>
      <protection hidden="1"/>
    </xf>
    <xf numFmtId="0" fontId="22" fillId="0" borderId="13" xfId="0" applyFont="1" applyBorder="1" applyAlignment="1" applyProtection="1">
      <alignment vertical="center"/>
      <protection hidden="1"/>
    </xf>
    <xf numFmtId="0" fontId="17" fillId="0" borderId="10" xfId="0" applyFont="1" applyBorder="1" applyAlignment="1" applyProtection="1">
      <alignment vertical="center"/>
      <protection hidden="1"/>
    </xf>
    <xf numFmtId="0" fontId="24" fillId="0" borderId="10" xfId="0" applyFont="1" applyBorder="1" applyAlignment="1" applyProtection="1">
      <alignment vertical="center"/>
      <protection hidden="1"/>
    </xf>
    <xf numFmtId="0" fontId="21" fillId="0" borderId="10" xfId="0" applyFont="1" applyBorder="1" applyAlignment="1" applyProtection="1">
      <alignment vertical="center"/>
      <protection hidden="1"/>
    </xf>
    <xf numFmtId="0" fontId="22" fillId="0" borderId="9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vertical="center"/>
      <protection hidden="1"/>
    </xf>
    <xf numFmtId="0" fontId="17" fillId="0" borderId="7" xfId="0" applyFont="1" applyBorder="1" applyAlignment="1" applyProtection="1">
      <alignment vertical="center"/>
      <protection hidden="1"/>
    </xf>
    <xf numFmtId="0" fontId="17" fillId="0" borderId="6" xfId="0" applyFont="1" applyBorder="1" applyAlignment="1" applyProtection="1">
      <alignment vertical="center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17" fillId="0" borderId="5" xfId="0" applyFont="1" applyBorder="1" applyAlignment="1" applyProtection="1">
      <alignment vertical="center"/>
      <protection hidden="1"/>
    </xf>
    <xf numFmtId="0" fontId="25" fillId="0" borderId="4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20" fillId="0" borderId="7" xfId="0" applyFont="1" applyBorder="1" applyAlignment="1" applyProtection="1">
      <alignment horizontal="left" vertical="center"/>
      <protection hidden="1"/>
    </xf>
    <xf numFmtId="0" fontId="20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right"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0" fillId="0" borderId="7" xfId="0" applyFont="1" applyBorder="1" applyAlignment="1" applyProtection="1">
      <alignment vertical="center"/>
      <protection hidden="1"/>
    </xf>
    <xf numFmtId="14" fontId="23" fillId="0" borderId="0" xfId="0" applyNumberFormat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right" vertical="center"/>
      <protection hidden="1"/>
    </xf>
    <xf numFmtId="0" fontId="21" fillId="0" borderId="0" xfId="0" applyFont="1" applyAlignment="1" applyProtection="1">
      <alignment horizontal="right" vertical="center"/>
      <protection hidden="1"/>
    </xf>
    <xf numFmtId="0" fontId="17" fillId="0" borderId="2" xfId="0" applyFont="1" applyBorder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vertical="center"/>
      <protection hidden="1"/>
    </xf>
    <xf numFmtId="0" fontId="4" fillId="0" borderId="16" xfId="1" applyFont="1" applyBorder="1" applyAlignment="1" applyProtection="1">
      <alignment horizontal="center" vertical="center"/>
      <protection locked="0"/>
    </xf>
    <xf numFmtId="0" fontId="4" fillId="0" borderId="18" xfId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9" fillId="0" borderId="7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5" fillId="0" borderId="18" xfId="1" applyFont="1" applyBorder="1" applyAlignment="1" applyProtection="1">
      <alignment vertical="center" wrapText="1"/>
      <protection hidden="1"/>
    </xf>
    <xf numFmtId="0" fontId="5" fillId="0" borderId="16" xfId="1" applyFont="1" applyBorder="1" applyAlignment="1" applyProtection="1">
      <alignment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1" fillId="0" borderId="16" xfId="1" applyFont="1" applyBorder="1" applyAlignment="1" applyProtection="1">
      <alignment vertical="center"/>
      <protection hidden="1"/>
    </xf>
    <xf numFmtId="2" fontId="4" fillId="0" borderId="21" xfId="1" applyNumberFormat="1" applyFont="1" applyBorder="1" applyAlignment="1" applyProtection="1">
      <alignment horizontal="center" vertical="center"/>
      <protection hidden="1"/>
    </xf>
    <xf numFmtId="2" fontId="4" fillId="0" borderId="16" xfId="1" applyNumberFormat="1" applyFont="1" applyBorder="1" applyAlignment="1" applyProtection="1">
      <alignment horizontal="center" vertical="center"/>
      <protection hidden="1"/>
    </xf>
    <xf numFmtId="165" fontId="4" fillId="0" borderId="18" xfId="1" applyNumberFormat="1" applyFont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165" fontId="4" fillId="0" borderId="17" xfId="1" applyNumberFormat="1" applyFont="1" applyBorder="1" applyAlignment="1">
      <alignment horizontal="center" vertical="center"/>
    </xf>
    <xf numFmtId="164" fontId="4" fillId="0" borderId="16" xfId="1" applyNumberFormat="1" applyFont="1" applyBorder="1" applyAlignment="1" applyProtection="1">
      <alignment horizontal="center" vertical="center"/>
      <protection locked="0"/>
    </xf>
    <xf numFmtId="0" fontId="4" fillId="0" borderId="17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/>
      <protection hidden="1"/>
    </xf>
    <xf numFmtId="0" fontId="4" fillId="0" borderId="15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4" xfId="1" applyFont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hidden="1"/>
    </xf>
    <xf numFmtId="0" fontId="30" fillId="0" borderId="8" xfId="0" applyFont="1" applyBorder="1" applyAlignment="1" applyProtection="1">
      <alignment vertical="center" wrapText="1"/>
      <protection locked="0"/>
    </xf>
    <xf numFmtId="0" fontId="30" fillId="0" borderId="2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7" xfId="0" applyFont="1" applyBorder="1" applyAlignment="1" applyProtection="1">
      <alignment vertical="center" wrapText="1"/>
      <protection locked="0"/>
    </xf>
    <xf numFmtId="0" fontId="30" fillId="0" borderId="6" xfId="0" applyFont="1" applyBorder="1" applyAlignment="1" applyProtection="1">
      <alignment vertical="center" wrapText="1"/>
      <protection locked="0"/>
    </xf>
    <xf numFmtId="0" fontId="30" fillId="0" borderId="5" xfId="0" applyFont="1" applyBorder="1" applyAlignment="1" applyProtection="1">
      <alignment vertical="center" wrapText="1"/>
      <protection locked="0"/>
    </xf>
    <xf numFmtId="0" fontId="30" fillId="0" borderId="4" xfId="0" applyFont="1" applyBorder="1" applyAlignment="1" applyProtection="1">
      <alignment vertical="center" wrapText="1"/>
      <protection locked="0"/>
    </xf>
    <xf numFmtId="0" fontId="30" fillId="0" borderId="3" xfId="0" applyFont="1" applyBorder="1" applyAlignment="1" applyProtection="1">
      <alignment vertical="center" wrapText="1"/>
      <protection locked="0"/>
    </xf>
    <xf numFmtId="0" fontId="31" fillId="0" borderId="7" xfId="0" applyFont="1" applyBorder="1" applyAlignment="1" applyProtection="1">
      <alignment vertical="center"/>
      <protection hidden="1"/>
    </xf>
    <xf numFmtId="0" fontId="34" fillId="0" borderId="0" xfId="0" applyFont="1" applyAlignment="1" applyProtection="1">
      <alignment vertical="center"/>
      <protection hidden="1"/>
    </xf>
    <xf numFmtId="0" fontId="35" fillId="0" borderId="6" xfId="0" applyFont="1" applyBorder="1" applyAlignment="1" applyProtection="1">
      <alignment horizontal="center" vertical="center"/>
      <protection hidden="1"/>
    </xf>
    <xf numFmtId="0" fontId="32" fillId="0" borderId="18" xfId="0" applyFont="1" applyBorder="1" applyAlignment="1" applyProtection="1">
      <alignment vertical="center" wrapText="1"/>
      <protection hidden="1"/>
    </xf>
    <xf numFmtId="0" fontId="32" fillId="0" borderId="16" xfId="0" applyFont="1" applyBorder="1" applyAlignment="1" applyProtection="1">
      <alignment vertical="center" wrapText="1"/>
      <protection hidden="1"/>
    </xf>
    <xf numFmtId="0" fontId="32" fillId="0" borderId="0" xfId="0" applyFont="1" applyAlignment="1" applyProtection="1">
      <alignment vertical="center" wrapText="1"/>
      <protection hidden="1"/>
    </xf>
    <xf numFmtId="0" fontId="30" fillId="0" borderId="10" xfId="0" applyFont="1" applyBorder="1" applyAlignment="1" applyProtection="1">
      <alignment vertical="center"/>
      <protection hidden="1"/>
    </xf>
    <xf numFmtId="0" fontId="36" fillId="0" borderId="10" xfId="0" applyFont="1" applyBorder="1" applyAlignment="1" applyProtection="1">
      <alignment vertical="center"/>
      <protection hidden="1"/>
    </xf>
    <xf numFmtId="0" fontId="34" fillId="0" borderId="10" xfId="0" applyFont="1" applyBorder="1" applyAlignment="1" applyProtection="1">
      <alignment vertical="center"/>
      <protection hidden="1"/>
    </xf>
    <xf numFmtId="0" fontId="35" fillId="0" borderId="9" xfId="0" applyFont="1" applyBorder="1" applyAlignment="1" applyProtection="1">
      <alignment horizontal="center" vertical="center"/>
      <protection hidden="1"/>
    </xf>
    <xf numFmtId="0" fontId="30" fillId="0" borderId="16" xfId="0" applyFont="1" applyBorder="1" applyAlignment="1" applyProtection="1">
      <alignment vertical="center"/>
      <protection hidden="1"/>
    </xf>
    <xf numFmtId="0" fontId="30" fillId="0" borderId="8" xfId="0" applyFont="1" applyBorder="1" applyAlignment="1" applyProtection="1">
      <alignment vertical="center"/>
      <protection hidden="1"/>
    </xf>
    <xf numFmtId="0" fontId="30" fillId="0" borderId="2" xfId="0" applyFont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vertical="center"/>
      <protection hidden="1"/>
    </xf>
    <xf numFmtId="0" fontId="30" fillId="0" borderId="7" xfId="0" applyFont="1" applyBorder="1" applyAlignment="1" applyProtection="1">
      <alignment vertical="center"/>
      <protection hidden="1"/>
    </xf>
    <xf numFmtId="0" fontId="30" fillId="0" borderId="6" xfId="0" applyFont="1" applyBorder="1" applyAlignment="1" applyProtection="1">
      <alignment vertical="center"/>
      <protection hidden="1"/>
    </xf>
    <xf numFmtId="0" fontId="38" fillId="0" borderId="2" xfId="0" applyFont="1" applyBorder="1" applyAlignment="1" applyProtection="1">
      <alignment horizontal="center" vertical="center"/>
      <protection hidden="1"/>
    </xf>
    <xf numFmtId="0" fontId="30" fillId="0" borderId="5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vertical="center"/>
      <protection hidden="1"/>
    </xf>
    <xf numFmtId="0" fontId="38" fillId="0" borderId="4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horizontal="center" vertical="center"/>
      <protection hidden="1"/>
    </xf>
    <xf numFmtId="0" fontId="34" fillId="0" borderId="4" xfId="0" applyFont="1" applyBorder="1" applyAlignment="1" applyProtection="1">
      <alignment vertical="center"/>
      <protection hidden="1"/>
    </xf>
    <xf numFmtId="0" fontId="35" fillId="0" borderId="3" xfId="0" applyFont="1" applyBorder="1" applyAlignment="1" applyProtection="1">
      <alignment horizontal="center" vertical="center"/>
      <protection hidden="1"/>
    </xf>
    <xf numFmtId="0" fontId="37" fillId="0" borderId="0" xfId="0" applyFont="1" applyAlignment="1" applyProtection="1">
      <alignment vertical="center"/>
      <protection hidden="1"/>
    </xf>
    <xf numFmtId="0" fontId="30" fillId="0" borderId="2" xfId="0" applyFont="1" applyBorder="1" applyAlignment="1" applyProtection="1">
      <alignment vertical="center"/>
      <protection hidden="1"/>
    </xf>
    <xf numFmtId="0" fontId="33" fillId="0" borderId="7" xfId="0" applyFont="1" applyBorder="1" applyAlignment="1" applyProtection="1">
      <alignment horizontal="left" vertical="center"/>
      <protection hidden="1"/>
    </xf>
    <xf numFmtId="0" fontId="33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vertical="center"/>
      <protection hidden="1"/>
    </xf>
    <xf numFmtId="0" fontId="33" fillId="0" borderId="0" xfId="0" applyFont="1" applyAlignment="1" applyProtection="1">
      <alignment horizontal="right" vertical="center"/>
      <protection locked="0"/>
    </xf>
    <xf numFmtId="0" fontId="33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vertical="center"/>
      <protection hidden="1"/>
    </xf>
    <xf numFmtId="0" fontId="33" fillId="0" borderId="7" xfId="0" applyFont="1" applyBorder="1" applyAlignment="1" applyProtection="1">
      <alignment vertical="center"/>
      <protection hidden="1"/>
    </xf>
    <xf numFmtId="14" fontId="38" fillId="0" borderId="0" xfId="0" applyNumberFormat="1" applyFont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right" vertical="center"/>
      <protection hidden="1"/>
    </xf>
    <xf numFmtId="0" fontId="34" fillId="0" borderId="0" xfId="0" applyFont="1" applyAlignment="1" applyProtection="1">
      <alignment horizontal="right" vertical="center"/>
      <protection hidden="1"/>
    </xf>
    <xf numFmtId="0" fontId="30" fillId="0" borderId="2" xfId="0" applyFont="1" applyBorder="1" applyAlignment="1" applyProtection="1">
      <alignment horizontal="left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42" fillId="0" borderId="2" xfId="0" applyFont="1" applyBorder="1" applyAlignment="1" applyProtection="1">
      <alignment vertical="center"/>
      <protection hidden="1"/>
    </xf>
    <xf numFmtId="0" fontId="38" fillId="0" borderId="4" xfId="0" applyFont="1" applyBorder="1" applyAlignment="1" applyProtection="1">
      <alignment horizontal="center" vertical="center"/>
      <protection hidden="1"/>
    </xf>
    <xf numFmtId="0" fontId="32" fillId="0" borderId="4" xfId="0" applyFont="1" applyBorder="1" applyAlignment="1" applyProtection="1">
      <alignment vertical="center" wrapText="1"/>
      <protection hidden="1"/>
    </xf>
    <xf numFmtId="0" fontId="33" fillId="0" borderId="2" xfId="0" applyFont="1" applyBorder="1" applyAlignment="1" applyProtection="1">
      <alignment vertical="center"/>
      <protection hidden="1"/>
    </xf>
    <xf numFmtId="0" fontId="33" fillId="0" borderId="7" xfId="0" applyFont="1" applyBorder="1" applyAlignment="1" applyProtection="1">
      <alignment vertical="center"/>
      <protection locked="0"/>
    </xf>
    <xf numFmtId="2" fontId="33" fillId="0" borderId="16" xfId="0" applyNumberFormat="1" applyFont="1" applyBorder="1" applyAlignment="1" applyProtection="1">
      <alignment horizontal="center" vertical="center"/>
      <protection hidden="1"/>
    </xf>
    <xf numFmtId="2" fontId="33" fillId="0" borderId="21" xfId="0" applyNumberFormat="1" applyFont="1" applyBorder="1" applyAlignment="1" applyProtection="1">
      <alignment horizontal="center" vertical="center"/>
      <protection hidden="1"/>
    </xf>
    <xf numFmtId="165" fontId="33" fillId="0" borderId="16" xfId="0" applyNumberFormat="1" applyFont="1" applyBorder="1" applyAlignment="1">
      <alignment horizontal="center" vertical="center"/>
    </xf>
    <xf numFmtId="165" fontId="33" fillId="0" borderId="18" xfId="0" applyNumberFormat="1" applyFont="1" applyBorder="1" applyAlignment="1">
      <alignment horizontal="center" vertical="center"/>
    </xf>
    <xf numFmtId="0" fontId="33" fillId="0" borderId="15" xfId="0" applyFont="1" applyBorder="1" applyAlignment="1" applyProtection="1">
      <alignment horizontal="center" vertical="center"/>
      <protection hidden="1"/>
    </xf>
    <xf numFmtId="0" fontId="33" fillId="0" borderId="16" xfId="0" applyFont="1" applyBorder="1" applyAlignment="1" applyProtection="1">
      <alignment horizontal="center" vertical="center"/>
      <protection hidden="1"/>
    </xf>
    <xf numFmtId="0" fontId="33" fillId="0" borderId="17" xfId="0" applyFont="1" applyBorder="1" applyAlignment="1" applyProtection="1">
      <alignment horizontal="center" vertical="center"/>
      <protection locked="0"/>
    </xf>
    <xf numFmtId="0" fontId="33" fillId="0" borderId="16" xfId="0" applyFont="1" applyBorder="1" applyAlignment="1" applyProtection="1">
      <alignment horizontal="center" vertical="center"/>
      <protection locked="0"/>
    </xf>
    <xf numFmtId="0" fontId="33" fillId="0" borderId="18" xfId="0" applyFont="1" applyBorder="1" applyAlignment="1" applyProtection="1">
      <alignment horizontal="center" vertical="center"/>
      <protection locked="0"/>
    </xf>
    <xf numFmtId="164" fontId="33" fillId="0" borderId="16" xfId="0" applyNumberFormat="1" applyFont="1" applyBorder="1" applyAlignment="1" applyProtection="1">
      <alignment horizontal="center" vertical="center"/>
      <protection locked="0"/>
    </xf>
    <xf numFmtId="165" fontId="33" fillId="0" borderId="17" xfId="0" applyNumberFormat="1" applyFont="1" applyBorder="1" applyAlignment="1">
      <alignment horizontal="center" vertical="center"/>
    </xf>
    <xf numFmtId="0" fontId="33" fillId="0" borderId="3" xfId="0" applyFont="1" applyBorder="1" applyAlignment="1" applyProtection="1">
      <alignment horizontal="center" vertical="center" wrapText="1"/>
      <protection locked="0"/>
    </xf>
    <xf numFmtId="0" fontId="33" fillId="0" borderId="5" xfId="0" applyFont="1" applyBorder="1" applyAlignment="1" applyProtection="1">
      <alignment horizontal="center" vertical="center" wrapText="1"/>
      <protection locked="0"/>
    </xf>
    <xf numFmtId="0" fontId="33" fillId="0" borderId="6" xfId="0" applyFont="1" applyBorder="1" applyAlignment="1" applyProtection="1">
      <alignment horizontal="center" vertical="center" wrapText="1"/>
      <protection locked="0"/>
    </xf>
    <xf numFmtId="0" fontId="33" fillId="0" borderId="7" xfId="0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33" fillId="0" borderId="8" xfId="0" applyFont="1" applyBorder="1" applyAlignment="1" applyProtection="1">
      <alignment horizontal="center" vertical="center" wrapText="1"/>
      <protection locked="0"/>
    </xf>
    <xf numFmtId="164" fontId="38" fillId="0" borderId="19" xfId="0" applyNumberFormat="1" applyFont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left" vertical="center"/>
      <protection hidden="1"/>
    </xf>
    <xf numFmtId="14" fontId="33" fillId="0" borderId="0" xfId="0" applyNumberFormat="1" applyFont="1" applyAlignment="1" applyProtection="1">
      <alignment horizontal="left" vertical="center" wrapText="1"/>
      <protection locked="0"/>
    </xf>
    <xf numFmtId="14" fontId="33" fillId="0" borderId="0" xfId="0" applyNumberFormat="1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left" vertical="center"/>
      <protection locked="0"/>
    </xf>
    <xf numFmtId="0" fontId="41" fillId="0" borderId="2" xfId="0" applyFont="1" applyBorder="1" applyAlignment="1" applyProtection="1">
      <alignment horizontal="center" vertical="center"/>
      <protection hidden="1"/>
    </xf>
    <xf numFmtId="0" fontId="41" fillId="0" borderId="8" xfId="0" applyFont="1" applyBorder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8" fillId="0" borderId="7" xfId="0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7" xfId="0" applyFont="1" applyBorder="1" applyAlignment="1" applyProtection="1">
      <alignment horizontal="center" vertical="center"/>
      <protection hidden="1"/>
    </xf>
    <xf numFmtId="0" fontId="35" fillId="0" borderId="6" xfId="0" applyFont="1" applyBorder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7" xfId="0" applyFont="1" applyBorder="1" applyAlignment="1" applyProtection="1">
      <alignment horizontal="center" vertical="center"/>
      <protection hidden="1"/>
    </xf>
    <xf numFmtId="0" fontId="35" fillId="0" borderId="1" xfId="0" applyFont="1" applyBorder="1" applyAlignment="1" applyProtection="1">
      <alignment horizontal="center" vertical="center"/>
      <protection hidden="1"/>
    </xf>
    <xf numFmtId="0" fontId="35" fillId="0" borderId="2" xfId="0" applyFont="1" applyBorder="1" applyAlignment="1" applyProtection="1">
      <alignment horizontal="center" vertical="center"/>
      <protection hidden="1"/>
    </xf>
    <xf numFmtId="0" fontId="35" fillId="0" borderId="8" xfId="0" applyFont="1" applyBorder="1" applyAlignment="1" applyProtection="1">
      <alignment horizontal="center" vertical="center"/>
      <protection hidden="1"/>
    </xf>
    <xf numFmtId="0" fontId="38" fillId="0" borderId="34" xfId="0" applyFont="1" applyBorder="1" applyAlignment="1" applyProtection="1">
      <alignment horizontal="center" vertical="center" wrapText="1"/>
      <protection hidden="1"/>
    </xf>
    <xf numFmtId="0" fontId="38" fillId="0" borderId="31" xfId="0" applyFont="1" applyBorder="1" applyAlignment="1" applyProtection="1">
      <alignment horizontal="center" vertical="center" wrapText="1"/>
      <protection hidden="1"/>
    </xf>
    <xf numFmtId="0" fontId="38" fillId="0" borderId="35" xfId="0" applyFont="1" applyBorder="1" applyAlignment="1" applyProtection="1">
      <alignment horizontal="center" vertical="center"/>
      <protection hidden="1"/>
    </xf>
    <xf numFmtId="0" fontId="38" fillId="0" borderId="2" xfId="0" applyFont="1" applyBorder="1" applyAlignment="1" applyProtection="1">
      <alignment horizontal="center" vertical="center"/>
      <protection hidden="1"/>
    </xf>
    <xf numFmtId="0" fontId="38" fillId="0" borderId="29" xfId="0" applyFont="1" applyBorder="1" applyAlignment="1" applyProtection="1">
      <alignment horizontal="center" vertical="center"/>
      <protection hidden="1"/>
    </xf>
    <xf numFmtId="0" fontId="38" fillId="0" borderId="30" xfId="0" applyFont="1" applyBorder="1" applyAlignment="1" applyProtection="1">
      <alignment horizontal="center" vertical="center"/>
      <protection hidden="1"/>
    </xf>
    <xf numFmtId="0" fontId="30" fillId="0" borderId="3" xfId="0" applyFont="1" applyBorder="1" applyAlignment="1" applyProtection="1">
      <alignment horizontal="center" vertical="center" wrapText="1"/>
      <protection hidden="1"/>
    </xf>
    <xf numFmtId="0" fontId="30" fillId="0" borderId="4" xfId="0" applyFont="1" applyBorder="1" applyAlignment="1" applyProtection="1">
      <alignment horizontal="center" vertical="center" wrapText="1"/>
      <protection hidden="1"/>
    </xf>
    <xf numFmtId="0" fontId="30" fillId="0" borderId="5" xfId="0" applyFont="1" applyBorder="1" applyAlignment="1" applyProtection="1">
      <alignment horizontal="center" vertical="center" wrapText="1"/>
      <protection hidden="1"/>
    </xf>
    <xf numFmtId="0" fontId="30" fillId="0" borderId="6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 wrapText="1"/>
      <protection hidden="1"/>
    </xf>
    <xf numFmtId="0" fontId="30" fillId="0" borderId="7" xfId="0" applyFont="1" applyBorder="1" applyAlignment="1" applyProtection="1">
      <alignment horizontal="center" vertical="center" wrapText="1"/>
      <protection hidden="1"/>
    </xf>
    <xf numFmtId="0" fontId="30" fillId="0" borderId="1" xfId="0" applyFont="1" applyBorder="1" applyAlignment="1" applyProtection="1">
      <alignment horizontal="center" vertical="center" wrapText="1"/>
      <protection hidden="1"/>
    </xf>
    <xf numFmtId="0" fontId="30" fillId="0" borderId="2" xfId="0" applyFont="1" applyBorder="1" applyAlignment="1" applyProtection="1">
      <alignment horizontal="center" vertical="center" wrapText="1"/>
      <protection hidden="1"/>
    </xf>
    <xf numFmtId="0" fontId="30" fillId="0" borderId="8" xfId="0" applyFont="1" applyBorder="1" applyAlignment="1" applyProtection="1">
      <alignment horizontal="center" vertical="center" wrapText="1"/>
      <protection hidden="1"/>
    </xf>
    <xf numFmtId="0" fontId="37" fillId="0" borderId="3" xfId="0" applyFont="1" applyBorder="1" applyAlignment="1" applyProtection="1">
      <alignment horizontal="center" vertical="center"/>
      <protection hidden="1"/>
    </xf>
    <xf numFmtId="0" fontId="37" fillId="0" borderId="4" xfId="0" applyFont="1" applyBorder="1" applyAlignment="1" applyProtection="1">
      <alignment horizontal="center" vertical="center"/>
      <protection hidden="1"/>
    </xf>
    <xf numFmtId="0" fontId="37" fillId="0" borderId="5" xfId="0" applyFont="1" applyBorder="1" applyAlignment="1" applyProtection="1">
      <alignment horizontal="center" vertical="center"/>
      <protection hidden="1"/>
    </xf>
    <xf numFmtId="0" fontId="35" fillId="0" borderId="16" xfId="0" applyFont="1" applyBorder="1" applyAlignment="1" applyProtection="1">
      <alignment horizontal="center" vertical="center"/>
      <protection hidden="1"/>
    </xf>
    <xf numFmtId="0" fontId="31" fillId="0" borderId="16" xfId="0" applyFont="1" applyBorder="1" applyAlignment="1" applyProtection="1">
      <alignment horizontal="center" vertical="center"/>
      <protection hidden="1"/>
    </xf>
    <xf numFmtId="14" fontId="38" fillId="0" borderId="6" xfId="0" applyNumberFormat="1" applyFont="1" applyBorder="1" applyAlignment="1" applyProtection="1">
      <alignment horizontal="center" vertical="center"/>
      <protection locked="0"/>
    </xf>
    <xf numFmtId="14" fontId="38" fillId="0" borderId="0" xfId="0" applyNumberFormat="1" applyFont="1" applyAlignment="1" applyProtection="1">
      <alignment horizontal="center" vertical="center"/>
      <protection locked="0"/>
    </xf>
    <xf numFmtId="14" fontId="38" fillId="0" borderId="7" xfId="0" applyNumberFormat="1" applyFont="1" applyBorder="1" applyAlignment="1" applyProtection="1">
      <alignment horizontal="center" vertical="center"/>
      <protection locked="0"/>
    </xf>
    <xf numFmtId="0" fontId="40" fillId="0" borderId="3" xfId="0" applyFont="1" applyBorder="1" applyAlignment="1" applyProtection="1">
      <alignment horizontal="center" vertical="center" wrapText="1"/>
      <protection locked="0"/>
    </xf>
    <xf numFmtId="0" fontId="40" fillId="0" borderId="4" xfId="0" applyFont="1" applyBorder="1" applyAlignment="1" applyProtection="1">
      <alignment horizontal="center" vertical="center" wrapText="1"/>
      <protection locked="0"/>
    </xf>
    <xf numFmtId="0" fontId="40" fillId="0" borderId="5" xfId="0" applyFont="1" applyBorder="1" applyAlignment="1" applyProtection="1">
      <alignment horizontal="center" vertical="center" wrapText="1"/>
      <protection locked="0"/>
    </xf>
    <xf numFmtId="0" fontId="40" fillId="0" borderId="6" xfId="0" applyFont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40" fillId="0" borderId="7" xfId="0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 applyProtection="1">
      <alignment horizontal="center" vertical="center" wrapText="1"/>
      <protection locked="0"/>
    </xf>
    <xf numFmtId="0" fontId="40" fillId="0" borderId="2" xfId="0" applyFont="1" applyBorder="1" applyAlignment="1" applyProtection="1">
      <alignment horizontal="center" vertical="center" wrapText="1"/>
      <protection locked="0"/>
    </xf>
    <xf numFmtId="0" fontId="40" fillId="0" borderId="8" xfId="0" applyFont="1" applyBorder="1" applyAlignment="1" applyProtection="1">
      <alignment horizontal="center" vertical="center" wrapText="1"/>
      <protection locked="0"/>
    </xf>
    <xf numFmtId="0" fontId="35" fillId="0" borderId="6" xfId="0" applyFont="1" applyBorder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35" fillId="0" borderId="7" xfId="0" applyFont="1" applyBorder="1" applyAlignment="1" applyProtection="1">
      <alignment horizontal="center" vertical="center" wrapText="1"/>
      <protection hidden="1"/>
    </xf>
    <xf numFmtId="0" fontId="38" fillId="0" borderId="6" xfId="0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8" fillId="0" borderId="7" xfId="0" applyFont="1" applyBorder="1" applyAlignment="1" applyProtection="1">
      <alignment horizontal="center" vertical="center"/>
      <protection locked="0"/>
    </xf>
    <xf numFmtId="0" fontId="33" fillId="0" borderId="6" xfId="0" applyFont="1" applyBorder="1" applyAlignment="1" applyProtection="1">
      <alignment horizontal="left" vertical="center" wrapText="1"/>
      <protection locked="0"/>
    </xf>
    <xf numFmtId="0" fontId="33" fillId="0" borderId="0" xfId="0" applyFont="1" applyAlignment="1" applyProtection="1">
      <alignment horizontal="left" vertical="center" wrapText="1"/>
      <protection locked="0"/>
    </xf>
    <xf numFmtId="0" fontId="33" fillId="0" borderId="7" xfId="0" applyFont="1" applyBorder="1" applyAlignment="1" applyProtection="1">
      <alignment horizontal="left" vertical="center" wrapText="1"/>
      <protection locked="0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33" fillId="0" borderId="2" xfId="0" applyFont="1" applyBorder="1" applyAlignment="1" applyProtection="1">
      <alignment horizontal="left" vertical="center" wrapText="1"/>
      <protection locked="0"/>
    </xf>
    <xf numFmtId="0" fontId="33" fillId="0" borderId="8" xfId="0" applyFont="1" applyBorder="1" applyAlignment="1" applyProtection="1">
      <alignment horizontal="left" vertical="center" wrapText="1"/>
      <protection locked="0"/>
    </xf>
    <xf numFmtId="0" fontId="37" fillId="0" borderId="22" xfId="0" applyFont="1" applyBorder="1" applyAlignment="1" applyProtection="1">
      <alignment horizontal="center" vertical="center" wrapText="1"/>
      <protection hidden="1"/>
    </xf>
    <xf numFmtId="0" fontId="37" fillId="0" borderId="23" xfId="0" applyFont="1" applyBorder="1" applyAlignment="1" applyProtection="1">
      <alignment horizontal="center" vertical="center" wrapText="1"/>
      <protection hidden="1"/>
    </xf>
    <xf numFmtId="165" fontId="38" fillId="0" borderId="19" xfId="0" applyNumberFormat="1" applyFont="1" applyBorder="1" applyAlignment="1" applyProtection="1">
      <alignment horizontal="center" vertical="center"/>
      <protection hidden="1"/>
    </xf>
    <xf numFmtId="0" fontId="38" fillId="0" borderId="29" xfId="0" applyFont="1" applyBorder="1" applyAlignment="1" applyProtection="1">
      <alignment horizontal="center" vertical="center" wrapText="1"/>
      <protection hidden="1"/>
    </xf>
    <xf numFmtId="0" fontId="38" fillId="0" borderId="1" xfId="0" applyFont="1" applyBorder="1" applyAlignment="1" applyProtection="1">
      <alignment horizontal="center" vertical="center" wrapText="1"/>
      <protection hidden="1"/>
    </xf>
    <xf numFmtId="0" fontId="38" fillId="0" borderId="2" xfId="0" applyFont="1" applyBorder="1" applyAlignment="1" applyProtection="1">
      <alignment horizontal="center" vertical="center" wrapText="1"/>
      <protection hidden="1"/>
    </xf>
    <xf numFmtId="0" fontId="35" fillId="0" borderId="25" xfId="0" applyFont="1" applyBorder="1" applyAlignment="1" applyProtection="1">
      <alignment horizontal="center" vertical="center"/>
      <protection hidden="1"/>
    </xf>
    <xf numFmtId="0" fontId="35" fillId="0" borderId="13" xfId="0" applyFont="1" applyBorder="1" applyAlignment="1" applyProtection="1">
      <alignment horizontal="center" vertical="center"/>
      <protection hidden="1"/>
    </xf>
    <xf numFmtId="0" fontId="35" fillId="0" borderId="39" xfId="0" applyFont="1" applyBorder="1" applyAlignment="1" applyProtection="1">
      <alignment horizontal="center" vertical="center"/>
      <protection hidden="1"/>
    </xf>
    <xf numFmtId="0" fontId="32" fillId="0" borderId="1" xfId="0" applyFont="1" applyBorder="1" applyAlignment="1" applyProtection="1">
      <alignment horizontal="center" vertical="center"/>
      <protection hidden="1"/>
    </xf>
    <xf numFmtId="0" fontId="32" fillId="0" borderId="2" xfId="0" applyFont="1" applyBorder="1" applyAlignment="1" applyProtection="1">
      <alignment horizontal="center" vertical="center"/>
      <protection hidden="1"/>
    </xf>
    <xf numFmtId="0" fontId="32" fillId="0" borderId="8" xfId="0" applyFont="1" applyBorder="1" applyAlignment="1" applyProtection="1">
      <alignment horizontal="center" vertical="center"/>
      <protection hidden="1"/>
    </xf>
    <xf numFmtId="164" fontId="30" fillId="0" borderId="16" xfId="0" applyNumberFormat="1" applyFont="1" applyBorder="1" applyAlignment="1" applyProtection="1">
      <alignment horizontal="center" vertical="center"/>
      <protection locked="0"/>
    </xf>
    <xf numFmtId="0" fontId="30" fillId="0" borderId="17" xfId="0" applyFont="1" applyBorder="1" applyAlignment="1" applyProtection="1">
      <alignment horizontal="center" vertical="center"/>
      <protection locked="0"/>
    </xf>
    <xf numFmtId="0" fontId="30" fillId="0" borderId="16" xfId="0" applyFont="1" applyBorder="1" applyAlignment="1" applyProtection="1">
      <alignment horizontal="center" vertical="center"/>
      <protection locked="0"/>
    </xf>
    <xf numFmtId="0" fontId="30" fillId="0" borderId="18" xfId="0" applyFont="1" applyBorder="1" applyAlignment="1" applyProtection="1">
      <alignment horizontal="center" vertical="center"/>
      <protection locked="0"/>
    </xf>
    <xf numFmtId="2" fontId="30" fillId="0" borderId="16" xfId="0" applyNumberFormat="1" applyFont="1" applyBorder="1" applyAlignment="1" applyProtection="1">
      <alignment horizontal="center" vertical="center"/>
      <protection hidden="1"/>
    </xf>
    <xf numFmtId="2" fontId="30" fillId="0" borderId="21" xfId="0" applyNumberFormat="1" applyFont="1" applyBorder="1" applyAlignment="1" applyProtection="1">
      <alignment horizontal="center" vertical="center"/>
      <protection hidden="1"/>
    </xf>
    <xf numFmtId="165" fontId="30" fillId="0" borderId="16" xfId="0" applyNumberFormat="1" applyFont="1" applyBorder="1" applyAlignment="1">
      <alignment horizontal="center" vertical="center"/>
    </xf>
    <xf numFmtId="165" fontId="30" fillId="0" borderId="18" xfId="0" applyNumberFormat="1" applyFont="1" applyBorder="1" applyAlignment="1">
      <alignment horizontal="center" vertical="center"/>
    </xf>
    <xf numFmtId="165" fontId="30" fillId="0" borderId="17" xfId="0" applyNumberFormat="1" applyFont="1" applyBorder="1" applyAlignment="1">
      <alignment horizontal="center" vertical="center"/>
    </xf>
    <xf numFmtId="0" fontId="33" fillId="0" borderId="17" xfId="0" applyFont="1" applyBorder="1" applyAlignment="1" applyProtection="1">
      <alignment horizontal="center" vertical="center" wrapText="1"/>
      <protection locked="0"/>
    </xf>
    <xf numFmtId="0" fontId="33" fillId="0" borderId="16" xfId="0" applyFont="1" applyBorder="1" applyAlignment="1" applyProtection="1">
      <alignment horizontal="center" vertical="center" wrapText="1"/>
      <protection locked="0"/>
    </xf>
    <xf numFmtId="0" fontId="30" fillId="0" borderId="16" xfId="0" applyFont="1" applyBorder="1" applyAlignment="1" applyProtection="1">
      <alignment horizontal="center" vertical="center" wrapText="1"/>
      <protection locked="0"/>
    </xf>
    <xf numFmtId="0" fontId="30" fillId="0" borderId="18" xfId="0" applyFont="1" applyBorder="1" applyAlignment="1" applyProtection="1">
      <alignment horizontal="center" vertical="center" wrapText="1"/>
      <protection locked="0"/>
    </xf>
    <xf numFmtId="0" fontId="33" fillId="0" borderId="4" xfId="0" applyFont="1" applyBorder="1" applyAlignment="1" applyProtection="1">
      <alignment horizontal="center" vertical="center" wrapText="1"/>
      <protection locked="0"/>
    </xf>
    <xf numFmtId="0" fontId="30" fillId="0" borderId="4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3" fillId="0" borderId="2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 applyProtection="1">
      <alignment horizontal="center" vertical="center" wrapText="1"/>
      <protection locked="0"/>
    </xf>
    <xf numFmtId="0" fontId="38" fillId="0" borderId="31" xfId="0" applyFont="1" applyBorder="1" applyAlignment="1" applyProtection="1">
      <alignment horizontal="center" vertical="center"/>
      <protection hidden="1"/>
    </xf>
    <xf numFmtId="0" fontId="30" fillId="0" borderId="15" xfId="0" applyFont="1" applyBorder="1" applyAlignment="1" applyProtection="1">
      <alignment horizontal="center" vertical="center"/>
      <protection hidden="1"/>
    </xf>
    <xf numFmtId="0" fontId="30" fillId="0" borderId="16" xfId="0" applyFont="1" applyBorder="1" applyAlignment="1" applyProtection="1">
      <alignment horizontal="center" vertical="center"/>
      <protection hidden="1"/>
    </xf>
    <xf numFmtId="166" fontId="30" fillId="0" borderId="23" xfId="0" applyNumberFormat="1" applyFont="1" applyBorder="1" applyAlignment="1" applyProtection="1">
      <alignment horizontal="center" vertical="center"/>
      <protection hidden="1"/>
    </xf>
    <xf numFmtId="0" fontId="30" fillId="0" borderId="23" xfId="0" applyFont="1" applyBorder="1" applyAlignment="1" applyProtection="1">
      <alignment horizontal="center" vertical="center"/>
      <protection hidden="1"/>
    </xf>
    <xf numFmtId="0" fontId="30" fillId="0" borderId="26" xfId="0" applyFont="1" applyBorder="1" applyAlignment="1" applyProtection="1">
      <alignment horizontal="center" vertical="center"/>
      <protection hidden="1"/>
    </xf>
    <xf numFmtId="0" fontId="35" fillId="0" borderId="27" xfId="0" applyFont="1" applyBorder="1" applyAlignment="1" applyProtection="1">
      <alignment horizontal="center" vertical="center"/>
      <protection hidden="1"/>
    </xf>
    <xf numFmtId="0" fontId="35" fillId="0" borderId="19" xfId="0" applyFont="1" applyBorder="1" applyAlignment="1" applyProtection="1">
      <alignment horizontal="center" vertical="center"/>
      <protection hidden="1"/>
    </xf>
    <xf numFmtId="2" fontId="35" fillId="0" borderId="19" xfId="0" applyNumberFormat="1" applyFont="1" applyBorder="1" applyAlignment="1" applyProtection="1">
      <alignment horizontal="center" vertical="center"/>
      <protection hidden="1"/>
    </xf>
    <xf numFmtId="2" fontId="35" fillId="0" borderId="20" xfId="0" applyNumberFormat="1" applyFont="1" applyBorder="1" applyAlignment="1" applyProtection="1">
      <alignment horizontal="center" vertical="center"/>
      <protection hidden="1"/>
    </xf>
    <xf numFmtId="0" fontId="38" fillId="0" borderId="30" xfId="0" applyFont="1" applyBorder="1" applyAlignment="1" applyProtection="1">
      <alignment horizontal="center" vertical="center" wrapText="1"/>
      <protection hidden="1"/>
    </xf>
    <xf numFmtId="164" fontId="38" fillId="0" borderId="4" xfId="0" applyNumberFormat="1" applyFont="1" applyBorder="1" applyAlignment="1" applyProtection="1">
      <alignment horizontal="center" vertical="center"/>
      <protection locked="0"/>
    </xf>
    <xf numFmtId="0" fontId="38" fillId="0" borderId="8" xfId="0" applyFont="1" applyBorder="1" applyAlignment="1" applyProtection="1">
      <alignment horizontal="center" vertical="center" wrapText="1"/>
      <protection hidden="1"/>
    </xf>
    <xf numFmtId="0" fontId="38" fillId="0" borderId="32" xfId="0" applyFont="1" applyBorder="1" applyAlignment="1" applyProtection="1">
      <alignment horizontal="center" vertical="center" wrapText="1"/>
      <protection hidden="1"/>
    </xf>
    <xf numFmtId="0" fontId="38" fillId="0" borderId="33" xfId="0" applyFont="1" applyBorder="1" applyAlignment="1" applyProtection="1">
      <alignment horizontal="center" vertical="center" wrapText="1"/>
      <protection hidden="1"/>
    </xf>
    <xf numFmtId="0" fontId="38" fillId="0" borderId="4" xfId="0" applyFont="1" applyBorder="1" applyAlignment="1" applyProtection="1">
      <alignment horizontal="center" vertical="center"/>
      <protection hidden="1"/>
    </xf>
    <xf numFmtId="0" fontId="38" fillId="0" borderId="1" xfId="0" applyFont="1" applyBorder="1" applyAlignment="1" applyProtection="1">
      <alignment horizontal="center" vertical="center"/>
      <protection hidden="1"/>
    </xf>
    <xf numFmtId="0" fontId="38" fillId="0" borderId="8" xfId="0" applyFont="1" applyBorder="1" applyAlignment="1" applyProtection="1">
      <alignment horizontal="center" vertical="center"/>
      <protection hidden="1"/>
    </xf>
    <xf numFmtId="0" fontId="30" fillId="0" borderId="2" xfId="0" applyFont="1" applyBorder="1" applyAlignment="1" applyProtection="1">
      <alignment horizontal="center" vertical="center"/>
      <protection hidden="1"/>
    </xf>
    <xf numFmtId="0" fontId="33" fillId="0" borderId="2" xfId="0" applyFont="1" applyBorder="1" applyAlignment="1" applyProtection="1">
      <alignment horizontal="center" vertical="center"/>
      <protection hidden="1"/>
    </xf>
    <xf numFmtId="2" fontId="38" fillId="0" borderId="19" xfId="0" applyNumberFormat="1" applyFont="1" applyBorder="1" applyAlignment="1" applyProtection="1">
      <alignment horizontal="center" vertical="center"/>
      <protection hidden="1"/>
    </xf>
    <xf numFmtId="2" fontId="38" fillId="0" borderId="20" xfId="0" applyNumberFormat="1" applyFont="1" applyBorder="1" applyAlignment="1" applyProtection="1">
      <alignment horizontal="center" vertical="center"/>
      <protection hidden="1"/>
    </xf>
    <xf numFmtId="0" fontId="38" fillId="0" borderId="27" xfId="0" applyFont="1" applyBorder="1" applyAlignment="1" applyProtection="1">
      <alignment horizontal="center" vertical="center"/>
      <protection hidden="1"/>
    </xf>
    <xf numFmtId="0" fontId="38" fillId="0" borderId="19" xfId="0" applyFont="1" applyBorder="1" applyAlignment="1" applyProtection="1">
      <alignment horizontal="center" vertical="center"/>
      <protection hidden="1"/>
    </xf>
    <xf numFmtId="2" fontId="4" fillId="0" borderId="16" xfId="1" applyNumberFormat="1" applyFont="1" applyBorder="1" applyAlignment="1" applyProtection="1">
      <alignment horizontal="center" vertical="center"/>
      <protection hidden="1"/>
    </xf>
    <xf numFmtId="2" fontId="4" fillId="0" borderId="21" xfId="1" applyNumberFormat="1" applyFont="1" applyBorder="1" applyAlignment="1" applyProtection="1">
      <alignment horizontal="center" vertical="center"/>
      <protection hidden="1"/>
    </xf>
    <xf numFmtId="165" fontId="4" fillId="0" borderId="16" xfId="1" applyNumberFormat="1" applyFont="1" applyBorder="1" applyAlignment="1">
      <alignment horizontal="center" vertical="center"/>
    </xf>
    <xf numFmtId="165" fontId="4" fillId="0" borderId="18" xfId="1" applyNumberFormat="1" applyFont="1" applyBorder="1" applyAlignment="1">
      <alignment horizontal="center" vertical="center"/>
    </xf>
    <xf numFmtId="0" fontId="4" fillId="0" borderId="15" xfId="1" applyFont="1" applyBorder="1" applyAlignment="1" applyProtection="1">
      <alignment horizontal="center" vertical="center"/>
      <protection hidden="1"/>
    </xf>
    <xf numFmtId="0" fontId="4" fillId="0" borderId="16" xfId="1" applyFont="1" applyBorder="1" applyAlignment="1" applyProtection="1">
      <alignment horizontal="center" vertical="center"/>
      <protection hidden="1"/>
    </xf>
    <xf numFmtId="0" fontId="4" fillId="0" borderId="17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/>
      <protection locked="0"/>
    </xf>
    <xf numFmtId="0" fontId="4" fillId="0" borderId="18" xfId="1" applyFont="1" applyBorder="1" applyAlignment="1" applyProtection="1">
      <alignment horizontal="center" vertical="center"/>
      <protection locked="0"/>
    </xf>
    <xf numFmtId="164" fontId="4" fillId="0" borderId="16" xfId="1" applyNumberFormat="1" applyFont="1" applyBorder="1" applyAlignment="1" applyProtection="1">
      <alignment horizontal="center" vertical="center"/>
      <protection locked="0"/>
    </xf>
    <xf numFmtId="165" fontId="4" fillId="0" borderId="17" xfId="1" applyNumberFormat="1" applyFont="1" applyBorder="1" applyAlignment="1">
      <alignment horizontal="center" vertical="center"/>
    </xf>
    <xf numFmtId="0" fontId="4" fillId="0" borderId="0" xfId="1" applyFont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/>
      <protection locked="0"/>
    </xf>
    <xf numFmtId="49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2" fillId="0" borderId="2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6" fillId="0" borderId="34" xfId="1" applyFont="1" applyBorder="1" applyAlignment="1" applyProtection="1">
      <alignment horizontal="center" vertical="center" wrapText="1"/>
      <protection hidden="1"/>
    </xf>
    <xf numFmtId="0" fontId="6" fillId="0" borderId="31" xfId="1" applyFont="1" applyBorder="1" applyAlignment="1" applyProtection="1">
      <alignment horizontal="center" vertical="center" wrapText="1"/>
      <protection hidden="1"/>
    </xf>
    <xf numFmtId="0" fontId="6" fillId="0" borderId="35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29" xfId="1" applyFont="1" applyBorder="1" applyAlignment="1" applyProtection="1">
      <alignment horizontal="center" vertical="center"/>
      <protection hidden="1"/>
    </xf>
    <xf numFmtId="0" fontId="6" fillId="0" borderId="30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7" fillId="0" borderId="5" xfId="1" applyFont="1" applyBorder="1" applyAlignment="1" applyProtection="1">
      <alignment horizontal="center" vertical="center"/>
      <protection hidden="1"/>
    </xf>
    <xf numFmtId="0" fontId="2" fillId="0" borderId="16" xfId="1" applyFont="1" applyBorder="1" applyAlignment="1" applyProtection="1">
      <alignment horizontal="center" vertical="center"/>
      <protection hidden="1"/>
    </xf>
    <xf numFmtId="0" fontId="9" fillId="0" borderId="16" xfId="1" applyFont="1" applyBorder="1" applyAlignment="1" applyProtection="1">
      <alignment horizontal="center" vertical="center"/>
      <protection hidden="1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7" fillId="0" borderId="22" xfId="1" applyFont="1" applyBorder="1" applyAlignment="1" applyProtection="1">
      <alignment horizontal="center" vertical="center" wrapText="1"/>
      <protection hidden="1"/>
    </xf>
    <xf numFmtId="0" fontId="7" fillId="0" borderId="23" xfId="1" applyFont="1" applyBorder="1" applyAlignment="1" applyProtection="1">
      <alignment horizontal="center" vertical="center" wrapText="1"/>
      <protection hidden="1"/>
    </xf>
    <xf numFmtId="165" fontId="6" fillId="0" borderId="19" xfId="1" applyNumberFormat="1" applyFont="1" applyBorder="1" applyAlignment="1" applyProtection="1">
      <alignment horizontal="center" vertical="center"/>
      <protection hidden="1"/>
    </xf>
    <xf numFmtId="0" fontId="6" fillId="0" borderId="29" xfId="1" applyFont="1" applyBorder="1" applyAlignment="1" applyProtection="1">
      <alignment horizontal="center" vertical="center" wrapText="1"/>
      <protection hidden="1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 wrapText="1"/>
      <protection hidden="1"/>
    </xf>
    <xf numFmtId="0" fontId="2" fillId="0" borderId="25" xfId="1" applyFont="1" applyBorder="1" applyAlignment="1" applyProtection="1">
      <alignment horizontal="center" vertical="center"/>
      <protection hidden="1"/>
    </xf>
    <xf numFmtId="0" fontId="2" fillId="0" borderId="13" xfId="1" applyFont="1" applyBorder="1" applyAlignment="1" applyProtection="1">
      <alignment horizontal="center" vertical="center"/>
      <protection hidden="1"/>
    </xf>
    <xf numFmtId="0" fontId="2" fillId="0" borderId="39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164" fontId="1" fillId="0" borderId="16" xfId="1" applyNumberFormat="1" applyFont="1" applyBorder="1" applyAlignment="1" applyProtection="1">
      <alignment horizontal="center" vertical="center"/>
      <protection locked="0"/>
    </xf>
    <xf numFmtId="0" fontId="1" fillId="0" borderId="17" xfId="1" applyFont="1" applyBorder="1" applyAlignment="1" applyProtection="1">
      <alignment horizontal="center" vertical="center"/>
      <protection locked="0"/>
    </xf>
    <xf numFmtId="0" fontId="1" fillId="0" borderId="16" xfId="1" applyFont="1" applyBorder="1" applyAlignment="1" applyProtection="1">
      <alignment horizontal="center" vertical="center"/>
      <protection locked="0"/>
    </xf>
    <xf numFmtId="0" fontId="1" fillId="0" borderId="18" xfId="1" applyFont="1" applyBorder="1" applyAlignment="1" applyProtection="1">
      <alignment horizontal="center" vertical="center"/>
      <protection locked="0"/>
    </xf>
    <xf numFmtId="2" fontId="1" fillId="0" borderId="16" xfId="1" applyNumberFormat="1" applyFont="1" applyBorder="1" applyAlignment="1" applyProtection="1">
      <alignment horizontal="center" vertical="center"/>
      <protection hidden="1"/>
    </xf>
    <xf numFmtId="2" fontId="1" fillId="0" borderId="21" xfId="1" applyNumberFormat="1" applyFont="1" applyBorder="1" applyAlignment="1" applyProtection="1">
      <alignment horizontal="center" vertical="center"/>
      <protection hidden="1"/>
    </xf>
    <xf numFmtId="165" fontId="1" fillId="0" borderId="16" xfId="1" applyNumberFormat="1" applyFont="1" applyBorder="1" applyAlignment="1">
      <alignment horizontal="center" vertical="center"/>
    </xf>
    <xf numFmtId="165" fontId="1" fillId="0" borderId="18" xfId="1" applyNumberFormat="1" applyFont="1" applyBorder="1" applyAlignment="1">
      <alignment horizontal="center" vertical="center"/>
    </xf>
    <xf numFmtId="165" fontId="1" fillId="0" borderId="17" xfId="1" applyNumberFormat="1" applyFont="1" applyBorder="1" applyAlignment="1">
      <alignment horizontal="center" vertical="center"/>
    </xf>
    <xf numFmtId="0" fontId="4" fillId="0" borderId="17" xfId="1" applyFont="1" applyBorder="1" applyAlignment="1" applyProtection="1">
      <alignment horizontal="center" vertical="center" wrapText="1"/>
      <protection locked="0"/>
    </xf>
    <xf numFmtId="0" fontId="4" fillId="0" borderId="16" xfId="1" applyFont="1" applyBorder="1" applyAlignment="1" applyProtection="1">
      <alignment horizontal="center" vertical="center" wrapText="1"/>
      <protection locked="0"/>
    </xf>
    <xf numFmtId="0" fontId="1" fillId="0" borderId="16" xfId="1" applyFont="1" applyBorder="1" applyAlignment="1" applyProtection="1">
      <alignment horizontal="center" vertical="center" wrapText="1"/>
      <protection locked="0"/>
    </xf>
    <xf numFmtId="0" fontId="1" fillId="0" borderId="18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0" fontId="6" fillId="0" borderId="31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32" xfId="1" applyFont="1" applyBorder="1" applyAlignment="1" applyProtection="1">
      <alignment horizontal="center" vertical="center" wrapText="1"/>
      <protection hidden="1"/>
    </xf>
    <xf numFmtId="0" fontId="6" fillId="0" borderId="33" xfId="1" applyFont="1" applyBorder="1" applyAlignment="1" applyProtection="1">
      <alignment horizontal="center" vertical="center" wrapText="1"/>
      <protection hidden="1"/>
    </xf>
    <xf numFmtId="0" fontId="6" fillId="0" borderId="4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0" fontId="1" fillId="0" borderId="16" xfId="1" applyFont="1" applyBorder="1" applyAlignment="1" applyProtection="1">
      <alignment horizontal="center" vertical="center"/>
      <protection hidden="1"/>
    </xf>
    <xf numFmtId="166" fontId="1" fillId="0" borderId="23" xfId="1" applyNumberFormat="1" applyFont="1" applyBorder="1" applyAlignment="1" applyProtection="1">
      <alignment horizontal="center" vertical="center"/>
      <protection hidden="1"/>
    </xf>
    <xf numFmtId="0" fontId="1" fillId="0" borderId="23" xfId="1" applyFont="1" applyBorder="1" applyAlignment="1" applyProtection="1">
      <alignment horizontal="center" vertical="center"/>
      <protection hidden="1"/>
    </xf>
    <xf numFmtId="0" fontId="1" fillId="0" borderId="26" xfId="1" applyFont="1" applyBorder="1" applyAlignment="1" applyProtection="1">
      <alignment horizontal="center" vertical="center"/>
      <protection hidden="1"/>
    </xf>
    <xf numFmtId="0" fontId="2" fillId="0" borderId="27" xfId="1" applyFont="1" applyBorder="1" applyAlignment="1" applyProtection="1">
      <alignment horizontal="center" vertical="center"/>
      <protection hidden="1"/>
    </xf>
    <xf numFmtId="0" fontId="2" fillId="0" borderId="19" xfId="1" applyFont="1" applyBorder="1" applyAlignment="1" applyProtection="1">
      <alignment horizontal="center" vertical="center"/>
      <protection hidden="1"/>
    </xf>
    <xf numFmtId="164" fontId="6" fillId="0" borderId="19" xfId="1" applyNumberFormat="1" applyFont="1" applyBorder="1" applyAlignment="1" applyProtection="1">
      <alignment horizontal="center" vertical="center"/>
      <protection hidden="1"/>
    </xf>
    <xf numFmtId="2" fontId="2" fillId="0" borderId="19" xfId="1" applyNumberFormat="1" applyFont="1" applyBorder="1" applyAlignment="1" applyProtection="1">
      <alignment horizontal="center" vertical="center"/>
      <protection hidden="1"/>
    </xf>
    <xf numFmtId="2" fontId="2" fillId="0" borderId="20" xfId="1" applyNumberFormat="1" applyFont="1" applyBorder="1" applyAlignment="1" applyProtection="1">
      <alignment horizontal="center" vertical="center"/>
      <protection hidden="1"/>
    </xf>
    <xf numFmtId="0" fontId="6" fillId="0" borderId="30" xfId="1" applyFont="1" applyBorder="1" applyAlignment="1" applyProtection="1">
      <alignment horizontal="center" vertical="center" wrapText="1"/>
      <protection hidden="1"/>
    </xf>
    <xf numFmtId="164" fontId="6" fillId="0" borderId="4" xfId="1" applyNumberFormat="1" applyFont="1" applyBorder="1" applyAlignment="1" applyProtection="1">
      <alignment horizontal="center" vertical="center"/>
      <protection locked="0"/>
    </xf>
    <xf numFmtId="14" fontId="4" fillId="0" borderId="0" xfId="1" applyNumberFormat="1" applyFont="1" applyAlignment="1" applyProtection="1">
      <alignment horizontal="left" vertical="center" wrapText="1"/>
      <protection locked="0"/>
    </xf>
    <xf numFmtId="0" fontId="1" fillId="0" borderId="18" xfId="1" applyFont="1" applyBorder="1" applyAlignment="1" applyProtection="1">
      <alignment horizontal="center" vertical="center"/>
      <protection hidden="1"/>
    </xf>
    <xf numFmtId="0" fontId="2" fillId="0" borderId="42" xfId="1" applyFont="1" applyBorder="1" applyAlignment="1" applyProtection="1">
      <alignment horizontal="center" vertical="center"/>
      <protection hidden="1"/>
    </xf>
    <xf numFmtId="0" fontId="2" fillId="0" borderId="41" xfId="1" applyFont="1" applyBorder="1" applyAlignment="1" applyProtection="1">
      <alignment horizontal="center" vertical="center"/>
      <protection hidden="1"/>
    </xf>
    <xf numFmtId="164" fontId="6" fillId="0" borderId="41" xfId="1" applyNumberFormat="1" applyFont="1" applyBorder="1" applyAlignment="1" applyProtection="1">
      <alignment horizontal="center" vertical="center"/>
      <protection hidden="1"/>
    </xf>
    <xf numFmtId="2" fontId="2" fillId="0" borderId="41" xfId="1" applyNumberFormat="1" applyFont="1" applyBorder="1" applyAlignment="1" applyProtection="1">
      <alignment horizontal="center" vertical="center"/>
      <protection hidden="1"/>
    </xf>
    <xf numFmtId="2" fontId="2" fillId="0" borderId="40" xfId="1" applyNumberFormat="1" applyFont="1" applyBorder="1" applyAlignment="1" applyProtection="1">
      <alignment horizontal="center" vertical="center"/>
      <protection hidden="1"/>
    </xf>
    <xf numFmtId="165" fontId="6" fillId="0" borderId="41" xfId="1" applyNumberFormat="1" applyFont="1" applyBorder="1" applyAlignment="1" applyProtection="1">
      <alignment horizontal="center" vertical="center"/>
      <protection hidden="1"/>
    </xf>
    <xf numFmtId="164" fontId="1" fillId="0" borderId="17" xfId="1" applyNumberFormat="1" applyFont="1" applyBorder="1" applyAlignment="1" applyProtection="1">
      <alignment horizontal="center" vertical="center"/>
      <protection locked="0"/>
    </xf>
    <xf numFmtId="164" fontId="1" fillId="0" borderId="18" xfId="1" applyNumberFormat="1" applyFont="1" applyBorder="1" applyAlignment="1" applyProtection="1">
      <alignment horizontal="center" vertical="center"/>
      <protection locked="0"/>
    </xf>
    <xf numFmtId="2" fontId="1" fillId="0" borderId="17" xfId="1" applyNumberFormat="1" applyFont="1" applyBorder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left" vertical="center"/>
      <protection hidden="1"/>
    </xf>
    <xf numFmtId="0" fontId="12" fillId="0" borderId="7" xfId="1" applyFont="1" applyBorder="1" applyAlignment="1" applyProtection="1">
      <alignment horizontal="left" vertical="center"/>
      <protection hidden="1"/>
    </xf>
    <xf numFmtId="0" fontId="7" fillId="0" borderId="31" xfId="1" applyFont="1" applyBorder="1" applyAlignment="1" applyProtection="1">
      <alignment horizontal="center" vertical="center"/>
      <protection hidden="1"/>
    </xf>
    <xf numFmtId="0" fontId="7" fillId="0" borderId="29" xfId="1" applyFont="1" applyBorder="1" applyAlignment="1" applyProtection="1">
      <alignment horizontal="center" vertical="center" wrapText="1"/>
      <protection hidden="1"/>
    </xf>
    <xf numFmtId="0" fontId="7" fillId="0" borderId="31" xfId="1" applyFont="1" applyBorder="1" applyAlignment="1" applyProtection="1">
      <alignment horizontal="center" vertical="center" wrapText="1"/>
      <protection hidden="1"/>
    </xf>
    <xf numFmtId="0" fontId="7" fillId="0" borderId="32" xfId="1" applyFont="1" applyBorder="1" applyAlignment="1" applyProtection="1">
      <alignment horizontal="center" vertical="center" wrapText="1"/>
      <protection hidden="1"/>
    </xf>
    <xf numFmtId="0" fontId="7" fillId="0" borderId="1" xfId="1" applyFont="1" applyBorder="1" applyAlignment="1" applyProtection="1">
      <alignment horizontal="center" vertical="center" wrapText="1"/>
      <protection hidden="1"/>
    </xf>
    <xf numFmtId="0" fontId="7" fillId="0" borderId="2" xfId="1" applyFont="1" applyBorder="1" applyAlignment="1" applyProtection="1">
      <alignment horizontal="center" vertical="center" wrapText="1"/>
      <protection hidden="1"/>
    </xf>
    <xf numFmtId="0" fontId="7" fillId="0" borderId="33" xfId="1" applyFont="1" applyBorder="1" applyAlignment="1" applyProtection="1">
      <alignment horizontal="center" vertical="center" wrapText="1"/>
      <protection hidden="1"/>
    </xf>
    <xf numFmtId="0" fontId="7" fillId="0" borderId="34" xfId="1" applyFont="1" applyBorder="1" applyAlignment="1" applyProtection="1">
      <alignment horizontal="center" vertical="center" wrapText="1"/>
      <protection hidden="1"/>
    </xf>
    <xf numFmtId="0" fontId="7" fillId="0" borderId="35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29" xfId="1" applyFont="1" applyBorder="1" applyAlignment="1" applyProtection="1">
      <alignment horizontal="center" vertical="center"/>
      <protection hidden="1"/>
    </xf>
    <xf numFmtId="0" fontId="7" fillId="0" borderId="30" xfId="1" applyFont="1" applyBorder="1" applyAlignment="1" applyProtection="1">
      <alignment horizontal="center" vertical="center"/>
      <protection hidden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0" fontId="7" fillId="0" borderId="30" xfId="1" applyFont="1" applyBorder="1" applyAlignment="1" applyProtection="1">
      <alignment horizontal="center" vertical="center" wrapText="1"/>
      <protection hidden="1"/>
    </xf>
    <xf numFmtId="164" fontId="7" fillId="0" borderId="4" xfId="1" applyNumberFormat="1" applyFont="1" applyBorder="1" applyAlignment="1" applyProtection="1">
      <alignment horizontal="center" vertical="center"/>
      <protection locked="0"/>
    </xf>
    <xf numFmtId="0" fontId="5" fillId="0" borderId="16" xfId="1" applyFont="1" applyBorder="1" applyAlignment="1" applyProtection="1">
      <alignment horizontal="center" vertical="center" wrapText="1"/>
      <protection hidden="1"/>
    </xf>
    <xf numFmtId="0" fontId="5" fillId="0" borderId="18" xfId="1" applyFont="1" applyBorder="1" applyAlignment="1" applyProtection="1">
      <alignment horizontal="center" vertical="center" wrapText="1"/>
      <protection hidden="1"/>
    </xf>
    <xf numFmtId="0" fontId="5" fillId="0" borderId="28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 wrapText="1"/>
      <protection hidden="1"/>
    </xf>
    <xf numFmtId="0" fontId="6" fillId="0" borderId="24" xfId="1" applyFont="1" applyBorder="1" applyAlignment="1" applyProtection="1">
      <alignment horizontal="center" vertical="center" wrapText="1"/>
      <protection hidden="1"/>
    </xf>
    <xf numFmtId="0" fontId="6" fillId="0" borderId="13" xfId="1" applyFont="1" applyBorder="1" applyAlignment="1" applyProtection="1">
      <alignment horizontal="center" vertical="center"/>
      <protection hidden="1"/>
    </xf>
    <xf numFmtId="0" fontId="2" fillId="0" borderId="25" xfId="1" applyFont="1" applyBorder="1" applyAlignment="1" applyProtection="1">
      <alignment horizontal="right" vertical="center"/>
      <protection hidden="1"/>
    </xf>
    <xf numFmtId="0" fontId="2" fillId="0" borderId="13" xfId="1" applyFont="1" applyBorder="1" applyAlignment="1" applyProtection="1">
      <alignment horizontal="right" vertical="center"/>
      <protection hidden="1"/>
    </xf>
    <xf numFmtId="0" fontId="17" fillId="0" borderId="15" xfId="0" applyFont="1" applyBorder="1" applyAlignment="1" applyProtection="1">
      <alignment horizontal="center" vertical="center"/>
      <protection hidden="1"/>
    </xf>
    <xf numFmtId="0" fontId="17" fillId="0" borderId="16" xfId="0" applyFont="1" applyBorder="1" applyAlignment="1" applyProtection="1">
      <alignment horizontal="center" vertical="center"/>
      <protection hidden="1"/>
    </xf>
    <xf numFmtId="0" fontId="17" fillId="0" borderId="17" xfId="0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0" fontId="17" fillId="0" borderId="18" xfId="0" applyFont="1" applyBorder="1" applyAlignment="1" applyProtection="1">
      <alignment horizontal="center" vertical="center"/>
      <protection locked="0"/>
    </xf>
    <xf numFmtId="164" fontId="17" fillId="0" borderId="16" xfId="0" applyNumberFormat="1" applyFont="1" applyBorder="1" applyAlignment="1" applyProtection="1">
      <alignment horizontal="center" vertical="center"/>
      <protection locked="0"/>
    </xf>
    <xf numFmtId="165" fontId="17" fillId="0" borderId="17" xfId="0" applyNumberFormat="1" applyFont="1" applyBorder="1" applyAlignment="1">
      <alignment horizontal="center" vertical="center"/>
    </xf>
    <xf numFmtId="165" fontId="17" fillId="0" borderId="16" xfId="0" applyNumberFormat="1" applyFont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 applyProtection="1">
      <alignment horizontal="center" vertical="center"/>
      <protection hidden="1"/>
    </xf>
    <xf numFmtId="2" fontId="17" fillId="0" borderId="21" xfId="0" applyNumberFormat="1" applyFont="1" applyBorder="1" applyAlignment="1" applyProtection="1">
      <alignment horizontal="center" vertical="center"/>
      <protection hidden="1"/>
    </xf>
    <xf numFmtId="0" fontId="25" fillId="0" borderId="34" xfId="0" applyFont="1" applyBorder="1" applyAlignment="1" applyProtection="1">
      <alignment horizontal="center" vertical="center" wrapText="1"/>
      <protection hidden="1"/>
    </xf>
    <xf numFmtId="0" fontId="25" fillId="0" borderId="31" xfId="0" applyFont="1" applyBorder="1" applyAlignment="1" applyProtection="1">
      <alignment horizontal="center" vertical="center" wrapText="1"/>
      <protection hidden="1"/>
    </xf>
    <xf numFmtId="0" fontId="25" fillId="0" borderId="35" xfId="0" applyFont="1" applyBorder="1" applyAlignment="1" applyProtection="1">
      <alignment horizontal="center" vertical="center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25" fillId="0" borderId="29" xfId="0" applyFont="1" applyBorder="1" applyAlignment="1" applyProtection="1">
      <alignment horizontal="center" vertical="center"/>
      <protection hidden="1"/>
    </xf>
    <xf numFmtId="0" fontId="25" fillId="0" borderId="30" xfId="0" applyFont="1" applyBorder="1" applyAlignment="1" applyProtection="1">
      <alignment horizontal="center" vertical="center"/>
      <protection hidden="1"/>
    </xf>
    <xf numFmtId="0" fontId="25" fillId="0" borderId="1" xfId="0" applyFont="1" applyBorder="1" applyAlignment="1" applyProtection="1">
      <alignment horizontal="center" vertical="center" wrapText="1"/>
      <protection hidden="1"/>
    </xf>
    <xf numFmtId="0" fontId="25" fillId="0" borderId="2" xfId="0" applyFont="1" applyBorder="1" applyAlignment="1" applyProtection="1">
      <alignment horizontal="center" vertical="center" wrapText="1"/>
      <protection hidden="1"/>
    </xf>
    <xf numFmtId="0" fontId="25" fillId="0" borderId="8" xfId="0" applyFont="1" applyBorder="1" applyAlignment="1" applyProtection="1">
      <alignment horizontal="center" vertical="center" wrapText="1"/>
      <protection hidden="1"/>
    </xf>
    <xf numFmtId="0" fontId="25" fillId="0" borderId="4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left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locked="0"/>
    </xf>
    <xf numFmtId="0" fontId="25" fillId="0" borderId="31" xfId="0" applyFont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 wrapText="1"/>
      <protection hidden="1"/>
    </xf>
    <xf numFmtId="0" fontId="17" fillId="0" borderId="4" xfId="0" applyFont="1" applyBorder="1" applyAlignment="1" applyProtection="1">
      <alignment horizontal="center" vertical="center" wrapText="1"/>
      <protection hidden="1"/>
    </xf>
    <xf numFmtId="0" fontId="17" fillId="0" borderId="5" xfId="0" applyFont="1" applyBorder="1" applyAlignment="1" applyProtection="1">
      <alignment horizontal="center" vertical="center" wrapText="1"/>
      <protection hidden="1"/>
    </xf>
    <xf numFmtId="0" fontId="17" fillId="0" borderId="6" xfId="0" applyFont="1" applyBorder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17" fillId="0" borderId="7" xfId="0" applyFont="1" applyBorder="1" applyAlignment="1" applyProtection="1">
      <alignment horizontal="center" vertical="center" wrapText="1"/>
      <protection hidden="1"/>
    </xf>
    <xf numFmtId="0" fontId="17" fillId="0" borderId="1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17" fillId="0" borderId="8" xfId="0" applyFont="1" applyBorder="1" applyAlignment="1" applyProtection="1">
      <alignment horizontal="center" vertical="center" wrapText="1"/>
      <protection hidden="1"/>
    </xf>
    <xf numFmtId="0" fontId="25" fillId="0" borderId="3" xfId="0" applyFont="1" applyBorder="1" applyAlignment="1" applyProtection="1">
      <alignment horizontal="center" vertical="center"/>
      <protection hidden="1"/>
    </xf>
    <xf numFmtId="0" fontId="25" fillId="0" borderId="5" xfId="0" applyFont="1" applyBorder="1" applyAlignment="1" applyProtection="1">
      <alignment horizontal="center" vertical="center"/>
      <protection hidden="1"/>
    </xf>
    <xf numFmtId="0" fontId="22" fillId="0" borderId="16" xfId="0" applyFont="1" applyBorder="1" applyAlignment="1" applyProtection="1">
      <alignment horizontal="center" vertical="center"/>
      <protection hidden="1"/>
    </xf>
    <xf numFmtId="0" fontId="18" fillId="0" borderId="16" xfId="0" applyFont="1" applyBorder="1" applyAlignment="1" applyProtection="1">
      <alignment horizontal="center" vertical="center"/>
      <protection hidden="1"/>
    </xf>
    <xf numFmtId="14" fontId="23" fillId="0" borderId="6" xfId="0" applyNumberFormat="1" applyFont="1" applyBorder="1" applyAlignment="1" applyProtection="1">
      <alignment horizontal="center" vertical="center"/>
      <protection locked="0"/>
    </xf>
    <xf numFmtId="14" fontId="23" fillId="0" borderId="0" xfId="0" applyNumberFormat="1" applyFont="1" applyAlignment="1" applyProtection="1">
      <alignment horizontal="center" vertical="center"/>
      <protection locked="0"/>
    </xf>
    <xf numFmtId="14" fontId="23" fillId="0" borderId="7" xfId="0" applyNumberFormat="1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6" fillId="0" borderId="4" xfId="0" applyFont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 applyProtection="1">
      <alignment horizontal="center" vertical="center" wrapText="1"/>
      <protection locked="0"/>
    </xf>
    <xf numFmtId="0" fontId="26" fillId="0" borderId="6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7" xfId="0" applyFont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3" fillId="0" borderId="6" xfId="0" applyFont="1" applyBorder="1" applyAlignment="1" applyProtection="1">
      <alignment horizontal="center" vertical="center"/>
      <protection locked="0"/>
    </xf>
    <xf numFmtId="0" fontId="23" fillId="0" borderId="7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0" borderId="7" xfId="0" applyFont="1" applyBorder="1" applyAlignment="1" applyProtection="1">
      <alignment horizontal="center" vertical="center"/>
      <protection hidden="1"/>
    </xf>
    <xf numFmtId="165" fontId="23" fillId="0" borderId="19" xfId="0" applyNumberFormat="1" applyFont="1" applyBorder="1" applyAlignment="1" applyProtection="1">
      <alignment horizontal="center" vertical="center"/>
      <protection hidden="1"/>
    </xf>
    <xf numFmtId="0" fontId="19" fillId="0" borderId="28" xfId="0" applyFont="1" applyBorder="1" applyAlignment="1" applyProtection="1">
      <alignment horizontal="center" vertical="center"/>
      <protection hidden="1"/>
    </xf>
    <xf numFmtId="0" fontId="23" fillId="0" borderId="24" xfId="0" applyFont="1" applyBorder="1" applyAlignment="1" applyProtection="1">
      <alignment horizontal="center" vertical="center" wrapText="1"/>
      <protection hidden="1"/>
    </xf>
    <xf numFmtId="0" fontId="23" fillId="0" borderId="13" xfId="0" applyFont="1" applyBorder="1" applyAlignment="1" applyProtection="1">
      <alignment horizontal="center" vertical="center"/>
      <protection hidden="1"/>
    </xf>
    <xf numFmtId="0" fontId="25" fillId="0" borderId="29" xfId="0" applyFont="1" applyBorder="1" applyAlignment="1" applyProtection="1">
      <alignment horizontal="center" vertical="center" wrapText="1"/>
      <protection hidden="1"/>
    </xf>
    <xf numFmtId="0" fontId="25" fillId="0" borderId="32" xfId="0" applyFont="1" applyBorder="1" applyAlignment="1" applyProtection="1">
      <alignment horizontal="center" vertical="center" wrapText="1"/>
      <protection hidden="1"/>
    </xf>
    <xf numFmtId="0" fontId="25" fillId="0" borderId="33" xfId="0" applyFont="1" applyBorder="1" applyAlignment="1" applyProtection="1">
      <alignment horizontal="center" vertical="center" wrapText="1"/>
      <protection hidden="1"/>
    </xf>
    <xf numFmtId="14" fontId="20" fillId="0" borderId="0" xfId="0" applyNumberFormat="1" applyFont="1" applyAlignment="1" applyProtection="1">
      <alignment horizontal="left" vertical="center" wrapText="1"/>
      <protection locked="0"/>
    </xf>
    <xf numFmtId="0" fontId="20" fillId="0" borderId="6" xfId="0" applyFont="1" applyBorder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0" fillId="0" borderId="7" xfId="0" applyFont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20" fillId="0" borderId="8" xfId="0" applyFont="1" applyBorder="1" applyAlignment="1" applyProtection="1">
      <alignment horizontal="left" vertical="center" wrapText="1"/>
      <protection locked="0"/>
    </xf>
    <xf numFmtId="0" fontId="25" fillId="0" borderId="22" xfId="0" applyFont="1" applyBorder="1" applyAlignment="1" applyProtection="1">
      <alignment horizontal="center" vertical="center" wrapText="1"/>
      <protection hidden="1"/>
    </xf>
    <xf numFmtId="0" fontId="25" fillId="0" borderId="23" xfId="0" applyFont="1" applyBorder="1" applyAlignment="1" applyProtection="1">
      <alignment horizontal="center" vertical="center" wrapText="1"/>
      <protection hidden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25" fillId="0" borderId="8" xfId="0" applyFont="1" applyBorder="1" applyAlignment="1" applyProtection="1">
      <alignment horizontal="center" vertical="center"/>
      <protection hidden="1"/>
    </xf>
    <xf numFmtId="164" fontId="25" fillId="0" borderId="4" xfId="0" applyNumberFormat="1" applyFont="1" applyBorder="1" applyAlignment="1" applyProtection="1">
      <alignment horizontal="center" vertical="center"/>
      <protection locked="0"/>
    </xf>
    <xf numFmtId="0" fontId="25" fillId="0" borderId="30" xfId="0" applyFont="1" applyBorder="1" applyAlignment="1" applyProtection="1">
      <alignment horizontal="center" vertical="center" wrapText="1"/>
      <protection hidden="1"/>
    </xf>
    <xf numFmtId="166" fontId="17" fillId="0" borderId="23" xfId="0" applyNumberFormat="1" applyFont="1" applyBorder="1" applyAlignment="1" applyProtection="1">
      <alignment horizontal="center" vertical="center"/>
      <protection hidden="1"/>
    </xf>
    <xf numFmtId="0" fontId="17" fillId="0" borderId="23" xfId="0" applyFont="1" applyBorder="1" applyAlignment="1" applyProtection="1">
      <alignment horizontal="center" vertical="center"/>
      <protection hidden="1"/>
    </xf>
    <xf numFmtId="0" fontId="17" fillId="0" borderId="26" xfId="0" applyFont="1" applyBorder="1" applyAlignment="1" applyProtection="1">
      <alignment horizontal="center" vertical="center"/>
      <protection hidden="1"/>
    </xf>
    <xf numFmtId="164" fontId="23" fillId="0" borderId="19" xfId="0" applyNumberFormat="1" applyFont="1" applyBorder="1" applyAlignment="1" applyProtection="1">
      <alignment horizontal="center" vertical="center"/>
      <protection hidden="1"/>
    </xf>
    <xf numFmtId="2" fontId="22" fillId="0" borderId="19" xfId="0" applyNumberFormat="1" applyFont="1" applyBorder="1" applyAlignment="1" applyProtection="1">
      <alignment horizontal="center" vertical="center"/>
      <protection hidden="1"/>
    </xf>
    <xf numFmtId="2" fontId="22" fillId="0" borderId="20" xfId="0" applyNumberFormat="1" applyFont="1" applyBorder="1" applyAlignment="1" applyProtection="1">
      <alignment horizontal="center" vertical="center"/>
      <protection hidden="1"/>
    </xf>
    <xf numFmtId="0" fontId="19" fillId="0" borderId="16" xfId="0" applyFont="1" applyBorder="1" applyAlignment="1" applyProtection="1">
      <alignment horizontal="center" vertical="center" wrapText="1"/>
      <protection hidden="1"/>
    </xf>
    <xf numFmtId="0" fontId="19" fillId="0" borderId="18" xfId="0" applyFont="1" applyBorder="1" applyAlignment="1" applyProtection="1">
      <alignment horizontal="center" vertical="center" wrapText="1"/>
      <protection hidden="1"/>
    </xf>
    <xf numFmtId="0" fontId="19" fillId="0" borderId="6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22" fillId="0" borderId="25" xfId="0" applyFont="1" applyBorder="1" applyAlignment="1" applyProtection="1">
      <alignment horizontal="right" vertical="center"/>
      <protection hidden="1"/>
    </xf>
    <xf numFmtId="0" fontId="22" fillId="0" borderId="13" xfId="0" applyFont="1" applyBorder="1" applyAlignment="1" applyProtection="1">
      <alignment horizontal="right" vertical="center"/>
      <protection hidden="1"/>
    </xf>
    <xf numFmtId="0" fontId="22" fillId="0" borderId="27" xfId="0" applyFont="1" applyBorder="1" applyAlignment="1" applyProtection="1">
      <alignment horizontal="center" vertical="center"/>
      <protection hidden="1"/>
    </xf>
    <xf numFmtId="0" fontId="22" fillId="0" borderId="19" xfId="0" applyFont="1" applyBorder="1" applyAlignment="1" applyProtection="1">
      <alignment horizontal="center" vertical="center"/>
      <protection hidden="1"/>
    </xf>
    <xf numFmtId="0" fontId="20" fillId="0" borderId="16" xfId="0" applyFont="1" applyBorder="1" applyAlignment="1" applyProtection="1">
      <alignment horizontal="center" vertical="center" wrapText="1"/>
      <protection locked="0"/>
    </xf>
    <xf numFmtId="0" fontId="20" fillId="0" borderId="16" xfId="0" applyFont="1" applyBorder="1" applyAlignment="1" applyProtection="1">
      <alignment horizontal="center" vertical="center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164" fontId="1" fillId="0" borderId="16" xfId="0" applyNumberFormat="1" applyFont="1" applyBorder="1" applyAlignment="1" applyProtection="1">
      <alignment horizontal="center" vertical="center"/>
      <protection locked="0"/>
    </xf>
    <xf numFmtId="165" fontId="1" fillId="0" borderId="17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 applyProtection="1">
      <alignment horizontal="center" vertical="center"/>
      <protection hidden="1"/>
    </xf>
    <xf numFmtId="2" fontId="1" fillId="0" borderId="21" xfId="0" applyNumberFormat="1" applyFont="1" applyBorder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horizontal="right" vertical="center"/>
      <protection hidden="1"/>
    </xf>
    <xf numFmtId="0" fontId="2" fillId="0" borderId="13" xfId="0" applyFont="1" applyBorder="1" applyAlignment="1" applyProtection="1">
      <alignment horizontal="right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165" fontId="6" fillId="0" borderId="19" xfId="0" applyNumberFormat="1" applyFont="1" applyBorder="1" applyAlignment="1" applyProtection="1">
      <alignment horizontal="center" vertical="center"/>
      <protection hidden="1"/>
    </xf>
    <xf numFmtId="2" fontId="2" fillId="0" borderId="19" xfId="0" applyNumberFormat="1" applyFont="1" applyBorder="1" applyAlignment="1" applyProtection="1">
      <alignment horizontal="center" vertical="center"/>
      <protection hidden="1"/>
    </xf>
    <xf numFmtId="2" fontId="2" fillId="0" borderId="20" xfId="0" applyNumberFormat="1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2" xfId="0" applyFont="1" applyBorder="1" applyAlignment="1" applyProtection="1">
      <alignment horizontal="center" vertical="center" wrapText="1"/>
      <protection hidden="1"/>
    </xf>
    <xf numFmtId="0" fontId="7" fillId="0" borderId="23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horizontal="center" vertical="center" wrapText="1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166" fontId="1" fillId="0" borderId="23" xfId="0" applyNumberFormat="1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1" fillId="0" borderId="26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164" fontId="6" fillId="0" borderId="19" xfId="0" applyNumberFormat="1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7" fillId="0" borderId="31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 wrapText="1"/>
      <protection hidden="1"/>
    </xf>
    <xf numFmtId="0" fontId="7" fillId="0" borderId="31" xfId="0" applyFont="1" applyBorder="1" applyAlignment="1" applyProtection="1">
      <alignment horizontal="center" vertical="center" wrapText="1"/>
      <protection hidden="1"/>
    </xf>
    <xf numFmtId="0" fontId="7" fillId="0" borderId="32" xfId="0" applyFont="1" applyBorder="1" applyAlignment="1" applyProtection="1">
      <alignment horizontal="center" vertical="center" wrapText="1"/>
      <protection hidden="1"/>
    </xf>
    <xf numFmtId="0" fontId="7" fillId="0" borderId="33" xfId="0" applyFont="1" applyBorder="1" applyAlignment="1" applyProtection="1">
      <alignment horizontal="center" vertical="center" wrapText="1"/>
      <protection hidden="1"/>
    </xf>
    <xf numFmtId="0" fontId="7" fillId="0" borderId="34" xfId="0" applyFont="1" applyBorder="1" applyAlignment="1" applyProtection="1">
      <alignment horizontal="center" vertical="center" wrapText="1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7" fillId="0" borderId="30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30" xfId="0" applyFont="1" applyBorder="1" applyAlignment="1" applyProtection="1">
      <alignment horizontal="center" vertical="center" wrapText="1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5" fontId="1" fillId="0" borderId="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3" xfId="0" applyNumberFormat="1" applyFont="1" applyBorder="1" applyAlignment="1" applyProtection="1">
      <alignment horizontal="center" vertical="center"/>
      <protection hidden="1"/>
    </xf>
    <xf numFmtId="2" fontId="1" fillId="0" borderId="4" xfId="0" applyNumberFormat="1" applyFont="1" applyBorder="1" applyAlignment="1" applyProtection="1">
      <alignment horizontal="center" vertical="center"/>
      <protection hidden="1"/>
    </xf>
    <xf numFmtId="2" fontId="1" fillId="0" borderId="36" xfId="0" applyNumberFormat="1" applyFont="1" applyBorder="1" applyAlignment="1" applyProtection="1">
      <alignment horizontal="center" vertical="center"/>
      <protection hidden="1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2" fontId="1" fillId="0" borderId="2" xfId="0" applyNumberFormat="1" applyFont="1" applyBorder="1" applyAlignment="1" applyProtection="1">
      <alignment horizontal="center" vertical="center"/>
      <protection hidden="1"/>
    </xf>
    <xf numFmtId="2" fontId="1" fillId="0" borderId="33" xfId="0" applyNumberFormat="1" applyFont="1" applyBorder="1" applyAlignment="1" applyProtection="1">
      <alignment horizontal="center" vertical="center"/>
      <protection hidden="1"/>
    </xf>
    <xf numFmtId="2" fontId="1" fillId="0" borderId="6" xfId="0" applyNumberFormat="1" applyFont="1" applyBorder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hidden="1"/>
    </xf>
    <xf numFmtId="2" fontId="1" fillId="0" borderId="37" xfId="0" applyNumberFormat="1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78D9B826-59EF-44A7-A983-8A42334A7B7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D8617D0-0496-4F52-B9E5-B06311AE7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D5A9EA9-33C4-4717-9353-E1355E5F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A2EA418-07DA-4B6A-B642-64E35E1E8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3238E7D-2E8B-4F71-9986-C944CA9F6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973CD1E-1A50-45B3-8F9A-F641EB76A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1E8C01C-C544-48DA-8A9A-435E0DA11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731CCD9-3F18-4900-A6B4-879AB8B5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67F9CA3-BB6E-4FD7-9713-F467BE021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6170754-AD3B-4E80-88B2-BEA4FF511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8A23B90-4548-42ED-B9FD-92CB46450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5815641-49C0-4961-BEFA-00DEC2CE7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67</xdr:row>
      <xdr:rowOff>76200</xdr:rowOff>
    </xdr:from>
    <xdr:ext cx="1800225" cy="706525"/>
    <xdr:pic>
      <xdr:nvPicPr>
        <xdr:cNvPr id="3" name="Image 2">
          <a:extLst>
            <a:ext uri="{FF2B5EF4-FFF2-40B4-BE49-F238E27FC236}">
              <a16:creationId xmlns:a16="http://schemas.microsoft.com/office/drawing/2014/main" id="{D84DBB27-7BA5-4E77-A39D-AB7C76C8F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1970" y="11563350"/>
          <a:ext cx="1800225" cy="70652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88EB403-552C-4396-9A01-462CF32BD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67</xdr:row>
      <xdr:rowOff>76200</xdr:rowOff>
    </xdr:from>
    <xdr:ext cx="1800225" cy="706525"/>
    <xdr:pic>
      <xdr:nvPicPr>
        <xdr:cNvPr id="3" name="Image 2">
          <a:extLst>
            <a:ext uri="{FF2B5EF4-FFF2-40B4-BE49-F238E27FC236}">
              <a16:creationId xmlns:a16="http://schemas.microsoft.com/office/drawing/2014/main" id="{36DD32D2-7DD1-4471-B880-BD388B31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1970" y="11563350"/>
          <a:ext cx="1800225" cy="70652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703E5FA-1DB3-47F5-B170-8D1414529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67</xdr:row>
      <xdr:rowOff>47625</xdr:rowOff>
    </xdr:from>
    <xdr:ext cx="1800225" cy="706525"/>
    <xdr:pic>
      <xdr:nvPicPr>
        <xdr:cNvPr id="3" name="Image 2">
          <a:extLst>
            <a:ext uri="{FF2B5EF4-FFF2-40B4-BE49-F238E27FC236}">
              <a16:creationId xmlns:a16="http://schemas.microsoft.com/office/drawing/2014/main" id="{38A911B7-AD23-4662-A280-361AB3133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536680"/>
          <a:ext cx="1800225" cy="70652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13283D0-BCDD-47F3-B5E9-D2861F829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62</xdr:row>
      <xdr:rowOff>66675</xdr:rowOff>
    </xdr:from>
    <xdr:ext cx="1693545" cy="677281"/>
    <xdr:pic>
      <xdr:nvPicPr>
        <xdr:cNvPr id="3" name="Image 2">
          <a:extLst>
            <a:ext uri="{FF2B5EF4-FFF2-40B4-BE49-F238E27FC236}">
              <a16:creationId xmlns:a16="http://schemas.microsoft.com/office/drawing/2014/main" id="{00AAA43E-6EC1-4B67-AD58-5E99E3DE5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0694670"/>
          <a:ext cx="1693545" cy="67728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A90C2A9-49DA-4BDC-93AE-D84C257D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238126</xdr:colOff>
      <xdr:row>62</xdr:row>
      <xdr:rowOff>76200</xdr:rowOff>
    </xdr:from>
    <xdr:ext cx="1693545" cy="677281"/>
    <xdr:pic>
      <xdr:nvPicPr>
        <xdr:cNvPr id="3" name="Image 2">
          <a:extLst>
            <a:ext uri="{FF2B5EF4-FFF2-40B4-BE49-F238E27FC236}">
              <a16:creationId xmlns:a16="http://schemas.microsoft.com/office/drawing/2014/main" id="{0A889270-7A7D-4BC4-A43F-5C9576B5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1031" y="10706100"/>
          <a:ext cx="1693545" cy="677281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9F750C1-BBA6-495C-B5A1-45564BF3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932A1BD-013F-4BC0-8D4D-4D9C5041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57150</xdr:colOff>
      <xdr:row>62</xdr:row>
      <xdr:rowOff>38100</xdr:rowOff>
    </xdr:from>
    <xdr:ext cx="1914525" cy="756191"/>
    <xdr:pic>
      <xdr:nvPicPr>
        <xdr:cNvPr id="3" name="Image 2">
          <a:extLst>
            <a:ext uri="{FF2B5EF4-FFF2-40B4-BE49-F238E27FC236}">
              <a16:creationId xmlns:a16="http://schemas.microsoft.com/office/drawing/2014/main" id="{1C578F64-5C0C-49BC-8EED-80643470C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4340" y="10668000"/>
          <a:ext cx="1914525" cy="756191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1F1E632-ED4C-44F3-B43D-8EBD7A7B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FCA2276-3D76-40D5-A4C8-FF0D102D0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1E895A7-F6A5-4390-9A79-05E54F3C4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2EF31A4-6CA6-4331-B88E-3662D83C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355C146-A712-4F1C-9104-3A4D4F23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16DED71-FBD0-4387-A6E9-4863A9159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1563AB4-738E-4036-901B-584E17B02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35A9D32-33BF-410E-8B82-F404037A9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41E05BA-52F8-4296-881C-90182AF5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C57089D-3FB5-4DD0-8A37-914F755D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60A4DDC-ABFA-42A4-B7BC-2137A7266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A88361D-9A30-40C3-8B73-700DE3E30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BB0291E-14DF-4E92-A1F8-D5495567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013E57E-5E3F-44CA-9D3E-3A48A05B5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F62A1BC-5916-453D-A073-939284E30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0005419-9272-4E6A-A7D1-8F2AAECD8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8F52288-4369-4074-A5B3-D6EA1D68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F78968-B9A0-4D98-8458-07B8A9628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B35899D-E7D6-4A93-AED8-FFCB38384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3018404-DC18-494B-946F-33A9EB6B0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BFFB826-469F-4C2C-99A1-7EE5B6D57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610F0AE-67B3-4A4D-825B-F5A2C41F7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EF6E33B-AE21-4118-8284-9AA45BFBD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00DA218-192F-43ED-964A-CAE4A6156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1A0F-2BDA-478E-9FA3-86CF47357889}">
  <sheetPr>
    <pageSetUpPr fitToPage="1"/>
  </sheetPr>
  <dimension ref="A1:AN63"/>
  <sheetViews>
    <sheetView tabSelected="1" topLeftCell="A49" workbookViewId="0">
      <selection activeCell="AD59" sqref="AD59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194</v>
      </c>
      <c r="V1" s="317"/>
      <c r="W1" s="317"/>
      <c r="X1" s="317"/>
      <c r="Y1" s="317"/>
      <c r="Z1" s="318"/>
    </row>
    <row r="2" spans="1:40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42</v>
      </c>
      <c r="J5" s="282"/>
      <c r="K5" s="283"/>
      <c r="L5" s="328" t="s">
        <v>4</v>
      </c>
      <c r="M5" s="329"/>
      <c r="N5" s="329"/>
      <c r="O5" s="330"/>
      <c r="P5" s="313">
        <v>45610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96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>
        <v>45610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110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79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78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>
        <v>45610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192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29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95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191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4</v>
      </c>
      <c r="O22" s="278" t="s">
        <v>42</v>
      </c>
      <c r="P22" s="278"/>
      <c r="Q22" s="278"/>
      <c r="R22" s="241" t="s">
        <v>76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2.44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1"/>
      <c r="E29" s="262"/>
      <c r="F29" s="261"/>
      <c r="G29" s="262"/>
      <c r="H29" s="263"/>
      <c r="I29" s="264">
        <v>2.2519999999999998</v>
      </c>
      <c r="J29" s="264"/>
      <c r="K29" s="264"/>
      <c r="L29" s="265">
        <v>92.3</v>
      </c>
      <c r="M29" s="257"/>
      <c r="N29" s="258"/>
      <c r="O29" s="257">
        <v>7.7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1"/>
      <c r="E30" s="262"/>
      <c r="F30" s="261"/>
      <c r="G30" s="262"/>
      <c r="H30" s="263"/>
      <c r="I30" s="264">
        <v>2.3149999999999999</v>
      </c>
      <c r="J30" s="264"/>
      <c r="K30" s="264"/>
      <c r="L30" s="265">
        <v>94.9</v>
      </c>
      <c r="M30" s="257"/>
      <c r="N30" s="258"/>
      <c r="O30" s="257">
        <v>5.0999999999999996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1"/>
      <c r="E31" s="262"/>
      <c r="F31" s="261"/>
      <c r="G31" s="262"/>
      <c r="H31" s="263"/>
      <c r="I31" s="264">
        <v>2.2690000000000001</v>
      </c>
      <c r="J31" s="264"/>
      <c r="K31" s="264"/>
      <c r="L31" s="265">
        <v>93</v>
      </c>
      <c r="M31" s="257"/>
      <c r="N31" s="258"/>
      <c r="O31" s="257">
        <v>7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1"/>
      <c r="E32" s="262"/>
      <c r="F32" s="261"/>
      <c r="G32" s="262"/>
      <c r="H32" s="263"/>
      <c r="I32" s="264">
        <v>2.2450000000000001</v>
      </c>
      <c r="J32" s="264"/>
      <c r="K32" s="264"/>
      <c r="L32" s="265">
        <v>92</v>
      </c>
      <c r="M32" s="257"/>
      <c r="N32" s="258"/>
      <c r="O32" s="257">
        <v>8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1"/>
      <c r="E33" s="262"/>
      <c r="F33" s="261"/>
      <c r="G33" s="262"/>
      <c r="H33" s="263"/>
      <c r="I33" s="264">
        <v>2.246</v>
      </c>
      <c r="J33" s="264"/>
      <c r="K33" s="264"/>
      <c r="L33" s="265">
        <v>92</v>
      </c>
      <c r="M33" s="257"/>
      <c r="N33" s="258"/>
      <c r="O33" s="257">
        <v>8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1"/>
      <c r="E34" s="262"/>
      <c r="F34" s="261"/>
      <c r="G34" s="262"/>
      <c r="H34" s="263"/>
      <c r="I34" s="264">
        <v>2.2829999999999999</v>
      </c>
      <c r="J34" s="264"/>
      <c r="K34" s="264"/>
      <c r="L34" s="265">
        <v>93.6</v>
      </c>
      <c r="M34" s="257"/>
      <c r="N34" s="258"/>
      <c r="O34" s="257">
        <v>6.4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1"/>
      <c r="E35" s="262"/>
      <c r="F35" s="261"/>
      <c r="G35" s="262"/>
      <c r="H35" s="263"/>
      <c r="I35" s="264">
        <v>2.258</v>
      </c>
      <c r="J35" s="264"/>
      <c r="K35" s="264"/>
      <c r="L35" s="265">
        <v>92.5</v>
      </c>
      <c r="M35" s="257"/>
      <c r="N35" s="258"/>
      <c r="O35" s="257">
        <v>7.5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1"/>
      <c r="E36" s="262"/>
      <c r="F36" s="261"/>
      <c r="G36" s="262"/>
      <c r="H36" s="263"/>
      <c r="I36" s="264">
        <v>2.2629999999999999</v>
      </c>
      <c r="J36" s="264"/>
      <c r="K36" s="264"/>
      <c r="L36" s="265">
        <v>92.7</v>
      </c>
      <c r="M36" s="257"/>
      <c r="N36" s="258"/>
      <c r="O36" s="257">
        <v>7.3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1"/>
      <c r="E37" s="262"/>
      <c r="F37" s="261"/>
      <c r="G37" s="262"/>
      <c r="H37" s="263"/>
      <c r="I37" s="264">
        <v>2.25</v>
      </c>
      <c r="J37" s="264"/>
      <c r="K37" s="264"/>
      <c r="L37" s="265">
        <v>92.2</v>
      </c>
      <c r="M37" s="257"/>
      <c r="N37" s="258"/>
      <c r="O37" s="257">
        <v>7.8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1"/>
      <c r="E38" s="262"/>
      <c r="F38" s="261"/>
      <c r="G38" s="262"/>
      <c r="H38" s="263"/>
      <c r="I38" s="264">
        <v>2.2610000000000001</v>
      </c>
      <c r="J38" s="264"/>
      <c r="K38" s="264"/>
      <c r="L38" s="265">
        <v>92.7</v>
      </c>
      <c r="M38" s="257"/>
      <c r="N38" s="258"/>
      <c r="O38" s="257">
        <v>7.3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1"/>
      <c r="E39" s="262"/>
      <c r="F39" s="261"/>
      <c r="G39" s="262"/>
      <c r="H39" s="263"/>
      <c r="I39" s="264">
        <v>2.2749999999999999</v>
      </c>
      <c r="J39" s="264"/>
      <c r="K39" s="264"/>
      <c r="L39" s="265">
        <v>93.2</v>
      </c>
      <c r="M39" s="257"/>
      <c r="N39" s="258"/>
      <c r="O39" s="257">
        <v>6.8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61"/>
      <c r="E40" s="262"/>
      <c r="F40" s="261"/>
      <c r="G40" s="262"/>
      <c r="H40" s="263"/>
      <c r="I40" s="264">
        <v>2.2770000000000001</v>
      </c>
      <c r="J40" s="264"/>
      <c r="K40" s="264"/>
      <c r="L40" s="265">
        <v>93.3</v>
      </c>
      <c r="M40" s="257"/>
      <c r="N40" s="258"/>
      <c r="O40" s="257">
        <v>6.7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1"/>
      <c r="E41" s="262"/>
      <c r="F41" s="261"/>
      <c r="G41" s="262"/>
      <c r="H41" s="263"/>
      <c r="I41" s="264">
        <v>2.2999999999999998</v>
      </c>
      <c r="J41" s="264"/>
      <c r="K41" s="264"/>
      <c r="L41" s="265">
        <v>94.3</v>
      </c>
      <c r="M41" s="257"/>
      <c r="N41" s="258"/>
      <c r="O41" s="257">
        <v>5.7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1"/>
      <c r="E42" s="262"/>
      <c r="F42" s="261"/>
      <c r="G42" s="262"/>
      <c r="H42" s="263"/>
      <c r="I42" s="264">
        <v>2.2919999999999998</v>
      </c>
      <c r="J42" s="264"/>
      <c r="K42" s="264"/>
      <c r="L42" s="265">
        <v>93.9</v>
      </c>
      <c r="M42" s="257"/>
      <c r="N42" s="258"/>
      <c r="O42" s="257">
        <v>6.1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61"/>
      <c r="E43" s="262"/>
      <c r="F43" s="261"/>
      <c r="G43" s="262"/>
      <c r="H43" s="263"/>
      <c r="I43" s="264">
        <v>2.34</v>
      </c>
      <c r="J43" s="264"/>
      <c r="K43" s="264"/>
      <c r="L43" s="265">
        <v>95.9</v>
      </c>
      <c r="M43" s="257"/>
      <c r="N43" s="258"/>
      <c r="O43" s="257">
        <v>4.0999999999999996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>
        <v>16</v>
      </c>
      <c r="C44" s="260"/>
      <c r="D44" s="261"/>
      <c r="E44" s="262"/>
      <c r="F44" s="261"/>
      <c r="G44" s="262"/>
      <c r="H44" s="263"/>
      <c r="I44" s="264">
        <v>2.2869999999999999</v>
      </c>
      <c r="J44" s="264"/>
      <c r="K44" s="264"/>
      <c r="L44" s="265">
        <v>93.7</v>
      </c>
      <c r="M44" s="257"/>
      <c r="N44" s="258"/>
      <c r="O44" s="257">
        <v>6.3</v>
      </c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>
        <v>17</v>
      </c>
      <c r="C45" s="260"/>
      <c r="D45" s="261"/>
      <c r="E45" s="262"/>
      <c r="F45" s="261"/>
      <c r="G45" s="262"/>
      <c r="H45" s="263"/>
      <c r="I45" s="264">
        <v>2.3279999999999998</v>
      </c>
      <c r="J45" s="264"/>
      <c r="K45" s="264"/>
      <c r="L45" s="265">
        <v>95.4</v>
      </c>
      <c r="M45" s="257"/>
      <c r="N45" s="258"/>
      <c r="O45" s="257">
        <v>4.5999999999999996</v>
      </c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>
        <v>18</v>
      </c>
      <c r="C46" s="260"/>
      <c r="D46" s="261"/>
      <c r="E46" s="262"/>
      <c r="F46" s="261"/>
      <c r="G46" s="262"/>
      <c r="H46" s="263"/>
      <c r="I46" s="264">
        <v>2.3050000000000002</v>
      </c>
      <c r="J46" s="264"/>
      <c r="K46" s="264"/>
      <c r="L46" s="265">
        <v>94.5</v>
      </c>
      <c r="M46" s="257"/>
      <c r="N46" s="258"/>
      <c r="O46" s="257">
        <v>5.5</v>
      </c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>
        <v>19</v>
      </c>
      <c r="C47" s="260"/>
      <c r="D47" s="261"/>
      <c r="E47" s="262"/>
      <c r="F47" s="261"/>
      <c r="G47" s="262"/>
      <c r="H47" s="263"/>
      <c r="I47" s="264">
        <v>2.2480000000000002</v>
      </c>
      <c r="J47" s="264"/>
      <c r="K47" s="264"/>
      <c r="L47" s="265">
        <v>92.1</v>
      </c>
      <c r="M47" s="257"/>
      <c r="N47" s="258"/>
      <c r="O47" s="257">
        <v>7.9</v>
      </c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>
        <v>20</v>
      </c>
      <c r="C48" s="260"/>
      <c r="D48" s="261"/>
      <c r="E48" s="262"/>
      <c r="F48" s="261"/>
      <c r="G48" s="262"/>
      <c r="H48" s="263"/>
      <c r="I48" s="264">
        <v>2.2450000000000001</v>
      </c>
      <c r="J48" s="264"/>
      <c r="K48" s="264"/>
      <c r="L48" s="265">
        <v>92</v>
      </c>
      <c r="M48" s="257"/>
      <c r="N48" s="258"/>
      <c r="O48" s="257">
        <v>8</v>
      </c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v>2.2799999999999998</v>
      </c>
      <c r="J50" s="272"/>
      <c r="K50" s="272"/>
      <c r="L50" s="339">
        <v>93.31</v>
      </c>
      <c r="M50" s="339"/>
      <c r="N50" s="339"/>
      <c r="O50" s="339">
        <v>6.69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S11:W11"/>
    <mergeCell ref="X11:Y11"/>
    <mergeCell ref="G11:L11"/>
    <mergeCell ref="B12:F12"/>
    <mergeCell ref="G12:L12"/>
    <mergeCell ref="B11:F11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V22:X22"/>
    <mergeCell ref="B22:H22"/>
    <mergeCell ref="I22:M22"/>
    <mergeCell ref="B49:C49"/>
    <mergeCell ref="H25:P25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O48:Q48"/>
    <mergeCell ref="R48:Y48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0C2C-6D34-46A4-ACE0-DDAA187A8135}">
  <sheetPr>
    <pageSetUpPr fitToPage="1"/>
  </sheetPr>
  <dimension ref="A1:AN63"/>
  <sheetViews>
    <sheetView topLeftCell="A46" workbookViewId="0">
      <selection activeCell="AB6" sqref="AB6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194</v>
      </c>
      <c r="V1" s="317"/>
      <c r="W1" s="317"/>
      <c r="X1" s="317"/>
      <c r="Y1" s="317"/>
      <c r="Z1" s="318"/>
    </row>
    <row r="2" spans="1:40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41</v>
      </c>
      <c r="J5" s="282"/>
      <c r="K5" s="283"/>
      <c r="L5" s="328" t="s">
        <v>4</v>
      </c>
      <c r="M5" s="329"/>
      <c r="N5" s="329"/>
      <c r="O5" s="330"/>
      <c r="P5" s="313">
        <v>45610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16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193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157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20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22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193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192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120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31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191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0</v>
      </c>
      <c r="O22" s="278" t="s">
        <v>42</v>
      </c>
      <c r="P22" s="278"/>
      <c r="Q22" s="278"/>
      <c r="R22" s="241" t="s">
        <v>82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2.48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1"/>
      <c r="E29" s="262"/>
      <c r="F29" s="261"/>
      <c r="G29" s="262"/>
      <c r="H29" s="263"/>
      <c r="I29" s="264">
        <v>2.2869999999999999</v>
      </c>
      <c r="J29" s="264"/>
      <c r="K29" s="264"/>
      <c r="L29" s="265">
        <v>92.2</v>
      </c>
      <c r="M29" s="257"/>
      <c r="N29" s="258"/>
      <c r="O29" s="257">
        <v>7.8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1"/>
      <c r="E30" s="262"/>
      <c r="F30" s="261"/>
      <c r="G30" s="262"/>
      <c r="H30" s="263"/>
      <c r="I30" s="264">
        <v>2.3290000000000002</v>
      </c>
      <c r="J30" s="264"/>
      <c r="K30" s="264"/>
      <c r="L30" s="265">
        <v>93.9</v>
      </c>
      <c r="M30" s="257"/>
      <c r="N30" s="258"/>
      <c r="O30" s="257">
        <v>6.1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1"/>
      <c r="E31" s="262"/>
      <c r="F31" s="261"/>
      <c r="G31" s="262"/>
      <c r="H31" s="263"/>
      <c r="I31" s="264">
        <v>2.3039999999999998</v>
      </c>
      <c r="J31" s="264"/>
      <c r="K31" s="264"/>
      <c r="L31" s="265">
        <v>92.9</v>
      </c>
      <c r="M31" s="257"/>
      <c r="N31" s="258"/>
      <c r="O31" s="257">
        <v>7.1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1"/>
      <c r="E32" s="262"/>
      <c r="F32" s="261"/>
      <c r="G32" s="262"/>
      <c r="H32" s="263"/>
      <c r="I32" s="264">
        <v>2.339</v>
      </c>
      <c r="J32" s="264"/>
      <c r="K32" s="264"/>
      <c r="L32" s="265">
        <v>94.3</v>
      </c>
      <c r="M32" s="257"/>
      <c r="N32" s="258"/>
      <c r="O32" s="257">
        <v>5.7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1"/>
      <c r="E33" s="262"/>
      <c r="F33" s="261"/>
      <c r="G33" s="262"/>
      <c r="H33" s="263"/>
      <c r="I33" s="264">
        <v>2.3450000000000002</v>
      </c>
      <c r="J33" s="264"/>
      <c r="K33" s="264"/>
      <c r="L33" s="265">
        <v>94.6</v>
      </c>
      <c r="M33" s="257"/>
      <c r="N33" s="258"/>
      <c r="O33" s="257">
        <v>5.4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1"/>
      <c r="E34" s="262"/>
      <c r="F34" s="261"/>
      <c r="G34" s="262"/>
      <c r="H34" s="263"/>
      <c r="I34" s="264">
        <v>2.3250000000000002</v>
      </c>
      <c r="J34" s="264"/>
      <c r="K34" s="264"/>
      <c r="L34" s="265">
        <v>93.8</v>
      </c>
      <c r="M34" s="257"/>
      <c r="N34" s="258"/>
      <c r="O34" s="257">
        <v>6.2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1"/>
      <c r="E35" s="262"/>
      <c r="F35" s="261"/>
      <c r="G35" s="262"/>
      <c r="H35" s="263"/>
      <c r="I35" s="264">
        <v>2.3540000000000001</v>
      </c>
      <c r="J35" s="264"/>
      <c r="K35" s="264"/>
      <c r="L35" s="265">
        <v>94.9</v>
      </c>
      <c r="M35" s="257"/>
      <c r="N35" s="258"/>
      <c r="O35" s="257">
        <v>5.0999999999999996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1"/>
      <c r="E36" s="262"/>
      <c r="F36" s="261"/>
      <c r="G36" s="262"/>
      <c r="H36" s="263"/>
      <c r="I36" s="264">
        <v>2.3180000000000001</v>
      </c>
      <c r="J36" s="264"/>
      <c r="K36" s="264"/>
      <c r="L36" s="265">
        <v>93.5</v>
      </c>
      <c r="M36" s="257"/>
      <c r="N36" s="258"/>
      <c r="O36" s="257">
        <v>6.5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1"/>
      <c r="E37" s="262"/>
      <c r="F37" s="261"/>
      <c r="G37" s="262"/>
      <c r="H37" s="263"/>
      <c r="I37" s="264">
        <v>2.3519999999999999</v>
      </c>
      <c r="J37" s="264"/>
      <c r="K37" s="264"/>
      <c r="L37" s="265">
        <v>94.8</v>
      </c>
      <c r="M37" s="257"/>
      <c r="N37" s="258"/>
      <c r="O37" s="257">
        <v>5.2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1"/>
      <c r="E38" s="262"/>
      <c r="F38" s="261"/>
      <c r="G38" s="262"/>
      <c r="H38" s="263"/>
      <c r="I38" s="264">
        <v>2.2999999999999998</v>
      </c>
      <c r="J38" s="264"/>
      <c r="K38" s="264"/>
      <c r="L38" s="265">
        <v>92.7</v>
      </c>
      <c r="M38" s="257"/>
      <c r="N38" s="258"/>
      <c r="O38" s="257">
        <v>7.3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1"/>
      <c r="E39" s="262"/>
      <c r="F39" s="261"/>
      <c r="G39" s="262"/>
      <c r="H39" s="263"/>
      <c r="I39" s="264">
        <v>2.274</v>
      </c>
      <c r="J39" s="264"/>
      <c r="K39" s="264"/>
      <c r="L39" s="265">
        <v>91.7</v>
      </c>
      <c r="M39" s="257"/>
      <c r="N39" s="258"/>
      <c r="O39" s="257">
        <v>8.3000000000000007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61"/>
      <c r="E40" s="262"/>
      <c r="F40" s="261"/>
      <c r="G40" s="262"/>
      <c r="H40" s="263"/>
      <c r="I40" s="264">
        <v>2.3279999999999998</v>
      </c>
      <c r="J40" s="264"/>
      <c r="K40" s="264"/>
      <c r="L40" s="265">
        <v>93.9</v>
      </c>
      <c r="M40" s="257"/>
      <c r="N40" s="258"/>
      <c r="O40" s="257">
        <v>6.1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1"/>
      <c r="E41" s="262"/>
      <c r="F41" s="261"/>
      <c r="G41" s="262"/>
      <c r="H41" s="263"/>
      <c r="I41" s="264">
        <v>2.3410000000000002</v>
      </c>
      <c r="J41" s="264"/>
      <c r="K41" s="264"/>
      <c r="L41" s="265">
        <v>94.4</v>
      </c>
      <c r="M41" s="257"/>
      <c r="N41" s="258"/>
      <c r="O41" s="257">
        <v>5.6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1"/>
      <c r="E42" s="262"/>
      <c r="F42" s="261"/>
      <c r="G42" s="262"/>
      <c r="H42" s="263"/>
      <c r="I42" s="264">
        <v>2.3079999999999998</v>
      </c>
      <c r="J42" s="264"/>
      <c r="K42" s="264"/>
      <c r="L42" s="265">
        <v>93.1</v>
      </c>
      <c r="M42" s="257"/>
      <c r="N42" s="258"/>
      <c r="O42" s="257">
        <v>6.9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61"/>
      <c r="E43" s="262"/>
      <c r="F43" s="261"/>
      <c r="G43" s="262"/>
      <c r="H43" s="263"/>
      <c r="I43" s="264">
        <v>2.2829999999999999</v>
      </c>
      <c r="J43" s="264"/>
      <c r="K43" s="264"/>
      <c r="L43" s="265">
        <v>92.1</v>
      </c>
      <c r="M43" s="257"/>
      <c r="N43" s="258"/>
      <c r="O43" s="257">
        <v>7.9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>
        <v>16</v>
      </c>
      <c r="C44" s="260"/>
      <c r="D44" s="261"/>
      <c r="E44" s="262"/>
      <c r="F44" s="261"/>
      <c r="G44" s="262"/>
      <c r="H44" s="263"/>
      <c r="I44" s="264">
        <v>2.3279999999999998</v>
      </c>
      <c r="J44" s="264"/>
      <c r="K44" s="264"/>
      <c r="L44" s="265">
        <v>93.9</v>
      </c>
      <c r="M44" s="257"/>
      <c r="N44" s="258"/>
      <c r="O44" s="257">
        <v>6.1</v>
      </c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>
        <v>17</v>
      </c>
      <c r="C45" s="260"/>
      <c r="D45" s="261"/>
      <c r="E45" s="262"/>
      <c r="F45" s="261"/>
      <c r="G45" s="262"/>
      <c r="H45" s="263"/>
      <c r="I45" s="264">
        <v>2.298</v>
      </c>
      <c r="J45" s="264"/>
      <c r="K45" s="264"/>
      <c r="L45" s="265">
        <v>92.7</v>
      </c>
      <c r="M45" s="257"/>
      <c r="N45" s="258"/>
      <c r="O45" s="257">
        <v>7.3</v>
      </c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>
        <v>18</v>
      </c>
      <c r="C46" s="260"/>
      <c r="D46" s="261"/>
      <c r="E46" s="262"/>
      <c r="F46" s="261"/>
      <c r="G46" s="262"/>
      <c r="H46" s="263"/>
      <c r="I46" s="264">
        <v>2.3330000000000002</v>
      </c>
      <c r="J46" s="264"/>
      <c r="K46" s="264"/>
      <c r="L46" s="265">
        <v>94.1</v>
      </c>
      <c r="M46" s="257"/>
      <c r="N46" s="258"/>
      <c r="O46" s="257">
        <v>5.9</v>
      </c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>
        <v>19</v>
      </c>
      <c r="C47" s="260"/>
      <c r="D47" s="261"/>
      <c r="E47" s="262"/>
      <c r="F47" s="261"/>
      <c r="G47" s="262"/>
      <c r="H47" s="263"/>
      <c r="I47" s="264">
        <v>2.2879999999999998</v>
      </c>
      <c r="J47" s="264"/>
      <c r="K47" s="264"/>
      <c r="L47" s="265">
        <v>92.3</v>
      </c>
      <c r="M47" s="257"/>
      <c r="N47" s="258"/>
      <c r="O47" s="257">
        <v>7.7</v>
      </c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>
        <v>20</v>
      </c>
      <c r="C48" s="260"/>
      <c r="D48" s="261"/>
      <c r="E48" s="262"/>
      <c r="F48" s="261"/>
      <c r="G48" s="262"/>
      <c r="H48" s="263"/>
      <c r="I48" s="264">
        <v>2.3069999999999999</v>
      </c>
      <c r="J48" s="264"/>
      <c r="K48" s="264"/>
      <c r="L48" s="265">
        <v>93</v>
      </c>
      <c r="M48" s="257"/>
      <c r="N48" s="258"/>
      <c r="O48" s="257">
        <v>7</v>
      </c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v>2.3199999999999998</v>
      </c>
      <c r="J50" s="272"/>
      <c r="K50" s="272"/>
      <c r="L50" s="339">
        <v>93.44</v>
      </c>
      <c r="M50" s="339"/>
      <c r="N50" s="339"/>
      <c r="O50" s="339">
        <v>6.56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S11:W11"/>
    <mergeCell ref="X11:Y11"/>
    <mergeCell ref="G11:L11"/>
    <mergeCell ref="B12:F12"/>
    <mergeCell ref="G12:L12"/>
    <mergeCell ref="B11:F11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V22:X22"/>
    <mergeCell ref="B22:H22"/>
    <mergeCell ref="I22:M22"/>
    <mergeCell ref="B49:C49"/>
    <mergeCell ref="H25:P25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O48:Q48"/>
    <mergeCell ref="R48:Y48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2D4B-AB55-4DDA-884A-3B7CA9AA3FAD}">
  <sheetPr>
    <pageSetUpPr fitToPage="1"/>
  </sheetPr>
  <dimension ref="A1:AN63"/>
  <sheetViews>
    <sheetView workbookViewId="0">
      <selection activeCell="R36" sqref="R36:Y36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ht="13.2" customHeight="1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40" ht="13.2" customHeight="1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ht="13.2" customHeight="1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ht="13.2" customHeight="1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40</v>
      </c>
      <c r="J5" s="282"/>
      <c r="K5" s="283"/>
      <c r="L5" s="328" t="s">
        <v>4</v>
      </c>
      <c r="M5" s="329"/>
      <c r="N5" s="329"/>
      <c r="O5" s="330"/>
      <c r="P5" s="313">
        <v>45589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ht="13.2" customHeight="1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190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96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188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110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79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78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188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187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120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31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178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4</v>
      </c>
      <c r="O22" s="278" t="s">
        <v>42</v>
      </c>
      <c r="P22" s="278"/>
      <c r="Q22" s="278"/>
      <c r="R22" s="241" t="s">
        <v>76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2.44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6" t="s">
        <v>186</v>
      </c>
      <c r="E29" s="267"/>
      <c r="F29" s="261"/>
      <c r="G29" s="262"/>
      <c r="H29" s="263"/>
      <c r="I29" s="264">
        <v>2.266</v>
      </c>
      <c r="J29" s="264"/>
      <c r="K29" s="264"/>
      <c r="L29" s="265">
        <v>92.9</v>
      </c>
      <c r="M29" s="257"/>
      <c r="N29" s="258"/>
      <c r="O29" s="257">
        <v>7.1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8"/>
      <c r="E30" s="269"/>
      <c r="F30" s="261"/>
      <c r="G30" s="262"/>
      <c r="H30" s="263"/>
      <c r="I30" s="264">
        <v>2.2559999999999998</v>
      </c>
      <c r="J30" s="264"/>
      <c r="K30" s="264"/>
      <c r="L30" s="265">
        <v>92.5</v>
      </c>
      <c r="M30" s="257"/>
      <c r="N30" s="258"/>
      <c r="O30" s="257">
        <v>7.5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8"/>
      <c r="E31" s="269"/>
      <c r="F31" s="261"/>
      <c r="G31" s="262"/>
      <c r="H31" s="263"/>
      <c r="I31" s="264">
        <v>2.2709999999999999</v>
      </c>
      <c r="J31" s="264"/>
      <c r="K31" s="264"/>
      <c r="L31" s="265">
        <v>93.1</v>
      </c>
      <c r="M31" s="257"/>
      <c r="N31" s="258"/>
      <c r="O31" s="257">
        <v>6.9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8"/>
      <c r="E32" s="269"/>
      <c r="F32" s="261"/>
      <c r="G32" s="262"/>
      <c r="H32" s="263"/>
      <c r="I32" s="264">
        <v>2.2679999999999998</v>
      </c>
      <c r="J32" s="264"/>
      <c r="K32" s="264"/>
      <c r="L32" s="265">
        <v>93</v>
      </c>
      <c r="M32" s="257"/>
      <c r="N32" s="258"/>
      <c r="O32" s="257">
        <v>7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8"/>
      <c r="E33" s="269"/>
      <c r="F33" s="261"/>
      <c r="G33" s="262"/>
      <c r="H33" s="263"/>
      <c r="I33" s="264">
        <v>2.278</v>
      </c>
      <c r="J33" s="264"/>
      <c r="K33" s="264"/>
      <c r="L33" s="265">
        <v>93.4</v>
      </c>
      <c r="M33" s="257"/>
      <c r="N33" s="258"/>
      <c r="O33" s="257">
        <v>6.6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8"/>
      <c r="E34" s="269"/>
      <c r="F34" s="261"/>
      <c r="G34" s="262"/>
      <c r="H34" s="263"/>
      <c r="I34" s="264">
        <v>2.2850000000000001</v>
      </c>
      <c r="J34" s="264"/>
      <c r="K34" s="264"/>
      <c r="L34" s="265">
        <v>93.6</v>
      </c>
      <c r="M34" s="257"/>
      <c r="N34" s="258"/>
      <c r="O34" s="257">
        <v>6.4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8"/>
      <c r="E35" s="269"/>
      <c r="F35" s="261"/>
      <c r="G35" s="262"/>
      <c r="H35" s="263"/>
      <c r="I35" s="264">
        <v>2.2450000000000001</v>
      </c>
      <c r="J35" s="264"/>
      <c r="K35" s="264"/>
      <c r="L35" s="265">
        <v>92</v>
      </c>
      <c r="M35" s="257"/>
      <c r="N35" s="258"/>
      <c r="O35" s="257">
        <v>8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8"/>
      <c r="E36" s="269"/>
      <c r="F36" s="261"/>
      <c r="G36" s="262"/>
      <c r="H36" s="263"/>
      <c r="I36" s="264">
        <v>2.254</v>
      </c>
      <c r="J36" s="264"/>
      <c r="K36" s="264"/>
      <c r="L36" s="265">
        <v>92.4</v>
      </c>
      <c r="M36" s="257"/>
      <c r="N36" s="258"/>
      <c r="O36" s="257">
        <v>7.6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8"/>
      <c r="E37" s="269"/>
      <c r="F37" s="261"/>
      <c r="G37" s="262"/>
      <c r="H37" s="263"/>
      <c r="I37" s="264">
        <v>2.2639999999999998</v>
      </c>
      <c r="J37" s="264"/>
      <c r="K37" s="264"/>
      <c r="L37" s="265">
        <v>92.8</v>
      </c>
      <c r="M37" s="257"/>
      <c r="N37" s="258"/>
      <c r="O37" s="257">
        <v>7.2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70"/>
      <c r="E38" s="271"/>
      <c r="F38" s="261"/>
      <c r="G38" s="262"/>
      <c r="H38" s="263"/>
      <c r="I38" s="264">
        <v>2.2709999999999999</v>
      </c>
      <c r="J38" s="264"/>
      <c r="K38" s="264"/>
      <c r="L38" s="265">
        <v>93.1</v>
      </c>
      <c r="M38" s="257"/>
      <c r="N38" s="258"/>
      <c r="O38" s="257">
        <v>6.9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6" t="s">
        <v>185</v>
      </c>
      <c r="E39" s="267"/>
      <c r="F39" s="261"/>
      <c r="G39" s="262"/>
      <c r="H39" s="263"/>
      <c r="I39" s="264">
        <v>2.294</v>
      </c>
      <c r="J39" s="264"/>
      <c r="K39" s="264"/>
      <c r="L39" s="265">
        <v>94</v>
      </c>
      <c r="M39" s="257"/>
      <c r="N39" s="258"/>
      <c r="O39" s="257">
        <v>6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68"/>
      <c r="E40" s="269"/>
      <c r="F40" s="261"/>
      <c r="G40" s="262"/>
      <c r="H40" s="263"/>
      <c r="I40" s="264">
        <v>2.2869999999999999</v>
      </c>
      <c r="J40" s="264"/>
      <c r="K40" s="264"/>
      <c r="L40" s="265">
        <v>93.7</v>
      </c>
      <c r="M40" s="257"/>
      <c r="N40" s="258"/>
      <c r="O40" s="257">
        <v>6.3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8"/>
      <c r="E41" s="269"/>
      <c r="F41" s="261"/>
      <c r="G41" s="262"/>
      <c r="H41" s="263"/>
      <c r="I41" s="264">
        <v>2.2930000000000001</v>
      </c>
      <c r="J41" s="264"/>
      <c r="K41" s="264"/>
      <c r="L41" s="265">
        <v>94</v>
      </c>
      <c r="M41" s="257"/>
      <c r="N41" s="258"/>
      <c r="O41" s="257">
        <v>6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8"/>
      <c r="E42" s="269"/>
      <c r="F42" s="261"/>
      <c r="G42" s="262"/>
      <c r="H42" s="263"/>
      <c r="I42" s="264">
        <v>2.2599999999999998</v>
      </c>
      <c r="J42" s="264"/>
      <c r="K42" s="264"/>
      <c r="L42" s="265">
        <v>92.6</v>
      </c>
      <c r="M42" s="257"/>
      <c r="N42" s="258"/>
      <c r="O42" s="257">
        <v>7.4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70"/>
      <c r="E43" s="271"/>
      <c r="F43" s="261"/>
      <c r="G43" s="262"/>
      <c r="H43" s="263"/>
      <c r="I43" s="264">
        <v>2.2879999999999998</v>
      </c>
      <c r="J43" s="264"/>
      <c r="K43" s="264"/>
      <c r="L43" s="265">
        <v>93.8</v>
      </c>
      <c r="M43" s="257"/>
      <c r="N43" s="258"/>
      <c r="O43" s="257">
        <v>6.2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/>
      <c r="C44" s="260"/>
      <c r="D44" s="261"/>
      <c r="E44" s="262"/>
      <c r="F44" s="261"/>
      <c r="G44" s="262"/>
      <c r="H44" s="263"/>
      <c r="I44" s="264"/>
      <c r="J44" s="264"/>
      <c r="K44" s="264"/>
      <c r="L44" s="265"/>
      <c r="M44" s="257"/>
      <c r="N44" s="258"/>
      <c r="O44" s="257"/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/>
      <c r="C45" s="260"/>
      <c r="D45" s="261"/>
      <c r="E45" s="262"/>
      <c r="F45" s="261"/>
      <c r="G45" s="262"/>
      <c r="H45" s="263"/>
      <c r="I45" s="264"/>
      <c r="J45" s="264"/>
      <c r="K45" s="264"/>
      <c r="L45" s="265"/>
      <c r="M45" s="257"/>
      <c r="N45" s="258"/>
      <c r="O45" s="257"/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/>
      <c r="C46" s="260"/>
      <c r="D46" s="261"/>
      <c r="E46" s="262"/>
      <c r="F46" s="261"/>
      <c r="G46" s="262"/>
      <c r="H46" s="263"/>
      <c r="I46" s="264"/>
      <c r="J46" s="264"/>
      <c r="K46" s="264"/>
      <c r="L46" s="265"/>
      <c r="M46" s="257"/>
      <c r="N46" s="258"/>
      <c r="O46" s="257"/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/>
      <c r="C47" s="260"/>
      <c r="D47" s="261"/>
      <c r="E47" s="262"/>
      <c r="F47" s="261"/>
      <c r="G47" s="262"/>
      <c r="H47" s="263"/>
      <c r="I47" s="264"/>
      <c r="J47" s="264"/>
      <c r="K47" s="264"/>
      <c r="L47" s="265"/>
      <c r="M47" s="257"/>
      <c r="N47" s="258"/>
      <c r="O47" s="257"/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/>
      <c r="C48" s="260"/>
      <c r="D48" s="261"/>
      <c r="E48" s="262"/>
      <c r="F48" s="261"/>
      <c r="G48" s="262"/>
      <c r="H48" s="263"/>
      <c r="I48" s="264"/>
      <c r="J48" s="264"/>
      <c r="K48" s="264"/>
      <c r="L48" s="265"/>
      <c r="M48" s="257"/>
      <c r="N48" s="258"/>
      <c r="O48" s="257"/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v>2.27</v>
      </c>
      <c r="J50" s="272"/>
      <c r="K50" s="272"/>
      <c r="L50" s="339">
        <v>93.13</v>
      </c>
      <c r="M50" s="339"/>
      <c r="N50" s="339"/>
      <c r="O50" s="339">
        <v>6.87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10">
    <mergeCell ref="I22:M22"/>
    <mergeCell ref="R48:Y48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I51:K51"/>
    <mergeCell ref="L51:Y51"/>
    <mergeCell ref="B50:H50"/>
    <mergeCell ref="B44:C44"/>
    <mergeCell ref="D44:E44"/>
    <mergeCell ref="F44:H44"/>
    <mergeCell ref="I44:K44"/>
    <mergeCell ref="R50:Y50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F29:H29"/>
    <mergeCell ref="I29:K29"/>
    <mergeCell ref="L29:N29"/>
    <mergeCell ref="F30:H30"/>
    <mergeCell ref="I30:K30"/>
    <mergeCell ref="L30:N30"/>
    <mergeCell ref="I50:K50"/>
    <mergeCell ref="L44:N44"/>
    <mergeCell ref="P11:R11"/>
    <mergeCell ref="B13:F13"/>
    <mergeCell ref="G13:L13"/>
    <mergeCell ref="D49:E49"/>
    <mergeCell ref="B49:C49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R32:Y32"/>
    <mergeCell ref="B33:C33"/>
    <mergeCell ref="F33:H33"/>
    <mergeCell ref="I33:K33"/>
    <mergeCell ref="L33:N33"/>
    <mergeCell ref="O33:Q33"/>
    <mergeCell ref="R33:Y33"/>
    <mergeCell ref="B32:C32"/>
    <mergeCell ref="O30:Q30"/>
    <mergeCell ref="R30:Y30"/>
    <mergeCell ref="B31:C31"/>
    <mergeCell ref="F31:H31"/>
    <mergeCell ref="I31:K31"/>
    <mergeCell ref="L31:N31"/>
    <mergeCell ref="O31:Q31"/>
    <mergeCell ref="R31:Y31"/>
    <mergeCell ref="B30:C30"/>
    <mergeCell ref="B34:C34"/>
    <mergeCell ref="F34:H34"/>
    <mergeCell ref="I34:K34"/>
    <mergeCell ref="L34:N34"/>
    <mergeCell ref="O32:Q32"/>
    <mergeCell ref="F32:H32"/>
    <mergeCell ref="I32:K32"/>
    <mergeCell ref="L32:N32"/>
    <mergeCell ref="O34:Q34"/>
    <mergeCell ref="B36:C36"/>
    <mergeCell ref="B35:C35"/>
    <mergeCell ref="F35:H35"/>
    <mergeCell ref="I35:K35"/>
    <mergeCell ref="L35:N35"/>
    <mergeCell ref="O35:Q35"/>
    <mergeCell ref="F36:H36"/>
    <mergeCell ref="I36:K36"/>
    <mergeCell ref="L36:N36"/>
    <mergeCell ref="O38:Q38"/>
    <mergeCell ref="F38:H38"/>
    <mergeCell ref="I38:K38"/>
    <mergeCell ref="L38:N38"/>
    <mergeCell ref="O40:Q40"/>
    <mergeCell ref="D29:E38"/>
    <mergeCell ref="R38:Y38"/>
    <mergeCell ref="B39:C39"/>
    <mergeCell ref="F39:H39"/>
    <mergeCell ref="I39:K39"/>
    <mergeCell ref="L39:N39"/>
    <mergeCell ref="O39:Q39"/>
    <mergeCell ref="R39:Y39"/>
    <mergeCell ref="B38:C38"/>
    <mergeCell ref="R34:Y34"/>
    <mergeCell ref="R35:Y35"/>
    <mergeCell ref="O36:Q36"/>
    <mergeCell ref="R36:Y36"/>
    <mergeCell ref="B37:C37"/>
    <mergeCell ref="F37:H37"/>
    <mergeCell ref="I37:K37"/>
    <mergeCell ref="L37:N37"/>
    <mergeCell ref="O37:Q37"/>
    <mergeCell ref="R37:Y37"/>
    <mergeCell ref="R40:Y40"/>
    <mergeCell ref="R41:Y41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D39:E43"/>
    <mergeCell ref="B41:C41"/>
    <mergeCell ref="F41:H41"/>
    <mergeCell ref="I41:K41"/>
    <mergeCell ref="L41:N41"/>
    <mergeCell ref="O41:Q41"/>
    <mergeCell ref="F42:H42"/>
    <mergeCell ref="I42:K42"/>
    <mergeCell ref="L42:N42"/>
    <mergeCell ref="B40:C40"/>
    <mergeCell ref="F40:H40"/>
    <mergeCell ref="I40:K40"/>
    <mergeCell ref="L40:N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70FB-2BD4-4566-B370-B64B65BC4A64}">
  <sheetPr>
    <pageSetUpPr fitToPage="1"/>
  </sheetPr>
  <dimension ref="A1:AN63"/>
  <sheetViews>
    <sheetView topLeftCell="A32" workbookViewId="0">
      <selection activeCell="D39" sqref="D29:E43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ht="13.2" customHeight="1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40" ht="13.2" customHeight="1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ht="13.2" customHeight="1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ht="13.2" customHeight="1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39</v>
      </c>
      <c r="J5" s="282"/>
      <c r="K5" s="283"/>
      <c r="L5" s="328" t="s">
        <v>4</v>
      </c>
      <c r="M5" s="329"/>
      <c r="N5" s="329"/>
      <c r="O5" s="330"/>
      <c r="P5" s="313">
        <v>45589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ht="13.2" customHeight="1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189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188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157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20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22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188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187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120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31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173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0</v>
      </c>
      <c r="O22" s="278" t="s">
        <v>42</v>
      </c>
      <c r="P22" s="278"/>
      <c r="Q22" s="278"/>
      <c r="R22" s="241" t="s">
        <v>82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2.48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6" t="s">
        <v>186</v>
      </c>
      <c r="E29" s="267"/>
      <c r="F29" s="261"/>
      <c r="G29" s="262"/>
      <c r="H29" s="263"/>
      <c r="I29" s="264">
        <v>2.3010000000000002</v>
      </c>
      <c r="J29" s="264"/>
      <c r="K29" s="264"/>
      <c r="L29" s="265">
        <v>92.8</v>
      </c>
      <c r="M29" s="257"/>
      <c r="N29" s="258"/>
      <c r="O29" s="257">
        <v>7.2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8"/>
      <c r="E30" s="269"/>
      <c r="F30" s="261"/>
      <c r="G30" s="262"/>
      <c r="H30" s="263"/>
      <c r="I30" s="264">
        <v>2.327</v>
      </c>
      <c r="J30" s="264"/>
      <c r="K30" s="264"/>
      <c r="L30" s="265">
        <v>93.8</v>
      </c>
      <c r="M30" s="257"/>
      <c r="N30" s="258"/>
      <c r="O30" s="257">
        <v>6.2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8"/>
      <c r="E31" s="269"/>
      <c r="F31" s="261"/>
      <c r="G31" s="262"/>
      <c r="H31" s="263"/>
      <c r="I31" s="264">
        <v>2.3170000000000002</v>
      </c>
      <c r="J31" s="264"/>
      <c r="K31" s="264"/>
      <c r="L31" s="265">
        <v>93.4</v>
      </c>
      <c r="M31" s="257"/>
      <c r="N31" s="258"/>
      <c r="O31" s="257">
        <v>6.6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8"/>
      <c r="E32" s="269"/>
      <c r="F32" s="261"/>
      <c r="G32" s="262"/>
      <c r="H32" s="263"/>
      <c r="I32" s="264">
        <v>2.2959999999999998</v>
      </c>
      <c r="J32" s="264"/>
      <c r="K32" s="264"/>
      <c r="L32" s="265">
        <v>92.6</v>
      </c>
      <c r="M32" s="257"/>
      <c r="N32" s="258"/>
      <c r="O32" s="257">
        <v>7.4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8"/>
      <c r="E33" s="269"/>
      <c r="F33" s="261"/>
      <c r="G33" s="262"/>
      <c r="H33" s="263"/>
      <c r="I33" s="264">
        <v>2.2999999999999998</v>
      </c>
      <c r="J33" s="264"/>
      <c r="K33" s="264"/>
      <c r="L33" s="265">
        <v>92.7</v>
      </c>
      <c r="M33" s="257"/>
      <c r="N33" s="258"/>
      <c r="O33" s="257">
        <v>7.3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8"/>
      <c r="E34" s="269"/>
      <c r="F34" s="261"/>
      <c r="G34" s="262"/>
      <c r="H34" s="263"/>
      <c r="I34" s="264">
        <v>2.266</v>
      </c>
      <c r="J34" s="264"/>
      <c r="K34" s="264"/>
      <c r="L34" s="265">
        <v>91.4</v>
      </c>
      <c r="M34" s="257"/>
      <c r="N34" s="258"/>
      <c r="O34" s="257">
        <v>8.6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8"/>
      <c r="E35" s="269"/>
      <c r="F35" s="261"/>
      <c r="G35" s="262"/>
      <c r="H35" s="263"/>
      <c r="I35" s="264">
        <v>2.2719999999999998</v>
      </c>
      <c r="J35" s="264"/>
      <c r="K35" s="264"/>
      <c r="L35" s="265">
        <v>91.6</v>
      </c>
      <c r="M35" s="257"/>
      <c r="N35" s="258"/>
      <c r="O35" s="257">
        <v>8.4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8"/>
      <c r="E36" s="269"/>
      <c r="F36" s="261"/>
      <c r="G36" s="262"/>
      <c r="H36" s="263"/>
      <c r="I36" s="264">
        <v>2.3330000000000002</v>
      </c>
      <c r="J36" s="264"/>
      <c r="K36" s="264"/>
      <c r="L36" s="265">
        <v>94.1</v>
      </c>
      <c r="M36" s="257"/>
      <c r="N36" s="258"/>
      <c r="O36" s="257">
        <v>5.9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8"/>
      <c r="E37" s="269"/>
      <c r="F37" s="261"/>
      <c r="G37" s="262"/>
      <c r="H37" s="263"/>
      <c r="I37" s="264">
        <v>2.3450000000000002</v>
      </c>
      <c r="J37" s="264"/>
      <c r="K37" s="264"/>
      <c r="L37" s="265">
        <v>94.6</v>
      </c>
      <c r="M37" s="257"/>
      <c r="N37" s="258"/>
      <c r="O37" s="257">
        <v>5.4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70"/>
      <c r="E38" s="271"/>
      <c r="F38" s="261"/>
      <c r="G38" s="262"/>
      <c r="H38" s="263"/>
      <c r="I38" s="264">
        <v>2.2869999999999999</v>
      </c>
      <c r="J38" s="264"/>
      <c r="K38" s="264"/>
      <c r="L38" s="265">
        <v>92.2</v>
      </c>
      <c r="M38" s="257"/>
      <c r="N38" s="258"/>
      <c r="O38" s="257">
        <v>7.8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6" t="s">
        <v>185</v>
      </c>
      <c r="E39" s="267"/>
      <c r="F39" s="261"/>
      <c r="G39" s="262"/>
      <c r="H39" s="263"/>
      <c r="I39" s="264">
        <v>2.2559999999999998</v>
      </c>
      <c r="J39" s="264"/>
      <c r="K39" s="264"/>
      <c r="L39" s="265">
        <v>91</v>
      </c>
      <c r="M39" s="257"/>
      <c r="N39" s="258"/>
      <c r="O39" s="257">
        <v>9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68"/>
      <c r="E40" s="269"/>
      <c r="F40" s="261"/>
      <c r="G40" s="262"/>
      <c r="H40" s="263"/>
      <c r="I40" s="264">
        <v>2.2679999999999998</v>
      </c>
      <c r="J40" s="264"/>
      <c r="K40" s="264"/>
      <c r="L40" s="265">
        <v>91.5</v>
      </c>
      <c r="M40" s="257"/>
      <c r="N40" s="258"/>
      <c r="O40" s="257">
        <v>8.5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8"/>
      <c r="E41" s="269"/>
      <c r="F41" s="261"/>
      <c r="G41" s="262"/>
      <c r="H41" s="263"/>
      <c r="I41" s="264">
        <v>2.3119999999999998</v>
      </c>
      <c r="J41" s="264"/>
      <c r="K41" s="264"/>
      <c r="L41" s="265">
        <v>93.2</v>
      </c>
      <c r="M41" s="257"/>
      <c r="N41" s="258"/>
      <c r="O41" s="257">
        <v>6.8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8"/>
      <c r="E42" s="269"/>
      <c r="F42" s="261"/>
      <c r="G42" s="262"/>
      <c r="H42" s="263"/>
      <c r="I42" s="264">
        <v>2.2709999999999999</v>
      </c>
      <c r="J42" s="264"/>
      <c r="K42" s="264"/>
      <c r="L42" s="265">
        <v>91.6</v>
      </c>
      <c r="M42" s="257"/>
      <c r="N42" s="258"/>
      <c r="O42" s="257">
        <v>8.4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70"/>
      <c r="E43" s="271"/>
      <c r="F43" s="261"/>
      <c r="G43" s="262"/>
      <c r="H43" s="263"/>
      <c r="I43" s="264">
        <v>2.339</v>
      </c>
      <c r="J43" s="264"/>
      <c r="K43" s="264"/>
      <c r="L43" s="265">
        <v>94.3</v>
      </c>
      <c r="M43" s="257"/>
      <c r="N43" s="258"/>
      <c r="O43" s="257">
        <v>5.7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/>
      <c r="C44" s="260"/>
      <c r="D44" s="261"/>
      <c r="E44" s="262"/>
      <c r="F44" s="261"/>
      <c r="G44" s="262"/>
      <c r="H44" s="263"/>
      <c r="I44" s="264"/>
      <c r="J44" s="264"/>
      <c r="K44" s="264"/>
      <c r="L44" s="265"/>
      <c r="M44" s="257"/>
      <c r="N44" s="258"/>
      <c r="O44" s="257"/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/>
      <c r="C45" s="260"/>
      <c r="D45" s="261"/>
      <c r="E45" s="262"/>
      <c r="F45" s="261"/>
      <c r="G45" s="262"/>
      <c r="H45" s="263"/>
      <c r="I45" s="264"/>
      <c r="J45" s="264"/>
      <c r="K45" s="264"/>
      <c r="L45" s="265"/>
      <c r="M45" s="257"/>
      <c r="N45" s="258"/>
      <c r="O45" s="257"/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/>
      <c r="C46" s="260"/>
      <c r="D46" s="261"/>
      <c r="E46" s="262"/>
      <c r="F46" s="261"/>
      <c r="G46" s="262"/>
      <c r="H46" s="263"/>
      <c r="I46" s="264"/>
      <c r="J46" s="264"/>
      <c r="K46" s="264"/>
      <c r="L46" s="265"/>
      <c r="M46" s="257"/>
      <c r="N46" s="258"/>
      <c r="O46" s="257"/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/>
      <c r="C47" s="260"/>
      <c r="D47" s="261"/>
      <c r="E47" s="262"/>
      <c r="F47" s="261"/>
      <c r="G47" s="262"/>
      <c r="H47" s="263"/>
      <c r="I47" s="264"/>
      <c r="J47" s="264"/>
      <c r="K47" s="264"/>
      <c r="L47" s="265"/>
      <c r="M47" s="257"/>
      <c r="N47" s="258"/>
      <c r="O47" s="257"/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/>
      <c r="C48" s="260"/>
      <c r="D48" s="261"/>
      <c r="E48" s="262"/>
      <c r="F48" s="261"/>
      <c r="G48" s="262"/>
      <c r="H48" s="263"/>
      <c r="I48" s="264"/>
      <c r="J48" s="264"/>
      <c r="K48" s="264"/>
      <c r="L48" s="265"/>
      <c r="M48" s="257"/>
      <c r="N48" s="258"/>
      <c r="O48" s="257"/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v>2.2999999999999998</v>
      </c>
      <c r="J50" s="272"/>
      <c r="K50" s="272"/>
      <c r="L50" s="339">
        <v>92.72</v>
      </c>
      <c r="M50" s="339"/>
      <c r="N50" s="339"/>
      <c r="O50" s="339">
        <v>7.28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10">
    <mergeCell ref="S11:W11"/>
    <mergeCell ref="X11:Y11"/>
    <mergeCell ref="G11:L11"/>
    <mergeCell ref="B12:F12"/>
    <mergeCell ref="G12:L12"/>
    <mergeCell ref="B11:F1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H25:P25"/>
    <mergeCell ref="B27:C27"/>
    <mergeCell ref="B28:C28"/>
    <mergeCell ref="D27:E27"/>
    <mergeCell ref="D28:E28"/>
    <mergeCell ref="D49:E49"/>
    <mergeCell ref="B49:C49"/>
    <mergeCell ref="V22:X22"/>
    <mergeCell ref="B22:H22"/>
    <mergeCell ref="I22:M22"/>
    <mergeCell ref="A59:Q62"/>
    <mergeCell ref="B51:H51"/>
    <mergeCell ref="O50:Q50"/>
    <mergeCell ref="L50:N50"/>
    <mergeCell ref="I27:K28"/>
    <mergeCell ref="O29:Q29"/>
    <mergeCell ref="A55:Q55"/>
    <mergeCell ref="P6:T6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V60:Y61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F27:H27"/>
    <mergeCell ref="B29:C29"/>
    <mergeCell ref="F29:H29"/>
    <mergeCell ref="I29:K29"/>
    <mergeCell ref="L29:N29"/>
    <mergeCell ref="R59:T62"/>
    <mergeCell ref="I49:K49"/>
    <mergeCell ref="F49:H49"/>
    <mergeCell ref="I30:K30"/>
    <mergeCell ref="L30:N30"/>
    <mergeCell ref="I50:K50"/>
    <mergeCell ref="R50:Y50"/>
    <mergeCell ref="U55:Z55"/>
    <mergeCell ref="U56:Z58"/>
    <mergeCell ref="R49:Y49"/>
    <mergeCell ref="O49:Q49"/>
    <mergeCell ref="L49:N49"/>
    <mergeCell ref="I51:K51"/>
    <mergeCell ref="O30:Q30"/>
    <mergeCell ref="R30:Y30"/>
    <mergeCell ref="B31:C31"/>
    <mergeCell ref="F31:H31"/>
    <mergeCell ref="I31:K31"/>
    <mergeCell ref="B30:C30"/>
    <mergeCell ref="F30:H30"/>
    <mergeCell ref="O33:Q33"/>
    <mergeCell ref="R33:Y33"/>
    <mergeCell ref="B32:C32"/>
    <mergeCell ref="F32:H32"/>
    <mergeCell ref="I32:K32"/>
    <mergeCell ref="L32:N32"/>
    <mergeCell ref="R29:Y29"/>
    <mergeCell ref="O32:Q32"/>
    <mergeCell ref="R32:Y32"/>
    <mergeCell ref="B33:C33"/>
    <mergeCell ref="F33:H33"/>
    <mergeCell ref="I33:K33"/>
    <mergeCell ref="L33:N33"/>
    <mergeCell ref="L31:N31"/>
    <mergeCell ref="O31:Q31"/>
    <mergeCell ref="R31:Y31"/>
    <mergeCell ref="O34:Q34"/>
    <mergeCell ref="R34:Y34"/>
    <mergeCell ref="B35:C35"/>
    <mergeCell ref="F35:H35"/>
    <mergeCell ref="I35:K35"/>
    <mergeCell ref="L35:N35"/>
    <mergeCell ref="O35:Q35"/>
    <mergeCell ref="R35:Y35"/>
    <mergeCell ref="O36:Q36"/>
    <mergeCell ref="R36:Y36"/>
    <mergeCell ref="B34:C34"/>
    <mergeCell ref="F34:H34"/>
    <mergeCell ref="I34:K34"/>
    <mergeCell ref="L34:N34"/>
    <mergeCell ref="B36:C36"/>
    <mergeCell ref="F36:H36"/>
    <mergeCell ref="O39:Q39"/>
    <mergeCell ref="R39:Y39"/>
    <mergeCell ref="B38:C38"/>
    <mergeCell ref="F38:H38"/>
    <mergeCell ref="I38:K38"/>
    <mergeCell ref="L38:N38"/>
    <mergeCell ref="I36:K36"/>
    <mergeCell ref="L36:N36"/>
    <mergeCell ref="O38:Q38"/>
    <mergeCell ref="R38:Y38"/>
    <mergeCell ref="B39:C39"/>
    <mergeCell ref="F39:H39"/>
    <mergeCell ref="I39:K39"/>
    <mergeCell ref="L39:N39"/>
    <mergeCell ref="B37:C37"/>
    <mergeCell ref="F37:H37"/>
    <mergeCell ref="I37:K37"/>
    <mergeCell ref="L37:N37"/>
    <mergeCell ref="O37:Q37"/>
    <mergeCell ref="R37:Y37"/>
    <mergeCell ref="O40:Q40"/>
    <mergeCell ref="R40:Y40"/>
    <mergeCell ref="B41:C41"/>
    <mergeCell ref="F41:H41"/>
    <mergeCell ref="I41:K41"/>
    <mergeCell ref="L41:N41"/>
    <mergeCell ref="O41:Q41"/>
    <mergeCell ref="R41:Y41"/>
    <mergeCell ref="O42:Q42"/>
    <mergeCell ref="R42:Y42"/>
    <mergeCell ref="B40:C40"/>
    <mergeCell ref="F40:H40"/>
    <mergeCell ref="I40:K40"/>
    <mergeCell ref="L40:N40"/>
    <mergeCell ref="B42:C42"/>
    <mergeCell ref="F42:H42"/>
    <mergeCell ref="O45:Q45"/>
    <mergeCell ref="R45:Y45"/>
    <mergeCell ref="B44:C44"/>
    <mergeCell ref="D44:E44"/>
    <mergeCell ref="F44:H44"/>
    <mergeCell ref="I44:K44"/>
    <mergeCell ref="L44:N44"/>
    <mergeCell ref="I42:K42"/>
    <mergeCell ref="L42:N42"/>
    <mergeCell ref="B45:C45"/>
    <mergeCell ref="D45:E45"/>
    <mergeCell ref="F45:H45"/>
    <mergeCell ref="I45:K45"/>
    <mergeCell ref="L45:N45"/>
    <mergeCell ref="R46:Y46"/>
    <mergeCell ref="B43:C43"/>
    <mergeCell ref="F43:H43"/>
    <mergeCell ref="I43:K43"/>
    <mergeCell ref="L43:N43"/>
    <mergeCell ref="O43:Q43"/>
    <mergeCell ref="R43:Y43"/>
    <mergeCell ref="O48:Q48"/>
    <mergeCell ref="R48:Y48"/>
    <mergeCell ref="D29:E38"/>
    <mergeCell ref="D39:E43"/>
    <mergeCell ref="B48:C48"/>
    <mergeCell ref="D48:E48"/>
    <mergeCell ref="F48:H48"/>
    <mergeCell ref="I48:K48"/>
    <mergeCell ref="L48:N48"/>
    <mergeCell ref="O46:Q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4:Q44"/>
    <mergeCell ref="R44:Y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0806-2AD9-4659-B70E-AB4012788BC0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ht="13.2" customHeight="1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40" ht="13.2" customHeight="1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ht="13.2" customHeight="1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ht="13.2" customHeight="1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38</v>
      </c>
      <c r="J5" s="282"/>
      <c r="K5" s="283"/>
      <c r="L5" s="328" t="s">
        <v>4</v>
      </c>
      <c r="M5" s="329"/>
      <c r="N5" s="329"/>
      <c r="O5" s="330"/>
      <c r="P5" s="313">
        <v>45581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ht="13.2" customHeight="1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96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181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110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79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78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181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174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120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31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178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4</v>
      </c>
      <c r="O22" s="278" t="s">
        <v>42</v>
      </c>
      <c r="P22" s="278"/>
      <c r="Q22" s="278"/>
      <c r="R22" s="241" t="s">
        <v>76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2.44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6" t="s">
        <v>184</v>
      </c>
      <c r="E29" s="267"/>
      <c r="F29" s="261"/>
      <c r="G29" s="262"/>
      <c r="H29" s="263"/>
      <c r="I29" s="264">
        <v>2.2610000000000001</v>
      </c>
      <c r="J29" s="264"/>
      <c r="K29" s="264"/>
      <c r="L29" s="265">
        <v>92.7</v>
      </c>
      <c r="M29" s="257"/>
      <c r="N29" s="258"/>
      <c r="O29" s="257">
        <v>7.3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8"/>
      <c r="E30" s="269"/>
      <c r="F30" s="261"/>
      <c r="G30" s="262"/>
      <c r="H30" s="263"/>
      <c r="I30" s="264">
        <v>2.2749999999999999</v>
      </c>
      <c r="J30" s="264"/>
      <c r="K30" s="264"/>
      <c r="L30" s="265">
        <v>93.2</v>
      </c>
      <c r="M30" s="257"/>
      <c r="N30" s="258"/>
      <c r="O30" s="257">
        <v>6.8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8"/>
      <c r="E31" s="269"/>
      <c r="F31" s="261"/>
      <c r="G31" s="262"/>
      <c r="H31" s="263"/>
      <c r="I31" s="264">
        <v>2.2559999999999998</v>
      </c>
      <c r="J31" s="264"/>
      <c r="K31" s="264"/>
      <c r="L31" s="265">
        <v>92.5</v>
      </c>
      <c r="M31" s="257"/>
      <c r="N31" s="258"/>
      <c r="O31" s="257">
        <v>7.5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70"/>
      <c r="E32" s="271"/>
      <c r="F32" s="261"/>
      <c r="G32" s="262"/>
      <c r="H32" s="263"/>
      <c r="I32" s="264">
        <v>2.3210000000000002</v>
      </c>
      <c r="J32" s="264"/>
      <c r="K32" s="264"/>
      <c r="L32" s="265">
        <v>95.1</v>
      </c>
      <c r="M32" s="257"/>
      <c r="N32" s="258"/>
      <c r="O32" s="257">
        <v>4.9000000000000004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6" t="s">
        <v>183</v>
      </c>
      <c r="E33" s="267"/>
      <c r="F33" s="261"/>
      <c r="G33" s="262"/>
      <c r="H33" s="263"/>
      <c r="I33" s="264">
        <v>2.306</v>
      </c>
      <c r="J33" s="264"/>
      <c r="K33" s="264"/>
      <c r="L33" s="265">
        <v>94.5</v>
      </c>
      <c r="M33" s="257"/>
      <c r="N33" s="258"/>
      <c r="O33" s="257">
        <v>5.5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8"/>
      <c r="E34" s="269"/>
      <c r="F34" s="261"/>
      <c r="G34" s="262"/>
      <c r="H34" s="263"/>
      <c r="I34" s="264">
        <v>2.34</v>
      </c>
      <c r="J34" s="264"/>
      <c r="K34" s="264"/>
      <c r="L34" s="265">
        <v>95.9</v>
      </c>
      <c r="M34" s="257"/>
      <c r="N34" s="258"/>
      <c r="O34" s="257">
        <v>4.0999999999999996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8"/>
      <c r="E35" s="269"/>
      <c r="F35" s="261"/>
      <c r="G35" s="262"/>
      <c r="H35" s="263"/>
      <c r="I35" s="264">
        <v>2.3370000000000002</v>
      </c>
      <c r="J35" s="264"/>
      <c r="K35" s="264"/>
      <c r="L35" s="265">
        <v>95.8</v>
      </c>
      <c r="M35" s="257"/>
      <c r="N35" s="258"/>
      <c r="O35" s="257">
        <v>4.2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70"/>
      <c r="E36" s="271"/>
      <c r="F36" s="261"/>
      <c r="G36" s="262"/>
      <c r="H36" s="263"/>
      <c r="I36" s="264">
        <v>2.2530000000000001</v>
      </c>
      <c r="J36" s="264"/>
      <c r="K36" s="264"/>
      <c r="L36" s="265">
        <v>92.3</v>
      </c>
      <c r="M36" s="257"/>
      <c r="N36" s="258"/>
      <c r="O36" s="257">
        <v>7.7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6" t="s">
        <v>180</v>
      </c>
      <c r="E37" s="267"/>
      <c r="F37" s="261"/>
      <c r="G37" s="262"/>
      <c r="H37" s="263"/>
      <c r="I37" s="264">
        <v>2.258</v>
      </c>
      <c r="J37" s="264"/>
      <c r="K37" s="264"/>
      <c r="L37" s="265">
        <v>92.5</v>
      </c>
      <c r="M37" s="257"/>
      <c r="N37" s="258"/>
      <c r="O37" s="257">
        <v>7.5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8"/>
      <c r="E38" s="269"/>
      <c r="F38" s="261"/>
      <c r="G38" s="262"/>
      <c r="H38" s="263"/>
      <c r="I38" s="264">
        <v>2.2999999999999998</v>
      </c>
      <c r="J38" s="264"/>
      <c r="K38" s="264"/>
      <c r="L38" s="265">
        <v>94.3</v>
      </c>
      <c r="M38" s="257"/>
      <c r="N38" s="258"/>
      <c r="O38" s="257">
        <v>5.7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8"/>
      <c r="E39" s="269"/>
      <c r="F39" s="261"/>
      <c r="G39" s="262"/>
      <c r="H39" s="263"/>
      <c r="I39" s="264">
        <v>2.2810000000000001</v>
      </c>
      <c r="J39" s="264"/>
      <c r="K39" s="264"/>
      <c r="L39" s="265">
        <v>93.5</v>
      </c>
      <c r="M39" s="257"/>
      <c r="N39" s="258"/>
      <c r="O39" s="257">
        <v>6.5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68"/>
      <c r="E40" s="269"/>
      <c r="F40" s="261"/>
      <c r="G40" s="262"/>
      <c r="H40" s="263"/>
      <c r="I40" s="264">
        <v>2.2629999999999999</v>
      </c>
      <c r="J40" s="264"/>
      <c r="K40" s="264"/>
      <c r="L40" s="265">
        <v>92.7</v>
      </c>
      <c r="M40" s="257"/>
      <c r="N40" s="258"/>
      <c r="O40" s="257">
        <v>7.3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8"/>
      <c r="E41" s="269"/>
      <c r="F41" s="261"/>
      <c r="G41" s="262"/>
      <c r="H41" s="263"/>
      <c r="I41" s="264">
        <v>2.2469999999999999</v>
      </c>
      <c r="J41" s="264"/>
      <c r="K41" s="264"/>
      <c r="L41" s="265">
        <v>92.1</v>
      </c>
      <c r="M41" s="257"/>
      <c r="N41" s="258"/>
      <c r="O41" s="257">
        <v>7.9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8"/>
      <c r="E42" s="269"/>
      <c r="F42" s="261"/>
      <c r="G42" s="262"/>
      <c r="H42" s="263"/>
      <c r="I42" s="264">
        <v>2.2570000000000001</v>
      </c>
      <c r="J42" s="264"/>
      <c r="K42" s="264"/>
      <c r="L42" s="265">
        <v>92.5</v>
      </c>
      <c r="M42" s="257"/>
      <c r="N42" s="258"/>
      <c r="O42" s="257">
        <v>7.5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70"/>
      <c r="E43" s="271"/>
      <c r="F43" s="261"/>
      <c r="G43" s="262"/>
      <c r="H43" s="263"/>
      <c r="I43" s="264">
        <v>2.286</v>
      </c>
      <c r="J43" s="264"/>
      <c r="K43" s="264"/>
      <c r="L43" s="265">
        <v>93.7</v>
      </c>
      <c r="M43" s="257"/>
      <c r="N43" s="258"/>
      <c r="O43" s="257">
        <v>6.3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/>
      <c r="C44" s="260"/>
      <c r="D44" s="261"/>
      <c r="E44" s="262"/>
      <c r="F44" s="261"/>
      <c r="G44" s="262"/>
      <c r="H44" s="263"/>
      <c r="I44" s="264"/>
      <c r="J44" s="264"/>
      <c r="K44" s="264"/>
      <c r="L44" s="265"/>
      <c r="M44" s="257"/>
      <c r="N44" s="258"/>
      <c r="O44" s="257"/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/>
      <c r="C45" s="260"/>
      <c r="D45" s="261"/>
      <c r="E45" s="262"/>
      <c r="F45" s="261"/>
      <c r="G45" s="262"/>
      <c r="H45" s="263"/>
      <c r="I45" s="264"/>
      <c r="J45" s="264"/>
      <c r="K45" s="264"/>
      <c r="L45" s="265"/>
      <c r="M45" s="257"/>
      <c r="N45" s="258"/>
      <c r="O45" s="257"/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/>
      <c r="C46" s="260"/>
      <c r="D46" s="261"/>
      <c r="E46" s="262"/>
      <c r="F46" s="261"/>
      <c r="G46" s="262"/>
      <c r="H46" s="263"/>
      <c r="I46" s="264"/>
      <c r="J46" s="264"/>
      <c r="K46" s="264"/>
      <c r="L46" s="265"/>
      <c r="M46" s="257"/>
      <c r="N46" s="258"/>
      <c r="O46" s="257"/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/>
      <c r="C47" s="260"/>
      <c r="D47" s="261"/>
      <c r="E47" s="262"/>
      <c r="F47" s="261"/>
      <c r="G47" s="262"/>
      <c r="H47" s="263"/>
      <c r="I47" s="264"/>
      <c r="J47" s="264"/>
      <c r="K47" s="264"/>
      <c r="L47" s="265"/>
      <c r="M47" s="257"/>
      <c r="N47" s="258"/>
      <c r="O47" s="257"/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/>
      <c r="C48" s="260"/>
      <c r="D48" s="261"/>
      <c r="E48" s="262"/>
      <c r="F48" s="261"/>
      <c r="G48" s="262"/>
      <c r="H48" s="263"/>
      <c r="I48" s="264"/>
      <c r="J48" s="264"/>
      <c r="K48" s="264"/>
      <c r="L48" s="265"/>
      <c r="M48" s="257"/>
      <c r="N48" s="258"/>
      <c r="O48" s="257"/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v>2.2799999999999998</v>
      </c>
      <c r="J50" s="272"/>
      <c r="K50" s="272"/>
      <c r="L50" s="339">
        <v>93.55</v>
      </c>
      <c r="M50" s="339"/>
      <c r="N50" s="339"/>
      <c r="O50" s="339">
        <v>6.45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11"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D49:E49"/>
    <mergeCell ref="B49:C49"/>
    <mergeCell ref="I51:K51"/>
    <mergeCell ref="L51:Y51"/>
    <mergeCell ref="B50:H50"/>
    <mergeCell ref="B44:C44"/>
    <mergeCell ref="D44:E44"/>
    <mergeCell ref="F44:H44"/>
    <mergeCell ref="I44:K44"/>
    <mergeCell ref="B45:C45"/>
    <mergeCell ref="D45:E45"/>
    <mergeCell ref="F45:H45"/>
    <mergeCell ref="I45:K45"/>
    <mergeCell ref="L45:N45"/>
    <mergeCell ref="O45:Q45"/>
    <mergeCell ref="R48:Y48"/>
    <mergeCell ref="B48:C48"/>
    <mergeCell ref="D48:E48"/>
    <mergeCell ref="F48:H48"/>
    <mergeCell ref="I48:K48"/>
    <mergeCell ref="L48:N48"/>
    <mergeCell ref="O48:Q48"/>
    <mergeCell ref="R46:Y46"/>
    <mergeCell ref="B47:C47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F29:H29"/>
    <mergeCell ref="I29:K29"/>
    <mergeCell ref="L29:N29"/>
    <mergeCell ref="F30:H30"/>
    <mergeCell ref="I30:K30"/>
    <mergeCell ref="L30:N30"/>
    <mergeCell ref="I50:K50"/>
    <mergeCell ref="R50:Y50"/>
    <mergeCell ref="L44:N44"/>
    <mergeCell ref="O44:Q44"/>
    <mergeCell ref="R44:Y44"/>
    <mergeCell ref="R45:Y45"/>
    <mergeCell ref="O30:Q30"/>
    <mergeCell ref="R30:Y30"/>
    <mergeCell ref="F36:H36"/>
    <mergeCell ref="I36:K36"/>
    <mergeCell ref="L36:N36"/>
    <mergeCell ref="R34:Y34"/>
    <mergeCell ref="R35:Y35"/>
    <mergeCell ref="O36:Q36"/>
    <mergeCell ref="R36:Y36"/>
    <mergeCell ref="F42:H42"/>
    <mergeCell ref="I42:K42"/>
    <mergeCell ref="L42:N42"/>
    <mergeCell ref="B31:C31"/>
    <mergeCell ref="F31:H31"/>
    <mergeCell ref="I31:K31"/>
    <mergeCell ref="L31:N31"/>
    <mergeCell ref="O31:Q31"/>
    <mergeCell ref="R31:Y31"/>
    <mergeCell ref="B30:C30"/>
    <mergeCell ref="R32:Y32"/>
    <mergeCell ref="B33:C33"/>
    <mergeCell ref="F33:H33"/>
    <mergeCell ref="I33:K33"/>
    <mergeCell ref="L33:N33"/>
    <mergeCell ref="O33:Q33"/>
    <mergeCell ref="R33:Y33"/>
    <mergeCell ref="B32:C32"/>
    <mergeCell ref="D33:E36"/>
    <mergeCell ref="D29:E32"/>
    <mergeCell ref="B34:C34"/>
    <mergeCell ref="F34:H34"/>
    <mergeCell ref="I34:K34"/>
    <mergeCell ref="L34:N34"/>
    <mergeCell ref="O32:Q32"/>
    <mergeCell ref="F32:H32"/>
    <mergeCell ref="I32:K32"/>
    <mergeCell ref="L32:N32"/>
    <mergeCell ref="B35:C35"/>
    <mergeCell ref="F35:H35"/>
    <mergeCell ref="I35:K35"/>
    <mergeCell ref="L35:N35"/>
    <mergeCell ref="O35:Q35"/>
    <mergeCell ref="O34:Q34"/>
    <mergeCell ref="B37:C37"/>
    <mergeCell ref="F37:H37"/>
    <mergeCell ref="I37:K37"/>
    <mergeCell ref="L37:N37"/>
    <mergeCell ref="O37:Q37"/>
    <mergeCell ref="R37:Y37"/>
    <mergeCell ref="B36:C36"/>
    <mergeCell ref="R38:Y38"/>
    <mergeCell ref="B39:C39"/>
    <mergeCell ref="F39:H39"/>
    <mergeCell ref="I39:K39"/>
    <mergeCell ref="L39:N39"/>
    <mergeCell ref="O39:Q39"/>
    <mergeCell ref="R39:Y39"/>
    <mergeCell ref="B38:C38"/>
    <mergeCell ref="D37:E43"/>
    <mergeCell ref="O38:Q38"/>
    <mergeCell ref="F38:H38"/>
    <mergeCell ref="I38:K38"/>
    <mergeCell ref="L38:N38"/>
    <mergeCell ref="B41:C41"/>
    <mergeCell ref="F41:H41"/>
    <mergeCell ref="I41:K41"/>
    <mergeCell ref="L41:N41"/>
    <mergeCell ref="O41:Q41"/>
    <mergeCell ref="O40:Q40"/>
    <mergeCell ref="R40:Y40"/>
    <mergeCell ref="R41:Y41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B40:C40"/>
    <mergeCell ref="F40:H40"/>
    <mergeCell ref="I40:K40"/>
    <mergeCell ref="L40:N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23FA-3D1D-4A01-AD93-038A35940862}">
  <sheetPr>
    <pageSetUpPr fitToPage="1"/>
  </sheetPr>
  <dimension ref="A1:AN63"/>
  <sheetViews>
    <sheetView topLeftCell="A35" workbookViewId="0">
      <selection activeCell="V60" sqref="V60:Y61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ht="13.2" customHeight="1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40" ht="13.2" customHeight="1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ht="13.2" customHeight="1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ht="13.2" customHeight="1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37</v>
      </c>
      <c r="J5" s="282"/>
      <c r="K5" s="283"/>
      <c r="L5" s="328" t="s">
        <v>4</v>
      </c>
      <c r="M5" s="329"/>
      <c r="N5" s="329"/>
      <c r="O5" s="330"/>
      <c r="P5" s="313">
        <v>45581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ht="13.2" customHeight="1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16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181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157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117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22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181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174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120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95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173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0</v>
      </c>
      <c r="O22" s="278" t="s">
        <v>42</v>
      </c>
      <c r="P22" s="278"/>
      <c r="Q22" s="278"/>
      <c r="R22" s="241" t="s">
        <v>82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2.48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6" t="s">
        <v>180</v>
      </c>
      <c r="E29" s="267"/>
      <c r="F29" s="261"/>
      <c r="G29" s="262"/>
      <c r="H29" s="263"/>
      <c r="I29" s="264">
        <v>2.3540000000000001</v>
      </c>
      <c r="J29" s="264"/>
      <c r="K29" s="264"/>
      <c r="L29" s="265">
        <v>94.9</v>
      </c>
      <c r="M29" s="257"/>
      <c r="N29" s="258"/>
      <c r="O29" s="257">
        <v>5.0999999999999996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8"/>
      <c r="E30" s="269"/>
      <c r="F30" s="261"/>
      <c r="G30" s="262"/>
      <c r="H30" s="263"/>
      <c r="I30" s="264">
        <v>2.3330000000000002</v>
      </c>
      <c r="J30" s="264"/>
      <c r="K30" s="264"/>
      <c r="L30" s="265">
        <v>94.1</v>
      </c>
      <c r="M30" s="257"/>
      <c r="N30" s="258"/>
      <c r="O30" s="257">
        <v>5.9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8"/>
      <c r="E31" s="269"/>
      <c r="F31" s="261"/>
      <c r="G31" s="262"/>
      <c r="H31" s="263"/>
      <c r="I31" s="264">
        <v>2.3679999999999999</v>
      </c>
      <c r="J31" s="264"/>
      <c r="K31" s="264"/>
      <c r="L31" s="265">
        <v>95.5</v>
      </c>
      <c r="M31" s="257"/>
      <c r="N31" s="258"/>
      <c r="O31" s="257">
        <v>4.5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8"/>
      <c r="E32" s="269"/>
      <c r="F32" s="261"/>
      <c r="G32" s="262"/>
      <c r="H32" s="263"/>
      <c r="I32" s="264">
        <v>2.2679999999999998</v>
      </c>
      <c r="J32" s="264"/>
      <c r="K32" s="264"/>
      <c r="L32" s="265">
        <v>91.5</v>
      </c>
      <c r="M32" s="257"/>
      <c r="N32" s="258"/>
      <c r="O32" s="257">
        <v>8.5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8"/>
      <c r="E33" s="269"/>
      <c r="F33" s="261"/>
      <c r="G33" s="262"/>
      <c r="H33" s="263"/>
      <c r="I33" s="264">
        <v>2.3159999999999998</v>
      </c>
      <c r="J33" s="264"/>
      <c r="K33" s="264"/>
      <c r="L33" s="265">
        <v>93.4</v>
      </c>
      <c r="M33" s="257"/>
      <c r="N33" s="258"/>
      <c r="O33" s="257">
        <v>6.6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8"/>
      <c r="E34" s="269"/>
      <c r="F34" s="261"/>
      <c r="G34" s="262"/>
      <c r="H34" s="263"/>
      <c r="I34" s="264">
        <v>2.2709999999999999</v>
      </c>
      <c r="J34" s="264"/>
      <c r="K34" s="264"/>
      <c r="L34" s="265">
        <v>91.6</v>
      </c>
      <c r="M34" s="257"/>
      <c r="N34" s="258"/>
      <c r="O34" s="257">
        <v>8.4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8"/>
      <c r="E35" s="269"/>
      <c r="F35" s="261"/>
      <c r="G35" s="262"/>
      <c r="H35" s="263"/>
      <c r="I35" s="264">
        <v>2.2999999999999998</v>
      </c>
      <c r="J35" s="264"/>
      <c r="K35" s="264"/>
      <c r="L35" s="265">
        <v>92.7</v>
      </c>
      <c r="M35" s="257"/>
      <c r="N35" s="258"/>
      <c r="O35" s="257">
        <v>7.3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8"/>
      <c r="E36" s="269"/>
      <c r="F36" s="261"/>
      <c r="G36" s="262"/>
      <c r="H36" s="263"/>
      <c r="I36" s="264">
        <v>2.3330000000000002</v>
      </c>
      <c r="J36" s="264"/>
      <c r="K36" s="264"/>
      <c r="L36" s="265">
        <v>94.1</v>
      </c>
      <c r="M36" s="257"/>
      <c r="N36" s="258"/>
      <c r="O36" s="257">
        <v>5.9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70"/>
      <c r="E37" s="271"/>
      <c r="F37" s="261"/>
      <c r="G37" s="262"/>
      <c r="H37" s="263"/>
      <c r="I37" s="264">
        <v>2.3210000000000002</v>
      </c>
      <c r="J37" s="264"/>
      <c r="K37" s="264"/>
      <c r="L37" s="265">
        <v>93.6</v>
      </c>
      <c r="M37" s="257"/>
      <c r="N37" s="258"/>
      <c r="O37" s="257">
        <v>6.4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6" t="s">
        <v>179</v>
      </c>
      <c r="E38" s="267"/>
      <c r="F38" s="261"/>
      <c r="G38" s="262"/>
      <c r="H38" s="263"/>
      <c r="I38" s="264">
        <v>2.2709999999999999</v>
      </c>
      <c r="J38" s="264"/>
      <c r="K38" s="264"/>
      <c r="L38" s="265">
        <v>91.6</v>
      </c>
      <c r="M38" s="257"/>
      <c r="N38" s="258"/>
      <c r="O38" s="257">
        <v>8.4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8"/>
      <c r="E39" s="269"/>
      <c r="F39" s="261"/>
      <c r="G39" s="262"/>
      <c r="H39" s="263"/>
      <c r="I39" s="264">
        <v>2.36</v>
      </c>
      <c r="J39" s="264"/>
      <c r="K39" s="264"/>
      <c r="L39" s="265">
        <v>95.2</v>
      </c>
      <c r="M39" s="257"/>
      <c r="N39" s="258"/>
      <c r="O39" s="257">
        <v>4.8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70"/>
      <c r="E40" s="271"/>
      <c r="F40" s="261"/>
      <c r="G40" s="262"/>
      <c r="H40" s="263"/>
      <c r="I40" s="264">
        <v>2.3330000000000002</v>
      </c>
      <c r="J40" s="264"/>
      <c r="K40" s="264"/>
      <c r="L40" s="265">
        <v>94.1</v>
      </c>
      <c r="M40" s="257"/>
      <c r="N40" s="258"/>
      <c r="O40" s="257">
        <v>5.9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6" t="s">
        <v>182</v>
      </c>
      <c r="E41" s="267"/>
      <c r="F41" s="261"/>
      <c r="G41" s="262"/>
      <c r="H41" s="263"/>
      <c r="I41" s="264">
        <v>2.3149999999999999</v>
      </c>
      <c r="J41" s="264"/>
      <c r="K41" s="264"/>
      <c r="L41" s="265">
        <v>93.3</v>
      </c>
      <c r="M41" s="257"/>
      <c r="N41" s="258"/>
      <c r="O41" s="257">
        <v>6.7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8"/>
      <c r="E42" s="269"/>
      <c r="F42" s="261"/>
      <c r="G42" s="262"/>
      <c r="H42" s="263"/>
      <c r="I42" s="264">
        <v>2.3330000000000002</v>
      </c>
      <c r="J42" s="264"/>
      <c r="K42" s="264"/>
      <c r="L42" s="265">
        <v>94.1</v>
      </c>
      <c r="M42" s="257"/>
      <c r="N42" s="258"/>
      <c r="O42" s="257">
        <v>5.9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70"/>
      <c r="E43" s="271"/>
      <c r="F43" s="261"/>
      <c r="G43" s="262"/>
      <c r="H43" s="263"/>
      <c r="I43" s="264">
        <v>2.2810000000000001</v>
      </c>
      <c r="J43" s="264"/>
      <c r="K43" s="264"/>
      <c r="L43" s="265">
        <v>92</v>
      </c>
      <c r="M43" s="257"/>
      <c r="N43" s="258"/>
      <c r="O43" s="257">
        <v>8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/>
      <c r="C44" s="260"/>
      <c r="D44" s="266"/>
      <c r="E44" s="267"/>
      <c r="F44" s="261"/>
      <c r="G44" s="262"/>
      <c r="H44" s="263"/>
      <c r="I44" s="264"/>
      <c r="J44" s="264"/>
      <c r="K44" s="264"/>
      <c r="L44" s="265"/>
      <c r="M44" s="257"/>
      <c r="N44" s="258"/>
      <c r="O44" s="257"/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/>
      <c r="C45" s="260"/>
      <c r="D45" s="266"/>
      <c r="E45" s="267"/>
      <c r="F45" s="261"/>
      <c r="G45" s="262"/>
      <c r="H45" s="263"/>
      <c r="I45" s="264"/>
      <c r="J45" s="264"/>
      <c r="K45" s="264"/>
      <c r="L45" s="265"/>
      <c r="M45" s="257"/>
      <c r="N45" s="258"/>
      <c r="O45" s="257"/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/>
      <c r="C46" s="260"/>
      <c r="D46" s="266"/>
      <c r="E46" s="267"/>
      <c r="F46" s="261"/>
      <c r="G46" s="262"/>
      <c r="H46" s="263"/>
      <c r="I46" s="264"/>
      <c r="J46" s="264"/>
      <c r="K46" s="264"/>
      <c r="L46" s="265"/>
      <c r="M46" s="257"/>
      <c r="N46" s="258"/>
      <c r="O46" s="257"/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/>
      <c r="C47" s="260"/>
      <c r="D47" s="266"/>
      <c r="E47" s="267"/>
      <c r="F47" s="261"/>
      <c r="G47" s="262"/>
      <c r="H47" s="263"/>
      <c r="I47" s="264"/>
      <c r="J47" s="264"/>
      <c r="K47" s="264"/>
      <c r="L47" s="265"/>
      <c r="M47" s="257"/>
      <c r="N47" s="258"/>
      <c r="O47" s="257"/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/>
      <c r="C48" s="260"/>
      <c r="D48" s="266"/>
      <c r="E48" s="267"/>
      <c r="F48" s="261"/>
      <c r="G48" s="262"/>
      <c r="H48" s="263"/>
      <c r="I48" s="264"/>
      <c r="J48" s="264"/>
      <c r="K48" s="264"/>
      <c r="L48" s="265"/>
      <c r="M48" s="257"/>
      <c r="N48" s="258"/>
      <c r="O48" s="257"/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v>2.3199999999999998</v>
      </c>
      <c r="J50" s="272"/>
      <c r="K50" s="272"/>
      <c r="L50" s="339">
        <v>93.45</v>
      </c>
      <c r="M50" s="339"/>
      <c r="N50" s="339"/>
      <c r="O50" s="339">
        <v>6.55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11">
    <mergeCell ref="O47:Q47"/>
    <mergeCell ref="R47:Y47"/>
    <mergeCell ref="B48:C48"/>
    <mergeCell ref="F48:H48"/>
    <mergeCell ref="I48:K48"/>
    <mergeCell ref="L48:N48"/>
    <mergeCell ref="O48:Q48"/>
    <mergeCell ref="R48:Y48"/>
    <mergeCell ref="D47:E47"/>
    <mergeCell ref="D48:E48"/>
    <mergeCell ref="B47:C47"/>
    <mergeCell ref="F47:H47"/>
    <mergeCell ref="I47:K47"/>
    <mergeCell ref="L47:N47"/>
    <mergeCell ref="B46:C46"/>
    <mergeCell ref="F46:H46"/>
    <mergeCell ref="I46:K46"/>
    <mergeCell ref="L46:N46"/>
    <mergeCell ref="O46:Q46"/>
    <mergeCell ref="R46:Y46"/>
    <mergeCell ref="D46:E46"/>
    <mergeCell ref="O44:Q44"/>
    <mergeCell ref="R44:Y44"/>
    <mergeCell ref="B45:C45"/>
    <mergeCell ref="F45:H45"/>
    <mergeCell ref="I45:K45"/>
    <mergeCell ref="L45:N45"/>
    <mergeCell ref="O45:Q45"/>
    <mergeCell ref="R45:Y45"/>
    <mergeCell ref="D44:E44"/>
    <mergeCell ref="D45:E45"/>
    <mergeCell ref="L44:N44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49:E49"/>
    <mergeCell ref="B49:C49"/>
    <mergeCell ref="I51:K51"/>
    <mergeCell ref="L51:Y51"/>
    <mergeCell ref="B50:H50"/>
    <mergeCell ref="D29:E37"/>
    <mergeCell ref="D38:E40"/>
    <mergeCell ref="D41:E43"/>
    <mergeCell ref="B44:C44"/>
    <mergeCell ref="F29:H29"/>
    <mergeCell ref="I29:K29"/>
    <mergeCell ref="L29:N29"/>
    <mergeCell ref="F30:H30"/>
    <mergeCell ref="I30:K30"/>
    <mergeCell ref="L30:N30"/>
    <mergeCell ref="I50:K50"/>
    <mergeCell ref="R50:Y50"/>
    <mergeCell ref="F44:H44"/>
    <mergeCell ref="I44:K44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O30:Q30"/>
    <mergeCell ref="R30:Y30"/>
    <mergeCell ref="B31:C31"/>
    <mergeCell ref="F31:H31"/>
    <mergeCell ref="I31:K31"/>
    <mergeCell ref="L31:N31"/>
    <mergeCell ref="O31:Q31"/>
    <mergeCell ref="R31:Y31"/>
    <mergeCell ref="B30:C30"/>
    <mergeCell ref="O34:Q34"/>
    <mergeCell ref="R32:Y32"/>
    <mergeCell ref="B33:C33"/>
    <mergeCell ref="F33:H33"/>
    <mergeCell ref="I33:K33"/>
    <mergeCell ref="L33:N33"/>
    <mergeCell ref="O33:Q33"/>
    <mergeCell ref="R33:Y33"/>
    <mergeCell ref="B32:C32"/>
    <mergeCell ref="B34:C34"/>
    <mergeCell ref="F34:H34"/>
    <mergeCell ref="I34:K34"/>
    <mergeCell ref="L34:N34"/>
    <mergeCell ref="O32:Q32"/>
    <mergeCell ref="F32:H32"/>
    <mergeCell ref="I32:K32"/>
    <mergeCell ref="L32:N32"/>
    <mergeCell ref="R34:Y34"/>
    <mergeCell ref="R35:Y35"/>
    <mergeCell ref="O36:Q36"/>
    <mergeCell ref="R36:Y36"/>
    <mergeCell ref="B37:C37"/>
    <mergeCell ref="F37:H37"/>
    <mergeCell ref="I37:K37"/>
    <mergeCell ref="L37:N37"/>
    <mergeCell ref="O37:Q37"/>
    <mergeCell ref="R37:Y37"/>
    <mergeCell ref="B36:C36"/>
    <mergeCell ref="B35:C35"/>
    <mergeCell ref="F35:H35"/>
    <mergeCell ref="I35:K35"/>
    <mergeCell ref="L35:N35"/>
    <mergeCell ref="O35:Q35"/>
    <mergeCell ref="F36:H36"/>
    <mergeCell ref="I36:K36"/>
    <mergeCell ref="L36:N36"/>
    <mergeCell ref="O40:Q40"/>
    <mergeCell ref="R38:Y38"/>
    <mergeCell ref="B39:C39"/>
    <mergeCell ref="F39:H39"/>
    <mergeCell ref="I39:K39"/>
    <mergeCell ref="L39:N39"/>
    <mergeCell ref="O39:Q39"/>
    <mergeCell ref="R39:Y39"/>
    <mergeCell ref="B38:C38"/>
    <mergeCell ref="B40:C40"/>
    <mergeCell ref="F40:H40"/>
    <mergeCell ref="I40:K40"/>
    <mergeCell ref="L40:N40"/>
    <mergeCell ref="O38:Q38"/>
    <mergeCell ref="F38:H38"/>
    <mergeCell ref="I38:K38"/>
    <mergeCell ref="L38:N38"/>
    <mergeCell ref="R40:Y40"/>
    <mergeCell ref="R41:Y41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B41:C41"/>
    <mergeCell ref="F41:H41"/>
    <mergeCell ref="I41:K41"/>
    <mergeCell ref="L41:N41"/>
    <mergeCell ref="O41:Q41"/>
    <mergeCell ref="F42:H42"/>
    <mergeCell ref="I42:K42"/>
    <mergeCell ref="L42:N42"/>
  </mergeCells>
  <phoneticPr fontId="44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357A-797B-4776-8281-6B57CD43C4F2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ht="13.2" customHeight="1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40" ht="13.2" customHeight="1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ht="13.2" customHeight="1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ht="13.2" customHeight="1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36</v>
      </c>
      <c r="J5" s="282"/>
      <c r="K5" s="283"/>
      <c r="L5" s="328" t="s">
        <v>4</v>
      </c>
      <c r="M5" s="329"/>
      <c r="N5" s="329"/>
      <c r="O5" s="330"/>
      <c r="P5" s="313">
        <v>45575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ht="13.2" customHeight="1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96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175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110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79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78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175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174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120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95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178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4</v>
      </c>
      <c r="O22" s="278" t="s">
        <v>42</v>
      </c>
      <c r="P22" s="278"/>
      <c r="Q22" s="278"/>
      <c r="R22" s="241" t="s">
        <v>76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2.44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6" t="s">
        <v>177</v>
      </c>
      <c r="E29" s="267"/>
      <c r="F29" s="261"/>
      <c r="G29" s="262"/>
      <c r="H29" s="263"/>
      <c r="I29" s="264">
        <v>2.2509999999999999</v>
      </c>
      <c r="J29" s="264"/>
      <c r="K29" s="264"/>
      <c r="L29" s="265">
        <v>92.3</v>
      </c>
      <c r="M29" s="257"/>
      <c r="N29" s="258"/>
      <c r="O29" s="257">
        <v>7.7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8"/>
      <c r="E30" s="269"/>
      <c r="F30" s="261"/>
      <c r="G30" s="262"/>
      <c r="H30" s="263"/>
      <c r="I30" s="264">
        <v>2.2709999999999999</v>
      </c>
      <c r="J30" s="264"/>
      <c r="K30" s="264"/>
      <c r="L30" s="265">
        <v>93.1</v>
      </c>
      <c r="M30" s="257"/>
      <c r="N30" s="258"/>
      <c r="O30" s="257">
        <v>6.9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8"/>
      <c r="E31" s="269"/>
      <c r="F31" s="261"/>
      <c r="G31" s="262"/>
      <c r="H31" s="263"/>
      <c r="I31" s="264">
        <v>2.2810000000000001</v>
      </c>
      <c r="J31" s="264"/>
      <c r="K31" s="264"/>
      <c r="L31" s="265">
        <v>93.5</v>
      </c>
      <c r="M31" s="257"/>
      <c r="N31" s="258"/>
      <c r="O31" s="257">
        <v>6.5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8"/>
      <c r="E32" s="269"/>
      <c r="F32" s="261"/>
      <c r="G32" s="262"/>
      <c r="H32" s="263"/>
      <c r="I32" s="264">
        <v>2.2909999999999999</v>
      </c>
      <c r="J32" s="264"/>
      <c r="K32" s="264"/>
      <c r="L32" s="265">
        <v>93.9</v>
      </c>
      <c r="M32" s="257"/>
      <c r="N32" s="258"/>
      <c r="O32" s="257">
        <v>6.1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8"/>
      <c r="E33" s="269"/>
      <c r="F33" s="261"/>
      <c r="G33" s="262"/>
      <c r="H33" s="263"/>
      <c r="I33" s="264">
        <v>2.331</v>
      </c>
      <c r="J33" s="264"/>
      <c r="K33" s="264"/>
      <c r="L33" s="265">
        <v>95.5</v>
      </c>
      <c r="M33" s="257"/>
      <c r="N33" s="258"/>
      <c r="O33" s="257">
        <v>4.5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8"/>
      <c r="E34" s="269"/>
      <c r="F34" s="261"/>
      <c r="G34" s="262"/>
      <c r="H34" s="263"/>
      <c r="I34" s="264">
        <v>2.2650000000000001</v>
      </c>
      <c r="J34" s="264"/>
      <c r="K34" s="264"/>
      <c r="L34" s="265">
        <v>92.8</v>
      </c>
      <c r="M34" s="257"/>
      <c r="N34" s="258"/>
      <c r="O34" s="257">
        <v>7.2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70"/>
      <c r="E35" s="271"/>
      <c r="F35" s="261"/>
      <c r="G35" s="262"/>
      <c r="H35" s="263"/>
      <c r="I35" s="264">
        <v>2.3039999999999998</v>
      </c>
      <c r="J35" s="264"/>
      <c r="K35" s="264"/>
      <c r="L35" s="265">
        <v>94.4</v>
      </c>
      <c r="M35" s="257"/>
      <c r="N35" s="258"/>
      <c r="O35" s="257">
        <v>5.6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6" t="s">
        <v>170</v>
      </c>
      <c r="E36" s="267"/>
      <c r="F36" s="261"/>
      <c r="G36" s="262"/>
      <c r="H36" s="263"/>
      <c r="I36" s="264">
        <v>2.3330000000000002</v>
      </c>
      <c r="J36" s="264"/>
      <c r="K36" s="264"/>
      <c r="L36" s="265">
        <v>95.6</v>
      </c>
      <c r="M36" s="257"/>
      <c r="N36" s="258"/>
      <c r="O36" s="257">
        <v>4.4000000000000004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70"/>
      <c r="E37" s="271"/>
      <c r="F37" s="261"/>
      <c r="G37" s="262"/>
      <c r="H37" s="263"/>
      <c r="I37" s="264">
        <v>2.2610000000000001</v>
      </c>
      <c r="J37" s="264"/>
      <c r="K37" s="264"/>
      <c r="L37" s="265">
        <v>92.7</v>
      </c>
      <c r="M37" s="257"/>
      <c r="N37" s="258"/>
      <c r="O37" s="257">
        <v>7.3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6" t="s">
        <v>171</v>
      </c>
      <c r="E38" s="267"/>
      <c r="F38" s="261"/>
      <c r="G38" s="262"/>
      <c r="H38" s="263"/>
      <c r="I38" s="264">
        <v>2.254</v>
      </c>
      <c r="J38" s="264"/>
      <c r="K38" s="264"/>
      <c r="L38" s="265">
        <v>92.4</v>
      </c>
      <c r="M38" s="257"/>
      <c r="N38" s="258"/>
      <c r="O38" s="257">
        <v>7.6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8"/>
      <c r="E39" s="269"/>
      <c r="F39" s="261"/>
      <c r="G39" s="262"/>
      <c r="H39" s="263"/>
      <c r="I39" s="264">
        <v>2.2570000000000001</v>
      </c>
      <c r="J39" s="264"/>
      <c r="K39" s="264"/>
      <c r="L39" s="265">
        <v>92.5</v>
      </c>
      <c r="M39" s="257"/>
      <c r="N39" s="258"/>
      <c r="O39" s="257">
        <v>7.5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70"/>
      <c r="E40" s="271"/>
      <c r="F40" s="261"/>
      <c r="G40" s="262"/>
      <c r="H40" s="263"/>
      <c r="I40" s="264">
        <v>2.2749999999999999</v>
      </c>
      <c r="J40" s="264"/>
      <c r="K40" s="264"/>
      <c r="L40" s="265">
        <v>93.2</v>
      </c>
      <c r="M40" s="257"/>
      <c r="N40" s="258"/>
      <c r="O40" s="257">
        <v>6.8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6" t="s">
        <v>176</v>
      </c>
      <c r="E41" s="267"/>
      <c r="F41" s="261"/>
      <c r="G41" s="262"/>
      <c r="H41" s="263"/>
      <c r="I41" s="264">
        <v>2.2999999999999998</v>
      </c>
      <c r="J41" s="264"/>
      <c r="K41" s="264"/>
      <c r="L41" s="265">
        <v>94.3</v>
      </c>
      <c r="M41" s="257"/>
      <c r="N41" s="258"/>
      <c r="O41" s="257">
        <v>5.7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8"/>
      <c r="E42" s="269"/>
      <c r="F42" s="261"/>
      <c r="G42" s="262"/>
      <c r="H42" s="263"/>
      <c r="I42" s="264">
        <v>2.2810000000000001</v>
      </c>
      <c r="J42" s="264"/>
      <c r="K42" s="264"/>
      <c r="L42" s="265">
        <v>93.5</v>
      </c>
      <c r="M42" s="257"/>
      <c r="N42" s="258"/>
      <c r="O42" s="257">
        <v>6.5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70"/>
      <c r="E43" s="271"/>
      <c r="F43" s="261"/>
      <c r="G43" s="262"/>
      <c r="H43" s="263"/>
      <c r="I43" s="264">
        <v>2.3149999999999999</v>
      </c>
      <c r="J43" s="264"/>
      <c r="K43" s="264"/>
      <c r="L43" s="265">
        <v>94.9</v>
      </c>
      <c r="M43" s="257"/>
      <c r="N43" s="258"/>
      <c r="O43" s="257">
        <v>5.0999999999999996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/>
      <c r="C44" s="260"/>
      <c r="D44" s="261"/>
      <c r="E44" s="262"/>
      <c r="F44" s="261"/>
      <c r="G44" s="262"/>
      <c r="H44" s="263"/>
      <c r="I44" s="264"/>
      <c r="J44" s="264"/>
      <c r="K44" s="264"/>
      <c r="L44" s="265"/>
      <c r="M44" s="257"/>
      <c r="N44" s="258"/>
      <c r="O44" s="257"/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/>
      <c r="C45" s="260"/>
      <c r="D45" s="261"/>
      <c r="E45" s="262"/>
      <c r="F45" s="261"/>
      <c r="G45" s="262"/>
      <c r="H45" s="263"/>
      <c r="I45" s="264"/>
      <c r="J45" s="264"/>
      <c r="K45" s="264"/>
      <c r="L45" s="265"/>
      <c r="M45" s="257"/>
      <c r="N45" s="258"/>
      <c r="O45" s="257"/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/>
      <c r="C46" s="260"/>
      <c r="D46" s="261"/>
      <c r="E46" s="262"/>
      <c r="F46" s="261"/>
      <c r="G46" s="262"/>
      <c r="H46" s="263"/>
      <c r="I46" s="264"/>
      <c r="J46" s="264"/>
      <c r="K46" s="264"/>
      <c r="L46" s="265"/>
      <c r="M46" s="257"/>
      <c r="N46" s="258"/>
      <c r="O46" s="257"/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/>
      <c r="C47" s="260"/>
      <c r="D47" s="261"/>
      <c r="E47" s="262"/>
      <c r="F47" s="261"/>
      <c r="G47" s="262"/>
      <c r="H47" s="263"/>
      <c r="I47" s="264"/>
      <c r="J47" s="264"/>
      <c r="K47" s="264"/>
      <c r="L47" s="265"/>
      <c r="M47" s="257"/>
      <c r="N47" s="258"/>
      <c r="O47" s="257"/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/>
      <c r="C48" s="260"/>
      <c r="D48" s="261"/>
      <c r="E48" s="262"/>
      <c r="F48" s="261"/>
      <c r="G48" s="262"/>
      <c r="H48" s="263"/>
      <c r="I48" s="264"/>
      <c r="J48" s="264"/>
      <c r="K48" s="264"/>
      <c r="L48" s="265"/>
      <c r="M48" s="257"/>
      <c r="N48" s="258"/>
      <c r="O48" s="257"/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v>2.2799999999999998</v>
      </c>
      <c r="J50" s="272"/>
      <c r="K50" s="272"/>
      <c r="L50" s="339">
        <v>93.64</v>
      </c>
      <c r="M50" s="339"/>
      <c r="N50" s="339"/>
      <c r="O50" s="339">
        <v>6.36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12">
    <mergeCell ref="R41:Y41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B41:C41"/>
    <mergeCell ref="F41:H41"/>
    <mergeCell ref="I41:K41"/>
    <mergeCell ref="L41:N41"/>
    <mergeCell ref="O41:Q41"/>
    <mergeCell ref="F42:H42"/>
    <mergeCell ref="I42:K42"/>
    <mergeCell ref="L42:N42"/>
    <mergeCell ref="D41:E43"/>
    <mergeCell ref="O40:Q40"/>
    <mergeCell ref="R38:Y38"/>
    <mergeCell ref="B39:C39"/>
    <mergeCell ref="F39:H39"/>
    <mergeCell ref="I39:K39"/>
    <mergeCell ref="L39:N39"/>
    <mergeCell ref="O39:Q39"/>
    <mergeCell ref="R39:Y39"/>
    <mergeCell ref="B38:C38"/>
    <mergeCell ref="B40:C40"/>
    <mergeCell ref="F40:H40"/>
    <mergeCell ref="I40:K40"/>
    <mergeCell ref="L40:N40"/>
    <mergeCell ref="O38:Q38"/>
    <mergeCell ref="F38:H38"/>
    <mergeCell ref="I38:K38"/>
    <mergeCell ref="L38:N38"/>
    <mergeCell ref="R40:Y40"/>
    <mergeCell ref="D38:E40"/>
    <mergeCell ref="R35:Y35"/>
    <mergeCell ref="O36:Q36"/>
    <mergeCell ref="R36:Y36"/>
    <mergeCell ref="B37:C37"/>
    <mergeCell ref="F37:H37"/>
    <mergeCell ref="I37:K37"/>
    <mergeCell ref="L37:N37"/>
    <mergeCell ref="O37:Q37"/>
    <mergeCell ref="R37:Y37"/>
    <mergeCell ref="B36:C36"/>
    <mergeCell ref="D29:E35"/>
    <mergeCell ref="D36:E37"/>
    <mergeCell ref="U55:Z55"/>
    <mergeCell ref="U56:Z58"/>
    <mergeCell ref="V60:Y61"/>
    <mergeCell ref="R29:Y29"/>
    <mergeCell ref="F27:H27"/>
    <mergeCell ref="B29:C29"/>
    <mergeCell ref="F29:H29"/>
    <mergeCell ref="I29:K29"/>
    <mergeCell ref="L29:N29"/>
    <mergeCell ref="F30:H30"/>
    <mergeCell ref="I30:K30"/>
    <mergeCell ref="L30:N30"/>
    <mergeCell ref="I50:K50"/>
    <mergeCell ref="R50:Y50"/>
    <mergeCell ref="L44:N44"/>
    <mergeCell ref="O44:Q44"/>
    <mergeCell ref="R44:Y44"/>
    <mergeCell ref="R45:Y45"/>
    <mergeCell ref="O30:Q30"/>
    <mergeCell ref="R30:Y30"/>
    <mergeCell ref="B31:C31"/>
    <mergeCell ref="F31:H31"/>
    <mergeCell ref="I31:K31"/>
    <mergeCell ref="L31:N31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4:R14"/>
    <mergeCell ref="B16:F16"/>
    <mergeCell ref="S14:Y14"/>
    <mergeCell ref="G14:L14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I49:K49"/>
    <mergeCell ref="F49:H49"/>
    <mergeCell ref="R49:Y49"/>
    <mergeCell ref="O49:Q49"/>
    <mergeCell ref="L49:N49"/>
    <mergeCell ref="B14:F14"/>
    <mergeCell ref="O31:Q31"/>
    <mergeCell ref="R31:Y31"/>
    <mergeCell ref="B30:C30"/>
    <mergeCell ref="R32:Y32"/>
    <mergeCell ref="B33:C33"/>
    <mergeCell ref="F33:H33"/>
    <mergeCell ref="I33:K33"/>
    <mergeCell ref="L33:N33"/>
    <mergeCell ref="O33:Q33"/>
    <mergeCell ref="R33:Y33"/>
    <mergeCell ref="B32:C32"/>
    <mergeCell ref="B34:C34"/>
    <mergeCell ref="F34:H34"/>
    <mergeCell ref="I34:K34"/>
    <mergeCell ref="I22:M22"/>
    <mergeCell ref="B49:C49"/>
    <mergeCell ref="O22:Q22"/>
    <mergeCell ref="L27:N27"/>
    <mergeCell ref="A59:Q62"/>
    <mergeCell ref="B51:H51"/>
    <mergeCell ref="O50:Q50"/>
    <mergeCell ref="L50:N50"/>
    <mergeCell ref="I27:K28"/>
    <mergeCell ref="O29:Q29"/>
    <mergeCell ref="A55:Q55"/>
    <mergeCell ref="R59:T62"/>
    <mergeCell ref="L34:N34"/>
    <mergeCell ref="O32:Q32"/>
    <mergeCell ref="F32:H32"/>
    <mergeCell ref="I32:K32"/>
    <mergeCell ref="L32:N32"/>
    <mergeCell ref="B35:C35"/>
    <mergeCell ref="F35:H35"/>
    <mergeCell ref="I35:K35"/>
    <mergeCell ref="L35:N35"/>
    <mergeCell ref="O35:Q35"/>
    <mergeCell ref="F36:H36"/>
    <mergeCell ref="I36:K36"/>
    <mergeCell ref="L36:N36"/>
    <mergeCell ref="O34:Q34"/>
    <mergeCell ref="R34:Y34"/>
    <mergeCell ref="D49:E49"/>
    <mergeCell ref="I51:K51"/>
    <mergeCell ref="L51:Y51"/>
    <mergeCell ref="B50:H50"/>
    <mergeCell ref="B44:C44"/>
    <mergeCell ref="D44:E44"/>
    <mergeCell ref="F44:H44"/>
    <mergeCell ref="I44:K44"/>
    <mergeCell ref="O46:Q46"/>
    <mergeCell ref="B45:C45"/>
    <mergeCell ref="D45:E45"/>
    <mergeCell ref="F45:H45"/>
    <mergeCell ref="I45:K45"/>
    <mergeCell ref="L45:N45"/>
    <mergeCell ref="O45:Q45"/>
    <mergeCell ref="R48:Y48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041F-4D60-47E1-A1AB-BBC0D5871E2A}">
  <sheetPr>
    <pageSetUpPr fitToPage="1"/>
  </sheetPr>
  <dimension ref="A1:AC63"/>
  <sheetViews>
    <sheetView workbookViewId="0">
      <selection activeCell="G1" sqref="G1:Z6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26" ht="13.2" customHeight="1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26" ht="13.2" customHeight="1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26" ht="13.2" customHeight="1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26" ht="13.2" customHeight="1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26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35</v>
      </c>
      <c r="J5" s="282"/>
      <c r="K5" s="283"/>
      <c r="L5" s="328" t="s">
        <v>4</v>
      </c>
      <c r="M5" s="329"/>
      <c r="N5" s="329"/>
      <c r="O5" s="330"/>
      <c r="P5" s="313">
        <v>45575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26" ht="13.2" customHeight="1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26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26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26" ht="6" customHeight="1" x14ac:dyDescent="0.25">
      <c r="A9" s="228"/>
      <c r="D9" s="249"/>
      <c r="E9" s="249"/>
      <c r="F9" s="249"/>
      <c r="G9" s="249"/>
      <c r="Z9" s="227"/>
    </row>
    <row r="10" spans="1:26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16</v>
      </c>
      <c r="T10" s="279"/>
      <c r="U10" s="279"/>
      <c r="V10" s="279"/>
      <c r="W10" s="279"/>
      <c r="X10" s="279"/>
      <c r="Y10" s="279"/>
      <c r="Z10" s="238"/>
    </row>
    <row r="11" spans="1:26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175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157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20</v>
      </c>
      <c r="Y11" s="273"/>
      <c r="Z11" s="254"/>
    </row>
    <row r="12" spans="1:26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22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26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175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174</v>
      </c>
      <c r="T13" s="274"/>
      <c r="U13" s="274"/>
      <c r="V13" s="274"/>
      <c r="W13" s="274"/>
      <c r="X13" s="274"/>
      <c r="Y13" s="274"/>
      <c r="Z13" s="238"/>
    </row>
    <row r="14" spans="1:26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120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95</v>
      </c>
      <c r="T14" s="274"/>
      <c r="U14" s="274"/>
      <c r="V14" s="274"/>
      <c r="W14" s="274"/>
      <c r="X14" s="274"/>
      <c r="Y14" s="274"/>
      <c r="Z14" s="238"/>
    </row>
    <row r="15" spans="1:26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</row>
    <row r="16" spans="1:26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173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6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6" ht="15" customHeight="1" x14ac:dyDescent="0.25">
      <c r="B18" s="246"/>
      <c r="C18" s="246"/>
      <c r="K18" s="247"/>
      <c r="L18" s="246"/>
      <c r="M18" s="245"/>
    </row>
    <row r="19" spans="1:26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6" ht="6" customHeight="1" x14ac:dyDescent="0.25">
      <c r="A20" s="228"/>
      <c r="B20" s="243"/>
      <c r="Z20" s="227"/>
    </row>
    <row r="21" spans="1:26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6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0</v>
      </c>
      <c r="O22" s="278" t="s">
        <v>42</v>
      </c>
      <c r="P22" s="278"/>
      <c r="Q22" s="278"/>
      <c r="R22" s="241" t="s">
        <v>43</v>
      </c>
      <c r="S22" s="240"/>
      <c r="T22" s="240"/>
      <c r="U22" s="240"/>
      <c r="V22" s="278"/>
      <c r="W22" s="278"/>
      <c r="X22" s="278"/>
      <c r="Y22" s="239"/>
      <c r="Z22" s="238"/>
    </row>
    <row r="23" spans="1:26" ht="18.600000000000001" customHeight="1" x14ac:dyDescent="0.25">
      <c r="A23" s="226"/>
      <c r="B23" s="389"/>
      <c r="C23" s="389"/>
      <c r="D23" s="389"/>
      <c r="E23" s="389"/>
      <c r="F23" s="389"/>
      <c r="G23" s="389"/>
      <c r="H23" s="389"/>
      <c r="I23" s="237"/>
      <c r="J23" s="237"/>
      <c r="K23" s="237"/>
      <c r="L23" s="237"/>
      <c r="M23" s="253">
        <v>0</v>
      </c>
      <c r="N23" s="390" t="s">
        <v>44</v>
      </c>
      <c r="O23" s="390"/>
      <c r="P23" s="390"/>
      <c r="Q23" s="390"/>
      <c r="R23" s="390"/>
      <c r="S23" s="390"/>
      <c r="T23" s="253">
        <v>9</v>
      </c>
      <c r="U23" s="237"/>
      <c r="V23" s="237"/>
      <c r="W23" s="237"/>
      <c r="X23" s="237"/>
      <c r="Y23" s="237"/>
      <c r="Z23" s="224"/>
    </row>
    <row r="24" spans="1:26" x14ac:dyDescent="0.25">
      <c r="C24" s="236"/>
    </row>
    <row r="25" spans="1:26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2.48</v>
      </c>
      <c r="R25" s="382"/>
      <c r="S25" s="382"/>
      <c r="T25" s="382"/>
      <c r="U25" s="251" t="s">
        <v>160</v>
      </c>
      <c r="V25" s="231"/>
      <c r="W25" s="231"/>
      <c r="X25" s="231"/>
      <c r="Y25" s="231"/>
      <c r="Z25" s="230"/>
    </row>
    <row r="26" spans="1:26" ht="13.8" customHeight="1" thickBot="1" x14ac:dyDescent="0.3">
      <c r="A26" s="228"/>
      <c r="Z26" s="227"/>
    </row>
    <row r="27" spans="1:26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6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6" ht="16.8" customHeight="1" x14ac:dyDescent="0.25">
      <c r="A29" s="228"/>
      <c r="B29" s="259">
        <v>1</v>
      </c>
      <c r="C29" s="260"/>
      <c r="D29" s="266" t="s">
        <v>172</v>
      </c>
      <c r="E29" s="267"/>
      <c r="F29" s="261"/>
      <c r="G29" s="262"/>
      <c r="H29" s="263"/>
      <c r="I29" s="264">
        <v>2.2890000000000001</v>
      </c>
      <c r="J29" s="264"/>
      <c r="K29" s="264"/>
      <c r="L29" s="265">
        <v>92.3</v>
      </c>
      <c r="M29" s="257"/>
      <c r="N29" s="258"/>
      <c r="O29" s="257">
        <v>7.7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6" ht="16.8" customHeight="1" x14ac:dyDescent="0.25">
      <c r="A30" s="228"/>
      <c r="B30" s="259">
        <v>2</v>
      </c>
      <c r="C30" s="260"/>
      <c r="D30" s="268"/>
      <c r="E30" s="269"/>
      <c r="F30" s="261"/>
      <c r="G30" s="262"/>
      <c r="H30" s="263"/>
      <c r="I30" s="264">
        <v>2.3439999999999999</v>
      </c>
      <c r="J30" s="264"/>
      <c r="K30" s="264"/>
      <c r="L30" s="265">
        <v>94.5</v>
      </c>
      <c r="M30" s="257"/>
      <c r="N30" s="258"/>
      <c r="O30" s="257">
        <v>5.5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6" ht="16.8" customHeight="1" x14ac:dyDescent="0.25">
      <c r="A31" s="228"/>
      <c r="B31" s="259">
        <v>3</v>
      </c>
      <c r="C31" s="260"/>
      <c r="D31" s="270"/>
      <c r="E31" s="271"/>
      <c r="F31" s="261"/>
      <c r="G31" s="262"/>
      <c r="H31" s="263"/>
      <c r="I31" s="264">
        <v>2.25</v>
      </c>
      <c r="J31" s="264"/>
      <c r="K31" s="264"/>
      <c r="L31" s="265">
        <v>90.7</v>
      </c>
      <c r="M31" s="257"/>
      <c r="N31" s="258"/>
      <c r="O31" s="257">
        <v>9.3000000000000007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6" ht="16.8" customHeight="1" x14ac:dyDescent="0.25">
      <c r="A32" s="228"/>
      <c r="B32" s="259">
        <v>4</v>
      </c>
      <c r="C32" s="260"/>
      <c r="D32" s="266" t="s">
        <v>171</v>
      </c>
      <c r="E32" s="267"/>
      <c r="F32" s="261"/>
      <c r="G32" s="262"/>
      <c r="H32" s="263"/>
      <c r="I32" s="264">
        <v>2.3330000000000002</v>
      </c>
      <c r="J32" s="264"/>
      <c r="K32" s="264"/>
      <c r="L32" s="265">
        <v>94.1</v>
      </c>
      <c r="M32" s="257"/>
      <c r="N32" s="258"/>
      <c r="O32" s="257">
        <v>5.9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8"/>
      <c r="E33" s="269"/>
      <c r="F33" s="261"/>
      <c r="G33" s="262"/>
      <c r="H33" s="263"/>
      <c r="I33" s="264">
        <v>2.3540000000000001</v>
      </c>
      <c r="J33" s="264"/>
      <c r="K33" s="264"/>
      <c r="L33" s="265">
        <v>94.9</v>
      </c>
      <c r="M33" s="257"/>
      <c r="N33" s="258"/>
      <c r="O33" s="257">
        <v>5.0999999999999996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70"/>
      <c r="E34" s="271"/>
      <c r="F34" s="261"/>
      <c r="G34" s="262"/>
      <c r="H34" s="263"/>
      <c r="I34" s="264">
        <v>2.302</v>
      </c>
      <c r="J34" s="264"/>
      <c r="K34" s="264"/>
      <c r="L34" s="265">
        <v>92.8</v>
      </c>
      <c r="M34" s="257"/>
      <c r="N34" s="258"/>
      <c r="O34" s="257">
        <v>7.2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6" t="s">
        <v>170</v>
      </c>
      <c r="E35" s="267"/>
      <c r="F35" s="261"/>
      <c r="G35" s="262"/>
      <c r="H35" s="263"/>
      <c r="I35" s="264">
        <v>2.3250000000000002</v>
      </c>
      <c r="J35" s="264"/>
      <c r="K35" s="264"/>
      <c r="L35" s="265">
        <v>93.8</v>
      </c>
      <c r="M35" s="257"/>
      <c r="N35" s="258"/>
      <c r="O35" s="257">
        <v>6.2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70"/>
      <c r="E36" s="271"/>
      <c r="F36" s="261"/>
      <c r="G36" s="262"/>
      <c r="H36" s="263"/>
      <c r="I36" s="264">
        <v>2.274</v>
      </c>
      <c r="J36" s="264"/>
      <c r="K36" s="264"/>
      <c r="L36" s="265">
        <v>91.7</v>
      </c>
      <c r="M36" s="257"/>
      <c r="N36" s="258"/>
      <c r="O36" s="257">
        <v>8.3000000000000007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6" t="s">
        <v>169</v>
      </c>
      <c r="E37" s="267"/>
      <c r="F37" s="261"/>
      <c r="G37" s="262"/>
      <c r="H37" s="263"/>
      <c r="I37" s="264">
        <v>2.3149999999999999</v>
      </c>
      <c r="J37" s="264"/>
      <c r="K37" s="264"/>
      <c r="L37" s="265">
        <v>93.3</v>
      </c>
      <c r="M37" s="257"/>
      <c r="N37" s="258"/>
      <c r="O37" s="257">
        <v>6.7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8"/>
      <c r="E38" s="269"/>
      <c r="F38" s="261"/>
      <c r="G38" s="262"/>
      <c r="H38" s="263"/>
      <c r="I38" s="264">
        <v>2.262</v>
      </c>
      <c r="J38" s="264"/>
      <c r="K38" s="264"/>
      <c r="L38" s="265">
        <v>91.2</v>
      </c>
      <c r="M38" s="257"/>
      <c r="N38" s="258"/>
      <c r="O38" s="257">
        <v>8.8000000000000007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8"/>
      <c r="E39" s="269"/>
      <c r="F39" s="261"/>
      <c r="G39" s="262"/>
      <c r="H39" s="263"/>
      <c r="I39" s="264">
        <v>2.2999999999999998</v>
      </c>
      <c r="J39" s="264"/>
      <c r="K39" s="264"/>
      <c r="L39" s="265">
        <v>92.7</v>
      </c>
      <c r="M39" s="257"/>
      <c r="N39" s="258"/>
      <c r="O39" s="257">
        <v>7.3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70"/>
      <c r="E40" s="271"/>
      <c r="F40" s="261"/>
      <c r="G40" s="262"/>
      <c r="H40" s="263"/>
      <c r="I40" s="264">
        <v>2.2869999999999999</v>
      </c>
      <c r="J40" s="264"/>
      <c r="K40" s="264"/>
      <c r="L40" s="265">
        <v>92.2</v>
      </c>
      <c r="M40" s="257"/>
      <c r="N40" s="258"/>
      <c r="O40" s="257">
        <v>7.8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/>
      <c r="C41" s="260"/>
      <c r="D41" s="261"/>
      <c r="E41" s="262"/>
      <c r="F41" s="261"/>
      <c r="G41" s="262"/>
      <c r="H41" s="263"/>
      <c r="I41" s="264"/>
      <c r="J41" s="264"/>
      <c r="K41" s="264"/>
      <c r="L41" s="265"/>
      <c r="M41" s="257"/>
      <c r="N41" s="258"/>
      <c r="O41" s="257"/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/>
      <c r="C42" s="260"/>
      <c r="D42" s="261"/>
      <c r="E42" s="262"/>
      <c r="F42" s="261"/>
      <c r="G42" s="262"/>
      <c r="H42" s="263"/>
      <c r="I42" s="264"/>
      <c r="J42" s="264"/>
      <c r="K42" s="264"/>
      <c r="L42" s="265"/>
      <c r="M42" s="257"/>
      <c r="N42" s="258"/>
      <c r="O42" s="257"/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/>
      <c r="C43" s="260"/>
      <c r="D43" s="261"/>
      <c r="E43" s="262"/>
      <c r="F43" s="261"/>
      <c r="G43" s="262"/>
      <c r="H43" s="263"/>
      <c r="I43" s="264"/>
      <c r="J43" s="264"/>
      <c r="K43" s="264"/>
      <c r="L43" s="265"/>
      <c r="M43" s="257"/>
      <c r="N43" s="258"/>
      <c r="O43" s="257"/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/>
      <c r="C44" s="260"/>
      <c r="D44" s="261"/>
      <c r="E44" s="262"/>
      <c r="F44" s="261"/>
      <c r="G44" s="262"/>
      <c r="H44" s="263"/>
      <c r="I44" s="264"/>
      <c r="J44" s="264"/>
      <c r="K44" s="264"/>
      <c r="L44" s="265"/>
      <c r="M44" s="257"/>
      <c r="N44" s="258"/>
      <c r="O44" s="257"/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/>
      <c r="C45" s="260"/>
      <c r="D45" s="261"/>
      <c r="E45" s="262"/>
      <c r="F45" s="261"/>
      <c r="G45" s="262"/>
      <c r="H45" s="263"/>
      <c r="I45" s="264"/>
      <c r="J45" s="264"/>
      <c r="K45" s="264"/>
      <c r="L45" s="265"/>
      <c r="M45" s="257"/>
      <c r="N45" s="258"/>
      <c r="O45" s="257"/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/>
      <c r="C46" s="260"/>
      <c r="D46" s="261"/>
      <c r="E46" s="262"/>
      <c r="F46" s="261"/>
      <c r="G46" s="262"/>
      <c r="H46" s="263"/>
      <c r="I46" s="264"/>
      <c r="J46" s="264"/>
      <c r="K46" s="264"/>
      <c r="L46" s="265"/>
      <c r="M46" s="257"/>
      <c r="N46" s="258"/>
      <c r="O46" s="257"/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/>
      <c r="C47" s="260"/>
      <c r="D47" s="261"/>
      <c r="E47" s="262"/>
      <c r="F47" s="261"/>
      <c r="G47" s="262"/>
      <c r="H47" s="263"/>
      <c r="I47" s="264"/>
      <c r="J47" s="264"/>
      <c r="K47" s="264"/>
      <c r="L47" s="265"/>
      <c r="M47" s="257"/>
      <c r="N47" s="258"/>
      <c r="O47" s="257"/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/>
      <c r="C48" s="260"/>
      <c r="D48" s="261"/>
      <c r="E48" s="262"/>
      <c r="F48" s="261"/>
      <c r="G48" s="262"/>
      <c r="H48" s="263"/>
      <c r="I48" s="264"/>
      <c r="J48" s="264"/>
      <c r="K48" s="264"/>
      <c r="L48" s="265"/>
      <c r="M48" s="257"/>
      <c r="N48" s="258"/>
      <c r="O48" s="257"/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259"/>
      <c r="C49" s="260"/>
      <c r="D49" s="261"/>
      <c r="E49" s="262"/>
      <c r="F49" s="261"/>
      <c r="G49" s="262"/>
      <c r="H49" s="263"/>
      <c r="I49" s="264"/>
      <c r="J49" s="264"/>
      <c r="K49" s="264"/>
      <c r="L49" s="265"/>
      <c r="M49" s="257"/>
      <c r="N49" s="258"/>
      <c r="O49" s="257"/>
      <c r="P49" s="257"/>
      <c r="Q49" s="258"/>
      <c r="R49" s="255"/>
      <c r="S49" s="255"/>
      <c r="T49" s="255"/>
      <c r="U49" s="255"/>
      <c r="V49" s="255"/>
      <c r="W49" s="255"/>
      <c r="X49" s="255"/>
      <c r="Y49" s="256"/>
      <c r="Z49" s="227"/>
    </row>
    <row r="50" spans="1:29" ht="16.5" customHeight="1" thickBot="1" x14ac:dyDescent="0.3">
      <c r="A50" s="228"/>
      <c r="B50" s="393" t="s">
        <v>62</v>
      </c>
      <c r="C50" s="394"/>
      <c r="D50" s="394"/>
      <c r="E50" s="394"/>
      <c r="F50" s="394"/>
      <c r="G50" s="394"/>
      <c r="H50" s="394"/>
      <c r="I50" s="272">
        <v>2.2999999999999998</v>
      </c>
      <c r="J50" s="272"/>
      <c r="K50" s="272"/>
      <c r="L50" s="339">
        <v>92.85</v>
      </c>
      <c r="M50" s="339"/>
      <c r="N50" s="339"/>
      <c r="O50" s="339">
        <v>7.15</v>
      </c>
      <c r="P50" s="339"/>
      <c r="Q50" s="339"/>
      <c r="R50" s="391"/>
      <c r="S50" s="391"/>
      <c r="T50" s="391"/>
      <c r="U50" s="391"/>
      <c r="V50" s="391"/>
      <c r="W50" s="391"/>
      <c r="X50" s="391"/>
      <c r="Y50" s="392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/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31"/>
      <c r="T54" s="231"/>
      <c r="U54" s="252"/>
      <c r="V54" s="217"/>
      <c r="W54" s="217"/>
      <c r="X54" s="217"/>
      <c r="Y54" s="217"/>
      <c r="Z54" s="216"/>
      <c r="AA54" s="202"/>
      <c r="AB54" s="202"/>
      <c r="AC54" s="202"/>
    </row>
    <row r="55" spans="1:29" ht="27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17">
    <mergeCell ref="R37:Y37"/>
    <mergeCell ref="R38:Y38"/>
    <mergeCell ref="O39:Q39"/>
    <mergeCell ref="R39:Y39"/>
    <mergeCell ref="B40:C40"/>
    <mergeCell ref="F40:H40"/>
    <mergeCell ref="I40:K40"/>
    <mergeCell ref="L40:N40"/>
    <mergeCell ref="O40:Q40"/>
    <mergeCell ref="R40:Y40"/>
    <mergeCell ref="B39:C39"/>
    <mergeCell ref="B37:C37"/>
    <mergeCell ref="F37:H37"/>
    <mergeCell ref="I37:K37"/>
    <mergeCell ref="L37:N37"/>
    <mergeCell ref="B38:C38"/>
    <mergeCell ref="F38:H38"/>
    <mergeCell ref="I38:K38"/>
    <mergeCell ref="L38:N38"/>
    <mergeCell ref="O38:Q38"/>
    <mergeCell ref="F39:H39"/>
    <mergeCell ref="I39:K39"/>
    <mergeCell ref="L39:N39"/>
    <mergeCell ref="O37:Q37"/>
    <mergeCell ref="L34:N34"/>
    <mergeCell ref="O34:Q34"/>
    <mergeCell ref="R34:Y34"/>
    <mergeCell ref="B33:C33"/>
    <mergeCell ref="R35:Y35"/>
    <mergeCell ref="B36:C36"/>
    <mergeCell ref="F36:H36"/>
    <mergeCell ref="I36:K36"/>
    <mergeCell ref="L36:N36"/>
    <mergeCell ref="O36:Q36"/>
    <mergeCell ref="R36:Y36"/>
    <mergeCell ref="B35:C35"/>
    <mergeCell ref="O35:Q35"/>
    <mergeCell ref="F35:H35"/>
    <mergeCell ref="I35:K35"/>
    <mergeCell ref="L35:N35"/>
    <mergeCell ref="A59:Q62"/>
    <mergeCell ref="R59:T62"/>
    <mergeCell ref="V60:Y61"/>
    <mergeCell ref="B30:C30"/>
    <mergeCell ref="F30:H30"/>
    <mergeCell ref="I30:K30"/>
    <mergeCell ref="L30:N30"/>
    <mergeCell ref="O30:Q30"/>
    <mergeCell ref="B32:C32"/>
    <mergeCell ref="F32:H32"/>
    <mergeCell ref="I32:K32"/>
    <mergeCell ref="L32:N32"/>
    <mergeCell ref="O32:Q32"/>
    <mergeCell ref="F33:H33"/>
    <mergeCell ref="I33:K33"/>
    <mergeCell ref="L33:N33"/>
    <mergeCell ref="O31:Q31"/>
    <mergeCell ref="R31:Y31"/>
    <mergeCell ref="R32:Y32"/>
    <mergeCell ref="O33:Q33"/>
    <mergeCell ref="R33:Y33"/>
    <mergeCell ref="B34:C34"/>
    <mergeCell ref="F34:H34"/>
    <mergeCell ref="I34:K34"/>
    <mergeCell ref="L51:Y51"/>
    <mergeCell ref="B50:H50"/>
    <mergeCell ref="I50:K50"/>
    <mergeCell ref="S13:Y13"/>
    <mergeCell ref="M14:R14"/>
    <mergeCell ref="V22:X22"/>
    <mergeCell ref="O28:Q28"/>
    <mergeCell ref="F27:H27"/>
    <mergeCell ref="R27:Y28"/>
    <mergeCell ref="I49:K49"/>
    <mergeCell ref="B51:H51"/>
    <mergeCell ref="O50:Q50"/>
    <mergeCell ref="D49:E49"/>
    <mergeCell ref="L28:N28"/>
    <mergeCell ref="B49:C49"/>
    <mergeCell ref="I51:K51"/>
    <mergeCell ref="B27:C27"/>
    <mergeCell ref="B28:C28"/>
    <mergeCell ref="B15:F15"/>
    <mergeCell ref="B29:C29"/>
    <mergeCell ref="F29:H29"/>
    <mergeCell ref="G15:L15"/>
    <mergeCell ref="B16:F16"/>
    <mergeCell ref="S14:Y14"/>
    <mergeCell ref="P6:T6"/>
    <mergeCell ref="I5:K5"/>
    <mergeCell ref="I6:K6"/>
    <mergeCell ref="L50:N50"/>
    <mergeCell ref="R50:Y50"/>
    <mergeCell ref="D27:E27"/>
    <mergeCell ref="D28:E28"/>
    <mergeCell ref="I27:K28"/>
    <mergeCell ref="L27:N27"/>
    <mergeCell ref="O27:Q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1:O11"/>
    <mergeCell ref="P11:R11"/>
    <mergeCell ref="S11:W11"/>
    <mergeCell ref="X11:Y11"/>
    <mergeCell ref="R49:Y49"/>
    <mergeCell ref="O49:Q49"/>
    <mergeCell ref="L49:N49"/>
    <mergeCell ref="I29:K29"/>
    <mergeCell ref="B21:H21"/>
    <mergeCell ref="I21:Y21"/>
    <mergeCell ref="B41:C41"/>
    <mergeCell ref="D41:E41"/>
    <mergeCell ref="F41:H41"/>
    <mergeCell ref="O29:Q29"/>
    <mergeCell ref="R29:Y29"/>
    <mergeCell ref="H25:P25"/>
    <mergeCell ref="O22:Q22"/>
    <mergeCell ref="Q25:T25"/>
    <mergeCell ref="B23:H23"/>
    <mergeCell ref="N23:S23"/>
    <mergeCell ref="B22:H22"/>
    <mergeCell ref="I22:M22"/>
    <mergeCell ref="R30:Y30"/>
    <mergeCell ref="B31:C31"/>
    <mergeCell ref="F31:H31"/>
    <mergeCell ref="I31:K31"/>
    <mergeCell ref="L31:N31"/>
    <mergeCell ref="L29:N29"/>
    <mergeCell ref="A55:Q55"/>
    <mergeCell ref="R55:T55"/>
    <mergeCell ref="U55:Z55"/>
    <mergeCell ref="A56:Q57"/>
    <mergeCell ref="R56:T58"/>
    <mergeCell ref="U56:Z58"/>
    <mergeCell ref="B13:F13"/>
    <mergeCell ref="G13:L13"/>
    <mergeCell ref="M10:R10"/>
    <mergeCell ref="G10:L10"/>
    <mergeCell ref="M13:R13"/>
    <mergeCell ref="M12:R12"/>
    <mergeCell ref="B10:F10"/>
    <mergeCell ref="S15:Y15"/>
    <mergeCell ref="M15:R15"/>
    <mergeCell ref="S10:Y10"/>
    <mergeCell ref="S12:Y12"/>
    <mergeCell ref="B14:F14"/>
    <mergeCell ref="G14:L14"/>
    <mergeCell ref="B11:F11"/>
    <mergeCell ref="G11:L11"/>
    <mergeCell ref="B12:F12"/>
    <mergeCell ref="G12:L12"/>
    <mergeCell ref="F49:H49"/>
    <mergeCell ref="R42:Y42"/>
    <mergeCell ref="B43:C43"/>
    <mergeCell ref="D43:E43"/>
    <mergeCell ref="F43:H43"/>
    <mergeCell ref="I43:K43"/>
    <mergeCell ref="L43:N43"/>
    <mergeCell ref="O43:Q43"/>
    <mergeCell ref="R43:Y43"/>
    <mergeCell ref="I41:K41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8:Y48"/>
    <mergeCell ref="D29:E31"/>
    <mergeCell ref="D32:E34"/>
    <mergeCell ref="D35:E36"/>
    <mergeCell ref="D37:E40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365-E02E-492D-9DF5-39A8E601C8EA}">
  <sheetPr>
    <pageSetUpPr fitToPage="1"/>
  </sheetPr>
  <dimension ref="A1:AN66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40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34</v>
      </c>
      <c r="J5" s="282"/>
      <c r="K5" s="283"/>
      <c r="L5" s="328" t="s">
        <v>4</v>
      </c>
      <c r="M5" s="329"/>
      <c r="N5" s="329"/>
      <c r="O5" s="330"/>
      <c r="P5" s="313" t="s">
        <v>168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80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168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106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79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78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168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162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29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31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77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167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4</v>
      </c>
      <c r="O22" s="278" t="s">
        <v>42</v>
      </c>
      <c r="P22" s="278"/>
      <c r="Q22" s="278"/>
      <c r="R22" s="241" t="s">
        <v>76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2.4350000000000001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1"/>
      <c r="E29" s="262"/>
      <c r="F29" s="261"/>
      <c r="G29" s="262"/>
      <c r="H29" s="263"/>
      <c r="I29" s="264">
        <v>2.298</v>
      </c>
      <c r="J29" s="264"/>
      <c r="K29" s="264"/>
      <c r="L29" s="265">
        <v>94.4</v>
      </c>
      <c r="M29" s="257"/>
      <c r="N29" s="258"/>
      <c r="O29" s="257">
        <v>5.6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1"/>
      <c r="E30" s="262"/>
      <c r="F30" s="261"/>
      <c r="G30" s="262"/>
      <c r="H30" s="263"/>
      <c r="I30" s="264">
        <v>2.3010000000000002</v>
      </c>
      <c r="J30" s="264"/>
      <c r="K30" s="264"/>
      <c r="L30" s="265">
        <v>94.5</v>
      </c>
      <c r="M30" s="257"/>
      <c r="N30" s="258"/>
      <c r="O30" s="257">
        <v>5.5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1"/>
      <c r="E31" s="262"/>
      <c r="F31" s="261"/>
      <c r="G31" s="262"/>
      <c r="H31" s="263"/>
      <c r="I31" s="264">
        <v>2.3109999999999999</v>
      </c>
      <c r="J31" s="264"/>
      <c r="K31" s="264"/>
      <c r="L31" s="265">
        <v>94.9</v>
      </c>
      <c r="M31" s="257"/>
      <c r="N31" s="258"/>
      <c r="O31" s="257">
        <v>5.0999999999999996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1"/>
      <c r="E32" s="262"/>
      <c r="F32" s="261"/>
      <c r="G32" s="262"/>
      <c r="H32" s="263"/>
      <c r="I32" s="264">
        <v>2.2930000000000001</v>
      </c>
      <c r="J32" s="264"/>
      <c r="K32" s="264"/>
      <c r="L32" s="265">
        <v>94.2</v>
      </c>
      <c r="M32" s="257"/>
      <c r="N32" s="258"/>
      <c r="O32" s="257">
        <v>5.8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1"/>
      <c r="E33" s="262"/>
      <c r="F33" s="261"/>
      <c r="G33" s="262"/>
      <c r="H33" s="263"/>
      <c r="I33" s="264">
        <v>2.2679999999999998</v>
      </c>
      <c r="J33" s="264"/>
      <c r="K33" s="264"/>
      <c r="L33" s="265">
        <v>93.1</v>
      </c>
      <c r="M33" s="257"/>
      <c r="N33" s="258"/>
      <c r="O33" s="257">
        <v>6.9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1"/>
      <c r="E34" s="262"/>
      <c r="F34" s="261"/>
      <c r="G34" s="262"/>
      <c r="H34" s="263"/>
      <c r="I34" s="264">
        <v>2.3130000000000002</v>
      </c>
      <c r="J34" s="264"/>
      <c r="K34" s="264"/>
      <c r="L34" s="265">
        <v>95</v>
      </c>
      <c r="M34" s="257"/>
      <c r="N34" s="258"/>
      <c r="O34" s="257">
        <v>5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1"/>
      <c r="E35" s="262"/>
      <c r="F35" s="261"/>
      <c r="G35" s="262"/>
      <c r="H35" s="263"/>
      <c r="I35" s="264">
        <v>2.2450000000000001</v>
      </c>
      <c r="J35" s="264"/>
      <c r="K35" s="264"/>
      <c r="L35" s="265">
        <v>92.2</v>
      </c>
      <c r="M35" s="257"/>
      <c r="N35" s="258"/>
      <c r="O35" s="257">
        <v>7.8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1"/>
      <c r="E36" s="262"/>
      <c r="F36" s="261"/>
      <c r="G36" s="262"/>
      <c r="H36" s="263"/>
      <c r="I36" s="264">
        <v>2.262</v>
      </c>
      <c r="J36" s="264"/>
      <c r="K36" s="264"/>
      <c r="L36" s="265">
        <v>92.9</v>
      </c>
      <c r="M36" s="257"/>
      <c r="N36" s="258"/>
      <c r="O36" s="257">
        <v>7.1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1"/>
      <c r="E37" s="262"/>
      <c r="F37" s="261"/>
      <c r="G37" s="262"/>
      <c r="H37" s="263"/>
      <c r="I37" s="264">
        <v>2.2400000000000002</v>
      </c>
      <c r="J37" s="264"/>
      <c r="K37" s="264"/>
      <c r="L37" s="265">
        <v>92</v>
      </c>
      <c r="M37" s="257"/>
      <c r="N37" s="258"/>
      <c r="O37" s="257">
        <v>8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1"/>
      <c r="E38" s="262"/>
      <c r="F38" s="261"/>
      <c r="G38" s="262"/>
      <c r="H38" s="263"/>
      <c r="I38" s="264">
        <v>2.2610000000000001</v>
      </c>
      <c r="J38" s="264"/>
      <c r="K38" s="264"/>
      <c r="L38" s="265">
        <v>92.9</v>
      </c>
      <c r="M38" s="257"/>
      <c r="N38" s="258"/>
      <c r="O38" s="257">
        <v>7.1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1"/>
      <c r="E39" s="262"/>
      <c r="F39" s="261"/>
      <c r="G39" s="262"/>
      <c r="H39" s="263"/>
      <c r="I39" s="264">
        <v>2.2480000000000002</v>
      </c>
      <c r="J39" s="264"/>
      <c r="K39" s="264"/>
      <c r="L39" s="265">
        <v>92.3</v>
      </c>
      <c r="M39" s="257"/>
      <c r="N39" s="258"/>
      <c r="O39" s="257">
        <v>7.7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61"/>
      <c r="E40" s="262"/>
      <c r="F40" s="261"/>
      <c r="G40" s="262"/>
      <c r="H40" s="263"/>
      <c r="I40" s="264">
        <v>2.2559999999999998</v>
      </c>
      <c r="J40" s="264"/>
      <c r="K40" s="264"/>
      <c r="L40" s="265">
        <v>92.6</v>
      </c>
      <c r="M40" s="257"/>
      <c r="N40" s="258"/>
      <c r="O40" s="257">
        <v>7.4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1"/>
      <c r="E41" s="262"/>
      <c r="F41" s="261"/>
      <c r="G41" s="262"/>
      <c r="H41" s="263"/>
      <c r="I41" s="264">
        <v>2.294</v>
      </c>
      <c r="J41" s="264"/>
      <c r="K41" s="264"/>
      <c r="L41" s="265">
        <v>94.2</v>
      </c>
      <c r="M41" s="257"/>
      <c r="N41" s="258"/>
      <c r="O41" s="257">
        <v>5.8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1"/>
      <c r="E42" s="262"/>
      <c r="F42" s="261"/>
      <c r="G42" s="262"/>
      <c r="H42" s="263"/>
      <c r="I42" s="264">
        <v>2.327</v>
      </c>
      <c r="J42" s="264"/>
      <c r="K42" s="264"/>
      <c r="L42" s="265">
        <v>95.6</v>
      </c>
      <c r="M42" s="257"/>
      <c r="N42" s="258"/>
      <c r="O42" s="257">
        <v>4.4000000000000004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61"/>
      <c r="E43" s="262"/>
      <c r="F43" s="261"/>
      <c r="G43" s="262"/>
      <c r="H43" s="263"/>
      <c r="I43" s="264">
        <v>2.319</v>
      </c>
      <c r="J43" s="264"/>
      <c r="K43" s="264"/>
      <c r="L43" s="265">
        <v>95.2</v>
      </c>
      <c r="M43" s="257"/>
      <c r="N43" s="258"/>
      <c r="O43" s="257">
        <v>4.8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>
        <v>16</v>
      </c>
      <c r="C44" s="260"/>
      <c r="D44" s="261"/>
      <c r="E44" s="262"/>
      <c r="F44" s="261"/>
      <c r="G44" s="262"/>
      <c r="H44" s="263"/>
      <c r="I44" s="264">
        <v>2.2570000000000001</v>
      </c>
      <c r="J44" s="264"/>
      <c r="K44" s="264"/>
      <c r="L44" s="265">
        <v>92.7</v>
      </c>
      <c r="M44" s="257"/>
      <c r="N44" s="258"/>
      <c r="O44" s="257">
        <v>7.3</v>
      </c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>
        <v>17</v>
      </c>
      <c r="C45" s="260"/>
      <c r="D45" s="261"/>
      <c r="E45" s="262"/>
      <c r="F45" s="261"/>
      <c r="G45" s="262"/>
      <c r="H45" s="263"/>
      <c r="I45" s="264">
        <v>2.2999999999999998</v>
      </c>
      <c r="J45" s="264"/>
      <c r="K45" s="264"/>
      <c r="L45" s="265">
        <v>94.5</v>
      </c>
      <c r="M45" s="257"/>
      <c r="N45" s="258"/>
      <c r="O45" s="257">
        <v>5.5</v>
      </c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>
        <v>18</v>
      </c>
      <c r="C46" s="260"/>
      <c r="D46" s="261"/>
      <c r="E46" s="262"/>
      <c r="F46" s="261"/>
      <c r="G46" s="262"/>
      <c r="H46" s="263"/>
      <c r="I46" s="264">
        <v>2.2999999999999998</v>
      </c>
      <c r="J46" s="264"/>
      <c r="K46" s="264"/>
      <c r="L46" s="265">
        <v>94.5</v>
      </c>
      <c r="M46" s="257"/>
      <c r="N46" s="258"/>
      <c r="O46" s="257">
        <v>5.5</v>
      </c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>
        <v>19</v>
      </c>
      <c r="C47" s="260"/>
      <c r="D47" s="261"/>
      <c r="E47" s="262"/>
      <c r="F47" s="261"/>
      <c r="G47" s="262"/>
      <c r="H47" s="263"/>
      <c r="I47" s="264">
        <v>2.3330000000000002</v>
      </c>
      <c r="J47" s="264"/>
      <c r="K47" s="264"/>
      <c r="L47" s="265">
        <v>95.8</v>
      </c>
      <c r="M47" s="257"/>
      <c r="N47" s="258"/>
      <c r="O47" s="257">
        <v>4.2</v>
      </c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>
        <v>20</v>
      </c>
      <c r="C48" s="260"/>
      <c r="D48" s="261"/>
      <c r="E48" s="262"/>
      <c r="F48" s="261"/>
      <c r="G48" s="262"/>
      <c r="H48" s="263"/>
      <c r="I48" s="264">
        <v>2.3260000000000001</v>
      </c>
      <c r="J48" s="264"/>
      <c r="K48" s="264"/>
      <c r="L48" s="265">
        <v>95.5</v>
      </c>
      <c r="M48" s="257"/>
      <c r="N48" s="258"/>
      <c r="O48" s="257">
        <v>4.5</v>
      </c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6.8" customHeight="1" x14ac:dyDescent="0.25">
      <c r="A49" s="228"/>
      <c r="B49" s="259">
        <v>21</v>
      </c>
      <c r="C49" s="260"/>
      <c r="D49" s="261"/>
      <c r="E49" s="262"/>
      <c r="F49" s="261"/>
      <c r="G49" s="262"/>
      <c r="H49" s="263"/>
      <c r="I49" s="264">
        <v>2.294</v>
      </c>
      <c r="J49" s="264"/>
      <c r="K49" s="264"/>
      <c r="L49" s="265">
        <v>94.2</v>
      </c>
      <c r="M49" s="257"/>
      <c r="N49" s="258"/>
      <c r="O49" s="257">
        <v>5.8</v>
      </c>
      <c r="P49" s="257"/>
      <c r="Q49" s="258"/>
      <c r="R49" s="255"/>
      <c r="S49" s="255"/>
      <c r="T49" s="255"/>
      <c r="U49" s="255"/>
      <c r="V49" s="255"/>
      <c r="W49" s="255"/>
      <c r="X49" s="255"/>
      <c r="Y49" s="256"/>
      <c r="Z49" s="227"/>
    </row>
    <row r="50" spans="1:29" ht="16.8" customHeight="1" x14ac:dyDescent="0.25">
      <c r="A50" s="228"/>
      <c r="B50" s="259">
        <v>22</v>
      </c>
      <c r="C50" s="260"/>
      <c r="D50" s="261"/>
      <c r="E50" s="262"/>
      <c r="F50" s="261"/>
      <c r="G50" s="262"/>
      <c r="H50" s="263"/>
      <c r="I50" s="264">
        <v>2.331</v>
      </c>
      <c r="J50" s="264"/>
      <c r="K50" s="264"/>
      <c r="L50" s="265">
        <v>95.7</v>
      </c>
      <c r="M50" s="257"/>
      <c r="N50" s="258"/>
      <c r="O50" s="257">
        <v>4.3</v>
      </c>
      <c r="P50" s="257"/>
      <c r="Q50" s="258"/>
      <c r="R50" s="255"/>
      <c r="S50" s="255"/>
      <c r="T50" s="255"/>
      <c r="U50" s="255"/>
      <c r="V50" s="255"/>
      <c r="W50" s="255"/>
      <c r="X50" s="255"/>
      <c r="Y50" s="256"/>
      <c r="Z50" s="227"/>
    </row>
    <row r="51" spans="1:29" ht="16.8" customHeight="1" x14ac:dyDescent="0.25">
      <c r="A51" s="228"/>
      <c r="B51" s="259">
        <v>23</v>
      </c>
      <c r="C51" s="260"/>
      <c r="D51" s="261"/>
      <c r="E51" s="262"/>
      <c r="F51" s="261"/>
      <c r="G51" s="262"/>
      <c r="H51" s="263"/>
      <c r="I51" s="264">
        <v>2.2890000000000001</v>
      </c>
      <c r="J51" s="264"/>
      <c r="K51" s="264"/>
      <c r="L51" s="265">
        <v>94</v>
      </c>
      <c r="M51" s="257"/>
      <c r="N51" s="258"/>
      <c r="O51" s="257">
        <v>6</v>
      </c>
      <c r="P51" s="257"/>
      <c r="Q51" s="258"/>
      <c r="R51" s="255"/>
      <c r="S51" s="255"/>
      <c r="T51" s="255"/>
      <c r="U51" s="255"/>
      <c r="V51" s="255"/>
      <c r="W51" s="255"/>
      <c r="X51" s="255"/>
      <c r="Y51" s="256"/>
      <c r="Z51" s="227"/>
    </row>
    <row r="52" spans="1:29" ht="17.25" customHeight="1" x14ac:dyDescent="0.25">
      <c r="A52" s="228"/>
      <c r="B52" s="372"/>
      <c r="C52" s="373"/>
      <c r="D52" s="350"/>
      <c r="E52" s="351"/>
      <c r="F52" s="350"/>
      <c r="G52" s="351"/>
      <c r="H52" s="352"/>
      <c r="I52" s="349"/>
      <c r="J52" s="349"/>
      <c r="K52" s="349"/>
      <c r="L52" s="357"/>
      <c r="M52" s="355"/>
      <c r="N52" s="356"/>
      <c r="O52" s="355"/>
      <c r="P52" s="355"/>
      <c r="Q52" s="356"/>
      <c r="R52" s="353"/>
      <c r="S52" s="353"/>
      <c r="T52" s="353"/>
      <c r="U52" s="353"/>
      <c r="V52" s="353"/>
      <c r="W52" s="353"/>
      <c r="X52" s="353"/>
      <c r="Y52" s="354"/>
      <c r="Z52" s="227"/>
    </row>
    <row r="53" spans="1:29" ht="16.5" customHeight="1" thickBot="1" x14ac:dyDescent="0.3">
      <c r="A53" s="228"/>
      <c r="B53" s="377" t="s">
        <v>62</v>
      </c>
      <c r="C53" s="378"/>
      <c r="D53" s="378"/>
      <c r="E53" s="378"/>
      <c r="F53" s="378"/>
      <c r="G53" s="378"/>
      <c r="H53" s="378"/>
      <c r="I53" s="272">
        <v>2.29</v>
      </c>
      <c r="J53" s="272"/>
      <c r="K53" s="272"/>
      <c r="L53" s="339">
        <v>94.04</v>
      </c>
      <c r="M53" s="339"/>
      <c r="N53" s="339"/>
      <c r="O53" s="339">
        <v>5.96</v>
      </c>
      <c r="P53" s="339"/>
      <c r="Q53" s="339"/>
      <c r="R53" s="379"/>
      <c r="S53" s="379"/>
      <c r="T53" s="379"/>
      <c r="U53" s="379"/>
      <c r="V53" s="379"/>
      <c r="W53" s="379"/>
      <c r="X53" s="379"/>
      <c r="Y53" s="380"/>
      <c r="Z53" s="227"/>
    </row>
    <row r="54" spans="1:29" ht="25.5" customHeight="1" thickBot="1" x14ac:dyDescent="0.3">
      <c r="A54" s="228"/>
      <c r="B54" s="337" t="s">
        <v>63</v>
      </c>
      <c r="C54" s="338"/>
      <c r="D54" s="338"/>
      <c r="E54" s="338"/>
      <c r="F54" s="338"/>
      <c r="G54" s="338"/>
      <c r="H54" s="338"/>
      <c r="I54" s="374">
        <v>100</v>
      </c>
      <c r="J54" s="374"/>
      <c r="K54" s="374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6"/>
      <c r="Z54" s="227"/>
    </row>
    <row r="55" spans="1:29" ht="15" customHeight="1" x14ac:dyDescent="0.25">
      <c r="A55" s="226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4"/>
    </row>
    <row r="56" spans="1:29" ht="16.5" customHeight="1" x14ac:dyDescent="0.25">
      <c r="S56" s="223"/>
      <c r="T56" s="223"/>
      <c r="U56" s="223"/>
    </row>
    <row r="57" spans="1:29" ht="15.6" customHeight="1" x14ac:dyDescent="0.25">
      <c r="A57" s="222" t="s">
        <v>64</v>
      </c>
      <c r="B57" s="221" t="s">
        <v>65</v>
      </c>
      <c r="C57" s="220"/>
      <c r="D57" s="220"/>
      <c r="E57" s="220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U57" s="218"/>
      <c r="V57" s="217"/>
      <c r="W57" s="217"/>
      <c r="X57" s="217"/>
      <c r="Y57" s="217"/>
      <c r="Z57" s="216"/>
      <c r="AA57" s="202"/>
      <c r="AB57" s="202"/>
      <c r="AC57" s="202"/>
    </row>
    <row r="58" spans="1:29" ht="26.4" customHeight="1" x14ac:dyDescent="0.25">
      <c r="A58" s="343" t="s">
        <v>150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5"/>
      <c r="R58" s="284" t="s">
        <v>67</v>
      </c>
      <c r="S58" s="285"/>
      <c r="T58" s="286"/>
      <c r="U58" s="358" t="s">
        <v>73</v>
      </c>
      <c r="V58" s="359"/>
      <c r="W58" s="359"/>
      <c r="X58" s="360"/>
      <c r="Y58" s="360"/>
      <c r="Z58" s="361"/>
      <c r="AA58" s="202"/>
      <c r="AB58" s="202"/>
      <c r="AC58" s="202"/>
    </row>
    <row r="59" spans="1:29" ht="15.6" customHeight="1" x14ac:dyDescent="0.25">
      <c r="A59" s="287" t="s">
        <v>74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9"/>
      <c r="R59" s="284" t="s">
        <v>68</v>
      </c>
      <c r="S59" s="285"/>
      <c r="T59" s="286"/>
      <c r="U59" s="266" t="s">
        <v>75</v>
      </c>
      <c r="V59" s="362"/>
      <c r="W59" s="362"/>
      <c r="X59" s="363"/>
      <c r="Y59" s="363"/>
      <c r="Z59" s="364"/>
      <c r="AA59" s="202"/>
      <c r="AB59" s="202"/>
      <c r="AC59" s="202"/>
    </row>
    <row r="60" spans="1:29" ht="15.6" customHeight="1" x14ac:dyDescent="0.25">
      <c r="A60" s="290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2"/>
      <c r="R60" s="284"/>
      <c r="S60" s="285"/>
      <c r="T60" s="286"/>
      <c r="U60" s="268"/>
      <c r="V60" s="365"/>
      <c r="W60" s="365"/>
      <c r="X60" s="366"/>
      <c r="Y60" s="366"/>
      <c r="Z60" s="367"/>
      <c r="AA60" s="202"/>
      <c r="AB60" s="202"/>
      <c r="AC60" s="202"/>
    </row>
    <row r="61" spans="1:29" ht="15.6" customHeight="1" x14ac:dyDescent="0.25">
      <c r="A61" s="215" t="s">
        <v>149</v>
      </c>
      <c r="B61" s="214" t="s">
        <v>70</v>
      </c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13"/>
      <c r="R61" s="284"/>
      <c r="S61" s="285"/>
      <c r="T61" s="286"/>
      <c r="U61" s="270"/>
      <c r="V61" s="368"/>
      <c r="W61" s="368"/>
      <c r="X61" s="369"/>
      <c r="Y61" s="369"/>
      <c r="Z61" s="370"/>
      <c r="AA61" s="202"/>
      <c r="AB61" s="202"/>
      <c r="AC61" s="202"/>
    </row>
    <row r="62" spans="1:29" ht="15.6" customHeight="1" x14ac:dyDescent="0.25">
      <c r="A62" s="331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3"/>
      <c r="R62" s="284" t="s">
        <v>71</v>
      </c>
      <c r="S62" s="285"/>
      <c r="T62" s="286"/>
      <c r="U62" s="212"/>
      <c r="V62" s="211"/>
      <c r="W62" s="211"/>
      <c r="X62" s="211"/>
      <c r="Y62" s="211"/>
      <c r="Z62" s="210"/>
      <c r="AA62" s="202"/>
      <c r="AB62" s="202"/>
      <c r="AC62" s="202"/>
    </row>
    <row r="63" spans="1:29" ht="15.6" customHeight="1" x14ac:dyDescent="0.25">
      <c r="A63" s="331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3"/>
      <c r="R63" s="284"/>
      <c r="S63" s="285"/>
      <c r="T63" s="286"/>
      <c r="U63" s="209"/>
      <c r="V63" s="365"/>
      <c r="W63" s="365"/>
      <c r="X63" s="365"/>
      <c r="Y63" s="365"/>
      <c r="Z63" s="208"/>
      <c r="AA63" s="202"/>
      <c r="AB63" s="202"/>
      <c r="AC63" s="202"/>
    </row>
    <row r="64" spans="1:29" ht="15.6" customHeight="1" x14ac:dyDescent="0.25">
      <c r="A64" s="331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3"/>
      <c r="R64" s="284"/>
      <c r="S64" s="285"/>
      <c r="T64" s="286"/>
      <c r="U64" s="209"/>
      <c r="V64" s="365"/>
      <c r="W64" s="365"/>
      <c r="X64" s="365"/>
      <c r="Y64" s="365"/>
      <c r="Z64" s="208"/>
      <c r="AA64" s="202"/>
      <c r="AB64" s="202"/>
      <c r="AC64" s="202"/>
    </row>
    <row r="65" spans="1:29" ht="15.6" customHeight="1" x14ac:dyDescent="0.25">
      <c r="A65" s="334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6"/>
      <c r="R65" s="346"/>
      <c r="S65" s="347"/>
      <c r="T65" s="348"/>
      <c r="U65" s="207"/>
      <c r="V65" s="206"/>
      <c r="W65" s="206"/>
      <c r="X65" s="206"/>
      <c r="Y65" s="206"/>
      <c r="Z65" s="205"/>
      <c r="AA65" s="202"/>
      <c r="AB65" s="202"/>
      <c r="AC65" s="202"/>
    </row>
    <row r="66" spans="1:29" ht="16.5" customHeight="1" x14ac:dyDescent="0.25">
      <c r="R66" s="204"/>
      <c r="S66" s="204"/>
      <c r="T66" s="204"/>
      <c r="U66" s="203"/>
      <c r="V66" s="203"/>
      <c r="W66" s="203"/>
      <c r="X66" s="203"/>
      <c r="Y66" s="203"/>
      <c r="Z66" s="203"/>
      <c r="AA66" s="202"/>
      <c r="AB66" s="202"/>
      <c r="AC66" s="202"/>
    </row>
  </sheetData>
  <sheetProtection formatCells="0" formatColumns="0" formatRows="0" insertColumns="0" insertRows="0" insertHyperlinks="0" deleteColumns="0" deleteRows="0" selectLockedCells="1" sort="0" autoFilter="0" pivotTables="0"/>
  <mergeCells count="244">
    <mergeCell ref="B21:H21"/>
    <mergeCell ref="I21:Y21"/>
    <mergeCell ref="G15:L15"/>
    <mergeCell ref="S15:Y15"/>
    <mergeCell ref="M15:R15"/>
    <mergeCell ref="A58:Q58"/>
    <mergeCell ref="B27:C27"/>
    <mergeCell ref="B28:C28"/>
    <mergeCell ref="D27:E27"/>
    <mergeCell ref="D28:E28"/>
    <mergeCell ref="D52:E52"/>
    <mergeCell ref="B52:C52"/>
    <mergeCell ref="I54:K54"/>
    <mergeCell ref="L54:Y54"/>
    <mergeCell ref="B53:H53"/>
    <mergeCell ref="O52:Q52"/>
    <mergeCell ref="L52:N52"/>
    <mergeCell ref="R53:Y53"/>
    <mergeCell ref="U58:Z58"/>
    <mergeCell ref="O30:Q30"/>
    <mergeCell ref="R30:Y30"/>
    <mergeCell ref="R31:Y31"/>
    <mergeCell ref="O32:Q32"/>
    <mergeCell ref="R32:Y32"/>
    <mergeCell ref="A62:Q65"/>
    <mergeCell ref="B54:H54"/>
    <mergeCell ref="O53:Q53"/>
    <mergeCell ref="L53:N53"/>
    <mergeCell ref="F36:H36"/>
    <mergeCell ref="I36:K36"/>
    <mergeCell ref="L36:N36"/>
    <mergeCell ref="O36:Q36"/>
    <mergeCell ref="B41:C41"/>
    <mergeCell ref="D41:E41"/>
    <mergeCell ref="F41:H41"/>
    <mergeCell ref="I41:K41"/>
    <mergeCell ref="L41:N41"/>
    <mergeCell ref="O41:Q41"/>
    <mergeCell ref="B47:C47"/>
    <mergeCell ref="D47:E47"/>
    <mergeCell ref="F47:H47"/>
    <mergeCell ref="I47:K47"/>
    <mergeCell ref="L47:N47"/>
    <mergeCell ref="O47:Q47"/>
    <mergeCell ref="I27:K28"/>
    <mergeCell ref="P6:T6"/>
    <mergeCell ref="I5:K5"/>
    <mergeCell ref="I6:K6"/>
    <mergeCell ref="M11:O11"/>
    <mergeCell ref="R58:T58"/>
    <mergeCell ref="A59:Q60"/>
    <mergeCell ref="R59:T61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59:Z61"/>
    <mergeCell ref="V63:Y64"/>
    <mergeCell ref="R29:Y29"/>
    <mergeCell ref="F27:H27"/>
    <mergeCell ref="R62:T65"/>
    <mergeCell ref="I52:K52"/>
    <mergeCell ref="F52:H52"/>
    <mergeCell ref="R52:Y52"/>
    <mergeCell ref="B30:C30"/>
    <mergeCell ref="D30:E30"/>
    <mergeCell ref="F30:H30"/>
    <mergeCell ref="I30:K30"/>
    <mergeCell ref="L30:N30"/>
    <mergeCell ref="I53:K53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O34:Q34"/>
    <mergeCell ref="F34:H34"/>
    <mergeCell ref="I34:K34"/>
    <mergeCell ref="L34:N34"/>
    <mergeCell ref="O33:Q33"/>
    <mergeCell ref="B33:C33"/>
    <mergeCell ref="D33:E33"/>
    <mergeCell ref="F33:H33"/>
    <mergeCell ref="I33:K33"/>
    <mergeCell ref="L33:N33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R41:Y41"/>
    <mergeCell ref="B40:C40"/>
    <mergeCell ref="D40:E40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B42:C42"/>
    <mergeCell ref="D42:E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R47:Y47"/>
    <mergeCell ref="B46:C46"/>
    <mergeCell ref="D46:E46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R48:Y48"/>
    <mergeCell ref="B48:C48"/>
    <mergeCell ref="D48:E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3A3E-4FFD-47F9-BBB0-D9193170BF83}">
  <sheetPr>
    <pageSetUpPr fitToPage="1"/>
  </sheetPr>
  <dimension ref="A1:AN63"/>
  <sheetViews>
    <sheetView workbookViewId="0">
      <selection activeCell="AD61" sqref="AD61"/>
    </sheetView>
  </sheetViews>
  <sheetFormatPr baseColWidth="10" defaultColWidth="11.44140625" defaultRowHeight="13.2" x14ac:dyDescent="0.25"/>
  <cols>
    <col min="1" max="26" width="5.109375" style="201" customWidth="1"/>
    <col min="27" max="27" width="8.33203125" style="201" customWidth="1"/>
    <col min="28" max="28" width="11.44140625" style="201"/>
  </cols>
  <sheetData>
    <row r="1" spans="1:40" x14ac:dyDescent="0.25">
      <c r="A1" s="299"/>
      <c r="B1" s="300"/>
      <c r="C1" s="300"/>
      <c r="D1" s="300"/>
      <c r="E1" s="300"/>
      <c r="F1" s="301"/>
      <c r="G1" s="308" t="s">
        <v>0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10"/>
      <c r="U1" s="316" t="s">
        <v>165</v>
      </c>
      <c r="V1" s="317"/>
      <c r="W1" s="317"/>
      <c r="X1" s="317"/>
      <c r="Y1" s="317"/>
      <c r="Z1" s="318"/>
    </row>
    <row r="2" spans="1:40" x14ac:dyDescent="0.25">
      <c r="A2" s="302"/>
      <c r="B2" s="303"/>
      <c r="C2" s="303"/>
      <c r="D2" s="303"/>
      <c r="E2" s="303"/>
      <c r="F2" s="304"/>
      <c r="G2" s="325" t="s">
        <v>164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7"/>
      <c r="U2" s="319"/>
      <c r="V2" s="320"/>
      <c r="W2" s="320"/>
      <c r="X2" s="320"/>
      <c r="Y2" s="320"/>
      <c r="Z2" s="321"/>
    </row>
    <row r="3" spans="1:40" x14ac:dyDescent="0.25">
      <c r="A3" s="302"/>
      <c r="B3" s="303"/>
      <c r="C3" s="303"/>
      <c r="D3" s="303"/>
      <c r="E3" s="303"/>
      <c r="F3" s="304"/>
      <c r="G3" s="325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7"/>
      <c r="U3" s="319"/>
      <c r="V3" s="320"/>
      <c r="W3" s="320"/>
      <c r="X3" s="320"/>
      <c r="Y3" s="320"/>
      <c r="Z3" s="321"/>
    </row>
    <row r="4" spans="1:40" x14ac:dyDescent="0.25">
      <c r="A4" s="302"/>
      <c r="B4" s="303"/>
      <c r="C4" s="303"/>
      <c r="D4" s="303"/>
      <c r="E4" s="303"/>
      <c r="F4" s="304"/>
      <c r="G4" s="325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7"/>
      <c r="U4" s="319"/>
      <c r="V4" s="320"/>
      <c r="W4" s="320"/>
      <c r="X4" s="320"/>
      <c r="Y4" s="320"/>
      <c r="Z4" s="321"/>
    </row>
    <row r="5" spans="1:40" ht="15" customHeight="1" x14ac:dyDescent="0.25">
      <c r="A5" s="302"/>
      <c r="B5" s="303"/>
      <c r="C5" s="303"/>
      <c r="D5" s="303"/>
      <c r="E5" s="303"/>
      <c r="F5" s="304"/>
      <c r="G5" s="287" t="s">
        <v>2</v>
      </c>
      <c r="H5" s="288"/>
      <c r="I5" s="282">
        <v>33</v>
      </c>
      <c r="J5" s="282"/>
      <c r="K5" s="283"/>
      <c r="L5" s="328" t="s">
        <v>4</v>
      </c>
      <c r="M5" s="329"/>
      <c r="N5" s="329"/>
      <c r="O5" s="330"/>
      <c r="P5" s="313" t="s">
        <v>163</v>
      </c>
      <c r="Q5" s="314"/>
      <c r="R5" s="314"/>
      <c r="S5" s="314"/>
      <c r="T5" s="315"/>
      <c r="U5" s="319"/>
      <c r="V5" s="320"/>
      <c r="W5" s="320"/>
      <c r="X5" s="320"/>
      <c r="Y5" s="320"/>
      <c r="Z5" s="321"/>
    </row>
    <row r="6" spans="1:40" x14ac:dyDescent="0.25">
      <c r="A6" s="305"/>
      <c r="B6" s="306"/>
      <c r="C6" s="306"/>
      <c r="D6" s="306"/>
      <c r="E6" s="306"/>
      <c r="F6" s="307"/>
      <c r="G6" s="226"/>
      <c r="H6" s="250"/>
      <c r="I6" s="280" t="s">
        <v>6</v>
      </c>
      <c r="J6" s="280"/>
      <c r="K6" s="280"/>
      <c r="L6" s="280" t="s">
        <v>7</v>
      </c>
      <c r="M6" s="280"/>
      <c r="N6" s="280"/>
      <c r="O6" s="280"/>
      <c r="P6" s="280" t="s">
        <v>8</v>
      </c>
      <c r="Q6" s="280"/>
      <c r="R6" s="280"/>
      <c r="S6" s="280"/>
      <c r="T6" s="281"/>
      <c r="U6" s="322"/>
      <c r="V6" s="323"/>
      <c r="W6" s="323"/>
      <c r="X6" s="323"/>
      <c r="Y6" s="323"/>
      <c r="Z6" s="324"/>
    </row>
    <row r="7" spans="1:40" ht="36.75" customHeight="1" x14ac:dyDescent="0.25">
      <c r="A7" s="311" t="s">
        <v>9</v>
      </c>
      <c r="B7" s="311"/>
      <c r="C7" s="311"/>
      <c r="D7" s="311"/>
      <c r="E7" s="311"/>
      <c r="F7" s="311"/>
      <c r="G7" s="312" t="s">
        <v>156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40" ht="15.6" customHeight="1" x14ac:dyDescent="0.25">
      <c r="A8" s="235" t="s">
        <v>11</v>
      </c>
      <c r="B8" s="234" t="s">
        <v>12</v>
      </c>
      <c r="C8" s="231"/>
      <c r="D8" s="233"/>
      <c r="E8" s="233"/>
      <c r="F8" s="233"/>
      <c r="G8" s="233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0"/>
    </row>
    <row r="9" spans="1:40" ht="6" customHeight="1" x14ac:dyDescent="0.25">
      <c r="A9" s="228"/>
      <c r="D9" s="249"/>
      <c r="E9" s="249"/>
      <c r="F9" s="249"/>
      <c r="G9" s="249"/>
      <c r="Z9" s="227"/>
    </row>
    <row r="10" spans="1:40" ht="15" customHeight="1" x14ac:dyDescent="0.25">
      <c r="A10" s="228"/>
      <c r="B10" s="274" t="s">
        <v>13</v>
      </c>
      <c r="C10" s="274"/>
      <c r="D10" s="274"/>
      <c r="E10" s="274"/>
      <c r="F10" s="274"/>
      <c r="G10" s="276" t="s">
        <v>14</v>
      </c>
      <c r="H10" s="276"/>
      <c r="I10" s="276"/>
      <c r="J10" s="276"/>
      <c r="K10" s="276"/>
      <c r="L10" s="276"/>
      <c r="M10" s="274" t="s">
        <v>15</v>
      </c>
      <c r="N10" s="274"/>
      <c r="O10" s="274"/>
      <c r="P10" s="274"/>
      <c r="Q10" s="274"/>
      <c r="R10" s="274"/>
      <c r="S10" s="279" t="s">
        <v>16</v>
      </c>
      <c r="T10" s="279"/>
      <c r="U10" s="279"/>
      <c r="V10" s="279"/>
      <c r="W10" s="279"/>
      <c r="X10" s="279"/>
      <c r="Y10" s="279"/>
      <c r="Z10" s="238"/>
    </row>
    <row r="11" spans="1:40" ht="15" customHeight="1" x14ac:dyDescent="0.25">
      <c r="A11" s="228"/>
      <c r="B11" s="274" t="s">
        <v>17</v>
      </c>
      <c r="C11" s="274"/>
      <c r="D11" s="274"/>
      <c r="E11" s="274"/>
      <c r="F11" s="274"/>
      <c r="G11" s="276" t="s">
        <v>163</v>
      </c>
      <c r="H11" s="276"/>
      <c r="I11" s="276"/>
      <c r="J11" s="276"/>
      <c r="K11" s="276"/>
      <c r="L11" s="276"/>
      <c r="M11" s="274" t="s">
        <v>18</v>
      </c>
      <c r="N11" s="274"/>
      <c r="O11" s="274"/>
      <c r="P11" s="273">
        <v>157</v>
      </c>
      <c r="Q11" s="273"/>
      <c r="R11" s="273"/>
      <c r="S11" s="274" t="s">
        <v>19</v>
      </c>
      <c r="T11" s="274"/>
      <c r="U11" s="274"/>
      <c r="V11" s="274"/>
      <c r="W11" s="274"/>
      <c r="X11" s="273" t="s">
        <v>100</v>
      </c>
      <c r="Y11" s="273"/>
      <c r="Z11" s="238"/>
    </row>
    <row r="12" spans="1:40" ht="15" customHeight="1" x14ac:dyDescent="0.25">
      <c r="A12" s="228"/>
      <c r="B12" s="274" t="s">
        <v>21</v>
      </c>
      <c r="C12" s="274"/>
      <c r="D12" s="274"/>
      <c r="E12" s="274"/>
      <c r="F12" s="274"/>
      <c r="G12" s="276" t="s">
        <v>99</v>
      </c>
      <c r="H12" s="276"/>
      <c r="I12" s="276"/>
      <c r="J12" s="276"/>
      <c r="K12" s="276"/>
      <c r="L12" s="276"/>
      <c r="M12" s="274" t="s">
        <v>23</v>
      </c>
      <c r="N12" s="274"/>
      <c r="O12" s="274"/>
      <c r="P12" s="274"/>
      <c r="Q12" s="274"/>
      <c r="R12" s="274"/>
      <c r="S12" s="279" t="s">
        <v>24</v>
      </c>
      <c r="T12" s="279"/>
      <c r="U12" s="279"/>
      <c r="V12" s="279"/>
      <c r="W12" s="279"/>
      <c r="X12" s="279"/>
      <c r="Y12" s="279"/>
      <c r="Z12" s="238"/>
    </row>
    <row r="13" spans="1:40" ht="15" customHeight="1" x14ac:dyDescent="0.25">
      <c r="A13" s="228"/>
      <c r="B13" s="274" t="s">
        <v>25</v>
      </c>
      <c r="C13" s="274"/>
      <c r="D13" s="274"/>
      <c r="E13" s="274"/>
      <c r="F13" s="274"/>
      <c r="G13" s="275" t="s">
        <v>163</v>
      </c>
      <c r="H13" s="276"/>
      <c r="I13" s="276"/>
      <c r="J13" s="276"/>
      <c r="K13" s="276"/>
      <c r="L13" s="276"/>
      <c r="M13" s="274" t="s">
        <v>26</v>
      </c>
      <c r="N13" s="274"/>
      <c r="O13" s="274"/>
      <c r="P13" s="274"/>
      <c r="Q13" s="274"/>
      <c r="R13" s="274"/>
      <c r="S13" s="274" t="s">
        <v>162</v>
      </c>
      <c r="T13" s="274"/>
      <c r="U13" s="274"/>
      <c r="V13" s="274"/>
      <c r="W13" s="274"/>
      <c r="X13" s="274"/>
      <c r="Y13" s="274"/>
      <c r="Z13" s="238"/>
    </row>
    <row r="14" spans="1:40" ht="15" customHeight="1" x14ac:dyDescent="0.25">
      <c r="A14" s="228"/>
      <c r="B14" s="274" t="s">
        <v>28</v>
      </c>
      <c r="C14" s="274"/>
      <c r="D14" s="274"/>
      <c r="E14" s="274"/>
      <c r="F14" s="274"/>
      <c r="G14" s="276" t="s">
        <v>29</v>
      </c>
      <c r="H14" s="276"/>
      <c r="I14" s="276"/>
      <c r="J14" s="276"/>
      <c r="K14" s="276"/>
      <c r="L14" s="276"/>
      <c r="M14" s="274" t="s">
        <v>30</v>
      </c>
      <c r="N14" s="274"/>
      <c r="O14" s="274"/>
      <c r="P14" s="274"/>
      <c r="Q14" s="274"/>
      <c r="R14" s="274"/>
      <c r="S14" s="274" t="s">
        <v>31</v>
      </c>
      <c r="T14" s="274"/>
      <c r="U14" s="274"/>
      <c r="V14" s="274"/>
      <c r="W14" s="274"/>
      <c r="X14" s="274"/>
      <c r="Y14" s="274"/>
      <c r="Z14" s="238"/>
    </row>
    <row r="15" spans="1:40" ht="15" customHeight="1" x14ac:dyDescent="0.25">
      <c r="A15" s="228"/>
      <c r="B15" s="277" t="s">
        <v>32</v>
      </c>
      <c r="C15" s="277"/>
      <c r="D15" s="277"/>
      <c r="E15" s="277"/>
      <c r="F15" s="277"/>
      <c r="G15" s="279" t="s">
        <v>161</v>
      </c>
      <c r="H15" s="279"/>
      <c r="I15" s="279"/>
      <c r="J15" s="279"/>
      <c r="K15" s="279"/>
      <c r="L15" s="279"/>
      <c r="M15" s="274" t="s">
        <v>34</v>
      </c>
      <c r="N15" s="274"/>
      <c r="O15" s="274"/>
      <c r="P15" s="274"/>
      <c r="Q15" s="274"/>
      <c r="R15" s="274"/>
      <c r="S15" s="274" t="s">
        <v>102</v>
      </c>
      <c r="T15" s="274"/>
      <c r="U15" s="274"/>
      <c r="V15" s="274"/>
      <c r="W15" s="274"/>
      <c r="X15" s="274"/>
      <c r="Y15" s="274"/>
      <c r="Z15" s="238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0" ht="15" customHeight="1" x14ac:dyDescent="0.25">
      <c r="A16" s="228"/>
      <c r="B16" s="277" t="s">
        <v>36</v>
      </c>
      <c r="C16" s="277"/>
      <c r="D16" s="277"/>
      <c r="E16" s="277"/>
      <c r="F16" s="277"/>
      <c r="G16" s="239" t="s">
        <v>166</v>
      </c>
      <c r="H16" s="239"/>
      <c r="I16" s="239"/>
      <c r="J16" s="239"/>
      <c r="K16" s="239"/>
      <c r="L16" s="23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4"/>
    </row>
    <row r="17" spans="1:28" ht="6" customHeight="1" x14ac:dyDescent="0.25">
      <c r="A17" s="226"/>
      <c r="B17" s="237"/>
      <c r="C17" s="237"/>
      <c r="D17" s="225"/>
      <c r="E17" s="225"/>
      <c r="F17" s="225"/>
      <c r="G17" s="225"/>
      <c r="H17" s="237"/>
      <c r="I17" s="237"/>
      <c r="J17" s="237"/>
      <c r="K17" s="237"/>
      <c r="L17" s="237"/>
      <c r="M17" s="237"/>
      <c r="N17" s="248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24"/>
    </row>
    <row r="18" spans="1:28" ht="15" customHeight="1" x14ac:dyDescent="0.25">
      <c r="B18" s="246"/>
      <c r="C18" s="246"/>
      <c r="K18" s="247"/>
      <c r="L18" s="246"/>
      <c r="M18" s="245"/>
      <c r="V18" s="240"/>
      <c r="W18" s="240"/>
      <c r="X18" s="240"/>
      <c r="Y18" s="240"/>
      <c r="Z18" s="240"/>
      <c r="AA18" s="240"/>
      <c r="AB18" s="244"/>
    </row>
    <row r="19" spans="1:28" ht="15.6" customHeight="1" x14ac:dyDescent="0.25">
      <c r="A19" s="235" t="s">
        <v>38</v>
      </c>
      <c r="B19" s="234" t="s">
        <v>39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0"/>
    </row>
    <row r="20" spans="1:28" ht="6" customHeight="1" x14ac:dyDescent="0.25">
      <c r="A20" s="228"/>
      <c r="B20" s="243"/>
      <c r="Z20" s="227"/>
    </row>
    <row r="21" spans="1:28" ht="13.8" customHeight="1" x14ac:dyDescent="0.25">
      <c r="A21" s="228"/>
      <c r="B21" s="274" t="s">
        <v>40</v>
      </c>
      <c r="C21" s="274"/>
      <c r="D21" s="274"/>
      <c r="E21" s="274"/>
      <c r="F21" s="274"/>
      <c r="G21" s="274"/>
      <c r="H21" s="274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38"/>
    </row>
    <row r="22" spans="1:28" ht="15" customHeight="1" x14ac:dyDescent="0.25">
      <c r="A22" s="228"/>
      <c r="B22" s="274" t="s">
        <v>41</v>
      </c>
      <c r="C22" s="274"/>
      <c r="D22" s="274"/>
      <c r="E22" s="274"/>
      <c r="F22" s="274"/>
      <c r="G22" s="274"/>
      <c r="H22" s="274"/>
      <c r="I22" s="273"/>
      <c r="J22" s="273"/>
      <c r="K22" s="273"/>
      <c r="L22" s="273"/>
      <c r="M22" s="273"/>
      <c r="N22" s="242">
        <v>0</v>
      </c>
      <c r="O22" s="278" t="s">
        <v>42</v>
      </c>
      <c r="P22" s="278"/>
      <c r="Q22" s="278"/>
      <c r="R22" s="241" t="s">
        <v>82</v>
      </c>
      <c r="S22" s="240"/>
      <c r="T22" s="240"/>
      <c r="U22" s="240"/>
      <c r="V22" s="278"/>
      <c r="W22" s="278"/>
      <c r="X22" s="278"/>
      <c r="Y22" s="239"/>
      <c r="Z22" s="238"/>
    </row>
    <row r="23" spans="1:28" ht="5.25" customHeight="1" x14ac:dyDescent="0.25">
      <c r="A23" s="22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24"/>
    </row>
    <row r="24" spans="1:28" x14ac:dyDescent="0.25">
      <c r="C24" s="236"/>
    </row>
    <row r="25" spans="1:28" ht="15.6" customHeight="1" x14ac:dyDescent="0.25">
      <c r="A25" s="235" t="s">
        <v>45</v>
      </c>
      <c r="B25" s="234" t="s">
        <v>46</v>
      </c>
      <c r="C25" s="231"/>
      <c r="D25" s="233"/>
      <c r="E25" s="233"/>
      <c r="F25" s="233"/>
      <c r="G25" s="233"/>
      <c r="H25" s="386" t="s">
        <v>47</v>
      </c>
      <c r="I25" s="386"/>
      <c r="J25" s="386"/>
      <c r="K25" s="386"/>
      <c r="L25" s="386"/>
      <c r="M25" s="386"/>
      <c r="N25" s="386"/>
      <c r="O25" s="386"/>
      <c r="P25" s="386"/>
      <c r="Q25" s="382">
        <v>2.48</v>
      </c>
      <c r="R25" s="382"/>
      <c r="S25" s="382"/>
      <c r="T25" s="382"/>
      <c r="U25" s="232" t="s">
        <v>160</v>
      </c>
      <c r="V25" s="231"/>
      <c r="W25" s="231"/>
      <c r="X25" s="231"/>
      <c r="Y25" s="231"/>
      <c r="Z25" s="230"/>
    </row>
    <row r="26" spans="1:28" ht="13.8" customHeight="1" thickBot="1" x14ac:dyDescent="0.3">
      <c r="A26" s="228"/>
      <c r="Z26" s="227"/>
    </row>
    <row r="27" spans="1:28" ht="15.75" customHeight="1" x14ac:dyDescent="0.25">
      <c r="A27" s="228"/>
      <c r="B27" s="293" t="s">
        <v>49</v>
      </c>
      <c r="C27" s="294"/>
      <c r="D27" s="297" t="s">
        <v>50</v>
      </c>
      <c r="E27" s="298"/>
      <c r="F27" s="371" t="s">
        <v>51</v>
      </c>
      <c r="G27" s="371"/>
      <c r="H27" s="371"/>
      <c r="I27" s="340" t="s">
        <v>159</v>
      </c>
      <c r="J27" s="294"/>
      <c r="K27" s="294"/>
      <c r="L27" s="340" t="s">
        <v>53</v>
      </c>
      <c r="M27" s="294"/>
      <c r="N27" s="381"/>
      <c r="O27" s="340" t="s">
        <v>54</v>
      </c>
      <c r="P27" s="294"/>
      <c r="Q27" s="381"/>
      <c r="R27" s="340" t="s">
        <v>55</v>
      </c>
      <c r="S27" s="294"/>
      <c r="T27" s="294"/>
      <c r="U27" s="294"/>
      <c r="V27" s="294"/>
      <c r="W27" s="294"/>
      <c r="X27" s="294"/>
      <c r="Y27" s="384"/>
      <c r="Z27" s="227"/>
    </row>
    <row r="28" spans="1:28" ht="36" customHeight="1" x14ac:dyDescent="0.25">
      <c r="A28" s="228"/>
      <c r="B28" s="295" t="s">
        <v>56</v>
      </c>
      <c r="C28" s="296"/>
      <c r="D28" s="387" t="s">
        <v>57</v>
      </c>
      <c r="E28" s="388"/>
      <c r="F28" s="229" t="s">
        <v>58</v>
      </c>
      <c r="G28" s="229" t="s">
        <v>59</v>
      </c>
      <c r="H28" s="229" t="s">
        <v>60</v>
      </c>
      <c r="I28" s="341"/>
      <c r="J28" s="342"/>
      <c r="K28" s="342"/>
      <c r="L28" s="341" t="s">
        <v>61</v>
      </c>
      <c r="M28" s="342"/>
      <c r="N28" s="383"/>
      <c r="O28" s="341" t="s">
        <v>61</v>
      </c>
      <c r="P28" s="342"/>
      <c r="Q28" s="383"/>
      <c r="R28" s="341"/>
      <c r="S28" s="342"/>
      <c r="T28" s="342"/>
      <c r="U28" s="342"/>
      <c r="V28" s="342"/>
      <c r="W28" s="342"/>
      <c r="X28" s="342"/>
      <c r="Y28" s="385"/>
      <c r="Z28" s="227"/>
    </row>
    <row r="29" spans="1:28" ht="16.8" customHeight="1" x14ac:dyDescent="0.25">
      <c r="A29" s="228"/>
      <c r="B29" s="259">
        <v>1</v>
      </c>
      <c r="C29" s="260"/>
      <c r="D29" s="261"/>
      <c r="E29" s="262"/>
      <c r="F29" s="261"/>
      <c r="G29" s="262"/>
      <c r="H29" s="263"/>
      <c r="I29" s="264">
        <v>2.2879999999999998</v>
      </c>
      <c r="J29" s="264"/>
      <c r="K29" s="264"/>
      <c r="L29" s="265">
        <f>I29/$Q$25*100</f>
        <v>92.258064516129025</v>
      </c>
      <c r="M29" s="257"/>
      <c r="N29" s="258"/>
      <c r="O29" s="257">
        <f>100-L29</f>
        <v>7.7419354838709751</v>
      </c>
      <c r="P29" s="257"/>
      <c r="Q29" s="258"/>
      <c r="R29" s="255"/>
      <c r="S29" s="255"/>
      <c r="T29" s="255"/>
      <c r="U29" s="255"/>
      <c r="V29" s="255"/>
      <c r="W29" s="255"/>
      <c r="X29" s="255"/>
      <c r="Y29" s="256"/>
      <c r="Z29" s="227"/>
    </row>
    <row r="30" spans="1:28" ht="16.8" customHeight="1" x14ac:dyDescent="0.25">
      <c r="A30" s="228"/>
      <c r="B30" s="259">
        <v>2</v>
      </c>
      <c r="C30" s="260"/>
      <c r="D30" s="261"/>
      <c r="E30" s="262"/>
      <c r="F30" s="261"/>
      <c r="G30" s="262"/>
      <c r="H30" s="263"/>
      <c r="I30" s="264">
        <v>2.3319999999999999</v>
      </c>
      <c r="J30" s="264"/>
      <c r="K30" s="264"/>
      <c r="L30" s="265">
        <f>I30/$Q$25*100</f>
        <v>94.032258064516128</v>
      </c>
      <c r="M30" s="257"/>
      <c r="N30" s="258"/>
      <c r="O30" s="257">
        <f t="shared" ref="O30:O47" si="0">100-L30</f>
        <v>5.9677419354838719</v>
      </c>
      <c r="P30" s="257"/>
      <c r="Q30" s="258"/>
      <c r="R30" s="255"/>
      <c r="S30" s="255"/>
      <c r="T30" s="255"/>
      <c r="U30" s="255"/>
      <c r="V30" s="255"/>
      <c r="W30" s="255"/>
      <c r="X30" s="255"/>
      <c r="Y30" s="256"/>
      <c r="Z30" s="227"/>
    </row>
    <row r="31" spans="1:28" ht="16.8" customHeight="1" x14ac:dyDescent="0.25">
      <c r="A31" s="228"/>
      <c r="B31" s="259">
        <v>3</v>
      </c>
      <c r="C31" s="260"/>
      <c r="D31" s="261"/>
      <c r="E31" s="262"/>
      <c r="F31" s="261"/>
      <c r="G31" s="262"/>
      <c r="H31" s="263"/>
      <c r="I31" s="264">
        <v>2.3450000000000002</v>
      </c>
      <c r="J31" s="264"/>
      <c r="K31" s="264"/>
      <c r="L31" s="265">
        <f t="shared" ref="L31:L48" si="1">I31/$Q$25*100</f>
        <v>94.556451612903231</v>
      </c>
      <c r="M31" s="257"/>
      <c r="N31" s="258"/>
      <c r="O31" s="257">
        <f t="shared" si="0"/>
        <v>5.4435483870967687</v>
      </c>
      <c r="P31" s="257"/>
      <c r="Q31" s="258"/>
      <c r="R31" s="255"/>
      <c r="S31" s="255"/>
      <c r="T31" s="255"/>
      <c r="U31" s="255"/>
      <c r="V31" s="255"/>
      <c r="W31" s="255"/>
      <c r="X31" s="255"/>
      <c r="Y31" s="256"/>
      <c r="Z31" s="227"/>
    </row>
    <row r="32" spans="1:28" ht="16.8" customHeight="1" x14ac:dyDescent="0.25">
      <c r="A32" s="228"/>
      <c r="B32" s="259">
        <v>4</v>
      </c>
      <c r="C32" s="260"/>
      <c r="D32" s="261"/>
      <c r="E32" s="262"/>
      <c r="F32" s="261"/>
      <c r="G32" s="262"/>
      <c r="H32" s="263"/>
      <c r="I32" s="264">
        <v>2.2679999999999998</v>
      </c>
      <c r="J32" s="264"/>
      <c r="K32" s="264"/>
      <c r="L32" s="265">
        <f t="shared" si="1"/>
        <v>91.451612903225794</v>
      </c>
      <c r="M32" s="257"/>
      <c r="N32" s="258"/>
      <c r="O32" s="257">
        <f t="shared" si="0"/>
        <v>8.5483870967742064</v>
      </c>
      <c r="P32" s="257"/>
      <c r="Q32" s="258"/>
      <c r="R32" s="255"/>
      <c r="S32" s="255"/>
      <c r="T32" s="255"/>
      <c r="U32" s="255"/>
      <c r="V32" s="255"/>
      <c r="W32" s="255"/>
      <c r="X32" s="255"/>
      <c r="Y32" s="256"/>
      <c r="Z32" s="227"/>
    </row>
    <row r="33" spans="1:26" ht="16.8" customHeight="1" x14ac:dyDescent="0.25">
      <c r="A33" s="228"/>
      <c r="B33" s="259">
        <v>5</v>
      </c>
      <c r="C33" s="260"/>
      <c r="D33" s="261"/>
      <c r="E33" s="262"/>
      <c r="F33" s="261"/>
      <c r="G33" s="262"/>
      <c r="H33" s="263"/>
      <c r="I33" s="264">
        <v>2.3380000000000001</v>
      </c>
      <c r="J33" s="264"/>
      <c r="K33" s="264"/>
      <c r="L33" s="265">
        <f t="shared" si="1"/>
        <v>94.274193548387103</v>
      </c>
      <c r="M33" s="257"/>
      <c r="N33" s="258"/>
      <c r="O33" s="257">
        <f t="shared" si="0"/>
        <v>5.7258064516128968</v>
      </c>
      <c r="P33" s="257"/>
      <c r="Q33" s="258"/>
      <c r="R33" s="255"/>
      <c r="S33" s="255"/>
      <c r="T33" s="255"/>
      <c r="U33" s="255"/>
      <c r="V33" s="255"/>
      <c r="W33" s="255"/>
      <c r="X33" s="255"/>
      <c r="Y33" s="256"/>
      <c r="Z33" s="227"/>
    </row>
    <row r="34" spans="1:26" ht="16.8" customHeight="1" x14ac:dyDescent="0.25">
      <c r="A34" s="228"/>
      <c r="B34" s="259">
        <v>6</v>
      </c>
      <c r="C34" s="260"/>
      <c r="D34" s="261"/>
      <c r="E34" s="262"/>
      <c r="F34" s="261"/>
      <c r="G34" s="262"/>
      <c r="H34" s="263"/>
      <c r="I34" s="264">
        <v>2.274</v>
      </c>
      <c r="J34" s="264"/>
      <c r="K34" s="264"/>
      <c r="L34" s="265">
        <f t="shared" si="1"/>
        <v>91.693548387096783</v>
      </c>
      <c r="M34" s="257"/>
      <c r="N34" s="258"/>
      <c r="O34" s="257">
        <f t="shared" si="0"/>
        <v>8.3064516129032171</v>
      </c>
      <c r="P34" s="257"/>
      <c r="Q34" s="258"/>
      <c r="R34" s="255"/>
      <c r="S34" s="255"/>
      <c r="T34" s="255"/>
      <c r="U34" s="255"/>
      <c r="V34" s="255"/>
      <c r="W34" s="255"/>
      <c r="X34" s="255"/>
      <c r="Y34" s="256"/>
      <c r="Z34" s="227"/>
    </row>
    <row r="35" spans="1:26" ht="16.8" customHeight="1" x14ac:dyDescent="0.25">
      <c r="A35" s="228"/>
      <c r="B35" s="259">
        <v>7</v>
      </c>
      <c r="C35" s="260"/>
      <c r="D35" s="261"/>
      <c r="E35" s="262"/>
      <c r="F35" s="261"/>
      <c r="G35" s="262"/>
      <c r="H35" s="263"/>
      <c r="I35" s="264">
        <v>2.274</v>
      </c>
      <c r="J35" s="264"/>
      <c r="K35" s="264"/>
      <c r="L35" s="265">
        <f t="shared" si="1"/>
        <v>91.693548387096783</v>
      </c>
      <c r="M35" s="257"/>
      <c r="N35" s="258"/>
      <c r="O35" s="257">
        <f t="shared" si="0"/>
        <v>8.3064516129032171</v>
      </c>
      <c r="P35" s="257"/>
      <c r="Q35" s="258"/>
      <c r="R35" s="255"/>
      <c r="S35" s="255"/>
      <c r="T35" s="255"/>
      <c r="U35" s="255"/>
      <c r="V35" s="255"/>
      <c r="W35" s="255"/>
      <c r="X35" s="255"/>
      <c r="Y35" s="256"/>
      <c r="Z35" s="227"/>
    </row>
    <row r="36" spans="1:26" ht="16.8" customHeight="1" x14ac:dyDescent="0.25">
      <c r="A36" s="228"/>
      <c r="B36" s="259">
        <v>8</v>
      </c>
      <c r="C36" s="260"/>
      <c r="D36" s="261"/>
      <c r="E36" s="262"/>
      <c r="F36" s="261"/>
      <c r="G36" s="262"/>
      <c r="H36" s="263"/>
      <c r="I36" s="264">
        <v>2.2909999999999999</v>
      </c>
      <c r="J36" s="264"/>
      <c r="K36" s="264"/>
      <c r="L36" s="265">
        <f t="shared" si="1"/>
        <v>92.379032258064512</v>
      </c>
      <c r="M36" s="257"/>
      <c r="N36" s="258"/>
      <c r="O36" s="257">
        <f t="shared" si="0"/>
        <v>7.6209677419354875</v>
      </c>
      <c r="P36" s="257"/>
      <c r="Q36" s="258"/>
      <c r="R36" s="255"/>
      <c r="S36" s="255"/>
      <c r="T36" s="255"/>
      <c r="U36" s="255"/>
      <c r="V36" s="255"/>
      <c r="W36" s="255"/>
      <c r="X36" s="255"/>
      <c r="Y36" s="256"/>
      <c r="Z36" s="227"/>
    </row>
    <row r="37" spans="1:26" ht="16.8" customHeight="1" x14ac:dyDescent="0.25">
      <c r="A37" s="228"/>
      <c r="B37" s="259">
        <v>9</v>
      </c>
      <c r="C37" s="260"/>
      <c r="D37" s="261"/>
      <c r="E37" s="262"/>
      <c r="F37" s="261"/>
      <c r="G37" s="262"/>
      <c r="H37" s="263"/>
      <c r="I37" s="264">
        <v>2.2999999999999998</v>
      </c>
      <c r="J37" s="264"/>
      <c r="K37" s="264"/>
      <c r="L37" s="265">
        <f t="shared" si="1"/>
        <v>92.741935483870961</v>
      </c>
      <c r="M37" s="257"/>
      <c r="N37" s="258"/>
      <c r="O37" s="257">
        <f t="shared" si="0"/>
        <v>7.2580645161290391</v>
      </c>
      <c r="P37" s="257"/>
      <c r="Q37" s="258"/>
      <c r="R37" s="255"/>
      <c r="S37" s="255"/>
      <c r="T37" s="255"/>
      <c r="U37" s="255"/>
      <c r="V37" s="255"/>
      <c r="W37" s="255"/>
      <c r="X37" s="255"/>
      <c r="Y37" s="256"/>
      <c r="Z37" s="227"/>
    </row>
    <row r="38" spans="1:26" ht="16.8" customHeight="1" x14ac:dyDescent="0.25">
      <c r="A38" s="228"/>
      <c r="B38" s="259">
        <v>10</v>
      </c>
      <c r="C38" s="260"/>
      <c r="D38" s="261"/>
      <c r="E38" s="262"/>
      <c r="F38" s="261"/>
      <c r="G38" s="262"/>
      <c r="H38" s="263"/>
      <c r="I38" s="264">
        <v>2.2799999999999998</v>
      </c>
      <c r="J38" s="264"/>
      <c r="K38" s="264"/>
      <c r="L38" s="265">
        <f t="shared" si="1"/>
        <v>91.935483870967744</v>
      </c>
      <c r="M38" s="257"/>
      <c r="N38" s="258"/>
      <c r="O38" s="257">
        <f t="shared" si="0"/>
        <v>8.0645161290322562</v>
      </c>
      <c r="P38" s="257"/>
      <c r="Q38" s="258"/>
      <c r="R38" s="255"/>
      <c r="S38" s="255"/>
      <c r="T38" s="255"/>
      <c r="U38" s="255"/>
      <c r="V38" s="255"/>
      <c r="W38" s="255"/>
      <c r="X38" s="255"/>
      <c r="Y38" s="256"/>
      <c r="Z38" s="227"/>
    </row>
    <row r="39" spans="1:26" ht="16.8" customHeight="1" x14ac:dyDescent="0.25">
      <c r="A39" s="228"/>
      <c r="B39" s="259">
        <v>11</v>
      </c>
      <c r="C39" s="260"/>
      <c r="D39" s="261"/>
      <c r="E39" s="262"/>
      <c r="F39" s="261"/>
      <c r="G39" s="262"/>
      <c r="H39" s="263"/>
      <c r="I39" s="264">
        <v>2.2890000000000001</v>
      </c>
      <c r="J39" s="264"/>
      <c r="K39" s="264"/>
      <c r="L39" s="265">
        <f t="shared" si="1"/>
        <v>92.298387096774206</v>
      </c>
      <c r="M39" s="257"/>
      <c r="N39" s="258"/>
      <c r="O39" s="257">
        <f t="shared" si="0"/>
        <v>7.7016129032257936</v>
      </c>
      <c r="P39" s="257"/>
      <c r="Q39" s="258"/>
      <c r="R39" s="255"/>
      <c r="S39" s="255"/>
      <c r="T39" s="255"/>
      <c r="U39" s="255"/>
      <c r="V39" s="255"/>
      <c r="W39" s="255"/>
      <c r="X39" s="255"/>
      <c r="Y39" s="256"/>
      <c r="Z39" s="227"/>
    </row>
    <row r="40" spans="1:26" ht="16.8" customHeight="1" x14ac:dyDescent="0.25">
      <c r="A40" s="228"/>
      <c r="B40" s="259">
        <v>12</v>
      </c>
      <c r="C40" s="260"/>
      <c r="D40" s="261"/>
      <c r="E40" s="262"/>
      <c r="F40" s="261"/>
      <c r="G40" s="262"/>
      <c r="H40" s="263"/>
      <c r="I40" s="264">
        <v>2.2970000000000002</v>
      </c>
      <c r="J40" s="264"/>
      <c r="K40" s="264"/>
      <c r="L40" s="265">
        <f t="shared" si="1"/>
        <v>92.620967741935488</v>
      </c>
      <c r="M40" s="257"/>
      <c r="N40" s="258"/>
      <c r="O40" s="257">
        <f t="shared" si="0"/>
        <v>7.3790322580645125</v>
      </c>
      <c r="P40" s="257"/>
      <c r="Q40" s="258"/>
      <c r="R40" s="255"/>
      <c r="S40" s="255"/>
      <c r="T40" s="255"/>
      <c r="U40" s="255"/>
      <c r="V40" s="255"/>
      <c r="W40" s="255"/>
      <c r="X40" s="255"/>
      <c r="Y40" s="256"/>
      <c r="Z40" s="227"/>
    </row>
    <row r="41" spans="1:26" ht="16.8" customHeight="1" x14ac:dyDescent="0.25">
      <c r="A41" s="228"/>
      <c r="B41" s="259">
        <v>13</v>
      </c>
      <c r="C41" s="260"/>
      <c r="D41" s="261"/>
      <c r="E41" s="262"/>
      <c r="F41" s="261"/>
      <c r="G41" s="262"/>
      <c r="H41" s="263"/>
      <c r="I41" s="264">
        <v>2.2709999999999999</v>
      </c>
      <c r="J41" s="264"/>
      <c r="K41" s="264"/>
      <c r="L41" s="265">
        <f t="shared" si="1"/>
        <v>91.572580645161281</v>
      </c>
      <c r="M41" s="257"/>
      <c r="N41" s="258"/>
      <c r="O41" s="257">
        <f t="shared" si="0"/>
        <v>8.4274193548387188</v>
      </c>
      <c r="P41" s="257"/>
      <c r="Q41" s="258"/>
      <c r="R41" s="255"/>
      <c r="S41" s="255"/>
      <c r="T41" s="255"/>
      <c r="U41" s="255"/>
      <c r="V41" s="255"/>
      <c r="W41" s="255"/>
      <c r="X41" s="255"/>
      <c r="Y41" s="256"/>
      <c r="Z41" s="227"/>
    </row>
    <row r="42" spans="1:26" ht="16.8" customHeight="1" x14ac:dyDescent="0.25">
      <c r="A42" s="228"/>
      <c r="B42" s="259">
        <v>14</v>
      </c>
      <c r="C42" s="260"/>
      <c r="D42" s="261"/>
      <c r="E42" s="262"/>
      <c r="F42" s="261"/>
      <c r="G42" s="262"/>
      <c r="H42" s="263"/>
      <c r="I42" s="264">
        <v>2.306</v>
      </c>
      <c r="J42" s="264"/>
      <c r="K42" s="264"/>
      <c r="L42" s="265">
        <f t="shared" si="1"/>
        <v>92.983870967741936</v>
      </c>
      <c r="M42" s="257"/>
      <c r="N42" s="258"/>
      <c r="O42" s="257">
        <f t="shared" si="0"/>
        <v>7.0161290322580641</v>
      </c>
      <c r="P42" s="257"/>
      <c r="Q42" s="258"/>
      <c r="R42" s="255"/>
      <c r="S42" s="255"/>
      <c r="T42" s="255"/>
      <c r="U42" s="255"/>
      <c r="V42" s="255"/>
      <c r="W42" s="255"/>
      <c r="X42" s="255"/>
      <c r="Y42" s="256"/>
      <c r="Z42" s="227"/>
    </row>
    <row r="43" spans="1:26" ht="16.8" customHeight="1" x14ac:dyDescent="0.25">
      <c r="A43" s="228"/>
      <c r="B43" s="259">
        <v>15</v>
      </c>
      <c r="C43" s="260"/>
      <c r="D43" s="261"/>
      <c r="E43" s="262"/>
      <c r="F43" s="261"/>
      <c r="G43" s="262"/>
      <c r="H43" s="263"/>
      <c r="I43" s="264">
        <v>2.2730000000000001</v>
      </c>
      <c r="J43" s="264"/>
      <c r="K43" s="264"/>
      <c r="L43" s="265">
        <f t="shared" si="1"/>
        <v>91.653225806451616</v>
      </c>
      <c r="M43" s="257"/>
      <c r="N43" s="258"/>
      <c r="O43" s="257">
        <f t="shared" si="0"/>
        <v>8.3467741935483843</v>
      </c>
      <c r="P43" s="257"/>
      <c r="Q43" s="258"/>
      <c r="R43" s="255"/>
      <c r="S43" s="255"/>
      <c r="T43" s="255"/>
      <c r="U43" s="255"/>
      <c r="V43" s="255"/>
      <c r="W43" s="255"/>
      <c r="X43" s="255"/>
      <c r="Y43" s="256"/>
      <c r="Z43" s="227"/>
    </row>
    <row r="44" spans="1:26" ht="16.8" customHeight="1" x14ac:dyDescent="0.25">
      <c r="A44" s="228"/>
      <c r="B44" s="259">
        <v>16</v>
      </c>
      <c r="C44" s="260"/>
      <c r="D44" s="261"/>
      <c r="E44" s="262"/>
      <c r="F44" s="261"/>
      <c r="G44" s="262"/>
      <c r="H44" s="263"/>
      <c r="I44" s="264">
        <v>2.2709999999999999</v>
      </c>
      <c r="J44" s="264"/>
      <c r="K44" s="264"/>
      <c r="L44" s="265">
        <f t="shared" si="1"/>
        <v>91.572580645161281</v>
      </c>
      <c r="M44" s="257"/>
      <c r="N44" s="258"/>
      <c r="O44" s="257">
        <f t="shared" si="0"/>
        <v>8.4274193548387188</v>
      </c>
      <c r="P44" s="257"/>
      <c r="Q44" s="258"/>
      <c r="R44" s="255"/>
      <c r="S44" s="255"/>
      <c r="T44" s="255"/>
      <c r="U44" s="255"/>
      <c r="V44" s="255"/>
      <c r="W44" s="255"/>
      <c r="X44" s="255"/>
      <c r="Y44" s="256"/>
      <c r="Z44" s="227"/>
    </row>
    <row r="45" spans="1:26" ht="16.8" customHeight="1" x14ac:dyDescent="0.25">
      <c r="A45" s="228"/>
      <c r="B45" s="259">
        <v>17</v>
      </c>
      <c r="C45" s="260"/>
      <c r="D45" s="261"/>
      <c r="E45" s="262"/>
      <c r="F45" s="261"/>
      <c r="G45" s="262"/>
      <c r="H45" s="263"/>
      <c r="I45" s="264">
        <v>2.2999999999999998</v>
      </c>
      <c r="J45" s="264"/>
      <c r="K45" s="264"/>
      <c r="L45" s="265">
        <f t="shared" si="1"/>
        <v>92.741935483870961</v>
      </c>
      <c r="M45" s="257"/>
      <c r="N45" s="258"/>
      <c r="O45" s="257">
        <f t="shared" si="0"/>
        <v>7.2580645161290391</v>
      </c>
      <c r="P45" s="257"/>
      <c r="Q45" s="258"/>
      <c r="R45" s="255"/>
      <c r="S45" s="255"/>
      <c r="T45" s="255"/>
      <c r="U45" s="255"/>
      <c r="V45" s="255"/>
      <c r="W45" s="255"/>
      <c r="X45" s="255"/>
      <c r="Y45" s="256"/>
      <c r="Z45" s="227"/>
    </row>
    <row r="46" spans="1:26" ht="16.8" customHeight="1" x14ac:dyDescent="0.25">
      <c r="A46" s="228"/>
      <c r="B46" s="259">
        <v>18</v>
      </c>
      <c r="C46" s="260"/>
      <c r="D46" s="261"/>
      <c r="E46" s="262"/>
      <c r="F46" s="261"/>
      <c r="G46" s="262"/>
      <c r="H46" s="263"/>
      <c r="I46" s="264">
        <v>2.3330000000000002</v>
      </c>
      <c r="J46" s="264"/>
      <c r="K46" s="264"/>
      <c r="L46" s="265">
        <f t="shared" si="1"/>
        <v>94.072580645161295</v>
      </c>
      <c r="M46" s="257"/>
      <c r="N46" s="258"/>
      <c r="O46" s="257">
        <f t="shared" si="0"/>
        <v>5.9274193548387046</v>
      </c>
      <c r="P46" s="257"/>
      <c r="Q46" s="258"/>
      <c r="R46" s="255"/>
      <c r="S46" s="255"/>
      <c r="T46" s="255"/>
      <c r="U46" s="255"/>
      <c r="V46" s="255"/>
      <c r="W46" s="255"/>
      <c r="X46" s="255"/>
      <c r="Y46" s="256"/>
      <c r="Z46" s="227"/>
    </row>
    <row r="47" spans="1:26" ht="16.8" customHeight="1" x14ac:dyDescent="0.25">
      <c r="A47" s="228"/>
      <c r="B47" s="259">
        <v>19</v>
      </c>
      <c r="C47" s="260"/>
      <c r="D47" s="261"/>
      <c r="E47" s="262"/>
      <c r="F47" s="261"/>
      <c r="G47" s="262"/>
      <c r="H47" s="263"/>
      <c r="I47" s="264">
        <v>2.286</v>
      </c>
      <c r="J47" s="264"/>
      <c r="K47" s="264"/>
      <c r="L47" s="265">
        <f t="shared" si="1"/>
        <v>92.177419354838705</v>
      </c>
      <c r="M47" s="257"/>
      <c r="N47" s="258"/>
      <c r="O47" s="257">
        <f t="shared" si="0"/>
        <v>7.8225806451612954</v>
      </c>
      <c r="P47" s="257"/>
      <c r="Q47" s="258"/>
      <c r="R47" s="255"/>
      <c r="S47" s="255"/>
      <c r="T47" s="255"/>
      <c r="U47" s="255"/>
      <c r="V47" s="255"/>
      <c r="W47" s="255"/>
      <c r="X47" s="255"/>
      <c r="Y47" s="256"/>
      <c r="Z47" s="227"/>
    </row>
    <row r="48" spans="1:26" ht="16.8" customHeight="1" x14ac:dyDescent="0.25">
      <c r="A48" s="228"/>
      <c r="B48" s="259">
        <v>20</v>
      </c>
      <c r="C48" s="260"/>
      <c r="D48" s="261"/>
      <c r="E48" s="262"/>
      <c r="F48" s="261"/>
      <c r="G48" s="262"/>
      <c r="H48" s="263"/>
      <c r="I48" s="264">
        <v>2.2919999999999998</v>
      </c>
      <c r="J48" s="264"/>
      <c r="K48" s="264"/>
      <c r="L48" s="265">
        <f t="shared" si="1"/>
        <v>92.419354838709666</v>
      </c>
      <c r="M48" s="257"/>
      <c r="N48" s="258"/>
      <c r="O48" s="257">
        <f t="shared" ref="O48" si="2">100-L48</f>
        <v>7.5806451612903345</v>
      </c>
      <c r="P48" s="257"/>
      <c r="Q48" s="258"/>
      <c r="R48" s="255"/>
      <c r="S48" s="255"/>
      <c r="T48" s="255"/>
      <c r="U48" s="255"/>
      <c r="V48" s="255"/>
      <c r="W48" s="255"/>
      <c r="X48" s="255"/>
      <c r="Y48" s="256"/>
      <c r="Z48" s="227"/>
    </row>
    <row r="49" spans="1:29" ht="17.25" customHeight="1" x14ac:dyDescent="0.25">
      <c r="A49" s="228"/>
      <c r="B49" s="372"/>
      <c r="C49" s="373"/>
      <c r="D49" s="350"/>
      <c r="E49" s="351"/>
      <c r="F49" s="350"/>
      <c r="G49" s="351"/>
      <c r="H49" s="352"/>
      <c r="I49" s="349"/>
      <c r="J49" s="349"/>
      <c r="K49" s="349"/>
      <c r="L49" s="357"/>
      <c r="M49" s="355"/>
      <c r="N49" s="356"/>
      <c r="O49" s="355"/>
      <c r="P49" s="355"/>
      <c r="Q49" s="356"/>
      <c r="R49" s="353"/>
      <c r="S49" s="353"/>
      <c r="T49" s="353"/>
      <c r="U49" s="353"/>
      <c r="V49" s="353"/>
      <c r="W49" s="353"/>
      <c r="X49" s="353"/>
      <c r="Y49" s="354"/>
      <c r="Z49" s="227"/>
    </row>
    <row r="50" spans="1:29" ht="16.5" customHeight="1" thickBot="1" x14ac:dyDescent="0.3">
      <c r="A50" s="228"/>
      <c r="B50" s="377" t="s">
        <v>62</v>
      </c>
      <c r="C50" s="378"/>
      <c r="D50" s="378"/>
      <c r="E50" s="378"/>
      <c r="F50" s="378"/>
      <c r="G50" s="378"/>
      <c r="H50" s="378"/>
      <c r="I50" s="272">
        <f t="shared" ref="I50" si="3">AVERAGE(I29:K48)</f>
        <v>2.2954000000000003</v>
      </c>
      <c r="J50" s="272"/>
      <c r="K50" s="272"/>
      <c r="L50" s="339">
        <f t="shared" ref="L50" si="4">AVERAGE(L29:N48)</f>
        <v>92.556451612903231</v>
      </c>
      <c r="M50" s="339"/>
      <c r="N50" s="339"/>
      <c r="O50" s="339">
        <f>AVERAGE(O29:Q48)</f>
        <v>7.4435483870967758</v>
      </c>
      <c r="P50" s="339"/>
      <c r="Q50" s="339"/>
      <c r="R50" s="379"/>
      <c r="S50" s="379"/>
      <c r="T50" s="379"/>
      <c r="U50" s="379"/>
      <c r="V50" s="379"/>
      <c r="W50" s="379"/>
      <c r="X50" s="379"/>
      <c r="Y50" s="380"/>
      <c r="Z50" s="227"/>
    </row>
    <row r="51" spans="1:29" ht="25.5" customHeight="1" thickBot="1" x14ac:dyDescent="0.3">
      <c r="A51" s="228"/>
      <c r="B51" s="337" t="s">
        <v>63</v>
      </c>
      <c r="C51" s="338"/>
      <c r="D51" s="338"/>
      <c r="E51" s="338"/>
      <c r="F51" s="338"/>
      <c r="G51" s="338"/>
      <c r="H51" s="338"/>
      <c r="I51" s="374">
        <v>100</v>
      </c>
      <c r="J51" s="374"/>
      <c r="K51" s="374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6"/>
      <c r="Z51" s="227"/>
    </row>
    <row r="52" spans="1:29" ht="15" customHeight="1" x14ac:dyDescent="0.25">
      <c r="A52" s="226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4"/>
    </row>
    <row r="53" spans="1:29" ht="16.5" customHeight="1" x14ac:dyDescent="0.25">
      <c r="S53" s="223"/>
      <c r="T53" s="223"/>
      <c r="U53" s="223"/>
    </row>
    <row r="54" spans="1:29" ht="15.6" customHeight="1" x14ac:dyDescent="0.25">
      <c r="A54" s="222" t="s">
        <v>64</v>
      </c>
      <c r="B54" s="221" t="s">
        <v>65</v>
      </c>
      <c r="C54" s="220"/>
      <c r="D54" s="220"/>
      <c r="E54" s="220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U54" s="218"/>
      <c r="V54" s="217"/>
      <c r="W54" s="217"/>
      <c r="X54" s="217"/>
      <c r="Y54" s="217"/>
      <c r="Z54" s="216"/>
      <c r="AA54" s="202"/>
      <c r="AB54" s="202"/>
      <c r="AC54" s="202"/>
    </row>
    <row r="55" spans="1:29" ht="26.4" customHeight="1" x14ac:dyDescent="0.25">
      <c r="A55" s="343" t="s">
        <v>150</v>
      </c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5"/>
      <c r="R55" s="284" t="s">
        <v>67</v>
      </c>
      <c r="S55" s="285"/>
      <c r="T55" s="286"/>
      <c r="U55" s="358" t="s">
        <v>73</v>
      </c>
      <c r="V55" s="359"/>
      <c r="W55" s="359"/>
      <c r="X55" s="360"/>
      <c r="Y55" s="360"/>
      <c r="Z55" s="361"/>
      <c r="AA55" s="202"/>
      <c r="AB55" s="202"/>
      <c r="AC55" s="202"/>
    </row>
    <row r="56" spans="1:29" ht="15.6" customHeight="1" x14ac:dyDescent="0.25">
      <c r="A56" s="287" t="s">
        <v>74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9"/>
      <c r="R56" s="284" t="s">
        <v>68</v>
      </c>
      <c r="S56" s="285"/>
      <c r="T56" s="286"/>
      <c r="U56" s="266" t="s">
        <v>75</v>
      </c>
      <c r="V56" s="362"/>
      <c r="W56" s="362"/>
      <c r="X56" s="363"/>
      <c r="Y56" s="363"/>
      <c r="Z56" s="364"/>
      <c r="AA56" s="202"/>
      <c r="AB56" s="202"/>
      <c r="AC56" s="202"/>
    </row>
    <row r="57" spans="1:29" ht="15.6" customHeight="1" x14ac:dyDescent="0.25">
      <c r="A57" s="290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R57" s="284"/>
      <c r="S57" s="285"/>
      <c r="T57" s="286"/>
      <c r="U57" s="268"/>
      <c r="V57" s="365"/>
      <c r="W57" s="365"/>
      <c r="X57" s="366"/>
      <c r="Y57" s="366"/>
      <c r="Z57" s="367"/>
      <c r="AA57" s="202"/>
      <c r="AB57" s="202"/>
      <c r="AC57" s="202"/>
    </row>
    <row r="58" spans="1:29" ht="15.6" customHeight="1" x14ac:dyDescent="0.25">
      <c r="A58" s="215" t="s">
        <v>149</v>
      </c>
      <c r="B58" s="214" t="s">
        <v>70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13"/>
      <c r="R58" s="284"/>
      <c r="S58" s="285"/>
      <c r="T58" s="286"/>
      <c r="U58" s="270"/>
      <c r="V58" s="368"/>
      <c r="W58" s="368"/>
      <c r="X58" s="369"/>
      <c r="Y58" s="369"/>
      <c r="Z58" s="370"/>
      <c r="AA58" s="202"/>
      <c r="AB58" s="202"/>
      <c r="AC58" s="202"/>
    </row>
    <row r="59" spans="1:29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84" t="s">
        <v>71</v>
      </c>
      <c r="S59" s="285"/>
      <c r="T59" s="286"/>
      <c r="U59" s="212"/>
      <c r="V59" s="211"/>
      <c r="W59" s="211"/>
      <c r="X59" s="211"/>
      <c r="Y59" s="211"/>
      <c r="Z59" s="210"/>
      <c r="AA59" s="202"/>
      <c r="AB59" s="202"/>
      <c r="AC59" s="202"/>
    </row>
    <row r="60" spans="1:29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84"/>
      <c r="S60" s="285"/>
      <c r="T60" s="286"/>
      <c r="U60" s="209"/>
      <c r="V60" s="365"/>
      <c r="W60" s="365"/>
      <c r="X60" s="365"/>
      <c r="Y60" s="365"/>
      <c r="Z60" s="208"/>
      <c r="AA60" s="202"/>
      <c r="AB60" s="202"/>
      <c r="AC60" s="202"/>
    </row>
    <row r="61" spans="1:29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84"/>
      <c r="S61" s="285"/>
      <c r="T61" s="286"/>
      <c r="U61" s="209"/>
      <c r="V61" s="365"/>
      <c r="W61" s="365"/>
      <c r="X61" s="365"/>
      <c r="Y61" s="365"/>
      <c r="Z61" s="208"/>
      <c r="AA61" s="202"/>
      <c r="AB61" s="202"/>
      <c r="AC61" s="202"/>
    </row>
    <row r="62" spans="1:29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46"/>
      <c r="S62" s="347"/>
      <c r="T62" s="348"/>
      <c r="U62" s="207"/>
      <c r="V62" s="206"/>
      <c r="W62" s="206"/>
      <c r="X62" s="206"/>
      <c r="Y62" s="206"/>
      <c r="Z62" s="205"/>
      <c r="AA62" s="202"/>
      <c r="AB62" s="202"/>
      <c r="AC62" s="202"/>
    </row>
    <row r="63" spans="1:29" ht="16.5" customHeight="1" x14ac:dyDescent="0.25">
      <c r="R63" s="204"/>
      <c r="S63" s="204"/>
      <c r="T63" s="204"/>
      <c r="U63" s="203"/>
      <c r="V63" s="203"/>
      <c r="W63" s="203"/>
      <c r="X63" s="203"/>
      <c r="Y63" s="203"/>
      <c r="Z63" s="203"/>
      <c r="AA63" s="202"/>
      <c r="AB63" s="202"/>
      <c r="AC63" s="202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7A85-7E9F-4C75-941A-35FD074F3D64}">
  <sheetPr>
    <pageSetUpPr fitToPage="1"/>
  </sheetPr>
  <dimension ref="A1:AN72"/>
  <sheetViews>
    <sheetView topLeftCell="A11" workbookViewId="0">
      <selection activeCell="AB26" sqref="AB26"/>
    </sheetView>
  </sheetViews>
  <sheetFormatPr baseColWidth="10" defaultColWidth="11.44140625" defaultRowHeight="13.2" x14ac:dyDescent="0.25"/>
  <cols>
    <col min="1" max="26" width="5.109375" style="58" customWidth="1"/>
    <col min="27" max="27" width="8.33203125" style="58" customWidth="1"/>
    <col min="28" max="28" width="11.44140625" style="58"/>
    <col min="29" max="16384" width="11.44140625" style="57"/>
  </cols>
  <sheetData>
    <row r="1" spans="1:40" ht="13.2" customHeight="1" x14ac:dyDescent="0.25">
      <c r="A1" s="432"/>
      <c r="B1" s="433"/>
      <c r="C1" s="433"/>
      <c r="D1" s="433"/>
      <c r="E1" s="433"/>
      <c r="F1" s="434"/>
      <c r="G1" s="441" t="s">
        <v>0</v>
      </c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3"/>
      <c r="U1" s="449" t="s">
        <v>136</v>
      </c>
      <c r="V1" s="450"/>
      <c r="W1" s="450"/>
      <c r="X1" s="450"/>
      <c r="Y1" s="450"/>
      <c r="Z1" s="451"/>
    </row>
    <row r="2" spans="1:40" ht="13.2" customHeight="1" x14ac:dyDescent="0.25">
      <c r="A2" s="435"/>
      <c r="B2" s="436"/>
      <c r="C2" s="436"/>
      <c r="D2" s="436"/>
      <c r="E2" s="436"/>
      <c r="F2" s="437"/>
      <c r="G2" s="458" t="s">
        <v>1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60"/>
      <c r="U2" s="452"/>
      <c r="V2" s="453"/>
      <c r="W2" s="453"/>
      <c r="X2" s="453"/>
      <c r="Y2" s="453"/>
      <c r="Z2" s="454"/>
    </row>
    <row r="3" spans="1:40" ht="13.2" customHeight="1" x14ac:dyDescent="0.25">
      <c r="A3" s="435"/>
      <c r="B3" s="436"/>
      <c r="C3" s="436"/>
      <c r="D3" s="436"/>
      <c r="E3" s="436"/>
      <c r="F3" s="437"/>
      <c r="G3" s="458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60"/>
      <c r="U3" s="452"/>
      <c r="V3" s="453"/>
      <c r="W3" s="453"/>
      <c r="X3" s="453"/>
      <c r="Y3" s="453"/>
      <c r="Z3" s="454"/>
    </row>
    <row r="4" spans="1:40" ht="13.2" customHeight="1" x14ac:dyDescent="0.25">
      <c r="A4" s="435"/>
      <c r="B4" s="436"/>
      <c r="C4" s="436"/>
      <c r="D4" s="436"/>
      <c r="E4" s="436"/>
      <c r="F4" s="437"/>
      <c r="G4" s="458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459"/>
      <c r="T4" s="460"/>
      <c r="U4" s="452"/>
      <c r="V4" s="453"/>
      <c r="W4" s="453"/>
      <c r="X4" s="453"/>
      <c r="Y4" s="453"/>
      <c r="Z4" s="454"/>
    </row>
    <row r="5" spans="1:40" ht="15" customHeight="1" x14ac:dyDescent="0.25">
      <c r="A5" s="435"/>
      <c r="B5" s="436"/>
      <c r="C5" s="436"/>
      <c r="D5" s="436"/>
      <c r="E5" s="436"/>
      <c r="F5" s="437"/>
      <c r="G5" s="420" t="s">
        <v>2</v>
      </c>
      <c r="H5" s="421"/>
      <c r="I5" s="415">
        <v>32</v>
      </c>
      <c r="J5" s="415"/>
      <c r="K5" s="416"/>
      <c r="L5" s="461" t="s">
        <v>4</v>
      </c>
      <c r="M5" s="462"/>
      <c r="N5" s="462"/>
      <c r="O5" s="463"/>
      <c r="P5" s="446" t="s">
        <v>155</v>
      </c>
      <c r="Q5" s="447"/>
      <c r="R5" s="447"/>
      <c r="S5" s="447"/>
      <c r="T5" s="448"/>
      <c r="U5" s="452"/>
      <c r="V5" s="453"/>
      <c r="W5" s="453"/>
      <c r="X5" s="453"/>
      <c r="Y5" s="453"/>
      <c r="Z5" s="454"/>
    </row>
    <row r="6" spans="1:40" ht="13.2" customHeight="1" x14ac:dyDescent="0.25">
      <c r="A6" s="438"/>
      <c r="B6" s="439"/>
      <c r="C6" s="439"/>
      <c r="D6" s="439"/>
      <c r="E6" s="439"/>
      <c r="F6" s="440"/>
      <c r="G6" s="89"/>
      <c r="H6" s="120"/>
      <c r="I6" s="413" t="s">
        <v>6</v>
      </c>
      <c r="J6" s="413"/>
      <c r="K6" s="413"/>
      <c r="L6" s="413" t="s">
        <v>7</v>
      </c>
      <c r="M6" s="413"/>
      <c r="N6" s="413"/>
      <c r="O6" s="413"/>
      <c r="P6" s="413" t="s">
        <v>8</v>
      </c>
      <c r="Q6" s="413"/>
      <c r="R6" s="413"/>
      <c r="S6" s="413"/>
      <c r="T6" s="414"/>
      <c r="U6" s="455"/>
      <c r="V6" s="456"/>
      <c r="W6" s="456"/>
      <c r="X6" s="456"/>
      <c r="Y6" s="456"/>
      <c r="Z6" s="457"/>
    </row>
    <row r="7" spans="1:40" ht="36.75" customHeight="1" x14ac:dyDescent="0.25">
      <c r="A7" s="444" t="s">
        <v>9</v>
      </c>
      <c r="B7" s="444"/>
      <c r="C7" s="444"/>
      <c r="D7" s="444"/>
      <c r="E7" s="444"/>
      <c r="F7" s="444"/>
      <c r="G7" s="445" t="s">
        <v>156</v>
      </c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</row>
    <row r="8" spans="1:40" ht="15.6" customHeight="1" x14ac:dyDescent="0.25">
      <c r="A8" s="74" t="s">
        <v>11</v>
      </c>
      <c r="B8" s="73" t="s">
        <v>12</v>
      </c>
      <c r="C8" s="72"/>
      <c r="D8" s="106"/>
      <c r="E8" s="106"/>
      <c r="F8" s="106"/>
      <c r="G8" s="106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04"/>
    </row>
    <row r="9" spans="1:40" ht="6" customHeight="1" x14ac:dyDescent="0.25">
      <c r="A9" s="91"/>
      <c r="D9" s="119"/>
      <c r="E9" s="119"/>
      <c r="F9" s="119"/>
      <c r="G9" s="119"/>
      <c r="Z9" s="90"/>
    </row>
    <row r="10" spans="1:40" ht="15" customHeight="1" x14ac:dyDescent="0.25">
      <c r="A10" s="91"/>
      <c r="B10" s="406" t="s">
        <v>13</v>
      </c>
      <c r="C10" s="406"/>
      <c r="D10" s="406"/>
      <c r="E10" s="406"/>
      <c r="F10" s="406"/>
      <c r="G10" s="412" t="s">
        <v>135</v>
      </c>
      <c r="H10" s="412"/>
      <c r="I10" s="412"/>
      <c r="J10" s="412"/>
      <c r="K10" s="412"/>
      <c r="L10" s="412"/>
      <c r="M10" s="406" t="s">
        <v>15</v>
      </c>
      <c r="N10" s="406"/>
      <c r="O10" s="406"/>
      <c r="P10" s="406"/>
      <c r="Q10" s="406"/>
      <c r="R10" s="406"/>
      <c r="S10" s="410" t="s">
        <v>16</v>
      </c>
      <c r="T10" s="410"/>
      <c r="U10" s="410"/>
      <c r="V10" s="410"/>
      <c r="W10" s="410"/>
      <c r="X10" s="410"/>
      <c r="Y10" s="410"/>
      <c r="Z10" s="108"/>
    </row>
    <row r="11" spans="1:40" ht="15" customHeight="1" x14ac:dyDescent="0.25">
      <c r="A11" s="91"/>
      <c r="B11" s="406" t="s">
        <v>17</v>
      </c>
      <c r="C11" s="406"/>
      <c r="D11" s="406"/>
      <c r="E11" s="406"/>
      <c r="F11" s="406"/>
      <c r="G11" s="412" t="s">
        <v>158</v>
      </c>
      <c r="H11" s="412"/>
      <c r="I11" s="412"/>
      <c r="J11" s="412"/>
      <c r="K11" s="412"/>
      <c r="L11" s="412"/>
      <c r="M11" s="406" t="s">
        <v>18</v>
      </c>
      <c r="N11" s="406"/>
      <c r="O11" s="406"/>
      <c r="P11" s="411">
        <v>157</v>
      </c>
      <c r="Q11" s="411"/>
      <c r="R11" s="411"/>
      <c r="S11" s="406" t="s">
        <v>19</v>
      </c>
      <c r="T11" s="406"/>
      <c r="U11" s="406"/>
      <c r="V11" s="406"/>
      <c r="W11" s="406"/>
      <c r="X11" s="411" t="s">
        <v>20</v>
      </c>
      <c r="Y11" s="411"/>
      <c r="Z11" s="108"/>
    </row>
    <row r="12" spans="1:40" ht="15" customHeight="1" x14ac:dyDescent="0.25">
      <c r="A12" s="91"/>
      <c r="B12" s="406" t="s">
        <v>21</v>
      </c>
      <c r="C12" s="406"/>
      <c r="D12" s="406"/>
      <c r="E12" s="406"/>
      <c r="F12" s="406"/>
      <c r="G12" s="412" t="s">
        <v>99</v>
      </c>
      <c r="H12" s="412"/>
      <c r="I12" s="412"/>
      <c r="J12" s="412"/>
      <c r="K12" s="412"/>
      <c r="L12" s="412"/>
      <c r="M12" s="406" t="s">
        <v>23</v>
      </c>
      <c r="N12" s="406"/>
      <c r="O12" s="406"/>
      <c r="P12" s="406"/>
      <c r="Q12" s="406"/>
      <c r="R12" s="406"/>
      <c r="S12" s="410" t="s">
        <v>24</v>
      </c>
      <c r="T12" s="410"/>
      <c r="U12" s="410"/>
      <c r="V12" s="410"/>
      <c r="W12" s="410"/>
      <c r="X12" s="410"/>
      <c r="Y12" s="410"/>
      <c r="Z12" s="108"/>
    </row>
    <row r="13" spans="1:40" ht="15" customHeight="1" x14ac:dyDescent="0.25">
      <c r="A13" s="91"/>
      <c r="B13" s="406" t="s">
        <v>25</v>
      </c>
      <c r="C13" s="406"/>
      <c r="D13" s="406"/>
      <c r="E13" s="406"/>
      <c r="F13" s="406"/>
      <c r="G13" s="523" t="s">
        <v>158</v>
      </c>
      <c r="H13" s="412"/>
      <c r="I13" s="412"/>
      <c r="J13" s="412"/>
      <c r="K13" s="412"/>
      <c r="L13" s="412"/>
      <c r="M13" s="406" t="s">
        <v>26</v>
      </c>
      <c r="N13" s="406"/>
      <c r="O13" s="406"/>
      <c r="P13" s="406"/>
      <c r="Q13" s="406"/>
      <c r="R13" s="406"/>
      <c r="S13" s="406" t="s">
        <v>154</v>
      </c>
      <c r="T13" s="406"/>
      <c r="U13" s="406"/>
      <c r="V13" s="406"/>
      <c r="W13" s="406"/>
      <c r="X13" s="406"/>
      <c r="Y13" s="406"/>
      <c r="Z13" s="108"/>
    </row>
    <row r="14" spans="1:40" ht="15" customHeight="1" x14ac:dyDescent="0.25">
      <c r="A14" s="91"/>
      <c r="B14" s="406" t="s">
        <v>28</v>
      </c>
      <c r="C14" s="406"/>
      <c r="D14" s="406"/>
      <c r="E14" s="406"/>
      <c r="F14" s="406"/>
      <c r="G14" s="412" t="s">
        <v>29</v>
      </c>
      <c r="H14" s="412"/>
      <c r="I14" s="412"/>
      <c r="J14" s="412"/>
      <c r="K14" s="412"/>
      <c r="L14" s="412"/>
      <c r="M14" s="406" t="s">
        <v>30</v>
      </c>
      <c r="N14" s="406"/>
      <c r="O14" s="406"/>
      <c r="P14" s="406"/>
      <c r="Q14" s="406"/>
      <c r="R14" s="406"/>
      <c r="S14" s="406" t="s">
        <v>95</v>
      </c>
      <c r="T14" s="406"/>
      <c r="U14" s="406"/>
      <c r="V14" s="406"/>
      <c r="W14" s="406"/>
      <c r="X14" s="406"/>
      <c r="Y14" s="406"/>
      <c r="Z14" s="108"/>
    </row>
    <row r="15" spans="1:40" ht="15" customHeight="1" x14ac:dyDescent="0.25">
      <c r="A15" s="91"/>
      <c r="B15" s="407" t="s">
        <v>32</v>
      </c>
      <c r="C15" s="407"/>
      <c r="D15" s="407"/>
      <c r="E15" s="407"/>
      <c r="F15" s="407"/>
      <c r="G15" s="409" t="s">
        <v>157</v>
      </c>
      <c r="H15" s="409"/>
      <c r="I15" s="409"/>
      <c r="J15" s="409"/>
      <c r="K15" s="409"/>
      <c r="L15" s="409"/>
      <c r="M15" s="406" t="s">
        <v>34</v>
      </c>
      <c r="N15" s="406"/>
      <c r="O15" s="406"/>
      <c r="P15" s="406"/>
      <c r="Q15" s="406"/>
      <c r="R15" s="406"/>
      <c r="S15" s="406" t="s">
        <v>77</v>
      </c>
      <c r="T15" s="406"/>
      <c r="U15" s="406"/>
      <c r="V15" s="406"/>
      <c r="W15" s="406"/>
      <c r="X15" s="406"/>
      <c r="Y15" s="406"/>
      <c r="Z15" s="108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0" ht="15" customHeight="1" x14ac:dyDescent="0.25">
      <c r="A16" s="91"/>
      <c r="B16" s="407" t="s">
        <v>36</v>
      </c>
      <c r="C16" s="407"/>
      <c r="D16" s="407"/>
      <c r="E16" s="407"/>
      <c r="F16" s="407"/>
      <c r="G16" s="109" t="s">
        <v>153</v>
      </c>
      <c r="H16" s="109"/>
      <c r="I16" s="109"/>
      <c r="J16" s="109"/>
      <c r="K16" s="109"/>
      <c r="L16" s="109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8"/>
    </row>
    <row r="17" spans="1:28" ht="6" customHeight="1" x14ac:dyDescent="0.25">
      <c r="A17" s="89"/>
      <c r="B17" s="75"/>
      <c r="C17" s="75"/>
      <c r="D17" s="88"/>
      <c r="E17" s="88"/>
      <c r="F17" s="88"/>
      <c r="G17" s="88"/>
      <c r="H17" s="75"/>
      <c r="I17" s="75"/>
      <c r="J17" s="75"/>
      <c r="K17" s="75"/>
      <c r="L17" s="75"/>
      <c r="M17" s="75"/>
      <c r="N17" s="117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87"/>
    </row>
    <row r="18" spans="1:28" ht="15" customHeight="1" x14ac:dyDescent="0.25">
      <c r="B18" s="115"/>
      <c r="C18" s="115"/>
      <c r="K18" s="116"/>
      <c r="L18" s="115"/>
      <c r="M18" s="114"/>
      <c r="V18" s="110"/>
      <c r="W18" s="110"/>
      <c r="X18" s="110"/>
      <c r="Y18" s="110"/>
      <c r="Z18" s="110"/>
      <c r="AA18" s="110"/>
      <c r="AB18" s="118"/>
    </row>
    <row r="19" spans="1:28" ht="15.6" customHeight="1" x14ac:dyDescent="0.25">
      <c r="A19" s="74" t="s">
        <v>38</v>
      </c>
      <c r="B19" s="73" t="s">
        <v>39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4"/>
    </row>
    <row r="20" spans="1:28" ht="6" customHeight="1" x14ac:dyDescent="0.25">
      <c r="A20" s="91"/>
      <c r="B20" s="113"/>
      <c r="Z20" s="90"/>
    </row>
    <row r="21" spans="1:28" ht="13.8" customHeight="1" x14ac:dyDescent="0.25">
      <c r="A21" s="91"/>
      <c r="B21" s="406" t="s">
        <v>40</v>
      </c>
      <c r="C21" s="406"/>
      <c r="D21" s="406"/>
      <c r="E21" s="406"/>
      <c r="F21" s="406"/>
      <c r="G21" s="406"/>
      <c r="H21" s="406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108"/>
    </row>
    <row r="22" spans="1:28" ht="15" customHeight="1" x14ac:dyDescent="0.25">
      <c r="A22" s="91"/>
      <c r="B22" s="406" t="s">
        <v>41</v>
      </c>
      <c r="C22" s="406"/>
      <c r="D22" s="406"/>
      <c r="E22" s="406"/>
      <c r="F22" s="406"/>
      <c r="G22" s="406"/>
      <c r="H22" s="406"/>
      <c r="I22" s="411"/>
      <c r="J22" s="411"/>
      <c r="K22" s="411"/>
      <c r="L22" s="411"/>
      <c r="M22" s="411"/>
      <c r="N22" s="112">
        <v>0</v>
      </c>
      <c r="O22" s="408" t="s">
        <v>42</v>
      </c>
      <c r="P22" s="408"/>
      <c r="Q22" s="408"/>
      <c r="R22" s="111" t="s">
        <v>82</v>
      </c>
      <c r="S22" s="110"/>
      <c r="T22" s="110"/>
      <c r="U22" s="110"/>
      <c r="V22" s="408"/>
      <c r="W22" s="408"/>
      <c r="X22" s="408"/>
      <c r="Y22" s="109"/>
      <c r="Z22" s="108"/>
    </row>
    <row r="23" spans="1:28" ht="5.25" customHeight="1" x14ac:dyDescent="0.25">
      <c r="A23" s="89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87"/>
    </row>
    <row r="24" spans="1:28" x14ac:dyDescent="0.25">
      <c r="C24" s="107"/>
    </row>
    <row r="25" spans="1:28" ht="15.6" customHeight="1" x14ac:dyDescent="0.25">
      <c r="A25" s="74" t="s">
        <v>45</v>
      </c>
      <c r="B25" s="73" t="s">
        <v>46</v>
      </c>
      <c r="C25" s="72"/>
      <c r="D25" s="106"/>
      <c r="E25" s="106"/>
      <c r="F25" s="106"/>
      <c r="G25" s="106"/>
      <c r="H25" s="508" t="s">
        <v>47</v>
      </c>
      <c r="I25" s="508"/>
      <c r="J25" s="508"/>
      <c r="K25" s="508"/>
      <c r="L25" s="508"/>
      <c r="M25" s="508"/>
      <c r="N25" s="508"/>
      <c r="O25" s="508"/>
      <c r="P25" s="508"/>
      <c r="Q25" s="522">
        <v>2.4910000000000001</v>
      </c>
      <c r="R25" s="522"/>
      <c r="S25" s="522"/>
      <c r="T25" s="522"/>
      <c r="U25" s="200" t="s">
        <v>152</v>
      </c>
      <c r="V25" s="72"/>
      <c r="W25" s="72"/>
      <c r="X25" s="72"/>
      <c r="Y25" s="72"/>
      <c r="Z25" s="104"/>
    </row>
    <row r="26" spans="1:28" ht="13.8" customHeight="1" thickBot="1" x14ac:dyDescent="0.3">
      <c r="A26" s="91"/>
      <c r="Z26" s="90"/>
    </row>
    <row r="27" spans="1:28" ht="15.75" customHeight="1" x14ac:dyDescent="0.25">
      <c r="A27" s="91"/>
      <c r="B27" s="426" t="s">
        <v>49</v>
      </c>
      <c r="C27" s="427"/>
      <c r="D27" s="430" t="s">
        <v>50</v>
      </c>
      <c r="E27" s="431"/>
      <c r="F27" s="504" t="s">
        <v>51</v>
      </c>
      <c r="G27" s="504"/>
      <c r="H27" s="504"/>
      <c r="I27" s="473" t="s">
        <v>151</v>
      </c>
      <c r="J27" s="427"/>
      <c r="K27" s="427"/>
      <c r="L27" s="473" t="s">
        <v>53</v>
      </c>
      <c r="M27" s="427"/>
      <c r="N27" s="521"/>
      <c r="O27" s="473" t="s">
        <v>54</v>
      </c>
      <c r="P27" s="427"/>
      <c r="Q27" s="521"/>
      <c r="R27" s="473" t="s">
        <v>55</v>
      </c>
      <c r="S27" s="427"/>
      <c r="T27" s="427"/>
      <c r="U27" s="427"/>
      <c r="V27" s="427"/>
      <c r="W27" s="427"/>
      <c r="X27" s="427"/>
      <c r="Y27" s="506"/>
      <c r="Z27" s="90"/>
    </row>
    <row r="28" spans="1:28" ht="36" customHeight="1" x14ac:dyDescent="0.25">
      <c r="A28" s="91"/>
      <c r="B28" s="428" t="s">
        <v>56</v>
      </c>
      <c r="C28" s="429"/>
      <c r="D28" s="509" t="s">
        <v>57</v>
      </c>
      <c r="E28" s="510"/>
      <c r="F28" s="199" t="s">
        <v>58</v>
      </c>
      <c r="G28" s="199" t="s">
        <v>59</v>
      </c>
      <c r="H28" s="199" t="s">
        <v>60</v>
      </c>
      <c r="I28" s="474"/>
      <c r="J28" s="475"/>
      <c r="K28" s="475"/>
      <c r="L28" s="474" t="s">
        <v>61</v>
      </c>
      <c r="M28" s="475"/>
      <c r="N28" s="505"/>
      <c r="O28" s="474" t="s">
        <v>61</v>
      </c>
      <c r="P28" s="475"/>
      <c r="Q28" s="505"/>
      <c r="R28" s="474"/>
      <c r="S28" s="475"/>
      <c r="T28" s="475"/>
      <c r="U28" s="475"/>
      <c r="V28" s="475"/>
      <c r="W28" s="475"/>
      <c r="X28" s="475"/>
      <c r="Y28" s="507"/>
      <c r="Z28" s="90"/>
    </row>
    <row r="29" spans="1:28" ht="16.8" customHeight="1" x14ac:dyDescent="0.25">
      <c r="A29" s="91"/>
      <c r="B29" s="399">
        <v>1</v>
      </c>
      <c r="C29" s="400"/>
      <c r="D29" s="401"/>
      <c r="E29" s="402"/>
      <c r="F29" s="401"/>
      <c r="G29" s="402"/>
      <c r="H29" s="403"/>
      <c r="I29" s="404">
        <v>2.2869999999999999</v>
      </c>
      <c r="J29" s="404"/>
      <c r="K29" s="404"/>
      <c r="L29" s="405">
        <v>91.8</v>
      </c>
      <c r="M29" s="397"/>
      <c r="N29" s="398"/>
      <c r="O29" s="397">
        <v>8.1999999999999993</v>
      </c>
      <c r="P29" s="397"/>
      <c r="Q29" s="398"/>
      <c r="R29" s="395"/>
      <c r="S29" s="395"/>
      <c r="T29" s="395"/>
      <c r="U29" s="395"/>
      <c r="V29" s="395"/>
      <c r="W29" s="395"/>
      <c r="X29" s="395"/>
      <c r="Y29" s="396"/>
      <c r="Z29" s="90"/>
    </row>
    <row r="30" spans="1:28" ht="16.8" customHeight="1" x14ac:dyDescent="0.25">
      <c r="A30" s="91"/>
      <c r="B30" s="399">
        <v>2</v>
      </c>
      <c r="C30" s="400"/>
      <c r="D30" s="401"/>
      <c r="E30" s="402"/>
      <c r="F30" s="401"/>
      <c r="G30" s="402"/>
      <c r="H30" s="403"/>
      <c r="I30" s="404">
        <v>2.3069999999999999</v>
      </c>
      <c r="J30" s="404"/>
      <c r="K30" s="404"/>
      <c r="L30" s="405">
        <v>92.6</v>
      </c>
      <c r="M30" s="397"/>
      <c r="N30" s="398"/>
      <c r="O30" s="397">
        <v>7.4</v>
      </c>
      <c r="P30" s="397"/>
      <c r="Q30" s="398"/>
      <c r="R30" s="395"/>
      <c r="S30" s="395"/>
      <c r="T30" s="395"/>
      <c r="U30" s="395"/>
      <c r="V30" s="395"/>
      <c r="W30" s="395"/>
      <c r="X30" s="395"/>
      <c r="Y30" s="396"/>
      <c r="Z30" s="90"/>
    </row>
    <row r="31" spans="1:28" ht="16.8" customHeight="1" x14ac:dyDescent="0.25">
      <c r="A31" s="91"/>
      <c r="B31" s="399">
        <v>3</v>
      </c>
      <c r="C31" s="400"/>
      <c r="D31" s="401"/>
      <c r="E31" s="402"/>
      <c r="F31" s="401"/>
      <c r="G31" s="402"/>
      <c r="H31" s="403"/>
      <c r="I31" s="404">
        <v>2.3010000000000002</v>
      </c>
      <c r="J31" s="404"/>
      <c r="K31" s="404"/>
      <c r="L31" s="405">
        <v>92.4</v>
      </c>
      <c r="M31" s="397"/>
      <c r="N31" s="398"/>
      <c r="O31" s="397">
        <v>7.6</v>
      </c>
      <c r="P31" s="397"/>
      <c r="Q31" s="398"/>
      <c r="R31" s="395"/>
      <c r="S31" s="395"/>
      <c r="T31" s="395"/>
      <c r="U31" s="395"/>
      <c r="V31" s="395"/>
      <c r="W31" s="395"/>
      <c r="X31" s="395"/>
      <c r="Y31" s="396"/>
      <c r="Z31" s="90"/>
    </row>
    <row r="32" spans="1:28" ht="16.8" customHeight="1" x14ac:dyDescent="0.25">
      <c r="A32" s="91"/>
      <c r="B32" s="399">
        <v>4</v>
      </c>
      <c r="C32" s="400"/>
      <c r="D32" s="401"/>
      <c r="E32" s="402"/>
      <c r="F32" s="401"/>
      <c r="G32" s="402"/>
      <c r="H32" s="403"/>
      <c r="I32" s="404">
        <v>2.3090000000000002</v>
      </c>
      <c r="J32" s="404"/>
      <c r="K32" s="404"/>
      <c r="L32" s="405">
        <v>92.7</v>
      </c>
      <c r="M32" s="397"/>
      <c r="N32" s="398"/>
      <c r="O32" s="397">
        <v>7.3</v>
      </c>
      <c r="P32" s="397"/>
      <c r="Q32" s="398"/>
      <c r="R32" s="395"/>
      <c r="S32" s="395"/>
      <c r="T32" s="395"/>
      <c r="U32" s="395"/>
      <c r="V32" s="395"/>
      <c r="W32" s="395"/>
      <c r="X32" s="395"/>
      <c r="Y32" s="396"/>
      <c r="Z32" s="90"/>
    </row>
    <row r="33" spans="1:26" ht="16.8" customHeight="1" x14ac:dyDescent="0.25">
      <c r="A33" s="91"/>
      <c r="B33" s="399">
        <v>5</v>
      </c>
      <c r="C33" s="400"/>
      <c r="D33" s="401"/>
      <c r="E33" s="402"/>
      <c r="F33" s="401"/>
      <c r="G33" s="402"/>
      <c r="H33" s="403"/>
      <c r="I33" s="404">
        <v>2.3279999999999998</v>
      </c>
      <c r="J33" s="404"/>
      <c r="K33" s="404"/>
      <c r="L33" s="405">
        <v>93.5</v>
      </c>
      <c r="M33" s="397"/>
      <c r="N33" s="398"/>
      <c r="O33" s="397">
        <v>6.5</v>
      </c>
      <c r="P33" s="397"/>
      <c r="Q33" s="398"/>
      <c r="R33" s="395"/>
      <c r="S33" s="395"/>
      <c r="T33" s="395"/>
      <c r="U33" s="395"/>
      <c r="V33" s="395"/>
      <c r="W33" s="395"/>
      <c r="X33" s="395"/>
      <c r="Y33" s="396"/>
      <c r="Z33" s="90"/>
    </row>
    <row r="34" spans="1:26" ht="16.8" customHeight="1" x14ac:dyDescent="0.25">
      <c r="A34" s="91"/>
      <c r="B34" s="399">
        <v>6</v>
      </c>
      <c r="C34" s="400"/>
      <c r="D34" s="401"/>
      <c r="E34" s="402"/>
      <c r="F34" s="401"/>
      <c r="G34" s="402"/>
      <c r="H34" s="403"/>
      <c r="I34" s="404">
        <v>2.347</v>
      </c>
      <c r="J34" s="404"/>
      <c r="K34" s="404"/>
      <c r="L34" s="405">
        <v>94.2</v>
      </c>
      <c r="M34" s="397"/>
      <c r="N34" s="398"/>
      <c r="O34" s="397">
        <v>5.8</v>
      </c>
      <c r="P34" s="397"/>
      <c r="Q34" s="398"/>
      <c r="R34" s="395"/>
      <c r="S34" s="395"/>
      <c r="T34" s="395"/>
      <c r="U34" s="395"/>
      <c r="V34" s="395"/>
      <c r="W34" s="395"/>
      <c r="X34" s="395"/>
      <c r="Y34" s="396"/>
      <c r="Z34" s="90"/>
    </row>
    <row r="35" spans="1:26" ht="16.8" customHeight="1" x14ac:dyDescent="0.25">
      <c r="A35" s="91"/>
      <c r="B35" s="399">
        <v>7</v>
      </c>
      <c r="C35" s="400"/>
      <c r="D35" s="401"/>
      <c r="E35" s="402"/>
      <c r="F35" s="401"/>
      <c r="G35" s="402"/>
      <c r="H35" s="403"/>
      <c r="I35" s="404">
        <v>2.3090000000000002</v>
      </c>
      <c r="J35" s="404"/>
      <c r="K35" s="404"/>
      <c r="L35" s="405">
        <v>92.7</v>
      </c>
      <c r="M35" s="397"/>
      <c r="N35" s="398"/>
      <c r="O35" s="397">
        <v>7.3</v>
      </c>
      <c r="P35" s="397"/>
      <c r="Q35" s="398"/>
      <c r="R35" s="395"/>
      <c r="S35" s="395"/>
      <c r="T35" s="395"/>
      <c r="U35" s="395"/>
      <c r="V35" s="395"/>
      <c r="W35" s="395"/>
      <c r="X35" s="395"/>
      <c r="Y35" s="396"/>
      <c r="Z35" s="90"/>
    </row>
    <row r="36" spans="1:26" ht="16.8" customHeight="1" x14ac:dyDescent="0.25">
      <c r="A36" s="91"/>
      <c r="B36" s="399">
        <v>8</v>
      </c>
      <c r="C36" s="400"/>
      <c r="D36" s="401"/>
      <c r="E36" s="402"/>
      <c r="F36" s="401"/>
      <c r="G36" s="402"/>
      <c r="H36" s="403"/>
      <c r="I36" s="404">
        <v>2.3580000000000001</v>
      </c>
      <c r="J36" s="404"/>
      <c r="K36" s="404"/>
      <c r="L36" s="405">
        <v>94.7</v>
      </c>
      <c r="M36" s="397"/>
      <c r="N36" s="398"/>
      <c r="O36" s="397">
        <v>5.3</v>
      </c>
      <c r="P36" s="397"/>
      <c r="Q36" s="398"/>
      <c r="R36" s="395"/>
      <c r="S36" s="395"/>
      <c r="T36" s="395"/>
      <c r="U36" s="395"/>
      <c r="V36" s="395"/>
      <c r="W36" s="395"/>
      <c r="X36" s="395"/>
      <c r="Y36" s="396"/>
      <c r="Z36" s="90"/>
    </row>
    <row r="37" spans="1:26" ht="16.8" customHeight="1" x14ac:dyDescent="0.25">
      <c r="A37" s="91"/>
      <c r="B37" s="399">
        <v>9</v>
      </c>
      <c r="C37" s="400"/>
      <c r="D37" s="401"/>
      <c r="E37" s="402"/>
      <c r="F37" s="401"/>
      <c r="G37" s="402"/>
      <c r="H37" s="403"/>
      <c r="I37" s="404">
        <v>2.327</v>
      </c>
      <c r="J37" s="404"/>
      <c r="K37" s="404"/>
      <c r="L37" s="405">
        <v>93.4</v>
      </c>
      <c r="M37" s="397"/>
      <c r="N37" s="398"/>
      <c r="O37" s="397">
        <v>6.6</v>
      </c>
      <c r="P37" s="397"/>
      <c r="Q37" s="398"/>
      <c r="R37" s="395"/>
      <c r="S37" s="395"/>
      <c r="T37" s="395"/>
      <c r="U37" s="395"/>
      <c r="V37" s="395"/>
      <c r="W37" s="395"/>
      <c r="X37" s="395"/>
      <c r="Y37" s="396"/>
      <c r="Z37" s="90"/>
    </row>
    <row r="38" spans="1:26" ht="16.8" customHeight="1" x14ac:dyDescent="0.25">
      <c r="A38" s="91"/>
      <c r="B38" s="399">
        <v>10</v>
      </c>
      <c r="C38" s="400"/>
      <c r="D38" s="401"/>
      <c r="E38" s="402"/>
      <c r="F38" s="401"/>
      <c r="G38" s="402"/>
      <c r="H38" s="403"/>
      <c r="I38" s="404">
        <v>2.2879999999999998</v>
      </c>
      <c r="J38" s="404"/>
      <c r="K38" s="404"/>
      <c r="L38" s="405">
        <v>91.9</v>
      </c>
      <c r="M38" s="397"/>
      <c r="N38" s="398"/>
      <c r="O38" s="397">
        <v>8.1</v>
      </c>
      <c r="P38" s="397"/>
      <c r="Q38" s="398"/>
      <c r="R38" s="395"/>
      <c r="S38" s="395"/>
      <c r="T38" s="395"/>
      <c r="U38" s="395"/>
      <c r="V38" s="395"/>
      <c r="W38" s="395"/>
      <c r="X38" s="395"/>
      <c r="Y38" s="396"/>
      <c r="Z38" s="90"/>
    </row>
    <row r="39" spans="1:26" ht="16.8" customHeight="1" x14ac:dyDescent="0.25">
      <c r="A39" s="91"/>
      <c r="B39" s="198"/>
      <c r="C39" s="197"/>
      <c r="D39" s="196"/>
      <c r="E39" s="173"/>
      <c r="F39" s="196"/>
      <c r="G39" s="173"/>
      <c r="H39" s="174"/>
      <c r="I39" s="195"/>
      <c r="J39" s="195"/>
      <c r="K39" s="195"/>
      <c r="L39" s="194"/>
      <c r="M39" s="193"/>
      <c r="N39" s="192"/>
      <c r="O39" s="193"/>
      <c r="P39" s="193"/>
      <c r="Q39" s="192"/>
      <c r="R39" s="191"/>
      <c r="S39" s="191"/>
      <c r="T39" s="191"/>
      <c r="U39" s="191"/>
      <c r="V39" s="191"/>
      <c r="W39" s="191"/>
      <c r="X39" s="191"/>
      <c r="Y39" s="190"/>
      <c r="Z39" s="90"/>
    </row>
    <row r="40" spans="1:26" ht="16.8" customHeight="1" x14ac:dyDescent="0.25">
      <c r="A40" s="91"/>
      <c r="B40" s="198"/>
      <c r="C40" s="197"/>
      <c r="D40" s="196"/>
      <c r="E40" s="173"/>
      <c r="F40" s="196"/>
      <c r="G40" s="173"/>
      <c r="H40" s="174"/>
      <c r="I40" s="195"/>
      <c r="J40" s="195"/>
      <c r="K40" s="195"/>
      <c r="L40" s="194"/>
      <c r="M40" s="193"/>
      <c r="N40" s="192"/>
      <c r="O40" s="193"/>
      <c r="P40" s="193"/>
      <c r="Q40" s="192"/>
      <c r="R40" s="191"/>
      <c r="S40" s="191"/>
      <c r="T40" s="191"/>
      <c r="U40" s="191"/>
      <c r="V40" s="191"/>
      <c r="W40" s="191"/>
      <c r="X40" s="191"/>
      <c r="Y40" s="190"/>
      <c r="Z40" s="90"/>
    </row>
    <row r="41" spans="1:26" ht="16.8" customHeight="1" x14ac:dyDescent="0.25">
      <c r="A41" s="91"/>
      <c r="B41" s="198"/>
      <c r="C41" s="197"/>
      <c r="D41" s="196"/>
      <c r="E41" s="173"/>
      <c r="F41" s="196"/>
      <c r="G41" s="173"/>
      <c r="H41" s="174"/>
      <c r="I41" s="195"/>
      <c r="J41" s="195"/>
      <c r="K41" s="195"/>
      <c r="L41" s="194"/>
      <c r="M41" s="193"/>
      <c r="N41" s="192"/>
      <c r="O41" s="193"/>
      <c r="P41" s="193"/>
      <c r="Q41" s="192"/>
      <c r="R41" s="191"/>
      <c r="S41" s="191"/>
      <c r="T41" s="191"/>
      <c r="U41" s="191"/>
      <c r="V41" s="191"/>
      <c r="W41" s="191"/>
      <c r="X41" s="191"/>
      <c r="Y41" s="190"/>
      <c r="Z41" s="90"/>
    </row>
    <row r="42" spans="1:26" ht="16.8" customHeight="1" x14ac:dyDescent="0.25">
      <c r="A42" s="91"/>
      <c r="B42" s="198"/>
      <c r="C42" s="197"/>
      <c r="D42" s="196"/>
      <c r="E42" s="173"/>
      <c r="F42" s="196"/>
      <c r="G42" s="173"/>
      <c r="H42" s="174"/>
      <c r="I42" s="195"/>
      <c r="J42" s="195"/>
      <c r="K42" s="195"/>
      <c r="L42" s="194"/>
      <c r="M42" s="193"/>
      <c r="N42" s="192"/>
      <c r="O42" s="193"/>
      <c r="P42" s="193"/>
      <c r="Q42" s="192"/>
      <c r="R42" s="191"/>
      <c r="S42" s="191"/>
      <c r="T42" s="191"/>
      <c r="U42" s="191"/>
      <c r="V42" s="191"/>
      <c r="W42" s="191"/>
      <c r="X42" s="191"/>
      <c r="Y42" s="190"/>
      <c r="Z42" s="90"/>
    </row>
    <row r="43" spans="1:26" ht="16.8" customHeight="1" x14ac:dyDescent="0.25">
      <c r="A43" s="91"/>
      <c r="B43" s="198"/>
      <c r="C43" s="197"/>
      <c r="D43" s="196"/>
      <c r="E43" s="173"/>
      <c r="F43" s="196"/>
      <c r="G43" s="173"/>
      <c r="H43" s="174"/>
      <c r="I43" s="195"/>
      <c r="J43" s="195"/>
      <c r="K43" s="195"/>
      <c r="L43" s="194"/>
      <c r="M43" s="193"/>
      <c r="N43" s="192"/>
      <c r="O43" s="193"/>
      <c r="P43" s="193"/>
      <c r="Q43" s="192"/>
      <c r="R43" s="191"/>
      <c r="S43" s="191"/>
      <c r="T43" s="191"/>
      <c r="U43" s="191"/>
      <c r="V43" s="191"/>
      <c r="W43" s="191"/>
      <c r="X43" s="191"/>
      <c r="Y43" s="190"/>
      <c r="Z43" s="90"/>
    </row>
    <row r="44" spans="1:26" ht="16.8" customHeight="1" x14ac:dyDescent="0.25">
      <c r="A44" s="91"/>
      <c r="B44" s="198"/>
      <c r="C44" s="197"/>
      <c r="D44" s="196"/>
      <c r="E44" s="173"/>
      <c r="F44" s="196"/>
      <c r="G44" s="173"/>
      <c r="H44" s="174"/>
      <c r="I44" s="195"/>
      <c r="J44" s="195"/>
      <c r="K44" s="195"/>
      <c r="L44" s="194"/>
      <c r="M44" s="193"/>
      <c r="N44" s="192"/>
      <c r="O44" s="193"/>
      <c r="P44" s="193"/>
      <c r="Q44" s="192"/>
      <c r="R44" s="191"/>
      <c r="S44" s="191"/>
      <c r="T44" s="191"/>
      <c r="U44" s="191"/>
      <c r="V44" s="191"/>
      <c r="W44" s="191"/>
      <c r="X44" s="191"/>
      <c r="Y44" s="190"/>
      <c r="Z44" s="90"/>
    </row>
    <row r="45" spans="1:26" ht="16.8" customHeight="1" x14ac:dyDescent="0.25">
      <c r="A45" s="91"/>
      <c r="B45" s="198"/>
      <c r="C45" s="197"/>
      <c r="D45" s="196"/>
      <c r="E45" s="173"/>
      <c r="F45" s="196"/>
      <c r="G45" s="173"/>
      <c r="H45" s="174"/>
      <c r="I45" s="195"/>
      <c r="J45" s="195"/>
      <c r="K45" s="195"/>
      <c r="L45" s="194"/>
      <c r="M45" s="193"/>
      <c r="N45" s="192"/>
      <c r="O45" s="193"/>
      <c r="P45" s="193"/>
      <c r="Q45" s="192"/>
      <c r="R45" s="191"/>
      <c r="S45" s="191"/>
      <c r="T45" s="191"/>
      <c r="U45" s="191"/>
      <c r="V45" s="191"/>
      <c r="W45" s="191"/>
      <c r="X45" s="191"/>
      <c r="Y45" s="190"/>
      <c r="Z45" s="90"/>
    </row>
    <row r="46" spans="1:26" ht="16.8" customHeight="1" x14ac:dyDescent="0.25">
      <c r="A46" s="91"/>
      <c r="B46" s="198"/>
      <c r="C46" s="197"/>
      <c r="D46" s="196"/>
      <c r="E46" s="173"/>
      <c r="F46" s="196"/>
      <c r="G46" s="173"/>
      <c r="H46" s="174"/>
      <c r="I46" s="195"/>
      <c r="J46" s="195"/>
      <c r="K46" s="195"/>
      <c r="L46" s="194"/>
      <c r="M46" s="193"/>
      <c r="N46" s="192"/>
      <c r="O46" s="193"/>
      <c r="P46" s="193"/>
      <c r="Q46" s="192"/>
      <c r="R46" s="191"/>
      <c r="S46" s="191"/>
      <c r="T46" s="191"/>
      <c r="U46" s="191"/>
      <c r="V46" s="191"/>
      <c r="W46" s="191"/>
      <c r="X46" s="191"/>
      <c r="Y46" s="190"/>
      <c r="Z46" s="90"/>
    </row>
    <row r="47" spans="1:26" ht="16.8" customHeight="1" x14ac:dyDescent="0.25">
      <c r="A47" s="91"/>
      <c r="B47" s="198"/>
      <c r="C47" s="197"/>
      <c r="D47" s="196"/>
      <c r="E47" s="173"/>
      <c r="F47" s="196"/>
      <c r="G47" s="173"/>
      <c r="H47" s="174"/>
      <c r="I47" s="195"/>
      <c r="J47" s="195"/>
      <c r="K47" s="195"/>
      <c r="L47" s="194"/>
      <c r="M47" s="193"/>
      <c r="N47" s="192"/>
      <c r="O47" s="193"/>
      <c r="P47" s="193"/>
      <c r="Q47" s="192"/>
      <c r="R47" s="191"/>
      <c r="S47" s="191"/>
      <c r="T47" s="191"/>
      <c r="U47" s="191"/>
      <c r="V47" s="191"/>
      <c r="W47" s="191"/>
      <c r="X47" s="191"/>
      <c r="Y47" s="190"/>
      <c r="Z47" s="90"/>
    </row>
    <row r="48" spans="1:26" ht="16.8" customHeight="1" x14ac:dyDescent="0.25">
      <c r="A48" s="91"/>
      <c r="B48" s="198"/>
      <c r="C48" s="197"/>
      <c r="D48" s="196"/>
      <c r="E48" s="173"/>
      <c r="F48" s="196"/>
      <c r="G48" s="173"/>
      <c r="H48" s="174"/>
      <c r="I48" s="195"/>
      <c r="J48" s="195"/>
      <c r="K48" s="195"/>
      <c r="L48" s="194"/>
      <c r="M48" s="193"/>
      <c r="N48" s="192"/>
      <c r="O48" s="193"/>
      <c r="P48" s="193"/>
      <c r="Q48" s="192"/>
      <c r="R48" s="191"/>
      <c r="S48" s="191"/>
      <c r="T48" s="191"/>
      <c r="U48" s="191"/>
      <c r="V48" s="191"/>
      <c r="W48" s="191"/>
      <c r="X48" s="191"/>
      <c r="Y48" s="190"/>
      <c r="Z48" s="90"/>
    </row>
    <row r="49" spans="1:29" ht="16.8" customHeight="1" x14ac:dyDescent="0.25">
      <c r="A49" s="91"/>
      <c r="B49" s="198"/>
      <c r="C49" s="197"/>
      <c r="D49" s="196"/>
      <c r="E49" s="173"/>
      <c r="F49" s="196"/>
      <c r="G49" s="173"/>
      <c r="H49" s="174"/>
      <c r="I49" s="195"/>
      <c r="J49" s="195"/>
      <c r="K49" s="195"/>
      <c r="L49" s="194"/>
      <c r="M49" s="193"/>
      <c r="N49" s="192"/>
      <c r="O49" s="193"/>
      <c r="P49" s="193"/>
      <c r="Q49" s="192"/>
      <c r="R49" s="191"/>
      <c r="S49" s="191"/>
      <c r="T49" s="191"/>
      <c r="U49" s="191"/>
      <c r="V49" s="191"/>
      <c r="W49" s="191"/>
      <c r="X49" s="191"/>
      <c r="Y49" s="190"/>
      <c r="Z49" s="90"/>
    </row>
    <row r="50" spans="1:29" ht="16.8" customHeight="1" x14ac:dyDescent="0.25">
      <c r="A50" s="91"/>
      <c r="B50" s="198"/>
      <c r="C50" s="197"/>
      <c r="D50" s="196"/>
      <c r="E50" s="173"/>
      <c r="F50" s="196"/>
      <c r="G50" s="173"/>
      <c r="H50" s="174"/>
      <c r="I50" s="195"/>
      <c r="J50" s="195"/>
      <c r="K50" s="195"/>
      <c r="L50" s="194"/>
      <c r="M50" s="193"/>
      <c r="N50" s="192"/>
      <c r="O50" s="193"/>
      <c r="P50" s="193"/>
      <c r="Q50" s="192"/>
      <c r="R50" s="191"/>
      <c r="S50" s="191"/>
      <c r="T50" s="191"/>
      <c r="U50" s="191"/>
      <c r="V50" s="191"/>
      <c r="W50" s="191"/>
      <c r="X50" s="191"/>
      <c r="Y50" s="190"/>
      <c r="Z50" s="90"/>
    </row>
    <row r="51" spans="1:29" ht="16.8" customHeight="1" x14ac:dyDescent="0.25">
      <c r="A51" s="91"/>
      <c r="B51" s="198"/>
      <c r="C51" s="197"/>
      <c r="D51" s="196"/>
      <c r="E51" s="173"/>
      <c r="F51" s="196"/>
      <c r="G51" s="173"/>
      <c r="H51" s="174"/>
      <c r="I51" s="195"/>
      <c r="J51" s="195"/>
      <c r="K51" s="195"/>
      <c r="L51" s="194"/>
      <c r="M51" s="193"/>
      <c r="N51" s="192"/>
      <c r="O51" s="193"/>
      <c r="P51" s="193"/>
      <c r="Q51" s="192"/>
      <c r="R51" s="191"/>
      <c r="S51" s="191"/>
      <c r="T51" s="191"/>
      <c r="U51" s="191"/>
      <c r="V51" s="191"/>
      <c r="W51" s="191"/>
      <c r="X51" s="191"/>
      <c r="Y51" s="190"/>
      <c r="Z51" s="90"/>
    </row>
    <row r="52" spans="1:29" ht="16.8" customHeight="1" x14ac:dyDescent="0.25">
      <c r="A52" s="91"/>
      <c r="B52" s="198"/>
      <c r="C52" s="197"/>
      <c r="D52" s="196"/>
      <c r="E52" s="173"/>
      <c r="F52" s="196"/>
      <c r="G52" s="173"/>
      <c r="H52" s="174"/>
      <c r="I52" s="195"/>
      <c r="J52" s="195"/>
      <c r="K52" s="195"/>
      <c r="L52" s="194"/>
      <c r="M52" s="193"/>
      <c r="N52" s="192"/>
      <c r="O52" s="193"/>
      <c r="P52" s="193"/>
      <c r="Q52" s="192"/>
      <c r="R52" s="191"/>
      <c r="S52" s="191"/>
      <c r="T52" s="191"/>
      <c r="U52" s="191"/>
      <c r="V52" s="191"/>
      <c r="W52" s="191"/>
      <c r="X52" s="191"/>
      <c r="Y52" s="190"/>
      <c r="Z52" s="90"/>
    </row>
    <row r="53" spans="1:29" ht="16.8" customHeight="1" x14ac:dyDescent="0.25">
      <c r="A53" s="91"/>
      <c r="B53" s="198"/>
      <c r="C53" s="197"/>
      <c r="D53" s="196"/>
      <c r="E53" s="173"/>
      <c r="F53" s="196"/>
      <c r="G53" s="173"/>
      <c r="H53" s="174"/>
      <c r="I53" s="195"/>
      <c r="J53" s="195"/>
      <c r="K53" s="195"/>
      <c r="L53" s="194"/>
      <c r="M53" s="193"/>
      <c r="N53" s="192"/>
      <c r="O53" s="193"/>
      <c r="P53" s="193"/>
      <c r="Q53" s="192"/>
      <c r="R53" s="191"/>
      <c r="S53" s="191"/>
      <c r="T53" s="191"/>
      <c r="U53" s="191"/>
      <c r="V53" s="191"/>
      <c r="W53" s="191"/>
      <c r="X53" s="191"/>
      <c r="Y53" s="190"/>
      <c r="Z53" s="90"/>
    </row>
    <row r="54" spans="1:29" ht="16.8" customHeight="1" x14ac:dyDescent="0.25">
      <c r="A54" s="91"/>
      <c r="B54" s="198"/>
      <c r="C54" s="197"/>
      <c r="D54" s="196"/>
      <c r="E54" s="173"/>
      <c r="F54" s="196"/>
      <c r="G54" s="173"/>
      <c r="H54" s="174"/>
      <c r="I54" s="195"/>
      <c r="J54" s="195"/>
      <c r="K54" s="195"/>
      <c r="L54" s="194"/>
      <c r="M54" s="193"/>
      <c r="N54" s="192"/>
      <c r="O54" s="193"/>
      <c r="P54" s="193"/>
      <c r="Q54" s="192"/>
      <c r="R54" s="191"/>
      <c r="S54" s="191"/>
      <c r="T54" s="191"/>
      <c r="U54" s="191"/>
      <c r="V54" s="191"/>
      <c r="W54" s="191"/>
      <c r="X54" s="191"/>
      <c r="Y54" s="190"/>
      <c r="Z54" s="90"/>
    </row>
    <row r="55" spans="1:29" ht="16.8" customHeight="1" x14ac:dyDescent="0.25">
      <c r="A55" s="91"/>
      <c r="B55" s="198"/>
      <c r="C55" s="197"/>
      <c r="D55" s="196"/>
      <c r="E55" s="173"/>
      <c r="F55" s="196"/>
      <c r="G55" s="173"/>
      <c r="H55" s="174"/>
      <c r="I55" s="195"/>
      <c r="J55" s="195"/>
      <c r="K55" s="195"/>
      <c r="L55" s="194"/>
      <c r="M55" s="193"/>
      <c r="N55" s="192"/>
      <c r="O55" s="193"/>
      <c r="P55" s="193"/>
      <c r="Q55" s="192"/>
      <c r="R55" s="191"/>
      <c r="S55" s="191"/>
      <c r="T55" s="191"/>
      <c r="U55" s="191"/>
      <c r="V55" s="191"/>
      <c r="W55" s="191"/>
      <c r="X55" s="191"/>
      <c r="Y55" s="190"/>
      <c r="Z55" s="90"/>
    </row>
    <row r="56" spans="1:29" ht="16.8" customHeight="1" x14ac:dyDescent="0.25">
      <c r="A56" s="91"/>
      <c r="B56" s="198"/>
      <c r="C56" s="197"/>
      <c r="D56" s="196"/>
      <c r="E56" s="173"/>
      <c r="F56" s="196"/>
      <c r="G56" s="173"/>
      <c r="H56" s="174"/>
      <c r="I56" s="195"/>
      <c r="J56" s="195"/>
      <c r="K56" s="195"/>
      <c r="L56" s="194"/>
      <c r="M56" s="193"/>
      <c r="N56" s="192"/>
      <c r="O56" s="193"/>
      <c r="P56" s="193"/>
      <c r="Q56" s="192"/>
      <c r="R56" s="191"/>
      <c r="S56" s="191"/>
      <c r="T56" s="191"/>
      <c r="U56" s="191"/>
      <c r="V56" s="191"/>
      <c r="W56" s="191"/>
      <c r="X56" s="191"/>
      <c r="Y56" s="190"/>
      <c r="Z56" s="90"/>
    </row>
    <row r="57" spans="1:29" ht="16.8" customHeight="1" x14ac:dyDescent="0.25">
      <c r="A57" s="91"/>
      <c r="B57" s="198"/>
      <c r="C57" s="197"/>
      <c r="D57" s="196"/>
      <c r="E57" s="173"/>
      <c r="F57" s="196"/>
      <c r="G57" s="173"/>
      <c r="H57" s="174"/>
      <c r="I57" s="195"/>
      <c r="J57" s="195"/>
      <c r="K57" s="195"/>
      <c r="L57" s="194"/>
      <c r="M57" s="193"/>
      <c r="N57" s="192"/>
      <c r="O57" s="193"/>
      <c r="P57" s="193"/>
      <c r="Q57" s="192"/>
      <c r="R57" s="191"/>
      <c r="S57" s="191"/>
      <c r="T57" s="191"/>
      <c r="U57" s="191"/>
      <c r="V57" s="191"/>
      <c r="W57" s="191"/>
      <c r="X57" s="191"/>
      <c r="Y57" s="190"/>
      <c r="Z57" s="90"/>
    </row>
    <row r="58" spans="1:29" ht="17.25" customHeight="1" x14ac:dyDescent="0.25">
      <c r="A58" s="91"/>
      <c r="B58" s="511"/>
      <c r="C58" s="512"/>
      <c r="D58" s="483"/>
      <c r="E58" s="484"/>
      <c r="F58" s="483"/>
      <c r="G58" s="484"/>
      <c r="H58" s="485"/>
      <c r="I58" s="482"/>
      <c r="J58" s="482"/>
      <c r="K58" s="482"/>
      <c r="L58" s="490"/>
      <c r="M58" s="488"/>
      <c r="N58" s="489"/>
      <c r="O58" s="488"/>
      <c r="P58" s="488"/>
      <c r="Q58" s="489"/>
      <c r="R58" s="486"/>
      <c r="S58" s="486"/>
      <c r="T58" s="486"/>
      <c r="U58" s="486"/>
      <c r="V58" s="486"/>
      <c r="W58" s="486"/>
      <c r="X58" s="486"/>
      <c r="Y58" s="487"/>
      <c r="Z58" s="90"/>
    </row>
    <row r="59" spans="1:29" ht="16.5" customHeight="1" thickBot="1" x14ac:dyDescent="0.3">
      <c r="A59" s="91"/>
      <c r="B59" s="516" t="s">
        <v>62</v>
      </c>
      <c r="C59" s="517"/>
      <c r="D59" s="517"/>
      <c r="E59" s="517"/>
      <c r="F59" s="517"/>
      <c r="G59" s="517"/>
      <c r="H59" s="517"/>
      <c r="I59" s="518">
        <v>2.3199999999999998</v>
      </c>
      <c r="J59" s="518"/>
      <c r="K59" s="518"/>
      <c r="L59" s="472">
        <v>92.99</v>
      </c>
      <c r="M59" s="472"/>
      <c r="N59" s="472"/>
      <c r="O59" s="472">
        <v>7.01</v>
      </c>
      <c r="P59" s="472"/>
      <c r="Q59" s="472"/>
      <c r="R59" s="519"/>
      <c r="S59" s="519"/>
      <c r="T59" s="519"/>
      <c r="U59" s="519"/>
      <c r="V59" s="519"/>
      <c r="W59" s="519"/>
      <c r="X59" s="519"/>
      <c r="Y59" s="520"/>
      <c r="Z59" s="90"/>
    </row>
    <row r="60" spans="1:29" ht="25.5" customHeight="1" thickBot="1" x14ac:dyDescent="0.3">
      <c r="A60" s="91"/>
      <c r="B60" s="470" t="s">
        <v>63</v>
      </c>
      <c r="C60" s="471"/>
      <c r="D60" s="471"/>
      <c r="E60" s="471"/>
      <c r="F60" s="471"/>
      <c r="G60" s="471"/>
      <c r="H60" s="471"/>
      <c r="I60" s="513">
        <v>100</v>
      </c>
      <c r="J60" s="513"/>
      <c r="K60" s="513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5"/>
      <c r="Z60" s="90"/>
    </row>
    <row r="61" spans="1:29" ht="15" customHeight="1" x14ac:dyDescent="0.25">
      <c r="A61" s="89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7"/>
    </row>
    <row r="62" spans="1:29" ht="16.5" customHeight="1" x14ac:dyDescent="0.25">
      <c r="S62" s="189"/>
      <c r="T62" s="189"/>
      <c r="U62" s="189"/>
    </row>
    <row r="63" spans="1:29" ht="15.6" customHeight="1" x14ac:dyDescent="0.25">
      <c r="A63" s="86" t="s">
        <v>64</v>
      </c>
      <c r="B63" s="85" t="s">
        <v>65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188"/>
      <c r="V63" s="187"/>
      <c r="W63" s="187"/>
      <c r="X63" s="187"/>
      <c r="Y63" s="187"/>
      <c r="Z63" s="186"/>
      <c r="AA63" s="59"/>
      <c r="AB63" s="59"/>
      <c r="AC63" s="59"/>
    </row>
    <row r="64" spans="1:29" ht="26.4" customHeight="1" x14ac:dyDescent="0.25">
      <c r="A64" s="476" t="s">
        <v>150</v>
      </c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8"/>
      <c r="R64" s="417" t="s">
        <v>67</v>
      </c>
      <c r="S64" s="418"/>
      <c r="T64" s="419"/>
      <c r="U64" s="491" t="s">
        <v>131</v>
      </c>
      <c r="V64" s="492"/>
      <c r="W64" s="492"/>
      <c r="X64" s="493"/>
      <c r="Y64" s="493"/>
      <c r="Z64" s="494"/>
      <c r="AA64" s="59"/>
      <c r="AB64" s="59"/>
      <c r="AC64" s="59"/>
    </row>
    <row r="65" spans="1:29" ht="15.6" customHeight="1" x14ac:dyDescent="0.25">
      <c r="A65" s="420" t="s">
        <v>74</v>
      </c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2"/>
      <c r="R65" s="417" t="s">
        <v>68</v>
      </c>
      <c r="S65" s="418"/>
      <c r="T65" s="419"/>
      <c r="U65" s="495" t="s">
        <v>130</v>
      </c>
      <c r="V65" s="496"/>
      <c r="W65" s="496"/>
      <c r="X65" s="496"/>
      <c r="Y65" s="496"/>
      <c r="Z65" s="497"/>
      <c r="AA65" s="59"/>
      <c r="AB65" s="59"/>
      <c r="AC65" s="59"/>
    </row>
    <row r="66" spans="1:29" ht="15.6" customHeight="1" x14ac:dyDescent="0.25">
      <c r="A66" s="423"/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5"/>
      <c r="R66" s="417"/>
      <c r="S66" s="418"/>
      <c r="T66" s="419"/>
      <c r="U66" s="498"/>
      <c r="V66" s="499"/>
      <c r="W66" s="499"/>
      <c r="X66" s="499"/>
      <c r="Y66" s="499"/>
      <c r="Z66" s="500"/>
      <c r="AA66" s="59"/>
      <c r="AB66" s="59"/>
      <c r="AC66" s="59"/>
    </row>
    <row r="67" spans="1:29" ht="15.6" customHeight="1" x14ac:dyDescent="0.25">
      <c r="A67" s="175" t="s">
        <v>149</v>
      </c>
      <c r="B67" s="185" t="s">
        <v>70</v>
      </c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184"/>
      <c r="R67" s="417"/>
      <c r="S67" s="418"/>
      <c r="T67" s="419"/>
      <c r="U67" s="501"/>
      <c r="V67" s="502"/>
      <c r="W67" s="502"/>
      <c r="X67" s="502"/>
      <c r="Y67" s="502"/>
      <c r="Z67" s="503"/>
      <c r="AA67" s="59"/>
      <c r="AB67" s="59"/>
      <c r="AC67" s="59"/>
    </row>
    <row r="68" spans="1:29" ht="15.6" customHeight="1" x14ac:dyDescent="0.25">
      <c r="A68" s="464"/>
      <c r="B68" s="465"/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  <c r="O68" s="465"/>
      <c r="P68" s="465"/>
      <c r="Q68" s="466"/>
      <c r="R68" s="417" t="s">
        <v>71</v>
      </c>
      <c r="S68" s="418"/>
      <c r="T68" s="419"/>
      <c r="U68" s="183"/>
      <c r="V68" s="182"/>
      <c r="W68" s="182"/>
      <c r="X68" s="182"/>
      <c r="Y68" s="182"/>
      <c r="Z68" s="181"/>
      <c r="AA68" s="59"/>
      <c r="AB68" s="59"/>
      <c r="AC68" s="59"/>
    </row>
    <row r="69" spans="1:29" ht="15.6" customHeight="1" x14ac:dyDescent="0.25">
      <c r="A69" s="464"/>
      <c r="B69" s="465"/>
      <c r="C69" s="465"/>
      <c r="D69" s="465"/>
      <c r="E69" s="465"/>
      <c r="F69" s="465"/>
      <c r="G69" s="465"/>
      <c r="H69" s="465"/>
      <c r="I69" s="465"/>
      <c r="J69" s="465"/>
      <c r="K69" s="465"/>
      <c r="L69" s="465"/>
      <c r="M69" s="465"/>
      <c r="N69" s="465"/>
      <c r="O69" s="465"/>
      <c r="P69" s="465"/>
      <c r="Q69" s="466"/>
      <c r="R69" s="417"/>
      <c r="S69" s="418"/>
      <c r="T69" s="419"/>
      <c r="U69" s="180"/>
      <c r="V69" s="499"/>
      <c r="W69" s="499"/>
      <c r="X69" s="499"/>
      <c r="Y69" s="499"/>
      <c r="Z69" s="179"/>
      <c r="AA69" s="59"/>
      <c r="AB69" s="59"/>
      <c r="AC69" s="59"/>
    </row>
    <row r="70" spans="1:29" ht="15.6" customHeight="1" x14ac:dyDescent="0.25">
      <c r="A70" s="464"/>
      <c r="B70" s="465"/>
      <c r="C70" s="465"/>
      <c r="D70" s="465"/>
      <c r="E70" s="465"/>
      <c r="F70" s="465"/>
      <c r="G70" s="465"/>
      <c r="H70" s="465"/>
      <c r="I70" s="465"/>
      <c r="J70" s="465"/>
      <c r="K70" s="465"/>
      <c r="L70" s="465"/>
      <c r="M70" s="465"/>
      <c r="N70" s="465"/>
      <c r="O70" s="465"/>
      <c r="P70" s="465"/>
      <c r="Q70" s="466"/>
      <c r="R70" s="417"/>
      <c r="S70" s="418"/>
      <c r="T70" s="419"/>
      <c r="U70" s="180"/>
      <c r="V70" s="499"/>
      <c r="W70" s="499"/>
      <c r="X70" s="499"/>
      <c r="Y70" s="499"/>
      <c r="Z70" s="179"/>
      <c r="AA70" s="59"/>
      <c r="AB70" s="59"/>
      <c r="AC70" s="59"/>
    </row>
    <row r="71" spans="1:29" ht="15.6" customHeight="1" x14ac:dyDescent="0.25">
      <c r="A71" s="467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9"/>
      <c r="R71" s="479"/>
      <c r="S71" s="480"/>
      <c r="T71" s="481"/>
      <c r="U71" s="178"/>
      <c r="V71" s="177"/>
      <c r="W71" s="177"/>
      <c r="X71" s="177"/>
      <c r="Y71" s="177"/>
      <c r="Z71" s="176"/>
      <c r="AA71" s="59"/>
      <c r="AB71" s="59"/>
      <c r="AC71" s="59"/>
    </row>
    <row r="72" spans="1:29" ht="16.5" customHeight="1" x14ac:dyDescent="0.25">
      <c r="R72" s="61"/>
      <c r="S72" s="61"/>
      <c r="T72" s="61"/>
      <c r="U72" s="60"/>
      <c r="V72" s="60"/>
      <c r="W72" s="60"/>
      <c r="X72" s="60"/>
      <c r="Y72" s="60"/>
      <c r="Z72" s="60"/>
      <c r="AA72" s="59"/>
      <c r="AB72" s="59"/>
      <c r="AC72" s="59"/>
    </row>
  </sheetData>
  <sheetProtection formatCells="0" formatColumns="0" formatRows="0" insertColumns="0" insertRows="0" insertHyperlinks="0" deleteColumns="0" deleteRows="0" selectLockedCells="1" sort="0" autoFilter="0" pivotTables="0"/>
  <mergeCells count="153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2:Q32"/>
    <mergeCell ref="F32:H32"/>
    <mergeCell ref="I32:K32"/>
    <mergeCell ref="L32:N32"/>
    <mergeCell ref="F31:H31"/>
    <mergeCell ref="I31:K31"/>
    <mergeCell ref="L31:N31"/>
    <mergeCell ref="O31:Q31"/>
    <mergeCell ref="D36:E36"/>
    <mergeCell ref="F36:H36"/>
    <mergeCell ref="I36:K36"/>
    <mergeCell ref="L36:N36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O34:Q34"/>
    <mergeCell ref="B35:C35"/>
    <mergeCell ref="D35:E35"/>
    <mergeCell ref="F35:H35"/>
    <mergeCell ref="I35:K35"/>
    <mergeCell ref="L35:N35"/>
    <mergeCell ref="B34:C34"/>
    <mergeCell ref="D34:E34"/>
    <mergeCell ref="F34:H34"/>
    <mergeCell ref="I34:K34"/>
    <mergeCell ref="L34:N34"/>
    <mergeCell ref="O35:Q35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A9D1-32A9-4928-82C4-17944064ECD3}">
  <sheetPr>
    <pageSetUpPr fitToPage="1"/>
  </sheetPr>
  <dimension ref="A1:AN72"/>
  <sheetViews>
    <sheetView topLeftCell="A47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58" customWidth="1"/>
    <col min="27" max="27" width="8.33203125" style="58" customWidth="1"/>
    <col min="28" max="28" width="11.44140625" style="58"/>
    <col min="29" max="16384" width="11.44140625" style="57"/>
  </cols>
  <sheetData>
    <row r="1" spans="1:40" ht="13.2" customHeight="1" x14ac:dyDescent="0.25">
      <c r="A1" s="432"/>
      <c r="B1" s="433"/>
      <c r="C1" s="433"/>
      <c r="D1" s="433"/>
      <c r="E1" s="433"/>
      <c r="F1" s="434"/>
      <c r="G1" s="441" t="s">
        <v>0</v>
      </c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3"/>
      <c r="U1" s="449" t="s">
        <v>136</v>
      </c>
      <c r="V1" s="450"/>
      <c r="W1" s="450"/>
      <c r="X1" s="450"/>
      <c r="Y1" s="450"/>
      <c r="Z1" s="451"/>
    </row>
    <row r="2" spans="1:40" ht="13.2" customHeight="1" x14ac:dyDescent="0.25">
      <c r="A2" s="435"/>
      <c r="B2" s="436"/>
      <c r="C2" s="436"/>
      <c r="D2" s="436"/>
      <c r="E2" s="436"/>
      <c r="F2" s="437"/>
      <c r="G2" s="458" t="s">
        <v>1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60"/>
      <c r="U2" s="452"/>
      <c r="V2" s="453"/>
      <c r="W2" s="453"/>
      <c r="X2" s="453"/>
      <c r="Y2" s="453"/>
      <c r="Z2" s="454"/>
    </row>
    <row r="3" spans="1:40" ht="13.2" customHeight="1" x14ac:dyDescent="0.25">
      <c r="A3" s="435"/>
      <c r="B3" s="436"/>
      <c r="C3" s="436"/>
      <c r="D3" s="436"/>
      <c r="E3" s="436"/>
      <c r="F3" s="437"/>
      <c r="G3" s="458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60"/>
      <c r="U3" s="452"/>
      <c r="V3" s="453"/>
      <c r="W3" s="453"/>
      <c r="X3" s="453"/>
      <c r="Y3" s="453"/>
      <c r="Z3" s="454"/>
    </row>
    <row r="4" spans="1:40" ht="13.2" customHeight="1" x14ac:dyDescent="0.25">
      <c r="A4" s="435"/>
      <c r="B4" s="436"/>
      <c r="C4" s="436"/>
      <c r="D4" s="436"/>
      <c r="E4" s="436"/>
      <c r="F4" s="437"/>
      <c r="G4" s="458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459"/>
      <c r="T4" s="460"/>
      <c r="U4" s="452"/>
      <c r="V4" s="453"/>
      <c r="W4" s="453"/>
      <c r="X4" s="453"/>
      <c r="Y4" s="453"/>
      <c r="Z4" s="454"/>
    </row>
    <row r="5" spans="1:40" ht="15" customHeight="1" x14ac:dyDescent="0.25">
      <c r="A5" s="435"/>
      <c r="B5" s="436"/>
      <c r="C5" s="436"/>
      <c r="D5" s="436"/>
      <c r="E5" s="436"/>
      <c r="F5" s="437"/>
      <c r="G5" s="420" t="s">
        <v>2</v>
      </c>
      <c r="H5" s="421"/>
      <c r="I5" s="415">
        <v>31</v>
      </c>
      <c r="J5" s="415"/>
      <c r="K5" s="416"/>
      <c r="L5" s="461" t="s">
        <v>4</v>
      </c>
      <c r="M5" s="462"/>
      <c r="N5" s="462"/>
      <c r="O5" s="463"/>
      <c r="P5" s="446" t="s">
        <v>155</v>
      </c>
      <c r="Q5" s="447"/>
      <c r="R5" s="447"/>
      <c r="S5" s="447"/>
      <c r="T5" s="448"/>
      <c r="U5" s="452"/>
      <c r="V5" s="453"/>
      <c r="W5" s="453"/>
      <c r="X5" s="453"/>
      <c r="Y5" s="453"/>
      <c r="Z5" s="454"/>
    </row>
    <row r="6" spans="1:40" ht="13.2" customHeight="1" x14ac:dyDescent="0.25">
      <c r="A6" s="438"/>
      <c r="B6" s="439"/>
      <c r="C6" s="439"/>
      <c r="D6" s="439"/>
      <c r="E6" s="439"/>
      <c r="F6" s="440"/>
      <c r="G6" s="89"/>
      <c r="H6" s="120"/>
      <c r="I6" s="413" t="s">
        <v>6</v>
      </c>
      <c r="J6" s="413"/>
      <c r="K6" s="413"/>
      <c r="L6" s="413" t="s">
        <v>7</v>
      </c>
      <c r="M6" s="413"/>
      <c r="N6" s="413"/>
      <c r="O6" s="413"/>
      <c r="P6" s="413" t="s">
        <v>8</v>
      </c>
      <c r="Q6" s="413"/>
      <c r="R6" s="413"/>
      <c r="S6" s="413"/>
      <c r="T6" s="414"/>
      <c r="U6" s="455"/>
      <c r="V6" s="456"/>
      <c r="W6" s="456"/>
      <c r="X6" s="456"/>
      <c r="Y6" s="456"/>
      <c r="Z6" s="457"/>
    </row>
    <row r="7" spans="1:40" ht="36.75" customHeight="1" x14ac:dyDescent="0.25">
      <c r="A7" s="444" t="s">
        <v>9</v>
      </c>
      <c r="B7" s="444"/>
      <c r="C7" s="444"/>
      <c r="D7" s="444"/>
      <c r="E7" s="444"/>
      <c r="F7" s="444"/>
      <c r="G7" s="445" t="s">
        <v>156</v>
      </c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</row>
    <row r="8" spans="1:40" ht="15.6" customHeight="1" x14ac:dyDescent="0.25">
      <c r="A8" s="74" t="s">
        <v>11</v>
      </c>
      <c r="B8" s="73" t="s">
        <v>12</v>
      </c>
      <c r="C8" s="72"/>
      <c r="D8" s="106"/>
      <c r="E8" s="106"/>
      <c r="F8" s="106"/>
      <c r="G8" s="106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04"/>
    </row>
    <row r="9" spans="1:40" ht="6" customHeight="1" x14ac:dyDescent="0.25">
      <c r="A9" s="91"/>
      <c r="D9" s="119"/>
      <c r="E9" s="119"/>
      <c r="F9" s="119"/>
      <c r="G9" s="119"/>
      <c r="Z9" s="90"/>
    </row>
    <row r="10" spans="1:40" ht="15" customHeight="1" x14ac:dyDescent="0.25">
      <c r="A10" s="91"/>
      <c r="B10" s="406" t="s">
        <v>13</v>
      </c>
      <c r="C10" s="406"/>
      <c r="D10" s="406"/>
      <c r="E10" s="406"/>
      <c r="F10" s="406"/>
      <c r="G10" s="412" t="s">
        <v>135</v>
      </c>
      <c r="H10" s="412"/>
      <c r="I10" s="412"/>
      <c r="J10" s="412"/>
      <c r="K10" s="412"/>
      <c r="L10" s="412"/>
      <c r="M10" s="406" t="s">
        <v>15</v>
      </c>
      <c r="N10" s="406"/>
      <c r="O10" s="406"/>
      <c r="P10" s="406"/>
      <c r="Q10" s="406"/>
      <c r="R10" s="406"/>
      <c r="S10" s="410" t="s">
        <v>80</v>
      </c>
      <c r="T10" s="410"/>
      <c r="U10" s="410"/>
      <c r="V10" s="410"/>
      <c r="W10" s="410"/>
      <c r="X10" s="410"/>
      <c r="Y10" s="410"/>
      <c r="Z10" s="108"/>
    </row>
    <row r="11" spans="1:40" ht="15" customHeight="1" x14ac:dyDescent="0.25">
      <c r="A11" s="91"/>
      <c r="B11" s="406" t="s">
        <v>17</v>
      </c>
      <c r="C11" s="406"/>
      <c r="D11" s="406"/>
      <c r="E11" s="406"/>
      <c r="F11" s="406"/>
      <c r="G11" s="412" t="s">
        <v>155</v>
      </c>
      <c r="H11" s="412"/>
      <c r="I11" s="412"/>
      <c r="J11" s="412"/>
      <c r="K11" s="412"/>
      <c r="L11" s="412"/>
      <c r="M11" s="406" t="s">
        <v>18</v>
      </c>
      <c r="N11" s="406"/>
      <c r="O11" s="406"/>
      <c r="P11" s="411">
        <v>106</v>
      </c>
      <c r="Q11" s="411"/>
      <c r="R11" s="411"/>
      <c r="S11" s="406" t="s">
        <v>19</v>
      </c>
      <c r="T11" s="406"/>
      <c r="U11" s="406"/>
      <c r="V11" s="406"/>
      <c r="W11" s="406"/>
      <c r="X11" s="411" t="s">
        <v>79</v>
      </c>
      <c r="Y11" s="411"/>
      <c r="Z11" s="108"/>
    </row>
    <row r="12" spans="1:40" ht="15" customHeight="1" x14ac:dyDescent="0.25">
      <c r="A12" s="91"/>
      <c r="B12" s="406" t="s">
        <v>21</v>
      </c>
      <c r="C12" s="406"/>
      <c r="D12" s="406"/>
      <c r="E12" s="406"/>
      <c r="F12" s="406"/>
      <c r="G12" s="412" t="s">
        <v>78</v>
      </c>
      <c r="H12" s="412"/>
      <c r="I12" s="412"/>
      <c r="J12" s="412"/>
      <c r="K12" s="412"/>
      <c r="L12" s="412"/>
      <c r="M12" s="406" t="s">
        <v>23</v>
      </c>
      <c r="N12" s="406"/>
      <c r="O12" s="406"/>
      <c r="P12" s="406"/>
      <c r="Q12" s="406"/>
      <c r="R12" s="406"/>
      <c r="S12" s="410" t="s">
        <v>24</v>
      </c>
      <c r="T12" s="410"/>
      <c r="U12" s="410"/>
      <c r="V12" s="410"/>
      <c r="W12" s="410"/>
      <c r="X12" s="410"/>
      <c r="Y12" s="410"/>
      <c r="Z12" s="108"/>
    </row>
    <row r="13" spans="1:40" ht="15" customHeight="1" x14ac:dyDescent="0.25">
      <c r="A13" s="91"/>
      <c r="B13" s="406" t="s">
        <v>25</v>
      </c>
      <c r="C13" s="406"/>
      <c r="D13" s="406"/>
      <c r="E13" s="406"/>
      <c r="F13" s="406"/>
      <c r="G13" s="523" t="s">
        <v>155</v>
      </c>
      <c r="H13" s="412"/>
      <c r="I13" s="412"/>
      <c r="J13" s="412"/>
      <c r="K13" s="412"/>
      <c r="L13" s="412"/>
      <c r="M13" s="406" t="s">
        <v>26</v>
      </c>
      <c r="N13" s="406"/>
      <c r="O13" s="406"/>
      <c r="P13" s="406"/>
      <c r="Q13" s="406"/>
      <c r="R13" s="406"/>
      <c r="S13" s="406" t="s">
        <v>154</v>
      </c>
      <c r="T13" s="406"/>
      <c r="U13" s="406"/>
      <c r="V13" s="406"/>
      <c r="W13" s="406"/>
      <c r="X13" s="406"/>
      <c r="Y13" s="406"/>
      <c r="Z13" s="108"/>
    </row>
    <row r="14" spans="1:40" ht="15" customHeight="1" x14ac:dyDescent="0.25">
      <c r="A14" s="91"/>
      <c r="B14" s="406" t="s">
        <v>28</v>
      </c>
      <c r="C14" s="406"/>
      <c r="D14" s="406"/>
      <c r="E14" s="406"/>
      <c r="F14" s="406"/>
      <c r="G14" s="412" t="s">
        <v>29</v>
      </c>
      <c r="H14" s="412"/>
      <c r="I14" s="412"/>
      <c r="J14" s="412"/>
      <c r="K14" s="412"/>
      <c r="L14" s="412"/>
      <c r="M14" s="406" t="s">
        <v>30</v>
      </c>
      <c r="N14" s="406"/>
      <c r="O14" s="406"/>
      <c r="P14" s="406"/>
      <c r="Q14" s="406"/>
      <c r="R14" s="406"/>
      <c r="S14" s="406" t="s">
        <v>95</v>
      </c>
      <c r="T14" s="406"/>
      <c r="U14" s="406"/>
      <c r="V14" s="406"/>
      <c r="W14" s="406"/>
      <c r="X14" s="406"/>
      <c r="Y14" s="406"/>
      <c r="Z14" s="108"/>
    </row>
    <row r="15" spans="1:40" ht="15" customHeight="1" x14ac:dyDescent="0.25">
      <c r="A15" s="91"/>
      <c r="B15" s="407" t="s">
        <v>32</v>
      </c>
      <c r="C15" s="407"/>
      <c r="D15" s="407"/>
      <c r="E15" s="407"/>
      <c r="F15" s="407"/>
      <c r="G15" s="409" t="s">
        <v>157</v>
      </c>
      <c r="H15" s="409"/>
      <c r="I15" s="409"/>
      <c r="J15" s="409"/>
      <c r="K15" s="409"/>
      <c r="L15" s="409"/>
      <c r="M15" s="406" t="s">
        <v>34</v>
      </c>
      <c r="N15" s="406"/>
      <c r="O15" s="406"/>
      <c r="P15" s="406"/>
      <c r="Q15" s="406"/>
      <c r="R15" s="406"/>
      <c r="S15" s="406" t="s">
        <v>77</v>
      </c>
      <c r="T15" s="406"/>
      <c r="U15" s="406"/>
      <c r="V15" s="406"/>
      <c r="W15" s="406"/>
      <c r="X15" s="406"/>
      <c r="Y15" s="406"/>
      <c r="Z15" s="108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0" ht="15" customHeight="1" x14ac:dyDescent="0.25">
      <c r="A16" s="91"/>
      <c r="B16" s="407" t="s">
        <v>36</v>
      </c>
      <c r="C16" s="407"/>
      <c r="D16" s="407"/>
      <c r="E16" s="407"/>
      <c r="F16" s="407"/>
      <c r="G16" s="109" t="s">
        <v>153</v>
      </c>
      <c r="H16" s="109"/>
      <c r="I16" s="109"/>
      <c r="J16" s="109"/>
      <c r="K16" s="109"/>
      <c r="L16" s="109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8"/>
    </row>
    <row r="17" spans="1:28" ht="6" customHeight="1" x14ac:dyDescent="0.25">
      <c r="A17" s="89"/>
      <c r="B17" s="75"/>
      <c r="C17" s="75"/>
      <c r="D17" s="88"/>
      <c r="E17" s="88"/>
      <c r="F17" s="88"/>
      <c r="G17" s="88"/>
      <c r="H17" s="75"/>
      <c r="I17" s="75"/>
      <c r="J17" s="75"/>
      <c r="K17" s="75"/>
      <c r="L17" s="75"/>
      <c r="M17" s="75"/>
      <c r="N17" s="117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87"/>
    </row>
    <row r="18" spans="1:28" ht="15" customHeight="1" x14ac:dyDescent="0.25">
      <c r="B18" s="115"/>
      <c r="C18" s="115"/>
      <c r="K18" s="116"/>
      <c r="L18" s="115"/>
      <c r="M18" s="114"/>
      <c r="V18" s="110"/>
      <c r="W18" s="110"/>
      <c r="X18" s="110"/>
      <c r="Y18" s="110"/>
      <c r="Z18" s="110"/>
      <c r="AA18" s="110"/>
      <c r="AB18" s="110"/>
    </row>
    <row r="19" spans="1:28" ht="15.6" customHeight="1" x14ac:dyDescent="0.25">
      <c r="A19" s="74" t="s">
        <v>38</v>
      </c>
      <c r="B19" s="73" t="s">
        <v>39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4"/>
    </row>
    <row r="20" spans="1:28" ht="6" customHeight="1" x14ac:dyDescent="0.25">
      <c r="A20" s="91"/>
      <c r="B20" s="113"/>
      <c r="Z20" s="90"/>
    </row>
    <row r="21" spans="1:28" ht="13.8" customHeight="1" x14ac:dyDescent="0.25">
      <c r="A21" s="91"/>
      <c r="B21" s="406" t="s">
        <v>40</v>
      </c>
      <c r="C21" s="406"/>
      <c r="D21" s="406"/>
      <c r="E21" s="406"/>
      <c r="F21" s="406"/>
      <c r="G21" s="406"/>
      <c r="H21" s="406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108"/>
    </row>
    <row r="22" spans="1:28" ht="15" customHeight="1" x14ac:dyDescent="0.25">
      <c r="A22" s="91"/>
      <c r="B22" s="406" t="s">
        <v>41</v>
      </c>
      <c r="C22" s="406"/>
      <c r="D22" s="406"/>
      <c r="E22" s="406"/>
      <c r="F22" s="406"/>
      <c r="G22" s="406"/>
      <c r="H22" s="406"/>
      <c r="I22" s="411"/>
      <c r="J22" s="411"/>
      <c r="K22" s="411"/>
      <c r="L22" s="411"/>
      <c r="M22" s="411"/>
      <c r="N22" s="112">
        <v>4</v>
      </c>
      <c r="O22" s="408" t="s">
        <v>42</v>
      </c>
      <c r="P22" s="408"/>
      <c r="Q22" s="408"/>
      <c r="R22" s="111" t="s">
        <v>76</v>
      </c>
      <c r="S22" s="110"/>
      <c r="T22" s="110"/>
      <c r="U22" s="110"/>
      <c r="V22" s="408"/>
      <c r="W22" s="408"/>
      <c r="X22" s="408"/>
      <c r="Y22" s="109"/>
      <c r="Z22" s="108"/>
    </row>
    <row r="23" spans="1:28" ht="5.25" customHeight="1" x14ac:dyDescent="0.25">
      <c r="A23" s="89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87"/>
    </row>
    <row r="24" spans="1:28" x14ac:dyDescent="0.25">
      <c r="C24" s="107"/>
    </row>
    <row r="25" spans="1:28" ht="15.6" customHeight="1" x14ac:dyDescent="0.25">
      <c r="A25" s="74" t="s">
        <v>45</v>
      </c>
      <c r="B25" s="73" t="s">
        <v>46</v>
      </c>
      <c r="C25" s="72"/>
      <c r="D25" s="106"/>
      <c r="E25" s="106"/>
      <c r="F25" s="106"/>
      <c r="G25" s="106"/>
      <c r="H25" s="508" t="s">
        <v>47</v>
      </c>
      <c r="I25" s="508"/>
      <c r="J25" s="508"/>
      <c r="K25" s="508"/>
      <c r="L25" s="508"/>
      <c r="M25" s="508"/>
      <c r="N25" s="508"/>
      <c r="O25" s="508"/>
      <c r="P25" s="508"/>
      <c r="Q25" s="522">
        <v>2.4350000000000001</v>
      </c>
      <c r="R25" s="522"/>
      <c r="S25" s="522"/>
      <c r="T25" s="522"/>
      <c r="U25" s="200" t="s">
        <v>152</v>
      </c>
      <c r="V25" s="72"/>
      <c r="W25" s="72"/>
      <c r="X25" s="72"/>
      <c r="Y25" s="72"/>
      <c r="Z25" s="104"/>
    </row>
    <row r="26" spans="1:28" ht="13.8" customHeight="1" thickBot="1" x14ac:dyDescent="0.3">
      <c r="A26" s="91"/>
      <c r="Z26" s="90"/>
    </row>
    <row r="27" spans="1:28" ht="15.75" customHeight="1" x14ac:dyDescent="0.25">
      <c r="A27" s="91"/>
      <c r="B27" s="426" t="s">
        <v>49</v>
      </c>
      <c r="C27" s="427"/>
      <c r="D27" s="430" t="s">
        <v>50</v>
      </c>
      <c r="E27" s="431"/>
      <c r="F27" s="504" t="s">
        <v>51</v>
      </c>
      <c r="G27" s="504"/>
      <c r="H27" s="504"/>
      <c r="I27" s="473" t="s">
        <v>151</v>
      </c>
      <c r="J27" s="427"/>
      <c r="K27" s="427"/>
      <c r="L27" s="473" t="s">
        <v>53</v>
      </c>
      <c r="M27" s="427"/>
      <c r="N27" s="521"/>
      <c r="O27" s="473" t="s">
        <v>54</v>
      </c>
      <c r="P27" s="427"/>
      <c r="Q27" s="521"/>
      <c r="R27" s="473" t="s">
        <v>55</v>
      </c>
      <c r="S27" s="427"/>
      <c r="T27" s="427"/>
      <c r="U27" s="427"/>
      <c r="V27" s="427"/>
      <c r="W27" s="427"/>
      <c r="X27" s="427"/>
      <c r="Y27" s="506"/>
      <c r="Z27" s="90"/>
    </row>
    <row r="28" spans="1:28" ht="36" customHeight="1" x14ac:dyDescent="0.25">
      <c r="A28" s="91"/>
      <c r="B28" s="428" t="s">
        <v>56</v>
      </c>
      <c r="C28" s="429"/>
      <c r="D28" s="509" t="s">
        <v>57</v>
      </c>
      <c r="E28" s="510"/>
      <c r="F28" s="199" t="s">
        <v>58</v>
      </c>
      <c r="G28" s="199" t="s">
        <v>59</v>
      </c>
      <c r="H28" s="199" t="s">
        <v>60</v>
      </c>
      <c r="I28" s="474"/>
      <c r="J28" s="475"/>
      <c r="K28" s="475"/>
      <c r="L28" s="474" t="s">
        <v>61</v>
      </c>
      <c r="M28" s="475"/>
      <c r="N28" s="505"/>
      <c r="O28" s="474" t="s">
        <v>61</v>
      </c>
      <c r="P28" s="475"/>
      <c r="Q28" s="505"/>
      <c r="R28" s="474"/>
      <c r="S28" s="475"/>
      <c r="T28" s="475"/>
      <c r="U28" s="475"/>
      <c r="V28" s="475"/>
      <c r="W28" s="475"/>
      <c r="X28" s="475"/>
      <c r="Y28" s="507"/>
      <c r="Z28" s="90"/>
    </row>
    <row r="29" spans="1:28" ht="16.8" customHeight="1" x14ac:dyDescent="0.25">
      <c r="A29" s="91"/>
      <c r="B29" s="399">
        <v>1</v>
      </c>
      <c r="C29" s="400"/>
      <c r="D29" s="401"/>
      <c r="E29" s="402"/>
      <c r="F29" s="401"/>
      <c r="G29" s="402"/>
      <c r="H29" s="403"/>
      <c r="I29" s="404">
        <v>2.274</v>
      </c>
      <c r="J29" s="404"/>
      <c r="K29" s="404"/>
      <c r="L29" s="405">
        <f t="shared" ref="L29:L43" si="0">I29*100/$Q$25</f>
        <v>93.388090349075981</v>
      </c>
      <c r="M29" s="397"/>
      <c r="N29" s="398"/>
      <c r="O29" s="397">
        <f t="shared" ref="O29:O43" si="1">100-L29</f>
        <v>6.6119096509240194</v>
      </c>
      <c r="P29" s="397"/>
      <c r="Q29" s="398"/>
      <c r="R29" s="395"/>
      <c r="S29" s="395"/>
      <c r="T29" s="395"/>
      <c r="U29" s="395"/>
      <c r="V29" s="395"/>
      <c r="W29" s="395"/>
      <c r="X29" s="395"/>
      <c r="Y29" s="396"/>
      <c r="Z29" s="90"/>
    </row>
    <row r="30" spans="1:28" ht="16.8" customHeight="1" x14ac:dyDescent="0.25">
      <c r="A30" s="91"/>
      <c r="B30" s="399">
        <v>2</v>
      </c>
      <c r="C30" s="400"/>
      <c r="D30" s="401"/>
      <c r="E30" s="402"/>
      <c r="F30" s="401"/>
      <c r="G30" s="402"/>
      <c r="H30" s="403"/>
      <c r="I30" s="404">
        <v>2.274</v>
      </c>
      <c r="J30" s="404"/>
      <c r="K30" s="404"/>
      <c r="L30" s="405">
        <f t="shared" si="0"/>
        <v>93.388090349075981</v>
      </c>
      <c r="M30" s="397"/>
      <c r="N30" s="398"/>
      <c r="O30" s="397">
        <f t="shared" si="1"/>
        <v>6.6119096509240194</v>
      </c>
      <c r="P30" s="397"/>
      <c r="Q30" s="398"/>
      <c r="R30" s="395"/>
      <c r="S30" s="395"/>
      <c r="T30" s="395"/>
      <c r="U30" s="395"/>
      <c r="V30" s="395"/>
      <c r="W30" s="395"/>
      <c r="X30" s="395"/>
      <c r="Y30" s="396"/>
      <c r="Z30" s="90"/>
    </row>
    <row r="31" spans="1:28" ht="16.8" customHeight="1" x14ac:dyDescent="0.25">
      <c r="A31" s="91"/>
      <c r="B31" s="399">
        <v>3</v>
      </c>
      <c r="C31" s="400"/>
      <c r="D31" s="401"/>
      <c r="E31" s="402"/>
      <c r="F31" s="401"/>
      <c r="G31" s="402"/>
      <c r="H31" s="403"/>
      <c r="I31" s="404">
        <v>2.2559999999999998</v>
      </c>
      <c r="J31" s="404"/>
      <c r="K31" s="404"/>
      <c r="L31" s="405">
        <f t="shared" si="0"/>
        <v>92.648870636550285</v>
      </c>
      <c r="M31" s="397"/>
      <c r="N31" s="398"/>
      <c r="O31" s="397">
        <f t="shared" si="1"/>
        <v>7.351129363449715</v>
      </c>
      <c r="P31" s="397"/>
      <c r="Q31" s="398"/>
      <c r="R31" s="395"/>
      <c r="S31" s="395"/>
      <c r="T31" s="395"/>
      <c r="U31" s="395"/>
      <c r="V31" s="395"/>
      <c r="W31" s="395"/>
      <c r="X31" s="395"/>
      <c r="Y31" s="396"/>
      <c r="Z31" s="90"/>
    </row>
    <row r="32" spans="1:28" ht="16.8" customHeight="1" x14ac:dyDescent="0.25">
      <c r="A32" s="91"/>
      <c r="B32" s="399">
        <v>4</v>
      </c>
      <c r="C32" s="400"/>
      <c r="D32" s="401"/>
      <c r="E32" s="402"/>
      <c r="F32" s="401"/>
      <c r="G32" s="402"/>
      <c r="H32" s="403"/>
      <c r="I32" s="404">
        <v>2.2949999999999999</v>
      </c>
      <c r="J32" s="404"/>
      <c r="K32" s="404"/>
      <c r="L32" s="405">
        <f t="shared" si="0"/>
        <v>94.25051334702259</v>
      </c>
      <c r="M32" s="397"/>
      <c r="N32" s="398"/>
      <c r="O32" s="397">
        <f t="shared" si="1"/>
        <v>5.74948665297741</v>
      </c>
      <c r="P32" s="397"/>
      <c r="Q32" s="398"/>
      <c r="R32" s="395"/>
      <c r="S32" s="395"/>
      <c r="T32" s="395"/>
      <c r="U32" s="395"/>
      <c r="V32" s="395"/>
      <c r="W32" s="395"/>
      <c r="X32" s="395"/>
      <c r="Y32" s="396"/>
      <c r="Z32" s="90"/>
    </row>
    <row r="33" spans="1:26" ht="16.8" customHeight="1" x14ac:dyDescent="0.25">
      <c r="A33" s="91"/>
      <c r="B33" s="399">
        <v>5</v>
      </c>
      <c r="C33" s="400"/>
      <c r="D33" s="401"/>
      <c r="E33" s="402"/>
      <c r="F33" s="401"/>
      <c r="G33" s="402"/>
      <c r="H33" s="403"/>
      <c r="I33" s="404">
        <v>2.2730000000000001</v>
      </c>
      <c r="J33" s="404"/>
      <c r="K33" s="404"/>
      <c r="L33" s="405">
        <f t="shared" si="0"/>
        <v>93.347022587268995</v>
      </c>
      <c r="M33" s="397"/>
      <c r="N33" s="398"/>
      <c r="O33" s="397">
        <f t="shared" si="1"/>
        <v>6.6529774127310048</v>
      </c>
      <c r="P33" s="397"/>
      <c r="Q33" s="398"/>
      <c r="R33" s="395"/>
      <c r="S33" s="395"/>
      <c r="T33" s="395"/>
      <c r="U33" s="395"/>
      <c r="V33" s="395"/>
      <c r="W33" s="395"/>
      <c r="X33" s="395"/>
      <c r="Y33" s="396"/>
      <c r="Z33" s="90"/>
    </row>
    <row r="34" spans="1:26" ht="16.8" customHeight="1" x14ac:dyDescent="0.25">
      <c r="A34" s="91"/>
      <c r="B34" s="399">
        <v>6</v>
      </c>
      <c r="C34" s="400"/>
      <c r="D34" s="401"/>
      <c r="E34" s="402"/>
      <c r="F34" s="401"/>
      <c r="G34" s="402"/>
      <c r="H34" s="403"/>
      <c r="I34" s="404">
        <v>2.254</v>
      </c>
      <c r="J34" s="404"/>
      <c r="K34" s="404"/>
      <c r="L34" s="405">
        <f t="shared" si="0"/>
        <v>92.566735112936342</v>
      </c>
      <c r="M34" s="397"/>
      <c r="N34" s="398"/>
      <c r="O34" s="397">
        <f t="shared" si="1"/>
        <v>7.4332648870636575</v>
      </c>
      <c r="P34" s="397"/>
      <c r="Q34" s="398"/>
      <c r="R34" s="395"/>
      <c r="S34" s="395"/>
      <c r="T34" s="395"/>
      <c r="U34" s="395"/>
      <c r="V34" s="395"/>
      <c r="W34" s="395"/>
      <c r="X34" s="395"/>
      <c r="Y34" s="396"/>
      <c r="Z34" s="90"/>
    </row>
    <row r="35" spans="1:26" ht="16.8" customHeight="1" x14ac:dyDescent="0.25">
      <c r="A35" s="91"/>
      <c r="B35" s="399">
        <v>7</v>
      </c>
      <c r="C35" s="400"/>
      <c r="D35" s="401"/>
      <c r="E35" s="402"/>
      <c r="F35" s="401"/>
      <c r="G35" s="402"/>
      <c r="H35" s="403"/>
      <c r="I35" s="404">
        <v>2.2970000000000002</v>
      </c>
      <c r="J35" s="404"/>
      <c r="K35" s="404"/>
      <c r="L35" s="405">
        <f t="shared" si="0"/>
        <v>94.332648870636561</v>
      </c>
      <c r="M35" s="397"/>
      <c r="N35" s="398"/>
      <c r="O35" s="397">
        <f t="shared" si="1"/>
        <v>5.6673511293634391</v>
      </c>
      <c r="P35" s="397"/>
      <c r="Q35" s="398"/>
      <c r="R35" s="395"/>
      <c r="S35" s="395"/>
      <c r="T35" s="395"/>
      <c r="U35" s="395"/>
      <c r="V35" s="395"/>
      <c r="W35" s="395"/>
      <c r="X35" s="395"/>
      <c r="Y35" s="396"/>
      <c r="Z35" s="90"/>
    </row>
    <row r="36" spans="1:26" ht="16.8" customHeight="1" x14ac:dyDescent="0.25">
      <c r="A36" s="91"/>
      <c r="B36" s="399">
        <v>8</v>
      </c>
      <c r="C36" s="400"/>
      <c r="D36" s="401"/>
      <c r="E36" s="402"/>
      <c r="F36" s="401"/>
      <c r="G36" s="402"/>
      <c r="H36" s="403"/>
      <c r="I36" s="404">
        <v>2.2759999999999998</v>
      </c>
      <c r="J36" s="404"/>
      <c r="K36" s="404"/>
      <c r="L36" s="405">
        <f t="shared" si="0"/>
        <v>93.470225872689923</v>
      </c>
      <c r="M36" s="397"/>
      <c r="N36" s="398"/>
      <c r="O36" s="397">
        <f t="shared" si="1"/>
        <v>6.5297741273100769</v>
      </c>
      <c r="P36" s="397"/>
      <c r="Q36" s="398"/>
      <c r="R36" s="395"/>
      <c r="S36" s="395"/>
      <c r="T36" s="395"/>
      <c r="U36" s="395"/>
      <c r="V36" s="395"/>
      <c r="W36" s="395"/>
      <c r="X36" s="395"/>
      <c r="Y36" s="396"/>
      <c r="Z36" s="90"/>
    </row>
    <row r="37" spans="1:26" ht="16.8" customHeight="1" x14ac:dyDescent="0.25">
      <c r="A37" s="91"/>
      <c r="B37" s="399">
        <v>9</v>
      </c>
      <c r="C37" s="400"/>
      <c r="D37" s="401"/>
      <c r="E37" s="402"/>
      <c r="F37" s="401"/>
      <c r="G37" s="402"/>
      <c r="H37" s="403"/>
      <c r="I37" s="404">
        <v>2.2629999999999999</v>
      </c>
      <c r="J37" s="404"/>
      <c r="K37" s="404"/>
      <c r="L37" s="405">
        <f t="shared" si="0"/>
        <v>92.936344969199169</v>
      </c>
      <c r="M37" s="397"/>
      <c r="N37" s="398"/>
      <c r="O37" s="397">
        <f t="shared" si="1"/>
        <v>7.063655030800831</v>
      </c>
      <c r="P37" s="397"/>
      <c r="Q37" s="398"/>
      <c r="R37" s="395"/>
      <c r="S37" s="395"/>
      <c r="T37" s="395"/>
      <c r="U37" s="395"/>
      <c r="V37" s="395"/>
      <c r="W37" s="395"/>
      <c r="X37" s="395"/>
      <c r="Y37" s="396"/>
      <c r="Z37" s="90"/>
    </row>
    <row r="38" spans="1:26" ht="16.8" customHeight="1" x14ac:dyDescent="0.25">
      <c r="A38" s="91"/>
      <c r="B38" s="399">
        <v>10</v>
      </c>
      <c r="C38" s="400"/>
      <c r="D38" s="401"/>
      <c r="E38" s="402"/>
      <c r="F38" s="401"/>
      <c r="G38" s="402"/>
      <c r="H38" s="403"/>
      <c r="I38" s="404">
        <v>2.2599999999999998</v>
      </c>
      <c r="J38" s="404"/>
      <c r="K38" s="404"/>
      <c r="L38" s="405">
        <f t="shared" si="0"/>
        <v>92.813141683778227</v>
      </c>
      <c r="M38" s="397"/>
      <c r="N38" s="398"/>
      <c r="O38" s="397">
        <f t="shared" si="1"/>
        <v>7.1868583162217732</v>
      </c>
      <c r="P38" s="397"/>
      <c r="Q38" s="398"/>
      <c r="R38" s="395"/>
      <c r="S38" s="395"/>
      <c r="T38" s="395"/>
      <c r="U38" s="395"/>
      <c r="V38" s="395"/>
      <c r="W38" s="395"/>
      <c r="X38" s="395"/>
      <c r="Y38" s="396"/>
      <c r="Z38" s="90"/>
    </row>
    <row r="39" spans="1:26" ht="16.8" customHeight="1" x14ac:dyDescent="0.25">
      <c r="A39" s="91"/>
      <c r="B39" s="399">
        <v>11</v>
      </c>
      <c r="C39" s="400"/>
      <c r="D39" s="401"/>
      <c r="E39" s="402"/>
      <c r="F39" s="401"/>
      <c r="G39" s="402"/>
      <c r="H39" s="403"/>
      <c r="I39" s="404">
        <v>2.2789999999999999</v>
      </c>
      <c r="J39" s="404"/>
      <c r="K39" s="404"/>
      <c r="L39" s="405">
        <f t="shared" si="0"/>
        <v>93.593429158110865</v>
      </c>
      <c r="M39" s="397"/>
      <c r="N39" s="398"/>
      <c r="O39" s="397">
        <f t="shared" si="1"/>
        <v>6.4065708418891347</v>
      </c>
      <c r="P39" s="397"/>
      <c r="Q39" s="398"/>
      <c r="R39" s="395"/>
      <c r="S39" s="395"/>
      <c r="T39" s="395"/>
      <c r="U39" s="395"/>
      <c r="V39" s="395"/>
      <c r="W39" s="395"/>
      <c r="X39" s="395"/>
      <c r="Y39" s="396"/>
      <c r="Z39" s="90"/>
    </row>
    <row r="40" spans="1:26" ht="16.8" customHeight="1" x14ac:dyDescent="0.25">
      <c r="A40" s="91"/>
      <c r="B40" s="399">
        <v>12</v>
      </c>
      <c r="C40" s="400"/>
      <c r="D40" s="401"/>
      <c r="E40" s="402"/>
      <c r="F40" s="401"/>
      <c r="G40" s="402"/>
      <c r="H40" s="403"/>
      <c r="I40" s="404">
        <v>2.2410000000000001</v>
      </c>
      <c r="J40" s="404"/>
      <c r="K40" s="404"/>
      <c r="L40" s="405">
        <f t="shared" si="0"/>
        <v>92.032854209445588</v>
      </c>
      <c r="M40" s="397"/>
      <c r="N40" s="398"/>
      <c r="O40" s="397">
        <f t="shared" si="1"/>
        <v>7.9671457905544116</v>
      </c>
      <c r="P40" s="397"/>
      <c r="Q40" s="398"/>
      <c r="R40" s="395"/>
      <c r="S40" s="395"/>
      <c r="T40" s="395"/>
      <c r="U40" s="395"/>
      <c r="V40" s="395"/>
      <c r="W40" s="395"/>
      <c r="X40" s="395"/>
      <c r="Y40" s="396"/>
      <c r="Z40" s="90"/>
    </row>
    <row r="41" spans="1:26" ht="16.8" customHeight="1" x14ac:dyDescent="0.25">
      <c r="A41" s="91"/>
      <c r="B41" s="399">
        <v>13</v>
      </c>
      <c r="C41" s="400"/>
      <c r="D41" s="401"/>
      <c r="E41" s="402"/>
      <c r="F41" s="401"/>
      <c r="G41" s="402"/>
      <c r="H41" s="403"/>
      <c r="I41" s="404">
        <v>2.2509999999999999</v>
      </c>
      <c r="J41" s="404"/>
      <c r="K41" s="404"/>
      <c r="L41" s="405">
        <f t="shared" si="0"/>
        <v>92.4435318275154</v>
      </c>
      <c r="M41" s="397"/>
      <c r="N41" s="398"/>
      <c r="O41" s="397">
        <f t="shared" si="1"/>
        <v>7.5564681724845997</v>
      </c>
      <c r="P41" s="397"/>
      <c r="Q41" s="398"/>
      <c r="R41" s="395"/>
      <c r="S41" s="395"/>
      <c r="T41" s="395"/>
      <c r="U41" s="395"/>
      <c r="V41" s="395"/>
      <c r="W41" s="395"/>
      <c r="X41" s="395"/>
      <c r="Y41" s="396"/>
      <c r="Z41" s="90"/>
    </row>
    <row r="42" spans="1:26" ht="16.8" customHeight="1" x14ac:dyDescent="0.25">
      <c r="A42" s="91"/>
      <c r="B42" s="399">
        <v>14</v>
      </c>
      <c r="C42" s="400"/>
      <c r="D42" s="401"/>
      <c r="E42" s="402"/>
      <c r="F42" s="401"/>
      <c r="G42" s="402"/>
      <c r="H42" s="403"/>
      <c r="I42" s="404">
        <v>2.282</v>
      </c>
      <c r="J42" s="404"/>
      <c r="K42" s="404"/>
      <c r="L42" s="405">
        <f t="shared" si="0"/>
        <v>93.716632443531822</v>
      </c>
      <c r="M42" s="397"/>
      <c r="N42" s="398"/>
      <c r="O42" s="397">
        <f t="shared" si="1"/>
        <v>6.2833675564681783</v>
      </c>
      <c r="P42" s="397"/>
      <c r="Q42" s="398"/>
      <c r="R42" s="395"/>
      <c r="S42" s="395"/>
      <c r="T42" s="395"/>
      <c r="U42" s="395"/>
      <c r="V42" s="395"/>
      <c r="W42" s="395"/>
      <c r="X42" s="395"/>
      <c r="Y42" s="396"/>
      <c r="Z42" s="90"/>
    </row>
    <row r="43" spans="1:26" ht="16.8" customHeight="1" x14ac:dyDescent="0.25">
      <c r="A43" s="91"/>
      <c r="B43" s="399">
        <v>15</v>
      </c>
      <c r="C43" s="400"/>
      <c r="D43" s="401"/>
      <c r="E43" s="402"/>
      <c r="F43" s="401"/>
      <c r="G43" s="402"/>
      <c r="H43" s="403"/>
      <c r="I43" s="404">
        <v>2.2770000000000001</v>
      </c>
      <c r="J43" s="404"/>
      <c r="K43" s="404"/>
      <c r="L43" s="405">
        <f t="shared" si="0"/>
        <v>93.511293634496923</v>
      </c>
      <c r="M43" s="397"/>
      <c r="N43" s="398"/>
      <c r="O43" s="397">
        <f t="shared" si="1"/>
        <v>6.4887063655030772</v>
      </c>
      <c r="P43" s="397"/>
      <c r="Q43" s="398"/>
      <c r="R43" s="395"/>
      <c r="S43" s="395"/>
      <c r="T43" s="395"/>
      <c r="U43" s="395"/>
      <c r="V43" s="395"/>
      <c r="W43" s="395"/>
      <c r="X43" s="395"/>
      <c r="Y43" s="396"/>
      <c r="Z43" s="90"/>
    </row>
    <row r="44" spans="1:26" ht="16.8" customHeight="1" x14ac:dyDescent="0.25">
      <c r="A44" s="91"/>
      <c r="B44" s="198"/>
      <c r="C44" s="197"/>
      <c r="D44" s="196"/>
      <c r="E44" s="173"/>
      <c r="F44" s="196"/>
      <c r="G44" s="173"/>
      <c r="H44" s="174"/>
      <c r="I44" s="195"/>
      <c r="J44" s="195"/>
      <c r="K44" s="195"/>
      <c r="L44" s="194"/>
      <c r="M44" s="193"/>
      <c r="N44" s="192"/>
      <c r="O44" s="193"/>
      <c r="P44" s="193"/>
      <c r="Q44" s="192"/>
      <c r="R44" s="191"/>
      <c r="S44" s="191"/>
      <c r="T44" s="191"/>
      <c r="U44" s="191"/>
      <c r="V44" s="191"/>
      <c r="W44" s="191"/>
      <c r="X44" s="191"/>
      <c r="Y44" s="190"/>
      <c r="Z44" s="90"/>
    </row>
    <row r="45" spans="1:26" ht="16.8" customHeight="1" x14ac:dyDescent="0.25">
      <c r="A45" s="91"/>
      <c r="B45" s="198"/>
      <c r="C45" s="197"/>
      <c r="D45" s="196"/>
      <c r="E45" s="173"/>
      <c r="F45" s="196"/>
      <c r="G45" s="173"/>
      <c r="H45" s="174"/>
      <c r="I45" s="195"/>
      <c r="J45" s="195"/>
      <c r="K45" s="195"/>
      <c r="L45" s="194"/>
      <c r="M45" s="193"/>
      <c r="N45" s="192"/>
      <c r="O45" s="193"/>
      <c r="P45" s="193"/>
      <c r="Q45" s="192"/>
      <c r="R45" s="191"/>
      <c r="S45" s="191"/>
      <c r="T45" s="191"/>
      <c r="U45" s="191"/>
      <c r="V45" s="191"/>
      <c r="W45" s="191"/>
      <c r="X45" s="191"/>
      <c r="Y45" s="190"/>
      <c r="Z45" s="90"/>
    </row>
    <row r="46" spans="1:26" ht="16.8" customHeight="1" x14ac:dyDescent="0.25">
      <c r="A46" s="91"/>
      <c r="B46" s="198"/>
      <c r="C46" s="197"/>
      <c r="D46" s="196"/>
      <c r="E46" s="173"/>
      <c r="F46" s="196"/>
      <c r="G46" s="173"/>
      <c r="H46" s="174"/>
      <c r="I46" s="195"/>
      <c r="J46" s="195"/>
      <c r="K46" s="195"/>
      <c r="L46" s="194"/>
      <c r="M46" s="193"/>
      <c r="N46" s="192"/>
      <c r="O46" s="193"/>
      <c r="P46" s="193"/>
      <c r="Q46" s="192"/>
      <c r="R46" s="191"/>
      <c r="S46" s="191"/>
      <c r="T46" s="191"/>
      <c r="U46" s="191"/>
      <c r="V46" s="191"/>
      <c r="W46" s="191"/>
      <c r="X46" s="191"/>
      <c r="Y46" s="190"/>
      <c r="Z46" s="90"/>
    </row>
    <row r="47" spans="1:26" ht="16.8" customHeight="1" x14ac:dyDescent="0.25">
      <c r="A47" s="91"/>
      <c r="B47" s="198"/>
      <c r="C47" s="197"/>
      <c r="D47" s="196"/>
      <c r="E47" s="173"/>
      <c r="F47" s="196"/>
      <c r="G47" s="173"/>
      <c r="H47" s="174"/>
      <c r="I47" s="195"/>
      <c r="J47" s="195"/>
      <c r="K47" s="195"/>
      <c r="L47" s="194"/>
      <c r="M47" s="193"/>
      <c r="N47" s="192"/>
      <c r="O47" s="193"/>
      <c r="P47" s="193"/>
      <c r="Q47" s="192"/>
      <c r="R47" s="191"/>
      <c r="S47" s="191"/>
      <c r="T47" s="191"/>
      <c r="U47" s="191"/>
      <c r="V47" s="191"/>
      <c r="W47" s="191"/>
      <c r="X47" s="191"/>
      <c r="Y47" s="190"/>
      <c r="Z47" s="90"/>
    </row>
    <row r="48" spans="1:26" ht="16.8" customHeight="1" x14ac:dyDescent="0.25">
      <c r="A48" s="91"/>
      <c r="B48" s="198"/>
      <c r="C48" s="197"/>
      <c r="D48" s="196"/>
      <c r="E48" s="173"/>
      <c r="F48" s="196"/>
      <c r="G48" s="173"/>
      <c r="H48" s="174"/>
      <c r="I48" s="195"/>
      <c r="J48" s="195"/>
      <c r="K48" s="195"/>
      <c r="L48" s="194"/>
      <c r="M48" s="193"/>
      <c r="N48" s="192"/>
      <c r="O48" s="193"/>
      <c r="P48" s="193"/>
      <c r="Q48" s="192"/>
      <c r="R48" s="191"/>
      <c r="S48" s="191"/>
      <c r="T48" s="191"/>
      <c r="U48" s="191"/>
      <c r="V48" s="191"/>
      <c r="W48" s="191"/>
      <c r="X48" s="191"/>
      <c r="Y48" s="190"/>
      <c r="Z48" s="90"/>
    </row>
    <row r="49" spans="1:29" ht="16.8" customHeight="1" x14ac:dyDescent="0.25">
      <c r="A49" s="91"/>
      <c r="B49" s="198"/>
      <c r="C49" s="197"/>
      <c r="D49" s="196"/>
      <c r="E49" s="173"/>
      <c r="F49" s="196"/>
      <c r="G49" s="173"/>
      <c r="H49" s="174"/>
      <c r="I49" s="195"/>
      <c r="J49" s="195"/>
      <c r="K49" s="195"/>
      <c r="L49" s="194"/>
      <c r="M49" s="193"/>
      <c r="N49" s="192"/>
      <c r="O49" s="193"/>
      <c r="P49" s="193"/>
      <c r="Q49" s="192"/>
      <c r="R49" s="191"/>
      <c r="S49" s="191"/>
      <c r="T49" s="191"/>
      <c r="U49" s="191"/>
      <c r="V49" s="191"/>
      <c r="W49" s="191"/>
      <c r="X49" s="191"/>
      <c r="Y49" s="190"/>
      <c r="Z49" s="90"/>
    </row>
    <row r="50" spans="1:29" ht="16.8" customHeight="1" x14ac:dyDescent="0.25">
      <c r="A50" s="91"/>
      <c r="B50" s="198"/>
      <c r="C50" s="197"/>
      <c r="D50" s="196"/>
      <c r="E50" s="173"/>
      <c r="F50" s="196"/>
      <c r="G50" s="173"/>
      <c r="H50" s="174"/>
      <c r="I50" s="195"/>
      <c r="J50" s="195"/>
      <c r="K50" s="195"/>
      <c r="L50" s="194"/>
      <c r="M50" s="193"/>
      <c r="N50" s="192"/>
      <c r="O50" s="193"/>
      <c r="P50" s="193"/>
      <c r="Q50" s="192"/>
      <c r="R50" s="191"/>
      <c r="S50" s="191"/>
      <c r="T50" s="191"/>
      <c r="U50" s="191"/>
      <c r="V50" s="191"/>
      <c r="W50" s="191"/>
      <c r="X50" s="191"/>
      <c r="Y50" s="190"/>
      <c r="Z50" s="90"/>
    </row>
    <row r="51" spans="1:29" ht="16.8" customHeight="1" x14ac:dyDescent="0.25">
      <c r="A51" s="91"/>
      <c r="B51" s="198"/>
      <c r="C51" s="197"/>
      <c r="D51" s="196"/>
      <c r="E51" s="173"/>
      <c r="F51" s="196"/>
      <c r="G51" s="173"/>
      <c r="H51" s="174"/>
      <c r="I51" s="195"/>
      <c r="J51" s="195"/>
      <c r="K51" s="195"/>
      <c r="L51" s="194"/>
      <c r="M51" s="193"/>
      <c r="N51" s="192"/>
      <c r="O51" s="193"/>
      <c r="P51" s="193"/>
      <c r="Q51" s="192"/>
      <c r="R51" s="191"/>
      <c r="S51" s="191"/>
      <c r="T51" s="191"/>
      <c r="U51" s="191"/>
      <c r="V51" s="191"/>
      <c r="W51" s="191"/>
      <c r="X51" s="191"/>
      <c r="Y51" s="190"/>
      <c r="Z51" s="90"/>
    </row>
    <row r="52" spans="1:29" ht="16.8" customHeight="1" x14ac:dyDescent="0.25">
      <c r="A52" s="91"/>
      <c r="B52" s="198"/>
      <c r="C52" s="197"/>
      <c r="D52" s="196"/>
      <c r="E52" s="173"/>
      <c r="F52" s="196"/>
      <c r="G52" s="173"/>
      <c r="H52" s="174"/>
      <c r="I52" s="195"/>
      <c r="J52" s="195"/>
      <c r="K52" s="195"/>
      <c r="L52" s="194"/>
      <c r="M52" s="193"/>
      <c r="N52" s="192"/>
      <c r="O52" s="193"/>
      <c r="P52" s="193"/>
      <c r="Q52" s="192"/>
      <c r="R52" s="191"/>
      <c r="S52" s="191"/>
      <c r="T52" s="191"/>
      <c r="U52" s="191"/>
      <c r="V52" s="191"/>
      <c r="W52" s="191"/>
      <c r="X52" s="191"/>
      <c r="Y52" s="190"/>
      <c r="Z52" s="90"/>
    </row>
    <row r="53" spans="1:29" ht="16.8" customHeight="1" x14ac:dyDescent="0.25">
      <c r="A53" s="91"/>
      <c r="B53" s="198"/>
      <c r="C53" s="197"/>
      <c r="D53" s="196"/>
      <c r="E53" s="173"/>
      <c r="F53" s="196"/>
      <c r="G53" s="173"/>
      <c r="H53" s="174"/>
      <c r="I53" s="195"/>
      <c r="J53" s="195"/>
      <c r="K53" s="195"/>
      <c r="L53" s="194"/>
      <c r="M53" s="193"/>
      <c r="N53" s="192"/>
      <c r="O53" s="193"/>
      <c r="P53" s="193"/>
      <c r="Q53" s="192"/>
      <c r="R53" s="191"/>
      <c r="S53" s="191"/>
      <c r="T53" s="191"/>
      <c r="U53" s="191"/>
      <c r="V53" s="191"/>
      <c r="W53" s="191"/>
      <c r="X53" s="191"/>
      <c r="Y53" s="190"/>
      <c r="Z53" s="90"/>
    </row>
    <row r="54" spans="1:29" ht="16.8" customHeight="1" x14ac:dyDescent="0.25">
      <c r="A54" s="91"/>
      <c r="B54" s="198"/>
      <c r="C54" s="197"/>
      <c r="D54" s="196"/>
      <c r="E54" s="173"/>
      <c r="F54" s="196"/>
      <c r="G54" s="173"/>
      <c r="H54" s="174"/>
      <c r="I54" s="195"/>
      <c r="J54" s="195"/>
      <c r="K54" s="195"/>
      <c r="L54" s="194"/>
      <c r="M54" s="193"/>
      <c r="N54" s="192"/>
      <c r="O54" s="193"/>
      <c r="P54" s="193"/>
      <c r="Q54" s="192"/>
      <c r="R54" s="191"/>
      <c r="S54" s="191"/>
      <c r="T54" s="191"/>
      <c r="U54" s="191"/>
      <c r="V54" s="191"/>
      <c r="W54" s="191"/>
      <c r="X54" s="191"/>
      <c r="Y54" s="190"/>
      <c r="Z54" s="90"/>
    </row>
    <row r="55" spans="1:29" ht="16.8" customHeight="1" x14ac:dyDescent="0.25">
      <c r="A55" s="91"/>
      <c r="B55" s="198"/>
      <c r="C55" s="197"/>
      <c r="D55" s="196"/>
      <c r="E55" s="173"/>
      <c r="F55" s="196"/>
      <c r="G55" s="173"/>
      <c r="H55" s="174"/>
      <c r="I55" s="195"/>
      <c r="J55" s="195"/>
      <c r="K55" s="195"/>
      <c r="L55" s="194"/>
      <c r="M55" s="193"/>
      <c r="N55" s="192"/>
      <c r="O55" s="193"/>
      <c r="P55" s="193"/>
      <c r="Q55" s="192"/>
      <c r="R55" s="191"/>
      <c r="S55" s="191"/>
      <c r="T55" s="191"/>
      <c r="U55" s="191"/>
      <c r="V55" s="191"/>
      <c r="W55" s="191"/>
      <c r="X55" s="191"/>
      <c r="Y55" s="190"/>
      <c r="Z55" s="90"/>
    </row>
    <row r="56" spans="1:29" ht="16.8" customHeight="1" x14ac:dyDescent="0.25">
      <c r="A56" s="91"/>
      <c r="B56" s="198"/>
      <c r="C56" s="197"/>
      <c r="D56" s="196"/>
      <c r="E56" s="173"/>
      <c r="F56" s="196"/>
      <c r="G56" s="173"/>
      <c r="H56" s="174"/>
      <c r="I56" s="195"/>
      <c r="J56" s="195"/>
      <c r="K56" s="195"/>
      <c r="L56" s="194"/>
      <c r="M56" s="193"/>
      <c r="N56" s="192"/>
      <c r="O56" s="193"/>
      <c r="P56" s="193"/>
      <c r="Q56" s="192"/>
      <c r="R56" s="191"/>
      <c r="S56" s="191"/>
      <c r="T56" s="191"/>
      <c r="U56" s="191"/>
      <c r="V56" s="191"/>
      <c r="W56" s="191"/>
      <c r="X56" s="191"/>
      <c r="Y56" s="190"/>
      <c r="Z56" s="90"/>
    </row>
    <row r="57" spans="1:29" ht="16.8" customHeight="1" x14ac:dyDescent="0.25">
      <c r="A57" s="91"/>
      <c r="B57" s="198"/>
      <c r="C57" s="197"/>
      <c r="D57" s="196"/>
      <c r="E57" s="173"/>
      <c r="F57" s="196"/>
      <c r="G57" s="173"/>
      <c r="H57" s="174"/>
      <c r="I57" s="195"/>
      <c r="J57" s="195"/>
      <c r="K57" s="195"/>
      <c r="L57" s="194"/>
      <c r="M57" s="193"/>
      <c r="N57" s="192"/>
      <c r="O57" s="193"/>
      <c r="P57" s="193"/>
      <c r="Q57" s="192"/>
      <c r="R57" s="191"/>
      <c r="S57" s="191"/>
      <c r="T57" s="191"/>
      <c r="U57" s="191"/>
      <c r="V57" s="191"/>
      <c r="W57" s="191"/>
      <c r="X57" s="191"/>
      <c r="Y57" s="190"/>
      <c r="Z57" s="90"/>
    </row>
    <row r="58" spans="1:29" ht="16.8" customHeight="1" x14ac:dyDescent="0.25">
      <c r="A58" s="91"/>
      <c r="B58" s="511"/>
      <c r="C58" s="524"/>
      <c r="D58" s="483"/>
      <c r="E58" s="485"/>
      <c r="F58" s="483"/>
      <c r="G58" s="484"/>
      <c r="H58" s="485"/>
      <c r="I58" s="531"/>
      <c r="J58" s="482"/>
      <c r="K58" s="532"/>
      <c r="L58" s="490"/>
      <c r="M58" s="488"/>
      <c r="N58" s="489"/>
      <c r="O58" s="490"/>
      <c r="P58" s="488"/>
      <c r="Q58" s="489"/>
      <c r="R58" s="533"/>
      <c r="S58" s="486"/>
      <c r="T58" s="486"/>
      <c r="U58" s="486"/>
      <c r="V58" s="486"/>
      <c r="W58" s="486"/>
      <c r="X58" s="486"/>
      <c r="Y58" s="487"/>
      <c r="Z58" s="90"/>
    </row>
    <row r="59" spans="1:29" ht="16.8" customHeight="1" thickBot="1" x14ac:dyDescent="0.3">
      <c r="A59" s="91"/>
      <c r="B59" s="525" t="s">
        <v>62</v>
      </c>
      <c r="C59" s="526"/>
      <c r="D59" s="526"/>
      <c r="E59" s="526"/>
      <c r="F59" s="526"/>
      <c r="G59" s="526"/>
      <c r="H59" s="526"/>
      <c r="I59" s="527">
        <v>2.27</v>
      </c>
      <c r="J59" s="527"/>
      <c r="K59" s="527"/>
      <c r="L59" s="530">
        <v>92.78</v>
      </c>
      <c r="M59" s="530"/>
      <c r="N59" s="530"/>
      <c r="O59" s="530">
        <v>7.22</v>
      </c>
      <c r="P59" s="530"/>
      <c r="Q59" s="530"/>
      <c r="R59" s="528"/>
      <c r="S59" s="528"/>
      <c r="T59" s="528"/>
      <c r="U59" s="528"/>
      <c r="V59" s="528"/>
      <c r="W59" s="528"/>
      <c r="X59" s="528"/>
      <c r="Y59" s="529"/>
      <c r="Z59" s="90"/>
    </row>
    <row r="60" spans="1:29" ht="16.8" customHeight="1" thickBot="1" x14ac:dyDescent="0.3">
      <c r="A60" s="91"/>
      <c r="B60" s="470" t="s">
        <v>63</v>
      </c>
      <c r="C60" s="471"/>
      <c r="D60" s="471"/>
      <c r="E60" s="471"/>
      <c r="F60" s="471"/>
      <c r="G60" s="471"/>
      <c r="H60" s="471"/>
      <c r="I60" s="513">
        <v>93.33</v>
      </c>
      <c r="J60" s="513"/>
      <c r="K60" s="513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5"/>
      <c r="Z60" s="90"/>
    </row>
    <row r="61" spans="1:29" ht="16.8" customHeight="1" x14ac:dyDescent="0.25">
      <c r="A61" s="89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7"/>
    </row>
    <row r="62" spans="1:29" ht="16.8" customHeight="1" x14ac:dyDescent="0.25">
      <c r="S62" s="189"/>
      <c r="T62" s="189"/>
      <c r="U62" s="189"/>
    </row>
    <row r="63" spans="1:29" ht="16.8" customHeight="1" x14ac:dyDescent="0.25">
      <c r="A63" s="86" t="s">
        <v>64</v>
      </c>
      <c r="B63" s="85" t="s">
        <v>65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188"/>
      <c r="V63" s="187"/>
      <c r="W63" s="187"/>
      <c r="X63" s="187"/>
      <c r="Y63" s="187"/>
      <c r="Z63" s="186"/>
      <c r="AA63" s="59"/>
      <c r="AB63" s="59"/>
      <c r="AC63" s="59"/>
    </row>
    <row r="64" spans="1:29" ht="26.4" customHeight="1" x14ac:dyDescent="0.25">
      <c r="A64" s="476" t="s">
        <v>150</v>
      </c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8"/>
      <c r="R64" s="417" t="s">
        <v>67</v>
      </c>
      <c r="S64" s="418"/>
      <c r="T64" s="419"/>
      <c r="U64" s="491" t="s">
        <v>131</v>
      </c>
      <c r="V64" s="492"/>
      <c r="W64" s="492"/>
      <c r="X64" s="493"/>
      <c r="Y64" s="493"/>
      <c r="Z64" s="494"/>
      <c r="AA64" s="59"/>
      <c r="AB64" s="59"/>
      <c r="AC64" s="59"/>
    </row>
    <row r="65" spans="1:29" ht="16.8" customHeight="1" x14ac:dyDescent="0.25">
      <c r="A65" s="420" t="s">
        <v>74</v>
      </c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2"/>
      <c r="R65" s="417" t="s">
        <v>68</v>
      </c>
      <c r="S65" s="418"/>
      <c r="T65" s="419"/>
      <c r="U65" s="495" t="s">
        <v>130</v>
      </c>
      <c r="V65" s="496"/>
      <c r="W65" s="496"/>
      <c r="X65" s="496"/>
      <c r="Y65" s="496"/>
      <c r="Z65" s="497"/>
      <c r="AA65" s="59"/>
      <c r="AB65" s="59"/>
      <c r="AC65" s="59"/>
    </row>
    <row r="66" spans="1:29" ht="16.8" customHeight="1" x14ac:dyDescent="0.25">
      <c r="A66" s="423"/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5"/>
      <c r="R66" s="417"/>
      <c r="S66" s="418"/>
      <c r="T66" s="419"/>
      <c r="U66" s="498"/>
      <c r="V66" s="499"/>
      <c r="W66" s="499"/>
      <c r="X66" s="499"/>
      <c r="Y66" s="499"/>
      <c r="Z66" s="500"/>
      <c r="AA66" s="59"/>
      <c r="AB66" s="59"/>
      <c r="AC66" s="59"/>
    </row>
    <row r="67" spans="1:29" ht="16.8" customHeight="1" x14ac:dyDescent="0.25">
      <c r="A67" s="175" t="s">
        <v>149</v>
      </c>
      <c r="B67" s="185" t="s">
        <v>70</v>
      </c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184"/>
      <c r="R67" s="417"/>
      <c r="S67" s="418"/>
      <c r="T67" s="419"/>
      <c r="U67" s="501"/>
      <c r="V67" s="502"/>
      <c r="W67" s="502"/>
      <c r="X67" s="502"/>
      <c r="Y67" s="502"/>
      <c r="Z67" s="503"/>
      <c r="AA67" s="59"/>
      <c r="AB67" s="59"/>
      <c r="AC67" s="59"/>
    </row>
    <row r="68" spans="1:29" ht="16.8" customHeight="1" x14ac:dyDescent="0.25">
      <c r="A68" s="464"/>
      <c r="B68" s="465"/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  <c r="O68" s="465"/>
      <c r="P68" s="465"/>
      <c r="Q68" s="466"/>
      <c r="R68" s="417" t="s">
        <v>71</v>
      </c>
      <c r="S68" s="418"/>
      <c r="T68" s="419"/>
      <c r="U68" s="183"/>
      <c r="V68" s="182"/>
      <c r="W68" s="182"/>
      <c r="X68" s="182"/>
      <c r="Y68" s="182"/>
      <c r="Z68" s="181"/>
      <c r="AA68" s="59"/>
      <c r="AB68" s="59"/>
      <c r="AC68" s="59"/>
    </row>
    <row r="69" spans="1:29" ht="16.8" customHeight="1" x14ac:dyDescent="0.25">
      <c r="A69" s="464"/>
      <c r="B69" s="465"/>
      <c r="C69" s="465"/>
      <c r="D69" s="465"/>
      <c r="E69" s="465"/>
      <c r="F69" s="465"/>
      <c r="G69" s="465"/>
      <c r="H69" s="465"/>
      <c r="I69" s="465"/>
      <c r="J69" s="465"/>
      <c r="K69" s="465"/>
      <c r="L69" s="465"/>
      <c r="M69" s="465"/>
      <c r="N69" s="465"/>
      <c r="O69" s="465"/>
      <c r="P69" s="465"/>
      <c r="Q69" s="466"/>
      <c r="R69" s="417"/>
      <c r="S69" s="418"/>
      <c r="T69" s="419"/>
      <c r="U69" s="180"/>
      <c r="V69" s="499"/>
      <c r="W69" s="499"/>
      <c r="X69" s="499"/>
      <c r="Y69" s="499"/>
      <c r="Z69" s="179"/>
      <c r="AA69" s="59"/>
      <c r="AB69" s="59"/>
      <c r="AC69" s="59"/>
    </row>
    <row r="70" spans="1:29" ht="16.8" customHeight="1" x14ac:dyDescent="0.25">
      <c r="A70" s="464"/>
      <c r="B70" s="465"/>
      <c r="C70" s="465"/>
      <c r="D70" s="465"/>
      <c r="E70" s="465"/>
      <c r="F70" s="465"/>
      <c r="G70" s="465"/>
      <c r="H70" s="465"/>
      <c r="I70" s="465"/>
      <c r="J70" s="465"/>
      <c r="K70" s="465"/>
      <c r="L70" s="465"/>
      <c r="M70" s="465"/>
      <c r="N70" s="465"/>
      <c r="O70" s="465"/>
      <c r="P70" s="465"/>
      <c r="Q70" s="466"/>
      <c r="R70" s="417"/>
      <c r="S70" s="418"/>
      <c r="T70" s="419"/>
      <c r="U70" s="180"/>
      <c r="V70" s="499"/>
      <c r="W70" s="499"/>
      <c r="X70" s="499"/>
      <c r="Y70" s="499"/>
      <c r="Z70" s="179"/>
      <c r="AA70" s="59"/>
      <c r="AB70" s="59"/>
      <c r="AC70" s="59"/>
    </row>
    <row r="71" spans="1:29" ht="16.8" customHeight="1" x14ac:dyDescent="0.25">
      <c r="A71" s="467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9"/>
      <c r="R71" s="479"/>
      <c r="S71" s="480"/>
      <c r="T71" s="481"/>
      <c r="U71" s="178"/>
      <c r="V71" s="177"/>
      <c r="W71" s="177"/>
      <c r="X71" s="177"/>
      <c r="Y71" s="177"/>
      <c r="Z71" s="176"/>
      <c r="AA71" s="59"/>
      <c r="AB71" s="59"/>
      <c r="AC71" s="59"/>
    </row>
    <row r="72" spans="1:29" ht="16.5" customHeight="1" x14ac:dyDescent="0.25">
      <c r="R72" s="61"/>
      <c r="S72" s="61"/>
      <c r="T72" s="61"/>
      <c r="U72" s="60"/>
      <c r="V72" s="60"/>
      <c r="W72" s="60"/>
      <c r="X72" s="60"/>
      <c r="Y72" s="60"/>
      <c r="Z72" s="60"/>
      <c r="AA72" s="59"/>
      <c r="AB72" s="59"/>
      <c r="AC72" s="59"/>
    </row>
  </sheetData>
  <sheetProtection formatCells="0" formatColumns="0" formatRows="0" insertColumns="0" insertRows="0" insertHyperlinks="0" deleteColumns="0" deleteRows="0" selectLockedCells="1" sort="0" autoFilter="0" pivotTables="0"/>
  <mergeCells count="188">
    <mergeCell ref="B40:C40"/>
    <mergeCell ref="D40:E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8914-1731-4055-B0DD-9D4E98C8694F}">
  <sheetPr>
    <pageSetUpPr fitToPage="1"/>
  </sheetPr>
  <dimension ref="A1:AN72"/>
  <sheetViews>
    <sheetView topLeftCell="A52" workbookViewId="0">
      <selection activeCell="U64" sqref="U64:Z64"/>
    </sheetView>
  </sheetViews>
  <sheetFormatPr baseColWidth="10" defaultColWidth="11.44140625" defaultRowHeight="13.2" x14ac:dyDescent="0.25"/>
  <cols>
    <col min="1" max="26" width="5.109375" style="58" customWidth="1"/>
    <col min="27" max="27" width="8.33203125" style="58" customWidth="1"/>
    <col min="28" max="28" width="11.44140625" style="58"/>
    <col min="29" max="16384" width="11.44140625" style="57"/>
  </cols>
  <sheetData>
    <row r="1" spans="1:40" ht="13.2" customHeight="1" x14ac:dyDescent="0.25">
      <c r="A1" s="432"/>
      <c r="B1" s="433"/>
      <c r="C1" s="433"/>
      <c r="D1" s="433"/>
      <c r="E1" s="433"/>
      <c r="F1" s="434"/>
      <c r="G1" s="441" t="s">
        <v>0</v>
      </c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3"/>
      <c r="U1" s="449" t="s">
        <v>136</v>
      </c>
      <c r="V1" s="450"/>
      <c r="W1" s="450"/>
      <c r="X1" s="450"/>
      <c r="Y1" s="450"/>
      <c r="Z1" s="451"/>
    </row>
    <row r="2" spans="1:40" ht="13.2" customHeight="1" x14ac:dyDescent="0.25">
      <c r="A2" s="435"/>
      <c r="B2" s="436"/>
      <c r="C2" s="436"/>
      <c r="D2" s="436"/>
      <c r="E2" s="436"/>
      <c r="F2" s="437"/>
      <c r="G2" s="458" t="s">
        <v>1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60"/>
      <c r="U2" s="452"/>
      <c r="V2" s="453"/>
      <c r="W2" s="453"/>
      <c r="X2" s="453"/>
      <c r="Y2" s="453"/>
      <c r="Z2" s="454"/>
    </row>
    <row r="3" spans="1:40" ht="13.2" customHeight="1" x14ac:dyDescent="0.25">
      <c r="A3" s="435"/>
      <c r="B3" s="436"/>
      <c r="C3" s="436"/>
      <c r="D3" s="436"/>
      <c r="E3" s="436"/>
      <c r="F3" s="437"/>
      <c r="G3" s="458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60"/>
      <c r="U3" s="452"/>
      <c r="V3" s="453"/>
      <c r="W3" s="453"/>
      <c r="X3" s="453"/>
      <c r="Y3" s="453"/>
      <c r="Z3" s="454"/>
    </row>
    <row r="4" spans="1:40" ht="13.2" customHeight="1" x14ac:dyDescent="0.25">
      <c r="A4" s="435"/>
      <c r="B4" s="436"/>
      <c r="C4" s="436"/>
      <c r="D4" s="436"/>
      <c r="E4" s="436"/>
      <c r="F4" s="437"/>
      <c r="G4" s="458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459"/>
      <c r="T4" s="460"/>
      <c r="U4" s="452"/>
      <c r="V4" s="453"/>
      <c r="W4" s="453"/>
      <c r="X4" s="453"/>
      <c r="Y4" s="453"/>
      <c r="Z4" s="454"/>
    </row>
    <row r="5" spans="1:40" ht="15" customHeight="1" x14ac:dyDescent="0.25">
      <c r="A5" s="435"/>
      <c r="B5" s="436"/>
      <c r="C5" s="436"/>
      <c r="D5" s="436"/>
      <c r="E5" s="436"/>
      <c r="F5" s="437"/>
      <c r="G5" s="420" t="s">
        <v>2</v>
      </c>
      <c r="H5" s="421"/>
      <c r="I5" s="415">
        <v>30</v>
      </c>
      <c r="J5" s="415"/>
      <c r="K5" s="416"/>
      <c r="L5" s="461" t="s">
        <v>4</v>
      </c>
      <c r="M5" s="462"/>
      <c r="N5" s="462"/>
      <c r="O5" s="463"/>
      <c r="P5" s="446" t="s">
        <v>155</v>
      </c>
      <c r="Q5" s="447"/>
      <c r="R5" s="447"/>
      <c r="S5" s="447"/>
      <c r="T5" s="448"/>
      <c r="U5" s="452"/>
      <c r="V5" s="453"/>
      <c r="W5" s="453"/>
      <c r="X5" s="453"/>
      <c r="Y5" s="453"/>
      <c r="Z5" s="454"/>
    </row>
    <row r="6" spans="1:40" ht="13.2" customHeight="1" x14ac:dyDescent="0.25">
      <c r="A6" s="438"/>
      <c r="B6" s="439"/>
      <c r="C6" s="439"/>
      <c r="D6" s="439"/>
      <c r="E6" s="439"/>
      <c r="F6" s="440"/>
      <c r="G6" s="89"/>
      <c r="H6" s="120"/>
      <c r="I6" s="413" t="s">
        <v>6</v>
      </c>
      <c r="J6" s="413"/>
      <c r="K6" s="413"/>
      <c r="L6" s="413" t="s">
        <v>7</v>
      </c>
      <c r="M6" s="413"/>
      <c r="N6" s="413"/>
      <c r="O6" s="413"/>
      <c r="P6" s="413" t="s">
        <v>8</v>
      </c>
      <c r="Q6" s="413"/>
      <c r="R6" s="413"/>
      <c r="S6" s="413"/>
      <c r="T6" s="414"/>
      <c r="U6" s="455"/>
      <c r="V6" s="456"/>
      <c r="W6" s="456"/>
      <c r="X6" s="456"/>
      <c r="Y6" s="456"/>
      <c r="Z6" s="457"/>
    </row>
    <row r="7" spans="1:40" ht="36.75" customHeight="1" x14ac:dyDescent="0.25">
      <c r="A7" s="444" t="s">
        <v>9</v>
      </c>
      <c r="B7" s="444"/>
      <c r="C7" s="444"/>
      <c r="D7" s="444"/>
      <c r="E7" s="444"/>
      <c r="F7" s="444"/>
      <c r="G7" s="445" t="s">
        <v>156</v>
      </c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</row>
    <row r="8" spans="1:40" ht="15.6" customHeight="1" x14ac:dyDescent="0.25">
      <c r="A8" s="74" t="s">
        <v>11</v>
      </c>
      <c r="B8" s="73" t="s">
        <v>12</v>
      </c>
      <c r="C8" s="72"/>
      <c r="D8" s="106"/>
      <c r="E8" s="106"/>
      <c r="F8" s="106"/>
      <c r="G8" s="106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04"/>
    </row>
    <row r="9" spans="1:40" ht="6" customHeight="1" x14ac:dyDescent="0.25">
      <c r="A9" s="91"/>
      <c r="D9" s="119"/>
      <c r="E9" s="119"/>
      <c r="F9" s="119"/>
      <c r="G9" s="119"/>
      <c r="Z9" s="90"/>
    </row>
    <row r="10" spans="1:40" ht="15" customHeight="1" x14ac:dyDescent="0.25">
      <c r="A10" s="91"/>
      <c r="B10" s="406" t="s">
        <v>13</v>
      </c>
      <c r="C10" s="406"/>
      <c r="D10" s="406"/>
      <c r="E10" s="406"/>
      <c r="F10" s="406"/>
      <c r="G10" s="412" t="s">
        <v>135</v>
      </c>
      <c r="H10" s="412"/>
      <c r="I10" s="412"/>
      <c r="J10" s="412"/>
      <c r="K10" s="412"/>
      <c r="L10" s="412"/>
      <c r="M10" s="406" t="s">
        <v>15</v>
      </c>
      <c r="N10" s="406"/>
      <c r="O10" s="406"/>
      <c r="P10" s="406"/>
      <c r="Q10" s="406"/>
      <c r="R10" s="406"/>
      <c r="S10" s="410" t="s">
        <v>16</v>
      </c>
      <c r="T10" s="410"/>
      <c r="U10" s="410"/>
      <c r="V10" s="410"/>
      <c r="W10" s="410"/>
      <c r="X10" s="410"/>
      <c r="Y10" s="410"/>
      <c r="Z10" s="108"/>
    </row>
    <row r="11" spans="1:40" ht="15" customHeight="1" x14ac:dyDescent="0.25">
      <c r="A11" s="91"/>
      <c r="B11" s="406" t="s">
        <v>17</v>
      </c>
      <c r="C11" s="406"/>
      <c r="D11" s="406"/>
      <c r="E11" s="406"/>
      <c r="F11" s="406"/>
      <c r="G11" s="412" t="s">
        <v>155</v>
      </c>
      <c r="H11" s="412"/>
      <c r="I11" s="412"/>
      <c r="J11" s="412"/>
      <c r="K11" s="412"/>
      <c r="L11" s="412"/>
      <c r="M11" s="406" t="s">
        <v>18</v>
      </c>
      <c r="N11" s="406"/>
      <c r="O11" s="406"/>
      <c r="P11" s="411">
        <v>157</v>
      </c>
      <c r="Q11" s="411"/>
      <c r="R11" s="411"/>
      <c r="S11" s="406" t="s">
        <v>19</v>
      </c>
      <c r="T11" s="406"/>
      <c r="U11" s="406"/>
      <c r="V11" s="406"/>
      <c r="W11" s="406"/>
      <c r="X11" s="411" t="s">
        <v>20</v>
      </c>
      <c r="Y11" s="411"/>
      <c r="Z11" s="108"/>
    </row>
    <row r="12" spans="1:40" ht="15" customHeight="1" x14ac:dyDescent="0.25">
      <c r="A12" s="91"/>
      <c r="B12" s="406" t="s">
        <v>21</v>
      </c>
      <c r="C12" s="406"/>
      <c r="D12" s="406"/>
      <c r="E12" s="406"/>
      <c r="F12" s="406"/>
      <c r="G12" s="412" t="s">
        <v>99</v>
      </c>
      <c r="H12" s="412"/>
      <c r="I12" s="412"/>
      <c r="J12" s="412"/>
      <c r="K12" s="412"/>
      <c r="L12" s="412"/>
      <c r="M12" s="406" t="s">
        <v>23</v>
      </c>
      <c r="N12" s="406"/>
      <c r="O12" s="406"/>
      <c r="P12" s="406"/>
      <c r="Q12" s="406"/>
      <c r="R12" s="406"/>
      <c r="S12" s="410" t="s">
        <v>24</v>
      </c>
      <c r="T12" s="410"/>
      <c r="U12" s="410"/>
      <c r="V12" s="410"/>
      <c r="W12" s="410"/>
      <c r="X12" s="410"/>
      <c r="Y12" s="410"/>
      <c r="Z12" s="108"/>
    </row>
    <row r="13" spans="1:40" ht="15" customHeight="1" x14ac:dyDescent="0.25">
      <c r="A13" s="91"/>
      <c r="B13" s="406" t="s">
        <v>25</v>
      </c>
      <c r="C13" s="406"/>
      <c r="D13" s="406"/>
      <c r="E13" s="406"/>
      <c r="F13" s="406"/>
      <c r="G13" s="523" t="s">
        <v>155</v>
      </c>
      <c r="H13" s="412"/>
      <c r="I13" s="412"/>
      <c r="J13" s="412"/>
      <c r="K13" s="412"/>
      <c r="L13" s="412"/>
      <c r="M13" s="406" t="s">
        <v>26</v>
      </c>
      <c r="N13" s="406"/>
      <c r="O13" s="406"/>
      <c r="P13" s="406"/>
      <c r="Q13" s="406"/>
      <c r="R13" s="406"/>
      <c r="S13" s="406" t="s">
        <v>154</v>
      </c>
      <c r="T13" s="406"/>
      <c r="U13" s="406"/>
      <c r="V13" s="406"/>
      <c r="W13" s="406"/>
      <c r="X13" s="406"/>
      <c r="Y13" s="406"/>
      <c r="Z13" s="108"/>
    </row>
    <row r="14" spans="1:40" ht="15" customHeight="1" x14ac:dyDescent="0.25">
      <c r="A14" s="91"/>
      <c r="B14" s="406" t="s">
        <v>28</v>
      </c>
      <c r="C14" s="406"/>
      <c r="D14" s="406"/>
      <c r="E14" s="406"/>
      <c r="F14" s="406"/>
      <c r="G14" s="412" t="s">
        <v>29</v>
      </c>
      <c r="H14" s="412"/>
      <c r="I14" s="412"/>
      <c r="J14" s="412"/>
      <c r="K14" s="412"/>
      <c r="L14" s="412"/>
      <c r="M14" s="406" t="s">
        <v>30</v>
      </c>
      <c r="N14" s="406"/>
      <c r="O14" s="406"/>
      <c r="P14" s="406"/>
      <c r="Q14" s="406"/>
      <c r="R14" s="406"/>
      <c r="S14" s="406" t="s">
        <v>95</v>
      </c>
      <c r="T14" s="406"/>
      <c r="U14" s="406"/>
      <c r="V14" s="406"/>
      <c r="W14" s="406"/>
      <c r="X14" s="406"/>
      <c r="Y14" s="406"/>
      <c r="Z14" s="108"/>
    </row>
    <row r="15" spans="1:40" ht="15" customHeight="1" x14ac:dyDescent="0.25">
      <c r="A15" s="91"/>
      <c r="B15" s="407" t="s">
        <v>32</v>
      </c>
      <c r="C15" s="407"/>
      <c r="D15" s="407"/>
      <c r="E15" s="407"/>
      <c r="F15" s="407"/>
      <c r="G15" s="409" t="s">
        <v>157</v>
      </c>
      <c r="H15" s="409"/>
      <c r="I15" s="409"/>
      <c r="J15" s="409"/>
      <c r="K15" s="409"/>
      <c r="L15" s="409"/>
      <c r="M15" s="406" t="s">
        <v>34</v>
      </c>
      <c r="N15" s="406"/>
      <c r="O15" s="406"/>
      <c r="P15" s="406"/>
      <c r="Q15" s="406"/>
      <c r="R15" s="406"/>
      <c r="S15" s="406" t="s">
        <v>77</v>
      </c>
      <c r="T15" s="406"/>
      <c r="U15" s="406"/>
      <c r="V15" s="406"/>
      <c r="W15" s="406"/>
      <c r="X15" s="406"/>
      <c r="Y15" s="406"/>
      <c r="Z15" s="108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0" ht="15" customHeight="1" x14ac:dyDescent="0.25">
      <c r="A16" s="91"/>
      <c r="B16" s="407" t="s">
        <v>36</v>
      </c>
      <c r="C16" s="407"/>
      <c r="D16" s="407"/>
      <c r="E16" s="407"/>
      <c r="F16" s="407"/>
      <c r="G16" s="109" t="s">
        <v>153</v>
      </c>
      <c r="H16" s="109"/>
      <c r="I16" s="109"/>
      <c r="J16" s="109"/>
      <c r="K16" s="109"/>
      <c r="L16" s="109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8"/>
    </row>
    <row r="17" spans="1:28" ht="6" customHeight="1" x14ac:dyDescent="0.25">
      <c r="A17" s="89"/>
      <c r="B17" s="75"/>
      <c r="C17" s="75"/>
      <c r="D17" s="88"/>
      <c r="E17" s="88"/>
      <c r="F17" s="88"/>
      <c r="G17" s="88"/>
      <c r="H17" s="75"/>
      <c r="I17" s="75"/>
      <c r="J17" s="75"/>
      <c r="K17" s="75"/>
      <c r="L17" s="75"/>
      <c r="M17" s="75"/>
      <c r="N17" s="117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87"/>
    </row>
    <row r="18" spans="1:28" ht="15" customHeight="1" x14ac:dyDescent="0.25">
      <c r="B18" s="115"/>
      <c r="C18" s="115"/>
      <c r="K18" s="116"/>
      <c r="L18" s="115"/>
      <c r="M18" s="114"/>
      <c r="V18" s="110"/>
      <c r="W18" s="110"/>
      <c r="X18" s="110"/>
      <c r="Y18" s="110"/>
      <c r="Z18" s="110"/>
      <c r="AA18" s="110"/>
      <c r="AB18" s="118"/>
    </row>
    <row r="19" spans="1:28" ht="15.6" customHeight="1" x14ac:dyDescent="0.25">
      <c r="A19" s="74" t="s">
        <v>38</v>
      </c>
      <c r="B19" s="73" t="s">
        <v>39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4"/>
    </row>
    <row r="20" spans="1:28" ht="6" customHeight="1" x14ac:dyDescent="0.25">
      <c r="A20" s="91"/>
      <c r="B20" s="113"/>
      <c r="Z20" s="90"/>
    </row>
    <row r="21" spans="1:28" ht="13.8" customHeight="1" x14ac:dyDescent="0.25">
      <c r="A21" s="91"/>
      <c r="B21" s="406" t="s">
        <v>40</v>
      </c>
      <c r="C21" s="406"/>
      <c r="D21" s="406"/>
      <c r="E21" s="406"/>
      <c r="F21" s="406"/>
      <c r="G21" s="406"/>
      <c r="H21" s="406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108"/>
    </row>
    <row r="22" spans="1:28" ht="15" customHeight="1" x14ac:dyDescent="0.25">
      <c r="A22" s="91"/>
      <c r="B22" s="406" t="s">
        <v>41</v>
      </c>
      <c r="C22" s="406"/>
      <c r="D22" s="406"/>
      <c r="E22" s="406"/>
      <c r="F22" s="406"/>
      <c r="G22" s="406"/>
      <c r="H22" s="406"/>
      <c r="I22" s="411"/>
      <c r="J22" s="411"/>
      <c r="K22" s="411"/>
      <c r="L22" s="411"/>
      <c r="M22" s="411"/>
      <c r="N22" s="112">
        <v>0</v>
      </c>
      <c r="O22" s="408" t="s">
        <v>42</v>
      </c>
      <c r="P22" s="408"/>
      <c r="Q22" s="408"/>
      <c r="R22" s="111" t="s">
        <v>82</v>
      </c>
      <c r="S22" s="110"/>
      <c r="T22" s="110"/>
      <c r="U22" s="110"/>
      <c r="V22" s="408"/>
      <c r="W22" s="408"/>
      <c r="X22" s="408"/>
      <c r="Y22" s="109"/>
      <c r="Z22" s="108"/>
    </row>
    <row r="23" spans="1:28" ht="5.25" customHeight="1" x14ac:dyDescent="0.25">
      <c r="A23" s="89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87"/>
    </row>
    <row r="24" spans="1:28" x14ac:dyDescent="0.25">
      <c r="C24" s="107"/>
    </row>
    <row r="25" spans="1:28" ht="15.6" customHeight="1" x14ac:dyDescent="0.25">
      <c r="A25" s="74" t="s">
        <v>45</v>
      </c>
      <c r="B25" s="73" t="s">
        <v>46</v>
      </c>
      <c r="C25" s="72"/>
      <c r="D25" s="106"/>
      <c r="E25" s="106"/>
      <c r="F25" s="106"/>
      <c r="G25" s="106"/>
      <c r="H25" s="508" t="s">
        <v>47</v>
      </c>
      <c r="I25" s="508"/>
      <c r="J25" s="508"/>
      <c r="K25" s="508"/>
      <c r="L25" s="508"/>
      <c r="M25" s="508"/>
      <c r="N25" s="508"/>
      <c r="O25" s="508"/>
      <c r="P25" s="508"/>
      <c r="Q25" s="522">
        <v>2.4910000000000001</v>
      </c>
      <c r="R25" s="522"/>
      <c r="S25" s="522"/>
      <c r="T25" s="522"/>
      <c r="U25" s="200" t="s">
        <v>152</v>
      </c>
      <c r="V25" s="72"/>
      <c r="W25" s="72"/>
      <c r="X25" s="72"/>
      <c r="Y25" s="72"/>
      <c r="Z25" s="104"/>
    </row>
    <row r="26" spans="1:28" ht="13.8" customHeight="1" thickBot="1" x14ac:dyDescent="0.3">
      <c r="A26" s="91"/>
      <c r="Z26" s="90"/>
    </row>
    <row r="27" spans="1:28" ht="15.75" customHeight="1" x14ac:dyDescent="0.25">
      <c r="A27" s="91"/>
      <c r="B27" s="426" t="s">
        <v>49</v>
      </c>
      <c r="C27" s="427"/>
      <c r="D27" s="430" t="s">
        <v>50</v>
      </c>
      <c r="E27" s="431"/>
      <c r="F27" s="504" t="s">
        <v>51</v>
      </c>
      <c r="G27" s="504"/>
      <c r="H27" s="504"/>
      <c r="I27" s="473" t="s">
        <v>151</v>
      </c>
      <c r="J27" s="427"/>
      <c r="K27" s="427"/>
      <c r="L27" s="473" t="s">
        <v>53</v>
      </c>
      <c r="M27" s="427"/>
      <c r="N27" s="521"/>
      <c r="O27" s="473" t="s">
        <v>54</v>
      </c>
      <c r="P27" s="427"/>
      <c r="Q27" s="521"/>
      <c r="R27" s="473" t="s">
        <v>55</v>
      </c>
      <c r="S27" s="427"/>
      <c r="T27" s="427"/>
      <c r="U27" s="427"/>
      <c r="V27" s="427"/>
      <c r="W27" s="427"/>
      <c r="X27" s="427"/>
      <c r="Y27" s="506"/>
      <c r="Z27" s="90"/>
    </row>
    <row r="28" spans="1:28" ht="36" customHeight="1" x14ac:dyDescent="0.25">
      <c r="A28" s="91"/>
      <c r="B28" s="428" t="s">
        <v>56</v>
      </c>
      <c r="C28" s="429"/>
      <c r="D28" s="509" t="s">
        <v>57</v>
      </c>
      <c r="E28" s="510"/>
      <c r="F28" s="199" t="s">
        <v>58</v>
      </c>
      <c r="G28" s="199" t="s">
        <v>59</v>
      </c>
      <c r="H28" s="199" t="s">
        <v>60</v>
      </c>
      <c r="I28" s="474"/>
      <c r="J28" s="475"/>
      <c r="K28" s="475"/>
      <c r="L28" s="474" t="s">
        <v>61</v>
      </c>
      <c r="M28" s="475"/>
      <c r="N28" s="505"/>
      <c r="O28" s="474" t="s">
        <v>61</v>
      </c>
      <c r="P28" s="475"/>
      <c r="Q28" s="505"/>
      <c r="R28" s="474"/>
      <c r="S28" s="475"/>
      <c r="T28" s="475"/>
      <c r="U28" s="475"/>
      <c r="V28" s="475"/>
      <c r="W28" s="475"/>
      <c r="X28" s="475"/>
      <c r="Y28" s="507"/>
      <c r="Z28" s="90"/>
    </row>
    <row r="29" spans="1:28" ht="16.8" customHeight="1" x14ac:dyDescent="0.25">
      <c r="A29" s="91"/>
      <c r="B29" s="399">
        <v>1</v>
      </c>
      <c r="C29" s="400"/>
      <c r="D29" s="401"/>
      <c r="E29" s="402"/>
      <c r="F29" s="401"/>
      <c r="G29" s="402"/>
      <c r="H29" s="403"/>
      <c r="I29" s="404">
        <v>2.3029999999999999</v>
      </c>
      <c r="J29" s="404"/>
      <c r="K29" s="404"/>
      <c r="L29" s="405">
        <f t="shared" ref="L29:L43" si="0">I29*100/$Q$25</f>
        <v>92.452830188679229</v>
      </c>
      <c r="M29" s="397"/>
      <c r="N29" s="398"/>
      <c r="O29" s="397">
        <f t="shared" ref="O29:O43" si="1">100-L29</f>
        <v>7.5471698113207708</v>
      </c>
      <c r="P29" s="397"/>
      <c r="Q29" s="398"/>
      <c r="R29" s="395"/>
      <c r="S29" s="395"/>
      <c r="T29" s="395"/>
      <c r="U29" s="395"/>
      <c r="V29" s="395"/>
      <c r="W29" s="395"/>
      <c r="X29" s="395"/>
      <c r="Y29" s="396"/>
      <c r="Z29" s="90"/>
    </row>
    <row r="30" spans="1:28" ht="16.8" customHeight="1" x14ac:dyDescent="0.25">
      <c r="A30" s="91"/>
      <c r="B30" s="399">
        <v>2</v>
      </c>
      <c r="C30" s="400"/>
      <c r="D30" s="401"/>
      <c r="E30" s="402"/>
      <c r="F30" s="401"/>
      <c r="G30" s="402"/>
      <c r="H30" s="403"/>
      <c r="I30" s="404">
        <v>2.3210000000000002</v>
      </c>
      <c r="J30" s="404"/>
      <c r="K30" s="404"/>
      <c r="L30" s="405">
        <f t="shared" si="0"/>
        <v>93.175431553592944</v>
      </c>
      <c r="M30" s="397"/>
      <c r="N30" s="398"/>
      <c r="O30" s="397">
        <f t="shared" si="1"/>
        <v>6.8245684464070564</v>
      </c>
      <c r="P30" s="397"/>
      <c r="Q30" s="398"/>
      <c r="R30" s="395"/>
      <c r="S30" s="395"/>
      <c r="T30" s="395"/>
      <c r="U30" s="395"/>
      <c r="V30" s="395"/>
      <c r="W30" s="395"/>
      <c r="X30" s="395"/>
      <c r="Y30" s="396"/>
      <c r="Z30" s="90"/>
    </row>
    <row r="31" spans="1:28" ht="16.8" customHeight="1" x14ac:dyDescent="0.25">
      <c r="A31" s="91"/>
      <c r="B31" s="399">
        <v>3</v>
      </c>
      <c r="C31" s="400"/>
      <c r="D31" s="401"/>
      <c r="E31" s="402"/>
      <c r="F31" s="401"/>
      <c r="G31" s="402"/>
      <c r="H31" s="403"/>
      <c r="I31" s="404">
        <v>2.2839999999999998</v>
      </c>
      <c r="J31" s="404"/>
      <c r="K31" s="404"/>
      <c r="L31" s="405">
        <f t="shared" si="0"/>
        <v>91.690084303492554</v>
      </c>
      <c r="M31" s="397"/>
      <c r="N31" s="398"/>
      <c r="O31" s="397">
        <f t="shared" si="1"/>
        <v>8.3099156965074457</v>
      </c>
      <c r="P31" s="397"/>
      <c r="Q31" s="398"/>
      <c r="R31" s="395"/>
      <c r="S31" s="395"/>
      <c r="T31" s="395"/>
      <c r="U31" s="395"/>
      <c r="V31" s="395"/>
      <c r="W31" s="395"/>
      <c r="X31" s="395"/>
      <c r="Y31" s="396"/>
      <c r="Z31" s="90"/>
    </row>
    <row r="32" spans="1:28" ht="16.8" customHeight="1" x14ac:dyDescent="0.25">
      <c r="A32" s="91"/>
      <c r="B32" s="399">
        <v>4</v>
      </c>
      <c r="C32" s="400"/>
      <c r="D32" s="401"/>
      <c r="E32" s="402"/>
      <c r="F32" s="401"/>
      <c r="G32" s="402"/>
      <c r="H32" s="403"/>
      <c r="I32" s="404">
        <v>2.3250000000000002</v>
      </c>
      <c r="J32" s="404"/>
      <c r="K32" s="404"/>
      <c r="L32" s="405">
        <f t="shared" si="0"/>
        <v>93.336009634684871</v>
      </c>
      <c r="M32" s="397"/>
      <c r="N32" s="398"/>
      <c r="O32" s="397">
        <f t="shared" si="1"/>
        <v>6.6639903653151293</v>
      </c>
      <c r="P32" s="397"/>
      <c r="Q32" s="398"/>
      <c r="R32" s="395"/>
      <c r="S32" s="395"/>
      <c r="T32" s="395"/>
      <c r="U32" s="395"/>
      <c r="V32" s="395"/>
      <c r="W32" s="395"/>
      <c r="X32" s="395"/>
      <c r="Y32" s="396"/>
      <c r="Z32" s="90"/>
    </row>
    <row r="33" spans="1:26" ht="16.8" customHeight="1" x14ac:dyDescent="0.25">
      <c r="A33" s="91"/>
      <c r="B33" s="399">
        <v>5</v>
      </c>
      <c r="C33" s="400"/>
      <c r="D33" s="401"/>
      <c r="E33" s="402"/>
      <c r="F33" s="401"/>
      <c r="G33" s="402"/>
      <c r="H33" s="403"/>
      <c r="I33" s="404">
        <v>2.2789999999999999</v>
      </c>
      <c r="J33" s="404"/>
      <c r="K33" s="404"/>
      <c r="L33" s="405">
        <f t="shared" si="0"/>
        <v>91.489361702127653</v>
      </c>
      <c r="M33" s="397"/>
      <c r="N33" s="398"/>
      <c r="O33" s="397">
        <f t="shared" si="1"/>
        <v>8.5106382978723474</v>
      </c>
      <c r="P33" s="397"/>
      <c r="Q33" s="398"/>
      <c r="R33" s="395"/>
      <c r="S33" s="395"/>
      <c r="T33" s="395"/>
      <c r="U33" s="395"/>
      <c r="V33" s="395"/>
      <c r="W33" s="395"/>
      <c r="X33" s="395"/>
      <c r="Y33" s="396"/>
      <c r="Z33" s="90"/>
    </row>
    <row r="34" spans="1:26" ht="16.8" customHeight="1" x14ac:dyDescent="0.25">
      <c r="A34" s="91"/>
      <c r="B34" s="399">
        <v>6</v>
      </c>
      <c r="C34" s="400"/>
      <c r="D34" s="401"/>
      <c r="E34" s="402"/>
      <c r="F34" s="401"/>
      <c r="G34" s="402"/>
      <c r="H34" s="403"/>
      <c r="I34" s="404">
        <v>2.3039999999999998</v>
      </c>
      <c r="J34" s="404"/>
      <c r="K34" s="404"/>
      <c r="L34" s="405">
        <f t="shared" si="0"/>
        <v>92.492974708952218</v>
      </c>
      <c r="M34" s="397"/>
      <c r="N34" s="398"/>
      <c r="O34" s="397">
        <f t="shared" si="1"/>
        <v>7.5070252910477819</v>
      </c>
      <c r="P34" s="397"/>
      <c r="Q34" s="398"/>
      <c r="R34" s="395"/>
      <c r="S34" s="395"/>
      <c r="T34" s="395"/>
      <c r="U34" s="395"/>
      <c r="V34" s="395"/>
      <c r="W34" s="395"/>
      <c r="X34" s="395"/>
      <c r="Y34" s="396"/>
      <c r="Z34" s="90"/>
    </row>
    <row r="35" spans="1:26" ht="16.8" customHeight="1" x14ac:dyDescent="0.25">
      <c r="A35" s="91"/>
      <c r="B35" s="399">
        <v>7</v>
      </c>
      <c r="C35" s="400"/>
      <c r="D35" s="401"/>
      <c r="E35" s="402"/>
      <c r="F35" s="401"/>
      <c r="G35" s="402"/>
      <c r="H35" s="403"/>
      <c r="I35" s="404">
        <v>2.3159999999999998</v>
      </c>
      <c r="J35" s="404"/>
      <c r="K35" s="404"/>
      <c r="L35" s="405">
        <f t="shared" si="0"/>
        <v>92.974708952228013</v>
      </c>
      <c r="M35" s="397"/>
      <c r="N35" s="398"/>
      <c r="O35" s="397">
        <f t="shared" si="1"/>
        <v>7.0252910477719865</v>
      </c>
      <c r="P35" s="397"/>
      <c r="Q35" s="398"/>
      <c r="R35" s="395"/>
      <c r="S35" s="395"/>
      <c r="T35" s="395"/>
      <c r="U35" s="395"/>
      <c r="V35" s="395"/>
      <c r="W35" s="395"/>
      <c r="X35" s="395"/>
      <c r="Y35" s="396"/>
      <c r="Z35" s="90"/>
    </row>
    <row r="36" spans="1:26" ht="16.8" customHeight="1" x14ac:dyDescent="0.25">
      <c r="A36" s="91"/>
      <c r="B36" s="399">
        <v>8</v>
      </c>
      <c r="C36" s="400"/>
      <c r="D36" s="401"/>
      <c r="E36" s="402"/>
      <c r="F36" s="401"/>
      <c r="G36" s="402"/>
      <c r="H36" s="403"/>
      <c r="I36" s="404">
        <v>2.2770000000000001</v>
      </c>
      <c r="J36" s="404"/>
      <c r="K36" s="404"/>
      <c r="L36" s="405">
        <f t="shared" si="0"/>
        <v>91.409072661581703</v>
      </c>
      <c r="M36" s="397"/>
      <c r="N36" s="398"/>
      <c r="O36" s="397">
        <f t="shared" si="1"/>
        <v>8.5909273384182967</v>
      </c>
      <c r="P36" s="397"/>
      <c r="Q36" s="398"/>
      <c r="R36" s="395"/>
      <c r="S36" s="395"/>
      <c r="T36" s="395"/>
      <c r="U36" s="395"/>
      <c r="V36" s="395"/>
      <c r="W36" s="395"/>
      <c r="X36" s="395"/>
      <c r="Y36" s="396"/>
      <c r="Z36" s="90"/>
    </row>
    <row r="37" spans="1:26" ht="16.8" customHeight="1" x14ac:dyDescent="0.25">
      <c r="A37" s="91"/>
      <c r="B37" s="399">
        <v>9</v>
      </c>
      <c r="C37" s="400"/>
      <c r="D37" s="401"/>
      <c r="E37" s="402"/>
      <c r="F37" s="401"/>
      <c r="G37" s="402"/>
      <c r="H37" s="403"/>
      <c r="I37" s="404">
        <v>2.323</v>
      </c>
      <c r="J37" s="404"/>
      <c r="K37" s="404"/>
      <c r="L37" s="405">
        <f t="shared" si="0"/>
        <v>93.255720594138893</v>
      </c>
      <c r="M37" s="397"/>
      <c r="N37" s="398"/>
      <c r="O37" s="397">
        <f t="shared" si="1"/>
        <v>6.7442794058611071</v>
      </c>
      <c r="P37" s="397"/>
      <c r="Q37" s="398"/>
      <c r="R37" s="395"/>
      <c r="S37" s="395"/>
      <c r="T37" s="395"/>
      <c r="U37" s="395"/>
      <c r="V37" s="395"/>
      <c r="W37" s="395"/>
      <c r="X37" s="395"/>
      <c r="Y37" s="396"/>
      <c r="Z37" s="90"/>
    </row>
    <row r="38" spans="1:26" ht="16.8" customHeight="1" x14ac:dyDescent="0.25">
      <c r="A38" s="91"/>
      <c r="B38" s="399">
        <v>10</v>
      </c>
      <c r="C38" s="400"/>
      <c r="D38" s="401"/>
      <c r="E38" s="402"/>
      <c r="F38" s="401"/>
      <c r="G38" s="402"/>
      <c r="H38" s="403"/>
      <c r="I38" s="404">
        <v>2.2890000000000001</v>
      </c>
      <c r="J38" s="404"/>
      <c r="K38" s="404"/>
      <c r="L38" s="405">
        <f t="shared" si="0"/>
        <v>91.890806904857484</v>
      </c>
      <c r="M38" s="397"/>
      <c r="N38" s="398"/>
      <c r="O38" s="397">
        <f t="shared" si="1"/>
        <v>8.1091930951425155</v>
      </c>
      <c r="P38" s="397"/>
      <c r="Q38" s="398"/>
      <c r="R38" s="395"/>
      <c r="S38" s="395"/>
      <c r="T38" s="395"/>
      <c r="U38" s="395"/>
      <c r="V38" s="395"/>
      <c r="W38" s="395"/>
      <c r="X38" s="395"/>
      <c r="Y38" s="396"/>
      <c r="Z38" s="90"/>
    </row>
    <row r="39" spans="1:26" ht="16.8" customHeight="1" x14ac:dyDescent="0.25">
      <c r="A39" s="91"/>
      <c r="B39" s="399">
        <v>11</v>
      </c>
      <c r="C39" s="400"/>
      <c r="D39" s="401"/>
      <c r="E39" s="402"/>
      <c r="F39" s="401"/>
      <c r="G39" s="402"/>
      <c r="H39" s="403"/>
      <c r="I39" s="404">
        <v>2.3109999999999999</v>
      </c>
      <c r="J39" s="404"/>
      <c r="K39" s="404"/>
      <c r="L39" s="405">
        <f t="shared" si="0"/>
        <v>92.773986350863098</v>
      </c>
      <c r="M39" s="397"/>
      <c r="N39" s="398"/>
      <c r="O39" s="397">
        <f t="shared" si="1"/>
        <v>7.2260136491369025</v>
      </c>
      <c r="P39" s="397"/>
      <c r="Q39" s="398"/>
      <c r="R39" s="395"/>
      <c r="S39" s="395"/>
      <c r="T39" s="395"/>
      <c r="U39" s="395"/>
      <c r="V39" s="395"/>
      <c r="W39" s="395"/>
      <c r="X39" s="395"/>
      <c r="Y39" s="396"/>
      <c r="Z39" s="90"/>
    </row>
    <row r="40" spans="1:26" ht="16.8" customHeight="1" x14ac:dyDescent="0.25">
      <c r="A40" s="91"/>
      <c r="B40" s="399">
        <v>12</v>
      </c>
      <c r="C40" s="400"/>
      <c r="D40" s="401"/>
      <c r="E40" s="402"/>
      <c r="F40" s="401"/>
      <c r="G40" s="402"/>
      <c r="H40" s="403"/>
      <c r="I40" s="404">
        <v>2.3380000000000001</v>
      </c>
      <c r="J40" s="404"/>
      <c r="K40" s="404"/>
      <c r="L40" s="405">
        <f t="shared" si="0"/>
        <v>93.857888398233641</v>
      </c>
      <c r="M40" s="397"/>
      <c r="N40" s="398"/>
      <c r="O40" s="397">
        <f t="shared" si="1"/>
        <v>6.1421116017663593</v>
      </c>
      <c r="P40" s="397"/>
      <c r="Q40" s="398"/>
      <c r="R40" s="395"/>
      <c r="S40" s="395"/>
      <c r="T40" s="395"/>
      <c r="U40" s="395"/>
      <c r="V40" s="395"/>
      <c r="W40" s="395"/>
      <c r="X40" s="395"/>
      <c r="Y40" s="396"/>
      <c r="Z40" s="90"/>
    </row>
    <row r="41" spans="1:26" ht="16.8" customHeight="1" x14ac:dyDescent="0.25">
      <c r="A41" s="91"/>
      <c r="B41" s="399">
        <v>13</v>
      </c>
      <c r="C41" s="400"/>
      <c r="D41" s="401"/>
      <c r="E41" s="402"/>
      <c r="F41" s="401"/>
      <c r="G41" s="402"/>
      <c r="H41" s="403"/>
      <c r="I41" s="404">
        <v>2.3359999999999999</v>
      </c>
      <c r="J41" s="404"/>
      <c r="K41" s="404"/>
      <c r="L41" s="405">
        <f t="shared" si="0"/>
        <v>93.777599357687663</v>
      </c>
      <c r="M41" s="397"/>
      <c r="N41" s="398"/>
      <c r="O41" s="397">
        <f t="shared" si="1"/>
        <v>6.222400642312337</v>
      </c>
      <c r="P41" s="397"/>
      <c r="Q41" s="398"/>
      <c r="R41" s="395"/>
      <c r="S41" s="395"/>
      <c r="T41" s="395"/>
      <c r="U41" s="395"/>
      <c r="V41" s="395"/>
      <c r="W41" s="395"/>
      <c r="X41" s="395"/>
      <c r="Y41" s="396"/>
      <c r="Z41" s="90"/>
    </row>
    <row r="42" spans="1:26" ht="16.8" customHeight="1" x14ac:dyDescent="0.25">
      <c r="A42" s="91"/>
      <c r="B42" s="399">
        <v>14</v>
      </c>
      <c r="C42" s="400"/>
      <c r="D42" s="401"/>
      <c r="E42" s="402"/>
      <c r="F42" s="401"/>
      <c r="G42" s="402"/>
      <c r="H42" s="403"/>
      <c r="I42" s="404">
        <v>2.2789999999999999</v>
      </c>
      <c r="J42" s="404"/>
      <c r="K42" s="404"/>
      <c r="L42" s="405">
        <f t="shared" si="0"/>
        <v>91.489361702127653</v>
      </c>
      <c r="M42" s="397"/>
      <c r="N42" s="398"/>
      <c r="O42" s="397">
        <f t="shared" si="1"/>
        <v>8.5106382978723474</v>
      </c>
      <c r="P42" s="397"/>
      <c r="Q42" s="398"/>
      <c r="R42" s="395"/>
      <c r="S42" s="395"/>
      <c r="T42" s="395"/>
      <c r="U42" s="395"/>
      <c r="V42" s="395"/>
      <c r="W42" s="395"/>
      <c r="X42" s="395"/>
      <c r="Y42" s="396"/>
      <c r="Z42" s="90"/>
    </row>
    <row r="43" spans="1:26" ht="16.8" customHeight="1" x14ac:dyDescent="0.25">
      <c r="A43" s="91"/>
      <c r="B43" s="399">
        <v>15</v>
      </c>
      <c r="C43" s="400"/>
      <c r="D43" s="401"/>
      <c r="E43" s="402"/>
      <c r="F43" s="401"/>
      <c r="G43" s="402"/>
      <c r="H43" s="403"/>
      <c r="I43" s="404">
        <v>2.27</v>
      </c>
      <c r="J43" s="404"/>
      <c r="K43" s="404"/>
      <c r="L43" s="405">
        <f t="shared" si="0"/>
        <v>91.12806101967081</v>
      </c>
      <c r="M43" s="397"/>
      <c r="N43" s="398"/>
      <c r="O43" s="397">
        <f t="shared" si="1"/>
        <v>8.8719389803291904</v>
      </c>
      <c r="P43" s="397"/>
      <c r="Q43" s="398"/>
      <c r="R43" s="395"/>
      <c r="S43" s="395"/>
      <c r="T43" s="395"/>
      <c r="U43" s="395"/>
      <c r="V43" s="395"/>
      <c r="W43" s="395"/>
      <c r="X43" s="395"/>
      <c r="Y43" s="396"/>
      <c r="Z43" s="90"/>
    </row>
    <row r="44" spans="1:26" ht="16.8" customHeight="1" x14ac:dyDescent="0.25">
      <c r="A44" s="91"/>
      <c r="B44" s="198"/>
      <c r="C44" s="197"/>
      <c r="D44" s="196"/>
      <c r="E44" s="173"/>
      <c r="F44" s="196"/>
      <c r="G44" s="173"/>
      <c r="H44" s="174"/>
      <c r="I44" s="195"/>
      <c r="J44" s="195"/>
      <c r="K44" s="195"/>
      <c r="L44" s="194"/>
      <c r="M44" s="193"/>
      <c r="N44" s="192"/>
      <c r="O44" s="193"/>
      <c r="P44" s="193"/>
      <c r="Q44" s="192"/>
      <c r="R44" s="191"/>
      <c r="S44" s="191"/>
      <c r="T44" s="191"/>
      <c r="U44" s="191"/>
      <c r="V44" s="191"/>
      <c r="W44" s="191"/>
      <c r="X44" s="191"/>
      <c r="Y44" s="190"/>
      <c r="Z44" s="90"/>
    </row>
    <row r="45" spans="1:26" ht="16.8" customHeight="1" x14ac:dyDescent="0.25">
      <c r="A45" s="91"/>
      <c r="B45" s="198"/>
      <c r="C45" s="197"/>
      <c r="D45" s="196"/>
      <c r="E45" s="173"/>
      <c r="F45" s="196"/>
      <c r="G45" s="173"/>
      <c r="H45" s="174"/>
      <c r="I45" s="195"/>
      <c r="J45" s="195"/>
      <c r="K45" s="195"/>
      <c r="L45" s="194"/>
      <c r="M45" s="193"/>
      <c r="N45" s="192"/>
      <c r="O45" s="193"/>
      <c r="P45" s="193"/>
      <c r="Q45" s="192"/>
      <c r="R45" s="191"/>
      <c r="S45" s="191"/>
      <c r="T45" s="191"/>
      <c r="U45" s="191"/>
      <c r="V45" s="191"/>
      <c r="W45" s="191"/>
      <c r="X45" s="191"/>
      <c r="Y45" s="190"/>
      <c r="Z45" s="90"/>
    </row>
    <row r="46" spans="1:26" ht="16.8" customHeight="1" x14ac:dyDescent="0.25">
      <c r="A46" s="91"/>
      <c r="B46" s="198"/>
      <c r="C46" s="197"/>
      <c r="D46" s="196"/>
      <c r="E46" s="173"/>
      <c r="F46" s="196"/>
      <c r="G46" s="173"/>
      <c r="H46" s="174"/>
      <c r="I46" s="195"/>
      <c r="J46" s="195"/>
      <c r="K46" s="195"/>
      <c r="L46" s="194"/>
      <c r="M46" s="193"/>
      <c r="N46" s="192"/>
      <c r="O46" s="193"/>
      <c r="P46" s="193"/>
      <c r="Q46" s="192"/>
      <c r="R46" s="191"/>
      <c r="S46" s="191"/>
      <c r="T46" s="191"/>
      <c r="U46" s="191"/>
      <c r="V46" s="191"/>
      <c r="W46" s="191"/>
      <c r="X46" s="191"/>
      <c r="Y46" s="190"/>
      <c r="Z46" s="90"/>
    </row>
    <row r="47" spans="1:26" ht="16.8" customHeight="1" x14ac:dyDescent="0.25">
      <c r="A47" s="91"/>
      <c r="B47" s="198"/>
      <c r="C47" s="197"/>
      <c r="D47" s="196"/>
      <c r="E47" s="173"/>
      <c r="F47" s="196"/>
      <c r="G47" s="173"/>
      <c r="H47" s="174"/>
      <c r="I47" s="195"/>
      <c r="J47" s="195"/>
      <c r="K47" s="195"/>
      <c r="L47" s="194"/>
      <c r="M47" s="193"/>
      <c r="N47" s="192"/>
      <c r="O47" s="193"/>
      <c r="P47" s="193"/>
      <c r="Q47" s="192"/>
      <c r="R47" s="191"/>
      <c r="S47" s="191"/>
      <c r="T47" s="191"/>
      <c r="U47" s="191"/>
      <c r="V47" s="191"/>
      <c r="W47" s="191"/>
      <c r="X47" s="191"/>
      <c r="Y47" s="190"/>
      <c r="Z47" s="90"/>
    </row>
    <row r="48" spans="1:26" ht="16.8" customHeight="1" x14ac:dyDescent="0.25">
      <c r="A48" s="91"/>
      <c r="B48" s="198"/>
      <c r="C48" s="197"/>
      <c r="D48" s="196"/>
      <c r="E48" s="173"/>
      <c r="F48" s="196"/>
      <c r="G48" s="173"/>
      <c r="H48" s="174"/>
      <c r="I48" s="195"/>
      <c r="J48" s="195"/>
      <c r="K48" s="195"/>
      <c r="L48" s="194"/>
      <c r="M48" s="193"/>
      <c r="N48" s="192"/>
      <c r="O48" s="193"/>
      <c r="P48" s="193"/>
      <c r="Q48" s="192"/>
      <c r="R48" s="191"/>
      <c r="S48" s="191"/>
      <c r="T48" s="191"/>
      <c r="U48" s="191"/>
      <c r="V48" s="191"/>
      <c r="W48" s="191"/>
      <c r="X48" s="191"/>
      <c r="Y48" s="190"/>
      <c r="Z48" s="90"/>
    </row>
    <row r="49" spans="1:29" ht="16.8" customHeight="1" x14ac:dyDescent="0.25">
      <c r="A49" s="91"/>
      <c r="B49" s="198"/>
      <c r="C49" s="197"/>
      <c r="D49" s="196"/>
      <c r="E49" s="173"/>
      <c r="F49" s="196"/>
      <c r="G49" s="173"/>
      <c r="H49" s="174"/>
      <c r="I49" s="195"/>
      <c r="J49" s="195"/>
      <c r="K49" s="195"/>
      <c r="L49" s="194"/>
      <c r="M49" s="193"/>
      <c r="N49" s="192"/>
      <c r="O49" s="193"/>
      <c r="P49" s="193"/>
      <c r="Q49" s="192"/>
      <c r="R49" s="191"/>
      <c r="S49" s="191"/>
      <c r="T49" s="191"/>
      <c r="U49" s="191"/>
      <c r="V49" s="191"/>
      <c r="W49" s="191"/>
      <c r="X49" s="191"/>
      <c r="Y49" s="190"/>
      <c r="Z49" s="90"/>
    </row>
    <row r="50" spans="1:29" ht="16.8" customHeight="1" x14ac:dyDescent="0.25">
      <c r="A50" s="91"/>
      <c r="B50" s="198"/>
      <c r="C50" s="197"/>
      <c r="D50" s="196"/>
      <c r="E50" s="173"/>
      <c r="F50" s="196"/>
      <c r="G50" s="173"/>
      <c r="H50" s="174"/>
      <c r="I50" s="195"/>
      <c r="J50" s="195"/>
      <c r="K50" s="195"/>
      <c r="L50" s="194"/>
      <c r="M50" s="193"/>
      <c r="N50" s="192"/>
      <c r="O50" s="193"/>
      <c r="P50" s="193"/>
      <c r="Q50" s="192"/>
      <c r="R50" s="191"/>
      <c r="S50" s="191"/>
      <c r="T50" s="191"/>
      <c r="U50" s="191"/>
      <c r="V50" s="191"/>
      <c r="W50" s="191"/>
      <c r="X50" s="191"/>
      <c r="Y50" s="190"/>
      <c r="Z50" s="90"/>
    </row>
    <row r="51" spans="1:29" ht="16.8" customHeight="1" x14ac:dyDescent="0.25">
      <c r="A51" s="91"/>
      <c r="B51" s="198"/>
      <c r="C51" s="197"/>
      <c r="D51" s="196"/>
      <c r="E51" s="173"/>
      <c r="F51" s="196"/>
      <c r="G51" s="173"/>
      <c r="H51" s="174"/>
      <c r="I51" s="195"/>
      <c r="J51" s="195"/>
      <c r="K51" s="195"/>
      <c r="L51" s="194"/>
      <c r="M51" s="193"/>
      <c r="N51" s="192"/>
      <c r="O51" s="193"/>
      <c r="P51" s="193"/>
      <c r="Q51" s="192"/>
      <c r="R51" s="191"/>
      <c r="S51" s="191"/>
      <c r="T51" s="191"/>
      <c r="U51" s="191"/>
      <c r="V51" s="191"/>
      <c r="W51" s="191"/>
      <c r="X51" s="191"/>
      <c r="Y51" s="190"/>
      <c r="Z51" s="90"/>
    </row>
    <row r="52" spans="1:29" ht="16.8" customHeight="1" x14ac:dyDescent="0.25">
      <c r="A52" s="91"/>
      <c r="B52" s="198"/>
      <c r="C52" s="197"/>
      <c r="D52" s="196"/>
      <c r="E52" s="173"/>
      <c r="F52" s="196"/>
      <c r="G52" s="173"/>
      <c r="H52" s="174"/>
      <c r="I52" s="195"/>
      <c r="J52" s="195"/>
      <c r="K52" s="195"/>
      <c r="L52" s="194"/>
      <c r="M52" s="193"/>
      <c r="N52" s="192"/>
      <c r="O52" s="193"/>
      <c r="P52" s="193"/>
      <c r="Q52" s="192"/>
      <c r="R52" s="191"/>
      <c r="S52" s="191"/>
      <c r="T52" s="191"/>
      <c r="U52" s="191"/>
      <c r="V52" s="191"/>
      <c r="W52" s="191"/>
      <c r="X52" s="191"/>
      <c r="Y52" s="190"/>
      <c r="Z52" s="90"/>
    </row>
    <row r="53" spans="1:29" ht="16.8" customHeight="1" x14ac:dyDescent="0.25">
      <c r="A53" s="91"/>
      <c r="B53" s="198"/>
      <c r="C53" s="197"/>
      <c r="D53" s="196"/>
      <c r="E53" s="173"/>
      <c r="F53" s="196"/>
      <c r="G53" s="173"/>
      <c r="H53" s="174"/>
      <c r="I53" s="195"/>
      <c r="J53" s="195"/>
      <c r="K53" s="195"/>
      <c r="L53" s="194"/>
      <c r="M53" s="193"/>
      <c r="N53" s="192"/>
      <c r="O53" s="193"/>
      <c r="P53" s="193"/>
      <c r="Q53" s="192"/>
      <c r="R53" s="191"/>
      <c r="S53" s="191"/>
      <c r="T53" s="191"/>
      <c r="U53" s="191"/>
      <c r="V53" s="191"/>
      <c r="W53" s="191"/>
      <c r="X53" s="191"/>
      <c r="Y53" s="190"/>
      <c r="Z53" s="90"/>
    </row>
    <row r="54" spans="1:29" ht="16.8" customHeight="1" x14ac:dyDescent="0.25">
      <c r="A54" s="91"/>
      <c r="B54" s="198"/>
      <c r="C54" s="197"/>
      <c r="D54" s="196"/>
      <c r="E54" s="173"/>
      <c r="F54" s="196"/>
      <c r="G54" s="173"/>
      <c r="H54" s="174"/>
      <c r="I54" s="195"/>
      <c r="J54" s="195"/>
      <c r="K54" s="195"/>
      <c r="L54" s="194"/>
      <c r="M54" s="193"/>
      <c r="N54" s="192"/>
      <c r="O54" s="193"/>
      <c r="P54" s="193"/>
      <c r="Q54" s="192"/>
      <c r="R54" s="191"/>
      <c r="S54" s="191"/>
      <c r="T54" s="191"/>
      <c r="U54" s="191"/>
      <c r="V54" s="191"/>
      <c r="W54" s="191"/>
      <c r="X54" s="191"/>
      <c r="Y54" s="190"/>
      <c r="Z54" s="90"/>
    </row>
    <row r="55" spans="1:29" ht="16.8" customHeight="1" x14ac:dyDescent="0.25">
      <c r="A55" s="91"/>
      <c r="B55" s="198"/>
      <c r="C55" s="197"/>
      <c r="D55" s="196"/>
      <c r="E55" s="173"/>
      <c r="F55" s="196"/>
      <c r="G55" s="173"/>
      <c r="H55" s="174"/>
      <c r="I55" s="195"/>
      <c r="J55" s="195"/>
      <c r="K55" s="195"/>
      <c r="L55" s="194"/>
      <c r="M55" s="193"/>
      <c r="N55" s="192"/>
      <c r="O55" s="193"/>
      <c r="P55" s="193"/>
      <c r="Q55" s="192"/>
      <c r="R55" s="191"/>
      <c r="S55" s="191"/>
      <c r="T55" s="191"/>
      <c r="U55" s="191"/>
      <c r="V55" s="191"/>
      <c r="W55" s="191"/>
      <c r="X55" s="191"/>
      <c r="Y55" s="190"/>
      <c r="Z55" s="90"/>
    </row>
    <row r="56" spans="1:29" ht="16.8" customHeight="1" x14ac:dyDescent="0.25">
      <c r="A56" s="91"/>
      <c r="B56" s="198"/>
      <c r="C56" s="197"/>
      <c r="D56" s="196"/>
      <c r="E56" s="173"/>
      <c r="F56" s="196"/>
      <c r="G56" s="173"/>
      <c r="H56" s="174"/>
      <c r="I56" s="195"/>
      <c r="J56" s="195"/>
      <c r="K56" s="195"/>
      <c r="L56" s="194"/>
      <c r="M56" s="193"/>
      <c r="N56" s="192"/>
      <c r="O56" s="193"/>
      <c r="P56" s="193"/>
      <c r="Q56" s="192"/>
      <c r="R56" s="191"/>
      <c r="S56" s="191"/>
      <c r="T56" s="191"/>
      <c r="U56" s="191"/>
      <c r="V56" s="191"/>
      <c r="W56" s="191"/>
      <c r="X56" s="191"/>
      <c r="Y56" s="190"/>
      <c r="Z56" s="90"/>
    </row>
    <row r="57" spans="1:29" ht="16.8" customHeight="1" x14ac:dyDescent="0.25">
      <c r="A57" s="91"/>
      <c r="B57" s="198"/>
      <c r="C57" s="197"/>
      <c r="D57" s="196"/>
      <c r="E57" s="173"/>
      <c r="F57" s="196"/>
      <c r="G57" s="173"/>
      <c r="H57" s="174"/>
      <c r="I57" s="195"/>
      <c r="J57" s="195"/>
      <c r="K57" s="195"/>
      <c r="L57" s="194"/>
      <c r="M57" s="193"/>
      <c r="N57" s="192"/>
      <c r="O57" s="193"/>
      <c r="P57" s="193"/>
      <c r="Q57" s="192"/>
      <c r="R57" s="191"/>
      <c r="S57" s="191"/>
      <c r="T57" s="191"/>
      <c r="U57" s="191"/>
      <c r="V57" s="191"/>
      <c r="W57" s="191"/>
      <c r="X57" s="191"/>
      <c r="Y57" s="190"/>
      <c r="Z57" s="90"/>
    </row>
    <row r="58" spans="1:29" ht="17.25" customHeight="1" x14ac:dyDescent="0.25">
      <c r="A58" s="91"/>
      <c r="B58" s="511"/>
      <c r="C58" s="512"/>
      <c r="D58" s="483"/>
      <c r="E58" s="484"/>
      <c r="F58" s="483"/>
      <c r="G58" s="484"/>
      <c r="H58" s="485"/>
      <c r="I58" s="482"/>
      <c r="J58" s="482"/>
      <c r="K58" s="482"/>
      <c r="L58" s="490"/>
      <c r="M58" s="488"/>
      <c r="N58" s="489"/>
      <c r="O58" s="488"/>
      <c r="P58" s="488"/>
      <c r="Q58" s="489"/>
      <c r="R58" s="486"/>
      <c r="S58" s="486"/>
      <c r="T58" s="486"/>
      <c r="U58" s="486"/>
      <c r="V58" s="486"/>
      <c r="W58" s="486"/>
      <c r="X58" s="486"/>
      <c r="Y58" s="487"/>
      <c r="Z58" s="90"/>
    </row>
    <row r="59" spans="1:29" ht="16.5" customHeight="1" thickBot="1" x14ac:dyDescent="0.3">
      <c r="A59" s="91"/>
      <c r="B59" s="516" t="s">
        <v>62</v>
      </c>
      <c r="C59" s="517"/>
      <c r="D59" s="517"/>
      <c r="E59" s="517"/>
      <c r="F59" s="517"/>
      <c r="G59" s="517"/>
      <c r="H59" s="517"/>
      <c r="I59" s="518">
        <v>2.2999999999999998</v>
      </c>
      <c r="J59" s="518"/>
      <c r="K59" s="518"/>
      <c r="L59" s="472">
        <v>92.41</v>
      </c>
      <c r="M59" s="472"/>
      <c r="N59" s="472"/>
      <c r="O59" s="472">
        <v>7.59</v>
      </c>
      <c r="P59" s="472"/>
      <c r="Q59" s="472"/>
      <c r="R59" s="519"/>
      <c r="S59" s="519"/>
      <c r="T59" s="519"/>
      <c r="U59" s="519"/>
      <c r="V59" s="519"/>
      <c r="W59" s="519"/>
      <c r="X59" s="519"/>
      <c r="Y59" s="520"/>
      <c r="Z59" s="90"/>
    </row>
    <row r="60" spans="1:29" ht="25.5" customHeight="1" thickBot="1" x14ac:dyDescent="0.3">
      <c r="A60" s="91"/>
      <c r="B60" s="470" t="s">
        <v>63</v>
      </c>
      <c r="C60" s="471"/>
      <c r="D60" s="471"/>
      <c r="E60" s="471"/>
      <c r="F60" s="471"/>
      <c r="G60" s="471"/>
      <c r="H60" s="471"/>
      <c r="I60" s="513">
        <v>86.67</v>
      </c>
      <c r="J60" s="513"/>
      <c r="K60" s="513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5"/>
      <c r="Z60" s="90"/>
    </row>
    <row r="61" spans="1:29" ht="15" customHeight="1" x14ac:dyDescent="0.25">
      <c r="A61" s="89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7"/>
    </row>
    <row r="62" spans="1:29" ht="16.5" customHeight="1" x14ac:dyDescent="0.25">
      <c r="S62" s="189"/>
      <c r="T62" s="189"/>
      <c r="U62" s="189"/>
    </row>
    <row r="63" spans="1:29" ht="15.6" customHeight="1" x14ac:dyDescent="0.25">
      <c r="A63" s="86" t="s">
        <v>64</v>
      </c>
      <c r="B63" s="85" t="s">
        <v>65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188"/>
      <c r="V63" s="187"/>
      <c r="W63" s="187"/>
      <c r="X63" s="187"/>
      <c r="Y63" s="187"/>
      <c r="Z63" s="186"/>
      <c r="AA63" s="59"/>
      <c r="AB63" s="59"/>
      <c r="AC63" s="59"/>
    </row>
    <row r="64" spans="1:29" ht="26.4" customHeight="1" x14ac:dyDescent="0.25">
      <c r="A64" s="476" t="s">
        <v>150</v>
      </c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8"/>
      <c r="R64" s="417" t="s">
        <v>67</v>
      </c>
      <c r="S64" s="418"/>
      <c r="T64" s="419"/>
      <c r="U64" s="491" t="s">
        <v>131</v>
      </c>
      <c r="V64" s="492"/>
      <c r="W64" s="492"/>
      <c r="X64" s="493"/>
      <c r="Y64" s="493"/>
      <c r="Z64" s="494"/>
      <c r="AA64" s="59"/>
      <c r="AB64" s="59"/>
      <c r="AC64" s="59"/>
    </row>
    <row r="65" spans="1:29" ht="15.6" customHeight="1" x14ac:dyDescent="0.25">
      <c r="A65" s="420" t="s">
        <v>74</v>
      </c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2"/>
      <c r="R65" s="417" t="s">
        <v>68</v>
      </c>
      <c r="S65" s="418"/>
      <c r="T65" s="419"/>
      <c r="U65" s="495" t="s">
        <v>130</v>
      </c>
      <c r="V65" s="496"/>
      <c r="W65" s="496"/>
      <c r="X65" s="534"/>
      <c r="Y65" s="534"/>
      <c r="Z65" s="535"/>
      <c r="AA65" s="59"/>
      <c r="AB65" s="59"/>
      <c r="AC65" s="59"/>
    </row>
    <row r="66" spans="1:29" ht="15.6" customHeight="1" x14ac:dyDescent="0.25">
      <c r="A66" s="423"/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5"/>
      <c r="R66" s="417"/>
      <c r="S66" s="418"/>
      <c r="T66" s="419"/>
      <c r="U66" s="498"/>
      <c r="V66" s="499"/>
      <c r="W66" s="499"/>
      <c r="X66" s="536"/>
      <c r="Y66" s="536"/>
      <c r="Z66" s="537"/>
      <c r="AA66" s="59"/>
      <c r="AB66" s="59"/>
      <c r="AC66" s="59"/>
    </row>
    <row r="67" spans="1:29" ht="15.6" customHeight="1" x14ac:dyDescent="0.25">
      <c r="A67" s="175" t="s">
        <v>149</v>
      </c>
      <c r="B67" s="185" t="s">
        <v>70</v>
      </c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184"/>
      <c r="R67" s="417"/>
      <c r="S67" s="418"/>
      <c r="T67" s="419"/>
      <c r="U67" s="501"/>
      <c r="V67" s="502"/>
      <c r="W67" s="502"/>
      <c r="X67" s="538"/>
      <c r="Y67" s="538"/>
      <c r="Z67" s="539"/>
      <c r="AA67" s="59"/>
      <c r="AB67" s="59"/>
      <c r="AC67" s="59"/>
    </row>
    <row r="68" spans="1:29" ht="15.6" customHeight="1" x14ac:dyDescent="0.25">
      <c r="A68" s="464"/>
      <c r="B68" s="465"/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  <c r="O68" s="465"/>
      <c r="P68" s="465"/>
      <c r="Q68" s="466"/>
      <c r="R68" s="417" t="s">
        <v>71</v>
      </c>
      <c r="S68" s="418"/>
      <c r="T68" s="419"/>
      <c r="U68" s="183"/>
      <c r="V68" s="182"/>
      <c r="W68" s="182"/>
      <c r="X68" s="182"/>
      <c r="Y68" s="182"/>
      <c r="Z68" s="181"/>
      <c r="AA68" s="59"/>
      <c r="AB68" s="59"/>
      <c r="AC68" s="59"/>
    </row>
    <row r="69" spans="1:29" ht="15.6" customHeight="1" x14ac:dyDescent="0.25">
      <c r="A69" s="464"/>
      <c r="B69" s="465"/>
      <c r="C69" s="465"/>
      <c r="D69" s="465"/>
      <c r="E69" s="465"/>
      <c r="F69" s="465"/>
      <c r="G69" s="465"/>
      <c r="H69" s="465"/>
      <c r="I69" s="465"/>
      <c r="J69" s="465"/>
      <c r="K69" s="465"/>
      <c r="L69" s="465"/>
      <c r="M69" s="465"/>
      <c r="N69" s="465"/>
      <c r="O69" s="465"/>
      <c r="P69" s="465"/>
      <c r="Q69" s="466"/>
      <c r="R69" s="417"/>
      <c r="S69" s="418"/>
      <c r="T69" s="419"/>
      <c r="U69" s="180"/>
      <c r="V69" s="499"/>
      <c r="W69" s="499"/>
      <c r="X69" s="499"/>
      <c r="Y69" s="499"/>
      <c r="Z69" s="179"/>
      <c r="AA69" s="59"/>
      <c r="AB69" s="59"/>
      <c r="AC69" s="59"/>
    </row>
    <row r="70" spans="1:29" ht="15.6" customHeight="1" x14ac:dyDescent="0.25">
      <c r="A70" s="464"/>
      <c r="B70" s="465"/>
      <c r="C70" s="465"/>
      <c r="D70" s="465"/>
      <c r="E70" s="465"/>
      <c r="F70" s="465"/>
      <c r="G70" s="465"/>
      <c r="H70" s="465"/>
      <c r="I70" s="465"/>
      <c r="J70" s="465"/>
      <c r="K70" s="465"/>
      <c r="L70" s="465"/>
      <c r="M70" s="465"/>
      <c r="N70" s="465"/>
      <c r="O70" s="465"/>
      <c r="P70" s="465"/>
      <c r="Q70" s="466"/>
      <c r="R70" s="417"/>
      <c r="S70" s="418"/>
      <c r="T70" s="419"/>
      <c r="U70" s="180"/>
      <c r="V70" s="499"/>
      <c r="W70" s="499"/>
      <c r="X70" s="499"/>
      <c r="Y70" s="499"/>
      <c r="Z70" s="179"/>
      <c r="AA70" s="59"/>
      <c r="AB70" s="59"/>
      <c r="AC70" s="59"/>
    </row>
    <row r="71" spans="1:29" ht="15.6" customHeight="1" x14ac:dyDescent="0.25">
      <c r="A71" s="467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9"/>
      <c r="R71" s="479"/>
      <c r="S71" s="480"/>
      <c r="T71" s="481"/>
      <c r="U71" s="178"/>
      <c r="V71" s="177"/>
      <c r="W71" s="177"/>
      <c r="X71" s="177"/>
      <c r="Y71" s="177"/>
      <c r="Z71" s="176"/>
      <c r="AA71" s="59"/>
      <c r="AB71" s="59"/>
      <c r="AC71" s="59"/>
    </row>
    <row r="72" spans="1:29" ht="16.5" customHeight="1" x14ac:dyDescent="0.25">
      <c r="R72" s="61"/>
      <c r="S72" s="61"/>
      <c r="T72" s="61"/>
      <c r="U72" s="60"/>
      <c r="V72" s="60"/>
      <c r="W72" s="60"/>
      <c r="X72" s="60"/>
      <c r="Y72" s="60"/>
      <c r="Z72" s="60"/>
      <c r="AA72" s="59"/>
      <c r="AB72" s="59"/>
      <c r="AC72" s="59"/>
    </row>
  </sheetData>
  <sheetProtection formatCells="0" formatColumns="0" formatRows="0" insertColumns="0" insertRows="0" insertHyperlinks="0" deleteColumns="0" deleteRows="0" selectLockedCells="1" sort="0" autoFilter="0" pivotTables="0"/>
  <mergeCells count="188">
    <mergeCell ref="B40:C40"/>
    <mergeCell ref="D40:E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A89C-0142-48EF-A02D-8E5861AEA451}">
  <sheetPr>
    <pageSetUpPr fitToPage="1"/>
  </sheetPr>
  <dimension ref="A1:AN67"/>
  <sheetViews>
    <sheetView workbookViewId="0">
      <selection activeCell="AB10" sqref="AB10"/>
    </sheetView>
  </sheetViews>
  <sheetFormatPr baseColWidth="10" defaultColWidth="11.44140625" defaultRowHeight="13.2" x14ac:dyDescent="0.25"/>
  <cols>
    <col min="1" max="26" width="5.109375" style="58" customWidth="1"/>
    <col min="27" max="27" width="8.33203125" style="58" customWidth="1"/>
    <col min="28" max="28" width="11.44140625" style="58"/>
    <col min="29" max="16384" width="11.44140625" style="57"/>
  </cols>
  <sheetData>
    <row r="1" spans="1:40" ht="13.2" customHeight="1" x14ac:dyDescent="0.25">
      <c r="A1" s="432"/>
      <c r="B1" s="433"/>
      <c r="C1" s="433"/>
      <c r="D1" s="433"/>
      <c r="E1" s="433"/>
      <c r="F1" s="434"/>
      <c r="G1" s="441" t="s">
        <v>0</v>
      </c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3"/>
      <c r="U1" s="449" t="s">
        <v>136</v>
      </c>
      <c r="V1" s="450"/>
      <c r="W1" s="450"/>
      <c r="X1" s="450"/>
      <c r="Y1" s="450"/>
      <c r="Z1" s="451"/>
    </row>
    <row r="2" spans="1:40" ht="13.2" customHeight="1" x14ac:dyDescent="0.25">
      <c r="A2" s="435"/>
      <c r="B2" s="436"/>
      <c r="C2" s="436"/>
      <c r="D2" s="436"/>
      <c r="E2" s="436"/>
      <c r="F2" s="437"/>
      <c r="G2" s="458" t="s">
        <v>1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60"/>
      <c r="U2" s="452"/>
      <c r="V2" s="453"/>
      <c r="W2" s="453"/>
      <c r="X2" s="453"/>
      <c r="Y2" s="453"/>
      <c r="Z2" s="454"/>
    </row>
    <row r="3" spans="1:40" ht="13.2" customHeight="1" x14ac:dyDescent="0.25">
      <c r="A3" s="435"/>
      <c r="B3" s="436"/>
      <c r="C3" s="436"/>
      <c r="D3" s="436"/>
      <c r="E3" s="436"/>
      <c r="F3" s="437"/>
      <c r="G3" s="458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60"/>
      <c r="U3" s="452"/>
      <c r="V3" s="453"/>
      <c r="W3" s="453"/>
      <c r="X3" s="453"/>
      <c r="Y3" s="453"/>
      <c r="Z3" s="454"/>
    </row>
    <row r="4" spans="1:40" ht="13.2" customHeight="1" x14ac:dyDescent="0.25">
      <c r="A4" s="435"/>
      <c r="B4" s="436"/>
      <c r="C4" s="436"/>
      <c r="D4" s="436"/>
      <c r="E4" s="436"/>
      <c r="F4" s="437"/>
      <c r="G4" s="458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459"/>
      <c r="T4" s="460"/>
      <c r="U4" s="452"/>
      <c r="V4" s="453"/>
      <c r="W4" s="453"/>
      <c r="X4" s="453"/>
      <c r="Y4" s="453"/>
      <c r="Z4" s="454"/>
    </row>
    <row r="5" spans="1:40" ht="15" customHeight="1" x14ac:dyDescent="0.25">
      <c r="A5" s="435"/>
      <c r="B5" s="436"/>
      <c r="C5" s="436"/>
      <c r="D5" s="436"/>
      <c r="E5" s="436"/>
      <c r="F5" s="437"/>
      <c r="G5" s="420" t="s">
        <v>2</v>
      </c>
      <c r="H5" s="421"/>
      <c r="I5" s="415">
        <v>29</v>
      </c>
      <c r="J5" s="415"/>
      <c r="K5" s="416"/>
      <c r="L5" s="461" t="s">
        <v>4</v>
      </c>
      <c r="M5" s="462"/>
      <c r="N5" s="462"/>
      <c r="O5" s="463"/>
      <c r="P5" s="446" t="s">
        <v>147</v>
      </c>
      <c r="Q5" s="447"/>
      <c r="R5" s="447"/>
      <c r="S5" s="447"/>
      <c r="T5" s="448"/>
      <c r="U5" s="452"/>
      <c r="V5" s="453"/>
      <c r="W5" s="453"/>
      <c r="X5" s="453"/>
      <c r="Y5" s="453"/>
      <c r="Z5" s="454"/>
    </row>
    <row r="6" spans="1:40" ht="13.2" customHeight="1" x14ac:dyDescent="0.25">
      <c r="A6" s="438"/>
      <c r="B6" s="439"/>
      <c r="C6" s="439"/>
      <c r="D6" s="439"/>
      <c r="E6" s="439"/>
      <c r="F6" s="440"/>
      <c r="G6" s="89"/>
      <c r="H6" s="120"/>
      <c r="I6" s="413" t="s">
        <v>6</v>
      </c>
      <c r="J6" s="413"/>
      <c r="K6" s="413"/>
      <c r="L6" s="413" t="s">
        <v>7</v>
      </c>
      <c r="M6" s="413"/>
      <c r="N6" s="413"/>
      <c r="O6" s="413"/>
      <c r="P6" s="413" t="s">
        <v>8</v>
      </c>
      <c r="Q6" s="413"/>
      <c r="R6" s="413"/>
      <c r="S6" s="413"/>
      <c r="T6" s="414"/>
      <c r="U6" s="455"/>
      <c r="V6" s="456"/>
      <c r="W6" s="456"/>
      <c r="X6" s="456"/>
      <c r="Y6" s="456"/>
      <c r="Z6" s="457"/>
    </row>
    <row r="7" spans="1:40" ht="36.75" customHeight="1" x14ac:dyDescent="0.25">
      <c r="A7" s="444" t="s">
        <v>9</v>
      </c>
      <c r="B7" s="444"/>
      <c r="C7" s="444"/>
      <c r="D7" s="444"/>
      <c r="E7" s="444"/>
      <c r="F7" s="444"/>
      <c r="G7" s="445" t="s">
        <v>10</v>
      </c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</row>
    <row r="8" spans="1:40" ht="15" customHeight="1" x14ac:dyDescent="0.25">
      <c r="A8" s="74" t="s">
        <v>11</v>
      </c>
      <c r="B8" s="73" t="s">
        <v>12</v>
      </c>
      <c r="C8" s="72"/>
      <c r="D8" s="106"/>
      <c r="E8" s="106"/>
      <c r="F8" s="106"/>
      <c r="G8" s="106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04"/>
    </row>
    <row r="9" spans="1:40" ht="6" customHeight="1" x14ac:dyDescent="0.25">
      <c r="A9" s="91"/>
      <c r="D9" s="119"/>
      <c r="E9" s="119"/>
      <c r="F9" s="119"/>
      <c r="G9" s="119"/>
      <c r="Z9" s="90"/>
    </row>
    <row r="10" spans="1:40" ht="15" customHeight="1" x14ac:dyDescent="0.25">
      <c r="A10" s="91"/>
      <c r="B10" s="406" t="s">
        <v>13</v>
      </c>
      <c r="C10" s="406"/>
      <c r="D10" s="406"/>
      <c r="E10" s="406"/>
      <c r="F10" s="406"/>
      <c r="G10" s="412" t="s">
        <v>135</v>
      </c>
      <c r="H10" s="412"/>
      <c r="I10" s="412"/>
      <c r="J10" s="412"/>
      <c r="K10" s="412"/>
      <c r="L10" s="412"/>
      <c r="M10" s="406" t="s">
        <v>15</v>
      </c>
      <c r="N10" s="406"/>
      <c r="O10" s="406"/>
      <c r="P10" s="406"/>
      <c r="Q10" s="406"/>
      <c r="R10" s="406"/>
      <c r="S10" s="410" t="s">
        <v>96</v>
      </c>
      <c r="T10" s="410"/>
      <c r="U10" s="410"/>
      <c r="V10" s="410"/>
      <c r="W10" s="410"/>
      <c r="X10" s="410"/>
      <c r="Y10" s="410"/>
      <c r="Z10" s="108"/>
    </row>
    <row r="11" spans="1:40" ht="15" customHeight="1" x14ac:dyDescent="0.25">
      <c r="A11" s="91"/>
      <c r="B11" s="406" t="s">
        <v>17</v>
      </c>
      <c r="C11" s="406"/>
      <c r="D11" s="406"/>
      <c r="E11" s="406"/>
      <c r="F11" s="406"/>
      <c r="G11" s="412" t="s">
        <v>147</v>
      </c>
      <c r="H11" s="412"/>
      <c r="I11" s="412"/>
      <c r="J11" s="412"/>
      <c r="K11" s="412"/>
      <c r="L11" s="412"/>
      <c r="M11" s="406" t="s">
        <v>18</v>
      </c>
      <c r="N11" s="406"/>
      <c r="O11" s="406"/>
      <c r="P11" s="411">
        <v>106</v>
      </c>
      <c r="Q11" s="411"/>
      <c r="R11" s="411"/>
      <c r="S11" s="406" t="s">
        <v>19</v>
      </c>
      <c r="T11" s="406"/>
      <c r="U11" s="406"/>
      <c r="V11" s="406"/>
      <c r="W11" s="406"/>
      <c r="X11" s="411" t="s">
        <v>79</v>
      </c>
      <c r="Y11" s="411"/>
      <c r="Z11" s="108"/>
    </row>
    <row r="12" spans="1:40" ht="15" customHeight="1" x14ac:dyDescent="0.25">
      <c r="A12" s="91"/>
      <c r="B12" s="406" t="s">
        <v>21</v>
      </c>
      <c r="C12" s="406"/>
      <c r="D12" s="406"/>
      <c r="E12" s="406"/>
      <c r="F12" s="406"/>
      <c r="G12" s="412" t="s">
        <v>78</v>
      </c>
      <c r="H12" s="412"/>
      <c r="I12" s="412"/>
      <c r="J12" s="412"/>
      <c r="K12" s="412"/>
      <c r="L12" s="412"/>
      <c r="M12" s="406" t="s">
        <v>23</v>
      </c>
      <c r="N12" s="406"/>
      <c r="O12" s="406"/>
      <c r="P12" s="406"/>
      <c r="Q12" s="406"/>
      <c r="R12" s="406"/>
      <c r="S12" s="410" t="s">
        <v>24</v>
      </c>
      <c r="T12" s="410"/>
      <c r="U12" s="410"/>
      <c r="V12" s="410"/>
      <c r="W12" s="410"/>
      <c r="X12" s="410"/>
      <c r="Y12" s="410"/>
      <c r="Z12" s="108"/>
    </row>
    <row r="13" spans="1:40" ht="15" customHeight="1" x14ac:dyDescent="0.25">
      <c r="A13" s="91"/>
      <c r="B13" s="406" t="s">
        <v>25</v>
      </c>
      <c r="C13" s="406"/>
      <c r="D13" s="406"/>
      <c r="E13" s="406"/>
      <c r="F13" s="406"/>
      <c r="G13" s="523" t="s">
        <v>147</v>
      </c>
      <c r="H13" s="412"/>
      <c r="I13" s="412"/>
      <c r="J13" s="412"/>
      <c r="K13" s="412"/>
      <c r="L13" s="412"/>
      <c r="M13" s="406" t="s">
        <v>26</v>
      </c>
      <c r="N13" s="406"/>
      <c r="O13" s="406"/>
      <c r="P13" s="406"/>
      <c r="Q13" s="406"/>
      <c r="R13" s="406"/>
      <c r="S13" s="540" t="s">
        <v>146</v>
      </c>
      <c r="T13" s="540"/>
      <c r="U13" s="540"/>
      <c r="V13" s="540"/>
      <c r="W13" s="540"/>
      <c r="X13" s="540"/>
      <c r="Y13" s="540"/>
      <c r="Z13" s="541"/>
    </row>
    <row r="14" spans="1:40" ht="15" customHeight="1" x14ac:dyDescent="0.25">
      <c r="A14" s="91"/>
      <c r="B14" s="406" t="s">
        <v>28</v>
      </c>
      <c r="C14" s="406"/>
      <c r="D14" s="406"/>
      <c r="E14" s="406"/>
      <c r="F14" s="406"/>
      <c r="G14" s="412" t="s">
        <v>120</v>
      </c>
      <c r="H14" s="412"/>
      <c r="I14" s="412"/>
      <c r="J14" s="412"/>
      <c r="K14" s="412"/>
      <c r="L14" s="412"/>
      <c r="M14" s="406" t="s">
        <v>30</v>
      </c>
      <c r="N14" s="406"/>
      <c r="O14" s="406"/>
      <c r="P14" s="406"/>
      <c r="Q14" s="406"/>
      <c r="R14" s="406"/>
      <c r="S14" s="406" t="s">
        <v>95</v>
      </c>
      <c r="T14" s="406"/>
      <c r="U14" s="406"/>
      <c r="V14" s="406"/>
      <c r="W14" s="406"/>
      <c r="X14" s="406"/>
      <c r="Y14" s="406"/>
      <c r="Z14" s="108"/>
    </row>
    <row r="15" spans="1:40" ht="15" customHeight="1" x14ac:dyDescent="0.25">
      <c r="A15" s="91"/>
      <c r="B15" s="407" t="s">
        <v>32</v>
      </c>
      <c r="C15" s="407"/>
      <c r="D15" s="407"/>
      <c r="E15" s="407"/>
      <c r="F15" s="407"/>
      <c r="G15" s="410" t="s">
        <v>145</v>
      </c>
      <c r="H15" s="410"/>
      <c r="I15" s="410"/>
      <c r="J15" s="410"/>
      <c r="K15" s="410"/>
      <c r="L15" s="410"/>
      <c r="M15" s="406" t="s">
        <v>34</v>
      </c>
      <c r="N15" s="406"/>
      <c r="O15" s="406"/>
      <c r="P15" s="406"/>
      <c r="Q15" s="406"/>
      <c r="R15" s="406"/>
      <c r="S15" s="406" t="s">
        <v>77</v>
      </c>
      <c r="T15" s="406"/>
      <c r="U15" s="406"/>
      <c r="V15" s="406"/>
      <c r="W15" s="406"/>
      <c r="X15" s="406"/>
      <c r="Y15" s="406"/>
      <c r="Z15" s="108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0" ht="15" customHeight="1" x14ac:dyDescent="0.25">
      <c r="A16" s="91"/>
      <c r="B16" s="407" t="s">
        <v>36</v>
      </c>
      <c r="C16" s="407"/>
      <c r="D16" s="407"/>
      <c r="E16" s="407"/>
      <c r="F16" s="407"/>
      <c r="G16" s="109" t="s">
        <v>148</v>
      </c>
      <c r="H16" s="109"/>
      <c r="I16" s="109"/>
      <c r="J16" s="109"/>
      <c r="K16" s="109"/>
      <c r="L16" s="109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8"/>
    </row>
    <row r="17" spans="1:28" ht="6" customHeight="1" x14ac:dyDescent="0.25">
      <c r="A17" s="89"/>
      <c r="B17" s="75"/>
      <c r="C17" s="75"/>
      <c r="D17" s="88"/>
      <c r="E17" s="88"/>
      <c r="F17" s="88"/>
      <c r="G17" s="88"/>
      <c r="H17" s="75"/>
      <c r="I17" s="75"/>
      <c r="J17" s="75"/>
      <c r="K17" s="75"/>
      <c r="L17" s="75"/>
      <c r="M17" s="75"/>
      <c r="N17" s="117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87"/>
    </row>
    <row r="18" spans="1:28" ht="15" customHeight="1" x14ac:dyDescent="0.25">
      <c r="B18" s="115"/>
      <c r="C18" s="115"/>
      <c r="K18" s="116"/>
      <c r="L18" s="115"/>
      <c r="M18" s="114"/>
      <c r="V18" s="110"/>
      <c r="W18" s="110"/>
      <c r="X18" s="110"/>
      <c r="Y18" s="110"/>
      <c r="Z18" s="110"/>
      <c r="AA18" s="110"/>
      <c r="AB18" s="118"/>
    </row>
    <row r="19" spans="1:28" ht="15" customHeight="1" x14ac:dyDescent="0.25">
      <c r="A19" s="74" t="s">
        <v>38</v>
      </c>
      <c r="B19" s="73" t="s">
        <v>39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4"/>
    </row>
    <row r="20" spans="1:28" ht="6" customHeight="1" x14ac:dyDescent="0.25">
      <c r="A20" s="91"/>
      <c r="B20" s="113"/>
      <c r="Z20" s="90"/>
    </row>
    <row r="21" spans="1:28" ht="13.8" customHeight="1" x14ac:dyDescent="0.25">
      <c r="A21" s="91"/>
      <c r="B21" s="406" t="s">
        <v>40</v>
      </c>
      <c r="C21" s="406"/>
      <c r="D21" s="406"/>
      <c r="E21" s="406"/>
      <c r="F21" s="406"/>
      <c r="G21" s="406"/>
      <c r="H21" s="406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108"/>
    </row>
    <row r="22" spans="1:28" ht="15" customHeight="1" x14ac:dyDescent="0.25">
      <c r="A22" s="91"/>
      <c r="B22" s="406" t="s">
        <v>41</v>
      </c>
      <c r="C22" s="406"/>
      <c r="D22" s="406"/>
      <c r="E22" s="406"/>
      <c r="F22" s="406"/>
      <c r="G22" s="406"/>
      <c r="H22" s="406"/>
      <c r="I22" s="411"/>
      <c r="J22" s="411"/>
      <c r="K22" s="411"/>
      <c r="L22" s="411"/>
      <c r="M22" s="411"/>
      <c r="N22" s="112">
        <v>4</v>
      </c>
      <c r="O22" s="408" t="s">
        <v>42</v>
      </c>
      <c r="P22" s="408"/>
      <c r="Q22" s="408"/>
      <c r="R22" s="111" t="s">
        <v>76</v>
      </c>
      <c r="S22" s="110"/>
      <c r="V22" s="408"/>
      <c r="W22" s="408"/>
      <c r="X22" s="408"/>
      <c r="Y22" s="109"/>
      <c r="Z22" s="108"/>
    </row>
    <row r="23" spans="1:28" ht="5.25" customHeight="1" x14ac:dyDescent="0.25">
      <c r="A23" s="89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87"/>
    </row>
    <row r="24" spans="1:28" x14ac:dyDescent="0.25">
      <c r="C24" s="107"/>
    </row>
    <row r="25" spans="1:28" ht="15" customHeight="1" x14ac:dyDescent="0.25">
      <c r="A25" s="74" t="s">
        <v>45</v>
      </c>
      <c r="B25" s="73" t="s">
        <v>46</v>
      </c>
      <c r="C25" s="72"/>
      <c r="D25" s="106"/>
      <c r="E25" s="106"/>
      <c r="F25" s="106"/>
      <c r="G25" s="106"/>
      <c r="H25" s="72"/>
      <c r="I25" s="442" t="s">
        <v>47</v>
      </c>
      <c r="J25" s="442"/>
      <c r="K25" s="442"/>
      <c r="L25" s="442"/>
      <c r="M25" s="442"/>
      <c r="N25" s="442"/>
      <c r="O25" s="442"/>
      <c r="P25" s="442"/>
      <c r="Q25" s="557">
        <v>2.4470000000000001</v>
      </c>
      <c r="R25" s="557"/>
      <c r="S25" s="557"/>
      <c r="T25" s="557"/>
      <c r="U25" s="105" t="s">
        <v>48</v>
      </c>
      <c r="V25" s="72"/>
      <c r="W25" s="72"/>
      <c r="X25" s="72"/>
      <c r="Y25" s="72"/>
      <c r="Z25" s="104"/>
    </row>
    <row r="26" spans="1:28" ht="13.8" customHeight="1" thickBot="1" x14ac:dyDescent="0.3">
      <c r="A26" s="91"/>
      <c r="Z26" s="90"/>
    </row>
    <row r="27" spans="1:28" ht="15.75" customHeight="1" x14ac:dyDescent="0.25">
      <c r="A27" s="91"/>
      <c r="B27" s="549" t="s">
        <v>49</v>
      </c>
      <c r="C27" s="544"/>
      <c r="D27" s="552" t="s">
        <v>50</v>
      </c>
      <c r="E27" s="553"/>
      <c r="F27" s="542" t="s">
        <v>51</v>
      </c>
      <c r="G27" s="542"/>
      <c r="H27" s="542"/>
      <c r="I27" s="543" t="s">
        <v>52</v>
      </c>
      <c r="J27" s="544"/>
      <c r="K27" s="544"/>
      <c r="L27" s="543" t="s">
        <v>53</v>
      </c>
      <c r="M27" s="544"/>
      <c r="N27" s="556"/>
      <c r="O27" s="543" t="s">
        <v>54</v>
      </c>
      <c r="P27" s="544"/>
      <c r="Q27" s="556"/>
      <c r="R27" s="543" t="s">
        <v>55</v>
      </c>
      <c r="S27" s="544"/>
      <c r="T27" s="544"/>
      <c r="U27" s="544"/>
      <c r="V27" s="544"/>
      <c r="W27" s="544"/>
      <c r="X27" s="544"/>
      <c r="Y27" s="545"/>
      <c r="Z27" s="90"/>
    </row>
    <row r="28" spans="1:28" ht="36" customHeight="1" x14ac:dyDescent="0.25">
      <c r="A28" s="91"/>
      <c r="B28" s="550" t="s">
        <v>56</v>
      </c>
      <c r="C28" s="551"/>
      <c r="D28" s="554" t="s">
        <v>57</v>
      </c>
      <c r="E28" s="555"/>
      <c r="F28" s="103" t="s">
        <v>58</v>
      </c>
      <c r="G28" s="103" t="s">
        <v>59</v>
      </c>
      <c r="H28" s="103" t="s">
        <v>60</v>
      </c>
      <c r="I28" s="546"/>
      <c r="J28" s="547"/>
      <c r="K28" s="547"/>
      <c r="L28" s="546" t="s">
        <v>61</v>
      </c>
      <c r="M28" s="547"/>
      <c r="N28" s="561"/>
      <c r="O28" s="546" t="s">
        <v>61</v>
      </c>
      <c r="P28" s="547"/>
      <c r="Q28" s="561"/>
      <c r="R28" s="546"/>
      <c r="S28" s="547"/>
      <c r="T28" s="547"/>
      <c r="U28" s="547"/>
      <c r="V28" s="547"/>
      <c r="W28" s="547"/>
      <c r="X28" s="547"/>
      <c r="Y28" s="548"/>
      <c r="Z28" s="90"/>
    </row>
    <row r="29" spans="1:28" ht="16.8" customHeight="1" x14ac:dyDescent="0.25">
      <c r="A29" s="91"/>
      <c r="B29" s="511">
        <v>1</v>
      </c>
      <c r="C29" s="512"/>
      <c r="D29" s="483"/>
      <c r="E29" s="484"/>
      <c r="F29" s="483" t="s">
        <v>60</v>
      </c>
      <c r="G29" s="484"/>
      <c r="H29" s="485"/>
      <c r="I29" s="482">
        <v>2.2679999999999998</v>
      </c>
      <c r="J29" s="482"/>
      <c r="K29" s="482"/>
      <c r="L29" s="490">
        <v>92.7</v>
      </c>
      <c r="M29" s="488"/>
      <c r="N29" s="489"/>
      <c r="O29" s="488">
        <v>7.3</v>
      </c>
      <c r="P29" s="488"/>
      <c r="Q29" s="489"/>
      <c r="R29" s="486"/>
      <c r="S29" s="486"/>
      <c r="T29" s="486"/>
      <c r="U29" s="486"/>
      <c r="V29" s="486"/>
      <c r="W29" s="486"/>
      <c r="X29" s="486"/>
      <c r="Y29" s="487"/>
      <c r="Z29" s="90"/>
    </row>
    <row r="30" spans="1:28" ht="16.8" customHeight="1" x14ac:dyDescent="0.25">
      <c r="A30" s="91"/>
      <c r="B30" s="511">
        <v>2</v>
      </c>
      <c r="C30" s="512"/>
      <c r="D30" s="483"/>
      <c r="E30" s="484"/>
      <c r="F30" s="483" t="s">
        <v>58</v>
      </c>
      <c r="G30" s="484"/>
      <c r="H30" s="485"/>
      <c r="I30" s="482">
        <v>2.266</v>
      </c>
      <c r="J30" s="482"/>
      <c r="K30" s="482"/>
      <c r="L30" s="490">
        <v>92.6</v>
      </c>
      <c r="M30" s="488"/>
      <c r="N30" s="489"/>
      <c r="O30" s="488">
        <v>7.4</v>
      </c>
      <c r="P30" s="488"/>
      <c r="Q30" s="489"/>
      <c r="R30" s="486"/>
      <c r="S30" s="486"/>
      <c r="T30" s="486"/>
      <c r="U30" s="486"/>
      <c r="V30" s="486"/>
      <c r="W30" s="486"/>
      <c r="X30" s="486"/>
      <c r="Y30" s="487"/>
      <c r="Z30" s="90"/>
    </row>
    <row r="31" spans="1:28" ht="16.8" customHeight="1" x14ac:dyDescent="0.25">
      <c r="A31" s="91"/>
      <c r="B31" s="511">
        <v>3</v>
      </c>
      <c r="C31" s="512"/>
      <c r="D31" s="483"/>
      <c r="E31" s="484"/>
      <c r="F31" s="483" t="s">
        <v>60</v>
      </c>
      <c r="G31" s="484"/>
      <c r="H31" s="485"/>
      <c r="I31" s="482">
        <v>2.3220000000000001</v>
      </c>
      <c r="J31" s="482"/>
      <c r="K31" s="482"/>
      <c r="L31" s="490">
        <v>94.9</v>
      </c>
      <c r="M31" s="488"/>
      <c r="N31" s="489"/>
      <c r="O31" s="488">
        <v>5.0999999999999996</v>
      </c>
      <c r="P31" s="488"/>
      <c r="Q31" s="489"/>
      <c r="R31" s="486"/>
      <c r="S31" s="486"/>
      <c r="T31" s="486"/>
      <c r="U31" s="486"/>
      <c r="V31" s="486"/>
      <c r="W31" s="486"/>
      <c r="X31" s="486"/>
      <c r="Y31" s="487"/>
      <c r="Z31" s="90"/>
    </row>
    <row r="32" spans="1:28" ht="16.8" customHeight="1" x14ac:dyDescent="0.25">
      <c r="A32" s="91"/>
      <c r="B32" s="511">
        <v>4</v>
      </c>
      <c r="C32" s="512"/>
      <c r="D32" s="483"/>
      <c r="E32" s="484"/>
      <c r="F32" s="483" t="s">
        <v>58</v>
      </c>
      <c r="G32" s="484"/>
      <c r="H32" s="485"/>
      <c r="I32" s="482">
        <v>2.3420000000000001</v>
      </c>
      <c r="J32" s="482"/>
      <c r="K32" s="482"/>
      <c r="L32" s="490">
        <v>95.7</v>
      </c>
      <c r="M32" s="488"/>
      <c r="N32" s="489"/>
      <c r="O32" s="488">
        <v>4.3</v>
      </c>
      <c r="P32" s="488"/>
      <c r="Q32" s="489"/>
      <c r="R32" s="486"/>
      <c r="S32" s="486"/>
      <c r="T32" s="486"/>
      <c r="U32" s="486"/>
      <c r="V32" s="486"/>
      <c r="W32" s="486"/>
      <c r="X32" s="486"/>
      <c r="Y32" s="487"/>
      <c r="Z32" s="90"/>
    </row>
    <row r="33" spans="1:26" ht="16.8" customHeight="1" x14ac:dyDescent="0.25">
      <c r="A33" s="91"/>
      <c r="B33" s="511">
        <v>5</v>
      </c>
      <c r="C33" s="512"/>
      <c r="D33" s="483"/>
      <c r="E33" s="484"/>
      <c r="F33" s="483" t="s">
        <v>58</v>
      </c>
      <c r="G33" s="484"/>
      <c r="H33" s="485"/>
      <c r="I33" s="482">
        <v>2.2879999999999998</v>
      </c>
      <c r="J33" s="482"/>
      <c r="K33" s="482"/>
      <c r="L33" s="490">
        <v>93.5</v>
      </c>
      <c r="M33" s="488"/>
      <c r="N33" s="489"/>
      <c r="O33" s="488">
        <v>6.5</v>
      </c>
      <c r="P33" s="488"/>
      <c r="Q33" s="489"/>
      <c r="R33" s="486"/>
      <c r="S33" s="486"/>
      <c r="T33" s="486"/>
      <c r="U33" s="486"/>
      <c r="V33" s="486"/>
      <c r="W33" s="486"/>
      <c r="X33" s="486"/>
      <c r="Y33" s="487"/>
      <c r="Z33" s="90"/>
    </row>
    <row r="34" spans="1:26" ht="16.8" customHeight="1" x14ac:dyDescent="0.25">
      <c r="A34" s="91"/>
      <c r="B34" s="511">
        <v>6</v>
      </c>
      <c r="C34" s="512"/>
      <c r="D34" s="483"/>
      <c r="E34" s="484"/>
      <c r="F34" s="483" t="s">
        <v>60</v>
      </c>
      <c r="G34" s="484"/>
      <c r="H34" s="485"/>
      <c r="I34" s="482">
        <v>2.2690000000000001</v>
      </c>
      <c r="J34" s="482"/>
      <c r="K34" s="482"/>
      <c r="L34" s="490">
        <v>92.7</v>
      </c>
      <c r="M34" s="488"/>
      <c r="N34" s="489"/>
      <c r="O34" s="488">
        <v>7.3</v>
      </c>
      <c r="P34" s="488"/>
      <c r="Q34" s="489"/>
      <c r="R34" s="486"/>
      <c r="S34" s="486"/>
      <c r="T34" s="486"/>
      <c r="U34" s="486"/>
      <c r="V34" s="486"/>
      <c r="W34" s="486"/>
      <c r="X34" s="486"/>
      <c r="Y34" s="487"/>
      <c r="Z34" s="90"/>
    </row>
    <row r="35" spans="1:26" ht="16.8" customHeight="1" x14ac:dyDescent="0.25">
      <c r="A35" s="91"/>
      <c r="B35" s="511">
        <v>7</v>
      </c>
      <c r="C35" s="512"/>
      <c r="D35" s="483"/>
      <c r="E35" s="484"/>
      <c r="F35" s="483" t="s">
        <v>58</v>
      </c>
      <c r="G35" s="484"/>
      <c r="H35" s="485"/>
      <c r="I35" s="482">
        <v>2.3039999999999998</v>
      </c>
      <c r="J35" s="482"/>
      <c r="K35" s="482"/>
      <c r="L35" s="490">
        <v>94.2</v>
      </c>
      <c r="M35" s="488"/>
      <c r="N35" s="489"/>
      <c r="O35" s="488">
        <v>5.8</v>
      </c>
      <c r="P35" s="488"/>
      <c r="Q35" s="489"/>
      <c r="R35" s="486"/>
      <c r="S35" s="486"/>
      <c r="T35" s="486"/>
      <c r="U35" s="486"/>
      <c r="V35" s="486"/>
      <c r="W35" s="486"/>
      <c r="X35" s="486"/>
      <c r="Y35" s="487"/>
      <c r="Z35" s="90"/>
    </row>
    <row r="36" spans="1:26" ht="16.8" customHeight="1" x14ac:dyDescent="0.25">
      <c r="A36" s="91"/>
      <c r="B36" s="511">
        <v>8</v>
      </c>
      <c r="C36" s="512"/>
      <c r="D36" s="483"/>
      <c r="E36" s="484"/>
      <c r="F36" s="483" t="s">
        <v>60</v>
      </c>
      <c r="G36" s="484"/>
      <c r="H36" s="485"/>
      <c r="I36" s="482">
        <v>2.282</v>
      </c>
      <c r="J36" s="482"/>
      <c r="K36" s="482"/>
      <c r="L36" s="490">
        <v>93.3</v>
      </c>
      <c r="M36" s="488"/>
      <c r="N36" s="489"/>
      <c r="O36" s="488">
        <v>6.7</v>
      </c>
      <c r="P36" s="488"/>
      <c r="Q36" s="489"/>
      <c r="R36" s="486"/>
      <c r="S36" s="486"/>
      <c r="T36" s="486"/>
      <c r="U36" s="486"/>
      <c r="V36" s="486"/>
      <c r="W36" s="486"/>
      <c r="X36" s="486"/>
      <c r="Y36" s="487"/>
      <c r="Z36" s="90"/>
    </row>
    <row r="37" spans="1:26" ht="16.8" customHeight="1" x14ac:dyDescent="0.25">
      <c r="A37" s="91"/>
      <c r="B37" s="511">
        <v>9</v>
      </c>
      <c r="C37" s="512"/>
      <c r="D37" s="483"/>
      <c r="E37" s="484"/>
      <c r="F37" s="483" t="s">
        <v>58</v>
      </c>
      <c r="G37" s="484"/>
      <c r="H37" s="485"/>
      <c r="I37" s="482">
        <v>2.3090000000000002</v>
      </c>
      <c r="J37" s="482"/>
      <c r="K37" s="482"/>
      <c r="L37" s="490">
        <v>94.4</v>
      </c>
      <c r="M37" s="488"/>
      <c r="N37" s="489"/>
      <c r="O37" s="488">
        <v>5.6</v>
      </c>
      <c r="P37" s="488"/>
      <c r="Q37" s="489"/>
      <c r="R37" s="486"/>
      <c r="S37" s="486"/>
      <c r="T37" s="486"/>
      <c r="U37" s="486"/>
      <c r="V37" s="486"/>
      <c r="W37" s="486"/>
      <c r="X37" s="486"/>
      <c r="Y37" s="487"/>
      <c r="Z37" s="90"/>
    </row>
    <row r="38" spans="1:26" ht="16.8" customHeight="1" x14ac:dyDescent="0.25">
      <c r="A38" s="91"/>
      <c r="B38" s="511">
        <v>10</v>
      </c>
      <c r="C38" s="512"/>
      <c r="D38" s="483"/>
      <c r="E38" s="484"/>
      <c r="F38" s="483" t="s">
        <v>60</v>
      </c>
      <c r="G38" s="484"/>
      <c r="H38" s="485"/>
      <c r="I38" s="482">
        <v>2.2810000000000001</v>
      </c>
      <c r="J38" s="482"/>
      <c r="K38" s="482"/>
      <c r="L38" s="490">
        <v>93.2</v>
      </c>
      <c r="M38" s="488"/>
      <c r="N38" s="489"/>
      <c r="O38" s="488">
        <v>6.8</v>
      </c>
      <c r="P38" s="488"/>
      <c r="Q38" s="489"/>
      <c r="R38" s="486"/>
      <c r="S38" s="486"/>
      <c r="T38" s="486"/>
      <c r="U38" s="486"/>
      <c r="V38" s="486"/>
      <c r="W38" s="486"/>
      <c r="X38" s="486"/>
      <c r="Y38" s="487"/>
      <c r="Z38" s="90"/>
    </row>
    <row r="39" spans="1:26" ht="16.8" customHeight="1" x14ac:dyDescent="0.25">
      <c r="A39" s="91"/>
      <c r="B39" s="511">
        <v>11</v>
      </c>
      <c r="C39" s="512"/>
      <c r="D39" s="483"/>
      <c r="E39" s="484"/>
      <c r="F39" s="483" t="s">
        <v>58</v>
      </c>
      <c r="G39" s="484"/>
      <c r="H39" s="485"/>
      <c r="I39" s="482">
        <v>2.294</v>
      </c>
      <c r="J39" s="482"/>
      <c r="K39" s="482"/>
      <c r="L39" s="490">
        <v>93.7</v>
      </c>
      <c r="M39" s="488"/>
      <c r="N39" s="489"/>
      <c r="O39" s="488">
        <v>6.3</v>
      </c>
      <c r="P39" s="488"/>
      <c r="Q39" s="489"/>
      <c r="R39" s="486"/>
      <c r="S39" s="486"/>
      <c r="T39" s="486"/>
      <c r="U39" s="486"/>
      <c r="V39" s="486"/>
      <c r="W39" s="486"/>
      <c r="X39" s="486"/>
      <c r="Y39" s="487"/>
      <c r="Z39" s="90"/>
    </row>
    <row r="40" spans="1:26" ht="16.8" customHeight="1" x14ac:dyDescent="0.25">
      <c r="A40" s="91"/>
      <c r="B40" s="511">
        <v>12</v>
      </c>
      <c r="C40" s="512"/>
      <c r="D40" s="483"/>
      <c r="E40" s="484"/>
      <c r="F40" s="483" t="s">
        <v>60</v>
      </c>
      <c r="G40" s="484"/>
      <c r="H40" s="485"/>
      <c r="I40" s="482">
        <v>2.3079999999999998</v>
      </c>
      <c r="J40" s="482"/>
      <c r="K40" s="482"/>
      <c r="L40" s="490">
        <v>94.3</v>
      </c>
      <c r="M40" s="488"/>
      <c r="N40" s="489"/>
      <c r="O40" s="488">
        <v>5.7</v>
      </c>
      <c r="P40" s="488"/>
      <c r="Q40" s="489"/>
      <c r="R40" s="486"/>
      <c r="S40" s="486"/>
      <c r="T40" s="486"/>
      <c r="U40" s="486"/>
      <c r="V40" s="486"/>
      <c r="W40" s="486"/>
      <c r="X40" s="486"/>
      <c r="Y40" s="487"/>
      <c r="Z40" s="90"/>
    </row>
    <row r="41" spans="1:26" ht="16.8" customHeight="1" x14ac:dyDescent="0.25">
      <c r="A41" s="91"/>
      <c r="B41" s="511">
        <v>13</v>
      </c>
      <c r="C41" s="512"/>
      <c r="D41" s="483"/>
      <c r="E41" s="484"/>
      <c r="F41" s="483" t="s">
        <v>58</v>
      </c>
      <c r="G41" s="484"/>
      <c r="H41" s="485"/>
      <c r="I41" s="482">
        <v>2.2799999999999998</v>
      </c>
      <c r="J41" s="482"/>
      <c r="K41" s="482"/>
      <c r="L41" s="490">
        <v>93.2</v>
      </c>
      <c r="M41" s="488"/>
      <c r="N41" s="489"/>
      <c r="O41" s="488">
        <v>6.8</v>
      </c>
      <c r="P41" s="488"/>
      <c r="Q41" s="489"/>
      <c r="R41" s="486"/>
      <c r="S41" s="486"/>
      <c r="T41" s="486"/>
      <c r="U41" s="486"/>
      <c r="V41" s="486"/>
      <c r="W41" s="486"/>
      <c r="X41" s="486"/>
      <c r="Y41" s="487"/>
      <c r="Z41" s="90"/>
    </row>
    <row r="42" spans="1:26" ht="16.8" customHeight="1" x14ac:dyDescent="0.25">
      <c r="A42" s="91"/>
      <c r="B42" s="511">
        <v>14</v>
      </c>
      <c r="C42" s="512"/>
      <c r="D42" s="483"/>
      <c r="E42" s="484"/>
      <c r="F42" s="483" t="s">
        <v>60</v>
      </c>
      <c r="G42" s="484"/>
      <c r="H42" s="485"/>
      <c r="I42" s="482">
        <v>2.286</v>
      </c>
      <c r="J42" s="482"/>
      <c r="K42" s="482"/>
      <c r="L42" s="490">
        <v>93.4</v>
      </c>
      <c r="M42" s="488"/>
      <c r="N42" s="489"/>
      <c r="O42" s="488">
        <v>6.6</v>
      </c>
      <c r="P42" s="488"/>
      <c r="Q42" s="489"/>
      <c r="R42" s="486"/>
      <c r="S42" s="486"/>
      <c r="T42" s="486"/>
      <c r="U42" s="486"/>
      <c r="V42" s="486"/>
      <c r="W42" s="486"/>
      <c r="X42" s="486"/>
      <c r="Y42" s="487"/>
      <c r="Z42" s="90"/>
    </row>
    <row r="43" spans="1:26" ht="16.8" customHeight="1" x14ac:dyDescent="0.25">
      <c r="A43" s="91"/>
      <c r="B43" s="511">
        <v>15</v>
      </c>
      <c r="C43" s="512"/>
      <c r="D43" s="483"/>
      <c r="E43" s="484"/>
      <c r="F43" s="483" t="s">
        <v>58</v>
      </c>
      <c r="G43" s="484"/>
      <c r="H43" s="485"/>
      <c r="I43" s="482">
        <v>2.2799999999999998</v>
      </c>
      <c r="J43" s="482"/>
      <c r="K43" s="482"/>
      <c r="L43" s="490">
        <v>93.2</v>
      </c>
      <c r="M43" s="488"/>
      <c r="N43" s="489"/>
      <c r="O43" s="488">
        <v>6.8</v>
      </c>
      <c r="P43" s="488"/>
      <c r="Q43" s="489"/>
      <c r="R43" s="486"/>
      <c r="S43" s="486"/>
      <c r="T43" s="486"/>
      <c r="U43" s="486"/>
      <c r="V43" s="486"/>
      <c r="W43" s="486"/>
      <c r="X43" s="486"/>
      <c r="Y43" s="487"/>
      <c r="Z43" s="90"/>
    </row>
    <row r="44" spans="1:26" ht="16.8" customHeight="1" x14ac:dyDescent="0.25">
      <c r="A44" s="91"/>
      <c r="B44" s="511">
        <v>16</v>
      </c>
      <c r="C44" s="512"/>
      <c r="D44" s="483"/>
      <c r="E44" s="484"/>
      <c r="F44" s="483" t="s">
        <v>58</v>
      </c>
      <c r="G44" s="484"/>
      <c r="H44" s="485"/>
      <c r="I44" s="482">
        <v>2.2770000000000001</v>
      </c>
      <c r="J44" s="482"/>
      <c r="K44" s="482"/>
      <c r="L44" s="490">
        <v>93.1</v>
      </c>
      <c r="M44" s="488"/>
      <c r="N44" s="489"/>
      <c r="O44" s="488">
        <v>6.9</v>
      </c>
      <c r="P44" s="488"/>
      <c r="Q44" s="489"/>
      <c r="R44" s="486"/>
      <c r="S44" s="486"/>
      <c r="T44" s="486"/>
      <c r="U44" s="486"/>
      <c r="V44" s="486"/>
      <c r="W44" s="486"/>
      <c r="X44" s="486"/>
      <c r="Y44" s="487"/>
      <c r="Z44" s="90"/>
    </row>
    <row r="45" spans="1:26" ht="16.8" customHeight="1" x14ac:dyDescent="0.25">
      <c r="A45" s="91"/>
      <c r="B45" s="511">
        <v>17</v>
      </c>
      <c r="C45" s="512"/>
      <c r="D45" s="483"/>
      <c r="E45" s="484"/>
      <c r="F45" s="483" t="s">
        <v>60</v>
      </c>
      <c r="G45" s="484"/>
      <c r="H45" s="485"/>
      <c r="I45" s="482">
        <v>2.2672099999999999</v>
      </c>
      <c r="J45" s="482"/>
      <c r="K45" s="482"/>
      <c r="L45" s="490">
        <v>92.7</v>
      </c>
      <c r="M45" s="488"/>
      <c r="N45" s="489"/>
      <c r="O45" s="488">
        <v>7.3</v>
      </c>
      <c r="P45" s="488"/>
      <c r="Q45" s="489"/>
      <c r="R45" s="486"/>
      <c r="S45" s="486"/>
      <c r="T45" s="486"/>
      <c r="U45" s="486"/>
      <c r="V45" s="486"/>
      <c r="W45" s="486"/>
      <c r="X45" s="486"/>
      <c r="Y45" s="487"/>
      <c r="Z45" s="90"/>
    </row>
    <row r="46" spans="1:26" ht="16.8" customHeight="1" x14ac:dyDescent="0.25">
      <c r="A46" s="91"/>
      <c r="B46" s="511">
        <v>18</v>
      </c>
      <c r="C46" s="512"/>
      <c r="D46" s="483"/>
      <c r="E46" s="484"/>
      <c r="F46" s="483" t="s">
        <v>60</v>
      </c>
      <c r="G46" s="484"/>
      <c r="H46" s="485"/>
      <c r="I46" s="482">
        <v>2.2679999999999998</v>
      </c>
      <c r="J46" s="482"/>
      <c r="K46" s="482"/>
      <c r="L46" s="490">
        <v>92.7</v>
      </c>
      <c r="M46" s="488"/>
      <c r="N46" s="489"/>
      <c r="O46" s="488">
        <v>7.3</v>
      </c>
      <c r="P46" s="488"/>
      <c r="Q46" s="489"/>
      <c r="R46" s="486"/>
      <c r="S46" s="486"/>
      <c r="T46" s="486"/>
      <c r="U46" s="486"/>
      <c r="V46" s="486"/>
      <c r="W46" s="486"/>
      <c r="X46" s="486"/>
      <c r="Y46" s="487"/>
      <c r="Z46" s="90"/>
    </row>
    <row r="47" spans="1:26" ht="16.8" customHeight="1" x14ac:dyDescent="0.25">
      <c r="A47" s="91"/>
      <c r="B47" s="511">
        <v>19</v>
      </c>
      <c r="C47" s="512"/>
      <c r="D47" s="483"/>
      <c r="E47" s="484"/>
      <c r="F47" s="483" t="s">
        <v>58</v>
      </c>
      <c r="G47" s="484"/>
      <c r="H47" s="485"/>
      <c r="I47" s="482">
        <v>2.2850000000000001</v>
      </c>
      <c r="J47" s="482"/>
      <c r="K47" s="482"/>
      <c r="L47" s="490">
        <v>93.4</v>
      </c>
      <c r="M47" s="488"/>
      <c r="N47" s="489"/>
      <c r="O47" s="488">
        <v>6.6</v>
      </c>
      <c r="P47" s="488"/>
      <c r="Q47" s="489"/>
      <c r="R47" s="486"/>
      <c r="S47" s="486"/>
      <c r="T47" s="486"/>
      <c r="U47" s="486"/>
      <c r="V47" s="486"/>
      <c r="W47" s="486"/>
      <c r="X47" s="486"/>
      <c r="Y47" s="487"/>
      <c r="Z47" s="90"/>
    </row>
    <row r="48" spans="1:26" ht="16.8" customHeight="1" x14ac:dyDescent="0.25">
      <c r="A48" s="91"/>
      <c r="B48" s="511">
        <v>20</v>
      </c>
      <c r="C48" s="512"/>
      <c r="D48" s="483"/>
      <c r="E48" s="484"/>
      <c r="F48" s="483" t="s">
        <v>60</v>
      </c>
      <c r="G48" s="484"/>
      <c r="H48" s="485"/>
      <c r="I48" s="482">
        <v>2.327</v>
      </c>
      <c r="J48" s="482"/>
      <c r="K48" s="482"/>
      <c r="L48" s="490">
        <v>95.1</v>
      </c>
      <c r="M48" s="488"/>
      <c r="N48" s="489"/>
      <c r="O48" s="488">
        <v>4.9000000000000004</v>
      </c>
      <c r="P48" s="488"/>
      <c r="Q48" s="489"/>
      <c r="R48" s="486"/>
      <c r="S48" s="486"/>
      <c r="T48" s="486"/>
      <c r="U48" s="486"/>
      <c r="V48" s="486"/>
      <c r="W48" s="486"/>
      <c r="X48" s="486"/>
      <c r="Y48" s="487"/>
      <c r="Z48" s="90"/>
    </row>
    <row r="49" spans="1:29" ht="16.8" customHeight="1" x14ac:dyDescent="0.25">
      <c r="A49" s="91"/>
      <c r="B49" s="102"/>
      <c r="C49" s="101"/>
      <c r="D49" s="100"/>
      <c r="E49" s="99"/>
      <c r="F49" s="100"/>
      <c r="G49" s="99"/>
      <c r="H49" s="98"/>
      <c r="I49" s="97"/>
      <c r="J49" s="97"/>
      <c r="K49" s="97"/>
      <c r="L49" s="96"/>
      <c r="M49" s="95"/>
      <c r="N49" s="94"/>
      <c r="O49" s="95"/>
      <c r="P49" s="95"/>
      <c r="Q49" s="94"/>
      <c r="R49" s="93"/>
      <c r="S49" s="93"/>
      <c r="T49" s="93"/>
      <c r="U49" s="93"/>
      <c r="V49" s="93"/>
      <c r="W49" s="93"/>
      <c r="X49" s="93"/>
      <c r="Y49" s="92"/>
      <c r="Z49" s="90"/>
    </row>
    <row r="50" spans="1:29" ht="16.8" customHeight="1" x14ac:dyDescent="0.25">
      <c r="A50" s="91"/>
      <c r="B50" s="102"/>
      <c r="C50" s="101"/>
      <c r="D50" s="100"/>
      <c r="E50" s="99"/>
      <c r="F50" s="100"/>
      <c r="G50" s="99"/>
      <c r="H50" s="98"/>
      <c r="I50" s="97"/>
      <c r="J50" s="97"/>
      <c r="K50" s="97"/>
      <c r="L50" s="96"/>
      <c r="M50" s="95"/>
      <c r="N50" s="94"/>
      <c r="O50" s="95"/>
      <c r="P50" s="95"/>
      <c r="Q50" s="94"/>
      <c r="R50" s="93"/>
      <c r="S50" s="93"/>
      <c r="T50" s="93"/>
      <c r="U50" s="93"/>
      <c r="V50" s="93"/>
      <c r="W50" s="93"/>
      <c r="X50" s="93"/>
      <c r="Y50" s="92"/>
      <c r="Z50" s="90"/>
    </row>
    <row r="51" spans="1:29" ht="16.8" customHeight="1" x14ac:dyDescent="0.25">
      <c r="A51" s="91"/>
      <c r="B51" s="102"/>
      <c r="C51" s="101"/>
      <c r="D51" s="100"/>
      <c r="E51" s="99"/>
      <c r="F51" s="100"/>
      <c r="G51" s="99"/>
      <c r="H51" s="98"/>
      <c r="I51" s="97"/>
      <c r="J51" s="97"/>
      <c r="K51" s="97"/>
      <c r="L51" s="96"/>
      <c r="M51" s="95"/>
      <c r="N51" s="94"/>
      <c r="O51" s="95"/>
      <c r="P51" s="95"/>
      <c r="Q51" s="94"/>
      <c r="R51" s="93"/>
      <c r="S51" s="93"/>
      <c r="T51" s="93"/>
      <c r="U51" s="93"/>
      <c r="V51" s="93"/>
      <c r="W51" s="93"/>
      <c r="X51" s="93"/>
      <c r="Y51" s="92"/>
      <c r="Z51" s="90"/>
    </row>
    <row r="52" spans="1:29" ht="16.8" customHeight="1" x14ac:dyDescent="0.25">
      <c r="A52" s="91"/>
      <c r="B52" s="102"/>
      <c r="C52" s="101"/>
      <c r="D52" s="100"/>
      <c r="E52" s="99"/>
      <c r="F52" s="100"/>
      <c r="G52" s="99"/>
      <c r="H52" s="98"/>
      <c r="I52" s="97"/>
      <c r="J52" s="97"/>
      <c r="K52" s="97"/>
      <c r="L52" s="96"/>
      <c r="M52" s="95"/>
      <c r="N52" s="94"/>
      <c r="O52" s="95"/>
      <c r="P52" s="95"/>
      <c r="Q52" s="94"/>
      <c r="R52" s="93"/>
      <c r="S52" s="93"/>
      <c r="T52" s="93"/>
      <c r="U52" s="93"/>
      <c r="V52" s="93"/>
      <c r="W52" s="93"/>
      <c r="X52" s="93"/>
      <c r="Y52" s="92"/>
      <c r="Z52" s="90"/>
    </row>
    <row r="53" spans="1:29" ht="17.25" customHeight="1" x14ac:dyDescent="0.25">
      <c r="A53" s="91"/>
      <c r="B53" s="511"/>
      <c r="C53" s="512"/>
      <c r="D53" s="483"/>
      <c r="E53" s="484"/>
      <c r="F53" s="483"/>
      <c r="G53" s="484"/>
      <c r="H53" s="485"/>
      <c r="I53" s="482"/>
      <c r="J53" s="482"/>
      <c r="K53" s="482"/>
      <c r="L53" s="490"/>
      <c r="M53" s="488"/>
      <c r="N53" s="489"/>
      <c r="O53" s="488"/>
      <c r="P53" s="488"/>
      <c r="Q53" s="489"/>
      <c r="R53" s="486"/>
      <c r="S53" s="486"/>
      <c r="T53" s="486"/>
      <c r="U53" s="486"/>
      <c r="V53" s="486"/>
      <c r="W53" s="486"/>
      <c r="X53" s="486"/>
      <c r="Y53" s="487"/>
      <c r="Z53" s="90"/>
    </row>
    <row r="54" spans="1:29" ht="16.5" customHeight="1" thickBot="1" x14ac:dyDescent="0.3">
      <c r="A54" s="91"/>
      <c r="B54" s="516" t="s">
        <v>62</v>
      </c>
      <c r="C54" s="517"/>
      <c r="D54" s="517"/>
      <c r="E54" s="517"/>
      <c r="F54" s="517"/>
      <c r="G54" s="517"/>
      <c r="H54" s="517"/>
      <c r="I54" s="518">
        <v>2.29</v>
      </c>
      <c r="J54" s="518"/>
      <c r="K54" s="518"/>
      <c r="L54" s="472">
        <v>93.6</v>
      </c>
      <c r="M54" s="472"/>
      <c r="N54" s="472"/>
      <c r="O54" s="472">
        <v>6.4</v>
      </c>
      <c r="P54" s="472"/>
      <c r="Q54" s="472"/>
      <c r="R54" s="519"/>
      <c r="S54" s="519"/>
      <c r="T54" s="519"/>
      <c r="U54" s="519"/>
      <c r="V54" s="519"/>
      <c r="W54" s="519"/>
      <c r="X54" s="519"/>
      <c r="Y54" s="520"/>
      <c r="Z54" s="90"/>
    </row>
    <row r="55" spans="1:29" ht="25.5" customHeight="1" thickBot="1" x14ac:dyDescent="0.3">
      <c r="A55" s="91"/>
      <c r="B55" s="470" t="s">
        <v>63</v>
      </c>
      <c r="C55" s="471"/>
      <c r="D55" s="471"/>
      <c r="E55" s="471"/>
      <c r="F55" s="471"/>
      <c r="G55" s="471"/>
      <c r="H55" s="471"/>
      <c r="I55" s="513">
        <v>100</v>
      </c>
      <c r="J55" s="513"/>
      <c r="K55" s="513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Y55" s="515"/>
      <c r="Z55" s="90"/>
    </row>
    <row r="56" spans="1:29" ht="15" customHeight="1" x14ac:dyDescent="0.25">
      <c r="A56" s="89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7"/>
    </row>
    <row r="57" spans="1:29" ht="16.5" customHeight="1" x14ac:dyDescent="0.25"/>
    <row r="58" spans="1:29" ht="34.5" customHeight="1" x14ac:dyDescent="0.25">
      <c r="A58" s="86" t="s">
        <v>64</v>
      </c>
      <c r="B58" s="85" t="s">
        <v>65</v>
      </c>
      <c r="C58" s="84"/>
      <c r="D58" s="84"/>
      <c r="E58" s="84"/>
      <c r="F58" s="83"/>
      <c r="G58" s="83"/>
      <c r="H58" s="83"/>
      <c r="I58" s="72"/>
      <c r="J58" s="72"/>
      <c r="K58" s="72"/>
      <c r="L58" s="72"/>
      <c r="M58" s="72"/>
      <c r="N58" s="72"/>
      <c r="O58" s="72"/>
      <c r="P58" s="72"/>
      <c r="Q58" s="83"/>
      <c r="R58" s="72"/>
      <c r="S58" s="72"/>
      <c r="T58" s="72"/>
      <c r="U58" s="558"/>
      <c r="V58" s="558"/>
      <c r="W58" s="558"/>
      <c r="X58" s="558"/>
      <c r="Y58" s="558"/>
      <c r="Z58" s="559"/>
      <c r="AA58" s="59"/>
      <c r="AB58" s="59"/>
      <c r="AC58" s="59"/>
    </row>
    <row r="59" spans="1:29" ht="27" customHeight="1" x14ac:dyDescent="0.25">
      <c r="A59" s="564" t="s">
        <v>66</v>
      </c>
      <c r="B59" s="565"/>
      <c r="C59" s="565"/>
      <c r="D59" s="565"/>
      <c r="E59" s="565"/>
      <c r="F59" s="565"/>
      <c r="G59" s="82"/>
      <c r="H59" s="82"/>
      <c r="I59" s="82"/>
      <c r="J59" s="82"/>
      <c r="K59" s="81"/>
      <c r="L59" s="562" t="s">
        <v>74</v>
      </c>
      <c r="M59" s="563"/>
      <c r="N59" s="563"/>
      <c r="O59" s="563"/>
      <c r="P59" s="563"/>
      <c r="Q59" s="80"/>
      <c r="R59" s="560" t="s">
        <v>67</v>
      </c>
      <c r="S59" s="560"/>
      <c r="T59" s="560"/>
      <c r="U59" s="492" t="s">
        <v>131</v>
      </c>
      <c r="V59" s="402"/>
      <c r="W59" s="402"/>
      <c r="X59" s="402"/>
      <c r="Y59" s="402"/>
      <c r="Z59" s="403"/>
      <c r="AA59" s="59"/>
      <c r="AB59" s="59"/>
      <c r="AC59" s="59"/>
    </row>
    <row r="60" spans="1:29" ht="15.75" customHeight="1" x14ac:dyDescent="0.25">
      <c r="A60" s="79"/>
      <c r="K60" s="78"/>
      <c r="R60" s="417" t="s">
        <v>68</v>
      </c>
      <c r="S60" s="418"/>
      <c r="T60" s="419"/>
      <c r="U60" s="495" t="s">
        <v>130</v>
      </c>
      <c r="V60" s="496"/>
      <c r="W60" s="496"/>
      <c r="X60" s="496"/>
      <c r="Y60" s="496"/>
      <c r="Z60" s="497"/>
      <c r="AA60" s="59"/>
      <c r="AB60" s="59"/>
      <c r="AC60" s="59"/>
    </row>
    <row r="61" spans="1:29" ht="9" customHeight="1" x14ac:dyDescent="0.25">
      <c r="A61" s="77"/>
      <c r="B61" s="75"/>
      <c r="C61" s="75"/>
      <c r="D61" s="75"/>
      <c r="E61" s="75"/>
      <c r="F61" s="75"/>
      <c r="G61" s="75"/>
      <c r="H61" s="75"/>
      <c r="I61" s="75"/>
      <c r="J61" s="75"/>
      <c r="K61" s="76"/>
      <c r="L61" s="75"/>
      <c r="M61" s="75"/>
      <c r="N61" s="75"/>
      <c r="O61" s="75"/>
      <c r="P61" s="75"/>
      <c r="Q61" s="75"/>
      <c r="R61" s="417"/>
      <c r="S61" s="418"/>
      <c r="T61" s="419"/>
      <c r="U61" s="498"/>
      <c r="V61" s="499"/>
      <c r="W61" s="499"/>
      <c r="X61" s="499"/>
      <c r="Y61" s="499"/>
      <c r="Z61" s="500"/>
      <c r="AA61" s="59"/>
      <c r="AB61" s="59"/>
      <c r="AC61" s="59"/>
    </row>
    <row r="62" spans="1:29" ht="15.9" customHeight="1" x14ac:dyDescent="0.25">
      <c r="A62" s="74" t="s">
        <v>69</v>
      </c>
      <c r="B62" s="73" t="s">
        <v>70</v>
      </c>
      <c r="C62" s="72"/>
      <c r="D62" s="72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0"/>
      <c r="R62" s="417"/>
      <c r="S62" s="418"/>
      <c r="T62" s="419"/>
      <c r="U62" s="498"/>
      <c r="V62" s="499"/>
      <c r="W62" s="499"/>
      <c r="X62" s="499"/>
      <c r="Y62" s="499"/>
      <c r="Z62" s="500"/>
      <c r="AA62" s="59"/>
      <c r="AB62" s="59"/>
      <c r="AC62" s="59"/>
    </row>
    <row r="63" spans="1:29" ht="15.9" customHeight="1" x14ac:dyDescent="0.25">
      <c r="A63" s="464"/>
      <c r="B63" s="465"/>
      <c r="C63" s="465"/>
      <c r="D63" s="465"/>
      <c r="E63" s="465"/>
      <c r="F63" s="465"/>
      <c r="G63" s="465"/>
      <c r="H63" s="465"/>
      <c r="I63" s="465"/>
      <c r="J63" s="465"/>
      <c r="K63" s="465"/>
      <c r="L63" s="465"/>
      <c r="M63" s="465"/>
      <c r="N63" s="465"/>
      <c r="O63" s="465"/>
      <c r="P63" s="465"/>
      <c r="Q63" s="466"/>
      <c r="R63" s="417" t="s">
        <v>71</v>
      </c>
      <c r="S63" s="418"/>
      <c r="T63" s="419"/>
      <c r="U63" s="69"/>
      <c r="V63" s="68"/>
      <c r="W63" s="68"/>
      <c r="X63" s="68"/>
      <c r="Y63" s="68"/>
      <c r="Z63" s="67"/>
      <c r="AA63" s="59"/>
      <c r="AB63" s="59"/>
      <c r="AC63" s="59"/>
    </row>
    <row r="64" spans="1:29" ht="16.5" customHeight="1" x14ac:dyDescent="0.25">
      <c r="A64" s="464"/>
      <c r="B64" s="465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65"/>
      <c r="Q64" s="466"/>
      <c r="R64" s="417"/>
      <c r="S64" s="418"/>
      <c r="T64" s="419"/>
      <c r="U64" s="66"/>
      <c r="V64" s="408"/>
      <c r="W64" s="408"/>
      <c r="X64" s="408"/>
      <c r="Y64" s="408"/>
      <c r="Z64" s="65"/>
      <c r="AA64" s="59"/>
      <c r="AB64" s="59"/>
      <c r="AC64" s="59"/>
    </row>
    <row r="65" spans="1:29" ht="16.5" customHeight="1" x14ac:dyDescent="0.25">
      <c r="A65" s="464"/>
      <c r="B65" s="465"/>
      <c r="C65" s="465"/>
      <c r="D65" s="465"/>
      <c r="E65" s="465"/>
      <c r="F65" s="465"/>
      <c r="G65" s="465"/>
      <c r="H65" s="465"/>
      <c r="I65" s="465"/>
      <c r="J65" s="465"/>
      <c r="K65" s="465"/>
      <c r="L65" s="465"/>
      <c r="M65" s="465"/>
      <c r="N65" s="465"/>
      <c r="O65" s="465"/>
      <c r="P65" s="465"/>
      <c r="Q65" s="466"/>
      <c r="R65" s="417"/>
      <c r="S65" s="418"/>
      <c r="T65" s="419"/>
      <c r="U65" s="66"/>
      <c r="V65" s="408"/>
      <c r="W65" s="408"/>
      <c r="X65" s="408"/>
      <c r="Y65" s="408"/>
      <c r="Z65" s="65"/>
      <c r="AA65" s="59"/>
      <c r="AB65" s="59"/>
      <c r="AC65" s="59"/>
    </row>
    <row r="66" spans="1:29" ht="16.5" customHeight="1" x14ac:dyDescent="0.25">
      <c r="A66" s="467"/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  <c r="O66" s="468"/>
      <c r="P66" s="468"/>
      <c r="Q66" s="469"/>
      <c r="R66" s="479"/>
      <c r="S66" s="480"/>
      <c r="T66" s="481"/>
      <c r="U66" s="64"/>
      <c r="V66" s="63"/>
      <c r="W66" s="63"/>
      <c r="X66" s="63"/>
      <c r="Y66" s="63"/>
      <c r="Z66" s="62"/>
      <c r="AA66" s="59"/>
      <c r="AB66" s="59"/>
      <c r="AC66" s="59"/>
    </row>
    <row r="67" spans="1:29" ht="16.5" customHeight="1" x14ac:dyDescent="0.25">
      <c r="R67" s="61"/>
      <c r="S67" s="61"/>
      <c r="T67" s="61"/>
      <c r="U67" s="60"/>
      <c r="V67" s="60"/>
      <c r="W67" s="60"/>
      <c r="X67" s="60"/>
      <c r="Y67" s="60"/>
      <c r="Z67" s="60"/>
      <c r="AA67" s="59"/>
      <c r="AB67" s="59"/>
      <c r="AC67" s="59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U59:Z59"/>
    <mergeCell ref="A63:Q66"/>
    <mergeCell ref="B55:H55"/>
    <mergeCell ref="O54:Q54"/>
    <mergeCell ref="R60:T62"/>
    <mergeCell ref="U60:Z62"/>
    <mergeCell ref="R63:T66"/>
    <mergeCell ref="V64:Y65"/>
    <mergeCell ref="L6:O6"/>
    <mergeCell ref="P6:T6"/>
    <mergeCell ref="A1:F6"/>
    <mergeCell ref="G1:T1"/>
    <mergeCell ref="A7:F7"/>
    <mergeCell ref="D53:E53"/>
    <mergeCell ref="L59:P59"/>
    <mergeCell ref="A59:F59"/>
    <mergeCell ref="L28:N28"/>
    <mergeCell ref="B53:C53"/>
    <mergeCell ref="I55:K55"/>
    <mergeCell ref="L55:Y55"/>
    <mergeCell ref="B54:H54"/>
    <mergeCell ref="G10:L10"/>
    <mergeCell ref="M13:R13"/>
    <mergeCell ref="M12:R12"/>
    <mergeCell ref="I5:K5"/>
    <mergeCell ref="I6:K6"/>
    <mergeCell ref="R54:Y54"/>
    <mergeCell ref="U58:Z58"/>
    <mergeCell ref="M14:R14"/>
    <mergeCell ref="G13:L13"/>
    <mergeCell ref="S11:W11"/>
    <mergeCell ref="X11:Y11"/>
    <mergeCell ref="R59:T59"/>
    <mergeCell ref="G7:Z7"/>
    <mergeCell ref="P5:T5"/>
    <mergeCell ref="U1:Z6"/>
    <mergeCell ref="G2:T4"/>
    <mergeCell ref="G5:H5"/>
    <mergeCell ref="L5:O5"/>
    <mergeCell ref="I54:K54"/>
    <mergeCell ref="I53:K53"/>
    <mergeCell ref="F53:H53"/>
    <mergeCell ref="R53:Y53"/>
    <mergeCell ref="O53:Q53"/>
    <mergeCell ref="L53:N53"/>
    <mergeCell ref="L54:N54"/>
    <mergeCell ref="O28:Q28"/>
    <mergeCell ref="I25:P25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16:F16"/>
    <mergeCell ref="S14:Y14"/>
    <mergeCell ref="M11:O11"/>
    <mergeCell ref="P11:R11"/>
    <mergeCell ref="G14:L14"/>
    <mergeCell ref="B11:F11"/>
    <mergeCell ref="G11:L11"/>
    <mergeCell ref="B12:F12"/>
    <mergeCell ref="G12:L12"/>
    <mergeCell ref="B13:F13"/>
    <mergeCell ref="B14:F14"/>
    <mergeCell ref="R29:Y29"/>
    <mergeCell ref="F27:H27"/>
    <mergeCell ref="V22:X22"/>
    <mergeCell ref="B22:H22"/>
    <mergeCell ref="I22:M22"/>
    <mergeCell ref="R27:Y28"/>
    <mergeCell ref="B27:C27"/>
    <mergeCell ref="B28:C28"/>
    <mergeCell ref="D27:E27"/>
    <mergeCell ref="B29:C29"/>
    <mergeCell ref="D28:E28"/>
    <mergeCell ref="I27:K28"/>
    <mergeCell ref="O22:Q22"/>
    <mergeCell ref="L27:N27"/>
    <mergeCell ref="Q25:T25"/>
    <mergeCell ref="O27:Q27"/>
    <mergeCell ref="F30:H30"/>
    <mergeCell ref="I30:K30"/>
    <mergeCell ref="L30:N30"/>
    <mergeCell ref="O29:Q29"/>
    <mergeCell ref="D29:E29"/>
    <mergeCell ref="F29:H29"/>
    <mergeCell ref="I29:K29"/>
    <mergeCell ref="L29:N29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B30:C30"/>
    <mergeCell ref="D30:E30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6:H36"/>
    <mergeCell ref="I36:K36"/>
    <mergeCell ref="L36:N36"/>
    <mergeCell ref="O34:Q34"/>
    <mergeCell ref="F34:H34"/>
    <mergeCell ref="I34:K34"/>
    <mergeCell ref="L34:N34"/>
    <mergeCell ref="O36:Q36"/>
    <mergeCell ref="R34:Y34"/>
    <mergeCell ref="R36:Y36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O48:Q48"/>
    <mergeCell ref="R48:Y48"/>
    <mergeCell ref="S13:Z13"/>
    <mergeCell ref="B48:C48"/>
    <mergeCell ref="D48:E48"/>
    <mergeCell ref="F48:H48"/>
    <mergeCell ref="I48:K48"/>
    <mergeCell ref="L48:N48"/>
    <mergeCell ref="O46:Q46"/>
    <mergeCell ref="R46:Y46"/>
    <mergeCell ref="R47:Y47"/>
    <mergeCell ref="B46:C46"/>
    <mergeCell ref="D46:E46"/>
    <mergeCell ref="F46:H46"/>
    <mergeCell ref="I46:K46"/>
    <mergeCell ref="L46:N46"/>
    <mergeCell ref="B47:C47"/>
    <mergeCell ref="D47:E47"/>
    <mergeCell ref="F47:H47"/>
    <mergeCell ref="I47:K47"/>
    <mergeCell ref="L47:N47"/>
    <mergeCell ref="O47:Q47"/>
    <mergeCell ref="R42:Y42"/>
    <mergeCell ref="R43:Y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178C-487D-4DD0-B9A3-90D64C358B97}">
  <sheetPr>
    <pageSetUpPr fitToPage="1"/>
  </sheetPr>
  <dimension ref="A1:AN67"/>
  <sheetViews>
    <sheetView workbookViewId="0">
      <selection activeCell="AD19" sqref="AD19"/>
    </sheetView>
  </sheetViews>
  <sheetFormatPr baseColWidth="10" defaultColWidth="11.44140625" defaultRowHeight="13.2" x14ac:dyDescent="0.25"/>
  <cols>
    <col min="1" max="26" width="5.109375" style="58" customWidth="1"/>
    <col min="27" max="27" width="8.33203125" style="58" customWidth="1"/>
    <col min="28" max="28" width="11.44140625" style="58"/>
    <col min="29" max="16384" width="11.44140625" style="57"/>
  </cols>
  <sheetData>
    <row r="1" spans="1:40" x14ac:dyDescent="0.25">
      <c r="A1" s="432"/>
      <c r="B1" s="433"/>
      <c r="C1" s="433"/>
      <c r="D1" s="433"/>
      <c r="E1" s="433"/>
      <c r="F1" s="434"/>
      <c r="G1" s="441" t="s">
        <v>0</v>
      </c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3"/>
      <c r="U1" s="449" t="s">
        <v>136</v>
      </c>
      <c r="V1" s="450"/>
      <c r="W1" s="450"/>
      <c r="X1" s="450"/>
      <c r="Y1" s="450"/>
      <c r="Z1" s="451"/>
    </row>
    <row r="2" spans="1:40" x14ac:dyDescent="0.25">
      <c r="A2" s="435"/>
      <c r="B2" s="436"/>
      <c r="C2" s="436"/>
      <c r="D2" s="436"/>
      <c r="E2" s="436"/>
      <c r="F2" s="437"/>
      <c r="G2" s="458" t="s">
        <v>1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60"/>
      <c r="U2" s="452"/>
      <c r="V2" s="453"/>
      <c r="W2" s="453"/>
      <c r="X2" s="453"/>
      <c r="Y2" s="453"/>
      <c r="Z2" s="454"/>
    </row>
    <row r="3" spans="1:40" x14ac:dyDescent="0.25">
      <c r="A3" s="435"/>
      <c r="B3" s="436"/>
      <c r="C3" s="436"/>
      <c r="D3" s="436"/>
      <c r="E3" s="436"/>
      <c r="F3" s="437"/>
      <c r="G3" s="458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60"/>
      <c r="U3" s="452"/>
      <c r="V3" s="453"/>
      <c r="W3" s="453"/>
      <c r="X3" s="453"/>
      <c r="Y3" s="453"/>
      <c r="Z3" s="454"/>
    </row>
    <row r="4" spans="1:40" x14ac:dyDescent="0.25">
      <c r="A4" s="435"/>
      <c r="B4" s="436"/>
      <c r="C4" s="436"/>
      <c r="D4" s="436"/>
      <c r="E4" s="436"/>
      <c r="F4" s="437"/>
      <c r="G4" s="458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459"/>
      <c r="T4" s="460"/>
      <c r="U4" s="452"/>
      <c r="V4" s="453"/>
      <c r="W4" s="453"/>
      <c r="X4" s="453"/>
      <c r="Y4" s="453"/>
      <c r="Z4" s="454"/>
    </row>
    <row r="5" spans="1:40" ht="15" customHeight="1" x14ac:dyDescent="0.25">
      <c r="A5" s="435"/>
      <c r="B5" s="436"/>
      <c r="C5" s="436"/>
      <c r="D5" s="436"/>
      <c r="E5" s="436"/>
      <c r="F5" s="437"/>
      <c r="G5" s="420" t="s">
        <v>2</v>
      </c>
      <c r="H5" s="421"/>
      <c r="I5" s="415">
        <v>28</v>
      </c>
      <c r="J5" s="415"/>
      <c r="K5" s="416"/>
      <c r="L5" s="461" t="s">
        <v>4</v>
      </c>
      <c r="M5" s="462"/>
      <c r="N5" s="462"/>
      <c r="O5" s="463"/>
      <c r="P5" s="446" t="s">
        <v>147</v>
      </c>
      <c r="Q5" s="447"/>
      <c r="R5" s="447"/>
      <c r="S5" s="447"/>
      <c r="T5" s="448"/>
      <c r="U5" s="452"/>
      <c r="V5" s="453"/>
      <c r="W5" s="453"/>
      <c r="X5" s="453"/>
      <c r="Y5" s="453"/>
      <c r="Z5" s="454"/>
    </row>
    <row r="6" spans="1:40" x14ac:dyDescent="0.25">
      <c r="A6" s="438"/>
      <c r="B6" s="439"/>
      <c r="C6" s="439"/>
      <c r="D6" s="439"/>
      <c r="E6" s="439"/>
      <c r="F6" s="440"/>
      <c r="G6" s="89"/>
      <c r="H6" s="120"/>
      <c r="I6" s="413" t="s">
        <v>6</v>
      </c>
      <c r="J6" s="413"/>
      <c r="K6" s="413"/>
      <c r="L6" s="413" t="s">
        <v>7</v>
      </c>
      <c r="M6" s="413"/>
      <c r="N6" s="413"/>
      <c r="O6" s="413"/>
      <c r="P6" s="413" t="s">
        <v>8</v>
      </c>
      <c r="Q6" s="413"/>
      <c r="R6" s="413"/>
      <c r="S6" s="413"/>
      <c r="T6" s="414"/>
      <c r="U6" s="455"/>
      <c r="V6" s="456"/>
      <c r="W6" s="456"/>
      <c r="X6" s="456"/>
      <c r="Y6" s="456"/>
      <c r="Z6" s="457"/>
    </row>
    <row r="7" spans="1:40" ht="36.75" customHeight="1" x14ac:dyDescent="0.25">
      <c r="A7" s="444" t="s">
        <v>9</v>
      </c>
      <c r="B7" s="444"/>
      <c r="C7" s="444"/>
      <c r="D7" s="444"/>
      <c r="E7" s="444"/>
      <c r="F7" s="444"/>
      <c r="G7" s="445" t="s">
        <v>10</v>
      </c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</row>
    <row r="8" spans="1:40" ht="15" customHeight="1" x14ac:dyDescent="0.25">
      <c r="A8" s="74" t="s">
        <v>11</v>
      </c>
      <c r="B8" s="73" t="s">
        <v>12</v>
      </c>
      <c r="C8" s="72"/>
      <c r="D8" s="106"/>
      <c r="E8" s="106"/>
      <c r="F8" s="106"/>
      <c r="G8" s="106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04"/>
    </row>
    <row r="9" spans="1:40" ht="6" customHeight="1" x14ac:dyDescent="0.25">
      <c r="A9" s="91"/>
      <c r="D9" s="119"/>
      <c r="E9" s="119"/>
      <c r="F9" s="119"/>
      <c r="G9" s="119"/>
      <c r="Z9" s="90"/>
    </row>
    <row r="10" spans="1:40" ht="15" customHeight="1" x14ac:dyDescent="0.25">
      <c r="A10" s="91"/>
      <c r="B10" s="406" t="s">
        <v>13</v>
      </c>
      <c r="C10" s="406"/>
      <c r="D10" s="406"/>
      <c r="E10" s="406"/>
      <c r="F10" s="406"/>
      <c r="G10" s="412" t="s">
        <v>135</v>
      </c>
      <c r="H10" s="412"/>
      <c r="I10" s="412"/>
      <c r="J10" s="412"/>
      <c r="K10" s="412"/>
      <c r="L10" s="412"/>
      <c r="M10" s="406" t="s">
        <v>15</v>
      </c>
      <c r="N10" s="406"/>
      <c r="O10" s="406"/>
      <c r="P10" s="406"/>
      <c r="Q10" s="406"/>
      <c r="R10" s="406"/>
      <c r="S10" s="410" t="s">
        <v>16</v>
      </c>
      <c r="T10" s="410"/>
      <c r="U10" s="410"/>
      <c r="V10" s="410"/>
      <c r="W10" s="410"/>
      <c r="X10" s="410"/>
      <c r="Y10" s="410"/>
      <c r="Z10" s="108"/>
    </row>
    <row r="11" spans="1:40" ht="15" customHeight="1" x14ac:dyDescent="0.25">
      <c r="A11" s="91"/>
      <c r="B11" s="406" t="s">
        <v>17</v>
      </c>
      <c r="C11" s="406"/>
      <c r="D11" s="406"/>
      <c r="E11" s="406"/>
      <c r="F11" s="406"/>
      <c r="G11" s="412" t="s">
        <v>147</v>
      </c>
      <c r="H11" s="412"/>
      <c r="I11" s="412"/>
      <c r="J11" s="412"/>
      <c r="K11" s="412"/>
      <c r="L11" s="412"/>
      <c r="M11" s="406" t="s">
        <v>18</v>
      </c>
      <c r="N11" s="406"/>
      <c r="O11" s="406"/>
      <c r="P11" s="411">
        <v>157</v>
      </c>
      <c r="Q11" s="411"/>
      <c r="R11" s="411"/>
      <c r="S11" s="406" t="s">
        <v>19</v>
      </c>
      <c r="T11" s="406"/>
      <c r="U11" s="406"/>
      <c r="V11" s="406"/>
      <c r="W11" s="406"/>
      <c r="X11" s="411" t="s">
        <v>20</v>
      </c>
      <c r="Y11" s="411"/>
      <c r="Z11" s="108"/>
    </row>
    <row r="12" spans="1:40" ht="15" customHeight="1" x14ac:dyDescent="0.25">
      <c r="A12" s="91"/>
      <c r="B12" s="406" t="s">
        <v>21</v>
      </c>
      <c r="C12" s="406"/>
      <c r="D12" s="406"/>
      <c r="E12" s="406"/>
      <c r="F12" s="406"/>
      <c r="G12" s="412" t="s">
        <v>99</v>
      </c>
      <c r="H12" s="412"/>
      <c r="I12" s="412"/>
      <c r="J12" s="412"/>
      <c r="K12" s="412"/>
      <c r="L12" s="412"/>
      <c r="M12" s="406" t="s">
        <v>23</v>
      </c>
      <c r="N12" s="406"/>
      <c r="O12" s="406"/>
      <c r="P12" s="406"/>
      <c r="Q12" s="406"/>
      <c r="R12" s="406"/>
      <c r="S12" s="410" t="s">
        <v>24</v>
      </c>
      <c r="T12" s="410"/>
      <c r="U12" s="410"/>
      <c r="V12" s="410"/>
      <c r="W12" s="410"/>
      <c r="X12" s="410"/>
      <c r="Y12" s="410"/>
      <c r="Z12" s="108"/>
    </row>
    <row r="13" spans="1:40" ht="15" customHeight="1" x14ac:dyDescent="0.25">
      <c r="A13" s="91"/>
      <c r="B13" s="406" t="s">
        <v>25</v>
      </c>
      <c r="C13" s="406"/>
      <c r="D13" s="406"/>
      <c r="E13" s="406"/>
      <c r="F13" s="406"/>
      <c r="G13" s="523" t="s">
        <v>147</v>
      </c>
      <c r="H13" s="412"/>
      <c r="I13" s="412"/>
      <c r="J13" s="412"/>
      <c r="K13" s="412"/>
      <c r="L13" s="412"/>
      <c r="M13" s="406" t="s">
        <v>26</v>
      </c>
      <c r="N13" s="406"/>
      <c r="O13" s="406"/>
      <c r="P13" s="406"/>
      <c r="Q13" s="406"/>
      <c r="R13" s="406"/>
      <c r="S13" s="540" t="s">
        <v>146</v>
      </c>
      <c r="T13" s="540"/>
      <c r="U13" s="540"/>
      <c r="V13" s="540"/>
      <c r="W13" s="540"/>
      <c r="X13" s="540"/>
      <c r="Y13" s="540"/>
      <c r="Z13" s="541"/>
    </row>
    <row r="14" spans="1:40" ht="15" customHeight="1" x14ac:dyDescent="0.25">
      <c r="A14" s="91"/>
      <c r="B14" s="406" t="s">
        <v>28</v>
      </c>
      <c r="C14" s="406"/>
      <c r="D14" s="406"/>
      <c r="E14" s="406"/>
      <c r="F14" s="406"/>
      <c r="G14" s="412" t="s">
        <v>120</v>
      </c>
      <c r="H14" s="412"/>
      <c r="I14" s="412"/>
      <c r="J14" s="412"/>
      <c r="K14" s="412"/>
      <c r="L14" s="412"/>
      <c r="M14" s="406" t="s">
        <v>30</v>
      </c>
      <c r="N14" s="406"/>
      <c r="O14" s="406"/>
      <c r="P14" s="406"/>
      <c r="Q14" s="406"/>
      <c r="R14" s="406"/>
      <c r="S14" s="406" t="s">
        <v>31</v>
      </c>
      <c r="T14" s="406"/>
      <c r="U14" s="406"/>
      <c r="V14" s="406"/>
      <c r="W14" s="406"/>
      <c r="X14" s="406"/>
      <c r="Y14" s="406"/>
      <c r="Z14" s="108"/>
    </row>
    <row r="15" spans="1:40" ht="15" customHeight="1" x14ac:dyDescent="0.25">
      <c r="A15" s="91"/>
      <c r="B15" s="407" t="s">
        <v>32</v>
      </c>
      <c r="C15" s="407"/>
      <c r="D15" s="407"/>
      <c r="E15" s="407"/>
      <c r="F15" s="407"/>
      <c r="G15" s="410" t="s">
        <v>145</v>
      </c>
      <c r="H15" s="410"/>
      <c r="I15" s="410"/>
      <c r="J15" s="410"/>
      <c r="K15" s="410"/>
      <c r="L15" s="410"/>
      <c r="M15" s="406" t="s">
        <v>34</v>
      </c>
      <c r="N15" s="406"/>
      <c r="O15" s="406"/>
      <c r="P15" s="406"/>
      <c r="Q15" s="406"/>
      <c r="R15" s="406"/>
      <c r="S15" s="406" t="s">
        <v>77</v>
      </c>
      <c r="T15" s="406"/>
      <c r="U15" s="406"/>
      <c r="V15" s="406"/>
      <c r="W15" s="406"/>
      <c r="X15" s="406"/>
      <c r="Y15" s="406"/>
      <c r="Z15" s="108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0" ht="15" customHeight="1" x14ac:dyDescent="0.25">
      <c r="A16" s="91"/>
      <c r="B16" s="407" t="s">
        <v>36</v>
      </c>
      <c r="C16" s="407"/>
      <c r="D16" s="407"/>
      <c r="E16" s="407"/>
      <c r="F16" s="407"/>
      <c r="G16" s="33" t="s">
        <v>148</v>
      </c>
      <c r="H16" s="109"/>
      <c r="I16" s="109"/>
      <c r="J16" s="109"/>
      <c r="K16" s="109"/>
      <c r="L16" s="109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8"/>
    </row>
    <row r="17" spans="1:28" ht="6" customHeight="1" x14ac:dyDescent="0.25">
      <c r="A17" s="89"/>
      <c r="B17" s="75"/>
      <c r="C17" s="75"/>
      <c r="D17" s="88"/>
      <c r="E17" s="88"/>
      <c r="F17" s="88"/>
      <c r="G17" s="88"/>
      <c r="H17" s="75"/>
      <c r="I17" s="75"/>
      <c r="J17" s="75"/>
      <c r="K17" s="75"/>
      <c r="L17" s="75"/>
      <c r="M17" s="75"/>
      <c r="N17" s="117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87"/>
    </row>
    <row r="18" spans="1:28" ht="15" customHeight="1" x14ac:dyDescent="0.25">
      <c r="B18" s="115"/>
      <c r="C18" s="115"/>
      <c r="K18" s="116"/>
      <c r="L18" s="115"/>
      <c r="M18" s="114"/>
      <c r="V18" s="110"/>
      <c r="W18" s="110"/>
      <c r="X18" s="110"/>
      <c r="Y18" s="110"/>
      <c r="Z18" s="110"/>
      <c r="AA18" s="110"/>
      <c r="AB18" s="118"/>
    </row>
    <row r="19" spans="1:28" ht="15" customHeight="1" x14ac:dyDescent="0.25">
      <c r="A19" s="74" t="s">
        <v>38</v>
      </c>
      <c r="B19" s="73" t="s">
        <v>39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4"/>
    </row>
    <row r="20" spans="1:28" ht="6" customHeight="1" x14ac:dyDescent="0.25">
      <c r="A20" s="91"/>
      <c r="B20" s="113"/>
      <c r="Z20" s="90"/>
    </row>
    <row r="21" spans="1:28" ht="13.8" customHeight="1" x14ac:dyDescent="0.25">
      <c r="A21" s="91"/>
      <c r="B21" s="406" t="s">
        <v>40</v>
      </c>
      <c r="C21" s="406"/>
      <c r="D21" s="406"/>
      <c r="E21" s="406"/>
      <c r="F21" s="406"/>
      <c r="G21" s="406"/>
      <c r="H21" s="406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108"/>
    </row>
    <row r="22" spans="1:28" ht="15" customHeight="1" x14ac:dyDescent="0.25">
      <c r="A22" s="91"/>
      <c r="B22" s="406" t="s">
        <v>41</v>
      </c>
      <c r="C22" s="406"/>
      <c r="D22" s="406"/>
      <c r="E22" s="406"/>
      <c r="F22" s="406"/>
      <c r="G22" s="406"/>
      <c r="H22" s="406"/>
      <c r="I22" s="411"/>
      <c r="J22" s="411"/>
      <c r="K22" s="411"/>
      <c r="L22" s="411"/>
      <c r="M22" s="411"/>
      <c r="N22" s="112">
        <v>0</v>
      </c>
      <c r="O22" s="408" t="s">
        <v>42</v>
      </c>
      <c r="P22" s="408"/>
      <c r="Q22" s="408"/>
      <c r="R22" s="111" t="s">
        <v>82</v>
      </c>
      <c r="S22" s="110"/>
      <c r="V22" s="408"/>
      <c r="W22" s="408"/>
      <c r="X22" s="408"/>
      <c r="Y22" s="109"/>
      <c r="Z22" s="108"/>
    </row>
    <row r="23" spans="1:28" ht="5.25" customHeight="1" x14ac:dyDescent="0.25">
      <c r="A23" s="89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87"/>
    </row>
    <row r="24" spans="1:28" x14ac:dyDescent="0.25">
      <c r="C24" s="107"/>
    </row>
    <row r="25" spans="1:28" ht="15" customHeight="1" x14ac:dyDescent="0.25">
      <c r="A25" s="74" t="s">
        <v>45</v>
      </c>
      <c r="B25" s="73" t="s">
        <v>46</v>
      </c>
      <c r="C25" s="72"/>
      <c r="D25" s="106"/>
      <c r="E25" s="106"/>
      <c r="F25" s="106"/>
      <c r="G25" s="106"/>
      <c r="H25" s="72"/>
      <c r="I25" s="442" t="s">
        <v>47</v>
      </c>
      <c r="J25" s="442"/>
      <c r="K25" s="442"/>
      <c r="L25" s="442"/>
      <c r="M25" s="442"/>
      <c r="N25" s="442"/>
      <c r="O25" s="442"/>
      <c r="P25" s="442"/>
      <c r="Q25" s="557">
        <v>2.4860000000000002</v>
      </c>
      <c r="R25" s="557"/>
      <c r="S25" s="557"/>
      <c r="T25" s="557"/>
      <c r="U25" s="105" t="s">
        <v>48</v>
      </c>
      <c r="V25" s="72"/>
      <c r="W25" s="72"/>
      <c r="X25" s="72"/>
      <c r="Y25" s="72"/>
      <c r="Z25" s="104"/>
    </row>
    <row r="26" spans="1:28" ht="13.8" customHeight="1" thickBot="1" x14ac:dyDescent="0.3">
      <c r="A26" s="91"/>
      <c r="Z26" s="90"/>
    </row>
    <row r="27" spans="1:28" ht="15.75" customHeight="1" x14ac:dyDescent="0.25">
      <c r="A27" s="91"/>
      <c r="B27" s="549" t="s">
        <v>49</v>
      </c>
      <c r="C27" s="544"/>
      <c r="D27" s="552" t="s">
        <v>50</v>
      </c>
      <c r="E27" s="553"/>
      <c r="F27" s="542" t="s">
        <v>51</v>
      </c>
      <c r="G27" s="542"/>
      <c r="H27" s="542"/>
      <c r="I27" s="543" t="s">
        <v>52</v>
      </c>
      <c r="J27" s="544"/>
      <c r="K27" s="544"/>
      <c r="L27" s="543" t="s">
        <v>53</v>
      </c>
      <c r="M27" s="544"/>
      <c r="N27" s="556"/>
      <c r="O27" s="543" t="s">
        <v>54</v>
      </c>
      <c r="P27" s="544"/>
      <c r="Q27" s="556"/>
      <c r="R27" s="543" t="s">
        <v>55</v>
      </c>
      <c r="S27" s="544"/>
      <c r="T27" s="544"/>
      <c r="U27" s="544"/>
      <c r="V27" s="544"/>
      <c r="W27" s="544"/>
      <c r="X27" s="544"/>
      <c r="Y27" s="545"/>
      <c r="Z27" s="90"/>
    </row>
    <row r="28" spans="1:28" ht="36" customHeight="1" x14ac:dyDescent="0.25">
      <c r="A28" s="91"/>
      <c r="B28" s="550" t="s">
        <v>56</v>
      </c>
      <c r="C28" s="551"/>
      <c r="D28" s="554" t="s">
        <v>57</v>
      </c>
      <c r="E28" s="555"/>
      <c r="F28" s="103" t="s">
        <v>58</v>
      </c>
      <c r="G28" s="103" t="s">
        <v>59</v>
      </c>
      <c r="H28" s="103" t="s">
        <v>60</v>
      </c>
      <c r="I28" s="546"/>
      <c r="J28" s="547"/>
      <c r="K28" s="547"/>
      <c r="L28" s="546" t="s">
        <v>61</v>
      </c>
      <c r="M28" s="547"/>
      <c r="N28" s="561"/>
      <c r="O28" s="546" t="s">
        <v>61</v>
      </c>
      <c r="P28" s="547"/>
      <c r="Q28" s="561"/>
      <c r="R28" s="546"/>
      <c r="S28" s="547"/>
      <c r="T28" s="547"/>
      <c r="U28" s="547"/>
      <c r="V28" s="547"/>
      <c r="W28" s="547"/>
      <c r="X28" s="547"/>
      <c r="Y28" s="548"/>
      <c r="Z28" s="90"/>
    </row>
    <row r="29" spans="1:28" ht="16.8" customHeight="1" x14ac:dyDescent="0.25">
      <c r="A29" s="91"/>
      <c r="B29" s="511">
        <v>1</v>
      </c>
      <c r="C29" s="512"/>
      <c r="D29" s="483"/>
      <c r="E29" s="484"/>
      <c r="F29" s="483" t="s">
        <v>60</v>
      </c>
      <c r="G29" s="484"/>
      <c r="H29" s="485"/>
      <c r="I29" s="482">
        <v>2.4350000000000001</v>
      </c>
      <c r="J29" s="482"/>
      <c r="K29" s="482"/>
      <c r="L29" s="490">
        <v>97.9</v>
      </c>
      <c r="M29" s="488"/>
      <c r="N29" s="489"/>
      <c r="O29" s="488">
        <v>2.1</v>
      </c>
      <c r="P29" s="488"/>
      <c r="Q29" s="489"/>
      <c r="R29" s="486"/>
      <c r="S29" s="486"/>
      <c r="T29" s="486"/>
      <c r="U29" s="486"/>
      <c r="V29" s="486"/>
      <c r="W29" s="486"/>
      <c r="X29" s="486"/>
      <c r="Y29" s="487"/>
      <c r="Z29" s="90"/>
    </row>
    <row r="30" spans="1:28" ht="16.8" customHeight="1" x14ac:dyDescent="0.25">
      <c r="A30" s="91"/>
      <c r="B30" s="511">
        <v>2</v>
      </c>
      <c r="C30" s="512"/>
      <c r="D30" s="483"/>
      <c r="E30" s="484"/>
      <c r="F30" s="483" t="s">
        <v>58</v>
      </c>
      <c r="G30" s="484"/>
      <c r="H30" s="485"/>
      <c r="I30" s="482">
        <v>2.42</v>
      </c>
      <c r="J30" s="482"/>
      <c r="K30" s="482"/>
      <c r="L30" s="490">
        <v>97.3</v>
      </c>
      <c r="M30" s="488"/>
      <c r="N30" s="489"/>
      <c r="O30" s="488">
        <v>2.7</v>
      </c>
      <c r="P30" s="488"/>
      <c r="Q30" s="489"/>
      <c r="R30" s="486"/>
      <c r="S30" s="486"/>
      <c r="T30" s="486"/>
      <c r="U30" s="486"/>
      <c r="V30" s="486"/>
      <c r="W30" s="486"/>
      <c r="X30" s="486"/>
      <c r="Y30" s="487"/>
      <c r="Z30" s="90"/>
    </row>
    <row r="31" spans="1:28" ht="16.8" customHeight="1" x14ac:dyDescent="0.25">
      <c r="A31" s="91"/>
      <c r="B31" s="511">
        <v>3</v>
      </c>
      <c r="C31" s="512"/>
      <c r="D31" s="483"/>
      <c r="E31" s="484"/>
      <c r="F31" s="483" t="s">
        <v>60</v>
      </c>
      <c r="G31" s="484"/>
      <c r="H31" s="485"/>
      <c r="I31" s="482">
        <v>2.391</v>
      </c>
      <c r="J31" s="482"/>
      <c r="K31" s="482"/>
      <c r="L31" s="490">
        <v>96.2</v>
      </c>
      <c r="M31" s="488"/>
      <c r="N31" s="489"/>
      <c r="O31" s="488">
        <v>3.8</v>
      </c>
      <c r="P31" s="488"/>
      <c r="Q31" s="489"/>
      <c r="R31" s="486"/>
      <c r="S31" s="486"/>
      <c r="T31" s="486"/>
      <c r="U31" s="486"/>
      <c r="V31" s="486"/>
      <c r="W31" s="486"/>
      <c r="X31" s="486"/>
      <c r="Y31" s="487"/>
      <c r="Z31" s="90"/>
    </row>
    <row r="32" spans="1:28" ht="16.8" customHeight="1" x14ac:dyDescent="0.25">
      <c r="A32" s="91"/>
      <c r="B32" s="511">
        <v>4</v>
      </c>
      <c r="C32" s="512"/>
      <c r="D32" s="483"/>
      <c r="E32" s="484"/>
      <c r="F32" s="483" t="s">
        <v>58</v>
      </c>
      <c r="G32" s="484"/>
      <c r="H32" s="485"/>
      <c r="I32" s="482">
        <v>2.3959999999999999</v>
      </c>
      <c r="J32" s="482"/>
      <c r="K32" s="482"/>
      <c r="L32" s="490">
        <v>96.4</v>
      </c>
      <c r="M32" s="488"/>
      <c r="N32" s="489"/>
      <c r="O32" s="488">
        <v>3.6</v>
      </c>
      <c r="P32" s="488"/>
      <c r="Q32" s="489"/>
      <c r="R32" s="486"/>
      <c r="S32" s="486"/>
      <c r="T32" s="486"/>
      <c r="U32" s="486"/>
      <c r="V32" s="486"/>
      <c r="W32" s="486"/>
      <c r="X32" s="486"/>
      <c r="Y32" s="487"/>
      <c r="Z32" s="90"/>
    </row>
    <row r="33" spans="1:26" ht="16.8" customHeight="1" x14ac:dyDescent="0.25">
      <c r="A33" s="91"/>
      <c r="B33" s="511">
        <v>5</v>
      </c>
      <c r="C33" s="512"/>
      <c r="D33" s="483"/>
      <c r="E33" s="484"/>
      <c r="F33" s="483" t="s">
        <v>60</v>
      </c>
      <c r="G33" s="484"/>
      <c r="H33" s="485"/>
      <c r="I33" s="482">
        <v>2.3940000000000001</v>
      </c>
      <c r="J33" s="482"/>
      <c r="K33" s="482"/>
      <c r="L33" s="490">
        <v>96.3</v>
      </c>
      <c r="M33" s="488"/>
      <c r="N33" s="489"/>
      <c r="O33" s="488">
        <v>3.7</v>
      </c>
      <c r="P33" s="488"/>
      <c r="Q33" s="489"/>
      <c r="R33" s="486"/>
      <c r="S33" s="486"/>
      <c r="T33" s="486"/>
      <c r="U33" s="486"/>
      <c r="V33" s="486"/>
      <c r="W33" s="486"/>
      <c r="X33" s="486"/>
      <c r="Y33" s="487"/>
      <c r="Z33" s="90"/>
    </row>
    <row r="34" spans="1:26" ht="16.8" customHeight="1" x14ac:dyDescent="0.25">
      <c r="A34" s="91"/>
      <c r="B34" s="511">
        <v>6</v>
      </c>
      <c r="C34" s="512"/>
      <c r="D34" s="483"/>
      <c r="E34" s="484"/>
      <c r="F34" s="483" t="s">
        <v>58</v>
      </c>
      <c r="G34" s="484"/>
      <c r="H34" s="485"/>
      <c r="I34" s="482">
        <v>2.4319999999999999</v>
      </c>
      <c r="J34" s="482"/>
      <c r="K34" s="482"/>
      <c r="L34" s="490">
        <v>97.8</v>
      </c>
      <c r="M34" s="488"/>
      <c r="N34" s="489"/>
      <c r="O34" s="488">
        <v>2.2000000000000002</v>
      </c>
      <c r="P34" s="488"/>
      <c r="Q34" s="489"/>
      <c r="R34" s="486"/>
      <c r="S34" s="486"/>
      <c r="T34" s="486"/>
      <c r="U34" s="486"/>
      <c r="V34" s="486"/>
      <c r="W34" s="486"/>
      <c r="X34" s="486"/>
      <c r="Y34" s="487"/>
      <c r="Z34" s="90"/>
    </row>
    <row r="35" spans="1:26" ht="16.8" customHeight="1" x14ac:dyDescent="0.25">
      <c r="A35" s="91"/>
      <c r="B35" s="511">
        <v>7</v>
      </c>
      <c r="C35" s="512"/>
      <c r="D35" s="483"/>
      <c r="E35" s="484"/>
      <c r="F35" s="483" t="s">
        <v>60</v>
      </c>
      <c r="G35" s="484"/>
      <c r="H35" s="485"/>
      <c r="I35" s="482">
        <v>2.403</v>
      </c>
      <c r="J35" s="482"/>
      <c r="K35" s="482"/>
      <c r="L35" s="490">
        <v>96.7</v>
      </c>
      <c r="M35" s="488"/>
      <c r="N35" s="489"/>
      <c r="O35" s="488">
        <v>3.3</v>
      </c>
      <c r="P35" s="488"/>
      <c r="Q35" s="489"/>
      <c r="R35" s="486"/>
      <c r="S35" s="486"/>
      <c r="T35" s="486"/>
      <c r="U35" s="486"/>
      <c r="V35" s="486"/>
      <c r="W35" s="486"/>
      <c r="X35" s="486"/>
      <c r="Y35" s="487"/>
      <c r="Z35" s="90"/>
    </row>
    <row r="36" spans="1:26" ht="16.8" customHeight="1" x14ac:dyDescent="0.25">
      <c r="A36" s="91"/>
      <c r="B36" s="511">
        <v>8</v>
      </c>
      <c r="C36" s="512"/>
      <c r="D36" s="483"/>
      <c r="E36" s="484"/>
      <c r="F36" s="483" t="s">
        <v>58</v>
      </c>
      <c r="G36" s="484"/>
      <c r="H36" s="485"/>
      <c r="I36" s="482">
        <v>2.4009999999999998</v>
      </c>
      <c r="J36" s="482"/>
      <c r="K36" s="482"/>
      <c r="L36" s="490">
        <v>96.6</v>
      </c>
      <c r="M36" s="488"/>
      <c r="N36" s="489"/>
      <c r="O36" s="488">
        <v>3.4</v>
      </c>
      <c r="P36" s="488"/>
      <c r="Q36" s="489"/>
      <c r="R36" s="486"/>
      <c r="S36" s="486"/>
      <c r="T36" s="486"/>
      <c r="U36" s="486"/>
      <c r="V36" s="486"/>
      <c r="W36" s="486"/>
      <c r="X36" s="486"/>
      <c r="Y36" s="487"/>
      <c r="Z36" s="90"/>
    </row>
    <row r="37" spans="1:26" ht="16.8" customHeight="1" x14ac:dyDescent="0.25">
      <c r="A37" s="91"/>
      <c r="B37" s="511">
        <v>9</v>
      </c>
      <c r="C37" s="512"/>
      <c r="D37" s="483"/>
      <c r="E37" s="484"/>
      <c r="F37" s="483" t="s">
        <v>60</v>
      </c>
      <c r="G37" s="484"/>
      <c r="H37" s="485"/>
      <c r="I37" s="482">
        <v>2.4013</v>
      </c>
      <c r="J37" s="482"/>
      <c r="K37" s="482"/>
      <c r="L37" s="490">
        <v>96.6</v>
      </c>
      <c r="M37" s="488"/>
      <c r="N37" s="489"/>
      <c r="O37" s="488">
        <v>3.4</v>
      </c>
      <c r="P37" s="488"/>
      <c r="Q37" s="489"/>
      <c r="R37" s="486"/>
      <c r="S37" s="486"/>
      <c r="T37" s="486"/>
      <c r="U37" s="486"/>
      <c r="V37" s="486"/>
      <c r="W37" s="486"/>
      <c r="X37" s="486"/>
      <c r="Y37" s="487"/>
      <c r="Z37" s="90"/>
    </row>
    <row r="38" spans="1:26" ht="16.8" customHeight="1" x14ac:dyDescent="0.25">
      <c r="A38" s="91"/>
      <c r="B38" s="511">
        <v>10</v>
      </c>
      <c r="C38" s="512"/>
      <c r="D38" s="483"/>
      <c r="E38" s="484"/>
      <c r="F38" s="483" t="s">
        <v>58</v>
      </c>
      <c r="G38" s="484"/>
      <c r="H38" s="485"/>
      <c r="I38" s="482">
        <v>2.415</v>
      </c>
      <c r="J38" s="482"/>
      <c r="K38" s="482"/>
      <c r="L38" s="490">
        <v>97.1</v>
      </c>
      <c r="M38" s="488"/>
      <c r="N38" s="489"/>
      <c r="O38" s="488">
        <v>2.9</v>
      </c>
      <c r="P38" s="488"/>
      <c r="Q38" s="489"/>
      <c r="R38" s="486"/>
      <c r="S38" s="486"/>
      <c r="T38" s="486"/>
      <c r="U38" s="486"/>
      <c r="V38" s="486"/>
      <c r="W38" s="486"/>
      <c r="X38" s="486"/>
      <c r="Y38" s="487"/>
      <c r="Z38" s="90"/>
    </row>
    <row r="39" spans="1:26" ht="16.8" customHeight="1" x14ac:dyDescent="0.25">
      <c r="A39" s="91"/>
      <c r="B39" s="511">
        <v>11</v>
      </c>
      <c r="C39" s="512"/>
      <c r="D39" s="483"/>
      <c r="E39" s="484"/>
      <c r="F39" s="483" t="s">
        <v>60</v>
      </c>
      <c r="G39" s="484"/>
      <c r="H39" s="485"/>
      <c r="I39" s="482">
        <v>2.4329999999999998</v>
      </c>
      <c r="J39" s="482"/>
      <c r="K39" s="482"/>
      <c r="L39" s="490">
        <v>97.9</v>
      </c>
      <c r="M39" s="488"/>
      <c r="N39" s="489"/>
      <c r="O39" s="488">
        <v>2.1</v>
      </c>
      <c r="P39" s="488"/>
      <c r="Q39" s="489"/>
      <c r="R39" s="486"/>
      <c r="S39" s="486"/>
      <c r="T39" s="486"/>
      <c r="U39" s="486"/>
      <c r="V39" s="486"/>
      <c r="W39" s="486"/>
      <c r="X39" s="486"/>
      <c r="Y39" s="487"/>
      <c r="Z39" s="90"/>
    </row>
    <row r="40" spans="1:26" ht="16.8" customHeight="1" x14ac:dyDescent="0.25">
      <c r="A40" s="91"/>
      <c r="B40" s="511">
        <v>12</v>
      </c>
      <c r="C40" s="512"/>
      <c r="D40" s="483"/>
      <c r="E40" s="484"/>
      <c r="F40" s="483" t="s">
        <v>60</v>
      </c>
      <c r="G40" s="484"/>
      <c r="H40" s="485"/>
      <c r="I40" s="482">
        <v>2.3330000000000002</v>
      </c>
      <c r="J40" s="482"/>
      <c r="K40" s="482"/>
      <c r="L40" s="490">
        <v>93.8</v>
      </c>
      <c r="M40" s="488"/>
      <c r="N40" s="489"/>
      <c r="O40" s="488">
        <v>6.2</v>
      </c>
      <c r="P40" s="488"/>
      <c r="Q40" s="489"/>
      <c r="R40" s="486"/>
      <c r="S40" s="486"/>
      <c r="T40" s="486"/>
      <c r="U40" s="486"/>
      <c r="V40" s="486"/>
      <c r="W40" s="486"/>
      <c r="X40" s="486"/>
      <c r="Y40" s="487"/>
      <c r="Z40" s="90"/>
    </row>
    <row r="41" spans="1:26" ht="16.8" customHeight="1" x14ac:dyDescent="0.25">
      <c r="A41" s="91"/>
      <c r="B41" s="511">
        <v>13</v>
      </c>
      <c r="C41" s="512"/>
      <c r="D41" s="483"/>
      <c r="E41" s="484"/>
      <c r="F41" s="483" t="s">
        <v>60</v>
      </c>
      <c r="G41" s="484"/>
      <c r="H41" s="485"/>
      <c r="I41" s="482">
        <v>2.4009999999999998</v>
      </c>
      <c r="J41" s="482"/>
      <c r="K41" s="482"/>
      <c r="L41" s="490">
        <v>96.6</v>
      </c>
      <c r="M41" s="488"/>
      <c r="N41" s="489"/>
      <c r="O41" s="488">
        <v>3.4</v>
      </c>
      <c r="P41" s="488"/>
      <c r="Q41" s="489"/>
      <c r="R41" s="486"/>
      <c r="S41" s="486"/>
      <c r="T41" s="486"/>
      <c r="U41" s="486"/>
      <c r="V41" s="486"/>
      <c r="W41" s="486"/>
      <c r="X41" s="486"/>
      <c r="Y41" s="487"/>
      <c r="Z41" s="90"/>
    </row>
    <row r="42" spans="1:26" ht="16.8" customHeight="1" x14ac:dyDescent="0.25">
      <c r="A42" s="91"/>
      <c r="B42" s="511">
        <v>14</v>
      </c>
      <c r="C42" s="512"/>
      <c r="D42" s="483"/>
      <c r="E42" s="484"/>
      <c r="F42" s="483" t="s">
        <v>58</v>
      </c>
      <c r="G42" s="484"/>
      <c r="H42" s="485"/>
      <c r="I42" s="482">
        <v>2.37</v>
      </c>
      <c r="J42" s="482"/>
      <c r="K42" s="482"/>
      <c r="L42" s="490">
        <v>95.3</v>
      </c>
      <c r="M42" s="488"/>
      <c r="N42" s="489"/>
      <c r="O42" s="488">
        <v>4.7</v>
      </c>
      <c r="P42" s="488"/>
      <c r="Q42" s="489"/>
      <c r="R42" s="486"/>
      <c r="S42" s="486"/>
      <c r="T42" s="486"/>
      <c r="U42" s="486"/>
      <c r="V42" s="486"/>
      <c r="W42" s="486"/>
      <c r="X42" s="486"/>
      <c r="Y42" s="487"/>
      <c r="Z42" s="90"/>
    </row>
    <row r="43" spans="1:26" ht="16.8" customHeight="1" x14ac:dyDescent="0.25">
      <c r="A43" s="91"/>
      <c r="B43" s="511">
        <v>15</v>
      </c>
      <c r="C43" s="512"/>
      <c r="D43" s="483"/>
      <c r="E43" s="484"/>
      <c r="F43" s="483" t="s">
        <v>60</v>
      </c>
      <c r="G43" s="484"/>
      <c r="H43" s="485"/>
      <c r="I43" s="482">
        <v>2.3140000000000001</v>
      </c>
      <c r="J43" s="482"/>
      <c r="K43" s="482"/>
      <c r="L43" s="490">
        <v>93.1</v>
      </c>
      <c r="M43" s="488"/>
      <c r="N43" s="489"/>
      <c r="O43" s="488">
        <v>6.9</v>
      </c>
      <c r="P43" s="488"/>
      <c r="Q43" s="489"/>
      <c r="R43" s="486"/>
      <c r="S43" s="486"/>
      <c r="T43" s="486"/>
      <c r="U43" s="486"/>
      <c r="V43" s="486"/>
      <c r="W43" s="486"/>
      <c r="X43" s="486"/>
      <c r="Y43" s="487"/>
      <c r="Z43" s="90"/>
    </row>
    <row r="44" spans="1:26" ht="16.8" customHeight="1" x14ac:dyDescent="0.25">
      <c r="A44" s="91"/>
      <c r="B44" s="511">
        <v>16</v>
      </c>
      <c r="C44" s="512"/>
      <c r="D44" s="483"/>
      <c r="E44" s="484"/>
      <c r="F44" s="483" t="s">
        <v>58</v>
      </c>
      <c r="G44" s="484"/>
      <c r="H44" s="485"/>
      <c r="I44" s="482">
        <v>2.327</v>
      </c>
      <c r="J44" s="482"/>
      <c r="K44" s="482"/>
      <c r="L44" s="490">
        <v>93.6</v>
      </c>
      <c r="M44" s="488"/>
      <c r="N44" s="489"/>
      <c r="O44" s="488">
        <v>6.4</v>
      </c>
      <c r="P44" s="488"/>
      <c r="Q44" s="489"/>
      <c r="R44" s="486"/>
      <c r="S44" s="486"/>
      <c r="T44" s="486"/>
      <c r="U44" s="486"/>
      <c r="V44" s="486"/>
      <c r="W44" s="486"/>
      <c r="X44" s="486"/>
      <c r="Y44" s="487"/>
      <c r="Z44" s="90"/>
    </row>
    <row r="45" spans="1:26" ht="16.8" customHeight="1" x14ac:dyDescent="0.25">
      <c r="A45" s="91"/>
      <c r="B45" s="511">
        <v>17</v>
      </c>
      <c r="C45" s="512"/>
      <c r="D45" s="483"/>
      <c r="E45" s="484"/>
      <c r="F45" s="483" t="s">
        <v>60</v>
      </c>
      <c r="G45" s="484"/>
      <c r="H45" s="485"/>
      <c r="I45" s="482">
        <v>2.3530000000000002</v>
      </c>
      <c r="J45" s="482"/>
      <c r="K45" s="482"/>
      <c r="L45" s="490">
        <v>94.7</v>
      </c>
      <c r="M45" s="488"/>
      <c r="N45" s="489"/>
      <c r="O45" s="488">
        <v>5.3</v>
      </c>
      <c r="P45" s="488"/>
      <c r="Q45" s="489"/>
      <c r="R45" s="486"/>
      <c r="S45" s="486"/>
      <c r="T45" s="486"/>
      <c r="U45" s="486"/>
      <c r="V45" s="486"/>
      <c r="W45" s="486"/>
      <c r="X45" s="486"/>
      <c r="Y45" s="487"/>
      <c r="Z45" s="90"/>
    </row>
    <row r="46" spans="1:26" ht="16.8" customHeight="1" x14ac:dyDescent="0.25">
      <c r="A46" s="91"/>
      <c r="B46" s="511">
        <v>18</v>
      </c>
      <c r="C46" s="512"/>
      <c r="D46" s="483"/>
      <c r="E46" s="484"/>
      <c r="F46" s="483" t="s">
        <v>58</v>
      </c>
      <c r="G46" s="484"/>
      <c r="H46" s="485"/>
      <c r="I46" s="482">
        <v>2.2869999999999999</v>
      </c>
      <c r="J46" s="482"/>
      <c r="K46" s="482"/>
      <c r="L46" s="490">
        <v>92</v>
      </c>
      <c r="M46" s="488"/>
      <c r="N46" s="489"/>
      <c r="O46" s="488">
        <v>8</v>
      </c>
      <c r="P46" s="488"/>
      <c r="Q46" s="489"/>
      <c r="R46" s="486"/>
      <c r="S46" s="486"/>
      <c r="T46" s="486"/>
      <c r="U46" s="486"/>
      <c r="V46" s="486"/>
      <c r="W46" s="486"/>
      <c r="X46" s="486"/>
      <c r="Y46" s="487"/>
      <c r="Z46" s="90"/>
    </row>
    <row r="47" spans="1:26" ht="16.8" customHeight="1" x14ac:dyDescent="0.25">
      <c r="A47" s="91"/>
      <c r="B47" s="511">
        <v>19</v>
      </c>
      <c r="C47" s="512"/>
      <c r="D47" s="483"/>
      <c r="E47" s="484"/>
      <c r="F47" s="483" t="s">
        <v>60</v>
      </c>
      <c r="G47" s="484"/>
      <c r="H47" s="485"/>
      <c r="I47" s="482">
        <v>2.4020000000000001</v>
      </c>
      <c r="J47" s="482"/>
      <c r="K47" s="482"/>
      <c r="L47" s="490">
        <v>96.6</v>
      </c>
      <c r="M47" s="488"/>
      <c r="N47" s="489"/>
      <c r="O47" s="488">
        <v>3.4</v>
      </c>
      <c r="P47" s="488"/>
      <c r="Q47" s="489"/>
      <c r="R47" s="486"/>
      <c r="S47" s="486"/>
      <c r="T47" s="486"/>
      <c r="U47" s="486"/>
      <c r="V47" s="486"/>
      <c r="W47" s="486"/>
      <c r="X47" s="486"/>
      <c r="Y47" s="487"/>
      <c r="Z47" s="90"/>
    </row>
    <row r="48" spans="1:26" ht="16.8" customHeight="1" x14ac:dyDescent="0.25">
      <c r="A48" s="91"/>
      <c r="B48" s="511">
        <v>20</v>
      </c>
      <c r="C48" s="512"/>
      <c r="D48" s="483"/>
      <c r="E48" s="484"/>
      <c r="F48" s="483" t="s">
        <v>58</v>
      </c>
      <c r="G48" s="484"/>
      <c r="H48" s="485"/>
      <c r="I48" s="482">
        <v>2.4140000000000001</v>
      </c>
      <c r="J48" s="482"/>
      <c r="K48" s="482"/>
      <c r="L48" s="490">
        <v>97.1</v>
      </c>
      <c r="M48" s="488"/>
      <c r="N48" s="489"/>
      <c r="O48" s="488">
        <v>2.9</v>
      </c>
      <c r="P48" s="488"/>
      <c r="Q48" s="489"/>
      <c r="R48" s="486"/>
      <c r="S48" s="486"/>
      <c r="T48" s="486"/>
      <c r="U48" s="486"/>
      <c r="V48" s="486"/>
      <c r="W48" s="486"/>
      <c r="X48" s="486"/>
      <c r="Y48" s="487"/>
      <c r="Z48" s="90"/>
    </row>
    <row r="49" spans="1:29" ht="16.8" customHeight="1" x14ac:dyDescent="0.25">
      <c r="A49" s="91"/>
      <c r="B49" s="511">
        <v>21</v>
      </c>
      <c r="C49" s="512"/>
      <c r="D49" s="483"/>
      <c r="E49" s="484"/>
      <c r="F49" s="483" t="s">
        <v>60</v>
      </c>
      <c r="G49" s="484"/>
      <c r="H49" s="485"/>
      <c r="I49" s="482">
        <v>2.4220000000000002</v>
      </c>
      <c r="J49" s="482"/>
      <c r="K49" s="482"/>
      <c r="L49" s="490">
        <v>97.4</v>
      </c>
      <c r="M49" s="488"/>
      <c r="N49" s="489"/>
      <c r="O49" s="488">
        <v>2.6</v>
      </c>
      <c r="P49" s="488"/>
      <c r="Q49" s="489"/>
      <c r="R49" s="486"/>
      <c r="S49" s="486"/>
      <c r="T49" s="486"/>
      <c r="U49" s="486"/>
      <c r="V49" s="486"/>
      <c r="W49" s="486"/>
      <c r="X49" s="486"/>
      <c r="Y49" s="487"/>
      <c r="Z49" s="90"/>
    </row>
    <row r="50" spans="1:29" ht="16.8" customHeight="1" x14ac:dyDescent="0.25">
      <c r="A50" s="91"/>
      <c r="B50" s="102"/>
      <c r="C50" s="101"/>
      <c r="D50" s="100"/>
      <c r="E50" s="99"/>
      <c r="F50" s="100"/>
      <c r="G50" s="99"/>
      <c r="H50" s="98"/>
      <c r="I50" s="97"/>
      <c r="J50" s="97"/>
      <c r="K50" s="97"/>
      <c r="L50" s="96"/>
      <c r="M50" s="95"/>
      <c r="N50" s="94"/>
      <c r="O50" s="95"/>
      <c r="P50" s="95"/>
      <c r="Q50" s="94"/>
      <c r="R50" s="93"/>
      <c r="S50" s="93"/>
      <c r="T50" s="93"/>
      <c r="U50" s="93"/>
      <c r="V50" s="93"/>
      <c r="W50" s="93"/>
      <c r="X50" s="93"/>
      <c r="Y50" s="92"/>
      <c r="Z50" s="90"/>
    </row>
    <row r="51" spans="1:29" ht="16.8" customHeight="1" x14ac:dyDescent="0.25">
      <c r="A51" s="91"/>
      <c r="B51" s="102"/>
      <c r="C51" s="101"/>
      <c r="D51" s="100"/>
      <c r="E51" s="99"/>
      <c r="F51" s="100"/>
      <c r="G51" s="99"/>
      <c r="H51" s="98"/>
      <c r="I51" s="97"/>
      <c r="J51" s="97"/>
      <c r="K51" s="97"/>
      <c r="L51" s="96"/>
      <c r="M51" s="95"/>
      <c r="N51" s="94"/>
      <c r="O51" s="95"/>
      <c r="P51" s="95"/>
      <c r="Q51" s="94"/>
      <c r="R51" s="93"/>
      <c r="S51" s="93"/>
      <c r="T51" s="93"/>
      <c r="U51" s="93"/>
      <c r="V51" s="93"/>
      <c r="W51" s="93"/>
      <c r="X51" s="93"/>
      <c r="Y51" s="92"/>
      <c r="Z51" s="90"/>
    </row>
    <row r="52" spans="1:29" ht="16.8" customHeight="1" x14ac:dyDescent="0.25">
      <c r="A52" s="91"/>
      <c r="B52" s="102"/>
      <c r="C52" s="101"/>
      <c r="D52" s="100"/>
      <c r="E52" s="99"/>
      <c r="F52" s="100"/>
      <c r="G52" s="99"/>
      <c r="H52" s="98"/>
      <c r="I52" s="97"/>
      <c r="J52" s="97"/>
      <c r="K52" s="97"/>
      <c r="L52" s="96"/>
      <c r="M52" s="95"/>
      <c r="N52" s="94"/>
      <c r="O52" s="95"/>
      <c r="P52" s="95"/>
      <c r="Q52" s="94"/>
      <c r="R52" s="93"/>
      <c r="S52" s="93"/>
      <c r="T52" s="93"/>
      <c r="U52" s="93"/>
      <c r="V52" s="93"/>
      <c r="W52" s="93"/>
      <c r="X52" s="93"/>
      <c r="Y52" s="92"/>
      <c r="Z52" s="90"/>
    </row>
    <row r="53" spans="1:29" ht="17.25" customHeight="1" x14ac:dyDescent="0.25">
      <c r="A53" s="91"/>
      <c r="B53" s="511"/>
      <c r="C53" s="512"/>
      <c r="D53" s="483"/>
      <c r="E53" s="484"/>
      <c r="F53" s="483"/>
      <c r="G53" s="484"/>
      <c r="H53" s="485"/>
      <c r="I53" s="482"/>
      <c r="J53" s="482"/>
      <c r="K53" s="482"/>
      <c r="L53" s="490"/>
      <c r="M53" s="488"/>
      <c r="N53" s="489"/>
      <c r="O53" s="488"/>
      <c r="P53" s="488"/>
      <c r="Q53" s="489"/>
      <c r="R53" s="486"/>
      <c r="S53" s="486"/>
      <c r="T53" s="486"/>
      <c r="U53" s="486"/>
      <c r="V53" s="486"/>
      <c r="W53" s="486"/>
      <c r="X53" s="486"/>
      <c r="Y53" s="487"/>
      <c r="Z53" s="90"/>
    </row>
    <row r="54" spans="1:29" ht="16.5" customHeight="1" thickBot="1" x14ac:dyDescent="0.3">
      <c r="A54" s="91"/>
      <c r="B54" s="516" t="s">
        <v>62</v>
      </c>
      <c r="C54" s="517"/>
      <c r="D54" s="517"/>
      <c r="E54" s="517"/>
      <c r="F54" s="517"/>
      <c r="G54" s="517"/>
      <c r="H54" s="517"/>
      <c r="I54" s="518">
        <v>2.39</v>
      </c>
      <c r="J54" s="518"/>
      <c r="K54" s="518"/>
      <c r="L54" s="472">
        <v>96.05</v>
      </c>
      <c r="M54" s="472"/>
      <c r="N54" s="472"/>
      <c r="O54" s="472">
        <v>3.95</v>
      </c>
      <c r="P54" s="472"/>
      <c r="Q54" s="472"/>
      <c r="R54" s="519"/>
      <c r="S54" s="519"/>
      <c r="T54" s="519"/>
      <c r="U54" s="519"/>
      <c r="V54" s="519"/>
      <c r="W54" s="519"/>
      <c r="X54" s="519"/>
      <c r="Y54" s="520"/>
      <c r="Z54" s="90"/>
    </row>
    <row r="55" spans="1:29" ht="25.5" customHeight="1" thickBot="1" x14ac:dyDescent="0.3">
      <c r="A55" s="91"/>
      <c r="B55" s="470" t="s">
        <v>63</v>
      </c>
      <c r="C55" s="471"/>
      <c r="D55" s="471"/>
      <c r="E55" s="471"/>
      <c r="F55" s="471"/>
      <c r="G55" s="471"/>
      <c r="H55" s="471"/>
      <c r="I55" s="513">
        <v>100</v>
      </c>
      <c r="J55" s="513"/>
      <c r="K55" s="513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Y55" s="515"/>
      <c r="Z55" s="90"/>
    </row>
    <row r="56" spans="1:29" ht="15" customHeight="1" x14ac:dyDescent="0.25">
      <c r="A56" s="89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7"/>
    </row>
    <row r="57" spans="1:29" ht="16.5" customHeight="1" x14ac:dyDescent="0.25"/>
    <row r="58" spans="1:29" ht="34.5" customHeight="1" x14ac:dyDescent="0.25">
      <c r="A58" s="86" t="s">
        <v>64</v>
      </c>
      <c r="B58" s="85" t="s">
        <v>65</v>
      </c>
      <c r="C58" s="84"/>
      <c r="D58" s="84"/>
      <c r="E58" s="84"/>
      <c r="F58" s="83"/>
      <c r="G58" s="83"/>
      <c r="H58" s="83"/>
      <c r="I58" s="72"/>
      <c r="J58" s="72"/>
      <c r="K58" s="72"/>
      <c r="L58" s="72"/>
      <c r="M58" s="72"/>
      <c r="N58" s="72"/>
      <c r="O58" s="72"/>
      <c r="P58" s="72"/>
      <c r="Q58" s="83"/>
      <c r="R58" s="72"/>
      <c r="S58" s="72"/>
      <c r="T58" s="72"/>
      <c r="U58" s="558"/>
      <c r="V58" s="558"/>
      <c r="W58" s="558"/>
      <c r="X58" s="558"/>
      <c r="Y58" s="558"/>
      <c r="Z58" s="559"/>
      <c r="AA58" s="59"/>
      <c r="AB58" s="59"/>
      <c r="AC58" s="59"/>
    </row>
    <row r="59" spans="1:29" ht="27" customHeight="1" x14ac:dyDescent="0.25">
      <c r="A59" s="564" t="s">
        <v>66</v>
      </c>
      <c r="B59" s="565"/>
      <c r="C59" s="565"/>
      <c r="D59" s="565"/>
      <c r="E59" s="565"/>
      <c r="F59" s="565"/>
      <c r="G59" s="82"/>
      <c r="H59" s="82"/>
      <c r="I59" s="82"/>
      <c r="J59" s="82"/>
      <c r="K59" s="81"/>
      <c r="L59" s="562" t="s">
        <v>74</v>
      </c>
      <c r="M59" s="563"/>
      <c r="N59" s="563"/>
      <c r="O59" s="563"/>
      <c r="P59" s="563"/>
      <c r="Q59" s="80"/>
      <c r="R59" s="560" t="s">
        <v>67</v>
      </c>
      <c r="S59" s="560"/>
      <c r="T59" s="560"/>
      <c r="U59" s="492" t="s">
        <v>144</v>
      </c>
      <c r="V59" s="402"/>
      <c r="W59" s="402"/>
      <c r="X59" s="402"/>
      <c r="Y59" s="402"/>
      <c r="Z59" s="403"/>
      <c r="AA59" s="59"/>
      <c r="AB59" s="59"/>
      <c r="AC59" s="59"/>
    </row>
    <row r="60" spans="1:29" ht="15.75" customHeight="1" x14ac:dyDescent="0.25">
      <c r="A60" s="79"/>
      <c r="K60" s="78"/>
      <c r="R60" s="417" t="s">
        <v>68</v>
      </c>
      <c r="S60" s="418"/>
      <c r="T60" s="419"/>
      <c r="U60" s="495" t="s">
        <v>130</v>
      </c>
      <c r="V60" s="496"/>
      <c r="W60" s="496"/>
      <c r="X60" s="496"/>
      <c r="Y60" s="496"/>
      <c r="Z60" s="497"/>
      <c r="AA60" s="59"/>
      <c r="AB60" s="59"/>
      <c r="AC60" s="59"/>
    </row>
    <row r="61" spans="1:29" ht="9" customHeight="1" x14ac:dyDescent="0.25">
      <c r="A61" s="77"/>
      <c r="B61" s="75"/>
      <c r="C61" s="75"/>
      <c r="D61" s="75"/>
      <c r="E61" s="75"/>
      <c r="F61" s="75"/>
      <c r="G61" s="75"/>
      <c r="H61" s="75"/>
      <c r="I61" s="75"/>
      <c r="J61" s="75"/>
      <c r="K61" s="76"/>
      <c r="L61" s="75"/>
      <c r="M61" s="75"/>
      <c r="N61" s="75"/>
      <c r="O61" s="75"/>
      <c r="P61" s="75"/>
      <c r="Q61" s="75"/>
      <c r="R61" s="417"/>
      <c r="S61" s="418"/>
      <c r="T61" s="419"/>
      <c r="U61" s="498"/>
      <c r="V61" s="499"/>
      <c r="W61" s="499"/>
      <c r="X61" s="499"/>
      <c r="Y61" s="499"/>
      <c r="Z61" s="500"/>
      <c r="AA61" s="59"/>
      <c r="AB61" s="59"/>
      <c r="AC61" s="59"/>
    </row>
    <row r="62" spans="1:29" ht="15.9" customHeight="1" x14ac:dyDescent="0.25">
      <c r="A62" s="74" t="s">
        <v>69</v>
      </c>
      <c r="B62" s="73" t="s">
        <v>70</v>
      </c>
      <c r="C62" s="72"/>
      <c r="D62" s="72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0"/>
      <c r="R62" s="417"/>
      <c r="S62" s="418"/>
      <c r="T62" s="419"/>
      <c r="U62" s="498"/>
      <c r="V62" s="499"/>
      <c r="W62" s="499"/>
      <c r="X62" s="499"/>
      <c r="Y62" s="499"/>
      <c r="Z62" s="500"/>
      <c r="AA62" s="59"/>
      <c r="AB62" s="59"/>
      <c r="AC62" s="59"/>
    </row>
    <row r="63" spans="1:29" ht="15.9" customHeight="1" x14ac:dyDescent="0.25">
      <c r="A63" s="464"/>
      <c r="B63" s="465"/>
      <c r="C63" s="465"/>
      <c r="D63" s="465"/>
      <c r="E63" s="465"/>
      <c r="F63" s="465"/>
      <c r="G63" s="465"/>
      <c r="H63" s="465"/>
      <c r="I63" s="465"/>
      <c r="J63" s="465"/>
      <c r="K63" s="465"/>
      <c r="L63" s="465"/>
      <c r="M63" s="465"/>
      <c r="N63" s="465"/>
      <c r="O63" s="465"/>
      <c r="P63" s="465"/>
      <c r="Q63" s="466"/>
      <c r="R63" s="417" t="s">
        <v>71</v>
      </c>
      <c r="S63" s="418"/>
      <c r="T63" s="419"/>
      <c r="U63" s="69"/>
      <c r="V63" s="68"/>
      <c r="W63" s="68"/>
      <c r="X63" s="68"/>
      <c r="Y63" s="68"/>
      <c r="Z63" s="67"/>
      <c r="AA63" s="59"/>
      <c r="AB63" s="59"/>
      <c r="AC63" s="59"/>
    </row>
    <row r="64" spans="1:29" ht="16.5" customHeight="1" x14ac:dyDescent="0.25">
      <c r="A64" s="464"/>
      <c r="B64" s="465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65"/>
      <c r="Q64" s="466"/>
      <c r="R64" s="417"/>
      <c r="S64" s="418"/>
      <c r="T64" s="419"/>
      <c r="U64" s="66"/>
      <c r="V64" s="408"/>
      <c r="W64" s="408"/>
      <c r="X64" s="408"/>
      <c r="Y64" s="408"/>
      <c r="Z64" s="65"/>
      <c r="AA64" s="59"/>
      <c r="AB64" s="59"/>
      <c r="AC64" s="59"/>
    </row>
    <row r="65" spans="1:29" ht="16.5" customHeight="1" x14ac:dyDescent="0.25">
      <c r="A65" s="464"/>
      <c r="B65" s="465"/>
      <c r="C65" s="465"/>
      <c r="D65" s="465"/>
      <c r="E65" s="465"/>
      <c r="F65" s="465"/>
      <c r="G65" s="465"/>
      <c r="H65" s="465"/>
      <c r="I65" s="465"/>
      <c r="J65" s="465"/>
      <c r="K65" s="465"/>
      <c r="L65" s="465"/>
      <c r="M65" s="465"/>
      <c r="N65" s="465"/>
      <c r="O65" s="465"/>
      <c r="P65" s="465"/>
      <c r="Q65" s="466"/>
      <c r="R65" s="417"/>
      <c r="S65" s="418"/>
      <c r="T65" s="419"/>
      <c r="U65" s="66"/>
      <c r="V65" s="408"/>
      <c r="W65" s="408"/>
      <c r="X65" s="408"/>
      <c r="Y65" s="408"/>
      <c r="Z65" s="65"/>
      <c r="AA65" s="59"/>
      <c r="AB65" s="59"/>
      <c r="AC65" s="59"/>
    </row>
    <row r="66" spans="1:29" ht="16.5" customHeight="1" x14ac:dyDescent="0.25">
      <c r="A66" s="467"/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  <c r="O66" s="468"/>
      <c r="P66" s="468"/>
      <c r="Q66" s="469"/>
      <c r="R66" s="479"/>
      <c r="S66" s="480"/>
      <c r="T66" s="481"/>
      <c r="U66" s="64"/>
      <c r="V66" s="63"/>
      <c r="W66" s="63"/>
      <c r="X66" s="63"/>
      <c r="Y66" s="63"/>
      <c r="Z66" s="62"/>
      <c r="AA66" s="59"/>
      <c r="AB66" s="59"/>
      <c r="AC66" s="59"/>
    </row>
    <row r="67" spans="1:29" ht="16.5" customHeight="1" x14ac:dyDescent="0.25">
      <c r="R67" s="61"/>
      <c r="S67" s="61"/>
      <c r="T67" s="61"/>
      <c r="U67" s="60"/>
      <c r="V67" s="60"/>
      <c r="W67" s="60"/>
      <c r="X67" s="60"/>
      <c r="Y67" s="60"/>
      <c r="Z67" s="60"/>
      <c r="AA67" s="59"/>
      <c r="AB67" s="59"/>
      <c r="AC67" s="59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U59:Z59"/>
    <mergeCell ref="R59:T59"/>
    <mergeCell ref="L59:P59"/>
    <mergeCell ref="R27:Y28"/>
    <mergeCell ref="L27:N27"/>
    <mergeCell ref="B28:C28"/>
    <mergeCell ref="A63:Q66"/>
    <mergeCell ref="B55:H55"/>
    <mergeCell ref="O54:Q54"/>
    <mergeCell ref="R60:T62"/>
    <mergeCell ref="U60:Z62"/>
    <mergeCell ref="R63:T66"/>
    <mergeCell ref="V64:Y65"/>
    <mergeCell ref="F53:H53"/>
    <mergeCell ref="D53:E53"/>
    <mergeCell ref="A59:F59"/>
    <mergeCell ref="B53:C53"/>
    <mergeCell ref="B54:H54"/>
    <mergeCell ref="I55:K55"/>
    <mergeCell ref="L55:Y55"/>
    <mergeCell ref="I54:K54"/>
    <mergeCell ref="I53:K53"/>
    <mergeCell ref="D27:E27"/>
    <mergeCell ref="G12:L12"/>
    <mergeCell ref="G13:L13"/>
    <mergeCell ref="R54:Y54"/>
    <mergeCell ref="U58:Z58"/>
    <mergeCell ref="M14:R14"/>
    <mergeCell ref="S14:Y14"/>
    <mergeCell ref="M11:O11"/>
    <mergeCell ref="P11:R11"/>
    <mergeCell ref="R53:Y53"/>
    <mergeCell ref="O53:Q53"/>
    <mergeCell ref="L53:N53"/>
    <mergeCell ref="L54:N54"/>
    <mergeCell ref="L28:N28"/>
    <mergeCell ref="G14:L14"/>
    <mergeCell ref="S11:W11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O28:Q28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4:F14"/>
    <mergeCell ref="B10:F10"/>
    <mergeCell ref="B15:F15"/>
    <mergeCell ref="B21:H21"/>
    <mergeCell ref="I21:Y21"/>
    <mergeCell ref="G15:L15"/>
    <mergeCell ref="O22:Q22"/>
    <mergeCell ref="X11:Y11"/>
    <mergeCell ref="S13:Z13"/>
    <mergeCell ref="G11:L11"/>
    <mergeCell ref="D30:E30"/>
    <mergeCell ref="F30:H30"/>
    <mergeCell ref="I30:K30"/>
    <mergeCell ref="L30:N30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D3D0-7523-411D-9FFB-F14CCF5A03A2}">
  <sheetPr>
    <pageSetUpPr fitToPage="1"/>
  </sheetPr>
  <dimension ref="A1:AN63"/>
  <sheetViews>
    <sheetView topLeftCell="A16" workbookViewId="0">
      <selection activeCell="U1" sqref="U1:Z6"/>
    </sheetView>
  </sheetViews>
  <sheetFormatPr baseColWidth="10" defaultColWidth="11.44140625" defaultRowHeight="13.2" x14ac:dyDescent="0.25"/>
  <cols>
    <col min="1" max="26" width="5.109375" style="121" customWidth="1"/>
    <col min="27" max="27" width="8.33203125" style="121" customWidth="1"/>
    <col min="28" max="28" width="11.44140625" style="121"/>
  </cols>
  <sheetData>
    <row r="1" spans="1:40" x14ac:dyDescent="0.25">
      <c r="A1" s="595"/>
      <c r="B1" s="596"/>
      <c r="C1" s="596"/>
      <c r="D1" s="596"/>
      <c r="E1" s="596"/>
      <c r="F1" s="597"/>
      <c r="G1" s="604" t="s">
        <v>0</v>
      </c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605"/>
      <c r="U1" s="611" t="s">
        <v>143</v>
      </c>
      <c r="V1" s="612"/>
      <c r="W1" s="612"/>
      <c r="X1" s="612"/>
      <c r="Y1" s="612"/>
      <c r="Z1" s="613"/>
    </row>
    <row r="2" spans="1:40" x14ac:dyDescent="0.25">
      <c r="A2" s="598"/>
      <c r="B2" s="599"/>
      <c r="C2" s="599"/>
      <c r="D2" s="599"/>
      <c r="E2" s="599"/>
      <c r="F2" s="600"/>
      <c r="G2" s="620" t="s">
        <v>142</v>
      </c>
      <c r="H2" s="621"/>
      <c r="I2" s="621"/>
      <c r="J2" s="621"/>
      <c r="K2" s="621"/>
      <c r="L2" s="621"/>
      <c r="M2" s="621"/>
      <c r="N2" s="621"/>
      <c r="O2" s="621"/>
      <c r="P2" s="621"/>
      <c r="Q2" s="621"/>
      <c r="R2" s="621"/>
      <c r="S2" s="621"/>
      <c r="T2" s="622"/>
      <c r="U2" s="614"/>
      <c r="V2" s="615"/>
      <c r="W2" s="615"/>
      <c r="X2" s="615"/>
      <c r="Y2" s="615"/>
      <c r="Z2" s="616"/>
    </row>
    <row r="3" spans="1:40" x14ac:dyDescent="0.25">
      <c r="A3" s="598"/>
      <c r="B3" s="599"/>
      <c r="C3" s="599"/>
      <c r="D3" s="599"/>
      <c r="E3" s="599"/>
      <c r="F3" s="600"/>
      <c r="G3" s="620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  <c r="T3" s="622"/>
      <c r="U3" s="614"/>
      <c r="V3" s="615"/>
      <c r="W3" s="615"/>
      <c r="X3" s="615"/>
      <c r="Y3" s="615"/>
      <c r="Z3" s="616"/>
    </row>
    <row r="4" spans="1:40" x14ac:dyDescent="0.25">
      <c r="A4" s="598"/>
      <c r="B4" s="599"/>
      <c r="C4" s="599"/>
      <c r="D4" s="599"/>
      <c r="E4" s="599"/>
      <c r="F4" s="600"/>
      <c r="G4" s="620"/>
      <c r="H4" s="621"/>
      <c r="I4" s="621"/>
      <c r="J4" s="621"/>
      <c r="K4" s="621"/>
      <c r="L4" s="621"/>
      <c r="M4" s="621"/>
      <c r="N4" s="621"/>
      <c r="O4" s="621"/>
      <c r="P4" s="621"/>
      <c r="Q4" s="621"/>
      <c r="R4" s="621"/>
      <c r="S4" s="621"/>
      <c r="T4" s="622"/>
      <c r="U4" s="614"/>
      <c r="V4" s="615"/>
      <c r="W4" s="615"/>
      <c r="X4" s="615"/>
      <c r="Y4" s="615"/>
      <c r="Z4" s="616"/>
    </row>
    <row r="5" spans="1:40" ht="15" customHeight="1" x14ac:dyDescent="0.25">
      <c r="A5" s="598"/>
      <c r="B5" s="599"/>
      <c r="C5" s="599"/>
      <c r="D5" s="599"/>
      <c r="E5" s="599"/>
      <c r="F5" s="600"/>
      <c r="G5" s="623" t="s">
        <v>2</v>
      </c>
      <c r="H5" s="624"/>
      <c r="I5" s="629">
        <v>27</v>
      </c>
      <c r="J5" s="629"/>
      <c r="K5" s="630"/>
      <c r="L5" s="625" t="s">
        <v>4</v>
      </c>
      <c r="M5" s="592"/>
      <c r="N5" s="592"/>
      <c r="O5" s="626"/>
      <c r="P5" s="608">
        <v>44804</v>
      </c>
      <c r="Q5" s="609"/>
      <c r="R5" s="609"/>
      <c r="S5" s="609"/>
      <c r="T5" s="610"/>
      <c r="U5" s="614"/>
      <c r="V5" s="615"/>
      <c r="W5" s="615"/>
      <c r="X5" s="615"/>
      <c r="Y5" s="615"/>
      <c r="Z5" s="616"/>
    </row>
    <row r="6" spans="1:40" x14ac:dyDescent="0.25">
      <c r="A6" s="601"/>
      <c r="B6" s="602"/>
      <c r="C6" s="602"/>
      <c r="D6" s="602"/>
      <c r="E6" s="602"/>
      <c r="F6" s="603"/>
      <c r="G6" s="152"/>
      <c r="H6" s="172"/>
      <c r="I6" s="627" t="s">
        <v>6</v>
      </c>
      <c r="J6" s="627"/>
      <c r="K6" s="627"/>
      <c r="L6" s="627" t="s">
        <v>7</v>
      </c>
      <c r="M6" s="627"/>
      <c r="N6" s="627"/>
      <c r="O6" s="627"/>
      <c r="P6" s="627" t="s">
        <v>8</v>
      </c>
      <c r="Q6" s="627"/>
      <c r="R6" s="627"/>
      <c r="S6" s="627"/>
      <c r="T6" s="628"/>
      <c r="U6" s="617"/>
      <c r="V6" s="618"/>
      <c r="W6" s="618"/>
      <c r="X6" s="618"/>
      <c r="Y6" s="618"/>
      <c r="Z6" s="619"/>
    </row>
    <row r="7" spans="1:40" ht="36.75" customHeight="1" x14ac:dyDescent="0.25">
      <c r="A7" s="606" t="s">
        <v>9</v>
      </c>
      <c r="B7" s="606"/>
      <c r="C7" s="606"/>
      <c r="D7" s="606"/>
      <c r="E7" s="606"/>
      <c r="F7" s="606"/>
      <c r="G7" s="607" t="s">
        <v>10</v>
      </c>
      <c r="H7" s="607"/>
      <c r="I7" s="607"/>
      <c r="J7" s="607"/>
      <c r="K7" s="607"/>
      <c r="L7" s="607"/>
      <c r="M7" s="607"/>
      <c r="N7" s="607"/>
      <c r="O7" s="607"/>
      <c r="P7" s="607"/>
      <c r="Q7" s="607"/>
      <c r="R7" s="607"/>
      <c r="S7" s="607"/>
      <c r="T7" s="607"/>
      <c r="U7" s="607"/>
      <c r="V7" s="607"/>
      <c r="W7" s="607"/>
      <c r="X7" s="607"/>
      <c r="Y7" s="607"/>
      <c r="Z7" s="607"/>
    </row>
    <row r="8" spans="1:40" ht="15" customHeight="1" x14ac:dyDescent="0.25">
      <c r="A8" s="137" t="s">
        <v>11</v>
      </c>
      <c r="B8" s="136" t="s">
        <v>12</v>
      </c>
      <c r="C8" s="135"/>
      <c r="D8" s="158"/>
      <c r="E8" s="158"/>
      <c r="F8" s="158"/>
      <c r="G8" s="158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56"/>
    </row>
    <row r="9" spans="1:40" ht="6" customHeight="1" x14ac:dyDescent="0.25">
      <c r="A9" s="154"/>
      <c r="D9" s="171"/>
      <c r="E9" s="171"/>
      <c r="F9" s="171"/>
      <c r="G9" s="171"/>
      <c r="Z9" s="153"/>
    </row>
    <row r="10" spans="1:40" ht="15" customHeight="1" x14ac:dyDescent="0.25">
      <c r="A10" s="154"/>
      <c r="B10" s="588" t="s">
        <v>13</v>
      </c>
      <c r="C10" s="588"/>
      <c r="D10" s="588"/>
      <c r="E10" s="588"/>
      <c r="F10" s="588"/>
      <c r="G10" s="590" t="s">
        <v>14</v>
      </c>
      <c r="H10" s="590"/>
      <c r="I10" s="590"/>
      <c r="J10" s="590"/>
      <c r="K10" s="590"/>
      <c r="L10" s="590"/>
      <c r="M10" s="588" t="s">
        <v>15</v>
      </c>
      <c r="N10" s="588"/>
      <c r="O10" s="588"/>
      <c r="P10" s="588"/>
      <c r="Q10" s="588"/>
      <c r="R10" s="588"/>
      <c r="S10" s="589" t="s">
        <v>16</v>
      </c>
      <c r="T10" s="589"/>
      <c r="U10" s="589"/>
      <c r="V10" s="589"/>
      <c r="W10" s="589"/>
      <c r="X10" s="589"/>
      <c r="Y10" s="589"/>
      <c r="Z10" s="160"/>
    </row>
    <row r="11" spans="1:40" ht="15" customHeight="1" x14ac:dyDescent="0.25">
      <c r="A11" s="154"/>
      <c r="B11" s="588" t="s">
        <v>17</v>
      </c>
      <c r="C11" s="588"/>
      <c r="D11" s="588"/>
      <c r="E11" s="588"/>
      <c r="F11" s="588"/>
      <c r="G11" s="590" t="s">
        <v>141</v>
      </c>
      <c r="H11" s="590"/>
      <c r="I11" s="590"/>
      <c r="J11" s="590"/>
      <c r="K11" s="590"/>
      <c r="L11" s="590"/>
      <c r="M11" s="588" t="s">
        <v>18</v>
      </c>
      <c r="N11" s="588"/>
      <c r="O11" s="588"/>
      <c r="P11" s="591">
        <v>156</v>
      </c>
      <c r="Q11" s="591"/>
      <c r="R11" s="591"/>
      <c r="S11" s="588" t="s">
        <v>19</v>
      </c>
      <c r="T11" s="588"/>
      <c r="U11" s="588"/>
      <c r="V11" s="588"/>
      <c r="W11" s="588"/>
      <c r="X11" s="591" t="s">
        <v>20</v>
      </c>
      <c r="Y11" s="591"/>
      <c r="Z11" s="160"/>
    </row>
    <row r="12" spans="1:40" ht="15" customHeight="1" x14ac:dyDescent="0.25">
      <c r="A12" s="154"/>
      <c r="B12" s="588" t="s">
        <v>21</v>
      </c>
      <c r="C12" s="588"/>
      <c r="D12" s="588"/>
      <c r="E12" s="588"/>
      <c r="F12" s="588"/>
      <c r="G12" s="590" t="s">
        <v>22</v>
      </c>
      <c r="H12" s="590"/>
      <c r="I12" s="590"/>
      <c r="J12" s="590"/>
      <c r="K12" s="590"/>
      <c r="L12" s="590"/>
      <c r="M12" s="588" t="s">
        <v>23</v>
      </c>
      <c r="N12" s="588"/>
      <c r="O12" s="588"/>
      <c r="P12" s="588"/>
      <c r="Q12" s="588"/>
      <c r="R12" s="588"/>
      <c r="S12" s="589"/>
      <c r="T12" s="589"/>
      <c r="U12" s="589"/>
      <c r="V12" s="589"/>
      <c r="W12" s="589"/>
      <c r="X12" s="589"/>
      <c r="Y12" s="589"/>
      <c r="Z12" s="160"/>
    </row>
    <row r="13" spans="1:40" ht="15" customHeight="1" x14ac:dyDescent="0.25">
      <c r="A13" s="154"/>
      <c r="B13" s="588" t="s">
        <v>25</v>
      </c>
      <c r="C13" s="588"/>
      <c r="D13" s="588"/>
      <c r="E13" s="588"/>
      <c r="F13" s="588"/>
      <c r="G13" s="638" t="s">
        <v>141</v>
      </c>
      <c r="H13" s="590"/>
      <c r="I13" s="590"/>
      <c r="J13" s="590"/>
      <c r="K13" s="590"/>
      <c r="L13" s="590"/>
      <c r="M13" s="588" t="s">
        <v>26</v>
      </c>
      <c r="N13" s="588"/>
      <c r="O13" s="588"/>
      <c r="P13" s="588"/>
      <c r="Q13" s="588"/>
      <c r="R13" s="588"/>
      <c r="S13" s="588" t="s">
        <v>140</v>
      </c>
      <c r="T13" s="588"/>
      <c r="U13" s="588"/>
      <c r="V13" s="588"/>
      <c r="W13" s="588"/>
      <c r="X13" s="588"/>
      <c r="Y13" s="588"/>
      <c r="Z13" s="160"/>
    </row>
    <row r="14" spans="1:40" ht="15" customHeight="1" x14ac:dyDescent="0.25">
      <c r="A14" s="154"/>
      <c r="B14" s="588" t="s">
        <v>28</v>
      </c>
      <c r="C14" s="588"/>
      <c r="D14" s="588"/>
      <c r="E14" s="588"/>
      <c r="F14" s="588"/>
      <c r="G14" s="590" t="s">
        <v>120</v>
      </c>
      <c r="H14" s="590"/>
      <c r="I14" s="590"/>
      <c r="J14" s="590"/>
      <c r="K14" s="590"/>
      <c r="L14" s="590"/>
      <c r="M14" s="588" t="s">
        <v>30</v>
      </c>
      <c r="N14" s="588"/>
      <c r="O14" s="588"/>
      <c r="P14" s="588"/>
      <c r="Q14" s="588"/>
      <c r="R14" s="588"/>
      <c r="S14" s="588" t="s">
        <v>95</v>
      </c>
      <c r="T14" s="588"/>
      <c r="U14" s="588"/>
      <c r="V14" s="588"/>
      <c r="W14" s="588"/>
      <c r="X14" s="588"/>
      <c r="Y14" s="588"/>
      <c r="Z14" s="160"/>
    </row>
    <row r="15" spans="1:40" ht="15" customHeight="1" x14ac:dyDescent="0.25">
      <c r="A15" s="154"/>
      <c r="B15" s="587" t="s">
        <v>32</v>
      </c>
      <c r="C15" s="587"/>
      <c r="D15" s="587"/>
      <c r="E15" s="587"/>
      <c r="F15" s="587"/>
      <c r="G15" s="589" t="s">
        <v>125</v>
      </c>
      <c r="H15" s="589"/>
      <c r="I15" s="589"/>
      <c r="J15" s="589"/>
      <c r="K15" s="589"/>
      <c r="L15" s="589"/>
      <c r="M15" s="588" t="s">
        <v>34</v>
      </c>
      <c r="N15" s="588"/>
      <c r="O15" s="588"/>
      <c r="P15" s="588"/>
      <c r="Q15" s="588"/>
      <c r="R15" s="588"/>
      <c r="S15" s="588" t="s">
        <v>77</v>
      </c>
      <c r="T15" s="588"/>
      <c r="U15" s="588"/>
      <c r="V15" s="588"/>
      <c r="W15" s="588"/>
      <c r="X15" s="588"/>
      <c r="Y15" s="588"/>
      <c r="Z15" s="160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</row>
    <row r="16" spans="1:40" ht="15" customHeight="1" x14ac:dyDescent="0.25">
      <c r="A16" s="154"/>
      <c r="B16" s="587" t="s">
        <v>36</v>
      </c>
      <c r="C16" s="587"/>
      <c r="D16" s="587"/>
      <c r="E16" s="587"/>
      <c r="F16" s="587"/>
      <c r="G16" s="161" t="s">
        <v>139</v>
      </c>
      <c r="H16" s="161"/>
      <c r="I16" s="161"/>
      <c r="J16" s="161"/>
      <c r="K16" s="161"/>
      <c r="L16" s="161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6"/>
    </row>
    <row r="17" spans="1:28" ht="6" customHeight="1" x14ac:dyDescent="0.25">
      <c r="A17" s="152"/>
      <c r="B17" s="138"/>
      <c r="C17" s="138"/>
      <c r="D17" s="151"/>
      <c r="E17" s="151"/>
      <c r="F17" s="151"/>
      <c r="G17" s="151"/>
      <c r="H17" s="138"/>
      <c r="I17" s="138"/>
      <c r="J17" s="138"/>
      <c r="K17" s="138"/>
      <c r="L17" s="138"/>
      <c r="M17" s="138"/>
      <c r="N17" s="170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50"/>
    </row>
    <row r="18" spans="1:28" ht="15" customHeight="1" x14ac:dyDescent="0.25">
      <c r="B18" s="168"/>
      <c r="C18" s="168"/>
      <c r="K18" s="169"/>
      <c r="L18" s="168"/>
      <c r="M18" s="167"/>
      <c r="V18" s="162"/>
      <c r="W18" s="162"/>
      <c r="X18" s="162"/>
      <c r="Y18" s="162"/>
      <c r="Z18" s="162"/>
      <c r="AA18" s="162"/>
      <c r="AB18" s="166"/>
    </row>
    <row r="19" spans="1:28" ht="15" customHeight="1" x14ac:dyDescent="0.25">
      <c r="A19" s="137" t="s">
        <v>38</v>
      </c>
      <c r="B19" s="136" t="s">
        <v>39</v>
      </c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56"/>
    </row>
    <row r="20" spans="1:28" ht="6" customHeight="1" x14ac:dyDescent="0.25">
      <c r="A20" s="154"/>
      <c r="B20" s="165"/>
      <c r="Z20" s="153"/>
    </row>
    <row r="21" spans="1:28" ht="13.8" customHeight="1" x14ac:dyDescent="0.25">
      <c r="A21" s="154"/>
      <c r="B21" s="588" t="s">
        <v>40</v>
      </c>
      <c r="C21" s="588"/>
      <c r="D21" s="588"/>
      <c r="E21" s="588"/>
      <c r="F21" s="588"/>
      <c r="G21" s="588"/>
      <c r="H21" s="588"/>
      <c r="I21" s="592"/>
      <c r="J21" s="592"/>
      <c r="K21" s="592"/>
      <c r="L21" s="592"/>
      <c r="M21" s="592"/>
      <c r="N21" s="592"/>
      <c r="O21" s="592"/>
      <c r="P21" s="592"/>
      <c r="Q21" s="592"/>
      <c r="R21" s="592"/>
      <c r="S21" s="592"/>
      <c r="T21" s="592"/>
      <c r="U21" s="592"/>
      <c r="V21" s="592"/>
      <c r="W21" s="592"/>
      <c r="X21" s="592"/>
      <c r="Y21" s="592"/>
      <c r="Z21" s="160"/>
    </row>
    <row r="22" spans="1:28" ht="15" customHeight="1" x14ac:dyDescent="0.25">
      <c r="A22" s="154"/>
      <c r="B22" s="588" t="s">
        <v>41</v>
      </c>
      <c r="C22" s="588"/>
      <c r="D22" s="588"/>
      <c r="E22" s="588"/>
      <c r="F22" s="588"/>
      <c r="G22" s="588"/>
      <c r="H22" s="588"/>
      <c r="I22" s="591"/>
      <c r="J22" s="591"/>
      <c r="K22" s="591"/>
      <c r="L22" s="591"/>
      <c r="M22" s="591"/>
      <c r="N22" s="164">
        <v>0</v>
      </c>
      <c r="O22" s="594" t="s">
        <v>42</v>
      </c>
      <c r="P22" s="594"/>
      <c r="Q22" s="594"/>
      <c r="R22" s="163" t="s">
        <v>82</v>
      </c>
      <c r="S22" s="162"/>
      <c r="V22" s="594"/>
      <c r="W22" s="594"/>
      <c r="X22" s="594"/>
      <c r="Y22" s="161"/>
      <c r="Z22" s="160"/>
    </row>
    <row r="23" spans="1:28" ht="5.25" customHeight="1" x14ac:dyDescent="0.25">
      <c r="A23" s="152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50"/>
    </row>
    <row r="24" spans="1:28" x14ac:dyDescent="0.25">
      <c r="C24" s="159"/>
    </row>
    <row r="25" spans="1:28" ht="15" customHeight="1" x14ac:dyDescent="0.25">
      <c r="A25" s="137" t="s">
        <v>45</v>
      </c>
      <c r="B25" s="136" t="s">
        <v>46</v>
      </c>
      <c r="C25" s="135"/>
      <c r="D25" s="158"/>
      <c r="E25" s="158"/>
      <c r="F25" s="158"/>
      <c r="G25" s="158"/>
      <c r="H25" s="135"/>
      <c r="I25" s="586" t="s">
        <v>47</v>
      </c>
      <c r="J25" s="586"/>
      <c r="K25" s="586"/>
      <c r="L25" s="586"/>
      <c r="M25" s="586"/>
      <c r="N25" s="586"/>
      <c r="O25" s="586"/>
      <c r="P25" s="586"/>
      <c r="Q25" s="649">
        <v>2.48</v>
      </c>
      <c r="R25" s="649"/>
      <c r="S25" s="649"/>
      <c r="T25" s="649"/>
      <c r="U25" s="157" t="s">
        <v>138</v>
      </c>
      <c r="V25" s="135"/>
      <c r="W25" s="135"/>
      <c r="X25" s="135"/>
      <c r="Y25" s="135"/>
      <c r="Z25" s="156"/>
    </row>
    <row r="26" spans="1:28" ht="13.8" customHeight="1" thickBot="1" x14ac:dyDescent="0.3">
      <c r="A26" s="154"/>
      <c r="Z26" s="153"/>
    </row>
    <row r="27" spans="1:28" ht="15.75" customHeight="1" x14ac:dyDescent="0.25">
      <c r="A27" s="154"/>
      <c r="B27" s="577" t="s">
        <v>49</v>
      </c>
      <c r="C27" s="578"/>
      <c r="D27" s="581" t="s">
        <v>50</v>
      </c>
      <c r="E27" s="582"/>
      <c r="F27" s="593" t="s">
        <v>51</v>
      </c>
      <c r="G27" s="593"/>
      <c r="H27" s="593"/>
      <c r="I27" s="635" t="s">
        <v>137</v>
      </c>
      <c r="J27" s="578"/>
      <c r="K27" s="578"/>
      <c r="L27" s="635" t="s">
        <v>53</v>
      </c>
      <c r="M27" s="578"/>
      <c r="N27" s="650"/>
      <c r="O27" s="635" t="s">
        <v>54</v>
      </c>
      <c r="P27" s="578"/>
      <c r="Q27" s="650"/>
      <c r="R27" s="635" t="s">
        <v>55</v>
      </c>
      <c r="S27" s="578"/>
      <c r="T27" s="578"/>
      <c r="U27" s="578"/>
      <c r="V27" s="578"/>
      <c r="W27" s="578"/>
      <c r="X27" s="578"/>
      <c r="Y27" s="636"/>
      <c r="Z27" s="153"/>
    </row>
    <row r="28" spans="1:28" ht="36" customHeight="1" x14ac:dyDescent="0.25">
      <c r="A28" s="154"/>
      <c r="B28" s="579" t="s">
        <v>56</v>
      </c>
      <c r="C28" s="580"/>
      <c r="D28" s="647" t="s">
        <v>57</v>
      </c>
      <c r="E28" s="648"/>
      <c r="F28" s="155" t="s">
        <v>58</v>
      </c>
      <c r="G28" s="155" t="s">
        <v>59</v>
      </c>
      <c r="H28" s="155" t="s">
        <v>60</v>
      </c>
      <c r="I28" s="583"/>
      <c r="J28" s="584"/>
      <c r="K28" s="584"/>
      <c r="L28" s="583" t="s">
        <v>61</v>
      </c>
      <c r="M28" s="584"/>
      <c r="N28" s="585"/>
      <c r="O28" s="583" t="s">
        <v>61</v>
      </c>
      <c r="P28" s="584"/>
      <c r="Q28" s="585"/>
      <c r="R28" s="583"/>
      <c r="S28" s="584"/>
      <c r="T28" s="584"/>
      <c r="U28" s="584"/>
      <c r="V28" s="584"/>
      <c r="W28" s="584"/>
      <c r="X28" s="584"/>
      <c r="Y28" s="637"/>
      <c r="Z28" s="153"/>
    </row>
    <row r="29" spans="1:28" ht="16.8" customHeight="1" x14ac:dyDescent="0.25">
      <c r="A29" s="154"/>
      <c r="B29" s="566">
        <v>1</v>
      </c>
      <c r="C29" s="567"/>
      <c r="D29" s="568"/>
      <c r="E29" s="569"/>
      <c r="F29" s="568"/>
      <c r="G29" s="569"/>
      <c r="H29" s="570"/>
      <c r="I29" s="571">
        <v>2.3250000000000002</v>
      </c>
      <c r="J29" s="571"/>
      <c r="K29" s="571"/>
      <c r="L29" s="572">
        <v>93.8</v>
      </c>
      <c r="M29" s="573"/>
      <c r="N29" s="574"/>
      <c r="O29" s="573">
        <v>6.2</v>
      </c>
      <c r="P29" s="573"/>
      <c r="Q29" s="574"/>
      <c r="R29" s="575"/>
      <c r="S29" s="575"/>
      <c r="T29" s="575"/>
      <c r="U29" s="575"/>
      <c r="V29" s="575"/>
      <c r="W29" s="575"/>
      <c r="X29" s="575"/>
      <c r="Y29" s="576"/>
      <c r="Z29" s="153"/>
    </row>
    <row r="30" spans="1:28" ht="16.8" customHeight="1" x14ac:dyDescent="0.25">
      <c r="A30" s="154"/>
      <c r="B30" s="566">
        <v>2</v>
      </c>
      <c r="C30" s="567"/>
      <c r="D30" s="568"/>
      <c r="E30" s="569"/>
      <c r="F30" s="568"/>
      <c r="G30" s="569"/>
      <c r="H30" s="570"/>
      <c r="I30" s="571">
        <v>2.3079999999999998</v>
      </c>
      <c r="J30" s="571"/>
      <c r="K30" s="571"/>
      <c r="L30" s="572">
        <v>93.1</v>
      </c>
      <c r="M30" s="573"/>
      <c r="N30" s="574"/>
      <c r="O30" s="573">
        <v>6.9</v>
      </c>
      <c r="P30" s="573"/>
      <c r="Q30" s="574"/>
      <c r="R30" s="575"/>
      <c r="S30" s="575"/>
      <c r="T30" s="575"/>
      <c r="U30" s="575"/>
      <c r="V30" s="575"/>
      <c r="W30" s="575"/>
      <c r="X30" s="575"/>
      <c r="Y30" s="576"/>
      <c r="Z30" s="153"/>
    </row>
    <row r="31" spans="1:28" ht="16.8" customHeight="1" x14ac:dyDescent="0.25">
      <c r="A31" s="154"/>
      <c r="B31" s="566">
        <v>3</v>
      </c>
      <c r="C31" s="567"/>
      <c r="D31" s="568"/>
      <c r="E31" s="569"/>
      <c r="F31" s="568"/>
      <c r="G31" s="569"/>
      <c r="H31" s="570"/>
      <c r="I31" s="571">
        <v>2.2730000000000001</v>
      </c>
      <c r="J31" s="571"/>
      <c r="K31" s="571"/>
      <c r="L31" s="572">
        <v>91.7</v>
      </c>
      <c r="M31" s="573"/>
      <c r="N31" s="574"/>
      <c r="O31" s="573">
        <v>8.3000000000000007</v>
      </c>
      <c r="P31" s="573"/>
      <c r="Q31" s="574"/>
      <c r="R31" s="575"/>
      <c r="S31" s="575"/>
      <c r="T31" s="575"/>
      <c r="U31" s="575"/>
      <c r="V31" s="575"/>
      <c r="W31" s="575"/>
      <c r="X31" s="575"/>
      <c r="Y31" s="576"/>
      <c r="Z31" s="153"/>
    </row>
    <row r="32" spans="1:28" ht="16.8" customHeight="1" x14ac:dyDescent="0.25">
      <c r="A32" s="154"/>
      <c r="B32" s="566">
        <v>4</v>
      </c>
      <c r="C32" s="567"/>
      <c r="D32" s="568"/>
      <c r="E32" s="569"/>
      <c r="F32" s="568"/>
      <c r="G32" s="569"/>
      <c r="H32" s="570"/>
      <c r="I32" s="571">
        <v>2.2949999999999999</v>
      </c>
      <c r="J32" s="571"/>
      <c r="K32" s="571"/>
      <c r="L32" s="572">
        <v>92.5</v>
      </c>
      <c r="M32" s="573"/>
      <c r="N32" s="574"/>
      <c r="O32" s="573">
        <v>7.5</v>
      </c>
      <c r="P32" s="573"/>
      <c r="Q32" s="574"/>
      <c r="R32" s="575"/>
      <c r="S32" s="575"/>
      <c r="T32" s="575"/>
      <c r="U32" s="575"/>
      <c r="V32" s="575"/>
      <c r="W32" s="575"/>
      <c r="X32" s="575"/>
      <c r="Y32" s="576"/>
      <c r="Z32" s="153"/>
    </row>
    <row r="33" spans="1:26" ht="16.8" customHeight="1" x14ac:dyDescent="0.25">
      <c r="A33" s="154"/>
      <c r="B33" s="566">
        <v>5</v>
      </c>
      <c r="C33" s="567"/>
      <c r="D33" s="568"/>
      <c r="E33" s="569"/>
      <c r="F33" s="568"/>
      <c r="G33" s="569"/>
      <c r="H33" s="570"/>
      <c r="I33" s="571">
        <v>2.2679999999999998</v>
      </c>
      <c r="J33" s="571"/>
      <c r="K33" s="571"/>
      <c r="L33" s="572">
        <v>91.5</v>
      </c>
      <c r="M33" s="573"/>
      <c r="N33" s="574"/>
      <c r="O33" s="573">
        <v>8.5</v>
      </c>
      <c r="P33" s="573"/>
      <c r="Q33" s="574"/>
      <c r="R33" s="575"/>
      <c r="S33" s="575"/>
      <c r="T33" s="575"/>
      <c r="U33" s="575"/>
      <c r="V33" s="575"/>
      <c r="W33" s="575"/>
      <c r="X33" s="575"/>
      <c r="Y33" s="576"/>
      <c r="Z33" s="153"/>
    </row>
    <row r="34" spans="1:26" ht="16.8" customHeight="1" x14ac:dyDescent="0.25">
      <c r="A34" s="154"/>
      <c r="B34" s="566">
        <v>6</v>
      </c>
      <c r="C34" s="567"/>
      <c r="D34" s="568"/>
      <c r="E34" s="569"/>
      <c r="F34" s="568"/>
      <c r="G34" s="569"/>
      <c r="H34" s="570"/>
      <c r="I34" s="571">
        <v>2.3069999999999999</v>
      </c>
      <c r="J34" s="571"/>
      <c r="K34" s="571"/>
      <c r="L34" s="572">
        <v>93</v>
      </c>
      <c r="M34" s="573"/>
      <c r="N34" s="574"/>
      <c r="O34" s="573">
        <v>7</v>
      </c>
      <c r="P34" s="573"/>
      <c r="Q34" s="574"/>
      <c r="R34" s="575"/>
      <c r="S34" s="575"/>
      <c r="T34" s="575"/>
      <c r="U34" s="575"/>
      <c r="V34" s="575"/>
      <c r="W34" s="575"/>
      <c r="X34" s="575"/>
      <c r="Y34" s="576"/>
      <c r="Z34" s="153"/>
    </row>
    <row r="35" spans="1:26" ht="16.8" customHeight="1" x14ac:dyDescent="0.25">
      <c r="A35" s="154"/>
      <c r="B35" s="566">
        <v>7</v>
      </c>
      <c r="C35" s="567"/>
      <c r="D35" s="568"/>
      <c r="E35" s="569"/>
      <c r="F35" s="568"/>
      <c r="G35" s="569"/>
      <c r="H35" s="570"/>
      <c r="I35" s="571">
        <v>2.3039999999999998</v>
      </c>
      <c r="J35" s="571"/>
      <c r="K35" s="571"/>
      <c r="L35" s="572">
        <v>92.9</v>
      </c>
      <c r="M35" s="573"/>
      <c r="N35" s="574"/>
      <c r="O35" s="573">
        <v>7.1</v>
      </c>
      <c r="P35" s="573"/>
      <c r="Q35" s="574"/>
      <c r="R35" s="575"/>
      <c r="S35" s="575"/>
      <c r="T35" s="575"/>
      <c r="U35" s="575"/>
      <c r="V35" s="575"/>
      <c r="W35" s="575"/>
      <c r="X35" s="575"/>
      <c r="Y35" s="576"/>
      <c r="Z35" s="153"/>
    </row>
    <row r="36" spans="1:26" ht="16.8" customHeight="1" x14ac:dyDescent="0.25">
      <c r="A36" s="154"/>
      <c r="B36" s="566">
        <v>8</v>
      </c>
      <c r="C36" s="567"/>
      <c r="D36" s="568"/>
      <c r="E36" s="569"/>
      <c r="F36" s="568"/>
      <c r="G36" s="569"/>
      <c r="H36" s="570"/>
      <c r="I36" s="571">
        <v>2.27</v>
      </c>
      <c r="J36" s="571"/>
      <c r="K36" s="571"/>
      <c r="L36" s="572">
        <v>91.5</v>
      </c>
      <c r="M36" s="573"/>
      <c r="N36" s="574"/>
      <c r="O36" s="573">
        <v>8.5</v>
      </c>
      <c r="P36" s="573"/>
      <c r="Q36" s="574"/>
      <c r="R36" s="575"/>
      <c r="S36" s="575"/>
      <c r="T36" s="575"/>
      <c r="U36" s="575"/>
      <c r="V36" s="575"/>
      <c r="W36" s="575"/>
      <c r="X36" s="575"/>
      <c r="Y36" s="576"/>
      <c r="Z36" s="153"/>
    </row>
    <row r="37" spans="1:26" ht="16.8" customHeight="1" x14ac:dyDescent="0.25">
      <c r="A37" s="154"/>
      <c r="B37" s="566">
        <v>9</v>
      </c>
      <c r="C37" s="567"/>
      <c r="D37" s="568"/>
      <c r="E37" s="569"/>
      <c r="F37" s="568"/>
      <c r="G37" s="569"/>
      <c r="H37" s="570"/>
      <c r="I37" s="571">
        <v>2.3010000000000002</v>
      </c>
      <c r="J37" s="571"/>
      <c r="K37" s="571"/>
      <c r="L37" s="572">
        <v>92.8</v>
      </c>
      <c r="M37" s="573"/>
      <c r="N37" s="574"/>
      <c r="O37" s="573">
        <v>7.2</v>
      </c>
      <c r="P37" s="573"/>
      <c r="Q37" s="574"/>
      <c r="R37" s="575"/>
      <c r="S37" s="575"/>
      <c r="T37" s="575"/>
      <c r="U37" s="575"/>
      <c r="V37" s="575"/>
      <c r="W37" s="575"/>
      <c r="X37" s="575"/>
      <c r="Y37" s="576"/>
      <c r="Z37" s="153"/>
    </row>
    <row r="38" spans="1:26" ht="16.8" customHeight="1" x14ac:dyDescent="0.25">
      <c r="A38" s="154"/>
      <c r="B38" s="566">
        <v>10</v>
      </c>
      <c r="C38" s="567"/>
      <c r="D38" s="568"/>
      <c r="E38" s="569"/>
      <c r="F38" s="568"/>
      <c r="G38" s="569"/>
      <c r="H38" s="570"/>
      <c r="I38" s="571">
        <v>2.2589999999999999</v>
      </c>
      <c r="J38" s="571"/>
      <c r="K38" s="571"/>
      <c r="L38" s="572">
        <v>91.1</v>
      </c>
      <c r="M38" s="573"/>
      <c r="N38" s="574"/>
      <c r="O38" s="573">
        <v>8.9</v>
      </c>
      <c r="P38" s="573"/>
      <c r="Q38" s="574"/>
      <c r="R38" s="575"/>
      <c r="S38" s="575"/>
      <c r="T38" s="575"/>
      <c r="U38" s="575"/>
      <c r="V38" s="575"/>
      <c r="W38" s="575"/>
      <c r="X38" s="575"/>
      <c r="Y38" s="576"/>
      <c r="Z38" s="153"/>
    </row>
    <row r="39" spans="1:26" ht="16.8" customHeight="1" x14ac:dyDescent="0.25">
      <c r="A39" s="154"/>
      <c r="B39" s="566">
        <v>11</v>
      </c>
      <c r="C39" s="567"/>
      <c r="D39" s="568"/>
      <c r="E39" s="569"/>
      <c r="F39" s="568"/>
      <c r="G39" s="569"/>
      <c r="H39" s="570"/>
      <c r="I39" s="571">
        <v>2.266</v>
      </c>
      <c r="J39" s="571"/>
      <c r="K39" s="571"/>
      <c r="L39" s="572">
        <v>91.4</v>
      </c>
      <c r="M39" s="573"/>
      <c r="N39" s="574"/>
      <c r="O39" s="573">
        <v>8.6</v>
      </c>
      <c r="P39" s="573"/>
      <c r="Q39" s="574"/>
      <c r="R39" s="575"/>
      <c r="S39" s="575"/>
      <c r="T39" s="575"/>
      <c r="U39" s="575"/>
      <c r="V39" s="575"/>
      <c r="W39" s="575"/>
      <c r="X39" s="575"/>
      <c r="Y39" s="576"/>
      <c r="Z39" s="153"/>
    </row>
    <row r="40" spans="1:26" ht="16.8" customHeight="1" x14ac:dyDescent="0.25">
      <c r="A40" s="154"/>
      <c r="B40" s="566">
        <v>12</v>
      </c>
      <c r="C40" s="567"/>
      <c r="D40" s="568"/>
      <c r="E40" s="569"/>
      <c r="F40" s="568"/>
      <c r="G40" s="569"/>
      <c r="H40" s="570"/>
      <c r="I40" s="571">
        <v>2.3149999999999999</v>
      </c>
      <c r="J40" s="571"/>
      <c r="K40" s="571"/>
      <c r="L40" s="572">
        <v>93.3</v>
      </c>
      <c r="M40" s="573"/>
      <c r="N40" s="574"/>
      <c r="O40" s="573">
        <v>6.7</v>
      </c>
      <c r="P40" s="573"/>
      <c r="Q40" s="574"/>
      <c r="R40" s="575"/>
      <c r="S40" s="575"/>
      <c r="T40" s="575"/>
      <c r="U40" s="575"/>
      <c r="V40" s="575"/>
      <c r="W40" s="575"/>
      <c r="X40" s="575"/>
      <c r="Y40" s="576"/>
      <c r="Z40" s="153"/>
    </row>
    <row r="41" spans="1:26" ht="16.8" customHeight="1" x14ac:dyDescent="0.25">
      <c r="A41" s="154"/>
      <c r="B41" s="566">
        <v>13</v>
      </c>
      <c r="C41" s="567"/>
      <c r="D41" s="568"/>
      <c r="E41" s="569"/>
      <c r="F41" s="568"/>
      <c r="G41" s="569"/>
      <c r="H41" s="570"/>
      <c r="I41" s="571">
        <v>2.3330000000000002</v>
      </c>
      <c r="J41" s="571"/>
      <c r="K41" s="571"/>
      <c r="L41" s="572">
        <v>94.1</v>
      </c>
      <c r="M41" s="573"/>
      <c r="N41" s="574"/>
      <c r="O41" s="573">
        <v>5.9</v>
      </c>
      <c r="P41" s="573"/>
      <c r="Q41" s="574"/>
      <c r="R41" s="575"/>
      <c r="S41" s="575"/>
      <c r="T41" s="575"/>
      <c r="U41" s="575"/>
      <c r="V41" s="575"/>
      <c r="W41" s="575"/>
      <c r="X41" s="575"/>
      <c r="Y41" s="576"/>
      <c r="Z41" s="153"/>
    </row>
    <row r="42" spans="1:26" ht="16.8" customHeight="1" x14ac:dyDescent="0.25">
      <c r="A42" s="154"/>
      <c r="B42" s="566">
        <v>14</v>
      </c>
      <c r="C42" s="567"/>
      <c r="D42" s="568"/>
      <c r="E42" s="569"/>
      <c r="F42" s="568"/>
      <c r="G42" s="569"/>
      <c r="H42" s="570"/>
      <c r="I42" s="571">
        <v>2.3010000000000002</v>
      </c>
      <c r="J42" s="571"/>
      <c r="K42" s="571"/>
      <c r="L42" s="572">
        <v>92.8</v>
      </c>
      <c r="M42" s="573"/>
      <c r="N42" s="574"/>
      <c r="O42" s="573">
        <v>7.2</v>
      </c>
      <c r="P42" s="573"/>
      <c r="Q42" s="574"/>
      <c r="R42" s="575"/>
      <c r="S42" s="575"/>
      <c r="T42" s="575"/>
      <c r="U42" s="575"/>
      <c r="V42" s="575"/>
      <c r="W42" s="575"/>
      <c r="X42" s="575"/>
      <c r="Y42" s="576"/>
      <c r="Z42" s="153"/>
    </row>
    <row r="43" spans="1:26" ht="16.8" customHeight="1" x14ac:dyDescent="0.25">
      <c r="A43" s="154"/>
      <c r="B43" s="566">
        <v>15</v>
      </c>
      <c r="C43" s="567"/>
      <c r="D43" s="568"/>
      <c r="E43" s="569"/>
      <c r="F43" s="568"/>
      <c r="G43" s="569"/>
      <c r="H43" s="570"/>
      <c r="I43" s="571">
        <v>2.2669999999999999</v>
      </c>
      <c r="J43" s="571"/>
      <c r="K43" s="571"/>
      <c r="L43" s="572">
        <v>91.4</v>
      </c>
      <c r="M43" s="573"/>
      <c r="N43" s="574"/>
      <c r="O43" s="573">
        <v>8.6</v>
      </c>
      <c r="P43" s="573"/>
      <c r="Q43" s="574"/>
      <c r="R43" s="575"/>
      <c r="S43" s="575"/>
      <c r="T43" s="575"/>
      <c r="U43" s="575"/>
      <c r="V43" s="575"/>
      <c r="W43" s="575"/>
      <c r="X43" s="575"/>
      <c r="Y43" s="576"/>
      <c r="Z43" s="153"/>
    </row>
    <row r="44" spans="1:26" ht="16.8" customHeight="1" x14ac:dyDescent="0.25">
      <c r="A44" s="154"/>
      <c r="B44" s="566">
        <v>16</v>
      </c>
      <c r="C44" s="567"/>
      <c r="D44" s="568"/>
      <c r="E44" s="569"/>
      <c r="F44" s="568"/>
      <c r="G44" s="569"/>
      <c r="H44" s="570"/>
      <c r="I44" s="571">
        <v>2.282</v>
      </c>
      <c r="J44" s="571"/>
      <c r="K44" s="571"/>
      <c r="L44" s="572">
        <v>92</v>
      </c>
      <c r="M44" s="573"/>
      <c r="N44" s="574"/>
      <c r="O44" s="573">
        <v>8</v>
      </c>
      <c r="P44" s="573"/>
      <c r="Q44" s="574"/>
      <c r="R44" s="575"/>
      <c r="S44" s="575"/>
      <c r="T44" s="575"/>
      <c r="U44" s="575"/>
      <c r="V44" s="575"/>
      <c r="W44" s="575"/>
      <c r="X44" s="575"/>
      <c r="Y44" s="576"/>
      <c r="Z44" s="153"/>
    </row>
    <row r="45" spans="1:26" ht="16.8" customHeight="1" x14ac:dyDescent="0.25">
      <c r="A45" s="154"/>
      <c r="B45" s="566">
        <v>17</v>
      </c>
      <c r="C45" s="567"/>
      <c r="D45" s="568"/>
      <c r="E45" s="569"/>
      <c r="F45" s="568"/>
      <c r="G45" s="569"/>
      <c r="H45" s="570"/>
      <c r="I45" s="571">
        <v>2.298</v>
      </c>
      <c r="J45" s="571"/>
      <c r="K45" s="571"/>
      <c r="L45" s="572">
        <v>92.7</v>
      </c>
      <c r="M45" s="573"/>
      <c r="N45" s="574"/>
      <c r="O45" s="573">
        <v>7.3</v>
      </c>
      <c r="P45" s="573"/>
      <c r="Q45" s="574"/>
      <c r="R45" s="575"/>
      <c r="S45" s="575"/>
      <c r="T45" s="575"/>
      <c r="U45" s="575"/>
      <c r="V45" s="575"/>
      <c r="W45" s="575"/>
      <c r="X45" s="575"/>
      <c r="Y45" s="576"/>
      <c r="Z45" s="153"/>
    </row>
    <row r="46" spans="1:26" ht="16.8" customHeight="1" x14ac:dyDescent="0.25">
      <c r="A46" s="154"/>
      <c r="B46" s="566">
        <v>18</v>
      </c>
      <c r="C46" s="567"/>
      <c r="D46" s="568"/>
      <c r="E46" s="569"/>
      <c r="F46" s="568"/>
      <c r="G46" s="569"/>
      <c r="H46" s="570"/>
      <c r="I46" s="571">
        <v>2.258</v>
      </c>
      <c r="J46" s="571"/>
      <c r="K46" s="571"/>
      <c r="L46" s="572">
        <v>91</v>
      </c>
      <c r="M46" s="573"/>
      <c r="N46" s="574"/>
      <c r="O46" s="573">
        <v>9</v>
      </c>
      <c r="P46" s="573"/>
      <c r="Q46" s="574"/>
      <c r="R46" s="575"/>
      <c r="S46" s="575"/>
      <c r="T46" s="575"/>
      <c r="U46" s="575"/>
      <c r="V46" s="575"/>
      <c r="W46" s="575"/>
      <c r="X46" s="575"/>
      <c r="Y46" s="576"/>
      <c r="Z46" s="153"/>
    </row>
    <row r="47" spans="1:26" ht="16.8" customHeight="1" x14ac:dyDescent="0.25">
      <c r="A47" s="154"/>
      <c r="B47" s="566">
        <v>19</v>
      </c>
      <c r="C47" s="567"/>
      <c r="D47" s="568"/>
      <c r="E47" s="569"/>
      <c r="F47" s="568"/>
      <c r="G47" s="569"/>
      <c r="H47" s="570"/>
      <c r="I47" s="571">
        <v>2.3069999999999999</v>
      </c>
      <c r="J47" s="571"/>
      <c r="K47" s="571"/>
      <c r="L47" s="572">
        <v>93</v>
      </c>
      <c r="M47" s="573"/>
      <c r="N47" s="574"/>
      <c r="O47" s="573">
        <v>7</v>
      </c>
      <c r="P47" s="573"/>
      <c r="Q47" s="574"/>
      <c r="R47" s="575"/>
      <c r="S47" s="575"/>
      <c r="T47" s="575"/>
      <c r="U47" s="575"/>
      <c r="V47" s="575"/>
      <c r="W47" s="575"/>
      <c r="X47" s="575"/>
      <c r="Y47" s="576"/>
      <c r="Z47" s="153"/>
    </row>
    <row r="48" spans="1:26" ht="16.8" customHeight="1" x14ac:dyDescent="0.25">
      <c r="A48" s="154"/>
      <c r="B48" s="566">
        <v>20</v>
      </c>
      <c r="C48" s="567"/>
      <c r="D48" s="568"/>
      <c r="E48" s="569"/>
      <c r="F48" s="568"/>
      <c r="G48" s="569"/>
      <c r="H48" s="570"/>
      <c r="I48" s="571">
        <v>2.3239999999999998</v>
      </c>
      <c r="J48" s="571"/>
      <c r="K48" s="571"/>
      <c r="L48" s="572">
        <v>93.7</v>
      </c>
      <c r="M48" s="573"/>
      <c r="N48" s="574"/>
      <c r="O48" s="573">
        <v>6.3</v>
      </c>
      <c r="P48" s="573"/>
      <c r="Q48" s="574"/>
      <c r="R48" s="575"/>
      <c r="S48" s="575"/>
      <c r="T48" s="575"/>
      <c r="U48" s="575"/>
      <c r="V48" s="575"/>
      <c r="W48" s="575"/>
      <c r="X48" s="575"/>
      <c r="Y48" s="576"/>
      <c r="Z48" s="153"/>
    </row>
    <row r="49" spans="1:29" ht="17.25" customHeight="1" x14ac:dyDescent="0.25">
      <c r="A49" s="154"/>
      <c r="B49" s="566"/>
      <c r="C49" s="567"/>
      <c r="D49" s="568"/>
      <c r="E49" s="569"/>
      <c r="F49" s="568"/>
      <c r="G49" s="569"/>
      <c r="H49" s="570"/>
      <c r="I49" s="571"/>
      <c r="J49" s="571"/>
      <c r="K49" s="571"/>
      <c r="L49" s="572"/>
      <c r="M49" s="573"/>
      <c r="N49" s="574"/>
      <c r="O49" s="573"/>
      <c r="P49" s="573"/>
      <c r="Q49" s="574"/>
      <c r="R49" s="575"/>
      <c r="S49" s="575"/>
      <c r="T49" s="575"/>
      <c r="U49" s="575"/>
      <c r="V49" s="575"/>
      <c r="W49" s="575"/>
      <c r="X49" s="575"/>
      <c r="Y49" s="576"/>
      <c r="Z49" s="153"/>
    </row>
    <row r="50" spans="1:29" ht="16.5" customHeight="1" thickBot="1" x14ac:dyDescent="0.3">
      <c r="A50" s="154"/>
      <c r="B50" s="673" t="s">
        <v>62</v>
      </c>
      <c r="C50" s="674"/>
      <c r="D50" s="674"/>
      <c r="E50" s="674"/>
      <c r="F50" s="674"/>
      <c r="G50" s="674"/>
      <c r="H50" s="674"/>
      <c r="I50" s="654">
        <v>2.29</v>
      </c>
      <c r="J50" s="654"/>
      <c r="K50" s="654"/>
      <c r="L50" s="631">
        <v>92.47</v>
      </c>
      <c r="M50" s="631"/>
      <c r="N50" s="631"/>
      <c r="O50" s="631">
        <v>7.53</v>
      </c>
      <c r="P50" s="631"/>
      <c r="Q50" s="631"/>
      <c r="R50" s="655"/>
      <c r="S50" s="655"/>
      <c r="T50" s="655"/>
      <c r="U50" s="655"/>
      <c r="V50" s="655"/>
      <c r="W50" s="655"/>
      <c r="X50" s="655"/>
      <c r="Y50" s="656"/>
      <c r="Z50" s="153"/>
    </row>
    <row r="51" spans="1:29" ht="25.5" customHeight="1" thickBot="1" x14ac:dyDescent="0.3">
      <c r="A51" s="154"/>
      <c r="B51" s="645" t="s">
        <v>63</v>
      </c>
      <c r="C51" s="646"/>
      <c r="D51" s="646"/>
      <c r="E51" s="646"/>
      <c r="F51" s="646"/>
      <c r="G51" s="646"/>
      <c r="H51" s="646"/>
      <c r="I51" s="651">
        <v>100</v>
      </c>
      <c r="J51" s="651"/>
      <c r="K51" s="651"/>
      <c r="L51" s="652"/>
      <c r="M51" s="652"/>
      <c r="N51" s="652"/>
      <c r="O51" s="652"/>
      <c r="P51" s="652"/>
      <c r="Q51" s="652"/>
      <c r="R51" s="652"/>
      <c r="S51" s="652"/>
      <c r="T51" s="652"/>
      <c r="U51" s="652"/>
      <c r="V51" s="652"/>
      <c r="W51" s="652"/>
      <c r="X51" s="652"/>
      <c r="Y51" s="653"/>
      <c r="Z51" s="153"/>
    </row>
    <row r="52" spans="1:29" ht="15" customHeight="1" x14ac:dyDescent="0.25">
      <c r="A52" s="152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0"/>
    </row>
    <row r="53" spans="1:29" ht="16.5" customHeight="1" x14ac:dyDescent="0.25"/>
    <row r="54" spans="1:29" ht="34.5" customHeight="1" x14ac:dyDescent="0.25">
      <c r="A54" s="149" t="s">
        <v>64</v>
      </c>
      <c r="B54" s="148" t="s">
        <v>65</v>
      </c>
      <c r="C54" s="147"/>
      <c r="D54" s="147"/>
      <c r="E54" s="147"/>
      <c r="F54" s="146"/>
      <c r="G54" s="146"/>
      <c r="H54" s="146"/>
      <c r="I54" s="135"/>
      <c r="J54" s="135"/>
      <c r="K54" s="135"/>
      <c r="L54" s="135"/>
      <c r="M54" s="135"/>
      <c r="N54" s="135"/>
      <c r="O54" s="135"/>
      <c r="P54" s="135"/>
      <c r="Q54" s="146"/>
      <c r="R54" s="135"/>
      <c r="S54" s="135"/>
      <c r="T54" s="135"/>
      <c r="U54" s="657"/>
      <c r="V54" s="657"/>
      <c r="W54" s="657"/>
      <c r="X54" s="657"/>
      <c r="Y54" s="657"/>
      <c r="Z54" s="658"/>
      <c r="AA54" s="122"/>
      <c r="AB54" s="122"/>
      <c r="AC54" s="122"/>
    </row>
    <row r="55" spans="1:29" ht="27" customHeight="1" x14ac:dyDescent="0.25">
      <c r="A55" s="671" t="s">
        <v>66</v>
      </c>
      <c r="B55" s="672"/>
      <c r="C55" s="672"/>
      <c r="D55" s="672"/>
      <c r="E55" s="672"/>
      <c r="F55" s="672"/>
      <c r="G55" s="145"/>
      <c r="H55" s="145"/>
      <c r="I55" s="145"/>
      <c r="J55" s="145"/>
      <c r="K55" s="144"/>
      <c r="L55" s="633" t="s">
        <v>74</v>
      </c>
      <c r="M55" s="634"/>
      <c r="N55" s="634"/>
      <c r="O55" s="634"/>
      <c r="P55" s="634"/>
      <c r="Q55" s="143"/>
      <c r="R55" s="632" t="s">
        <v>67</v>
      </c>
      <c r="S55" s="632"/>
      <c r="T55" s="632"/>
      <c r="U55" s="675" t="s">
        <v>73</v>
      </c>
      <c r="V55" s="676"/>
      <c r="W55" s="676"/>
      <c r="X55" s="676"/>
      <c r="Y55" s="676"/>
      <c r="Z55" s="677"/>
      <c r="AA55" s="122"/>
      <c r="AB55" s="122"/>
      <c r="AC55" s="122"/>
    </row>
    <row r="56" spans="1:29" ht="15.75" customHeight="1" x14ac:dyDescent="0.25">
      <c r="A56" s="142"/>
      <c r="K56" s="141"/>
      <c r="R56" s="659" t="s">
        <v>68</v>
      </c>
      <c r="S56" s="660"/>
      <c r="T56" s="661"/>
      <c r="U56" s="662" t="s">
        <v>75</v>
      </c>
      <c r="V56" s="663"/>
      <c r="W56" s="663"/>
      <c r="X56" s="663"/>
      <c r="Y56" s="663"/>
      <c r="Z56" s="664"/>
      <c r="AA56" s="122"/>
      <c r="AB56" s="122"/>
      <c r="AC56" s="122"/>
    </row>
    <row r="57" spans="1:29" ht="9" customHeight="1" x14ac:dyDescent="0.25">
      <c r="A57" s="140"/>
      <c r="B57" s="138"/>
      <c r="C57" s="138"/>
      <c r="D57" s="138"/>
      <c r="E57" s="138"/>
      <c r="F57" s="138"/>
      <c r="G57" s="138"/>
      <c r="H57" s="138"/>
      <c r="I57" s="138"/>
      <c r="J57" s="138"/>
      <c r="K57" s="139"/>
      <c r="L57" s="138"/>
      <c r="M57" s="138"/>
      <c r="N57" s="138"/>
      <c r="O57" s="138"/>
      <c r="P57" s="138"/>
      <c r="Q57" s="138"/>
      <c r="R57" s="659"/>
      <c r="S57" s="660"/>
      <c r="T57" s="661"/>
      <c r="U57" s="665"/>
      <c r="V57" s="666"/>
      <c r="W57" s="666"/>
      <c r="X57" s="666"/>
      <c r="Y57" s="666"/>
      <c r="Z57" s="667"/>
      <c r="AA57" s="122"/>
      <c r="AB57" s="122"/>
      <c r="AC57" s="122"/>
    </row>
    <row r="58" spans="1:29" ht="15.9" customHeight="1" x14ac:dyDescent="0.25">
      <c r="A58" s="137" t="s">
        <v>69</v>
      </c>
      <c r="B58" s="136" t="s">
        <v>70</v>
      </c>
      <c r="C58" s="135"/>
      <c r="D58" s="135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3"/>
      <c r="R58" s="659"/>
      <c r="S58" s="660"/>
      <c r="T58" s="661"/>
      <c r="U58" s="665"/>
      <c r="V58" s="666"/>
      <c r="W58" s="666"/>
      <c r="X58" s="666"/>
      <c r="Y58" s="666"/>
      <c r="Z58" s="667"/>
      <c r="AA58" s="122"/>
      <c r="AB58" s="122"/>
      <c r="AC58" s="122"/>
    </row>
    <row r="59" spans="1:29" ht="15.9" customHeight="1" x14ac:dyDescent="0.25">
      <c r="A59" s="639"/>
      <c r="B59" s="640"/>
      <c r="C59" s="640"/>
      <c r="D59" s="640"/>
      <c r="E59" s="640"/>
      <c r="F59" s="640"/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1"/>
      <c r="R59" s="659" t="s">
        <v>71</v>
      </c>
      <c r="S59" s="660"/>
      <c r="T59" s="661"/>
      <c r="U59" s="132"/>
      <c r="V59" s="131"/>
      <c r="W59" s="131"/>
      <c r="X59" s="131"/>
      <c r="Y59" s="131"/>
      <c r="Z59" s="130"/>
      <c r="AA59" s="122"/>
      <c r="AB59" s="122"/>
      <c r="AC59" s="122"/>
    </row>
    <row r="60" spans="1:29" ht="16.5" customHeight="1" x14ac:dyDescent="0.25">
      <c r="A60" s="639"/>
      <c r="B60" s="640"/>
      <c r="C60" s="640"/>
      <c r="D60" s="640"/>
      <c r="E60" s="640"/>
      <c r="F60" s="640"/>
      <c r="G60" s="640"/>
      <c r="H60" s="640"/>
      <c r="I60" s="640"/>
      <c r="J60" s="640"/>
      <c r="K60" s="640"/>
      <c r="L60" s="640"/>
      <c r="M60" s="640"/>
      <c r="N60" s="640"/>
      <c r="O60" s="640"/>
      <c r="P60" s="640"/>
      <c r="Q60" s="641"/>
      <c r="R60" s="659"/>
      <c r="S60" s="660"/>
      <c r="T60" s="661"/>
      <c r="U60" s="129"/>
      <c r="V60" s="594"/>
      <c r="W60" s="594"/>
      <c r="X60" s="594"/>
      <c r="Y60" s="594"/>
      <c r="Z60" s="128"/>
      <c r="AA60" s="122"/>
      <c r="AB60" s="122"/>
      <c r="AC60" s="122"/>
    </row>
    <row r="61" spans="1:29" ht="16.5" customHeight="1" x14ac:dyDescent="0.25">
      <c r="A61" s="639"/>
      <c r="B61" s="640"/>
      <c r="C61" s="640"/>
      <c r="D61" s="640"/>
      <c r="E61" s="640"/>
      <c r="F61" s="640"/>
      <c r="G61" s="640"/>
      <c r="H61" s="640"/>
      <c r="I61" s="640"/>
      <c r="J61" s="640"/>
      <c r="K61" s="640"/>
      <c r="L61" s="640"/>
      <c r="M61" s="640"/>
      <c r="N61" s="640"/>
      <c r="O61" s="640"/>
      <c r="P61" s="640"/>
      <c r="Q61" s="641"/>
      <c r="R61" s="659"/>
      <c r="S61" s="660"/>
      <c r="T61" s="661"/>
      <c r="U61" s="129"/>
      <c r="V61" s="594"/>
      <c r="W61" s="594"/>
      <c r="X61" s="594"/>
      <c r="Y61" s="594"/>
      <c r="Z61" s="128"/>
      <c r="AA61" s="122"/>
      <c r="AB61" s="122"/>
      <c r="AC61" s="122"/>
    </row>
    <row r="62" spans="1:29" ht="16.5" customHeight="1" x14ac:dyDescent="0.25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3"/>
      <c r="P62" s="643"/>
      <c r="Q62" s="644"/>
      <c r="R62" s="668"/>
      <c r="S62" s="669"/>
      <c r="T62" s="670"/>
      <c r="U62" s="127"/>
      <c r="V62" s="126"/>
      <c r="W62" s="126"/>
      <c r="X62" s="126"/>
      <c r="Y62" s="126"/>
      <c r="Z62" s="125"/>
      <c r="AA62" s="122"/>
      <c r="AB62" s="122"/>
      <c r="AC62" s="122"/>
    </row>
    <row r="63" spans="1:29" ht="16.5" customHeight="1" x14ac:dyDescent="0.25">
      <c r="R63" s="124"/>
      <c r="S63" s="124"/>
      <c r="T63" s="124"/>
      <c r="U63" s="123"/>
      <c r="V63" s="123"/>
      <c r="W63" s="123"/>
      <c r="X63" s="123"/>
      <c r="Y63" s="123"/>
      <c r="Z63" s="123"/>
      <c r="AA63" s="122"/>
      <c r="AB63" s="122"/>
      <c r="AC63" s="122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DF82-C69B-4D93-92D9-29EE65CD435C}">
  <sheetPr>
    <pageSetUpPr fitToPage="1"/>
  </sheetPr>
  <dimension ref="A1:AN67"/>
  <sheetViews>
    <sheetView workbookViewId="0">
      <selection activeCell="AB65" sqref="AB65"/>
    </sheetView>
  </sheetViews>
  <sheetFormatPr baseColWidth="10" defaultColWidth="11.44140625" defaultRowHeight="13.2" x14ac:dyDescent="0.25"/>
  <cols>
    <col min="1" max="26" width="5.109375" style="58" customWidth="1"/>
    <col min="27" max="27" width="8.33203125" style="58" customWidth="1"/>
    <col min="28" max="28" width="11.44140625" style="58"/>
    <col min="29" max="16384" width="11.44140625" style="57"/>
  </cols>
  <sheetData>
    <row r="1" spans="1:40" x14ac:dyDescent="0.25">
      <c r="A1" s="432"/>
      <c r="B1" s="433"/>
      <c r="C1" s="433"/>
      <c r="D1" s="433"/>
      <c r="E1" s="433"/>
      <c r="F1" s="434"/>
      <c r="G1" s="441" t="s">
        <v>0</v>
      </c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3"/>
      <c r="U1" s="449" t="s">
        <v>136</v>
      </c>
      <c r="V1" s="450"/>
      <c r="W1" s="450"/>
      <c r="X1" s="450"/>
      <c r="Y1" s="450"/>
      <c r="Z1" s="451"/>
    </row>
    <row r="2" spans="1:40" x14ac:dyDescent="0.25">
      <c r="A2" s="435"/>
      <c r="B2" s="436"/>
      <c r="C2" s="436"/>
      <c r="D2" s="436"/>
      <c r="E2" s="436"/>
      <c r="F2" s="437"/>
      <c r="G2" s="458" t="s">
        <v>1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60"/>
      <c r="U2" s="452"/>
      <c r="V2" s="453"/>
      <c r="W2" s="453"/>
      <c r="X2" s="453"/>
      <c r="Y2" s="453"/>
      <c r="Z2" s="454"/>
    </row>
    <row r="3" spans="1:40" x14ac:dyDescent="0.25">
      <c r="A3" s="435"/>
      <c r="B3" s="436"/>
      <c r="C3" s="436"/>
      <c r="D3" s="436"/>
      <c r="E3" s="436"/>
      <c r="F3" s="437"/>
      <c r="G3" s="458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60"/>
      <c r="U3" s="452"/>
      <c r="V3" s="453"/>
      <c r="W3" s="453"/>
      <c r="X3" s="453"/>
      <c r="Y3" s="453"/>
      <c r="Z3" s="454"/>
    </row>
    <row r="4" spans="1:40" x14ac:dyDescent="0.25">
      <c r="A4" s="435"/>
      <c r="B4" s="436"/>
      <c r="C4" s="436"/>
      <c r="D4" s="436"/>
      <c r="E4" s="436"/>
      <c r="F4" s="437"/>
      <c r="G4" s="458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459"/>
      <c r="T4" s="460"/>
      <c r="U4" s="452"/>
      <c r="V4" s="453"/>
      <c r="W4" s="453"/>
      <c r="X4" s="453"/>
      <c r="Y4" s="453"/>
      <c r="Z4" s="454"/>
    </row>
    <row r="5" spans="1:40" ht="15" customHeight="1" x14ac:dyDescent="0.25">
      <c r="A5" s="435"/>
      <c r="B5" s="436"/>
      <c r="C5" s="436"/>
      <c r="D5" s="436"/>
      <c r="E5" s="436"/>
      <c r="F5" s="437"/>
      <c r="G5" s="420" t="s">
        <v>2</v>
      </c>
      <c r="H5" s="421"/>
      <c r="I5" s="415">
        <v>26</v>
      </c>
      <c r="J5" s="415"/>
      <c r="K5" s="416"/>
      <c r="L5" s="461" t="s">
        <v>4</v>
      </c>
      <c r="M5" s="462"/>
      <c r="N5" s="462"/>
      <c r="O5" s="463"/>
      <c r="P5" s="446" t="s">
        <v>134</v>
      </c>
      <c r="Q5" s="447"/>
      <c r="R5" s="447"/>
      <c r="S5" s="447"/>
      <c r="T5" s="448"/>
      <c r="U5" s="452"/>
      <c r="V5" s="453"/>
      <c r="W5" s="453"/>
      <c r="X5" s="453"/>
      <c r="Y5" s="453"/>
      <c r="Z5" s="454"/>
    </row>
    <row r="6" spans="1:40" x14ac:dyDescent="0.25">
      <c r="A6" s="438"/>
      <c r="B6" s="439"/>
      <c r="C6" s="439"/>
      <c r="D6" s="439"/>
      <c r="E6" s="439"/>
      <c r="F6" s="440"/>
      <c r="G6" s="89"/>
      <c r="H6" s="120"/>
      <c r="I6" s="413" t="s">
        <v>6</v>
      </c>
      <c r="J6" s="413"/>
      <c r="K6" s="413"/>
      <c r="L6" s="413" t="s">
        <v>7</v>
      </c>
      <c r="M6" s="413"/>
      <c r="N6" s="413"/>
      <c r="O6" s="413"/>
      <c r="P6" s="413" t="s">
        <v>8</v>
      </c>
      <c r="Q6" s="413"/>
      <c r="R6" s="413"/>
      <c r="S6" s="413"/>
      <c r="T6" s="414"/>
      <c r="U6" s="455"/>
      <c r="V6" s="456"/>
      <c r="W6" s="456"/>
      <c r="X6" s="456"/>
      <c r="Y6" s="456"/>
      <c r="Z6" s="457"/>
    </row>
    <row r="7" spans="1:40" ht="36.75" customHeight="1" x14ac:dyDescent="0.25">
      <c r="A7" s="444" t="s">
        <v>9</v>
      </c>
      <c r="B7" s="444"/>
      <c r="C7" s="444"/>
      <c r="D7" s="444"/>
      <c r="E7" s="444"/>
      <c r="F7" s="444"/>
      <c r="G7" s="445" t="s">
        <v>10</v>
      </c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</row>
    <row r="8" spans="1:40" ht="15" customHeight="1" x14ac:dyDescent="0.25">
      <c r="A8" s="74" t="s">
        <v>11</v>
      </c>
      <c r="B8" s="73" t="s">
        <v>12</v>
      </c>
      <c r="C8" s="72"/>
      <c r="D8" s="106"/>
      <c r="E8" s="106"/>
      <c r="F8" s="106"/>
      <c r="G8" s="106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04"/>
    </row>
    <row r="9" spans="1:40" ht="6" customHeight="1" x14ac:dyDescent="0.25">
      <c r="A9" s="91"/>
      <c r="D9" s="119"/>
      <c r="E9" s="119"/>
      <c r="F9" s="119"/>
      <c r="G9" s="119"/>
      <c r="Z9" s="90"/>
    </row>
    <row r="10" spans="1:40" ht="15" customHeight="1" x14ac:dyDescent="0.25">
      <c r="A10" s="91"/>
      <c r="B10" s="406" t="s">
        <v>13</v>
      </c>
      <c r="C10" s="406"/>
      <c r="D10" s="406"/>
      <c r="E10" s="406"/>
      <c r="F10" s="406"/>
      <c r="G10" s="412" t="s">
        <v>135</v>
      </c>
      <c r="H10" s="412"/>
      <c r="I10" s="412"/>
      <c r="J10" s="412"/>
      <c r="K10" s="412"/>
      <c r="L10" s="412"/>
      <c r="M10" s="406" t="s">
        <v>15</v>
      </c>
      <c r="N10" s="406"/>
      <c r="O10" s="406"/>
      <c r="P10" s="406"/>
      <c r="Q10" s="406"/>
      <c r="R10" s="406"/>
      <c r="S10" s="410" t="s">
        <v>16</v>
      </c>
      <c r="T10" s="410"/>
      <c r="U10" s="410"/>
      <c r="V10" s="410"/>
      <c r="W10" s="410"/>
      <c r="X10" s="410"/>
      <c r="Y10" s="410"/>
      <c r="Z10" s="108"/>
    </row>
    <row r="11" spans="1:40" ht="15" customHeight="1" x14ac:dyDescent="0.25">
      <c r="A11" s="91"/>
      <c r="B11" s="406" t="s">
        <v>17</v>
      </c>
      <c r="C11" s="406"/>
      <c r="D11" s="406"/>
      <c r="E11" s="406"/>
      <c r="F11" s="406"/>
      <c r="G11" s="412" t="s">
        <v>134</v>
      </c>
      <c r="H11" s="412"/>
      <c r="I11" s="412"/>
      <c r="J11" s="412"/>
      <c r="K11" s="412"/>
      <c r="L11" s="412"/>
      <c r="M11" s="406" t="s">
        <v>18</v>
      </c>
      <c r="N11" s="406"/>
      <c r="O11" s="406"/>
      <c r="P11" s="411">
        <v>156</v>
      </c>
      <c r="Q11" s="411"/>
      <c r="R11" s="411"/>
      <c r="S11" s="406" t="s">
        <v>19</v>
      </c>
      <c r="T11" s="406"/>
      <c r="U11" s="406"/>
      <c r="V11" s="406"/>
      <c r="W11" s="406"/>
      <c r="X11" s="411" t="s">
        <v>20</v>
      </c>
      <c r="Y11" s="411"/>
      <c r="Z11" s="108"/>
    </row>
    <row r="12" spans="1:40" ht="15" customHeight="1" x14ac:dyDescent="0.25">
      <c r="A12" s="91"/>
      <c r="B12" s="406" t="s">
        <v>21</v>
      </c>
      <c r="C12" s="406"/>
      <c r="D12" s="406"/>
      <c r="E12" s="406"/>
      <c r="F12" s="406"/>
      <c r="G12" s="412" t="s">
        <v>99</v>
      </c>
      <c r="H12" s="412"/>
      <c r="I12" s="412"/>
      <c r="J12" s="412"/>
      <c r="K12" s="412"/>
      <c r="L12" s="412"/>
      <c r="M12" s="406" t="s">
        <v>23</v>
      </c>
      <c r="N12" s="406"/>
      <c r="O12" s="406"/>
      <c r="P12" s="406"/>
      <c r="Q12" s="406"/>
      <c r="R12" s="406"/>
      <c r="S12" s="410" t="s">
        <v>24</v>
      </c>
      <c r="T12" s="410"/>
      <c r="U12" s="410"/>
      <c r="V12" s="410"/>
      <c r="W12" s="410"/>
      <c r="X12" s="410"/>
      <c r="Y12" s="410"/>
      <c r="Z12" s="108"/>
    </row>
    <row r="13" spans="1:40" ht="15" customHeight="1" x14ac:dyDescent="0.25">
      <c r="A13" s="91"/>
      <c r="B13" s="406" t="s">
        <v>25</v>
      </c>
      <c r="C13" s="406"/>
      <c r="D13" s="406"/>
      <c r="E13" s="406"/>
      <c r="F13" s="406"/>
      <c r="G13" s="523" t="s">
        <v>134</v>
      </c>
      <c r="H13" s="412"/>
      <c r="I13" s="412"/>
      <c r="J13" s="412"/>
      <c r="K13" s="412"/>
      <c r="L13" s="412"/>
      <c r="M13" s="406" t="s">
        <v>26</v>
      </c>
      <c r="N13" s="406"/>
      <c r="O13" s="406"/>
      <c r="P13" s="406"/>
      <c r="Q13" s="406"/>
      <c r="R13" s="406"/>
      <c r="S13" s="406" t="s">
        <v>133</v>
      </c>
      <c r="T13" s="406"/>
      <c r="U13" s="406"/>
      <c r="V13" s="406"/>
      <c r="W13" s="406"/>
      <c r="X13" s="406"/>
      <c r="Y13" s="406"/>
      <c r="Z13" s="108"/>
    </row>
    <row r="14" spans="1:40" ht="15" customHeight="1" x14ac:dyDescent="0.25">
      <c r="A14" s="91"/>
      <c r="B14" s="406" t="s">
        <v>28</v>
      </c>
      <c r="C14" s="406"/>
      <c r="D14" s="406"/>
      <c r="E14" s="406"/>
      <c r="F14" s="406"/>
      <c r="G14" s="412" t="s">
        <v>120</v>
      </c>
      <c r="H14" s="412"/>
      <c r="I14" s="412"/>
      <c r="J14" s="412"/>
      <c r="K14" s="412"/>
      <c r="L14" s="412"/>
      <c r="M14" s="406" t="s">
        <v>30</v>
      </c>
      <c r="N14" s="406"/>
      <c r="O14" s="406"/>
      <c r="P14" s="406"/>
      <c r="Q14" s="406"/>
      <c r="R14" s="406"/>
      <c r="S14" s="406" t="s">
        <v>95</v>
      </c>
      <c r="T14" s="406"/>
      <c r="U14" s="406"/>
      <c r="V14" s="406"/>
      <c r="W14" s="406"/>
      <c r="X14" s="406"/>
      <c r="Y14" s="406"/>
      <c r="Z14" s="108"/>
    </row>
    <row r="15" spans="1:40" ht="15" customHeight="1" x14ac:dyDescent="0.25">
      <c r="A15" s="91"/>
      <c r="B15" s="407" t="s">
        <v>32</v>
      </c>
      <c r="C15" s="407"/>
      <c r="D15" s="407"/>
      <c r="E15" s="407"/>
      <c r="F15" s="407"/>
      <c r="G15" s="410" t="s">
        <v>125</v>
      </c>
      <c r="H15" s="410"/>
      <c r="I15" s="410"/>
      <c r="J15" s="410"/>
      <c r="K15" s="410"/>
      <c r="L15" s="410"/>
      <c r="M15" s="406" t="s">
        <v>34</v>
      </c>
      <c r="N15" s="406"/>
      <c r="O15" s="406"/>
      <c r="P15" s="406"/>
      <c r="Q15" s="406"/>
      <c r="R15" s="406"/>
      <c r="S15" s="406" t="s">
        <v>77</v>
      </c>
      <c r="T15" s="406"/>
      <c r="U15" s="406"/>
      <c r="V15" s="406"/>
      <c r="W15" s="406"/>
      <c r="X15" s="406"/>
      <c r="Y15" s="406"/>
      <c r="Z15" s="108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0" ht="15" customHeight="1" x14ac:dyDescent="0.25">
      <c r="A16" s="91"/>
      <c r="B16" s="407" t="s">
        <v>36</v>
      </c>
      <c r="C16" s="407"/>
      <c r="D16" s="407"/>
      <c r="E16" s="407"/>
      <c r="F16" s="407"/>
      <c r="G16" s="109" t="s">
        <v>132</v>
      </c>
      <c r="H16" s="109"/>
      <c r="I16" s="109"/>
      <c r="J16" s="109"/>
      <c r="K16" s="109"/>
      <c r="L16" s="109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8"/>
    </row>
    <row r="17" spans="1:28" ht="6" customHeight="1" x14ac:dyDescent="0.25">
      <c r="A17" s="89"/>
      <c r="B17" s="75"/>
      <c r="C17" s="75"/>
      <c r="D17" s="88"/>
      <c r="E17" s="88"/>
      <c r="F17" s="88"/>
      <c r="G17" s="88"/>
      <c r="H17" s="75"/>
      <c r="I17" s="75"/>
      <c r="J17" s="75"/>
      <c r="K17" s="75"/>
      <c r="L17" s="75"/>
      <c r="M17" s="75"/>
      <c r="N17" s="117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87"/>
    </row>
    <row r="18" spans="1:28" ht="15" customHeight="1" x14ac:dyDescent="0.25">
      <c r="B18" s="115"/>
      <c r="C18" s="115"/>
      <c r="K18" s="116"/>
      <c r="L18" s="115"/>
      <c r="M18" s="114"/>
      <c r="V18" s="110"/>
      <c r="W18" s="110"/>
      <c r="X18" s="110"/>
      <c r="Y18" s="110"/>
      <c r="Z18" s="110"/>
      <c r="AA18" s="110"/>
      <c r="AB18" s="110"/>
    </row>
    <row r="19" spans="1:28" ht="15" customHeight="1" x14ac:dyDescent="0.25">
      <c r="A19" s="74" t="s">
        <v>38</v>
      </c>
      <c r="B19" s="73" t="s">
        <v>39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4"/>
    </row>
    <row r="20" spans="1:28" ht="6" customHeight="1" x14ac:dyDescent="0.25">
      <c r="A20" s="91"/>
      <c r="B20" s="113"/>
      <c r="Z20" s="90"/>
    </row>
    <row r="21" spans="1:28" ht="13.8" customHeight="1" x14ac:dyDescent="0.25">
      <c r="A21" s="91"/>
      <c r="B21" s="406" t="s">
        <v>40</v>
      </c>
      <c r="C21" s="406"/>
      <c r="D21" s="406"/>
      <c r="E21" s="406"/>
      <c r="F21" s="406"/>
      <c r="G21" s="406"/>
      <c r="H21" s="406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108"/>
    </row>
    <row r="22" spans="1:28" ht="15" customHeight="1" x14ac:dyDescent="0.25">
      <c r="A22" s="91"/>
      <c r="B22" s="406" t="s">
        <v>41</v>
      </c>
      <c r="C22" s="406"/>
      <c r="D22" s="406"/>
      <c r="E22" s="406"/>
      <c r="F22" s="406"/>
      <c r="G22" s="406"/>
      <c r="H22" s="406"/>
      <c r="I22" s="411"/>
      <c r="J22" s="411"/>
      <c r="K22" s="411"/>
      <c r="L22" s="411"/>
      <c r="M22" s="411"/>
      <c r="N22" s="112">
        <v>0</v>
      </c>
      <c r="O22" s="408" t="s">
        <v>42</v>
      </c>
      <c r="P22" s="408"/>
      <c r="Q22" s="408"/>
      <c r="R22" s="111" t="s">
        <v>82</v>
      </c>
      <c r="S22" s="110"/>
      <c r="V22" s="408"/>
      <c r="W22" s="408"/>
      <c r="X22" s="408"/>
      <c r="Y22" s="109"/>
      <c r="Z22" s="108"/>
    </row>
    <row r="23" spans="1:28" ht="5.25" customHeight="1" x14ac:dyDescent="0.25">
      <c r="A23" s="89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87"/>
    </row>
    <row r="24" spans="1:28" x14ac:dyDescent="0.25">
      <c r="C24" s="107"/>
    </row>
    <row r="25" spans="1:28" ht="15" customHeight="1" x14ac:dyDescent="0.25">
      <c r="A25" s="74" t="s">
        <v>45</v>
      </c>
      <c r="B25" s="73" t="s">
        <v>46</v>
      </c>
      <c r="C25" s="72"/>
      <c r="D25" s="106"/>
      <c r="E25" s="106"/>
      <c r="F25" s="106"/>
      <c r="G25" s="106"/>
      <c r="H25" s="72"/>
      <c r="I25" s="442" t="s">
        <v>47</v>
      </c>
      <c r="J25" s="442"/>
      <c r="K25" s="442"/>
      <c r="L25" s="442"/>
      <c r="M25" s="442"/>
      <c r="N25" s="442"/>
      <c r="O25" s="442"/>
      <c r="P25" s="442"/>
      <c r="Q25" s="557">
        <v>2.48</v>
      </c>
      <c r="R25" s="557"/>
      <c r="S25" s="557"/>
      <c r="T25" s="557"/>
      <c r="U25" s="105" t="s">
        <v>48</v>
      </c>
      <c r="V25" s="72"/>
      <c r="W25" s="72"/>
      <c r="X25" s="72"/>
      <c r="Y25" s="72"/>
      <c r="Z25" s="104"/>
    </row>
    <row r="26" spans="1:28" ht="13.8" customHeight="1" thickBot="1" x14ac:dyDescent="0.3">
      <c r="A26" s="91"/>
      <c r="Z26" s="90"/>
    </row>
    <row r="27" spans="1:28" ht="15.75" customHeight="1" x14ac:dyDescent="0.25">
      <c r="A27" s="91"/>
      <c r="B27" s="549" t="s">
        <v>49</v>
      </c>
      <c r="C27" s="544"/>
      <c r="D27" s="552" t="s">
        <v>50</v>
      </c>
      <c r="E27" s="553"/>
      <c r="F27" s="542" t="s">
        <v>51</v>
      </c>
      <c r="G27" s="542"/>
      <c r="H27" s="542"/>
      <c r="I27" s="543" t="s">
        <v>52</v>
      </c>
      <c r="J27" s="544"/>
      <c r="K27" s="544"/>
      <c r="L27" s="543" t="s">
        <v>53</v>
      </c>
      <c r="M27" s="544"/>
      <c r="N27" s="556"/>
      <c r="O27" s="543" t="s">
        <v>54</v>
      </c>
      <c r="P27" s="544"/>
      <c r="Q27" s="556"/>
      <c r="R27" s="543" t="s">
        <v>55</v>
      </c>
      <c r="S27" s="544"/>
      <c r="T27" s="544"/>
      <c r="U27" s="544"/>
      <c r="V27" s="544"/>
      <c r="W27" s="544"/>
      <c r="X27" s="544"/>
      <c r="Y27" s="545"/>
      <c r="Z27" s="90"/>
    </row>
    <row r="28" spans="1:28" ht="36" customHeight="1" x14ac:dyDescent="0.25">
      <c r="A28" s="91"/>
      <c r="B28" s="550" t="s">
        <v>56</v>
      </c>
      <c r="C28" s="551"/>
      <c r="D28" s="554" t="s">
        <v>57</v>
      </c>
      <c r="E28" s="555"/>
      <c r="F28" s="103" t="s">
        <v>58</v>
      </c>
      <c r="G28" s="103" t="s">
        <v>59</v>
      </c>
      <c r="H28" s="103" t="s">
        <v>60</v>
      </c>
      <c r="I28" s="546"/>
      <c r="J28" s="547"/>
      <c r="K28" s="547"/>
      <c r="L28" s="546" t="s">
        <v>61</v>
      </c>
      <c r="M28" s="547"/>
      <c r="N28" s="561"/>
      <c r="O28" s="546" t="s">
        <v>61</v>
      </c>
      <c r="P28" s="547"/>
      <c r="Q28" s="561"/>
      <c r="R28" s="546"/>
      <c r="S28" s="547"/>
      <c r="T28" s="547"/>
      <c r="U28" s="547"/>
      <c r="V28" s="547"/>
      <c r="W28" s="547"/>
      <c r="X28" s="547"/>
      <c r="Y28" s="548"/>
      <c r="Z28" s="90"/>
    </row>
    <row r="29" spans="1:28" ht="16.8" customHeight="1" x14ac:dyDescent="0.25">
      <c r="A29" s="91"/>
      <c r="B29" s="511">
        <v>1</v>
      </c>
      <c r="C29" s="512"/>
      <c r="D29" s="483"/>
      <c r="E29" s="484"/>
      <c r="F29" s="483"/>
      <c r="G29" s="484"/>
      <c r="H29" s="485"/>
      <c r="I29" s="482">
        <v>2.3069999999999999</v>
      </c>
      <c r="J29" s="482"/>
      <c r="K29" s="482"/>
      <c r="L29" s="490">
        <v>93</v>
      </c>
      <c r="M29" s="488"/>
      <c r="N29" s="489"/>
      <c r="O29" s="488">
        <v>7</v>
      </c>
      <c r="P29" s="488"/>
      <c r="Q29" s="489"/>
      <c r="R29" s="486"/>
      <c r="S29" s="486"/>
      <c r="T29" s="486"/>
      <c r="U29" s="486"/>
      <c r="V29" s="486"/>
      <c r="W29" s="486"/>
      <c r="X29" s="486"/>
      <c r="Y29" s="487"/>
      <c r="Z29" s="90"/>
    </row>
    <row r="30" spans="1:28" ht="16.8" customHeight="1" x14ac:dyDescent="0.25">
      <c r="A30" s="91"/>
      <c r="B30" s="511">
        <v>2</v>
      </c>
      <c r="C30" s="512"/>
      <c r="D30" s="483"/>
      <c r="E30" s="484"/>
      <c r="F30" s="483"/>
      <c r="G30" s="484"/>
      <c r="H30" s="485"/>
      <c r="I30" s="482">
        <v>2.3809999999999998</v>
      </c>
      <c r="J30" s="482"/>
      <c r="K30" s="482"/>
      <c r="L30" s="490">
        <v>96</v>
      </c>
      <c r="M30" s="488"/>
      <c r="N30" s="489"/>
      <c r="O30" s="488">
        <v>4</v>
      </c>
      <c r="P30" s="488"/>
      <c r="Q30" s="489"/>
      <c r="R30" s="486"/>
      <c r="S30" s="486"/>
      <c r="T30" s="486"/>
      <c r="U30" s="486"/>
      <c r="V30" s="486"/>
      <c r="W30" s="486"/>
      <c r="X30" s="486"/>
      <c r="Y30" s="487"/>
      <c r="Z30" s="90"/>
    </row>
    <row r="31" spans="1:28" ht="16.8" customHeight="1" x14ac:dyDescent="0.25">
      <c r="A31" s="91"/>
      <c r="B31" s="511">
        <v>3</v>
      </c>
      <c r="C31" s="512"/>
      <c r="D31" s="483"/>
      <c r="E31" s="484"/>
      <c r="F31" s="483"/>
      <c r="G31" s="484"/>
      <c r="H31" s="485"/>
      <c r="I31" s="482">
        <v>2.278</v>
      </c>
      <c r="J31" s="482"/>
      <c r="K31" s="482"/>
      <c r="L31" s="490">
        <v>91.9</v>
      </c>
      <c r="M31" s="488"/>
      <c r="N31" s="489"/>
      <c r="O31" s="488">
        <v>8.1</v>
      </c>
      <c r="P31" s="488"/>
      <c r="Q31" s="489"/>
      <c r="R31" s="486"/>
      <c r="S31" s="486"/>
      <c r="T31" s="486"/>
      <c r="U31" s="486"/>
      <c r="V31" s="486"/>
      <c r="W31" s="486"/>
      <c r="X31" s="486"/>
      <c r="Y31" s="487"/>
      <c r="Z31" s="90"/>
    </row>
    <row r="32" spans="1:28" ht="16.8" customHeight="1" x14ac:dyDescent="0.25">
      <c r="A32" s="91"/>
      <c r="B32" s="511">
        <v>4</v>
      </c>
      <c r="C32" s="512"/>
      <c r="D32" s="483"/>
      <c r="E32" s="484"/>
      <c r="F32" s="483"/>
      <c r="G32" s="484"/>
      <c r="H32" s="485"/>
      <c r="I32" s="482">
        <v>2.3650000000000002</v>
      </c>
      <c r="J32" s="482"/>
      <c r="K32" s="482"/>
      <c r="L32" s="490">
        <v>95.4</v>
      </c>
      <c r="M32" s="488"/>
      <c r="N32" s="489"/>
      <c r="O32" s="488">
        <v>4.5999999999999996</v>
      </c>
      <c r="P32" s="488"/>
      <c r="Q32" s="489"/>
      <c r="R32" s="486"/>
      <c r="S32" s="486"/>
      <c r="T32" s="486"/>
      <c r="U32" s="486"/>
      <c r="V32" s="486"/>
      <c r="W32" s="486"/>
      <c r="X32" s="486"/>
      <c r="Y32" s="487"/>
      <c r="Z32" s="90"/>
    </row>
    <row r="33" spans="1:26" ht="16.8" customHeight="1" x14ac:dyDescent="0.25">
      <c r="A33" s="91"/>
      <c r="B33" s="511">
        <v>5</v>
      </c>
      <c r="C33" s="512"/>
      <c r="D33" s="483"/>
      <c r="E33" s="484"/>
      <c r="F33" s="483"/>
      <c r="G33" s="484"/>
      <c r="H33" s="485"/>
      <c r="I33" s="482">
        <v>2.282</v>
      </c>
      <c r="J33" s="482"/>
      <c r="K33" s="482"/>
      <c r="L33" s="490">
        <v>92</v>
      </c>
      <c r="M33" s="488"/>
      <c r="N33" s="489"/>
      <c r="O33" s="488">
        <v>8</v>
      </c>
      <c r="P33" s="488"/>
      <c r="Q33" s="489"/>
      <c r="R33" s="486"/>
      <c r="S33" s="486"/>
      <c r="T33" s="486"/>
      <c r="U33" s="486"/>
      <c r="V33" s="486"/>
      <c r="W33" s="486"/>
      <c r="X33" s="486"/>
      <c r="Y33" s="487"/>
      <c r="Z33" s="90"/>
    </row>
    <row r="34" spans="1:26" ht="16.8" customHeight="1" x14ac:dyDescent="0.25">
      <c r="A34" s="91"/>
      <c r="B34" s="511">
        <v>6</v>
      </c>
      <c r="C34" s="512"/>
      <c r="D34" s="483"/>
      <c r="E34" s="484"/>
      <c r="F34" s="483"/>
      <c r="G34" s="484"/>
      <c r="H34" s="485"/>
      <c r="I34" s="482">
        <v>2.2589999999999999</v>
      </c>
      <c r="J34" s="482"/>
      <c r="K34" s="482"/>
      <c r="L34" s="490">
        <v>91.1</v>
      </c>
      <c r="M34" s="488"/>
      <c r="N34" s="489"/>
      <c r="O34" s="488">
        <v>8.9</v>
      </c>
      <c r="P34" s="488"/>
      <c r="Q34" s="489"/>
      <c r="R34" s="486"/>
      <c r="S34" s="486"/>
      <c r="T34" s="486"/>
      <c r="U34" s="486"/>
      <c r="V34" s="486"/>
      <c r="W34" s="486"/>
      <c r="X34" s="486"/>
      <c r="Y34" s="487"/>
      <c r="Z34" s="90"/>
    </row>
    <row r="35" spans="1:26" ht="16.8" customHeight="1" x14ac:dyDescent="0.25">
      <c r="A35" s="91"/>
      <c r="B35" s="511">
        <v>7</v>
      </c>
      <c r="C35" s="512"/>
      <c r="D35" s="483"/>
      <c r="E35" s="484"/>
      <c r="F35" s="483"/>
      <c r="G35" s="484"/>
      <c r="H35" s="485"/>
      <c r="I35" s="482">
        <v>2.2949999999999999</v>
      </c>
      <c r="J35" s="482"/>
      <c r="K35" s="482"/>
      <c r="L35" s="490">
        <v>92.5</v>
      </c>
      <c r="M35" s="488"/>
      <c r="N35" s="489"/>
      <c r="O35" s="488">
        <v>7.5</v>
      </c>
      <c r="P35" s="488"/>
      <c r="Q35" s="489"/>
      <c r="R35" s="486"/>
      <c r="S35" s="486"/>
      <c r="T35" s="486"/>
      <c r="U35" s="486"/>
      <c r="V35" s="486"/>
      <c r="W35" s="486"/>
      <c r="X35" s="486"/>
      <c r="Y35" s="487"/>
      <c r="Z35" s="90"/>
    </row>
    <row r="36" spans="1:26" ht="16.8" customHeight="1" x14ac:dyDescent="0.25">
      <c r="A36" s="91"/>
      <c r="B36" s="511">
        <v>8</v>
      </c>
      <c r="C36" s="512"/>
      <c r="D36" s="483"/>
      <c r="E36" s="484"/>
      <c r="F36" s="483"/>
      <c r="G36" s="484"/>
      <c r="H36" s="485"/>
      <c r="I36" s="482">
        <v>2.359</v>
      </c>
      <c r="J36" s="482"/>
      <c r="K36" s="482"/>
      <c r="L36" s="490">
        <v>95.1</v>
      </c>
      <c r="M36" s="488"/>
      <c r="N36" s="489"/>
      <c r="O36" s="488">
        <v>4.9000000000000004</v>
      </c>
      <c r="P36" s="488"/>
      <c r="Q36" s="489"/>
      <c r="R36" s="486"/>
      <c r="S36" s="486"/>
      <c r="T36" s="486"/>
      <c r="U36" s="486"/>
      <c r="V36" s="486"/>
      <c r="W36" s="486"/>
      <c r="X36" s="486"/>
      <c r="Y36" s="487"/>
      <c r="Z36" s="90"/>
    </row>
    <row r="37" spans="1:26" ht="16.8" customHeight="1" x14ac:dyDescent="0.25">
      <c r="A37" s="91"/>
      <c r="B37" s="511">
        <v>9</v>
      </c>
      <c r="C37" s="512"/>
      <c r="D37" s="483"/>
      <c r="E37" s="484"/>
      <c r="F37" s="483"/>
      <c r="G37" s="484"/>
      <c r="H37" s="485"/>
      <c r="I37" s="482">
        <v>2.3660000000000001</v>
      </c>
      <c r="J37" s="482"/>
      <c r="K37" s="482"/>
      <c r="L37" s="490">
        <v>95.4</v>
      </c>
      <c r="M37" s="488"/>
      <c r="N37" s="489"/>
      <c r="O37" s="488">
        <v>4.5999999999999996</v>
      </c>
      <c r="P37" s="488"/>
      <c r="Q37" s="489"/>
      <c r="R37" s="486"/>
      <c r="S37" s="486"/>
      <c r="T37" s="486"/>
      <c r="U37" s="486"/>
      <c r="V37" s="486"/>
      <c r="W37" s="486"/>
      <c r="X37" s="486"/>
      <c r="Y37" s="487"/>
      <c r="Z37" s="90"/>
    </row>
    <row r="38" spans="1:26" ht="16.8" customHeight="1" x14ac:dyDescent="0.25">
      <c r="A38" s="91"/>
      <c r="B38" s="511">
        <v>10</v>
      </c>
      <c r="C38" s="512"/>
      <c r="D38" s="483"/>
      <c r="E38" s="484"/>
      <c r="F38" s="483"/>
      <c r="G38" s="484"/>
      <c r="H38" s="485"/>
      <c r="I38" s="482">
        <v>2.2970000000000002</v>
      </c>
      <c r="J38" s="482"/>
      <c r="K38" s="482"/>
      <c r="L38" s="490">
        <v>92.6</v>
      </c>
      <c r="M38" s="488"/>
      <c r="N38" s="489"/>
      <c r="O38" s="488">
        <v>7.4</v>
      </c>
      <c r="P38" s="488"/>
      <c r="Q38" s="489"/>
      <c r="R38" s="486"/>
      <c r="S38" s="486"/>
      <c r="T38" s="486"/>
      <c r="U38" s="486"/>
      <c r="V38" s="486"/>
      <c r="W38" s="486"/>
      <c r="X38" s="486"/>
      <c r="Y38" s="487"/>
      <c r="Z38" s="90"/>
    </row>
    <row r="39" spans="1:26" ht="16.8" customHeight="1" x14ac:dyDescent="0.25">
      <c r="A39" s="91"/>
      <c r="B39" s="511">
        <v>11</v>
      </c>
      <c r="C39" s="512"/>
      <c r="D39" s="483"/>
      <c r="E39" s="484"/>
      <c r="F39" s="483"/>
      <c r="G39" s="484"/>
      <c r="H39" s="485"/>
      <c r="I39" s="482">
        <v>2.29</v>
      </c>
      <c r="J39" s="482"/>
      <c r="K39" s="482"/>
      <c r="L39" s="490">
        <v>92.3</v>
      </c>
      <c r="M39" s="488"/>
      <c r="N39" s="489"/>
      <c r="O39" s="488">
        <v>7.7</v>
      </c>
      <c r="P39" s="488"/>
      <c r="Q39" s="489"/>
      <c r="R39" s="486"/>
      <c r="S39" s="486"/>
      <c r="T39" s="486"/>
      <c r="U39" s="486"/>
      <c r="V39" s="486"/>
      <c r="W39" s="486"/>
      <c r="X39" s="486"/>
      <c r="Y39" s="487"/>
      <c r="Z39" s="90"/>
    </row>
    <row r="40" spans="1:26" ht="16.8" customHeight="1" x14ac:dyDescent="0.25">
      <c r="A40" s="91"/>
      <c r="B40" s="511">
        <v>12</v>
      </c>
      <c r="C40" s="512"/>
      <c r="D40" s="483"/>
      <c r="E40" s="484"/>
      <c r="F40" s="483"/>
      <c r="G40" s="484"/>
      <c r="H40" s="485"/>
      <c r="I40" s="482">
        <v>2.3199999999999998</v>
      </c>
      <c r="J40" s="482"/>
      <c r="K40" s="482"/>
      <c r="L40" s="490">
        <v>93.5</v>
      </c>
      <c r="M40" s="488"/>
      <c r="N40" s="489"/>
      <c r="O40" s="488">
        <v>6.5</v>
      </c>
      <c r="P40" s="488"/>
      <c r="Q40" s="489"/>
      <c r="R40" s="486"/>
      <c r="S40" s="486"/>
      <c r="T40" s="486"/>
      <c r="U40" s="486"/>
      <c r="V40" s="486"/>
      <c r="W40" s="486"/>
      <c r="X40" s="486"/>
      <c r="Y40" s="487"/>
      <c r="Z40" s="90"/>
    </row>
    <row r="41" spans="1:26" ht="16.8" customHeight="1" x14ac:dyDescent="0.25">
      <c r="A41" s="91"/>
      <c r="B41" s="511">
        <v>13</v>
      </c>
      <c r="C41" s="512"/>
      <c r="D41" s="483"/>
      <c r="E41" s="484"/>
      <c r="F41" s="483"/>
      <c r="G41" s="484"/>
      <c r="H41" s="485"/>
      <c r="I41" s="482">
        <v>2.3239999999999998</v>
      </c>
      <c r="J41" s="482"/>
      <c r="K41" s="482"/>
      <c r="L41" s="490">
        <v>93.7</v>
      </c>
      <c r="M41" s="488"/>
      <c r="N41" s="489"/>
      <c r="O41" s="488">
        <v>6.3</v>
      </c>
      <c r="P41" s="488"/>
      <c r="Q41" s="489"/>
      <c r="R41" s="486"/>
      <c r="S41" s="486"/>
      <c r="T41" s="486"/>
      <c r="U41" s="486"/>
      <c r="V41" s="486"/>
      <c r="W41" s="486"/>
      <c r="X41" s="486"/>
      <c r="Y41" s="487"/>
      <c r="Z41" s="90"/>
    </row>
    <row r="42" spans="1:26" ht="16.8" customHeight="1" x14ac:dyDescent="0.25">
      <c r="A42" s="91"/>
      <c r="B42" s="511">
        <v>14</v>
      </c>
      <c r="C42" s="512"/>
      <c r="D42" s="483"/>
      <c r="E42" s="484"/>
      <c r="F42" s="483"/>
      <c r="G42" s="484"/>
      <c r="H42" s="485"/>
      <c r="I42" s="482">
        <v>2.3170000000000002</v>
      </c>
      <c r="J42" s="482"/>
      <c r="K42" s="482"/>
      <c r="L42" s="490">
        <v>93.4</v>
      </c>
      <c r="M42" s="488"/>
      <c r="N42" s="489"/>
      <c r="O42" s="488">
        <v>6.6</v>
      </c>
      <c r="P42" s="488"/>
      <c r="Q42" s="489"/>
      <c r="R42" s="486"/>
      <c r="S42" s="486"/>
      <c r="T42" s="486"/>
      <c r="U42" s="486"/>
      <c r="V42" s="486"/>
      <c r="W42" s="486"/>
      <c r="X42" s="486"/>
      <c r="Y42" s="487"/>
      <c r="Z42" s="90"/>
    </row>
    <row r="43" spans="1:26" ht="16.8" customHeight="1" x14ac:dyDescent="0.25">
      <c r="A43" s="91"/>
      <c r="B43" s="511">
        <v>15</v>
      </c>
      <c r="C43" s="512"/>
      <c r="D43" s="483"/>
      <c r="E43" s="484"/>
      <c r="F43" s="483"/>
      <c r="G43" s="484"/>
      <c r="H43" s="485"/>
      <c r="I43" s="482">
        <v>2.3519999999999999</v>
      </c>
      <c r="J43" s="482"/>
      <c r="K43" s="482"/>
      <c r="L43" s="490">
        <v>94.8</v>
      </c>
      <c r="M43" s="488"/>
      <c r="N43" s="489"/>
      <c r="O43" s="488">
        <v>5.2</v>
      </c>
      <c r="P43" s="488"/>
      <c r="Q43" s="489"/>
      <c r="R43" s="486"/>
      <c r="S43" s="486"/>
      <c r="T43" s="486"/>
      <c r="U43" s="486"/>
      <c r="V43" s="486"/>
      <c r="W43" s="486"/>
      <c r="X43" s="486"/>
      <c r="Y43" s="487"/>
      <c r="Z43" s="90"/>
    </row>
    <row r="44" spans="1:26" ht="16.8" customHeight="1" x14ac:dyDescent="0.25">
      <c r="A44" s="91"/>
      <c r="B44" s="511">
        <v>16</v>
      </c>
      <c r="C44" s="512"/>
      <c r="D44" s="483"/>
      <c r="E44" s="484"/>
      <c r="F44" s="483"/>
      <c r="G44" s="484"/>
      <c r="H44" s="485"/>
      <c r="I44" s="482">
        <v>2.323</v>
      </c>
      <c r="J44" s="482"/>
      <c r="K44" s="482"/>
      <c r="L44" s="490">
        <v>93.7</v>
      </c>
      <c r="M44" s="488"/>
      <c r="N44" s="489"/>
      <c r="O44" s="488">
        <v>6.3</v>
      </c>
      <c r="P44" s="488"/>
      <c r="Q44" s="489"/>
      <c r="R44" s="486"/>
      <c r="S44" s="486"/>
      <c r="T44" s="486"/>
      <c r="U44" s="486"/>
      <c r="V44" s="486"/>
      <c r="W44" s="486"/>
      <c r="X44" s="486"/>
      <c r="Y44" s="487"/>
      <c r="Z44" s="90"/>
    </row>
    <row r="45" spans="1:26" ht="16.8" customHeight="1" x14ac:dyDescent="0.25">
      <c r="A45" s="91"/>
      <c r="B45" s="511">
        <v>17</v>
      </c>
      <c r="C45" s="512"/>
      <c r="D45" s="483"/>
      <c r="E45" s="484"/>
      <c r="F45" s="483"/>
      <c r="G45" s="484"/>
      <c r="H45" s="485"/>
      <c r="I45" s="482">
        <v>2.298</v>
      </c>
      <c r="J45" s="482"/>
      <c r="K45" s="482"/>
      <c r="L45" s="490">
        <v>92.7</v>
      </c>
      <c r="M45" s="488"/>
      <c r="N45" s="489"/>
      <c r="O45" s="488">
        <v>7.3</v>
      </c>
      <c r="P45" s="488"/>
      <c r="Q45" s="489"/>
      <c r="R45" s="486"/>
      <c r="S45" s="486"/>
      <c r="T45" s="486"/>
      <c r="U45" s="486"/>
      <c r="V45" s="486"/>
      <c r="W45" s="486"/>
      <c r="X45" s="486"/>
      <c r="Y45" s="487"/>
      <c r="Z45" s="90"/>
    </row>
    <row r="46" spans="1:26" ht="16.8" customHeight="1" x14ac:dyDescent="0.25">
      <c r="A46" s="91"/>
      <c r="B46" s="511">
        <v>18</v>
      </c>
      <c r="C46" s="512"/>
      <c r="D46" s="483"/>
      <c r="E46" s="484"/>
      <c r="F46" s="483"/>
      <c r="G46" s="484"/>
      <c r="H46" s="485"/>
      <c r="I46" s="482">
        <v>2.3239999999999998</v>
      </c>
      <c r="J46" s="482"/>
      <c r="K46" s="482"/>
      <c r="L46" s="490">
        <v>93.7</v>
      </c>
      <c r="M46" s="488"/>
      <c r="N46" s="489"/>
      <c r="O46" s="488">
        <v>6.3</v>
      </c>
      <c r="P46" s="488"/>
      <c r="Q46" s="489"/>
      <c r="R46" s="486"/>
      <c r="S46" s="486"/>
      <c r="T46" s="486"/>
      <c r="U46" s="486"/>
      <c r="V46" s="486"/>
      <c r="W46" s="486"/>
      <c r="X46" s="486"/>
      <c r="Y46" s="487"/>
      <c r="Z46" s="90"/>
    </row>
    <row r="47" spans="1:26" ht="16.8" customHeight="1" x14ac:dyDescent="0.25">
      <c r="A47" s="91"/>
      <c r="B47" s="511">
        <v>19</v>
      </c>
      <c r="C47" s="512"/>
      <c r="D47" s="483"/>
      <c r="E47" s="484"/>
      <c r="F47" s="483"/>
      <c r="G47" s="484"/>
      <c r="H47" s="485"/>
      <c r="I47" s="482">
        <v>2.262</v>
      </c>
      <c r="J47" s="482"/>
      <c r="K47" s="482"/>
      <c r="L47" s="490">
        <v>91.2</v>
      </c>
      <c r="M47" s="488"/>
      <c r="N47" s="489"/>
      <c r="O47" s="488">
        <v>8.8000000000000007</v>
      </c>
      <c r="P47" s="488"/>
      <c r="Q47" s="489"/>
      <c r="R47" s="486"/>
      <c r="S47" s="486"/>
      <c r="T47" s="486"/>
      <c r="U47" s="486"/>
      <c r="V47" s="486"/>
      <c r="W47" s="486"/>
      <c r="X47" s="486"/>
      <c r="Y47" s="487"/>
      <c r="Z47" s="90"/>
    </row>
    <row r="48" spans="1:26" ht="16.8" customHeight="1" x14ac:dyDescent="0.25">
      <c r="A48" s="91"/>
      <c r="B48" s="511">
        <v>20</v>
      </c>
      <c r="C48" s="512"/>
      <c r="D48" s="483"/>
      <c r="E48" s="484"/>
      <c r="F48" s="483"/>
      <c r="G48" s="484"/>
      <c r="H48" s="485"/>
      <c r="I48" s="482">
        <v>2.262</v>
      </c>
      <c r="J48" s="482"/>
      <c r="K48" s="482"/>
      <c r="L48" s="490">
        <v>91.2</v>
      </c>
      <c r="M48" s="488"/>
      <c r="N48" s="489"/>
      <c r="O48" s="488">
        <v>8.8000000000000007</v>
      </c>
      <c r="P48" s="488"/>
      <c r="Q48" s="489"/>
      <c r="R48" s="486"/>
      <c r="S48" s="486"/>
      <c r="T48" s="486"/>
      <c r="U48" s="486"/>
      <c r="V48" s="486"/>
      <c r="W48" s="486"/>
      <c r="X48" s="486"/>
      <c r="Y48" s="487"/>
      <c r="Z48" s="90"/>
    </row>
    <row r="49" spans="1:29" ht="16.8" customHeight="1" x14ac:dyDescent="0.25">
      <c r="A49" s="91"/>
      <c r="B49" s="511">
        <v>21</v>
      </c>
      <c r="C49" s="512"/>
      <c r="D49" s="483"/>
      <c r="E49" s="484"/>
      <c r="F49" s="483"/>
      <c r="G49" s="484"/>
      <c r="H49" s="485"/>
      <c r="I49" s="482">
        <v>2.3660000000000001</v>
      </c>
      <c r="J49" s="482"/>
      <c r="K49" s="482"/>
      <c r="L49" s="490">
        <v>95.4</v>
      </c>
      <c r="M49" s="488"/>
      <c r="N49" s="489"/>
      <c r="O49" s="488">
        <v>4.5999999999999996</v>
      </c>
      <c r="P49" s="488"/>
      <c r="Q49" s="489"/>
      <c r="R49" s="486"/>
      <c r="S49" s="486"/>
      <c r="T49" s="486"/>
      <c r="U49" s="486"/>
      <c r="V49" s="486"/>
      <c r="W49" s="486"/>
      <c r="X49" s="486"/>
      <c r="Y49" s="487"/>
      <c r="Z49" s="90"/>
    </row>
    <row r="50" spans="1:29" ht="16.8" customHeight="1" x14ac:dyDescent="0.25">
      <c r="A50" s="91"/>
      <c r="B50" s="102"/>
      <c r="C50" s="101"/>
      <c r="D50" s="100"/>
      <c r="E50" s="99"/>
      <c r="F50" s="100"/>
      <c r="G50" s="99"/>
      <c r="H50" s="98"/>
      <c r="I50" s="97"/>
      <c r="J50" s="97"/>
      <c r="K50" s="97"/>
      <c r="L50" s="96"/>
      <c r="M50" s="95"/>
      <c r="N50" s="94"/>
      <c r="O50" s="95"/>
      <c r="P50" s="95"/>
      <c r="Q50" s="94"/>
      <c r="R50" s="93"/>
      <c r="S50" s="93"/>
      <c r="T50" s="93"/>
      <c r="U50" s="93"/>
      <c r="V50" s="93"/>
      <c r="W50" s="93"/>
      <c r="X50" s="93"/>
      <c r="Y50" s="92"/>
      <c r="Z50" s="90"/>
    </row>
    <row r="51" spans="1:29" ht="16.8" customHeight="1" x14ac:dyDescent="0.25">
      <c r="A51" s="91"/>
      <c r="B51" s="102"/>
      <c r="C51" s="101"/>
      <c r="D51" s="100"/>
      <c r="E51" s="99"/>
      <c r="F51" s="100"/>
      <c r="G51" s="99"/>
      <c r="H51" s="98"/>
      <c r="I51" s="97"/>
      <c r="J51" s="97"/>
      <c r="K51" s="97"/>
      <c r="L51" s="96"/>
      <c r="M51" s="95"/>
      <c r="N51" s="94"/>
      <c r="O51" s="95"/>
      <c r="P51" s="95"/>
      <c r="Q51" s="94"/>
      <c r="R51" s="93"/>
      <c r="S51" s="93"/>
      <c r="T51" s="93"/>
      <c r="U51" s="93"/>
      <c r="V51" s="93"/>
      <c r="W51" s="93"/>
      <c r="X51" s="93"/>
      <c r="Y51" s="92"/>
      <c r="Z51" s="90"/>
    </row>
    <row r="52" spans="1:29" ht="16.8" customHeight="1" x14ac:dyDescent="0.25">
      <c r="A52" s="91"/>
      <c r="B52" s="102"/>
      <c r="C52" s="101"/>
      <c r="D52" s="100"/>
      <c r="E52" s="99"/>
      <c r="F52" s="100"/>
      <c r="G52" s="99"/>
      <c r="H52" s="98"/>
      <c r="I52" s="97"/>
      <c r="J52" s="97"/>
      <c r="K52" s="97"/>
      <c r="L52" s="96"/>
      <c r="M52" s="95"/>
      <c r="N52" s="94"/>
      <c r="O52" s="95"/>
      <c r="P52" s="95"/>
      <c r="Q52" s="94"/>
      <c r="R52" s="93"/>
      <c r="S52" s="93"/>
      <c r="T52" s="93"/>
      <c r="U52" s="93"/>
      <c r="V52" s="93"/>
      <c r="W52" s="93"/>
      <c r="X52" s="93"/>
      <c r="Y52" s="92"/>
      <c r="Z52" s="90"/>
    </row>
    <row r="53" spans="1:29" ht="17.25" customHeight="1" x14ac:dyDescent="0.25">
      <c r="A53" s="91"/>
      <c r="B53" s="511"/>
      <c r="C53" s="512"/>
      <c r="D53" s="483"/>
      <c r="E53" s="484"/>
      <c r="F53" s="483"/>
      <c r="G53" s="484"/>
      <c r="H53" s="485"/>
      <c r="I53" s="482"/>
      <c r="J53" s="482"/>
      <c r="K53" s="482"/>
      <c r="L53" s="490"/>
      <c r="M53" s="488"/>
      <c r="N53" s="489"/>
      <c r="O53" s="488"/>
      <c r="P53" s="488"/>
      <c r="Q53" s="489"/>
      <c r="R53" s="486"/>
      <c r="S53" s="486"/>
      <c r="T53" s="486"/>
      <c r="U53" s="486"/>
      <c r="V53" s="486"/>
      <c r="W53" s="486"/>
      <c r="X53" s="486"/>
      <c r="Y53" s="487"/>
      <c r="Z53" s="90"/>
    </row>
    <row r="54" spans="1:29" ht="16.5" customHeight="1" thickBot="1" x14ac:dyDescent="0.3">
      <c r="A54" s="91"/>
      <c r="B54" s="516" t="s">
        <v>62</v>
      </c>
      <c r="C54" s="517"/>
      <c r="D54" s="517"/>
      <c r="E54" s="517"/>
      <c r="F54" s="517"/>
      <c r="G54" s="517"/>
      <c r="H54" s="517"/>
      <c r="I54" s="518">
        <v>2.3199999999999998</v>
      </c>
      <c r="J54" s="518"/>
      <c r="K54" s="518"/>
      <c r="L54" s="472">
        <v>93.36</v>
      </c>
      <c r="M54" s="472"/>
      <c r="N54" s="472"/>
      <c r="O54" s="472">
        <v>6.64</v>
      </c>
      <c r="P54" s="472"/>
      <c r="Q54" s="472"/>
      <c r="R54" s="519"/>
      <c r="S54" s="519"/>
      <c r="T54" s="519"/>
      <c r="U54" s="519"/>
      <c r="V54" s="519"/>
      <c r="W54" s="519"/>
      <c r="X54" s="519"/>
      <c r="Y54" s="520"/>
      <c r="Z54" s="90"/>
    </row>
    <row r="55" spans="1:29" ht="25.5" customHeight="1" thickBot="1" x14ac:dyDescent="0.3">
      <c r="A55" s="91"/>
      <c r="B55" s="470" t="s">
        <v>63</v>
      </c>
      <c r="C55" s="471"/>
      <c r="D55" s="471"/>
      <c r="E55" s="471"/>
      <c r="F55" s="471"/>
      <c r="G55" s="471"/>
      <c r="H55" s="471"/>
      <c r="I55" s="513">
        <v>100</v>
      </c>
      <c r="J55" s="513"/>
      <c r="K55" s="513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Y55" s="515"/>
      <c r="Z55" s="90"/>
    </row>
    <row r="56" spans="1:29" ht="15" customHeight="1" x14ac:dyDescent="0.25">
      <c r="A56" s="89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7"/>
    </row>
    <row r="57" spans="1:29" ht="16.5" customHeight="1" x14ac:dyDescent="0.25"/>
    <row r="58" spans="1:29" ht="34.5" customHeight="1" x14ac:dyDescent="0.25">
      <c r="A58" s="86" t="s">
        <v>64</v>
      </c>
      <c r="B58" s="85" t="s">
        <v>65</v>
      </c>
      <c r="C58" s="84"/>
      <c r="D58" s="84"/>
      <c r="E58" s="84"/>
      <c r="F58" s="83"/>
      <c r="G58" s="83"/>
      <c r="H58" s="83"/>
      <c r="I58" s="72"/>
      <c r="J58" s="72"/>
      <c r="K58" s="72"/>
      <c r="L58" s="72"/>
      <c r="M58" s="72"/>
      <c r="N58" s="72"/>
      <c r="O58" s="72"/>
      <c r="P58" s="72"/>
      <c r="Q58" s="83"/>
      <c r="R58" s="72"/>
      <c r="S58" s="72"/>
      <c r="T58" s="72"/>
      <c r="U58" s="558"/>
      <c r="V58" s="558"/>
      <c r="W58" s="558"/>
      <c r="X58" s="558"/>
      <c r="Y58" s="558"/>
      <c r="Z58" s="559"/>
      <c r="AA58" s="59"/>
      <c r="AB58" s="59"/>
      <c r="AC58" s="59"/>
    </row>
    <row r="59" spans="1:29" ht="27" customHeight="1" x14ac:dyDescent="0.25">
      <c r="A59" s="564" t="s">
        <v>66</v>
      </c>
      <c r="B59" s="565"/>
      <c r="C59" s="565"/>
      <c r="D59" s="565"/>
      <c r="E59" s="565"/>
      <c r="F59" s="565"/>
      <c r="G59" s="82"/>
      <c r="H59" s="82"/>
      <c r="I59" s="82"/>
      <c r="J59" s="82"/>
      <c r="K59" s="81"/>
      <c r="L59" s="562" t="s">
        <v>74</v>
      </c>
      <c r="M59" s="563"/>
      <c r="N59" s="563"/>
      <c r="O59" s="563"/>
      <c r="P59" s="563"/>
      <c r="Q59" s="80"/>
      <c r="R59" s="560" t="s">
        <v>67</v>
      </c>
      <c r="S59" s="560"/>
      <c r="T59" s="560"/>
      <c r="U59" s="492" t="s">
        <v>131</v>
      </c>
      <c r="V59" s="402"/>
      <c r="W59" s="402"/>
      <c r="X59" s="402"/>
      <c r="Y59" s="402"/>
      <c r="Z59" s="403"/>
      <c r="AA59" s="59"/>
      <c r="AB59" s="59"/>
      <c r="AC59" s="59"/>
    </row>
    <row r="60" spans="1:29" ht="15.75" customHeight="1" x14ac:dyDescent="0.25">
      <c r="A60" s="79"/>
      <c r="K60" s="78"/>
      <c r="R60" s="417" t="s">
        <v>68</v>
      </c>
      <c r="S60" s="418"/>
      <c r="T60" s="419"/>
      <c r="U60" s="495" t="s">
        <v>130</v>
      </c>
      <c r="V60" s="496"/>
      <c r="W60" s="496"/>
      <c r="X60" s="496"/>
      <c r="Y60" s="496"/>
      <c r="Z60" s="497"/>
      <c r="AA60" s="59"/>
      <c r="AB60" s="59"/>
      <c r="AC60" s="59"/>
    </row>
    <row r="61" spans="1:29" ht="9" customHeight="1" x14ac:dyDescent="0.25">
      <c r="A61" s="77"/>
      <c r="B61" s="75"/>
      <c r="C61" s="75"/>
      <c r="D61" s="75"/>
      <c r="E61" s="75"/>
      <c r="F61" s="75"/>
      <c r="G61" s="75"/>
      <c r="H61" s="75"/>
      <c r="I61" s="75"/>
      <c r="J61" s="75"/>
      <c r="K61" s="76"/>
      <c r="L61" s="75"/>
      <c r="M61" s="75"/>
      <c r="N61" s="75"/>
      <c r="O61" s="75"/>
      <c r="P61" s="75"/>
      <c r="Q61" s="75"/>
      <c r="R61" s="417"/>
      <c r="S61" s="418"/>
      <c r="T61" s="419"/>
      <c r="U61" s="498"/>
      <c r="V61" s="499"/>
      <c r="W61" s="499"/>
      <c r="X61" s="499"/>
      <c r="Y61" s="499"/>
      <c r="Z61" s="500"/>
      <c r="AA61" s="59"/>
      <c r="AB61" s="59"/>
      <c r="AC61" s="59"/>
    </row>
    <row r="62" spans="1:29" ht="15.9" customHeight="1" x14ac:dyDescent="0.25">
      <c r="A62" s="74" t="s">
        <v>69</v>
      </c>
      <c r="B62" s="73" t="s">
        <v>70</v>
      </c>
      <c r="C62" s="72"/>
      <c r="D62" s="72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0"/>
      <c r="R62" s="417"/>
      <c r="S62" s="418"/>
      <c r="T62" s="419"/>
      <c r="U62" s="498"/>
      <c r="V62" s="499"/>
      <c r="W62" s="499"/>
      <c r="X62" s="499"/>
      <c r="Y62" s="499"/>
      <c r="Z62" s="500"/>
      <c r="AA62" s="59"/>
      <c r="AB62" s="59"/>
      <c r="AC62" s="59"/>
    </row>
    <row r="63" spans="1:29" ht="15.9" customHeight="1" x14ac:dyDescent="0.25">
      <c r="A63" s="464"/>
      <c r="B63" s="465"/>
      <c r="C63" s="465"/>
      <c r="D63" s="465"/>
      <c r="E63" s="465"/>
      <c r="F63" s="465"/>
      <c r="G63" s="465"/>
      <c r="H63" s="465"/>
      <c r="I63" s="465"/>
      <c r="J63" s="465"/>
      <c r="K63" s="465"/>
      <c r="L63" s="465"/>
      <c r="M63" s="465"/>
      <c r="N63" s="465"/>
      <c r="O63" s="465"/>
      <c r="P63" s="465"/>
      <c r="Q63" s="466"/>
      <c r="R63" s="417" t="s">
        <v>71</v>
      </c>
      <c r="S63" s="418"/>
      <c r="T63" s="419"/>
      <c r="U63" s="69"/>
      <c r="V63" s="68"/>
      <c r="W63" s="68"/>
      <c r="X63" s="68"/>
      <c r="Y63" s="68"/>
      <c r="Z63" s="67"/>
      <c r="AA63" s="59"/>
      <c r="AB63" s="59"/>
      <c r="AC63" s="59"/>
    </row>
    <row r="64" spans="1:29" ht="16.5" customHeight="1" x14ac:dyDescent="0.25">
      <c r="A64" s="464"/>
      <c r="B64" s="465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65"/>
      <c r="Q64" s="466"/>
      <c r="R64" s="417"/>
      <c r="S64" s="418"/>
      <c r="T64" s="419"/>
      <c r="U64" s="66"/>
      <c r="V64" s="408"/>
      <c r="W64" s="408"/>
      <c r="X64" s="408"/>
      <c r="Y64" s="408"/>
      <c r="Z64" s="65"/>
      <c r="AA64" s="59"/>
      <c r="AB64" s="59"/>
      <c r="AC64" s="59"/>
    </row>
    <row r="65" spans="1:29" ht="16.5" customHeight="1" x14ac:dyDescent="0.25">
      <c r="A65" s="464"/>
      <c r="B65" s="465"/>
      <c r="C65" s="465"/>
      <c r="D65" s="465"/>
      <c r="E65" s="465"/>
      <c r="F65" s="465"/>
      <c r="G65" s="465"/>
      <c r="H65" s="465"/>
      <c r="I65" s="465"/>
      <c r="J65" s="465"/>
      <c r="K65" s="465"/>
      <c r="L65" s="465"/>
      <c r="M65" s="465"/>
      <c r="N65" s="465"/>
      <c r="O65" s="465"/>
      <c r="P65" s="465"/>
      <c r="Q65" s="466"/>
      <c r="R65" s="417"/>
      <c r="S65" s="418"/>
      <c r="T65" s="419"/>
      <c r="U65" s="66"/>
      <c r="V65" s="408"/>
      <c r="W65" s="408"/>
      <c r="X65" s="408"/>
      <c r="Y65" s="408"/>
      <c r="Z65" s="65"/>
      <c r="AA65" s="59"/>
      <c r="AB65" s="59"/>
      <c r="AC65" s="59"/>
    </row>
    <row r="66" spans="1:29" ht="16.5" customHeight="1" x14ac:dyDescent="0.25">
      <c r="A66" s="467"/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  <c r="O66" s="468"/>
      <c r="P66" s="468"/>
      <c r="Q66" s="469"/>
      <c r="R66" s="479"/>
      <c r="S66" s="480"/>
      <c r="T66" s="481"/>
      <c r="U66" s="64"/>
      <c r="V66" s="63"/>
      <c r="W66" s="63"/>
      <c r="X66" s="63"/>
      <c r="Y66" s="63"/>
      <c r="Z66" s="62"/>
      <c r="AA66" s="59"/>
      <c r="AB66" s="59"/>
      <c r="AC66" s="59"/>
    </row>
    <row r="67" spans="1:29" ht="16.5" customHeight="1" x14ac:dyDescent="0.25">
      <c r="R67" s="61"/>
      <c r="S67" s="61"/>
      <c r="T67" s="61"/>
      <c r="U67" s="60"/>
      <c r="V67" s="60"/>
      <c r="W67" s="60"/>
      <c r="X67" s="60"/>
      <c r="Y67" s="60"/>
      <c r="Z67" s="60"/>
      <c r="AA67" s="59"/>
      <c r="AB67" s="59"/>
      <c r="AC67" s="59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B21:H21"/>
    <mergeCell ref="I21:Y21"/>
    <mergeCell ref="G15:L15"/>
    <mergeCell ref="O22:Q22"/>
    <mergeCell ref="S11:W11"/>
    <mergeCell ref="X11:Y11"/>
    <mergeCell ref="G11:L11"/>
    <mergeCell ref="G12:L12"/>
    <mergeCell ref="D30:E30"/>
    <mergeCell ref="F30:H30"/>
    <mergeCell ref="I30:K30"/>
    <mergeCell ref="L30:N30"/>
    <mergeCell ref="O29:Q29"/>
    <mergeCell ref="R29:Y29"/>
    <mergeCell ref="O30:Q30"/>
    <mergeCell ref="R30:Y30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4:F14"/>
    <mergeCell ref="B10:F10"/>
    <mergeCell ref="B15:F15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G13:L13"/>
    <mergeCell ref="R54:Y54"/>
    <mergeCell ref="U58:Z58"/>
    <mergeCell ref="S13:Y13"/>
    <mergeCell ref="M14:R14"/>
    <mergeCell ref="S14:Y14"/>
    <mergeCell ref="M11:O11"/>
    <mergeCell ref="R53:Y53"/>
    <mergeCell ref="O53:Q53"/>
    <mergeCell ref="L53:N53"/>
    <mergeCell ref="L54:N54"/>
    <mergeCell ref="L28:N28"/>
    <mergeCell ref="P11:R11"/>
    <mergeCell ref="G14:L14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I25:P25"/>
    <mergeCell ref="U59:Z59"/>
    <mergeCell ref="R59:T59"/>
    <mergeCell ref="L59:P59"/>
    <mergeCell ref="R27:Y28"/>
    <mergeCell ref="L27:N27"/>
    <mergeCell ref="B28:C28"/>
    <mergeCell ref="A63:Q66"/>
    <mergeCell ref="B55:H55"/>
    <mergeCell ref="O54:Q54"/>
    <mergeCell ref="R60:T62"/>
    <mergeCell ref="U60:Z62"/>
    <mergeCell ref="R63:T66"/>
    <mergeCell ref="V64:Y65"/>
    <mergeCell ref="F53:H53"/>
    <mergeCell ref="D53:E53"/>
    <mergeCell ref="A59:F59"/>
    <mergeCell ref="B53:C53"/>
    <mergeCell ref="B54:H54"/>
    <mergeCell ref="I55:K55"/>
    <mergeCell ref="L55:Y55"/>
    <mergeCell ref="I54:K54"/>
    <mergeCell ref="I53:K53"/>
    <mergeCell ref="D27:E27"/>
    <mergeCell ref="O28:Q2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4405-637E-4A12-8A08-6500B1DC9379}">
  <sheetPr>
    <pageSetUpPr fitToPage="1"/>
  </sheetPr>
  <dimension ref="A1:AC64"/>
  <sheetViews>
    <sheetView topLeftCell="A10" workbookViewId="0">
      <selection activeCell="AC25" sqref="AC2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6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26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26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26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26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25</v>
      </c>
      <c r="J5" s="728"/>
      <c r="K5" s="729"/>
      <c r="L5" s="767" t="s">
        <v>4</v>
      </c>
      <c r="M5" s="768"/>
      <c r="N5" s="768"/>
      <c r="O5" s="769"/>
      <c r="P5" s="750" t="s">
        <v>128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26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26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26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6" customHeight="1" x14ac:dyDescent="0.25">
      <c r="A9" s="9"/>
      <c r="D9" s="10"/>
      <c r="E9" s="10"/>
      <c r="F9" s="10"/>
      <c r="G9" s="10"/>
      <c r="Z9" s="11"/>
    </row>
    <row r="10" spans="1:26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26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128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49"/>
    </row>
    <row r="12" spans="1:26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26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128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126</v>
      </c>
      <c r="T13" s="770"/>
      <c r="U13" s="770"/>
      <c r="V13" s="770"/>
      <c r="W13" s="770"/>
      <c r="X13" s="770"/>
      <c r="Y13" s="770"/>
      <c r="Z13" s="12"/>
    </row>
    <row r="14" spans="1:26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120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26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125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</row>
    <row r="16" spans="1:26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6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6" ht="15" customHeight="1" x14ac:dyDescent="0.25">
      <c r="B18" s="17"/>
      <c r="C18" s="17"/>
      <c r="K18" s="18"/>
      <c r="L18" s="17"/>
      <c r="M18" s="19"/>
    </row>
    <row r="19" spans="1:26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 ht="6" customHeight="1" x14ac:dyDescent="0.25">
      <c r="A20" s="9"/>
      <c r="B20" s="20"/>
      <c r="Z20" s="11"/>
    </row>
    <row r="21" spans="1:26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6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43</v>
      </c>
      <c r="S22" s="44"/>
      <c r="V22" s="690"/>
      <c r="W22" s="690"/>
      <c r="X22" s="690"/>
      <c r="Y22" s="33"/>
      <c r="Z22" s="12"/>
    </row>
    <row r="23" spans="1:26" ht="18.600000000000001" customHeight="1" x14ac:dyDescent="0.25">
      <c r="A23" s="2"/>
      <c r="B23" s="776"/>
      <c r="C23" s="776"/>
      <c r="D23" s="776"/>
      <c r="E23" s="776"/>
      <c r="F23" s="776"/>
      <c r="G23" s="776"/>
      <c r="H23" s="776"/>
      <c r="I23" s="3"/>
      <c r="J23" s="3"/>
      <c r="K23" s="3"/>
      <c r="L23" s="3"/>
      <c r="M23" s="53">
        <v>0</v>
      </c>
      <c r="N23" s="777" t="s">
        <v>44</v>
      </c>
      <c r="O23" s="777"/>
      <c r="P23" s="777"/>
      <c r="Q23" s="777"/>
      <c r="R23" s="777"/>
      <c r="S23" s="777"/>
      <c r="T23" s="53">
        <v>9</v>
      </c>
      <c r="U23" s="3"/>
      <c r="V23" s="3"/>
      <c r="W23" s="3"/>
      <c r="X23" s="3"/>
      <c r="Y23" s="3"/>
      <c r="Z23" s="16"/>
    </row>
    <row r="24" spans="1:26" x14ac:dyDescent="0.25">
      <c r="C24" s="21"/>
    </row>
    <row r="25" spans="1:26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6" ht="13.8" customHeight="1" thickBot="1" x14ac:dyDescent="0.3">
      <c r="A26" s="9"/>
      <c r="Z26" s="11"/>
    </row>
    <row r="27" spans="1:26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6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6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2.3250000000000002</v>
      </c>
      <c r="J29" s="683"/>
      <c r="K29" s="683"/>
      <c r="L29" s="684">
        <v>93.8</v>
      </c>
      <c r="M29" s="685"/>
      <c r="N29" s="686"/>
      <c r="O29" s="685">
        <v>6.2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6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2.3290000000000002</v>
      </c>
      <c r="J30" s="683"/>
      <c r="K30" s="683"/>
      <c r="L30" s="684">
        <v>93.9</v>
      </c>
      <c r="M30" s="685"/>
      <c r="N30" s="686"/>
      <c r="O30" s="685">
        <v>6.1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6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2.2799999999999998</v>
      </c>
      <c r="J31" s="683"/>
      <c r="K31" s="683"/>
      <c r="L31" s="684">
        <v>91.9</v>
      </c>
      <c r="M31" s="685"/>
      <c r="N31" s="686"/>
      <c r="O31" s="685">
        <v>8.1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6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2.3180000000000001</v>
      </c>
      <c r="J32" s="683"/>
      <c r="K32" s="683"/>
      <c r="L32" s="684">
        <v>93.5</v>
      </c>
      <c r="M32" s="685"/>
      <c r="N32" s="686"/>
      <c r="O32" s="685">
        <v>6.5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2.343</v>
      </c>
      <c r="J33" s="683"/>
      <c r="K33" s="683"/>
      <c r="L33" s="684">
        <v>94.5</v>
      </c>
      <c r="M33" s="685"/>
      <c r="N33" s="686"/>
      <c r="O33" s="685">
        <v>5.5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2.3319999999999999</v>
      </c>
      <c r="J34" s="683"/>
      <c r="K34" s="683"/>
      <c r="L34" s="684">
        <v>94</v>
      </c>
      <c r="M34" s="685"/>
      <c r="N34" s="686"/>
      <c r="O34" s="685">
        <v>6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2.2429999999999999</v>
      </c>
      <c r="J35" s="683"/>
      <c r="K35" s="683"/>
      <c r="L35" s="684">
        <v>90.4</v>
      </c>
      <c r="M35" s="685"/>
      <c r="N35" s="686"/>
      <c r="O35" s="685">
        <v>9.6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2.2759999999999998</v>
      </c>
      <c r="J36" s="683"/>
      <c r="K36" s="683"/>
      <c r="L36" s="684">
        <v>91.8</v>
      </c>
      <c r="M36" s="685"/>
      <c r="N36" s="686"/>
      <c r="O36" s="685">
        <v>8.1999999999999993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2.234</v>
      </c>
      <c r="J37" s="683"/>
      <c r="K37" s="683"/>
      <c r="L37" s="684">
        <v>90.1</v>
      </c>
      <c r="M37" s="685"/>
      <c r="N37" s="686"/>
      <c r="O37" s="685">
        <v>9.9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2.3530000000000002</v>
      </c>
      <c r="J38" s="683"/>
      <c r="K38" s="683"/>
      <c r="L38" s="684">
        <v>94.9</v>
      </c>
      <c r="M38" s="685"/>
      <c r="N38" s="686"/>
      <c r="O38" s="685">
        <v>5.0999999999999996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2.262</v>
      </c>
      <c r="J39" s="683"/>
      <c r="K39" s="683"/>
      <c r="L39" s="684">
        <v>91.2</v>
      </c>
      <c r="M39" s="685"/>
      <c r="N39" s="686"/>
      <c r="O39" s="685">
        <v>8.8000000000000007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2.2679999999999998</v>
      </c>
      <c r="J40" s="683"/>
      <c r="K40" s="683"/>
      <c r="L40" s="684">
        <v>91.5</v>
      </c>
      <c r="M40" s="685"/>
      <c r="N40" s="686"/>
      <c r="O40" s="685">
        <v>8.5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2.3199999999999998</v>
      </c>
      <c r="J41" s="683"/>
      <c r="K41" s="683"/>
      <c r="L41" s="684">
        <v>93.5</v>
      </c>
      <c r="M41" s="685"/>
      <c r="N41" s="686"/>
      <c r="O41" s="685">
        <v>6.5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2.2410000000000001</v>
      </c>
      <c r="J42" s="683"/>
      <c r="K42" s="683"/>
      <c r="L42" s="684">
        <v>90.4</v>
      </c>
      <c r="M42" s="685"/>
      <c r="N42" s="686"/>
      <c r="O42" s="685">
        <v>9.6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2.3050000000000002</v>
      </c>
      <c r="J43" s="683"/>
      <c r="K43" s="683"/>
      <c r="L43" s="684">
        <v>92.9</v>
      </c>
      <c r="M43" s="685"/>
      <c r="N43" s="686"/>
      <c r="O43" s="685">
        <v>7.1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2.323</v>
      </c>
      <c r="J44" s="683"/>
      <c r="K44" s="683"/>
      <c r="L44" s="684">
        <v>93.7</v>
      </c>
      <c r="M44" s="685"/>
      <c r="N44" s="686"/>
      <c r="O44" s="685">
        <v>6.3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2.2999999999999998</v>
      </c>
      <c r="J51" s="735"/>
      <c r="K51" s="735"/>
      <c r="L51" s="698">
        <v>92.63</v>
      </c>
      <c r="M51" s="698"/>
      <c r="N51" s="698"/>
      <c r="O51" s="698">
        <v>7.37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3"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B45:C45"/>
    <mergeCell ref="D45:E45"/>
    <mergeCell ref="F45:H45"/>
    <mergeCell ref="I45:K45"/>
    <mergeCell ref="L45:N45"/>
    <mergeCell ref="O45:Q45"/>
    <mergeCell ref="F46:H46"/>
    <mergeCell ref="I46:K46"/>
    <mergeCell ref="L46:N46"/>
    <mergeCell ref="O46:Q46"/>
    <mergeCell ref="B46:C46"/>
    <mergeCell ref="D46:E46"/>
    <mergeCell ref="B23:H23"/>
    <mergeCell ref="S13:Y13"/>
    <mergeCell ref="B21:H21"/>
    <mergeCell ref="I21:Y21"/>
    <mergeCell ref="G15:L15"/>
    <mergeCell ref="S15:Y15"/>
    <mergeCell ref="M15:R15"/>
    <mergeCell ref="N23:S23"/>
    <mergeCell ref="F27:H27"/>
    <mergeCell ref="B22:H22"/>
    <mergeCell ref="I22:M22"/>
    <mergeCell ref="R27:Y28"/>
    <mergeCell ref="B27:C27"/>
    <mergeCell ref="B28:C28"/>
    <mergeCell ref="D27:E27"/>
    <mergeCell ref="D28:E28"/>
    <mergeCell ref="I27:K28"/>
    <mergeCell ref="O22:Q22"/>
    <mergeCell ref="L27:N27"/>
    <mergeCell ref="V22:X22"/>
    <mergeCell ref="Q25:T25"/>
    <mergeCell ref="O27:Q27"/>
    <mergeCell ref="O28:Q28"/>
    <mergeCell ref="I25:P25"/>
    <mergeCell ref="S10:Y10"/>
    <mergeCell ref="S12:Y12"/>
    <mergeCell ref="B14:F14"/>
    <mergeCell ref="G14:L14"/>
    <mergeCell ref="B16:F16"/>
    <mergeCell ref="M10:R10"/>
    <mergeCell ref="G10:L10"/>
    <mergeCell ref="M13:R13"/>
    <mergeCell ref="M12:R12"/>
    <mergeCell ref="B10:F10"/>
    <mergeCell ref="B15:F15"/>
    <mergeCell ref="B11:F11"/>
    <mergeCell ref="G11:L11"/>
    <mergeCell ref="B12:F12"/>
    <mergeCell ref="G12:L12"/>
    <mergeCell ref="B13:F13"/>
    <mergeCell ref="G13:L13"/>
    <mergeCell ref="M14:R14"/>
    <mergeCell ref="S14:Y14"/>
    <mergeCell ref="P6:T6"/>
    <mergeCell ref="I5:K5"/>
    <mergeCell ref="I6:K6"/>
    <mergeCell ref="I52:K52"/>
    <mergeCell ref="L52:Y52"/>
    <mergeCell ref="B51:H51"/>
    <mergeCell ref="I51:K51"/>
    <mergeCell ref="I50:K50"/>
    <mergeCell ref="F50:H50"/>
    <mergeCell ref="R50:Y50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1:O11"/>
    <mergeCell ref="P11:R11"/>
    <mergeCell ref="S11:W11"/>
    <mergeCell ref="X11:Y11"/>
    <mergeCell ref="V61:Y62"/>
    <mergeCell ref="D50:E50"/>
    <mergeCell ref="L56:P56"/>
    <mergeCell ref="A56:F56"/>
    <mergeCell ref="L28:N28"/>
    <mergeCell ref="B50:C50"/>
    <mergeCell ref="O50:Q50"/>
    <mergeCell ref="L50:N50"/>
    <mergeCell ref="L51:N51"/>
    <mergeCell ref="R51:Y51"/>
    <mergeCell ref="A60:Q63"/>
    <mergeCell ref="B52:H52"/>
    <mergeCell ref="O51:Q51"/>
    <mergeCell ref="R57:T59"/>
    <mergeCell ref="U57:Z59"/>
    <mergeCell ref="R60:T63"/>
    <mergeCell ref="R30:Y30"/>
    <mergeCell ref="O31:Q31"/>
    <mergeCell ref="R31:Y31"/>
    <mergeCell ref="O32:Q32"/>
    <mergeCell ref="R32:Y32"/>
    <mergeCell ref="O33:Q33"/>
    <mergeCell ref="U55:Z55"/>
    <mergeCell ref="U56:Z56"/>
    <mergeCell ref="O29:Q29"/>
    <mergeCell ref="R29:Y29"/>
    <mergeCell ref="R56:T56"/>
    <mergeCell ref="O30:Q30"/>
    <mergeCell ref="L34:N34"/>
    <mergeCell ref="O34:Q34"/>
    <mergeCell ref="R34:Y34"/>
    <mergeCell ref="R33:Y33"/>
    <mergeCell ref="O35:Q35"/>
    <mergeCell ref="R35:Y35"/>
    <mergeCell ref="R36:Y36"/>
    <mergeCell ref="R37:Y37"/>
    <mergeCell ref="R41:Y41"/>
    <mergeCell ref="R42:Y42"/>
    <mergeCell ref="R43:Y43"/>
    <mergeCell ref="R40:Y40"/>
    <mergeCell ref="R45:Y45"/>
    <mergeCell ref="R46:Y46"/>
    <mergeCell ref="R49:Y49"/>
    <mergeCell ref="B30:C30"/>
    <mergeCell ref="D30:E30"/>
    <mergeCell ref="F30:H30"/>
    <mergeCell ref="I30:K30"/>
    <mergeCell ref="L30:N30"/>
    <mergeCell ref="B29:C29"/>
    <mergeCell ref="D29:E29"/>
    <mergeCell ref="F29:H29"/>
    <mergeCell ref="I29:K29"/>
    <mergeCell ref="L29:N29"/>
    <mergeCell ref="B32:C32"/>
    <mergeCell ref="D32:E32"/>
    <mergeCell ref="F32:H32"/>
    <mergeCell ref="I32:K32"/>
    <mergeCell ref="L32:N32"/>
    <mergeCell ref="B31:C31"/>
    <mergeCell ref="D31:E31"/>
    <mergeCell ref="F31:H31"/>
    <mergeCell ref="I31:K31"/>
    <mergeCell ref="L31:N31"/>
    <mergeCell ref="B33:C33"/>
    <mergeCell ref="D33:E33"/>
    <mergeCell ref="F33:H33"/>
    <mergeCell ref="I33:K33"/>
    <mergeCell ref="L33:N33"/>
    <mergeCell ref="B35:C35"/>
    <mergeCell ref="D35:E35"/>
    <mergeCell ref="F35:H35"/>
    <mergeCell ref="I35:K35"/>
    <mergeCell ref="L35:N35"/>
    <mergeCell ref="B34:C34"/>
    <mergeCell ref="D34:E34"/>
    <mergeCell ref="F34:H34"/>
    <mergeCell ref="I34:K34"/>
    <mergeCell ref="B37:C37"/>
    <mergeCell ref="R39:Y39"/>
    <mergeCell ref="B36:C36"/>
    <mergeCell ref="D36:E36"/>
    <mergeCell ref="F36:H36"/>
    <mergeCell ref="I36:K36"/>
    <mergeCell ref="L36:N36"/>
    <mergeCell ref="O36:Q36"/>
    <mergeCell ref="D37:E37"/>
    <mergeCell ref="F37:H37"/>
    <mergeCell ref="I37:K37"/>
    <mergeCell ref="L37:N37"/>
    <mergeCell ref="O37:Q37"/>
    <mergeCell ref="B39:C39"/>
    <mergeCell ref="D39:E39"/>
    <mergeCell ref="B38:C38"/>
    <mergeCell ref="D38:E38"/>
    <mergeCell ref="F38:H38"/>
    <mergeCell ref="I38:K38"/>
    <mergeCell ref="L38:N38"/>
    <mergeCell ref="O38:Q38"/>
    <mergeCell ref="R38:Y38"/>
    <mergeCell ref="B41:C41"/>
    <mergeCell ref="D41:E41"/>
    <mergeCell ref="F41:H41"/>
    <mergeCell ref="I41:K41"/>
    <mergeCell ref="L41:N41"/>
    <mergeCell ref="O39:Q39"/>
    <mergeCell ref="F39:H39"/>
    <mergeCell ref="I39:K39"/>
    <mergeCell ref="L39:N39"/>
    <mergeCell ref="O41:Q41"/>
    <mergeCell ref="B40:C40"/>
    <mergeCell ref="D40:E40"/>
    <mergeCell ref="F40:H40"/>
    <mergeCell ref="I40:K40"/>
    <mergeCell ref="L40:N40"/>
    <mergeCell ref="O40:Q40"/>
    <mergeCell ref="B44:C44"/>
    <mergeCell ref="D44:E44"/>
    <mergeCell ref="F44:H44"/>
    <mergeCell ref="I44:K44"/>
    <mergeCell ref="L44:N44"/>
    <mergeCell ref="O44:Q44"/>
    <mergeCell ref="R44:Y44"/>
    <mergeCell ref="B43:C43"/>
    <mergeCell ref="B42:C42"/>
    <mergeCell ref="D42:E42"/>
    <mergeCell ref="F42:H42"/>
    <mergeCell ref="I42:K42"/>
    <mergeCell ref="L42:N42"/>
    <mergeCell ref="O42:Q42"/>
    <mergeCell ref="D43:E43"/>
    <mergeCell ref="F43:H43"/>
    <mergeCell ref="I43:K43"/>
    <mergeCell ref="L43:N43"/>
    <mergeCell ref="O43:Q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A6AE-F1CB-48B9-B072-B68AD39A2A19}">
  <sheetPr>
    <pageSetUpPr fitToPage="1"/>
  </sheetPr>
  <dimension ref="A1:AN69"/>
  <sheetViews>
    <sheetView topLeftCell="A2" workbookViewId="0">
      <selection activeCell="R46" sqref="R46:Y4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24</v>
      </c>
      <c r="J5" s="728"/>
      <c r="K5" s="729"/>
      <c r="L5" s="767" t="s">
        <v>4</v>
      </c>
      <c r="M5" s="768"/>
      <c r="N5" s="768"/>
      <c r="O5" s="769"/>
      <c r="P5" s="750" t="s">
        <v>128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128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99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128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126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120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125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>
        <v>11</v>
      </c>
      <c r="S22" s="44"/>
      <c r="V22" s="690"/>
      <c r="W22" s="690"/>
      <c r="X22" s="690"/>
      <c r="Y22" s="33"/>
      <c r="Z22" s="12"/>
    </row>
    <row r="23" spans="1:28" ht="15" customHeight="1" x14ac:dyDescent="0.25">
      <c r="A23" s="9"/>
      <c r="B23" s="55"/>
      <c r="C23" s="55"/>
      <c r="D23" s="55"/>
      <c r="E23" s="55"/>
      <c r="F23" s="55"/>
      <c r="G23" s="55"/>
      <c r="H23" s="55"/>
      <c r="I23" s="54"/>
      <c r="J23" s="54"/>
      <c r="K23" s="54"/>
      <c r="L23" s="54"/>
      <c r="M23" s="53">
        <v>0</v>
      </c>
      <c r="N23" s="777" t="s">
        <v>44</v>
      </c>
      <c r="O23" s="777"/>
      <c r="P23" s="777"/>
      <c r="Q23" s="777"/>
      <c r="R23" s="777"/>
      <c r="S23" s="777"/>
      <c r="T23" s="53">
        <v>9</v>
      </c>
      <c r="V23" s="56"/>
      <c r="W23" s="56"/>
      <c r="X23" s="56"/>
      <c r="Y23" s="33"/>
      <c r="Z23" s="12"/>
    </row>
    <row r="24" spans="1:28" ht="5.25" customHeight="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6"/>
    </row>
    <row r="25" spans="1:28" x14ac:dyDescent="0.25">
      <c r="C25" s="21"/>
    </row>
    <row r="26" spans="1:28" ht="15" customHeight="1" x14ac:dyDescent="0.25">
      <c r="A26" s="4" t="s">
        <v>45</v>
      </c>
      <c r="B26" s="5" t="s">
        <v>46</v>
      </c>
      <c r="C26" s="6"/>
      <c r="D26" s="7"/>
      <c r="E26" s="7"/>
      <c r="F26" s="7"/>
      <c r="G26" s="7"/>
      <c r="H26" s="6"/>
      <c r="I26" s="746" t="s">
        <v>47</v>
      </c>
      <c r="J26" s="746"/>
      <c r="K26" s="746"/>
      <c r="L26" s="746"/>
      <c r="M26" s="746"/>
      <c r="N26" s="746"/>
      <c r="O26" s="746"/>
      <c r="P26" s="746"/>
      <c r="Q26" s="791">
        <v>2.48</v>
      </c>
      <c r="R26" s="791"/>
      <c r="S26" s="791"/>
      <c r="T26" s="791"/>
      <c r="U26" s="22" t="s">
        <v>48</v>
      </c>
      <c r="V26" s="6"/>
      <c r="W26" s="6"/>
      <c r="X26" s="6"/>
      <c r="Y26" s="6"/>
      <c r="Z26" s="8"/>
    </row>
    <row r="27" spans="1:28" ht="13.8" customHeight="1" thickBot="1" x14ac:dyDescent="0.3">
      <c r="A27" s="9"/>
      <c r="Z27" s="11"/>
    </row>
    <row r="28" spans="1:28" ht="15.75" customHeight="1" x14ac:dyDescent="0.25">
      <c r="A28" s="9"/>
      <c r="B28" s="783" t="s">
        <v>49</v>
      </c>
      <c r="C28" s="780"/>
      <c r="D28" s="786" t="s">
        <v>50</v>
      </c>
      <c r="E28" s="787"/>
      <c r="F28" s="778" t="s">
        <v>51</v>
      </c>
      <c r="G28" s="778"/>
      <c r="H28" s="778"/>
      <c r="I28" s="779" t="s">
        <v>52</v>
      </c>
      <c r="J28" s="780"/>
      <c r="K28" s="780"/>
      <c r="L28" s="779" t="s">
        <v>53</v>
      </c>
      <c r="M28" s="780"/>
      <c r="N28" s="790"/>
      <c r="O28" s="779" t="s">
        <v>54</v>
      </c>
      <c r="P28" s="780"/>
      <c r="Q28" s="790"/>
      <c r="R28" s="779" t="s">
        <v>55</v>
      </c>
      <c r="S28" s="780"/>
      <c r="T28" s="780"/>
      <c r="U28" s="780"/>
      <c r="V28" s="780"/>
      <c r="W28" s="780"/>
      <c r="X28" s="780"/>
      <c r="Y28" s="781"/>
      <c r="Z28" s="11"/>
    </row>
    <row r="29" spans="1:28" ht="36" customHeight="1" x14ac:dyDescent="0.25">
      <c r="A29" s="9"/>
      <c r="B29" s="784" t="s">
        <v>56</v>
      </c>
      <c r="C29" s="785"/>
      <c r="D29" s="788" t="s">
        <v>57</v>
      </c>
      <c r="E29" s="789"/>
      <c r="F29" s="36" t="s">
        <v>58</v>
      </c>
      <c r="G29" s="36" t="s">
        <v>59</v>
      </c>
      <c r="H29" s="36" t="s">
        <v>60</v>
      </c>
      <c r="I29" s="695"/>
      <c r="J29" s="696"/>
      <c r="K29" s="696"/>
      <c r="L29" s="695" t="s">
        <v>61</v>
      </c>
      <c r="M29" s="696"/>
      <c r="N29" s="697"/>
      <c r="O29" s="695" t="s">
        <v>61</v>
      </c>
      <c r="P29" s="696"/>
      <c r="Q29" s="697"/>
      <c r="R29" s="695"/>
      <c r="S29" s="696"/>
      <c r="T29" s="696"/>
      <c r="U29" s="696"/>
      <c r="V29" s="696"/>
      <c r="W29" s="696"/>
      <c r="X29" s="696"/>
      <c r="Y29" s="782"/>
      <c r="Z29" s="11"/>
    </row>
    <row r="30" spans="1:28" ht="16.8" customHeight="1" x14ac:dyDescent="0.25">
      <c r="A30" s="9"/>
      <c r="B30" s="678">
        <v>1</v>
      </c>
      <c r="C30" s="679"/>
      <c r="D30" s="680"/>
      <c r="E30" s="681"/>
      <c r="F30" s="680"/>
      <c r="G30" s="681"/>
      <c r="H30" s="682"/>
      <c r="I30" s="683">
        <v>2.355</v>
      </c>
      <c r="J30" s="683"/>
      <c r="K30" s="683"/>
      <c r="L30" s="684">
        <v>95</v>
      </c>
      <c r="M30" s="685"/>
      <c r="N30" s="686"/>
      <c r="O30" s="685">
        <v>5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2</v>
      </c>
      <c r="C31" s="679"/>
      <c r="D31" s="680"/>
      <c r="E31" s="681"/>
      <c r="F31" s="680"/>
      <c r="G31" s="681"/>
      <c r="H31" s="682"/>
      <c r="I31" s="683">
        <v>2.2669999999999999</v>
      </c>
      <c r="J31" s="683"/>
      <c r="K31" s="683"/>
      <c r="L31" s="684">
        <v>91.4</v>
      </c>
      <c r="M31" s="685"/>
      <c r="N31" s="686"/>
      <c r="O31" s="685">
        <v>8.6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3</v>
      </c>
      <c r="C32" s="679"/>
      <c r="D32" s="680"/>
      <c r="E32" s="681"/>
      <c r="F32" s="680"/>
      <c r="G32" s="681"/>
      <c r="H32" s="682"/>
      <c r="I32" s="683">
        <v>2.2850000000000001</v>
      </c>
      <c r="J32" s="683"/>
      <c r="K32" s="683"/>
      <c r="L32" s="684">
        <v>92.1</v>
      </c>
      <c r="M32" s="685"/>
      <c r="N32" s="686"/>
      <c r="O32" s="685">
        <v>7.9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4</v>
      </c>
      <c r="C33" s="679"/>
      <c r="D33" s="680"/>
      <c r="E33" s="681"/>
      <c r="F33" s="680"/>
      <c r="G33" s="681"/>
      <c r="H33" s="682"/>
      <c r="I33" s="683">
        <v>2.29</v>
      </c>
      <c r="J33" s="683"/>
      <c r="K33" s="683"/>
      <c r="L33" s="684">
        <v>92.3</v>
      </c>
      <c r="M33" s="685"/>
      <c r="N33" s="686"/>
      <c r="O33" s="685">
        <v>7.7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5</v>
      </c>
      <c r="C34" s="679"/>
      <c r="D34" s="680"/>
      <c r="E34" s="681"/>
      <c r="F34" s="680"/>
      <c r="G34" s="681"/>
      <c r="H34" s="682"/>
      <c r="I34" s="683">
        <v>2.2650000000000001</v>
      </c>
      <c r="J34" s="683"/>
      <c r="K34" s="683"/>
      <c r="L34" s="684">
        <v>91.3</v>
      </c>
      <c r="M34" s="685"/>
      <c r="N34" s="686"/>
      <c r="O34" s="685">
        <v>8.6999999999999993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6</v>
      </c>
      <c r="C35" s="679"/>
      <c r="D35" s="680"/>
      <c r="E35" s="681"/>
      <c r="F35" s="680"/>
      <c r="G35" s="681"/>
      <c r="H35" s="682"/>
      <c r="I35" s="683">
        <v>2.3069999999999999</v>
      </c>
      <c r="J35" s="683"/>
      <c r="K35" s="683"/>
      <c r="L35" s="684">
        <v>93</v>
      </c>
      <c r="M35" s="685"/>
      <c r="N35" s="686"/>
      <c r="O35" s="685">
        <v>7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7</v>
      </c>
      <c r="C36" s="679"/>
      <c r="D36" s="680"/>
      <c r="E36" s="681"/>
      <c r="F36" s="680"/>
      <c r="G36" s="681"/>
      <c r="H36" s="682"/>
      <c r="I36" s="683">
        <v>2.2679999999999998</v>
      </c>
      <c r="J36" s="683"/>
      <c r="K36" s="683"/>
      <c r="L36" s="684">
        <v>91.5</v>
      </c>
      <c r="M36" s="685"/>
      <c r="N36" s="686"/>
      <c r="O36" s="685">
        <v>8.5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8</v>
      </c>
      <c r="C37" s="679"/>
      <c r="D37" s="680"/>
      <c r="E37" s="681"/>
      <c r="F37" s="680"/>
      <c r="G37" s="681"/>
      <c r="H37" s="682"/>
      <c r="I37" s="683">
        <v>2.3109999999999999</v>
      </c>
      <c r="J37" s="683"/>
      <c r="K37" s="683"/>
      <c r="L37" s="684">
        <v>93.2</v>
      </c>
      <c r="M37" s="685"/>
      <c r="N37" s="686"/>
      <c r="O37" s="685">
        <v>6.8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9</v>
      </c>
      <c r="C38" s="679"/>
      <c r="D38" s="680"/>
      <c r="E38" s="681"/>
      <c r="F38" s="680"/>
      <c r="G38" s="681"/>
      <c r="H38" s="682"/>
      <c r="I38" s="683">
        <v>2.34</v>
      </c>
      <c r="J38" s="683"/>
      <c r="K38" s="683"/>
      <c r="L38" s="792">
        <v>94.4</v>
      </c>
      <c r="M38" s="793"/>
      <c r="N38" s="794"/>
      <c r="O38" s="685">
        <v>5.6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10</v>
      </c>
      <c r="C39" s="679"/>
      <c r="D39" s="680"/>
      <c r="E39" s="681"/>
      <c r="F39" s="680"/>
      <c r="G39" s="681"/>
      <c r="H39" s="682"/>
      <c r="I39" s="683">
        <v>2.1920000000000002</v>
      </c>
      <c r="J39" s="683"/>
      <c r="K39" s="683"/>
      <c r="L39" s="795">
        <f>I39/Q26*100</f>
        <v>88.387096774193552</v>
      </c>
      <c r="M39" s="795"/>
      <c r="N39" s="795"/>
      <c r="O39" s="685">
        <f>100-L39</f>
        <v>11.612903225806448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11</v>
      </c>
      <c r="C40" s="679"/>
      <c r="D40" s="680"/>
      <c r="E40" s="681"/>
      <c r="F40" s="680"/>
      <c r="G40" s="681"/>
      <c r="H40" s="682"/>
      <c r="I40" s="683">
        <v>2.1749999999999998</v>
      </c>
      <c r="J40" s="683"/>
      <c r="K40" s="683"/>
      <c r="L40" s="795">
        <f>I40/Q26*100</f>
        <v>87.701612903225794</v>
      </c>
      <c r="M40" s="795"/>
      <c r="N40" s="795"/>
      <c r="O40" s="685">
        <f t="shared" ref="O40:O42" si="0">100-L40</f>
        <v>12.298387096774206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12</v>
      </c>
      <c r="C41" s="679"/>
      <c r="D41" s="680"/>
      <c r="E41" s="681"/>
      <c r="F41" s="680"/>
      <c r="G41" s="681"/>
      <c r="H41" s="682"/>
      <c r="I41" s="683">
        <v>2.1850000000000001</v>
      </c>
      <c r="J41" s="683"/>
      <c r="K41" s="683"/>
      <c r="L41" s="795">
        <f>I41/Q26*100</f>
        <v>88.104838709677423</v>
      </c>
      <c r="M41" s="795"/>
      <c r="N41" s="795"/>
      <c r="O41" s="685">
        <f t="shared" si="0"/>
        <v>11.895161290322577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13</v>
      </c>
      <c r="C42" s="679"/>
      <c r="D42" s="680"/>
      <c r="E42" s="681"/>
      <c r="F42" s="680"/>
      <c r="G42" s="681"/>
      <c r="H42" s="682"/>
      <c r="I42" s="683">
        <v>2.153</v>
      </c>
      <c r="J42" s="683"/>
      <c r="K42" s="683"/>
      <c r="L42" s="795">
        <f>I42/Q26*100</f>
        <v>86.814516129032256</v>
      </c>
      <c r="M42" s="795"/>
      <c r="N42" s="795"/>
      <c r="O42" s="685">
        <f t="shared" si="0"/>
        <v>13.185483870967744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14</v>
      </c>
      <c r="C43" s="679"/>
      <c r="D43" s="680"/>
      <c r="E43" s="681"/>
      <c r="F43" s="680"/>
      <c r="G43" s="681"/>
      <c r="H43" s="682"/>
      <c r="I43" s="683">
        <v>2.3530000000000002</v>
      </c>
      <c r="J43" s="683"/>
      <c r="K43" s="683"/>
      <c r="L43" s="684">
        <v>94.9</v>
      </c>
      <c r="M43" s="685"/>
      <c r="N43" s="686"/>
      <c r="O43" s="685">
        <v>5.0999999999999996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15</v>
      </c>
      <c r="C44" s="679"/>
      <c r="D44" s="680"/>
      <c r="E44" s="681"/>
      <c r="F44" s="680"/>
      <c r="G44" s="681"/>
      <c r="H44" s="682"/>
      <c r="I44" s="683">
        <v>2.282</v>
      </c>
      <c r="J44" s="683"/>
      <c r="K44" s="683"/>
      <c r="L44" s="684">
        <v>92</v>
      </c>
      <c r="M44" s="685"/>
      <c r="N44" s="686"/>
      <c r="O44" s="685">
        <v>8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16</v>
      </c>
      <c r="C45" s="679"/>
      <c r="D45" s="680"/>
      <c r="E45" s="681"/>
      <c r="F45" s="680"/>
      <c r="G45" s="681"/>
      <c r="H45" s="682"/>
      <c r="I45" s="683">
        <v>2.319</v>
      </c>
      <c r="J45" s="683"/>
      <c r="K45" s="683"/>
      <c r="L45" s="684">
        <v>93.5</v>
      </c>
      <c r="M45" s="685"/>
      <c r="N45" s="686"/>
      <c r="O45" s="685">
        <v>6.5</v>
      </c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17</v>
      </c>
      <c r="C46" s="679"/>
      <c r="D46" s="680"/>
      <c r="E46" s="681"/>
      <c r="F46" s="680"/>
      <c r="G46" s="681"/>
      <c r="H46" s="682"/>
      <c r="I46" s="683">
        <v>2.331</v>
      </c>
      <c r="J46" s="683"/>
      <c r="K46" s="683"/>
      <c r="L46" s="684">
        <v>94</v>
      </c>
      <c r="M46" s="685"/>
      <c r="N46" s="686"/>
      <c r="O46" s="685">
        <v>6</v>
      </c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>
        <v>18</v>
      </c>
      <c r="C47" s="679"/>
      <c r="D47" s="680"/>
      <c r="E47" s="681"/>
      <c r="F47" s="680"/>
      <c r="G47" s="681"/>
      <c r="H47" s="682"/>
      <c r="I47" s="683">
        <v>2.2650000000000001</v>
      </c>
      <c r="J47" s="683"/>
      <c r="K47" s="683"/>
      <c r="L47" s="684">
        <v>91.3</v>
      </c>
      <c r="M47" s="685"/>
      <c r="N47" s="686"/>
      <c r="O47" s="685">
        <v>8.6999999999999993</v>
      </c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>
        <v>19</v>
      </c>
      <c r="C48" s="679"/>
      <c r="D48" s="680"/>
      <c r="E48" s="681"/>
      <c r="F48" s="680"/>
      <c r="G48" s="681"/>
      <c r="H48" s="682"/>
      <c r="I48" s="683">
        <v>2.2810000000000001</v>
      </c>
      <c r="J48" s="683"/>
      <c r="K48" s="683"/>
      <c r="L48" s="684">
        <v>92</v>
      </c>
      <c r="M48" s="685"/>
      <c r="N48" s="686"/>
      <c r="O48" s="685">
        <v>8</v>
      </c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>
        <v>20</v>
      </c>
      <c r="C49" s="679"/>
      <c r="D49" s="680"/>
      <c r="E49" s="681"/>
      <c r="F49" s="680"/>
      <c r="G49" s="681"/>
      <c r="H49" s="682"/>
      <c r="I49" s="683">
        <v>2.3039999999999998</v>
      </c>
      <c r="J49" s="683"/>
      <c r="K49" s="683"/>
      <c r="L49" s="684">
        <v>92.9</v>
      </c>
      <c r="M49" s="685"/>
      <c r="N49" s="686"/>
      <c r="O49" s="685">
        <v>7.1</v>
      </c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6.8" customHeight="1" x14ac:dyDescent="0.25">
      <c r="A50" s="9"/>
      <c r="B50" s="678">
        <v>21</v>
      </c>
      <c r="C50" s="679"/>
      <c r="D50" s="680"/>
      <c r="E50" s="681"/>
      <c r="F50" s="680"/>
      <c r="G50" s="681"/>
      <c r="H50" s="682"/>
      <c r="I50" s="683">
        <v>2.3330000000000002</v>
      </c>
      <c r="J50" s="683"/>
      <c r="K50" s="683"/>
      <c r="L50" s="684">
        <v>94.1</v>
      </c>
      <c r="M50" s="685"/>
      <c r="N50" s="686"/>
      <c r="O50" s="685">
        <v>5.9</v>
      </c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8" customHeight="1" x14ac:dyDescent="0.25">
      <c r="A51" s="9"/>
      <c r="B51" s="678">
        <v>22</v>
      </c>
      <c r="C51" s="679"/>
      <c r="D51" s="680"/>
      <c r="E51" s="681"/>
      <c r="F51" s="680"/>
      <c r="G51" s="681"/>
      <c r="H51" s="682"/>
      <c r="I51" s="683">
        <v>2.2669999999999999</v>
      </c>
      <c r="J51" s="683"/>
      <c r="K51" s="683"/>
      <c r="L51" s="684">
        <v>91.4</v>
      </c>
      <c r="M51" s="685"/>
      <c r="N51" s="686"/>
      <c r="O51" s="685">
        <v>8.6</v>
      </c>
      <c r="P51" s="685"/>
      <c r="Q51" s="686"/>
      <c r="R51" s="687"/>
      <c r="S51" s="687"/>
      <c r="T51" s="687"/>
      <c r="U51" s="687"/>
      <c r="V51" s="687"/>
      <c r="W51" s="687"/>
      <c r="X51" s="687"/>
      <c r="Y51" s="688"/>
      <c r="Z51" s="11"/>
    </row>
    <row r="52" spans="1:29" ht="16.8" customHeight="1" x14ac:dyDescent="0.25">
      <c r="A52" s="9"/>
      <c r="B52" s="678">
        <v>23</v>
      </c>
      <c r="C52" s="679"/>
      <c r="D52" s="680"/>
      <c r="E52" s="681"/>
      <c r="F52" s="680"/>
      <c r="G52" s="681"/>
      <c r="H52" s="682"/>
      <c r="I52" s="683">
        <v>2.2120000000000002</v>
      </c>
      <c r="J52" s="683"/>
      <c r="K52" s="683"/>
      <c r="L52" s="684">
        <v>89.2</v>
      </c>
      <c r="M52" s="685"/>
      <c r="N52" s="686"/>
      <c r="O52" s="685">
        <v>10.8</v>
      </c>
      <c r="P52" s="685"/>
      <c r="Q52" s="686"/>
      <c r="R52" s="687"/>
      <c r="S52" s="687"/>
      <c r="T52" s="687"/>
      <c r="U52" s="687"/>
      <c r="V52" s="687"/>
      <c r="W52" s="687"/>
      <c r="X52" s="687"/>
      <c r="Y52" s="688"/>
      <c r="Z52" s="11"/>
    </row>
    <row r="53" spans="1:29" ht="16.8" customHeight="1" x14ac:dyDescent="0.25">
      <c r="A53" s="9"/>
      <c r="B53" s="678">
        <v>24</v>
      </c>
      <c r="C53" s="679"/>
      <c r="D53" s="680"/>
      <c r="E53" s="681"/>
      <c r="F53" s="680"/>
      <c r="G53" s="681"/>
      <c r="H53" s="682"/>
      <c r="I53" s="683">
        <v>2.234</v>
      </c>
      <c r="J53" s="683"/>
      <c r="K53" s="683"/>
      <c r="L53" s="684">
        <v>90.1</v>
      </c>
      <c r="M53" s="685"/>
      <c r="N53" s="686"/>
      <c r="O53" s="685">
        <v>9.9</v>
      </c>
      <c r="P53" s="685"/>
      <c r="Q53" s="686"/>
      <c r="R53" s="687"/>
      <c r="S53" s="687"/>
      <c r="T53" s="687"/>
      <c r="U53" s="687"/>
      <c r="V53" s="687"/>
      <c r="W53" s="687"/>
      <c r="X53" s="687"/>
      <c r="Y53" s="688"/>
      <c r="Z53" s="11"/>
    </row>
    <row r="54" spans="1:29" ht="16.8" customHeight="1" x14ac:dyDescent="0.25">
      <c r="A54" s="9"/>
      <c r="B54" s="678">
        <v>25</v>
      </c>
      <c r="C54" s="679"/>
      <c r="D54" s="680"/>
      <c r="E54" s="681"/>
      <c r="F54" s="680"/>
      <c r="G54" s="681"/>
      <c r="H54" s="682"/>
      <c r="I54" s="683">
        <v>2.258</v>
      </c>
      <c r="J54" s="683"/>
      <c r="K54" s="683"/>
      <c r="L54" s="684">
        <v>91</v>
      </c>
      <c r="M54" s="685"/>
      <c r="N54" s="686"/>
      <c r="O54" s="685">
        <v>9</v>
      </c>
      <c r="P54" s="685"/>
      <c r="Q54" s="686"/>
      <c r="R54" s="687"/>
      <c r="S54" s="687"/>
      <c r="T54" s="687"/>
      <c r="U54" s="687"/>
      <c r="V54" s="687"/>
      <c r="W54" s="687"/>
      <c r="X54" s="687"/>
      <c r="Y54" s="688"/>
      <c r="Z54" s="11"/>
    </row>
    <row r="55" spans="1:29" ht="17.25" customHeight="1" x14ac:dyDescent="0.25">
      <c r="A55" s="9"/>
      <c r="B55" s="678"/>
      <c r="C55" s="679"/>
      <c r="D55" s="680"/>
      <c r="E55" s="681"/>
      <c r="F55" s="680"/>
      <c r="G55" s="681"/>
      <c r="H55" s="682"/>
      <c r="I55" s="683"/>
      <c r="J55" s="683"/>
      <c r="K55" s="683"/>
      <c r="L55" s="684"/>
      <c r="M55" s="685"/>
      <c r="N55" s="686"/>
      <c r="O55" s="685"/>
      <c r="P55" s="685"/>
      <c r="Q55" s="686"/>
      <c r="R55" s="687"/>
      <c r="S55" s="687"/>
      <c r="T55" s="687"/>
      <c r="U55" s="687"/>
      <c r="V55" s="687"/>
      <c r="W55" s="687"/>
      <c r="X55" s="687"/>
      <c r="Y55" s="688"/>
      <c r="Z55" s="11"/>
    </row>
    <row r="56" spans="1:29" ht="16.5" customHeight="1" thickBot="1" x14ac:dyDescent="0.3">
      <c r="A56" s="9"/>
      <c r="B56" s="733" t="s">
        <v>62</v>
      </c>
      <c r="C56" s="734"/>
      <c r="D56" s="734"/>
      <c r="E56" s="734"/>
      <c r="F56" s="734"/>
      <c r="G56" s="734"/>
      <c r="H56" s="734"/>
      <c r="I56" s="735">
        <f>AVERAGE(I30:K54)</f>
        <v>2.2732800000000006</v>
      </c>
      <c r="J56" s="735"/>
      <c r="K56" s="735"/>
      <c r="L56" s="698">
        <f t="shared" ref="L56" si="1">AVERAGE(L30:N54)</f>
        <v>91.664322580645148</v>
      </c>
      <c r="M56" s="698"/>
      <c r="N56" s="698"/>
      <c r="O56" s="698">
        <f t="shared" ref="O56" si="2">AVERAGE(O30:Q54)</f>
        <v>8.3356774193548375</v>
      </c>
      <c r="P56" s="698"/>
      <c r="Q56" s="698"/>
      <c r="R56" s="699"/>
      <c r="S56" s="699"/>
      <c r="T56" s="699"/>
      <c r="U56" s="699"/>
      <c r="V56" s="699"/>
      <c r="W56" s="699"/>
      <c r="X56" s="699"/>
      <c r="Y56" s="700"/>
      <c r="Z56" s="11"/>
    </row>
    <row r="57" spans="1:29" ht="25.5" customHeight="1" thickBot="1" x14ac:dyDescent="0.3">
      <c r="A57" s="9"/>
      <c r="B57" s="707" t="s">
        <v>63</v>
      </c>
      <c r="C57" s="708"/>
      <c r="D57" s="708"/>
      <c r="E57" s="708"/>
      <c r="F57" s="708"/>
      <c r="G57" s="708"/>
      <c r="H57" s="708"/>
      <c r="I57" s="730">
        <v>90.48</v>
      </c>
      <c r="J57" s="730"/>
      <c r="K57" s="730"/>
      <c r="L57" s="731"/>
      <c r="M57" s="731"/>
      <c r="N57" s="731"/>
      <c r="O57" s="731"/>
      <c r="P57" s="731"/>
      <c r="Q57" s="731"/>
      <c r="R57" s="731"/>
      <c r="S57" s="731"/>
      <c r="T57" s="731"/>
      <c r="U57" s="731"/>
      <c r="V57" s="731"/>
      <c r="W57" s="731"/>
      <c r="X57" s="731"/>
      <c r="Y57" s="732"/>
      <c r="Z57" s="11"/>
    </row>
    <row r="58" spans="1:29" ht="15" customHeight="1" x14ac:dyDescent="0.25">
      <c r="A58" s="2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6"/>
    </row>
    <row r="59" spans="1:29" ht="16.5" customHeight="1" x14ac:dyDescent="0.25"/>
    <row r="60" spans="1:29" ht="34.5" customHeight="1" x14ac:dyDescent="0.25">
      <c r="A60" s="23" t="s">
        <v>64</v>
      </c>
      <c r="B60" s="24" t="s">
        <v>65</v>
      </c>
      <c r="C60" s="25"/>
      <c r="D60" s="25"/>
      <c r="E60" s="25"/>
      <c r="F60" s="26"/>
      <c r="G60" s="26"/>
      <c r="H60" s="26"/>
      <c r="I60" s="6"/>
      <c r="J60" s="6"/>
      <c r="K60" s="6"/>
      <c r="L60" s="6"/>
      <c r="M60" s="6"/>
      <c r="N60" s="6"/>
      <c r="O60" s="6"/>
      <c r="P60" s="6"/>
      <c r="Q60" s="26"/>
      <c r="R60" s="6"/>
      <c r="S60" s="6"/>
      <c r="T60" s="6"/>
      <c r="U60" s="721"/>
      <c r="V60" s="721"/>
      <c r="W60" s="721"/>
      <c r="X60" s="721"/>
      <c r="Y60" s="721"/>
      <c r="Z60" s="722"/>
      <c r="AA60" s="27"/>
      <c r="AB60" s="27"/>
      <c r="AC60" s="27"/>
    </row>
    <row r="61" spans="1:29" ht="27" customHeight="1" x14ac:dyDescent="0.25">
      <c r="A61" s="693" t="s">
        <v>66</v>
      </c>
      <c r="B61" s="694"/>
      <c r="C61" s="694"/>
      <c r="D61" s="694"/>
      <c r="E61" s="694"/>
      <c r="F61" s="694"/>
      <c r="G61" s="34"/>
      <c r="H61" s="34"/>
      <c r="I61" s="34"/>
      <c r="J61" s="34"/>
      <c r="K61" s="35"/>
      <c r="L61" s="691" t="s">
        <v>129</v>
      </c>
      <c r="M61" s="692"/>
      <c r="N61" s="692"/>
      <c r="O61" s="692"/>
      <c r="P61" s="692"/>
      <c r="Q61" s="39"/>
      <c r="R61" s="689" t="s">
        <v>67</v>
      </c>
      <c r="S61" s="689"/>
      <c r="T61" s="689"/>
      <c r="U61" s="723" t="s">
        <v>73</v>
      </c>
      <c r="V61" s="724"/>
      <c r="W61" s="724"/>
      <c r="X61" s="724"/>
      <c r="Y61" s="724"/>
      <c r="Z61" s="725"/>
      <c r="AA61" s="27"/>
      <c r="AB61" s="27"/>
      <c r="AC61" s="27"/>
    </row>
    <row r="62" spans="1:29" ht="15.75" customHeight="1" x14ac:dyDescent="0.25">
      <c r="A62" s="28"/>
      <c r="K62" s="29"/>
      <c r="R62" s="709" t="s">
        <v>68</v>
      </c>
      <c r="S62" s="710"/>
      <c r="T62" s="711"/>
      <c r="U62" s="712" t="s">
        <v>75</v>
      </c>
      <c r="V62" s="713"/>
      <c r="W62" s="713"/>
      <c r="X62" s="713"/>
      <c r="Y62" s="713"/>
      <c r="Z62" s="714"/>
      <c r="AA62" s="27"/>
      <c r="AB62" s="27"/>
      <c r="AC62" s="27"/>
    </row>
    <row r="63" spans="1:29" ht="9" customHeight="1" x14ac:dyDescent="0.25">
      <c r="A63" s="30"/>
      <c r="B63" s="3"/>
      <c r="C63" s="3"/>
      <c r="D63" s="3"/>
      <c r="E63" s="3"/>
      <c r="F63" s="3"/>
      <c r="G63" s="3"/>
      <c r="H63" s="3"/>
      <c r="I63" s="3"/>
      <c r="J63" s="3"/>
      <c r="K63" s="31"/>
      <c r="L63" s="3"/>
      <c r="M63" s="3"/>
      <c r="N63" s="3"/>
      <c r="O63" s="3"/>
      <c r="P63" s="3"/>
      <c r="Q63" s="3"/>
      <c r="R63" s="709"/>
      <c r="S63" s="710"/>
      <c r="T63" s="711"/>
      <c r="U63" s="715"/>
      <c r="V63" s="716"/>
      <c r="W63" s="716"/>
      <c r="X63" s="716"/>
      <c r="Y63" s="716"/>
      <c r="Z63" s="717"/>
      <c r="AA63" s="27"/>
      <c r="AB63" s="27"/>
      <c r="AC63" s="27"/>
    </row>
    <row r="64" spans="1:29" ht="15.9" customHeight="1" x14ac:dyDescent="0.25">
      <c r="A64" s="4" t="s">
        <v>69</v>
      </c>
      <c r="B64" s="5" t="s">
        <v>70</v>
      </c>
      <c r="C64" s="6"/>
      <c r="D64" s="6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1"/>
      <c r="R64" s="709"/>
      <c r="S64" s="710"/>
      <c r="T64" s="711"/>
      <c r="U64" s="715"/>
      <c r="V64" s="716"/>
      <c r="W64" s="716"/>
      <c r="X64" s="716"/>
      <c r="Y64" s="716"/>
      <c r="Z64" s="717"/>
      <c r="AA64" s="27"/>
      <c r="AB64" s="27"/>
      <c r="AC64" s="27"/>
    </row>
    <row r="65" spans="1:29" ht="15.9" customHeight="1" x14ac:dyDescent="0.25">
      <c r="A65" s="701"/>
      <c r="B65" s="702"/>
      <c r="C65" s="702"/>
      <c r="D65" s="702"/>
      <c r="E65" s="702"/>
      <c r="F65" s="702"/>
      <c r="G65" s="702"/>
      <c r="H65" s="702"/>
      <c r="I65" s="702"/>
      <c r="J65" s="702"/>
      <c r="K65" s="702"/>
      <c r="L65" s="702"/>
      <c r="M65" s="702"/>
      <c r="N65" s="702"/>
      <c r="O65" s="702"/>
      <c r="P65" s="702"/>
      <c r="Q65" s="703"/>
      <c r="R65" s="709" t="s">
        <v>71</v>
      </c>
      <c r="S65" s="710"/>
      <c r="T65" s="711"/>
      <c r="U65" s="45"/>
      <c r="V65" s="46"/>
      <c r="W65" s="46"/>
      <c r="X65" s="46"/>
      <c r="Y65" s="46"/>
      <c r="Z65" s="47"/>
      <c r="AA65" s="27"/>
      <c r="AB65" s="27"/>
      <c r="AC65" s="27"/>
    </row>
    <row r="66" spans="1:29" ht="16.5" customHeight="1" x14ac:dyDescent="0.25">
      <c r="A66" s="701"/>
      <c r="B66" s="702"/>
      <c r="C66" s="702"/>
      <c r="D66" s="702"/>
      <c r="E66" s="702"/>
      <c r="F66" s="702"/>
      <c r="G66" s="702"/>
      <c r="H66" s="702"/>
      <c r="I66" s="702"/>
      <c r="J66" s="702"/>
      <c r="K66" s="702"/>
      <c r="L66" s="702"/>
      <c r="M66" s="702"/>
      <c r="N66" s="702"/>
      <c r="O66" s="702"/>
      <c r="P66" s="702"/>
      <c r="Q66" s="703"/>
      <c r="R66" s="709"/>
      <c r="S66" s="710"/>
      <c r="T66" s="711"/>
      <c r="U66" s="48"/>
      <c r="V66" s="690"/>
      <c r="W66" s="690"/>
      <c r="X66" s="690"/>
      <c r="Y66" s="690"/>
      <c r="Z66" s="49"/>
      <c r="AA66" s="27"/>
      <c r="AB66" s="27"/>
      <c r="AC66" s="27"/>
    </row>
    <row r="67" spans="1:29" ht="16.5" customHeight="1" x14ac:dyDescent="0.25">
      <c r="A67" s="701"/>
      <c r="B67" s="702"/>
      <c r="C67" s="702"/>
      <c r="D67" s="702"/>
      <c r="E67" s="702"/>
      <c r="F67" s="702"/>
      <c r="G67" s="702"/>
      <c r="H67" s="702"/>
      <c r="I67" s="702"/>
      <c r="J67" s="702"/>
      <c r="K67" s="702"/>
      <c r="L67" s="702"/>
      <c r="M67" s="702"/>
      <c r="N67" s="702"/>
      <c r="O67" s="702"/>
      <c r="P67" s="702"/>
      <c r="Q67" s="703"/>
      <c r="R67" s="709"/>
      <c r="S67" s="710"/>
      <c r="T67" s="711"/>
      <c r="U67" s="48"/>
      <c r="V67" s="690"/>
      <c r="W67" s="690"/>
      <c r="X67" s="690"/>
      <c r="Y67" s="690"/>
      <c r="Z67" s="49"/>
      <c r="AA67" s="27"/>
      <c r="AB67" s="27"/>
      <c r="AC67" s="27"/>
    </row>
    <row r="68" spans="1:29" ht="16.5" customHeight="1" x14ac:dyDescent="0.25">
      <c r="A68" s="704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5"/>
      <c r="P68" s="705"/>
      <c r="Q68" s="706"/>
      <c r="R68" s="718"/>
      <c r="S68" s="719"/>
      <c r="T68" s="720"/>
      <c r="U68" s="50"/>
      <c r="V68" s="51"/>
      <c r="W68" s="51"/>
      <c r="X68" s="51"/>
      <c r="Y68" s="51"/>
      <c r="Z68" s="52"/>
      <c r="AA68" s="27"/>
      <c r="AB68" s="27"/>
      <c r="AC68" s="27"/>
    </row>
    <row r="69" spans="1:29" ht="16.5" customHeight="1" x14ac:dyDescent="0.25">
      <c r="R69" s="38"/>
      <c r="S69" s="38"/>
      <c r="T69" s="38"/>
      <c r="U69" s="37"/>
      <c r="V69" s="37"/>
      <c r="W69" s="37"/>
      <c r="X69" s="37"/>
      <c r="Y69" s="37"/>
      <c r="Z69" s="37"/>
      <c r="AA69" s="27"/>
      <c r="AB69" s="27"/>
      <c r="AC69" s="27"/>
    </row>
  </sheetData>
  <sheetProtection formatCells="0" formatColumns="0" formatRows="0" insertColumns="0" insertRows="0" insertHyperlinks="0" deleteColumns="0" deleteRows="0" selectLockedCells="1" sort="0" autoFilter="0" pivotTables="0"/>
  <mergeCells count="260">
    <mergeCell ref="R42:Y42"/>
    <mergeCell ref="N23:S2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O32:Q32"/>
    <mergeCell ref="R32:Y32"/>
    <mergeCell ref="B39:C39"/>
    <mergeCell ref="D39:E39"/>
    <mergeCell ref="F39:H39"/>
    <mergeCell ref="I39:K39"/>
    <mergeCell ref="L39:N39"/>
    <mergeCell ref="O39:Q39"/>
    <mergeCell ref="R39:Y39"/>
    <mergeCell ref="B11:F11"/>
    <mergeCell ref="G11:L11"/>
    <mergeCell ref="B12:F12"/>
    <mergeCell ref="G12:L12"/>
    <mergeCell ref="B13:F13"/>
    <mergeCell ref="G13:L13"/>
    <mergeCell ref="O30:Q30"/>
    <mergeCell ref="R30:Y30"/>
    <mergeCell ref="O31:Q31"/>
    <mergeCell ref="R31:Y31"/>
    <mergeCell ref="B32:C32"/>
    <mergeCell ref="D32:E32"/>
    <mergeCell ref="F32:H32"/>
    <mergeCell ref="I32:K32"/>
    <mergeCell ref="L32:N32"/>
    <mergeCell ref="R33:Y33"/>
    <mergeCell ref="B34:C34"/>
    <mergeCell ref="A65:Q68"/>
    <mergeCell ref="B57:H57"/>
    <mergeCell ref="O56:Q56"/>
    <mergeCell ref="R62:T64"/>
    <mergeCell ref="U62:Z64"/>
    <mergeCell ref="R65:T68"/>
    <mergeCell ref="V66:Y67"/>
    <mergeCell ref="P6:T6"/>
    <mergeCell ref="I5:K5"/>
    <mergeCell ref="I6:K6"/>
    <mergeCell ref="R56:Y56"/>
    <mergeCell ref="U60:Z60"/>
    <mergeCell ref="U61:Z61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55:H55"/>
    <mergeCell ref="R55:Y55"/>
    <mergeCell ref="O55:Q55"/>
    <mergeCell ref="L55:N55"/>
    <mergeCell ref="L56:N56"/>
    <mergeCell ref="R61:T61"/>
    <mergeCell ref="B14:F14"/>
    <mergeCell ref="O22:Q22"/>
    <mergeCell ref="Q26:T26"/>
    <mergeCell ref="I26:P26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D55:E55"/>
    <mergeCell ref="L61:P61"/>
    <mergeCell ref="A61:F61"/>
    <mergeCell ref="L29:N29"/>
    <mergeCell ref="B55:C55"/>
    <mergeCell ref="I57:K57"/>
    <mergeCell ref="L57:Y57"/>
    <mergeCell ref="B56:H56"/>
    <mergeCell ref="I56:K56"/>
    <mergeCell ref="I55:K55"/>
    <mergeCell ref="D29:E29"/>
    <mergeCell ref="I28:K29"/>
    <mergeCell ref="L28:N28"/>
    <mergeCell ref="O28:Q28"/>
    <mergeCell ref="O29:Q29"/>
    <mergeCell ref="B30:C30"/>
    <mergeCell ref="D30:E30"/>
    <mergeCell ref="F30:H30"/>
    <mergeCell ref="I30:K30"/>
    <mergeCell ref="L30:N30"/>
    <mergeCell ref="D31:E31"/>
    <mergeCell ref="F31:H31"/>
    <mergeCell ref="I31:K31"/>
    <mergeCell ref="L31:N31"/>
    <mergeCell ref="B10:F10"/>
    <mergeCell ref="B15:F15"/>
    <mergeCell ref="B21:H21"/>
    <mergeCell ref="I21:Y21"/>
    <mergeCell ref="G15:L15"/>
    <mergeCell ref="F28:H28"/>
    <mergeCell ref="V22:X22"/>
    <mergeCell ref="B22:H22"/>
    <mergeCell ref="I22:M22"/>
    <mergeCell ref="R28:Y29"/>
    <mergeCell ref="B28:C28"/>
    <mergeCell ref="B29:C29"/>
    <mergeCell ref="D28:E28"/>
    <mergeCell ref="S11:W11"/>
    <mergeCell ref="X11:Y11"/>
    <mergeCell ref="D34:E34"/>
    <mergeCell ref="F34:H34"/>
    <mergeCell ref="I34:K34"/>
    <mergeCell ref="L34:N34"/>
    <mergeCell ref="O34:Q34"/>
    <mergeCell ref="R34:Y34"/>
    <mergeCell ref="B33:C33"/>
    <mergeCell ref="D33:E33"/>
    <mergeCell ref="F35:H35"/>
    <mergeCell ref="I35:K35"/>
    <mergeCell ref="L35:N35"/>
    <mergeCell ref="O33:Q33"/>
    <mergeCell ref="F33:H33"/>
    <mergeCell ref="I33:K33"/>
    <mergeCell ref="L33:N33"/>
    <mergeCell ref="O35:Q35"/>
    <mergeCell ref="D35:E35"/>
    <mergeCell ref="B31:C31"/>
    <mergeCell ref="R35:Y35"/>
    <mergeCell ref="R36:Y36"/>
    <mergeCell ref="O37:Q37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B36:C36"/>
    <mergeCell ref="D36:E36"/>
    <mergeCell ref="F36:H36"/>
    <mergeCell ref="I36:K36"/>
    <mergeCell ref="L36:N36"/>
    <mergeCell ref="O36:Q36"/>
    <mergeCell ref="D37:E37"/>
    <mergeCell ref="F37:H37"/>
    <mergeCell ref="I37:K37"/>
    <mergeCell ref="L37:N37"/>
    <mergeCell ref="B35:C35"/>
    <mergeCell ref="R43:Y43"/>
    <mergeCell ref="R45:Y45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B45:C45"/>
    <mergeCell ref="F45:H45"/>
    <mergeCell ref="I45:K45"/>
    <mergeCell ref="L45:N45"/>
    <mergeCell ref="D45:E45"/>
    <mergeCell ref="O43:Q43"/>
    <mergeCell ref="F43:H43"/>
    <mergeCell ref="I43:K43"/>
    <mergeCell ref="L43:N43"/>
    <mergeCell ref="O45:Q45"/>
    <mergeCell ref="B50:C50"/>
    <mergeCell ref="D50:E50"/>
    <mergeCell ref="F50:H50"/>
    <mergeCell ref="I50:K50"/>
    <mergeCell ref="L50:N50"/>
    <mergeCell ref="O50:Q50"/>
    <mergeCell ref="R50:Y50"/>
    <mergeCell ref="B49:C49"/>
    <mergeCell ref="D49:E49"/>
    <mergeCell ref="R46:Y46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B46:C46"/>
    <mergeCell ref="D46:E46"/>
    <mergeCell ref="F46:H46"/>
    <mergeCell ref="I46:K46"/>
    <mergeCell ref="L46:N46"/>
    <mergeCell ref="O46:Q46"/>
    <mergeCell ref="D47:E47"/>
    <mergeCell ref="F47:H47"/>
    <mergeCell ref="I47:K47"/>
    <mergeCell ref="L47:N47"/>
    <mergeCell ref="I51:K51"/>
    <mergeCell ref="L51:N51"/>
    <mergeCell ref="O49:Q49"/>
    <mergeCell ref="F49:H49"/>
    <mergeCell ref="I49:K49"/>
    <mergeCell ref="L49:N49"/>
    <mergeCell ref="O51:Q51"/>
    <mergeCell ref="R49:Y49"/>
    <mergeCell ref="R51:Y51"/>
    <mergeCell ref="B51:C51"/>
    <mergeCell ref="D51:E51"/>
    <mergeCell ref="R52:Y52"/>
    <mergeCell ref="O53:Q53"/>
    <mergeCell ref="R53:Y53"/>
    <mergeCell ref="B54:C54"/>
    <mergeCell ref="D54:E54"/>
    <mergeCell ref="F54:H54"/>
    <mergeCell ref="I54:K54"/>
    <mergeCell ref="L54:N54"/>
    <mergeCell ref="O54:Q54"/>
    <mergeCell ref="R54:Y54"/>
    <mergeCell ref="B53:C53"/>
    <mergeCell ref="B52:C52"/>
    <mergeCell ref="D52:E52"/>
    <mergeCell ref="F52:H52"/>
    <mergeCell ref="I52:K52"/>
    <mergeCell ref="L52:N52"/>
    <mergeCell ref="O52:Q52"/>
    <mergeCell ref="D53:E53"/>
    <mergeCell ref="F53:H53"/>
    <mergeCell ref="I53:K53"/>
    <mergeCell ref="L53:N53"/>
    <mergeCell ref="F51:H5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E11E-E1E8-4524-8B97-1BD81AD5C7DB}">
  <sheetPr>
    <pageSetUpPr fitToPage="1"/>
  </sheetPr>
  <dimension ref="A1:AN63"/>
  <sheetViews>
    <sheetView workbookViewId="0">
      <selection activeCell="V60" sqref="V60:Y6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23</v>
      </c>
      <c r="J5" s="728"/>
      <c r="K5" s="729"/>
      <c r="L5" s="767" t="s">
        <v>4</v>
      </c>
      <c r="M5" s="768"/>
      <c r="N5" s="768"/>
      <c r="O5" s="769"/>
      <c r="P5" s="750" t="s">
        <v>127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127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127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126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120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125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2.327</v>
      </c>
      <c r="J29" s="683"/>
      <c r="K29" s="683"/>
      <c r="L29" s="684">
        <v>93.8</v>
      </c>
      <c r="M29" s="685"/>
      <c r="N29" s="686"/>
      <c r="O29" s="685">
        <v>6.2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2.298</v>
      </c>
      <c r="J30" s="683"/>
      <c r="K30" s="683"/>
      <c r="L30" s="684">
        <v>92.7</v>
      </c>
      <c r="M30" s="685"/>
      <c r="N30" s="686"/>
      <c r="O30" s="685">
        <v>7.3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2.3180000000000001</v>
      </c>
      <c r="J31" s="683"/>
      <c r="K31" s="683"/>
      <c r="L31" s="684">
        <v>93.5</v>
      </c>
      <c r="M31" s="685"/>
      <c r="N31" s="686"/>
      <c r="O31" s="685">
        <v>6.5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2.3140000000000001</v>
      </c>
      <c r="J32" s="683"/>
      <c r="K32" s="683"/>
      <c r="L32" s="684">
        <v>93.3</v>
      </c>
      <c r="M32" s="685"/>
      <c r="N32" s="686"/>
      <c r="O32" s="685">
        <v>6.7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2.3050000000000002</v>
      </c>
      <c r="J33" s="683"/>
      <c r="K33" s="683"/>
      <c r="L33" s="684">
        <v>92.9</v>
      </c>
      <c r="M33" s="685"/>
      <c r="N33" s="686"/>
      <c r="O33" s="685">
        <v>7.1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2.298</v>
      </c>
      <c r="J34" s="683"/>
      <c r="K34" s="683"/>
      <c r="L34" s="684">
        <v>92.7</v>
      </c>
      <c r="M34" s="685"/>
      <c r="N34" s="686"/>
      <c r="O34" s="685">
        <v>7.3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2.3250000000000002</v>
      </c>
      <c r="J35" s="683"/>
      <c r="K35" s="683"/>
      <c r="L35" s="684">
        <v>93.8</v>
      </c>
      <c r="M35" s="685"/>
      <c r="N35" s="686"/>
      <c r="O35" s="685">
        <v>6.2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2.3660000000000001</v>
      </c>
      <c r="J36" s="683"/>
      <c r="K36" s="683"/>
      <c r="L36" s="684">
        <v>95.4</v>
      </c>
      <c r="M36" s="685"/>
      <c r="N36" s="686"/>
      <c r="O36" s="685">
        <v>4.5999999999999996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2.387</v>
      </c>
      <c r="J37" s="683"/>
      <c r="K37" s="683"/>
      <c r="L37" s="684">
        <v>96.3</v>
      </c>
      <c r="M37" s="685"/>
      <c r="N37" s="686"/>
      <c r="O37" s="685">
        <v>3.7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2.3439999999999999</v>
      </c>
      <c r="J38" s="683"/>
      <c r="K38" s="683"/>
      <c r="L38" s="684">
        <v>94.5</v>
      </c>
      <c r="M38" s="685"/>
      <c r="N38" s="686"/>
      <c r="O38" s="685">
        <v>5.5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2.351</v>
      </c>
      <c r="J39" s="683"/>
      <c r="K39" s="683"/>
      <c r="L39" s="684">
        <v>94.8</v>
      </c>
      <c r="M39" s="685"/>
      <c r="N39" s="686"/>
      <c r="O39" s="685">
        <v>5.2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2.294</v>
      </c>
      <c r="J40" s="683"/>
      <c r="K40" s="683"/>
      <c r="L40" s="684">
        <v>92.5</v>
      </c>
      <c r="M40" s="685"/>
      <c r="N40" s="686"/>
      <c r="O40" s="685">
        <v>7.5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2.3319999999999999</v>
      </c>
      <c r="J41" s="683"/>
      <c r="K41" s="683"/>
      <c r="L41" s="684">
        <v>94</v>
      </c>
      <c r="M41" s="685"/>
      <c r="N41" s="686"/>
      <c r="O41" s="685">
        <v>6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2.31</v>
      </c>
      <c r="J42" s="683"/>
      <c r="K42" s="683"/>
      <c r="L42" s="684">
        <v>93.1</v>
      </c>
      <c r="M42" s="685"/>
      <c r="N42" s="686"/>
      <c r="O42" s="685">
        <v>6.9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2.3860000000000001</v>
      </c>
      <c r="J43" s="683"/>
      <c r="K43" s="683"/>
      <c r="L43" s="684">
        <v>96.2</v>
      </c>
      <c r="M43" s="685"/>
      <c r="N43" s="686"/>
      <c r="O43" s="685">
        <v>3.8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2.286</v>
      </c>
      <c r="J44" s="683"/>
      <c r="K44" s="683"/>
      <c r="L44" s="684">
        <v>92.2</v>
      </c>
      <c r="M44" s="685"/>
      <c r="N44" s="686"/>
      <c r="O44" s="685">
        <v>7.8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17</v>
      </c>
      <c r="C45" s="679"/>
      <c r="D45" s="680"/>
      <c r="E45" s="681"/>
      <c r="F45" s="680"/>
      <c r="G45" s="681"/>
      <c r="H45" s="682"/>
      <c r="I45" s="683">
        <v>2.36</v>
      </c>
      <c r="J45" s="683"/>
      <c r="K45" s="683"/>
      <c r="L45" s="684">
        <v>95.2</v>
      </c>
      <c r="M45" s="685"/>
      <c r="N45" s="686"/>
      <c r="O45" s="685">
        <v>4.8</v>
      </c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18</v>
      </c>
      <c r="C46" s="679"/>
      <c r="D46" s="680"/>
      <c r="E46" s="681"/>
      <c r="F46" s="680"/>
      <c r="G46" s="681"/>
      <c r="H46" s="682"/>
      <c r="I46" s="683">
        <v>2.3420000000000001</v>
      </c>
      <c r="J46" s="683"/>
      <c r="K46" s="683"/>
      <c r="L46" s="684">
        <v>94.4</v>
      </c>
      <c r="M46" s="685"/>
      <c r="N46" s="686"/>
      <c r="O46" s="685">
        <v>5.6</v>
      </c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>
        <v>19</v>
      </c>
      <c r="C47" s="679"/>
      <c r="D47" s="680"/>
      <c r="E47" s="681"/>
      <c r="F47" s="680"/>
      <c r="G47" s="681"/>
      <c r="H47" s="682"/>
      <c r="I47" s="683">
        <v>2.3540000000000001</v>
      </c>
      <c r="J47" s="683"/>
      <c r="K47" s="683"/>
      <c r="L47" s="684">
        <v>94.9</v>
      </c>
      <c r="M47" s="685"/>
      <c r="N47" s="686"/>
      <c r="O47" s="685">
        <v>5.0999999999999996</v>
      </c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>
        <v>20</v>
      </c>
      <c r="C48" s="679"/>
      <c r="D48" s="680"/>
      <c r="E48" s="681"/>
      <c r="F48" s="680"/>
      <c r="G48" s="681"/>
      <c r="H48" s="682"/>
      <c r="I48" s="683">
        <v>2.3029999999999999</v>
      </c>
      <c r="J48" s="683"/>
      <c r="K48" s="683"/>
      <c r="L48" s="684">
        <v>92.9</v>
      </c>
      <c r="M48" s="685"/>
      <c r="N48" s="686"/>
      <c r="O48" s="685">
        <v>7.1</v>
      </c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7.25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6.5" customHeight="1" thickBot="1" x14ac:dyDescent="0.3">
      <c r="A50" s="9"/>
      <c r="B50" s="733" t="s">
        <v>62</v>
      </c>
      <c r="C50" s="734"/>
      <c r="D50" s="734"/>
      <c r="E50" s="734"/>
      <c r="F50" s="734"/>
      <c r="G50" s="734"/>
      <c r="H50" s="734"/>
      <c r="I50" s="735">
        <v>2.33</v>
      </c>
      <c r="J50" s="735"/>
      <c r="K50" s="735"/>
      <c r="L50" s="698">
        <v>93.96</v>
      </c>
      <c r="M50" s="698"/>
      <c r="N50" s="698"/>
      <c r="O50" s="698">
        <v>6.04</v>
      </c>
      <c r="P50" s="698"/>
      <c r="Q50" s="698"/>
      <c r="R50" s="699"/>
      <c r="S50" s="699"/>
      <c r="T50" s="699"/>
      <c r="U50" s="699"/>
      <c r="V50" s="699"/>
      <c r="W50" s="699"/>
      <c r="X50" s="699"/>
      <c r="Y50" s="700"/>
      <c r="Z50" s="11"/>
    </row>
    <row r="51" spans="1:29" ht="25.5" customHeight="1" thickBot="1" x14ac:dyDescent="0.3">
      <c r="A51" s="9"/>
      <c r="B51" s="707" t="s">
        <v>63</v>
      </c>
      <c r="C51" s="708"/>
      <c r="D51" s="708"/>
      <c r="E51" s="708"/>
      <c r="F51" s="708"/>
      <c r="G51" s="708"/>
      <c r="H51" s="708"/>
      <c r="I51" s="730">
        <v>100</v>
      </c>
      <c r="J51" s="730"/>
      <c r="K51" s="730"/>
      <c r="L51" s="731"/>
      <c r="M51" s="731"/>
      <c r="N51" s="731"/>
      <c r="O51" s="731"/>
      <c r="P51" s="731"/>
      <c r="Q51" s="731"/>
      <c r="R51" s="731"/>
      <c r="S51" s="731"/>
      <c r="T51" s="731"/>
      <c r="U51" s="731"/>
      <c r="V51" s="731"/>
      <c r="W51" s="731"/>
      <c r="X51" s="731"/>
      <c r="Y51" s="732"/>
      <c r="Z51" s="11"/>
    </row>
    <row r="52" spans="1:29" ht="15" customHeight="1" x14ac:dyDescent="0.25">
      <c r="A52" s="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6"/>
    </row>
    <row r="53" spans="1:29" ht="16.5" customHeight="1" x14ac:dyDescent="0.25"/>
    <row r="54" spans="1:29" ht="34.5" customHeight="1" x14ac:dyDescent="0.25">
      <c r="A54" s="23" t="s">
        <v>64</v>
      </c>
      <c r="B54" s="24" t="s">
        <v>65</v>
      </c>
      <c r="C54" s="25"/>
      <c r="D54" s="25"/>
      <c r="E54" s="25"/>
      <c r="F54" s="26"/>
      <c r="G54" s="26"/>
      <c r="H54" s="26"/>
      <c r="I54" s="6"/>
      <c r="J54" s="6"/>
      <c r="K54" s="6"/>
      <c r="L54" s="6"/>
      <c r="M54" s="6"/>
      <c r="N54" s="6"/>
      <c r="O54" s="6"/>
      <c r="P54" s="6"/>
      <c r="Q54" s="26"/>
      <c r="R54" s="6"/>
      <c r="S54" s="6"/>
      <c r="T54" s="6"/>
      <c r="U54" s="721"/>
      <c r="V54" s="721"/>
      <c r="W54" s="721"/>
      <c r="X54" s="721"/>
      <c r="Y54" s="721"/>
      <c r="Z54" s="722"/>
      <c r="AA54" s="27"/>
      <c r="AB54" s="27"/>
      <c r="AC54" s="27"/>
    </row>
    <row r="55" spans="1:29" ht="27" customHeight="1" x14ac:dyDescent="0.25">
      <c r="A55" s="693" t="s">
        <v>66</v>
      </c>
      <c r="B55" s="694"/>
      <c r="C55" s="694"/>
      <c r="D55" s="694"/>
      <c r="E55" s="694"/>
      <c r="F55" s="694"/>
      <c r="G55" s="34"/>
      <c r="H55" s="34"/>
      <c r="I55" s="34"/>
      <c r="J55" s="34"/>
      <c r="K55" s="35"/>
      <c r="L55" s="691" t="s">
        <v>74</v>
      </c>
      <c r="M55" s="692"/>
      <c r="N55" s="692"/>
      <c r="O55" s="692"/>
      <c r="P55" s="692"/>
      <c r="Q55" s="39"/>
      <c r="R55" s="689" t="s">
        <v>67</v>
      </c>
      <c r="S55" s="689"/>
      <c r="T55" s="689"/>
      <c r="U55" s="723" t="s">
        <v>73</v>
      </c>
      <c r="V55" s="724"/>
      <c r="W55" s="724"/>
      <c r="X55" s="724"/>
      <c r="Y55" s="724"/>
      <c r="Z55" s="725"/>
      <c r="AA55" s="27"/>
      <c r="AB55" s="27"/>
      <c r="AC55" s="27"/>
    </row>
    <row r="56" spans="1:29" ht="15.75" customHeight="1" x14ac:dyDescent="0.25">
      <c r="A56" s="28"/>
      <c r="K56" s="29"/>
      <c r="R56" s="709" t="s">
        <v>68</v>
      </c>
      <c r="S56" s="710"/>
      <c r="T56" s="711"/>
      <c r="U56" s="712" t="s">
        <v>75</v>
      </c>
      <c r="V56" s="713"/>
      <c r="W56" s="713"/>
      <c r="X56" s="713"/>
      <c r="Y56" s="713"/>
      <c r="Z56" s="714"/>
      <c r="AA56" s="27"/>
      <c r="AB56" s="27"/>
      <c r="AC56" s="27"/>
    </row>
    <row r="57" spans="1:29" ht="9" customHeight="1" x14ac:dyDescent="0.25">
      <c r="A57" s="30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  <c r="N57" s="3"/>
      <c r="O57" s="3"/>
      <c r="P57" s="3"/>
      <c r="Q57" s="3"/>
      <c r="R57" s="709"/>
      <c r="S57" s="710"/>
      <c r="T57" s="711"/>
      <c r="U57" s="715"/>
      <c r="V57" s="716"/>
      <c r="W57" s="716"/>
      <c r="X57" s="716"/>
      <c r="Y57" s="716"/>
      <c r="Z57" s="717"/>
      <c r="AA57" s="27"/>
      <c r="AB57" s="27"/>
      <c r="AC57" s="27"/>
    </row>
    <row r="58" spans="1:29" ht="15.9" customHeight="1" x14ac:dyDescent="0.25">
      <c r="A58" s="4" t="s">
        <v>69</v>
      </c>
      <c r="B58" s="5" t="s">
        <v>70</v>
      </c>
      <c r="C58" s="6"/>
      <c r="D58" s="6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701"/>
      <c r="B59" s="702"/>
      <c r="C59" s="702"/>
      <c r="D59" s="702"/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3"/>
      <c r="R59" s="709" t="s">
        <v>71</v>
      </c>
      <c r="S59" s="710"/>
      <c r="T59" s="711"/>
      <c r="U59" s="45"/>
      <c r="V59" s="46"/>
      <c r="W59" s="46"/>
      <c r="X59" s="46"/>
      <c r="Y59" s="46"/>
      <c r="Z59" s="47"/>
      <c r="AA59" s="27"/>
      <c r="AB59" s="27"/>
      <c r="AC59" s="27"/>
    </row>
    <row r="60" spans="1:29" ht="16.5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/>
      <c r="S60" s="710"/>
      <c r="T60" s="711"/>
      <c r="U60" s="48"/>
      <c r="V60" s="690"/>
      <c r="W60" s="690"/>
      <c r="X60" s="690"/>
      <c r="Y60" s="690"/>
      <c r="Z60" s="49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4"/>
      <c r="B62" s="705"/>
      <c r="C62" s="705"/>
      <c r="D62" s="705"/>
      <c r="E62" s="705"/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6"/>
      <c r="R62" s="718"/>
      <c r="S62" s="719"/>
      <c r="T62" s="720"/>
      <c r="U62" s="50"/>
      <c r="V62" s="51"/>
      <c r="W62" s="51"/>
      <c r="X62" s="51"/>
      <c r="Y62" s="51"/>
      <c r="Z62" s="52"/>
      <c r="AA62" s="27"/>
      <c r="AB62" s="27"/>
      <c r="AC62" s="27"/>
    </row>
    <row r="63" spans="1:29" ht="16.5" customHeight="1" x14ac:dyDescent="0.25">
      <c r="R63" s="38"/>
      <c r="S63" s="38"/>
      <c r="T63" s="38"/>
      <c r="U63" s="37"/>
      <c r="V63" s="37"/>
      <c r="W63" s="37"/>
      <c r="X63" s="37"/>
      <c r="Y63" s="37"/>
      <c r="Z63" s="37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1B15-3956-4139-B064-7261ADE1DDA7}">
  <sheetPr>
    <pageSetUpPr fitToPage="1"/>
  </sheetPr>
  <dimension ref="A1:AN64"/>
  <sheetViews>
    <sheetView topLeftCell="A52" workbookViewId="0">
      <selection activeCell="W70" sqref="W7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22</v>
      </c>
      <c r="J5" s="728"/>
      <c r="K5" s="729"/>
      <c r="L5" s="767" t="s">
        <v>4</v>
      </c>
      <c r="M5" s="768"/>
      <c r="N5" s="768"/>
      <c r="O5" s="769"/>
      <c r="P5" s="750" t="s">
        <v>127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127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99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127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126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120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125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2.37</v>
      </c>
      <c r="J29" s="683"/>
      <c r="K29" s="683"/>
      <c r="L29" s="684">
        <v>95.6</v>
      </c>
      <c r="M29" s="685"/>
      <c r="N29" s="686"/>
      <c r="O29" s="685">
        <v>4.4000000000000004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2.3719999999999999</v>
      </c>
      <c r="J30" s="683"/>
      <c r="K30" s="683"/>
      <c r="L30" s="684">
        <v>95.6</v>
      </c>
      <c r="M30" s="685"/>
      <c r="N30" s="686"/>
      <c r="O30" s="685">
        <v>4.4000000000000004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2.278</v>
      </c>
      <c r="J31" s="683"/>
      <c r="K31" s="683"/>
      <c r="L31" s="684">
        <v>91.9</v>
      </c>
      <c r="M31" s="685"/>
      <c r="N31" s="686"/>
      <c r="O31" s="685">
        <v>8.1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2.3719999999999999</v>
      </c>
      <c r="J32" s="683"/>
      <c r="K32" s="683"/>
      <c r="L32" s="684">
        <v>95.6</v>
      </c>
      <c r="M32" s="685"/>
      <c r="N32" s="686"/>
      <c r="O32" s="685">
        <v>4.4000000000000004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2.3650000000000002</v>
      </c>
      <c r="J33" s="683"/>
      <c r="K33" s="683"/>
      <c r="L33" s="684">
        <v>95.4</v>
      </c>
      <c r="M33" s="685"/>
      <c r="N33" s="686"/>
      <c r="O33" s="685">
        <v>4.5999999999999996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2.306</v>
      </c>
      <c r="J34" s="683"/>
      <c r="K34" s="683"/>
      <c r="L34" s="684">
        <v>93</v>
      </c>
      <c r="M34" s="685"/>
      <c r="N34" s="686"/>
      <c r="O34" s="685">
        <v>7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2.3159999999999998</v>
      </c>
      <c r="J35" s="683"/>
      <c r="K35" s="683"/>
      <c r="L35" s="684">
        <v>93.4</v>
      </c>
      <c r="M35" s="685"/>
      <c r="N35" s="686"/>
      <c r="O35" s="685">
        <v>6.6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2.2919999999999998</v>
      </c>
      <c r="J36" s="683"/>
      <c r="K36" s="683"/>
      <c r="L36" s="684">
        <v>92.4</v>
      </c>
      <c r="M36" s="685"/>
      <c r="N36" s="686"/>
      <c r="O36" s="685">
        <v>7.6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2.3940000000000001</v>
      </c>
      <c r="J37" s="683"/>
      <c r="K37" s="683"/>
      <c r="L37" s="684">
        <v>96.5</v>
      </c>
      <c r="M37" s="685"/>
      <c r="N37" s="686"/>
      <c r="O37" s="685">
        <v>3.5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2.34</v>
      </c>
      <c r="J38" s="683"/>
      <c r="K38" s="683"/>
      <c r="L38" s="684">
        <v>94.4</v>
      </c>
      <c r="M38" s="685"/>
      <c r="N38" s="686"/>
      <c r="O38" s="685">
        <v>5.6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2.282</v>
      </c>
      <c r="J39" s="683"/>
      <c r="K39" s="683"/>
      <c r="L39" s="684">
        <v>92</v>
      </c>
      <c r="M39" s="685"/>
      <c r="N39" s="686"/>
      <c r="O39" s="685">
        <v>8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2.343</v>
      </c>
      <c r="J40" s="683"/>
      <c r="K40" s="683"/>
      <c r="L40" s="684">
        <v>94.5</v>
      </c>
      <c r="M40" s="685"/>
      <c r="N40" s="686"/>
      <c r="O40" s="685">
        <v>5.5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2.3149999999999999</v>
      </c>
      <c r="J41" s="683"/>
      <c r="K41" s="683"/>
      <c r="L41" s="684">
        <v>93.3</v>
      </c>
      <c r="M41" s="685"/>
      <c r="N41" s="686"/>
      <c r="O41" s="685">
        <v>6.7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2.3610000000000002</v>
      </c>
      <c r="J42" s="683"/>
      <c r="K42" s="683"/>
      <c r="L42" s="684">
        <v>95.2</v>
      </c>
      <c r="M42" s="685"/>
      <c r="N42" s="686"/>
      <c r="O42" s="685">
        <v>4.8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2.3519999999999999</v>
      </c>
      <c r="J43" s="683"/>
      <c r="K43" s="683"/>
      <c r="L43" s="684">
        <v>94.8</v>
      </c>
      <c r="M43" s="685"/>
      <c r="N43" s="686"/>
      <c r="O43" s="685">
        <v>5.2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2.335</v>
      </c>
      <c r="J44" s="683"/>
      <c r="K44" s="683"/>
      <c r="L44" s="684">
        <v>94.2</v>
      </c>
      <c r="M44" s="685"/>
      <c r="N44" s="686"/>
      <c r="O44" s="685">
        <v>5.8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2.34</v>
      </c>
      <c r="J51" s="735"/>
      <c r="K51" s="735"/>
      <c r="L51" s="698">
        <v>94.24</v>
      </c>
      <c r="M51" s="698"/>
      <c r="N51" s="698"/>
      <c r="O51" s="698">
        <v>5.76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O44:Q44"/>
    <mergeCell ref="R44:Y44"/>
    <mergeCell ref="B44:C44"/>
    <mergeCell ref="D44:E44"/>
    <mergeCell ref="F44:H44"/>
    <mergeCell ref="I44:K44"/>
    <mergeCell ref="L44:N44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O31:Q31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D28:E28"/>
    <mergeCell ref="I27:K28"/>
    <mergeCell ref="L27:N27"/>
    <mergeCell ref="O27:Q27"/>
    <mergeCell ref="O28:Q28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B45:C45"/>
    <mergeCell ref="D45:E45"/>
    <mergeCell ref="F45:H45"/>
    <mergeCell ref="I45:K45"/>
    <mergeCell ref="L45:N45"/>
    <mergeCell ref="O45:Q45"/>
    <mergeCell ref="R45:Y45"/>
    <mergeCell ref="B11:F11"/>
    <mergeCell ref="G11:L11"/>
    <mergeCell ref="B12:F12"/>
    <mergeCell ref="G12:L12"/>
    <mergeCell ref="B13:F13"/>
    <mergeCell ref="G13:L13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R31:Y31"/>
    <mergeCell ref="B30:C30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7477-9920-43E9-842F-742AFE4CBE4C}">
  <sheetPr>
    <pageSetUpPr fitToPage="1"/>
  </sheetPr>
  <dimension ref="A1:AN63"/>
  <sheetViews>
    <sheetView workbookViewId="0">
      <selection activeCell="AB44" sqref="AB44:AC4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21</v>
      </c>
      <c r="J5" s="728"/>
      <c r="K5" s="729"/>
      <c r="L5" s="767" t="s">
        <v>4</v>
      </c>
      <c r="M5" s="768"/>
      <c r="N5" s="768"/>
      <c r="O5" s="769"/>
      <c r="P5" s="750" t="s">
        <v>124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80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124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106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124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121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120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/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119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2.3420000000000001</v>
      </c>
      <c r="J29" s="683"/>
      <c r="K29" s="683"/>
      <c r="L29" s="684">
        <v>95.7</v>
      </c>
      <c r="M29" s="685"/>
      <c r="N29" s="686"/>
      <c r="O29" s="685">
        <v>4.3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2.3439999999999999</v>
      </c>
      <c r="J30" s="683"/>
      <c r="K30" s="683"/>
      <c r="L30" s="684">
        <v>95.8</v>
      </c>
      <c r="M30" s="685"/>
      <c r="N30" s="686"/>
      <c r="O30" s="685">
        <v>4.2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2.3149999999999999</v>
      </c>
      <c r="J31" s="683"/>
      <c r="K31" s="683"/>
      <c r="L31" s="684">
        <v>94.6</v>
      </c>
      <c r="M31" s="685"/>
      <c r="N31" s="686"/>
      <c r="O31" s="685">
        <v>5.4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2.294</v>
      </c>
      <c r="J32" s="683"/>
      <c r="K32" s="683"/>
      <c r="L32" s="684">
        <v>93.7</v>
      </c>
      <c r="M32" s="685"/>
      <c r="N32" s="686"/>
      <c r="O32" s="685">
        <v>6.3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2.298</v>
      </c>
      <c r="J33" s="683"/>
      <c r="K33" s="683"/>
      <c r="L33" s="684">
        <v>93.9</v>
      </c>
      <c r="M33" s="685"/>
      <c r="N33" s="686"/>
      <c r="O33" s="685">
        <v>6.1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2.2789999999999999</v>
      </c>
      <c r="J34" s="683"/>
      <c r="K34" s="683"/>
      <c r="L34" s="684">
        <v>93.1</v>
      </c>
      <c r="M34" s="685"/>
      <c r="N34" s="686"/>
      <c r="O34" s="685">
        <v>6.9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2.3130000000000002</v>
      </c>
      <c r="J35" s="683"/>
      <c r="K35" s="683"/>
      <c r="L35" s="684">
        <v>94.5</v>
      </c>
      <c r="M35" s="685"/>
      <c r="N35" s="686"/>
      <c r="O35" s="685">
        <v>5.5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2.3029999999999999</v>
      </c>
      <c r="J36" s="683"/>
      <c r="K36" s="683"/>
      <c r="L36" s="684">
        <v>94.1</v>
      </c>
      <c r="M36" s="685"/>
      <c r="N36" s="686"/>
      <c r="O36" s="685">
        <v>5.9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2.3090000000000002</v>
      </c>
      <c r="J37" s="683"/>
      <c r="K37" s="683"/>
      <c r="L37" s="684">
        <v>94.4</v>
      </c>
      <c r="M37" s="685"/>
      <c r="N37" s="686"/>
      <c r="O37" s="685">
        <v>5.6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2.258</v>
      </c>
      <c r="J38" s="683"/>
      <c r="K38" s="683"/>
      <c r="L38" s="684">
        <v>92.3</v>
      </c>
      <c r="M38" s="685"/>
      <c r="N38" s="686"/>
      <c r="O38" s="685">
        <v>7.7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2.2679999999999998</v>
      </c>
      <c r="J39" s="683"/>
      <c r="K39" s="683"/>
      <c r="L39" s="684">
        <v>92.7</v>
      </c>
      <c r="M39" s="685"/>
      <c r="N39" s="686"/>
      <c r="O39" s="685">
        <v>7.3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2.3119999999999998</v>
      </c>
      <c r="J40" s="683"/>
      <c r="K40" s="683"/>
      <c r="L40" s="684">
        <v>94.5</v>
      </c>
      <c r="M40" s="685"/>
      <c r="N40" s="686"/>
      <c r="O40" s="685">
        <v>5.5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2.2810000000000001</v>
      </c>
      <c r="J41" s="683"/>
      <c r="K41" s="683"/>
      <c r="L41" s="684">
        <v>93.2</v>
      </c>
      <c r="M41" s="685"/>
      <c r="N41" s="686"/>
      <c r="O41" s="685">
        <v>6.8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2.2789999999999999</v>
      </c>
      <c r="J42" s="683"/>
      <c r="K42" s="683"/>
      <c r="L42" s="684">
        <v>93.1</v>
      </c>
      <c r="M42" s="685"/>
      <c r="N42" s="686"/>
      <c r="O42" s="685">
        <v>6.9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2.3029999999999999</v>
      </c>
      <c r="J43" s="683"/>
      <c r="K43" s="683"/>
      <c r="L43" s="684">
        <v>94.1</v>
      </c>
      <c r="M43" s="685"/>
      <c r="N43" s="686"/>
      <c r="O43" s="685">
        <v>5.9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2.3330000000000002</v>
      </c>
      <c r="J44" s="683"/>
      <c r="K44" s="683"/>
      <c r="L44" s="684">
        <v>95.3</v>
      </c>
      <c r="M44" s="685"/>
      <c r="N44" s="686"/>
      <c r="O44" s="685">
        <v>4.7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17</v>
      </c>
      <c r="C45" s="679"/>
      <c r="D45" s="680"/>
      <c r="E45" s="681"/>
      <c r="F45" s="680"/>
      <c r="G45" s="681"/>
      <c r="H45" s="682"/>
      <c r="I45" s="683">
        <v>2.3170000000000002</v>
      </c>
      <c r="J45" s="683"/>
      <c r="K45" s="683"/>
      <c r="L45" s="684">
        <v>94.7</v>
      </c>
      <c r="M45" s="685"/>
      <c r="N45" s="686"/>
      <c r="O45" s="685">
        <v>5.3</v>
      </c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18</v>
      </c>
      <c r="C46" s="679"/>
      <c r="D46" s="680"/>
      <c r="E46" s="681"/>
      <c r="F46" s="680"/>
      <c r="G46" s="681"/>
      <c r="H46" s="682"/>
      <c r="I46" s="683">
        <v>2.2709999999999999</v>
      </c>
      <c r="J46" s="683"/>
      <c r="K46" s="683"/>
      <c r="L46" s="684">
        <v>92.8</v>
      </c>
      <c r="M46" s="685"/>
      <c r="N46" s="686"/>
      <c r="O46" s="685">
        <v>7.2</v>
      </c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7.25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6.5" customHeight="1" thickBot="1" x14ac:dyDescent="0.3">
      <c r="A50" s="9"/>
      <c r="B50" s="733" t="s">
        <v>62</v>
      </c>
      <c r="C50" s="734"/>
      <c r="D50" s="734"/>
      <c r="E50" s="734"/>
      <c r="F50" s="734"/>
      <c r="G50" s="734"/>
      <c r="H50" s="734"/>
      <c r="I50" s="735">
        <v>2.2999999999999998</v>
      </c>
      <c r="J50" s="735"/>
      <c r="K50" s="735"/>
      <c r="L50" s="698">
        <v>94.03</v>
      </c>
      <c r="M50" s="698"/>
      <c r="N50" s="698"/>
      <c r="O50" s="698">
        <v>5.97</v>
      </c>
      <c r="P50" s="698"/>
      <c r="Q50" s="698"/>
      <c r="R50" s="699"/>
      <c r="S50" s="699"/>
      <c r="T50" s="699"/>
      <c r="U50" s="699"/>
      <c r="V50" s="699"/>
      <c r="W50" s="699"/>
      <c r="X50" s="699"/>
      <c r="Y50" s="700"/>
      <c r="Z50" s="11"/>
    </row>
    <row r="51" spans="1:29" ht="25.5" customHeight="1" thickBot="1" x14ac:dyDescent="0.3">
      <c r="A51" s="9"/>
      <c r="B51" s="707" t="s">
        <v>63</v>
      </c>
      <c r="C51" s="708"/>
      <c r="D51" s="708"/>
      <c r="E51" s="708"/>
      <c r="F51" s="708"/>
      <c r="G51" s="708"/>
      <c r="H51" s="708"/>
      <c r="I51" s="730">
        <v>100</v>
      </c>
      <c r="J51" s="730"/>
      <c r="K51" s="730"/>
      <c r="L51" s="731"/>
      <c r="M51" s="731"/>
      <c r="N51" s="731"/>
      <c r="O51" s="731"/>
      <c r="P51" s="731"/>
      <c r="Q51" s="731"/>
      <c r="R51" s="731"/>
      <c r="S51" s="731"/>
      <c r="T51" s="731"/>
      <c r="U51" s="731"/>
      <c r="V51" s="731"/>
      <c r="W51" s="731"/>
      <c r="X51" s="731"/>
      <c r="Y51" s="732"/>
      <c r="Z51" s="11"/>
    </row>
    <row r="52" spans="1:29" ht="15" customHeight="1" x14ac:dyDescent="0.25">
      <c r="A52" s="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6"/>
    </row>
    <row r="53" spans="1:29" ht="16.5" customHeight="1" x14ac:dyDescent="0.25"/>
    <row r="54" spans="1:29" ht="34.5" customHeight="1" x14ac:dyDescent="0.25">
      <c r="A54" s="23" t="s">
        <v>64</v>
      </c>
      <c r="B54" s="24" t="s">
        <v>65</v>
      </c>
      <c r="C54" s="25"/>
      <c r="D54" s="25"/>
      <c r="E54" s="25"/>
      <c r="F54" s="26"/>
      <c r="G54" s="26"/>
      <c r="H54" s="26"/>
      <c r="I54" s="6"/>
      <c r="J54" s="6"/>
      <c r="K54" s="6"/>
      <c r="L54" s="6"/>
      <c r="M54" s="6"/>
      <c r="N54" s="6"/>
      <c r="O54" s="6"/>
      <c r="P54" s="6"/>
      <c r="Q54" s="26"/>
      <c r="R54" s="6"/>
      <c r="S54" s="6"/>
      <c r="T54" s="6"/>
      <c r="U54" s="721"/>
      <c r="V54" s="721"/>
      <c r="W54" s="721"/>
      <c r="X54" s="721"/>
      <c r="Y54" s="721"/>
      <c r="Z54" s="722"/>
      <c r="AA54" s="27"/>
      <c r="AB54" s="27"/>
      <c r="AC54" s="27"/>
    </row>
    <row r="55" spans="1:29" ht="27" customHeight="1" x14ac:dyDescent="0.25">
      <c r="A55" s="693" t="s">
        <v>66</v>
      </c>
      <c r="B55" s="694"/>
      <c r="C55" s="694"/>
      <c r="D55" s="694"/>
      <c r="E55" s="694"/>
      <c r="F55" s="694"/>
      <c r="G55" s="34"/>
      <c r="H55" s="34"/>
      <c r="I55" s="34"/>
      <c r="J55" s="34"/>
      <c r="K55" s="35"/>
      <c r="L55" s="691" t="s">
        <v>74</v>
      </c>
      <c r="M55" s="692"/>
      <c r="N55" s="692"/>
      <c r="O55" s="692"/>
      <c r="P55" s="692"/>
      <c r="Q55" s="39"/>
      <c r="R55" s="689" t="s">
        <v>67</v>
      </c>
      <c r="S55" s="689"/>
      <c r="T55" s="689"/>
      <c r="U55" s="723" t="s">
        <v>73</v>
      </c>
      <c r="V55" s="724"/>
      <c r="W55" s="724"/>
      <c r="X55" s="724"/>
      <c r="Y55" s="724"/>
      <c r="Z55" s="725"/>
      <c r="AA55" s="27"/>
      <c r="AB55" s="27"/>
      <c r="AC55" s="27"/>
    </row>
    <row r="56" spans="1:29" ht="15.75" customHeight="1" x14ac:dyDescent="0.25">
      <c r="A56" s="28"/>
      <c r="K56" s="29"/>
      <c r="R56" s="709" t="s">
        <v>68</v>
      </c>
      <c r="S56" s="710"/>
      <c r="T56" s="711"/>
      <c r="U56" s="712" t="s">
        <v>75</v>
      </c>
      <c r="V56" s="713"/>
      <c r="W56" s="713"/>
      <c r="X56" s="713"/>
      <c r="Y56" s="713"/>
      <c r="Z56" s="714"/>
      <c r="AA56" s="27"/>
      <c r="AB56" s="27"/>
      <c r="AC56" s="27"/>
    </row>
    <row r="57" spans="1:29" ht="9" customHeight="1" x14ac:dyDescent="0.25">
      <c r="A57" s="30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  <c r="N57" s="3"/>
      <c r="O57" s="3"/>
      <c r="P57" s="3"/>
      <c r="Q57" s="3"/>
      <c r="R57" s="709"/>
      <c r="S57" s="710"/>
      <c r="T57" s="711"/>
      <c r="U57" s="715"/>
      <c r="V57" s="716"/>
      <c r="W57" s="716"/>
      <c r="X57" s="716"/>
      <c r="Y57" s="716"/>
      <c r="Z57" s="717"/>
      <c r="AA57" s="27"/>
      <c r="AB57" s="27"/>
      <c r="AC57" s="27"/>
    </row>
    <row r="58" spans="1:29" ht="15.9" customHeight="1" x14ac:dyDescent="0.25">
      <c r="A58" s="4" t="s">
        <v>69</v>
      </c>
      <c r="B58" s="5" t="s">
        <v>70</v>
      </c>
      <c r="C58" s="6"/>
      <c r="D58" s="6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701"/>
      <c r="B59" s="702"/>
      <c r="C59" s="702"/>
      <c r="D59" s="702"/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3"/>
      <c r="R59" s="709" t="s">
        <v>71</v>
      </c>
      <c r="S59" s="710"/>
      <c r="T59" s="711"/>
      <c r="U59" s="45"/>
      <c r="V59" s="46"/>
      <c r="W59" s="46"/>
      <c r="X59" s="46"/>
      <c r="Y59" s="46"/>
      <c r="Z59" s="47"/>
      <c r="AA59" s="27"/>
      <c r="AB59" s="27"/>
      <c r="AC59" s="27"/>
    </row>
    <row r="60" spans="1:29" ht="16.5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/>
      <c r="S60" s="710"/>
      <c r="T60" s="711"/>
      <c r="U60" s="48"/>
      <c r="V60" s="690"/>
      <c r="W60" s="690"/>
      <c r="X60" s="690"/>
      <c r="Y60" s="690"/>
      <c r="Z60" s="49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4"/>
      <c r="B62" s="705"/>
      <c r="C62" s="705"/>
      <c r="D62" s="705"/>
      <c r="E62" s="705"/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6"/>
      <c r="R62" s="718"/>
      <c r="S62" s="719"/>
      <c r="T62" s="720"/>
      <c r="U62" s="50"/>
      <c r="V62" s="51"/>
      <c r="W62" s="51"/>
      <c r="X62" s="51"/>
      <c r="Y62" s="51"/>
      <c r="Z62" s="52"/>
      <c r="AA62" s="27"/>
      <c r="AB62" s="27"/>
      <c r="AC62" s="27"/>
    </row>
    <row r="63" spans="1:29" ht="16.5" customHeight="1" x14ac:dyDescent="0.25">
      <c r="R63" s="38"/>
      <c r="S63" s="38"/>
      <c r="T63" s="38"/>
      <c r="U63" s="37"/>
      <c r="V63" s="37"/>
      <c r="W63" s="37"/>
      <c r="X63" s="37"/>
      <c r="Y63" s="37"/>
      <c r="Z63" s="37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G12:L12"/>
    <mergeCell ref="M12:R12"/>
    <mergeCell ref="B14:F14"/>
    <mergeCell ref="M13:R13"/>
    <mergeCell ref="B47:C47"/>
    <mergeCell ref="D47:E47"/>
    <mergeCell ref="F47:H47"/>
    <mergeCell ref="I47:K47"/>
    <mergeCell ref="L47:N47"/>
    <mergeCell ref="O47:Q47"/>
    <mergeCell ref="R47:Y47"/>
    <mergeCell ref="B16:F16"/>
    <mergeCell ref="D28:E28"/>
    <mergeCell ref="I27:K28"/>
    <mergeCell ref="F27:H27"/>
    <mergeCell ref="R29:Y29"/>
    <mergeCell ref="B28:C28"/>
    <mergeCell ref="D27:E27"/>
    <mergeCell ref="B29:C29"/>
    <mergeCell ref="B30:C30"/>
    <mergeCell ref="D30:E30"/>
    <mergeCell ref="F30:H30"/>
    <mergeCell ref="I30:K30"/>
    <mergeCell ref="V22:X22"/>
    <mergeCell ref="B22:H22"/>
    <mergeCell ref="I22:M22"/>
    <mergeCell ref="B27:C27"/>
    <mergeCell ref="O22:Q22"/>
    <mergeCell ref="U55:Z55"/>
    <mergeCell ref="A59:Q62"/>
    <mergeCell ref="B51:H51"/>
    <mergeCell ref="O50:Q50"/>
    <mergeCell ref="R56:T58"/>
    <mergeCell ref="U56:Z58"/>
    <mergeCell ref="R59:T62"/>
    <mergeCell ref="V60:Y61"/>
    <mergeCell ref="R55:T55"/>
    <mergeCell ref="R50:Y50"/>
    <mergeCell ref="U54:Z54"/>
    <mergeCell ref="I51:K51"/>
    <mergeCell ref="L51:Y51"/>
    <mergeCell ref="L55:P55"/>
    <mergeCell ref="A55:F55"/>
    <mergeCell ref="I50:K50"/>
    <mergeCell ref="I49:K49"/>
    <mergeCell ref="F49:H49"/>
    <mergeCell ref="R49:Y49"/>
    <mergeCell ref="O49:Q49"/>
    <mergeCell ref="L49:N49"/>
    <mergeCell ref="L50:N50"/>
    <mergeCell ref="O28:Q28"/>
    <mergeCell ref="I25:P25"/>
    <mergeCell ref="L28:N28"/>
    <mergeCell ref="B50:H50"/>
    <mergeCell ref="L30:N30"/>
    <mergeCell ref="R48:Y48"/>
    <mergeCell ref="B48:C48"/>
    <mergeCell ref="D48:E48"/>
    <mergeCell ref="F48:H48"/>
    <mergeCell ref="L27:N27"/>
    <mergeCell ref="Q25:T25"/>
    <mergeCell ref="O27:Q27"/>
    <mergeCell ref="D49:E49"/>
    <mergeCell ref="B49:C49"/>
    <mergeCell ref="I48:K48"/>
    <mergeCell ref="L48:N48"/>
    <mergeCell ref="O48:Q48"/>
    <mergeCell ref="R27:Y28"/>
    <mergeCell ref="O29:Q29"/>
    <mergeCell ref="D29:E29"/>
    <mergeCell ref="F29:H29"/>
    <mergeCell ref="I29:K29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G10:L10"/>
    <mergeCell ref="B13:F13"/>
    <mergeCell ref="X11:Y11"/>
    <mergeCell ref="S14:Y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Y13"/>
    <mergeCell ref="M14:R14"/>
    <mergeCell ref="G13:L13"/>
    <mergeCell ref="S11:W11"/>
    <mergeCell ref="M11:O11"/>
    <mergeCell ref="P11:R11"/>
    <mergeCell ref="G14:L14"/>
    <mergeCell ref="B11:F11"/>
    <mergeCell ref="G11:L11"/>
    <mergeCell ref="B12:F12"/>
    <mergeCell ref="L29:N29"/>
    <mergeCell ref="B31:C31"/>
    <mergeCell ref="D31:E31"/>
    <mergeCell ref="F31:H31"/>
    <mergeCell ref="I31:K31"/>
    <mergeCell ref="L31:N31"/>
    <mergeCell ref="O31:Q31"/>
    <mergeCell ref="B32:C32"/>
    <mergeCell ref="R34:Y34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R35:Y35"/>
    <mergeCell ref="B34:C34"/>
    <mergeCell ref="D34:E34"/>
    <mergeCell ref="B33:C33"/>
    <mergeCell ref="D33:E33"/>
    <mergeCell ref="F33:H33"/>
    <mergeCell ref="I33:K33"/>
    <mergeCell ref="L33:N33"/>
    <mergeCell ref="O33:Q33"/>
    <mergeCell ref="R33:Y33"/>
    <mergeCell ref="F36:H36"/>
    <mergeCell ref="I36:K36"/>
    <mergeCell ref="L36:N36"/>
    <mergeCell ref="O34:Q34"/>
    <mergeCell ref="F34:H34"/>
    <mergeCell ref="I34:K34"/>
    <mergeCell ref="L34:N34"/>
    <mergeCell ref="O36:Q36"/>
    <mergeCell ref="B35:C35"/>
    <mergeCell ref="D35:E35"/>
    <mergeCell ref="F35:H35"/>
    <mergeCell ref="I35:K35"/>
    <mergeCell ref="L35:N35"/>
    <mergeCell ref="O35:Q35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9227-340A-48CF-B509-C28A58981922}">
  <sheetPr>
    <pageSetUpPr fitToPage="1"/>
  </sheetPr>
  <dimension ref="A1:AN63"/>
  <sheetViews>
    <sheetView topLeftCell="A10" workbookViewId="0">
      <selection activeCell="AB14" sqref="AB1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20</v>
      </c>
      <c r="J5" s="728"/>
      <c r="K5" s="729"/>
      <c r="L5" s="767" t="s">
        <v>4</v>
      </c>
      <c r="M5" s="768"/>
      <c r="N5" s="768"/>
      <c r="O5" s="769"/>
      <c r="P5" s="750" t="s">
        <v>124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124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20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124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121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120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/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119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2.4060000000000001</v>
      </c>
      <c r="J29" s="683"/>
      <c r="K29" s="683"/>
      <c r="L29" s="684">
        <v>97</v>
      </c>
      <c r="M29" s="685"/>
      <c r="N29" s="686"/>
      <c r="O29" s="685">
        <v>3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2.4260000000000002</v>
      </c>
      <c r="J30" s="683"/>
      <c r="K30" s="683"/>
      <c r="L30" s="684">
        <v>97.8</v>
      </c>
      <c r="M30" s="685"/>
      <c r="N30" s="686"/>
      <c r="O30" s="685">
        <v>2.2000000000000002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2.399</v>
      </c>
      <c r="J31" s="683"/>
      <c r="K31" s="683"/>
      <c r="L31" s="684">
        <v>96.7</v>
      </c>
      <c r="M31" s="685"/>
      <c r="N31" s="686"/>
      <c r="O31" s="685">
        <v>3.3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2.3730000000000002</v>
      </c>
      <c r="J32" s="683"/>
      <c r="K32" s="683"/>
      <c r="L32" s="684">
        <v>95.7</v>
      </c>
      <c r="M32" s="685"/>
      <c r="N32" s="686"/>
      <c r="O32" s="685">
        <v>4.3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2.3540000000000001</v>
      </c>
      <c r="J33" s="683"/>
      <c r="K33" s="683"/>
      <c r="L33" s="684">
        <v>94.9</v>
      </c>
      <c r="M33" s="685"/>
      <c r="N33" s="686"/>
      <c r="O33" s="685">
        <v>5.0999999999999996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2.3849999999999998</v>
      </c>
      <c r="J34" s="683"/>
      <c r="K34" s="683"/>
      <c r="L34" s="684">
        <v>96.2</v>
      </c>
      <c r="M34" s="685"/>
      <c r="N34" s="686"/>
      <c r="O34" s="685">
        <v>3.8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2.327</v>
      </c>
      <c r="J35" s="683"/>
      <c r="K35" s="683"/>
      <c r="L35" s="684">
        <v>93.8</v>
      </c>
      <c r="M35" s="685"/>
      <c r="N35" s="686"/>
      <c r="O35" s="685">
        <v>6.2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2.395</v>
      </c>
      <c r="J36" s="683"/>
      <c r="K36" s="683"/>
      <c r="L36" s="684">
        <v>96.6</v>
      </c>
      <c r="M36" s="685"/>
      <c r="N36" s="686"/>
      <c r="O36" s="685">
        <v>3.4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2.3889999999999998</v>
      </c>
      <c r="J37" s="683"/>
      <c r="K37" s="683"/>
      <c r="L37" s="684">
        <v>96.3</v>
      </c>
      <c r="M37" s="685"/>
      <c r="N37" s="686"/>
      <c r="O37" s="685">
        <v>3.7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2.3540000000000001</v>
      </c>
      <c r="J38" s="683"/>
      <c r="K38" s="683"/>
      <c r="L38" s="684">
        <v>94.9</v>
      </c>
      <c r="M38" s="685"/>
      <c r="N38" s="686"/>
      <c r="O38" s="685">
        <v>5.0999999999999996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2.3149999999999999</v>
      </c>
      <c r="J39" s="683"/>
      <c r="K39" s="683"/>
      <c r="L39" s="684">
        <v>93.3</v>
      </c>
      <c r="M39" s="685"/>
      <c r="N39" s="686"/>
      <c r="O39" s="685">
        <v>6.7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2.3610000000000002</v>
      </c>
      <c r="J40" s="683"/>
      <c r="K40" s="683"/>
      <c r="L40" s="684">
        <v>95.2</v>
      </c>
      <c r="M40" s="685"/>
      <c r="N40" s="686"/>
      <c r="O40" s="685">
        <v>4.8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2.3490000000000002</v>
      </c>
      <c r="J41" s="683"/>
      <c r="K41" s="683"/>
      <c r="L41" s="684">
        <v>94.7</v>
      </c>
      <c r="M41" s="685"/>
      <c r="N41" s="686"/>
      <c r="O41" s="685">
        <v>5.3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2.3319999999999999</v>
      </c>
      <c r="J42" s="683"/>
      <c r="K42" s="683"/>
      <c r="L42" s="684">
        <v>94</v>
      </c>
      <c r="M42" s="685"/>
      <c r="N42" s="686"/>
      <c r="O42" s="685">
        <v>6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2.355</v>
      </c>
      <c r="J43" s="683"/>
      <c r="K43" s="683"/>
      <c r="L43" s="684">
        <v>95</v>
      </c>
      <c r="M43" s="685"/>
      <c r="N43" s="686"/>
      <c r="O43" s="685">
        <v>5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2.3450000000000002</v>
      </c>
      <c r="J44" s="683"/>
      <c r="K44" s="683"/>
      <c r="L44" s="684">
        <v>94.6</v>
      </c>
      <c r="M44" s="685"/>
      <c r="N44" s="686"/>
      <c r="O44" s="685">
        <v>5.4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17</v>
      </c>
      <c r="C45" s="679"/>
      <c r="D45" s="680"/>
      <c r="E45" s="681"/>
      <c r="F45" s="680"/>
      <c r="G45" s="681"/>
      <c r="H45" s="682"/>
      <c r="I45" s="683">
        <v>2.3330000000000002</v>
      </c>
      <c r="J45" s="683"/>
      <c r="K45" s="683"/>
      <c r="L45" s="684">
        <v>94.1</v>
      </c>
      <c r="M45" s="685"/>
      <c r="N45" s="686"/>
      <c r="O45" s="685">
        <v>5.9</v>
      </c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18</v>
      </c>
      <c r="C46" s="679"/>
      <c r="D46" s="680"/>
      <c r="E46" s="681"/>
      <c r="F46" s="680"/>
      <c r="G46" s="681"/>
      <c r="H46" s="682"/>
      <c r="I46" s="683">
        <v>2.3610000000000002</v>
      </c>
      <c r="J46" s="683"/>
      <c r="K46" s="683"/>
      <c r="L46" s="684">
        <v>95.2</v>
      </c>
      <c r="M46" s="685"/>
      <c r="N46" s="686"/>
      <c r="O46" s="685">
        <v>4.8</v>
      </c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>
        <v>19</v>
      </c>
      <c r="C47" s="679"/>
      <c r="D47" s="680"/>
      <c r="E47" s="681"/>
      <c r="F47" s="680"/>
      <c r="G47" s="681"/>
      <c r="H47" s="682"/>
      <c r="I47" s="683">
        <v>2.3250000000000002</v>
      </c>
      <c r="J47" s="683"/>
      <c r="K47" s="683"/>
      <c r="L47" s="684">
        <v>93.8</v>
      </c>
      <c r="M47" s="685"/>
      <c r="N47" s="686"/>
      <c r="O47" s="685">
        <v>6.2</v>
      </c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>
        <v>20</v>
      </c>
      <c r="C48" s="679"/>
      <c r="D48" s="680"/>
      <c r="E48" s="681"/>
      <c r="F48" s="680"/>
      <c r="G48" s="681"/>
      <c r="H48" s="682"/>
      <c r="I48" s="683">
        <v>2.3420000000000001</v>
      </c>
      <c r="J48" s="683"/>
      <c r="K48" s="683"/>
      <c r="L48" s="684">
        <v>94.4</v>
      </c>
      <c r="M48" s="685"/>
      <c r="N48" s="686"/>
      <c r="O48" s="685">
        <v>5.6</v>
      </c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7.25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6.5" customHeight="1" thickBot="1" x14ac:dyDescent="0.3">
      <c r="A50" s="9"/>
      <c r="B50" s="733" t="s">
        <v>62</v>
      </c>
      <c r="C50" s="734"/>
      <c r="D50" s="734"/>
      <c r="E50" s="734"/>
      <c r="F50" s="734"/>
      <c r="G50" s="734"/>
      <c r="H50" s="734"/>
      <c r="I50" s="735">
        <v>2.36</v>
      </c>
      <c r="J50" s="735"/>
      <c r="K50" s="735"/>
      <c r="L50" s="698">
        <v>95.21</v>
      </c>
      <c r="M50" s="698"/>
      <c r="N50" s="698"/>
      <c r="O50" s="698">
        <v>4.79</v>
      </c>
      <c r="P50" s="698"/>
      <c r="Q50" s="698"/>
      <c r="R50" s="699"/>
      <c r="S50" s="699"/>
      <c r="T50" s="699"/>
      <c r="U50" s="699"/>
      <c r="V50" s="699"/>
      <c r="W50" s="699"/>
      <c r="X50" s="699"/>
      <c r="Y50" s="700"/>
      <c r="Z50" s="11"/>
    </row>
    <row r="51" spans="1:29" ht="25.5" customHeight="1" thickBot="1" x14ac:dyDescent="0.3">
      <c r="A51" s="9"/>
      <c r="B51" s="707" t="s">
        <v>63</v>
      </c>
      <c r="C51" s="708"/>
      <c r="D51" s="708"/>
      <c r="E51" s="708"/>
      <c r="F51" s="708"/>
      <c r="G51" s="708"/>
      <c r="H51" s="708"/>
      <c r="I51" s="730">
        <v>100</v>
      </c>
      <c r="J51" s="730"/>
      <c r="K51" s="730"/>
      <c r="L51" s="731"/>
      <c r="M51" s="731"/>
      <c r="N51" s="731"/>
      <c r="O51" s="731"/>
      <c r="P51" s="731"/>
      <c r="Q51" s="731"/>
      <c r="R51" s="731"/>
      <c r="S51" s="731"/>
      <c r="T51" s="731"/>
      <c r="U51" s="731"/>
      <c r="V51" s="731"/>
      <c r="W51" s="731"/>
      <c r="X51" s="731"/>
      <c r="Y51" s="732"/>
      <c r="Z51" s="11"/>
    </row>
    <row r="52" spans="1:29" ht="15" customHeight="1" x14ac:dyDescent="0.25">
      <c r="A52" s="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6"/>
    </row>
    <row r="53" spans="1:29" ht="16.5" customHeight="1" x14ac:dyDescent="0.25"/>
    <row r="54" spans="1:29" ht="34.5" customHeight="1" x14ac:dyDescent="0.25">
      <c r="A54" s="23" t="s">
        <v>64</v>
      </c>
      <c r="B54" s="24" t="s">
        <v>65</v>
      </c>
      <c r="C54" s="25"/>
      <c r="D54" s="25"/>
      <c r="E54" s="25"/>
      <c r="F54" s="26"/>
      <c r="G54" s="26"/>
      <c r="H54" s="26"/>
      <c r="I54" s="6"/>
      <c r="J54" s="6"/>
      <c r="K54" s="6"/>
      <c r="L54" s="6"/>
      <c r="M54" s="6"/>
      <c r="N54" s="6"/>
      <c r="O54" s="6"/>
      <c r="P54" s="6"/>
      <c r="Q54" s="26"/>
      <c r="R54" s="6"/>
      <c r="S54" s="6"/>
      <c r="T54" s="6"/>
      <c r="U54" s="721"/>
      <c r="V54" s="721"/>
      <c r="W54" s="721"/>
      <c r="X54" s="721"/>
      <c r="Y54" s="721"/>
      <c r="Z54" s="722"/>
      <c r="AA54" s="27"/>
      <c r="AB54" s="27"/>
      <c r="AC54" s="27"/>
    </row>
    <row r="55" spans="1:29" ht="27" customHeight="1" x14ac:dyDescent="0.25">
      <c r="A55" s="693" t="s">
        <v>66</v>
      </c>
      <c r="B55" s="694"/>
      <c r="C55" s="694"/>
      <c r="D55" s="694"/>
      <c r="E55" s="694"/>
      <c r="F55" s="694"/>
      <c r="G55" s="34"/>
      <c r="H55" s="34"/>
      <c r="I55" s="34"/>
      <c r="J55" s="34"/>
      <c r="K55" s="35"/>
      <c r="L55" s="691" t="s">
        <v>74</v>
      </c>
      <c r="M55" s="692"/>
      <c r="N55" s="692"/>
      <c r="O55" s="692"/>
      <c r="P55" s="692"/>
      <c r="Q55" s="39"/>
      <c r="R55" s="689" t="s">
        <v>67</v>
      </c>
      <c r="S55" s="689"/>
      <c r="T55" s="689"/>
      <c r="U55" s="723" t="s">
        <v>73</v>
      </c>
      <c r="V55" s="724"/>
      <c r="W55" s="724"/>
      <c r="X55" s="724"/>
      <c r="Y55" s="724"/>
      <c r="Z55" s="725"/>
      <c r="AA55" s="27"/>
      <c r="AB55" s="27"/>
      <c r="AC55" s="27"/>
    </row>
    <row r="56" spans="1:29" ht="15.75" customHeight="1" x14ac:dyDescent="0.25">
      <c r="A56" s="28"/>
      <c r="K56" s="29"/>
      <c r="R56" s="709" t="s">
        <v>68</v>
      </c>
      <c r="S56" s="710"/>
      <c r="T56" s="711"/>
      <c r="U56" s="712" t="s">
        <v>75</v>
      </c>
      <c r="V56" s="713"/>
      <c r="W56" s="713"/>
      <c r="X56" s="713"/>
      <c r="Y56" s="713"/>
      <c r="Z56" s="714"/>
      <c r="AA56" s="27"/>
      <c r="AB56" s="27"/>
      <c r="AC56" s="27"/>
    </row>
    <row r="57" spans="1:29" ht="9" customHeight="1" x14ac:dyDescent="0.25">
      <c r="A57" s="30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  <c r="N57" s="3"/>
      <c r="O57" s="3"/>
      <c r="P57" s="3"/>
      <c r="Q57" s="3"/>
      <c r="R57" s="709"/>
      <c r="S57" s="710"/>
      <c r="T57" s="711"/>
      <c r="U57" s="715"/>
      <c r="V57" s="716"/>
      <c r="W57" s="716"/>
      <c r="X57" s="716"/>
      <c r="Y57" s="716"/>
      <c r="Z57" s="717"/>
      <c r="AA57" s="27"/>
      <c r="AB57" s="27"/>
      <c r="AC57" s="27"/>
    </row>
    <row r="58" spans="1:29" ht="15.9" customHeight="1" x14ac:dyDescent="0.25">
      <c r="A58" s="4" t="s">
        <v>69</v>
      </c>
      <c r="B58" s="5" t="s">
        <v>70</v>
      </c>
      <c r="C58" s="6"/>
      <c r="D58" s="6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701"/>
      <c r="B59" s="702"/>
      <c r="C59" s="702"/>
      <c r="D59" s="702"/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3"/>
      <c r="R59" s="709" t="s">
        <v>71</v>
      </c>
      <c r="S59" s="710"/>
      <c r="T59" s="711"/>
      <c r="U59" s="45"/>
      <c r="V59" s="46"/>
      <c r="W59" s="46"/>
      <c r="X59" s="46"/>
      <c r="Y59" s="46"/>
      <c r="Z59" s="47"/>
      <c r="AA59" s="27"/>
      <c r="AB59" s="27"/>
      <c r="AC59" s="27"/>
    </row>
    <row r="60" spans="1:29" ht="16.5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/>
      <c r="S60" s="710"/>
      <c r="T60" s="711"/>
      <c r="U60" s="48"/>
      <c r="V60" s="690"/>
      <c r="W60" s="690"/>
      <c r="X60" s="690"/>
      <c r="Y60" s="690"/>
      <c r="Z60" s="49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4"/>
      <c r="B62" s="705"/>
      <c r="C62" s="705"/>
      <c r="D62" s="705"/>
      <c r="E62" s="705"/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6"/>
      <c r="R62" s="718"/>
      <c r="S62" s="719"/>
      <c r="T62" s="720"/>
      <c r="U62" s="50"/>
      <c r="V62" s="51"/>
      <c r="W62" s="51"/>
      <c r="X62" s="51"/>
      <c r="Y62" s="51"/>
      <c r="Z62" s="52"/>
      <c r="AA62" s="27"/>
      <c r="AB62" s="27"/>
      <c r="AC62" s="27"/>
    </row>
    <row r="63" spans="1:29" ht="16.5" customHeight="1" x14ac:dyDescent="0.25">
      <c r="R63" s="38"/>
      <c r="S63" s="38"/>
      <c r="T63" s="38"/>
      <c r="U63" s="37"/>
      <c r="V63" s="37"/>
      <c r="W63" s="37"/>
      <c r="X63" s="37"/>
      <c r="Y63" s="37"/>
      <c r="Z63" s="37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42B6-178A-4480-9311-9BC320AC2FEF}">
  <sheetPr>
    <pageSetUpPr fitToPage="1"/>
  </sheetPr>
  <dimension ref="A1:AN63"/>
  <sheetViews>
    <sheetView workbookViewId="0">
      <selection activeCell="S12" sqref="S12:Y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19</v>
      </c>
      <c r="J5" s="728"/>
      <c r="K5" s="729"/>
      <c r="L5" s="767" t="s">
        <v>4</v>
      </c>
      <c r="M5" s="768"/>
      <c r="N5" s="768"/>
      <c r="O5" s="769"/>
      <c r="P5" s="750" t="s">
        <v>122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123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80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122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106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122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121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120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/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119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2.2829999999999999</v>
      </c>
      <c r="J29" s="683"/>
      <c r="K29" s="683"/>
      <c r="L29" s="684">
        <v>93.3</v>
      </c>
      <c r="M29" s="685"/>
      <c r="N29" s="686"/>
      <c r="O29" s="685">
        <v>6.7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2.2709999999999999</v>
      </c>
      <c r="J30" s="683"/>
      <c r="K30" s="683"/>
      <c r="L30" s="684">
        <v>92.8</v>
      </c>
      <c r="M30" s="685"/>
      <c r="N30" s="686"/>
      <c r="O30" s="685">
        <v>7.2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2.3450000000000002</v>
      </c>
      <c r="J31" s="683"/>
      <c r="K31" s="683"/>
      <c r="L31" s="684">
        <v>95.8</v>
      </c>
      <c r="M31" s="685"/>
      <c r="N31" s="686"/>
      <c r="O31" s="685">
        <v>4.2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2.3490000000000002</v>
      </c>
      <c r="J32" s="683"/>
      <c r="K32" s="683"/>
      <c r="L32" s="684">
        <v>96</v>
      </c>
      <c r="M32" s="685"/>
      <c r="N32" s="686"/>
      <c r="O32" s="685">
        <v>4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2.3359999999999999</v>
      </c>
      <c r="J33" s="683"/>
      <c r="K33" s="683"/>
      <c r="L33" s="684">
        <v>95.5</v>
      </c>
      <c r="M33" s="685"/>
      <c r="N33" s="686"/>
      <c r="O33" s="685">
        <v>4.5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2.3290000000000002</v>
      </c>
      <c r="J34" s="683"/>
      <c r="K34" s="683"/>
      <c r="L34" s="684">
        <v>95.2</v>
      </c>
      <c r="M34" s="685"/>
      <c r="N34" s="686"/>
      <c r="O34" s="685">
        <v>4.8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2.2810000000000001</v>
      </c>
      <c r="J35" s="683"/>
      <c r="K35" s="683"/>
      <c r="L35" s="684">
        <v>93.2</v>
      </c>
      <c r="M35" s="685"/>
      <c r="N35" s="686"/>
      <c r="O35" s="685">
        <v>6.8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2.262</v>
      </c>
      <c r="J36" s="683"/>
      <c r="K36" s="683"/>
      <c r="L36" s="684">
        <v>92.4</v>
      </c>
      <c r="M36" s="685"/>
      <c r="N36" s="686"/>
      <c r="O36" s="685">
        <v>7.6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2.298</v>
      </c>
      <c r="J37" s="683"/>
      <c r="K37" s="683"/>
      <c r="L37" s="684">
        <v>93.9</v>
      </c>
      <c r="M37" s="685"/>
      <c r="N37" s="686"/>
      <c r="O37" s="685">
        <v>6.1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2.2970000000000002</v>
      </c>
      <c r="J38" s="683"/>
      <c r="K38" s="683"/>
      <c r="L38" s="684">
        <v>93.9</v>
      </c>
      <c r="M38" s="685"/>
      <c r="N38" s="686"/>
      <c r="O38" s="685">
        <v>6.1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2.282</v>
      </c>
      <c r="J39" s="683"/>
      <c r="K39" s="683"/>
      <c r="L39" s="684">
        <v>93.3</v>
      </c>
      <c r="M39" s="685"/>
      <c r="N39" s="686"/>
      <c r="O39" s="685">
        <v>6.7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2.323</v>
      </c>
      <c r="J40" s="683"/>
      <c r="K40" s="683"/>
      <c r="L40" s="684">
        <v>94.9</v>
      </c>
      <c r="M40" s="685"/>
      <c r="N40" s="686"/>
      <c r="O40" s="685">
        <v>5.0999999999999996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2.33</v>
      </c>
      <c r="J41" s="683"/>
      <c r="K41" s="683"/>
      <c r="L41" s="684">
        <v>95.2</v>
      </c>
      <c r="M41" s="685"/>
      <c r="N41" s="686"/>
      <c r="O41" s="685">
        <v>4.8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2.2639999999999998</v>
      </c>
      <c r="J42" s="683"/>
      <c r="K42" s="683"/>
      <c r="L42" s="684">
        <v>92.5</v>
      </c>
      <c r="M42" s="685"/>
      <c r="N42" s="686"/>
      <c r="O42" s="685">
        <v>7.5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2.2919999999999998</v>
      </c>
      <c r="J43" s="683"/>
      <c r="K43" s="683"/>
      <c r="L43" s="684">
        <v>93.7</v>
      </c>
      <c r="M43" s="685"/>
      <c r="N43" s="686"/>
      <c r="O43" s="685">
        <v>6.3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2.2850000000000001</v>
      </c>
      <c r="J44" s="683"/>
      <c r="K44" s="683"/>
      <c r="L44" s="684">
        <v>93.4</v>
      </c>
      <c r="M44" s="685"/>
      <c r="N44" s="686"/>
      <c r="O44" s="685">
        <v>6.6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17</v>
      </c>
      <c r="C45" s="679"/>
      <c r="D45" s="680"/>
      <c r="E45" s="681"/>
      <c r="F45" s="680"/>
      <c r="G45" s="681"/>
      <c r="H45" s="682"/>
      <c r="I45" s="683">
        <v>2.3130000000000002</v>
      </c>
      <c r="J45" s="683"/>
      <c r="K45" s="683"/>
      <c r="L45" s="684">
        <v>94.5</v>
      </c>
      <c r="M45" s="685"/>
      <c r="N45" s="686"/>
      <c r="O45" s="685">
        <v>5.5</v>
      </c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18</v>
      </c>
      <c r="C46" s="679"/>
      <c r="D46" s="680"/>
      <c r="E46" s="681"/>
      <c r="F46" s="680"/>
      <c r="G46" s="681"/>
      <c r="H46" s="682"/>
      <c r="I46" s="683">
        <v>2.306</v>
      </c>
      <c r="J46" s="683"/>
      <c r="K46" s="683"/>
      <c r="L46" s="684">
        <v>94.2</v>
      </c>
      <c r="M46" s="685"/>
      <c r="N46" s="686"/>
      <c r="O46" s="685">
        <v>5.8</v>
      </c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>
        <v>19</v>
      </c>
      <c r="C47" s="679"/>
      <c r="D47" s="680"/>
      <c r="E47" s="681"/>
      <c r="F47" s="680"/>
      <c r="G47" s="681"/>
      <c r="H47" s="682"/>
      <c r="I47" s="683">
        <v>2.262</v>
      </c>
      <c r="J47" s="683"/>
      <c r="K47" s="683"/>
      <c r="L47" s="684">
        <v>92.4</v>
      </c>
      <c r="M47" s="685"/>
      <c r="N47" s="686"/>
      <c r="O47" s="685">
        <v>7.6</v>
      </c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>
        <v>20</v>
      </c>
      <c r="C48" s="679"/>
      <c r="D48" s="680"/>
      <c r="E48" s="681"/>
      <c r="F48" s="680"/>
      <c r="G48" s="681"/>
      <c r="H48" s="682"/>
      <c r="I48" s="683">
        <v>2.2959999999999998</v>
      </c>
      <c r="J48" s="683"/>
      <c r="K48" s="683"/>
      <c r="L48" s="684">
        <v>93.8</v>
      </c>
      <c r="M48" s="685"/>
      <c r="N48" s="686"/>
      <c r="O48" s="685">
        <v>6.2</v>
      </c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7.25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6.5" customHeight="1" thickBot="1" x14ac:dyDescent="0.3">
      <c r="A50" s="9"/>
      <c r="B50" s="733" t="s">
        <v>62</v>
      </c>
      <c r="C50" s="734"/>
      <c r="D50" s="734"/>
      <c r="E50" s="734"/>
      <c r="F50" s="734"/>
      <c r="G50" s="734"/>
      <c r="H50" s="734"/>
      <c r="I50" s="735">
        <f t="shared" ref="I50" si="0">AVERAGE(I29:K48)</f>
        <v>2.3002000000000007</v>
      </c>
      <c r="J50" s="735"/>
      <c r="K50" s="735"/>
      <c r="L50" s="698">
        <f t="shared" ref="L50" si="1">AVERAGE(L29:N48)</f>
        <v>93.995000000000019</v>
      </c>
      <c r="M50" s="698"/>
      <c r="N50" s="698"/>
      <c r="O50" s="698">
        <f>AVERAGE(O29:Q48)</f>
        <v>6.004999999999999</v>
      </c>
      <c r="P50" s="698"/>
      <c r="Q50" s="698"/>
      <c r="R50" s="699"/>
      <c r="S50" s="699"/>
      <c r="T50" s="699"/>
      <c r="U50" s="699"/>
      <c r="V50" s="699"/>
      <c r="W50" s="699"/>
      <c r="X50" s="699"/>
      <c r="Y50" s="700"/>
      <c r="Z50" s="11"/>
    </row>
    <row r="51" spans="1:29" ht="25.5" customHeight="1" thickBot="1" x14ac:dyDescent="0.3">
      <c r="A51" s="9"/>
      <c r="B51" s="707" t="s">
        <v>63</v>
      </c>
      <c r="C51" s="708"/>
      <c r="D51" s="708"/>
      <c r="E51" s="708"/>
      <c r="F51" s="708"/>
      <c r="G51" s="708"/>
      <c r="H51" s="708"/>
      <c r="I51" s="730">
        <v>100</v>
      </c>
      <c r="J51" s="730"/>
      <c r="K51" s="730"/>
      <c r="L51" s="731"/>
      <c r="M51" s="731"/>
      <c r="N51" s="731"/>
      <c r="O51" s="731"/>
      <c r="P51" s="731"/>
      <c r="Q51" s="731"/>
      <c r="R51" s="731"/>
      <c r="S51" s="731"/>
      <c r="T51" s="731"/>
      <c r="U51" s="731"/>
      <c r="V51" s="731"/>
      <c r="W51" s="731"/>
      <c r="X51" s="731"/>
      <c r="Y51" s="732"/>
      <c r="Z51" s="11"/>
    </row>
    <row r="52" spans="1:29" ht="15" customHeight="1" x14ac:dyDescent="0.25">
      <c r="A52" s="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6"/>
    </row>
    <row r="53" spans="1:29" ht="16.5" customHeight="1" x14ac:dyDescent="0.25"/>
    <row r="54" spans="1:29" ht="34.5" customHeight="1" x14ac:dyDescent="0.25">
      <c r="A54" s="23" t="s">
        <v>64</v>
      </c>
      <c r="B54" s="24" t="s">
        <v>65</v>
      </c>
      <c r="C54" s="25"/>
      <c r="D54" s="25"/>
      <c r="E54" s="25"/>
      <c r="F54" s="26"/>
      <c r="G54" s="26"/>
      <c r="H54" s="26"/>
      <c r="I54" s="6"/>
      <c r="J54" s="6"/>
      <c r="K54" s="6"/>
      <c r="L54" s="6"/>
      <c r="M54" s="6"/>
      <c r="N54" s="6"/>
      <c r="O54" s="6"/>
      <c r="P54" s="6"/>
      <c r="Q54" s="26"/>
      <c r="R54" s="6"/>
      <c r="S54" s="6"/>
      <c r="T54" s="6"/>
      <c r="U54" s="721"/>
      <c r="V54" s="721"/>
      <c r="W54" s="721"/>
      <c r="X54" s="721"/>
      <c r="Y54" s="721"/>
      <c r="Z54" s="722"/>
      <c r="AA54" s="27"/>
      <c r="AB54" s="27"/>
      <c r="AC54" s="27"/>
    </row>
    <row r="55" spans="1:29" ht="27" customHeight="1" x14ac:dyDescent="0.25">
      <c r="A55" s="693" t="s">
        <v>66</v>
      </c>
      <c r="B55" s="694"/>
      <c r="C55" s="694"/>
      <c r="D55" s="694"/>
      <c r="E55" s="694"/>
      <c r="F55" s="694"/>
      <c r="G55" s="34"/>
      <c r="H55" s="34"/>
      <c r="I55" s="34"/>
      <c r="J55" s="34"/>
      <c r="K55" s="35"/>
      <c r="L55" s="691" t="s">
        <v>74</v>
      </c>
      <c r="M55" s="692"/>
      <c r="N55" s="692"/>
      <c r="O55" s="692"/>
      <c r="P55" s="692"/>
      <c r="Q55" s="39"/>
      <c r="R55" s="689" t="s">
        <v>67</v>
      </c>
      <c r="S55" s="689"/>
      <c r="T55" s="689"/>
      <c r="U55" s="723" t="s">
        <v>73</v>
      </c>
      <c r="V55" s="724"/>
      <c r="W55" s="724"/>
      <c r="X55" s="724"/>
      <c r="Y55" s="724"/>
      <c r="Z55" s="725"/>
      <c r="AA55" s="27"/>
      <c r="AB55" s="27"/>
      <c r="AC55" s="27"/>
    </row>
    <row r="56" spans="1:29" ht="15.75" customHeight="1" x14ac:dyDescent="0.25">
      <c r="A56" s="28"/>
      <c r="K56" s="29"/>
      <c r="R56" s="709" t="s">
        <v>68</v>
      </c>
      <c r="S56" s="710"/>
      <c r="T56" s="711"/>
      <c r="U56" s="712" t="s">
        <v>75</v>
      </c>
      <c r="V56" s="713"/>
      <c r="W56" s="713"/>
      <c r="X56" s="713"/>
      <c r="Y56" s="713"/>
      <c r="Z56" s="714"/>
      <c r="AA56" s="27"/>
      <c r="AB56" s="27"/>
      <c r="AC56" s="27"/>
    </row>
    <row r="57" spans="1:29" ht="9" customHeight="1" x14ac:dyDescent="0.25">
      <c r="A57" s="30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  <c r="N57" s="3"/>
      <c r="O57" s="3"/>
      <c r="P57" s="3"/>
      <c r="Q57" s="3"/>
      <c r="R57" s="709"/>
      <c r="S57" s="710"/>
      <c r="T57" s="711"/>
      <c r="U57" s="715"/>
      <c r="V57" s="716"/>
      <c r="W57" s="716"/>
      <c r="X57" s="716"/>
      <c r="Y57" s="716"/>
      <c r="Z57" s="717"/>
      <c r="AA57" s="27"/>
      <c r="AB57" s="27"/>
      <c r="AC57" s="27"/>
    </row>
    <row r="58" spans="1:29" ht="15.9" customHeight="1" x14ac:dyDescent="0.25">
      <c r="A58" s="4" t="s">
        <v>69</v>
      </c>
      <c r="B58" s="5" t="s">
        <v>70</v>
      </c>
      <c r="C58" s="6"/>
      <c r="D58" s="6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701"/>
      <c r="B59" s="702"/>
      <c r="C59" s="702"/>
      <c r="D59" s="702"/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3"/>
      <c r="R59" s="709" t="s">
        <v>71</v>
      </c>
      <c r="S59" s="710"/>
      <c r="T59" s="711"/>
      <c r="U59" s="45"/>
      <c r="V59" s="46"/>
      <c r="W59" s="46"/>
      <c r="X59" s="46"/>
      <c r="Y59" s="46"/>
      <c r="Z59" s="47"/>
      <c r="AA59" s="27"/>
      <c r="AB59" s="27"/>
      <c r="AC59" s="27"/>
    </row>
    <row r="60" spans="1:29" ht="16.5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/>
      <c r="S60" s="710"/>
      <c r="T60" s="711"/>
      <c r="U60" s="48"/>
      <c r="V60" s="690"/>
      <c r="W60" s="690"/>
      <c r="X60" s="690"/>
      <c r="Y60" s="690"/>
      <c r="Z60" s="49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4"/>
      <c r="B62" s="705"/>
      <c r="C62" s="705"/>
      <c r="D62" s="705"/>
      <c r="E62" s="705"/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6"/>
      <c r="R62" s="718"/>
      <c r="S62" s="719"/>
      <c r="T62" s="720"/>
      <c r="U62" s="50"/>
      <c r="V62" s="51"/>
      <c r="W62" s="51"/>
      <c r="X62" s="51"/>
      <c r="Y62" s="51"/>
      <c r="Z62" s="52"/>
      <c r="AA62" s="27"/>
      <c r="AB62" s="27"/>
      <c r="AC62" s="27"/>
    </row>
    <row r="63" spans="1:29" ht="16.5" customHeight="1" x14ac:dyDescent="0.25">
      <c r="R63" s="38"/>
      <c r="S63" s="38"/>
      <c r="T63" s="38"/>
      <c r="U63" s="37"/>
      <c r="V63" s="37"/>
      <c r="W63" s="37"/>
      <c r="X63" s="37"/>
      <c r="Y63" s="37"/>
      <c r="Z63" s="37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C3A1-EB23-4DDC-8AA7-627B5A20C464}">
  <sheetPr>
    <pageSetUpPr fitToPage="1"/>
  </sheetPr>
  <dimension ref="A1:AN64"/>
  <sheetViews>
    <sheetView workbookViewId="0">
      <selection activeCell="I31" sqref="I31:Q3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18</v>
      </c>
      <c r="J5" s="728"/>
      <c r="K5" s="729"/>
      <c r="L5" s="767" t="s">
        <v>4</v>
      </c>
      <c r="M5" s="768"/>
      <c r="N5" s="768"/>
      <c r="O5" s="769"/>
      <c r="P5" s="750" t="s">
        <v>118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80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118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106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118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110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116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2.2559999999999998</v>
      </c>
      <c r="J29" s="683"/>
      <c r="K29" s="683"/>
      <c r="L29" s="684">
        <v>92.2</v>
      </c>
      <c r="M29" s="685"/>
      <c r="N29" s="686"/>
      <c r="O29" s="685">
        <v>7.8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2.2519999999999998</v>
      </c>
      <c r="J30" s="683"/>
      <c r="K30" s="683"/>
      <c r="L30" s="684">
        <v>92</v>
      </c>
      <c r="M30" s="685"/>
      <c r="N30" s="686"/>
      <c r="O30" s="685">
        <v>8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2.2959999999999998</v>
      </c>
      <c r="J31" s="683"/>
      <c r="K31" s="683"/>
      <c r="L31" s="684">
        <v>93.8</v>
      </c>
      <c r="M31" s="685"/>
      <c r="N31" s="686"/>
      <c r="O31" s="685">
        <v>6.2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2.3319999999999999</v>
      </c>
      <c r="J32" s="683"/>
      <c r="K32" s="683"/>
      <c r="L32" s="684">
        <v>95.3</v>
      </c>
      <c r="M32" s="685"/>
      <c r="N32" s="686"/>
      <c r="O32" s="685">
        <v>4.7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2.3159999999999998</v>
      </c>
      <c r="J33" s="683"/>
      <c r="K33" s="683"/>
      <c r="L33" s="684">
        <v>94.6</v>
      </c>
      <c r="M33" s="685"/>
      <c r="N33" s="686"/>
      <c r="O33" s="685">
        <v>5.4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2.3109999999999999</v>
      </c>
      <c r="J34" s="683"/>
      <c r="K34" s="683"/>
      <c r="L34" s="684">
        <v>94.4</v>
      </c>
      <c r="M34" s="685"/>
      <c r="N34" s="686"/>
      <c r="O34" s="685">
        <v>5.6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2.262</v>
      </c>
      <c r="J35" s="683"/>
      <c r="K35" s="683"/>
      <c r="L35" s="684">
        <v>92.4</v>
      </c>
      <c r="M35" s="685"/>
      <c r="N35" s="686"/>
      <c r="O35" s="685">
        <v>7.6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2.343</v>
      </c>
      <c r="J36" s="683"/>
      <c r="K36" s="683"/>
      <c r="L36" s="684">
        <v>95.7</v>
      </c>
      <c r="M36" s="685"/>
      <c r="N36" s="686"/>
      <c r="O36" s="685">
        <v>4.3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2.2810000000000001</v>
      </c>
      <c r="J37" s="683"/>
      <c r="K37" s="683"/>
      <c r="L37" s="684">
        <v>93.2</v>
      </c>
      <c r="M37" s="685"/>
      <c r="N37" s="686"/>
      <c r="O37" s="685">
        <v>6.8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2.319</v>
      </c>
      <c r="J38" s="683"/>
      <c r="K38" s="683"/>
      <c r="L38" s="684">
        <v>94.8</v>
      </c>
      <c r="M38" s="685"/>
      <c r="N38" s="686"/>
      <c r="O38" s="685">
        <v>5.2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2.2570000000000001</v>
      </c>
      <c r="J39" s="683"/>
      <c r="K39" s="683"/>
      <c r="L39" s="684">
        <v>92.2</v>
      </c>
      <c r="M39" s="685"/>
      <c r="N39" s="686"/>
      <c r="O39" s="685">
        <v>7.8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2.278</v>
      </c>
      <c r="J40" s="683"/>
      <c r="K40" s="683"/>
      <c r="L40" s="684">
        <v>93.1</v>
      </c>
      <c r="M40" s="685"/>
      <c r="N40" s="686"/>
      <c r="O40" s="685">
        <v>6.9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2.29</v>
      </c>
      <c r="J51" s="735"/>
      <c r="K51" s="735"/>
      <c r="L51" s="698">
        <v>93.64</v>
      </c>
      <c r="M51" s="698"/>
      <c r="N51" s="698"/>
      <c r="O51" s="698">
        <v>6.36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U56:Z56"/>
    <mergeCell ref="R56:T56"/>
    <mergeCell ref="L56:P56"/>
    <mergeCell ref="R27:Y28"/>
    <mergeCell ref="L27:N27"/>
    <mergeCell ref="B28:C28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D27:E27"/>
    <mergeCell ref="O28:Q28"/>
    <mergeCell ref="R51:Y51"/>
    <mergeCell ref="U55:Z55"/>
    <mergeCell ref="S13:Y13"/>
    <mergeCell ref="M14:R14"/>
    <mergeCell ref="S14:Y14"/>
    <mergeCell ref="M11:O11"/>
    <mergeCell ref="R50:Y50"/>
    <mergeCell ref="O50:Q50"/>
    <mergeCell ref="L50:N50"/>
    <mergeCell ref="L51:N51"/>
    <mergeCell ref="L28:N28"/>
    <mergeCell ref="P11:R11"/>
    <mergeCell ref="G14:L14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I25:P25"/>
    <mergeCell ref="B21:H2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0:F10"/>
    <mergeCell ref="G13:L13"/>
    <mergeCell ref="I21:Y21"/>
    <mergeCell ref="G15:L15"/>
    <mergeCell ref="O22:Q22"/>
    <mergeCell ref="S11:W11"/>
    <mergeCell ref="X11:Y11"/>
    <mergeCell ref="G11:L11"/>
    <mergeCell ref="G12:L12"/>
    <mergeCell ref="D30:E30"/>
    <mergeCell ref="F30:H30"/>
    <mergeCell ref="I30:K30"/>
    <mergeCell ref="L30:N30"/>
    <mergeCell ref="O29:Q29"/>
    <mergeCell ref="R29:Y29"/>
    <mergeCell ref="O30:Q30"/>
    <mergeCell ref="R30:Y30"/>
    <mergeCell ref="B16:F16"/>
    <mergeCell ref="S15:Y15"/>
    <mergeCell ref="M15:R15"/>
    <mergeCell ref="B14:F14"/>
    <mergeCell ref="B15:F15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6030-7863-4B22-A09F-5D691ECC9A4A}">
  <sheetPr>
    <pageSetUpPr fitToPage="1"/>
  </sheetPr>
  <dimension ref="A1:AN64"/>
  <sheetViews>
    <sheetView topLeftCell="A52" workbookViewId="0">
      <selection activeCell="B41" sqref="B41:Q4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17</v>
      </c>
      <c r="J5" s="728"/>
      <c r="K5" s="729"/>
      <c r="L5" s="767" t="s">
        <v>4</v>
      </c>
      <c r="M5" s="768"/>
      <c r="N5" s="768"/>
      <c r="O5" s="769"/>
      <c r="P5" s="750" t="s">
        <v>118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118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112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118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110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35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116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 t="s">
        <v>117</v>
      </c>
      <c r="E29" s="681"/>
      <c r="F29" s="680"/>
      <c r="G29" s="681"/>
      <c r="H29" s="682"/>
      <c r="I29" s="683">
        <v>2.335</v>
      </c>
      <c r="J29" s="683"/>
      <c r="K29" s="683"/>
      <c r="L29" s="684">
        <v>94.2</v>
      </c>
      <c r="M29" s="685"/>
      <c r="N29" s="686"/>
      <c r="O29" s="685">
        <v>5.8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2.355</v>
      </c>
      <c r="J30" s="683"/>
      <c r="K30" s="683"/>
      <c r="L30" s="684">
        <v>95</v>
      </c>
      <c r="M30" s="685"/>
      <c r="N30" s="686"/>
      <c r="O30" s="685">
        <v>5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 t="s">
        <v>20</v>
      </c>
      <c r="E31" s="681"/>
      <c r="F31" s="680"/>
      <c r="G31" s="681"/>
      <c r="H31" s="682"/>
      <c r="I31" s="683">
        <v>2.3109999999999999</v>
      </c>
      <c r="J31" s="683"/>
      <c r="K31" s="683"/>
      <c r="L31" s="684">
        <v>93.2</v>
      </c>
      <c r="M31" s="685"/>
      <c r="N31" s="686"/>
      <c r="O31" s="685">
        <v>6.8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2.3370000000000002</v>
      </c>
      <c r="J32" s="683"/>
      <c r="K32" s="683"/>
      <c r="L32" s="684">
        <v>94.2</v>
      </c>
      <c r="M32" s="685"/>
      <c r="N32" s="686"/>
      <c r="O32" s="685">
        <v>5.8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2.335</v>
      </c>
      <c r="J33" s="683"/>
      <c r="K33" s="683"/>
      <c r="L33" s="684">
        <v>94.2</v>
      </c>
      <c r="M33" s="685"/>
      <c r="N33" s="686"/>
      <c r="O33" s="685">
        <v>5.8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2.3559999999999999</v>
      </c>
      <c r="J34" s="683"/>
      <c r="K34" s="683"/>
      <c r="L34" s="684">
        <v>95</v>
      </c>
      <c r="M34" s="685"/>
      <c r="N34" s="686"/>
      <c r="O34" s="685">
        <v>5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2.294</v>
      </c>
      <c r="J35" s="683"/>
      <c r="K35" s="683"/>
      <c r="L35" s="684">
        <v>92.5</v>
      </c>
      <c r="M35" s="685"/>
      <c r="N35" s="686"/>
      <c r="O35" s="685">
        <v>7.5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2.302</v>
      </c>
      <c r="J36" s="683"/>
      <c r="K36" s="683"/>
      <c r="L36" s="684">
        <v>92.8</v>
      </c>
      <c r="M36" s="685"/>
      <c r="N36" s="686"/>
      <c r="O36" s="685">
        <v>7.2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2.2869999999999999</v>
      </c>
      <c r="J37" s="683"/>
      <c r="K37" s="683"/>
      <c r="L37" s="684">
        <v>92.2</v>
      </c>
      <c r="M37" s="685"/>
      <c r="N37" s="686"/>
      <c r="O37" s="685">
        <v>7.8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2.3029999999999999</v>
      </c>
      <c r="J38" s="683"/>
      <c r="K38" s="683"/>
      <c r="L38" s="684">
        <v>92.9</v>
      </c>
      <c r="M38" s="685"/>
      <c r="N38" s="686"/>
      <c r="O38" s="685">
        <v>7.1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2.3149999999999999</v>
      </c>
      <c r="J39" s="683"/>
      <c r="K39" s="683"/>
      <c r="L39" s="684">
        <v>93.3</v>
      </c>
      <c r="M39" s="685"/>
      <c r="N39" s="686"/>
      <c r="O39" s="685">
        <v>6.7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2.3109999999999999</v>
      </c>
      <c r="J40" s="683"/>
      <c r="K40" s="683"/>
      <c r="L40" s="684">
        <v>93.2</v>
      </c>
      <c r="M40" s="685"/>
      <c r="N40" s="686"/>
      <c r="O40" s="685">
        <v>6.8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2.3199999999999998</v>
      </c>
      <c r="J51" s="735"/>
      <c r="K51" s="735"/>
      <c r="L51" s="698">
        <v>93.56</v>
      </c>
      <c r="M51" s="698"/>
      <c r="N51" s="698"/>
      <c r="O51" s="698">
        <v>6.44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U56:Z56"/>
    <mergeCell ref="R56:T56"/>
    <mergeCell ref="L56:P56"/>
    <mergeCell ref="R27:Y28"/>
    <mergeCell ref="L27:N27"/>
    <mergeCell ref="B28:C28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D27:E27"/>
    <mergeCell ref="O28:Q28"/>
    <mergeCell ref="R51:Y51"/>
    <mergeCell ref="U55:Z55"/>
    <mergeCell ref="S13:Y13"/>
    <mergeCell ref="M14:R14"/>
    <mergeCell ref="S14:Y14"/>
    <mergeCell ref="M11:O11"/>
    <mergeCell ref="R50:Y50"/>
    <mergeCell ref="O50:Q50"/>
    <mergeCell ref="L50:N50"/>
    <mergeCell ref="L51:N51"/>
    <mergeCell ref="L28:N28"/>
    <mergeCell ref="P11:R11"/>
    <mergeCell ref="G14:L14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I25:P25"/>
    <mergeCell ref="B21:H2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0:F10"/>
    <mergeCell ref="G13:L13"/>
    <mergeCell ref="I21:Y21"/>
    <mergeCell ref="G15:L15"/>
    <mergeCell ref="O22:Q22"/>
    <mergeCell ref="S11:W11"/>
    <mergeCell ref="X11:Y11"/>
    <mergeCell ref="G11:L11"/>
    <mergeCell ref="G12:L12"/>
    <mergeCell ref="D30:E30"/>
    <mergeCell ref="F30:H30"/>
    <mergeCell ref="I30:K30"/>
    <mergeCell ref="L30:N30"/>
    <mergeCell ref="O29:Q29"/>
    <mergeCell ref="R29:Y29"/>
    <mergeCell ref="O30:Q30"/>
    <mergeCell ref="R30:Y30"/>
    <mergeCell ref="B16:F16"/>
    <mergeCell ref="S15:Y15"/>
    <mergeCell ref="M15:R15"/>
    <mergeCell ref="B14:F14"/>
    <mergeCell ref="B15:F15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A97F-590D-4163-A7C1-119DC86FE5ED}">
  <sheetPr>
    <pageSetUpPr fitToPage="1"/>
  </sheetPr>
  <dimension ref="A1:AN64"/>
  <sheetViews>
    <sheetView topLeftCell="A40" workbookViewId="0">
      <selection activeCell="R44" sqref="R44:Y4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16</v>
      </c>
      <c r="J5" s="728"/>
      <c r="K5" s="729"/>
      <c r="L5" s="767" t="s">
        <v>4</v>
      </c>
      <c r="M5" s="768"/>
      <c r="N5" s="768"/>
      <c r="O5" s="769"/>
      <c r="P5" s="750" t="s">
        <v>111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80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111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106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111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110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116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2.3180000000000001</v>
      </c>
      <c r="J29" s="683"/>
      <c r="K29" s="683"/>
      <c r="L29" s="684">
        <v>94.7</v>
      </c>
      <c r="M29" s="685"/>
      <c r="N29" s="686"/>
      <c r="O29" s="685">
        <v>5.3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2.2919999999999998</v>
      </c>
      <c r="J30" s="683"/>
      <c r="K30" s="683"/>
      <c r="L30" s="684">
        <v>93.7</v>
      </c>
      <c r="M30" s="685"/>
      <c r="N30" s="686"/>
      <c r="O30" s="685">
        <v>6.3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2.3149999999999999</v>
      </c>
      <c r="J31" s="683"/>
      <c r="K31" s="683"/>
      <c r="L31" s="684">
        <v>94.6</v>
      </c>
      <c r="M31" s="685"/>
      <c r="N31" s="686"/>
      <c r="O31" s="685">
        <v>5.4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2.2669999999999999</v>
      </c>
      <c r="J32" s="683"/>
      <c r="K32" s="683"/>
      <c r="L32" s="684">
        <v>92.6</v>
      </c>
      <c r="M32" s="685"/>
      <c r="N32" s="686"/>
      <c r="O32" s="685">
        <v>7.4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2.2930000000000001</v>
      </c>
      <c r="J33" s="683"/>
      <c r="K33" s="683"/>
      <c r="L33" s="684">
        <v>93.7</v>
      </c>
      <c r="M33" s="685"/>
      <c r="N33" s="686"/>
      <c r="O33" s="685">
        <v>6.3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2.347</v>
      </c>
      <c r="J34" s="683"/>
      <c r="K34" s="683"/>
      <c r="L34" s="684">
        <v>95.9</v>
      </c>
      <c r="M34" s="685"/>
      <c r="N34" s="686"/>
      <c r="O34" s="685">
        <v>4.0999999999999996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2.2879999999999998</v>
      </c>
      <c r="J35" s="683"/>
      <c r="K35" s="683"/>
      <c r="L35" s="684">
        <v>93.5</v>
      </c>
      <c r="M35" s="685"/>
      <c r="N35" s="686"/>
      <c r="O35" s="685">
        <v>6.5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2.3359999999999999</v>
      </c>
      <c r="J36" s="683"/>
      <c r="K36" s="683"/>
      <c r="L36" s="684">
        <v>95.5</v>
      </c>
      <c r="M36" s="685"/>
      <c r="N36" s="686"/>
      <c r="O36" s="685">
        <v>4.5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2.2879999999999998</v>
      </c>
      <c r="J37" s="683"/>
      <c r="K37" s="683"/>
      <c r="L37" s="684">
        <v>93.5</v>
      </c>
      <c r="M37" s="685"/>
      <c r="N37" s="686"/>
      <c r="O37" s="685">
        <v>6.5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2.2610000000000001</v>
      </c>
      <c r="J38" s="683"/>
      <c r="K38" s="683"/>
      <c r="L38" s="684">
        <v>92.4</v>
      </c>
      <c r="M38" s="685"/>
      <c r="N38" s="686"/>
      <c r="O38" s="685">
        <v>7.6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2.2789999999999999</v>
      </c>
      <c r="J39" s="683"/>
      <c r="K39" s="683"/>
      <c r="L39" s="684">
        <v>93.1</v>
      </c>
      <c r="M39" s="685"/>
      <c r="N39" s="686"/>
      <c r="O39" s="685">
        <v>6.9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2.34</v>
      </c>
      <c r="J40" s="683"/>
      <c r="K40" s="683"/>
      <c r="L40" s="684">
        <v>95.6</v>
      </c>
      <c r="M40" s="685"/>
      <c r="N40" s="686"/>
      <c r="O40" s="685">
        <v>4.4000000000000004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2.31</v>
      </c>
      <c r="J41" s="683"/>
      <c r="K41" s="683"/>
      <c r="L41" s="684">
        <v>94.4</v>
      </c>
      <c r="M41" s="685"/>
      <c r="N41" s="686"/>
      <c r="O41" s="685">
        <v>5.6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2.3010000000000002</v>
      </c>
      <c r="J42" s="683"/>
      <c r="K42" s="683"/>
      <c r="L42" s="684">
        <v>94</v>
      </c>
      <c r="M42" s="685"/>
      <c r="N42" s="686"/>
      <c r="O42" s="685">
        <v>6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2.3140000000000001</v>
      </c>
      <c r="J43" s="683"/>
      <c r="K43" s="683"/>
      <c r="L43" s="684">
        <v>94.6</v>
      </c>
      <c r="M43" s="685"/>
      <c r="N43" s="686"/>
      <c r="O43" s="685">
        <v>5.4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2.298</v>
      </c>
      <c r="J44" s="683"/>
      <c r="K44" s="683"/>
      <c r="L44" s="684">
        <v>93.9</v>
      </c>
      <c r="M44" s="685"/>
      <c r="N44" s="686"/>
      <c r="O44" s="685">
        <v>6.1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17</v>
      </c>
      <c r="C45" s="679"/>
      <c r="D45" s="680"/>
      <c r="E45" s="681"/>
      <c r="F45" s="680"/>
      <c r="G45" s="681"/>
      <c r="H45" s="682"/>
      <c r="I45" s="683">
        <v>2.286</v>
      </c>
      <c r="J45" s="683"/>
      <c r="K45" s="683"/>
      <c r="L45" s="684">
        <v>93.4</v>
      </c>
      <c r="M45" s="685"/>
      <c r="N45" s="686"/>
      <c r="O45" s="685">
        <v>6.6</v>
      </c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18</v>
      </c>
      <c r="C46" s="679"/>
      <c r="D46" s="680"/>
      <c r="E46" s="681"/>
      <c r="F46" s="680"/>
      <c r="G46" s="681"/>
      <c r="H46" s="682"/>
      <c r="I46" s="683">
        <v>2.27</v>
      </c>
      <c r="J46" s="683"/>
      <c r="K46" s="683"/>
      <c r="L46" s="684">
        <v>92.8</v>
      </c>
      <c r="M46" s="685"/>
      <c r="N46" s="686"/>
      <c r="O46" s="685">
        <v>7.2</v>
      </c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2.2999999999999998</v>
      </c>
      <c r="J51" s="735"/>
      <c r="K51" s="735"/>
      <c r="L51" s="698">
        <v>93.99</v>
      </c>
      <c r="M51" s="698"/>
      <c r="N51" s="698"/>
      <c r="O51" s="698">
        <v>6.01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B36:C36"/>
    <mergeCell ref="D36:E36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F36:H36"/>
    <mergeCell ref="I36:K36"/>
    <mergeCell ref="L36:N36"/>
    <mergeCell ref="O34:Q34"/>
    <mergeCell ref="F34:H34"/>
    <mergeCell ref="I34:K34"/>
    <mergeCell ref="L34:N34"/>
    <mergeCell ref="O36:Q36"/>
    <mergeCell ref="R34:Y34"/>
    <mergeCell ref="R36:Y36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B30:C30"/>
    <mergeCell ref="D30:E30"/>
    <mergeCell ref="D27:E27"/>
    <mergeCell ref="B29:C29"/>
    <mergeCell ref="O27:Q27"/>
    <mergeCell ref="F30:H30"/>
    <mergeCell ref="I30:K30"/>
    <mergeCell ref="L30:N30"/>
    <mergeCell ref="O29:Q29"/>
    <mergeCell ref="D29:E29"/>
    <mergeCell ref="F29:H29"/>
    <mergeCell ref="I29:K29"/>
    <mergeCell ref="L29:N29"/>
    <mergeCell ref="O30:Q30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X11:Y11"/>
    <mergeCell ref="M11:O11"/>
    <mergeCell ref="P11:R11"/>
    <mergeCell ref="B11:F11"/>
    <mergeCell ref="G11:L11"/>
    <mergeCell ref="B12:F12"/>
    <mergeCell ref="G12:L12"/>
    <mergeCell ref="B13:F13"/>
    <mergeCell ref="I5:K5"/>
    <mergeCell ref="I6:K6"/>
    <mergeCell ref="R51:Y51"/>
    <mergeCell ref="U55:Z55"/>
    <mergeCell ref="S13:Y13"/>
    <mergeCell ref="M14:R14"/>
    <mergeCell ref="G13:L13"/>
    <mergeCell ref="S11:W11"/>
    <mergeCell ref="R56:T56"/>
    <mergeCell ref="G7:Z7"/>
    <mergeCell ref="P5:T5"/>
    <mergeCell ref="U1:Z6"/>
    <mergeCell ref="G2:T4"/>
    <mergeCell ref="G5:H5"/>
    <mergeCell ref="L5:O5"/>
    <mergeCell ref="I51:K51"/>
    <mergeCell ref="I50:K50"/>
    <mergeCell ref="F50:H50"/>
    <mergeCell ref="R50:Y50"/>
    <mergeCell ref="O50:Q50"/>
    <mergeCell ref="L50:N50"/>
    <mergeCell ref="L51:N51"/>
    <mergeCell ref="O28:Q28"/>
    <mergeCell ref="I25:P25"/>
    <mergeCell ref="U56:Z56"/>
    <mergeCell ref="A60:Q63"/>
    <mergeCell ref="B52:H52"/>
    <mergeCell ref="O51:Q51"/>
    <mergeCell ref="R57:T59"/>
    <mergeCell ref="U57:Z59"/>
    <mergeCell ref="R60:T63"/>
    <mergeCell ref="V61:Y62"/>
    <mergeCell ref="L6:O6"/>
    <mergeCell ref="P6:T6"/>
    <mergeCell ref="A1:F6"/>
    <mergeCell ref="G1:T1"/>
    <mergeCell ref="A7:F7"/>
    <mergeCell ref="D50:E50"/>
    <mergeCell ref="L56:P56"/>
    <mergeCell ref="A56:F56"/>
    <mergeCell ref="L28:N28"/>
    <mergeCell ref="B50:C50"/>
    <mergeCell ref="I52:K52"/>
    <mergeCell ref="L52:Y52"/>
    <mergeCell ref="B51:H51"/>
    <mergeCell ref="G10:L10"/>
    <mergeCell ref="M13:R13"/>
    <mergeCell ref="M12:R12"/>
    <mergeCell ref="B47:C47"/>
    <mergeCell ref="D47:E47"/>
    <mergeCell ref="F47:H47"/>
    <mergeCell ref="I47:K47"/>
    <mergeCell ref="L47:N47"/>
    <mergeCell ref="O47:Q47"/>
    <mergeCell ref="R47:Y47"/>
    <mergeCell ref="B16:F16"/>
    <mergeCell ref="S14:Y14"/>
    <mergeCell ref="G14:L14"/>
    <mergeCell ref="B14:F14"/>
    <mergeCell ref="D28:E28"/>
    <mergeCell ref="I27:K28"/>
    <mergeCell ref="O22:Q22"/>
    <mergeCell ref="L27:N27"/>
    <mergeCell ref="Q25:T25"/>
    <mergeCell ref="R29:Y29"/>
    <mergeCell ref="F27:H27"/>
    <mergeCell ref="V22:X22"/>
    <mergeCell ref="B22:H22"/>
    <mergeCell ref="I22:M22"/>
    <mergeCell ref="R27:Y28"/>
    <mergeCell ref="B27:C27"/>
    <mergeCell ref="B28:C2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42DD-2E1F-43D9-98F0-4F92542C728E}">
  <sheetPr>
    <pageSetUpPr fitToPage="1"/>
  </sheetPr>
  <dimension ref="A1:AN64"/>
  <sheetViews>
    <sheetView topLeftCell="A40" workbookViewId="0">
      <selection activeCell="R47" sqref="R47:Y4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15</v>
      </c>
      <c r="J5" s="728"/>
      <c r="K5" s="729"/>
      <c r="L5" s="767" t="s">
        <v>4</v>
      </c>
      <c r="M5" s="768"/>
      <c r="N5" s="768"/>
      <c r="O5" s="769"/>
      <c r="P5" s="750" t="s">
        <v>111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111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112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111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110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35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113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2.2890000000000001</v>
      </c>
      <c r="J29" s="683"/>
      <c r="K29" s="683"/>
      <c r="L29" s="684">
        <v>92.3</v>
      </c>
      <c r="M29" s="685"/>
      <c r="N29" s="686"/>
      <c r="O29" s="685">
        <v>7.7</v>
      </c>
      <c r="P29" s="685"/>
      <c r="Q29" s="686"/>
      <c r="R29" s="796" t="s">
        <v>114</v>
      </c>
      <c r="S29" s="797"/>
      <c r="T29" s="797"/>
      <c r="U29" s="797"/>
      <c r="V29" s="797"/>
      <c r="W29" s="797"/>
      <c r="X29" s="797"/>
      <c r="Y29" s="79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2.2879999999999998</v>
      </c>
      <c r="J30" s="683"/>
      <c r="K30" s="683"/>
      <c r="L30" s="684">
        <v>92.3</v>
      </c>
      <c r="M30" s="685"/>
      <c r="N30" s="686"/>
      <c r="O30" s="685">
        <v>7.7</v>
      </c>
      <c r="P30" s="685"/>
      <c r="Q30" s="686"/>
      <c r="R30" s="799"/>
      <c r="S30" s="800"/>
      <c r="T30" s="800"/>
      <c r="U30" s="800"/>
      <c r="V30" s="800"/>
      <c r="W30" s="800"/>
      <c r="X30" s="800"/>
      <c r="Y30" s="801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2.3010000000000002</v>
      </c>
      <c r="J31" s="683"/>
      <c r="K31" s="683"/>
      <c r="L31" s="684">
        <v>92.8</v>
      </c>
      <c r="M31" s="685"/>
      <c r="N31" s="686"/>
      <c r="O31" s="685">
        <v>7.2</v>
      </c>
      <c r="P31" s="685"/>
      <c r="Q31" s="686"/>
      <c r="R31" s="796" t="s">
        <v>115</v>
      </c>
      <c r="S31" s="797"/>
      <c r="T31" s="797"/>
      <c r="U31" s="797"/>
      <c r="V31" s="797"/>
      <c r="W31" s="797"/>
      <c r="X31" s="797"/>
      <c r="Y31" s="79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2.2919999999999998</v>
      </c>
      <c r="J32" s="683"/>
      <c r="K32" s="683"/>
      <c r="L32" s="684">
        <v>92.4</v>
      </c>
      <c r="M32" s="685"/>
      <c r="N32" s="686"/>
      <c r="O32" s="685">
        <v>7.6</v>
      </c>
      <c r="P32" s="685"/>
      <c r="Q32" s="686"/>
      <c r="R32" s="802"/>
      <c r="S32" s="803"/>
      <c r="T32" s="803"/>
      <c r="U32" s="803"/>
      <c r="V32" s="803"/>
      <c r="W32" s="803"/>
      <c r="X32" s="803"/>
      <c r="Y32" s="804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2.3639999999999999</v>
      </c>
      <c r="J33" s="683"/>
      <c r="K33" s="683"/>
      <c r="L33" s="684">
        <v>95.3</v>
      </c>
      <c r="M33" s="685"/>
      <c r="N33" s="686"/>
      <c r="O33" s="685">
        <v>4.7</v>
      </c>
      <c r="P33" s="685"/>
      <c r="Q33" s="686"/>
      <c r="R33" s="802"/>
      <c r="S33" s="803"/>
      <c r="T33" s="803"/>
      <c r="U33" s="803"/>
      <c r="V33" s="803"/>
      <c r="W33" s="803"/>
      <c r="X33" s="803"/>
      <c r="Y33" s="804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2.323</v>
      </c>
      <c r="J34" s="683"/>
      <c r="K34" s="683"/>
      <c r="L34" s="684">
        <v>93.7</v>
      </c>
      <c r="M34" s="685"/>
      <c r="N34" s="686"/>
      <c r="O34" s="685">
        <v>6.3</v>
      </c>
      <c r="P34" s="685"/>
      <c r="Q34" s="686"/>
      <c r="R34" s="802"/>
      <c r="S34" s="803"/>
      <c r="T34" s="803"/>
      <c r="U34" s="803"/>
      <c r="V34" s="803"/>
      <c r="W34" s="803"/>
      <c r="X34" s="803"/>
      <c r="Y34" s="804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2.3199999999999998</v>
      </c>
      <c r="J35" s="683"/>
      <c r="K35" s="683"/>
      <c r="L35" s="684">
        <v>93.5</v>
      </c>
      <c r="M35" s="685"/>
      <c r="N35" s="686"/>
      <c r="O35" s="685">
        <v>6.5</v>
      </c>
      <c r="P35" s="685"/>
      <c r="Q35" s="686"/>
      <c r="R35" s="802"/>
      <c r="S35" s="803"/>
      <c r="T35" s="803"/>
      <c r="U35" s="803"/>
      <c r="V35" s="803"/>
      <c r="W35" s="803"/>
      <c r="X35" s="803"/>
      <c r="Y35" s="804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2.3159999999999998</v>
      </c>
      <c r="J36" s="683"/>
      <c r="K36" s="683"/>
      <c r="L36" s="684">
        <v>93.4</v>
      </c>
      <c r="M36" s="685"/>
      <c r="N36" s="686"/>
      <c r="O36" s="685">
        <v>6.6</v>
      </c>
      <c r="P36" s="685"/>
      <c r="Q36" s="686"/>
      <c r="R36" s="802"/>
      <c r="S36" s="803"/>
      <c r="T36" s="803"/>
      <c r="U36" s="803"/>
      <c r="V36" s="803"/>
      <c r="W36" s="803"/>
      <c r="X36" s="803"/>
      <c r="Y36" s="804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2.3359999999999999</v>
      </c>
      <c r="J37" s="683"/>
      <c r="K37" s="683"/>
      <c r="L37" s="684">
        <v>94.2</v>
      </c>
      <c r="M37" s="685"/>
      <c r="N37" s="686"/>
      <c r="O37" s="685">
        <v>5.8</v>
      </c>
      <c r="P37" s="685"/>
      <c r="Q37" s="686"/>
      <c r="R37" s="802"/>
      <c r="S37" s="803"/>
      <c r="T37" s="803"/>
      <c r="U37" s="803"/>
      <c r="V37" s="803"/>
      <c r="W37" s="803"/>
      <c r="X37" s="803"/>
      <c r="Y37" s="804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2.3410000000000002</v>
      </c>
      <c r="J38" s="683"/>
      <c r="K38" s="683"/>
      <c r="L38" s="684">
        <v>94.4</v>
      </c>
      <c r="M38" s="685"/>
      <c r="N38" s="686"/>
      <c r="O38" s="685">
        <v>5.6</v>
      </c>
      <c r="P38" s="685"/>
      <c r="Q38" s="686"/>
      <c r="R38" s="802"/>
      <c r="S38" s="803"/>
      <c r="T38" s="803"/>
      <c r="U38" s="803"/>
      <c r="V38" s="803"/>
      <c r="W38" s="803"/>
      <c r="X38" s="803"/>
      <c r="Y38" s="804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2.294</v>
      </c>
      <c r="J39" s="683"/>
      <c r="K39" s="683"/>
      <c r="L39" s="684">
        <v>92.5</v>
      </c>
      <c r="M39" s="685"/>
      <c r="N39" s="686"/>
      <c r="O39" s="685">
        <v>7.5</v>
      </c>
      <c r="P39" s="685"/>
      <c r="Q39" s="686"/>
      <c r="R39" s="802"/>
      <c r="S39" s="803"/>
      <c r="T39" s="803"/>
      <c r="U39" s="803"/>
      <c r="V39" s="803"/>
      <c r="W39" s="803"/>
      <c r="X39" s="803"/>
      <c r="Y39" s="804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2.3069999999999999</v>
      </c>
      <c r="J40" s="683"/>
      <c r="K40" s="683"/>
      <c r="L40" s="684">
        <v>93</v>
      </c>
      <c r="M40" s="685"/>
      <c r="N40" s="686"/>
      <c r="O40" s="685">
        <v>7</v>
      </c>
      <c r="P40" s="685"/>
      <c r="Q40" s="686"/>
      <c r="R40" s="799"/>
      <c r="S40" s="800"/>
      <c r="T40" s="800"/>
      <c r="U40" s="800"/>
      <c r="V40" s="800"/>
      <c r="W40" s="800"/>
      <c r="X40" s="800"/>
      <c r="Y40" s="801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2.31</v>
      </c>
      <c r="J51" s="735"/>
      <c r="K51" s="735"/>
      <c r="L51" s="698">
        <v>93.32</v>
      </c>
      <c r="M51" s="698"/>
      <c r="N51" s="698"/>
      <c r="O51" s="698">
        <v>6.68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21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B41:C41"/>
    <mergeCell ref="D41:E41"/>
    <mergeCell ref="F41:H41"/>
    <mergeCell ref="I41:K41"/>
    <mergeCell ref="L41:N41"/>
    <mergeCell ref="O41:Q41"/>
    <mergeCell ref="R41:Y41"/>
    <mergeCell ref="B16:F16"/>
    <mergeCell ref="S14:Y14"/>
    <mergeCell ref="G14:L14"/>
    <mergeCell ref="B14:F14"/>
    <mergeCell ref="D28:E28"/>
    <mergeCell ref="I27:K28"/>
    <mergeCell ref="O22:Q22"/>
    <mergeCell ref="L27:N27"/>
    <mergeCell ref="Q25:T25"/>
    <mergeCell ref="F27:H27"/>
    <mergeCell ref="V22:X22"/>
    <mergeCell ref="B22:H22"/>
    <mergeCell ref="I22:M22"/>
    <mergeCell ref="R27:Y28"/>
    <mergeCell ref="B27:C27"/>
    <mergeCell ref="B28:C28"/>
    <mergeCell ref="D27:E27"/>
    <mergeCell ref="U56:Z56"/>
    <mergeCell ref="A60:Q63"/>
    <mergeCell ref="B52:H52"/>
    <mergeCell ref="O51:Q51"/>
    <mergeCell ref="R57:T59"/>
    <mergeCell ref="U57:Z59"/>
    <mergeCell ref="R60:T63"/>
    <mergeCell ref="V61:Y62"/>
    <mergeCell ref="L6:O6"/>
    <mergeCell ref="P6:T6"/>
    <mergeCell ref="A1:F6"/>
    <mergeCell ref="G1:T1"/>
    <mergeCell ref="A7:F7"/>
    <mergeCell ref="D50:E50"/>
    <mergeCell ref="L56:P56"/>
    <mergeCell ref="A56:F56"/>
    <mergeCell ref="L28:N28"/>
    <mergeCell ref="B50:C50"/>
    <mergeCell ref="I52:K52"/>
    <mergeCell ref="L52:Y52"/>
    <mergeCell ref="B51:H51"/>
    <mergeCell ref="G10:L10"/>
    <mergeCell ref="M13:R13"/>
    <mergeCell ref="M12:R12"/>
    <mergeCell ref="I5:K5"/>
    <mergeCell ref="I6:K6"/>
    <mergeCell ref="R51:Y51"/>
    <mergeCell ref="U55:Z55"/>
    <mergeCell ref="S13:Y13"/>
    <mergeCell ref="M14:R14"/>
    <mergeCell ref="G13:L13"/>
    <mergeCell ref="S11:W11"/>
    <mergeCell ref="R56:T56"/>
    <mergeCell ref="G7:Z7"/>
    <mergeCell ref="P5:T5"/>
    <mergeCell ref="U1:Z6"/>
    <mergeCell ref="G2:T4"/>
    <mergeCell ref="G5:H5"/>
    <mergeCell ref="L5:O5"/>
    <mergeCell ref="I51:K51"/>
    <mergeCell ref="I50:K50"/>
    <mergeCell ref="F50:H50"/>
    <mergeCell ref="R50:Y50"/>
    <mergeCell ref="O50:Q50"/>
    <mergeCell ref="L50:N50"/>
    <mergeCell ref="L51:N51"/>
    <mergeCell ref="O28:Q28"/>
    <mergeCell ref="I25:P25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X11:Y11"/>
    <mergeCell ref="M11:O11"/>
    <mergeCell ref="P11:R11"/>
    <mergeCell ref="B11:F11"/>
    <mergeCell ref="G11:L11"/>
    <mergeCell ref="B12:F12"/>
    <mergeCell ref="G12:L12"/>
    <mergeCell ref="B13:F13"/>
    <mergeCell ref="B29:C29"/>
    <mergeCell ref="O27:Q27"/>
    <mergeCell ref="B30:C30"/>
    <mergeCell ref="D30:E30"/>
    <mergeCell ref="F30:H30"/>
    <mergeCell ref="I30:K30"/>
    <mergeCell ref="L30:N30"/>
    <mergeCell ref="O29:Q29"/>
    <mergeCell ref="D29:E29"/>
    <mergeCell ref="F29:H29"/>
    <mergeCell ref="I29:K29"/>
    <mergeCell ref="L29:N29"/>
    <mergeCell ref="O30:Q30"/>
    <mergeCell ref="O32:Q32"/>
    <mergeCell ref="B33:C33"/>
    <mergeCell ref="D33:E33"/>
    <mergeCell ref="F33:H33"/>
    <mergeCell ref="I33:K33"/>
    <mergeCell ref="L33:N33"/>
    <mergeCell ref="O33:Q33"/>
    <mergeCell ref="B32:C32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B35:C35"/>
    <mergeCell ref="D35:E35"/>
    <mergeCell ref="F35:H35"/>
    <mergeCell ref="I35:K35"/>
    <mergeCell ref="L35:N35"/>
    <mergeCell ref="O35:Q35"/>
    <mergeCell ref="B34:C34"/>
    <mergeCell ref="D34:E34"/>
    <mergeCell ref="O40:Q40"/>
    <mergeCell ref="B40:C40"/>
    <mergeCell ref="D40:E40"/>
    <mergeCell ref="F40:H40"/>
    <mergeCell ref="I40:K40"/>
    <mergeCell ref="L40:N40"/>
    <mergeCell ref="R29:Y30"/>
    <mergeCell ref="R31:Y40"/>
    <mergeCell ref="O38:Q38"/>
    <mergeCell ref="B39:C39"/>
    <mergeCell ref="D39:E39"/>
    <mergeCell ref="F39:H39"/>
    <mergeCell ref="I39:K39"/>
    <mergeCell ref="L39:N39"/>
    <mergeCell ref="O39:Q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7BA7-2083-42E7-84B7-A4C9ECF99905}">
  <sheetPr>
    <pageSetUpPr fitToPage="1"/>
  </sheetPr>
  <dimension ref="A1:AN63"/>
  <sheetViews>
    <sheetView workbookViewId="0">
      <selection activeCell="T19" sqref="T1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14</v>
      </c>
      <c r="J5" s="728"/>
      <c r="K5" s="729"/>
      <c r="L5" s="767" t="s">
        <v>4</v>
      </c>
      <c r="M5" s="768"/>
      <c r="N5" s="768"/>
      <c r="O5" s="769"/>
      <c r="P5" s="750" t="s">
        <v>109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80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109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106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109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27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2.3170000000000002</v>
      </c>
      <c r="J29" s="683"/>
      <c r="K29" s="683"/>
      <c r="L29" s="684">
        <v>94.7</v>
      </c>
      <c r="M29" s="685"/>
      <c r="N29" s="686"/>
      <c r="O29" s="685">
        <v>5.3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2.339</v>
      </c>
      <c r="J30" s="683"/>
      <c r="K30" s="683"/>
      <c r="L30" s="684">
        <v>95.6</v>
      </c>
      <c r="M30" s="685"/>
      <c r="N30" s="686"/>
      <c r="O30" s="685">
        <v>4.4000000000000004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2.2639999999999998</v>
      </c>
      <c r="J31" s="683"/>
      <c r="K31" s="683"/>
      <c r="L31" s="684">
        <v>92.5</v>
      </c>
      <c r="M31" s="685"/>
      <c r="N31" s="686"/>
      <c r="O31" s="685">
        <v>7.5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2.302</v>
      </c>
      <c r="J32" s="683"/>
      <c r="K32" s="683"/>
      <c r="L32" s="684">
        <v>94.1</v>
      </c>
      <c r="M32" s="685"/>
      <c r="N32" s="686"/>
      <c r="O32" s="685">
        <v>5.9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2.298</v>
      </c>
      <c r="J33" s="683"/>
      <c r="K33" s="683"/>
      <c r="L33" s="684">
        <v>93.9</v>
      </c>
      <c r="M33" s="685"/>
      <c r="N33" s="686"/>
      <c r="O33" s="685">
        <v>6.1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2.339</v>
      </c>
      <c r="J34" s="683"/>
      <c r="K34" s="683"/>
      <c r="L34" s="684">
        <v>95.6</v>
      </c>
      <c r="M34" s="685"/>
      <c r="N34" s="686"/>
      <c r="O34" s="685">
        <v>4.4000000000000004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2.2970000000000002</v>
      </c>
      <c r="J35" s="683"/>
      <c r="K35" s="683"/>
      <c r="L35" s="684">
        <v>93.9</v>
      </c>
      <c r="M35" s="685"/>
      <c r="N35" s="686"/>
      <c r="O35" s="685">
        <v>6.1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2.3319999999999999</v>
      </c>
      <c r="J36" s="683"/>
      <c r="K36" s="683"/>
      <c r="L36" s="684">
        <v>95.3</v>
      </c>
      <c r="M36" s="685"/>
      <c r="N36" s="686"/>
      <c r="O36" s="685">
        <v>4.7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2.3050000000000002</v>
      </c>
      <c r="J37" s="683"/>
      <c r="K37" s="683"/>
      <c r="L37" s="684">
        <v>94.2</v>
      </c>
      <c r="M37" s="685"/>
      <c r="N37" s="686"/>
      <c r="O37" s="685">
        <v>5.8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2.2749999999999999</v>
      </c>
      <c r="J38" s="683"/>
      <c r="K38" s="683"/>
      <c r="L38" s="684">
        <v>93</v>
      </c>
      <c r="M38" s="685"/>
      <c r="N38" s="686"/>
      <c r="O38" s="685">
        <v>7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2.2749999999999999</v>
      </c>
      <c r="J39" s="683"/>
      <c r="K39" s="683"/>
      <c r="L39" s="684">
        <v>93</v>
      </c>
      <c r="M39" s="685"/>
      <c r="N39" s="686"/>
      <c r="O39" s="685">
        <v>7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2.2999999999999998</v>
      </c>
      <c r="J40" s="683"/>
      <c r="K40" s="683"/>
      <c r="L40" s="684">
        <v>94</v>
      </c>
      <c r="M40" s="685"/>
      <c r="N40" s="686"/>
      <c r="O40" s="685">
        <v>6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2.2839999999999998</v>
      </c>
      <c r="J41" s="683"/>
      <c r="K41" s="683"/>
      <c r="L41" s="684">
        <v>93.3</v>
      </c>
      <c r="M41" s="685"/>
      <c r="N41" s="686"/>
      <c r="O41" s="685">
        <v>6.7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2.3180000000000001</v>
      </c>
      <c r="J42" s="683"/>
      <c r="K42" s="683"/>
      <c r="L42" s="684">
        <v>94.7</v>
      </c>
      <c r="M42" s="685"/>
      <c r="N42" s="686"/>
      <c r="O42" s="685">
        <v>5.3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2.2549999999999999</v>
      </c>
      <c r="J43" s="683"/>
      <c r="K43" s="683"/>
      <c r="L43" s="684">
        <v>92.2</v>
      </c>
      <c r="M43" s="685"/>
      <c r="N43" s="686"/>
      <c r="O43" s="685">
        <v>7.8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16</v>
      </c>
      <c r="C44" s="679"/>
      <c r="D44" s="680"/>
      <c r="E44" s="681"/>
      <c r="F44" s="680"/>
      <c r="G44" s="681"/>
      <c r="H44" s="682"/>
      <c r="I44" s="683">
        <v>2.2610000000000001</v>
      </c>
      <c r="J44" s="683"/>
      <c r="K44" s="683"/>
      <c r="L44" s="684">
        <v>92.4</v>
      </c>
      <c r="M44" s="685"/>
      <c r="N44" s="686"/>
      <c r="O44" s="685">
        <v>7.6</v>
      </c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17</v>
      </c>
      <c r="C45" s="679"/>
      <c r="D45" s="680"/>
      <c r="E45" s="681"/>
      <c r="F45" s="680"/>
      <c r="G45" s="681"/>
      <c r="H45" s="682"/>
      <c r="I45" s="683">
        <v>2.2570000000000001</v>
      </c>
      <c r="J45" s="683"/>
      <c r="K45" s="683"/>
      <c r="L45" s="684">
        <v>92.2</v>
      </c>
      <c r="M45" s="685"/>
      <c r="N45" s="686"/>
      <c r="O45" s="685">
        <v>7.8</v>
      </c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18</v>
      </c>
      <c r="C46" s="679"/>
      <c r="D46" s="680"/>
      <c r="E46" s="681"/>
      <c r="F46" s="680"/>
      <c r="G46" s="681"/>
      <c r="H46" s="682"/>
      <c r="I46" s="683">
        <v>2.3149999999999999</v>
      </c>
      <c r="J46" s="683"/>
      <c r="K46" s="683"/>
      <c r="L46" s="684">
        <v>94.6</v>
      </c>
      <c r="M46" s="685"/>
      <c r="N46" s="686"/>
      <c r="O46" s="685">
        <v>5.4</v>
      </c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>
        <v>19</v>
      </c>
      <c r="C47" s="679"/>
      <c r="D47" s="680"/>
      <c r="E47" s="681"/>
      <c r="F47" s="680"/>
      <c r="G47" s="681"/>
      <c r="H47" s="682"/>
      <c r="I47" s="683">
        <v>2.3119999999999998</v>
      </c>
      <c r="J47" s="683"/>
      <c r="K47" s="683"/>
      <c r="L47" s="684">
        <v>94.5</v>
      </c>
      <c r="M47" s="685"/>
      <c r="N47" s="686"/>
      <c r="O47" s="685">
        <v>5.5</v>
      </c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>
        <v>20</v>
      </c>
      <c r="C48" s="679"/>
      <c r="D48" s="680"/>
      <c r="E48" s="681"/>
      <c r="F48" s="680"/>
      <c r="G48" s="681"/>
      <c r="H48" s="682"/>
      <c r="I48" s="683">
        <v>2.2850000000000001</v>
      </c>
      <c r="J48" s="683"/>
      <c r="K48" s="683"/>
      <c r="L48" s="684">
        <v>93.4</v>
      </c>
      <c r="M48" s="685"/>
      <c r="N48" s="686"/>
      <c r="O48" s="685">
        <v>6.6</v>
      </c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7.25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6.5" customHeight="1" thickBot="1" x14ac:dyDescent="0.3">
      <c r="A50" s="9"/>
      <c r="B50" s="733" t="s">
        <v>62</v>
      </c>
      <c r="C50" s="734"/>
      <c r="D50" s="734"/>
      <c r="E50" s="734"/>
      <c r="F50" s="734"/>
      <c r="G50" s="734"/>
      <c r="H50" s="734"/>
      <c r="I50" s="735">
        <v>2.2999999999999998</v>
      </c>
      <c r="J50" s="735"/>
      <c r="K50" s="735"/>
      <c r="L50" s="698">
        <v>93.86</v>
      </c>
      <c r="M50" s="698"/>
      <c r="N50" s="698"/>
      <c r="O50" s="698">
        <v>6.15</v>
      </c>
      <c r="P50" s="698"/>
      <c r="Q50" s="698"/>
      <c r="R50" s="699"/>
      <c r="S50" s="699"/>
      <c r="T50" s="699"/>
      <c r="U50" s="699"/>
      <c r="V50" s="699"/>
      <c r="W50" s="699"/>
      <c r="X50" s="699"/>
      <c r="Y50" s="700"/>
      <c r="Z50" s="11"/>
    </row>
    <row r="51" spans="1:29" ht="25.5" customHeight="1" thickBot="1" x14ac:dyDescent="0.3">
      <c r="A51" s="9"/>
      <c r="B51" s="707" t="s">
        <v>63</v>
      </c>
      <c r="C51" s="708"/>
      <c r="D51" s="708"/>
      <c r="E51" s="708"/>
      <c r="F51" s="708"/>
      <c r="G51" s="708"/>
      <c r="H51" s="708"/>
      <c r="I51" s="730">
        <v>100</v>
      </c>
      <c r="J51" s="730"/>
      <c r="K51" s="730"/>
      <c r="L51" s="731"/>
      <c r="M51" s="731"/>
      <c r="N51" s="731"/>
      <c r="O51" s="731"/>
      <c r="P51" s="731"/>
      <c r="Q51" s="731"/>
      <c r="R51" s="731"/>
      <c r="S51" s="731"/>
      <c r="T51" s="731"/>
      <c r="U51" s="731"/>
      <c r="V51" s="731"/>
      <c r="W51" s="731"/>
      <c r="X51" s="731"/>
      <c r="Y51" s="732"/>
      <c r="Z51" s="11"/>
    </row>
    <row r="52" spans="1:29" ht="15" customHeight="1" x14ac:dyDescent="0.25">
      <c r="A52" s="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6"/>
    </row>
    <row r="53" spans="1:29" ht="16.5" customHeight="1" x14ac:dyDescent="0.25"/>
    <row r="54" spans="1:29" ht="34.5" customHeight="1" x14ac:dyDescent="0.25">
      <c r="A54" s="23" t="s">
        <v>64</v>
      </c>
      <c r="B54" s="24" t="s">
        <v>65</v>
      </c>
      <c r="C54" s="25"/>
      <c r="D54" s="25"/>
      <c r="E54" s="25"/>
      <c r="F54" s="26"/>
      <c r="G54" s="26"/>
      <c r="H54" s="26"/>
      <c r="I54" s="6"/>
      <c r="J54" s="6"/>
      <c r="K54" s="6"/>
      <c r="L54" s="6"/>
      <c r="M54" s="6"/>
      <c r="N54" s="6"/>
      <c r="O54" s="6"/>
      <c r="P54" s="6"/>
      <c r="Q54" s="26"/>
      <c r="R54" s="6"/>
      <c r="S54" s="6"/>
      <c r="T54" s="6"/>
      <c r="U54" s="721"/>
      <c r="V54" s="721"/>
      <c r="W54" s="721"/>
      <c r="X54" s="721"/>
      <c r="Y54" s="721"/>
      <c r="Z54" s="722"/>
      <c r="AA54" s="27"/>
      <c r="AB54" s="27"/>
      <c r="AC54" s="27"/>
    </row>
    <row r="55" spans="1:29" ht="27" customHeight="1" x14ac:dyDescent="0.25">
      <c r="A55" s="693" t="s">
        <v>66</v>
      </c>
      <c r="B55" s="694"/>
      <c r="C55" s="694"/>
      <c r="D55" s="694"/>
      <c r="E55" s="694"/>
      <c r="F55" s="694"/>
      <c r="G55" s="34"/>
      <c r="H55" s="34"/>
      <c r="I55" s="34"/>
      <c r="J55" s="34"/>
      <c r="K55" s="35"/>
      <c r="L55" s="691" t="s">
        <v>74</v>
      </c>
      <c r="M55" s="692"/>
      <c r="N55" s="692"/>
      <c r="O55" s="692"/>
      <c r="P55" s="692"/>
      <c r="Q55" s="39"/>
      <c r="R55" s="689" t="s">
        <v>67</v>
      </c>
      <c r="S55" s="689"/>
      <c r="T55" s="689"/>
      <c r="U55" s="723" t="s">
        <v>73</v>
      </c>
      <c r="V55" s="724"/>
      <c r="W55" s="724"/>
      <c r="X55" s="724"/>
      <c r="Y55" s="724"/>
      <c r="Z55" s="725"/>
      <c r="AA55" s="27"/>
      <c r="AB55" s="27"/>
      <c r="AC55" s="27"/>
    </row>
    <row r="56" spans="1:29" ht="15.75" customHeight="1" x14ac:dyDescent="0.25">
      <c r="A56" s="28"/>
      <c r="K56" s="29"/>
      <c r="R56" s="709" t="s">
        <v>68</v>
      </c>
      <c r="S56" s="710"/>
      <c r="T56" s="711"/>
      <c r="U56" s="712" t="s">
        <v>75</v>
      </c>
      <c r="V56" s="713"/>
      <c r="W56" s="713"/>
      <c r="X56" s="713"/>
      <c r="Y56" s="713"/>
      <c r="Z56" s="714"/>
      <c r="AA56" s="27"/>
      <c r="AB56" s="27"/>
      <c r="AC56" s="27"/>
    </row>
    <row r="57" spans="1:29" ht="9" customHeight="1" x14ac:dyDescent="0.25">
      <c r="A57" s="30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  <c r="N57" s="3"/>
      <c r="O57" s="3"/>
      <c r="P57" s="3"/>
      <c r="Q57" s="3"/>
      <c r="R57" s="709"/>
      <c r="S57" s="710"/>
      <c r="T57" s="711"/>
      <c r="U57" s="715"/>
      <c r="V57" s="716"/>
      <c r="W57" s="716"/>
      <c r="X57" s="716"/>
      <c r="Y57" s="716"/>
      <c r="Z57" s="717"/>
      <c r="AA57" s="27"/>
      <c r="AB57" s="27"/>
      <c r="AC57" s="27"/>
    </row>
    <row r="58" spans="1:29" ht="15.9" customHeight="1" x14ac:dyDescent="0.25">
      <c r="A58" s="4" t="s">
        <v>69</v>
      </c>
      <c r="B58" s="5" t="s">
        <v>70</v>
      </c>
      <c r="C58" s="6"/>
      <c r="D58" s="6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701"/>
      <c r="B59" s="702"/>
      <c r="C59" s="702"/>
      <c r="D59" s="702"/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3"/>
      <c r="R59" s="709" t="s">
        <v>71</v>
      </c>
      <c r="S59" s="710"/>
      <c r="T59" s="711"/>
      <c r="U59" s="45"/>
      <c r="V59" s="46"/>
      <c r="W59" s="46"/>
      <c r="X59" s="46"/>
      <c r="Y59" s="46"/>
      <c r="Z59" s="47"/>
      <c r="AA59" s="27"/>
      <c r="AB59" s="27"/>
      <c r="AC59" s="27"/>
    </row>
    <row r="60" spans="1:29" ht="16.5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/>
      <c r="S60" s="710"/>
      <c r="T60" s="711"/>
      <c r="U60" s="48"/>
      <c r="V60" s="690"/>
      <c r="W60" s="690"/>
      <c r="X60" s="690"/>
      <c r="Y60" s="690"/>
      <c r="Z60" s="49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4"/>
      <c r="B62" s="705"/>
      <c r="C62" s="705"/>
      <c r="D62" s="705"/>
      <c r="E62" s="705"/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6"/>
      <c r="R62" s="718"/>
      <c r="S62" s="719"/>
      <c r="T62" s="720"/>
      <c r="U62" s="50"/>
      <c r="V62" s="51"/>
      <c r="W62" s="51"/>
      <c r="X62" s="51"/>
      <c r="Y62" s="51"/>
      <c r="Z62" s="52"/>
      <c r="AA62" s="27"/>
      <c r="AB62" s="27"/>
      <c r="AC62" s="27"/>
    </row>
    <row r="63" spans="1:29" ht="16.5" customHeight="1" x14ac:dyDescent="0.25">
      <c r="R63" s="38"/>
      <c r="S63" s="38"/>
      <c r="T63" s="38"/>
      <c r="U63" s="37"/>
      <c r="V63" s="37"/>
      <c r="W63" s="37"/>
      <c r="X63" s="37"/>
      <c r="Y63" s="37"/>
      <c r="Z63" s="37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4B08-9750-429F-9FE8-A2A0E8B3B856}">
  <sheetPr>
    <pageSetUpPr fitToPage="1"/>
  </sheetPr>
  <dimension ref="A1:AN64"/>
  <sheetViews>
    <sheetView topLeftCell="A37" workbookViewId="0">
      <selection activeCell="AC15" sqref="AC1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13</v>
      </c>
      <c r="J5" s="728"/>
      <c r="K5" s="729"/>
      <c r="L5" s="767" t="s">
        <v>4</v>
      </c>
      <c r="M5" s="768"/>
      <c r="N5" s="768"/>
      <c r="O5" s="769"/>
      <c r="P5" s="750" t="s">
        <v>108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108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108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27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102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2.306</v>
      </c>
      <c r="J29" s="683"/>
      <c r="K29" s="683"/>
      <c r="L29" s="684">
        <v>93</v>
      </c>
      <c r="M29" s="685"/>
      <c r="N29" s="686"/>
      <c r="O29" s="685">
        <v>7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2.3530000000000002</v>
      </c>
      <c r="J30" s="683"/>
      <c r="K30" s="683"/>
      <c r="L30" s="684">
        <v>94.9</v>
      </c>
      <c r="M30" s="685"/>
      <c r="N30" s="686"/>
      <c r="O30" s="685">
        <v>5.0999999999999996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2.319</v>
      </c>
      <c r="J31" s="683"/>
      <c r="K31" s="683"/>
      <c r="L31" s="684">
        <v>93.5</v>
      </c>
      <c r="M31" s="685"/>
      <c r="N31" s="686"/>
      <c r="O31" s="685">
        <v>6.5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2.3380000000000001</v>
      </c>
      <c r="J32" s="683"/>
      <c r="K32" s="683"/>
      <c r="L32" s="684">
        <v>94.3</v>
      </c>
      <c r="M32" s="685"/>
      <c r="N32" s="686"/>
      <c r="O32" s="685">
        <v>5.7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2.3340000000000001</v>
      </c>
      <c r="J33" s="683"/>
      <c r="K33" s="683"/>
      <c r="L33" s="684">
        <v>94.1</v>
      </c>
      <c r="M33" s="685"/>
      <c r="N33" s="686"/>
      <c r="O33" s="685">
        <v>5.9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2.3450000000000002</v>
      </c>
      <c r="J34" s="683"/>
      <c r="K34" s="683"/>
      <c r="L34" s="684">
        <v>94.6</v>
      </c>
      <c r="M34" s="685"/>
      <c r="N34" s="686"/>
      <c r="O34" s="685">
        <v>5.4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2.306</v>
      </c>
      <c r="J35" s="683"/>
      <c r="K35" s="683"/>
      <c r="L35" s="684">
        <v>93</v>
      </c>
      <c r="M35" s="685"/>
      <c r="N35" s="686"/>
      <c r="O35" s="685">
        <v>7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2.2949999999999999</v>
      </c>
      <c r="J36" s="683"/>
      <c r="K36" s="683"/>
      <c r="L36" s="684">
        <v>92.5</v>
      </c>
      <c r="M36" s="685"/>
      <c r="N36" s="686"/>
      <c r="O36" s="685">
        <v>7.5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2.3109999999999999</v>
      </c>
      <c r="J37" s="683"/>
      <c r="K37" s="683"/>
      <c r="L37" s="684">
        <v>93.2</v>
      </c>
      <c r="M37" s="685"/>
      <c r="N37" s="686"/>
      <c r="O37" s="685">
        <v>6.8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2.3279999999999998</v>
      </c>
      <c r="J38" s="683"/>
      <c r="K38" s="683"/>
      <c r="L38" s="684">
        <v>93.9</v>
      </c>
      <c r="M38" s="685"/>
      <c r="N38" s="686"/>
      <c r="O38" s="685">
        <v>6.1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/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/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2.3199999999999998</v>
      </c>
      <c r="J51" s="735"/>
      <c r="K51" s="735"/>
      <c r="L51" s="698">
        <v>93.7</v>
      </c>
      <c r="M51" s="698"/>
      <c r="N51" s="698"/>
      <c r="O51" s="698">
        <v>6.3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B39:C39"/>
    <mergeCell ref="D39:E39"/>
    <mergeCell ref="F39:H39"/>
    <mergeCell ref="I39:K39"/>
    <mergeCell ref="L39:N39"/>
    <mergeCell ref="O39:Q39"/>
    <mergeCell ref="R39:Y39"/>
    <mergeCell ref="B11:F11"/>
    <mergeCell ref="G11:L11"/>
    <mergeCell ref="B12:F12"/>
    <mergeCell ref="G12:L12"/>
    <mergeCell ref="B13:F13"/>
    <mergeCell ref="G13:L13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2:Q32"/>
    <mergeCell ref="F32:H32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D28:E28"/>
    <mergeCell ref="I27:K28"/>
    <mergeCell ref="L27:N27"/>
    <mergeCell ref="O27:Q27"/>
    <mergeCell ref="O28:Q28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I32:K32"/>
    <mergeCell ref="L32:N32"/>
    <mergeCell ref="O34:Q34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9A5A-77F4-4506-928D-6C687F3742D0}">
  <sheetPr>
    <pageSetUpPr fitToPage="1"/>
  </sheetPr>
  <dimension ref="A1:AN64"/>
  <sheetViews>
    <sheetView topLeftCell="A43" workbookViewId="0">
      <selection activeCell="X17" sqref="X1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12</v>
      </c>
      <c r="J5" s="728"/>
      <c r="K5" s="729"/>
      <c r="L5" s="767" t="s">
        <v>4</v>
      </c>
      <c r="M5" s="768"/>
      <c r="N5" s="768"/>
      <c r="O5" s="769"/>
      <c r="P5" s="750" t="s">
        <v>108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108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99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108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27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102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2.3479999999999999</v>
      </c>
      <c r="J29" s="683"/>
      <c r="K29" s="683"/>
      <c r="L29" s="684">
        <v>94.7</v>
      </c>
      <c r="M29" s="685"/>
      <c r="N29" s="686"/>
      <c r="O29" s="685">
        <v>5.3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2.3780000000000001</v>
      </c>
      <c r="J30" s="683"/>
      <c r="K30" s="683"/>
      <c r="L30" s="684">
        <v>95.9</v>
      </c>
      <c r="M30" s="685"/>
      <c r="N30" s="686"/>
      <c r="O30" s="685">
        <v>4.0999999999999996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2.34</v>
      </c>
      <c r="J31" s="683"/>
      <c r="K31" s="683"/>
      <c r="L31" s="684">
        <v>94.4</v>
      </c>
      <c r="M31" s="685"/>
      <c r="N31" s="686"/>
      <c r="O31" s="685">
        <v>5.6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2.339</v>
      </c>
      <c r="J32" s="683"/>
      <c r="K32" s="683"/>
      <c r="L32" s="684">
        <v>94.3</v>
      </c>
      <c r="M32" s="685"/>
      <c r="N32" s="686"/>
      <c r="O32" s="685">
        <v>5.7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2.3380000000000001</v>
      </c>
      <c r="J33" s="683"/>
      <c r="K33" s="683"/>
      <c r="L33" s="684">
        <v>94.3</v>
      </c>
      <c r="M33" s="685"/>
      <c r="N33" s="686"/>
      <c r="O33" s="685">
        <v>5.7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2.3490000000000002</v>
      </c>
      <c r="J34" s="683"/>
      <c r="K34" s="683"/>
      <c r="L34" s="684">
        <v>94.7</v>
      </c>
      <c r="M34" s="685"/>
      <c r="N34" s="686"/>
      <c r="O34" s="685">
        <v>5.3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2.3610000000000002</v>
      </c>
      <c r="J35" s="683"/>
      <c r="K35" s="683"/>
      <c r="L35" s="684">
        <v>95.2</v>
      </c>
      <c r="M35" s="685"/>
      <c r="N35" s="686"/>
      <c r="O35" s="685">
        <v>4.8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2.3210000000000002</v>
      </c>
      <c r="J36" s="683"/>
      <c r="K36" s="683"/>
      <c r="L36" s="684">
        <v>93.6</v>
      </c>
      <c r="M36" s="685"/>
      <c r="N36" s="686"/>
      <c r="O36" s="685">
        <v>6.4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2.306</v>
      </c>
      <c r="J37" s="683"/>
      <c r="K37" s="683"/>
      <c r="L37" s="684">
        <v>93</v>
      </c>
      <c r="M37" s="685"/>
      <c r="N37" s="686"/>
      <c r="O37" s="685">
        <v>7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2.3250000000000002</v>
      </c>
      <c r="J38" s="683"/>
      <c r="K38" s="683"/>
      <c r="L38" s="684">
        <v>93.8</v>
      </c>
      <c r="M38" s="685"/>
      <c r="N38" s="686"/>
      <c r="O38" s="685">
        <v>6.2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/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/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2.34</v>
      </c>
      <c r="J51" s="735"/>
      <c r="K51" s="735"/>
      <c r="L51" s="698">
        <v>94.39</v>
      </c>
      <c r="M51" s="698"/>
      <c r="N51" s="698"/>
      <c r="O51" s="698">
        <v>5.61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B39:C39"/>
    <mergeCell ref="D39:E39"/>
    <mergeCell ref="F39:H39"/>
    <mergeCell ref="I39:K39"/>
    <mergeCell ref="L39:N39"/>
    <mergeCell ref="O39:Q39"/>
    <mergeCell ref="R39:Y39"/>
    <mergeCell ref="B11:F11"/>
    <mergeCell ref="G11:L11"/>
    <mergeCell ref="B12:F12"/>
    <mergeCell ref="G12:L12"/>
    <mergeCell ref="B13:F13"/>
    <mergeCell ref="G13:L13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2:Q32"/>
    <mergeCell ref="F32:H32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D28:E28"/>
    <mergeCell ref="I27:K28"/>
    <mergeCell ref="L27:N27"/>
    <mergeCell ref="O27:Q27"/>
    <mergeCell ref="O28:Q28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I32:K32"/>
    <mergeCell ref="L32:N32"/>
    <mergeCell ref="O34:Q34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6461-24B7-4EC9-8F51-1B318CAEDEB3}">
  <sheetPr>
    <pageSetUpPr fitToPage="1"/>
  </sheetPr>
  <dimension ref="A1:AN64"/>
  <sheetViews>
    <sheetView workbookViewId="0">
      <selection activeCell="AB16" sqref="AB1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11</v>
      </c>
      <c r="J5" s="728"/>
      <c r="K5" s="729"/>
      <c r="L5" s="767" t="s">
        <v>4</v>
      </c>
      <c r="M5" s="768"/>
      <c r="N5" s="768"/>
      <c r="O5" s="769"/>
      <c r="P5" s="750">
        <v>44445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96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107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110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107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44" t="s">
        <v>88</v>
      </c>
      <c r="T13" s="44"/>
      <c r="U13" s="44"/>
      <c r="V13" s="44"/>
      <c r="W13" s="44"/>
      <c r="X13" s="44"/>
      <c r="Y13" s="44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2.29</v>
      </c>
      <c r="J29" s="683"/>
      <c r="K29" s="683"/>
      <c r="L29" s="684">
        <v>93.6</v>
      </c>
      <c r="M29" s="685"/>
      <c r="N29" s="686"/>
      <c r="O29" s="685">
        <v>6.4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2.35</v>
      </c>
      <c r="J30" s="683"/>
      <c r="K30" s="683"/>
      <c r="L30" s="684">
        <v>96</v>
      </c>
      <c r="M30" s="685"/>
      <c r="N30" s="686"/>
      <c r="O30" s="685">
        <v>4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2.34</v>
      </c>
      <c r="J31" s="683"/>
      <c r="K31" s="683"/>
      <c r="L31" s="684">
        <v>95.6</v>
      </c>
      <c r="M31" s="685"/>
      <c r="N31" s="686"/>
      <c r="O31" s="685">
        <v>4.4000000000000004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2.3330000000000002</v>
      </c>
      <c r="J32" s="683"/>
      <c r="K32" s="683"/>
      <c r="L32" s="684">
        <v>95.3</v>
      </c>
      <c r="M32" s="685"/>
      <c r="N32" s="686"/>
      <c r="O32" s="685">
        <v>4.7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2.3140000000000001</v>
      </c>
      <c r="J33" s="683"/>
      <c r="K33" s="683"/>
      <c r="L33" s="684">
        <v>94.6</v>
      </c>
      <c r="M33" s="685"/>
      <c r="N33" s="686"/>
      <c r="O33" s="685">
        <v>5.4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2.2549999999999999</v>
      </c>
      <c r="J34" s="683"/>
      <c r="K34" s="683"/>
      <c r="L34" s="684">
        <v>92.2</v>
      </c>
      <c r="M34" s="685"/>
      <c r="N34" s="686"/>
      <c r="O34" s="685">
        <v>7.8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2.2530000000000001</v>
      </c>
      <c r="J35" s="683"/>
      <c r="K35" s="683"/>
      <c r="L35" s="684">
        <v>92.1</v>
      </c>
      <c r="M35" s="685"/>
      <c r="N35" s="686"/>
      <c r="O35" s="685">
        <v>7.9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2.2639999999999998</v>
      </c>
      <c r="J36" s="683"/>
      <c r="K36" s="683"/>
      <c r="L36" s="684">
        <v>92.5</v>
      </c>
      <c r="M36" s="685"/>
      <c r="N36" s="686"/>
      <c r="O36" s="685">
        <v>7.5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/>
      <c r="C37" s="679"/>
      <c r="D37" s="680"/>
      <c r="E37" s="681"/>
      <c r="F37" s="680"/>
      <c r="G37" s="681"/>
      <c r="H37" s="682"/>
      <c r="I37" s="683"/>
      <c r="J37" s="683"/>
      <c r="K37" s="683"/>
      <c r="L37" s="684"/>
      <c r="M37" s="685"/>
      <c r="N37" s="686"/>
      <c r="O37" s="685"/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/>
      <c r="C38" s="679"/>
      <c r="D38" s="680"/>
      <c r="E38" s="681"/>
      <c r="F38" s="680"/>
      <c r="G38" s="681"/>
      <c r="H38" s="682"/>
      <c r="I38" s="683"/>
      <c r="J38" s="683"/>
      <c r="K38" s="683"/>
      <c r="L38" s="684"/>
      <c r="M38" s="685"/>
      <c r="N38" s="686"/>
      <c r="O38" s="685"/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/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/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2.2999999999999998</v>
      </c>
      <c r="J51" s="735"/>
      <c r="K51" s="735"/>
      <c r="L51" s="698">
        <v>93.99</v>
      </c>
      <c r="M51" s="698"/>
      <c r="N51" s="698"/>
      <c r="O51" s="698">
        <v>6.01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D30:E30"/>
    <mergeCell ref="F30:H30"/>
    <mergeCell ref="I30:K30"/>
    <mergeCell ref="L30:N30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G14:L14"/>
    <mergeCell ref="L56:P56"/>
    <mergeCell ref="L28:N28"/>
    <mergeCell ref="S11:W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B10:F10"/>
    <mergeCell ref="B15:F15"/>
    <mergeCell ref="B21:H21"/>
    <mergeCell ref="I21:Y21"/>
    <mergeCell ref="G15:L15"/>
    <mergeCell ref="F27:H27"/>
    <mergeCell ref="V22:X22"/>
    <mergeCell ref="B22:H22"/>
    <mergeCell ref="I27:K28"/>
    <mergeCell ref="O22:Q22"/>
    <mergeCell ref="L27:N27"/>
    <mergeCell ref="X11:Y11"/>
    <mergeCell ref="B11:F11"/>
    <mergeCell ref="G11:L11"/>
    <mergeCell ref="B12:F12"/>
    <mergeCell ref="G12:L12"/>
    <mergeCell ref="B13:F13"/>
    <mergeCell ref="G13:L13"/>
    <mergeCell ref="B14:F14"/>
    <mergeCell ref="D28:E28"/>
    <mergeCell ref="Q25:T25"/>
    <mergeCell ref="O27:Q27"/>
    <mergeCell ref="O28:Q28"/>
    <mergeCell ref="M14:R14"/>
    <mergeCell ref="S14:Y14"/>
    <mergeCell ref="M11:O11"/>
    <mergeCell ref="P11:R11"/>
    <mergeCell ref="I22:M22"/>
    <mergeCell ref="R27:Y28"/>
    <mergeCell ref="B27:C27"/>
    <mergeCell ref="B28:C28"/>
    <mergeCell ref="D27:E27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R51:Y51"/>
    <mergeCell ref="U55:Z55"/>
    <mergeCell ref="U56:Z56"/>
    <mergeCell ref="R50:Y50"/>
    <mergeCell ref="O50:Q50"/>
    <mergeCell ref="L50:N50"/>
    <mergeCell ref="L51:N51"/>
    <mergeCell ref="R56:T5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9CFF-67C2-44CC-8433-9361AABB4480}">
  <sheetPr>
    <pageSetUpPr fitToPage="1"/>
  </sheetPr>
  <dimension ref="A1:AN64"/>
  <sheetViews>
    <sheetView topLeftCell="A46" workbookViewId="0">
      <selection activeCell="AB20" sqref="AB2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10</v>
      </c>
      <c r="J5" s="728"/>
      <c r="K5" s="729"/>
      <c r="L5" s="767" t="s">
        <v>4</v>
      </c>
      <c r="M5" s="768"/>
      <c r="N5" s="768"/>
      <c r="O5" s="769"/>
      <c r="P5" s="750">
        <v>44445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107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107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44" t="s">
        <v>88</v>
      </c>
      <c r="T13" s="44"/>
      <c r="U13" s="44"/>
      <c r="V13" s="44"/>
      <c r="W13" s="44"/>
      <c r="X13" s="44"/>
      <c r="Y13" s="44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102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2.294</v>
      </c>
      <c r="J29" s="683"/>
      <c r="K29" s="683"/>
      <c r="L29" s="684">
        <v>92.5</v>
      </c>
      <c r="M29" s="685"/>
      <c r="N29" s="686"/>
      <c r="O29" s="685">
        <v>7.5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2.3180000000000001</v>
      </c>
      <c r="J30" s="683"/>
      <c r="K30" s="683"/>
      <c r="L30" s="684">
        <v>93.5</v>
      </c>
      <c r="M30" s="685"/>
      <c r="N30" s="686"/>
      <c r="O30" s="685">
        <v>6.5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2.3690000000000002</v>
      </c>
      <c r="J31" s="683"/>
      <c r="K31" s="683"/>
      <c r="L31" s="684">
        <v>95.5</v>
      </c>
      <c r="M31" s="685"/>
      <c r="N31" s="686"/>
      <c r="O31" s="685">
        <v>4.5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2.34</v>
      </c>
      <c r="J32" s="683"/>
      <c r="K32" s="683"/>
      <c r="L32" s="684">
        <v>94.4</v>
      </c>
      <c r="M32" s="685"/>
      <c r="N32" s="686"/>
      <c r="O32" s="685">
        <v>5.6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2.2909999999999999</v>
      </c>
      <c r="J33" s="683"/>
      <c r="K33" s="683"/>
      <c r="L33" s="684">
        <v>92.4</v>
      </c>
      <c r="M33" s="685"/>
      <c r="N33" s="686"/>
      <c r="O33" s="685">
        <v>7.6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2.3199999999999998</v>
      </c>
      <c r="J34" s="683"/>
      <c r="K34" s="683"/>
      <c r="L34" s="684">
        <v>93.5</v>
      </c>
      <c r="M34" s="685"/>
      <c r="N34" s="686"/>
      <c r="O34" s="685">
        <v>6.5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2.3039999999999998</v>
      </c>
      <c r="J35" s="683"/>
      <c r="K35" s="683"/>
      <c r="L35" s="684">
        <v>92.9</v>
      </c>
      <c r="M35" s="685"/>
      <c r="N35" s="686"/>
      <c r="O35" s="685">
        <v>7.1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2.3159999999999998</v>
      </c>
      <c r="J36" s="683"/>
      <c r="K36" s="683"/>
      <c r="L36" s="684">
        <v>93.4</v>
      </c>
      <c r="M36" s="685"/>
      <c r="N36" s="686"/>
      <c r="O36" s="685">
        <v>6.6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/>
      <c r="C37" s="679"/>
      <c r="D37" s="680"/>
      <c r="E37" s="681"/>
      <c r="F37" s="680"/>
      <c r="G37" s="681"/>
      <c r="H37" s="682"/>
      <c r="I37" s="683"/>
      <c r="J37" s="683"/>
      <c r="K37" s="683"/>
      <c r="L37" s="684"/>
      <c r="M37" s="685"/>
      <c r="N37" s="686"/>
      <c r="O37" s="685"/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/>
      <c r="C38" s="679"/>
      <c r="D38" s="680"/>
      <c r="E38" s="681"/>
      <c r="F38" s="680"/>
      <c r="G38" s="681"/>
      <c r="H38" s="682"/>
      <c r="I38" s="683"/>
      <c r="J38" s="683"/>
      <c r="K38" s="683"/>
      <c r="L38" s="684"/>
      <c r="M38" s="685"/>
      <c r="N38" s="686"/>
      <c r="O38" s="685"/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/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/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2.3199999999999998</v>
      </c>
      <c r="J51" s="735"/>
      <c r="K51" s="735"/>
      <c r="L51" s="698">
        <v>93.51</v>
      </c>
      <c r="M51" s="698"/>
      <c r="N51" s="698"/>
      <c r="O51" s="698">
        <v>6.49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D30:E30"/>
    <mergeCell ref="F30:H30"/>
    <mergeCell ref="I30:K30"/>
    <mergeCell ref="L30:N30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G14:L14"/>
    <mergeCell ref="L56:P56"/>
    <mergeCell ref="L28:N28"/>
    <mergeCell ref="S11:W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B10:F10"/>
    <mergeCell ref="B15:F15"/>
    <mergeCell ref="B21:H21"/>
    <mergeCell ref="I21:Y21"/>
    <mergeCell ref="G15:L15"/>
    <mergeCell ref="F27:H27"/>
    <mergeCell ref="V22:X22"/>
    <mergeCell ref="B22:H22"/>
    <mergeCell ref="I27:K28"/>
    <mergeCell ref="O22:Q22"/>
    <mergeCell ref="L27:N27"/>
    <mergeCell ref="X11:Y11"/>
    <mergeCell ref="B11:F11"/>
    <mergeCell ref="G11:L11"/>
    <mergeCell ref="B12:F12"/>
    <mergeCell ref="G12:L12"/>
    <mergeCell ref="B13:F13"/>
    <mergeCell ref="G13:L13"/>
    <mergeCell ref="B14:F14"/>
    <mergeCell ref="D28:E28"/>
    <mergeCell ref="Q25:T25"/>
    <mergeCell ref="O27:Q27"/>
    <mergeCell ref="O28:Q28"/>
    <mergeCell ref="M14:R14"/>
    <mergeCell ref="S14:Y14"/>
    <mergeCell ref="M11:O11"/>
    <mergeCell ref="P11:R11"/>
    <mergeCell ref="I22:M22"/>
    <mergeCell ref="R27:Y28"/>
    <mergeCell ref="B27:C27"/>
    <mergeCell ref="B28:C28"/>
    <mergeCell ref="D27:E27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R51:Y51"/>
    <mergeCell ref="U55:Z55"/>
    <mergeCell ref="U56:Z56"/>
    <mergeCell ref="R50:Y50"/>
    <mergeCell ref="O50:Q50"/>
    <mergeCell ref="L50:N50"/>
    <mergeCell ref="L51:N51"/>
    <mergeCell ref="R56:T5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8FD0-5710-4F62-8FE5-3AACF1309759}">
  <sheetPr>
    <pageSetUpPr fitToPage="1"/>
  </sheetPr>
  <dimension ref="A1:AN64"/>
  <sheetViews>
    <sheetView workbookViewId="0">
      <selection activeCell="AB15" sqref="AB1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>
        <v>9</v>
      </c>
      <c r="J5" s="728"/>
      <c r="K5" s="729"/>
      <c r="L5" s="767" t="s">
        <v>4</v>
      </c>
      <c r="M5" s="768"/>
      <c r="N5" s="768"/>
      <c r="O5" s="769"/>
      <c r="P5" s="750" t="s">
        <v>106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106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99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106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44" t="s">
        <v>88</v>
      </c>
      <c r="T13" s="44"/>
      <c r="U13" s="44"/>
      <c r="V13" s="44"/>
      <c r="W13" s="44"/>
      <c r="X13" s="44"/>
      <c r="Y13" s="44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102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2.319</v>
      </c>
      <c r="J29" s="683"/>
      <c r="K29" s="683"/>
      <c r="L29" s="684">
        <v>93.5</v>
      </c>
      <c r="M29" s="685"/>
      <c r="N29" s="686"/>
      <c r="O29" s="685">
        <v>6.5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2.34</v>
      </c>
      <c r="J30" s="683"/>
      <c r="K30" s="683"/>
      <c r="L30" s="684">
        <v>94.4</v>
      </c>
      <c r="M30" s="685"/>
      <c r="N30" s="686"/>
      <c r="O30" s="685">
        <v>5.6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2.3490000000000002</v>
      </c>
      <c r="J31" s="683"/>
      <c r="K31" s="683"/>
      <c r="L31" s="684">
        <v>94.7</v>
      </c>
      <c r="M31" s="685"/>
      <c r="N31" s="686"/>
      <c r="O31" s="685">
        <v>5.3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2.3250000000000002</v>
      </c>
      <c r="J32" s="683"/>
      <c r="K32" s="683"/>
      <c r="L32" s="684">
        <v>93.8</v>
      </c>
      <c r="M32" s="685"/>
      <c r="N32" s="686"/>
      <c r="O32" s="685">
        <v>6.2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2.3650000000000002</v>
      </c>
      <c r="J33" s="683"/>
      <c r="K33" s="683"/>
      <c r="L33" s="684">
        <v>95.4</v>
      </c>
      <c r="M33" s="685"/>
      <c r="N33" s="686"/>
      <c r="O33" s="685">
        <v>4.5999999999999996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2.31</v>
      </c>
      <c r="J34" s="683"/>
      <c r="K34" s="683"/>
      <c r="L34" s="684">
        <v>93.1</v>
      </c>
      <c r="M34" s="685"/>
      <c r="N34" s="686"/>
      <c r="O34" s="685">
        <v>6.9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2.2959999999999998</v>
      </c>
      <c r="J35" s="683"/>
      <c r="K35" s="683"/>
      <c r="L35" s="684">
        <v>92.6</v>
      </c>
      <c r="M35" s="685"/>
      <c r="N35" s="686"/>
      <c r="O35" s="685">
        <v>7.4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2.3330000000000002</v>
      </c>
      <c r="J36" s="683"/>
      <c r="K36" s="683"/>
      <c r="L36" s="684">
        <v>94.1</v>
      </c>
      <c r="M36" s="685"/>
      <c r="N36" s="686"/>
      <c r="O36" s="685">
        <v>5.9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/>
      <c r="C37" s="679"/>
      <c r="D37" s="680"/>
      <c r="E37" s="681"/>
      <c r="F37" s="680"/>
      <c r="G37" s="681"/>
      <c r="H37" s="682"/>
      <c r="I37" s="683"/>
      <c r="J37" s="683"/>
      <c r="K37" s="683"/>
      <c r="L37" s="684"/>
      <c r="M37" s="685"/>
      <c r="N37" s="686"/>
      <c r="O37" s="685"/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/>
      <c r="C38" s="679"/>
      <c r="D38" s="680"/>
      <c r="E38" s="681"/>
      <c r="F38" s="680"/>
      <c r="G38" s="681"/>
      <c r="H38" s="682"/>
      <c r="I38" s="683"/>
      <c r="J38" s="683"/>
      <c r="K38" s="683"/>
      <c r="L38" s="684"/>
      <c r="M38" s="685"/>
      <c r="N38" s="686"/>
      <c r="O38" s="685"/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/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/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2.33</v>
      </c>
      <c r="J51" s="735"/>
      <c r="K51" s="735"/>
      <c r="L51" s="698">
        <v>93.95</v>
      </c>
      <c r="M51" s="698"/>
      <c r="N51" s="698"/>
      <c r="O51" s="698">
        <v>6.05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U55:Z55"/>
    <mergeCell ref="U56:Z56"/>
    <mergeCell ref="R56:T56"/>
    <mergeCell ref="L56:P56"/>
    <mergeCell ref="G11:L11"/>
    <mergeCell ref="G12:L12"/>
    <mergeCell ref="G13:L13"/>
    <mergeCell ref="R51:Y51"/>
    <mergeCell ref="M14:R14"/>
    <mergeCell ref="S14:Y14"/>
    <mergeCell ref="M11:O11"/>
    <mergeCell ref="R50:Y50"/>
    <mergeCell ref="O50:Q50"/>
    <mergeCell ref="L50:N50"/>
    <mergeCell ref="L51:N51"/>
    <mergeCell ref="L28:N28"/>
    <mergeCell ref="G14:L14"/>
    <mergeCell ref="F27:H27"/>
    <mergeCell ref="V22:X22"/>
    <mergeCell ref="B22:H22"/>
    <mergeCell ref="I22:M22"/>
    <mergeCell ref="R27:Y28"/>
    <mergeCell ref="B27:C27"/>
    <mergeCell ref="D28:E28"/>
    <mergeCell ref="O27:Q27"/>
    <mergeCell ref="O28:Q28"/>
    <mergeCell ref="I27:K28"/>
    <mergeCell ref="B28:C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B11:F11"/>
    <mergeCell ref="B12:F12"/>
    <mergeCell ref="B13:F13"/>
    <mergeCell ref="B14:F14"/>
    <mergeCell ref="B10:F10"/>
    <mergeCell ref="B15:F15"/>
    <mergeCell ref="B21:H21"/>
    <mergeCell ref="I21:Y21"/>
    <mergeCell ref="G15:L15"/>
    <mergeCell ref="O22:Q22"/>
    <mergeCell ref="Q25:T25"/>
    <mergeCell ref="S11:W11"/>
    <mergeCell ref="X11:Y11"/>
    <mergeCell ref="L27:N27"/>
    <mergeCell ref="D30:E30"/>
    <mergeCell ref="F30:H30"/>
    <mergeCell ref="I30:K30"/>
    <mergeCell ref="L30:N30"/>
    <mergeCell ref="O29:Q29"/>
    <mergeCell ref="R29:Y29"/>
    <mergeCell ref="O30:Q30"/>
    <mergeCell ref="R30:Y30"/>
    <mergeCell ref="D27:E27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5F64-CE54-46C1-B38B-18D9EA674BF5}">
  <sheetPr>
    <pageSetUpPr fitToPage="1"/>
  </sheetPr>
  <dimension ref="A1:AN64"/>
  <sheetViews>
    <sheetView topLeftCell="A43" workbookViewId="0">
      <selection activeCell="R46" sqref="R46:Y4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105</v>
      </c>
      <c r="J5" s="728"/>
      <c r="K5" s="729"/>
      <c r="L5" s="767" t="s">
        <v>4</v>
      </c>
      <c r="M5" s="768"/>
      <c r="N5" s="768"/>
      <c r="O5" s="769"/>
      <c r="P5" s="750" t="s">
        <v>103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96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103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110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103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88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2.2759999999999998</v>
      </c>
      <c r="J29" s="683"/>
      <c r="K29" s="683"/>
      <c r="L29" s="684">
        <v>93</v>
      </c>
      <c r="M29" s="685"/>
      <c r="N29" s="686"/>
      <c r="O29" s="685">
        <v>7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2.3149999999999999</v>
      </c>
      <c r="J30" s="683"/>
      <c r="K30" s="683"/>
      <c r="L30" s="684">
        <v>94.6</v>
      </c>
      <c r="M30" s="685"/>
      <c r="N30" s="686"/>
      <c r="O30" s="685">
        <v>5.4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2.3149999999999999</v>
      </c>
      <c r="J31" s="683"/>
      <c r="K31" s="683"/>
      <c r="L31" s="684">
        <v>94.6</v>
      </c>
      <c r="M31" s="685"/>
      <c r="N31" s="686"/>
      <c r="O31" s="685">
        <v>5.4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2.2549999999999999</v>
      </c>
      <c r="J32" s="683"/>
      <c r="K32" s="683"/>
      <c r="L32" s="684">
        <v>92.2</v>
      </c>
      <c r="M32" s="685"/>
      <c r="N32" s="686"/>
      <c r="O32" s="685">
        <v>7.8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2.2789999999999999</v>
      </c>
      <c r="J33" s="683"/>
      <c r="K33" s="683"/>
      <c r="L33" s="684">
        <v>93.1</v>
      </c>
      <c r="M33" s="685"/>
      <c r="N33" s="686"/>
      <c r="O33" s="685">
        <v>6.9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2.3199999999999998</v>
      </c>
      <c r="J34" s="683"/>
      <c r="K34" s="683"/>
      <c r="L34" s="684">
        <v>94.8</v>
      </c>
      <c r="M34" s="685"/>
      <c r="N34" s="686"/>
      <c r="O34" s="685">
        <v>5.2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2.3370000000000002</v>
      </c>
      <c r="J35" s="683"/>
      <c r="K35" s="683"/>
      <c r="L35" s="684">
        <v>95.5</v>
      </c>
      <c r="M35" s="685"/>
      <c r="N35" s="686"/>
      <c r="O35" s="685">
        <v>4.5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2.35</v>
      </c>
      <c r="J36" s="683"/>
      <c r="K36" s="683"/>
      <c r="L36" s="684">
        <v>96</v>
      </c>
      <c r="M36" s="685"/>
      <c r="N36" s="686"/>
      <c r="O36" s="685">
        <v>4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2.3140000000000001</v>
      </c>
      <c r="J37" s="683"/>
      <c r="K37" s="683"/>
      <c r="L37" s="684">
        <v>94.6</v>
      </c>
      <c r="M37" s="685"/>
      <c r="N37" s="686"/>
      <c r="O37" s="685">
        <v>5.4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2.2869999999999999</v>
      </c>
      <c r="J38" s="683"/>
      <c r="K38" s="683"/>
      <c r="L38" s="684">
        <v>93.5</v>
      </c>
      <c r="M38" s="685"/>
      <c r="N38" s="686"/>
      <c r="O38" s="685">
        <v>6.5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2.2509999999999999</v>
      </c>
      <c r="J39" s="683"/>
      <c r="K39" s="683"/>
      <c r="L39" s="684">
        <v>92</v>
      </c>
      <c r="M39" s="685"/>
      <c r="N39" s="686"/>
      <c r="O39" s="685">
        <v>8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2.2770000000000001</v>
      </c>
      <c r="J40" s="683"/>
      <c r="K40" s="683"/>
      <c r="L40" s="684">
        <v>93.1</v>
      </c>
      <c r="M40" s="685"/>
      <c r="N40" s="686"/>
      <c r="O40" s="685">
        <v>6.9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2.2999999999999998</v>
      </c>
      <c r="J51" s="735"/>
      <c r="K51" s="735"/>
      <c r="L51" s="698">
        <v>93.92</v>
      </c>
      <c r="M51" s="698"/>
      <c r="N51" s="698"/>
      <c r="O51" s="698">
        <v>6.08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I21:Y21"/>
    <mergeCell ref="G15:L15"/>
    <mergeCell ref="O22:Q22"/>
    <mergeCell ref="S11:W11"/>
    <mergeCell ref="X11:Y11"/>
    <mergeCell ref="G11:L11"/>
    <mergeCell ref="G12:L12"/>
    <mergeCell ref="D30:E30"/>
    <mergeCell ref="F30:H30"/>
    <mergeCell ref="I30:K30"/>
    <mergeCell ref="L30:N30"/>
    <mergeCell ref="O29:Q29"/>
    <mergeCell ref="R29:Y29"/>
    <mergeCell ref="O30:Q30"/>
    <mergeCell ref="R30:Y30"/>
    <mergeCell ref="B16:F16"/>
    <mergeCell ref="S15:Y15"/>
    <mergeCell ref="M15:R15"/>
    <mergeCell ref="B14:F14"/>
    <mergeCell ref="B15:F15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0:F10"/>
    <mergeCell ref="G13:L13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R51:Y51"/>
    <mergeCell ref="U55:Z55"/>
    <mergeCell ref="S13:Y13"/>
    <mergeCell ref="M14:R14"/>
    <mergeCell ref="S14:Y14"/>
    <mergeCell ref="M11:O11"/>
    <mergeCell ref="R50:Y50"/>
    <mergeCell ref="O50:Q50"/>
    <mergeCell ref="L50:N50"/>
    <mergeCell ref="L51:N51"/>
    <mergeCell ref="L28:N28"/>
    <mergeCell ref="P11:R11"/>
    <mergeCell ref="G14:L14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I25:P25"/>
    <mergeCell ref="B21:H21"/>
    <mergeCell ref="U56:Z56"/>
    <mergeCell ref="R56:T56"/>
    <mergeCell ref="L56:P56"/>
    <mergeCell ref="R27:Y28"/>
    <mergeCell ref="L27:N27"/>
    <mergeCell ref="B28:C28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D27:E27"/>
    <mergeCell ref="O28:Q2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358E-08FD-4475-A63E-568EB314B750}">
  <sheetPr>
    <pageSetUpPr fitToPage="1"/>
  </sheetPr>
  <dimension ref="A1:AN64"/>
  <sheetViews>
    <sheetView workbookViewId="0">
      <selection activeCell="B39" sqref="B39:Q4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104</v>
      </c>
      <c r="J5" s="728"/>
      <c r="K5" s="729"/>
      <c r="L5" s="767" t="s">
        <v>4</v>
      </c>
      <c r="M5" s="768"/>
      <c r="N5" s="768"/>
      <c r="O5" s="769"/>
      <c r="P5" s="750" t="s">
        <v>103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103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103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44" t="s">
        <v>88</v>
      </c>
      <c r="T13" s="44"/>
      <c r="U13" s="44"/>
      <c r="V13" s="44"/>
      <c r="W13" s="44"/>
      <c r="X13" s="44"/>
      <c r="Y13" s="44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102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2.3210000000000002</v>
      </c>
      <c r="J29" s="683"/>
      <c r="K29" s="683"/>
      <c r="L29" s="684">
        <v>93.6</v>
      </c>
      <c r="M29" s="685"/>
      <c r="N29" s="686"/>
      <c r="O29" s="685">
        <v>6.4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2.3660000000000001</v>
      </c>
      <c r="J30" s="683"/>
      <c r="K30" s="683"/>
      <c r="L30" s="684">
        <v>95.4</v>
      </c>
      <c r="M30" s="685"/>
      <c r="N30" s="686"/>
      <c r="O30" s="685">
        <v>4.5999999999999996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2.379</v>
      </c>
      <c r="J31" s="683"/>
      <c r="K31" s="683"/>
      <c r="L31" s="684">
        <v>95.9</v>
      </c>
      <c r="M31" s="685"/>
      <c r="N31" s="686"/>
      <c r="O31" s="685">
        <v>4.0999999999999996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2.4020000000000001</v>
      </c>
      <c r="J32" s="683"/>
      <c r="K32" s="683"/>
      <c r="L32" s="684">
        <v>96.9</v>
      </c>
      <c r="M32" s="685"/>
      <c r="N32" s="686"/>
      <c r="O32" s="685">
        <v>3.1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2.3660000000000001</v>
      </c>
      <c r="J33" s="683"/>
      <c r="K33" s="683"/>
      <c r="L33" s="684">
        <v>95.4</v>
      </c>
      <c r="M33" s="685"/>
      <c r="N33" s="686"/>
      <c r="O33" s="685">
        <v>4.5999999999999996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2.3490000000000002</v>
      </c>
      <c r="J34" s="683"/>
      <c r="K34" s="683"/>
      <c r="L34" s="684">
        <v>94.7</v>
      </c>
      <c r="M34" s="685"/>
      <c r="N34" s="686"/>
      <c r="O34" s="685">
        <v>5.3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2.3519999999999999</v>
      </c>
      <c r="J35" s="683"/>
      <c r="K35" s="683"/>
      <c r="L35" s="684">
        <v>94.8</v>
      </c>
      <c r="M35" s="685"/>
      <c r="N35" s="686"/>
      <c r="O35" s="685">
        <v>5.2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2.33</v>
      </c>
      <c r="J36" s="683"/>
      <c r="K36" s="683"/>
      <c r="L36" s="684">
        <v>94</v>
      </c>
      <c r="M36" s="685"/>
      <c r="N36" s="686"/>
      <c r="O36" s="685">
        <v>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2.363</v>
      </c>
      <c r="J37" s="683"/>
      <c r="K37" s="683"/>
      <c r="L37" s="684">
        <v>95.3</v>
      </c>
      <c r="M37" s="685"/>
      <c r="N37" s="686"/>
      <c r="O37" s="685">
        <v>4.7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2.2930000000000001</v>
      </c>
      <c r="J38" s="683"/>
      <c r="K38" s="683"/>
      <c r="L38" s="684">
        <v>92.5</v>
      </c>
      <c r="M38" s="685"/>
      <c r="N38" s="686"/>
      <c r="O38" s="685">
        <v>7.5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/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/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2.35</v>
      </c>
      <c r="J51" s="735"/>
      <c r="K51" s="735"/>
      <c r="L51" s="698">
        <v>94.85</v>
      </c>
      <c r="M51" s="698"/>
      <c r="N51" s="698"/>
      <c r="O51" s="698">
        <v>5.15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S11:W11"/>
    <mergeCell ref="X11:Y11"/>
    <mergeCell ref="B39:C39"/>
    <mergeCell ref="D39:E39"/>
    <mergeCell ref="F39:H39"/>
    <mergeCell ref="I39:K39"/>
    <mergeCell ref="L39:N39"/>
    <mergeCell ref="O39:Q39"/>
    <mergeCell ref="R39:Y39"/>
    <mergeCell ref="B11:F11"/>
    <mergeCell ref="G11:L11"/>
    <mergeCell ref="B12:F12"/>
    <mergeCell ref="G12:L12"/>
    <mergeCell ref="B13:F13"/>
    <mergeCell ref="G13:L13"/>
    <mergeCell ref="O27:Q27"/>
    <mergeCell ref="O28:Q28"/>
    <mergeCell ref="I25:P25"/>
    <mergeCell ref="B16:F16"/>
    <mergeCell ref="S15:Y15"/>
    <mergeCell ref="M15:R15"/>
    <mergeCell ref="B28:C28"/>
    <mergeCell ref="D27:E27"/>
    <mergeCell ref="D30:E30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B14:F14"/>
    <mergeCell ref="D28:E28"/>
    <mergeCell ref="I27:K28"/>
    <mergeCell ref="O22:Q22"/>
    <mergeCell ref="L27:N27"/>
    <mergeCell ref="Q25:T25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F30:H30"/>
    <mergeCell ref="I30:K30"/>
    <mergeCell ref="L30:N30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O32:Q32"/>
    <mergeCell ref="F32:H32"/>
    <mergeCell ref="I32:K32"/>
    <mergeCell ref="L32:N32"/>
    <mergeCell ref="O34:Q34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7BEC-1E85-4383-A6BC-FE4A8DD58C3D}">
  <sheetPr>
    <pageSetUpPr fitToPage="1"/>
  </sheetPr>
  <dimension ref="A1:AN64"/>
  <sheetViews>
    <sheetView topLeftCell="A55" workbookViewId="0">
      <selection activeCell="AB41" sqref="AB4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101</v>
      </c>
      <c r="J5" s="728"/>
      <c r="K5" s="729"/>
      <c r="L5" s="767" t="s">
        <v>4</v>
      </c>
      <c r="M5" s="768"/>
      <c r="N5" s="768"/>
      <c r="O5" s="769"/>
      <c r="P5" s="750" t="s">
        <v>98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98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100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99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98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88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2.343</v>
      </c>
      <c r="J29" s="683"/>
      <c r="K29" s="683"/>
      <c r="L29" s="684">
        <v>94.5</v>
      </c>
      <c r="M29" s="685"/>
      <c r="N29" s="686"/>
      <c r="O29" s="685">
        <v>5.5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2.3570000000000002</v>
      </c>
      <c r="J30" s="683"/>
      <c r="K30" s="683"/>
      <c r="L30" s="684">
        <v>95</v>
      </c>
      <c r="M30" s="685"/>
      <c r="N30" s="686"/>
      <c r="O30" s="685">
        <v>5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2.3199999999999998</v>
      </c>
      <c r="J31" s="683"/>
      <c r="K31" s="683"/>
      <c r="L31" s="684">
        <v>93.5</v>
      </c>
      <c r="M31" s="685"/>
      <c r="N31" s="686"/>
      <c r="O31" s="685">
        <v>6.5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2.3570000000000002</v>
      </c>
      <c r="J32" s="683"/>
      <c r="K32" s="683"/>
      <c r="L32" s="684">
        <v>95</v>
      </c>
      <c r="M32" s="685"/>
      <c r="N32" s="686"/>
      <c r="O32" s="685">
        <v>5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2.34</v>
      </c>
      <c r="J33" s="683"/>
      <c r="K33" s="683"/>
      <c r="L33" s="684">
        <v>94.4</v>
      </c>
      <c r="M33" s="685"/>
      <c r="N33" s="686"/>
      <c r="O33" s="685">
        <v>5.6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2.3450000000000002</v>
      </c>
      <c r="J34" s="683"/>
      <c r="K34" s="683"/>
      <c r="L34" s="684">
        <v>94.6</v>
      </c>
      <c r="M34" s="685"/>
      <c r="N34" s="686"/>
      <c r="O34" s="685">
        <v>5.4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2.3010000000000002</v>
      </c>
      <c r="J35" s="683"/>
      <c r="K35" s="683"/>
      <c r="L35" s="684">
        <v>92.8</v>
      </c>
      <c r="M35" s="685"/>
      <c r="N35" s="686"/>
      <c r="O35" s="685">
        <v>7.2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2.3650000000000002</v>
      </c>
      <c r="J36" s="683"/>
      <c r="K36" s="683"/>
      <c r="L36" s="684">
        <v>95.4</v>
      </c>
      <c r="M36" s="685"/>
      <c r="N36" s="686"/>
      <c r="O36" s="685">
        <v>4.5999999999999996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2.3370000000000002</v>
      </c>
      <c r="J37" s="683"/>
      <c r="K37" s="683"/>
      <c r="L37" s="684">
        <v>94.2</v>
      </c>
      <c r="M37" s="685"/>
      <c r="N37" s="686"/>
      <c r="O37" s="685">
        <v>5.8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2.2999999999999998</v>
      </c>
      <c r="J38" s="683"/>
      <c r="K38" s="683"/>
      <c r="L38" s="684">
        <v>92.7</v>
      </c>
      <c r="M38" s="685"/>
      <c r="N38" s="686"/>
      <c r="O38" s="685">
        <v>7.3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10</v>
      </c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10</v>
      </c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10</v>
      </c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10</v>
      </c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10</v>
      </c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10</v>
      </c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10</v>
      </c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10</v>
      </c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>
        <v>10</v>
      </c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>
        <v>10</v>
      </c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>
        <v>10</v>
      </c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2.34</v>
      </c>
      <c r="J51" s="735"/>
      <c r="K51" s="735"/>
      <c r="L51" s="698">
        <v>94.21</v>
      </c>
      <c r="M51" s="698"/>
      <c r="N51" s="698"/>
      <c r="O51" s="698">
        <v>5.79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I32:K32"/>
    <mergeCell ref="L32:N32"/>
    <mergeCell ref="O34:Q34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D28:E28"/>
    <mergeCell ref="I27:K28"/>
    <mergeCell ref="L27:N27"/>
    <mergeCell ref="O27:Q27"/>
    <mergeCell ref="O28:Q28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B39:C39"/>
    <mergeCell ref="D39:E39"/>
    <mergeCell ref="F39:H39"/>
    <mergeCell ref="I39:K39"/>
    <mergeCell ref="L39:N39"/>
    <mergeCell ref="O39:Q39"/>
    <mergeCell ref="R39:Y39"/>
    <mergeCell ref="B11:F11"/>
    <mergeCell ref="G11:L11"/>
    <mergeCell ref="B12:F12"/>
    <mergeCell ref="G12:L12"/>
    <mergeCell ref="B13:F13"/>
    <mergeCell ref="G13:L13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2:Q32"/>
    <mergeCell ref="F32:H3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5CFE-AA59-4036-BD0C-60D286DC8B95}">
  <sheetPr>
    <pageSetUpPr fitToPage="1"/>
  </sheetPr>
  <dimension ref="A1:AN64"/>
  <sheetViews>
    <sheetView workbookViewId="0">
      <selection activeCell="O43" sqref="O43:Q4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97</v>
      </c>
      <c r="J5" s="728"/>
      <c r="K5" s="729"/>
      <c r="L5" s="767" t="s">
        <v>4</v>
      </c>
      <c r="M5" s="768"/>
      <c r="N5" s="768"/>
      <c r="O5" s="769"/>
      <c r="P5" s="750" t="s">
        <v>89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/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96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89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110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89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88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95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2.2850000000000001</v>
      </c>
      <c r="J29" s="683"/>
      <c r="K29" s="683"/>
      <c r="L29" s="684">
        <v>93.4</v>
      </c>
      <c r="M29" s="685"/>
      <c r="N29" s="686"/>
      <c r="O29" s="685">
        <v>6.6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2.27</v>
      </c>
      <c r="J30" s="683"/>
      <c r="K30" s="683"/>
      <c r="L30" s="684">
        <v>92.8</v>
      </c>
      <c r="M30" s="685"/>
      <c r="N30" s="686"/>
      <c r="O30" s="685">
        <v>7.2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2.2879999999999998</v>
      </c>
      <c r="J31" s="683"/>
      <c r="K31" s="683"/>
      <c r="L31" s="684">
        <v>93.5</v>
      </c>
      <c r="M31" s="685"/>
      <c r="N31" s="686"/>
      <c r="O31" s="685">
        <v>6.5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2.274</v>
      </c>
      <c r="J32" s="683"/>
      <c r="K32" s="683"/>
      <c r="L32" s="684">
        <v>92.9</v>
      </c>
      <c r="M32" s="685"/>
      <c r="N32" s="686"/>
      <c r="O32" s="685">
        <v>7.1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2.3140000000000001</v>
      </c>
      <c r="J33" s="683"/>
      <c r="K33" s="683"/>
      <c r="L33" s="684">
        <v>94.6</v>
      </c>
      <c r="M33" s="685"/>
      <c r="N33" s="686"/>
      <c r="O33" s="685">
        <v>5.4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2.33</v>
      </c>
      <c r="J34" s="683"/>
      <c r="K34" s="683"/>
      <c r="L34" s="684">
        <v>95.2</v>
      </c>
      <c r="M34" s="685"/>
      <c r="N34" s="686"/>
      <c r="O34" s="685">
        <v>4.8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2.2999999999999998</v>
      </c>
      <c r="J35" s="683"/>
      <c r="K35" s="683"/>
      <c r="L35" s="684">
        <v>94</v>
      </c>
      <c r="M35" s="685"/>
      <c r="N35" s="686"/>
      <c r="O35" s="685">
        <v>6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2.2629999999999999</v>
      </c>
      <c r="J36" s="683"/>
      <c r="K36" s="683"/>
      <c r="L36" s="684">
        <v>92.5</v>
      </c>
      <c r="M36" s="685"/>
      <c r="N36" s="686"/>
      <c r="O36" s="685">
        <v>7.5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2.2789999999999999</v>
      </c>
      <c r="J37" s="683"/>
      <c r="K37" s="683"/>
      <c r="L37" s="684">
        <v>93.1</v>
      </c>
      <c r="M37" s="685"/>
      <c r="N37" s="686"/>
      <c r="O37" s="685">
        <v>6.9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/>
      <c r="C38" s="679"/>
      <c r="D38" s="680"/>
      <c r="E38" s="681"/>
      <c r="F38" s="680"/>
      <c r="G38" s="681"/>
      <c r="H38" s="682"/>
      <c r="I38" s="683"/>
      <c r="J38" s="683"/>
      <c r="K38" s="683"/>
      <c r="L38" s="684"/>
      <c r="M38" s="685"/>
      <c r="N38" s="686"/>
      <c r="O38" s="685"/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/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/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/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/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2.29</v>
      </c>
      <c r="J51" s="735"/>
      <c r="K51" s="735"/>
      <c r="L51" s="698">
        <v>93.56</v>
      </c>
      <c r="M51" s="698"/>
      <c r="N51" s="698"/>
      <c r="O51" s="698">
        <v>6.44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U56:Z56"/>
    <mergeCell ref="R56:T56"/>
    <mergeCell ref="L56:P56"/>
    <mergeCell ref="R27:Y28"/>
    <mergeCell ref="L27:N27"/>
    <mergeCell ref="B28:C28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D27:E27"/>
    <mergeCell ref="O28:Q28"/>
    <mergeCell ref="R51:Y51"/>
    <mergeCell ref="U55:Z55"/>
    <mergeCell ref="S13:Y13"/>
    <mergeCell ref="M14:R14"/>
    <mergeCell ref="S14:Y14"/>
    <mergeCell ref="M11:O11"/>
    <mergeCell ref="R50:Y50"/>
    <mergeCell ref="O50:Q50"/>
    <mergeCell ref="L50:N50"/>
    <mergeCell ref="L51:N51"/>
    <mergeCell ref="L28:N28"/>
    <mergeCell ref="P11:R11"/>
    <mergeCell ref="G14:L14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I25:P25"/>
    <mergeCell ref="B21:H2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0:F10"/>
    <mergeCell ref="G13:L13"/>
    <mergeCell ref="I21:Y21"/>
    <mergeCell ref="G15:L15"/>
    <mergeCell ref="O22:Q22"/>
    <mergeCell ref="S11:W11"/>
    <mergeCell ref="X11:Y11"/>
    <mergeCell ref="G11:L11"/>
    <mergeCell ref="G12:L12"/>
    <mergeCell ref="D30:E30"/>
    <mergeCell ref="F30:H30"/>
    <mergeCell ref="I30:K30"/>
    <mergeCell ref="L30:N30"/>
    <mergeCell ref="O29:Q29"/>
    <mergeCell ref="R29:Y29"/>
    <mergeCell ref="O30:Q30"/>
    <mergeCell ref="R30:Y30"/>
    <mergeCell ref="B16:F16"/>
    <mergeCell ref="S15:Y15"/>
    <mergeCell ref="M15:R15"/>
    <mergeCell ref="B14:F14"/>
    <mergeCell ref="B15:F15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0178-6BCC-4E5B-90F2-367CFA30FBD1}">
  <sheetPr>
    <pageSetUpPr fitToPage="1"/>
  </sheetPr>
  <dimension ref="A1:AN63"/>
  <sheetViews>
    <sheetView topLeftCell="A49" workbookViewId="0">
      <selection activeCell="F42" sqref="F42:H4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90</v>
      </c>
      <c r="J5" s="728"/>
      <c r="K5" s="729"/>
      <c r="L5" s="767" t="s">
        <v>4</v>
      </c>
      <c r="M5" s="768"/>
      <c r="N5" s="768"/>
      <c r="O5" s="769"/>
      <c r="P5" s="750" t="s">
        <v>89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89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92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91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89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88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35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805" t="s">
        <v>93</v>
      </c>
      <c r="E29" s="806"/>
      <c r="F29" s="680"/>
      <c r="G29" s="681"/>
      <c r="H29" s="682"/>
      <c r="I29" s="683">
        <v>2.3130000000000002</v>
      </c>
      <c r="J29" s="683"/>
      <c r="K29" s="683"/>
      <c r="L29" s="684">
        <v>93.3</v>
      </c>
      <c r="M29" s="685"/>
      <c r="N29" s="686"/>
      <c r="O29" s="685">
        <v>6.7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807"/>
      <c r="E30" s="808"/>
      <c r="F30" s="680"/>
      <c r="G30" s="681"/>
      <c r="H30" s="682"/>
      <c r="I30" s="683">
        <v>2.31</v>
      </c>
      <c r="J30" s="683"/>
      <c r="K30" s="683"/>
      <c r="L30" s="684">
        <v>93.1</v>
      </c>
      <c r="M30" s="685"/>
      <c r="N30" s="686"/>
      <c r="O30" s="685">
        <v>6.9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807"/>
      <c r="E31" s="808"/>
      <c r="F31" s="680"/>
      <c r="G31" s="681"/>
      <c r="H31" s="682"/>
      <c r="I31" s="683">
        <v>2.2839999999999998</v>
      </c>
      <c r="J31" s="683"/>
      <c r="K31" s="683"/>
      <c r="L31" s="684">
        <v>92.1</v>
      </c>
      <c r="M31" s="685"/>
      <c r="N31" s="686"/>
      <c r="O31" s="685">
        <v>7.9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807"/>
      <c r="E32" s="808"/>
      <c r="F32" s="680"/>
      <c r="G32" s="681"/>
      <c r="H32" s="682"/>
      <c r="I32" s="683">
        <v>2.2719999999999998</v>
      </c>
      <c r="J32" s="683"/>
      <c r="K32" s="683"/>
      <c r="L32" s="684">
        <v>91.6</v>
      </c>
      <c r="M32" s="685"/>
      <c r="N32" s="686"/>
      <c r="O32" s="685">
        <v>8.4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809"/>
      <c r="E33" s="810"/>
      <c r="F33" s="680"/>
      <c r="G33" s="681"/>
      <c r="H33" s="682"/>
      <c r="I33" s="683">
        <v>2.294</v>
      </c>
      <c r="J33" s="683"/>
      <c r="K33" s="683"/>
      <c r="L33" s="684">
        <v>92.5</v>
      </c>
      <c r="M33" s="685"/>
      <c r="N33" s="686"/>
      <c r="O33" s="685">
        <v>7.5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805" t="s">
        <v>94</v>
      </c>
      <c r="E34" s="806"/>
      <c r="F34" s="680"/>
      <c r="G34" s="681"/>
      <c r="H34" s="682"/>
      <c r="I34" s="683">
        <v>2.3199999999999998</v>
      </c>
      <c r="J34" s="683"/>
      <c r="K34" s="683"/>
      <c r="L34" s="684">
        <v>93.5</v>
      </c>
      <c r="M34" s="685"/>
      <c r="N34" s="686"/>
      <c r="O34" s="685">
        <v>6.5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807"/>
      <c r="E35" s="808"/>
      <c r="F35" s="680"/>
      <c r="G35" s="681"/>
      <c r="H35" s="682"/>
      <c r="I35" s="683">
        <v>2.2850000000000001</v>
      </c>
      <c r="J35" s="683"/>
      <c r="K35" s="683"/>
      <c r="L35" s="684">
        <v>92.1</v>
      </c>
      <c r="M35" s="685"/>
      <c r="N35" s="686"/>
      <c r="O35" s="685">
        <v>7.9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807"/>
      <c r="E36" s="808"/>
      <c r="F36" s="680"/>
      <c r="G36" s="681"/>
      <c r="H36" s="682"/>
      <c r="I36" s="683">
        <v>2.3029999999999999</v>
      </c>
      <c r="J36" s="683"/>
      <c r="K36" s="683"/>
      <c r="L36" s="684">
        <v>92.9</v>
      </c>
      <c r="M36" s="685"/>
      <c r="N36" s="686"/>
      <c r="O36" s="685">
        <v>7.1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809"/>
      <c r="E37" s="810"/>
      <c r="F37" s="680"/>
      <c r="G37" s="681"/>
      <c r="H37" s="682"/>
      <c r="I37" s="683">
        <v>2.266</v>
      </c>
      <c r="J37" s="683"/>
      <c r="K37" s="683"/>
      <c r="L37" s="684">
        <v>91.4</v>
      </c>
      <c r="M37" s="685"/>
      <c r="N37" s="686"/>
      <c r="O37" s="685">
        <v>8.6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9</v>
      </c>
      <c r="C38" s="679"/>
      <c r="D38" s="680"/>
      <c r="E38" s="681"/>
      <c r="F38" s="680"/>
      <c r="G38" s="681"/>
      <c r="H38" s="682"/>
      <c r="I38" s="683"/>
      <c r="J38" s="683"/>
      <c r="K38" s="683"/>
      <c r="L38" s="684"/>
      <c r="M38" s="685"/>
      <c r="N38" s="686"/>
      <c r="O38" s="685"/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9</v>
      </c>
      <c r="C39" s="679"/>
      <c r="D39" s="680"/>
      <c r="E39" s="681"/>
      <c r="F39" s="680"/>
      <c r="G39" s="681"/>
      <c r="H39" s="682"/>
      <c r="I39" s="683"/>
      <c r="J39" s="683"/>
      <c r="K39" s="683"/>
      <c r="L39" s="684"/>
      <c r="M39" s="685"/>
      <c r="N39" s="686"/>
      <c r="O39" s="685"/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9</v>
      </c>
      <c r="C40" s="679"/>
      <c r="D40" s="680"/>
      <c r="E40" s="681"/>
      <c r="F40" s="680"/>
      <c r="G40" s="681"/>
      <c r="H40" s="682"/>
      <c r="I40" s="683"/>
      <c r="J40" s="683"/>
      <c r="K40" s="683"/>
      <c r="L40" s="684"/>
      <c r="M40" s="685"/>
      <c r="N40" s="686"/>
      <c r="O40" s="685"/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9</v>
      </c>
      <c r="C41" s="679"/>
      <c r="D41" s="680"/>
      <c r="E41" s="681"/>
      <c r="F41" s="680"/>
      <c r="G41" s="681"/>
      <c r="H41" s="682"/>
      <c r="I41" s="683"/>
      <c r="J41" s="683"/>
      <c r="K41" s="683"/>
      <c r="L41" s="684"/>
      <c r="M41" s="685"/>
      <c r="N41" s="686"/>
      <c r="O41" s="685"/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9</v>
      </c>
      <c r="C42" s="679"/>
      <c r="D42" s="680"/>
      <c r="E42" s="681"/>
      <c r="F42" s="680"/>
      <c r="G42" s="681"/>
      <c r="H42" s="682"/>
      <c r="I42" s="683"/>
      <c r="J42" s="683"/>
      <c r="K42" s="683"/>
      <c r="L42" s="684"/>
      <c r="M42" s="685"/>
      <c r="N42" s="686"/>
      <c r="O42" s="685"/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9</v>
      </c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>
        <v>9</v>
      </c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>
        <v>9</v>
      </c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>
        <v>9</v>
      </c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>
        <v>9</v>
      </c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>
        <v>9</v>
      </c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7.25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6.5" customHeight="1" thickBot="1" x14ac:dyDescent="0.3">
      <c r="A50" s="9"/>
      <c r="B50" s="733" t="s">
        <v>62</v>
      </c>
      <c r="C50" s="734"/>
      <c r="D50" s="734"/>
      <c r="E50" s="734"/>
      <c r="F50" s="734"/>
      <c r="G50" s="734"/>
      <c r="H50" s="734"/>
      <c r="I50" s="735">
        <v>2.29</v>
      </c>
      <c r="J50" s="735"/>
      <c r="K50" s="735"/>
      <c r="L50" s="698">
        <v>92.5</v>
      </c>
      <c r="M50" s="698"/>
      <c r="N50" s="698"/>
      <c r="O50" s="698">
        <v>7.5</v>
      </c>
      <c r="P50" s="698"/>
      <c r="Q50" s="698"/>
      <c r="R50" s="699"/>
      <c r="S50" s="699"/>
      <c r="T50" s="699"/>
      <c r="U50" s="699"/>
      <c r="V50" s="699"/>
      <c r="W50" s="699"/>
      <c r="X50" s="699"/>
      <c r="Y50" s="700"/>
      <c r="Z50" s="11"/>
    </row>
    <row r="51" spans="1:29" ht="25.5" customHeight="1" thickBot="1" x14ac:dyDescent="0.3">
      <c r="A51" s="9"/>
      <c r="B51" s="707" t="s">
        <v>63</v>
      </c>
      <c r="C51" s="708"/>
      <c r="D51" s="708"/>
      <c r="E51" s="708"/>
      <c r="F51" s="708"/>
      <c r="G51" s="708"/>
      <c r="H51" s="708"/>
      <c r="I51" s="730">
        <v>100</v>
      </c>
      <c r="J51" s="730"/>
      <c r="K51" s="730"/>
      <c r="L51" s="731"/>
      <c r="M51" s="731"/>
      <c r="N51" s="731"/>
      <c r="O51" s="731"/>
      <c r="P51" s="731"/>
      <c r="Q51" s="731"/>
      <c r="R51" s="731"/>
      <c r="S51" s="731"/>
      <c r="T51" s="731"/>
      <c r="U51" s="731"/>
      <c r="V51" s="731"/>
      <c r="W51" s="731"/>
      <c r="X51" s="731"/>
      <c r="Y51" s="732"/>
      <c r="Z51" s="11"/>
    </row>
    <row r="52" spans="1:29" ht="15" customHeight="1" x14ac:dyDescent="0.25">
      <c r="A52" s="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6"/>
    </row>
    <row r="53" spans="1:29" ht="16.5" customHeight="1" x14ac:dyDescent="0.25"/>
    <row r="54" spans="1:29" ht="34.5" customHeight="1" x14ac:dyDescent="0.25">
      <c r="A54" s="23" t="s">
        <v>64</v>
      </c>
      <c r="B54" s="24" t="s">
        <v>65</v>
      </c>
      <c r="C54" s="25"/>
      <c r="D54" s="25"/>
      <c r="E54" s="25"/>
      <c r="F54" s="26"/>
      <c r="G54" s="26"/>
      <c r="H54" s="26"/>
      <c r="I54" s="6"/>
      <c r="J54" s="6"/>
      <c r="K54" s="6"/>
      <c r="L54" s="6"/>
      <c r="M54" s="6"/>
      <c r="N54" s="6"/>
      <c r="O54" s="6"/>
      <c r="P54" s="6"/>
      <c r="Q54" s="26"/>
      <c r="R54" s="6"/>
      <c r="S54" s="6"/>
      <c r="T54" s="6"/>
      <c r="U54" s="721"/>
      <c r="V54" s="721"/>
      <c r="W54" s="721"/>
      <c r="X54" s="721"/>
      <c r="Y54" s="721"/>
      <c r="Z54" s="722"/>
      <c r="AA54" s="27"/>
      <c r="AB54" s="27"/>
      <c r="AC54" s="27"/>
    </row>
    <row r="55" spans="1:29" ht="27" customHeight="1" x14ac:dyDescent="0.25">
      <c r="A55" s="693" t="s">
        <v>66</v>
      </c>
      <c r="B55" s="694"/>
      <c r="C55" s="694"/>
      <c r="D55" s="694"/>
      <c r="E55" s="694"/>
      <c r="F55" s="694"/>
      <c r="G55" s="34"/>
      <c r="H55" s="34"/>
      <c r="I55" s="34"/>
      <c r="J55" s="34"/>
      <c r="K55" s="35"/>
      <c r="L55" s="691" t="s">
        <v>74</v>
      </c>
      <c r="M55" s="692"/>
      <c r="N55" s="692"/>
      <c r="O55" s="692"/>
      <c r="P55" s="692"/>
      <c r="Q55" s="39"/>
      <c r="R55" s="689" t="s">
        <v>67</v>
      </c>
      <c r="S55" s="689"/>
      <c r="T55" s="689"/>
      <c r="U55" s="723" t="s">
        <v>73</v>
      </c>
      <c r="V55" s="724"/>
      <c r="W55" s="724"/>
      <c r="X55" s="724"/>
      <c r="Y55" s="724"/>
      <c r="Z55" s="725"/>
      <c r="AA55" s="27"/>
      <c r="AB55" s="27"/>
      <c r="AC55" s="27"/>
    </row>
    <row r="56" spans="1:29" ht="15.75" customHeight="1" x14ac:dyDescent="0.25">
      <c r="A56" s="28"/>
      <c r="K56" s="29"/>
      <c r="R56" s="709" t="s">
        <v>68</v>
      </c>
      <c r="S56" s="710"/>
      <c r="T56" s="711"/>
      <c r="U56" s="712" t="s">
        <v>75</v>
      </c>
      <c r="V56" s="713"/>
      <c r="W56" s="713"/>
      <c r="X56" s="713"/>
      <c r="Y56" s="713"/>
      <c r="Z56" s="714"/>
      <c r="AA56" s="27"/>
      <c r="AB56" s="27"/>
      <c r="AC56" s="27"/>
    </row>
    <row r="57" spans="1:29" ht="9" customHeight="1" x14ac:dyDescent="0.25">
      <c r="A57" s="30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  <c r="N57" s="3"/>
      <c r="O57" s="3"/>
      <c r="P57" s="3"/>
      <c r="Q57" s="3"/>
      <c r="R57" s="709"/>
      <c r="S57" s="710"/>
      <c r="T57" s="711"/>
      <c r="U57" s="715"/>
      <c r="V57" s="716"/>
      <c r="W57" s="716"/>
      <c r="X57" s="716"/>
      <c r="Y57" s="716"/>
      <c r="Z57" s="717"/>
      <c r="AA57" s="27"/>
      <c r="AB57" s="27"/>
      <c r="AC57" s="27"/>
    </row>
    <row r="58" spans="1:29" ht="15.9" customHeight="1" x14ac:dyDescent="0.25">
      <c r="A58" s="4" t="s">
        <v>69</v>
      </c>
      <c r="B58" s="5" t="s">
        <v>70</v>
      </c>
      <c r="C58" s="6"/>
      <c r="D58" s="6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701"/>
      <c r="B59" s="702"/>
      <c r="C59" s="702"/>
      <c r="D59" s="702"/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3"/>
      <c r="R59" s="709" t="s">
        <v>71</v>
      </c>
      <c r="S59" s="710"/>
      <c r="T59" s="711"/>
      <c r="U59" s="45"/>
      <c r="V59" s="46"/>
      <c r="W59" s="46"/>
      <c r="X59" s="46"/>
      <c r="Y59" s="46"/>
      <c r="Z59" s="47"/>
      <c r="AA59" s="27"/>
      <c r="AB59" s="27"/>
      <c r="AC59" s="27"/>
    </row>
    <row r="60" spans="1:29" ht="16.5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/>
      <c r="S60" s="710"/>
      <c r="T60" s="711"/>
      <c r="U60" s="48"/>
      <c r="V60" s="690"/>
      <c r="W60" s="690"/>
      <c r="X60" s="690"/>
      <c r="Y60" s="690"/>
      <c r="Z60" s="49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4"/>
      <c r="B62" s="705"/>
      <c r="C62" s="705"/>
      <c r="D62" s="705"/>
      <c r="E62" s="705"/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6"/>
      <c r="R62" s="718"/>
      <c r="S62" s="719"/>
      <c r="T62" s="720"/>
      <c r="U62" s="50"/>
      <c r="V62" s="51"/>
      <c r="W62" s="51"/>
      <c r="X62" s="51"/>
      <c r="Y62" s="51"/>
      <c r="Z62" s="52"/>
      <c r="AA62" s="27"/>
      <c r="AB62" s="27"/>
      <c r="AC62" s="27"/>
    </row>
    <row r="63" spans="1:29" ht="16.5" customHeight="1" x14ac:dyDescent="0.25">
      <c r="R63" s="38"/>
      <c r="S63" s="38"/>
      <c r="T63" s="38"/>
      <c r="U63" s="37"/>
      <c r="V63" s="37"/>
      <c r="W63" s="37"/>
      <c r="X63" s="37"/>
      <c r="Y63" s="37"/>
      <c r="Z63" s="37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17">
    <mergeCell ref="F32:H32"/>
    <mergeCell ref="I32:K32"/>
    <mergeCell ref="L32:N32"/>
    <mergeCell ref="R35:Y35"/>
    <mergeCell ref="O36:Q36"/>
    <mergeCell ref="R36:Y36"/>
    <mergeCell ref="B33:C33"/>
    <mergeCell ref="F33:H33"/>
    <mergeCell ref="I33:K33"/>
    <mergeCell ref="L33:N33"/>
    <mergeCell ref="O33:Q33"/>
    <mergeCell ref="R33:Y33"/>
    <mergeCell ref="B32:C32"/>
    <mergeCell ref="O32:Q32"/>
    <mergeCell ref="B37:C37"/>
    <mergeCell ref="F37:H37"/>
    <mergeCell ref="I37:K37"/>
    <mergeCell ref="L37:N37"/>
    <mergeCell ref="O37:Q37"/>
    <mergeCell ref="R37:Y37"/>
    <mergeCell ref="B36:C36"/>
    <mergeCell ref="D34:E37"/>
    <mergeCell ref="B35:C35"/>
    <mergeCell ref="F35:H35"/>
    <mergeCell ref="I35:K35"/>
    <mergeCell ref="L35:N35"/>
    <mergeCell ref="O35:Q35"/>
    <mergeCell ref="F36:H36"/>
    <mergeCell ref="I36:K36"/>
    <mergeCell ref="L36:N36"/>
    <mergeCell ref="O34:Q34"/>
    <mergeCell ref="R34:Y34"/>
    <mergeCell ref="L34:N34"/>
    <mergeCell ref="B34:C34"/>
    <mergeCell ref="F34:H34"/>
    <mergeCell ref="I34:K34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D49:E49"/>
    <mergeCell ref="L55:P55"/>
    <mergeCell ref="A55:F55"/>
    <mergeCell ref="L28:N28"/>
    <mergeCell ref="B49:C49"/>
    <mergeCell ref="I51:K51"/>
    <mergeCell ref="L51:Y51"/>
    <mergeCell ref="B50:H50"/>
    <mergeCell ref="I50:K50"/>
    <mergeCell ref="I49:K49"/>
    <mergeCell ref="D28:E28"/>
    <mergeCell ref="I27:K28"/>
    <mergeCell ref="L27:N27"/>
    <mergeCell ref="O27:Q27"/>
    <mergeCell ref="O28:Q28"/>
    <mergeCell ref="B29:C29"/>
    <mergeCell ref="F29:H29"/>
    <mergeCell ref="I29:K29"/>
    <mergeCell ref="L29:N29"/>
    <mergeCell ref="F30:H30"/>
    <mergeCell ref="I30:K30"/>
    <mergeCell ref="L30:N30"/>
    <mergeCell ref="O29:Q29"/>
    <mergeCell ref="R29:Y29"/>
    <mergeCell ref="G5:H5"/>
    <mergeCell ref="L5:O5"/>
    <mergeCell ref="L6:O6"/>
    <mergeCell ref="F49:H49"/>
    <mergeCell ref="R49:Y49"/>
    <mergeCell ref="O49:Q49"/>
    <mergeCell ref="L49:N49"/>
    <mergeCell ref="L50:N50"/>
    <mergeCell ref="R55:T55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A59:Q62"/>
    <mergeCell ref="B51:H51"/>
    <mergeCell ref="O50:Q50"/>
    <mergeCell ref="R56:T58"/>
    <mergeCell ref="U56:Z58"/>
    <mergeCell ref="R59:T62"/>
    <mergeCell ref="V60:Y61"/>
    <mergeCell ref="P6:T6"/>
    <mergeCell ref="I5:K5"/>
    <mergeCell ref="I6:K6"/>
    <mergeCell ref="R50:Y50"/>
    <mergeCell ref="U54:Z54"/>
    <mergeCell ref="U55:Z55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B38:C38"/>
    <mergeCell ref="D38:E38"/>
    <mergeCell ref="F38:H38"/>
    <mergeCell ref="I38:K38"/>
    <mergeCell ref="L38:N38"/>
    <mergeCell ref="O38:Q38"/>
    <mergeCell ref="R38:Y38"/>
    <mergeCell ref="D29:E33"/>
    <mergeCell ref="B11:F11"/>
    <mergeCell ref="G11:L11"/>
    <mergeCell ref="B12:F12"/>
    <mergeCell ref="G12:L12"/>
    <mergeCell ref="B13:F13"/>
    <mergeCell ref="G13:L13"/>
    <mergeCell ref="O30:Q30"/>
    <mergeCell ref="R30:Y30"/>
    <mergeCell ref="B31:C31"/>
    <mergeCell ref="F31:H31"/>
    <mergeCell ref="I31:K31"/>
    <mergeCell ref="L31:N31"/>
    <mergeCell ref="O31:Q31"/>
    <mergeCell ref="R31:Y31"/>
    <mergeCell ref="B30:C30"/>
    <mergeCell ref="R32:Y32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704D-C91A-4FBC-AA5B-094404873F2A}">
  <sheetPr>
    <pageSetUpPr fitToPage="1"/>
  </sheetPr>
  <dimension ref="A1:AN64"/>
  <sheetViews>
    <sheetView workbookViewId="0">
      <selection activeCell="T19" sqref="T1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85</v>
      </c>
      <c r="J5" s="728"/>
      <c r="K5" s="729"/>
      <c r="L5" s="767" t="s">
        <v>4</v>
      </c>
      <c r="M5" s="768"/>
      <c r="N5" s="768"/>
      <c r="O5" s="769"/>
      <c r="P5" s="750">
        <v>44383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84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20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84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86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35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83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82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2.3010000000000002</v>
      </c>
      <c r="J29" s="683"/>
      <c r="K29" s="683"/>
      <c r="L29" s="684">
        <v>92.8</v>
      </c>
      <c r="M29" s="685"/>
      <c r="N29" s="686"/>
      <c r="O29" s="685">
        <v>7.2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2.294</v>
      </c>
      <c r="J30" s="683"/>
      <c r="K30" s="683"/>
      <c r="L30" s="684">
        <v>92.5</v>
      </c>
      <c r="M30" s="685"/>
      <c r="N30" s="686"/>
      <c r="O30" s="685">
        <v>7.5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2.2730000000000001</v>
      </c>
      <c r="J31" s="683"/>
      <c r="K31" s="683"/>
      <c r="L31" s="684">
        <v>91.7</v>
      </c>
      <c r="M31" s="685"/>
      <c r="N31" s="686"/>
      <c r="O31" s="685">
        <v>8.3000000000000007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2.2839999999999998</v>
      </c>
      <c r="J32" s="683"/>
      <c r="K32" s="683"/>
      <c r="L32" s="684">
        <v>92.1</v>
      </c>
      <c r="M32" s="685"/>
      <c r="N32" s="686"/>
      <c r="O32" s="685">
        <v>7.9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2.258</v>
      </c>
      <c r="J33" s="683"/>
      <c r="K33" s="683"/>
      <c r="L33" s="684">
        <v>91</v>
      </c>
      <c r="M33" s="685"/>
      <c r="N33" s="686"/>
      <c r="O33" s="685">
        <v>9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2.2909999999999999</v>
      </c>
      <c r="J34" s="683"/>
      <c r="K34" s="683"/>
      <c r="L34" s="684">
        <v>92.4</v>
      </c>
      <c r="M34" s="685"/>
      <c r="N34" s="686"/>
      <c r="O34" s="685">
        <v>7.6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2.2709999999999999</v>
      </c>
      <c r="J35" s="683"/>
      <c r="K35" s="683"/>
      <c r="L35" s="684">
        <v>91.6</v>
      </c>
      <c r="M35" s="685"/>
      <c r="N35" s="686"/>
      <c r="O35" s="685">
        <v>8.4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2.2949999999999999</v>
      </c>
      <c r="J36" s="683"/>
      <c r="K36" s="683"/>
      <c r="L36" s="684">
        <v>92.5</v>
      </c>
      <c r="M36" s="685"/>
      <c r="N36" s="686"/>
      <c r="O36" s="685">
        <v>7.5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2.2799999999999998</v>
      </c>
      <c r="J37" s="683"/>
      <c r="K37" s="683"/>
      <c r="L37" s="684">
        <v>91.9</v>
      </c>
      <c r="M37" s="685"/>
      <c r="N37" s="686"/>
      <c r="O37" s="685">
        <v>8.1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2.2679999999999998</v>
      </c>
      <c r="J38" s="683"/>
      <c r="K38" s="683"/>
      <c r="L38" s="684">
        <v>91.5</v>
      </c>
      <c r="M38" s="685"/>
      <c r="N38" s="686"/>
      <c r="O38" s="685">
        <v>8.5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2.302</v>
      </c>
      <c r="J39" s="683"/>
      <c r="K39" s="683"/>
      <c r="L39" s="684">
        <v>92.8</v>
      </c>
      <c r="M39" s="685"/>
      <c r="N39" s="686"/>
      <c r="O39" s="685">
        <v>7.2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2.2829999999999999</v>
      </c>
      <c r="J40" s="683"/>
      <c r="K40" s="683"/>
      <c r="L40" s="684">
        <v>92.1</v>
      </c>
      <c r="M40" s="685"/>
      <c r="N40" s="686"/>
      <c r="O40" s="685">
        <v>7.9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2.2850000000000001</v>
      </c>
      <c r="J41" s="683"/>
      <c r="K41" s="683"/>
      <c r="L41" s="684">
        <v>92.1</v>
      </c>
      <c r="M41" s="685"/>
      <c r="N41" s="686"/>
      <c r="O41" s="685">
        <v>7.9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2.2589999999999999</v>
      </c>
      <c r="J42" s="683"/>
      <c r="K42" s="683"/>
      <c r="L42" s="684">
        <v>91.1</v>
      </c>
      <c r="M42" s="685"/>
      <c r="N42" s="686"/>
      <c r="O42" s="685">
        <v>8.9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2.274</v>
      </c>
      <c r="J43" s="683"/>
      <c r="K43" s="683"/>
      <c r="L43" s="684">
        <v>91.7</v>
      </c>
      <c r="M43" s="685"/>
      <c r="N43" s="686"/>
      <c r="O43" s="685">
        <v>8.3000000000000007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2.2799999999999998</v>
      </c>
      <c r="J51" s="735"/>
      <c r="K51" s="735"/>
      <c r="L51" s="698">
        <v>91.99</v>
      </c>
      <c r="M51" s="698"/>
      <c r="N51" s="698"/>
      <c r="O51" s="698">
        <v>8.01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I21:Y21"/>
    <mergeCell ref="G15:L15"/>
    <mergeCell ref="O22:Q22"/>
    <mergeCell ref="S11:W11"/>
    <mergeCell ref="X11:Y11"/>
    <mergeCell ref="G11:L11"/>
    <mergeCell ref="G12:L12"/>
    <mergeCell ref="D30:E30"/>
    <mergeCell ref="F30:H30"/>
    <mergeCell ref="I30:K30"/>
    <mergeCell ref="L30:N30"/>
    <mergeCell ref="O29:Q29"/>
    <mergeCell ref="R29:Y29"/>
    <mergeCell ref="O30:Q30"/>
    <mergeCell ref="R30:Y30"/>
    <mergeCell ref="B16:F16"/>
    <mergeCell ref="S15:Y15"/>
    <mergeCell ref="M15:R15"/>
    <mergeCell ref="B14:F14"/>
    <mergeCell ref="B15:F15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0:F10"/>
    <mergeCell ref="G13:L13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R51:Y51"/>
    <mergeCell ref="U55:Z55"/>
    <mergeCell ref="S13:Y13"/>
    <mergeCell ref="M14:R14"/>
    <mergeCell ref="S14:Y14"/>
    <mergeCell ref="M11:O11"/>
    <mergeCell ref="R50:Y50"/>
    <mergeCell ref="O50:Q50"/>
    <mergeCell ref="L50:N50"/>
    <mergeCell ref="L51:N51"/>
    <mergeCell ref="L28:N28"/>
    <mergeCell ref="P11:R11"/>
    <mergeCell ref="G14:L14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I25:P25"/>
    <mergeCell ref="B21:H21"/>
    <mergeCell ref="U56:Z56"/>
    <mergeCell ref="R56:T56"/>
    <mergeCell ref="L56:P56"/>
    <mergeCell ref="R27:Y28"/>
    <mergeCell ref="L27:N27"/>
    <mergeCell ref="B28:C28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D27:E27"/>
    <mergeCell ref="O28:Q2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8A71-4A03-4552-8595-49B2306ABADF}">
  <sheetPr>
    <pageSetUpPr fitToPage="1"/>
  </sheetPr>
  <dimension ref="A1:AN64"/>
  <sheetViews>
    <sheetView workbookViewId="0">
      <selection activeCell="R43" sqref="R43:Y4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40" ht="13.2" customHeight="1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40" ht="13.2" customHeight="1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40" ht="13.2" customHeight="1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40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81</v>
      </c>
      <c r="J5" s="728"/>
      <c r="K5" s="729"/>
      <c r="L5" s="767" t="s">
        <v>4</v>
      </c>
      <c r="M5" s="768"/>
      <c r="N5" s="768"/>
      <c r="O5" s="769"/>
      <c r="P5" s="750">
        <v>44361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40" ht="13.2" customHeight="1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40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80</v>
      </c>
      <c r="T10" s="772"/>
      <c r="U10" s="772"/>
      <c r="V10" s="772"/>
      <c r="W10" s="772"/>
      <c r="X10" s="772"/>
      <c r="Y10" s="772"/>
      <c r="Z10" s="12"/>
    </row>
    <row r="11" spans="1:40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5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106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79</v>
      </c>
      <c r="Y11" s="771"/>
      <c r="Z11" s="12"/>
    </row>
    <row r="12" spans="1:40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78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40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5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27</v>
      </c>
      <c r="T13" s="770"/>
      <c r="U13" s="770"/>
      <c r="V13" s="770"/>
      <c r="W13" s="770"/>
      <c r="X13" s="770"/>
      <c r="Y13" s="770"/>
      <c r="Z13" s="12"/>
    </row>
    <row r="14" spans="1:40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40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77</v>
      </c>
      <c r="T15" s="770"/>
      <c r="U15" s="770"/>
      <c r="V15" s="770"/>
      <c r="W15" s="770"/>
      <c r="X15" s="770"/>
      <c r="Y15" s="770"/>
      <c r="Z15" s="12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0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37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8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8" ht="15" customHeight="1" x14ac:dyDescent="0.25">
      <c r="B18" s="17"/>
      <c r="C18" s="17"/>
      <c r="K18" s="18"/>
      <c r="L18" s="17"/>
      <c r="M18" s="19"/>
      <c r="V18" s="44"/>
      <c r="W18" s="44"/>
      <c r="X18" s="44"/>
      <c r="Y18" s="44"/>
      <c r="Z18" s="44"/>
      <c r="AA18" s="44"/>
      <c r="AB18" s="13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0"/>
      <c r="Z20" s="11"/>
    </row>
    <row r="21" spans="1:28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8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4</v>
      </c>
      <c r="O22" s="690" t="s">
        <v>42</v>
      </c>
      <c r="P22" s="690"/>
      <c r="Q22" s="690"/>
      <c r="R22" s="43" t="s">
        <v>76</v>
      </c>
      <c r="S22" s="44"/>
      <c r="V22" s="690"/>
      <c r="W22" s="690"/>
      <c r="X22" s="690"/>
      <c r="Y22" s="33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6"/>
    </row>
    <row r="24" spans="1:28" x14ac:dyDescent="0.25">
      <c r="C24" s="21"/>
    </row>
    <row r="25" spans="1:28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2.4470000000000001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8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8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2.2890000000000001</v>
      </c>
      <c r="J29" s="683"/>
      <c r="K29" s="683"/>
      <c r="L29" s="684">
        <v>93.5</v>
      </c>
      <c r="M29" s="685"/>
      <c r="N29" s="686"/>
      <c r="O29" s="685">
        <v>6.5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8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2.262</v>
      </c>
      <c r="J30" s="683"/>
      <c r="K30" s="683"/>
      <c r="L30" s="684">
        <v>92.4</v>
      </c>
      <c r="M30" s="685"/>
      <c r="N30" s="686"/>
      <c r="O30" s="685">
        <v>7.6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8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2.3140000000000001</v>
      </c>
      <c r="J31" s="683"/>
      <c r="K31" s="683"/>
      <c r="L31" s="684">
        <v>94.6</v>
      </c>
      <c r="M31" s="685"/>
      <c r="N31" s="686"/>
      <c r="O31" s="685">
        <v>5.4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8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2.3170000000000002</v>
      </c>
      <c r="J32" s="683"/>
      <c r="K32" s="683"/>
      <c r="L32" s="684">
        <v>94.7</v>
      </c>
      <c r="M32" s="685"/>
      <c r="N32" s="686"/>
      <c r="O32" s="685">
        <v>5.3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2.31</v>
      </c>
      <c r="J33" s="683"/>
      <c r="K33" s="683"/>
      <c r="L33" s="684">
        <v>94.4</v>
      </c>
      <c r="M33" s="685"/>
      <c r="N33" s="686"/>
      <c r="O33" s="685">
        <v>5.6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2.274</v>
      </c>
      <c r="J34" s="683"/>
      <c r="K34" s="683"/>
      <c r="L34" s="684">
        <v>92.9</v>
      </c>
      <c r="M34" s="685"/>
      <c r="N34" s="686"/>
      <c r="O34" s="685">
        <v>7.1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2.2599999999999998</v>
      </c>
      <c r="J35" s="683"/>
      <c r="K35" s="683"/>
      <c r="L35" s="684">
        <v>92.4</v>
      </c>
      <c r="M35" s="685"/>
      <c r="N35" s="686"/>
      <c r="O35" s="685">
        <v>7.6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2.2989999999999999</v>
      </c>
      <c r="J36" s="683"/>
      <c r="K36" s="683"/>
      <c r="L36" s="684">
        <v>94</v>
      </c>
      <c r="M36" s="685"/>
      <c r="N36" s="686"/>
      <c r="O36" s="685">
        <v>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2.3149999999999999</v>
      </c>
      <c r="J37" s="683"/>
      <c r="K37" s="683"/>
      <c r="L37" s="684">
        <v>94.6</v>
      </c>
      <c r="M37" s="685"/>
      <c r="N37" s="686"/>
      <c r="O37" s="685">
        <v>5.4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2.2610000000000001</v>
      </c>
      <c r="J38" s="683"/>
      <c r="K38" s="683"/>
      <c r="L38" s="684">
        <v>92.4</v>
      </c>
      <c r="M38" s="685"/>
      <c r="N38" s="686"/>
      <c r="O38" s="685">
        <v>7.6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2.27</v>
      </c>
      <c r="J39" s="683"/>
      <c r="K39" s="683"/>
      <c r="L39" s="684">
        <v>92.8</v>
      </c>
      <c r="M39" s="685"/>
      <c r="N39" s="686"/>
      <c r="O39" s="685">
        <v>7.2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2.35</v>
      </c>
      <c r="J40" s="683"/>
      <c r="K40" s="683"/>
      <c r="L40" s="684">
        <v>96</v>
      </c>
      <c r="M40" s="685"/>
      <c r="N40" s="686"/>
      <c r="O40" s="685">
        <v>4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2.3380000000000001</v>
      </c>
      <c r="J41" s="683"/>
      <c r="K41" s="683"/>
      <c r="L41" s="684">
        <v>95.5</v>
      </c>
      <c r="M41" s="685"/>
      <c r="N41" s="686"/>
      <c r="O41" s="685">
        <v>4.5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2.294</v>
      </c>
      <c r="J42" s="683"/>
      <c r="K42" s="683"/>
      <c r="L42" s="684">
        <v>93.7</v>
      </c>
      <c r="M42" s="685"/>
      <c r="N42" s="686"/>
      <c r="O42" s="685">
        <v>6.3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>
        <v>15</v>
      </c>
      <c r="C43" s="679"/>
      <c r="D43" s="680"/>
      <c r="E43" s="681"/>
      <c r="F43" s="680"/>
      <c r="G43" s="681"/>
      <c r="H43" s="682"/>
      <c r="I43" s="683">
        <v>2.3340000000000001</v>
      </c>
      <c r="J43" s="683"/>
      <c r="K43" s="683"/>
      <c r="L43" s="684">
        <v>95.4</v>
      </c>
      <c r="M43" s="685"/>
      <c r="N43" s="686"/>
      <c r="O43" s="685">
        <v>4.5999999999999996</v>
      </c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thickBot="1" x14ac:dyDescent="0.3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2.2999999999999998</v>
      </c>
      <c r="J51" s="735"/>
      <c r="K51" s="735"/>
      <c r="L51" s="698">
        <v>93.95</v>
      </c>
      <c r="M51" s="698"/>
      <c r="N51" s="698"/>
      <c r="O51" s="698">
        <v>6.05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thickBot="1" x14ac:dyDescent="0.3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B44:C44"/>
    <mergeCell ref="D44:E44"/>
    <mergeCell ref="F44:H44"/>
    <mergeCell ref="I44:K44"/>
    <mergeCell ref="L44:N44"/>
    <mergeCell ref="O44:Q44"/>
    <mergeCell ref="R44:Y44"/>
    <mergeCell ref="B11:F11"/>
    <mergeCell ref="G11:L11"/>
    <mergeCell ref="B12:F12"/>
    <mergeCell ref="G12:L12"/>
    <mergeCell ref="B13:F13"/>
    <mergeCell ref="G13:L13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R31:Y31"/>
    <mergeCell ref="B30:C30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D28:E28"/>
    <mergeCell ref="I27:K28"/>
    <mergeCell ref="L27:N27"/>
    <mergeCell ref="O27:Q27"/>
    <mergeCell ref="O28:Q28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40:C40"/>
    <mergeCell ref="D40:E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6" x14ac:dyDescent="0.25">
      <c r="A1" s="736"/>
      <c r="B1" s="737"/>
      <c r="C1" s="737"/>
      <c r="D1" s="737"/>
      <c r="E1" s="737"/>
      <c r="F1" s="738"/>
      <c r="G1" s="745" t="s">
        <v>0</v>
      </c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7"/>
      <c r="U1" s="753" t="s">
        <v>72</v>
      </c>
      <c r="V1" s="754"/>
      <c r="W1" s="754"/>
      <c r="X1" s="754"/>
      <c r="Y1" s="754"/>
      <c r="Z1" s="755"/>
    </row>
    <row r="2" spans="1:26" x14ac:dyDescent="0.25">
      <c r="A2" s="739"/>
      <c r="B2" s="740"/>
      <c r="C2" s="740"/>
      <c r="D2" s="740"/>
      <c r="E2" s="740"/>
      <c r="F2" s="741"/>
      <c r="G2" s="762" t="s">
        <v>1</v>
      </c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4"/>
      <c r="U2" s="756"/>
      <c r="V2" s="757"/>
      <c r="W2" s="757"/>
      <c r="X2" s="757"/>
      <c r="Y2" s="757"/>
      <c r="Z2" s="758"/>
    </row>
    <row r="3" spans="1:26" x14ac:dyDescent="0.25">
      <c r="A3" s="739"/>
      <c r="B3" s="740"/>
      <c r="C3" s="740"/>
      <c r="D3" s="740"/>
      <c r="E3" s="740"/>
      <c r="F3" s="741"/>
      <c r="G3" s="762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4"/>
      <c r="U3" s="756"/>
      <c r="V3" s="757"/>
      <c r="W3" s="757"/>
      <c r="X3" s="757"/>
      <c r="Y3" s="757"/>
      <c r="Z3" s="758"/>
    </row>
    <row r="4" spans="1:26" x14ac:dyDescent="0.25">
      <c r="A4" s="739"/>
      <c r="B4" s="740"/>
      <c r="C4" s="740"/>
      <c r="D4" s="740"/>
      <c r="E4" s="740"/>
      <c r="F4" s="741"/>
      <c r="G4" s="762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4"/>
      <c r="U4" s="756"/>
      <c r="V4" s="757"/>
      <c r="W4" s="757"/>
      <c r="X4" s="757"/>
      <c r="Y4" s="757"/>
      <c r="Z4" s="758"/>
    </row>
    <row r="5" spans="1:26" ht="15" customHeight="1" x14ac:dyDescent="0.25">
      <c r="A5" s="739"/>
      <c r="B5" s="740"/>
      <c r="C5" s="740"/>
      <c r="D5" s="740"/>
      <c r="E5" s="740"/>
      <c r="F5" s="741"/>
      <c r="G5" s="765" t="s">
        <v>2</v>
      </c>
      <c r="H5" s="766"/>
      <c r="I5" s="728" t="s">
        <v>3</v>
      </c>
      <c r="J5" s="728"/>
      <c r="K5" s="729"/>
      <c r="L5" s="767" t="s">
        <v>4</v>
      </c>
      <c r="M5" s="768"/>
      <c r="N5" s="768"/>
      <c r="O5" s="769"/>
      <c r="P5" s="750">
        <v>44361</v>
      </c>
      <c r="Q5" s="751"/>
      <c r="R5" s="751"/>
      <c r="S5" s="751"/>
      <c r="T5" s="752"/>
      <c r="U5" s="756"/>
      <c r="V5" s="757"/>
      <c r="W5" s="757"/>
      <c r="X5" s="757"/>
      <c r="Y5" s="757"/>
      <c r="Z5" s="758"/>
    </row>
    <row r="6" spans="1:26" x14ac:dyDescent="0.25">
      <c r="A6" s="742"/>
      <c r="B6" s="743"/>
      <c r="C6" s="743"/>
      <c r="D6" s="743"/>
      <c r="E6" s="743"/>
      <c r="F6" s="744"/>
      <c r="G6" s="2"/>
      <c r="H6" s="32"/>
      <c r="I6" s="726" t="s">
        <v>6</v>
      </c>
      <c r="J6" s="726"/>
      <c r="K6" s="726"/>
      <c r="L6" s="726" t="s">
        <v>7</v>
      </c>
      <c r="M6" s="726"/>
      <c r="N6" s="726"/>
      <c r="O6" s="726"/>
      <c r="P6" s="726" t="s">
        <v>8</v>
      </c>
      <c r="Q6" s="726"/>
      <c r="R6" s="726"/>
      <c r="S6" s="726"/>
      <c r="T6" s="727"/>
      <c r="U6" s="759"/>
      <c r="V6" s="760"/>
      <c r="W6" s="760"/>
      <c r="X6" s="760"/>
      <c r="Y6" s="760"/>
      <c r="Z6" s="761"/>
    </row>
    <row r="7" spans="1:26" ht="36.75" customHeight="1" x14ac:dyDescent="0.25">
      <c r="A7" s="748" t="s">
        <v>9</v>
      </c>
      <c r="B7" s="748"/>
      <c r="C7" s="748"/>
      <c r="D7" s="748"/>
      <c r="E7" s="748"/>
      <c r="F7" s="748"/>
      <c r="G7" s="749" t="s">
        <v>10</v>
      </c>
      <c r="H7" s="749"/>
      <c r="I7" s="749"/>
      <c r="J7" s="749"/>
      <c r="K7" s="749"/>
      <c r="L7" s="749"/>
      <c r="M7" s="749"/>
      <c r="N7" s="749"/>
      <c r="O7" s="749"/>
      <c r="P7" s="749"/>
      <c r="Q7" s="749"/>
      <c r="R7" s="749"/>
      <c r="S7" s="749"/>
      <c r="T7" s="749"/>
      <c r="U7" s="749"/>
      <c r="V7" s="749"/>
      <c r="W7" s="749"/>
      <c r="X7" s="749"/>
      <c r="Y7" s="749"/>
      <c r="Z7" s="749"/>
    </row>
    <row r="8" spans="1:26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6" customHeight="1" x14ac:dyDescent="0.25">
      <c r="A9" s="9"/>
      <c r="D9" s="10"/>
      <c r="E9" s="10"/>
      <c r="F9" s="10"/>
      <c r="G9" s="10"/>
      <c r="Z9" s="11"/>
    </row>
    <row r="10" spans="1:26" ht="15" customHeight="1" x14ac:dyDescent="0.25">
      <c r="A10" s="9"/>
      <c r="B10" s="770" t="s">
        <v>13</v>
      </c>
      <c r="C10" s="770"/>
      <c r="D10" s="770"/>
      <c r="E10" s="770"/>
      <c r="F10" s="770"/>
      <c r="G10" s="773" t="s">
        <v>14</v>
      </c>
      <c r="H10" s="773"/>
      <c r="I10" s="773"/>
      <c r="J10" s="773"/>
      <c r="K10" s="773"/>
      <c r="L10" s="773"/>
      <c r="M10" s="770" t="s">
        <v>15</v>
      </c>
      <c r="N10" s="770"/>
      <c r="O10" s="770"/>
      <c r="P10" s="770"/>
      <c r="Q10" s="770"/>
      <c r="R10" s="770"/>
      <c r="S10" s="772" t="s">
        <v>16</v>
      </c>
      <c r="T10" s="772"/>
      <c r="U10" s="772"/>
      <c r="V10" s="772"/>
      <c r="W10" s="772"/>
      <c r="X10" s="772"/>
      <c r="Y10" s="772"/>
      <c r="Z10" s="12"/>
    </row>
    <row r="11" spans="1:26" ht="15" customHeight="1" x14ac:dyDescent="0.25">
      <c r="A11" s="9"/>
      <c r="B11" s="770" t="s">
        <v>17</v>
      </c>
      <c r="C11" s="770"/>
      <c r="D11" s="770"/>
      <c r="E11" s="770"/>
      <c r="F11" s="770"/>
      <c r="G11" s="773" t="s">
        <v>5</v>
      </c>
      <c r="H11" s="773"/>
      <c r="I11" s="773"/>
      <c r="J11" s="773"/>
      <c r="K11" s="773"/>
      <c r="L11" s="773"/>
      <c r="M11" s="770" t="s">
        <v>18</v>
      </c>
      <c r="N11" s="770"/>
      <c r="O11" s="770"/>
      <c r="P11" s="771">
        <v>156</v>
      </c>
      <c r="Q11" s="771"/>
      <c r="R11" s="771"/>
      <c r="S11" s="770" t="s">
        <v>19</v>
      </c>
      <c r="T11" s="770"/>
      <c r="U11" s="770"/>
      <c r="V11" s="770"/>
      <c r="W11" s="770"/>
      <c r="X11" s="771" t="s">
        <v>20</v>
      </c>
      <c r="Y11" s="771"/>
      <c r="Z11" s="49"/>
    </row>
    <row r="12" spans="1:26" ht="15" customHeight="1" x14ac:dyDescent="0.25">
      <c r="A12" s="9"/>
      <c r="B12" s="770" t="s">
        <v>21</v>
      </c>
      <c r="C12" s="770"/>
      <c r="D12" s="770"/>
      <c r="E12" s="770"/>
      <c r="F12" s="770"/>
      <c r="G12" s="773" t="s">
        <v>22</v>
      </c>
      <c r="H12" s="773"/>
      <c r="I12" s="773"/>
      <c r="J12" s="773"/>
      <c r="K12" s="773"/>
      <c r="L12" s="773"/>
      <c r="M12" s="770" t="s">
        <v>23</v>
      </c>
      <c r="N12" s="770"/>
      <c r="O12" s="770"/>
      <c r="P12" s="770"/>
      <c r="Q12" s="770"/>
      <c r="R12" s="770"/>
      <c r="S12" s="772" t="s">
        <v>24</v>
      </c>
      <c r="T12" s="772"/>
      <c r="U12" s="772"/>
      <c r="V12" s="772"/>
      <c r="W12" s="772"/>
      <c r="X12" s="772"/>
      <c r="Y12" s="772"/>
      <c r="Z12" s="12"/>
    </row>
    <row r="13" spans="1:26" ht="15" customHeight="1" x14ac:dyDescent="0.25">
      <c r="A13" s="9"/>
      <c r="B13" s="770" t="s">
        <v>25</v>
      </c>
      <c r="C13" s="770"/>
      <c r="D13" s="770"/>
      <c r="E13" s="770"/>
      <c r="F13" s="770"/>
      <c r="G13" s="775" t="s">
        <v>5</v>
      </c>
      <c r="H13" s="773"/>
      <c r="I13" s="773"/>
      <c r="J13" s="773"/>
      <c r="K13" s="773"/>
      <c r="L13" s="773"/>
      <c r="M13" s="770" t="s">
        <v>26</v>
      </c>
      <c r="N13" s="770"/>
      <c r="O13" s="770"/>
      <c r="P13" s="770"/>
      <c r="Q13" s="770"/>
      <c r="R13" s="770"/>
      <c r="S13" s="770" t="s">
        <v>27</v>
      </c>
      <c r="T13" s="770"/>
      <c r="U13" s="770"/>
      <c r="V13" s="770"/>
      <c r="W13" s="770"/>
      <c r="X13" s="770"/>
      <c r="Y13" s="770"/>
      <c r="Z13" s="12"/>
    </row>
    <row r="14" spans="1:26" ht="15" customHeight="1" x14ac:dyDescent="0.25">
      <c r="A14" s="9"/>
      <c r="B14" s="770" t="s">
        <v>28</v>
      </c>
      <c r="C14" s="770"/>
      <c r="D14" s="770"/>
      <c r="E14" s="770"/>
      <c r="F14" s="770"/>
      <c r="G14" s="773" t="s">
        <v>29</v>
      </c>
      <c r="H14" s="773"/>
      <c r="I14" s="773"/>
      <c r="J14" s="773"/>
      <c r="K14" s="773"/>
      <c r="L14" s="773"/>
      <c r="M14" s="770" t="s">
        <v>30</v>
      </c>
      <c r="N14" s="770"/>
      <c r="O14" s="770"/>
      <c r="P14" s="770"/>
      <c r="Q14" s="770"/>
      <c r="R14" s="770"/>
      <c r="S14" s="770" t="s">
        <v>31</v>
      </c>
      <c r="T14" s="770"/>
      <c r="U14" s="770"/>
      <c r="V14" s="770"/>
      <c r="W14" s="770"/>
      <c r="X14" s="770"/>
      <c r="Y14" s="770"/>
      <c r="Z14" s="12"/>
    </row>
    <row r="15" spans="1:26" ht="15" customHeight="1" x14ac:dyDescent="0.25">
      <c r="A15" s="9"/>
      <c r="B15" s="774" t="s">
        <v>32</v>
      </c>
      <c r="C15" s="774"/>
      <c r="D15" s="774"/>
      <c r="E15" s="774"/>
      <c r="F15" s="774"/>
      <c r="G15" s="772" t="s">
        <v>33</v>
      </c>
      <c r="H15" s="772"/>
      <c r="I15" s="772"/>
      <c r="J15" s="772"/>
      <c r="K15" s="772"/>
      <c r="L15" s="772"/>
      <c r="M15" s="770" t="s">
        <v>34</v>
      </c>
      <c r="N15" s="770"/>
      <c r="O15" s="770"/>
      <c r="P15" s="770"/>
      <c r="Q15" s="770"/>
      <c r="R15" s="770"/>
      <c r="S15" s="770" t="s">
        <v>35</v>
      </c>
      <c r="T15" s="770"/>
      <c r="U15" s="770"/>
      <c r="V15" s="770"/>
      <c r="W15" s="770"/>
      <c r="X15" s="770"/>
      <c r="Y15" s="770"/>
      <c r="Z15" s="12"/>
    </row>
    <row r="16" spans="1:26" ht="15" customHeight="1" x14ac:dyDescent="0.25">
      <c r="A16" s="9"/>
      <c r="B16" s="774" t="s">
        <v>36</v>
      </c>
      <c r="C16" s="774"/>
      <c r="D16" s="774"/>
      <c r="E16" s="774"/>
      <c r="F16" s="774"/>
      <c r="G16" s="33" t="s">
        <v>37</v>
      </c>
      <c r="H16" s="33"/>
      <c r="I16" s="33"/>
      <c r="J16" s="33"/>
      <c r="K16" s="33"/>
      <c r="L16" s="3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13"/>
    </row>
    <row r="17" spans="1:26" ht="6" customHeight="1" x14ac:dyDescent="0.25">
      <c r="A17" s="2"/>
      <c r="B17" s="3"/>
      <c r="C17" s="3"/>
      <c r="D17" s="14"/>
      <c r="E17" s="14"/>
      <c r="F17" s="14"/>
      <c r="G17" s="14"/>
      <c r="H17" s="3"/>
      <c r="I17" s="3"/>
      <c r="J17" s="3"/>
      <c r="K17" s="3"/>
      <c r="L17" s="3"/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</row>
    <row r="18" spans="1:26" ht="15" customHeight="1" x14ac:dyDescent="0.25">
      <c r="B18" s="17"/>
      <c r="C18" s="17"/>
      <c r="K18" s="18"/>
      <c r="L18" s="17"/>
      <c r="M18" s="19"/>
    </row>
    <row r="19" spans="1:26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 ht="6" customHeight="1" x14ac:dyDescent="0.25">
      <c r="A20" s="9"/>
      <c r="B20" s="20"/>
      <c r="Z20" s="11"/>
    </row>
    <row r="21" spans="1:26" ht="13.8" customHeight="1" x14ac:dyDescent="0.25">
      <c r="A21" s="9"/>
      <c r="B21" s="770" t="s">
        <v>40</v>
      </c>
      <c r="C21" s="770"/>
      <c r="D21" s="770"/>
      <c r="E21" s="770"/>
      <c r="F21" s="770"/>
      <c r="G21" s="770"/>
      <c r="H21" s="770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12"/>
    </row>
    <row r="22" spans="1:26" ht="15" customHeight="1" x14ac:dyDescent="0.25">
      <c r="A22" s="9"/>
      <c r="B22" s="770" t="s">
        <v>41</v>
      </c>
      <c r="C22" s="770"/>
      <c r="D22" s="770"/>
      <c r="E22" s="770"/>
      <c r="F22" s="770"/>
      <c r="G22" s="770"/>
      <c r="H22" s="770"/>
      <c r="I22" s="771"/>
      <c r="J22" s="771"/>
      <c r="K22" s="771"/>
      <c r="L22" s="771"/>
      <c r="M22" s="771"/>
      <c r="N22" s="42">
        <v>0</v>
      </c>
      <c r="O22" s="690" t="s">
        <v>42</v>
      </c>
      <c r="P22" s="690"/>
      <c r="Q22" s="690"/>
      <c r="R22" s="43" t="s">
        <v>43</v>
      </c>
      <c r="S22" s="44"/>
      <c r="V22" s="690"/>
      <c r="W22" s="690"/>
      <c r="X22" s="690"/>
      <c r="Y22" s="33"/>
      <c r="Z22" s="12"/>
    </row>
    <row r="23" spans="1:26" ht="18.600000000000001" customHeight="1" x14ac:dyDescent="0.25">
      <c r="A23" s="2"/>
      <c r="B23" s="776"/>
      <c r="C23" s="776"/>
      <c r="D23" s="776"/>
      <c r="E23" s="776"/>
      <c r="F23" s="776"/>
      <c r="G23" s="776"/>
      <c r="H23" s="776"/>
      <c r="I23" s="3"/>
      <c r="J23" s="3"/>
      <c r="K23" s="3"/>
      <c r="L23" s="3"/>
      <c r="M23" s="53">
        <v>0</v>
      </c>
      <c r="N23" s="777" t="s">
        <v>44</v>
      </c>
      <c r="O23" s="777"/>
      <c r="P23" s="777"/>
      <c r="Q23" s="777"/>
      <c r="R23" s="777"/>
      <c r="S23" s="777"/>
      <c r="T23" s="53">
        <v>9</v>
      </c>
      <c r="U23" s="3"/>
      <c r="V23" s="3"/>
      <c r="W23" s="3"/>
      <c r="X23" s="3"/>
      <c r="Y23" s="3"/>
      <c r="Z23" s="16"/>
    </row>
    <row r="24" spans="1:26" x14ac:dyDescent="0.25">
      <c r="C24" s="21"/>
    </row>
    <row r="25" spans="1:26" ht="15" customHeight="1" x14ac:dyDescent="0.25">
      <c r="A25" s="4" t="s">
        <v>45</v>
      </c>
      <c r="B25" s="5" t="s">
        <v>46</v>
      </c>
      <c r="C25" s="6"/>
      <c r="D25" s="7"/>
      <c r="E25" s="7"/>
      <c r="F25" s="7"/>
      <c r="G25" s="7"/>
      <c r="H25" s="6"/>
      <c r="I25" s="746" t="s">
        <v>47</v>
      </c>
      <c r="J25" s="746"/>
      <c r="K25" s="746"/>
      <c r="L25" s="746"/>
      <c r="M25" s="746"/>
      <c r="N25" s="746"/>
      <c r="O25" s="746"/>
      <c r="P25" s="746"/>
      <c r="Q25" s="791">
        <v>2.48</v>
      </c>
      <c r="R25" s="791"/>
      <c r="S25" s="791"/>
      <c r="T25" s="791"/>
      <c r="U25" s="22" t="s">
        <v>48</v>
      </c>
      <c r="V25" s="6"/>
      <c r="W25" s="6"/>
      <c r="X25" s="6"/>
      <c r="Y25" s="6"/>
      <c r="Z25" s="8"/>
    </row>
    <row r="26" spans="1:26" ht="13.8" customHeight="1" x14ac:dyDescent="0.25">
      <c r="A26" s="9"/>
      <c r="Z26" s="11"/>
    </row>
    <row r="27" spans="1:26" ht="15.75" customHeight="1" x14ac:dyDescent="0.25">
      <c r="A27" s="9"/>
      <c r="B27" s="783" t="s">
        <v>49</v>
      </c>
      <c r="C27" s="780"/>
      <c r="D27" s="786" t="s">
        <v>50</v>
      </c>
      <c r="E27" s="787"/>
      <c r="F27" s="778" t="s">
        <v>51</v>
      </c>
      <c r="G27" s="778"/>
      <c r="H27" s="778"/>
      <c r="I27" s="779" t="s">
        <v>52</v>
      </c>
      <c r="J27" s="780"/>
      <c r="K27" s="780"/>
      <c r="L27" s="779" t="s">
        <v>53</v>
      </c>
      <c r="M27" s="780"/>
      <c r="N27" s="790"/>
      <c r="O27" s="779" t="s">
        <v>54</v>
      </c>
      <c r="P27" s="780"/>
      <c r="Q27" s="790"/>
      <c r="R27" s="779" t="s">
        <v>55</v>
      </c>
      <c r="S27" s="780"/>
      <c r="T27" s="780"/>
      <c r="U27" s="780"/>
      <c r="V27" s="780"/>
      <c r="W27" s="780"/>
      <c r="X27" s="780"/>
      <c r="Y27" s="781"/>
      <c r="Z27" s="11"/>
    </row>
    <row r="28" spans="1:26" ht="36" customHeight="1" x14ac:dyDescent="0.25">
      <c r="A28" s="9"/>
      <c r="B28" s="784" t="s">
        <v>56</v>
      </c>
      <c r="C28" s="785"/>
      <c r="D28" s="788" t="s">
        <v>57</v>
      </c>
      <c r="E28" s="789"/>
      <c r="F28" s="36" t="s">
        <v>58</v>
      </c>
      <c r="G28" s="36" t="s">
        <v>59</v>
      </c>
      <c r="H28" s="36" t="s">
        <v>60</v>
      </c>
      <c r="I28" s="695"/>
      <c r="J28" s="696"/>
      <c r="K28" s="696"/>
      <c r="L28" s="695" t="s">
        <v>61</v>
      </c>
      <c r="M28" s="696"/>
      <c r="N28" s="697"/>
      <c r="O28" s="695" t="s">
        <v>61</v>
      </c>
      <c r="P28" s="696"/>
      <c r="Q28" s="697"/>
      <c r="R28" s="695"/>
      <c r="S28" s="696"/>
      <c r="T28" s="696"/>
      <c r="U28" s="696"/>
      <c r="V28" s="696"/>
      <c r="W28" s="696"/>
      <c r="X28" s="696"/>
      <c r="Y28" s="782"/>
      <c r="Z28" s="11"/>
    </row>
    <row r="29" spans="1:26" ht="16.8" customHeight="1" x14ac:dyDescent="0.25">
      <c r="A29" s="9"/>
      <c r="B29" s="678">
        <v>1</v>
      </c>
      <c r="C29" s="679"/>
      <c r="D29" s="680"/>
      <c r="E29" s="681"/>
      <c r="F29" s="680"/>
      <c r="G29" s="681"/>
      <c r="H29" s="682"/>
      <c r="I29" s="683">
        <v>2.2570000000000001</v>
      </c>
      <c r="J29" s="683"/>
      <c r="K29" s="683"/>
      <c r="L29" s="684">
        <v>91</v>
      </c>
      <c r="M29" s="685"/>
      <c r="N29" s="686"/>
      <c r="O29" s="685">
        <v>9</v>
      </c>
      <c r="P29" s="685"/>
      <c r="Q29" s="686"/>
      <c r="R29" s="687"/>
      <c r="S29" s="687"/>
      <c r="T29" s="687"/>
      <c r="U29" s="687"/>
      <c r="V29" s="687"/>
      <c r="W29" s="687"/>
      <c r="X29" s="687"/>
      <c r="Y29" s="688"/>
      <c r="Z29" s="11"/>
    </row>
    <row r="30" spans="1:26" ht="16.8" customHeight="1" x14ac:dyDescent="0.25">
      <c r="A30" s="9"/>
      <c r="B30" s="678">
        <v>2</v>
      </c>
      <c r="C30" s="679"/>
      <c r="D30" s="680"/>
      <c r="E30" s="681"/>
      <c r="F30" s="680"/>
      <c r="G30" s="681"/>
      <c r="H30" s="682"/>
      <c r="I30" s="683">
        <v>2.2599999999999998</v>
      </c>
      <c r="J30" s="683"/>
      <c r="K30" s="683"/>
      <c r="L30" s="684">
        <v>91.1</v>
      </c>
      <c r="M30" s="685"/>
      <c r="N30" s="686"/>
      <c r="O30" s="685">
        <v>8.9</v>
      </c>
      <c r="P30" s="685"/>
      <c r="Q30" s="686"/>
      <c r="R30" s="687"/>
      <c r="S30" s="687"/>
      <c r="T30" s="687"/>
      <c r="U30" s="687"/>
      <c r="V30" s="687"/>
      <c r="W30" s="687"/>
      <c r="X30" s="687"/>
      <c r="Y30" s="688"/>
      <c r="Z30" s="11"/>
    </row>
    <row r="31" spans="1:26" ht="16.8" customHeight="1" x14ac:dyDescent="0.25">
      <c r="A31" s="9"/>
      <c r="B31" s="678">
        <v>3</v>
      </c>
      <c r="C31" s="679"/>
      <c r="D31" s="680"/>
      <c r="E31" s="681"/>
      <c r="F31" s="680"/>
      <c r="G31" s="681"/>
      <c r="H31" s="682"/>
      <c r="I31" s="683">
        <v>2.266</v>
      </c>
      <c r="J31" s="683"/>
      <c r="K31" s="683"/>
      <c r="L31" s="684">
        <v>91.4</v>
      </c>
      <c r="M31" s="685"/>
      <c r="N31" s="686"/>
      <c r="O31" s="685">
        <v>8.6</v>
      </c>
      <c r="P31" s="685"/>
      <c r="Q31" s="686"/>
      <c r="R31" s="687"/>
      <c r="S31" s="687"/>
      <c r="T31" s="687"/>
      <c r="U31" s="687"/>
      <c r="V31" s="687"/>
      <c r="W31" s="687"/>
      <c r="X31" s="687"/>
      <c r="Y31" s="688"/>
      <c r="Z31" s="11"/>
    </row>
    <row r="32" spans="1:26" ht="16.8" customHeight="1" x14ac:dyDescent="0.25">
      <c r="A32" s="9"/>
      <c r="B32" s="678">
        <v>4</v>
      </c>
      <c r="C32" s="679"/>
      <c r="D32" s="680"/>
      <c r="E32" s="681"/>
      <c r="F32" s="680"/>
      <c r="G32" s="681"/>
      <c r="H32" s="682"/>
      <c r="I32" s="683">
        <v>2.2410000000000001</v>
      </c>
      <c r="J32" s="683"/>
      <c r="K32" s="683"/>
      <c r="L32" s="684">
        <v>90.4</v>
      </c>
      <c r="M32" s="685"/>
      <c r="N32" s="686"/>
      <c r="O32" s="685">
        <v>9.6</v>
      </c>
      <c r="P32" s="685"/>
      <c r="Q32" s="686"/>
      <c r="R32" s="687"/>
      <c r="S32" s="687"/>
      <c r="T32" s="687"/>
      <c r="U32" s="687"/>
      <c r="V32" s="687"/>
      <c r="W32" s="687"/>
      <c r="X32" s="687"/>
      <c r="Y32" s="688"/>
      <c r="Z32" s="11"/>
    </row>
    <row r="33" spans="1:26" ht="16.8" customHeight="1" x14ac:dyDescent="0.25">
      <c r="A33" s="9"/>
      <c r="B33" s="678">
        <v>5</v>
      </c>
      <c r="C33" s="679"/>
      <c r="D33" s="680"/>
      <c r="E33" s="681"/>
      <c r="F33" s="680"/>
      <c r="G33" s="681"/>
      <c r="H33" s="682"/>
      <c r="I33" s="683">
        <v>2.2709999999999999</v>
      </c>
      <c r="J33" s="683"/>
      <c r="K33" s="683"/>
      <c r="L33" s="684">
        <v>91.6</v>
      </c>
      <c r="M33" s="685"/>
      <c r="N33" s="686"/>
      <c r="O33" s="685">
        <v>8.4</v>
      </c>
      <c r="P33" s="685"/>
      <c r="Q33" s="686"/>
      <c r="R33" s="687"/>
      <c r="S33" s="687"/>
      <c r="T33" s="687"/>
      <c r="U33" s="687"/>
      <c r="V33" s="687"/>
      <c r="W33" s="687"/>
      <c r="X33" s="687"/>
      <c r="Y33" s="688"/>
      <c r="Z33" s="11"/>
    </row>
    <row r="34" spans="1:26" ht="16.8" customHeight="1" x14ac:dyDescent="0.25">
      <c r="A34" s="9"/>
      <c r="B34" s="678">
        <v>6</v>
      </c>
      <c r="C34" s="679"/>
      <c r="D34" s="680"/>
      <c r="E34" s="681"/>
      <c r="F34" s="680"/>
      <c r="G34" s="681"/>
      <c r="H34" s="682"/>
      <c r="I34" s="683">
        <v>2.3239999999999998</v>
      </c>
      <c r="J34" s="683"/>
      <c r="K34" s="683"/>
      <c r="L34" s="684">
        <v>93.7</v>
      </c>
      <c r="M34" s="685"/>
      <c r="N34" s="686"/>
      <c r="O34" s="685">
        <v>6.3</v>
      </c>
      <c r="P34" s="685"/>
      <c r="Q34" s="686"/>
      <c r="R34" s="687"/>
      <c r="S34" s="687"/>
      <c r="T34" s="687"/>
      <c r="U34" s="687"/>
      <c r="V34" s="687"/>
      <c r="W34" s="687"/>
      <c r="X34" s="687"/>
      <c r="Y34" s="688"/>
      <c r="Z34" s="11"/>
    </row>
    <row r="35" spans="1:26" ht="16.8" customHeight="1" x14ac:dyDescent="0.25">
      <c r="A35" s="9"/>
      <c r="B35" s="678">
        <v>7</v>
      </c>
      <c r="C35" s="679"/>
      <c r="D35" s="680"/>
      <c r="E35" s="681"/>
      <c r="F35" s="680"/>
      <c r="G35" s="681"/>
      <c r="H35" s="682"/>
      <c r="I35" s="683">
        <v>2.2440000000000002</v>
      </c>
      <c r="J35" s="683"/>
      <c r="K35" s="683"/>
      <c r="L35" s="684">
        <v>90.5</v>
      </c>
      <c r="M35" s="685"/>
      <c r="N35" s="686"/>
      <c r="O35" s="685">
        <v>9.5</v>
      </c>
      <c r="P35" s="685"/>
      <c r="Q35" s="686"/>
      <c r="R35" s="687"/>
      <c r="S35" s="687"/>
      <c r="T35" s="687"/>
      <c r="U35" s="687"/>
      <c r="V35" s="687"/>
      <c r="W35" s="687"/>
      <c r="X35" s="687"/>
      <c r="Y35" s="688"/>
      <c r="Z35" s="11"/>
    </row>
    <row r="36" spans="1:26" ht="16.8" customHeight="1" x14ac:dyDescent="0.25">
      <c r="A36" s="9"/>
      <c r="B36" s="678">
        <v>8</v>
      </c>
      <c r="C36" s="679"/>
      <c r="D36" s="680"/>
      <c r="E36" s="681"/>
      <c r="F36" s="680"/>
      <c r="G36" s="681"/>
      <c r="H36" s="682"/>
      <c r="I36" s="683">
        <v>2.2919999999999998</v>
      </c>
      <c r="J36" s="683"/>
      <c r="K36" s="683"/>
      <c r="L36" s="684">
        <v>92.4</v>
      </c>
      <c r="M36" s="685"/>
      <c r="N36" s="686"/>
      <c r="O36" s="685">
        <v>7.6</v>
      </c>
      <c r="P36" s="685"/>
      <c r="Q36" s="686"/>
      <c r="R36" s="687"/>
      <c r="S36" s="687"/>
      <c r="T36" s="687"/>
      <c r="U36" s="687"/>
      <c r="V36" s="687"/>
      <c r="W36" s="687"/>
      <c r="X36" s="687"/>
      <c r="Y36" s="688"/>
      <c r="Z36" s="11"/>
    </row>
    <row r="37" spans="1:26" ht="16.8" customHeight="1" x14ac:dyDescent="0.25">
      <c r="A37" s="9"/>
      <c r="B37" s="678">
        <v>9</v>
      </c>
      <c r="C37" s="679"/>
      <c r="D37" s="680"/>
      <c r="E37" s="681"/>
      <c r="F37" s="680"/>
      <c r="G37" s="681"/>
      <c r="H37" s="682"/>
      <c r="I37" s="683">
        <v>2.302</v>
      </c>
      <c r="J37" s="683"/>
      <c r="K37" s="683"/>
      <c r="L37" s="684">
        <v>92.8</v>
      </c>
      <c r="M37" s="685"/>
      <c r="N37" s="686"/>
      <c r="O37" s="685">
        <v>7.2</v>
      </c>
      <c r="P37" s="685"/>
      <c r="Q37" s="686"/>
      <c r="R37" s="687"/>
      <c r="S37" s="687"/>
      <c r="T37" s="687"/>
      <c r="U37" s="687"/>
      <c r="V37" s="687"/>
      <c r="W37" s="687"/>
      <c r="X37" s="687"/>
      <c r="Y37" s="688"/>
      <c r="Z37" s="11"/>
    </row>
    <row r="38" spans="1:26" ht="16.8" customHeight="1" x14ac:dyDescent="0.25">
      <c r="A38" s="9"/>
      <c r="B38" s="678">
        <v>10</v>
      </c>
      <c r="C38" s="679"/>
      <c r="D38" s="680"/>
      <c r="E38" s="681"/>
      <c r="F38" s="680"/>
      <c r="G38" s="681"/>
      <c r="H38" s="682"/>
      <c r="I38" s="683">
        <v>2.2509999999999999</v>
      </c>
      <c r="J38" s="683"/>
      <c r="K38" s="683"/>
      <c r="L38" s="684">
        <v>90.8</v>
      </c>
      <c r="M38" s="685"/>
      <c r="N38" s="686"/>
      <c r="O38" s="685">
        <v>9.1999999999999993</v>
      </c>
      <c r="P38" s="685"/>
      <c r="Q38" s="686"/>
      <c r="R38" s="687"/>
      <c r="S38" s="687"/>
      <c r="T38" s="687"/>
      <c r="U38" s="687"/>
      <c r="V38" s="687"/>
      <c r="W38" s="687"/>
      <c r="X38" s="687"/>
      <c r="Y38" s="688"/>
      <c r="Z38" s="11"/>
    </row>
    <row r="39" spans="1:26" ht="16.8" customHeight="1" x14ac:dyDescent="0.25">
      <c r="A39" s="9"/>
      <c r="B39" s="678">
        <v>11</v>
      </c>
      <c r="C39" s="679"/>
      <c r="D39" s="680"/>
      <c r="E39" s="681"/>
      <c r="F39" s="680"/>
      <c r="G39" s="681"/>
      <c r="H39" s="682"/>
      <c r="I39" s="683">
        <v>2.2410000000000001</v>
      </c>
      <c r="J39" s="683"/>
      <c r="K39" s="683"/>
      <c r="L39" s="684">
        <v>90.4</v>
      </c>
      <c r="M39" s="685"/>
      <c r="N39" s="686"/>
      <c r="O39" s="685">
        <v>9.6</v>
      </c>
      <c r="P39" s="685"/>
      <c r="Q39" s="686"/>
      <c r="R39" s="687"/>
      <c r="S39" s="687"/>
      <c r="T39" s="687"/>
      <c r="U39" s="687"/>
      <c r="V39" s="687"/>
      <c r="W39" s="687"/>
      <c r="X39" s="687"/>
      <c r="Y39" s="688"/>
      <c r="Z39" s="11"/>
    </row>
    <row r="40" spans="1:26" ht="16.8" customHeight="1" x14ac:dyDescent="0.25">
      <c r="A40" s="9"/>
      <c r="B40" s="678">
        <v>12</v>
      </c>
      <c r="C40" s="679"/>
      <c r="D40" s="680"/>
      <c r="E40" s="681"/>
      <c r="F40" s="680"/>
      <c r="G40" s="681"/>
      <c r="H40" s="682"/>
      <c r="I40" s="683">
        <v>2.2610000000000001</v>
      </c>
      <c r="J40" s="683"/>
      <c r="K40" s="683"/>
      <c r="L40" s="684">
        <v>91.2</v>
      </c>
      <c r="M40" s="685"/>
      <c r="N40" s="686"/>
      <c r="O40" s="685">
        <v>8.8000000000000007</v>
      </c>
      <c r="P40" s="685"/>
      <c r="Q40" s="686"/>
      <c r="R40" s="687"/>
      <c r="S40" s="687"/>
      <c r="T40" s="687"/>
      <c r="U40" s="687"/>
      <c r="V40" s="687"/>
      <c r="W40" s="687"/>
      <c r="X40" s="687"/>
      <c r="Y40" s="688"/>
      <c r="Z40" s="11"/>
    </row>
    <row r="41" spans="1:26" ht="16.8" customHeight="1" x14ac:dyDescent="0.25">
      <c r="A41" s="9"/>
      <c r="B41" s="678">
        <v>13</v>
      </c>
      <c r="C41" s="679"/>
      <c r="D41" s="680"/>
      <c r="E41" s="681"/>
      <c r="F41" s="680"/>
      <c r="G41" s="681"/>
      <c r="H41" s="682"/>
      <c r="I41" s="683">
        <v>2.282</v>
      </c>
      <c r="J41" s="683"/>
      <c r="K41" s="683"/>
      <c r="L41" s="684">
        <v>92</v>
      </c>
      <c r="M41" s="685"/>
      <c r="N41" s="686"/>
      <c r="O41" s="685">
        <v>8</v>
      </c>
      <c r="P41" s="685"/>
      <c r="Q41" s="686"/>
      <c r="R41" s="687"/>
      <c r="S41" s="687"/>
      <c r="T41" s="687"/>
      <c r="U41" s="687"/>
      <c r="V41" s="687"/>
      <c r="W41" s="687"/>
      <c r="X41" s="687"/>
      <c r="Y41" s="688"/>
      <c r="Z41" s="11"/>
    </row>
    <row r="42" spans="1:26" ht="16.8" customHeight="1" x14ac:dyDescent="0.25">
      <c r="A42" s="9"/>
      <c r="B42" s="678">
        <v>14</v>
      </c>
      <c r="C42" s="679"/>
      <c r="D42" s="680"/>
      <c r="E42" s="681"/>
      <c r="F42" s="680"/>
      <c r="G42" s="681"/>
      <c r="H42" s="682"/>
      <c r="I42" s="683">
        <v>2.2749999999999999</v>
      </c>
      <c r="J42" s="683"/>
      <c r="K42" s="683"/>
      <c r="L42" s="684">
        <v>91.7</v>
      </c>
      <c r="M42" s="685"/>
      <c r="N42" s="686"/>
      <c r="O42" s="685">
        <v>8.3000000000000007</v>
      </c>
      <c r="P42" s="685"/>
      <c r="Q42" s="686"/>
      <c r="R42" s="687"/>
      <c r="S42" s="687"/>
      <c r="T42" s="687"/>
      <c r="U42" s="687"/>
      <c r="V42" s="687"/>
      <c r="W42" s="687"/>
      <c r="X42" s="687"/>
      <c r="Y42" s="688"/>
      <c r="Z42" s="11"/>
    </row>
    <row r="43" spans="1:26" ht="16.8" customHeight="1" x14ac:dyDescent="0.25">
      <c r="A43" s="9"/>
      <c r="B43" s="678"/>
      <c r="C43" s="679"/>
      <c r="D43" s="680"/>
      <c r="E43" s="681"/>
      <c r="F43" s="680"/>
      <c r="G43" s="681"/>
      <c r="H43" s="682"/>
      <c r="I43" s="683"/>
      <c r="J43" s="683"/>
      <c r="K43" s="683"/>
      <c r="L43" s="684"/>
      <c r="M43" s="685"/>
      <c r="N43" s="686"/>
      <c r="O43" s="685"/>
      <c r="P43" s="685"/>
      <c r="Q43" s="686"/>
      <c r="R43" s="687"/>
      <c r="S43" s="687"/>
      <c r="T43" s="687"/>
      <c r="U43" s="687"/>
      <c r="V43" s="687"/>
      <c r="W43" s="687"/>
      <c r="X43" s="687"/>
      <c r="Y43" s="688"/>
      <c r="Z43" s="11"/>
    </row>
    <row r="44" spans="1:26" ht="16.8" customHeight="1" x14ac:dyDescent="0.25">
      <c r="A44" s="9"/>
      <c r="B44" s="678"/>
      <c r="C44" s="679"/>
      <c r="D44" s="680"/>
      <c r="E44" s="681"/>
      <c r="F44" s="680"/>
      <c r="G44" s="681"/>
      <c r="H44" s="682"/>
      <c r="I44" s="683"/>
      <c r="J44" s="683"/>
      <c r="K44" s="683"/>
      <c r="L44" s="684"/>
      <c r="M44" s="685"/>
      <c r="N44" s="686"/>
      <c r="O44" s="685"/>
      <c r="P44" s="685"/>
      <c r="Q44" s="686"/>
      <c r="R44" s="687"/>
      <c r="S44" s="687"/>
      <c r="T44" s="687"/>
      <c r="U44" s="687"/>
      <c r="V44" s="687"/>
      <c r="W44" s="687"/>
      <c r="X44" s="687"/>
      <c r="Y44" s="688"/>
      <c r="Z44" s="11"/>
    </row>
    <row r="45" spans="1:26" ht="16.8" customHeight="1" x14ac:dyDescent="0.25">
      <c r="A45" s="9"/>
      <c r="B45" s="678"/>
      <c r="C45" s="679"/>
      <c r="D45" s="680"/>
      <c r="E45" s="681"/>
      <c r="F45" s="680"/>
      <c r="G45" s="681"/>
      <c r="H45" s="682"/>
      <c r="I45" s="683"/>
      <c r="J45" s="683"/>
      <c r="K45" s="683"/>
      <c r="L45" s="684"/>
      <c r="M45" s="685"/>
      <c r="N45" s="686"/>
      <c r="O45" s="685"/>
      <c r="P45" s="685"/>
      <c r="Q45" s="686"/>
      <c r="R45" s="687"/>
      <c r="S45" s="687"/>
      <c r="T45" s="687"/>
      <c r="U45" s="687"/>
      <c r="V45" s="687"/>
      <c r="W45" s="687"/>
      <c r="X45" s="687"/>
      <c r="Y45" s="688"/>
      <c r="Z45" s="11"/>
    </row>
    <row r="46" spans="1:26" ht="16.8" customHeight="1" x14ac:dyDescent="0.25">
      <c r="A46" s="9"/>
      <c r="B46" s="678"/>
      <c r="C46" s="679"/>
      <c r="D46" s="680"/>
      <c r="E46" s="681"/>
      <c r="F46" s="680"/>
      <c r="G46" s="681"/>
      <c r="H46" s="682"/>
      <c r="I46" s="683"/>
      <c r="J46" s="683"/>
      <c r="K46" s="683"/>
      <c r="L46" s="684"/>
      <c r="M46" s="685"/>
      <c r="N46" s="686"/>
      <c r="O46" s="685"/>
      <c r="P46" s="685"/>
      <c r="Q46" s="686"/>
      <c r="R46" s="687"/>
      <c r="S46" s="687"/>
      <c r="T46" s="687"/>
      <c r="U46" s="687"/>
      <c r="V46" s="687"/>
      <c r="W46" s="687"/>
      <c r="X46" s="687"/>
      <c r="Y46" s="688"/>
      <c r="Z46" s="11"/>
    </row>
    <row r="47" spans="1:26" ht="16.8" customHeight="1" x14ac:dyDescent="0.25">
      <c r="A47" s="9"/>
      <c r="B47" s="678"/>
      <c r="C47" s="679"/>
      <c r="D47" s="680"/>
      <c r="E47" s="681"/>
      <c r="F47" s="680"/>
      <c r="G47" s="681"/>
      <c r="H47" s="682"/>
      <c r="I47" s="683"/>
      <c r="J47" s="683"/>
      <c r="K47" s="683"/>
      <c r="L47" s="684"/>
      <c r="M47" s="685"/>
      <c r="N47" s="686"/>
      <c r="O47" s="685"/>
      <c r="P47" s="685"/>
      <c r="Q47" s="686"/>
      <c r="R47" s="687"/>
      <c r="S47" s="687"/>
      <c r="T47" s="687"/>
      <c r="U47" s="687"/>
      <c r="V47" s="687"/>
      <c r="W47" s="687"/>
      <c r="X47" s="687"/>
      <c r="Y47" s="688"/>
      <c r="Z47" s="11"/>
    </row>
    <row r="48" spans="1:26" ht="16.8" customHeight="1" x14ac:dyDescent="0.25">
      <c r="A48" s="9"/>
      <c r="B48" s="678"/>
      <c r="C48" s="679"/>
      <c r="D48" s="680"/>
      <c r="E48" s="681"/>
      <c r="F48" s="680"/>
      <c r="G48" s="681"/>
      <c r="H48" s="682"/>
      <c r="I48" s="683"/>
      <c r="J48" s="683"/>
      <c r="K48" s="683"/>
      <c r="L48" s="684"/>
      <c r="M48" s="685"/>
      <c r="N48" s="686"/>
      <c r="O48" s="685"/>
      <c r="P48" s="685"/>
      <c r="Q48" s="686"/>
      <c r="R48" s="687"/>
      <c r="S48" s="687"/>
      <c r="T48" s="687"/>
      <c r="U48" s="687"/>
      <c r="V48" s="687"/>
      <c r="W48" s="687"/>
      <c r="X48" s="687"/>
      <c r="Y48" s="688"/>
      <c r="Z48" s="11"/>
    </row>
    <row r="49" spans="1:29" ht="16.8" customHeight="1" x14ac:dyDescent="0.25">
      <c r="A49" s="9"/>
      <c r="B49" s="678"/>
      <c r="C49" s="679"/>
      <c r="D49" s="680"/>
      <c r="E49" s="681"/>
      <c r="F49" s="680"/>
      <c r="G49" s="681"/>
      <c r="H49" s="682"/>
      <c r="I49" s="683"/>
      <c r="J49" s="683"/>
      <c r="K49" s="683"/>
      <c r="L49" s="684"/>
      <c r="M49" s="685"/>
      <c r="N49" s="686"/>
      <c r="O49" s="685"/>
      <c r="P49" s="685"/>
      <c r="Q49" s="686"/>
      <c r="R49" s="687"/>
      <c r="S49" s="687"/>
      <c r="T49" s="687"/>
      <c r="U49" s="687"/>
      <c r="V49" s="687"/>
      <c r="W49" s="687"/>
      <c r="X49" s="687"/>
      <c r="Y49" s="688"/>
      <c r="Z49" s="11"/>
    </row>
    <row r="50" spans="1:29" ht="17.25" customHeight="1" x14ac:dyDescent="0.25">
      <c r="A50" s="9"/>
      <c r="B50" s="678"/>
      <c r="C50" s="679"/>
      <c r="D50" s="680"/>
      <c r="E50" s="681"/>
      <c r="F50" s="680"/>
      <c r="G50" s="681"/>
      <c r="H50" s="682"/>
      <c r="I50" s="683"/>
      <c r="J50" s="683"/>
      <c r="K50" s="683"/>
      <c r="L50" s="684"/>
      <c r="M50" s="685"/>
      <c r="N50" s="686"/>
      <c r="O50" s="685"/>
      <c r="P50" s="685"/>
      <c r="Q50" s="686"/>
      <c r="R50" s="687"/>
      <c r="S50" s="687"/>
      <c r="T50" s="687"/>
      <c r="U50" s="687"/>
      <c r="V50" s="687"/>
      <c r="W50" s="687"/>
      <c r="X50" s="687"/>
      <c r="Y50" s="688"/>
      <c r="Z50" s="11"/>
    </row>
    <row r="51" spans="1:29" ht="16.5" customHeight="1" x14ac:dyDescent="0.25">
      <c r="A51" s="9"/>
      <c r="B51" s="733" t="s">
        <v>62</v>
      </c>
      <c r="C51" s="734"/>
      <c r="D51" s="734"/>
      <c r="E51" s="734"/>
      <c r="F51" s="734"/>
      <c r="G51" s="734"/>
      <c r="H51" s="734"/>
      <c r="I51" s="735">
        <v>2.27</v>
      </c>
      <c r="J51" s="735"/>
      <c r="K51" s="735"/>
      <c r="L51" s="698">
        <v>91.5</v>
      </c>
      <c r="M51" s="698"/>
      <c r="N51" s="698"/>
      <c r="O51" s="698">
        <v>8.5</v>
      </c>
      <c r="P51" s="698"/>
      <c r="Q51" s="698"/>
      <c r="R51" s="699"/>
      <c r="S51" s="699"/>
      <c r="T51" s="699"/>
      <c r="U51" s="699"/>
      <c r="V51" s="699"/>
      <c r="W51" s="699"/>
      <c r="X51" s="699"/>
      <c r="Y51" s="700"/>
      <c r="Z51" s="11"/>
    </row>
    <row r="52" spans="1:29" ht="25.5" customHeight="1" x14ac:dyDescent="0.25">
      <c r="A52" s="9"/>
      <c r="B52" s="707" t="s">
        <v>63</v>
      </c>
      <c r="C52" s="708"/>
      <c r="D52" s="708"/>
      <c r="E52" s="708"/>
      <c r="F52" s="708"/>
      <c r="G52" s="708"/>
      <c r="H52" s="708"/>
      <c r="I52" s="730">
        <v>100</v>
      </c>
      <c r="J52" s="730"/>
      <c r="K52" s="730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2"/>
      <c r="Z52" s="11"/>
    </row>
    <row r="53" spans="1:29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spans="1:29" ht="16.5" customHeight="1" x14ac:dyDescent="0.25"/>
    <row r="55" spans="1:29" ht="34.5" customHeight="1" x14ac:dyDescent="0.25">
      <c r="A55" s="23" t="s">
        <v>64</v>
      </c>
      <c r="B55" s="24" t="s">
        <v>65</v>
      </c>
      <c r="C55" s="25"/>
      <c r="D55" s="25"/>
      <c r="E55" s="25"/>
      <c r="F55" s="26"/>
      <c r="G55" s="26"/>
      <c r="H55" s="26"/>
      <c r="I55" s="6"/>
      <c r="J55" s="6"/>
      <c r="K55" s="6"/>
      <c r="L55" s="6"/>
      <c r="M55" s="6"/>
      <c r="N55" s="6"/>
      <c r="O55" s="6"/>
      <c r="P55" s="6"/>
      <c r="Q55" s="26"/>
      <c r="R55" s="6"/>
      <c r="S55" s="6"/>
      <c r="T55" s="6"/>
      <c r="U55" s="721"/>
      <c r="V55" s="721"/>
      <c r="W55" s="721"/>
      <c r="X55" s="721"/>
      <c r="Y55" s="721"/>
      <c r="Z55" s="722"/>
      <c r="AA55" s="27"/>
      <c r="AB55" s="27"/>
      <c r="AC55" s="27"/>
    </row>
    <row r="56" spans="1:29" ht="27" customHeight="1" x14ac:dyDescent="0.25">
      <c r="A56" s="693" t="s">
        <v>66</v>
      </c>
      <c r="B56" s="694"/>
      <c r="C56" s="694"/>
      <c r="D56" s="694"/>
      <c r="E56" s="694"/>
      <c r="F56" s="694"/>
      <c r="G56" s="34"/>
      <c r="H56" s="34"/>
      <c r="I56" s="34"/>
      <c r="J56" s="34"/>
      <c r="K56" s="35"/>
      <c r="L56" s="691" t="s">
        <v>74</v>
      </c>
      <c r="M56" s="692"/>
      <c r="N56" s="692"/>
      <c r="O56" s="692"/>
      <c r="P56" s="692"/>
      <c r="Q56" s="39"/>
      <c r="R56" s="689" t="s">
        <v>67</v>
      </c>
      <c r="S56" s="689"/>
      <c r="T56" s="689"/>
      <c r="U56" s="723" t="s">
        <v>73</v>
      </c>
      <c r="V56" s="724"/>
      <c r="W56" s="724"/>
      <c r="X56" s="724"/>
      <c r="Y56" s="724"/>
      <c r="Z56" s="725"/>
      <c r="AA56" s="27"/>
      <c r="AB56" s="27"/>
      <c r="AC56" s="27"/>
    </row>
    <row r="57" spans="1:29" ht="15.75" customHeight="1" x14ac:dyDescent="0.25">
      <c r="A57" s="28"/>
      <c r="K57" s="29"/>
      <c r="R57" s="709" t="s">
        <v>68</v>
      </c>
      <c r="S57" s="710"/>
      <c r="T57" s="711"/>
      <c r="U57" s="712" t="s">
        <v>75</v>
      </c>
      <c r="V57" s="713"/>
      <c r="W57" s="713"/>
      <c r="X57" s="713"/>
      <c r="Y57" s="713"/>
      <c r="Z57" s="714"/>
      <c r="AA57" s="27"/>
      <c r="AB57" s="27"/>
      <c r="AC57" s="27"/>
    </row>
    <row r="58" spans="1:29" ht="9" customHeight="1" x14ac:dyDescent="0.25">
      <c r="A58" s="30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  <c r="N58" s="3"/>
      <c r="O58" s="3"/>
      <c r="P58" s="3"/>
      <c r="Q58" s="3"/>
      <c r="R58" s="709"/>
      <c r="S58" s="710"/>
      <c r="T58" s="711"/>
      <c r="U58" s="715"/>
      <c r="V58" s="716"/>
      <c r="W58" s="716"/>
      <c r="X58" s="716"/>
      <c r="Y58" s="716"/>
      <c r="Z58" s="717"/>
      <c r="AA58" s="27"/>
      <c r="AB58" s="27"/>
      <c r="AC58" s="27"/>
    </row>
    <row r="59" spans="1:29" ht="15.9" customHeight="1" x14ac:dyDescent="0.25">
      <c r="A59" s="4" t="s">
        <v>69</v>
      </c>
      <c r="B59" s="5" t="s">
        <v>70</v>
      </c>
      <c r="C59" s="6"/>
      <c r="D59" s="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  <c r="R59" s="709"/>
      <c r="S59" s="710"/>
      <c r="T59" s="711"/>
      <c r="U59" s="715"/>
      <c r="V59" s="716"/>
      <c r="W59" s="716"/>
      <c r="X59" s="716"/>
      <c r="Y59" s="716"/>
      <c r="Z59" s="717"/>
      <c r="AA59" s="27"/>
      <c r="AB59" s="27"/>
      <c r="AC59" s="27"/>
    </row>
    <row r="60" spans="1:29" ht="15.9" customHeight="1" x14ac:dyDescent="0.25">
      <c r="A60" s="701"/>
      <c r="B60" s="702"/>
      <c r="C60" s="702"/>
      <c r="D60" s="702"/>
      <c r="E60" s="702"/>
      <c r="F60" s="702"/>
      <c r="G60" s="702"/>
      <c r="H60" s="702"/>
      <c r="I60" s="702"/>
      <c r="J60" s="702"/>
      <c r="K60" s="702"/>
      <c r="L60" s="702"/>
      <c r="M60" s="702"/>
      <c r="N60" s="702"/>
      <c r="O60" s="702"/>
      <c r="P60" s="702"/>
      <c r="Q60" s="703"/>
      <c r="R60" s="709" t="s">
        <v>71</v>
      </c>
      <c r="S60" s="710"/>
      <c r="T60" s="711"/>
      <c r="U60" s="45"/>
      <c r="V60" s="46"/>
      <c r="W60" s="46"/>
      <c r="X60" s="46"/>
      <c r="Y60" s="46"/>
      <c r="Z60" s="47"/>
      <c r="AA60" s="27"/>
      <c r="AB60" s="27"/>
      <c r="AC60" s="27"/>
    </row>
    <row r="61" spans="1:29" ht="16.5" customHeight="1" x14ac:dyDescent="0.25">
      <c r="A61" s="701"/>
      <c r="B61" s="702"/>
      <c r="C61" s="702"/>
      <c r="D61" s="702"/>
      <c r="E61" s="702"/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3"/>
      <c r="R61" s="709"/>
      <c r="S61" s="710"/>
      <c r="T61" s="711"/>
      <c r="U61" s="48"/>
      <c r="V61" s="690"/>
      <c r="W61" s="690"/>
      <c r="X61" s="690"/>
      <c r="Y61" s="690"/>
      <c r="Z61" s="49"/>
      <c r="AA61" s="27"/>
      <c r="AB61" s="27"/>
      <c r="AC61" s="27"/>
    </row>
    <row r="62" spans="1:29" ht="16.5" customHeight="1" x14ac:dyDescent="0.25">
      <c r="A62" s="701"/>
      <c r="B62" s="702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3"/>
      <c r="R62" s="709"/>
      <c r="S62" s="710"/>
      <c r="T62" s="711"/>
      <c r="U62" s="48"/>
      <c r="V62" s="690"/>
      <c r="W62" s="690"/>
      <c r="X62" s="690"/>
      <c r="Y62" s="690"/>
      <c r="Z62" s="49"/>
      <c r="AA62" s="27"/>
      <c r="AB62" s="27"/>
      <c r="AC62" s="27"/>
    </row>
    <row r="63" spans="1:29" ht="16.5" customHeight="1" x14ac:dyDescent="0.25">
      <c r="A63" s="704"/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6"/>
      <c r="R63" s="718"/>
      <c r="S63" s="719"/>
      <c r="T63" s="720"/>
      <c r="U63" s="50"/>
      <c r="V63" s="51"/>
      <c r="W63" s="51"/>
      <c r="X63" s="51"/>
      <c r="Y63" s="51"/>
      <c r="Z63" s="52"/>
      <c r="AA63" s="27"/>
      <c r="AB63" s="27"/>
      <c r="AC63" s="27"/>
    </row>
    <row r="64" spans="1:29" ht="16.5" customHeight="1" x14ac:dyDescent="0.25">
      <c r="R64" s="38"/>
      <c r="S64" s="38"/>
      <c r="T64" s="38"/>
      <c r="U64" s="37"/>
      <c r="V64" s="37"/>
      <c r="W64" s="37"/>
      <c r="X64" s="37"/>
      <c r="Y64" s="37"/>
      <c r="Z64" s="37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3">
    <mergeCell ref="O49:Q49"/>
    <mergeCell ref="R49:Y49"/>
    <mergeCell ref="B49:C49"/>
    <mergeCell ref="D49:E49"/>
    <mergeCell ref="F49:H49"/>
    <mergeCell ref="I49:K49"/>
    <mergeCell ref="L49:N49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5:Q45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3:Q43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B36:C36"/>
    <mergeCell ref="D36:E36"/>
    <mergeCell ref="F36:H36"/>
    <mergeCell ref="I36:K36"/>
    <mergeCell ref="L36:N36"/>
    <mergeCell ref="O36:Q36"/>
    <mergeCell ref="R36:Y36"/>
    <mergeCell ref="B35:C35"/>
    <mergeCell ref="D35:E35"/>
    <mergeCell ref="F35:H35"/>
    <mergeCell ref="I35:K35"/>
    <mergeCell ref="L35:N35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F33:H33"/>
    <mergeCell ref="I33:K33"/>
    <mergeCell ref="L33:N33"/>
    <mergeCell ref="B32:C32"/>
    <mergeCell ref="D32:E32"/>
    <mergeCell ref="F32:H32"/>
    <mergeCell ref="I32:K32"/>
    <mergeCell ref="L32:N32"/>
    <mergeCell ref="B31:C31"/>
    <mergeCell ref="D31:E31"/>
    <mergeCell ref="F31:H31"/>
    <mergeCell ref="I31:K31"/>
    <mergeCell ref="L31:N31"/>
    <mergeCell ref="B30:C30"/>
    <mergeCell ref="D30:E30"/>
    <mergeCell ref="F30:H30"/>
    <mergeCell ref="I30:K30"/>
    <mergeCell ref="L30:N30"/>
    <mergeCell ref="B29:C29"/>
    <mergeCell ref="D29:E29"/>
    <mergeCell ref="F29:H29"/>
    <mergeCell ref="I29:K29"/>
    <mergeCell ref="L29:N29"/>
    <mergeCell ref="S13:Y13"/>
    <mergeCell ref="M14:R14"/>
    <mergeCell ref="V22:X22"/>
    <mergeCell ref="S14:Y14"/>
    <mergeCell ref="O29:Q29"/>
    <mergeCell ref="R29:Y29"/>
    <mergeCell ref="R56:T56"/>
    <mergeCell ref="O30:Q30"/>
    <mergeCell ref="R30:Y30"/>
    <mergeCell ref="O31:Q31"/>
    <mergeCell ref="R31:Y31"/>
    <mergeCell ref="O32:Q32"/>
    <mergeCell ref="R32:Y32"/>
    <mergeCell ref="O33:Q33"/>
    <mergeCell ref="L50:N50"/>
    <mergeCell ref="L51:N51"/>
    <mergeCell ref="R51:Y51"/>
    <mergeCell ref="R33:Y33"/>
    <mergeCell ref="O35:Q35"/>
    <mergeCell ref="R35:Y35"/>
    <mergeCell ref="O37:Q37"/>
    <mergeCell ref="R37:Y37"/>
    <mergeCell ref="O39:Q39"/>
    <mergeCell ref="R39:Y39"/>
    <mergeCell ref="S11:W11"/>
    <mergeCell ref="X11:Y11"/>
    <mergeCell ref="A60:Q63"/>
    <mergeCell ref="B52:H52"/>
    <mergeCell ref="O51:Q51"/>
    <mergeCell ref="R57:T59"/>
    <mergeCell ref="U57:Z59"/>
    <mergeCell ref="R60:T63"/>
    <mergeCell ref="V61:Y62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F50:H50"/>
    <mergeCell ref="R50:Y50"/>
    <mergeCell ref="O50:Q50"/>
    <mergeCell ref="U55:Z55"/>
    <mergeCell ref="U56:Z56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D27:E27"/>
    <mergeCell ref="D28:E28"/>
    <mergeCell ref="I27:K28"/>
    <mergeCell ref="O22:Q22"/>
    <mergeCell ref="L27:N27"/>
    <mergeCell ref="Q25:T25"/>
    <mergeCell ref="O27:Q27"/>
    <mergeCell ref="O28:Q28"/>
    <mergeCell ref="I25:P25"/>
    <mergeCell ref="B23:H23"/>
    <mergeCell ref="N23:S23"/>
    <mergeCell ref="F27:H27"/>
    <mergeCell ref="B22:H22"/>
    <mergeCell ref="I22:M22"/>
    <mergeCell ref="R27:Y28"/>
    <mergeCell ref="B27:C27"/>
    <mergeCell ref="B28:C28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B14:F14"/>
    <mergeCell ref="G14:L14"/>
    <mergeCell ref="B16:F16"/>
    <mergeCell ref="B11:F11"/>
    <mergeCell ref="G11:L11"/>
    <mergeCell ref="B12:F12"/>
    <mergeCell ref="G12:L12"/>
    <mergeCell ref="B13:F13"/>
    <mergeCell ref="G13:L13"/>
    <mergeCell ref="M11:O11"/>
    <mergeCell ref="P11:R1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42</vt:i4>
      </vt:variant>
      <vt:variant>
        <vt:lpstr>Plages nommées</vt:lpstr>
      </vt:variant>
      <vt:variant>
        <vt:i4>42</vt:i4>
      </vt:variant>
    </vt:vector>
  </HeadingPairs>
  <TitlesOfParts>
    <vt:vector size="84" baseType="lpstr">
      <vt:lpstr>141124 BBSG Rosière</vt:lpstr>
      <vt:lpstr>131124 GB Rosière</vt:lpstr>
      <vt:lpstr>231024 BBSG Pasteur</vt:lpstr>
      <vt:lpstr>231024 GB pasteur</vt:lpstr>
      <vt:lpstr>151024 BBSG Lyon7</vt:lpstr>
      <vt:lpstr>151024 GB lyon7</vt:lpstr>
      <vt:lpstr>071024 BBSG 7e</vt:lpstr>
      <vt:lpstr>091024 GB 7e</vt:lpstr>
      <vt:lpstr>030724 BBSG Fays</vt:lpstr>
      <vt:lpstr>010724 GB Fays</vt:lpstr>
      <vt:lpstr>280224 GB Veyron</vt:lpstr>
      <vt:lpstr>270224 BBSG Veyron</vt:lpstr>
      <vt:lpstr>270224 GB Veyron</vt:lpstr>
      <vt:lpstr>070922 BBSG Chevrot</vt:lpstr>
      <vt:lpstr>070922 GB Chevrot</vt:lpstr>
      <vt:lpstr>300822</vt:lpstr>
      <vt:lpstr>180322 GB</vt:lpstr>
      <vt:lpstr>110222 (2)</vt:lpstr>
      <vt:lpstr>110222</vt:lpstr>
      <vt:lpstr>100222 (2)</vt:lpstr>
      <vt:lpstr>100222</vt:lpstr>
      <vt:lpstr>091221 (2)</vt:lpstr>
      <vt:lpstr>091221</vt:lpstr>
      <vt:lpstr>081221</vt:lpstr>
      <vt:lpstr>271021 (2)</vt:lpstr>
      <vt:lpstr>271021</vt:lpstr>
      <vt:lpstr>261021 (2)</vt:lpstr>
      <vt:lpstr>261021</vt:lpstr>
      <vt:lpstr>061021</vt:lpstr>
      <vt:lpstr>051021 (2)</vt:lpstr>
      <vt:lpstr>051021</vt:lpstr>
      <vt:lpstr>030921 (2)</vt:lpstr>
      <vt:lpstr>030921</vt:lpstr>
      <vt:lpstr>020921</vt:lpstr>
      <vt:lpstr>010921 (2)</vt:lpstr>
      <vt:lpstr>010921</vt:lpstr>
      <vt:lpstr>310821</vt:lpstr>
      <vt:lpstr>300821 (2)</vt:lpstr>
      <vt:lpstr>300821</vt:lpstr>
      <vt:lpstr>050721</vt:lpstr>
      <vt:lpstr>110621 (2)</vt:lpstr>
      <vt:lpstr>110621</vt:lpstr>
      <vt:lpstr>'010724 GB Fays'!Zone_d_impression</vt:lpstr>
      <vt:lpstr>'010921'!Zone_d_impression</vt:lpstr>
      <vt:lpstr>'010921 (2)'!Zone_d_impression</vt:lpstr>
      <vt:lpstr>'020921'!Zone_d_impression</vt:lpstr>
      <vt:lpstr>'030724 BBSG Fays'!Zone_d_impression</vt:lpstr>
      <vt:lpstr>'030921'!Zone_d_impression</vt:lpstr>
      <vt:lpstr>'030921 (2)'!Zone_d_impression</vt:lpstr>
      <vt:lpstr>'050721'!Zone_d_impression</vt:lpstr>
      <vt:lpstr>'051021'!Zone_d_impression</vt:lpstr>
      <vt:lpstr>'051021 (2)'!Zone_d_impression</vt:lpstr>
      <vt:lpstr>'061021'!Zone_d_impression</vt:lpstr>
      <vt:lpstr>'070922 BBSG Chevrot'!Zone_d_impression</vt:lpstr>
      <vt:lpstr>'070922 GB Chevrot'!Zone_d_impression</vt:lpstr>
      <vt:lpstr>'071024 BBSG 7e'!Zone_d_impression</vt:lpstr>
      <vt:lpstr>'081221'!Zone_d_impression</vt:lpstr>
      <vt:lpstr>'091024 GB 7e'!Zone_d_impression</vt:lpstr>
      <vt:lpstr>'091221'!Zone_d_impression</vt:lpstr>
      <vt:lpstr>'091221 (2)'!Zone_d_impression</vt:lpstr>
      <vt:lpstr>'100222'!Zone_d_impression</vt:lpstr>
      <vt:lpstr>'100222 (2)'!Zone_d_impression</vt:lpstr>
      <vt:lpstr>'110222'!Zone_d_impression</vt:lpstr>
      <vt:lpstr>'110222 (2)'!Zone_d_impression</vt:lpstr>
      <vt:lpstr>'110621'!Zone_d_impression</vt:lpstr>
      <vt:lpstr>'110621 (2)'!Zone_d_impression</vt:lpstr>
      <vt:lpstr>'131124 GB Rosière'!Zone_d_impression</vt:lpstr>
      <vt:lpstr>'141124 BBSG Rosière'!Zone_d_impression</vt:lpstr>
      <vt:lpstr>'151024 BBSG Lyon7'!Zone_d_impression</vt:lpstr>
      <vt:lpstr>'151024 GB lyon7'!Zone_d_impression</vt:lpstr>
      <vt:lpstr>'180322 GB'!Zone_d_impression</vt:lpstr>
      <vt:lpstr>'231024 BBSG Pasteur'!Zone_d_impression</vt:lpstr>
      <vt:lpstr>'231024 GB pasteur'!Zone_d_impression</vt:lpstr>
      <vt:lpstr>'261021'!Zone_d_impression</vt:lpstr>
      <vt:lpstr>'261021 (2)'!Zone_d_impression</vt:lpstr>
      <vt:lpstr>'270224 BBSG Veyron'!Zone_d_impression</vt:lpstr>
      <vt:lpstr>'270224 GB Veyron'!Zone_d_impression</vt:lpstr>
      <vt:lpstr>'271021'!Zone_d_impression</vt:lpstr>
      <vt:lpstr>'271021 (2)'!Zone_d_impression</vt:lpstr>
      <vt:lpstr>'280224 GB Veyron'!Zone_d_impression</vt:lpstr>
      <vt:lpstr>'300821'!Zone_d_impression</vt:lpstr>
      <vt:lpstr>'300821 (2)'!Zone_d_impression</vt:lpstr>
      <vt:lpstr>'300822'!Zone_d_impression</vt:lpstr>
      <vt:lpstr>'310821'!Zone_d_impression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2024-11-14T12:20:35Z</cp:lastPrinted>
  <dcterms:created xsi:type="dcterms:W3CDTF">2003-10-22T13:58:33Z</dcterms:created>
  <dcterms:modified xsi:type="dcterms:W3CDTF">2024-11-14T12:20:47Z</dcterms:modified>
  <cp:category/>
</cp:coreProperties>
</file>