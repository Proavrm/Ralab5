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01\RA O38A  Etrez - Storengy\Essais de laboratoire\Portances\"/>
    </mc:Choice>
  </mc:AlternateContent>
  <xr:revisionPtr revIDLastSave="0" documentId="13_ncr:1_{17076C31-9B54-441F-98B4-E4268C969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80425 CDR" sheetId="5" r:id="rId1"/>
    <sheet name="280125" sheetId="4" r:id="rId2"/>
    <sheet name="230724" sheetId="3" r:id="rId3"/>
    <sheet name="090724" sheetId="2" r:id="rId4"/>
    <sheet name="130624" sheetId="1" r:id="rId5"/>
  </sheets>
  <definedNames>
    <definedName name="_xlnm.Print_Area" localSheetId="3">'090724'!$A$1:$Z$70</definedName>
    <definedName name="_xlnm.Print_Area" localSheetId="4">'130624'!$A$1:$Z$71</definedName>
    <definedName name="_xlnm.Print_Area" localSheetId="0">'180425 CDR'!$A$1:$Z$62</definedName>
    <definedName name="_xlnm.Print_Area" localSheetId="2">'230724'!$A$1:$Z$73</definedName>
    <definedName name="_xlnm.Print_Area" localSheetId="1">'280125'!$A$1:$Z$60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5" l="1"/>
  <c r="H49" i="5"/>
  <c r="H50" i="5"/>
  <c r="H46" i="4"/>
  <c r="H47" i="4"/>
  <c r="H48" i="4"/>
  <c r="H59" i="3"/>
  <c r="H60" i="3"/>
  <c r="H61" i="3"/>
  <c r="H56" i="2"/>
  <c r="H57" i="2"/>
  <c r="H58" i="2"/>
  <c r="H59" i="1"/>
  <c r="H58" i="1"/>
  <c r="H57" i="1"/>
</calcChain>
</file>

<file path=xl/sharedStrings.xml><?xml version="1.0" encoding="utf-8"?>
<sst xmlns="http://schemas.openxmlformats.org/spreadsheetml/2006/main" count="275" uniqueCount="70">
  <si>
    <t>COMPTE RENDU D'ESSAIS</t>
  </si>
  <si>
    <t>Storengy</t>
  </si>
  <si>
    <t>PORTANCES DES PLATES-FORMES DYNAPLAQUE 
(NF P 94-117-2 d'octobre 2004)</t>
  </si>
  <si>
    <t>PLD N°</t>
  </si>
  <si>
    <t>RA O38A</t>
  </si>
  <si>
    <t>13/06/2024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</si>
  <si>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</si>
  <si>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</si>
  <si>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</si>
  <si>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</si>
  <si>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</si>
  <si>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</si>
  <si>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</si>
  <si>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</si>
  <si>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</si>
  <si>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</si>
  <si>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Matériaux du site</t>
  </si>
  <si>
    <t>Date de(s) essai(s) :</t>
  </si>
  <si>
    <t>Météo :</t>
  </si>
  <si>
    <t>Beau</t>
  </si>
  <si>
    <t>Partie de l'ouvrage :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</si>
  <si>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</si>
  <si>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</si>
  <si>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</si>
  <si>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</si>
  <si>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</si>
  <si>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</si>
  <si>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</si>
  <si>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</si>
  <si>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</si>
  <si>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</si>
  <si>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</si>
  <si>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</si>
  <si>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</si>
  <si>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</si>
  <si>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</si>
  <si>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</si>
  <si>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</si>
  <si>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</si>
  <si>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</si>
  <si>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</si>
  <si>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</si>
  <si>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</si>
  <si>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</si>
  <si>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</si>
  <si>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</si>
  <si>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Fonction</t>
  </si>
  <si>
    <t>Technicien de laboratoire</t>
  </si>
  <si>
    <t>6/</t>
  </si>
  <si>
    <t>COMMENTAIRES</t>
  </si>
  <si>
    <t>Visa</t>
  </si>
  <si>
    <t>Pour Information</t>
  </si>
  <si>
    <t>CDF existante</t>
  </si>
  <si>
    <t>&lt;20</t>
  </si>
  <si>
    <t>CDF</t>
  </si>
  <si>
    <t>09/07/2024</t>
  </si>
  <si>
    <t>0/80 ou matériau du site</t>
  </si>
  <si>
    <t>Conforme</t>
  </si>
  <si>
    <t xml:space="preserve"> 93.94</t>
  </si>
  <si>
    <t>Surlargeur face portail</t>
  </si>
  <si>
    <t>debut</t>
  </si>
  <si>
    <t>CDR</t>
  </si>
  <si>
    <t>23/07/2024</t>
  </si>
  <si>
    <t>0/31,5</t>
  </si>
  <si>
    <t>Non</t>
  </si>
  <si>
    <t>Chemin</t>
  </si>
  <si>
    <t>28/01/2025</t>
  </si>
  <si>
    <t>Matériau en place</t>
  </si>
  <si>
    <t xml:space="preserve"> 100.00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</si>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</sst>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8"/>
      <name val="Arial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646E701-3129-4EC9-8089-A73AB5762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35BAD70-1E3B-4BCB-AA03-9C5EFAC0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A119A0-EA60-4105-8F6D-1E3FC93A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6CF111-8A10-48C5-BAD2-F8DC0FD1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1C29-743D-4C09-8792-EF89258CD89D}">
  <sheetPr>
    <pageSetUpPr fitToPage="1"/>
  </sheetPr>
  <dimension ref="A1:AA69"/>
  <sheetViews>
    <sheetView tabSelected="1" topLeftCell="A43" workbookViewId="0">
      <selection activeCell="V59" sqref="V59:Y60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4"/>
      <c r="B1" s="115"/>
      <c r="C1" s="115"/>
      <c r="D1" s="115"/>
      <c r="E1" s="115"/>
      <c r="F1" s="116"/>
      <c r="G1" s="123" t="s">
        <v>0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68" t="s">
        <v>1</v>
      </c>
      <c r="V1" s="69"/>
      <c r="W1" s="69"/>
      <c r="X1" s="69"/>
      <c r="Y1" s="69"/>
      <c r="Z1" s="70"/>
    </row>
    <row r="2" spans="1:26" ht="12.75" customHeight="1" x14ac:dyDescent="0.25">
      <c r="A2" s="117"/>
      <c r="B2" s="118"/>
      <c r="C2" s="118"/>
      <c r="D2" s="118"/>
      <c r="E2" s="118"/>
      <c r="F2" s="119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71"/>
      <c r="V2" s="72"/>
      <c r="W2" s="72"/>
      <c r="X2" s="72"/>
      <c r="Y2" s="72"/>
      <c r="Z2" s="73"/>
    </row>
    <row r="3" spans="1:26" ht="12.75" customHeight="1" x14ac:dyDescent="0.25">
      <c r="A3" s="117"/>
      <c r="B3" s="118"/>
      <c r="C3" s="118"/>
      <c r="D3" s="118"/>
      <c r="E3" s="118"/>
      <c r="F3" s="119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71"/>
      <c r="V3" s="72"/>
      <c r="W3" s="72"/>
      <c r="X3" s="72"/>
      <c r="Y3" s="72"/>
      <c r="Z3" s="73"/>
    </row>
    <row r="4" spans="1:26" ht="12.75" customHeight="1" x14ac:dyDescent="0.25">
      <c r="A4" s="117"/>
      <c r="B4" s="118"/>
      <c r="C4" s="118"/>
      <c r="D4" s="118"/>
      <c r="E4" s="118"/>
      <c r="F4" s="119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71"/>
      <c r="V4" s="72"/>
      <c r="W4" s="72"/>
      <c r="X4" s="72"/>
      <c r="Y4" s="72"/>
      <c r="Z4" s="73"/>
    </row>
    <row r="5" spans="1:26" ht="12.75" customHeight="1" x14ac:dyDescent="0.25">
      <c r="A5" s="117"/>
      <c r="B5" s="118"/>
      <c r="C5" s="118"/>
      <c r="D5" s="118"/>
      <c r="E5" s="118"/>
      <c r="F5" s="119"/>
      <c r="G5" s="129" t="s">
        <v>3</v>
      </c>
      <c r="H5" s="130"/>
      <c r="I5" s="104">
        <v>5</v>
      </c>
      <c r="J5" s="104"/>
      <c r="K5" s="105"/>
      <c r="L5" s="107" t="s">
        <v>4</v>
      </c>
      <c r="M5" s="108"/>
      <c r="N5" s="108"/>
      <c r="O5" s="109"/>
      <c r="P5" s="110" t="s">
        <v>69</v>
      </c>
      <c r="Q5" s="111"/>
      <c r="R5" s="111"/>
      <c r="S5" s="111"/>
      <c r="T5" s="112"/>
      <c r="U5" s="71"/>
      <c r="V5" s="72"/>
      <c r="W5" s="72"/>
      <c r="X5" s="72"/>
      <c r="Y5" s="72"/>
      <c r="Z5" s="73"/>
    </row>
    <row r="6" spans="1:26" ht="12.75" customHeight="1" x14ac:dyDescent="0.25">
      <c r="A6" s="120"/>
      <c r="B6" s="121"/>
      <c r="C6" s="121"/>
      <c r="D6" s="121"/>
      <c r="E6" s="121"/>
      <c r="F6" s="122"/>
      <c r="G6" s="2"/>
      <c r="H6" s="3"/>
      <c r="I6" s="106" t="s">
        <v>6</v>
      </c>
      <c r="J6" s="106"/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13"/>
      <c r="U6" s="74"/>
      <c r="V6" s="75"/>
      <c r="W6" s="75"/>
      <c r="X6" s="75"/>
      <c r="Y6" s="75"/>
      <c r="Z6" s="76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7" t="s">
        <v>13</v>
      </c>
      <c r="C10" s="67"/>
      <c r="D10" s="67"/>
      <c r="E10" s="67"/>
      <c r="F10" s="67"/>
      <c r="G10" s="67"/>
      <c r="H10" s="133" t="s">
        <v>14</v>
      </c>
      <c r="I10" s="133"/>
      <c r="J10" s="133"/>
      <c r="K10" s="133"/>
      <c r="L10" s="133"/>
      <c r="M10" s="133"/>
      <c r="N10" s="67" t="s">
        <v>15</v>
      </c>
      <c r="O10" s="67"/>
      <c r="P10" s="67"/>
      <c r="Q10" s="67"/>
      <c r="R10" s="67"/>
      <c r="S10" s="92" t="s">
        <v>63</v>
      </c>
      <c r="T10" s="92"/>
      <c r="U10" s="92"/>
      <c r="V10" s="92"/>
      <c r="W10" s="92"/>
      <c r="X10" s="92"/>
      <c r="Y10" s="92"/>
      <c r="Z10" s="12"/>
    </row>
    <row r="11" spans="1:26" ht="15.9" customHeight="1" x14ac:dyDescent="0.25">
      <c r="A11" s="9"/>
      <c r="B11" s="67" t="s">
        <v>17</v>
      </c>
      <c r="C11" s="67"/>
      <c r="D11" s="67"/>
      <c r="E11" s="67"/>
      <c r="F11" s="67"/>
      <c r="G11" s="67"/>
      <c r="H11" s="133" t="s">
        <v>69</v>
      </c>
      <c r="I11" s="133"/>
      <c r="J11" s="133"/>
      <c r="K11" s="133"/>
      <c r="L11" s="133"/>
      <c r="M11" s="133"/>
      <c r="N11" s="67" t="s">
        <v>18</v>
      </c>
      <c r="O11" s="67"/>
      <c r="P11" s="67"/>
      <c r="Q11" s="67"/>
      <c r="R11" s="67"/>
      <c r="S11" s="92" t="s">
        <v>19</v>
      </c>
      <c r="T11" s="92"/>
      <c r="U11" s="92"/>
      <c r="V11" s="92"/>
      <c r="W11" s="92"/>
      <c r="X11" s="92"/>
      <c r="Y11" s="92"/>
      <c r="Z11" s="12"/>
    </row>
    <row r="12" spans="1:26" ht="15.9" customHeight="1" x14ac:dyDescent="0.25">
      <c r="A12" s="9"/>
      <c r="B12" s="67" t="s">
        <v>20</v>
      </c>
      <c r="C12" s="67"/>
      <c r="D12" s="67"/>
      <c r="E12" s="67"/>
      <c r="F12" s="67"/>
      <c r="G12" s="67"/>
      <c r="H12" s="133" t="s">
        <v>61</v>
      </c>
      <c r="I12" s="133"/>
      <c r="J12" s="133"/>
      <c r="K12" s="133"/>
      <c r="L12" s="133"/>
      <c r="M12" s="133"/>
      <c r="N12" s="67" t="s">
        <v>21</v>
      </c>
      <c r="O12" s="67"/>
      <c r="P12" s="67"/>
      <c r="Q12" s="67"/>
      <c r="R12" s="67"/>
      <c r="S12" s="92" t="s">
        <v>22</v>
      </c>
      <c r="T12" s="92"/>
      <c r="U12" s="92"/>
      <c r="V12" s="92"/>
      <c r="W12" s="92"/>
      <c r="X12" s="92"/>
      <c r="Y12" s="9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" t="s">
        <v>25</v>
      </c>
      <c r="C17" s="66"/>
      <c r="D17" s="66"/>
      <c r="E17" s="66"/>
      <c r="F17" s="66"/>
      <c r="G17" s="66"/>
      <c r="H17" s="66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28"/>
    </row>
    <row r="18" spans="1:26" s="17" customFormat="1" ht="15" customHeight="1" x14ac:dyDescent="0.25">
      <c r="A18" s="24"/>
      <c r="B18" s="66" t="s">
        <v>26</v>
      </c>
      <c r="C18" s="66"/>
      <c r="D18" s="66"/>
      <c r="E18" s="66"/>
      <c r="F18" s="66"/>
      <c r="G18" s="66"/>
      <c r="H18" s="66"/>
      <c r="I18" s="191" t="s">
        <v>27</v>
      </c>
      <c r="J18" s="191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200" t="s">
        <v>31</v>
      </c>
      <c r="K21" s="200"/>
      <c r="L21" s="200"/>
      <c r="M21" s="200"/>
      <c r="N21" s="200"/>
      <c r="O21" s="200"/>
      <c r="P21" s="20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98" t="s">
        <v>32</v>
      </c>
      <c r="C23" s="93" t="s">
        <v>33</v>
      </c>
      <c r="D23" s="93"/>
      <c r="E23" s="93"/>
      <c r="F23" s="93"/>
      <c r="G23" s="94"/>
      <c r="H23" s="195" t="s">
        <v>34</v>
      </c>
      <c r="I23" s="196"/>
      <c r="J23" s="197"/>
      <c r="K23" s="93" t="s">
        <v>35</v>
      </c>
      <c r="L23" s="93"/>
      <c r="M23" s="93"/>
      <c r="N23" s="93"/>
      <c r="O23" s="93"/>
      <c r="P23" s="94"/>
      <c r="Z23" s="11"/>
    </row>
    <row r="24" spans="1:26" ht="15.75" customHeight="1" x14ac:dyDescent="0.25">
      <c r="A24" s="9"/>
      <c r="B24" s="199"/>
      <c r="C24" s="95"/>
      <c r="D24" s="95"/>
      <c r="E24" s="95"/>
      <c r="F24" s="95"/>
      <c r="G24" s="96"/>
      <c r="H24" s="192" t="s">
        <v>36</v>
      </c>
      <c r="I24" s="193"/>
      <c r="J24" s="194"/>
      <c r="K24" s="95"/>
      <c r="L24" s="95"/>
      <c r="M24" s="95"/>
      <c r="N24" s="95"/>
      <c r="O24" s="95"/>
      <c r="P24" s="96"/>
      <c r="Z24" s="11"/>
    </row>
    <row r="25" spans="1:26" ht="19.5" customHeight="1" x14ac:dyDescent="0.25">
      <c r="A25" s="9"/>
      <c r="B25" s="45">
        <v>1</v>
      </c>
      <c r="C25" s="77"/>
      <c r="D25" s="78"/>
      <c r="E25" s="78"/>
      <c r="F25" s="78"/>
      <c r="G25" s="79"/>
      <c r="H25" s="134">
        <v>67</v>
      </c>
      <c r="I25" s="135"/>
      <c r="J25" s="136"/>
      <c r="K25" s="77"/>
      <c r="L25" s="78"/>
      <c r="M25" s="78"/>
      <c r="N25" s="78"/>
      <c r="O25" s="78"/>
      <c r="P25" s="79"/>
      <c r="Z25" s="11"/>
    </row>
    <row r="26" spans="1:26" ht="19.5" customHeight="1" x14ac:dyDescent="0.25">
      <c r="A26" s="9"/>
      <c r="B26" s="45">
        <v>2</v>
      </c>
      <c r="C26" s="77"/>
      <c r="D26" s="78"/>
      <c r="E26" s="78"/>
      <c r="F26" s="78"/>
      <c r="G26" s="79"/>
      <c r="H26" s="134">
        <v>88</v>
      </c>
      <c r="I26" s="135"/>
      <c r="J26" s="136"/>
      <c r="K26" s="77"/>
      <c r="L26" s="78"/>
      <c r="M26" s="78"/>
      <c r="N26" s="78"/>
      <c r="O26" s="78"/>
      <c r="P26" s="79"/>
      <c r="Z26" s="11"/>
    </row>
    <row r="27" spans="1:26" ht="19.5" customHeight="1" x14ac:dyDescent="0.25">
      <c r="A27" s="9"/>
      <c r="B27" s="45">
        <v>3</v>
      </c>
      <c r="C27" s="77"/>
      <c r="D27" s="78"/>
      <c r="E27" s="78"/>
      <c r="F27" s="78"/>
      <c r="G27" s="79"/>
      <c r="H27" s="134">
        <v>82</v>
      </c>
      <c r="I27" s="135"/>
      <c r="J27" s="136"/>
      <c r="K27" s="77"/>
      <c r="L27" s="78"/>
      <c r="M27" s="78"/>
      <c r="N27" s="78"/>
      <c r="O27" s="78"/>
      <c r="P27" s="79"/>
      <c r="Z27" s="11"/>
    </row>
    <row r="28" spans="1:26" ht="19.5" customHeight="1" x14ac:dyDescent="0.25">
      <c r="A28" s="9"/>
      <c r="B28" s="45">
        <v>4</v>
      </c>
      <c r="C28" s="77"/>
      <c r="D28" s="78"/>
      <c r="E28" s="78"/>
      <c r="F28" s="78"/>
      <c r="G28" s="79"/>
      <c r="H28" s="134">
        <v>75</v>
      </c>
      <c r="I28" s="135"/>
      <c r="J28" s="136"/>
      <c r="K28" s="77"/>
      <c r="L28" s="78"/>
      <c r="M28" s="78"/>
      <c r="N28" s="78"/>
      <c r="O28" s="78"/>
      <c r="P28" s="79"/>
      <c r="Z28" s="11"/>
    </row>
    <row r="29" spans="1:26" ht="19.5" customHeight="1" x14ac:dyDescent="0.25">
      <c r="A29" s="9"/>
      <c r="B29" s="45">
        <v>5</v>
      </c>
      <c r="C29" s="77"/>
      <c r="D29" s="78"/>
      <c r="E29" s="78"/>
      <c r="F29" s="78"/>
      <c r="G29" s="79"/>
      <c r="H29" s="134">
        <v>58</v>
      </c>
      <c r="I29" s="135"/>
      <c r="J29" s="136"/>
      <c r="K29" s="77"/>
      <c r="L29" s="78"/>
      <c r="M29" s="78"/>
      <c r="N29" s="78"/>
      <c r="O29" s="78"/>
      <c r="P29" s="79"/>
      <c r="Z29" s="11"/>
    </row>
    <row r="30" spans="1:26" ht="19.5" customHeight="1" x14ac:dyDescent="0.25">
      <c r="A30" s="9"/>
      <c r="B30" s="45">
        <v>6</v>
      </c>
      <c r="C30" s="77"/>
      <c r="D30" s="78"/>
      <c r="E30" s="78"/>
      <c r="F30" s="78"/>
      <c r="G30" s="79"/>
      <c r="H30" s="134">
        <v>63</v>
      </c>
      <c r="I30" s="135"/>
      <c r="J30" s="136"/>
      <c r="K30" s="77"/>
      <c r="L30" s="78"/>
      <c r="M30" s="78"/>
      <c r="N30" s="78"/>
      <c r="O30" s="78"/>
      <c r="P30" s="79"/>
      <c r="Z30" s="11"/>
    </row>
    <row r="31" spans="1:26" ht="19.5" customHeight="1" x14ac:dyDescent="0.25">
      <c r="A31" s="9"/>
      <c r="B31" s="45">
        <v>7</v>
      </c>
      <c r="C31" s="77"/>
      <c r="D31" s="78"/>
      <c r="E31" s="78"/>
      <c r="F31" s="78"/>
      <c r="G31" s="79"/>
      <c r="H31" s="134">
        <v>51</v>
      </c>
      <c r="I31" s="135"/>
      <c r="J31" s="136"/>
      <c r="K31" s="77"/>
      <c r="L31" s="78"/>
      <c r="M31" s="78"/>
      <c r="N31" s="78"/>
      <c r="O31" s="78"/>
      <c r="P31" s="79"/>
      <c r="Z31" s="11"/>
    </row>
    <row r="32" spans="1:26" ht="19.5" customHeight="1" x14ac:dyDescent="0.25">
      <c r="A32" s="9"/>
      <c r="B32" s="45">
        <v>8</v>
      </c>
      <c r="C32" s="77"/>
      <c r="D32" s="78"/>
      <c r="E32" s="78"/>
      <c r="F32" s="78"/>
      <c r="G32" s="79"/>
      <c r="H32" s="134">
        <v>77</v>
      </c>
      <c r="I32" s="135"/>
      <c r="J32" s="136"/>
      <c r="K32" s="77"/>
      <c r="L32" s="78"/>
      <c r="M32" s="78"/>
      <c r="N32" s="78"/>
      <c r="O32" s="78"/>
      <c r="P32" s="79"/>
      <c r="Z32" s="11"/>
    </row>
    <row r="33" spans="1:26" ht="19.5" customHeight="1" x14ac:dyDescent="0.25">
      <c r="A33" s="9"/>
      <c r="B33" s="45">
        <v>9</v>
      </c>
      <c r="C33" s="77"/>
      <c r="D33" s="78"/>
      <c r="E33" s="78"/>
      <c r="F33" s="78"/>
      <c r="G33" s="79"/>
      <c r="H33" s="134">
        <v>58</v>
      </c>
      <c r="I33" s="135"/>
      <c r="J33" s="136"/>
      <c r="K33" s="77"/>
      <c r="L33" s="78"/>
      <c r="M33" s="78"/>
      <c r="N33" s="78"/>
      <c r="O33" s="78"/>
      <c r="P33" s="79"/>
      <c r="Z33" s="11"/>
    </row>
    <row r="34" spans="1:26" ht="19.5" customHeight="1" x14ac:dyDescent="0.25">
      <c r="A34" s="9"/>
      <c r="B34" s="45">
        <v>10</v>
      </c>
      <c r="C34" s="77"/>
      <c r="D34" s="78"/>
      <c r="E34" s="78"/>
      <c r="F34" s="78"/>
      <c r="G34" s="79"/>
      <c r="H34" s="134">
        <v>78</v>
      </c>
      <c r="I34" s="135"/>
      <c r="J34" s="136"/>
      <c r="K34" s="77"/>
      <c r="L34" s="78"/>
      <c r="M34" s="78"/>
      <c r="N34" s="78"/>
      <c r="O34" s="78"/>
      <c r="P34" s="79"/>
      <c r="Z34" s="11"/>
    </row>
    <row r="35" spans="1:26" ht="19.5" customHeight="1" x14ac:dyDescent="0.25">
      <c r="A35" s="9"/>
      <c r="B35" s="45">
        <v>11</v>
      </c>
      <c r="C35" s="77"/>
      <c r="D35" s="78"/>
      <c r="E35" s="78"/>
      <c r="F35" s="78"/>
      <c r="G35" s="79"/>
      <c r="H35" s="134">
        <v>79</v>
      </c>
      <c r="I35" s="135"/>
      <c r="J35" s="136"/>
      <c r="K35" s="77"/>
      <c r="L35" s="78"/>
      <c r="M35" s="78"/>
      <c r="N35" s="78"/>
      <c r="O35" s="78"/>
      <c r="P35" s="79"/>
      <c r="Z35" s="11"/>
    </row>
    <row r="36" spans="1:26" ht="19.5" customHeight="1" x14ac:dyDescent="0.25">
      <c r="A36" s="9"/>
      <c r="B36" s="45">
        <v>12</v>
      </c>
      <c r="C36" s="77"/>
      <c r="D36" s="78"/>
      <c r="E36" s="78"/>
      <c r="F36" s="78"/>
      <c r="G36" s="79"/>
      <c r="H36" s="134">
        <v>52</v>
      </c>
      <c r="I36" s="135"/>
      <c r="J36" s="136"/>
      <c r="K36" s="77"/>
      <c r="L36" s="78"/>
      <c r="M36" s="78"/>
      <c r="N36" s="78"/>
      <c r="O36" s="78"/>
      <c r="P36" s="79"/>
      <c r="Z36" s="11"/>
    </row>
    <row r="37" spans="1:26" ht="19.5" customHeight="1" x14ac:dyDescent="0.25">
      <c r="A37" s="9"/>
      <c r="B37" s="45">
        <v>13</v>
      </c>
      <c r="C37" s="77"/>
      <c r="D37" s="78"/>
      <c r="E37" s="78"/>
      <c r="F37" s="78"/>
      <c r="G37" s="79"/>
      <c r="H37" s="134">
        <v>102</v>
      </c>
      <c r="I37" s="135"/>
      <c r="J37" s="136"/>
      <c r="K37" s="77"/>
      <c r="L37" s="78"/>
      <c r="M37" s="78"/>
      <c r="N37" s="78"/>
      <c r="O37" s="78"/>
      <c r="P37" s="79"/>
      <c r="Z37" s="11"/>
    </row>
    <row r="38" spans="1:26" ht="19.5" customHeight="1" x14ac:dyDescent="0.25">
      <c r="A38" s="9"/>
      <c r="B38" s="45">
        <v>14</v>
      </c>
      <c r="C38" s="77"/>
      <c r="D38" s="78"/>
      <c r="E38" s="78"/>
      <c r="F38" s="78"/>
      <c r="G38" s="79"/>
      <c r="H38" s="134">
        <v>64</v>
      </c>
      <c r="I38" s="135"/>
      <c r="J38" s="136"/>
      <c r="K38" s="77"/>
      <c r="L38" s="78"/>
      <c r="M38" s="78"/>
      <c r="N38" s="78"/>
      <c r="O38" s="78"/>
      <c r="P38" s="79"/>
      <c r="Z38" s="11"/>
    </row>
    <row r="39" spans="1:26" ht="19.5" customHeight="1" x14ac:dyDescent="0.25">
      <c r="A39" s="9"/>
      <c r="B39" s="45">
        <v>15</v>
      </c>
      <c r="C39" s="77"/>
      <c r="D39" s="78"/>
      <c r="E39" s="78"/>
      <c r="F39" s="78"/>
      <c r="G39" s="79"/>
      <c r="H39" s="134">
        <v>51</v>
      </c>
      <c r="I39" s="135"/>
      <c r="J39" s="136"/>
      <c r="K39" s="77"/>
      <c r="L39" s="78"/>
      <c r="M39" s="78"/>
      <c r="N39" s="78"/>
      <c r="O39" s="78"/>
      <c r="P39" s="79"/>
      <c r="Z39" s="11"/>
    </row>
    <row r="40" spans="1:26" ht="19.5" customHeight="1" x14ac:dyDescent="0.25">
      <c r="A40" s="9"/>
      <c r="B40" s="45">
        <v>16</v>
      </c>
      <c r="C40" s="77"/>
      <c r="D40" s="78"/>
      <c r="E40" s="78"/>
      <c r="F40" s="78"/>
      <c r="G40" s="79"/>
      <c r="H40" s="134">
        <v>86</v>
      </c>
      <c r="I40" s="135"/>
      <c r="J40" s="136"/>
      <c r="K40" s="77"/>
      <c r="L40" s="78"/>
      <c r="M40" s="78"/>
      <c r="N40" s="78"/>
      <c r="O40" s="78"/>
      <c r="P40" s="79"/>
      <c r="Z40" s="11"/>
    </row>
    <row r="41" spans="1:26" ht="19.5" customHeight="1" x14ac:dyDescent="0.25">
      <c r="A41" s="9"/>
      <c r="B41" s="45">
        <v>17</v>
      </c>
      <c r="C41" s="77"/>
      <c r="D41" s="78"/>
      <c r="E41" s="78"/>
      <c r="F41" s="78"/>
      <c r="G41" s="79"/>
      <c r="H41" s="134">
        <v>53</v>
      </c>
      <c r="I41" s="135"/>
      <c r="J41" s="136"/>
      <c r="K41" s="77"/>
      <c r="L41" s="78"/>
      <c r="M41" s="78"/>
      <c r="N41" s="78"/>
      <c r="O41" s="78"/>
      <c r="P41" s="79"/>
      <c r="Z41" s="11"/>
    </row>
    <row r="42" spans="1:26" ht="19.5" customHeight="1" x14ac:dyDescent="0.25">
      <c r="A42" s="9"/>
      <c r="B42" s="45">
        <v>18</v>
      </c>
      <c r="C42" s="77"/>
      <c r="D42" s="78"/>
      <c r="E42" s="78"/>
      <c r="F42" s="78"/>
      <c r="G42" s="79"/>
      <c r="H42" s="134">
        <v>50</v>
      </c>
      <c r="I42" s="135"/>
      <c r="J42" s="136"/>
      <c r="K42" s="77"/>
      <c r="L42" s="78"/>
      <c r="M42" s="78"/>
      <c r="N42" s="78"/>
      <c r="O42" s="78"/>
      <c r="P42" s="79"/>
      <c r="Z42" s="11"/>
    </row>
    <row r="43" spans="1:26" ht="19.5" customHeight="1" x14ac:dyDescent="0.25">
      <c r="A43" s="9"/>
      <c r="B43" s="45">
        <v>19</v>
      </c>
      <c r="C43" s="77"/>
      <c r="D43" s="78"/>
      <c r="E43" s="78"/>
      <c r="F43" s="78"/>
      <c r="G43" s="79"/>
      <c r="H43" s="134">
        <v>54</v>
      </c>
      <c r="I43" s="135"/>
      <c r="J43" s="136"/>
      <c r="K43" s="77"/>
      <c r="L43" s="78"/>
      <c r="M43" s="78"/>
      <c r="N43" s="78"/>
      <c r="O43" s="78"/>
      <c r="P43" s="79"/>
      <c r="Z43" s="11"/>
    </row>
    <row r="44" spans="1:26" ht="19.5" customHeight="1" x14ac:dyDescent="0.25">
      <c r="A44" s="9"/>
      <c r="B44" s="45">
        <v>20</v>
      </c>
      <c r="C44" s="77"/>
      <c r="D44" s="78"/>
      <c r="E44" s="78"/>
      <c r="F44" s="78"/>
      <c r="G44" s="79"/>
      <c r="H44" s="134">
        <v>56</v>
      </c>
      <c r="I44" s="135"/>
      <c r="J44" s="136"/>
      <c r="K44" s="77"/>
      <c r="L44" s="78"/>
      <c r="M44" s="78"/>
      <c r="N44" s="78"/>
      <c r="O44" s="78"/>
      <c r="P44" s="79"/>
      <c r="Z44" s="11"/>
    </row>
    <row r="45" spans="1:26" ht="19.5" customHeight="1" x14ac:dyDescent="0.25">
      <c r="A45" s="9"/>
      <c r="B45" s="45">
        <v>21</v>
      </c>
      <c r="C45" s="77"/>
      <c r="D45" s="78"/>
      <c r="E45" s="78"/>
      <c r="F45" s="78"/>
      <c r="G45" s="79"/>
      <c r="H45" s="134">
        <v>53</v>
      </c>
      <c r="I45" s="135"/>
      <c r="J45" s="136"/>
      <c r="K45" s="77"/>
      <c r="L45" s="78"/>
      <c r="M45" s="78"/>
      <c r="N45" s="78"/>
      <c r="O45" s="78"/>
      <c r="P45" s="79"/>
      <c r="Z45" s="11"/>
    </row>
    <row r="46" spans="1:26" ht="19.5" customHeight="1" x14ac:dyDescent="0.25">
      <c r="A46" s="9"/>
      <c r="B46" s="45">
        <v>22</v>
      </c>
      <c r="C46" s="77"/>
      <c r="D46" s="78"/>
      <c r="E46" s="78"/>
      <c r="F46" s="78"/>
      <c r="G46" s="79"/>
      <c r="H46" s="134">
        <v>58</v>
      </c>
      <c r="I46" s="135"/>
      <c r="J46" s="136"/>
      <c r="K46" s="77"/>
      <c r="L46" s="78"/>
      <c r="M46" s="78"/>
      <c r="N46" s="78"/>
      <c r="O46" s="78"/>
      <c r="P46" s="79"/>
      <c r="Z46" s="11"/>
    </row>
    <row r="47" spans="1:26" ht="19.5" customHeight="1" thickBot="1" x14ac:dyDescent="0.3">
      <c r="A47" s="9"/>
      <c r="B47" s="46"/>
      <c r="C47" s="102"/>
      <c r="D47" s="102"/>
      <c r="E47" s="102"/>
      <c r="F47" s="102"/>
      <c r="G47" s="103"/>
      <c r="H47" s="98"/>
      <c r="I47" s="99"/>
      <c r="J47" s="100"/>
      <c r="K47" s="101"/>
      <c r="L47" s="102"/>
      <c r="M47" s="102"/>
      <c r="N47" s="102"/>
      <c r="O47" s="102"/>
      <c r="P47" s="103"/>
      <c r="Z47" s="11"/>
    </row>
    <row r="48" spans="1:26" ht="15.75" customHeight="1" x14ac:dyDescent="0.25">
      <c r="A48" s="9"/>
      <c r="B48" s="164" t="s">
        <v>37</v>
      </c>
      <c r="C48" s="165"/>
      <c r="D48" s="165"/>
      <c r="E48" s="165"/>
      <c r="F48" s="165"/>
      <c r="G48" s="166"/>
      <c r="H48" s="185">
        <f>AVERAGE(H25:J47)</f>
        <v>66.13636363636364</v>
      </c>
      <c r="I48" s="186"/>
      <c r="J48" s="187"/>
      <c r="K48" s="86" t="s">
        <v>68</v>
      </c>
      <c r="L48" s="87"/>
      <c r="M48" s="80" t="s">
        <v>38</v>
      </c>
      <c r="N48" s="80"/>
      <c r="O48" s="80"/>
      <c r="P48" s="81"/>
      <c r="Z48" s="11"/>
    </row>
    <row r="49" spans="1:26" ht="15.75" customHeight="1" x14ac:dyDescent="0.25">
      <c r="A49" s="9"/>
      <c r="B49" s="158" t="s">
        <v>39</v>
      </c>
      <c r="C49" s="159"/>
      <c r="D49" s="159"/>
      <c r="E49" s="159"/>
      <c r="F49" s="159"/>
      <c r="G49" s="160"/>
      <c r="H49" s="188">
        <f>IF(COUNTIF(H25:J47,"*&lt;20*"),"&lt;20",MIN(H25:J47))</f>
        <v>50</v>
      </c>
      <c r="I49" s="189"/>
      <c r="J49" s="190"/>
      <c r="K49" s="88"/>
      <c r="L49" s="89"/>
      <c r="M49" s="82"/>
      <c r="N49" s="82"/>
      <c r="O49" s="82"/>
      <c r="P49" s="83"/>
      <c r="Z49" s="11"/>
    </row>
    <row r="50" spans="1:26" ht="15.75" customHeight="1" thickBot="1" x14ac:dyDescent="0.3">
      <c r="A50" s="9"/>
      <c r="B50" s="161" t="s">
        <v>40</v>
      </c>
      <c r="C50" s="162"/>
      <c r="D50" s="162"/>
      <c r="E50" s="162"/>
      <c r="F50" s="162"/>
      <c r="G50" s="163"/>
      <c r="H50" s="182">
        <f>IF(COUNTIF(H25:J47,"*&gt;250*"),"&gt;250",MAX(H25:J47))</f>
        <v>102</v>
      </c>
      <c r="I50" s="183"/>
      <c r="J50" s="184"/>
      <c r="K50" s="90"/>
      <c r="L50" s="91"/>
      <c r="M50" s="84"/>
      <c r="N50" s="84"/>
      <c r="O50" s="84"/>
      <c r="P50" s="85"/>
      <c r="Z50" s="11"/>
    </row>
    <row r="51" spans="1:26" ht="15.9" customHeight="1" x14ac:dyDescent="0.25">
      <c r="A51" s="35"/>
      <c r="B51" s="4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6"/>
    </row>
    <row r="52" spans="1:26" ht="12.75" customHeight="1" x14ac:dyDescent="0.25">
      <c r="A52" s="36"/>
      <c r="B52" s="37"/>
    </row>
    <row r="53" spans="1:26" s="17" customFormat="1" ht="15.6" customHeight="1" x14ac:dyDescent="0.25">
      <c r="A53" s="48" t="s">
        <v>41</v>
      </c>
      <c r="B53" s="5" t="s">
        <v>42</v>
      </c>
      <c r="C53" s="49"/>
      <c r="D53" s="49"/>
      <c r="E53" s="49"/>
      <c r="F53" s="50"/>
      <c r="G53" s="50"/>
      <c r="H53" s="50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51"/>
      <c r="V53" s="52"/>
      <c r="W53" s="52"/>
      <c r="X53" s="42"/>
      <c r="Y53" s="42"/>
      <c r="Z53" s="43"/>
    </row>
    <row r="54" spans="1:26" s="17" customFormat="1" ht="28.5" customHeight="1" x14ac:dyDescent="0.25">
      <c r="A54" s="149" t="s">
        <v>43</v>
      </c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1"/>
      <c r="R54" s="143" t="s">
        <v>44</v>
      </c>
      <c r="S54" s="144"/>
      <c r="T54" s="145"/>
      <c r="U54" s="167" t="s">
        <v>45</v>
      </c>
      <c r="V54" s="168"/>
      <c r="W54" s="168"/>
      <c r="X54" s="169"/>
      <c r="Y54" s="169"/>
      <c r="Z54" s="170"/>
    </row>
    <row r="55" spans="1:26" s="17" customFormat="1" ht="15.6" customHeight="1" x14ac:dyDescent="0.25">
      <c r="A55" s="152" t="s">
        <v>57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4"/>
      <c r="R55" s="143" t="s">
        <v>46</v>
      </c>
      <c r="S55" s="144"/>
      <c r="T55" s="145"/>
      <c r="U55" s="171" t="s">
        <v>47</v>
      </c>
      <c r="V55" s="172"/>
      <c r="W55" s="172"/>
      <c r="X55" s="173"/>
      <c r="Y55" s="173"/>
      <c r="Z55" s="174"/>
    </row>
    <row r="56" spans="1:26" s="17" customFormat="1" ht="15.6" customHeight="1" x14ac:dyDescent="0.25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7"/>
      <c r="R56" s="143"/>
      <c r="S56" s="144"/>
      <c r="T56" s="145"/>
      <c r="U56" s="175"/>
      <c r="V56" s="82"/>
      <c r="W56" s="82"/>
      <c r="X56" s="176"/>
      <c r="Y56" s="176"/>
      <c r="Z56" s="177"/>
    </row>
    <row r="57" spans="1:26" s="17" customFormat="1" ht="15.6" customHeight="1" x14ac:dyDescent="0.25">
      <c r="A57" s="55" t="s">
        <v>48</v>
      </c>
      <c r="B57" s="56" t="s">
        <v>49</v>
      </c>
      <c r="C57" s="1"/>
      <c r="D57" s="1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7"/>
      <c r="R57" s="143"/>
      <c r="S57" s="144"/>
      <c r="T57" s="145"/>
      <c r="U57" s="178"/>
      <c r="V57" s="179"/>
      <c r="W57" s="179"/>
      <c r="X57" s="180"/>
      <c r="Y57" s="180"/>
      <c r="Z57" s="181"/>
    </row>
    <row r="58" spans="1:26" s="17" customFormat="1" ht="15.6" customHeight="1" x14ac:dyDescent="0.25">
      <c r="A58" s="137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9"/>
      <c r="R58" s="143" t="s">
        <v>50</v>
      </c>
      <c r="S58" s="144"/>
      <c r="T58" s="145"/>
      <c r="U58" s="58"/>
      <c r="V58" s="59"/>
      <c r="W58" s="59"/>
      <c r="X58" s="59"/>
      <c r="Y58" s="59"/>
      <c r="Z58" s="60"/>
    </row>
    <row r="59" spans="1:26" s="17" customFormat="1" ht="15.6" customHeight="1" x14ac:dyDescent="0.25">
      <c r="A59" s="137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9"/>
      <c r="R59" s="143"/>
      <c r="S59" s="144"/>
      <c r="T59" s="145"/>
      <c r="U59" s="61"/>
      <c r="V59" s="82"/>
      <c r="W59" s="82"/>
      <c r="X59" s="82"/>
      <c r="Y59" s="82"/>
      <c r="Z59" s="62"/>
    </row>
    <row r="60" spans="1:26" s="17" customFormat="1" ht="15.6" customHeight="1" x14ac:dyDescent="0.25">
      <c r="A60" s="137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9"/>
      <c r="R60" s="143"/>
      <c r="S60" s="144"/>
      <c r="T60" s="145"/>
      <c r="U60" s="61"/>
      <c r="V60" s="82"/>
      <c r="W60" s="82"/>
      <c r="X60" s="82"/>
      <c r="Y60" s="82"/>
      <c r="Z60" s="62"/>
    </row>
    <row r="61" spans="1:26" s="17" customFormat="1" ht="15.6" customHeight="1" x14ac:dyDescent="0.25">
      <c r="A61" s="140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2"/>
      <c r="R61" s="146"/>
      <c r="S61" s="147"/>
      <c r="T61" s="148"/>
      <c r="U61" s="63"/>
      <c r="V61" s="64"/>
      <c r="W61" s="64"/>
      <c r="X61" s="64"/>
      <c r="Y61" s="64"/>
      <c r="Z61" s="65"/>
    </row>
    <row r="62" spans="1:26" s="17" customFormat="1" ht="15" customHeight="1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54"/>
      <c r="S62" s="54"/>
      <c r="T62" s="54"/>
      <c r="U62" s="41"/>
      <c r="V62" s="41"/>
      <c r="W62" s="41"/>
      <c r="X62" s="41"/>
      <c r="Y62" s="41"/>
      <c r="Z62" s="4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C43:G43"/>
    <mergeCell ref="H43:J43"/>
    <mergeCell ref="K43:P43"/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U54:Z54"/>
    <mergeCell ref="U55:Z57"/>
    <mergeCell ref="H50:J50"/>
    <mergeCell ref="H48:J48"/>
    <mergeCell ref="H49:J49"/>
    <mergeCell ref="V59:Y60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A58:Q61"/>
    <mergeCell ref="R58:T61"/>
    <mergeCell ref="A54:Q54"/>
    <mergeCell ref="R54:T54"/>
    <mergeCell ref="A55:Q56"/>
    <mergeCell ref="R55:T57"/>
    <mergeCell ref="C47:G47"/>
    <mergeCell ref="B49:G49"/>
    <mergeCell ref="B50:G50"/>
    <mergeCell ref="B48:G48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U1:Z6"/>
    <mergeCell ref="K25:P25"/>
    <mergeCell ref="M48:P50"/>
    <mergeCell ref="K48:L50"/>
    <mergeCell ref="S12:Y12"/>
    <mergeCell ref="K23:P24"/>
    <mergeCell ref="I17:Y17"/>
    <mergeCell ref="S11:Y11"/>
    <mergeCell ref="H47:J47"/>
    <mergeCell ref="K47:P47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D1A3-A107-44C5-AA09-B1396AFD505E}">
  <sheetPr>
    <pageSetUpPr fitToPage="1"/>
  </sheetPr>
  <dimension ref="A1:AA67"/>
  <sheetViews>
    <sheetView workbookViewId="0">
      <selection activeCell="I6" sqref="I6:K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4"/>
      <c r="B1" s="115"/>
      <c r="C1" s="115"/>
      <c r="D1" s="115"/>
      <c r="E1" s="115"/>
      <c r="F1" s="116"/>
      <c r="G1" s="123" t="s">
        <v>0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68" t="s">
        <v>1</v>
      </c>
      <c r="V1" s="69"/>
      <c r="W1" s="69"/>
      <c r="X1" s="69"/>
      <c r="Y1" s="69"/>
      <c r="Z1" s="70"/>
    </row>
    <row r="2" spans="1:26" ht="12.75" customHeight="1" x14ac:dyDescent="0.25">
      <c r="A2" s="117"/>
      <c r="B2" s="118"/>
      <c r="C2" s="118"/>
      <c r="D2" s="118"/>
      <c r="E2" s="118"/>
      <c r="F2" s="119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71"/>
      <c r="V2" s="72"/>
      <c r="W2" s="72"/>
      <c r="X2" s="72"/>
      <c r="Y2" s="72"/>
      <c r="Z2" s="73"/>
    </row>
    <row r="3" spans="1:26" ht="12.75" customHeight="1" x14ac:dyDescent="0.25">
      <c r="A3" s="117"/>
      <c r="B3" s="118"/>
      <c r="C3" s="118"/>
      <c r="D3" s="118"/>
      <c r="E3" s="118"/>
      <c r="F3" s="119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71"/>
      <c r="V3" s="72"/>
      <c r="W3" s="72"/>
      <c r="X3" s="72"/>
      <c r="Y3" s="72"/>
      <c r="Z3" s="73"/>
    </row>
    <row r="4" spans="1:26" ht="12.75" customHeight="1" x14ac:dyDescent="0.25">
      <c r="A4" s="117"/>
      <c r="B4" s="118"/>
      <c r="C4" s="118"/>
      <c r="D4" s="118"/>
      <c r="E4" s="118"/>
      <c r="F4" s="119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71"/>
      <c r="V4" s="72"/>
      <c r="W4" s="72"/>
      <c r="X4" s="72"/>
      <c r="Y4" s="72"/>
      <c r="Z4" s="73"/>
    </row>
    <row r="5" spans="1:26" ht="12.75" customHeight="1" x14ac:dyDescent="0.25">
      <c r="A5" s="117"/>
      <c r="B5" s="118"/>
      <c r="C5" s="118"/>
      <c r="D5" s="118"/>
      <c r="E5" s="118"/>
      <c r="F5" s="119"/>
      <c r="G5" s="129" t="s">
        <v>3</v>
      </c>
      <c r="H5" s="130"/>
      <c r="I5" s="104">
        <v>4</v>
      </c>
      <c r="J5" s="104"/>
      <c r="K5" s="105"/>
      <c r="L5" s="107" t="s">
        <v>4</v>
      </c>
      <c r="M5" s="108"/>
      <c r="N5" s="108"/>
      <c r="O5" s="109"/>
      <c r="P5" s="110" t="s">
        <v>66</v>
      </c>
      <c r="Q5" s="111"/>
      <c r="R5" s="111"/>
      <c r="S5" s="111"/>
      <c r="T5" s="112"/>
      <c r="U5" s="71"/>
      <c r="V5" s="72"/>
      <c r="W5" s="72"/>
      <c r="X5" s="72"/>
      <c r="Y5" s="72"/>
      <c r="Z5" s="73"/>
    </row>
    <row r="6" spans="1:26" ht="12.75" customHeight="1" x14ac:dyDescent="0.25">
      <c r="A6" s="120"/>
      <c r="B6" s="121"/>
      <c r="C6" s="121"/>
      <c r="D6" s="121"/>
      <c r="E6" s="121"/>
      <c r="F6" s="122"/>
      <c r="G6" s="2"/>
      <c r="H6" s="3"/>
      <c r="I6" s="106" t="s">
        <v>6</v>
      </c>
      <c r="J6" s="106"/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13"/>
      <c r="U6" s="74"/>
      <c r="V6" s="75"/>
      <c r="W6" s="75"/>
      <c r="X6" s="75"/>
      <c r="Y6" s="75"/>
      <c r="Z6" s="76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7" t="s">
        <v>13</v>
      </c>
      <c r="C10" s="67"/>
      <c r="D10" s="67"/>
      <c r="E10" s="67"/>
      <c r="F10" s="67"/>
      <c r="G10" s="67"/>
      <c r="H10" s="133" t="s">
        <v>14</v>
      </c>
      <c r="I10" s="133"/>
      <c r="J10" s="133"/>
      <c r="K10" s="133"/>
      <c r="L10" s="133"/>
      <c r="M10" s="133"/>
      <c r="N10" s="67" t="s">
        <v>15</v>
      </c>
      <c r="O10" s="67"/>
      <c r="P10" s="67"/>
      <c r="Q10" s="67"/>
      <c r="R10" s="67"/>
      <c r="S10" s="92" t="s">
        <v>67</v>
      </c>
      <c r="T10" s="92"/>
      <c r="U10" s="92"/>
      <c r="V10" s="92"/>
      <c r="W10" s="92"/>
      <c r="X10" s="92"/>
      <c r="Y10" s="92"/>
      <c r="Z10" s="12"/>
    </row>
    <row r="11" spans="1:26" ht="15.9" customHeight="1" x14ac:dyDescent="0.25">
      <c r="A11" s="9"/>
      <c r="B11" s="67" t="s">
        <v>17</v>
      </c>
      <c r="C11" s="67"/>
      <c r="D11" s="67"/>
      <c r="E11" s="67"/>
      <c r="F11" s="67"/>
      <c r="G11" s="67"/>
      <c r="H11" s="133" t="s">
        <v>66</v>
      </c>
      <c r="I11" s="133"/>
      <c r="J11" s="133"/>
      <c r="K11" s="133"/>
      <c r="L11" s="133"/>
      <c r="M11" s="133"/>
      <c r="N11" s="67" t="s">
        <v>18</v>
      </c>
      <c r="O11" s="67"/>
      <c r="P11" s="67"/>
      <c r="Q11" s="67"/>
      <c r="R11" s="67"/>
      <c r="S11" s="92" t="s">
        <v>19</v>
      </c>
      <c r="T11" s="92"/>
      <c r="U11" s="92"/>
      <c r="V11" s="92"/>
      <c r="W11" s="92"/>
      <c r="X11" s="92"/>
      <c r="Y11" s="92"/>
      <c r="Z11" s="12"/>
    </row>
    <row r="12" spans="1:26" ht="15.9" customHeight="1" x14ac:dyDescent="0.25">
      <c r="A12" s="9"/>
      <c r="B12" s="67" t="s">
        <v>20</v>
      </c>
      <c r="C12" s="67"/>
      <c r="D12" s="67"/>
      <c r="E12" s="67"/>
      <c r="F12" s="67"/>
      <c r="G12" s="67"/>
      <c r="H12" s="133" t="s">
        <v>65</v>
      </c>
      <c r="I12" s="133"/>
      <c r="J12" s="133"/>
      <c r="K12" s="133"/>
      <c r="L12" s="133"/>
      <c r="M12" s="133"/>
      <c r="N12" s="67" t="s">
        <v>21</v>
      </c>
      <c r="O12" s="67"/>
      <c r="P12" s="67"/>
      <c r="Q12" s="67"/>
      <c r="R12" s="67"/>
      <c r="S12" s="92" t="s">
        <v>64</v>
      </c>
      <c r="T12" s="92"/>
      <c r="U12" s="92"/>
      <c r="V12" s="92"/>
      <c r="W12" s="92"/>
      <c r="X12" s="92"/>
      <c r="Y12" s="9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" t="s">
        <v>25</v>
      </c>
      <c r="C17" s="66"/>
      <c r="D17" s="66"/>
      <c r="E17" s="66"/>
      <c r="F17" s="66"/>
      <c r="G17" s="66"/>
      <c r="H17" s="66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28"/>
    </row>
    <row r="18" spans="1:26" s="17" customFormat="1" ht="15" customHeight="1" x14ac:dyDescent="0.25">
      <c r="A18" s="24"/>
      <c r="B18" s="66" t="s">
        <v>26</v>
      </c>
      <c r="C18" s="66"/>
      <c r="D18" s="66"/>
      <c r="E18" s="66"/>
      <c r="F18" s="66"/>
      <c r="G18" s="66"/>
      <c r="H18" s="66"/>
      <c r="I18" s="191" t="s">
        <v>27</v>
      </c>
      <c r="J18" s="191"/>
      <c r="K18" s="27"/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200" t="s">
        <v>31</v>
      </c>
      <c r="K21" s="200"/>
      <c r="L21" s="200"/>
      <c r="M21" s="200"/>
      <c r="N21" s="200"/>
      <c r="O21" s="200"/>
      <c r="P21" s="20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98" t="s">
        <v>32</v>
      </c>
      <c r="C23" s="93" t="s">
        <v>33</v>
      </c>
      <c r="D23" s="93"/>
      <c r="E23" s="93"/>
      <c r="F23" s="93"/>
      <c r="G23" s="94"/>
      <c r="H23" s="195" t="s">
        <v>34</v>
      </c>
      <c r="I23" s="196"/>
      <c r="J23" s="197"/>
      <c r="K23" s="93" t="s">
        <v>35</v>
      </c>
      <c r="L23" s="93"/>
      <c r="M23" s="93"/>
      <c r="N23" s="93"/>
      <c r="O23" s="93"/>
      <c r="P23" s="94"/>
      <c r="Z23" s="11"/>
    </row>
    <row r="24" spans="1:26" ht="15.75" customHeight="1" x14ac:dyDescent="0.25">
      <c r="A24" s="9"/>
      <c r="B24" s="199"/>
      <c r="C24" s="95"/>
      <c r="D24" s="95"/>
      <c r="E24" s="95"/>
      <c r="F24" s="95"/>
      <c r="G24" s="96"/>
      <c r="H24" s="192" t="s">
        <v>36</v>
      </c>
      <c r="I24" s="193"/>
      <c r="J24" s="194"/>
      <c r="K24" s="95"/>
      <c r="L24" s="95"/>
      <c r="M24" s="95"/>
      <c r="N24" s="95"/>
      <c r="O24" s="95"/>
      <c r="P24" s="96"/>
      <c r="Z24" s="11"/>
    </row>
    <row r="25" spans="1:26" ht="19.5" customHeight="1" x14ac:dyDescent="0.25">
      <c r="A25" s="9"/>
      <c r="B25" s="45">
        <v>1</v>
      </c>
      <c r="C25" s="77"/>
      <c r="D25" s="78"/>
      <c r="E25" s="78"/>
      <c r="F25" s="78"/>
      <c r="G25" s="79"/>
      <c r="H25" s="134">
        <v>115</v>
      </c>
      <c r="I25" s="135"/>
      <c r="J25" s="136"/>
      <c r="K25" s="77"/>
      <c r="L25" s="78"/>
      <c r="M25" s="78"/>
      <c r="N25" s="78"/>
      <c r="O25" s="78"/>
      <c r="P25" s="79"/>
      <c r="Z25" s="11"/>
    </row>
    <row r="26" spans="1:26" ht="19.5" customHeight="1" x14ac:dyDescent="0.25">
      <c r="A26" s="9"/>
      <c r="B26" s="45">
        <v>2</v>
      </c>
      <c r="C26" s="77"/>
      <c r="D26" s="78"/>
      <c r="E26" s="78"/>
      <c r="F26" s="78"/>
      <c r="G26" s="79"/>
      <c r="H26" s="134">
        <v>63</v>
      </c>
      <c r="I26" s="135"/>
      <c r="J26" s="136"/>
      <c r="K26" s="77"/>
      <c r="L26" s="78"/>
      <c r="M26" s="78"/>
      <c r="N26" s="78"/>
      <c r="O26" s="78"/>
      <c r="P26" s="79"/>
      <c r="Z26" s="11"/>
    </row>
    <row r="27" spans="1:26" ht="19.5" customHeight="1" x14ac:dyDescent="0.25">
      <c r="A27" s="9"/>
      <c r="B27" s="45">
        <v>3</v>
      </c>
      <c r="C27" s="77"/>
      <c r="D27" s="78"/>
      <c r="E27" s="78"/>
      <c r="F27" s="78"/>
      <c r="G27" s="79"/>
      <c r="H27" s="134">
        <v>36</v>
      </c>
      <c r="I27" s="135"/>
      <c r="J27" s="136"/>
      <c r="K27" s="77"/>
      <c r="L27" s="78"/>
      <c r="M27" s="78"/>
      <c r="N27" s="78"/>
      <c r="O27" s="78"/>
      <c r="P27" s="79"/>
      <c r="Z27" s="11"/>
    </row>
    <row r="28" spans="1:26" ht="19.5" customHeight="1" x14ac:dyDescent="0.25">
      <c r="A28" s="9"/>
      <c r="B28" s="45">
        <v>4</v>
      </c>
      <c r="C28" s="77"/>
      <c r="D28" s="78"/>
      <c r="E28" s="78"/>
      <c r="F28" s="78"/>
      <c r="G28" s="79"/>
      <c r="H28" s="134">
        <v>48</v>
      </c>
      <c r="I28" s="135"/>
      <c r="J28" s="136"/>
      <c r="K28" s="77"/>
      <c r="L28" s="78"/>
      <c r="M28" s="78"/>
      <c r="N28" s="78"/>
      <c r="O28" s="78"/>
      <c r="P28" s="79"/>
      <c r="Z28" s="11"/>
    </row>
    <row r="29" spans="1:26" ht="19.5" customHeight="1" x14ac:dyDescent="0.25">
      <c r="A29" s="9"/>
      <c r="B29" s="45">
        <v>5</v>
      </c>
      <c r="C29" s="77"/>
      <c r="D29" s="78"/>
      <c r="E29" s="78"/>
      <c r="F29" s="78"/>
      <c r="G29" s="79"/>
      <c r="H29" s="134">
        <v>72</v>
      </c>
      <c r="I29" s="135"/>
      <c r="J29" s="136"/>
      <c r="K29" s="77"/>
      <c r="L29" s="78"/>
      <c r="M29" s="78"/>
      <c r="N29" s="78"/>
      <c r="O29" s="78"/>
      <c r="P29" s="79"/>
      <c r="Z29" s="11"/>
    </row>
    <row r="30" spans="1:26" ht="19.5" customHeight="1" x14ac:dyDescent="0.25">
      <c r="A30" s="9"/>
      <c r="B30" s="45">
        <v>6</v>
      </c>
      <c r="C30" s="77"/>
      <c r="D30" s="78"/>
      <c r="E30" s="78"/>
      <c r="F30" s="78"/>
      <c r="G30" s="79"/>
      <c r="H30" s="134">
        <v>64</v>
      </c>
      <c r="I30" s="135"/>
      <c r="J30" s="136"/>
      <c r="K30" s="77"/>
      <c r="L30" s="78"/>
      <c r="M30" s="78"/>
      <c r="N30" s="78"/>
      <c r="O30" s="78"/>
      <c r="P30" s="79"/>
      <c r="Z30" s="11"/>
    </row>
    <row r="31" spans="1:26" ht="19.5" customHeight="1" x14ac:dyDescent="0.25">
      <c r="A31" s="9"/>
      <c r="B31" s="45">
        <v>7</v>
      </c>
      <c r="C31" s="77"/>
      <c r="D31" s="78"/>
      <c r="E31" s="78"/>
      <c r="F31" s="78"/>
      <c r="G31" s="79"/>
      <c r="H31" s="134">
        <v>64</v>
      </c>
      <c r="I31" s="135"/>
      <c r="J31" s="136"/>
      <c r="K31" s="77"/>
      <c r="L31" s="78"/>
      <c r="M31" s="78"/>
      <c r="N31" s="78"/>
      <c r="O31" s="78"/>
      <c r="P31" s="79"/>
      <c r="Z31" s="11"/>
    </row>
    <row r="32" spans="1:26" ht="19.5" customHeight="1" x14ac:dyDescent="0.25">
      <c r="A32" s="9"/>
      <c r="B32" s="45">
        <v>8</v>
      </c>
      <c r="C32" s="77"/>
      <c r="D32" s="78"/>
      <c r="E32" s="78"/>
      <c r="F32" s="78"/>
      <c r="G32" s="79"/>
      <c r="H32" s="134">
        <v>61</v>
      </c>
      <c r="I32" s="135"/>
      <c r="J32" s="136"/>
      <c r="K32" s="77"/>
      <c r="L32" s="78"/>
      <c r="M32" s="78"/>
      <c r="N32" s="78"/>
      <c r="O32" s="78"/>
      <c r="P32" s="79"/>
      <c r="Z32" s="11"/>
    </row>
    <row r="33" spans="1:26" ht="19.5" customHeight="1" x14ac:dyDescent="0.25">
      <c r="A33" s="9"/>
      <c r="B33" s="45">
        <v>9</v>
      </c>
      <c r="C33" s="77"/>
      <c r="D33" s="78"/>
      <c r="E33" s="78"/>
      <c r="F33" s="78"/>
      <c r="G33" s="79"/>
      <c r="H33" s="134">
        <v>89</v>
      </c>
      <c r="I33" s="135"/>
      <c r="J33" s="136"/>
      <c r="K33" s="77"/>
      <c r="L33" s="78"/>
      <c r="M33" s="78"/>
      <c r="N33" s="78"/>
      <c r="O33" s="78"/>
      <c r="P33" s="79"/>
      <c r="Z33" s="11"/>
    </row>
    <row r="34" spans="1:26" ht="19.5" customHeight="1" x14ac:dyDescent="0.25">
      <c r="A34" s="9"/>
      <c r="B34" s="45">
        <v>10</v>
      </c>
      <c r="C34" s="77"/>
      <c r="D34" s="78"/>
      <c r="E34" s="78"/>
      <c r="F34" s="78"/>
      <c r="G34" s="79"/>
      <c r="H34" s="134">
        <v>54</v>
      </c>
      <c r="I34" s="135"/>
      <c r="J34" s="136"/>
      <c r="K34" s="77"/>
      <c r="L34" s="78"/>
      <c r="M34" s="78"/>
      <c r="N34" s="78"/>
      <c r="O34" s="78"/>
      <c r="P34" s="79"/>
      <c r="Z34" s="11"/>
    </row>
    <row r="35" spans="1:26" ht="19.5" customHeight="1" x14ac:dyDescent="0.25">
      <c r="A35" s="9"/>
      <c r="B35" s="45">
        <v>11</v>
      </c>
      <c r="C35" s="77"/>
      <c r="D35" s="78"/>
      <c r="E35" s="78"/>
      <c r="F35" s="78"/>
      <c r="G35" s="79"/>
      <c r="H35" s="134">
        <v>89</v>
      </c>
      <c r="I35" s="135"/>
      <c r="J35" s="136"/>
      <c r="K35" s="77"/>
      <c r="L35" s="78"/>
      <c r="M35" s="78"/>
      <c r="N35" s="78"/>
      <c r="O35" s="78"/>
      <c r="P35" s="79"/>
      <c r="Z35" s="11"/>
    </row>
    <row r="36" spans="1:26" ht="19.5" customHeight="1" x14ac:dyDescent="0.25">
      <c r="A36" s="9"/>
      <c r="B36" s="45">
        <v>12</v>
      </c>
      <c r="C36" s="77"/>
      <c r="D36" s="78"/>
      <c r="E36" s="78"/>
      <c r="F36" s="78"/>
      <c r="G36" s="79"/>
      <c r="H36" s="134">
        <v>32</v>
      </c>
      <c r="I36" s="135"/>
      <c r="J36" s="136"/>
      <c r="K36" s="77"/>
      <c r="L36" s="78"/>
      <c r="M36" s="78"/>
      <c r="N36" s="78"/>
      <c r="O36" s="78"/>
      <c r="P36" s="79"/>
      <c r="Z36" s="11"/>
    </row>
    <row r="37" spans="1:26" ht="19.5" customHeight="1" x14ac:dyDescent="0.25">
      <c r="A37" s="9"/>
      <c r="B37" s="45">
        <v>13</v>
      </c>
      <c r="C37" s="77"/>
      <c r="D37" s="78"/>
      <c r="E37" s="78"/>
      <c r="F37" s="78"/>
      <c r="G37" s="79"/>
      <c r="H37" s="134">
        <v>48</v>
      </c>
      <c r="I37" s="135"/>
      <c r="J37" s="136"/>
      <c r="K37" s="77"/>
      <c r="L37" s="78"/>
      <c r="M37" s="78"/>
      <c r="N37" s="78"/>
      <c r="O37" s="78"/>
      <c r="P37" s="79"/>
      <c r="Z37" s="11"/>
    </row>
    <row r="38" spans="1:26" ht="19.5" customHeight="1" x14ac:dyDescent="0.25">
      <c r="A38" s="9"/>
      <c r="B38" s="45">
        <v>14</v>
      </c>
      <c r="C38" s="77"/>
      <c r="D38" s="78"/>
      <c r="E38" s="78"/>
      <c r="F38" s="78"/>
      <c r="G38" s="79"/>
      <c r="H38" s="134">
        <v>51</v>
      </c>
      <c r="I38" s="135"/>
      <c r="J38" s="136"/>
      <c r="K38" s="77"/>
      <c r="L38" s="78"/>
      <c r="M38" s="78"/>
      <c r="N38" s="78"/>
      <c r="O38" s="78"/>
      <c r="P38" s="79"/>
      <c r="Z38" s="11"/>
    </row>
    <row r="39" spans="1:26" ht="19.5" customHeight="1" x14ac:dyDescent="0.25">
      <c r="A39" s="9"/>
      <c r="B39" s="45">
        <v>15</v>
      </c>
      <c r="C39" s="77"/>
      <c r="D39" s="78"/>
      <c r="E39" s="78"/>
      <c r="F39" s="78"/>
      <c r="G39" s="79"/>
      <c r="H39" s="134">
        <v>34</v>
      </c>
      <c r="I39" s="135"/>
      <c r="J39" s="136"/>
      <c r="K39" s="77"/>
      <c r="L39" s="78"/>
      <c r="M39" s="78"/>
      <c r="N39" s="78"/>
      <c r="O39" s="78"/>
      <c r="P39" s="79"/>
      <c r="Z39" s="11"/>
    </row>
    <row r="40" spans="1:26" ht="19.5" customHeight="1" x14ac:dyDescent="0.25">
      <c r="A40" s="9"/>
      <c r="B40" s="45">
        <v>16</v>
      </c>
      <c r="C40" s="77"/>
      <c r="D40" s="78"/>
      <c r="E40" s="78"/>
      <c r="F40" s="78"/>
      <c r="G40" s="79"/>
      <c r="H40" s="134">
        <v>45</v>
      </c>
      <c r="I40" s="135"/>
      <c r="J40" s="136"/>
      <c r="K40" s="77"/>
      <c r="L40" s="78"/>
      <c r="M40" s="78"/>
      <c r="N40" s="78"/>
      <c r="O40" s="78"/>
      <c r="P40" s="79"/>
      <c r="Z40" s="11"/>
    </row>
    <row r="41" spans="1:26" ht="19.5" customHeight="1" x14ac:dyDescent="0.25">
      <c r="A41" s="9"/>
      <c r="B41" s="45">
        <v>17</v>
      </c>
      <c r="C41" s="77"/>
      <c r="D41" s="78"/>
      <c r="E41" s="78"/>
      <c r="F41" s="78"/>
      <c r="G41" s="79"/>
      <c r="H41" s="134">
        <v>90</v>
      </c>
      <c r="I41" s="135"/>
      <c r="J41" s="136"/>
      <c r="K41" s="77"/>
      <c r="L41" s="78"/>
      <c r="M41" s="78"/>
      <c r="N41" s="78"/>
      <c r="O41" s="78"/>
      <c r="P41" s="79"/>
      <c r="Z41" s="11"/>
    </row>
    <row r="42" spans="1:26" ht="19.5" customHeight="1" x14ac:dyDescent="0.25">
      <c r="A42" s="9"/>
      <c r="B42" s="45"/>
      <c r="C42" s="77"/>
      <c r="D42" s="78"/>
      <c r="E42" s="78"/>
      <c r="F42" s="78"/>
      <c r="G42" s="79"/>
      <c r="H42" s="134"/>
      <c r="I42" s="135"/>
      <c r="J42" s="136"/>
      <c r="K42" s="77"/>
      <c r="L42" s="78"/>
      <c r="M42" s="78"/>
      <c r="N42" s="78"/>
      <c r="O42" s="78"/>
      <c r="P42" s="79"/>
      <c r="Z42" s="11"/>
    </row>
    <row r="43" spans="1:26" ht="19.5" customHeight="1" x14ac:dyDescent="0.25">
      <c r="A43" s="9"/>
      <c r="B43" s="45"/>
      <c r="C43" s="77"/>
      <c r="D43" s="78"/>
      <c r="E43" s="78"/>
      <c r="F43" s="78"/>
      <c r="G43" s="79"/>
      <c r="H43" s="134"/>
      <c r="I43" s="135"/>
      <c r="J43" s="136"/>
      <c r="K43" s="77"/>
      <c r="L43" s="78"/>
      <c r="M43" s="78"/>
      <c r="N43" s="78"/>
      <c r="O43" s="78"/>
      <c r="P43" s="79"/>
      <c r="Z43" s="11"/>
    </row>
    <row r="44" spans="1:26" ht="19.5" customHeight="1" x14ac:dyDescent="0.25">
      <c r="A44" s="9"/>
      <c r="B44" s="45"/>
      <c r="C44" s="77"/>
      <c r="D44" s="78"/>
      <c r="E44" s="78"/>
      <c r="F44" s="78"/>
      <c r="G44" s="79"/>
      <c r="H44" s="134"/>
      <c r="I44" s="135"/>
      <c r="J44" s="136"/>
      <c r="K44" s="77"/>
      <c r="L44" s="78"/>
      <c r="M44" s="78"/>
      <c r="N44" s="78"/>
      <c r="O44" s="78"/>
      <c r="P44" s="79"/>
      <c r="Z44" s="11"/>
    </row>
    <row r="45" spans="1:26" ht="19.5" customHeight="1" thickBot="1" x14ac:dyDescent="0.3">
      <c r="A45" s="9"/>
      <c r="B45" s="46"/>
      <c r="C45" s="102"/>
      <c r="D45" s="102"/>
      <c r="E45" s="102"/>
      <c r="F45" s="102"/>
      <c r="G45" s="103"/>
      <c r="H45" s="98"/>
      <c r="I45" s="99"/>
      <c r="J45" s="100"/>
      <c r="K45" s="101"/>
      <c r="L45" s="102"/>
      <c r="M45" s="102"/>
      <c r="N45" s="102"/>
      <c r="O45" s="102"/>
      <c r="P45" s="103"/>
      <c r="Z45" s="11"/>
    </row>
    <row r="46" spans="1:26" ht="15.75" customHeight="1" x14ac:dyDescent="0.25">
      <c r="A46" s="9"/>
      <c r="B46" s="164" t="s">
        <v>37</v>
      </c>
      <c r="C46" s="165"/>
      <c r="D46" s="165"/>
      <c r="E46" s="165"/>
      <c r="F46" s="165"/>
      <c r="G46" s="166"/>
      <c r="H46" s="185">
        <f>AVERAGE(H25:J45)</f>
        <v>62.058823529411768</v>
      </c>
      <c r="I46" s="186"/>
      <c r="J46" s="187"/>
      <c r="K46" s="86"/>
      <c r="L46" s="87"/>
      <c r="M46" s="80" t="s">
        <v>38</v>
      </c>
      <c r="N46" s="80"/>
      <c r="O46" s="80"/>
      <c r="P46" s="81"/>
      <c r="Z46" s="11"/>
    </row>
    <row r="47" spans="1:26" ht="15.75" customHeight="1" x14ac:dyDescent="0.25">
      <c r="A47" s="9"/>
      <c r="B47" s="158" t="s">
        <v>39</v>
      </c>
      <c r="C47" s="159"/>
      <c r="D47" s="159"/>
      <c r="E47" s="159"/>
      <c r="F47" s="159"/>
      <c r="G47" s="160"/>
      <c r="H47" s="188">
        <f>IF(COUNTIF(H25:J45,"*&lt;20*"),"&lt;20",MIN(H25:J45))</f>
        <v>32</v>
      </c>
      <c r="I47" s="189"/>
      <c r="J47" s="190"/>
      <c r="K47" s="88"/>
      <c r="L47" s="89"/>
      <c r="M47" s="82"/>
      <c r="N47" s="82"/>
      <c r="O47" s="82"/>
      <c r="P47" s="83"/>
      <c r="Z47" s="11"/>
    </row>
    <row r="48" spans="1:26" ht="15.75" customHeight="1" thickBot="1" x14ac:dyDescent="0.3">
      <c r="A48" s="9"/>
      <c r="B48" s="161" t="s">
        <v>40</v>
      </c>
      <c r="C48" s="162"/>
      <c r="D48" s="162"/>
      <c r="E48" s="162"/>
      <c r="F48" s="162"/>
      <c r="G48" s="163"/>
      <c r="H48" s="182">
        <f>IF(COUNTIF(H25:J45,"*&gt;250*"),"&gt;250",MAX(H25:J45))</f>
        <v>115</v>
      </c>
      <c r="I48" s="183"/>
      <c r="J48" s="184"/>
      <c r="K48" s="90"/>
      <c r="L48" s="91"/>
      <c r="M48" s="84"/>
      <c r="N48" s="84"/>
      <c r="O48" s="84"/>
      <c r="P48" s="85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41</v>
      </c>
      <c r="B51" s="5" t="s">
        <v>42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49" t="s">
        <v>43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1"/>
      <c r="R52" s="143" t="s">
        <v>44</v>
      </c>
      <c r="S52" s="144"/>
      <c r="T52" s="145"/>
      <c r="U52" s="167" t="s">
        <v>45</v>
      </c>
      <c r="V52" s="168"/>
      <c r="W52" s="168"/>
      <c r="X52" s="169"/>
      <c r="Y52" s="169"/>
      <c r="Z52" s="170"/>
    </row>
    <row r="53" spans="1:26" s="17" customFormat="1" ht="15.6" customHeight="1" x14ac:dyDescent="0.25">
      <c r="A53" s="152" t="s">
        <v>51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4"/>
      <c r="R53" s="143" t="s">
        <v>46</v>
      </c>
      <c r="S53" s="144"/>
      <c r="T53" s="145"/>
      <c r="U53" s="171" t="s">
        <v>47</v>
      </c>
      <c r="V53" s="172"/>
      <c r="W53" s="172"/>
      <c r="X53" s="173"/>
      <c r="Y53" s="173"/>
      <c r="Z53" s="174"/>
    </row>
    <row r="54" spans="1:26" s="17" customFormat="1" ht="15.6" customHeight="1" x14ac:dyDescent="0.25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7"/>
      <c r="R54" s="143"/>
      <c r="S54" s="144"/>
      <c r="T54" s="145"/>
      <c r="U54" s="175"/>
      <c r="V54" s="82"/>
      <c r="W54" s="82"/>
      <c r="X54" s="176"/>
      <c r="Y54" s="176"/>
      <c r="Z54" s="177"/>
    </row>
    <row r="55" spans="1:26" s="17" customFormat="1" ht="15.6" customHeight="1" x14ac:dyDescent="0.25">
      <c r="A55" s="55" t="s">
        <v>48</v>
      </c>
      <c r="B55" s="56" t="s">
        <v>49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143"/>
      <c r="S55" s="144"/>
      <c r="T55" s="145"/>
      <c r="U55" s="178"/>
      <c r="V55" s="179"/>
      <c r="W55" s="179"/>
      <c r="X55" s="180"/>
      <c r="Y55" s="180"/>
      <c r="Z55" s="181"/>
    </row>
    <row r="56" spans="1:26" s="17" customFormat="1" ht="15.6" customHeight="1" x14ac:dyDescent="0.25">
      <c r="A56" s="137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9"/>
      <c r="R56" s="143" t="s">
        <v>50</v>
      </c>
      <c r="S56" s="144"/>
      <c r="T56" s="145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37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9"/>
      <c r="R57" s="143"/>
      <c r="S57" s="144"/>
      <c r="T57" s="145"/>
      <c r="U57" s="61"/>
      <c r="V57" s="82"/>
      <c r="W57" s="82"/>
      <c r="X57" s="82"/>
      <c r="Y57" s="82"/>
      <c r="Z57" s="62"/>
    </row>
    <row r="58" spans="1:26" s="17" customFormat="1" ht="15.6" customHeight="1" x14ac:dyDescent="0.25">
      <c r="A58" s="137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9"/>
      <c r="R58" s="143"/>
      <c r="S58" s="144"/>
      <c r="T58" s="145"/>
      <c r="U58" s="61"/>
      <c r="V58" s="82"/>
      <c r="W58" s="82"/>
      <c r="X58" s="82"/>
      <c r="Y58" s="82"/>
      <c r="Z58" s="62"/>
    </row>
    <row r="59" spans="1:26" s="17" customFormat="1" ht="15.6" customHeight="1" x14ac:dyDescent="0.25">
      <c r="A59" s="140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2"/>
      <c r="R59" s="146"/>
      <c r="S59" s="147"/>
      <c r="T59" s="148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1:G41"/>
    <mergeCell ref="H41:J41"/>
    <mergeCell ref="K41:P41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29:G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25:G25"/>
    <mergeCell ref="H24:J24"/>
    <mergeCell ref="H23:J23"/>
    <mergeCell ref="B18:H18"/>
    <mergeCell ref="B23:B24"/>
    <mergeCell ref="H29:J29"/>
    <mergeCell ref="K29:P29"/>
    <mergeCell ref="K25:P25"/>
    <mergeCell ref="M46:P48"/>
    <mergeCell ref="K46:L48"/>
    <mergeCell ref="K23:P24"/>
    <mergeCell ref="H46:J46"/>
    <mergeCell ref="H47:J47"/>
    <mergeCell ref="K26:P26"/>
    <mergeCell ref="C27:G27"/>
    <mergeCell ref="C33:G33"/>
    <mergeCell ref="H33:J33"/>
    <mergeCell ref="K33:P33"/>
    <mergeCell ref="C23:G24"/>
    <mergeCell ref="J21:P21"/>
    <mergeCell ref="C45:G45"/>
    <mergeCell ref="B47:G47"/>
    <mergeCell ref="B48:G48"/>
    <mergeCell ref="B46:G46"/>
    <mergeCell ref="I6:K6"/>
    <mergeCell ref="L5:O5"/>
    <mergeCell ref="P5:T5"/>
    <mergeCell ref="L6:O6"/>
    <mergeCell ref="P6:T6"/>
    <mergeCell ref="U1:Z6"/>
    <mergeCell ref="S11:Y11"/>
    <mergeCell ref="H45:J45"/>
    <mergeCell ref="V57:Y58"/>
    <mergeCell ref="I18:J18"/>
    <mergeCell ref="H25:J25"/>
    <mergeCell ref="S12:Y12"/>
    <mergeCell ref="I17:Y17"/>
    <mergeCell ref="A56:Q59"/>
    <mergeCell ref="R56:T59"/>
    <mergeCell ref="C26:G26"/>
    <mergeCell ref="H26:J26"/>
    <mergeCell ref="K45:P45"/>
    <mergeCell ref="H48:J48"/>
    <mergeCell ref="H27:J27"/>
    <mergeCell ref="K27:P27"/>
    <mergeCell ref="C28:G28"/>
    <mergeCell ref="H28:J28"/>
    <mergeCell ref="K28:P28"/>
    <mergeCell ref="A53:Q54"/>
    <mergeCell ref="R53:T55"/>
    <mergeCell ref="U53:Z55"/>
    <mergeCell ref="A1:F6"/>
    <mergeCell ref="G1:T1"/>
    <mergeCell ref="B10:G10"/>
    <mergeCell ref="S10:Y10"/>
    <mergeCell ref="N10:R10"/>
    <mergeCell ref="G2:T4"/>
    <mergeCell ref="G5:H5"/>
    <mergeCell ref="B17:H17"/>
    <mergeCell ref="B12:G12"/>
    <mergeCell ref="B11:G11"/>
    <mergeCell ref="A52:Q52"/>
    <mergeCell ref="R52:T52"/>
    <mergeCell ref="U52:Z52"/>
    <mergeCell ref="N12:R12"/>
    <mergeCell ref="H12:M12"/>
    <mergeCell ref="H11:M11"/>
    <mergeCell ref="N11:R11"/>
    <mergeCell ref="A7:F7"/>
    <mergeCell ref="G7:Z7"/>
    <mergeCell ref="H10:M10"/>
    <mergeCell ref="I5:K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5FAA-D5BA-4B9C-B290-EE1974D62A2B}">
  <sheetPr>
    <pageSetUpPr fitToPage="1"/>
  </sheetPr>
  <dimension ref="A1:AA80"/>
  <sheetViews>
    <sheetView workbookViewId="0">
      <selection activeCell="W24" sqref="W2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4"/>
      <c r="B1" s="115"/>
      <c r="C1" s="115"/>
      <c r="D1" s="115"/>
      <c r="E1" s="115"/>
      <c r="F1" s="116"/>
      <c r="G1" s="123" t="s">
        <v>0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68" t="s">
        <v>1</v>
      </c>
      <c r="V1" s="69"/>
      <c r="W1" s="69"/>
      <c r="X1" s="69"/>
      <c r="Y1" s="69"/>
      <c r="Z1" s="70"/>
    </row>
    <row r="2" spans="1:26" ht="12.75" customHeight="1" x14ac:dyDescent="0.25">
      <c r="A2" s="117"/>
      <c r="B2" s="118"/>
      <c r="C2" s="118"/>
      <c r="D2" s="118"/>
      <c r="E2" s="118"/>
      <c r="F2" s="119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71"/>
      <c r="V2" s="72"/>
      <c r="W2" s="72"/>
      <c r="X2" s="72"/>
      <c r="Y2" s="72"/>
      <c r="Z2" s="73"/>
    </row>
    <row r="3" spans="1:26" ht="12.75" customHeight="1" x14ac:dyDescent="0.25">
      <c r="A3" s="117"/>
      <c r="B3" s="118"/>
      <c r="C3" s="118"/>
      <c r="D3" s="118"/>
      <c r="E3" s="118"/>
      <c r="F3" s="119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71"/>
      <c r="V3" s="72"/>
      <c r="W3" s="72"/>
      <c r="X3" s="72"/>
      <c r="Y3" s="72"/>
      <c r="Z3" s="73"/>
    </row>
    <row r="4" spans="1:26" ht="12.75" customHeight="1" x14ac:dyDescent="0.25">
      <c r="A4" s="117"/>
      <c r="B4" s="118"/>
      <c r="C4" s="118"/>
      <c r="D4" s="118"/>
      <c r="E4" s="118"/>
      <c r="F4" s="119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71"/>
      <c r="V4" s="72"/>
      <c r="W4" s="72"/>
      <c r="X4" s="72"/>
      <c r="Y4" s="72"/>
      <c r="Z4" s="73"/>
    </row>
    <row r="5" spans="1:26" ht="12.75" customHeight="1" x14ac:dyDescent="0.25">
      <c r="A5" s="117"/>
      <c r="B5" s="118"/>
      <c r="C5" s="118"/>
      <c r="D5" s="118"/>
      <c r="E5" s="118"/>
      <c r="F5" s="119"/>
      <c r="G5" s="129" t="s">
        <v>3</v>
      </c>
      <c r="H5" s="130"/>
      <c r="I5" s="104">
        <v>3</v>
      </c>
      <c r="J5" s="104"/>
      <c r="K5" s="105"/>
      <c r="L5" s="107" t="s">
        <v>4</v>
      </c>
      <c r="M5" s="108"/>
      <c r="N5" s="108"/>
      <c r="O5" s="109"/>
      <c r="P5" s="110" t="s">
        <v>62</v>
      </c>
      <c r="Q5" s="111"/>
      <c r="R5" s="111"/>
      <c r="S5" s="111"/>
      <c r="T5" s="112"/>
      <c r="U5" s="71"/>
      <c r="V5" s="72"/>
      <c r="W5" s="72"/>
      <c r="X5" s="72"/>
      <c r="Y5" s="72"/>
      <c r="Z5" s="73"/>
    </row>
    <row r="6" spans="1:26" ht="12.75" customHeight="1" x14ac:dyDescent="0.25">
      <c r="A6" s="120"/>
      <c r="B6" s="121"/>
      <c r="C6" s="121"/>
      <c r="D6" s="121"/>
      <c r="E6" s="121"/>
      <c r="F6" s="122"/>
      <c r="G6" s="2"/>
      <c r="H6" s="3"/>
      <c r="I6" s="106" t="s">
        <v>6</v>
      </c>
      <c r="J6" s="106"/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13"/>
      <c r="U6" s="74"/>
      <c r="V6" s="75"/>
      <c r="W6" s="75"/>
      <c r="X6" s="75"/>
      <c r="Y6" s="75"/>
      <c r="Z6" s="76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7" t="s">
        <v>13</v>
      </c>
      <c r="C10" s="67"/>
      <c r="D10" s="67"/>
      <c r="E10" s="67"/>
      <c r="F10" s="67"/>
      <c r="G10" s="67"/>
      <c r="H10" s="133" t="s">
        <v>14</v>
      </c>
      <c r="I10" s="133"/>
      <c r="J10" s="133"/>
      <c r="K10" s="133"/>
      <c r="L10" s="133"/>
      <c r="M10" s="133"/>
      <c r="N10" s="67" t="s">
        <v>15</v>
      </c>
      <c r="O10" s="67"/>
      <c r="P10" s="67"/>
      <c r="Q10" s="67"/>
      <c r="R10" s="67"/>
      <c r="S10" s="92" t="s">
        <v>63</v>
      </c>
      <c r="T10" s="92"/>
      <c r="U10" s="92"/>
      <c r="V10" s="92"/>
      <c r="W10" s="92"/>
      <c r="X10" s="92"/>
      <c r="Y10" s="92"/>
      <c r="Z10" s="12"/>
    </row>
    <row r="11" spans="1:26" ht="15.9" customHeight="1" x14ac:dyDescent="0.25">
      <c r="A11" s="9"/>
      <c r="B11" s="67" t="s">
        <v>17</v>
      </c>
      <c r="C11" s="67"/>
      <c r="D11" s="67"/>
      <c r="E11" s="67"/>
      <c r="F11" s="67"/>
      <c r="G11" s="67"/>
      <c r="H11" s="133" t="s">
        <v>62</v>
      </c>
      <c r="I11" s="133"/>
      <c r="J11" s="133"/>
      <c r="K11" s="133"/>
      <c r="L11" s="133"/>
      <c r="M11" s="133"/>
      <c r="N11" s="67" t="s">
        <v>18</v>
      </c>
      <c r="O11" s="67"/>
      <c r="P11" s="67"/>
      <c r="Q11" s="67"/>
      <c r="R11" s="67"/>
      <c r="S11" s="92" t="s">
        <v>19</v>
      </c>
      <c r="T11" s="92"/>
      <c r="U11" s="92"/>
      <c r="V11" s="92"/>
      <c r="W11" s="92"/>
      <c r="X11" s="92"/>
      <c r="Y11" s="92"/>
      <c r="Z11" s="12"/>
    </row>
    <row r="12" spans="1:26" ht="15.9" customHeight="1" x14ac:dyDescent="0.25">
      <c r="A12" s="9"/>
      <c r="B12" s="67" t="s">
        <v>20</v>
      </c>
      <c r="C12" s="67"/>
      <c r="D12" s="67"/>
      <c r="E12" s="67"/>
      <c r="F12" s="67"/>
      <c r="G12" s="67"/>
      <c r="H12" s="133" t="s">
        <v>61</v>
      </c>
      <c r="I12" s="133"/>
      <c r="J12" s="133"/>
      <c r="K12" s="133"/>
      <c r="L12" s="133"/>
      <c r="M12" s="133"/>
      <c r="N12" s="67" t="s">
        <v>21</v>
      </c>
      <c r="O12" s="67"/>
      <c r="P12" s="67"/>
      <c r="Q12" s="67"/>
      <c r="R12" s="67"/>
      <c r="S12" s="92" t="s">
        <v>22</v>
      </c>
      <c r="T12" s="92"/>
      <c r="U12" s="92"/>
      <c r="V12" s="92"/>
      <c r="W12" s="92"/>
      <c r="X12" s="92"/>
      <c r="Y12" s="9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" t="s">
        <v>25</v>
      </c>
      <c r="C17" s="66"/>
      <c r="D17" s="66"/>
      <c r="E17" s="66"/>
      <c r="F17" s="66"/>
      <c r="G17" s="66"/>
      <c r="H17" s="66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28"/>
    </row>
    <row r="18" spans="1:26" s="17" customFormat="1" ht="15" customHeight="1" x14ac:dyDescent="0.25">
      <c r="A18" s="24"/>
      <c r="B18" s="66" t="s">
        <v>26</v>
      </c>
      <c r="C18" s="66"/>
      <c r="D18" s="66"/>
      <c r="E18" s="66"/>
      <c r="F18" s="66"/>
      <c r="G18" s="66"/>
      <c r="H18" s="66"/>
      <c r="I18" s="191" t="s">
        <v>27</v>
      </c>
      <c r="J18" s="191"/>
      <c r="K18" s="27">
        <v>80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200" t="s">
        <v>31</v>
      </c>
      <c r="K21" s="200"/>
      <c r="L21" s="200"/>
      <c r="M21" s="200"/>
      <c r="N21" s="200"/>
      <c r="O21" s="200"/>
      <c r="P21" s="20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98" t="s">
        <v>32</v>
      </c>
      <c r="C23" s="93" t="s">
        <v>33</v>
      </c>
      <c r="D23" s="93"/>
      <c r="E23" s="93"/>
      <c r="F23" s="93"/>
      <c r="G23" s="94"/>
      <c r="H23" s="195" t="s">
        <v>34</v>
      </c>
      <c r="I23" s="196"/>
      <c r="J23" s="197"/>
      <c r="K23" s="93" t="s">
        <v>35</v>
      </c>
      <c r="L23" s="93"/>
      <c r="M23" s="93"/>
      <c r="N23" s="93"/>
      <c r="O23" s="93"/>
      <c r="P23" s="94"/>
      <c r="Z23" s="11"/>
    </row>
    <row r="24" spans="1:26" ht="15.75" customHeight="1" x14ac:dyDescent="0.25">
      <c r="A24" s="9"/>
      <c r="B24" s="199"/>
      <c r="C24" s="95"/>
      <c r="D24" s="95"/>
      <c r="E24" s="95"/>
      <c r="F24" s="95"/>
      <c r="G24" s="96"/>
      <c r="H24" s="192" t="s">
        <v>36</v>
      </c>
      <c r="I24" s="193"/>
      <c r="J24" s="194"/>
      <c r="K24" s="95"/>
      <c r="L24" s="95"/>
      <c r="M24" s="95"/>
      <c r="N24" s="95"/>
      <c r="O24" s="95"/>
      <c r="P24" s="96"/>
      <c r="Z24" s="11"/>
    </row>
    <row r="25" spans="1:26" ht="19.5" customHeight="1" x14ac:dyDescent="0.25">
      <c r="A25" s="9"/>
      <c r="B25" s="45">
        <v>1</v>
      </c>
      <c r="C25" s="77"/>
      <c r="D25" s="78"/>
      <c r="E25" s="78"/>
      <c r="F25" s="78"/>
      <c r="G25" s="79"/>
      <c r="H25" s="134">
        <v>81</v>
      </c>
      <c r="I25" s="135"/>
      <c r="J25" s="136"/>
      <c r="K25" s="77"/>
      <c r="L25" s="78"/>
      <c r="M25" s="78"/>
      <c r="N25" s="78"/>
      <c r="O25" s="78"/>
      <c r="P25" s="79"/>
      <c r="Z25" s="11"/>
    </row>
    <row r="26" spans="1:26" ht="19.5" customHeight="1" x14ac:dyDescent="0.25">
      <c r="A26" s="9"/>
      <c r="B26" s="45">
        <v>2</v>
      </c>
      <c r="C26" s="77"/>
      <c r="D26" s="78"/>
      <c r="E26" s="78"/>
      <c r="F26" s="78"/>
      <c r="G26" s="79"/>
      <c r="H26" s="134">
        <v>82</v>
      </c>
      <c r="I26" s="135"/>
      <c r="J26" s="136"/>
      <c r="K26" s="77"/>
      <c r="L26" s="78"/>
      <c r="M26" s="78"/>
      <c r="N26" s="78"/>
      <c r="O26" s="78"/>
      <c r="P26" s="79"/>
      <c r="Z26" s="11"/>
    </row>
    <row r="27" spans="1:26" ht="19.5" customHeight="1" x14ac:dyDescent="0.25">
      <c r="A27" s="9"/>
      <c r="B27" s="45">
        <v>3</v>
      </c>
      <c r="C27" s="77"/>
      <c r="D27" s="78"/>
      <c r="E27" s="78"/>
      <c r="F27" s="78"/>
      <c r="G27" s="79"/>
      <c r="H27" s="134">
        <v>93</v>
      </c>
      <c r="I27" s="135"/>
      <c r="J27" s="136"/>
      <c r="K27" s="77"/>
      <c r="L27" s="78"/>
      <c r="M27" s="78"/>
      <c r="N27" s="78"/>
      <c r="O27" s="78"/>
      <c r="P27" s="79"/>
      <c r="Z27" s="11"/>
    </row>
    <row r="28" spans="1:26" ht="19.5" customHeight="1" x14ac:dyDescent="0.25">
      <c r="A28" s="9"/>
      <c r="B28" s="45">
        <v>4</v>
      </c>
      <c r="C28" s="77"/>
      <c r="D28" s="78"/>
      <c r="E28" s="78"/>
      <c r="F28" s="78"/>
      <c r="G28" s="79"/>
      <c r="H28" s="134">
        <v>83</v>
      </c>
      <c r="I28" s="135"/>
      <c r="J28" s="136"/>
      <c r="K28" s="77"/>
      <c r="L28" s="78"/>
      <c r="M28" s="78"/>
      <c r="N28" s="78"/>
      <c r="O28" s="78"/>
      <c r="P28" s="79"/>
      <c r="Z28" s="11"/>
    </row>
    <row r="29" spans="1:26" ht="19.5" customHeight="1" x14ac:dyDescent="0.25">
      <c r="A29" s="9"/>
      <c r="B29" s="45">
        <v>5</v>
      </c>
      <c r="C29" s="77"/>
      <c r="D29" s="78"/>
      <c r="E29" s="78"/>
      <c r="F29" s="78"/>
      <c r="G29" s="79"/>
      <c r="H29" s="134">
        <v>65</v>
      </c>
      <c r="I29" s="135"/>
      <c r="J29" s="136"/>
      <c r="K29" s="77"/>
      <c r="L29" s="78"/>
      <c r="M29" s="78"/>
      <c r="N29" s="78"/>
      <c r="O29" s="78"/>
      <c r="P29" s="79"/>
      <c r="Z29" s="11"/>
    </row>
    <row r="30" spans="1:26" ht="19.5" customHeight="1" x14ac:dyDescent="0.25">
      <c r="A30" s="9"/>
      <c r="B30" s="45">
        <v>6</v>
      </c>
      <c r="C30" s="77"/>
      <c r="D30" s="78"/>
      <c r="E30" s="78"/>
      <c r="F30" s="78"/>
      <c r="G30" s="79"/>
      <c r="H30" s="134">
        <v>111</v>
      </c>
      <c r="I30" s="135"/>
      <c r="J30" s="136"/>
      <c r="K30" s="77"/>
      <c r="L30" s="78"/>
      <c r="M30" s="78"/>
      <c r="N30" s="78"/>
      <c r="O30" s="78"/>
      <c r="P30" s="79"/>
      <c r="Z30" s="11"/>
    </row>
    <row r="31" spans="1:26" ht="19.5" customHeight="1" x14ac:dyDescent="0.25">
      <c r="A31" s="9"/>
      <c r="B31" s="45">
        <v>7</v>
      </c>
      <c r="C31" s="77"/>
      <c r="D31" s="78"/>
      <c r="E31" s="78"/>
      <c r="F31" s="78"/>
      <c r="G31" s="79"/>
      <c r="H31" s="134">
        <v>82</v>
      </c>
      <c r="I31" s="135"/>
      <c r="J31" s="136"/>
      <c r="K31" s="77"/>
      <c r="L31" s="78"/>
      <c r="M31" s="78"/>
      <c r="N31" s="78"/>
      <c r="O31" s="78"/>
      <c r="P31" s="79"/>
      <c r="Z31" s="11"/>
    </row>
    <row r="32" spans="1:26" ht="19.5" customHeight="1" x14ac:dyDescent="0.25">
      <c r="A32" s="9"/>
      <c r="B32" s="45">
        <v>8</v>
      </c>
      <c r="C32" s="77"/>
      <c r="D32" s="78"/>
      <c r="E32" s="78"/>
      <c r="F32" s="78"/>
      <c r="G32" s="79"/>
      <c r="H32" s="134">
        <v>85</v>
      </c>
      <c r="I32" s="135"/>
      <c r="J32" s="136"/>
      <c r="K32" s="77"/>
      <c r="L32" s="78"/>
      <c r="M32" s="78"/>
      <c r="N32" s="78"/>
      <c r="O32" s="78"/>
      <c r="P32" s="79"/>
      <c r="Z32" s="11"/>
    </row>
    <row r="33" spans="1:26" ht="19.5" customHeight="1" x14ac:dyDescent="0.25">
      <c r="A33" s="9"/>
      <c r="B33" s="45">
        <v>9</v>
      </c>
      <c r="C33" s="77"/>
      <c r="D33" s="78"/>
      <c r="E33" s="78"/>
      <c r="F33" s="78"/>
      <c r="G33" s="79"/>
      <c r="H33" s="134">
        <v>116</v>
      </c>
      <c r="I33" s="135"/>
      <c r="J33" s="136"/>
      <c r="K33" s="77"/>
      <c r="L33" s="78"/>
      <c r="M33" s="78"/>
      <c r="N33" s="78"/>
      <c r="O33" s="78"/>
      <c r="P33" s="79"/>
      <c r="Z33" s="11"/>
    </row>
    <row r="34" spans="1:26" ht="19.5" customHeight="1" x14ac:dyDescent="0.25">
      <c r="A34" s="9"/>
      <c r="B34" s="45">
        <v>10</v>
      </c>
      <c r="C34" s="77"/>
      <c r="D34" s="78"/>
      <c r="E34" s="78"/>
      <c r="F34" s="78"/>
      <c r="G34" s="79"/>
      <c r="H34" s="134">
        <v>128</v>
      </c>
      <c r="I34" s="135"/>
      <c r="J34" s="136"/>
      <c r="K34" s="77"/>
      <c r="L34" s="78"/>
      <c r="M34" s="78"/>
      <c r="N34" s="78"/>
      <c r="O34" s="78"/>
      <c r="P34" s="79"/>
      <c r="Z34" s="11"/>
    </row>
    <row r="35" spans="1:26" ht="19.5" customHeight="1" x14ac:dyDescent="0.25">
      <c r="A35" s="9"/>
      <c r="B35" s="45">
        <v>11</v>
      </c>
      <c r="C35" s="77"/>
      <c r="D35" s="78"/>
      <c r="E35" s="78"/>
      <c r="F35" s="78"/>
      <c r="G35" s="79"/>
      <c r="H35" s="134">
        <v>91</v>
      </c>
      <c r="I35" s="135"/>
      <c r="J35" s="136"/>
      <c r="K35" s="77"/>
      <c r="L35" s="78"/>
      <c r="M35" s="78"/>
      <c r="N35" s="78"/>
      <c r="O35" s="78"/>
      <c r="P35" s="79"/>
      <c r="Z35" s="11"/>
    </row>
    <row r="36" spans="1:26" ht="19.5" customHeight="1" x14ac:dyDescent="0.25">
      <c r="A36" s="9"/>
      <c r="B36" s="45">
        <v>12</v>
      </c>
      <c r="C36" s="77"/>
      <c r="D36" s="78"/>
      <c r="E36" s="78"/>
      <c r="F36" s="78"/>
      <c r="G36" s="79"/>
      <c r="H36" s="134">
        <v>100</v>
      </c>
      <c r="I36" s="135"/>
      <c r="J36" s="136"/>
      <c r="K36" s="77"/>
      <c r="L36" s="78"/>
      <c r="M36" s="78"/>
      <c r="N36" s="78"/>
      <c r="O36" s="78"/>
      <c r="P36" s="79"/>
      <c r="Z36" s="11"/>
    </row>
    <row r="37" spans="1:26" ht="19.5" customHeight="1" x14ac:dyDescent="0.25">
      <c r="A37" s="9"/>
      <c r="B37" s="45">
        <v>13</v>
      </c>
      <c r="C37" s="77"/>
      <c r="D37" s="78"/>
      <c r="E37" s="78"/>
      <c r="F37" s="78"/>
      <c r="G37" s="79"/>
      <c r="H37" s="134">
        <v>83</v>
      </c>
      <c r="I37" s="135"/>
      <c r="J37" s="136"/>
      <c r="K37" s="77"/>
      <c r="L37" s="78"/>
      <c r="M37" s="78"/>
      <c r="N37" s="78"/>
      <c r="O37" s="78"/>
      <c r="P37" s="79"/>
      <c r="Z37" s="11"/>
    </row>
    <row r="38" spans="1:26" ht="19.5" customHeight="1" x14ac:dyDescent="0.25">
      <c r="A38" s="9"/>
      <c r="B38" s="45">
        <v>14</v>
      </c>
      <c r="C38" s="77"/>
      <c r="D38" s="78"/>
      <c r="E38" s="78"/>
      <c r="F38" s="78"/>
      <c r="G38" s="79"/>
      <c r="H38" s="134">
        <v>85</v>
      </c>
      <c r="I38" s="135"/>
      <c r="J38" s="136"/>
      <c r="K38" s="77"/>
      <c r="L38" s="78"/>
      <c r="M38" s="78"/>
      <c r="N38" s="78"/>
      <c r="O38" s="78"/>
      <c r="P38" s="79"/>
      <c r="Z38" s="11"/>
    </row>
    <row r="39" spans="1:26" ht="19.5" customHeight="1" x14ac:dyDescent="0.25">
      <c r="A39" s="9"/>
      <c r="B39" s="45">
        <v>15</v>
      </c>
      <c r="C39" s="77"/>
      <c r="D39" s="78"/>
      <c r="E39" s="78"/>
      <c r="F39" s="78"/>
      <c r="G39" s="79"/>
      <c r="H39" s="134">
        <v>103</v>
      </c>
      <c r="I39" s="135"/>
      <c r="J39" s="136"/>
      <c r="K39" s="77"/>
      <c r="L39" s="78"/>
      <c r="M39" s="78"/>
      <c r="N39" s="78"/>
      <c r="O39" s="78"/>
      <c r="P39" s="79"/>
      <c r="Z39" s="11"/>
    </row>
    <row r="40" spans="1:26" ht="19.5" customHeight="1" x14ac:dyDescent="0.25">
      <c r="A40" s="9"/>
      <c r="B40" s="45">
        <v>16</v>
      </c>
      <c r="C40" s="77"/>
      <c r="D40" s="78"/>
      <c r="E40" s="78"/>
      <c r="F40" s="78"/>
      <c r="G40" s="79"/>
      <c r="H40" s="134">
        <v>120</v>
      </c>
      <c r="I40" s="135"/>
      <c r="J40" s="136"/>
      <c r="K40" s="77"/>
      <c r="L40" s="78"/>
      <c r="M40" s="78"/>
      <c r="N40" s="78"/>
      <c r="O40" s="78"/>
      <c r="P40" s="79"/>
      <c r="Z40" s="11"/>
    </row>
    <row r="41" spans="1:26" ht="19.5" customHeight="1" x14ac:dyDescent="0.25">
      <c r="A41" s="9"/>
      <c r="B41" s="45">
        <v>17</v>
      </c>
      <c r="C41" s="77"/>
      <c r="D41" s="78"/>
      <c r="E41" s="78"/>
      <c r="F41" s="78"/>
      <c r="G41" s="79"/>
      <c r="H41" s="134">
        <v>121</v>
      </c>
      <c r="I41" s="135"/>
      <c r="J41" s="136"/>
      <c r="K41" s="77"/>
      <c r="L41" s="78"/>
      <c r="M41" s="78"/>
      <c r="N41" s="78"/>
      <c r="O41" s="78"/>
      <c r="P41" s="79"/>
      <c r="Z41" s="11"/>
    </row>
    <row r="42" spans="1:26" ht="19.5" customHeight="1" x14ac:dyDescent="0.25">
      <c r="A42" s="9"/>
      <c r="B42" s="45">
        <v>18</v>
      </c>
      <c r="C42" s="77"/>
      <c r="D42" s="78"/>
      <c r="E42" s="78"/>
      <c r="F42" s="78"/>
      <c r="G42" s="79"/>
      <c r="H42" s="134">
        <v>81</v>
      </c>
      <c r="I42" s="135"/>
      <c r="J42" s="136"/>
      <c r="K42" s="77"/>
      <c r="L42" s="78"/>
      <c r="M42" s="78"/>
      <c r="N42" s="78"/>
      <c r="O42" s="78"/>
      <c r="P42" s="79"/>
      <c r="Z42" s="11"/>
    </row>
    <row r="43" spans="1:26" ht="19.5" customHeight="1" x14ac:dyDescent="0.25">
      <c r="A43" s="9"/>
      <c r="B43" s="45">
        <v>19</v>
      </c>
      <c r="C43" s="77"/>
      <c r="D43" s="78"/>
      <c r="E43" s="78"/>
      <c r="F43" s="78"/>
      <c r="G43" s="79"/>
      <c r="H43" s="134">
        <v>126</v>
      </c>
      <c r="I43" s="135"/>
      <c r="J43" s="136"/>
      <c r="K43" s="77"/>
      <c r="L43" s="78"/>
      <c r="M43" s="78"/>
      <c r="N43" s="78"/>
      <c r="O43" s="78"/>
      <c r="P43" s="79"/>
      <c r="Z43" s="11"/>
    </row>
    <row r="44" spans="1:26" ht="19.5" customHeight="1" x14ac:dyDescent="0.25">
      <c r="A44" s="9"/>
      <c r="B44" s="45">
        <v>20</v>
      </c>
      <c r="C44" s="77"/>
      <c r="D44" s="78"/>
      <c r="E44" s="78"/>
      <c r="F44" s="78"/>
      <c r="G44" s="79"/>
      <c r="H44" s="134">
        <v>83</v>
      </c>
      <c r="I44" s="135"/>
      <c r="J44" s="136"/>
      <c r="K44" s="77"/>
      <c r="L44" s="78"/>
      <c r="M44" s="78"/>
      <c r="N44" s="78"/>
      <c r="O44" s="78"/>
      <c r="P44" s="79"/>
      <c r="Z44" s="11"/>
    </row>
    <row r="45" spans="1:26" ht="19.5" customHeight="1" x14ac:dyDescent="0.25">
      <c r="A45" s="9"/>
      <c r="B45" s="45">
        <v>21</v>
      </c>
      <c r="C45" s="77"/>
      <c r="D45" s="78"/>
      <c r="E45" s="78"/>
      <c r="F45" s="78"/>
      <c r="G45" s="79"/>
      <c r="H45" s="134">
        <v>84</v>
      </c>
      <c r="I45" s="135"/>
      <c r="J45" s="136"/>
      <c r="K45" s="77"/>
      <c r="L45" s="78"/>
      <c r="M45" s="78"/>
      <c r="N45" s="78"/>
      <c r="O45" s="78"/>
      <c r="P45" s="79"/>
      <c r="Z45" s="11"/>
    </row>
    <row r="46" spans="1:26" ht="19.5" customHeight="1" x14ac:dyDescent="0.25">
      <c r="A46" s="9"/>
      <c r="B46" s="45">
        <v>22</v>
      </c>
      <c r="C46" s="77"/>
      <c r="D46" s="78"/>
      <c r="E46" s="78"/>
      <c r="F46" s="78"/>
      <c r="G46" s="79"/>
      <c r="H46" s="134">
        <v>95</v>
      </c>
      <c r="I46" s="135"/>
      <c r="J46" s="136"/>
      <c r="K46" s="77"/>
      <c r="L46" s="78"/>
      <c r="M46" s="78"/>
      <c r="N46" s="78"/>
      <c r="O46" s="78"/>
      <c r="P46" s="79"/>
      <c r="Z46" s="11"/>
    </row>
    <row r="47" spans="1:26" ht="19.5" customHeight="1" x14ac:dyDescent="0.25">
      <c r="A47" s="9"/>
      <c r="B47" s="45">
        <v>23</v>
      </c>
      <c r="C47" s="77"/>
      <c r="D47" s="78"/>
      <c r="E47" s="78"/>
      <c r="F47" s="78"/>
      <c r="G47" s="79"/>
      <c r="H47" s="134">
        <v>81</v>
      </c>
      <c r="I47" s="135"/>
      <c r="J47" s="136"/>
      <c r="K47" s="77"/>
      <c r="L47" s="78"/>
      <c r="M47" s="78"/>
      <c r="N47" s="78"/>
      <c r="O47" s="78"/>
      <c r="P47" s="79"/>
      <c r="Z47" s="11"/>
    </row>
    <row r="48" spans="1:26" ht="19.5" customHeight="1" x14ac:dyDescent="0.25">
      <c r="A48" s="9"/>
      <c r="B48" s="45">
        <v>24</v>
      </c>
      <c r="C48" s="77"/>
      <c r="D48" s="78"/>
      <c r="E48" s="78"/>
      <c r="F48" s="78"/>
      <c r="G48" s="79"/>
      <c r="H48" s="134">
        <v>104</v>
      </c>
      <c r="I48" s="135"/>
      <c r="J48" s="136"/>
      <c r="K48" s="77"/>
      <c r="L48" s="78"/>
      <c r="M48" s="78"/>
      <c r="N48" s="78"/>
      <c r="O48" s="78"/>
      <c r="P48" s="79"/>
      <c r="Z48" s="11"/>
    </row>
    <row r="49" spans="1:26" ht="19.5" customHeight="1" x14ac:dyDescent="0.25">
      <c r="A49" s="9"/>
      <c r="B49" s="45">
        <v>25</v>
      </c>
      <c r="C49" s="77"/>
      <c r="D49" s="78"/>
      <c r="E49" s="78"/>
      <c r="F49" s="78"/>
      <c r="G49" s="79"/>
      <c r="H49" s="134">
        <v>96</v>
      </c>
      <c r="I49" s="135"/>
      <c r="J49" s="136"/>
      <c r="K49" s="77"/>
      <c r="L49" s="78"/>
      <c r="M49" s="78"/>
      <c r="N49" s="78"/>
      <c r="O49" s="78"/>
      <c r="P49" s="79"/>
      <c r="Z49" s="11"/>
    </row>
    <row r="50" spans="1:26" ht="19.5" customHeight="1" x14ac:dyDescent="0.25">
      <c r="A50" s="9"/>
      <c r="B50" s="45">
        <v>26</v>
      </c>
      <c r="C50" s="77"/>
      <c r="D50" s="78"/>
      <c r="E50" s="78"/>
      <c r="F50" s="78"/>
      <c r="G50" s="79"/>
      <c r="H50" s="134">
        <v>108</v>
      </c>
      <c r="I50" s="135"/>
      <c r="J50" s="136"/>
      <c r="K50" s="77"/>
      <c r="L50" s="78"/>
      <c r="M50" s="78"/>
      <c r="N50" s="78"/>
      <c r="O50" s="78"/>
      <c r="P50" s="79"/>
      <c r="Z50" s="11"/>
    </row>
    <row r="51" spans="1:26" ht="19.5" customHeight="1" x14ac:dyDescent="0.25">
      <c r="A51" s="9"/>
      <c r="B51" s="45">
        <v>27</v>
      </c>
      <c r="C51" s="77"/>
      <c r="D51" s="78"/>
      <c r="E51" s="78"/>
      <c r="F51" s="78"/>
      <c r="G51" s="79"/>
      <c r="H51" s="134">
        <v>125</v>
      </c>
      <c r="I51" s="135"/>
      <c r="J51" s="136"/>
      <c r="K51" s="77"/>
      <c r="L51" s="78"/>
      <c r="M51" s="78"/>
      <c r="N51" s="78"/>
      <c r="O51" s="78"/>
      <c r="P51" s="79"/>
      <c r="Z51" s="11"/>
    </row>
    <row r="52" spans="1:26" ht="19.5" customHeight="1" x14ac:dyDescent="0.25">
      <c r="A52" s="9"/>
      <c r="B52" s="45">
        <v>28</v>
      </c>
      <c r="C52" s="77"/>
      <c r="D52" s="78"/>
      <c r="E52" s="78"/>
      <c r="F52" s="78"/>
      <c r="G52" s="79"/>
      <c r="H52" s="134">
        <v>94</v>
      </c>
      <c r="I52" s="135"/>
      <c r="J52" s="136"/>
      <c r="K52" s="77"/>
      <c r="L52" s="78"/>
      <c r="M52" s="78"/>
      <c r="N52" s="78"/>
      <c r="O52" s="78"/>
      <c r="P52" s="79"/>
      <c r="Z52" s="11"/>
    </row>
    <row r="53" spans="1:26" ht="19.5" customHeight="1" x14ac:dyDescent="0.25">
      <c r="A53" s="9"/>
      <c r="B53" s="45">
        <v>29</v>
      </c>
      <c r="C53" s="77"/>
      <c r="D53" s="78"/>
      <c r="E53" s="78"/>
      <c r="F53" s="78"/>
      <c r="G53" s="79"/>
      <c r="H53" s="134">
        <v>82</v>
      </c>
      <c r="I53" s="135"/>
      <c r="J53" s="136"/>
      <c r="K53" s="77"/>
      <c r="L53" s="78"/>
      <c r="M53" s="78"/>
      <c r="N53" s="78"/>
      <c r="O53" s="78"/>
      <c r="P53" s="79"/>
      <c r="Z53" s="11"/>
    </row>
    <row r="54" spans="1:26" ht="19.5" customHeight="1" x14ac:dyDescent="0.25">
      <c r="A54" s="9"/>
      <c r="B54" s="45">
        <v>30</v>
      </c>
      <c r="C54" s="77"/>
      <c r="D54" s="78"/>
      <c r="E54" s="78"/>
      <c r="F54" s="78"/>
      <c r="G54" s="79"/>
      <c r="H54" s="134">
        <v>88</v>
      </c>
      <c r="I54" s="135"/>
      <c r="J54" s="136"/>
      <c r="K54" s="77"/>
      <c r="L54" s="78"/>
      <c r="M54" s="78"/>
      <c r="N54" s="78"/>
      <c r="O54" s="78"/>
      <c r="P54" s="79"/>
      <c r="Z54" s="11"/>
    </row>
    <row r="55" spans="1:26" ht="19.5" customHeight="1" x14ac:dyDescent="0.25">
      <c r="A55" s="9"/>
      <c r="B55" s="45">
        <v>31</v>
      </c>
      <c r="C55" s="77" t="s">
        <v>60</v>
      </c>
      <c r="D55" s="78"/>
      <c r="E55" s="78"/>
      <c r="F55" s="78"/>
      <c r="G55" s="79"/>
      <c r="H55" s="134">
        <v>75</v>
      </c>
      <c r="I55" s="135"/>
      <c r="J55" s="136"/>
      <c r="K55" s="77"/>
      <c r="L55" s="78"/>
      <c r="M55" s="78"/>
      <c r="N55" s="78"/>
      <c r="O55" s="78"/>
      <c r="P55" s="79"/>
      <c r="Z55" s="11"/>
    </row>
    <row r="56" spans="1:26" ht="19.5" customHeight="1" x14ac:dyDescent="0.25">
      <c r="A56" s="9"/>
      <c r="B56" s="45">
        <v>32</v>
      </c>
      <c r="C56" s="77"/>
      <c r="D56" s="78"/>
      <c r="E56" s="78"/>
      <c r="F56" s="78"/>
      <c r="G56" s="79"/>
      <c r="H56" s="134">
        <v>85</v>
      </c>
      <c r="I56" s="135"/>
      <c r="J56" s="136"/>
      <c r="K56" s="77"/>
      <c r="L56" s="78"/>
      <c r="M56" s="78"/>
      <c r="N56" s="78"/>
      <c r="O56" s="78"/>
      <c r="P56" s="79"/>
      <c r="Z56" s="11"/>
    </row>
    <row r="57" spans="1:26" ht="19.5" customHeight="1" x14ac:dyDescent="0.25">
      <c r="A57" s="9"/>
      <c r="B57" s="45">
        <v>33</v>
      </c>
      <c r="C57" s="77" t="s">
        <v>59</v>
      </c>
      <c r="D57" s="78"/>
      <c r="E57" s="78"/>
      <c r="F57" s="78"/>
      <c r="G57" s="79"/>
      <c r="H57" s="134">
        <v>117</v>
      </c>
      <c r="I57" s="135"/>
      <c r="J57" s="136"/>
      <c r="K57" s="77"/>
      <c r="L57" s="78"/>
      <c r="M57" s="78"/>
      <c r="N57" s="78"/>
      <c r="O57" s="78"/>
      <c r="P57" s="79"/>
      <c r="Z57" s="11"/>
    </row>
    <row r="58" spans="1:26" ht="19.5" customHeight="1" thickBot="1" x14ac:dyDescent="0.3">
      <c r="A58" s="9"/>
      <c r="B58" s="46"/>
      <c r="C58" s="102"/>
      <c r="D58" s="102"/>
      <c r="E58" s="102"/>
      <c r="F58" s="102"/>
      <c r="G58" s="103"/>
      <c r="H58" s="98"/>
      <c r="I58" s="99"/>
      <c r="J58" s="100"/>
      <c r="K58" s="101"/>
      <c r="L58" s="102"/>
      <c r="M58" s="102"/>
      <c r="N58" s="102"/>
      <c r="O58" s="102"/>
      <c r="P58" s="103"/>
      <c r="Z58" s="11"/>
    </row>
    <row r="59" spans="1:26" ht="15.75" customHeight="1" x14ac:dyDescent="0.25">
      <c r="A59" s="9"/>
      <c r="B59" s="164" t="s">
        <v>37</v>
      </c>
      <c r="C59" s="165"/>
      <c r="D59" s="165"/>
      <c r="E59" s="165"/>
      <c r="F59" s="165"/>
      <c r="G59" s="166"/>
      <c r="H59" s="185">
        <f>AVERAGE(H25:J58)</f>
        <v>95.545454545454547</v>
      </c>
      <c r="I59" s="186"/>
      <c r="J59" s="187"/>
      <c r="K59" s="86" t="s">
        <v>58</v>
      </c>
      <c r="L59" s="87"/>
      <c r="M59" s="80" t="s">
        <v>38</v>
      </c>
      <c r="N59" s="80"/>
      <c r="O59" s="80"/>
      <c r="P59" s="81"/>
      <c r="Z59" s="11"/>
    </row>
    <row r="60" spans="1:26" ht="15.75" customHeight="1" x14ac:dyDescent="0.25">
      <c r="A60" s="9"/>
      <c r="B60" s="158" t="s">
        <v>39</v>
      </c>
      <c r="C60" s="159"/>
      <c r="D60" s="159"/>
      <c r="E60" s="159"/>
      <c r="F60" s="159"/>
      <c r="G60" s="160"/>
      <c r="H60" s="188">
        <f>IF(COUNTIF(H25:J58,"*&lt;20*"),"&lt;20",MIN(H25:J58))</f>
        <v>65</v>
      </c>
      <c r="I60" s="189"/>
      <c r="J60" s="190"/>
      <c r="K60" s="88"/>
      <c r="L60" s="89"/>
      <c r="M60" s="82"/>
      <c r="N60" s="82"/>
      <c r="O60" s="82"/>
      <c r="P60" s="83"/>
      <c r="Z60" s="11"/>
    </row>
    <row r="61" spans="1:26" ht="15.75" customHeight="1" thickBot="1" x14ac:dyDescent="0.3">
      <c r="A61" s="9"/>
      <c r="B61" s="161" t="s">
        <v>40</v>
      </c>
      <c r="C61" s="162"/>
      <c r="D61" s="162"/>
      <c r="E61" s="162"/>
      <c r="F61" s="162"/>
      <c r="G61" s="163"/>
      <c r="H61" s="182">
        <f>IF(COUNTIF(H25:J58,"*&gt;250*"),"&gt;250",MAX(H25:J58))</f>
        <v>128</v>
      </c>
      <c r="I61" s="183"/>
      <c r="J61" s="184"/>
      <c r="K61" s="90"/>
      <c r="L61" s="91"/>
      <c r="M61" s="84"/>
      <c r="N61" s="84"/>
      <c r="O61" s="84"/>
      <c r="P61" s="85"/>
      <c r="Z61" s="11"/>
    </row>
    <row r="62" spans="1:26" ht="15.9" customHeight="1" x14ac:dyDescent="0.25">
      <c r="A62" s="35"/>
      <c r="B62" s="4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6"/>
    </row>
    <row r="63" spans="1:26" ht="12.75" customHeight="1" x14ac:dyDescent="0.25">
      <c r="A63" s="36"/>
      <c r="B63" s="37"/>
    </row>
    <row r="64" spans="1:26" s="17" customFormat="1" ht="15.6" customHeight="1" x14ac:dyDescent="0.25">
      <c r="A64" s="48" t="s">
        <v>41</v>
      </c>
      <c r="B64" s="5" t="s">
        <v>42</v>
      </c>
      <c r="C64" s="49"/>
      <c r="D64" s="49"/>
      <c r="E64" s="49"/>
      <c r="F64" s="50"/>
      <c r="G64" s="50"/>
      <c r="H64" s="50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51"/>
      <c r="V64" s="52"/>
      <c r="W64" s="52"/>
      <c r="X64" s="42"/>
      <c r="Y64" s="42"/>
      <c r="Z64" s="43"/>
    </row>
    <row r="65" spans="1:26" s="17" customFormat="1" ht="28.5" customHeight="1" x14ac:dyDescent="0.25">
      <c r="A65" s="149" t="s">
        <v>43</v>
      </c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1"/>
      <c r="R65" s="143" t="s">
        <v>44</v>
      </c>
      <c r="S65" s="144"/>
      <c r="T65" s="145"/>
      <c r="U65" s="167" t="s">
        <v>45</v>
      </c>
      <c r="V65" s="168"/>
      <c r="W65" s="168"/>
      <c r="X65" s="169"/>
      <c r="Y65" s="169"/>
      <c r="Z65" s="170"/>
    </row>
    <row r="66" spans="1:26" s="17" customFormat="1" ht="15.6" customHeight="1" x14ac:dyDescent="0.25">
      <c r="A66" s="152" t="s">
        <v>57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4"/>
      <c r="R66" s="143" t="s">
        <v>46</v>
      </c>
      <c r="S66" s="144"/>
      <c r="T66" s="145"/>
      <c r="U66" s="171" t="s">
        <v>47</v>
      </c>
      <c r="V66" s="172"/>
      <c r="W66" s="172"/>
      <c r="X66" s="173"/>
      <c r="Y66" s="173"/>
      <c r="Z66" s="174"/>
    </row>
    <row r="67" spans="1:26" s="17" customFormat="1" ht="15.6" customHeight="1" x14ac:dyDescent="0.25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7"/>
      <c r="R67" s="143"/>
      <c r="S67" s="144"/>
      <c r="T67" s="145"/>
      <c r="U67" s="175"/>
      <c r="V67" s="82"/>
      <c r="W67" s="82"/>
      <c r="X67" s="176"/>
      <c r="Y67" s="176"/>
      <c r="Z67" s="177"/>
    </row>
    <row r="68" spans="1:26" s="17" customFormat="1" ht="15.6" customHeight="1" x14ac:dyDescent="0.25">
      <c r="A68" s="55" t="s">
        <v>48</v>
      </c>
      <c r="B68" s="56" t="s">
        <v>49</v>
      </c>
      <c r="C68" s="1"/>
      <c r="D68" s="1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7"/>
      <c r="R68" s="143"/>
      <c r="S68" s="144"/>
      <c r="T68" s="145"/>
      <c r="U68" s="178"/>
      <c r="V68" s="179"/>
      <c r="W68" s="179"/>
      <c r="X68" s="180"/>
      <c r="Y68" s="180"/>
      <c r="Z68" s="181"/>
    </row>
    <row r="69" spans="1:26" s="17" customFormat="1" ht="15.6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9"/>
      <c r="R69" s="143" t="s">
        <v>50</v>
      </c>
      <c r="S69" s="144"/>
      <c r="T69" s="145"/>
      <c r="U69" s="58"/>
      <c r="V69" s="59"/>
      <c r="W69" s="59"/>
      <c r="X69" s="59"/>
      <c r="Y69" s="59"/>
      <c r="Z69" s="60"/>
    </row>
    <row r="70" spans="1:26" s="17" customFormat="1" ht="15.6" customHeight="1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9"/>
      <c r="R70" s="143"/>
      <c r="S70" s="144"/>
      <c r="T70" s="145"/>
      <c r="U70" s="61"/>
      <c r="V70" s="82"/>
      <c r="W70" s="82"/>
      <c r="X70" s="82"/>
      <c r="Y70" s="82"/>
      <c r="Z70" s="62"/>
    </row>
    <row r="71" spans="1:26" s="17" customFormat="1" ht="15.6" customHeight="1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9"/>
      <c r="R71" s="143"/>
      <c r="S71" s="144"/>
      <c r="T71" s="145"/>
      <c r="U71" s="61"/>
      <c r="V71" s="82"/>
      <c r="W71" s="82"/>
      <c r="X71" s="82"/>
      <c r="Y71" s="82"/>
      <c r="Z71" s="62"/>
    </row>
    <row r="72" spans="1:26" s="17" customFormat="1" ht="15.6" customHeight="1" x14ac:dyDescent="0.25">
      <c r="A72" s="140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2"/>
      <c r="R72" s="146"/>
      <c r="S72" s="147"/>
      <c r="T72" s="148"/>
      <c r="U72" s="63"/>
      <c r="V72" s="64"/>
      <c r="W72" s="64"/>
      <c r="X72" s="64"/>
      <c r="Y72" s="64"/>
      <c r="Z72" s="65"/>
    </row>
    <row r="73" spans="1:26" s="17" customFormat="1" ht="15" customHeight="1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54"/>
      <c r="S73" s="54"/>
      <c r="T73" s="54"/>
      <c r="U73" s="41"/>
      <c r="V73" s="41"/>
      <c r="W73" s="41"/>
      <c r="X73" s="41"/>
      <c r="Y73" s="41"/>
      <c r="Z73" s="4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  <row r="78" spans="1:26" ht="12.75" customHeight="1" x14ac:dyDescent="0.25">
      <c r="A78" s="1"/>
    </row>
    <row r="79" spans="1:26" ht="12.75" customHeight="1" x14ac:dyDescent="0.25">
      <c r="A79" s="1"/>
    </row>
    <row r="80" spans="1:26" ht="12.75" customHeight="1" x14ac:dyDescent="0.25">
      <c r="A80" s="1"/>
    </row>
  </sheetData>
  <sheetProtection formatCells="0" formatColumns="0" formatRows="0" insertColumns="0" insertRows="0" insertHyperlinks="0" deleteColumns="0" deleteRows="0" selectLockedCells="1" sort="0" autoFilter="0" pivotTables="0"/>
  <mergeCells count="154">
    <mergeCell ref="C56:G56"/>
    <mergeCell ref="H56:J56"/>
    <mergeCell ref="K56:P56"/>
    <mergeCell ref="C57:G57"/>
    <mergeCell ref="H57:J57"/>
    <mergeCell ref="K57:P57"/>
    <mergeCell ref="C53:G53"/>
    <mergeCell ref="H53:J53"/>
    <mergeCell ref="K53:P53"/>
    <mergeCell ref="C54:G54"/>
    <mergeCell ref="H54:J54"/>
    <mergeCell ref="K54:P54"/>
    <mergeCell ref="C55:G55"/>
    <mergeCell ref="H55:J55"/>
    <mergeCell ref="K55:P55"/>
    <mergeCell ref="C50:G50"/>
    <mergeCell ref="H50:J50"/>
    <mergeCell ref="K50:P50"/>
    <mergeCell ref="C51:G51"/>
    <mergeCell ref="H51:J51"/>
    <mergeCell ref="K51:P51"/>
    <mergeCell ref="C52:G52"/>
    <mergeCell ref="H52:J52"/>
    <mergeCell ref="K52:P52"/>
    <mergeCell ref="C47:G47"/>
    <mergeCell ref="H47:J47"/>
    <mergeCell ref="K47:P47"/>
    <mergeCell ref="C48:G48"/>
    <mergeCell ref="H48:J48"/>
    <mergeCell ref="K48:P48"/>
    <mergeCell ref="C49:G49"/>
    <mergeCell ref="H49:J49"/>
    <mergeCell ref="K49:P49"/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V70:Y71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69:Q72"/>
    <mergeCell ref="R69:T72"/>
    <mergeCell ref="K26:P26"/>
    <mergeCell ref="C27:G27"/>
    <mergeCell ref="H27:J27"/>
    <mergeCell ref="K27:P27"/>
    <mergeCell ref="C58:G58"/>
    <mergeCell ref="B60:G60"/>
    <mergeCell ref="B61:G61"/>
    <mergeCell ref="B59:G59"/>
    <mergeCell ref="C26:G26"/>
    <mergeCell ref="H26:J26"/>
    <mergeCell ref="C28:G28"/>
    <mergeCell ref="H28:J28"/>
    <mergeCell ref="H61:J61"/>
    <mergeCell ref="H59:J59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M59:P61"/>
    <mergeCell ref="K59:L61"/>
    <mergeCell ref="S12:Y12"/>
    <mergeCell ref="K23:P24"/>
    <mergeCell ref="I17:Y17"/>
    <mergeCell ref="S11:Y11"/>
    <mergeCell ref="H58:J58"/>
    <mergeCell ref="K58:P58"/>
    <mergeCell ref="K28:P28"/>
    <mergeCell ref="H43:J43"/>
    <mergeCell ref="K43:P43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C38:G38"/>
    <mergeCell ref="H38:J38"/>
    <mergeCell ref="K38:P38"/>
    <mergeCell ref="U65:Z65"/>
    <mergeCell ref="A66:Q67"/>
    <mergeCell ref="R66:T68"/>
    <mergeCell ref="U66:Z68"/>
    <mergeCell ref="H60:J60"/>
    <mergeCell ref="B17:H17"/>
    <mergeCell ref="A65:Q65"/>
    <mergeCell ref="R65:T65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833B-4E90-4EA2-A624-631D106AB2A4}">
  <sheetPr>
    <pageSetUpPr fitToPage="1"/>
  </sheetPr>
  <dimension ref="A1:AA77"/>
  <sheetViews>
    <sheetView workbookViewId="0">
      <selection activeCell="R16" sqref="R1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4"/>
      <c r="B1" s="115"/>
      <c r="C1" s="115"/>
      <c r="D1" s="115"/>
      <c r="E1" s="115"/>
      <c r="F1" s="116"/>
      <c r="G1" s="123" t="s">
        <v>0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68" t="s">
        <v>1</v>
      </c>
      <c r="V1" s="69"/>
      <c r="W1" s="69"/>
      <c r="X1" s="69"/>
      <c r="Y1" s="69"/>
      <c r="Z1" s="70"/>
    </row>
    <row r="2" spans="1:26" ht="12.75" customHeight="1" x14ac:dyDescent="0.25">
      <c r="A2" s="117"/>
      <c r="B2" s="118"/>
      <c r="C2" s="118"/>
      <c r="D2" s="118"/>
      <c r="E2" s="118"/>
      <c r="F2" s="119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71"/>
      <c r="V2" s="72"/>
      <c r="W2" s="72"/>
      <c r="X2" s="72"/>
      <c r="Y2" s="72"/>
      <c r="Z2" s="73"/>
    </row>
    <row r="3" spans="1:26" ht="12.75" customHeight="1" x14ac:dyDescent="0.25">
      <c r="A3" s="117"/>
      <c r="B3" s="118"/>
      <c r="C3" s="118"/>
      <c r="D3" s="118"/>
      <c r="E3" s="118"/>
      <c r="F3" s="119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71"/>
      <c r="V3" s="72"/>
      <c r="W3" s="72"/>
      <c r="X3" s="72"/>
      <c r="Y3" s="72"/>
      <c r="Z3" s="73"/>
    </row>
    <row r="4" spans="1:26" ht="12.75" customHeight="1" x14ac:dyDescent="0.25">
      <c r="A4" s="117"/>
      <c r="B4" s="118"/>
      <c r="C4" s="118"/>
      <c r="D4" s="118"/>
      <c r="E4" s="118"/>
      <c r="F4" s="119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71"/>
      <c r="V4" s="72"/>
      <c r="W4" s="72"/>
      <c r="X4" s="72"/>
      <c r="Y4" s="72"/>
      <c r="Z4" s="73"/>
    </row>
    <row r="5" spans="1:26" ht="12.75" customHeight="1" x14ac:dyDescent="0.25">
      <c r="A5" s="117"/>
      <c r="B5" s="118"/>
      <c r="C5" s="118"/>
      <c r="D5" s="118"/>
      <c r="E5" s="118"/>
      <c r="F5" s="119"/>
      <c r="G5" s="129" t="s">
        <v>3</v>
      </c>
      <c r="H5" s="130"/>
      <c r="I5" s="104">
        <v>2</v>
      </c>
      <c r="J5" s="104"/>
      <c r="K5" s="105"/>
      <c r="L5" s="107" t="s">
        <v>4</v>
      </c>
      <c r="M5" s="108"/>
      <c r="N5" s="108"/>
      <c r="O5" s="109"/>
      <c r="P5" s="110" t="s">
        <v>55</v>
      </c>
      <c r="Q5" s="111"/>
      <c r="R5" s="111"/>
      <c r="S5" s="111"/>
      <c r="T5" s="112"/>
      <c r="U5" s="71"/>
      <c r="V5" s="72"/>
      <c r="W5" s="72"/>
      <c r="X5" s="72"/>
      <c r="Y5" s="72"/>
      <c r="Z5" s="73"/>
    </row>
    <row r="6" spans="1:26" ht="12.75" customHeight="1" x14ac:dyDescent="0.25">
      <c r="A6" s="120"/>
      <c r="B6" s="121"/>
      <c r="C6" s="121"/>
      <c r="D6" s="121"/>
      <c r="E6" s="121"/>
      <c r="F6" s="122"/>
      <c r="G6" s="2"/>
      <c r="H6" s="3"/>
      <c r="I6" s="106" t="s">
        <v>6</v>
      </c>
      <c r="J6" s="106"/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13"/>
      <c r="U6" s="74"/>
      <c r="V6" s="75"/>
      <c r="W6" s="75"/>
      <c r="X6" s="75"/>
      <c r="Y6" s="75"/>
      <c r="Z6" s="76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7" t="s">
        <v>13</v>
      </c>
      <c r="C10" s="67"/>
      <c r="D10" s="67"/>
      <c r="E10" s="67"/>
      <c r="F10" s="67"/>
      <c r="G10" s="67"/>
      <c r="H10" s="133" t="s">
        <v>14</v>
      </c>
      <c r="I10" s="133"/>
      <c r="J10" s="133"/>
      <c r="K10" s="133"/>
      <c r="L10" s="133"/>
      <c r="M10" s="133"/>
      <c r="N10" s="67" t="s">
        <v>15</v>
      </c>
      <c r="O10" s="67"/>
      <c r="P10" s="67"/>
      <c r="Q10" s="67"/>
      <c r="R10" s="67"/>
      <c r="S10" s="92" t="s">
        <v>56</v>
      </c>
      <c r="T10" s="92"/>
      <c r="U10" s="92"/>
      <c r="V10" s="92"/>
      <c r="W10" s="92"/>
      <c r="X10" s="92"/>
      <c r="Y10" s="92"/>
      <c r="Z10" s="12"/>
    </row>
    <row r="11" spans="1:26" ht="15.9" customHeight="1" x14ac:dyDescent="0.25">
      <c r="A11" s="9"/>
      <c r="B11" s="67" t="s">
        <v>17</v>
      </c>
      <c r="C11" s="67"/>
      <c r="D11" s="67"/>
      <c r="E11" s="67"/>
      <c r="F11" s="67"/>
      <c r="G11" s="67"/>
      <c r="H11" s="133" t="s">
        <v>55</v>
      </c>
      <c r="I11" s="133"/>
      <c r="J11" s="133"/>
      <c r="K11" s="133"/>
      <c r="L11" s="133"/>
      <c r="M11" s="133"/>
      <c r="N11" s="67" t="s">
        <v>18</v>
      </c>
      <c r="O11" s="67"/>
      <c r="P11" s="67"/>
      <c r="Q11" s="67"/>
      <c r="R11" s="67"/>
      <c r="S11" s="92" t="s">
        <v>19</v>
      </c>
      <c r="T11" s="92"/>
      <c r="U11" s="92"/>
      <c r="V11" s="92"/>
      <c r="W11" s="92"/>
      <c r="X11" s="92"/>
      <c r="Y11" s="92"/>
      <c r="Z11" s="12"/>
    </row>
    <row r="12" spans="1:26" ht="15.9" customHeight="1" x14ac:dyDescent="0.25">
      <c r="A12" s="9"/>
      <c r="B12" s="67" t="s">
        <v>20</v>
      </c>
      <c r="C12" s="67"/>
      <c r="D12" s="67"/>
      <c r="E12" s="67"/>
      <c r="F12" s="67"/>
      <c r="G12" s="67"/>
      <c r="H12" s="133" t="s">
        <v>54</v>
      </c>
      <c r="I12" s="133"/>
      <c r="J12" s="133"/>
      <c r="K12" s="133"/>
      <c r="L12" s="133"/>
      <c r="M12" s="133"/>
      <c r="N12" s="67" t="s">
        <v>21</v>
      </c>
      <c r="O12" s="67"/>
      <c r="P12" s="67"/>
      <c r="Q12" s="67"/>
      <c r="R12" s="67"/>
      <c r="S12" s="92" t="s">
        <v>22</v>
      </c>
      <c r="T12" s="92"/>
      <c r="U12" s="92"/>
      <c r="V12" s="92"/>
      <c r="W12" s="92"/>
      <c r="X12" s="92"/>
      <c r="Y12" s="9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" t="s">
        <v>25</v>
      </c>
      <c r="C17" s="66"/>
      <c r="D17" s="66"/>
      <c r="E17" s="66"/>
      <c r="F17" s="66"/>
      <c r="G17" s="66"/>
      <c r="H17" s="66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28"/>
    </row>
    <row r="18" spans="1:26" s="17" customFormat="1" ht="15" customHeight="1" x14ac:dyDescent="0.25">
      <c r="A18" s="24"/>
      <c r="B18" s="66" t="s">
        <v>26</v>
      </c>
      <c r="C18" s="66"/>
      <c r="D18" s="66"/>
      <c r="E18" s="66"/>
      <c r="F18" s="66"/>
      <c r="G18" s="66"/>
      <c r="H18" s="66"/>
      <c r="I18" s="191" t="s">
        <v>27</v>
      </c>
      <c r="J18" s="191"/>
      <c r="K18" s="27">
        <v>80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200" t="s">
        <v>31</v>
      </c>
      <c r="K21" s="200"/>
      <c r="L21" s="200"/>
      <c r="M21" s="200"/>
      <c r="N21" s="200"/>
      <c r="O21" s="200"/>
      <c r="P21" s="20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98" t="s">
        <v>32</v>
      </c>
      <c r="C23" s="93" t="s">
        <v>33</v>
      </c>
      <c r="D23" s="93"/>
      <c r="E23" s="93"/>
      <c r="F23" s="93"/>
      <c r="G23" s="94"/>
      <c r="H23" s="195" t="s">
        <v>34</v>
      </c>
      <c r="I23" s="196"/>
      <c r="J23" s="197"/>
      <c r="K23" s="93" t="s">
        <v>35</v>
      </c>
      <c r="L23" s="93"/>
      <c r="M23" s="93"/>
      <c r="N23" s="93"/>
      <c r="O23" s="93"/>
      <c r="P23" s="94"/>
      <c r="Z23" s="11"/>
    </row>
    <row r="24" spans="1:26" ht="15.75" customHeight="1" x14ac:dyDescent="0.25">
      <c r="A24" s="9"/>
      <c r="B24" s="199"/>
      <c r="C24" s="95"/>
      <c r="D24" s="95"/>
      <c r="E24" s="95"/>
      <c r="F24" s="95"/>
      <c r="G24" s="96"/>
      <c r="H24" s="192" t="s">
        <v>36</v>
      </c>
      <c r="I24" s="193"/>
      <c r="J24" s="194"/>
      <c r="K24" s="95"/>
      <c r="L24" s="95"/>
      <c r="M24" s="95"/>
      <c r="N24" s="95"/>
      <c r="O24" s="95"/>
      <c r="P24" s="96"/>
      <c r="Z24" s="11"/>
    </row>
    <row r="25" spans="1:26" ht="19.5" customHeight="1" x14ac:dyDescent="0.25">
      <c r="A25" s="9"/>
      <c r="B25" s="45">
        <v>1</v>
      </c>
      <c r="C25" s="77"/>
      <c r="D25" s="78"/>
      <c r="E25" s="78"/>
      <c r="F25" s="78"/>
      <c r="G25" s="79"/>
      <c r="H25" s="134">
        <v>73</v>
      </c>
      <c r="I25" s="135"/>
      <c r="J25" s="136"/>
      <c r="K25" s="77"/>
      <c r="L25" s="78"/>
      <c r="M25" s="78"/>
      <c r="N25" s="78"/>
      <c r="O25" s="78"/>
      <c r="P25" s="79"/>
      <c r="Z25" s="11"/>
    </row>
    <row r="26" spans="1:26" ht="19.5" customHeight="1" x14ac:dyDescent="0.25">
      <c r="A26" s="9"/>
      <c r="B26" s="45">
        <v>2</v>
      </c>
      <c r="C26" s="77"/>
      <c r="D26" s="78"/>
      <c r="E26" s="78"/>
      <c r="F26" s="78"/>
      <c r="G26" s="79"/>
      <c r="H26" s="134">
        <v>59</v>
      </c>
      <c r="I26" s="135"/>
      <c r="J26" s="136"/>
      <c r="K26" s="77"/>
      <c r="L26" s="78"/>
      <c r="M26" s="78"/>
      <c r="N26" s="78"/>
      <c r="O26" s="78"/>
      <c r="P26" s="79"/>
      <c r="Z26" s="11"/>
    </row>
    <row r="27" spans="1:26" ht="19.5" customHeight="1" x14ac:dyDescent="0.25">
      <c r="A27" s="9"/>
      <c r="B27" s="45">
        <v>3</v>
      </c>
      <c r="C27" s="77"/>
      <c r="D27" s="78"/>
      <c r="E27" s="78"/>
      <c r="F27" s="78"/>
      <c r="G27" s="79"/>
      <c r="H27" s="134">
        <v>70</v>
      </c>
      <c r="I27" s="135"/>
      <c r="J27" s="136"/>
      <c r="K27" s="77"/>
      <c r="L27" s="78"/>
      <c r="M27" s="78"/>
      <c r="N27" s="78"/>
      <c r="O27" s="78"/>
      <c r="P27" s="79"/>
      <c r="Z27" s="11"/>
    </row>
    <row r="28" spans="1:26" ht="19.5" customHeight="1" x14ac:dyDescent="0.25">
      <c r="A28" s="9"/>
      <c r="B28" s="45">
        <v>4</v>
      </c>
      <c r="C28" s="77"/>
      <c r="D28" s="78"/>
      <c r="E28" s="78"/>
      <c r="F28" s="78"/>
      <c r="G28" s="79"/>
      <c r="H28" s="134">
        <v>45</v>
      </c>
      <c r="I28" s="135"/>
      <c r="J28" s="136"/>
      <c r="K28" s="77"/>
      <c r="L28" s="78"/>
      <c r="M28" s="78"/>
      <c r="N28" s="78"/>
      <c r="O28" s="78"/>
      <c r="P28" s="79"/>
      <c r="Z28" s="11"/>
    </row>
    <row r="29" spans="1:26" ht="19.5" customHeight="1" x14ac:dyDescent="0.25">
      <c r="A29" s="9"/>
      <c r="B29" s="45">
        <v>5</v>
      </c>
      <c r="C29" s="77"/>
      <c r="D29" s="78"/>
      <c r="E29" s="78"/>
      <c r="F29" s="78"/>
      <c r="G29" s="79"/>
      <c r="H29" s="134">
        <v>31</v>
      </c>
      <c r="I29" s="135"/>
      <c r="J29" s="136"/>
      <c r="K29" s="77"/>
      <c r="L29" s="78"/>
      <c r="M29" s="78"/>
      <c r="N29" s="78"/>
      <c r="O29" s="78"/>
      <c r="P29" s="79"/>
      <c r="Z29" s="11"/>
    </row>
    <row r="30" spans="1:26" ht="19.5" customHeight="1" x14ac:dyDescent="0.25">
      <c r="A30" s="9"/>
      <c r="B30" s="45">
        <v>6</v>
      </c>
      <c r="C30" s="77"/>
      <c r="D30" s="78"/>
      <c r="E30" s="78"/>
      <c r="F30" s="78"/>
      <c r="G30" s="79"/>
      <c r="H30" s="134">
        <v>47</v>
      </c>
      <c r="I30" s="135"/>
      <c r="J30" s="136"/>
      <c r="K30" s="77"/>
      <c r="L30" s="78"/>
      <c r="M30" s="78"/>
      <c r="N30" s="78"/>
      <c r="O30" s="78"/>
      <c r="P30" s="79"/>
      <c r="Z30" s="11"/>
    </row>
    <row r="31" spans="1:26" ht="19.5" customHeight="1" x14ac:dyDescent="0.25">
      <c r="A31" s="9"/>
      <c r="B31" s="45">
        <v>7</v>
      </c>
      <c r="C31" s="77"/>
      <c r="D31" s="78"/>
      <c r="E31" s="78"/>
      <c r="F31" s="78"/>
      <c r="G31" s="79"/>
      <c r="H31" s="134">
        <v>70</v>
      </c>
      <c r="I31" s="135"/>
      <c r="J31" s="136"/>
      <c r="K31" s="77"/>
      <c r="L31" s="78"/>
      <c r="M31" s="78"/>
      <c r="N31" s="78"/>
      <c r="O31" s="78"/>
      <c r="P31" s="79"/>
      <c r="Z31" s="11"/>
    </row>
    <row r="32" spans="1:26" ht="19.5" customHeight="1" x14ac:dyDescent="0.25">
      <c r="A32" s="9"/>
      <c r="B32" s="45">
        <v>8</v>
      </c>
      <c r="C32" s="77"/>
      <c r="D32" s="78"/>
      <c r="E32" s="78"/>
      <c r="F32" s="78"/>
      <c r="G32" s="79"/>
      <c r="H32" s="134">
        <v>52</v>
      </c>
      <c r="I32" s="135"/>
      <c r="J32" s="136"/>
      <c r="K32" s="77"/>
      <c r="L32" s="78"/>
      <c r="M32" s="78"/>
      <c r="N32" s="78"/>
      <c r="O32" s="78"/>
      <c r="P32" s="79"/>
      <c r="Z32" s="11"/>
    </row>
    <row r="33" spans="1:26" ht="19.5" customHeight="1" x14ac:dyDescent="0.25">
      <c r="A33" s="9"/>
      <c r="B33" s="45">
        <v>9</v>
      </c>
      <c r="C33" s="77"/>
      <c r="D33" s="78"/>
      <c r="E33" s="78"/>
      <c r="F33" s="78"/>
      <c r="G33" s="79"/>
      <c r="H33" s="134">
        <v>20</v>
      </c>
      <c r="I33" s="135"/>
      <c r="J33" s="136"/>
      <c r="K33" s="77"/>
      <c r="L33" s="78"/>
      <c r="M33" s="78"/>
      <c r="N33" s="78"/>
      <c r="O33" s="78"/>
      <c r="P33" s="79"/>
      <c r="Z33" s="11"/>
    </row>
    <row r="34" spans="1:26" ht="19.5" customHeight="1" x14ac:dyDescent="0.25">
      <c r="A34" s="9"/>
      <c r="B34" s="45">
        <v>10</v>
      </c>
      <c r="C34" s="77"/>
      <c r="D34" s="78"/>
      <c r="E34" s="78"/>
      <c r="F34" s="78"/>
      <c r="G34" s="79"/>
      <c r="H34" s="134">
        <v>58</v>
      </c>
      <c r="I34" s="135"/>
      <c r="J34" s="136"/>
      <c r="K34" s="77"/>
      <c r="L34" s="78"/>
      <c r="M34" s="78"/>
      <c r="N34" s="78"/>
      <c r="O34" s="78"/>
      <c r="P34" s="79"/>
      <c r="Z34" s="11"/>
    </row>
    <row r="35" spans="1:26" ht="19.5" customHeight="1" x14ac:dyDescent="0.25">
      <c r="A35" s="9"/>
      <c r="B35" s="45">
        <v>11</v>
      </c>
      <c r="C35" s="77"/>
      <c r="D35" s="78"/>
      <c r="E35" s="78"/>
      <c r="F35" s="78"/>
      <c r="G35" s="79"/>
      <c r="H35" s="134">
        <v>73</v>
      </c>
      <c r="I35" s="135"/>
      <c r="J35" s="136"/>
      <c r="K35" s="77"/>
      <c r="L35" s="78"/>
      <c r="M35" s="78"/>
      <c r="N35" s="78"/>
      <c r="O35" s="78"/>
      <c r="P35" s="79"/>
      <c r="Z35" s="11"/>
    </row>
    <row r="36" spans="1:26" ht="19.5" customHeight="1" x14ac:dyDescent="0.25">
      <c r="A36" s="9"/>
      <c r="B36" s="45">
        <v>12</v>
      </c>
      <c r="C36" s="77"/>
      <c r="D36" s="78"/>
      <c r="E36" s="78"/>
      <c r="F36" s="78"/>
      <c r="G36" s="79"/>
      <c r="H36" s="134">
        <v>34</v>
      </c>
      <c r="I36" s="135"/>
      <c r="J36" s="136"/>
      <c r="K36" s="77"/>
      <c r="L36" s="78"/>
      <c r="M36" s="78"/>
      <c r="N36" s="78"/>
      <c r="O36" s="78"/>
      <c r="P36" s="79"/>
      <c r="Z36" s="11"/>
    </row>
    <row r="37" spans="1:26" ht="19.5" customHeight="1" x14ac:dyDescent="0.25">
      <c r="A37" s="9"/>
      <c r="B37" s="45">
        <v>13</v>
      </c>
      <c r="C37" s="77"/>
      <c r="D37" s="78"/>
      <c r="E37" s="78"/>
      <c r="F37" s="78"/>
      <c r="G37" s="79"/>
      <c r="H37" s="134">
        <v>35</v>
      </c>
      <c r="I37" s="135"/>
      <c r="J37" s="136"/>
      <c r="K37" s="77"/>
      <c r="L37" s="78"/>
      <c r="M37" s="78"/>
      <c r="N37" s="78"/>
      <c r="O37" s="78"/>
      <c r="P37" s="79"/>
      <c r="Z37" s="11"/>
    </row>
    <row r="38" spans="1:26" ht="19.5" customHeight="1" x14ac:dyDescent="0.25">
      <c r="A38" s="9"/>
      <c r="B38" s="45">
        <v>14</v>
      </c>
      <c r="C38" s="77"/>
      <c r="D38" s="78"/>
      <c r="E38" s="78"/>
      <c r="F38" s="78"/>
      <c r="G38" s="79"/>
      <c r="H38" s="134">
        <v>66</v>
      </c>
      <c r="I38" s="135"/>
      <c r="J38" s="136"/>
      <c r="K38" s="77"/>
      <c r="L38" s="78"/>
      <c r="M38" s="78"/>
      <c r="N38" s="78"/>
      <c r="O38" s="78"/>
      <c r="P38" s="79"/>
      <c r="Z38" s="11"/>
    </row>
    <row r="39" spans="1:26" ht="19.5" customHeight="1" x14ac:dyDescent="0.25">
      <c r="A39" s="9"/>
      <c r="B39" s="45">
        <v>15</v>
      </c>
      <c r="C39" s="77"/>
      <c r="D39" s="78"/>
      <c r="E39" s="78"/>
      <c r="F39" s="78"/>
      <c r="G39" s="79"/>
      <c r="H39" s="134">
        <v>41</v>
      </c>
      <c r="I39" s="135"/>
      <c r="J39" s="136"/>
      <c r="K39" s="77"/>
      <c r="L39" s="78"/>
      <c r="M39" s="78"/>
      <c r="N39" s="78"/>
      <c r="O39" s="78"/>
      <c r="P39" s="79"/>
      <c r="Z39" s="11"/>
    </row>
    <row r="40" spans="1:26" ht="19.5" customHeight="1" x14ac:dyDescent="0.25">
      <c r="A40" s="9"/>
      <c r="B40" s="45">
        <v>16</v>
      </c>
      <c r="C40" s="77"/>
      <c r="D40" s="78"/>
      <c r="E40" s="78"/>
      <c r="F40" s="78"/>
      <c r="G40" s="79"/>
      <c r="H40" s="134">
        <v>70</v>
      </c>
      <c r="I40" s="135"/>
      <c r="J40" s="136"/>
      <c r="K40" s="77"/>
      <c r="L40" s="78"/>
      <c r="M40" s="78"/>
      <c r="N40" s="78"/>
      <c r="O40" s="78"/>
      <c r="P40" s="79"/>
      <c r="Z40" s="11"/>
    </row>
    <row r="41" spans="1:26" ht="19.5" customHeight="1" x14ac:dyDescent="0.25">
      <c r="A41" s="9"/>
      <c r="B41" s="45">
        <v>17</v>
      </c>
      <c r="C41" s="77"/>
      <c r="D41" s="78"/>
      <c r="E41" s="78"/>
      <c r="F41" s="78"/>
      <c r="G41" s="79"/>
      <c r="H41" s="134" t="s">
        <v>53</v>
      </c>
      <c r="I41" s="135"/>
      <c r="J41" s="136"/>
      <c r="K41" s="77"/>
      <c r="L41" s="78"/>
      <c r="M41" s="78"/>
      <c r="N41" s="78"/>
      <c r="O41" s="78"/>
      <c r="P41" s="79"/>
      <c r="Z41" s="11"/>
    </row>
    <row r="42" spans="1:26" ht="19.5" customHeight="1" x14ac:dyDescent="0.25">
      <c r="A42" s="9"/>
      <c r="B42" s="45">
        <v>18</v>
      </c>
      <c r="C42" s="77"/>
      <c r="D42" s="78"/>
      <c r="E42" s="78"/>
      <c r="F42" s="78"/>
      <c r="G42" s="79"/>
      <c r="H42" s="134">
        <v>24</v>
      </c>
      <c r="I42" s="135"/>
      <c r="J42" s="136"/>
      <c r="K42" s="77"/>
      <c r="L42" s="78"/>
      <c r="M42" s="78"/>
      <c r="N42" s="78"/>
      <c r="O42" s="78"/>
      <c r="P42" s="79"/>
      <c r="Z42" s="11"/>
    </row>
    <row r="43" spans="1:26" ht="19.5" customHeight="1" x14ac:dyDescent="0.25">
      <c r="A43" s="9"/>
      <c r="B43" s="45">
        <v>19</v>
      </c>
      <c r="C43" s="77"/>
      <c r="D43" s="78"/>
      <c r="E43" s="78"/>
      <c r="F43" s="78"/>
      <c r="G43" s="79"/>
      <c r="H43" s="134">
        <v>27</v>
      </c>
      <c r="I43" s="135"/>
      <c r="J43" s="136"/>
      <c r="K43" s="77"/>
      <c r="L43" s="78"/>
      <c r="M43" s="78"/>
      <c r="N43" s="78"/>
      <c r="O43" s="78"/>
      <c r="P43" s="79"/>
      <c r="Z43" s="11"/>
    </row>
    <row r="44" spans="1:26" ht="19.5" customHeight="1" x14ac:dyDescent="0.25">
      <c r="A44" s="9"/>
      <c r="B44" s="45">
        <v>20</v>
      </c>
      <c r="C44" s="77"/>
      <c r="D44" s="78"/>
      <c r="E44" s="78"/>
      <c r="F44" s="78"/>
      <c r="G44" s="79"/>
      <c r="H44" s="134">
        <v>71</v>
      </c>
      <c r="I44" s="135"/>
      <c r="J44" s="136"/>
      <c r="K44" s="77"/>
      <c r="L44" s="78"/>
      <c r="M44" s="78"/>
      <c r="N44" s="78"/>
      <c r="O44" s="78"/>
      <c r="P44" s="79"/>
      <c r="Z44" s="11"/>
    </row>
    <row r="45" spans="1:26" ht="19.5" customHeight="1" x14ac:dyDescent="0.25">
      <c r="A45" s="9"/>
      <c r="B45" s="45">
        <v>21</v>
      </c>
      <c r="C45" s="77"/>
      <c r="D45" s="78"/>
      <c r="E45" s="78"/>
      <c r="F45" s="78"/>
      <c r="G45" s="79"/>
      <c r="H45" s="134">
        <v>60</v>
      </c>
      <c r="I45" s="135"/>
      <c r="J45" s="136"/>
      <c r="K45" s="77"/>
      <c r="L45" s="78"/>
      <c r="M45" s="78"/>
      <c r="N45" s="78"/>
      <c r="O45" s="78"/>
      <c r="P45" s="79"/>
      <c r="Z45" s="11"/>
    </row>
    <row r="46" spans="1:26" ht="19.5" customHeight="1" x14ac:dyDescent="0.25">
      <c r="A46" s="9"/>
      <c r="B46" s="45">
        <v>22</v>
      </c>
      <c r="C46" s="77"/>
      <c r="D46" s="78"/>
      <c r="E46" s="78"/>
      <c r="F46" s="78"/>
      <c r="G46" s="79"/>
      <c r="H46" s="134">
        <v>75</v>
      </c>
      <c r="I46" s="135"/>
      <c r="J46" s="136"/>
      <c r="K46" s="77"/>
      <c r="L46" s="78"/>
      <c r="M46" s="78"/>
      <c r="N46" s="78"/>
      <c r="O46" s="78"/>
      <c r="P46" s="79"/>
      <c r="Z46" s="11"/>
    </row>
    <row r="47" spans="1:26" ht="19.5" customHeight="1" x14ac:dyDescent="0.25">
      <c r="A47" s="9"/>
      <c r="B47" s="45">
        <v>23</v>
      </c>
      <c r="C47" s="77"/>
      <c r="D47" s="78"/>
      <c r="E47" s="78"/>
      <c r="F47" s="78"/>
      <c r="G47" s="79"/>
      <c r="H47" s="134">
        <v>54</v>
      </c>
      <c r="I47" s="135"/>
      <c r="J47" s="136"/>
      <c r="K47" s="77"/>
      <c r="L47" s="78"/>
      <c r="M47" s="78"/>
      <c r="N47" s="78"/>
      <c r="O47" s="78"/>
      <c r="P47" s="79"/>
      <c r="Z47" s="11"/>
    </row>
    <row r="48" spans="1:26" ht="19.5" customHeight="1" x14ac:dyDescent="0.25">
      <c r="A48" s="9"/>
      <c r="B48" s="45">
        <v>24</v>
      </c>
      <c r="C48" s="77"/>
      <c r="D48" s="78"/>
      <c r="E48" s="78"/>
      <c r="F48" s="78"/>
      <c r="G48" s="79"/>
      <c r="H48" s="134">
        <v>56</v>
      </c>
      <c r="I48" s="135"/>
      <c r="J48" s="136"/>
      <c r="K48" s="77"/>
      <c r="L48" s="78"/>
      <c r="M48" s="78"/>
      <c r="N48" s="78"/>
      <c r="O48" s="78"/>
      <c r="P48" s="79"/>
      <c r="Z48" s="11"/>
    </row>
    <row r="49" spans="1:26" ht="19.5" customHeight="1" x14ac:dyDescent="0.25">
      <c r="A49" s="9"/>
      <c r="B49" s="45">
        <v>25</v>
      </c>
      <c r="C49" s="77"/>
      <c r="D49" s="78"/>
      <c r="E49" s="78"/>
      <c r="F49" s="78"/>
      <c r="G49" s="79"/>
      <c r="H49" s="134">
        <v>34</v>
      </c>
      <c r="I49" s="135"/>
      <c r="J49" s="136"/>
      <c r="K49" s="77"/>
      <c r="L49" s="78"/>
      <c r="M49" s="78"/>
      <c r="N49" s="78"/>
      <c r="O49" s="78"/>
      <c r="P49" s="79"/>
      <c r="Z49" s="11"/>
    </row>
    <row r="50" spans="1:26" ht="19.5" customHeight="1" x14ac:dyDescent="0.25">
      <c r="A50" s="9"/>
      <c r="B50" s="45">
        <v>26</v>
      </c>
      <c r="C50" s="77"/>
      <c r="D50" s="78"/>
      <c r="E50" s="78"/>
      <c r="F50" s="78"/>
      <c r="G50" s="79"/>
      <c r="H50" s="134">
        <v>40</v>
      </c>
      <c r="I50" s="135"/>
      <c r="J50" s="136"/>
      <c r="K50" s="77"/>
      <c r="L50" s="78"/>
      <c r="M50" s="78"/>
      <c r="N50" s="78"/>
      <c r="O50" s="78"/>
      <c r="P50" s="79"/>
      <c r="Z50" s="11"/>
    </row>
    <row r="51" spans="1:26" ht="19.5" customHeight="1" x14ac:dyDescent="0.25">
      <c r="A51" s="9"/>
      <c r="B51" s="45">
        <v>27</v>
      </c>
      <c r="C51" s="77"/>
      <c r="D51" s="78"/>
      <c r="E51" s="78"/>
      <c r="F51" s="78"/>
      <c r="G51" s="79"/>
      <c r="H51" s="134">
        <v>56</v>
      </c>
      <c r="I51" s="135"/>
      <c r="J51" s="136"/>
      <c r="K51" s="77"/>
      <c r="L51" s="78"/>
      <c r="M51" s="78"/>
      <c r="N51" s="78"/>
      <c r="O51" s="78"/>
      <c r="P51" s="79"/>
      <c r="Z51" s="11"/>
    </row>
    <row r="52" spans="1:26" ht="19.5" customHeight="1" x14ac:dyDescent="0.25">
      <c r="A52" s="9"/>
      <c r="B52" s="45">
        <v>28</v>
      </c>
      <c r="C52" s="77"/>
      <c r="D52" s="78"/>
      <c r="E52" s="78"/>
      <c r="F52" s="78"/>
      <c r="G52" s="79"/>
      <c r="H52" s="134">
        <v>52</v>
      </c>
      <c r="I52" s="135"/>
      <c r="J52" s="136"/>
      <c r="K52" s="77"/>
      <c r="L52" s="78"/>
      <c r="M52" s="78"/>
      <c r="N52" s="78"/>
      <c r="O52" s="78"/>
      <c r="P52" s="79"/>
      <c r="Z52" s="11"/>
    </row>
    <row r="53" spans="1:26" ht="19.5" customHeight="1" x14ac:dyDescent="0.25">
      <c r="A53" s="9"/>
      <c r="B53" s="45">
        <v>29</v>
      </c>
      <c r="C53" s="77"/>
      <c r="D53" s="78"/>
      <c r="E53" s="78"/>
      <c r="F53" s="78"/>
      <c r="G53" s="79"/>
      <c r="H53" s="134">
        <v>35</v>
      </c>
      <c r="I53" s="135"/>
      <c r="J53" s="136"/>
      <c r="K53" s="77"/>
      <c r="L53" s="78"/>
      <c r="M53" s="78"/>
      <c r="N53" s="78"/>
      <c r="O53" s="78"/>
      <c r="P53" s="79"/>
      <c r="Z53" s="11"/>
    </row>
    <row r="54" spans="1:26" ht="19.5" customHeight="1" x14ac:dyDescent="0.25">
      <c r="A54" s="9"/>
      <c r="B54" s="45">
        <v>30</v>
      </c>
      <c r="C54" s="77"/>
      <c r="D54" s="78"/>
      <c r="E54" s="78"/>
      <c r="F54" s="78"/>
      <c r="G54" s="79"/>
      <c r="H54" s="134">
        <v>33</v>
      </c>
      <c r="I54" s="135"/>
      <c r="J54" s="136"/>
      <c r="K54" s="77"/>
      <c r="L54" s="78"/>
      <c r="M54" s="78"/>
      <c r="N54" s="78"/>
      <c r="O54" s="78"/>
      <c r="P54" s="79"/>
      <c r="Z54" s="11"/>
    </row>
    <row r="55" spans="1:26" ht="19.5" customHeight="1" thickBot="1" x14ac:dyDescent="0.3">
      <c r="A55" s="9"/>
      <c r="B55" s="46"/>
      <c r="C55" s="102"/>
      <c r="D55" s="102"/>
      <c r="E55" s="102"/>
      <c r="F55" s="102"/>
      <c r="G55" s="103"/>
      <c r="H55" s="98"/>
      <c r="I55" s="99"/>
      <c r="J55" s="100"/>
      <c r="K55" s="101"/>
      <c r="L55" s="102"/>
      <c r="M55" s="102"/>
      <c r="N55" s="102"/>
      <c r="O55" s="102"/>
      <c r="P55" s="103"/>
      <c r="Z55" s="11"/>
    </row>
    <row r="56" spans="1:26" ht="15.75" customHeight="1" x14ac:dyDescent="0.25">
      <c r="A56" s="9"/>
      <c r="B56" s="164" t="s">
        <v>37</v>
      </c>
      <c r="C56" s="165"/>
      <c r="D56" s="165"/>
      <c r="E56" s="165"/>
      <c r="F56" s="165"/>
      <c r="G56" s="166"/>
      <c r="H56" s="185">
        <f>AVERAGE(H25:J55)</f>
        <v>50.379310344827587</v>
      </c>
      <c r="I56" s="186"/>
      <c r="J56" s="187"/>
      <c r="K56" s="86"/>
      <c r="L56" s="87"/>
      <c r="M56" s="80" t="s">
        <v>38</v>
      </c>
      <c r="N56" s="80"/>
      <c r="O56" s="80"/>
      <c r="P56" s="81"/>
      <c r="Z56" s="11"/>
    </row>
    <row r="57" spans="1:26" ht="15.75" customHeight="1" x14ac:dyDescent="0.25">
      <c r="A57" s="9"/>
      <c r="B57" s="158" t="s">
        <v>39</v>
      </c>
      <c r="C57" s="159"/>
      <c r="D57" s="159"/>
      <c r="E57" s="159"/>
      <c r="F57" s="159"/>
      <c r="G57" s="160"/>
      <c r="H57" s="188" t="str">
        <f>IF(COUNTIF(H25:J55,"*&lt;20*"),"&lt;20",MIN(H25:J55))</f>
        <v>&lt;20</v>
      </c>
      <c r="I57" s="189"/>
      <c r="J57" s="190"/>
      <c r="K57" s="88"/>
      <c r="L57" s="89"/>
      <c r="M57" s="82"/>
      <c r="N57" s="82"/>
      <c r="O57" s="82"/>
      <c r="P57" s="83"/>
      <c r="Z57" s="11"/>
    </row>
    <row r="58" spans="1:26" ht="15.75" customHeight="1" thickBot="1" x14ac:dyDescent="0.3">
      <c r="A58" s="9"/>
      <c r="B58" s="161" t="s">
        <v>40</v>
      </c>
      <c r="C58" s="162"/>
      <c r="D58" s="162"/>
      <c r="E58" s="162"/>
      <c r="F58" s="162"/>
      <c r="G58" s="163"/>
      <c r="H58" s="182">
        <f>IF(COUNTIF(H25:J55,"*&gt;250*"),"&gt;250",MAX(H25:J55))</f>
        <v>75</v>
      </c>
      <c r="I58" s="183"/>
      <c r="J58" s="184"/>
      <c r="K58" s="90"/>
      <c r="L58" s="91"/>
      <c r="M58" s="84"/>
      <c r="N58" s="84"/>
      <c r="O58" s="84"/>
      <c r="P58" s="85"/>
      <c r="Z58" s="11"/>
    </row>
    <row r="59" spans="1:26" ht="15.9" customHeight="1" x14ac:dyDescent="0.25">
      <c r="A59" s="35"/>
      <c r="B59" s="4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6"/>
    </row>
    <row r="60" spans="1:26" ht="12.75" customHeight="1" x14ac:dyDescent="0.25">
      <c r="A60" s="36"/>
      <c r="B60" s="37"/>
    </row>
    <row r="61" spans="1:26" s="17" customFormat="1" ht="15.6" customHeight="1" x14ac:dyDescent="0.25">
      <c r="A61" s="48" t="s">
        <v>41</v>
      </c>
      <c r="B61" s="5" t="s">
        <v>42</v>
      </c>
      <c r="C61" s="49"/>
      <c r="D61" s="49"/>
      <c r="E61" s="49"/>
      <c r="F61" s="50"/>
      <c r="G61" s="50"/>
      <c r="H61" s="5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51"/>
      <c r="V61" s="52"/>
      <c r="W61" s="52"/>
      <c r="X61" s="42"/>
      <c r="Y61" s="42"/>
      <c r="Z61" s="43"/>
    </row>
    <row r="62" spans="1:26" s="17" customFormat="1" ht="28.5" customHeight="1" x14ac:dyDescent="0.25">
      <c r="A62" s="149" t="s">
        <v>43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43" t="s">
        <v>44</v>
      </c>
      <c r="S62" s="144"/>
      <c r="T62" s="145"/>
      <c r="U62" s="167" t="s">
        <v>45</v>
      </c>
      <c r="V62" s="168"/>
      <c r="W62" s="168"/>
      <c r="X62" s="169"/>
      <c r="Y62" s="169"/>
      <c r="Z62" s="170"/>
    </row>
    <row r="63" spans="1:26" s="17" customFormat="1" ht="15.6" customHeight="1" x14ac:dyDescent="0.25">
      <c r="A63" s="152" t="s">
        <v>51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4"/>
      <c r="R63" s="143" t="s">
        <v>46</v>
      </c>
      <c r="S63" s="144"/>
      <c r="T63" s="145"/>
      <c r="U63" s="171" t="s">
        <v>47</v>
      </c>
      <c r="V63" s="172"/>
      <c r="W63" s="172"/>
      <c r="X63" s="173"/>
      <c r="Y63" s="173"/>
      <c r="Z63" s="174"/>
    </row>
    <row r="64" spans="1:26" s="17" customFormat="1" ht="15.6" customHeight="1" x14ac:dyDescent="0.25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7"/>
      <c r="R64" s="143"/>
      <c r="S64" s="144"/>
      <c r="T64" s="145"/>
      <c r="U64" s="175"/>
      <c r="V64" s="82"/>
      <c r="W64" s="82"/>
      <c r="X64" s="176"/>
      <c r="Y64" s="176"/>
      <c r="Z64" s="177"/>
    </row>
    <row r="65" spans="1:26" s="17" customFormat="1" ht="15.6" customHeight="1" x14ac:dyDescent="0.25">
      <c r="A65" s="55" t="s">
        <v>48</v>
      </c>
      <c r="B65" s="56" t="s">
        <v>49</v>
      </c>
      <c r="C65" s="1"/>
      <c r="D65" s="1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7"/>
      <c r="R65" s="143"/>
      <c r="S65" s="144"/>
      <c r="T65" s="145"/>
      <c r="U65" s="178"/>
      <c r="V65" s="179"/>
      <c r="W65" s="179"/>
      <c r="X65" s="180"/>
      <c r="Y65" s="180"/>
      <c r="Z65" s="181"/>
    </row>
    <row r="66" spans="1:26" s="17" customFormat="1" ht="15.6" customHeight="1" x14ac:dyDescent="0.25">
      <c r="A66" s="137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9"/>
      <c r="R66" s="143" t="s">
        <v>50</v>
      </c>
      <c r="S66" s="144"/>
      <c r="T66" s="145"/>
      <c r="U66" s="58"/>
      <c r="V66" s="59"/>
      <c r="W66" s="59"/>
      <c r="X66" s="59"/>
      <c r="Y66" s="59"/>
      <c r="Z66" s="60"/>
    </row>
    <row r="67" spans="1:26" s="17" customFormat="1" ht="15.6" customHeight="1" x14ac:dyDescent="0.25">
      <c r="A67" s="137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  <c r="R67" s="143"/>
      <c r="S67" s="144"/>
      <c r="T67" s="145"/>
      <c r="U67" s="61"/>
      <c r="V67" s="82"/>
      <c r="W67" s="82"/>
      <c r="X67" s="82"/>
      <c r="Y67" s="82"/>
      <c r="Z67" s="62"/>
    </row>
    <row r="68" spans="1:26" s="17" customFormat="1" ht="15.6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9"/>
      <c r="R68" s="143"/>
      <c r="S68" s="144"/>
      <c r="T68" s="145"/>
      <c r="U68" s="61"/>
      <c r="V68" s="82"/>
      <c r="W68" s="82"/>
      <c r="X68" s="82"/>
      <c r="Y68" s="82"/>
      <c r="Z68" s="62"/>
    </row>
    <row r="69" spans="1:26" s="17" customFormat="1" ht="15.6" customHeight="1" x14ac:dyDescent="0.25">
      <c r="A69" s="140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2"/>
      <c r="R69" s="146"/>
      <c r="S69" s="147"/>
      <c r="T69" s="148"/>
      <c r="U69" s="63"/>
      <c r="V69" s="64"/>
      <c r="W69" s="64"/>
      <c r="X69" s="64"/>
      <c r="Y69" s="64"/>
      <c r="Z69" s="65"/>
    </row>
    <row r="70" spans="1:26" s="17" customFormat="1" ht="15" customHeight="1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54"/>
      <c r="S70" s="54"/>
      <c r="T70" s="54"/>
      <c r="U70" s="41"/>
      <c r="V70" s="41"/>
      <c r="W70" s="41"/>
      <c r="X70" s="41"/>
      <c r="Y70" s="41"/>
      <c r="Z70" s="4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A63:Q64"/>
    <mergeCell ref="R63:T65"/>
    <mergeCell ref="U63:Z65"/>
    <mergeCell ref="C33:G33"/>
    <mergeCell ref="H33:J33"/>
    <mergeCell ref="K33:P33"/>
    <mergeCell ref="H57:J57"/>
    <mergeCell ref="B17:H17"/>
    <mergeCell ref="K28:P28"/>
    <mergeCell ref="C29:G29"/>
    <mergeCell ref="H29:J29"/>
    <mergeCell ref="K29:P29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A62:Q62"/>
    <mergeCell ref="R62:T62"/>
    <mergeCell ref="U1:Z6"/>
    <mergeCell ref="K25:P25"/>
    <mergeCell ref="M56:P58"/>
    <mergeCell ref="K56:L58"/>
    <mergeCell ref="S12:Y12"/>
    <mergeCell ref="K23:P24"/>
    <mergeCell ref="I17:Y17"/>
    <mergeCell ref="S11:Y11"/>
    <mergeCell ref="H55:J55"/>
    <mergeCell ref="K55:P55"/>
    <mergeCell ref="G5:H5"/>
    <mergeCell ref="U62:Z62"/>
    <mergeCell ref="N12:R12"/>
    <mergeCell ref="H12:M12"/>
    <mergeCell ref="H11:M11"/>
    <mergeCell ref="N11:R11"/>
    <mergeCell ref="B12:G12"/>
    <mergeCell ref="B11:G11"/>
    <mergeCell ref="C42:G42"/>
    <mergeCell ref="H42:J42"/>
    <mergeCell ref="K42:P42"/>
    <mergeCell ref="C43:G43"/>
    <mergeCell ref="H43:J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A66:Q69"/>
    <mergeCell ref="R66:T69"/>
    <mergeCell ref="K26:P26"/>
    <mergeCell ref="C27:G27"/>
    <mergeCell ref="H27:J27"/>
    <mergeCell ref="K27:P27"/>
    <mergeCell ref="C55:G55"/>
    <mergeCell ref="B57:G57"/>
    <mergeCell ref="B58:G58"/>
    <mergeCell ref="B56:G56"/>
    <mergeCell ref="C26:G26"/>
    <mergeCell ref="H26:J26"/>
    <mergeCell ref="C28:G28"/>
    <mergeCell ref="H28:J28"/>
    <mergeCell ref="H58:J58"/>
    <mergeCell ref="H56:J56"/>
    <mergeCell ref="K35:P35"/>
    <mergeCell ref="C36:G36"/>
    <mergeCell ref="H36:J36"/>
    <mergeCell ref="K36:P36"/>
    <mergeCell ref="C37:G37"/>
    <mergeCell ref="H37:J37"/>
    <mergeCell ref="K37:P37"/>
    <mergeCell ref="C38:G38"/>
    <mergeCell ref="V67:Y6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4:G34"/>
    <mergeCell ref="H34:J34"/>
    <mergeCell ref="K34:P34"/>
    <mergeCell ref="C35:G35"/>
    <mergeCell ref="H35:J35"/>
    <mergeCell ref="K43:P43"/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C47:G47"/>
    <mergeCell ref="H47:J47"/>
    <mergeCell ref="K47:P47"/>
    <mergeCell ref="C48:G48"/>
    <mergeCell ref="H48:J48"/>
    <mergeCell ref="K48:P48"/>
    <mergeCell ref="C49:G49"/>
    <mergeCell ref="H49:J49"/>
    <mergeCell ref="K49:P49"/>
    <mergeCell ref="C50:G50"/>
    <mergeCell ref="H50:J50"/>
    <mergeCell ref="K50:P50"/>
    <mergeCell ref="C54:G54"/>
    <mergeCell ref="H54:J54"/>
    <mergeCell ref="K54:P54"/>
    <mergeCell ref="C51:G51"/>
    <mergeCell ref="H51:J51"/>
    <mergeCell ref="K51:P51"/>
    <mergeCell ref="C52:G52"/>
    <mergeCell ref="H52:J52"/>
    <mergeCell ref="K52:P52"/>
    <mergeCell ref="C53:G53"/>
    <mergeCell ref="H53:J53"/>
    <mergeCell ref="K53:P53"/>
  </mergeCells>
  <phoneticPr fontId="12" type="noConversion"/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8"/>
  <sheetViews>
    <sheetView workbookViewId="0">
      <selection activeCell="G75" sqref="G7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4"/>
      <c r="B1" s="115"/>
      <c r="C1" s="115"/>
      <c r="D1" s="115"/>
      <c r="E1" s="115"/>
      <c r="F1" s="116"/>
      <c r="G1" s="123" t="s">
        <v>0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68" t="s">
        <v>1</v>
      </c>
      <c r="V1" s="69"/>
      <c r="W1" s="69"/>
      <c r="X1" s="69"/>
      <c r="Y1" s="69"/>
      <c r="Z1" s="70"/>
    </row>
    <row r="2" spans="1:26" ht="12.75" customHeight="1" x14ac:dyDescent="0.25">
      <c r="A2" s="117"/>
      <c r="B2" s="118"/>
      <c r="C2" s="118"/>
      <c r="D2" s="118"/>
      <c r="E2" s="118"/>
      <c r="F2" s="119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71"/>
      <c r="V2" s="72"/>
      <c r="W2" s="72"/>
      <c r="X2" s="72"/>
      <c r="Y2" s="72"/>
      <c r="Z2" s="73"/>
    </row>
    <row r="3" spans="1:26" ht="12.75" customHeight="1" x14ac:dyDescent="0.25">
      <c r="A3" s="117"/>
      <c r="B3" s="118"/>
      <c r="C3" s="118"/>
      <c r="D3" s="118"/>
      <c r="E3" s="118"/>
      <c r="F3" s="119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71"/>
      <c r="V3" s="72"/>
      <c r="W3" s="72"/>
      <c r="X3" s="72"/>
      <c r="Y3" s="72"/>
      <c r="Z3" s="73"/>
    </row>
    <row r="4" spans="1:26" ht="12.75" customHeight="1" x14ac:dyDescent="0.25">
      <c r="A4" s="117"/>
      <c r="B4" s="118"/>
      <c r="C4" s="118"/>
      <c r="D4" s="118"/>
      <c r="E4" s="118"/>
      <c r="F4" s="119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71"/>
      <c r="V4" s="72"/>
      <c r="W4" s="72"/>
      <c r="X4" s="72"/>
      <c r="Y4" s="72"/>
      <c r="Z4" s="73"/>
    </row>
    <row r="5" spans="1:26" ht="12.75" customHeight="1" x14ac:dyDescent="0.25">
      <c r="A5" s="117"/>
      <c r="B5" s="118"/>
      <c r="C5" s="118"/>
      <c r="D5" s="118"/>
      <c r="E5" s="118"/>
      <c r="F5" s="119"/>
      <c r="G5" s="129" t="s">
        <v>3</v>
      </c>
      <c r="H5" s="130"/>
      <c r="I5" s="104">
        <v>1</v>
      </c>
      <c r="J5" s="104"/>
      <c r="K5" s="105"/>
      <c r="L5" s="107" t="s">
        <v>4</v>
      </c>
      <c r="M5" s="108"/>
      <c r="N5" s="108"/>
      <c r="O5" s="109"/>
      <c r="P5" s="110" t="s">
        <v>5</v>
      </c>
      <c r="Q5" s="111"/>
      <c r="R5" s="111"/>
      <c r="S5" s="111"/>
      <c r="T5" s="112"/>
      <c r="U5" s="71"/>
      <c r="V5" s="72"/>
      <c r="W5" s="72"/>
      <c r="X5" s="72"/>
      <c r="Y5" s="72"/>
      <c r="Z5" s="73"/>
    </row>
    <row r="6" spans="1:26" ht="12.75" customHeight="1" x14ac:dyDescent="0.25">
      <c r="A6" s="120"/>
      <c r="B6" s="121"/>
      <c r="C6" s="121"/>
      <c r="D6" s="121"/>
      <c r="E6" s="121"/>
      <c r="F6" s="122"/>
      <c r="G6" s="2"/>
      <c r="H6" s="3"/>
      <c r="I6" s="106" t="s">
        <v>6</v>
      </c>
      <c r="J6" s="106"/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13"/>
      <c r="U6" s="74"/>
      <c r="V6" s="75"/>
      <c r="W6" s="75"/>
      <c r="X6" s="75"/>
      <c r="Y6" s="75"/>
      <c r="Z6" s="76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7" t="s">
        <v>13</v>
      </c>
      <c r="C10" s="67"/>
      <c r="D10" s="67"/>
      <c r="E10" s="67"/>
      <c r="F10" s="67"/>
      <c r="G10" s="67"/>
      <c r="H10" s="133" t="s">
        <v>14</v>
      </c>
      <c r="I10" s="133"/>
      <c r="J10" s="133"/>
      <c r="K10" s="133"/>
      <c r="L10" s="133"/>
      <c r="M10" s="133"/>
      <c r="N10" s="67" t="s">
        <v>15</v>
      </c>
      <c r="O10" s="67"/>
      <c r="P10" s="67"/>
      <c r="Q10" s="67"/>
      <c r="R10" s="67"/>
      <c r="S10" s="92" t="s">
        <v>16</v>
      </c>
      <c r="T10" s="92"/>
      <c r="U10" s="92"/>
      <c r="V10" s="92"/>
      <c r="W10" s="92"/>
      <c r="X10" s="92"/>
      <c r="Y10" s="92"/>
      <c r="Z10" s="12"/>
    </row>
    <row r="11" spans="1:26" ht="15.9" customHeight="1" x14ac:dyDescent="0.25">
      <c r="A11" s="9"/>
      <c r="B11" s="67" t="s">
        <v>17</v>
      </c>
      <c r="C11" s="67"/>
      <c r="D11" s="67"/>
      <c r="E11" s="67"/>
      <c r="F11" s="67"/>
      <c r="G11" s="67"/>
      <c r="H11" s="133" t="s">
        <v>5</v>
      </c>
      <c r="I11" s="133"/>
      <c r="J11" s="133"/>
      <c r="K11" s="133"/>
      <c r="L11" s="133"/>
      <c r="M11" s="133"/>
      <c r="N11" s="67" t="s">
        <v>18</v>
      </c>
      <c r="O11" s="67"/>
      <c r="P11" s="67"/>
      <c r="Q11" s="67"/>
      <c r="R11" s="67"/>
      <c r="S11" s="92" t="s">
        <v>19</v>
      </c>
      <c r="T11" s="92"/>
      <c r="U11" s="92"/>
      <c r="V11" s="92"/>
      <c r="W11" s="92"/>
      <c r="X11" s="92"/>
      <c r="Y11" s="92"/>
      <c r="Z11" s="12"/>
    </row>
    <row r="12" spans="1:26" ht="15.9" customHeight="1" x14ac:dyDescent="0.25">
      <c r="A12" s="9"/>
      <c r="B12" s="67" t="s">
        <v>20</v>
      </c>
      <c r="C12" s="67"/>
      <c r="D12" s="67"/>
      <c r="E12" s="67"/>
      <c r="F12" s="67"/>
      <c r="G12" s="67"/>
      <c r="H12" s="133" t="s">
        <v>52</v>
      </c>
      <c r="I12" s="133"/>
      <c r="J12" s="133"/>
      <c r="K12" s="133"/>
      <c r="L12" s="133"/>
      <c r="M12" s="133"/>
      <c r="N12" s="67" t="s">
        <v>21</v>
      </c>
      <c r="O12" s="67"/>
      <c r="P12" s="67"/>
      <c r="Q12" s="67"/>
      <c r="R12" s="67"/>
      <c r="S12" s="92" t="s">
        <v>22</v>
      </c>
      <c r="T12" s="92"/>
      <c r="U12" s="92"/>
      <c r="V12" s="92"/>
      <c r="W12" s="92"/>
      <c r="X12" s="92"/>
      <c r="Y12" s="9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" t="s">
        <v>25</v>
      </c>
      <c r="C17" s="66"/>
      <c r="D17" s="66"/>
      <c r="E17" s="66"/>
      <c r="F17" s="66"/>
      <c r="G17" s="66"/>
      <c r="H17" s="66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28"/>
    </row>
    <row r="18" spans="1:26" s="17" customFormat="1" ht="15" customHeight="1" x14ac:dyDescent="0.25">
      <c r="A18" s="24"/>
      <c r="B18" s="66" t="s">
        <v>26</v>
      </c>
      <c r="C18" s="66"/>
      <c r="D18" s="66"/>
      <c r="E18" s="66"/>
      <c r="F18" s="66"/>
      <c r="G18" s="66"/>
      <c r="H18" s="66"/>
      <c r="I18" s="191" t="s">
        <v>27</v>
      </c>
      <c r="J18" s="191"/>
      <c r="K18" s="27">
        <v>80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200" t="s">
        <v>31</v>
      </c>
      <c r="K21" s="200"/>
      <c r="L21" s="200"/>
      <c r="M21" s="200"/>
      <c r="N21" s="200"/>
      <c r="O21" s="200"/>
      <c r="P21" s="20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98" t="s">
        <v>32</v>
      </c>
      <c r="C23" s="93" t="s">
        <v>33</v>
      </c>
      <c r="D23" s="93"/>
      <c r="E23" s="93"/>
      <c r="F23" s="93"/>
      <c r="G23" s="94"/>
      <c r="H23" s="195" t="s">
        <v>34</v>
      </c>
      <c r="I23" s="196"/>
      <c r="J23" s="197"/>
      <c r="K23" s="93" t="s">
        <v>35</v>
      </c>
      <c r="L23" s="93"/>
      <c r="M23" s="93"/>
      <c r="N23" s="93"/>
      <c r="O23" s="93"/>
      <c r="P23" s="94"/>
      <c r="Z23" s="11"/>
    </row>
    <row r="24" spans="1:26" ht="15.75" customHeight="1" x14ac:dyDescent="0.25">
      <c r="A24" s="9"/>
      <c r="B24" s="199"/>
      <c r="C24" s="95"/>
      <c r="D24" s="95"/>
      <c r="E24" s="95"/>
      <c r="F24" s="95"/>
      <c r="G24" s="96"/>
      <c r="H24" s="192" t="s">
        <v>36</v>
      </c>
      <c r="I24" s="193"/>
      <c r="J24" s="194"/>
      <c r="K24" s="95"/>
      <c r="L24" s="95"/>
      <c r="M24" s="95"/>
      <c r="N24" s="95"/>
      <c r="O24" s="95"/>
      <c r="P24" s="96"/>
      <c r="Z24" s="11"/>
    </row>
    <row r="25" spans="1:26" ht="19.5" customHeight="1" x14ac:dyDescent="0.25">
      <c r="A25" s="9"/>
      <c r="B25" s="45">
        <v>1</v>
      </c>
      <c r="C25" s="77"/>
      <c r="D25" s="78"/>
      <c r="E25" s="78"/>
      <c r="F25" s="78"/>
      <c r="G25" s="79"/>
      <c r="H25" s="134">
        <v>67</v>
      </c>
      <c r="I25" s="135"/>
      <c r="J25" s="136"/>
      <c r="K25" s="77"/>
      <c r="L25" s="78"/>
      <c r="M25" s="78"/>
      <c r="N25" s="78"/>
      <c r="O25" s="78"/>
      <c r="P25" s="79"/>
      <c r="Z25" s="11"/>
    </row>
    <row r="26" spans="1:26" ht="19.5" customHeight="1" x14ac:dyDescent="0.25">
      <c r="A26" s="9"/>
      <c r="B26" s="45">
        <v>2</v>
      </c>
      <c r="C26" s="77"/>
      <c r="D26" s="78"/>
      <c r="E26" s="78"/>
      <c r="F26" s="78"/>
      <c r="G26" s="79"/>
      <c r="H26" s="134">
        <v>55</v>
      </c>
      <c r="I26" s="135"/>
      <c r="J26" s="136"/>
      <c r="K26" s="77"/>
      <c r="L26" s="78"/>
      <c r="M26" s="78"/>
      <c r="N26" s="78"/>
      <c r="O26" s="78"/>
      <c r="P26" s="79"/>
      <c r="Z26" s="11"/>
    </row>
    <row r="27" spans="1:26" ht="19.5" customHeight="1" x14ac:dyDescent="0.25">
      <c r="A27" s="9"/>
      <c r="B27" s="45">
        <v>3</v>
      </c>
      <c r="C27" s="77"/>
      <c r="D27" s="78"/>
      <c r="E27" s="78"/>
      <c r="F27" s="78"/>
      <c r="G27" s="79"/>
      <c r="H27" s="134">
        <v>65</v>
      </c>
      <c r="I27" s="135"/>
      <c r="J27" s="136"/>
      <c r="K27" s="77"/>
      <c r="L27" s="78"/>
      <c r="M27" s="78"/>
      <c r="N27" s="78"/>
      <c r="O27" s="78"/>
      <c r="P27" s="79"/>
      <c r="Z27" s="11"/>
    </row>
    <row r="28" spans="1:26" ht="19.5" customHeight="1" x14ac:dyDescent="0.25">
      <c r="A28" s="9"/>
      <c r="B28" s="45">
        <v>4</v>
      </c>
      <c r="C28" s="77"/>
      <c r="D28" s="78"/>
      <c r="E28" s="78"/>
      <c r="F28" s="78"/>
      <c r="G28" s="79"/>
      <c r="H28" s="134">
        <v>94</v>
      </c>
      <c r="I28" s="135"/>
      <c r="J28" s="136"/>
      <c r="K28" s="77"/>
      <c r="L28" s="78"/>
      <c r="M28" s="78"/>
      <c r="N28" s="78"/>
      <c r="O28" s="78"/>
      <c r="P28" s="79"/>
      <c r="Z28" s="11"/>
    </row>
    <row r="29" spans="1:26" ht="19.5" customHeight="1" x14ac:dyDescent="0.25">
      <c r="A29" s="9"/>
      <c r="B29" s="45">
        <v>5</v>
      </c>
      <c r="C29" s="77"/>
      <c r="D29" s="78"/>
      <c r="E29" s="78"/>
      <c r="F29" s="78"/>
      <c r="G29" s="79"/>
      <c r="H29" s="134">
        <v>101</v>
      </c>
      <c r="I29" s="135"/>
      <c r="J29" s="136"/>
      <c r="K29" s="77"/>
      <c r="L29" s="78"/>
      <c r="M29" s="78"/>
      <c r="N29" s="78"/>
      <c r="O29" s="78"/>
      <c r="P29" s="79"/>
      <c r="Z29" s="11"/>
    </row>
    <row r="30" spans="1:26" ht="19.5" customHeight="1" x14ac:dyDescent="0.25">
      <c r="A30" s="9"/>
      <c r="B30" s="45">
        <v>6</v>
      </c>
      <c r="C30" s="77"/>
      <c r="D30" s="78"/>
      <c r="E30" s="78"/>
      <c r="F30" s="78"/>
      <c r="G30" s="79"/>
      <c r="H30" s="134">
        <v>77</v>
      </c>
      <c r="I30" s="135"/>
      <c r="J30" s="136"/>
      <c r="K30" s="77"/>
      <c r="L30" s="78"/>
      <c r="M30" s="78"/>
      <c r="N30" s="78"/>
      <c r="O30" s="78"/>
      <c r="P30" s="79"/>
      <c r="Z30" s="11"/>
    </row>
    <row r="31" spans="1:26" ht="19.5" customHeight="1" x14ac:dyDescent="0.25">
      <c r="A31" s="9"/>
      <c r="B31" s="45">
        <v>7</v>
      </c>
      <c r="C31" s="77"/>
      <c r="D31" s="78"/>
      <c r="E31" s="78"/>
      <c r="F31" s="78"/>
      <c r="G31" s="79"/>
      <c r="H31" s="134">
        <v>76</v>
      </c>
      <c r="I31" s="135"/>
      <c r="J31" s="136"/>
      <c r="K31" s="77"/>
      <c r="L31" s="78"/>
      <c r="M31" s="78"/>
      <c r="N31" s="78"/>
      <c r="O31" s="78"/>
      <c r="P31" s="79"/>
      <c r="Z31" s="11"/>
    </row>
    <row r="32" spans="1:26" ht="19.5" customHeight="1" x14ac:dyDescent="0.25">
      <c r="A32" s="9"/>
      <c r="B32" s="45">
        <v>8</v>
      </c>
      <c r="C32" s="77"/>
      <c r="D32" s="78"/>
      <c r="E32" s="78"/>
      <c r="F32" s="78"/>
      <c r="G32" s="79"/>
      <c r="H32" s="134">
        <v>84</v>
      </c>
      <c r="I32" s="135"/>
      <c r="J32" s="136"/>
      <c r="K32" s="77"/>
      <c r="L32" s="78"/>
      <c r="M32" s="78"/>
      <c r="N32" s="78"/>
      <c r="O32" s="78"/>
      <c r="P32" s="79"/>
      <c r="Z32" s="11"/>
    </row>
    <row r="33" spans="1:26" ht="19.5" customHeight="1" x14ac:dyDescent="0.25">
      <c r="A33" s="9"/>
      <c r="B33" s="45">
        <v>9</v>
      </c>
      <c r="C33" s="77"/>
      <c r="D33" s="78"/>
      <c r="E33" s="78"/>
      <c r="F33" s="78"/>
      <c r="G33" s="79"/>
      <c r="H33" s="134">
        <v>73</v>
      </c>
      <c r="I33" s="135"/>
      <c r="J33" s="136"/>
      <c r="K33" s="77"/>
      <c r="L33" s="78"/>
      <c r="M33" s="78"/>
      <c r="N33" s="78"/>
      <c r="O33" s="78"/>
      <c r="P33" s="79"/>
      <c r="Z33" s="11"/>
    </row>
    <row r="34" spans="1:26" ht="19.5" customHeight="1" x14ac:dyDescent="0.25">
      <c r="A34" s="9"/>
      <c r="B34" s="45">
        <v>10</v>
      </c>
      <c r="C34" s="77"/>
      <c r="D34" s="78"/>
      <c r="E34" s="78"/>
      <c r="F34" s="78"/>
      <c r="G34" s="79"/>
      <c r="H34" s="134">
        <v>70</v>
      </c>
      <c r="I34" s="135"/>
      <c r="J34" s="136"/>
      <c r="K34" s="77"/>
      <c r="L34" s="78"/>
      <c r="M34" s="78"/>
      <c r="N34" s="78"/>
      <c r="O34" s="78"/>
      <c r="P34" s="79"/>
      <c r="Z34" s="11"/>
    </row>
    <row r="35" spans="1:26" ht="19.5" customHeight="1" x14ac:dyDescent="0.25">
      <c r="A35" s="9"/>
      <c r="B35" s="45">
        <v>11</v>
      </c>
      <c r="C35" s="77"/>
      <c r="D35" s="78"/>
      <c r="E35" s="78"/>
      <c r="F35" s="78"/>
      <c r="G35" s="79"/>
      <c r="H35" s="134">
        <v>131</v>
      </c>
      <c r="I35" s="135"/>
      <c r="J35" s="136"/>
      <c r="K35" s="77"/>
      <c r="L35" s="78"/>
      <c r="M35" s="78"/>
      <c r="N35" s="78"/>
      <c r="O35" s="78"/>
      <c r="P35" s="79"/>
      <c r="Z35" s="11"/>
    </row>
    <row r="36" spans="1:26" ht="19.5" customHeight="1" x14ac:dyDescent="0.25">
      <c r="A36" s="9"/>
      <c r="B36" s="45">
        <v>12</v>
      </c>
      <c r="C36" s="77"/>
      <c r="D36" s="78"/>
      <c r="E36" s="78"/>
      <c r="F36" s="78"/>
      <c r="G36" s="79"/>
      <c r="H36" s="134">
        <v>139</v>
      </c>
      <c r="I36" s="135"/>
      <c r="J36" s="136"/>
      <c r="K36" s="77"/>
      <c r="L36" s="78"/>
      <c r="M36" s="78"/>
      <c r="N36" s="78"/>
      <c r="O36" s="78"/>
      <c r="P36" s="79"/>
      <c r="Z36" s="11"/>
    </row>
    <row r="37" spans="1:26" ht="19.5" customHeight="1" x14ac:dyDescent="0.25">
      <c r="A37" s="9"/>
      <c r="B37" s="45">
        <v>13</v>
      </c>
      <c r="C37" s="77"/>
      <c r="D37" s="78"/>
      <c r="E37" s="78"/>
      <c r="F37" s="78"/>
      <c r="G37" s="79"/>
      <c r="H37" s="134">
        <v>90</v>
      </c>
      <c r="I37" s="135"/>
      <c r="J37" s="136"/>
      <c r="K37" s="77"/>
      <c r="L37" s="78"/>
      <c r="M37" s="78"/>
      <c r="N37" s="78"/>
      <c r="O37" s="78"/>
      <c r="P37" s="79"/>
      <c r="Z37" s="11"/>
    </row>
    <row r="38" spans="1:26" ht="19.5" customHeight="1" x14ac:dyDescent="0.25">
      <c r="A38" s="9"/>
      <c r="B38" s="45">
        <v>14</v>
      </c>
      <c r="C38" s="77"/>
      <c r="D38" s="78"/>
      <c r="E38" s="78"/>
      <c r="F38" s="78"/>
      <c r="G38" s="79"/>
      <c r="H38" s="134">
        <v>90</v>
      </c>
      <c r="I38" s="135"/>
      <c r="J38" s="136"/>
      <c r="K38" s="77"/>
      <c r="L38" s="78"/>
      <c r="M38" s="78"/>
      <c r="N38" s="78"/>
      <c r="O38" s="78"/>
      <c r="P38" s="79"/>
      <c r="Z38" s="11"/>
    </row>
    <row r="39" spans="1:26" ht="19.5" customHeight="1" x14ac:dyDescent="0.25">
      <c r="A39" s="9"/>
      <c r="B39" s="45">
        <v>15</v>
      </c>
      <c r="C39" s="77"/>
      <c r="D39" s="78"/>
      <c r="E39" s="78"/>
      <c r="F39" s="78"/>
      <c r="G39" s="79"/>
      <c r="H39" s="134">
        <v>80</v>
      </c>
      <c r="I39" s="135"/>
      <c r="J39" s="136"/>
      <c r="K39" s="77"/>
      <c r="L39" s="78"/>
      <c r="M39" s="78"/>
      <c r="N39" s="78"/>
      <c r="O39" s="78"/>
      <c r="P39" s="79"/>
      <c r="Z39" s="11"/>
    </row>
    <row r="40" spans="1:26" ht="19.5" customHeight="1" x14ac:dyDescent="0.25">
      <c r="A40" s="9"/>
      <c r="B40" s="45">
        <v>16</v>
      </c>
      <c r="C40" s="77"/>
      <c r="D40" s="78"/>
      <c r="E40" s="78"/>
      <c r="F40" s="78"/>
      <c r="G40" s="79"/>
      <c r="H40" s="134">
        <v>81</v>
      </c>
      <c r="I40" s="135"/>
      <c r="J40" s="136"/>
      <c r="K40" s="77"/>
      <c r="L40" s="78"/>
      <c r="M40" s="78"/>
      <c r="N40" s="78"/>
      <c r="O40" s="78"/>
      <c r="P40" s="79"/>
      <c r="Z40" s="11"/>
    </row>
    <row r="41" spans="1:26" ht="19.5" customHeight="1" x14ac:dyDescent="0.25">
      <c r="A41" s="9"/>
      <c r="B41" s="45">
        <v>17</v>
      </c>
      <c r="C41" s="77"/>
      <c r="D41" s="78"/>
      <c r="E41" s="78"/>
      <c r="F41" s="78"/>
      <c r="G41" s="79"/>
      <c r="H41" s="134">
        <v>191</v>
      </c>
      <c r="I41" s="135"/>
      <c r="J41" s="136"/>
      <c r="K41" s="77"/>
      <c r="L41" s="78"/>
      <c r="M41" s="78"/>
      <c r="N41" s="78"/>
      <c r="O41" s="78"/>
      <c r="P41" s="79"/>
      <c r="Z41" s="11"/>
    </row>
    <row r="42" spans="1:26" ht="19.5" customHeight="1" x14ac:dyDescent="0.25">
      <c r="A42" s="9"/>
      <c r="B42" s="45">
        <v>18</v>
      </c>
      <c r="C42" s="77"/>
      <c r="D42" s="78"/>
      <c r="E42" s="78"/>
      <c r="F42" s="78"/>
      <c r="G42" s="79"/>
      <c r="H42" s="134">
        <v>82</v>
      </c>
      <c r="I42" s="135"/>
      <c r="J42" s="136"/>
      <c r="K42" s="77"/>
      <c r="L42" s="78"/>
      <c r="M42" s="78"/>
      <c r="N42" s="78"/>
      <c r="O42" s="78"/>
      <c r="P42" s="79"/>
      <c r="Z42" s="11"/>
    </row>
    <row r="43" spans="1:26" ht="19.5" customHeight="1" x14ac:dyDescent="0.25">
      <c r="A43" s="9"/>
      <c r="B43" s="45">
        <v>19</v>
      </c>
      <c r="C43" s="77"/>
      <c r="D43" s="78"/>
      <c r="E43" s="78"/>
      <c r="F43" s="78"/>
      <c r="G43" s="79"/>
      <c r="H43" s="134">
        <v>70</v>
      </c>
      <c r="I43" s="135"/>
      <c r="J43" s="136"/>
      <c r="K43" s="77"/>
      <c r="L43" s="78"/>
      <c r="M43" s="78"/>
      <c r="N43" s="78"/>
      <c r="O43" s="78"/>
      <c r="P43" s="79"/>
      <c r="Z43" s="11"/>
    </row>
    <row r="44" spans="1:26" ht="19.5" customHeight="1" x14ac:dyDescent="0.25">
      <c r="A44" s="9"/>
      <c r="B44" s="45">
        <v>20</v>
      </c>
      <c r="C44" s="77"/>
      <c r="D44" s="78"/>
      <c r="E44" s="78"/>
      <c r="F44" s="78"/>
      <c r="G44" s="79"/>
      <c r="H44" s="134">
        <v>82</v>
      </c>
      <c r="I44" s="135"/>
      <c r="J44" s="136"/>
      <c r="K44" s="77"/>
      <c r="L44" s="78"/>
      <c r="M44" s="78"/>
      <c r="N44" s="78"/>
      <c r="O44" s="78"/>
      <c r="P44" s="79"/>
      <c r="Z44" s="11"/>
    </row>
    <row r="45" spans="1:26" ht="19.5" customHeight="1" x14ac:dyDescent="0.25">
      <c r="A45" s="9"/>
      <c r="B45" s="45">
        <v>21</v>
      </c>
      <c r="C45" s="77"/>
      <c r="D45" s="78"/>
      <c r="E45" s="78"/>
      <c r="F45" s="78"/>
      <c r="G45" s="79"/>
      <c r="H45" s="134">
        <v>82</v>
      </c>
      <c r="I45" s="135"/>
      <c r="J45" s="136"/>
      <c r="K45" s="77"/>
      <c r="L45" s="78"/>
      <c r="M45" s="78"/>
      <c r="N45" s="78"/>
      <c r="O45" s="78"/>
      <c r="P45" s="79"/>
      <c r="Z45" s="11"/>
    </row>
    <row r="46" spans="1:26" ht="19.5" customHeight="1" x14ac:dyDescent="0.25">
      <c r="A46" s="9"/>
      <c r="B46" s="45">
        <v>22</v>
      </c>
      <c r="C46" s="77"/>
      <c r="D46" s="78"/>
      <c r="E46" s="78"/>
      <c r="F46" s="78"/>
      <c r="G46" s="79"/>
      <c r="H46" s="134">
        <v>65</v>
      </c>
      <c r="I46" s="135"/>
      <c r="J46" s="136"/>
      <c r="K46" s="77"/>
      <c r="L46" s="78"/>
      <c r="M46" s="78"/>
      <c r="N46" s="78"/>
      <c r="O46" s="78"/>
      <c r="P46" s="79"/>
      <c r="Z46" s="11"/>
    </row>
    <row r="47" spans="1:26" ht="19.5" customHeight="1" x14ac:dyDescent="0.25">
      <c r="A47" s="9"/>
      <c r="B47" s="45">
        <v>23</v>
      </c>
      <c r="C47" s="77"/>
      <c r="D47" s="78"/>
      <c r="E47" s="78"/>
      <c r="F47" s="78"/>
      <c r="G47" s="79"/>
      <c r="H47" s="134">
        <v>53</v>
      </c>
      <c r="I47" s="135"/>
      <c r="J47" s="136"/>
      <c r="K47" s="77"/>
      <c r="L47" s="78"/>
      <c r="M47" s="78"/>
      <c r="N47" s="78"/>
      <c r="O47" s="78"/>
      <c r="P47" s="79"/>
      <c r="Z47" s="11"/>
    </row>
    <row r="48" spans="1:26" ht="19.5" customHeight="1" x14ac:dyDescent="0.25">
      <c r="A48" s="9"/>
      <c r="B48" s="45">
        <v>24</v>
      </c>
      <c r="C48" s="77"/>
      <c r="D48" s="78"/>
      <c r="E48" s="78"/>
      <c r="F48" s="78"/>
      <c r="G48" s="79"/>
      <c r="H48" s="134">
        <v>68</v>
      </c>
      <c r="I48" s="135"/>
      <c r="J48" s="136"/>
      <c r="K48" s="77"/>
      <c r="L48" s="78"/>
      <c r="M48" s="78"/>
      <c r="N48" s="78"/>
      <c r="O48" s="78"/>
      <c r="P48" s="79"/>
      <c r="Z48" s="11"/>
    </row>
    <row r="49" spans="1:26" ht="19.5" customHeight="1" x14ac:dyDescent="0.25">
      <c r="A49" s="9"/>
      <c r="B49" s="45">
        <v>25</v>
      </c>
      <c r="C49" s="77"/>
      <c r="D49" s="78"/>
      <c r="E49" s="78"/>
      <c r="F49" s="78"/>
      <c r="G49" s="79"/>
      <c r="H49" s="134">
        <v>53</v>
      </c>
      <c r="I49" s="135"/>
      <c r="J49" s="136"/>
      <c r="K49" s="77"/>
      <c r="L49" s="78"/>
      <c r="M49" s="78"/>
      <c r="N49" s="78"/>
      <c r="O49" s="78"/>
      <c r="P49" s="79"/>
      <c r="Z49" s="11"/>
    </row>
    <row r="50" spans="1:26" ht="19.5" customHeight="1" x14ac:dyDescent="0.25">
      <c r="A50" s="9"/>
      <c r="B50" s="45">
        <v>26</v>
      </c>
      <c r="C50" s="77"/>
      <c r="D50" s="78"/>
      <c r="E50" s="78"/>
      <c r="F50" s="78"/>
      <c r="G50" s="79"/>
      <c r="H50" s="134">
        <v>42</v>
      </c>
      <c r="I50" s="135"/>
      <c r="J50" s="136"/>
      <c r="K50" s="77"/>
      <c r="L50" s="78"/>
      <c r="M50" s="78"/>
      <c r="N50" s="78"/>
      <c r="O50" s="78"/>
      <c r="P50" s="79"/>
      <c r="Z50" s="11"/>
    </row>
    <row r="51" spans="1:26" ht="19.5" customHeight="1" x14ac:dyDescent="0.25">
      <c r="A51" s="9"/>
      <c r="B51" s="45">
        <v>27</v>
      </c>
      <c r="C51" s="77"/>
      <c r="D51" s="78"/>
      <c r="E51" s="78"/>
      <c r="F51" s="78"/>
      <c r="G51" s="79"/>
      <c r="H51" s="134">
        <v>73</v>
      </c>
      <c r="I51" s="135"/>
      <c r="J51" s="136"/>
      <c r="K51" s="77"/>
      <c r="L51" s="78"/>
      <c r="M51" s="78"/>
      <c r="N51" s="78"/>
      <c r="O51" s="78"/>
      <c r="P51" s="79"/>
      <c r="Z51" s="11"/>
    </row>
    <row r="52" spans="1:26" ht="19.5" customHeight="1" x14ac:dyDescent="0.25">
      <c r="A52" s="9"/>
      <c r="B52" s="45">
        <v>28</v>
      </c>
      <c r="C52" s="77"/>
      <c r="D52" s="78"/>
      <c r="E52" s="78"/>
      <c r="F52" s="78"/>
      <c r="G52" s="79"/>
      <c r="H52" s="134">
        <v>73</v>
      </c>
      <c r="I52" s="135"/>
      <c r="J52" s="136"/>
      <c r="K52" s="77"/>
      <c r="L52" s="78"/>
      <c r="M52" s="78"/>
      <c r="N52" s="78"/>
      <c r="O52" s="78"/>
      <c r="P52" s="79"/>
      <c r="Z52" s="11"/>
    </row>
    <row r="53" spans="1:26" ht="19.5" customHeight="1" x14ac:dyDescent="0.25">
      <c r="A53" s="9"/>
      <c r="B53" s="45">
        <v>29</v>
      </c>
      <c r="C53" s="77"/>
      <c r="D53" s="78"/>
      <c r="E53" s="78"/>
      <c r="F53" s="78"/>
      <c r="G53" s="79"/>
      <c r="H53" s="134">
        <v>100</v>
      </c>
      <c r="I53" s="135"/>
      <c r="J53" s="136"/>
      <c r="K53" s="77"/>
      <c r="L53" s="78"/>
      <c r="M53" s="78"/>
      <c r="N53" s="78"/>
      <c r="O53" s="78"/>
      <c r="P53" s="79"/>
      <c r="Z53" s="11"/>
    </row>
    <row r="54" spans="1:26" ht="19.5" customHeight="1" x14ac:dyDescent="0.25">
      <c r="A54" s="9"/>
      <c r="B54" s="45">
        <v>30</v>
      </c>
      <c r="C54" s="77"/>
      <c r="D54" s="78"/>
      <c r="E54" s="78"/>
      <c r="F54" s="78"/>
      <c r="G54" s="79"/>
      <c r="H54" s="134">
        <v>65</v>
      </c>
      <c r="I54" s="135"/>
      <c r="J54" s="136"/>
      <c r="K54" s="77"/>
      <c r="L54" s="78"/>
      <c r="M54" s="78"/>
      <c r="N54" s="78"/>
      <c r="O54" s="78"/>
      <c r="P54" s="79"/>
      <c r="Z54" s="11"/>
    </row>
    <row r="55" spans="1:26" ht="19.5" customHeight="1" x14ac:dyDescent="0.25">
      <c r="A55" s="9"/>
      <c r="B55" s="45">
        <v>31</v>
      </c>
      <c r="C55" s="77"/>
      <c r="D55" s="78"/>
      <c r="E55" s="78"/>
      <c r="F55" s="78"/>
      <c r="G55" s="79"/>
      <c r="H55" s="134">
        <v>101</v>
      </c>
      <c r="I55" s="135"/>
      <c r="J55" s="136"/>
      <c r="K55" s="77"/>
      <c r="L55" s="78"/>
      <c r="M55" s="78"/>
      <c r="N55" s="78"/>
      <c r="O55" s="78"/>
      <c r="P55" s="79"/>
      <c r="Z55" s="11"/>
    </row>
    <row r="56" spans="1:26" ht="19.5" customHeight="1" x14ac:dyDescent="0.25">
      <c r="A56" s="9"/>
      <c r="B56" s="46"/>
      <c r="C56" s="102"/>
      <c r="D56" s="102"/>
      <c r="E56" s="102"/>
      <c r="F56" s="102"/>
      <c r="G56" s="103"/>
      <c r="H56" s="98"/>
      <c r="I56" s="99"/>
      <c r="J56" s="100"/>
      <c r="K56" s="101"/>
      <c r="L56" s="102"/>
      <c r="M56" s="102"/>
      <c r="N56" s="102"/>
      <c r="O56" s="102"/>
      <c r="P56" s="103"/>
      <c r="Z56" s="11"/>
    </row>
    <row r="57" spans="1:26" ht="15.75" customHeight="1" x14ac:dyDescent="0.25">
      <c r="A57" s="9"/>
      <c r="B57" s="164" t="s">
        <v>37</v>
      </c>
      <c r="C57" s="165"/>
      <c r="D57" s="165"/>
      <c r="E57" s="165"/>
      <c r="F57" s="165"/>
      <c r="G57" s="166"/>
      <c r="H57" s="185">
        <f>AVERAGE(H25:J56)</f>
        <v>83</v>
      </c>
      <c r="I57" s="186"/>
      <c r="J57" s="187"/>
      <c r="K57" s="86"/>
      <c r="L57" s="87"/>
      <c r="M57" s="80" t="s">
        <v>38</v>
      </c>
      <c r="N57" s="80"/>
      <c r="O57" s="80"/>
      <c r="P57" s="81"/>
      <c r="Z57" s="11"/>
    </row>
    <row r="58" spans="1:26" ht="15.75" customHeight="1" x14ac:dyDescent="0.25">
      <c r="A58" s="9"/>
      <c r="B58" s="158" t="s">
        <v>39</v>
      </c>
      <c r="C58" s="159"/>
      <c r="D58" s="159"/>
      <c r="E58" s="159"/>
      <c r="F58" s="159"/>
      <c r="G58" s="160"/>
      <c r="H58" s="188">
        <f>IF(COUNTIF(H25:J56,"*&lt;20*"),"&lt;20",MIN(H25:J56))</f>
        <v>42</v>
      </c>
      <c r="I58" s="189"/>
      <c r="J58" s="190"/>
      <c r="K58" s="88"/>
      <c r="L58" s="89"/>
      <c r="M58" s="82"/>
      <c r="N58" s="82"/>
      <c r="O58" s="82"/>
      <c r="P58" s="83"/>
      <c r="Z58" s="11"/>
    </row>
    <row r="59" spans="1:26" ht="15.75" customHeight="1" x14ac:dyDescent="0.25">
      <c r="A59" s="9"/>
      <c r="B59" s="161" t="s">
        <v>40</v>
      </c>
      <c r="C59" s="162"/>
      <c r="D59" s="162"/>
      <c r="E59" s="162"/>
      <c r="F59" s="162"/>
      <c r="G59" s="163"/>
      <c r="H59" s="182">
        <f>IF(COUNTIF(H25:J56,"*&gt;250*"),"&gt;250",MAX(H25:J56))</f>
        <v>191</v>
      </c>
      <c r="I59" s="183"/>
      <c r="J59" s="184"/>
      <c r="K59" s="90"/>
      <c r="L59" s="91"/>
      <c r="M59" s="84"/>
      <c r="N59" s="84"/>
      <c r="O59" s="84"/>
      <c r="P59" s="85"/>
      <c r="Z59" s="11"/>
    </row>
    <row r="60" spans="1:26" ht="15.9" customHeight="1" x14ac:dyDescent="0.25">
      <c r="A60" s="35"/>
      <c r="B60" s="4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6"/>
    </row>
    <row r="61" spans="1:26" ht="12.75" customHeight="1" x14ac:dyDescent="0.25">
      <c r="A61" s="36"/>
      <c r="B61" s="37"/>
    </row>
    <row r="62" spans="1:26" s="17" customFormat="1" ht="15.6" customHeight="1" x14ac:dyDescent="0.25">
      <c r="A62" s="48" t="s">
        <v>41</v>
      </c>
      <c r="B62" s="5" t="s">
        <v>42</v>
      </c>
      <c r="C62" s="49"/>
      <c r="D62" s="49"/>
      <c r="E62" s="49"/>
      <c r="F62" s="50"/>
      <c r="G62" s="50"/>
      <c r="H62" s="5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51"/>
      <c r="V62" s="52"/>
      <c r="W62" s="52"/>
      <c r="X62" s="42"/>
      <c r="Y62" s="42"/>
      <c r="Z62" s="43"/>
    </row>
    <row r="63" spans="1:26" s="17" customFormat="1" ht="28.5" customHeight="1" x14ac:dyDescent="0.25">
      <c r="A63" s="149" t="s">
        <v>43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43" t="s">
        <v>44</v>
      </c>
      <c r="S63" s="144"/>
      <c r="T63" s="145"/>
      <c r="U63" s="167" t="s">
        <v>45</v>
      </c>
      <c r="V63" s="168"/>
      <c r="W63" s="168"/>
      <c r="X63" s="169"/>
      <c r="Y63" s="169"/>
      <c r="Z63" s="170"/>
    </row>
    <row r="64" spans="1:26" s="17" customFormat="1" ht="15.6" customHeight="1" x14ac:dyDescent="0.25">
      <c r="A64" s="152" t="s">
        <v>51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4"/>
      <c r="R64" s="143" t="s">
        <v>46</v>
      </c>
      <c r="S64" s="144"/>
      <c r="T64" s="145"/>
      <c r="U64" s="171" t="s">
        <v>47</v>
      </c>
      <c r="V64" s="172"/>
      <c r="W64" s="172"/>
      <c r="X64" s="173"/>
      <c r="Y64" s="173"/>
      <c r="Z64" s="174"/>
    </row>
    <row r="65" spans="1:26" s="17" customFormat="1" ht="15.6" customHeight="1" x14ac:dyDescent="0.25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7"/>
      <c r="R65" s="143"/>
      <c r="S65" s="144"/>
      <c r="T65" s="145"/>
      <c r="U65" s="175"/>
      <c r="V65" s="82"/>
      <c r="W65" s="82"/>
      <c r="X65" s="176"/>
      <c r="Y65" s="176"/>
      <c r="Z65" s="177"/>
    </row>
    <row r="66" spans="1:26" s="17" customFormat="1" ht="15.6" customHeight="1" x14ac:dyDescent="0.25">
      <c r="A66" s="55" t="s">
        <v>48</v>
      </c>
      <c r="B66" s="56" t="s">
        <v>49</v>
      </c>
      <c r="C66" s="1"/>
      <c r="D66" s="1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7"/>
      <c r="R66" s="143"/>
      <c r="S66" s="144"/>
      <c r="T66" s="145"/>
      <c r="U66" s="178"/>
      <c r="V66" s="179"/>
      <c r="W66" s="179"/>
      <c r="X66" s="180"/>
      <c r="Y66" s="180"/>
      <c r="Z66" s="181"/>
    </row>
    <row r="67" spans="1:26" s="17" customFormat="1" ht="15.6" customHeight="1" x14ac:dyDescent="0.25">
      <c r="A67" s="137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  <c r="R67" s="143" t="s">
        <v>50</v>
      </c>
      <c r="S67" s="144"/>
      <c r="T67" s="145"/>
      <c r="U67" s="58"/>
      <c r="V67" s="59"/>
      <c r="W67" s="59"/>
      <c r="X67" s="59"/>
      <c r="Y67" s="59"/>
      <c r="Z67" s="60"/>
    </row>
    <row r="68" spans="1:26" s="17" customFormat="1" ht="15.6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9"/>
      <c r="R68" s="143"/>
      <c r="S68" s="144"/>
      <c r="T68" s="145"/>
      <c r="U68" s="61"/>
      <c r="V68" s="82"/>
      <c r="W68" s="82"/>
      <c r="X68" s="82"/>
      <c r="Y68" s="82"/>
      <c r="Z68" s="62"/>
    </row>
    <row r="69" spans="1:26" s="17" customFormat="1" ht="15.6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9"/>
      <c r="R69" s="143"/>
      <c r="S69" s="144"/>
      <c r="T69" s="145"/>
      <c r="U69" s="61"/>
      <c r="V69" s="82"/>
      <c r="W69" s="82"/>
      <c r="X69" s="82"/>
      <c r="Y69" s="82"/>
      <c r="Z69" s="62"/>
    </row>
    <row r="70" spans="1:26" s="17" customFormat="1" ht="15.6" customHeight="1" x14ac:dyDescent="0.25">
      <c r="A70" s="140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2"/>
      <c r="R70" s="146"/>
      <c r="S70" s="147"/>
      <c r="T70" s="148"/>
      <c r="U70" s="63"/>
      <c r="V70" s="64"/>
      <c r="W70" s="64"/>
      <c r="X70" s="64"/>
      <c r="Y70" s="64"/>
      <c r="Z70" s="65"/>
    </row>
    <row r="71" spans="1:26" s="17" customFormat="1" ht="1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54"/>
      <c r="S71" s="54"/>
      <c r="T71" s="54"/>
      <c r="U71" s="41"/>
      <c r="V71" s="41"/>
      <c r="W71" s="41"/>
      <c r="X71" s="41"/>
      <c r="Y71" s="41"/>
      <c r="Z71" s="4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  <row r="78" spans="1:26" ht="12.75" customHeight="1" x14ac:dyDescent="0.25">
      <c r="A78" s="1"/>
    </row>
  </sheetData>
  <sheetProtection formatCells="0" formatColumns="0" formatRows="0" insertColumns="0" insertRows="0" insertHyperlinks="0" deleteColumns="0" deleteRows="0" selectLockedCells="1" sort="0" autoFilter="0" pivotTables="0"/>
  <mergeCells count="148">
    <mergeCell ref="H57:J57"/>
    <mergeCell ref="H58:J58"/>
    <mergeCell ref="B17:H17"/>
    <mergeCell ref="B12:G12"/>
    <mergeCell ref="B11:G11"/>
    <mergeCell ref="A63:Q63"/>
    <mergeCell ref="R63:T63"/>
    <mergeCell ref="U63:Z63"/>
    <mergeCell ref="A64:Q65"/>
    <mergeCell ref="R64:T66"/>
    <mergeCell ref="U64:Z66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C33:G33"/>
    <mergeCell ref="H33:J33"/>
    <mergeCell ref="K33:P33"/>
    <mergeCell ref="C38:G38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A67:Q70"/>
    <mergeCell ref="R67:T70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57:P59"/>
    <mergeCell ref="K57:L59"/>
    <mergeCell ref="H56:J56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V68:Y6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6:G56"/>
    <mergeCell ref="B58:G58"/>
    <mergeCell ref="B59:G59"/>
    <mergeCell ref="B57:G57"/>
    <mergeCell ref="C26:G26"/>
    <mergeCell ref="H26:J26"/>
    <mergeCell ref="K56:P56"/>
    <mergeCell ref="H59:J59"/>
    <mergeCell ref="C34:G34"/>
    <mergeCell ref="H34:J34"/>
    <mergeCell ref="K34:P34"/>
    <mergeCell ref="C35:G35"/>
    <mergeCell ref="H35:J35"/>
    <mergeCell ref="K35:P35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46:G46"/>
    <mergeCell ref="H46:J46"/>
    <mergeCell ref="K46:P46"/>
    <mergeCell ref="C47:G47"/>
    <mergeCell ref="H47:J47"/>
    <mergeCell ref="K47:P47"/>
    <mergeCell ref="C44:G44"/>
    <mergeCell ref="H44:J44"/>
    <mergeCell ref="K44:P44"/>
    <mergeCell ref="C45:G45"/>
    <mergeCell ref="H45:J45"/>
    <mergeCell ref="K45:P45"/>
    <mergeCell ref="C50:G50"/>
    <mergeCell ref="H50:J50"/>
    <mergeCell ref="K50:P50"/>
    <mergeCell ref="C51:G51"/>
    <mergeCell ref="H51:J51"/>
    <mergeCell ref="K51:P51"/>
    <mergeCell ref="C48:G48"/>
    <mergeCell ref="H48:J48"/>
    <mergeCell ref="K48:P48"/>
    <mergeCell ref="C49:G49"/>
    <mergeCell ref="H49:J49"/>
    <mergeCell ref="K49:P49"/>
    <mergeCell ref="C54:G54"/>
    <mergeCell ref="H54:J54"/>
    <mergeCell ref="K54:P54"/>
    <mergeCell ref="C55:G55"/>
    <mergeCell ref="H55:J55"/>
    <mergeCell ref="K55:P55"/>
    <mergeCell ref="C52:G52"/>
    <mergeCell ref="H52:J52"/>
    <mergeCell ref="K52:P52"/>
    <mergeCell ref="C53:G53"/>
    <mergeCell ref="H53:J53"/>
    <mergeCell ref="K53:P53"/>
  </mergeCells>
  <printOptions horizontalCentered="1"/>
  <pageMargins left="0.39370078740157" right="0.39370078740157" top="0.39370078740157" bottom="0.39370078740157" header="0" footer="0.19685039370078999"/>
  <pageSetup paperSize="9" scale="68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180425 CDR</vt:lpstr>
      <vt:lpstr>280125</vt:lpstr>
      <vt:lpstr>230724</vt:lpstr>
      <vt:lpstr>090724</vt:lpstr>
      <vt:lpstr>130624</vt:lpstr>
      <vt:lpstr>'090724'!Zone_d_impression</vt:lpstr>
      <vt:lpstr>'130624'!Zone_d_impression</vt:lpstr>
      <vt:lpstr>'180425 CDR'!Zone_d_impression</vt:lpstr>
      <vt:lpstr>'230724'!Zone_d_impression</vt:lpstr>
      <vt:lpstr>'280125'!Zone_d_impression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2025-04-18T11:34:50Z</cp:lastPrinted>
  <dcterms:created xsi:type="dcterms:W3CDTF">2004-11-13T18:13:05Z</dcterms:created>
  <dcterms:modified xsi:type="dcterms:W3CDTF">2025-04-18T11:34:57Z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