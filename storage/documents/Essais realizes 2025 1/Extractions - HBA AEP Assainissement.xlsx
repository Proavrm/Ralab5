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/>
  <mc:AlternateContent xmlns:mc="http://schemas.openxmlformats.org/markup-compatibility/2006">
    <mc:Choice Requires="x15">
      <x15ac:absPath xmlns:x15ac="http://schemas.microsoft.com/office/spreadsheetml/2010/11/ac" url="\\fs-ragsa\Services\Labo\St Priest\Chantiers 2025\01\RA M1AA  HBA - AEP Assainissement\Essais de Laboratoire\Enrobés\"/>
    </mc:Choice>
  </mc:AlternateContent>
  <xr:revisionPtr revIDLastSave="0" documentId="13_ncr:1_{CF7AE75B-06EF-4E97-9984-B4B7A807104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041225 BBSG Vicaire" sheetId="9" r:id="rId1"/>
  </sheets>
  <definedNames>
    <definedName name="_xlnm.Print_Area" localSheetId="0">'041225 BBSG Vicaire'!$A$1:$Z$79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68" i="9" l="1"/>
  <c r="L69" i="9"/>
  <c r="U66" i="9" l="1"/>
  <c r="W66" i="9"/>
  <c r="AD65" i="9" l="1"/>
  <c r="AE65" i="9" s="1"/>
  <c r="AD67" i="9"/>
  <c r="AD61" i="9"/>
  <c r="AD62" i="9"/>
  <c r="AD63" i="9"/>
  <c r="AD60" i="9"/>
  <c r="AB66" i="9" l="1"/>
  <c r="AB63" i="9"/>
  <c r="AE63" i="9" s="1"/>
  <c r="AB62" i="9"/>
  <c r="AE62" i="9" s="1"/>
  <c r="AB61" i="9"/>
  <c r="AE61" i="9" s="1"/>
  <c r="AB60" i="9"/>
  <c r="AB67" i="9"/>
  <c r="W69" i="9"/>
  <c r="W68" i="9"/>
  <c r="Y62" i="9"/>
  <c r="AE67" i="9" l="1"/>
  <c r="Y67" i="9" s="1"/>
  <c r="AE60" i="9"/>
  <c r="Y60" i="9" s="1"/>
  <c r="Y61" i="9"/>
  <c r="Y63" i="9"/>
  <c r="J69" i="9"/>
  <c r="J68" i="9"/>
  <c r="E69" i="9"/>
  <c r="E68" i="9"/>
  <c r="Y66" i="9" l="1"/>
  <c r="J66" i="9"/>
  <c r="E66" i="9"/>
  <c r="F66" i="9"/>
  <c r="G66" i="9"/>
  <c r="H66" i="9"/>
  <c r="I66" i="9"/>
  <c r="K66" i="9"/>
  <c r="L66" i="9"/>
  <c r="M66" i="9"/>
  <c r="N66" i="9"/>
  <c r="O66" i="9"/>
  <c r="S66" i="9"/>
  <c r="T66" i="9"/>
  <c r="AD66" i="9" l="1"/>
  <c r="AE66" i="9" s="1"/>
</calcChain>
</file>

<file path=xl/sharedStrings.xml><?xml version="1.0" encoding="utf-8"?>
<sst xmlns="http://schemas.openxmlformats.org/spreadsheetml/2006/main" count="68" uniqueCount="67">
  <si>
    <t>RENSEIGNEMENTS GENERAUX</t>
  </si>
  <si>
    <t>1/</t>
  </si>
  <si>
    <t>2/</t>
  </si>
  <si>
    <t>5/</t>
  </si>
  <si>
    <t>4/</t>
  </si>
  <si>
    <t>COMMENTAIRES</t>
  </si>
  <si>
    <t>Date de l'essai :</t>
  </si>
  <si>
    <t>Moyenne</t>
  </si>
  <si>
    <t>Mini</t>
  </si>
  <si>
    <t>Théorique</t>
  </si>
  <si>
    <t>Heure</t>
  </si>
  <si>
    <t>Analyse granulométrique</t>
  </si>
  <si>
    <t>teneur en liant</t>
  </si>
  <si>
    <t>Module  richesse</t>
  </si>
  <si>
    <t>surface spécifique</t>
  </si>
  <si>
    <t>module de richesse</t>
  </si>
  <si>
    <t>MVR granulats:</t>
  </si>
  <si>
    <t>RESULTATS DES ESSAIS</t>
  </si>
  <si>
    <t>CRITERES DE CONFORMITE</t>
  </si>
  <si>
    <t>Source des critères :</t>
  </si>
  <si>
    <t>Définition des critères / objectifs :</t>
  </si>
  <si>
    <t>CONCLUSIONS</t>
  </si>
  <si>
    <t xml:space="preserve">N° </t>
  </si>
  <si>
    <t>Seuil maxi</t>
  </si>
  <si>
    <t>Seuil mini</t>
  </si>
  <si>
    <t>Visa</t>
  </si>
  <si>
    <t>Méthode d'essai :</t>
  </si>
  <si>
    <t>Opérateur :</t>
  </si>
  <si>
    <t>Date de mise en œuvre :</t>
  </si>
  <si>
    <t>Couche de :</t>
  </si>
  <si>
    <t>Lieu de fabrication :</t>
  </si>
  <si>
    <t>Nom</t>
  </si>
  <si>
    <t>Région Rhône Alpes - 29-31 rue des Tâches - ZI Mi-Plaine - 69800 SAINT PRIEST</t>
  </si>
  <si>
    <t>COMPTE RENDU D'ESSAIS</t>
  </si>
  <si>
    <t>n°</t>
  </si>
  <si>
    <t>Chrono</t>
  </si>
  <si>
    <t>N° d'affaire</t>
  </si>
  <si>
    <t>Date de rédaction</t>
  </si>
  <si>
    <t>Laboratoire :</t>
  </si>
  <si>
    <t>CONTRÔLE DE FABRICATION DES ENROBES
 (NF EN 12697-1/ NF EN 12697-2)</t>
  </si>
  <si>
    <t>CFE</t>
  </si>
  <si>
    <t>Appellation européenne :</t>
  </si>
  <si>
    <t>Appellation française :</t>
  </si>
  <si>
    <t xml:space="preserve">Code formule : </t>
  </si>
  <si>
    <t>Destination du produit</t>
  </si>
  <si>
    <t>Teneur en liant ext</t>
  </si>
  <si>
    <t>&gt; 3,4</t>
  </si>
  <si>
    <t>température mesurée</t>
  </si>
  <si>
    <t>Contrôle :</t>
  </si>
  <si>
    <t>Extracteur automatique - NEBA</t>
  </si>
  <si>
    <t>3/</t>
  </si>
  <si>
    <t>Fonction</t>
  </si>
  <si>
    <t>SEG Chêne en Semine</t>
  </si>
  <si>
    <t>100PA20</t>
  </si>
  <si>
    <t>Roulement</t>
  </si>
  <si>
    <t>BBSG 0/10 Classe 3 R20</t>
  </si>
  <si>
    <t>EB 10 ROUL 50/70 20%AE</t>
  </si>
  <si>
    <t>Conforme</t>
  </si>
  <si>
    <t>Technicien de laboratoire</t>
  </si>
  <si>
    <t xml:space="preserve"> F. MONTET</t>
  </si>
  <si>
    <t>HBA Accord Cadre
AEP, Assainissement,EP
Lot 1
HBA Nord</t>
  </si>
  <si>
    <t>RA M1AA</t>
  </si>
  <si>
    <t>F. Montet</t>
  </si>
  <si>
    <t>04/12/2025</t>
  </si>
  <si>
    <t>Rue Vicaire - Oyonnax</t>
  </si>
  <si>
    <t>08:50</t>
  </si>
  <si>
    <t>10:05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</si>
</sst>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7" x14ac:knownFonts="1">
    <font>
      <sz val="10"/>
      <name val="Arial"/>
    </font>
    <font>
      <sz val="10"/>
      <name val="Century Gothic"/>
      <family val="2"/>
    </font>
    <font>
      <b/>
      <sz val="10"/>
      <name val="Century Gothic"/>
      <family val="2"/>
    </font>
    <font>
      <b/>
      <sz val="14"/>
      <name val="Century Gothic"/>
      <family val="2"/>
    </font>
    <font>
      <b/>
      <sz val="11"/>
      <name val="Century Gothic"/>
      <family val="2"/>
    </font>
    <font>
      <b/>
      <sz val="12"/>
      <name val="Century Gothic"/>
      <family val="2"/>
    </font>
    <font>
      <sz val="8"/>
      <name val="Century Gothic"/>
      <family val="2"/>
    </font>
    <font>
      <sz val="12"/>
      <name val="Century Gothic"/>
      <family val="2"/>
    </font>
    <font>
      <sz val="11"/>
      <name val="Century Gothic"/>
      <family val="2"/>
    </font>
    <font>
      <b/>
      <u/>
      <sz val="12"/>
      <name val="Century Gothic"/>
      <family val="2"/>
    </font>
    <font>
      <u/>
      <sz val="10"/>
      <name val="Century Gothic"/>
      <family val="2"/>
    </font>
    <font>
      <b/>
      <sz val="10"/>
      <color indexed="10"/>
      <name val="Century Gothic"/>
      <family val="2"/>
    </font>
    <font>
      <b/>
      <sz val="8"/>
      <name val="Century Gothic"/>
      <family val="2"/>
    </font>
    <font>
      <b/>
      <u/>
      <sz val="11"/>
      <name val="Century Gothic"/>
      <family val="2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8"/>
      <color indexed="10"/>
      <name val="Arial"/>
      <family val="2"/>
    </font>
    <font>
      <b/>
      <sz val="12"/>
      <color rgb="FF000000"/>
      <name val="Century Gothic"/>
      <family val="2"/>
    </font>
    <font>
      <b/>
      <sz val="14"/>
      <color rgb="FF000000"/>
      <name val="Century Gothic"/>
      <family val="2"/>
    </font>
    <font>
      <sz val="11"/>
      <color rgb="FF000000"/>
      <name val="Century Gothic"/>
      <family val="2"/>
    </font>
    <font>
      <sz val="11"/>
      <color rgb="FF000000"/>
      <name val="Century Gothic"/>
    </font>
    <font>
      <sz val="10"/>
      <color rgb="FF000000"/>
      <name val="Century Gothic"/>
    </font>
    <font>
      <sz val="10"/>
      <color rgb="FF000000"/>
      <name val="Arial"/>
    </font>
    <font>
      <b/>
      <sz val="10"/>
      <color theme="0"/>
      <name val="Century Gothic"/>
      <family val="2"/>
    </font>
    <font>
      <sz val="9"/>
      <color rgb="FF000000"/>
      <name val="Century Gothic"/>
      <family val="2"/>
    </font>
    <font>
      <sz val="9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7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dashed">
        <color indexed="64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dashed">
        <color rgb="FF000000"/>
      </top>
      <bottom/>
      <diagonal/>
    </border>
    <border>
      <left/>
      <right/>
      <top style="dashed">
        <color rgb="FF000000"/>
      </top>
      <bottom/>
      <diagonal/>
    </border>
    <border>
      <left/>
      <right style="thin">
        <color rgb="FF000000"/>
      </right>
      <top style="dashed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4" fillId="0" borderId="0"/>
    <xf numFmtId="0" fontId="23" fillId="0" borderId="0"/>
  </cellStyleXfs>
  <cellXfs count="289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 applyProtection="1">
      <alignment horizontal="right" vertical="center"/>
      <protection hidden="1"/>
    </xf>
    <xf numFmtId="0" fontId="1" fillId="0" borderId="6" xfId="0" applyFont="1" applyBorder="1" applyAlignment="1" applyProtection="1">
      <alignment vertical="center"/>
      <protection hidden="1"/>
    </xf>
    <xf numFmtId="0" fontId="1" fillId="0" borderId="7" xfId="0" applyFont="1" applyBorder="1" applyAlignment="1" applyProtection="1">
      <alignment vertical="center"/>
      <protection hidden="1"/>
    </xf>
    <xf numFmtId="0" fontId="1" fillId="0" borderId="5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5" fillId="0" borderId="27" xfId="0" applyFont="1" applyBorder="1" applyAlignment="1" applyProtection="1">
      <alignment horizontal="center" vertical="center"/>
      <protection hidden="1"/>
    </xf>
    <xf numFmtId="0" fontId="9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horizontal="center" vertical="center"/>
      <protection hidden="1"/>
    </xf>
    <xf numFmtId="0" fontId="1" fillId="0" borderId="28" xfId="0" applyFont="1" applyBorder="1" applyAlignment="1" applyProtection="1">
      <alignment vertical="center"/>
      <protection hidden="1"/>
    </xf>
    <xf numFmtId="0" fontId="7" fillId="0" borderId="0" xfId="0" applyFont="1" applyAlignment="1" applyProtection="1">
      <alignment vertical="center"/>
      <protection locked="0"/>
    </xf>
    <xf numFmtId="0" fontId="1" fillId="0" borderId="5" xfId="0" applyFont="1" applyBorder="1" applyAlignment="1" applyProtection="1">
      <alignment vertical="center"/>
      <protection hidden="1"/>
    </xf>
    <xf numFmtId="0" fontId="1" fillId="0" borderId="0" xfId="0" applyFont="1" applyAlignment="1" applyProtection="1">
      <alignment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1" fillId="0" borderId="8" xfId="0" applyFont="1" applyBorder="1" applyAlignment="1" applyProtection="1">
      <alignment vertical="center"/>
      <protection hidden="1"/>
    </xf>
    <xf numFmtId="0" fontId="8" fillId="0" borderId="8" xfId="0" applyFont="1" applyBorder="1" applyAlignment="1" applyProtection="1">
      <alignment horizontal="left" vertical="center"/>
      <protection hidden="1"/>
    </xf>
    <xf numFmtId="0" fontId="1" fillId="0" borderId="5" xfId="0" applyFont="1" applyBorder="1" applyAlignment="1">
      <alignment horizontal="center" vertical="center"/>
    </xf>
    <xf numFmtId="0" fontId="7" fillId="0" borderId="8" xfId="0" applyFont="1" applyBorder="1" applyAlignment="1" applyProtection="1">
      <alignment vertical="center"/>
      <protection locked="0"/>
    </xf>
    <xf numFmtId="0" fontId="8" fillId="0" borderId="0" xfId="0" applyFont="1" applyAlignment="1">
      <alignment horizontal="left" vertical="center"/>
    </xf>
    <xf numFmtId="0" fontId="1" fillId="0" borderId="0" xfId="0" applyFont="1" applyAlignment="1" applyProtection="1">
      <alignment horizontal="left" vertical="center"/>
      <protection locked="0"/>
    </xf>
    <xf numFmtId="0" fontId="1" fillId="0" borderId="0" xfId="0" applyFont="1" applyAlignment="1" applyProtection="1">
      <alignment vertical="center"/>
      <protection locked="0"/>
    </xf>
    <xf numFmtId="0" fontId="1" fillId="0" borderId="8" xfId="0" applyFont="1" applyBorder="1" applyAlignment="1">
      <alignment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vertical="center"/>
    </xf>
    <xf numFmtId="0" fontId="1" fillId="0" borderId="7" xfId="0" applyFont="1" applyBorder="1" applyAlignment="1">
      <alignment horizontal="left" vertical="center"/>
    </xf>
    <xf numFmtId="0" fontId="1" fillId="0" borderId="29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5" fillId="0" borderId="0" xfId="0" applyFont="1" applyAlignment="1" applyProtection="1">
      <alignment vertical="center"/>
      <protection hidden="1"/>
    </xf>
    <xf numFmtId="0" fontId="1" fillId="0" borderId="29" xfId="0" applyFont="1" applyBorder="1" applyAlignment="1" applyProtection="1">
      <alignment vertical="center"/>
      <protection hidden="1"/>
    </xf>
    <xf numFmtId="0" fontId="5" fillId="0" borderId="27" xfId="0" applyFont="1" applyBorder="1" applyAlignment="1">
      <alignment horizontal="center" vertical="center"/>
    </xf>
    <xf numFmtId="0" fontId="9" fillId="0" borderId="4" xfId="0" applyFont="1" applyBorder="1" applyAlignment="1">
      <alignment vertical="center"/>
    </xf>
    <xf numFmtId="0" fontId="10" fillId="0" borderId="4" xfId="0" applyFont="1" applyBorder="1" applyAlignment="1">
      <alignment vertical="center"/>
    </xf>
    <xf numFmtId="0" fontId="10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1" fillId="0" borderId="28" xfId="0" applyFont="1" applyBorder="1" applyAlignment="1">
      <alignment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2" fillId="0" borderId="3" xfId="0" applyFont="1" applyBorder="1" applyAlignment="1" applyProtection="1">
      <alignment horizontal="center" vertical="center"/>
      <protection locked="0"/>
    </xf>
    <xf numFmtId="0" fontId="2" fillId="0" borderId="15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164" fontId="6" fillId="0" borderId="0" xfId="0" applyNumberFormat="1" applyFont="1" applyAlignment="1">
      <alignment vertical="center"/>
    </xf>
    <xf numFmtId="164" fontId="12" fillId="0" borderId="10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1" fillId="0" borderId="47" xfId="0" applyFont="1" applyBorder="1" applyAlignment="1">
      <alignment vertical="center"/>
    </xf>
    <xf numFmtId="0" fontId="5" fillId="0" borderId="45" xfId="0" applyFont="1" applyBorder="1" applyAlignment="1" applyProtection="1">
      <alignment horizontal="center" vertical="center"/>
      <protection hidden="1"/>
    </xf>
    <xf numFmtId="0" fontId="9" fillId="0" borderId="46" xfId="0" applyFont="1" applyBorder="1" applyAlignment="1" applyProtection="1">
      <alignment vertical="center"/>
      <protection hidden="1"/>
    </xf>
    <xf numFmtId="0" fontId="10" fillId="0" borderId="46" xfId="0" applyFont="1" applyBorder="1" applyAlignment="1" applyProtection="1">
      <alignment vertical="center"/>
      <protection hidden="1"/>
    </xf>
    <xf numFmtId="0" fontId="1" fillId="0" borderId="46" xfId="0" applyFont="1" applyBorder="1" applyAlignment="1" applyProtection="1">
      <alignment vertical="center"/>
      <protection hidden="1"/>
    </xf>
    <xf numFmtId="0" fontId="13" fillId="0" borderId="0" xfId="0" applyFont="1" applyAlignment="1">
      <alignment vertical="center" wrapText="1"/>
    </xf>
    <xf numFmtId="0" fontId="7" fillId="0" borderId="0" xfId="0" applyFont="1" applyAlignment="1">
      <alignment vertical="center"/>
    </xf>
    <xf numFmtId="0" fontId="8" fillId="0" borderId="0" xfId="0" applyFont="1" applyAlignment="1" applyProtection="1">
      <alignment vertical="center" wrapText="1"/>
      <protection locked="0"/>
    </xf>
    <xf numFmtId="0" fontId="5" fillId="0" borderId="5" xfId="0" applyFont="1" applyBorder="1" applyAlignment="1" applyProtection="1">
      <alignment horizontal="center" vertical="center"/>
      <protection hidden="1"/>
    </xf>
    <xf numFmtId="0" fontId="9" fillId="0" borderId="0" xfId="0" applyFont="1" applyAlignment="1" applyProtection="1">
      <alignment vertical="center"/>
      <protection hidden="1"/>
    </xf>
    <xf numFmtId="0" fontId="7" fillId="0" borderId="0" xfId="0" applyFont="1" applyAlignment="1" applyProtection="1">
      <alignment vertical="center"/>
      <protection hidden="1"/>
    </xf>
    <xf numFmtId="0" fontId="7" fillId="0" borderId="8" xfId="0" applyFont="1" applyBorder="1" applyAlignment="1" applyProtection="1">
      <alignment vertical="center"/>
      <protection hidden="1"/>
    </xf>
    <xf numFmtId="0" fontId="1" fillId="0" borderId="0" xfId="0" applyFont="1" applyAlignment="1" applyProtection="1">
      <alignment vertical="center" wrapText="1"/>
      <protection locked="0"/>
    </xf>
    <xf numFmtId="2" fontId="1" fillId="0" borderId="0" xfId="0" applyNumberFormat="1" applyFont="1" applyAlignment="1">
      <alignment horizontal="center" vertical="center"/>
    </xf>
    <xf numFmtId="0" fontId="15" fillId="2" borderId="14" xfId="1" applyFont="1" applyFill="1" applyBorder="1" applyAlignment="1" applyProtection="1">
      <alignment horizontal="center" vertical="center"/>
      <protection hidden="1"/>
    </xf>
    <xf numFmtId="2" fontId="15" fillId="2" borderId="33" xfId="1" applyNumberFormat="1" applyFont="1" applyFill="1" applyBorder="1" applyAlignment="1" applyProtection="1">
      <alignment horizontal="center" vertical="center"/>
      <protection hidden="1"/>
    </xf>
    <xf numFmtId="0" fontId="15" fillId="2" borderId="36" xfId="1" applyFont="1" applyFill="1" applyBorder="1" applyAlignment="1" applyProtection="1">
      <alignment vertical="center"/>
      <protection hidden="1"/>
    </xf>
    <xf numFmtId="0" fontId="1" fillId="0" borderId="17" xfId="0" applyFont="1" applyBorder="1" applyAlignment="1">
      <alignment vertical="center"/>
    </xf>
    <xf numFmtId="0" fontId="15" fillId="2" borderId="21" xfId="1" applyFont="1" applyFill="1" applyBorder="1" applyAlignment="1" applyProtection="1">
      <alignment vertical="center"/>
      <protection hidden="1"/>
    </xf>
    <xf numFmtId="0" fontId="15" fillId="2" borderId="24" xfId="1" applyFont="1" applyFill="1" applyBorder="1" applyAlignment="1" applyProtection="1">
      <alignment vertical="center"/>
      <protection hidden="1"/>
    </xf>
    <xf numFmtId="0" fontId="15" fillId="2" borderId="37" xfId="1" applyFont="1" applyFill="1" applyBorder="1" applyAlignment="1" applyProtection="1">
      <alignment vertical="center"/>
      <protection hidden="1"/>
    </xf>
    <xf numFmtId="0" fontId="12" fillId="0" borderId="49" xfId="0" applyFont="1" applyBorder="1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left" vertical="center"/>
      <protection hidden="1"/>
    </xf>
    <xf numFmtId="0" fontId="8" fillId="0" borderId="0" xfId="0" applyFont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7" fillId="0" borderId="0" xfId="0" applyFont="1" applyAlignment="1" applyProtection="1">
      <alignment horizontal="center" vertical="center"/>
      <protection hidden="1"/>
    </xf>
    <xf numFmtId="2" fontId="1" fillId="0" borderId="0" xfId="0" applyNumberFormat="1" applyFont="1" applyAlignment="1" applyProtection="1">
      <alignment horizontal="center" vertical="center"/>
      <protection locked="0"/>
    </xf>
    <xf numFmtId="0" fontId="13" fillId="0" borderId="0" xfId="0" applyFont="1" applyAlignment="1" applyProtection="1">
      <alignment horizontal="center" vertical="center" wrapText="1"/>
      <protection hidden="1"/>
    </xf>
    <xf numFmtId="0" fontId="6" fillId="0" borderId="0" xfId="0" applyFont="1" applyAlignment="1">
      <alignment horizontal="center" vertical="center" wrapText="1"/>
    </xf>
    <xf numFmtId="2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5" fillId="2" borderId="13" xfId="1" applyFont="1" applyFill="1" applyBorder="1" applyAlignment="1" applyProtection="1">
      <alignment vertical="center"/>
      <protection locked="0"/>
    </xf>
    <xf numFmtId="0" fontId="15" fillId="2" borderId="0" xfId="1" applyFont="1" applyFill="1" applyAlignment="1" applyProtection="1">
      <alignment vertical="center"/>
      <protection locked="0"/>
    </xf>
    <xf numFmtId="0" fontId="1" fillId="0" borderId="44" xfId="0" applyFont="1" applyBorder="1" applyAlignment="1">
      <alignment vertical="center"/>
    </xf>
    <xf numFmtId="164" fontId="6" fillId="0" borderId="17" xfId="0" applyNumberFormat="1" applyFont="1" applyBorder="1" applyAlignment="1">
      <alignment vertical="center"/>
    </xf>
    <xf numFmtId="165" fontId="12" fillId="0" borderId="2" xfId="0" applyNumberFormat="1" applyFont="1" applyBorder="1" applyAlignment="1" applyProtection="1">
      <alignment horizontal="center" vertical="center"/>
      <protection locked="0"/>
    </xf>
    <xf numFmtId="164" fontId="1" fillId="0" borderId="19" xfId="0" applyNumberFormat="1" applyFont="1" applyBorder="1" applyAlignment="1">
      <alignment horizontal="center" vertical="center" wrapText="1"/>
    </xf>
    <xf numFmtId="164" fontId="1" fillId="0" borderId="36" xfId="0" applyNumberFormat="1" applyFont="1" applyBorder="1" applyAlignment="1" applyProtection="1">
      <alignment horizontal="center" vertical="center"/>
      <protection locked="0"/>
    </xf>
    <xf numFmtId="164" fontId="1" fillId="0" borderId="19" xfId="0" applyNumberFormat="1" applyFont="1" applyBorder="1" applyAlignment="1" applyProtection="1">
      <alignment horizontal="center" vertical="center"/>
      <protection locked="0"/>
    </xf>
    <xf numFmtId="164" fontId="1" fillId="0" borderId="34" xfId="0" applyNumberFormat="1" applyFont="1" applyBorder="1" applyAlignment="1" applyProtection="1">
      <alignment horizontal="center" vertical="center"/>
      <protection locked="0"/>
    </xf>
    <xf numFmtId="164" fontId="1" fillId="0" borderId="25" xfId="0" applyNumberFormat="1" applyFont="1" applyBorder="1" applyAlignment="1">
      <alignment horizontal="center" vertical="center" wrapText="1"/>
    </xf>
    <xf numFmtId="164" fontId="1" fillId="0" borderId="37" xfId="0" applyNumberFormat="1" applyFont="1" applyBorder="1" applyAlignment="1" applyProtection="1">
      <alignment horizontal="center" vertical="center"/>
      <protection locked="0"/>
    </xf>
    <xf numFmtId="164" fontId="1" fillId="0" borderId="25" xfId="0" applyNumberFormat="1" applyFont="1" applyBorder="1" applyAlignment="1" applyProtection="1">
      <alignment horizontal="center" vertical="center"/>
      <protection locked="0"/>
    </xf>
    <xf numFmtId="164" fontId="1" fillId="0" borderId="38" xfId="0" applyNumberFormat="1" applyFont="1" applyBorder="1" applyAlignment="1" applyProtection="1">
      <alignment horizontal="center" vertical="center"/>
      <protection locked="0"/>
    </xf>
    <xf numFmtId="164" fontId="2" fillId="0" borderId="20" xfId="0" applyNumberFormat="1" applyFont="1" applyBorder="1" applyAlignment="1">
      <alignment horizontal="center" vertical="center"/>
    </xf>
    <xf numFmtId="164" fontId="2" fillId="0" borderId="31" xfId="0" applyNumberFormat="1" applyFont="1" applyBorder="1" applyAlignment="1">
      <alignment horizontal="center" vertical="center"/>
    </xf>
    <xf numFmtId="164" fontId="11" fillId="0" borderId="23" xfId="0" applyNumberFormat="1" applyFont="1" applyBorder="1" applyAlignment="1">
      <alignment horizontal="center" vertical="center"/>
    </xf>
    <xf numFmtId="164" fontId="11" fillId="0" borderId="27" xfId="0" applyNumberFormat="1" applyFont="1" applyBorder="1" applyAlignment="1">
      <alignment horizontal="center" vertical="center"/>
    </xf>
    <xf numFmtId="164" fontId="1" fillId="0" borderId="26" xfId="0" applyNumberFormat="1" applyFont="1" applyBorder="1" applyAlignment="1" applyProtection="1">
      <alignment horizontal="center" vertical="center"/>
      <protection locked="0"/>
    </xf>
    <xf numFmtId="0" fontId="1" fillId="0" borderId="26" xfId="0" applyFont="1" applyBorder="1" applyAlignment="1" applyProtection="1">
      <alignment horizontal="center" vertical="center"/>
      <protection locked="0"/>
    </xf>
    <xf numFmtId="0" fontId="1" fillId="0" borderId="42" xfId="0" applyFont="1" applyBorder="1" applyAlignment="1" applyProtection="1">
      <alignment horizontal="center" vertical="center"/>
      <protection locked="0"/>
    </xf>
    <xf numFmtId="0" fontId="1" fillId="0" borderId="27" xfId="0" applyFont="1" applyBorder="1" applyAlignment="1" applyProtection="1">
      <alignment vertical="center"/>
      <protection locked="0"/>
    </xf>
    <xf numFmtId="0" fontId="1" fillId="0" borderId="4" xfId="0" applyFont="1" applyBorder="1" applyAlignment="1" applyProtection="1">
      <alignment vertical="center"/>
      <protection locked="0"/>
    </xf>
    <xf numFmtId="0" fontId="1" fillId="0" borderId="28" xfId="0" applyFont="1" applyBorder="1" applyAlignment="1" applyProtection="1">
      <alignment vertical="center"/>
      <protection locked="0"/>
    </xf>
    <xf numFmtId="0" fontId="1" fillId="0" borderId="5" xfId="0" applyFont="1" applyBorder="1" applyAlignment="1" applyProtection="1">
      <alignment vertical="center"/>
      <protection locked="0"/>
    </xf>
    <xf numFmtId="0" fontId="1" fillId="0" borderId="8" xfId="0" applyFont="1" applyBorder="1" applyAlignment="1" applyProtection="1">
      <alignment vertical="center"/>
      <protection locked="0"/>
    </xf>
    <xf numFmtId="0" fontId="1" fillId="0" borderId="6" xfId="0" applyFont="1" applyBorder="1" applyAlignment="1" applyProtection="1">
      <alignment vertical="center"/>
      <protection locked="0"/>
    </xf>
    <xf numFmtId="0" fontId="1" fillId="0" borderId="7" xfId="0" applyFont="1" applyBorder="1" applyAlignment="1" applyProtection="1">
      <alignment vertical="center"/>
      <protection locked="0"/>
    </xf>
    <xf numFmtId="0" fontId="1" fillId="0" borderId="29" xfId="0" applyFont="1" applyBorder="1" applyAlignment="1" applyProtection="1">
      <alignment vertical="center"/>
      <protection locked="0"/>
    </xf>
    <xf numFmtId="0" fontId="8" fillId="0" borderId="0" xfId="0" applyFont="1" applyAlignment="1" applyProtection="1">
      <alignment vertical="center"/>
      <protection hidden="1"/>
    </xf>
    <xf numFmtId="164" fontId="24" fillId="0" borderId="23" xfId="0" applyNumberFormat="1" applyFont="1" applyBorder="1" applyAlignment="1">
      <alignment horizontal="center" vertical="center"/>
    </xf>
    <xf numFmtId="0" fontId="8" fillId="0" borderId="0" xfId="0" applyFont="1" applyAlignment="1" applyProtection="1">
      <alignment horizontal="left" vertical="center"/>
      <protection hidden="1"/>
    </xf>
    <xf numFmtId="0" fontId="21" fillId="0" borderId="0" xfId="0" applyFont="1" applyAlignment="1" applyProtection="1">
      <alignment horizontal="left" vertical="center"/>
      <protection hidden="1"/>
    </xf>
    <xf numFmtId="14" fontId="21" fillId="0" borderId="0" xfId="0" applyNumberFormat="1" applyFont="1" applyAlignment="1" applyProtection="1">
      <alignment horizontal="left" vertical="center"/>
      <protection locked="0"/>
    </xf>
    <xf numFmtId="14" fontId="20" fillId="0" borderId="0" xfId="0" applyNumberFormat="1" applyFont="1" applyAlignment="1" applyProtection="1">
      <alignment horizontal="left" vertical="center"/>
      <protection locked="0"/>
    </xf>
    <xf numFmtId="0" fontId="8" fillId="0" borderId="0" xfId="0" applyFont="1" applyAlignment="1" applyProtection="1">
      <alignment horizontal="center" vertical="center"/>
      <protection hidden="1"/>
    </xf>
    <xf numFmtId="0" fontId="4" fillId="0" borderId="0" xfId="0" applyFont="1" applyAlignment="1" applyProtection="1">
      <alignment horizontal="center" vertical="center"/>
      <protection locked="0"/>
    </xf>
    <xf numFmtId="0" fontId="13" fillId="0" borderId="5" xfId="0" applyFont="1" applyBorder="1" applyAlignment="1" applyProtection="1">
      <alignment horizontal="center" vertical="center"/>
      <protection hidden="1"/>
    </xf>
    <xf numFmtId="0" fontId="13" fillId="0" borderId="0" xfId="0" applyFont="1" applyAlignment="1" applyProtection="1">
      <alignment horizontal="center" vertical="center"/>
      <protection hidden="1"/>
    </xf>
    <xf numFmtId="0" fontId="13" fillId="0" borderId="8" xfId="0" applyFont="1" applyBorder="1" applyAlignment="1" applyProtection="1">
      <alignment horizontal="center" vertical="center"/>
      <protection hidden="1"/>
    </xf>
    <xf numFmtId="0" fontId="13" fillId="0" borderId="6" xfId="0" applyFont="1" applyBorder="1" applyAlignment="1" applyProtection="1">
      <alignment horizontal="center" vertical="center"/>
      <protection hidden="1"/>
    </xf>
    <xf numFmtId="0" fontId="13" fillId="0" borderId="7" xfId="0" applyFont="1" applyBorder="1" applyAlignment="1" applyProtection="1">
      <alignment horizontal="center" vertical="center"/>
      <protection hidden="1"/>
    </xf>
    <xf numFmtId="0" fontId="13" fillId="0" borderId="29" xfId="0" applyFont="1" applyBorder="1" applyAlignment="1" applyProtection="1">
      <alignment horizontal="center" vertical="center"/>
      <protection hidden="1"/>
    </xf>
    <xf numFmtId="0" fontId="8" fillId="0" borderId="5" xfId="0" applyFont="1" applyBorder="1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8" fillId="0" borderId="8" xfId="0" applyFont="1" applyBorder="1" applyAlignment="1" applyProtection="1">
      <alignment horizontal="center" vertical="center"/>
      <protection locked="0"/>
    </xf>
    <xf numFmtId="0" fontId="8" fillId="0" borderId="6" xfId="0" applyFont="1" applyBorder="1" applyAlignment="1" applyProtection="1">
      <alignment horizontal="center" vertical="center"/>
      <protection locked="0"/>
    </xf>
    <xf numFmtId="0" fontId="8" fillId="0" borderId="7" xfId="0" applyFont="1" applyBorder="1" applyAlignment="1" applyProtection="1">
      <alignment horizontal="center" vertical="center"/>
      <protection locked="0"/>
    </xf>
    <xf numFmtId="0" fontId="8" fillId="0" borderId="29" xfId="0" applyFont="1" applyBorder="1" applyAlignment="1" applyProtection="1">
      <alignment horizontal="center" vertical="center"/>
      <protection locked="0"/>
    </xf>
    <xf numFmtId="0" fontId="8" fillId="0" borderId="5" xfId="0" applyFont="1" applyBorder="1" applyAlignment="1" applyProtection="1">
      <alignment horizontal="left" vertical="center" wrapText="1"/>
      <protection locked="0"/>
    </xf>
    <xf numFmtId="0" fontId="8" fillId="0" borderId="0" xfId="0" applyFont="1" applyAlignment="1" applyProtection="1">
      <alignment horizontal="left" vertical="center" wrapText="1"/>
      <protection locked="0"/>
    </xf>
    <xf numFmtId="0" fontId="8" fillId="0" borderId="8" xfId="0" applyFont="1" applyBorder="1" applyAlignment="1" applyProtection="1">
      <alignment horizontal="left" vertical="center" wrapText="1"/>
      <protection locked="0"/>
    </xf>
    <xf numFmtId="0" fontId="8" fillId="0" borderId="6" xfId="0" applyFont="1" applyBorder="1" applyAlignment="1" applyProtection="1">
      <alignment horizontal="left" vertical="center" wrapText="1"/>
      <protection locked="0"/>
    </xf>
    <xf numFmtId="0" fontId="8" fillId="0" borderId="7" xfId="0" applyFont="1" applyBorder="1" applyAlignment="1" applyProtection="1">
      <alignment horizontal="left" vertical="center" wrapText="1"/>
      <protection locked="0"/>
    </xf>
    <xf numFmtId="0" fontId="8" fillId="0" borderId="29" xfId="0" applyFont="1" applyBorder="1" applyAlignment="1" applyProtection="1">
      <alignment horizontal="left" vertical="center" wrapText="1"/>
      <protection locked="0"/>
    </xf>
    <xf numFmtId="0" fontId="20" fillId="0" borderId="0" xfId="0" applyFont="1" applyAlignment="1" applyProtection="1">
      <alignment horizontal="left" vertical="center"/>
      <protection locked="0"/>
    </xf>
    <xf numFmtId="0" fontId="1" fillId="0" borderId="27" xfId="0" applyFont="1" applyBorder="1" applyAlignment="1" applyProtection="1">
      <alignment horizontal="center" vertical="center" wrapText="1"/>
      <protection hidden="1"/>
    </xf>
    <xf numFmtId="0" fontId="1" fillId="0" borderId="4" xfId="0" applyFont="1" applyBorder="1" applyAlignment="1" applyProtection="1">
      <alignment horizontal="center" vertical="center" wrapText="1"/>
      <protection hidden="1"/>
    </xf>
    <xf numFmtId="0" fontId="1" fillId="0" borderId="28" xfId="0" applyFont="1" applyBorder="1" applyAlignment="1" applyProtection="1">
      <alignment horizontal="center" vertical="center" wrapText="1"/>
      <protection hidden="1"/>
    </xf>
    <xf numFmtId="0" fontId="1" fillId="0" borderId="5" xfId="0" applyFont="1" applyBorder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horizontal="center" vertical="center" wrapText="1"/>
      <protection hidden="1"/>
    </xf>
    <xf numFmtId="0" fontId="1" fillId="0" borderId="8" xfId="0" applyFont="1" applyBorder="1" applyAlignment="1" applyProtection="1">
      <alignment horizontal="center" vertical="center" wrapText="1"/>
      <protection hidden="1"/>
    </xf>
    <xf numFmtId="0" fontId="1" fillId="0" borderId="6" xfId="0" applyFont="1" applyBorder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 vertical="center" wrapText="1"/>
      <protection hidden="1"/>
    </xf>
    <xf numFmtId="0" fontId="1" fillId="0" borderId="29" xfId="0" applyFont="1" applyBorder="1" applyAlignment="1" applyProtection="1">
      <alignment horizontal="center" vertical="center" wrapText="1"/>
      <protection hidden="1"/>
    </xf>
    <xf numFmtId="0" fontId="2" fillId="0" borderId="27" xfId="0" applyFont="1" applyBorder="1" applyAlignment="1" applyProtection="1">
      <alignment horizontal="center" vertical="center"/>
      <protection hidden="1"/>
    </xf>
    <xf numFmtId="0" fontId="2" fillId="0" borderId="4" xfId="0" applyFont="1" applyBorder="1" applyAlignment="1" applyProtection="1">
      <alignment horizontal="center" vertical="center"/>
      <protection hidden="1"/>
    </xf>
    <xf numFmtId="0" fontId="2" fillId="0" borderId="28" xfId="0" applyFont="1" applyBorder="1" applyAlignment="1" applyProtection="1">
      <alignment horizontal="center" vertical="center"/>
      <protection hidden="1"/>
    </xf>
    <xf numFmtId="0" fontId="19" fillId="0" borderId="65" xfId="1" applyFont="1" applyBorder="1" applyAlignment="1" applyProtection="1">
      <alignment horizontal="center" vertical="center" wrapText="1"/>
      <protection locked="0"/>
    </xf>
    <xf numFmtId="0" fontId="19" fillId="0" borderId="66" xfId="1" applyFont="1" applyBorder="1" applyAlignment="1" applyProtection="1">
      <alignment horizontal="center" vertical="center" wrapText="1"/>
      <protection locked="0"/>
    </xf>
    <xf numFmtId="0" fontId="19" fillId="0" borderId="67" xfId="1" applyFont="1" applyBorder="1" applyAlignment="1" applyProtection="1">
      <alignment horizontal="center" vertical="center" wrapText="1"/>
      <protection locked="0"/>
    </xf>
    <xf numFmtId="0" fontId="19" fillId="0" borderId="68" xfId="1" applyFont="1" applyBorder="1" applyAlignment="1" applyProtection="1">
      <alignment horizontal="center" vertical="center" wrapText="1"/>
      <protection locked="0"/>
    </xf>
    <xf numFmtId="0" fontId="19" fillId="0" borderId="0" xfId="1" applyFont="1" applyAlignment="1" applyProtection="1">
      <alignment horizontal="center" vertical="center" wrapText="1"/>
      <protection locked="0"/>
    </xf>
    <xf numFmtId="0" fontId="19" fillId="0" borderId="69" xfId="1" applyFont="1" applyBorder="1" applyAlignment="1" applyProtection="1">
      <alignment horizontal="center" vertical="center" wrapText="1"/>
      <protection locked="0"/>
    </xf>
    <xf numFmtId="0" fontId="19" fillId="0" borderId="60" xfId="1" applyFont="1" applyBorder="1" applyAlignment="1" applyProtection="1">
      <alignment horizontal="center" vertical="center" wrapText="1"/>
      <protection locked="0"/>
    </xf>
    <xf numFmtId="0" fontId="19" fillId="0" borderId="61" xfId="1" applyFont="1" applyBorder="1" applyAlignment="1" applyProtection="1">
      <alignment horizontal="center" vertical="center" wrapText="1"/>
      <protection locked="0"/>
    </xf>
    <xf numFmtId="0" fontId="19" fillId="0" borderId="62" xfId="1" applyFont="1" applyBorder="1" applyAlignment="1" applyProtection="1">
      <alignment horizontal="center" vertical="center" wrapText="1"/>
      <protection locked="0"/>
    </xf>
    <xf numFmtId="0" fontId="4" fillId="0" borderId="5" xfId="0" applyFont="1" applyBorder="1" applyAlignment="1" applyProtection="1">
      <alignment horizontal="center" vertical="center" wrapText="1"/>
      <protection hidden="1"/>
    </xf>
    <xf numFmtId="0" fontId="5" fillId="0" borderId="0" xfId="0" applyFont="1" applyAlignment="1" applyProtection="1">
      <alignment horizontal="center" vertical="center" wrapText="1"/>
      <protection hidden="1"/>
    </xf>
    <xf numFmtId="0" fontId="5" fillId="0" borderId="8" xfId="0" applyFont="1" applyBorder="1" applyAlignment="1" applyProtection="1">
      <alignment horizontal="center" vertical="center" wrapText="1"/>
      <protection hidden="1"/>
    </xf>
    <xf numFmtId="0" fontId="5" fillId="0" borderId="5" xfId="0" applyFont="1" applyBorder="1" applyAlignment="1" applyProtection="1">
      <alignment horizontal="center" vertical="center" wrapText="1"/>
      <protection hidden="1"/>
    </xf>
    <xf numFmtId="0" fontId="4" fillId="0" borderId="8" xfId="0" applyFont="1" applyBorder="1" applyAlignment="1" applyProtection="1">
      <alignment horizontal="center" vertical="center"/>
      <protection locked="0"/>
    </xf>
    <xf numFmtId="0" fontId="4" fillId="0" borderId="5" xfId="0" applyFont="1" applyBorder="1" applyAlignment="1" applyProtection="1">
      <alignment horizontal="center" vertical="center"/>
      <protection locked="0"/>
    </xf>
    <xf numFmtId="14" fontId="4" fillId="0" borderId="5" xfId="0" applyNumberFormat="1" applyFont="1" applyBorder="1" applyAlignment="1" applyProtection="1">
      <alignment horizontal="center" vertical="center"/>
      <protection locked="0"/>
    </xf>
    <xf numFmtId="14" fontId="4" fillId="0" borderId="0" xfId="0" applyNumberFormat="1" applyFont="1" applyAlignment="1" applyProtection="1">
      <alignment horizontal="center" vertical="center"/>
      <protection locked="0"/>
    </xf>
    <xf numFmtId="14" fontId="4" fillId="0" borderId="8" xfId="0" applyNumberFormat="1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hidden="1"/>
    </xf>
    <xf numFmtId="0" fontId="6" fillId="0" borderId="29" xfId="0" applyFont="1" applyBorder="1" applyAlignment="1" applyProtection="1">
      <alignment horizontal="center" vertical="center"/>
      <protection hidden="1"/>
    </xf>
    <xf numFmtId="0" fontId="5" fillId="0" borderId="41" xfId="0" applyFont="1" applyBorder="1" applyAlignment="1" applyProtection="1">
      <alignment horizontal="center" vertical="center"/>
      <protection hidden="1"/>
    </xf>
    <xf numFmtId="0" fontId="7" fillId="0" borderId="41" xfId="0" applyFont="1" applyBorder="1" applyAlignment="1" applyProtection="1">
      <alignment horizontal="center" vertical="center"/>
      <protection hidden="1"/>
    </xf>
    <xf numFmtId="0" fontId="1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6" fillId="2" borderId="48" xfId="1" applyFont="1" applyFill="1" applyBorder="1" applyAlignment="1" applyProtection="1">
      <alignment horizontal="center" vertical="center" wrapText="1"/>
      <protection locked="0"/>
    </xf>
    <xf numFmtId="0" fontId="16" fillId="0" borderId="44" xfId="1" applyFont="1" applyBorder="1" applyAlignment="1" applyProtection="1">
      <alignment vertical="center" wrapText="1"/>
      <protection locked="0"/>
    </xf>
    <xf numFmtId="0" fontId="16" fillId="2" borderId="40" xfId="1" applyFont="1" applyFill="1" applyBorder="1" applyAlignment="1" applyProtection="1">
      <alignment horizontal="center" vertical="center" wrapText="1"/>
      <protection locked="0"/>
    </xf>
    <xf numFmtId="0" fontId="16" fillId="2" borderId="43" xfId="1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 wrapText="1"/>
    </xf>
    <xf numFmtId="0" fontId="6" fillId="0" borderId="48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44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42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16" fillId="2" borderId="9" xfId="1" applyFont="1" applyFill="1" applyBorder="1" applyAlignment="1" applyProtection="1">
      <alignment horizontal="center" vertical="center" wrapText="1"/>
      <protection locked="0"/>
    </xf>
    <xf numFmtId="0" fontId="16" fillId="2" borderId="11" xfId="1" applyFont="1" applyFill="1" applyBorder="1" applyAlignment="1" applyProtection="1">
      <alignment horizontal="center" vertical="center" wrapText="1"/>
      <protection locked="0"/>
    </xf>
    <xf numFmtId="0" fontId="16" fillId="2" borderId="16" xfId="1" applyFont="1" applyFill="1" applyBorder="1" applyAlignment="1" applyProtection="1">
      <alignment horizontal="center" vertical="center" wrapText="1"/>
      <protection locked="0"/>
    </xf>
    <xf numFmtId="0" fontId="16" fillId="2" borderId="18" xfId="1" applyFont="1" applyFill="1" applyBorder="1" applyAlignment="1" applyProtection="1">
      <alignment horizontal="center" vertical="center" wrapText="1"/>
      <protection locked="0"/>
    </xf>
    <xf numFmtId="0" fontId="16" fillId="2" borderId="51" xfId="1" applyFont="1" applyFill="1" applyBorder="1" applyAlignment="1" applyProtection="1">
      <alignment horizontal="center" vertical="center" wrapText="1"/>
      <protection locked="0"/>
    </xf>
    <xf numFmtId="0" fontId="16" fillId="2" borderId="52" xfId="1" applyFont="1" applyFill="1" applyBorder="1" applyAlignment="1" applyProtection="1">
      <alignment horizontal="center" vertical="center" wrapText="1"/>
      <protection locked="0"/>
    </xf>
    <xf numFmtId="0" fontId="17" fillId="2" borderId="51" xfId="1" applyFont="1" applyFill="1" applyBorder="1" applyAlignment="1" applyProtection="1">
      <alignment horizontal="center" vertical="center" wrapText="1"/>
      <protection locked="0"/>
    </xf>
    <xf numFmtId="0" fontId="17" fillId="2" borderId="52" xfId="1" applyFont="1" applyFill="1" applyBorder="1" applyAlignment="1" applyProtection="1">
      <alignment horizontal="center" vertical="center" wrapText="1"/>
      <protection locked="0"/>
    </xf>
    <xf numFmtId="0" fontId="2" fillId="0" borderId="49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2" fontId="1" fillId="0" borderId="34" xfId="0" applyNumberFormat="1" applyFont="1" applyBorder="1" applyAlignment="1" applyProtection="1">
      <alignment horizontal="center" vertical="center"/>
      <protection locked="0"/>
    </xf>
    <xf numFmtId="2" fontId="1" fillId="0" borderId="55" xfId="0" applyNumberFormat="1" applyFont="1" applyBorder="1" applyAlignment="1" applyProtection="1">
      <alignment horizontal="center" vertical="center"/>
      <protection locked="0"/>
    </xf>
    <xf numFmtId="2" fontId="1" fillId="0" borderId="38" xfId="0" applyNumberFormat="1" applyFont="1" applyBorder="1" applyAlignment="1" applyProtection="1">
      <alignment horizontal="center" vertical="center"/>
      <protection locked="0"/>
    </xf>
    <xf numFmtId="2" fontId="1" fillId="0" borderId="56" xfId="0" applyNumberFormat="1" applyFont="1" applyBorder="1" applyAlignment="1" applyProtection="1">
      <alignment horizontal="center" vertical="center"/>
      <protection locked="0"/>
    </xf>
    <xf numFmtId="164" fontId="1" fillId="0" borderId="21" xfId="0" applyNumberFormat="1" applyFont="1" applyBorder="1" applyAlignment="1" applyProtection="1">
      <alignment horizontal="center" vertical="center"/>
      <protection locked="0"/>
    </xf>
    <xf numFmtId="164" fontId="1" fillId="0" borderId="36" xfId="0" applyNumberFormat="1" applyFont="1" applyBorder="1" applyAlignment="1" applyProtection="1">
      <alignment horizontal="center" vertical="center"/>
      <protection locked="0"/>
    </xf>
    <xf numFmtId="164" fontId="1" fillId="0" borderId="24" xfId="0" applyNumberFormat="1" applyFont="1" applyBorder="1" applyAlignment="1" applyProtection="1">
      <alignment horizontal="center" vertical="center"/>
      <protection locked="0"/>
    </xf>
    <xf numFmtId="164" fontId="1" fillId="0" borderId="37" xfId="0" applyNumberFormat="1" applyFont="1" applyBorder="1" applyAlignment="1" applyProtection="1">
      <alignment horizontal="center" vertical="center"/>
      <protection locked="0"/>
    </xf>
    <xf numFmtId="0" fontId="1" fillId="0" borderId="34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2" fontId="15" fillId="2" borderId="21" xfId="1" applyNumberFormat="1" applyFont="1" applyFill="1" applyBorder="1" applyAlignment="1" applyProtection="1">
      <alignment horizontal="center" vertical="center"/>
      <protection hidden="1"/>
    </xf>
    <xf numFmtId="2" fontId="15" fillId="2" borderId="36" xfId="1" applyNumberFormat="1" applyFont="1" applyFill="1" applyBorder="1" applyAlignment="1" applyProtection="1">
      <alignment horizontal="center" vertical="center"/>
      <protection hidden="1"/>
    </xf>
    <xf numFmtId="2" fontId="15" fillId="2" borderId="35" xfId="1" applyNumberFormat="1" applyFont="1" applyFill="1" applyBorder="1" applyAlignment="1" applyProtection="1">
      <alignment horizontal="center" vertical="center"/>
      <protection hidden="1"/>
    </xf>
    <xf numFmtId="2" fontId="15" fillId="2" borderId="43" xfId="1" applyNumberFormat="1" applyFont="1" applyFill="1" applyBorder="1" applyAlignment="1" applyProtection="1">
      <alignment horizontal="center" vertical="center"/>
      <protection hidden="1"/>
    </xf>
    <xf numFmtId="0" fontId="8" fillId="0" borderId="0" xfId="0" applyFont="1" applyAlignment="1">
      <alignment horizontal="left" vertical="center"/>
    </xf>
    <xf numFmtId="0" fontId="8" fillId="0" borderId="0" xfId="0" applyFont="1" applyAlignment="1" applyProtection="1">
      <alignment horizontal="left" vertical="center"/>
      <protection locked="0"/>
    </xf>
    <xf numFmtId="0" fontId="15" fillId="2" borderId="23" xfId="1" applyFont="1" applyFill="1" applyBorder="1" applyAlignment="1" applyProtection="1">
      <alignment horizontal="center" vertical="center"/>
      <protection hidden="1"/>
    </xf>
    <xf numFmtId="0" fontId="15" fillId="2" borderId="26" xfId="1" applyFont="1" applyFill="1" applyBorder="1" applyAlignment="1" applyProtection="1">
      <alignment horizontal="center" vertical="center"/>
      <protection hidden="1"/>
    </xf>
    <xf numFmtId="164" fontId="1" fillId="0" borderId="30" xfId="0" applyNumberFormat="1" applyFont="1" applyBorder="1" applyAlignment="1">
      <alignment horizontal="center" vertical="center"/>
    </xf>
    <xf numFmtId="164" fontId="1" fillId="0" borderId="50" xfId="0" applyNumberFormat="1" applyFont="1" applyBorder="1" applyAlignment="1">
      <alignment horizontal="center" vertical="center"/>
    </xf>
    <xf numFmtId="164" fontId="1" fillId="0" borderId="31" xfId="0" applyNumberFormat="1" applyFont="1" applyBorder="1" applyAlignment="1">
      <alignment horizontal="center" vertical="center"/>
    </xf>
    <xf numFmtId="164" fontId="1" fillId="0" borderId="54" xfId="0" applyNumberFormat="1" applyFont="1" applyBorder="1" applyAlignment="1">
      <alignment horizontal="center" vertical="center"/>
    </xf>
    <xf numFmtId="0" fontId="1" fillId="0" borderId="0" xfId="0" applyFont="1" applyAlignment="1" applyProtection="1">
      <alignment horizontal="center" vertical="center"/>
      <protection locked="0"/>
    </xf>
    <xf numFmtId="0" fontId="18" fillId="0" borderId="60" xfId="0" applyFont="1" applyBorder="1" applyAlignment="1" applyProtection="1">
      <alignment horizontal="center" vertical="center"/>
      <protection hidden="1"/>
    </xf>
    <xf numFmtId="0" fontId="18" fillId="0" borderId="61" xfId="0" applyFont="1" applyBorder="1" applyAlignment="1" applyProtection="1">
      <alignment horizontal="center" vertical="center"/>
      <protection hidden="1"/>
    </xf>
    <xf numFmtId="0" fontId="18" fillId="0" borderId="62" xfId="0" applyFont="1" applyBorder="1" applyAlignment="1" applyProtection="1">
      <alignment horizontal="center" vertical="center"/>
      <protection hidden="1"/>
    </xf>
    <xf numFmtId="2" fontId="1" fillId="0" borderId="41" xfId="0" applyNumberFormat="1" applyFont="1" applyBorder="1" applyAlignment="1" applyProtection="1">
      <alignment horizontal="center" vertical="center"/>
      <protection locked="0"/>
    </xf>
    <xf numFmtId="2" fontId="1" fillId="0" borderId="36" xfId="0" applyNumberFormat="1" applyFont="1" applyBorder="1" applyAlignment="1" applyProtection="1">
      <alignment horizontal="center" vertical="center"/>
      <protection locked="0"/>
    </xf>
    <xf numFmtId="2" fontId="1" fillId="0" borderId="53" xfId="0" applyNumberFormat="1" applyFont="1" applyBorder="1" applyAlignment="1" applyProtection="1">
      <alignment horizontal="center" vertical="center"/>
      <protection locked="0"/>
    </xf>
    <xf numFmtId="2" fontId="1" fillId="0" borderId="37" xfId="0" applyNumberFormat="1" applyFont="1" applyBorder="1" applyAlignment="1" applyProtection="1">
      <alignment horizontal="center" vertical="center"/>
      <protection locked="0"/>
    </xf>
    <xf numFmtId="2" fontId="1" fillId="0" borderId="34" xfId="0" applyNumberFormat="1" applyFont="1" applyBorder="1" applyAlignment="1">
      <alignment horizontal="center" vertical="center"/>
    </xf>
    <xf numFmtId="2" fontId="1" fillId="0" borderId="55" xfId="0" applyNumberFormat="1" applyFont="1" applyBorder="1" applyAlignment="1">
      <alignment horizontal="center" vertical="center"/>
    </xf>
    <xf numFmtId="0" fontId="1" fillId="0" borderId="55" xfId="0" applyFont="1" applyBorder="1" applyAlignment="1">
      <alignment horizontal="center" vertical="center"/>
    </xf>
    <xf numFmtId="0" fontId="1" fillId="0" borderId="56" xfId="0" applyFont="1" applyBorder="1" applyAlignment="1">
      <alignment horizontal="center" vertical="center"/>
    </xf>
    <xf numFmtId="164" fontId="11" fillId="0" borderId="21" xfId="0" applyNumberFormat="1" applyFont="1" applyBorder="1" applyAlignment="1">
      <alignment horizontal="center" vertical="center"/>
    </xf>
    <xf numFmtId="164" fontId="11" fillId="0" borderId="36" xfId="0" applyNumberFormat="1" applyFont="1" applyBorder="1" applyAlignment="1">
      <alignment horizontal="center" vertical="center"/>
    </xf>
    <xf numFmtId="0" fontId="1" fillId="0" borderId="24" xfId="0" applyFont="1" applyBorder="1" applyAlignment="1" applyProtection="1">
      <alignment horizontal="center" vertical="center"/>
      <protection locked="0"/>
    </xf>
    <xf numFmtId="0" fontId="1" fillId="0" borderId="37" xfId="0" applyFont="1" applyBorder="1" applyAlignment="1" applyProtection="1">
      <alignment horizontal="center" vertical="center"/>
      <protection locked="0"/>
    </xf>
    <xf numFmtId="2" fontId="1" fillId="0" borderId="31" xfId="0" applyNumberFormat="1" applyFont="1" applyBorder="1" applyAlignment="1">
      <alignment horizontal="center" vertical="center"/>
    </xf>
    <xf numFmtId="2" fontId="1" fillId="0" borderId="50" xfId="0" applyNumberFormat="1" applyFont="1" applyBorder="1" applyAlignment="1">
      <alignment horizontal="center" vertical="center"/>
    </xf>
    <xf numFmtId="2" fontId="11" fillId="0" borderId="34" xfId="0" applyNumberFormat="1" applyFont="1" applyBorder="1" applyAlignment="1">
      <alignment horizontal="center" vertical="center"/>
    </xf>
    <xf numFmtId="2" fontId="11" fillId="0" borderId="36" xfId="0" applyNumberFormat="1" applyFont="1" applyBorder="1" applyAlignment="1">
      <alignment horizontal="center" vertical="center"/>
    </xf>
    <xf numFmtId="164" fontId="1" fillId="0" borderId="34" xfId="0" applyNumberFormat="1" applyFont="1" applyBorder="1" applyAlignment="1" applyProtection="1">
      <alignment horizontal="center" vertical="center"/>
      <protection locked="0"/>
    </xf>
    <xf numFmtId="164" fontId="1" fillId="0" borderId="38" xfId="0" applyNumberFormat="1" applyFont="1" applyBorder="1" applyAlignment="1" applyProtection="1">
      <alignment horizontal="center" vertical="center"/>
      <protection locked="0"/>
    </xf>
    <xf numFmtId="0" fontId="13" fillId="0" borderId="41" xfId="0" applyFont="1" applyBorder="1" applyAlignment="1" applyProtection="1">
      <alignment horizontal="center" vertical="center" wrapText="1"/>
      <protection hidden="1"/>
    </xf>
    <xf numFmtId="0" fontId="13" fillId="0" borderId="36" xfId="0" applyFont="1" applyBorder="1" applyAlignment="1" applyProtection="1">
      <alignment horizontal="center" vertical="center" wrapText="1"/>
      <protection hidden="1"/>
    </xf>
    <xf numFmtId="0" fontId="21" fillId="0" borderId="70" xfId="0" applyFont="1" applyBorder="1" applyAlignment="1" applyProtection="1">
      <alignment horizontal="center" vertical="center" wrapText="1"/>
      <protection locked="0"/>
    </xf>
    <xf numFmtId="0" fontId="21" fillId="0" borderId="71" xfId="0" applyFont="1" applyBorder="1" applyAlignment="1" applyProtection="1">
      <alignment horizontal="center" vertical="center" wrapText="1"/>
      <protection locked="0"/>
    </xf>
    <xf numFmtId="0" fontId="22" fillId="0" borderId="71" xfId="0" applyFont="1" applyBorder="1" applyAlignment="1" applyProtection="1">
      <alignment horizontal="center" vertical="center" wrapText="1"/>
      <protection locked="0"/>
    </xf>
    <xf numFmtId="0" fontId="22" fillId="0" borderId="72" xfId="0" applyFont="1" applyBorder="1" applyAlignment="1" applyProtection="1">
      <alignment horizontal="center" vertical="center" wrapText="1"/>
      <protection locked="0"/>
    </xf>
    <xf numFmtId="0" fontId="2" fillId="0" borderId="2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18" fillId="0" borderId="57" xfId="0" applyFont="1" applyBorder="1" applyAlignment="1" applyProtection="1">
      <alignment horizontal="center" vertical="center"/>
      <protection hidden="1"/>
    </xf>
    <xf numFmtId="0" fontId="18" fillId="0" borderId="58" xfId="0" applyFont="1" applyBorder="1" applyAlignment="1" applyProtection="1">
      <alignment horizontal="center" vertical="center"/>
      <protection hidden="1"/>
    </xf>
    <xf numFmtId="0" fontId="18" fillId="0" borderId="59" xfId="0" applyFont="1" applyBorder="1" applyAlignment="1" applyProtection="1">
      <alignment horizontal="center" vertical="center"/>
      <protection hidden="1"/>
    </xf>
    <xf numFmtId="0" fontId="2" fillId="0" borderId="30" xfId="0" applyFont="1" applyBorder="1" applyAlignment="1">
      <alignment horizontal="center" vertical="center"/>
    </xf>
    <xf numFmtId="0" fontId="2" fillId="0" borderId="50" xfId="0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1" fontId="1" fillId="0" borderId="19" xfId="0" applyNumberFormat="1" applyFont="1" applyBorder="1" applyAlignment="1" applyProtection="1">
      <alignment horizontal="center" vertical="center"/>
      <protection locked="0"/>
    </xf>
    <xf numFmtId="1" fontId="1" fillId="0" borderId="25" xfId="0" applyNumberFormat="1" applyFont="1" applyBorder="1" applyAlignment="1" applyProtection="1">
      <alignment horizontal="center" vertical="center"/>
      <protection locked="0"/>
    </xf>
    <xf numFmtId="1" fontId="6" fillId="0" borderId="0" xfId="0" applyNumberFormat="1" applyFont="1" applyAlignment="1">
      <alignment vertical="center"/>
    </xf>
    <xf numFmtId="1" fontId="12" fillId="0" borderId="10" xfId="0" applyNumberFormat="1" applyFont="1" applyBorder="1" applyAlignment="1">
      <alignment horizontal="center" vertical="center"/>
    </xf>
    <xf numFmtId="1" fontId="2" fillId="0" borderId="20" xfId="0" applyNumberFormat="1" applyFont="1" applyBorder="1" applyAlignment="1">
      <alignment horizontal="center" vertical="center"/>
    </xf>
    <xf numFmtId="1" fontId="11" fillId="0" borderId="23" xfId="0" applyNumberFormat="1" applyFont="1" applyBorder="1" applyAlignment="1">
      <alignment horizontal="center" vertical="center"/>
    </xf>
    <xf numFmtId="0" fontId="25" fillId="0" borderId="60" xfId="2" applyFont="1" applyBorder="1" applyAlignment="1">
      <alignment horizontal="center" vertical="center" wrapText="1"/>
    </xf>
    <xf numFmtId="0" fontId="25" fillId="0" borderId="62" xfId="2" applyFont="1" applyBorder="1" applyAlignment="1">
      <alignment horizontal="center" vertical="center" wrapText="1"/>
    </xf>
    <xf numFmtId="164" fontId="25" fillId="0" borderId="63" xfId="2" applyNumberFormat="1" applyFont="1" applyBorder="1" applyAlignment="1">
      <alignment horizontal="center" vertical="center" wrapText="1"/>
    </xf>
    <xf numFmtId="164" fontId="25" fillId="0" borderId="62" xfId="2" applyNumberFormat="1" applyFont="1" applyBorder="1" applyAlignment="1" applyProtection="1">
      <alignment horizontal="center" vertical="center"/>
      <protection locked="0"/>
    </xf>
    <xf numFmtId="164" fontId="25" fillId="0" borderId="63" xfId="2" applyNumberFormat="1" applyFont="1" applyBorder="1" applyAlignment="1" applyProtection="1">
      <alignment horizontal="center" vertical="center"/>
      <protection locked="0"/>
    </xf>
    <xf numFmtId="1" fontId="25" fillId="0" borderId="63" xfId="2" applyNumberFormat="1" applyFont="1" applyBorder="1" applyAlignment="1" applyProtection="1">
      <alignment horizontal="center" vertical="center"/>
      <protection locked="0"/>
    </xf>
    <xf numFmtId="164" fontId="25" fillId="0" borderId="60" xfId="2" applyNumberFormat="1" applyFont="1" applyBorder="1" applyAlignment="1" applyProtection="1">
      <alignment horizontal="center" vertical="center"/>
      <protection locked="0"/>
    </xf>
    <xf numFmtId="164" fontId="25" fillId="0" borderId="64" xfId="2" applyNumberFormat="1" applyFont="1" applyBorder="1" applyAlignment="1" applyProtection="1">
      <alignment horizontal="center" vertical="center"/>
      <protection locked="0"/>
    </xf>
    <xf numFmtId="164" fontId="25" fillId="0" borderId="62" xfId="2" applyNumberFormat="1" applyFont="1" applyBorder="1" applyAlignment="1" applyProtection="1">
      <alignment horizontal="center" vertical="center"/>
      <protection locked="0"/>
    </xf>
    <xf numFmtId="2" fontId="25" fillId="0" borderId="60" xfId="2" applyNumberFormat="1" applyFont="1" applyBorder="1" applyAlignment="1" applyProtection="1">
      <alignment horizontal="center" vertical="center"/>
      <protection locked="0"/>
    </xf>
    <xf numFmtId="2" fontId="25" fillId="0" borderId="62" xfId="2" applyNumberFormat="1" applyFont="1" applyBorder="1" applyAlignment="1" applyProtection="1">
      <alignment horizontal="center" vertical="center"/>
      <protection locked="0"/>
    </xf>
    <xf numFmtId="2" fontId="26" fillId="0" borderId="31" xfId="0" applyNumberFormat="1" applyFont="1" applyBorder="1" applyAlignment="1" applyProtection="1">
      <alignment horizontal="center" vertical="center"/>
      <protection locked="0"/>
    </xf>
    <xf numFmtId="2" fontId="26" fillId="0" borderId="54" xfId="0" applyNumberFormat="1" applyFont="1" applyBorder="1" applyAlignment="1" applyProtection="1">
      <alignment horizontal="center" vertical="center"/>
      <protection locked="0"/>
    </xf>
    <xf numFmtId="2" fontId="26" fillId="0" borderId="34" xfId="0" applyNumberFormat="1" applyFont="1" applyBorder="1" applyAlignment="1" applyProtection="1">
      <alignment horizontal="center" vertical="center"/>
      <protection locked="0"/>
    </xf>
    <xf numFmtId="2" fontId="26" fillId="0" borderId="55" xfId="0" applyNumberFormat="1" applyFont="1" applyBorder="1" applyAlignment="1" applyProtection="1">
      <alignment horizontal="center" vertical="center"/>
      <protection locked="0"/>
    </xf>
  </cellXfs>
  <cellStyles count="3">
    <cellStyle name="Normal" xfId="0" builtinId="0"/>
    <cellStyle name="Normal 2" xfId="1" xr:uid="{00000000-0005-0000-0000-000001000000}"/>
    <cellStyle name="Normal 3" xfId="2" xr:uid="{D6AD77C1-99EC-4836-AEC2-431B94A560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'041225 BBSG Vicaire'!$E$59:$O$59</c:f>
              <c:numCache>
                <c:formatCode>0.000</c:formatCode>
                <c:ptCount val="11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</c:numCache>
            </c:numRef>
          </c:xVal>
          <c:yVal>
            <c:numRef>
              <c:f>'041225 BBSG Vicaire'!$E$66:$O$66</c:f>
              <c:numCache>
                <c:formatCode>0.0</c:formatCode>
                <c:ptCount val="11"/>
                <c:pt idx="0">
                  <c:v>8.35</c:v>
                </c:pt>
                <c:pt idx="1">
                  <c:v>10.600000000000001</c:v>
                </c:pt>
                <c:pt idx="2">
                  <c:v>13.649999999999999</c:v>
                </c:pt>
                <c:pt idx="3">
                  <c:v>17.299999999999997</c:v>
                </c:pt>
                <c:pt idx="4">
                  <c:v>22.75</c:v>
                </c:pt>
                <c:pt idx="5">
                  <c:v>32.75</c:v>
                </c:pt>
                <c:pt idx="6">
                  <c:v>47.35</c:v>
                </c:pt>
                <c:pt idx="7">
                  <c:v>63.25</c:v>
                </c:pt>
                <c:pt idx="8">
                  <c:v>79.900000000000006</c:v>
                </c:pt>
                <c:pt idx="9">
                  <c:v>94.85</c:v>
                </c:pt>
                <c:pt idx="10" formatCode="0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E18-40C6-B809-2985C4D61FC6}"/>
            </c:ext>
          </c:extLst>
        </c:ser>
        <c:ser>
          <c:idx val="1"/>
          <c:order val="1"/>
          <c:tx>
            <c:v>courbe théorique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'041225 BBSG Vicaire'!$E$59:$W$59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'041225 BBSG Vicaire'!$E$67:$W$67</c:f>
              <c:numCache>
                <c:formatCode>0.0</c:formatCode>
                <c:ptCount val="19"/>
                <c:pt idx="0">
                  <c:v>7.1</c:v>
                </c:pt>
                <c:pt idx="1">
                  <c:v>#N/A</c:v>
                </c:pt>
                <c:pt idx="2">
                  <c:v>12</c:v>
                </c:pt>
                <c:pt idx="3">
                  <c:v>16</c:v>
                </c:pt>
                <c:pt idx="4">
                  <c:v>22</c:v>
                </c:pt>
                <c:pt idx="5">
                  <c:v>32</c:v>
                </c:pt>
                <c:pt idx="6">
                  <c:v>46</c:v>
                </c:pt>
                <c:pt idx="7">
                  <c:v>64</c:v>
                </c:pt>
                <c:pt idx="8">
                  <c:v>80</c:v>
                </c:pt>
                <c:pt idx="9">
                  <c:v>95</c:v>
                </c:pt>
                <c:pt idx="10" formatCode="0">
                  <c:v>100</c:v>
                </c:pt>
                <c:pt idx="18" formatCode="0.00">
                  <c:v>5.4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E18-40C6-B809-2985C4D61FC6}"/>
            </c:ext>
          </c:extLst>
        </c:ser>
        <c:ser>
          <c:idx val="2"/>
          <c:order val="2"/>
          <c:tx>
            <c:v>Valeur mini</c:v>
          </c:tx>
          <c:xVal>
            <c:numRef>
              <c:f>'041225 BBSG Vicaire'!$E$59:$W$59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'041225 BBSG Vicaire'!$E$65:$W$65</c:f>
            </c:numRef>
          </c:yVal>
          <c:smooth val="1"/>
          <c:extLst>
            <c:ext xmlns:c16="http://schemas.microsoft.com/office/drawing/2014/chart" uri="{C3380CC4-5D6E-409C-BE32-E72D297353CC}">
              <c16:uniqueId val="{00000002-EE18-40C6-B809-2985C4D61FC6}"/>
            </c:ext>
          </c:extLst>
        </c:ser>
        <c:ser>
          <c:idx val="3"/>
          <c:order val="3"/>
          <c:tx>
            <c:v>Seuil mini</c:v>
          </c:tx>
          <c:spPr>
            <a:ln w="12700">
              <a:solidFill>
                <a:srgbClr val="FFFFFF"/>
              </a:solidFill>
              <a:prstDash val="solid"/>
            </a:ln>
          </c:spPr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'041225 BBSG Vicaire'!$E$59:$W$59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'041225 BBSG Vicaire'!$E$69:$W$69</c:f>
              <c:numCache>
                <c:formatCode>0.0</c:formatCode>
                <c:ptCount val="19"/>
                <c:pt idx="0">
                  <c:v>5.0999999999999996</c:v>
                </c:pt>
                <c:pt idx="5">
                  <c:v>26</c:v>
                </c:pt>
                <c:pt idx="7">
                  <c:v>57</c:v>
                </c:pt>
                <c:pt idx="18">
                  <c:v>4.9000000000000004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E18-40C6-B809-2985C4D61FC6}"/>
            </c:ext>
          </c:extLst>
        </c:ser>
        <c:ser>
          <c:idx val="4"/>
          <c:order val="4"/>
          <c:tx>
            <c:v>Seuil maxi</c:v>
          </c:tx>
          <c:spPr>
            <a:ln w="28575">
              <a:noFill/>
            </a:ln>
          </c:spPr>
          <c:marker>
            <c:symbol val="dash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'041225 BBSG Vicaire'!$E$59:$W$59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'041225 BBSG Vicaire'!$E$68:$W$68</c:f>
              <c:numCache>
                <c:formatCode>0.0</c:formatCode>
                <c:ptCount val="19"/>
                <c:pt idx="0">
                  <c:v>9.1</c:v>
                </c:pt>
                <c:pt idx="5">
                  <c:v>38</c:v>
                </c:pt>
                <c:pt idx="7">
                  <c:v>71</c:v>
                </c:pt>
                <c:pt idx="18">
                  <c:v>5.9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E18-40C6-B809-2985C4D61F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20594976296114434"/>
          <c:h val="0.2717095657160502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25</xdr:row>
      <xdr:rowOff>0</xdr:rowOff>
    </xdr:from>
    <xdr:to>
      <xdr:col>25</xdr:col>
      <xdr:colOff>167640</xdr:colOff>
      <xdr:row>55</xdr:row>
      <xdr:rowOff>0</xdr:rowOff>
    </xdr:to>
    <xdr:graphicFrame macro="">
      <xdr:nvGraphicFramePr>
        <xdr:cNvPr id="6236" name="Graphique 1">
          <a:extLst>
            <a:ext uri="{FF2B5EF4-FFF2-40B4-BE49-F238E27FC236}">
              <a16:creationId xmlns:a16="http://schemas.microsoft.com/office/drawing/2014/main" id="{00000000-0008-0000-0000-00005C1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71</xdr:row>
      <xdr:rowOff>0</xdr:rowOff>
    </xdr:from>
    <xdr:to>
      <xdr:col>24</xdr:col>
      <xdr:colOff>104775</xdr:colOff>
      <xdr:row>71</xdr:row>
      <xdr:rowOff>0</xdr:rowOff>
    </xdr:to>
    <xdr:sp macro="" textlink="">
      <xdr:nvSpPr>
        <xdr:cNvPr id="6237" name="Line 24">
          <a:extLst>
            <a:ext uri="{FF2B5EF4-FFF2-40B4-BE49-F238E27FC236}">
              <a16:creationId xmlns:a16="http://schemas.microsoft.com/office/drawing/2014/main" id="{00000000-0008-0000-0000-00005D180000}"/>
            </a:ext>
          </a:extLst>
        </xdr:cNvPr>
        <xdr:cNvSpPr>
          <a:spLocks noChangeShapeType="1"/>
        </xdr:cNvSpPr>
      </xdr:nvSpPr>
      <xdr:spPr bwMode="auto">
        <a:xfrm>
          <a:off x="8334375" y="1137285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51</xdr:row>
      <xdr:rowOff>66675</xdr:rowOff>
    </xdr:from>
    <xdr:to>
      <xdr:col>30</xdr:col>
      <xdr:colOff>171450</xdr:colOff>
      <xdr:row>54</xdr:row>
      <xdr:rowOff>95250</xdr:rowOff>
    </xdr:to>
    <xdr:sp macro="" textlink="">
      <xdr:nvSpPr>
        <xdr:cNvPr id="6172" name="Text Box 28">
          <a:extLst>
            <a:ext uri="{FF2B5EF4-FFF2-40B4-BE49-F238E27FC236}">
              <a16:creationId xmlns:a16="http://schemas.microsoft.com/office/drawing/2014/main" id="{00000000-0008-0000-0000-00001C180000}"/>
            </a:ext>
          </a:extLst>
        </xdr:cNvPr>
        <xdr:cNvSpPr txBox="1">
          <a:spLocks noChangeArrowheads="1"/>
        </xdr:cNvSpPr>
      </xdr:nvSpPr>
      <xdr:spPr bwMode="auto">
        <a:xfrm>
          <a:off x="8562975" y="7562850"/>
          <a:ext cx="2809875" cy="514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52</xdr:row>
      <xdr:rowOff>28576</xdr:rowOff>
    </xdr:from>
    <xdr:to>
      <xdr:col>30</xdr:col>
      <xdr:colOff>533400</xdr:colOff>
      <xdr:row>54</xdr:row>
      <xdr:rowOff>85726</xdr:rowOff>
    </xdr:to>
    <xdr:sp macro="" textlink="">
      <xdr:nvSpPr>
        <xdr:cNvPr id="6239" name="Line 29">
          <a:extLst>
            <a:ext uri="{FF2B5EF4-FFF2-40B4-BE49-F238E27FC236}">
              <a16:creationId xmlns:a16="http://schemas.microsoft.com/office/drawing/2014/main" id="{00000000-0008-0000-0000-00005F180000}"/>
            </a:ext>
          </a:extLst>
        </xdr:cNvPr>
        <xdr:cNvSpPr>
          <a:spLocks noChangeShapeType="1"/>
        </xdr:cNvSpPr>
      </xdr:nvSpPr>
      <xdr:spPr bwMode="auto">
        <a:xfrm>
          <a:off x="11382375" y="7686676"/>
          <a:ext cx="352425" cy="3810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54</xdr:row>
      <xdr:rowOff>104775</xdr:rowOff>
    </xdr:from>
    <xdr:to>
      <xdr:col>25</xdr:col>
      <xdr:colOff>295275</xdr:colOff>
      <xdr:row>56</xdr:row>
      <xdr:rowOff>133350</xdr:rowOff>
    </xdr:to>
    <xdr:sp macro="" textlink="">
      <xdr:nvSpPr>
        <xdr:cNvPr id="6240" name="Line 30">
          <a:extLst>
            <a:ext uri="{FF2B5EF4-FFF2-40B4-BE49-F238E27FC236}">
              <a16:creationId xmlns:a16="http://schemas.microsoft.com/office/drawing/2014/main" id="{00000000-0008-0000-0000-000060180000}"/>
            </a:ext>
          </a:extLst>
        </xdr:cNvPr>
        <xdr:cNvSpPr>
          <a:spLocks noChangeShapeType="1"/>
        </xdr:cNvSpPr>
      </xdr:nvSpPr>
      <xdr:spPr bwMode="auto">
        <a:xfrm flipH="1">
          <a:off x="8848725" y="8086725"/>
          <a:ext cx="19050" cy="2762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6241" name="Picture 32">
          <a:extLst>
            <a:ext uri="{FF2B5EF4-FFF2-40B4-BE49-F238E27FC236}">
              <a16:creationId xmlns:a16="http://schemas.microsoft.com/office/drawing/2014/main" id="{00000000-0008-0000-0000-00006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4350" y="647700"/>
          <a:ext cx="1971675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71</xdr:row>
      <xdr:rowOff>152400</xdr:rowOff>
    </xdr:from>
    <xdr:to>
      <xdr:col>32</xdr:col>
      <xdr:colOff>400050</xdr:colOff>
      <xdr:row>72</xdr:row>
      <xdr:rowOff>228600</xdr:rowOff>
    </xdr:to>
    <xdr:sp macro="" textlink="">
      <xdr:nvSpPr>
        <xdr:cNvPr id="6195" name="Text Box 51">
          <a:extLst>
            <a:ext uri="{FF2B5EF4-FFF2-40B4-BE49-F238E27FC236}">
              <a16:creationId xmlns:a16="http://schemas.microsoft.com/office/drawing/2014/main" id="{00000000-0008-0000-0000-000033180000}"/>
            </a:ext>
          </a:extLst>
        </xdr:cNvPr>
        <xdr:cNvSpPr txBox="1">
          <a:spLocks noChangeArrowheads="1"/>
        </xdr:cNvSpPr>
      </xdr:nvSpPr>
      <xdr:spPr bwMode="auto">
        <a:xfrm>
          <a:off x="8763000" y="11515725"/>
          <a:ext cx="1533525" cy="514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122</xdr:row>
      <xdr:rowOff>57150</xdr:rowOff>
    </xdr:from>
    <xdr:to>
      <xdr:col>41</xdr:col>
      <xdr:colOff>323850</xdr:colOff>
      <xdr:row>123</xdr:row>
      <xdr:rowOff>85725</xdr:rowOff>
    </xdr:to>
    <xdr:sp macro="" textlink="">
      <xdr:nvSpPr>
        <xdr:cNvPr id="6243" name="Line 52">
          <a:extLst>
            <a:ext uri="{FF2B5EF4-FFF2-40B4-BE49-F238E27FC236}">
              <a16:creationId xmlns:a16="http://schemas.microsoft.com/office/drawing/2014/main" id="{00000000-0008-0000-0000-000063180000}"/>
            </a:ext>
          </a:extLst>
        </xdr:cNvPr>
        <xdr:cNvSpPr>
          <a:spLocks noChangeShapeType="1"/>
        </xdr:cNvSpPr>
      </xdr:nvSpPr>
      <xdr:spPr bwMode="auto">
        <a:xfrm flipH="1">
          <a:off x="19907250" y="20688300"/>
          <a:ext cx="0" cy="1905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68</xdr:row>
      <xdr:rowOff>19049</xdr:rowOff>
    </xdr:from>
    <xdr:to>
      <xdr:col>29</xdr:col>
      <xdr:colOff>257175</xdr:colOff>
      <xdr:row>71</xdr:row>
      <xdr:rowOff>352424</xdr:rowOff>
    </xdr:to>
    <xdr:sp macro="" textlink="">
      <xdr:nvSpPr>
        <xdr:cNvPr id="6244" name="Line 53">
          <a:extLst>
            <a:ext uri="{FF2B5EF4-FFF2-40B4-BE49-F238E27FC236}">
              <a16:creationId xmlns:a16="http://schemas.microsoft.com/office/drawing/2014/main" id="{00000000-0008-0000-0000-000064180000}"/>
            </a:ext>
          </a:extLst>
        </xdr:cNvPr>
        <xdr:cNvSpPr>
          <a:spLocks noChangeShapeType="1"/>
        </xdr:cNvSpPr>
      </xdr:nvSpPr>
      <xdr:spPr bwMode="auto">
        <a:xfrm flipH="1" flipV="1">
          <a:off x="4448175" y="11029949"/>
          <a:ext cx="6248400" cy="6953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323850</xdr:colOff>
      <xdr:row>3</xdr:row>
      <xdr:rowOff>131445</xdr:rowOff>
    </xdr:to>
    <xdr:pic>
      <xdr:nvPicPr>
        <xdr:cNvPr id="16" name="Image 1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295275"/>
          <a:ext cx="1314450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N79"/>
  <sheetViews>
    <sheetView tabSelected="1" topLeftCell="A58" zoomScaleNormal="100" workbookViewId="0">
      <selection activeCell="S62" sqref="S62"/>
    </sheetView>
  </sheetViews>
  <sheetFormatPr baseColWidth="10" defaultColWidth="11.44140625" defaultRowHeight="12.75" customHeight="1" x14ac:dyDescent="0.25"/>
  <cols>
    <col min="1" max="2" width="5.109375" style="29" customWidth="1"/>
    <col min="3" max="27" width="5.109375" style="1" customWidth="1"/>
    <col min="28" max="41" width="11.44140625" style="1" customWidth="1"/>
    <col min="42" max="16384" width="11.44140625" style="1"/>
  </cols>
  <sheetData>
    <row r="1" spans="1:36" ht="12.6" customHeight="1" x14ac:dyDescent="0.25">
      <c r="A1" s="140"/>
      <c r="B1" s="141"/>
      <c r="C1" s="141"/>
      <c r="D1" s="141"/>
      <c r="E1" s="141"/>
      <c r="F1" s="142"/>
      <c r="G1" s="149" t="s">
        <v>33</v>
      </c>
      <c r="H1" s="150"/>
      <c r="I1" s="150"/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1"/>
      <c r="U1" s="152" t="s">
        <v>60</v>
      </c>
      <c r="V1" s="153"/>
      <c r="W1" s="153"/>
      <c r="X1" s="153"/>
      <c r="Y1" s="153"/>
      <c r="Z1" s="154"/>
      <c r="AA1" s="78"/>
    </row>
    <row r="2" spans="1:36" ht="12.6" customHeight="1" x14ac:dyDescent="0.25">
      <c r="A2" s="143"/>
      <c r="B2" s="144"/>
      <c r="C2" s="144"/>
      <c r="D2" s="144"/>
      <c r="E2" s="144"/>
      <c r="F2" s="145"/>
      <c r="G2" s="161" t="s">
        <v>39</v>
      </c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3"/>
      <c r="U2" s="155"/>
      <c r="V2" s="156"/>
      <c r="W2" s="156"/>
      <c r="X2" s="156"/>
      <c r="Y2" s="156"/>
      <c r="Z2" s="157"/>
      <c r="AA2" s="78"/>
    </row>
    <row r="3" spans="1:36" ht="12.6" customHeight="1" x14ac:dyDescent="0.25">
      <c r="A3" s="143"/>
      <c r="B3" s="144"/>
      <c r="C3" s="144"/>
      <c r="D3" s="144"/>
      <c r="E3" s="144"/>
      <c r="F3" s="145"/>
      <c r="G3" s="164"/>
      <c r="H3" s="162"/>
      <c r="I3" s="162"/>
      <c r="J3" s="162"/>
      <c r="K3" s="162"/>
      <c r="L3" s="162"/>
      <c r="M3" s="162"/>
      <c r="N3" s="162"/>
      <c r="O3" s="162"/>
      <c r="P3" s="162"/>
      <c r="Q3" s="162"/>
      <c r="R3" s="162"/>
      <c r="S3" s="162"/>
      <c r="T3" s="163"/>
      <c r="U3" s="155"/>
      <c r="V3" s="156"/>
      <c r="W3" s="156"/>
      <c r="X3" s="156"/>
      <c r="Y3" s="156"/>
      <c r="Z3" s="157"/>
      <c r="AA3" s="78"/>
    </row>
    <row r="4" spans="1:36" ht="12.6" customHeight="1" x14ac:dyDescent="0.25">
      <c r="A4" s="143"/>
      <c r="B4" s="144"/>
      <c r="C4" s="144"/>
      <c r="D4" s="144"/>
      <c r="E4" s="144"/>
      <c r="F4" s="145"/>
      <c r="G4" s="164"/>
      <c r="H4" s="162"/>
      <c r="I4" s="162"/>
      <c r="J4" s="162"/>
      <c r="K4" s="162"/>
      <c r="L4" s="162"/>
      <c r="M4" s="162"/>
      <c r="N4" s="162"/>
      <c r="O4" s="162"/>
      <c r="P4" s="162"/>
      <c r="Q4" s="162"/>
      <c r="R4" s="162"/>
      <c r="S4" s="162"/>
      <c r="T4" s="163"/>
      <c r="U4" s="155"/>
      <c r="V4" s="156"/>
      <c r="W4" s="156"/>
      <c r="X4" s="156"/>
      <c r="Y4" s="156"/>
      <c r="Z4" s="157"/>
      <c r="AA4" s="78"/>
    </row>
    <row r="5" spans="1:36" ht="12.6" customHeight="1" x14ac:dyDescent="0.25">
      <c r="A5" s="143"/>
      <c r="B5" s="144"/>
      <c r="C5" s="144"/>
      <c r="D5" s="144"/>
      <c r="E5" s="144"/>
      <c r="F5" s="145"/>
      <c r="G5" s="164" t="s">
        <v>40</v>
      </c>
      <c r="H5" s="162"/>
      <c r="I5" s="2" t="s">
        <v>34</v>
      </c>
      <c r="J5" s="120">
        <v>1</v>
      </c>
      <c r="K5" s="165"/>
      <c r="L5" s="166" t="s">
        <v>61</v>
      </c>
      <c r="M5" s="120"/>
      <c r="N5" s="120"/>
      <c r="O5" s="165"/>
      <c r="P5" s="167">
        <v>45996</v>
      </c>
      <c r="Q5" s="168"/>
      <c r="R5" s="168"/>
      <c r="S5" s="168"/>
      <c r="T5" s="169"/>
      <c r="U5" s="155"/>
      <c r="V5" s="156"/>
      <c r="W5" s="156"/>
      <c r="X5" s="156"/>
      <c r="Y5" s="156"/>
      <c r="Z5" s="157"/>
      <c r="AA5" s="78"/>
    </row>
    <row r="6" spans="1:36" ht="12.6" customHeight="1" x14ac:dyDescent="0.25">
      <c r="A6" s="146"/>
      <c r="B6" s="147"/>
      <c r="C6" s="147"/>
      <c r="D6" s="147"/>
      <c r="E6" s="147"/>
      <c r="F6" s="148"/>
      <c r="G6" s="3"/>
      <c r="H6" s="4"/>
      <c r="I6" s="4"/>
      <c r="J6" s="170" t="s">
        <v>35</v>
      </c>
      <c r="K6" s="170"/>
      <c r="L6" s="170" t="s">
        <v>36</v>
      </c>
      <c r="M6" s="170"/>
      <c r="N6" s="170"/>
      <c r="O6" s="170"/>
      <c r="P6" s="170" t="s">
        <v>37</v>
      </c>
      <c r="Q6" s="170"/>
      <c r="R6" s="170"/>
      <c r="S6" s="170"/>
      <c r="T6" s="171"/>
      <c r="U6" s="158"/>
      <c r="V6" s="159"/>
      <c r="W6" s="159"/>
      <c r="X6" s="159"/>
      <c r="Y6" s="159"/>
      <c r="Z6" s="160"/>
      <c r="AA6" s="78"/>
    </row>
    <row r="7" spans="1:36" ht="36.6" customHeight="1" x14ac:dyDescent="0.25">
      <c r="A7" s="172" t="s">
        <v>38</v>
      </c>
      <c r="B7" s="172"/>
      <c r="C7" s="172"/>
      <c r="D7" s="172"/>
      <c r="E7" s="172"/>
      <c r="F7" s="172"/>
      <c r="G7" s="173" t="s">
        <v>32</v>
      </c>
      <c r="H7" s="173"/>
      <c r="I7" s="173"/>
      <c r="J7" s="173"/>
      <c r="K7" s="173"/>
      <c r="L7" s="173"/>
      <c r="M7" s="173"/>
      <c r="N7" s="173"/>
      <c r="O7" s="173"/>
      <c r="P7" s="173"/>
      <c r="Q7" s="173"/>
      <c r="R7" s="173"/>
      <c r="S7" s="173"/>
      <c r="T7" s="173"/>
      <c r="U7" s="173"/>
      <c r="V7" s="173"/>
      <c r="W7" s="173"/>
      <c r="X7" s="173"/>
      <c r="Y7" s="173"/>
      <c r="Z7" s="173"/>
      <c r="AA7" s="79"/>
      <c r="AE7" s="6"/>
      <c r="AI7" s="6"/>
    </row>
    <row r="8" spans="1:36" ht="15.9" customHeight="1" x14ac:dyDescent="0.25">
      <c r="A8" s="7" t="s">
        <v>1</v>
      </c>
      <c r="B8" s="8" t="s">
        <v>0</v>
      </c>
      <c r="C8" s="9"/>
      <c r="D8" s="10"/>
      <c r="E8" s="10"/>
      <c r="F8" s="10"/>
      <c r="G8" s="10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1"/>
      <c r="AA8" s="14"/>
      <c r="AB8" s="12"/>
      <c r="AC8" s="12"/>
      <c r="AD8" s="12"/>
      <c r="AE8" s="6"/>
      <c r="AF8" s="12"/>
      <c r="AI8" s="6"/>
    </row>
    <row r="9" spans="1:36" ht="7.8" customHeight="1" x14ac:dyDescent="0.25">
      <c r="A9" s="13"/>
      <c r="B9" s="14"/>
      <c r="C9" s="14"/>
      <c r="D9" s="15"/>
      <c r="E9" s="15"/>
      <c r="F9" s="15"/>
      <c r="G9" s="15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6"/>
      <c r="AA9" s="14"/>
      <c r="AB9" s="12"/>
      <c r="AC9" s="12"/>
      <c r="AD9" s="12"/>
      <c r="AE9" s="6"/>
      <c r="AF9" s="12"/>
      <c r="AI9" s="6"/>
    </row>
    <row r="10" spans="1:36" ht="15.9" customHeight="1" x14ac:dyDescent="0.25">
      <c r="A10" s="13"/>
      <c r="B10" s="115" t="s">
        <v>27</v>
      </c>
      <c r="C10" s="115"/>
      <c r="D10" s="115"/>
      <c r="E10" s="115"/>
      <c r="F10" s="115"/>
      <c r="G10" s="117" t="s">
        <v>62</v>
      </c>
      <c r="H10" s="117"/>
      <c r="I10" s="117"/>
      <c r="J10" s="117"/>
      <c r="K10" s="117"/>
      <c r="L10" s="117"/>
      <c r="M10" s="115" t="s">
        <v>30</v>
      </c>
      <c r="N10" s="115"/>
      <c r="O10" s="115"/>
      <c r="P10" s="115"/>
      <c r="Q10" s="115"/>
      <c r="R10" s="115"/>
      <c r="S10" s="139" t="s">
        <v>52</v>
      </c>
      <c r="T10" s="139"/>
      <c r="U10" s="139"/>
      <c r="V10" s="139"/>
      <c r="W10" s="139"/>
      <c r="X10" s="139"/>
      <c r="Y10" s="139"/>
      <c r="Z10" s="17"/>
      <c r="AA10" s="75"/>
      <c r="AB10" s="12"/>
      <c r="AC10" s="12"/>
      <c r="AD10" s="12"/>
      <c r="AE10" s="113"/>
      <c r="AF10" s="113"/>
      <c r="AG10" s="113"/>
      <c r="AH10" s="113"/>
      <c r="AI10" s="113"/>
    </row>
    <row r="11" spans="1:36" ht="15.9" customHeight="1" x14ac:dyDescent="0.25">
      <c r="A11" s="13"/>
      <c r="B11" s="115" t="s">
        <v>6</v>
      </c>
      <c r="C11" s="115"/>
      <c r="D11" s="115"/>
      <c r="E11" s="115"/>
      <c r="F11" s="115"/>
      <c r="G11" s="117" t="s">
        <v>63</v>
      </c>
      <c r="H11" s="117"/>
      <c r="I11" s="117"/>
      <c r="J11" s="117"/>
      <c r="K11" s="117"/>
      <c r="L11" s="117"/>
      <c r="M11" s="115" t="s">
        <v>44</v>
      </c>
      <c r="N11" s="115"/>
      <c r="O11" s="115"/>
      <c r="P11" s="115"/>
      <c r="Q11" s="115"/>
      <c r="R11" s="115"/>
      <c r="S11" s="116" t="s">
        <v>64</v>
      </c>
      <c r="T11" s="116"/>
      <c r="U11" s="116"/>
      <c r="V11" s="116"/>
      <c r="W11" s="116"/>
      <c r="X11" s="116"/>
      <c r="Y11" s="116"/>
      <c r="Z11" s="17"/>
      <c r="AA11" s="75"/>
      <c r="AB11" s="12"/>
      <c r="AC11" s="12"/>
      <c r="AD11" s="12"/>
      <c r="AE11" s="113"/>
      <c r="AF11" s="113"/>
      <c r="AG11" s="113"/>
      <c r="AH11" s="113"/>
      <c r="AI11" s="113"/>
    </row>
    <row r="12" spans="1:36" ht="15.9" customHeight="1" x14ac:dyDescent="0.25">
      <c r="A12" s="13"/>
      <c r="B12" s="115" t="s">
        <v>28</v>
      </c>
      <c r="C12" s="115"/>
      <c r="D12" s="115"/>
      <c r="E12" s="115"/>
      <c r="F12" s="115"/>
      <c r="G12" s="117" t="s">
        <v>63</v>
      </c>
      <c r="H12" s="117"/>
      <c r="I12" s="117"/>
      <c r="J12" s="117"/>
      <c r="K12" s="117"/>
      <c r="L12" s="117"/>
      <c r="M12" s="223" t="s">
        <v>43</v>
      </c>
      <c r="N12" s="223"/>
      <c r="O12" s="223"/>
      <c r="P12" s="223"/>
      <c r="Q12" s="223"/>
      <c r="R12" s="223"/>
      <c r="S12" s="139" t="s">
        <v>53</v>
      </c>
      <c r="T12" s="139"/>
      <c r="U12" s="139"/>
      <c r="V12" s="139"/>
      <c r="W12" s="139"/>
      <c r="X12" s="139"/>
      <c r="Y12" s="139"/>
      <c r="Z12" s="17"/>
      <c r="AA12" s="75"/>
      <c r="AB12" s="12"/>
      <c r="AC12" s="12"/>
      <c r="AD12" s="12"/>
      <c r="AE12" s="6"/>
      <c r="AF12" s="12"/>
      <c r="AI12" s="6"/>
    </row>
    <row r="13" spans="1:36" ht="15.9" customHeight="1" x14ac:dyDescent="0.25">
      <c r="A13" s="13"/>
      <c r="B13" s="119" t="s">
        <v>41</v>
      </c>
      <c r="C13" s="119"/>
      <c r="D13" s="119"/>
      <c r="E13" s="119"/>
      <c r="F13" s="119"/>
      <c r="G13" s="118" t="s">
        <v>56</v>
      </c>
      <c r="H13" s="118"/>
      <c r="I13" s="118"/>
      <c r="J13" s="118"/>
      <c r="K13" s="118"/>
      <c r="L13" s="118"/>
      <c r="M13" s="115" t="s">
        <v>29</v>
      </c>
      <c r="N13" s="115"/>
      <c r="O13" s="115"/>
      <c r="P13" s="115"/>
      <c r="Q13" s="115"/>
      <c r="R13" s="115"/>
      <c r="S13" s="118" t="s">
        <v>54</v>
      </c>
      <c r="T13" s="118"/>
      <c r="U13" s="118"/>
      <c r="V13" s="118"/>
      <c r="W13" s="118"/>
      <c r="X13" s="118"/>
      <c r="Y13" s="118"/>
      <c r="Z13" s="17"/>
      <c r="AA13" s="75"/>
      <c r="AB13" s="12"/>
      <c r="AC13" s="12"/>
      <c r="AD13" s="12"/>
      <c r="AE13" s="113"/>
      <c r="AF13" s="113"/>
      <c r="AG13" s="113"/>
      <c r="AH13" s="113"/>
      <c r="AI13" s="113"/>
      <c r="AJ13" s="113"/>
    </row>
    <row r="14" spans="1:36" ht="15.9" customHeight="1" x14ac:dyDescent="0.25">
      <c r="A14" s="18"/>
      <c r="B14" s="115" t="s">
        <v>42</v>
      </c>
      <c r="C14" s="115"/>
      <c r="D14" s="115"/>
      <c r="E14" s="115"/>
      <c r="F14" s="115"/>
      <c r="G14" s="118" t="s">
        <v>55</v>
      </c>
      <c r="H14" s="118"/>
      <c r="I14" s="118"/>
      <c r="J14" s="118"/>
      <c r="K14" s="118"/>
      <c r="L14" s="118"/>
      <c r="M14" s="224" t="s">
        <v>26</v>
      </c>
      <c r="N14" s="224"/>
      <c r="O14" s="224"/>
      <c r="P14" s="224"/>
      <c r="Q14" s="224"/>
      <c r="R14" s="224"/>
      <c r="S14" s="224" t="s">
        <v>49</v>
      </c>
      <c r="T14" s="224"/>
      <c r="U14" s="224"/>
      <c r="V14" s="224"/>
      <c r="W14" s="224"/>
      <c r="X14" s="224"/>
      <c r="Y14" s="224"/>
      <c r="Z14" s="19"/>
      <c r="AA14" s="12"/>
      <c r="AB14" s="12"/>
      <c r="AC14" s="12"/>
      <c r="AD14" s="12"/>
      <c r="AE14" s="113"/>
      <c r="AF14" s="113"/>
      <c r="AG14" s="113"/>
      <c r="AH14" s="113"/>
      <c r="AI14" s="113"/>
      <c r="AJ14" s="113"/>
    </row>
    <row r="15" spans="1:36" ht="6" customHeight="1" x14ac:dyDescent="0.25">
      <c r="A15" s="24"/>
      <c r="B15" s="25"/>
      <c r="C15" s="26"/>
      <c r="D15" s="26"/>
      <c r="E15" s="26"/>
      <c r="F15" s="25"/>
      <c r="G15" s="25"/>
      <c r="H15" s="25"/>
      <c r="I15" s="25"/>
      <c r="J15" s="25"/>
      <c r="K15" s="25"/>
      <c r="L15" s="25"/>
      <c r="M15" s="25"/>
      <c r="N15" s="26"/>
      <c r="O15" s="26"/>
      <c r="P15" s="26"/>
      <c r="Q15" s="26"/>
      <c r="R15" s="26"/>
      <c r="S15" s="26"/>
      <c r="T15" s="27"/>
      <c r="U15" s="27"/>
      <c r="V15" s="26"/>
      <c r="W15" s="26"/>
      <c r="X15" s="26"/>
      <c r="Y15" s="26"/>
      <c r="Z15" s="28"/>
      <c r="AE15" s="113"/>
      <c r="AF15" s="113"/>
      <c r="AG15" s="113"/>
      <c r="AH15" s="113"/>
      <c r="AI15" s="113"/>
      <c r="AJ15" s="113"/>
    </row>
    <row r="16" spans="1:36" ht="6" customHeight="1" x14ac:dyDescent="0.25">
      <c r="F16" s="29"/>
      <c r="G16" s="29"/>
      <c r="H16" s="29"/>
      <c r="I16" s="29"/>
      <c r="J16" s="29"/>
      <c r="K16" s="29"/>
      <c r="L16" s="29"/>
      <c r="M16" s="29"/>
      <c r="T16" s="30"/>
      <c r="U16" s="30"/>
      <c r="AE16" s="113"/>
      <c r="AF16" s="113"/>
      <c r="AG16" s="113"/>
      <c r="AH16" s="113"/>
      <c r="AI16" s="113"/>
      <c r="AJ16" s="113"/>
    </row>
    <row r="17" spans="1:40" ht="15.9" customHeight="1" x14ac:dyDescent="0.25">
      <c r="A17" s="7" t="s">
        <v>2</v>
      </c>
      <c r="B17" s="8" t="s">
        <v>18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1"/>
      <c r="AA17" s="14"/>
      <c r="AE17" s="20"/>
      <c r="AI17" s="20"/>
    </row>
    <row r="18" spans="1:40" ht="8.25" customHeight="1" x14ac:dyDescent="0.25">
      <c r="A18" s="13"/>
      <c r="B18" s="31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6"/>
      <c r="AA18" s="14"/>
      <c r="AE18" s="20"/>
      <c r="AI18" s="20"/>
    </row>
    <row r="19" spans="1:40" ht="15.9" customHeight="1" x14ac:dyDescent="0.25">
      <c r="A19" s="13"/>
      <c r="B19" s="115" t="s">
        <v>19</v>
      </c>
      <c r="C19" s="115"/>
      <c r="D19" s="115"/>
      <c r="E19" s="115"/>
      <c r="F19" s="115"/>
      <c r="G19" s="115"/>
      <c r="H19" s="115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Z19" s="17"/>
      <c r="AA19" s="75"/>
      <c r="AE19" s="20"/>
      <c r="AI19" s="20"/>
    </row>
    <row r="20" spans="1:40" ht="15.9" customHeight="1" x14ac:dyDescent="0.25">
      <c r="A20" s="13"/>
      <c r="B20" s="115" t="s">
        <v>20</v>
      </c>
      <c r="C20" s="115"/>
      <c r="D20" s="115"/>
      <c r="E20" s="115"/>
      <c r="F20" s="115"/>
      <c r="G20" s="115"/>
      <c r="H20" s="115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Z20" s="17"/>
      <c r="AA20" s="75"/>
      <c r="AE20" s="20"/>
      <c r="AI20" s="20"/>
    </row>
    <row r="21" spans="1:40" ht="7.5" customHeight="1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32"/>
      <c r="AA21" s="14"/>
      <c r="AE21" s="20"/>
      <c r="AI21" s="20"/>
    </row>
    <row r="22" spans="1:40" ht="5.25" customHeight="1" x14ac:dyDescent="0.25">
      <c r="F22" s="29"/>
      <c r="G22" s="29"/>
      <c r="H22" s="29"/>
      <c r="I22" s="29"/>
      <c r="J22" s="29"/>
      <c r="K22" s="29"/>
      <c r="L22" s="29"/>
      <c r="M22" s="29"/>
      <c r="T22" s="30"/>
      <c r="U22" s="30"/>
      <c r="AE22" s="20"/>
      <c r="AI22" s="20"/>
      <c r="AM22" s="12"/>
      <c r="AN22" s="12"/>
    </row>
    <row r="23" spans="1:40" ht="15.9" customHeight="1" x14ac:dyDescent="0.25">
      <c r="A23" s="33" t="s">
        <v>50</v>
      </c>
      <c r="B23" s="34" t="s">
        <v>17</v>
      </c>
      <c r="C23" s="34"/>
      <c r="D23" s="35"/>
      <c r="E23" s="35"/>
      <c r="F23" s="36"/>
      <c r="G23" s="36"/>
      <c r="H23" s="36"/>
      <c r="I23" s="36"/>
      <c r="J23" s="36"/>
      <c r="K23" s="36"/>
      <c r="L23" s="36"/>
      <c r="M23" s="36"/>
      <c r="N23" s="35"/>
      <c r="O23" s="35"/>
      <c r="P23" s="35"/>
      <c r="Q23" s="35"/>
      <c r="R23" s="35"/>
      <c r="S23" s="37"/>
      <c r="T23" s="37"/>
      <c r="U23" s="37"/>
      <c r="V23" s="37"/>
      <c r="W23" s="37"/>
      <c r="X23" s="37"/>
      <c r="Y23" s="37"/>
      <c r="Z23" s="38"/>
      <c r="AM23" s="21"/>
      <c r="AN23" s="22"/>
    </row>
    <row r="24" spans="1:40" ht="9" customHeight="1" x14ac:dyDescent="0.25">
      <c r="A24" s="18"/>
      <c r="Z24" s="23"/>
    </row>
    <row r="25" spans="1:40" ht="9" customHeight="1" x14ac:dyDescent="0.25">
      <c r="A25" s="18"/>
      <c r="Z25" s="23"/>
    </row>
    <row r="26" spans="1:40" ht="9" customHeight="1" x14ac:dyDescent="0.25">
      <c r="A26" s="18"/>
      <c r="Z26" s="23"/>
    </row>
    <row r="27" spans="1:40" ht="9" customHeight="1" x14ac:dyDescent="0.25">
      <c r="A27" s="18"/>
      <c r="Z27" s="23"/>
    </row>
    <row r="28" spans="1:40" ht="9" customHeight="1" x14ac:dyDescent="0.25">
      <c r="A28" s="18"/>
      <c r="Z28" s="23"/>
    </row>
    <row r="29" spans="1:40" ht="9" customHeight="1" x14ac:dyDescent="0.25">
      <c r="A29" s="18"/>
      <c r="Z29" s="23"/>
    </row>
    <row r="30" spans="1:40" ht="9" customHeight="1" x14ac:dyDescent="0.25">
      <c r="A30" s="18"/>
      <c r="Z30" s="23"/>
    </row>
    <row r="31" spans="1:40" ht="9" customHeight="1" x14ac:dyDescent="0.25">
      <c r="A31" s="18"/>
      <c r="Z31" s="23"/>
    </row>
    <row r="32" spans="1:40" ht="9" customHeight="1" x14ac:dyDescent="0.25">
      <c r="A32" s="18"/>
      <c r="Z32" s="23"/>
    </row>
    <row r="33" spans="1:26" ht="9" customHeight="1" x14ac:dyDescent="0.25">
      <c r="A33" s="18"/>
      <c r="Z33" s="23"/>
    </row>
    <row r="34" spans="1:26" ht="12.75" customHeight="1" x14ac:dyDescent="0.25">
      <c r="A34" s="18"/>
      <c r="Z34" s="23"/>
    </row>
    <row r="35" spans="1:26" ht="12.75" customHeight="1" x14ac:dyDescent="0.25">
      <c r="A35" s="18"/>
      <c r="Z35" s="23"/>
    </row>
    <row r="36" spans="1:26" ht="12.75" customHeight="1" x14ac:dyDescent="0.25">
      <c r="A36" s="18"/>
      <c r="Z36" s="23"/>
    </row>
    <row r="37" spans="1:26" ht="12.75" customHeight="1" x14ac:dyDescent="0.25">
      <c r="A37" s="18"/>
      <c r="Z37" s="23"/>
    </row>
    <row r="38" spans="1:26" ht="12.75" customHeight="1" x14ac:dyDescent="0.25">
      <c r="A38" s="18"/>
      <c r="Z38" s="23"/>
    </row>
    <row r="39" spans="1:26" ht="12.75" customHeight="1" x14ac:dyDescent="0.25">
      <c r="A39" s="18"/>
      <c r="Z39" s="23"/>
    </row>
    <row r="40" spans="1:26" ht="12.75" customHeight="1" x14ac:dyDescent="0.25">
      <c r="A40" s="18"/>
      <c r="Z40" s="23"/>
    </row>
    <row r="41" spans="1:26" ht="12.75" customHeight="1" x14ac:dyDescent="0.25">
      <c r="A41" s="18"/>
      <c r="Z41" s="23"/>
    </row>
    <row r="42" spans="1:26" ht="12.75" customHeight="1" x14ac:dyDescent="0.25">
      <c r="A42" s="18"/>
      <c r="Z42" s="23"/>
    </row>
    <row r="43" spans="1:26" ht="12.75" customHeight="1" x14ac:dyDescent="0.25">
      <c r="A43" s="18"/>
      <c r="Z43" s="23"/>
    </row>
    <row r="44" spans="1:26" ht="12.75" customHeight="1" x14ac:dyDescent="0.25">
      <c r="A44" s="18"/>
      <c r="Z44" s="23"/>
    </row>
    <row r="45" spans="1:26" ht="12.75" customHeight="1" x14ac:dyDescent="0.25">
      <c r="A45" s="18"/>
      <c r="Z45" s="23"/>
    </row>
    <row r="46" spans="1:26" ht="12.75" customHeight="1" x14ac:dyDescent="0.25">
      <c r="A46" s="18"/>
      <c r="Z46" s="23"/>
    </row>
    <row r="47" spans="1:26" ht="12.75" customHeight="1" x14ac:dyDescent="0.25">
      <c r="A47" s="18"/>
      <c r="Z47" s="23"/>
    </row>
    <row r="48" spans="1:26" ht="12.75" customHeight="1" x14ac:dyDescent="0.25">
      <c r="A48" s="18"/>
      <c r="Z48" s="23"/>
    </row>
    <row r="49" spans="1:34" ht="12.75" customHeight="1" x14ac:dyDescent="0.25">
      <c r="A49" s="18"/>
      <c r="Z49" s="23"/>
    </row>
    <row r="50" spans="1:34" ht="12.75" customHeight="1" x14ac:dyDescent="0.25">
      <c r="A50" s="18"/>
      <c r="Z50" s="23"/>
    </row>
    <row r="51" spans="1:34" ht="12.75" customHeight="1" x14ac:dyDescent="0.25">
      <c r="A51" s="18"/>
      <c r="Z51" s="23"/>
    </row>
    <row r="52" spans="1:34" ht="12.75" customHeight="1" x14ac:dyDescent="0.25">
      <c r="A52" s="18"/>
      <c r="Z52" s="23"/>
    </row>
    <row r="53" spans="1:34" ht="12.75" customHeight="1" x14ac:dyDescent="0.25">
      <c r="A53" s="18"/>
      <c r="Z53" s="23"/>
    </row>
    <row r="54" spans="1:34" ht="12.75" customHeight="1" x14ac:dyDescent="0.25">
      <c r="A54" s="18"/>
      <c r="Z54" s="23"/>
    </row>
    <row r="55" spans="1:34" ht="9.75" customHeight="1" thickBot="1" x14ac:dyDescent="0.3">
      <c r="A55" s="18"/>
      <c r="Z55" s="23"/>
    </row>
    <row r="56" spans="1:34" ht="9.75" customHeight="1" x14ac:dyDescent="0.25">
      <c r="A56" s="18"/>
      <c r="Z56" s="23"/>
      <c r="AD56" s="198" t="s">
        <v>16</v>
      </c>
      <c r="AE56" s="200">
        <v>2.6930000000000001</v>
      </c>
      <c r="AF56" s="175"/>
      <c r="AG56" s="174"/>
      <c r="AH56" s="39"/>
    </row>
    <row r="57" spans="1:34" ht="12.75" customHeight="1" thickBot="1" x14ac:dyDescent="0.3">
      <c r="A57" s="18"/>
      <c r="Z57" s="87"/>
      <c r="AD57" s="199"/>
      <c r="AE57" s="201"/>
      <c r="AF57" s="177"/>
      <c r="AG57" s="174"/>
    </row>
    <row r="58" spans="1:34" ht="18.75" customHeight="1" thickBot="1" x14ac:dyDescent="0.3">
      <c r="A58" s="18"/>
      <c r="E58" s="182" t="s">
        <v>11</v>
      </c>
      <c r="F58" s="183"/>
      <c r="G58" s="183"/>
      <c r="H58" s="183"/>
      <c r="I58" s="183"/>
      <c r="J58" s="183"/>
      <c r="K58" s="183"/>
      <c r="L58" s="183"/>
      <c r="M58" s="183"/>
      <c r="N58" s="183"/>
      <c r="O58" s="183"/>
      <c r="P58" s="183"/>
      <c r="Q58" s="183"/>
      <c r="R58" s="183"/>
      <c r="S58" s="183"/>
      <c r="T58" s="183"/>
      <c r="U58" s="184" t="s">
        <v>47</v>
      </c>
      <c r="V58" s="185"/>
      <c r="W58" s="188" t="s">
        <v>12</v>
      </c>
      <c r="X58" s="185"/>
      <c r="Y58" s="190" t="s">
        <v>13</v>
      </c>
      <c r="Z58" s="191"/>
      <c r="AA58" s="82"/>
      <c r="AB58" s="194" t="s">
        <v>45</v>
      </c>
      <c r="AC58" s="195"/>
      <c r="AD58" s="178" t="s">
        <v>14</v>
      </c>
      <c r="AE58" s="180" t="s">
        <v>15</v>
      </c>
      <c r="AF58" s="175"/>
      <c r="AG58" s="175"/>
      <c r="AH58" s="40"/>
    </row>
    <row r="59" spans="1:34" ht="24.9" customHeight="1" thickBot="1" x14ac:dyDescent="0.3">
      <c r="A59" s="5"/>
      <c r="B59" s="41" t="s">
        <v>22</v>
      </c>
      <c r="C59" s="202" t="s">
        <v>10</v>
      </c>
      <c r="D59" s="203"/>
      <c r="E59" s="89">
        <v>6.3E-2</v>
      </c>
      <c r="F59" s="89">
        <v>0.125</v>
      </c>
      <c r="G59" s="42">
        <v>0.25</v>
      </c>
      <c r="H59" s="42">
        <v>0.5</v>
      </c>
      <c r="I59" s="42">
        <v>1</v>
      </c>
      <c r="J59" s="42">
        <v>2</v>
      </c>
      <c r="K59" s="42">
        <v>4</v>
      </c>
      <c r="L59" s="42">
        <v>6.3</v>
      </c>
      <c r="M59" s="42">
        <v>8</v>
      </c>
      <c r="N59" s="42">
        <v>10</v>
      </c>
      <c r="O59" s="42">
        <v>12.5</v>
      </c>
      <c r="P59" s="42">
        <v>14</v>
      </c>
      <c r="Q59" s="74">
        <v>16</v>
      </c>
      <c r="R59" s="74">
        <v>20</v>
      </c>
      <c r="S59" s="42"/>
      <c r="T59" s="74"/>
      <c r="U59" s="186"/>
      <c r="V59" s="187"/>
      <c r="W59" s="189"/>
      <c r="X59" s="187"/>
      <c r="Y59" s="192"/>
      <c r="Z59" s="193"/>
      <c r="AA59" s="82"/>
      <c r="AB59" s="196"/>
      <c r="AC59" s="197"/>
      <c r="AD59" s="179"/>
      <c r="AE59" s="181"/>
      <c r="AF59" s="176"/>
      <c r="AG59" s="175"/>
    </row>
    <row r="60" spans="1:34" ht="24.9" customHeight="1" x14ac:dyDescent="0.25">
      <c r="A60" s="5"/>
      <c r="B60" s="43">
        <v>1</v>
      </c>
      <c r="C60" s="274" t="s">
        <v>65</v>
      </c>
      <c r="D60" s="275"/>
      <c r="E60" s="276">
        <v>8.1999999999999993</v>
      </c>
      <c r="F60" s="277">
        <v>10.4</v>
      </c>
      <c r="G60" s="278">
        <v>13.2</v>
      </c>
      <c r="H60" s="278">
        <v>16.7</v>
      </c>
      <c r="I60" s="278">
        <v>21.8</v>
      </c>
      <c r="J60" s="278">
        <v>30.5</v>
      </c>
      <c r="K60" s="278">
        <v>42.6</v>
      </c>
      <c r="L60" s="278">
        <v>57.6</v>
      </c>
      <c r="M60" s="278">
        <v>75.8</v>
      </c>
      <c r="N60" s="278">
        <v>93.9</v>
      </c>
      <c r="O60" s="279">
        <v>100</v>
      </c>
      <c r="P60" s="278"/>
      <c r="Q60" s="278"/>
      <c r="R60" s="278"/>
      <c r="S60" s="280"/>
      <c r="T60" s="280"/>
      <c r="U60" s="281">
        <v>181</v>
      </c>
      <c r="V60" s="282"/>
      <c r="W60" s="283">
        <v>4.91</v>
      </c>
      <c r="X60" s="284"/>
      <c r="Y60" s="285">
        <f>IF(W60&lt;&gt;0,AE60,"")</f>
        <v>3.0434312909758092</v>
      </c>
      <c r="Z60" s="286"/>
      <c r="AA60" s="80"/>
      <c r="AB60" s="219">
        <f>(100*W60)/(100-W60)</f>
        <v>5.1635292880429065</v>
      </c>
      <c r="AC60" s="220"/>
      <c r="AD60" s="67">
        <f>(0.25*(100-O60)+2.3*(O60-H60)+12*(H60-E60)+150*(E60))/100</f>
        <v>15.235899999999999</v>
      </c>
      <c r="AE60" s="68">
        <f>(AB60*$AE$56)/(2.65*(AD60)^(1/5))</f>
        <v>3.0434312909758092</v>
      </c>
      <c r="AF60" s="29"/>
      <c r="AG60" s="66"/>
    </row>
    <row r="61" spans="1:34" ht="24.9" customHeight="1" x14ac:dyDescent="0.25">
      <c r="A61" s="5"/>
      <c r="B61" s="44">
        <v>2</v>
      </c>
      <c r="C61" s="274" t="s">
        <v>66</v>
      </c>
      <c r="D61" s="275"/>
      <c r="E61" s="276">
        <v>8.5</v>
      </c>
      <c r="F61" s="277">
        <v>10.8</v>
      </c>
      <c r="G61" s="278">
        <v>14.1</v>
      </c>
      <c r="H61" s="278">
        <v>17.899999999999999</v>
      </c>
      <c r="I61" s="278">
        <v>23.7</v>
      </c>
      <c r="J61" s="278">
        <v>35</v>
      </c>
      <c r="K61" s="278">
        <v>52.1</v>
      </c>
      <c r="L61" s="278">
        <v>68.900000000000006</v>
      </c>
      <c r="M61" s="278">
        <v>84</v>
      </c>
      <c r="N61" s="278">
        <v>95.8</v>
      </c>
      <c r="O61" s="279">
        <v>100</v>
      </c>
      <c r="P61" s="278"/>
      <c r="Q61" s="278"/>
      <c r="R61" s="278"/>
      <c r="S61" s="280"/>
      <c r="T61" s="280"/>
      <c r="U61" s="281">
        <v>170</v>
      </c>
      <c r="V61" s="282"/>
      <c r="W61" s="283">
        <v>5.28</v>
      </c>
      <c r="X61" s="284"/>
      <c r="Y61" s="287">
        <f>IF(W61&lt;&gt;0,AE61,"")</f>
        <v>3.2631478780784393</v>
      </c>
      <c r="Z61" s="288"/>
      <c r="AA61" s="80"/>
      <c r="AB61" s="219">
        <f>(100*W61)/(100-W61)</f>
        <v>5.5743243243243246</v>
      </c>
      <c r="AC61" s="220"/>
      <c r="AD61" s="67">
        <f t="shared" ref="AD61:AD67" si="0">(0.25*(100-O61)+2.3*(O61-H61)+12*(H61-E61)+150*(E61))/100</f>
        <v>15.766300000000001</v>
      </c>
      <c r="AE61" s="68">
        <f t="shared" ref="AE61:AE67" si="1">(AB61*$AE$56)/(2.65*(AD61)^(1/5))</f>
        <v>3.2631478780784393</v>
      </c>
      <c r="AF61" s="29"/>
      <c r="AG61" s="66"/>
    </row>
    <row r="62" spans="1:34" ht="24.9" customHeight="1" x14ac:dyDescent="0.25">
      <c r="A62" s="5"/>
      <c r="B62" s="44">
        <v>3</v>
      </c>
      <c r="C62" s="215"/>
      <c r="D62" s="216"/>
      <c r="E62" s="90"/>
      <c r="F62" s="91"/>
      <c r="G62" s="91"/>
      <c r="H62" s="92"/>
      <c r="I62" s="92"/>
      <c r="J62" s="92"/>
      <c r="K62" s="92"/>
      <c r="L62" s="92"/>
      <c r="M62" s="92"/>
      <c r="N62" s="92"/>
      <c r="O62" s="268"/>
      <c r="P62" s="92"/>
      <c r="Q62" s="92"/>
      <c r="R62" s="92"/>
      <c r="S62" s="92"/>
      <c r="T62" s="93"/>
      <c r="U62" s="211"/>
      <c r="V62" s="212"/>
      <c r="W62" s="235"/>
      <c r="X62" s="236"/>
      <c r="Y62" s="207" t="str">
        <f t="shared" ref="Y62:Y63" si="2">IF(W62&lt;&gt;0,AE62,"")</f>
        <v/>
      </c>
      <c r="Z62" s="208"/>
      <c r="AA62" s="80"/>
      <c r="AB62" s="219">
        <f>(100*W62)/(100-W62)</f>
        <v>0</v>
      </c>
      <c r="AC62" s="220"/>
      <c r="AD62" s="67">
        <f t="shared" si="0"/>
        <v>0.25</v>
      </c>
      <c r="AE62" s="68">
        <f t="shared" si="1"/>
        <v>0</v>
      </c>
      <c r="AF62" s="29"/>
      <c r="AG62" s="66"/>
    </row>
    <row r="63" spans="1:34" ht="24.9" customHeight="1" thickBot="1" x14ac:dyDescent="0.3">
      <c r="A63" s="5"/>
      <c r="B63" s="45">
        <v>4</v>
      </c>
      <c r="C63" s="217"/>
      <c r="D63" s="218"/>
      <c r="E63" s="94"/>
      <c r="F63" s="95"/>
      <c r="G63" s="95"/>
      <c r="H63" s="96"/>
      <c r="I63" s="96"/>
      <c r="J63" s="96"/>
      <c r="K63" s="96"/>
      <c r="L63" s="96"/>
      <c r="M63" s="96"/>
      <c r="N63" s="96"/>
      <c r="O63" s="269"/>
      <c r="P63" s="96"/>
      <c r="Q63" s="96"/>
      <c r="R63" s="96"/>
      <c r="S63" s="96"/>
      <c r="T63" s="97"/>
      <c r="U63" s="213"/>
      <c r="V63" s="214"/>
      <c r="W63" s="237"/>
      <c r="X63" s="238"/>
      <c r="Y63" s="209" t="str">
        <f t="shared" si="2"/>
        <v/>
      </c>
      <c r="Z63" s="210"/>
      <c r="AA63" s="80"/>
      <c r="AB63" s="219">
        <f>(100*W63)/(100-W63)</f>
        <v>0</v>
      </c>
      <c r="AC63" s="220"/>
      <c r="AD63" s="67">
        <f t="shared" si="0"/>
        <v>0.25</v>
      </c>
      <c r="AE63" s="68">
        <f t="shared" si="1"/>
        <v>0</v>
      </c>
      <c r="AF63" s="29"/>
      <c r="AG63" s="66"/>
    </row>
    <row r="64" spans="1:34" ht="10.5" customHeight="1" thickBot="1" x14ac:dyDescent="0.3">
      <c r="A64" s="5"/>
      <c r="B64" s="1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270"/>
      <c r="P64" s="46"/>
      <c r="Q64" s="46"/>
      <c r="R64" s="46"/>
      <c r="S64" s="46"/>
      <c r="T64" s="46"/>
      <c r="U64" s="46"/>
      <c r="V64" s="46"/>
      <c r="W64" s="88"/>
      <c r="Z64" s="70"/>
      <c r="AB64" s="85"/>
      <c r="AC64" s="86"/>
      <c r="AD64" s="67"/>
      <c r="AE64" s="68"/>
      <c r="AF64" s="29"/>
      <c r="AG64" s="66"/>
    </row>
    <row r="65" spans="1:33" ht="24.75" hidden="1" customHeight="1" x14ac:dyDescent="0.25">
      <c r="A65" s="5"/>
      <c r="B65" s="204" t="s">
        <v>8</v>
      </c>
      <c r="C65" s="205"/>
      <c r="D65" s="206"/>
      <c r="E65" s="47"/>
      <c r="F65" s="47"/>
      <c r="G65" s="47"/>
      <c r="H65" s="47"/>
      <c r="I65" s="47"/>
      <c r="J65" s="47"/>
      <c r="K65" s="47"/>
      <c r="L65" s="47"/>
      <c r="M65" s="47">
        <v>10</v>
      </c>
      <c r="N65" s="47">
        <v>10</v>
      </c>
      <c r="O65" s="271"/>
      <c r="P65" s="47"/>
      <c r="Q65" s="47">
        <v>50</v>
      </c>
      <c r="R65" s="47"/>
      <c r="S65" s="47">
        <v>70</v>
      </c>
      <c r="T65" s="47"/>
      <c r="U65" s="47"/>
      <c r="V65" s="47"/>
      <c r="W65" s="47"/>
      <c r="X65" s="48"/>
      <c r="Y65" s="49">
        <v>4.5</v>
      </c>
      <c r="Z65" s="49"/>
      <c r="AA65" s="29"/>
      <c r="AB65" s="85"/>
      <c r="AC65" s="86"/>
      <c r="AD65" s="67">
        <f t="shared" si="0"/>
        <v>0.25</v>
      </c>
      <c r="AE65" s="68">
        <f t="shared" si="1"/>
        <v>0</v>
      </c>
      <c r="AF65" s="29"/>
      <c r="AG65" s="66"/>
    </row>
    <row r="66" spans="1:33" ht="18.75" customHeight="1" x14ac:dyDescent="0.25">
      <c r="A66" s="5"/>
      <c r="B66" s="265" t="s">
        <v>7</v>
      </c>
      <c r="C66" s="266"/>
      <c r="D66" s="267"/>
      <c r="E66" s="98">
        <f t="shared" ref="E66:T66" si="3">IF(E60&lt;&gt;0,AVERAGE(E60:E63),"")</f>
        <v>8.35</v>
      </c>
      <c r="F66" s="98">
        <f t="shared" si="3"/>
        <v>10.600000000000001</v>
      </c>
      <c r="G66" s="98">
        <f t="shared" si="3"/>
        <v>13.649999999999999</v>
      </c>
      <c r="H66" s="98">
        <f t="shared" si="3"/>
        <v>17.299999999999997</v>
      </c>
      <c r="I66" s="98">
        <f t="shared" si="3"/>
        <v>22.75</v>
      </c>
      <c r="J66" s="98">
        <f t="shared" si="3"/>
        <v>32.75</v>
      </c>
      <c r="K66" s="98">
        <f t="shared" si="3"/>
        <v>47.35</v>
      </c>
      <c r="L66" s="98">
        <f t="shared" si="3"/>
        <v>63.25</v>
      </c>
      <c r="M66" s="98">
        <f t="shared" si="3"/>
        <v>79.900000000000006</v>
      </c>
      <c r="N66" s="98">
        <f t="shared" si="3"/>
        <v>94.85</v>
      </c>
      <c r="O66" s="272">
        <f t="shared" si="3"/>
        <v>100</v>
      </c>
      <c r="P66" s="98"/>
      <c r="Q66" s="98"/>
      <c r="R66" s="98"/>
      <c r="S66" s="98" t="str">
        <f t="shared" si="3"/>
        <v/>
      </c>
      <c r="T66" s="99" t="str">
        <f t="shared" si="3"/>
        <v/>
      </c>
      <c r="U66" s="227">
        <f>IF(U60&lt;&gt;0,AVERAGE(U60:V63),"")</f>
        <v>175.5</v>
      </c>
      <c r="V66" s="228"/>
      <c r="W66" s="247">
        <f>IF(W60&lt;&gt;0,AVERAGE(W60:X63),"")</f>
        <v>5.0950000000000006</v>
      </c>
      <c r="X66" s="248"/>
      <c r="Y66" s="229">
        <f>IF(W60&lt;&gt;0,AVERAGE(Y60:Z63),"")</f>
        <v>3.1532895845271245</v>
      </c>
      <c r="Z66" s="230"/>
      <c r="AA66" s="66"/>
      <c r="AB66" s="219">
        <f>(100*W66)/(100-W66)</f>
        <v>5.368526421158001</v>
      </c>
      <c r="AC66" s="220"/>
      <c r="AD66" s="67">
        <f t="shared" si="0"/>
        <v>15.501099999999999</v>
      </c>
      <c r="AE66" s="68">
        <f t="shared" si="1"/>
        <v>3.1533564883502709</v>
      </c>
      <c r="AF66" s="29"/>
      <c r="AG66" s="66"/>
    </row>
    <row r="67" spans="1:33" ht="21" customHeight="1" x14ac:dyDescent="0.25">
      <c r="A67" s="5"/>
      <c r="B67" s="259" t="s">
        <v>9</v>
      </c>
      <c r="C67" s="260"/>
      <c r="D67" s="261"/>
      <c r="E67" s="100">
        <v>7.1</v>
      </c>
      <c r="F67" s="114" t="e">
        <v>#N/A</v>
      </c>
      <c r="G67" s="100">
        <v>12</v>
      </c>
      <c r="H67" s="100">
        <v>16</v>
      </c>
      <c r="I67" s="100">
        <v>22</v>
      </c>
      <c r="J67" s="100">
        <v>32</v>
      </c>
      <c r="K67" s="100">
        <v>46</v>
      </c>
      <c r="L67" s="100">
        <v>64</v>
      </c>
      <c r="M67" s="100">
        <v>80</v>
      </c>
      <c r="N67" s="100">
        <v>95</v>
      </c>
      <c r="O67" s="273">
        <v>100</v>
      </c>
      <c r="P67" s="100"/>
      <c r="Q67" s="100"/>
      <c r="R67" s="100"/>
      <c r="S67" s="100"/>
      <c r="T67" s="101"/>
      <c r="U67" s="243"/>
      <c r="V67" s="244"/>
      <c r="W67" s="249">
        <v>5.4</v>
      </c>
      <c r="X67" s="250"/>
      <c r="Y67" s="239">
        <f>AE67</f>
        <v>3.4392723849358631</v>
      </c>
      <c r="Z67" s="240"/>
      <c r="AA67" s="66"/>
      <c r="AB67" s="219">
        <f>(100*W67)/(100-W67)</f>
        <v>5.7082452431289648</v>
      </c>
      <c r="AC67" s="220"/>
      <c r="AD67" s="67">
        <f t="shared" si="0"/>
        <v>13.65</v>
      </c>
      <c r="AE67" s="68">
        <f t="shared" si="1"/>
        <v>3.4392723849358631</v>
      </c>
      <c r="AF67" s="29"/>
      <c r="AG67" s="66"/>
    </row>
    <row r="68" spans="1:33" ht="13.5" customHeight="1" x14ac:dyDescent="0.25">
      <c r="A68" s="5"/>
      <c r="B68" s="50"/>
      <c r="C68" s="51" t="s">
        <v>23</v>
      </c>
      <c r="D68" s="52"/>
      <c r="E68" s="92">
        <f>E67+2</f>
        <v>9.1</v>
      </c>
      <c r="F68" s="92"/>
      <c r="G68" s="92"/>
      <c r="H68" s="92"/>
      <c r="I68" s="92"/>
      <c r="J68" s="92">
        <f>J67+6</f>
        <v>38</v>
      </c>
      <c r="K68" s="92"/>
      <c r="L68" s="92">
        <f>L67+7</f>
        <v>71</v>
      </c>
      <c r="M68" s="92"/>
      <c r="N68" s="92"/>
      <c r="O68" s="92"/>
      <c r="P68" s="92"/>
      <c r="Q68" s="92"/>
      <c r="R68" s="92"/>
      <c r="S68" s="92"/>
      <c r="T68" s="93"/>
      <c r="U68" s="211"/>
      <c r="V68" s="212"/>
      <c r="W68" s="251">
        <f>W67+0.5</f>
        <v>5.9</v>
      </c>
      <c r="X68" s="212"/>
      <c r="Y68" s="215"/>
      <c r="Z68" s="241"/>
      <c r="AA68" s="83"/>
      <c r="AB68" s="71"/>
      <c r="AC68" s="69"/>
      <c r="AD68" s="225"/>
      <c r="AE68" s="221" t="s">
        <v>46</v>
      </c>
      <c r="AF68" s="29"/>
      <c r="AG68" s="66"/>
    </row>
    <row r="69" spans="1:33" ht="13.5" customHeight="1" thickBot="1" x14ac:dyDescent="0.3">
      <c r="A69" s="5"/>
      <c r="B69" s="186" t="s">
        <v>24</v>
      </c>
      <c r="C69" s="189"/>
      <c r="D69" s="187"/>
      <c r="E69" s="102">
        <f>E67-2</f>
        <v>5.0999999999999996</v>
      </c>
      <c r="F69" s="102"/>
      <c r="G69" s="103"/>
      <c r="H69" s="103"/>
      <c r="I69" s="103"/>
      <c r="J69" s="102">
        <f>J67-6</f>
        <v>26</v>
      </c>
      <c r="K69" s="103"/>
      <c r="L69" s="102">
        <f>L67-7</f>
        <v>57</v>
      </c>
      <c r="M69" s="102"/>
      <c r="N69" s="103"/>
      <c r="O69" s="103"/>
      <c r="P69" s="103"/>
      <c r="Q69" s="102"/>
      <c r="R69" s="103"/>
      <c r="S69" s="103"/>
      <c r="T69" s="104"/>
      <c r="U69" s="245"/>
      <c r="V69" s="246"/>
      <c r="W69" s="252">
        <f>W67-0.5</f>
        <v>4.9000000000000004</v>
      </c>
      <c r="X69" s="246"/>
      <c r="Y69" s="217"/>
      <c r="Z69" s="242"/>
      <c r="AA69" s="84"/>
      <c r="AB69" s="72"/>
      <c r="AC69" s="73"/>
      <c r="AD69" s="226"/>
      <c r="AE69" s="222"/>
      <c r="AF69" s="29"/>
      <c r="AG69" s="66"/>
    </row>
    <row r="70" spans="1:33" ht="6.75" customHeight="1" x14ac:dyDescent="0.25">
      <c r="A70" s="24"/>
      <c r="B70" s="25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53"/>
    </row>
    <row r="71" spans="1:33" ht="8.25" customHeight="1" x14ac:dyDescent="0.25"/>
    <row r="72" spans="1:33" ht="15.6" customHeight="1" x14ac:dyDescent="0.25">
      <c r="A72" s="54" t="s">
        <v>4</v>
      </c>
      <c r="B72" s="55" t="s">
        <v>21</v>
      </c>
      <c r="C72" s="56"/>
      <c r="D72" s="56"/>
      <c r="E72" s="56"/>
      <c r="F72" s="57"/>
      <c r="G72" s="57"/>
      <c r="H72" s="57"/>
      <c r="I72" s="9"/>
      <c r="J72" s="9"/>
      <c r="K72" s="9"/>
      <c r="L72" s="9"/>
      <c r="M72" s="9"/>
      <c r="N72" s="9"/>
      <c r="O72" s="9"/>
      <c r="P72" s="9"/>
      <c r="Q72" s="57"/>
      <c r="R72" s="9"/>
      <c r="S72" s="9"/>
      <c r="T72" s="9"/>
      <c r="U72" s="253"/>
      <c r="V72" s="253"/>
      <c r="W72" s="253"/>
      <c r="X72" s="253"/>
      <c r="Y72" s="253"/>
      <c r="Z72" s="254"/>
      <c r="AA72" s="81"/>
      <c r="AB72" s="58"/>
      <c r="AC72" s="58"/>
      <c r="AD72" s="59"/>
    </row>
    <row r="73" spans="1:33" ht="26.4" customHeight="1" x14ac:dyDescent="0.25">
      <c r="A73" s="262" t="s">
        <v>48</v>
      </c>
      <c r="B73" s="263"/>
      <c r="C73" s="263"/>
      <c r="D73" s="263"/>
      <c r="E73" s="263"/>
      <c r="F73" s="263"/>
      <c r="G73" s="263"/>
      <c r="H73" s="263"/>
      <c r="I73" s="263"/>
      <c r="J73" s="263"/>
      <c r="K73" s="263"/>
      <c r="L73" s="263"/>
      <c r="M73" s="263"/>
      <c r="N73" s="263"/>
      <c r="O73" s="263"/>
      <c r="P73" s="263"/>
      <c r="Q73" s="264"/>
      <c r="R73" s="121" t="s">
        <v>31</v>
      </c>
      <c r="S73" s="122"/>
      <c r="T73" s="123"/>
      <c r="U73" s="255" t="s">
        <v>59</v>
      </c>
      <c r="V73" s="256"/>
      <c r="W73" s="256"/>
      <c r="X73" s="257"/>
      <c r="Y73" s="257"/>
      <c r="Z73" s="258"/>
      <c r="AA73" s="76"/>
      <c r="AB73" s="60"/>
      <c r="AC73" s="60"/>
      <c r="AD73" s="59"/>
    </row>
    <row r="74" spans="1:33" ht="26.4" customHeight="1" x14ac:dyDescent="0.25">
      <c r="A74" s="232" t="s">
        <v>57</v>
      </c>
      <c r="B74" s="233"/>
      <c r="C74" s="233"/>
      <c r="D74" s="233"/>
      <c r="E74" s="233"/>
      <c r="F74" s="233"/>
      <c r="G74" s="233"/>
      <c r="H74" s="233"/>
      <c r="I74" s="233"/>
      <c r="J74" s="233"/>
      <c r="K74" s="233"/>
      <c r="L74" s="233"/>
      <c r="M74" s="233"/>
      <c r="N74" s="233"/>
      <c r="O74" s="233"/>
      <c r="P74" s="233"/>
      <c r="Q74" s="234"/>
      <c r="R74" s="121" t="s">
        <v>51</v>
      </c>
      <c r="S74" s="122"/>
      <c r="T74" s="123"/>
      <c r="U74" s="127" t="s">
        <v>58</v>
      </c>
      <c r="V74" s="128"/>
      <c r="W74" s="128"/>
      <c r="X74" s="128"/>
      <c r="Y74" s="128"/>
      <c r="Z74" s="129"/>
      <c r="AA74" s="76"/>
      <c r="AB74" s="60"/>
      <c r="AC74" s="60"/>
      <c r="AD74" s="59"/>
    </row>
    <row r="75" spans="1:33" ht="15.6" customHeight="1" x14ac:dyDescent="0.25">
      <c r="A75" s="61" t="s">
        <v>3</v>
      </c>
      <c r="B75" s="62" t="s">
        <v>5</v>
      </c>
      <c r="C75" s="14"/>
      <c r="D75" s="14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4"/>
      <c r="R75" s="121"/>
      <c r="S75" s="122"/>
      <c r="T75" s="123"/>
      <c r="U75" s="130"/>
      <c r="V75" s="131"/>
      <c r="W75" s="131"/>
      <c r="X75" s="131"/>
      <c r="Y75" s="131"/>
      <c r="Z75" s="132"/>
      <c r="AA75" s="76"/>
      <c r="AB75" s="60"/>
      <c r="AC75" s="60"/>
      <c r="AD75" s="59"/>
    </row>
    <row r="76" spans="1:33" ht="15.6" customHeight="1" x14ac:dyDescent="0.25">
      <c r="A76" s="133"/>
      <c r="B76" s="134"/>
      <c r="C76" s="134"/>
      <c r="D76" s="134"/>
      <c r="E76" s="134"/>
      <c r="F76" s="134"/>
      <c r="G76" s="134"/>
      <c r="H76" s="134"/>
      <c r="I76" s="134"/>
      <c r="J76" s="134"/>
      <c r="K76" s="134"/>
      <c r="L76" s="134"/>
      <c r="M76" s="134"/>
      <c r="N76" s="134"/>
      <c r="O76" s="134"/>
      <c r="P76" s="134"/>
      <c r="Q76" s="135"/>
      <c r="R76" s="121" t="s">
        <v>25</v>
      </c>
      <c r="S76" s="122"/>
      <c r="T76" s="123"/>
      <c r="U76" s="105"/>
      <c r="V76" s="106"/>
      <c r="W76" s="106"/>
      <c r="X76" s="106"/>
      <c r="Y76" s="106"/>
      <c r="Z76" s="107"/>
      <c r="AA76" s="77"/>
      <c r="AB76" s="65"/>
      <c r="AC76" s="65"/>
      <c r="AD76" s="59"/>
    </row>
    <row r="77" spans="1:33" ht="15.6" customHeight="1" x14ac:dyDescent="0.25">
      <c r="A77" s="133"/>
      <c r="B77" s="134"/>
      <c r="C77" s="134"/>
      <c r="D77" s="134"/>
      <c r="E77" s="134"/>
      <c r="F77" s="134"/>
      <c r="G77" s="134"/>
      <c r="H77" s="134"/>
      <c r="I77" s="134"/>
      <c r="J77" s="134"/>
      <c r="K77" s="134"/>
      <c r="L77" s="134"/>
      <c r="M77" s="134"/>
      <c r="N77" s="134"/>
      <c r="O77" s="134"/>
      <c r="P77" s="134"/>
      <c r="Q77" s="135"/>
      <c r="R77" s="121"/>
      <c r="S77" s="122"/>
      <c r="T77" s="123"/>
      <c r="U77" s="108"/>
      <c r="V77" s="231"/>
      <c r="W77" s="231"/>
      <c r="X77" s="231"/>
      <c r="Y77" s="231"/>
      <c r="Z77" s="109"/>
      <c r="AA77" s="77"/>
      <c r="AB77" s="65"/>
      <c r="AC77" s="65"/>
      <c r="AD77" s="59"/>
    </row>
    <row r="78" spans="1:33" ht="15.6" customHeight="1" x14ac:dyDescent="0.25">
      <c r="A78" s="133"/>
      <c r="B78" s="134"/>
      <c r="C78" s="134"/>
      <c r="D78" s="134"/>
      <c r="E78" s="134"/>
      <c r="F78" s="134"/>
      <c r="G78" s="134"/>
      <c r="H78" s="134"/>
      <c r="I78" s="134"/>
      <c r="J78" s="134"/>
      <c r="K78" s="134"/>
      <c r="L78" s="134"/>
      <c r="M78" s="134"/>
      <c r="N78" s="134"/>
      <c r="O78" s="134"/>
      <c r="P78" s="134"/>
      <c r="Q78" s="135"/>
      <c r="R78" s="121"/>
      <c r="S78" s="122"/>
      <c r="T78" s="123"/>
      <c r="U78" s="108"/>
      <c r="V78" s="231"/>
      <c r="W78" s="231"/>
      <c r="X78" s="231"/>
      <c r="Y78" s="231"/>
      <c r="Z78" s="109"/>
      <c r="AA78" s="77"/>
      <c r="AB78" s="65"/>
      <c r="AC78" s="65"/>
      <c r="AD78" s="59"/>
    </row>
    <row r="79" spans="1:33" ht="15.6" customHeight="1" x14ac:dyDescent="0.25">
      <c r="A79" s="136"/>
      <c r="B79" s="137"/>
      <c r="C79" s="137"/>
      <c r="D79" s="137"/>
      <c r="E79" s="137"/>
      <c r="F79" s="137"/>
      <c r="G79" s="137"/>
      <c r="H79" s="137"/>
      <c r="I79" s="137"/>
      <c r="J79" s="137"/>
      <c r="K79" s="137"/>
      <c r="L79" s="137"/>
      <c r="M79" s="137"/>
      <c r="N79" s="137"/>
      <c r="O79" s="137"/>
      <c r="P79" s="137"/>
      <c r="Q79" s="138"/>
      <c r="R79" s="124"/>
      <c r="S79" s="125"/>
      <c r="T79" s="126"/>
      <c r="U79" s="110"/>
      <c r="V79" s="111"/>
      <c r="W79" s="111"/>
      <c r="X79" s="111"/>
      <c r="Y79" s="111"/>
      <c r="Z79" s="112"/>
      <c r="AA79" s="77"/>
      <c r="AB79" s="65"/>
      <c r="AC79" s="65"/>
      <c r="AD79" s="59"/>
    </row>
  </sheetData>
  <mergeCells count="101">
    <mergeCell ref="V77:Y78"/>
    <mergeCell ref="A74:Q74"/>
    <mergeCell ref="W62:X62"/>
    <mergeCell ref="W63:X63"/>
    <mergeCell ref="Y67:Z67"/>
    <mergeCell ref="Y68:Z68"/>
    <mergeCell ref="Y69:Z69"/>
    <mergeCell ref="U67:V67"/>
    <mergeCell ref="U68:V68"/>
    <mergeCell ref="U69:V69"/>
    <mergeCell ref="W66:X66"/>
    <mergeCell ref="W67:X67"/>
    <mergeCell ref="W68:X68"/>
    <mergeCell ref="W69:X69"/>
    <mergeCell ref="U72:Z72"/>
    <mergeCell ref="U73:Z73"/>
    <mergeCell ref="B67:D67"/>
    <mergeCell ref="R73:T73"/>
    <mergeCell ref="B69:D69"/>
    <mergeCell ref="A73:Q73"/>
    <mergeCell ref="B66:D66"/>
    <mergeCell ref="AB67:AC67"/>
    <mergeCell ref="AE68:AE69"/>
    <mergeCell ref="M12:R12"/>
    <mergeCell ref="S12:Y12"/>
    <mergeCell ref="M13:R13"/>
    <mergeCell ref="S13:Y13"/>
    <mergeCell ref="M14:R14"/>
    <mergeCell ref="S14:Y14"/>
    <mergeCell ref="AD68:AD69"/>
    <mergeCell ref="AB60:AC60"/>
    <mergeCell ref="AB61:AC61"/>
    <mergeCell ref="AB62:AC62"/>
    <mergeCell ref="AB63:AC63"/>
    <mergeCell ref="U66:V66"/>
    <mergeCell ref="Y66:Z66"/>
    <mergeCell ref="I20:Y20"/>
    <mergeCell ref="Y62:Z62"/>
    <mergeCell ref="Y63:Z63"/>
    <mergeCell ref="U62:V62"/>
    <mergeCell ref="U63:V63"/>
    <mergeCell ref="C62:D62"/>
    <mergeCell ref="C63:D63"/>
    <mergeCell ref="U60:V60"/>
    <mergeCell ref="W60:X60"/>
    <mergeCell ref="AB66:AC66"/>
    <mergeCell ref="AG56:AG57"/>
    <mergeCell ref="AF58:AF59"/>
    <mergeCell ref="AG58:AG59"/>
    <mergeCell ref="AF56:AF57"/>
    <mergeCell ref="AD58:AD59"/>
    <mergeCell ref="AE58:AE59"/>
    <mergeCell ref="E58:T58"/>
    <mergeCell ref="U58:V59"/>
    <mergeCell ref="W58:X59"/>
    <mergeCell ref="Y58:Z59"/>
    <mergeCell ref="AB58:AC59"/>
    <mergeCell ref="AD56:AD57"/>
    <mergeCell ref="AE56:AE57"/>
    <mergeCell ref="R76:T79"/>
    <mergeCell ref="U74:Z75"/>
    <mergeCell ref="A76:Q79"/>
    <mergeCell ref="R74:T75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  <mergeCell ref="P6:T6"/>
    <mergeCell ref="A7:F7"/>
    <mergeCell ref="G7:Z7"/>
    <mergeCell ref="B10:F10"/>
    <mergeCell ref="G10:L10"/>
    <mergeCell ref="M10:R10"/>
    <mergeCell ref="B20:H20"/>
    <mergeCell ref="C59:D59"/>
    <mergeCell ref="B65:D65"/>
    <mergeCell ref="C61:D61"/>
    <mergeCell ref="U61:V61"/>
    <mergeCell ref="W61:X61"/>
    <mergeCell ref="C60:D60"/>
    <mergeCell ref="B14:F14"/>
    <mergeCell ref="S11:Y11"/>
    <mergeCell ref="M11:R11"/>
    <mergeCell ref="B12:F12"/>
    <mergeCell ref="G11:L11"/>
    <mergeCell ref="B11:F11"/>
    <mergeCell ref="G12:L12"/>
    <mergeCell ref="G13:L13"/>
    <mergeCell ref="G14:L14"/>
    <mergeCell ref="B13:F13"/>
    <mergeCell ref="B19:H19"/>
    <mergeCell ref="I19:Y19"/>
    <mergeCell ref="Y60:Z60"/>
    <mergeCell ref="Y61:Z61"/>
  </mergeCells>
  <phoneticPr fontId="0" type="noConversion"/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6" orientation="portrait" horizontalDpi="300" verticalDpi="300" r:id="rId1"/>
  <headerFooter alignWithMargins="0">
    <oddFooter>&amp;RDG-Q / RE CFE du 28/06/06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041225 BBSG Vicaire</vt:lpstr>
      <vt:lpstr>'041225 BBSG Vicaire'!Zone_d_impression</vt:lpstr>
    </vt:vector>
  </TitlesOfParts>
  <Company>AB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MONTET F.</dc:creator>
  <cp:lastModifiedBy>Frédéric MONTET</cp:lastModifiedBy>
  <cp:lastPrinted>2025-12-05T06:44:02Z</cp:lastPrinted>
  <dcterms:created xsi:type="dcterms:W3CDTF">2004-11-13T18:13:05Z</dcterms:created>
  <dcterms:modified xsi:type="dcterms:W3CDTF">2025-12-05T06:44:08Z</dcterms:modified>
</cp:coreProperties>
</file>