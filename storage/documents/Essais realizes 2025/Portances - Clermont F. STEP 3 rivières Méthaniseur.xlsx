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Auvergne\RA K52E  Clermont Ferrand - STEP 3 rivières Méthaniseur\Essais de Laboratoire\"/>
    </mc:Choice>
  </mc:AlternateContent>
  <xr:revisionPtr revIDLastSave="0" documentId="13_ncr:1_{4D39B0BC-43C2-4A31-AB53-CBDCCA5B59FF}" xr6:coauthVersionLast="47" xr6:coauthVersionMax="47" xr10:uidLastSave="{00000000-0000-0000-0000-000000000000}"/>
  <bookViews>
    <workbookView xWindow="28680" yWindow="630" windowWidth="19440" windowHeight="14880" xr2:uid="{00000000-000D-0000-FFFF-FFFF00000000}"/>
  </bookViews>
  <sheets>
    <sheet name="131125 CdF Voirie" sheetId="4" r:id="rId1"/>
    <sheet name="120723 Tranchées" sheetId="3" r:id="rId2"/>
    <sheet name="211021 (2)" sheetId="2" r:id="rId3"/>
    <sheet name="211021" sheetId="1" r:id="rId4"/>
  </sheets>
  <definedNames>
    <definedName name="_xlnm.Print_Area" localSheetId="1">'120723 Tranchées'!$A$1:$Z$75</definedName>
    <definedName name="_xlnm.Print_Area" localSheetId="0">'131125 CdF Voirie'!$A$1:$Z$69</definedName>
    <definedName name="_xlnm.Print_Area" localSheetId="3">'211021'!$A$1:$Z$64</definedName>
    <definedName name="_xlnm.Print_Area" localSheetId="2">'211021 (2)'!$A$1:$Z$64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" i="4" l="1"/>
  <c r="H56" i="4"/>
  <c r="H57" i="4"/>
  <c r="H61" i="3"/>
  <c r="H62" i="3"/>
  <c r="H63" i="3"/>
  <c r="H52" i="2"/>
  <c r="H51" i="2"/>
  <c r="H50" i="2"/>
  <c r="H52" i="1"/>
  <c r="H51" i="1"/>
  <c r="H50" i="1"/>
</calcChain>
</file>

<file path=xl/sharedStrings.xml><?xml version="1.0" encoding="utf-8"?>
<sst xmlns="http://schemas.openxmlformats.org/spreadsheetml/2006/main" count="245" uniqueCount="92">
  <si>
    <t>COMPTE RENDU D'ESSAIS</t>
  </si>
  <si>
    <t>PORTANCES DES PLATES-FORMES DYNAPLAQUE 
(NF P 94-117-2 d'octobre 2004)</t>
  </si>
  <si>
    <t>PLD N°</t>
  </si>
  <si>
    <t>21/10/2021</t>
  </si>
  <si>
    <t>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</si>
  <si>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</si>
  <si>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</si>
  <si>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</si>
  <si>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</si>
  <si>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</si>
  <si>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</si>
  <si>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</si>
  <si>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</si>
  <si>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</si>
  <si>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GDNT 0/80</t>
  </si>
  <si>
    <t>Date de(s) essai(s) :</t>
  </si>
  <si>
    <t>Météo :</t>
  </si>
  <si>
    <t>Couvert</t>
  </si>
  <si>
    <t>Partie de l'ouvrage :</t>
  </si>
  <si>
    <t>Plate-forme methaniseur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</si>
  <si>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</si>
  <si>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</si>
  <si>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</si>
  <si>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</si>
  <si>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</si>
  <si>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</si>
  <si>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</si>
  <si>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</si>
  <si>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</si>
  <si>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</si>
  <si>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</si>
  <si>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</si>
  <si>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</si>
  <si>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</si>
  <si>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</si>
  <si>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</si>
  <si>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Batiment 90</t>
  </si>
  <si>
    <t>Plate-forme G1 PTF38</t>
  </si>
  <si>
    <t>Plate-forme PTF 51</t>
  </si>
  <si>
    <t>Plate-forme PTF 33</t>
  </si>
  <si>
    <t>Plate-forme PTF 31-70 Deodo</t>
  </si>
  <si>
    <t>Plate-forme PTF 31-70 Degrilleur</t>
  </si>
  <si>
    <t>Moyenne</t>
  </si>
  <si>
    <t xml:space="preserve"> 48.94</t>
  </si>
  <si>
    <t>% de valeurs ≥ au seuil requis</t>
  </si>
  <si>
    <t>Valeur mini</t>
  </si>
  <si>
    <t>Valeur maxi</t>
  </si>
  <si>
    <t>6/</t>
  </si>
  <si>
    <t>CONCLUSIONS</t>
  </si>
  <si>
    <t>Contrôle :</t>
  </si>
  <si>
    <t>Nom</t>
  </si>
  <si>
    <t>Fonction</t>
  </si>
  <si>
    <t>Chef de section laboratoire</t>
  </si>
  <si>
    <t>7/</t>
  </si>
  <si>
    <t>COMMENTAIRES</t>
  </si>
  <si>
    <t>Visa</t>
  </si>
  <si>
    <t xml:space="preserve"> </t>
  </si>
  <si>
    <t>Plate-forme de travail</t>
  </si>
  <si>
    <t>Pour information</t>
  </si>
  <si>
    <t>RA K52E</t>
  </si>
  <si>
    <t>Clermont Ferrand
STEP
3 Rivieres
Méthanisation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</si>
  <si>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</si>
  <si>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</si>
  <si>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</si>
  <si>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</si>
  <si>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</si>
  <si>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</si>
  <si>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</si>
  <si>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</si>
  <si>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</si>
  <si>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</si>
  <si>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</si>
  <si>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</si>
  <si>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</si>
  <si>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</si>
  <si>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</si>
  <si>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</si>
  <si>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Conforme</t>
  </si>
  <si>
    <t>Contrôle</t>
  </si>
  <si>
    <t xml:space="preserve">CONCLUSION </t>
  </si>
  <si>
    <t>4/</t>
  </si>
  <si>
    <t xml:space="preserve"> 100.00</t>
  </si>
  <si>
    <t>Oui</t>
  </si>
  <si>
    <t>Tranchées</t>
  </si>
  <si>
    <t>12/07/2023</t>
  </si>
  <si>
    <t>Grave concassée 0/31.5</t>
  </si>
  <si>
    <t>Laboratoire Rhône Auvergne - 29-31 rue des tâches - ZI mi-plaine - 69800 SAINT PRIEST</t>
  </si>
  <si>
    <t>RA K52K</t>
  </si>
  <si>
    <t>Clermont-Ferrand
STEP 3 Rivières
Méthanisation</t>
  </si>
  <si>
    <t>CdF Voirie</t>
  </si>
  <si>
    <t>13/11/2025</t>
  </si>
  <si>
    <t>GNT 0/31,5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</si>
</sst>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 style="dashed">
        <color rgb="FF000000"/>
      </right>
      <top/>
      <bottom/>
      <diagonal/>
    </border>
    <border>
      <left/>
      <right style="dashed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dashDotDot">
        <color auto="1"/>
      </top>
      <bottom/>
      <diagonal/>
    </border>
    <border>
      <left style="thin">
        <color auto="1"/>
      </left>
      <right/>
      <top style="dashDotDot">
        <color auto="1"/>
      </top>
      <bottom/>
      <diagonal/>
    </border>
    <border>
      <left/>
      <right style="thin">
        <color auto="1"/>
      </right>
      <top style="dashDotDot">
        <color auto="1"/>
      </top>
      <bottom/>
      <diagonal/>
    </border>
  </borders>
  <cellStyleXfs count="2">
    <xf numFmtId="0" fontId="0" fillId="0" borderId="0"/>
    <xf numFmtId="0" fontId="14" fillId="0" borderId="0"/>
  </cellStyleXfs>
  <cellXfs count="460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4" xfId="0" applyFont="1" applyBorder="1"/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3" xfId="0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8" xfId="0" applyFont="1" applyBorder="1" applyAlignment="1" applyProtection="1">
      <alignment vertical="center"/>
      <protection locked="0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7" fillId="0" borderId="6" xfId="0" applyFont="1" applyBorder="1" applyProtection="1">
      <protection locked="0"/>
    </xf>
    <xf numFmtId="0" fontId="7" fillId="0" borderId="0" xfId="0" applyFont="1" applyProtection="1">
      <protection locked="0"/>
    </xf>
    <xf numFmtId="0" fontId="7" fillId="0" borderId="16" xfId="0" applyFont="1" applyBorder="1" applyProtection="1">
      <protection locked="0"/>
    </xf>
    <xf numFmtId="0" fontId="7" fillId="0" borderId="15" xfId="0" applyFont="1" applyBorder="1" applyProtection="1">
      <protection locked="0"/>
    </xf>
    <xf numFmtId="0" fontId="1" fillId="0" borderId="41" xfId="0" applyFont="1" applyBorder="1" applyAlignment="1" applyProtection="1">
      <alignment vertical="center"/>
      <protection hidden="1"/>
    </xf>
    <xf numFmtId="0" fontId="1" fillId="0" borderId="42" xfId="0" applyFont="1" applyBorder="1" applyAlignment="1" applyProtection="1">
      <alignment vertical="center"/>
      <protection hidden="1"/>
    </xf>
    <xf numFmtId="0" fontId="1" fillId="0" borderId="43" xfId="0" applyFont="1" applyBorder="1" applyAlignment="1" applyProtection="1">
      <alignment vertical="center"/>
      <protection hidden="1"/>
    </xf>
    <xf numFmtId="0" fontId="1" fillId="0" borderId="44" xfId="0" applyFont="1" applyBorder="1" applyAlignment="1" applyProtection="1">
      <alignment vertical="center"/>
      <protection hidden="1"/>
    </xf>
    <xf numFmtId="0" fontId="1" fillId="0" borderId="45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" fillId="0" borderId="47" xfId="0" applyFont="1" applyBorder="1" applyAlignment="1" applyProtection="1">
      <alignment vertical="center"/>
      <protection hidden="1"/>
    </xf>
    <xf numFmtId="0" fontId="1" fillId="0" borderId="48" xfId="0" applyFont="1" applyBorder="1" applyAlignment="1" applyProtection="1">
      <alignment vertical="center"/>
      <protection hidden="1"/>
    </xf>
    <xf numFmtId="0" fontId="1" fillId="0" borderId="51" xfId="0" applyFont="1" applyBorder="1" applyAlignment="1" applyProtection="1">
      <alignment vertical="center"/>
      <protection hidden="1"/>
    </xf>
    <xf numFmtId="0" fontId="1" fillId="0" borderId="55" xfId="0" applyFont="1" applyBorder="1" applyAlignment="1" applyProtection="1">
      <alignment vertical="center"/>
      <protection hidden="1"/>
    </xf>
    <xf numFmtId="0" fontId="1" fillId="0" borderId="56" xfId="0" applyFont="1" applyBorder="1" applyAlignment="1" applyProtection="1">
      <alignment vertical="center"/>
      <protection hidden="1"/>
    </xf>
    <xf numFmtId="0" fontId="7" fillId="0" borderId="50" xfId="0" applyFont="1" applyBorder="1" applyProtection="1">
      <protection locked="0"/>
    </xf>
    <xf numFmtId="0" fontId="7" fillId="0" borderId="53" xfId="0" applyFont="1" applyBorder="1" applyProtection="1">
      <protection locked="0"/>
    </xf>
    <xf numFmtId="0" fontId="7" fillId="0" borderId="49" xfId="0" applyFont="1" applyBorder="1" applyProtection="1">
      <protection locked="0"/>
    </xf>
    <xf numFmtId="0" fontId="7" fillId="0" borderId="52" xfId="0" applyFont="1" applyBorder="1" applyProtection="1">
      <protection locked="0"/>
    </xf>
    <xf numFmtId="0" fontId="1" fillId="0" borderId="50" xfId="0" applyFont="1" applyBorder="1" applyAlignment="1" applyProtection="1">
      <alignment vertical="center"/>
      <protection hidden="1"/>
    </xf>
    <xf numFmtId="0" fontId="7" fillId="0" borderId="57" xfId="0" applyFont="1" applyBorder="1" applyProtection="1">
      <protection locked="0"/>
    </xf>
    <xf numFmtId="0" fontId="1" fillId="0" borderId="53" xfId="0" applyFont="1" applyBorder="1" applyAlignment="1" applyProtection="1">
      <alignment vertical="center"/>
      <protection hidden="1"/>
    </xf>
    <xf numFmtId="0" fontId="1" fillId="0" borderId="54" xfId="0" applyFont="1" applyBorder="1" applyAlignment="1" applyProtection="1">
      <alignment vertical="center"/>
      <protection hidden="1"/>
    </xf>
    <xf numFmtId="0" fontId="7" fillId="0" borderId="58" xfId="0" applyFont="1" applyBorder="1" applyProtection="1">
      <protection locked="0"/>
    </xf>
    <xf numFmtId="0" fontId="1" fillId="0" borderId="58" xfId="0" applyFont="1" applyBorder="1" applyAlignment="1" applyProtection="1">
      <alignment vertical="center"/>
      <protection hidden="1"/>
    </xf>
    <xf numFmtId="0" fontId="7" fillId="0" borderId="59" xfId="0" applyFont="1" applyBorder="1" applyProtection="1">
      <protection locked="0"/>
    </xf>
    <xf numFmtId="0" fontId="1" fillId="0" borderId="60" xfId="0" applyFont="1" applyBorder="1" applyAlignment="1" applyProtection="1">
      <alignment vertical="center"/>
      <protection hidden="1"/>
    </xf>
    <xf numFmtId="0" fontId="14" fillId="0" borderId="0" xfId="1"/>
    <xf numFmtId="0" fontId="1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0" fontId="7" fillId="0" borderId="4" xfId="1" applyFont="1" applyBorder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4" fillId="0" borderId="7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28" xfId="1" applyFont="1" applyBorder="1" applyAlignment="1" applyProtection="1">
      <alignment horizontal="center" vertical="center" wrapText="1"/>
      <protection hidden="1"/>
    </xf>
    <xf numFmtId="0" fontId="1" fillId="0" borderId="27" xfId="1" applyFont="1" applyBorder="1" applyAlignment="1" applyProtection="1">
      <alignment horizontal="center" vertical="center" wrapText="1"/>
      <protection hidden="1"/>
    </xf>
    <xf numFmtId="0" fontId="5" fillId="0" borderId="27" xfId="1" applyFont="1" applyBorder="1" applyAlignment="1" applyProtection="1">
      <alignment horizontal="center" vertical="center" wrapText="1"/>
      <protection hidden="1"/>
    </xf>
    <xf numFmtId="0" fontId="5" fillId="0" borderId="4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8" fillId="0" borderId="10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horizontal="center" vertical="center"/>
      <protection hidden="1"/>
    </xf>
    <xf numFmtId="0" fontId="7" fillId="0" borderId="28" xfId="1" applyFont="1" applyBorder="1" applyAlignment="1" applyProtection="1">
      <alignment horizontal="center"/>
      <protection locked="0"/>
    </xf>
    <xf numFmtId="0" fontId="7" fillId="0" borderId="27" xfId="1" applyFont="1" applyBorder="1" applyAlignment="1" applyProtection="1">
      <alignment horizontal="center"/>
      <protection locked="0"/>
    </xf>
    <xf numFmtId="0" fontId="7" fillId="0" borderId="26" xfId="1" applyFont="1" applyBorder="1" applyAlignment="1" applyProtection="1">
      <alignment horizontal="center"/>
      <protection locked="0"/>
    </xf>
    <xf numFmtId="0" fontId="7" fillId="0" borderId="28" xfId="1" applyFont="1" applyBorder="1" applyAlignment="1">
      <alignment vertical="center"/>
    </xf>
    <xf numFmtId="0" fontId="7" fillId="0" borderId="27" xfId="1" applyFont="1" applyBorder="1" applyAlignment="1">
      <alignment vertical="center"/>
    </xf>
    <xf numFmtId="164" fontId="7" fillId="0" borderId="26" xfId="1" applyNumberFormat="1" applyFont="1" applyBorder="1" applyAlignment="1">
      <alignment horizontal="center" vertical="center"/>
    </xf>
    <xf numFmtId="0" fontId="6" fillId="0" borderId="13" xfId="1" applyFont="1" applyBorder="1" applyAlignment="1">
      <alignment horizontal="center"/>
    </xf>
    <xf numFmtId="0" fontId="7" fillId="0" borderId="4" xfId="1" applyFont="1" applyBorder="1"/>
    <xf numFmtId="0" fontId="1" fillId="0" borderId="6" xfId="1" applyFont="1" applyBorder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3" fillId="0" borderId="3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8" xfId="1" applyFont="1" applyBorder="1" applyProtection="1">
      <protection hidden="1"/>
    </xf>
    <xf numFmtId="0" fontId="1" fillId="0" borderId="2" xfId="1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4" fillId="0" borderId="7" xfId="1" applyFont="1" applyBorder="1" applyAlignment="1" applyProtection="1">
      <alignment horizontal="left"/>
      <protection hidden="1"/>
    </xf>
    <xf numFmtId="0" fontId="7" fillId="0" borderId="0" xfId="1" applyFont="1" applyAlignment="1" applyProtection="1">
      <alignment horizontal="left"/>
      <protection locked="0"/>
    </xf>
    <xf numFmtId="0" fontId="1" fillId="0" borderId="6" xfId="1" applyFont="1" applyBorder="1" applyProtection="1">
      <protection hidden="1"/>
    </xf>
    <xf numFmtId="0" fontId="1" fillId="0" borderId="7" xfId="1" applyFont="1" applyBorder="1" applyProtection="1">
      <protection hidden="1"/>
    </xf>
    <xf numFmtId="0" fontId="2" fillId="0" borderId="0" xfId="1" applyFont="1" applyProtection="1">
      <protection hidden="1"/>
    </xf>
    <xf numFmtId="0" fontId="1" fillId="0" borderId="5" xfId="1" applyFont="1" applyBorder="1" applyProtection="1">
      <protection hidden="1"/>
    </xf>
    <xf numFmtId="0" fontId="1" fillId="0" borderId="4" xfId="1" applyFont="1" applyBorder="1" applyProtection="1">
      <protection hidden="1"/>
    </xf>
    <xf numFmtId="0" fontId="3" fillId="0" borderId="4" xfId="1" applyFont="1" applyBorder="1" applyProtection="1">
      <protection hidden="1"/>
    </xf>
    <xf numFmtId="14" fontId="6" fillId="0" borderId="0" xfId="1" applyNumberFormat="1" applyFont="1" applyAlignment="1" applyProtection="1">
      <alignment horizont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horizontal="right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7" fillId="0" borderId="26" xfId="1" applyFont="1" applyBorder="1" applyAlignment="1" applyProtection="1">
      <alignment horizontal="center" vertical="center" wrapText="1"/>
      <protection locked="0"/>
    </xf>
    <xf numFmtId="0" fontId="7" fillId="0" borderId="27" xfId="1" applyFont="1" applyBorder="1" applyAlignment="1" applyProtection="1">
      <alignment horizontal="center" vertical="center" wrapText="1"/>
      <protection locked="0"/>
    </xf>
    <xf numFmtId="0" fontId="1" fillId="0" borderId="27" xfId="1" applyFont="1" applyBorder="1" applyAlignment="1" applyProtection="1">
      <alignment horizontal="center" vertical="center" wrapText="1"/>
      <protection locked="0"/>
    </xf>
    <xf numFmtId="0" fontId="1" fillId="0" borderId="28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164" fontId="6" fillId="0" borderId="26" xfId="1" applyNumberFormat="1" applyFont="1" applyBorder="1" applyAlignment="1">
      <alignment horizontal="center" vertical="center"/>
    </xf>
    <xf numFmtId="0" fontId="7" fillId="0" borderId="27" xfId="1" applyFont="1" applyBorder="1"/>
    <xf numFmtId="0" fontId="7" fillId="0" borderId="28" xfId="1" applyFont="1" applyBorder="1"/>
    <xf numFmtId="0" fontId="7" fillId="0" borderId="0" xfId="1" applyFont="1" applyAlignment="1" applyProtection="1">
      <alignment horizontal="left"/>
      <protection hidden="1"/>
    </xf>
    <xf numFmtId="0" fontId="7" fillId="0" borderId="0" xfId="1" applyFont="1" applyAlignment="1" applyProtection="1">
      <alignment horizontal="left" vertical="center"/>
      <protection hidden="1"/>
    </xf>
    <xf numFmtId="0" fontId="2" fillId="0" borderId="17" xfId="1" applyFont="1" applyBorder="1" applyAlignment="1" applyProtection="1">
      <alignment horizontal="center" vertical="center"/>
      <protection hidden="1"/>
    </xf>
    <xf numFmtId="0" fontId="2" fillId="0" borderId="18" xfId="1" applyFont="1" applyBorder="1" applyAlignment="1" applyProtection="1">
      <alignment horizontal="center" vertical="center"/>
      <protection hidden="1"/>
    </xf>
    <xf numFmtId="0" fontId="2" fillId="0" borderId="30" xfId="1" applyFont="1" applyBorder="1" applyAlignment="1" applyProtection="1">
      <alignment horizontal="center" vertical="center"/>
      <protection hidden="1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11" fillId="0" borderId="4" xfId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11" fillId="0" borderId="7" xfId="1" applyFont="1" applyBorder="1" applyAlignment="1" applyProtection="1">
      <alignment horizontal="center" vertical="center" wrapText="1"/>
      <protection locked="0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11" fillId="0" borderId="2" xfId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7" fillId="0" borderId="26" xfId="1" applyFont="1" applyBorder="1" applyAlignment="1" applyProtection="1">
      <alignment horizontal="center"/>
      <protection locked="0"/>
    </xf>
    <xf numFmtId="0" fontId="7" fillId="0" borderId="27" xfId="1" applyFont="1" applyBorder="1" applyAlignment="1" applyProtection="1">
      <alignment horizontal="center"/>
      <protection locked="0"/>
    </xf>
    <xf numFmtId="0" fontId="7" fillId="0" borderId="28" xfId="1" applyFont="1" applyBorder="1" applyAlignment="1" applyProtection="1">
      <alignment horizontal="center"/>
      <protection locked="0"/>
    </xf>
    <xf numFmtId="0" fontId="7" fillId="0" borderId="34" xfId="1" applyFont="1" applyBorder="1" applyAlignment="1" applyProtection="1">
      <alignment horizontal="center" vertical="center" wrapText="1"/>
      <protection locked="0"/>
    </xf>
    <xf numFmtId="0" fontId="7" fillId="0" borderId="35" xfId="1" applyFont="1" applyBorder="1" applyAlignment="1" applyProtection="1">
      <alignment horizontal="center" vertical="center" wrapText="1"/>
      <protection locked="0"/>
    </xf>
    <xf numFmtId="0" fontId="7" fillId="0" borderId="36" xfId="1" applyFont="1" applyBorder="1" applyAlignment="1" applyProtection="1">
      <alignment horizontal="center" vertical="center" wrapText="1"/>
      <protection locked="0"/>
    </xf>
    <xf numFmtId="0" fontId="7" fillId="0" borderId="15" xfId="1" applyFont="1" applyBorder="1" applyAlignment="1" applyProtection="1">
      <alignment horizontal="center" vertical="center" wrapText="1"/>
      <protection locked="0"/>
    </xf>
    <xf numFmtId="0" fontId="7" fillId="0" borderId="37" xfId="1" applyFont="1" applyBorder="1" applyAlignment="1" applyProtection="1">
      <alignment horizontal="center" vertical="center" wrapText="1"/>
      <protection locked="0"/>
    </xf>
    <xf numFmtId="0" fontId="7" fillId="0" borderId="38" xfId="1" applyFont="1" applyBorder="1" applyAlignment="1" applyProtection="1">
      <alignment horizontal="center" vertical="center"/>
      <protection locked="0"/>
    </xf>
    <xf numFmtId="0" fontId="7" fillId="0" borderId="34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16" xfId="1" applyFont="1" applyBorder="1" applyAlignment="1" applyProtection="1">
      <alignment horizontal="center" vertical="center"/>
      <protection locked="0"/>
    </xf>
    <xf numFmtId="0" fontId="7" fillId="0" borderId="15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7" fillId="0" borderId="0" xfId="1" applyFont="1" applyAlignment="1" applyProtection="1">
      <alignment horizontal="left"/>
      <protection locked="0"/>
    </xf>
    <xf numFmtId="164" fontId="6" fillId="0" borderId="20" xfId="1" applyNumberFormat="1" applyFont="1" applyBorder="1" applyAlignment="1">
      <alignment horizontal="center" vertical="center"/>
    </xf>
    <xf numFmtId="0" fontId="7" fillId="0" borderId="21" xfId="1" applyFont="1" applyBorder="1"/>
    <xf numFmtId="0" fontId="7" fillId="0" borderId="22" xfId="1" applyFont="1" applyBorder="1"/>
    <xf numFmtId="164" fontId="6" fillId="0" borderId="23" xfId="1" applyNumberFormat="1" applyFont="1" applyBorder="1" applyAlignment="1">
      <alignment horizontal="center" vertical="top"/>
    </xf>
    <xf numFmtId="0" fontId="7" fillId="0" borderId="24" xfId="1" applyFont="1" applyBorder="1" applyAlignment="1">
      <alignment vertical="top"/>
    </xf>
    <xf numFmtId="0" fontId="7" fillId="0" borderId="25" xfId="1" applyFont="1" applyBorder="1" applyAlignment="1">
      <alignment vertical="top"/>
    </xf>
    <xf numFmtId="14" fontId="7" fillId="0" borderId="0" xfId="1" applyNumberFormat="1" applyFont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10" fillId="0" borderId="2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0" fillId="0" borderId="8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9" fillId="0" borderId="3" xfId="1" applyFont="1" applyBorder="1" applyAlignment="1" applyProtection="1">
      <alignment horizontal="center" vertical="center"/>
      <protection hidden="1"/>
    </xf>
    <xf numFmtId="0" fontId="9" fillId="0" borderId="4" xfId="1" applyFont="1" applyBorder="1" applyAlignment="1" applyProtection="1">
      <alignment horizontal="center" vertical="center"/>
      <protection hidden="1"/>
    </xf>
    <xf numFmtId="0" fontId="9" fillId="0" borderId="5" xfId="1" applyFont="1" applyBorder="1" applyAlignment="1" applyProtection="1">
      <alignment horizontal="center" vertical="center"/>
      <protection hidden="1"/>
    </xf>
    <xf numFmtId="0" fontId="11" fillId="0" borderId="6" xfId="1" applyFont="1" applyBorder="1" applyAlignment="1" applyProtection="1">
      <alignment horizontal="center" vertical="center" wrapText="1"/>
      <protection hidden="1"/>
    </xf>
    <xf numFmtId="0" fontId="11" fillId="0" borderId="0" xfId="1" applyFont="1" applyAlignment="1" applyProtection="1">
      <alignment horizontal="center" vertical="center" wrapText="1"/>
      <protection hidden="1"/>
    </xf>
    <xf numFmtId="0" fontId="11" fillId="0" borderId="7" xfId="1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0" fontId="2" fillId="0" borderId="27" xfId="1" applyFont="1" applyBorder="1" applyAlignment="1" applyProtection="1">
      <alignment horizontal="center" vertical="center"/>
      <protection hidden="1"/>
    </xf>
    <xf numFmtId="0" fontId="4" fillId="0" borderId="27" xfId="1" applyFont="1" applyBorder="1" applyAlignment="1" applyProtection="1">
      <alignment horizontal="center" vertical="center"/>
      <protection hidden="1"/>
    </xf>
    <xf numFmtId="0" fontId="7" fillId="0" borderId="6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7" xfId="1" applyFont="1" applyBorder="1" applyAlignment="1" applyProtection="1">
      <alignment horizontal="left" vertical="center" wrapText="1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8" xfId="1" applyFont="1" applyBorder="1" applyAlignment="1" applyProtection="1">
      <alignment horizontal="left" vertical="center" wrapText="1"/>
      <protection locked="0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164" fontId="7" fillId="0" borderId="26" xfId="1" applyNumberFormat="1" applyFont="1" applyBorder="1" applyAlignment="1">
      <alignment horizontal="center" vertical="center"/>
    </xf>
    <xf numFmtId="0" fontId="7" fillId="0" borderId="27" xfId="1" applyFont="1" applyBorder="1" applyAlignment="1">
      <alignment vertical="center"/>
    </xf>
    <xf numFmtId="0" fontId="7" fillId="0" borderId="28" xfId="1" applyFont="1" applyBorder="1" applyAlignment="1">
      <alignment vertical="center"/>
    </xf>
    <xf numFmtId="0" fontId="6" fillId="0" borderId="31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7" fillId="0" borderId="0" xfId="1" applyFont="1" applyAlignment="1" applyProtection="1">
      <alignment horizontal="center"/>
      <protection locked="0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/>
    <xf numFmtId="0" fontId="7" fillId="0" borderId="8" xfId="1" applyFont="1" applyBorder="1"/>
    <xf numFmtId="0" fontId="6" fillId="0" borderId="3" xfId="1" applyFont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7" fillId="0" borderId="39" xfId="1" applyFont="1" applyBorder="1" applyAlignment="1" applyProtection="1">
      <alignment horizontal="center" vertical="center"/>
      <protection hidden="1"/>
    </xf>
    <xf numFmtId="0" fontId="7" fillId="0" borderId="40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>
      <alignment horizontal="center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2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0" fontId="1" fillId="0" borderId="39" xfId="0" applyFont="1" applyBorder="1" applyAlignment="1" applyProtection="1">
      <alignment horizontal="center" vertical="center"/>
      <protection hidden="1"/>
    </xf>
    <xf numFmtId="0" fontId="1" fillId="0" borderId="40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9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8" xfId="0" applyFont="1" applyBorder="1"/>
    <xf numFmtId="0" fontId="10" fillId="0" borderId="8" xfId="0" applyFont="1" applyBorder="1" applyAlignment="1" applyProtection="1">
      <alignment horizontal="center" vertical="center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4" fillId="0" borderId="27" xfId="0" applyFont="1" applyBorder="1" applyAlignment="1" applyProtection="1">
      <alignment horizontal="center" vertical="center"/>
      <protection hidden="1"/>
    </xf>
    <xf numFmtId="0" fontId="7" fillId="0" borderId="26" xfId="0" applyFont="1" applyBorder="1" applyAlignment="1" applyProtection="1">
      <alignment horizontal="center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28" xfId="0" applyFont="1" applyBorder="1" applyAlignment="1" applyProtection="1">
      <alignment horizontal="center"/>
      <protection locked="0"/>
    </xf>
    <xf numFmtId="164" fontId="7" fillId="0" borderId="26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164" fontId="7" fillId="0" borderId="27" xfId="0" applyNumberFormat="1" applyFont="1" applyBorder="1" applyAlignment="1">
      <alignment horizontal="center" vertical="center"/>
    </xf>
    <xf numFmtId="164" fontId="7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 applyProtection="1">
      <alignment horizontal="center" vertical="center" wrapText="1"/>
      <protection hidden="1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locked="0"/>
    </xf>
    <xf numFmtId="0" fontId="1" fillId="0" borderId="28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9" fillId="0" borderId="3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top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vertical="top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34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34" xfId="0" applyFont="1" applyBorder="1" applyAlignment="1" applyProtection="1">
      <alignment horizontal="center" vertical="center" wrapText="1"/>
      <protection locked="0"/>
    </xf>
    <xf numFmtId="0" fontId="4" fillId="0" borderId="35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36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0" fontId="9" fillId="0" borderId="3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64" fontId="9" fillId="0" borderId="26" xfId="0" applyNumberFormat="1" applyFont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0" fontId="9" fillId="0" borderId="3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 vertical="center"/>
    </xf>
    <xf numFmtId="0" fontId="1" fillId="0" borderId="21" xfId="0" applyFont="1" applyBorder="1"/>
    <xf numFmtId="0" fontId="1" fillId="0" borderId="22" xfId="0" applyFont="1" applyBorder="1"/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50" xfId="0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hidden="1"/>
    </xf>
    <xf numFmtId="0" fontId="7" fillId="0" borderId="57" xfId="0" applyFont="1" applyBorder="1" applyAlignment="1" applyProtection="1">
      <alignment horizontal="center" vertical="center"/>
      <protection locked="0"/>
    </xf>
    <xf numFmtId="0" fontId="1" fillId="0" borderId="55" xfId="0" applyFont="1" applyBorder="1" applyAlignment="1" applyProtection="1">
      <alignment horizontal="center" vertical="center"/>
      <protection hidden="1"/>
    </xf>
    <xf numFmtId="0" fontId="7" fillId="0" borderId="57" xfId="0" applyFont="1" applyBorder="1" applyAlignment="1" applyProtection="1">
      <alignment horizontal="center"/>
      <protection locked="0"/>
    </xf>
    <xf numFmtId="0" fontId="1" fillId="0" borderId="50" xfId="0" applyFont="1" applyBorder="1" applyAlignment="1" applyProtection="1">
      <alignment horizontal="center" vertical="center"/>
      <protection hidden="1"/>
    </xf>
    <xf numFmtId="0" fontId="7" fillId="0" borderId="22" xfId="1" applyFont="1" applyBorder="1" applyAlignment="1" applyProtection="1">
      <alignment horizontal="center"/>
      <protection locked="0"/>
    </xf>
    <xf numFmtId="0" fontId="7" fillId="0" borderId="21" xfId="1" applyFont="1" applyBorder="1" applyAlignment="1" applyProtection="1">
      <alignment horizontal="center"/>
      <protection locked="0"/>
    </xf>
    <xf numFmtId="0" fontId="7" fillId="0" borderId="20" xfId="1" applyFont="1" applyBorder="1" applyAlignment="1" applyProtection="1">
      <alignment horizontal="center"/>
      <protection locked="0"/>
    </xf>
    <xf numFmtId="164" fontId="7" fillId="0" borderId="22" xfId="1" applyNumberFormat="1" applyFont="1" applyBorder="1" applyAlignment="1">
      <alignment horizontal="center" vertical="center"/>
    </xf>
    <xf numFmtId="164" fontId="7" fillId="0" borderId="21" xfId="1" applyNumberFormat="1" applyFont="1" applyBorder="1" applyAlignment="1">
      <alignment horizontal="center" vertical="center"/>
    </xf>
    <xf numFmtId="164" fontId="7" fillId="0" borderId="20" xfId="1" applyNumberFormat="1" applyFont="1" applyBorder="1" applyAlignment="1">
      <alignment horizontal="center" vertical="center"/>
    </xf>
    <xf numFmtId="0" fontId="6" fillId="0" borderId="14" xfId="1" applyFont="1" applyBorder="1" applyAlignment="1">
      <alignment horizontal="center"/>
    </xf>
    <xf numFmtId="0" fontId="6" fillId="0" borderId="39" xfId="1" applyFont="1" applyBorder="1" applyAlignment="1">
      <alignment horizontal="center"/>
    </xf>
  </cellXfs>
  <cellStyles count="2">
    <cellStyle name="Normal" xfId="0" builtinId="0"/>
    <cellStyle name="Normal 2" xfId="1" xr:uid="{4F527077-048E-4439-A8CF-6A04C1D9CC5F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6880F2C-202B-4C4A-9361-D1C201BD6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160020</xdr:colOff>
      <xdr:row>64</xdr:row>
      <xdr:rowOff>38100</xdr:rowOff>
    </xdr:from>
    <xdr:ext cx="1783080" cy="703847"/>
    <xdr:pic>
      <xdr:nvPicPr>
        <xdr:cNvPr id="3" name="Image 2">
          <a:extLst>
            <a:ext uri="{FF2B5EF4-FFF2-40B4-BE49-F238E27FC236}">
              <a16:creationId xmlns:a16="http://schemas.microsoft.com/office/drawing/2014/main" id="{70EEF417-43A6-4BBD-B0CC-1E0D2D2B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2925" y="11010900"/>
          <a:ext cx="1783080" cy="70384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0CF5613-A94A-4F8F-9BCF-3130E664D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160020</xdr:colOff>
      <xdr:row>70</xdr:row>
      <xdr:rowOff>38100</xdr:rowOff>
    </xdr:from>
    <xdr:ext cx="1783080" cy="703847"/>
    <xdr:pic>
      <xdr:nvPicPr>
        <xdr:cNvPr id="3" name="Image 2">
          <a:extLst>
            <a:ext uri="{FF2B5EF4-FFF2-40B4-BE49-F238E27FC236}">
              <a16:creationId xmlns:a16="http://schemas.microsoft.com/office/drawing/2014/main" id="{FC5251B2-E9CC-4007-9891-3431276E9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57220" y="11772900"/>
          <a:ext cx="1783080" cy="70384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4414B21-337F-49DA-8A6B-BC07DC2E7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53340</xdr:colOff>
      <xdr:row>59</xdr:row>
      <xdr:rowOff>60960</xdr:rowOff>
    </xdr:from>
    <xdr:to>
      <xdr:col>25</xdr:col>
      <xdr:colOff>250444</xdr:colOff>
      <xdr:row>63</xdr:row>
      <xdr:rowOff>91440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6D448D1-BCC9-4219-A431-3A76D2DA2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3740" y="18371820"/>
          <a:ext cx="1949704" cy="7696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53340</xdr:colOff>
      <xdr:row>59</xdr:row>
      <xdr:rowOff>60960</xdr:rowOff>
    </xdr:from>
    <xdr:to>
      <xdr:col>25</xdr:col>
      <xdr:colOff>250444</xdr:colOff>
      <xdr:row>63</xdr:row>
      <xdr:rowOff>91440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98DB32A-EDDB-4090-B5C1-2C972B2BA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3740" y="18371820"/>
          <a:ext cx="1949704" cy="769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ABD9-F87F-40C2-9175-83D91B171FCE}">
  <sheetPr>
    <pageSetUpPr fitToPage="1"/>
  </sheetPr>
  <dimension ref="A1:AA76"/>
  <sheetViews>
    <sheetView tabSelected="1" workbookViewId="0">
      <selection activeCell="V24" sqref="V24"/>
    </sheetView>
  </sheetViews>
  <sheetFormatPr baseColWidth="10" defaultColWidth="11.44140625" defaultRowHeight="12.75" customHeight="1" x14ac:dyDescent="0.25"/>
  <cols>
    <col min="1" max="1" width="5.109375" style="93" customWidth="1"/>
    <col min="2" max="26" width="5.109375" style="92" customWidth="1"/>
    <col min="27" max="27" width="11.44140625" style="92"/>
    <col min="28" max="16384" width="11.44140625" style="91"/>
  </cols>
  <sheetData>
    <row r="1" spans="1:26" ht="12.75" customHeight="1" x14ac:dyDescent="0.25">
      <c r="A1" s="241"/>
      <c r="B1" s="242"/>
      <c r="C1" s="242"/>
      <c r="D1" s="242"/>
      <c r="E1" s="242"/>
      <c r="F1" s="243"/>
      <c r="G1" s="250" t="s">
        <v>0</v>
      </c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2"/>
      <c r="U1" s="195" t="s">
        <v>88</v>
      </c>
      <c r="V1" s="196"/>
      <c r="W1" s="196"/>
      <c r="X1" s="196"/>
      <c r="Y1" s="196"/>
      <c r="Z1" s="197"/>
    </row>
    <row r="2" spans="1:26" ht="12.75" customHeight="1" x14ac:dyDescent="0.25">
      <c r="A2" s="244"/>
      <c r="B2" s="245"/>
      <c r="C2" s="245"/>
      <c r="D2" s="245"/>
      <c r="E2" s="245"/>
      <c r="F2" s="246"/>
      <c r="G2" s="253" t="s">
        <v>1</v>
      </c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5"/>
      <c r="U2" s="198"/>
      <c r="V2" s="199"/>
      <c r="W2" s="199"/>
      <c r="X2" s="199"/>
      <c r="Y2" s="199"/>
      <c r="Z2" s="200"/>
    </row>
    <row r="3" spans="1:26" ht="12.75" customHeight="1" x14ac:dyDescent="0.25">
      <c r="A3" s="244"/>
      <c r="B3" s="245"/>
      <c r="C3" s="245"/>
      <c r="D3" s="245"/>
      <c r="E3" s="245"/>
      <c r="F3" s="246"/>
      <c r="G3" s="253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5"/>
      <c r="U3" s="198"/>
      <c r="V3" s="199"/>
      <c r="W3" s="199"/>
      <c r="X3" s="199"/>
      <c r="Y3" s="199"/>
      <c r="Z3" s="200"/>
    </row>
    <row r="4" spans="1:26" ht="12.75" customHeight="1" x14ac:dyDescent="0.25">
      <c r="A4" s="244"/>
      <c r="B4" s="245"/>
      <c r="C4" s="245"/>
      <c r="D4" s="245"/>
      <c r="E4" s="245"/>
      <c r="F4" s="246"/>
      <c r="G4" s="253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5"/>
      <c r="U4" s="198"/>
      <c r="V4" s="199"/>
      <c r="W4" s="199"/>
      <c r="X4" s="199"/>
      <c r="Y4" s="199"/>
      <c r="Z4" s="200"/>
    </row>
    <row r="5" spans="1:26" ht="12.75" customHeight="1" x14ac:dyDescent="0.25">
      <c r="A5" s="244"/>
      <c r="B5" s="245"/>
      <c r="C5" s="245"/>
      <c r="D5" s="245"/>
      <c r="E5" s="245"/>
      <c r="F5" s="246"/>
      <c r="G5" s="256" t="s">
        <v>2</v>
      </c>
      <c r="H5" s="257"/>
      <c r="I5" s="231">
        <v>4</v>
      </c>
      <c r="J5" s="231"/>
      <c r="K5" s="232"/>
      <c r="L5" s="234" t="s">
        <v>59</v>
      </c>
      <c r="M5" s="235"/>
      <c r="N5" s="235"/>
      <c r="O5" s="236"/>
      <c r="P5" s="237" t="s">
        <v>90</v>
      </c>
      <c r="Q5" s="238"/>
      <c r="R5" s="238"/>
      <c r="S5" s="238"/>
      <c r="T5" s="239"/>
      <c r="U5" s="198"/>
      <c r="V5" s="199"/>
      <c r="W5" s="199"/>
      <c r="X5" s="199"/>
      <c r="Y5" s="199"/>
      <c r="Z5" s="200"/>
    </row>
    <row r="6" spans="1:26" ht="12.75" customHeight="1" x14ac:dyDescent="0.25">
      <c r="A6" s="247"/>
      <c r="B6" s="248"/>
      <c r="C6" s="248"/>
      <c r="D6" s="248"/>
      <c r="E6" s="248"/>
      <c r="F6" s="249"/>
      <c r="G6" s="161"/>
      <c r="H6" s="122"/>
      <c r="I6" s="233" t="s">
        <v>4</v>
      </c>
      <c r="J6" s="233"/>
      <c r="K6" s="233"/>
      <c r="L6" s="233" t="s">
        <v>5</v>
      </c>
      <c r="M6" s="233"/>
      <c r="N6" s="233"/>
      <c r="O6" s="233"/>
      <c r="P6" s="233" t="s">
        <v>6</v>
      </c>
      <c r="Q6" s="233"/>
      <c r="R6" s="233"/>
      <c r="S6" s="233"/>
      <c r="T6" s="240"/>
      <c r="U6" s="201"/>
      <c r="V6" s="202"/>
      <c r="W6" s="202"/>
      <c r="X6" s="202"/>
      <c r="Y6" s="202"/>
      <c r="Z6" s="203"/>
    </row>
    <row r="7" spans="1:26" ht="36.6" customHeight="1" x14ac:dyDescent="0.25">
      <c r="A7" s="258" t="s">
        <v>7</v>
      </c>
      <c r="B7" s="258"/>
      <c r="C7" s="258"/>
      <c r="D7" s="258"/>
      <c r="E7" s="258"/>
      <c r="F7" s="258"/>
      <c r="G7" s="259" t="s">
        <v>86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</row>
    <row r="8" spans="1:26" ht="15.9" customHeight="1" x14ac:dyDescent="0.25">
      <c r="A8" s="140" t="s">
        <v>9</v>
      </c>
      <c r="B8" s="117" t="s">
        <v>10</v>
      </c>
      <c r="C8" s="114"/>
      <c r="D8" s="160"/>
      <c r="E8" s="160"/>
      <c r="F8" s="160"/>
      <c r="G8" s="160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36"/>
    </row>
    <row r="9" spans="1:26" ht="8.25" customHeight="1" x14ac:dyDescent="0.25">
      <c r="A9" s="126"/>
      <c r="D9" s="93"/>
      <c r="E9" s="93"/>
      <c r="F9" s="93"/>
      <c r="G9" s="93"/>
      <c r="Z9" s="125"/>
    </row>
    <row r="10" spans="1:26" ht="15.9" customHeight="1" x14ac:dyDescent="0.25">
      <c r="A10" s="126"/>
      <c r="B10" s="191" t="s">
        <v>11</v>
      </c>
      <c r="C10" s="191"/>
      <c r="D10" s="191"/>
      <c r="E10" s="191"/>
      <c r="F10" s="191"/>
      <c r="G10" s="191"/>
      <c r="H10" s="230" t="s">
        <v>12</v>
      </c>
      <c r="I10" s="230"/>
      <c r="J10" s="230"/>
      <c r="K10" s="230"/>
      <c r="L10" s="230"/>
      <c r="M10" s="230"/>
      <c r="N10" s="191" t="s">
        <v>13</v>
      </c>
      <c r="O10" s="191"/>
      <c r="P10" s="191"/>
      <c r="Q10" s="191"/>
      <c r="R10" s="191"/>
      <c r="S10" s="218" t="s">
        <v>91</v>
      </c>
      <c r="T10" s="218"/>
      <c r="U10" s="218"/>
      <c r="V10" s="218"/>
      <c r="W10" s="218"/>
      <c r="X10" s="218"/>
      <c r="Y10" s="218"/>
      <c r="Z10" s="159"/>
    </row>
    <row r="11" spans="1:26" ht="15.9" customHeight="1" x14ac:dyDescent="0.25">
      <c r="A11" s="126"/>
      <c r="B11" s="191" t="s">
        <v>15</v>
      </c>
      <c r="C11" s="191"/>
      <c r="D11" s="191"/>
      <c r="E11" s="191"/>
      <c r="F11" s="191"/>
      <c r="G11" s="191"/>
      <c r="H11" s="230" t="s">
        <v>90</v>
      </c>
      <c r="I11" s="230"/>
      <c r="J11" s="230"/>
      <c r="K11" s="230"/>
      <c r="L11" s="230"/>
      <c r="M11" s="230"/>
      <c r="N11" s="191" t="s">
        <v>16</v>
      </c>
      <c r="O11" s="191"/>
      <c r="P11" s="191"/>
      <c r="Q11" s="191"/>
      <c r="R11" s="191"/>
      <c r="S11" s="218" t="s">
        <v>17</v>
      </c>
      <c r="T11" s="218"/>
      <c r="U11" s="218"/>
      <c r="V11" s="218"/>
      <c r="W11" s="218"/>
      <c r="X11" s="218"/>
      <c r="Y11" s="218"/>
      <c r="Z11" s="159"/>
    </row>
    <row r="12" spans="1:26" ht="15.9" customHeight="1" x14ac:dyDescent="0.25">
      <c r="A12" s="126"/>
      <c r="B12" s="191" t="s">
        <v>18</v>
      </c>
      <c r="C12" s="191"/>
      <c r="D12" s="191"/>
      <c r="E12" s="191"/>
      <c r="F12" s="191"/>
      <c r="G12" s="191"/>
      <c r="H12" s="230" t="s">
        <v>89</v>
      </c>
      <c r="I12" s="230"/>
      <c r="J12" s="230"/>
      <c r="K12" s="230"/>
      <c r="L12" s="230"/>
      <c r="M12" s="230"/>
      <c r="N12" s="191" t="s">
        <v>20</v>
      </c>
      <c r="O12" s="191"/>
      <c r="P12" s="191"/>
      <c r="Q12" s="191"/>
      <c r="R12" s="191"/>
      <c r="S12" s="218" t="s">
        <v>82</v>
      </c>
      <c r="T12" s="218"/>
      <c r="U12" s="218"/>
      <c r="V12" s="218"/>
      <c r="W12" s="218"/>
      <c r="X12" s="218"/>
      <c r="Y12" s="218"/>
      <c r="Z12" s="159"/>
    </row>
    <row r="13" spans="1:26" ht="8.25" customHeight="1" x14ac:dyDescent="0.25">
      <c r="A13" s="158"/>
      <c r="B13" s="122"/>
      <c r="C13" s="122"/>
      <c r="D13" s="157"/>
      <c r="E13" s="157"/>
      <c r="F13" s="157"/>
      <c r="G13" s="157"/>
      <c r="H13" s="122"/>
      <c r="I13" s="122"/>
      <c r="J13" s="122"/>
      <c r="K13" s="122"/>
      <c r="L13" s="122"/>
      <c r="M13" s="122"/>
      <c r="N13" s="156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1"/>
    </row>
    <row r="14" spans="1:26" s="94" customFormat="1" ht="15" customHeight="1" x14ac:dyDescent="0.25">
      <c r="B14" s="154"/>
      <c r="C14" s="154"/>
      <c r="K14" s="155"/>
      <c r="L14" s="154"/>
      <c r="M14" s="153"/>
    </row>
    <row r="15" spans="1:26" s="94" customFormat="1" ht="15.6" customHeight="1" x14ac:dyDescent="0.25">
      <c r="A15" s="140" t="s">
        <v>22</v>
      </c>
      <c r="B15" s="152" t="s">
        <v>23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0"/>
    </row>
    <row r="16" spans="1:26" s="94" customFormat="1" ht="15" customHeight="1" x14ac:dyDescent="0.25">
      <c r="A16" s="147"/>
      <c r="B16" s="149"/>
      <c r="Z16" s="148"/>
    </row>
    <row r="17" spans="1:26" s="94" customFormat="1" ht="15" customHeight="1" x14ac:dyDescent="0.25">
      <c r="A17" s="147"/>
      <c r="B17" s="190" t="s">
        <v>24</v>
      </c>
      <c r="C17" s="190"/>
      <c r="D17" s="190"/>
      <c r="E17" s="190"/>
      <c r="F17" s="190"/>
      <c r="G17" s="190"/>
      <c r="H17" s="190"/>
      <c r="I17" s="223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145"/>
    </row>
    <row r="18" spans="1:26" s="94" customFormat="1" ht="15" customHeight="1" x14ac:dyDescent="0.25">
      <c r="A18" s="147"/>
      <c r="B18" s="190" t="s">
        <v>25</v>
      </c>
      <c r="C18" s="190"/>
      <c r="D18" s="190"/>
      <c r="E18" s="190"/>
      <c r="F18" s="190"/>
      <c r="G18" s="190"/>
      <c r="H18" s="190"/>
      <c r="I18" s="281" t="s">
        <v>26</v>
      </c>
      <c r="J18" s="281"/>
      <c r="K18" s="146">
        <v>50</v>
      </c>
      <c r="L18" s="146" t="s">
        <v>27</v>
      </c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5"/>
    </row>
    <row r="19" spans="1:26" s="94" customFormat="1" ht="13.2" customHeight="1" x14ac:dyDescent="0.25">
      <c r="A19" s="144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6" ht="12.75" customHeight="1" x14ac:dyDescent="0.25">
      <c r="D20" s="93"/>
      <c r="E20" s="93"/>
      <c r="F20" s="93"/>
      <c r="G20" s="93"/>
      <c r="N20" s="141"/>
    </row>
    <row r="21" spans="1:26" ht="15.9" customHeight="1" x14ac:dyDescent="0.25">
      <c r="A21" s="140" t="s">
        <v>28</v>
      </c>
      <c r="B21" s="139" t="s">
        <v>29</v>
      </c>
      <c r="C21" s="137"/>
      <c r="D21" s="138"/>
      <c r="E21" s="138"/>
      <c r="F21" s="138"/>
      <c r="G21" s="138"/>
      <c r="H21" s="137"/>
      <c r="I21" s="137"/>
      <c r="J21" s="290" t="s">
        <v>30</v>
      </c>
      <c r="K21" s="290"/>
      <c r="L21" s="290"/>
      <c r="M21" s="290"/>
      <c r="N21" s="290"/>
      <c r="O21" s="290"/>
      <c r="P21" s="290"/>
      <c r="Q21" s="134">
        <v>600</v>
      </c>
      <c r="R21" s="114"/>
      <c r="S21" s="114"/>
      <c r="T21" s="114"/>
      <c r="U21" s="114"/>
      <c r="V21" s="114"/>
      <c r="W21" s="114"/>
      <c r="X21" s="114"/>
      <c r="Y21" s="114"/>
      <c r="Z21" s="136"/>
    </row>
    <row r="22" spans="1:26" ht="12.75" customHeight="1" x14ac:dyDescent="0.25">
      <c r="A22" s="126"/>
      <c r="B22" s="135"/>
      <c r="Z22" s="125"/>
    </row>
    <row r="23" spans="1:26" ht="15.75" customHeight="1" x14ac:dyDescent="0.25">
      <c r="A23" s="126"/>
      <c r="B23" s="288" t="s">
        <v>31</v>
      </c>
      <c r="C23" s="219" t="s">
        <v>32</v>
      </c>
      <c r="D23" s="219"/>
      <c r="E23" s="219"/>
      <c r="F23" s="219"/>
      <c r="G23" s="220"/>
      <c r="H23" s="285" t="s">
        <v>33</v>
      </c>
      <c r="I23" s="286"/>
      <c r="J23" s="287"/>
      <c r="K23" s="219" t="s">
        <v>34</v>
      </c>
      <c r="L23" s="219"/>
      <c r="M23" s="219"/>
      <c r="N23" s="219"/>
      <c r="O23" s="219"/>
      <c r="P23" s="220"/>
      <c r="Z23" s="125"/>
    </row>
    <row r="24" spans="1:26" ht="15.75" customHeight="1" x14ac:dyDescent="0.25">
      <c r="A24" s="126"/>
      <c r="B24" s="289"/>
      <c r="C24" s="221"/>
      <c r="D24" s="221"/>
      <c r="E24" s="221"/>
      <c r="F24" s="221"/>
      <c r="G24" s="222"/>
      <c r="H24" s="282" t="s">
        <v>35</v>
      </c>
      <c r="I24" s="283"/>
      <c r="J24" s="284"/>
      <c r="K24" s="221"/>
      <c r="L24" s="221"/>
      <c r="M24" s="221"/>
      <c r="N24" s="221"/>
      <c r="O24" s="221"/>
      <c r="P24" s="222"/>
      <c r="Z24" s="125"/>
    </row>
    <row r="25" spans="1:26" ht="19.5" customHeight="1" x14ac:dyDescent="0.25">
      <c r="A25" s="126"/>
      <c r="B25" s="133">
        <v>1</v>
      </c>
      <c r="C25" s="204"/>
      <c r="D25" s="205"/>
      <c r="E25" s="205"/>
      <c r="F25" s="205"/>
      <c r="G25" s="206"/>
      <c r="H25" s="269">
        <v>91</v>
      </c>
      <c r="I25" s="270"/>
      <c r="J25" s="271"/>
      <c r="K25" s="204"/>
      <c r="L25" s="205"/>
      <c r="M25" s="205"/>
      <c r="N25" s="205"/>
      <c r="O25" s="205"/>
      <c r="P25" s="206"/>
      <c r="Z25" s="125"/>
    </row>
    <row r="26" spans="1:26" ht="19.5" customHeight="1" x14ac:dyDescent="0.25">
      <c r="A26" s="126"/>
      <c r="B26" s="133">
        <v>2</v>
      </c>
      <c r="C26" s="204"/>
      <c r="D26" s="205"/>
      <c r="E26" s="205"/>
      <c r="F26" s="205"/>
      <c r="G26" s="206"/>
      <c r="H26" s="269">
        <v>136</v>
      </c>
      <c r="I26" s="270"/>
      <c r="J26" s="271"/>
      <c r="K26" s="204"/>
      <c r="L26" s="205"/>
      <c r="M26" s="205"/>
      <c r="N26" s="205"/>
      <c r="O26" s="205"/>
      <c r="P26" s="206"/>
      <c r="Z26" s="125"/>
    </row>
    <row r="27" spans="1:26" ht="19.5" customHeight="1" x14ac:dyDescent="0.25">
      <c r="A27" s="126"/>
      <c r="B27" s="133">
        <v>3</v>
      </c>
      <c r="C27" s="204"/>
      <c r="D27" s="205"/>
      <c r="E27" s="205"/>
      <c r="F27" s="205"/>
      <c r="G27" s="206"/>
      <c r="H27" s="269">
        <v>135</v>
      </c>
      <c r="I27" s="270"/>
      <c r="J27" s="271"/>
      <c r="K27" s="204"/>
      <c r="L27" s="205"/>
      <c r="M27" s="205"/>
      <c r="N27" s="205"/>
      <c r="O27" s="205"/>
      <c r="P27" s="206"/>
      <c r="Z27" s="125"/>
    </row>
    <row r="28" spans="1:26" ht="19.5" customHeight="1" x14ac:dyDescent="0.25">
      <c r="A28" s="126"/>
      <c r="B28" s="133">
        <v>4</v>
      </c>
      <c r="C28" s="204"/>
      <c r="D28" s="205"/>
      <c r="E28" s="205"/>
      <c r="F28" s="205"/>
      <c r="G28" s="206"/>
      <c r="H28" s="269">
        <v>79</v>
      </c>
      <c r="I28" s="270"/>
      <c r="J28" s="271"/>
      <c r="K28" s="204"/>
      <c r="L28" s="205"/>
      <c r="M28" s="205"/>
      <c r="N28" s="205"/>
      <c r="O28" s="205"/>
      <c r="P28" s="206"/>
      <c r="Z28" s="125"/>
    </row>
    <row r="29" spans="1:26" ht="19.5" customHeight="1" x14ac:dyDescent="0.25">
      <c r="A29" s="126"/>
      <c r="B29" s="133">
        <v>5</v>
      </c>
      <c r="C29" s="204"/>
      <c r="D29" s="205"/>
      <c r="E29" s="205"/>
      <c r="F29" s="205"/>
      <c r="G29" s="206"/>
      <c r="H29" s="269">
        <v>151</v>
      </c>
      <c r="I29" s="270"/>
      <c r="J29" s="271"/>
      <c r="K29" s="204"/>
      <c r="L29" s="205"/>
      <c r="M29" s="205"/>
      <c r="N29" s="205"/>
      <c r="O29" s="205"/>
      <c r="P29" s="206"/>
      <c r="Z29" s="125"/>
    </row>
    <row r="30" spans="1:26" ht="19.5" customHeight="1" x14ac:dyDescent="0.25">
      <c r="A30" s="126"/>
      <c r="B30" s="133">
        <v>6</v>
      </c>
      <c r="C30" s="204"/>
      <c r="D30" s="205"/>
      <c r="E30" s="205"/>
      <c r="F30" s="205"/>
      <c r="G30" s="206"/>
      <c r="H30" s="269">
        <v>89</v>
      </c>
      <c r="I30" s="270"/>
      <c r="J30" s="271"/>
      <c r="K30" s="204"/>
      <c r="L30" s="205"/>
      <c r="M30" s="205"/>
      <c r="N30" s="205"/>
      <c r="O30" s="205"/>
      <c r="P30" s="206"/>
      <c r="Z30" s="125"/>
    </row>
    <row r="31" spans="1:26" ht="19.5" customHeight="1" x14ac:dyDescent="0.25">
      <c r="A31" s="126"/>
      <c r="B31" s="133">
        <v>7</v>
      </c>
      <c r="C31" s="204"/>
      <c r="D31" s="205"/>
      <c r="E31" s="205"/>
      <c r="F31" s="205"/>
      <c r="G31" s="206"/>
      <c r="H31" s="269">
        <v>94</v>
      </c>
      <c r="I31" s="270"/>
      <c r="J31" s="271"/>
      <c r="K31" s="204"/>
      <c r="L31" s="205"/>
      <c r="M31" s="205"/>
      <c r="N31" s="205"/>
      <c r="O31" s="205"/>
      <c r="P31" s="206"/>
      <c r="Z31" s="125"/>
    </row>
    <row r="32" spans="1:26" ht="19.5" customHeight="1" x14ac:dyDescent="0.25">
      <c r="A32" s="126"/>
      <c r="B32" s="133">
        <v>8</v>
      </c>
      <c r="C32" s="204"/>
      <c r="D32" s="205"/>
      <c r="E32" s="205"/>
      <c r="F32" s="205"/>
      <c r="G32" s="206"/>
      <c r="H32" s="269">
        <v>98</v>
      </c>
      <c r="I32" s="270"/>
      <c r="J32" s="271"/>
      <c r="K32" s="204"/>
      <c r="L32" s="205"/>
      <c r="M32" s="205"/>
      <c r="N32" s="205"/>
      <c r="O32" s="205"/>
      <c r="P32" s="206"/>
      <c r="Z32" s="125"/>
    </row>
    <row r="33" spans="1:26" ht="19.5" customHeight="1" x14ac:dyDescent="0.25">
      <c r="A33" s="126"/>
      <c r="B33" s="133">
        <v>9</v>
      </c>
      <c r="C33" s="204"/>
      <c r="D33" s="205"/>
      <c r="E33" s="205"/>
      <c r="F33" s="205"/>
      <c r="G33" s="206"/>
      <c r="H33" s="269">
        <v>98</v>
      </c>
      <c r="I33" s="270"/>
      <c r="J33" s="271"/>
      <c r="K33" s="204"/>
      <c r="L33" s="205"/>
      <c r="M33" s="205"/>
      <c r="N33" s="205"/>
      <c r="O33" s="205"/>
      <c r="P33" s="206"/>
      <c r="Z33" s="125"/>
    </row>
    <row r="34" spans="1:26" ht="19.5" customHeight="1" x14ac:dyDescent="0.25">
      <c r="A34" s="126"/>
      <c r="B34" s="133">
        <v>10</v>
      </c>
      <c r="C34" s="204"/>
      <c r="D34" s="205"/>
      <c r="E34" s="205"/>
      <c r="F34" s="205"/>
      <c r="G34" s="206"/>
      <c r="H34" s="269">
        <v>85</v>
      </c>
      <c r="I34" s="270"/>
      <c r="J34" s="271"/>
      <c r="K34" s="204"/>
      <c r="L34" s="205"/>
      <c r="M34" s="205"/>
      <c r="N34" s="205"/>
      <c r="O34" s="205"/>
      <c r="P34" s="206"/>
      <c r="Z34" s="125"/>
    </row>
    <row r="35" spans="1:26" ht="19.5" customHeight="1" x14ac:dyDescent="0.25">
      <c r="A35" s="126"/>
      <c r="B35" s="133">
        <v>11</v>
      </c>
      <c r="C35" s="204"/>
      <c r="D35" s="205"/>
      <c r="E35" s="205"/>
      <c r="F35" s="205"/>
      <c r="G35" s="206"/>
      <c r="H35" s="269">
        <v>107</v>
      </c>
      <c r="I35" s="270"/>
      <c r="J35" s="271"/>
      <c r="K35" s="204"/>
      <c r="L35" s="205"/>
      <c r="M35" s="205"/>
      <c r="N35" s="205"/>
      <c r="O35" s="205"/>
      <c r="P35" s="206"/>
      <c r="Z35" s="125"/>
    </row>
    <row r="36" spans="1:26" ht="19.5" customHeight="1" x14ac:dyDescent="0.25">
      <c r="A36" s="126"/>
      <c r="B36" s="133">
        <v>12</v>
      </c>
      <c r="C36" s="204"/>
      <c r="D36" s="205"/>
      <c r="E36" s="205"/>
      <c r="F36" s="205"/>
      <c r="G36" s="206"/>
      <c r="H36" s="269">
        <v>91</v>
      </c>
      <c r="I36" s="270"/>
      <c r="J36" s="271"/>
      <c r="K36" s="204"/>
      <c r="L36" s="205"/>
      <c r="M36" s="205"/>
      <c r="N36" s="205"/>
      <c r="O36" s="205"/>
      <c r="P36" s="206"/>
      <c r="Z36" s="125"/>
    </row>
    <row r="37" spans="1:26" ht="19.5" customHeight="1" x14ac:dyDescent="0.25">
      <c r="A37" s="126"/>
      <c r="B37" s="133">
        <v>13</v>
      </c>
      <c r="C37" s="204"/>
      <c r="D37" s="205"/>
      <c r="E37" s="205"/>
      <c r="F37" s="205"/>
      <c r="G37" s="206"/>
      <c r="H37" s="269">
        <v>86</v>
      </c>
      <c r="I37" s="270"/>
      <c r="J37" s="271"/>
      <c r="K37" s="204"/>
      <c r="L37" s="205"/>
      <c r="M37" s="205"/>
      <c r="N37" s="205"/>
      <c r="O37" s="205"/>
      <c r="P37" s="206"/>
      <c r="Z37" s="125"/>
    </row>
    <row r="38" spans="1:26" ht="19.5" customHeight="1" x14ac:dyDescent="0.25">
      <c r="A38" s="126"/>
      <c r="B38" s="133">
        <v>14</v>
      </c>
      <c r="C38" s="204"/>
      <c r="D38" s="205"/>
      <c r="E38" s="205"/>
      <c r="F38" s="205"/>
      <c r="G38" s="206"/>
      <c r="H38" s="269">
        <v>108</v>
      </c>
      <c r="I38" s="270"/>
      <c r="J38" s="271"/>
      <c r="K38" s="204"/>
      <c r="L38" s="205"/>
      <c r="M38" s="205"/>
      <c r="N38" s="205"/>
      <c r="O38" s="205"/>
      <c r="P38" s="206"/>
      <c r="Z38" s="125"/>
    </row>
    <row r="39" spans="1:26" ht="19.5" customHeight="1" x14ac:dyDescent="0.25">
      <c r="A39" s="126"/>
      <c r="B39" s="133">
        <v>15</v>
      </c>
      <c r="C39" s="204"/>
      <c r="D39" s="205"/>
      <c r="E39" s="205"/>
      <c r="F39" s="205"/>
      <c r="G39" s="206"/>
      <c r="H39" s="269">
        <v>55</v>
      </c>
      <c r="I39" s="270"/>
      <c r="J39" s="271"/>
      <c r="K39" s="204"/>
      <c r="L39" s="205"/>
      <c r="M39" s="205"/>
      <c r="N39" s="205"/>
      <c r="O39" s="205"/>
      <c r="P39" s="206"/>
      <c r="Z39" s="125"/>
    </row>
    <row r="40" spans="1:26" ht="19.5" customHeight="1" x14ac:dyDescent="0.25">
      <c r="A40" s="126"/>
      <c r="B40" s="133">
        <v>16</v>
      </c>
      <c r="C40" s="204"/>
      <c r="D40" s="205"/>
      <c r="E40" s="205"/>
      <c r="F40" s="205"/>
      <c r="G40" s="206"/>
      <c r="H40" s="269">
        <v>78</v>
      </c>
      <c r="I40" s="270"/>
      <c r="J40" s="271"/>
      <c r="K40" s="204"/>
      <c r="L40" s="205"/>
      <c r="M40" s="205"/>
      <c r="N40" s="205"/>
      <c r="O40" s="205"/>
      <c r="P40" s="206"/>
      <c r="Z40" s="125"/>
    </row>
    <row r="41" spans="1:26" ht="19.5" customHeight="1" x14ac:dyDescent="0.25">
      <c r="A41" s="126"/>
      <c r="B41" s="133">
        <v>17</v>
      </c>
      <c r="C41" s="204"/>
      <c r="D41" s="205"/>
      <c r="E41" s="205"/>
      <c r="F41" s="205"/>
      <c r="G41" s="206"/>
      <c r="H41" s="269">
        <v>74</v>
      </c>
      <c r="I41" s="270"/>
      <c r="J41" s="271"/>
      <c r="K41" s="204"/>
      <c r="L41" s="205"/>
      <c r="M41" s="205"/>
      <c r="N41" s="205"/>
      <c r="O41" s="205"/>
      <c r="P41" s="206"/>
      <c r="Z41" s="125"/>
    </row>
    <row r="42" spans="1:26" ht="19.5" customHeight="1" x14ac:dyDescent="0.25">
      <c r="A42" s="126"/>
      <c r="B42" s="133">
        <v>18</v>
      </c>
      <c r="C42" s="204"/>
      <c r="D42" s="205"/>
      <c r="E42" s="205"/>
      <c r="F42" s="205"/>
      <c r="G42" s="206"/>
      <c r="H42" s="269">
        <v>89</v>
      </c>
      <c r="I42" s="270"/>
      <c r="J42" s="271"/>
      <c r="K42" s="204"/>
      <c r="L42" s="205"/>
      <c r="M42" s="205"/>
      <c r="N42" s="205"/>
      <c r="O42" s="205"/>
      <c r="P42" s="206"/>
      <c r="Z42" s="125"/>
    </row>
    <row r="43" spans="1:26" ht="19.5" customHeight="1" x14ac:dyDescent="0.25">
      <c r="A43" s="126"/>
      <c r="B43" s="133">
        <v>19</v>
      </c>
      <c r="C43" s="204"/>
      <c r="D43" s="205"/>
      <c r="E43" s="205"/>
      <c r="F43" s="205"/>
      <c r="G43" s="206"/>
      <c r="H43" s="269">
        <v>92</v>
      </c>
      <c r="I43" s="270"/>
      <c r="J43" s="271"/>
      <c r="K43" s="204"/>
      <c r="L43" s="205"/>
      <c r="M43" s="205"/>
      <c r="N43" s="205"/>
      <c r="O43" s="205"/>
      <c r="P43" s="206"/>
      <c r="Z43" s="125"/>
    </row>
    <row r="44" spans="1:26" ht="19.5" customHeight="1" x14ac:dyDescent="0.25">
      <c r="A44" s="126"/>
      <c r="B44" s="133">
        <v>20</v>
      </c>
      <c r="C44" s="204"/>
      <c r="D44" s="205"/>
      <c r="E44" s="205"/>
      <c r="F44" s="205"/>
      <c r="G44" s="206"/>
      <c r="H44" s="269">
        <v>75</v>
      </c>
      <c r="I44" s="270"/>
      <c r="J44" s="271"/>
      <c r="K44" s="204"/>
      <c r="L44" s="205"/>
      <c r="M44" s="205"/>
      <c r="N44" s="205"/>
      <c r="O44" s="205"/>
      <c r="P44" s="206"/>
      <c r="Z44" s="125"/>
    </row>
    <row r="45" spans="1:26" ht="19.5" customHeight="1" x14ac:dyDescent="0.25">
      <c r="A45" s="126"/>
      <c r="B45" s="133">
        <v>21</v>
      </c>
      <c r="C45" s="204"/>
      <c r="D45" s="205"/>
      <c r="E45" s="205"/>
      <c r="F45" s="205"/>
      <c r="G45" s="206"/>
      <c r="H45" s="269">
        <v>88</v>
      </c>
      <c r="I45" s="270"/>
      <c r="J45" s="271"/>
      <c r="K45" s="204"/>
      <c r="L45" s="205"/>
      <c r="M45" s="205"/>
      <c r="N45" s="205"/>
      <c r="O45" s="205"/>
      <c r="P45" s="206"/>
      <c r="Z45" s="125"/>
    </row>
    <row r="46" spans="1:26" ht="19.5" customHeight="1" x14ac:dyDescent="0.25">
      <c r="A46" s="126"/>
      <c r="B46" s="459"/>
      <c r="C46" s="129"/>
      <c r="D46" s="128"/>
      <c r="E46" s="128"/>
      <c r="F46" s="128"/>
      <c r="G46" s="127"/>
      <c r="H46" s="132"/>
      <c r="I46" s="131"/>
      <c r="J46" s="130"/>
      <c r="K46" s="129"/>
      <c r="L46" s="128"/>
      <c r="M46" s="128"/>
      <c r="N46" s="128"/>
      <c r="O46" s="128"/>
      <c r="P46" s="127"/>
      <c r="Z46" s="125"/>
    </row>
    <row r="47" spans="1:26" ht="19.5" customHeight="1" x14ac:dyDescent="0.25">
      <c r="A47" s="126"/>
      <c r="B47" s="459"/>
      <c r="C47" s="129"/>
      <c r="D47" s="128"/>
      <c r="E47" s="128"/>
      <c r="F47" s="128"/>
      <c r="G47" s="127"/>
      <c r="H47" s="132"/>
      <c r="I47" s="131"/>
      <c r="J47" s="130"/>
      <c r="K47" s="129"/>
      <c r="L47" s="128"/>
      <c r="M47" s="128"/>
      <c r="N47" s="128"/>
      <c r="O47" s="128"/>
      <c r="P47" s="127"/>
      <c r="Z47" s="125"/>
    </row>
    <row r="48" spans="1:26" ht="19.5" customHeight="1" x14ac:dyDescent="0.25">
      <c r="A48" s="126"/>
      <c r="B48" s="459"/>
      <c r="C48" s="129"/>
      <c r="D48" s="128"/>
      <c r="E48" s="128"/>
      <c r="F48" s="128"/>
      <c r="G48" s="127"/>
      <c r="H48" s="132"/>
      <c r="I48" s="131"/>
      <c r="J48" s="130"/>
      <c r="K48" s="129"/>
      <c r="L48" s="128"/>
      <c r="M48" s="128"/>
      <c r="N48" s="128"/>
      <c r="O48" s="128"/>
      <c r="P48" s="127"/>
      <c r="Z48" s="125"/>
    </row>
    <row r="49" spans="1:26" ht="19.5" customHeight="1" x14ac:dyDescent="0.25">
      <c r="A49" s="126"/>
      <c r="B49" s="459"/>
      <c r="C49" s="129"/>
      <c r="D49" s="128"/>
      <c r="E49" s="128"/>
      <c r="F49" s="128"/>
      <c r="G49" s="127"/>
      <c r="H49" s="132"/>
      <c r="I49" s="131"/>
      <c r="J49" s="130"/>
      <c r="K49" s="129"/>
      <c r="L49" s="128"/>
      <c r="M49" s="128"/>
      <c r="N49" s="128"/>
      <c r="O49" s="128"/>
      <c r="P49" s="127"/>
      <c r="Z49" s="125"/>
    </row>
    <row r="50" spans="1:26" ht="19.5" customHeight="1" x14ac:dyDescent="0.25">
      <c r="A50" s="126"/>
      <c r="B50" s="459"/>
      <c r="C50" s="129"/>
      <c r="D50" s="128"/>
      <c r="E50" s="128"/>
      <c r="F50" s="128"/>
      <c r="G50" s="127"/>
      <c r="H50" s="132"/>
      <c r="I50" s="131"/>
      <c r="J50" s="130"/>
      <c r="K50" s="129"/>
      <c r="L50" s="128"/>
      <c r="M50" s="128"/>
      <c r="N50" s="128"/>
      <c r="O50" s="128"/>
      <c r="P50" s="127"/>
      <c r="Z50" s="125"/>
    </row>
    <row r="51" spans="1:26" ht="19.5" customHeight="1" x14ac:dyDescent="0.25">
      <c r="A51" s="126"/>
      <c r="B51" s="459"/>
      <c r="C51" s="129"/>
      <c r="D51" s="128"/>
      <c r="E51" s="128"/>
      <c r="F51" s="128"/>
      <c r="G51" s="127"/>
      <c r="H51" s="132"/>
      <c r="I51" s="131"/>
      <c r="J51" s="130"/>
      <c r="K51" s="129"/>
      <c r="L51" s="128"/>
      <c r="M51" s="128"/>
      <c r="N51" s="128"/>
      <c r="O51" s="128"/>
      <c r="P51" s="127"/>
      <c r="Z51" s="125"/>
    </row>
    <row r="52" spans="1:26" ht="19.5" customHeight="1" x14ac:dyDescent="0.25">
      <c r="A52" s="126"/>
      <c r="B52" s="459"/>
      <c r="C52" s="129"/>
      <c r="D52" s="128"/>
      <c r="E52" s="128"/>
      <c r="F52" s="128"/>
      <c r="G52" s="127"/>
      <c r="H52" s="132"/>
      <c r="I52" s="131"/>
      <c r="J52" s="130"/>
      <c r="K52" s="129"/>
      <c r="L52" s="128"/>
      <c r="M52" s="128"/>
      <c r="N52" s="128"/>
      <c r="O52" s="128"/>
      <c r="P52" s="127"/>
      <c r="Z52" s="125"/>
    </row>
    <row r="53" spans="1:26" ht="19.5" customHeight="1" x14ac:dyDescent="0.25">
      <c r="A53" s="126"/>
      <c r="B53" s="459"/>
      <c r="C53" s="129"/>
      <c r="D53" s="128"/>
      <c r="E53" s="128"/>
      <c r="F53" s="128"/>
      <c r="G53" s="127"/>
      <c r="H53" s="132"/>
      <c r="I53" s="131"/>
      <c r="J53" s="130"/>
      <c r="K53" s="129"/>
      <c r="L53" s="128"/>
      <c r="M53" s="128"/>
      <c r="N53" s="128"/>
      <c r="O53" s="128"/>
      <c r="P53" s="127"/>
      <c r="Z53" s="125"/>
    </row>
    <row r="54" spans="1:26" ht="19.5" customHeight="1" thickBot="1" x14ac:dyDescent="0.3">
      <c r="A54" s="126"/>
      <c r="B54" s="458"/>
      <c r="C54" s="454"/>
      <c r="D54" s="453"/>
      <c r="E54" s="453"/>
      <c r="F54" s="453"/>
      <c r="G54" s="452"/>
      <c r="H54" s="457"/>
      <c r="I54" s="456"/>
      <c r="J54" s="455"/>
      <c r="K54" s="454"/>
      <c r="L54" s="453"/>
      <c r="M54" s="453"/>
      <c r="N54" s="453"/>
      <c r="O54" s="453"/>
      <c r="P54" s="452"/>
      <c r="Z54" s="125"/>
    </row>
    <row r="55" spans="1:26" ht="15.75" customHeight="1" x14ac:dyDescent="0.25">
      <c r="A55" s="126"/>
      <c r="B55" s="278" t="s">
        <v>42</v>
      </c>
      <c r="C55" s="279"/>
      <c r="D55" s="279"/>
      <c r="E55" s="279"/>
      <c r="F55" s="279"/>
      <c r="G55" s="280"/>
      <c r="H55" s="227">
        <f>AVERAGE(H25:J54)</f>
        <v>95.19047619047619</v>
      </c>
      <c r="I55" s="228"/>
      <c r="J55" s="229"/>
      <c r="K55" s="212" t="s">
        <v>81</v>
      </c>
      <c r="L55" s="213"/>
      <c r="M55" s="207" t="s">
        <v>44</v>
      </c>
      <c r="N55" s="207"/>
      <c r="O55" s="207"/>
      <c r="P55" s="208"/>
      <c r="Z55" s="125"/>
    </row>
    <row r="56" spans="1:26" ht="15.75" customHeight="1" x14ac:dyDescent="0.25">
      <c r="A56" s="126"/>
      <c r="B56" s="272" t="s">
        <v>45</v>
      </c>
      <c r="C56" s="273"/>
      <c r="D56" s="273"/>
      <c r="E56" s="273"/>
      <c r="F56" s="273"/>
      <c r="G56" s="274"/>
      <c r="H56" s="187">
        <f>IF(COUNTIF(H25:J54,"*&lt;20*"),"&lt;20",MIN(H25:J54))</f>
        <v>55</v>
      </c>
      <c r="I56" s="188"/>
      <c r="J56" s="189"/>
      <c r="K56" s="214"/>
      <c r="L56" s="215"/>
      <c r="M56" s="180"/>
      <c r="N56" s="180"/>
      <c r="O56" s="180"/>
      <c r="P56" s="209"/>
      <c r="Z56" s="125"/>
    </row>
    <row r="57" spans="1:26" ht="15.75" customHeight="1" thickBot="1" x14ac:dyDescent="0.3">
      <c r="A57" s="126"/>
      <c r="B57" s="275" t="s">
        <v>46</v>
      </c>
      <c r="C57" s="276"/>
      <c r="D57" s="276"/>
      <c r="E57" s="276"/>
      <c r="F57" s="276"/>
      <c r="G57" s="277"/>
      <c r="H57" s="224">
        <f>IF(COUNTIF(H25:J54,"*&gt;250*"),"&gt;250",MAX(H25:J54))</f>
        <v>151</v>
      </c>
      <c r="I57" s="225"/>
      <c r="J57" s="226"/>
      <c r="K57" s="216"/>
      <c r="L57" s="217"/>
      <c r="M57" s="210"/>
      <c r="N57" s="210"/>
      <c r="O57" s="210"/>
      <c r="P57" s="211"/>
      <c r="Z57" s="125"/>
    </row>
    <row r="58" spans="1:26" ht="15.9" customHeight="1" x14ac:dyDescent="0.25">
      <c r="A58" s="124"/>
      <c r="B58" s="123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1"/>
    </row>
    <row r="59" spans="1:26" ht="12.75" customHeight="1" x14ac:dyDescent="0.25">
      <c r="A59" s="120"/>
      <c r="B59" s="119"/>
    </row>
    <row r="60" spans="1:26" s="94" customFormat="1" ht="15.6" customHeight="1" x14ac:dyDescent="0.25">
      <c r="A60" s="118" t="s">
        <v>80</v>
      </c>
      <c r="B60" s="117" t="s">
        <v>79</v>
      </c>
      <c r="C60" s="116"/>
      <c r="D60" s="116"/>
      <c r="E60" s="116"/>
      <c r="F60" s="115"/>
      <c r="G60" s="115"/>
      <c r="H60" s="115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3"/>
      <c r="V60" s="112"/>
      <c r="W60" s="112"/>
      <c r="X60" s="111"/>
      <c r="Y60" s="111"/>
      <c r="Z60" s="110"/>
    </row>
    <row r="61" spans="1:26" s="94" customFormat="1" ht="28.5" customHeight="1" x14ac:dyDescent="0.25">
      <c r="A61" s="192" t="s">
        <v>78</v>
      </c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4"/>
      <c r="R61" s="172" t="s">
        <v>50</v>
      </c>
      <c r="S61" s="173"/>
      <c r="T61" s="174"/>
      <c r="U61" s="162" t="s">
        <v>12</v>
      </c>
      <c r="V61" s="163"/>
      <c r="W61" s="163"/>
      <c r="X61" s="164"/>
      <c r="Y61" s="164"/>
      <c r="Z61" s="165"/>
    </row>
    <row r="62" spans="1:26" s="94" customFormat="1" ht="15.6" customHeight="1" x14ac:dyDescent="0.25">
      <c r="A62" s="166" t="s">
        <v>77</v>
      </c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8"/>
      <c r="R62" s="172" t="s">
        <v>51</v>
      </c>
      <c r="S62" s="173"/>
      <c r="T62" s="174"/>
      <c r="U62" s="175" t="s">
        <v>52</v>
      </c>
      <c r="V62" s="176"/>
      <c r="W62" s="176"/>
      <c r="X62" s="177"/>
      <c r="Y62" s="177"/>
      <c r="Z62" s="178"/>
    </row>
    <row r="63" spans="1:26" s="94" customFormat="1" ht="15.6" customHeight="1" x14ac:dyDescent="0.25">
      <c r="A63" s="169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1"/>
      <c r="R63" s="172"/>
      <c r="S63" s="173"/>
      <c r="T63" s="174"/>
      <c r="U63" s="179"/>
      <c r="V63" s="180"/>
      <c r="W63" s="180"/>
      <c r="X63" s="181"/>
      <c r="Y63" s="181"/>
      <c r="Z63" s="182"/>
    </row>
    <row r="64" spans="1:26" s="94" customFormat="1" ht="15.6" customHeight="1" x14ac:dyDescent="0.25">
      <c r="A64" s="109" t="s">
        <v>47</v>
      </c>
      <c r="B64" s="108" t="s">
        <v>54</v>
      </c>
      <c r="C64" s="92"/>
      <c r="D64" s="92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6"/>
      <c r="R64" s="172"/>
      <c r="S64" s="173"/>
      <c r="T64" s="174"/>
      <c r="U64" s="183"/>
      <c r="V64" s="184"/>
      <c r="W64" s="184"/>
      <c r="X64" s="185"/>
      <c r="Y64" s="185"/>
      <c r="Z64" s="186"/>
    </row>
    <row r="65" spans="1:26" s="94" customFormat="1" ht="15.6" customHeight="1" x14ac:dyDescent="0.25">
      <c r="A65" s="260"/>
      <c r="B65" s="261"/>
      <c r="C65" s="261"/>
      <c r="D65" s="261"/>
      <c r="E65" s="261"/>
      <c r="F65" s="261"/>
      <c r="G65" s="261"/>
      <c r="H65" s="261"/>
      <c r="I65" s="261"/>
      <c r="J65" s="261"/>
      <c r="K65" s="261"/>
      <c r="L65" s="261"/>
      <c r="M65" s="261"/>
      <c r="N65" s="261"/>
      <c r="O65" s="261"/>
      <c r="P65" s="261"/>
      <c r="Q65" s="262"/>
      <c r="R65" s="172" t="s">
        <v>55</v>
      </c>
      <c r="S65" s="173"/>
      <c r="T65" s="174"/>
      <c r="U65" s="105"/>
      <c r="V65" s="104"/>
      <c r="W65" s="104"/>
      <c r="X65" s="104"/>
      <c r="Y65" s="104"/>
      <c r="Z65" s="103"/>
    </row>
    <row r="66" spans="1:26" s="94" customFormat="1" ht="15.6" customHeight="1" x14ac:dyDescent="0.25">
      <c r="A66" s="260"/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  <c r="N66" s="261"/>
      <c r="O66" s="261"/>
      <c r="P66" s="261"/>
      <c r="Q66" s="262"/>
      <c r="R66" s="172"/>
      <c r="S66" s="173"/>
      <c r="T66" s="174"/>
      <c r="U66" s="102"/>
      <c r="V66" s="180"/>
      <c r="W66" s="180"/>
      <c r="X66" s="180"/>
      <c r="Y66" s="180"/>
      <c r="Z66" s="101"/>
    </row>
    <row r="67" spans="1:26" s="94" customFormat="1" ht="15.6" customHeight="1" x14ac:dyDescent="0.25">
      <c r="A67" s="260"/>
      <c r="B67" s="261"/>
      <c r="C67" s="261"/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2"/>
      <c r="R67" s="172"/>
      <c r="S67" s="173"/>
      <c r="T67" s="174"/>
      <c r="U67" s="102"/>
      <c r="V67" s="180"/>
      <c r="W67" s="180"/>
      <c r="X67" s="180"/>
      <c r="Y67" s="180"/>
      <c r="Z67" s="101"/>
    </row>
    <row r="68" spans="1:26" s="94" customFormat="1" ht="15.6" customHeight="1" x14ac:dyDescent="0.25">
      <c r="A68" s="263"/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5"/>
      <c r="R68" s="266"/>
      <c r="S68" s="267"/>
      <c r="T68" s="268"/>
      <c r="U68" s="100"/>
      <c r="V68" s="99"/>
      <c r="W68" s="99"/>
      <c r="X68" s="99"/>
      <c r="Y68" s="99"/>
      <c r="Z68" s="98"/>
    </row>
    <row r="69" spans="1:26" s="94" customFormat="1" ht="15" customHeight="1" x14ac:dyDescent="0.25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6"/>
      <c r="S69" s="96"/>
      <c r="T69" s="96"/>
      <c r="U69" s="95"/>
      <c r="V69" s="95"/>
      <c r="W69" s="95"/>
      <c r="X69" s="95"/>
      <c r="Y69" s="95"/>
      <c r="Z69" s="95"/>
    </row>
    <row r="71" spans="1:26" ht="12.75" customHeight="1" x14ac:dyDescent="0.25">
      <c r="A71" s="92"/>
    </row>
    <row r="72" spans="1:26" ht="12.75" customHeight="1" x14ac:dyDescent="0.25">
      <c r="A72" s="92"/>
    </row>
    <row r="73" spans="1:26" ht="12.75" customHeight="1" x14ac:dyDescent="0.25">
      <c r="A73" s="92"/>
    </row>
    <row r="74" spans="1:26" ht="12.75" customHeight="1" x14ac:dyDescent="0.25">
      <c r="A74" s="92"/>
    </row>
    <row r="75" spans="1:26" ht="12.75" customHeight="1" x14ac:dyDescent="0.25">
      <c r="A75" s="92"/>
    </row>
    <row r="76" spans="1:26" ht="12.75" customHeight="1" x14ac:dyDescent="0.25">
      <c r="A76" s="92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B17:H17"/>
    <mergeCell ref="B12:G12"/>
    <mergeCell ref="B11:G1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U61:Z61"/>
    <mergeCell ref="U62:Z64"/>
    <mergeCell ref="H57:J57"/>
    <mergeCell ref="H55:J55"/>
    <mergeCell ref="H56:J5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D5DC-A7E6-48D5-8F42-DE263D88FF93}">
  <sheetPr>
    <pageSetUpPr fitToPage="1"/>
  </sheetPr>
  <dimension ref="A1:AA82"/>
  <sheetViews>
    <sheetView topLeftCell="A51" workbookViewId="0">
      <selection activeCell="U67" sqref="U67:Z74"/>
    </sheetView>
  </sheetViews>
  <sheetFormatPr baseColWidth="10" defaultColWidth="11.44140625" defaultRowHeight="12.75" customHeight="1" x14ac:dyDescent="0.25"/>
  <cols>
    <col min="1" max="1" width="5.109375" style="93" customWidth="1"/>
    <col min="2" max="26" width="5.109375" style="92" customWidth="1"/>
    <col min="27" max="27" width="11.44140625" style="92"/>
    <col min="28" max="16384" width="11.44140625" style="91"/>
  </cols>
  <sheetData>
    <row r="1" spans="1:26" ht="12.75" customHeight="1" x14ac:dyDescent="0.25">
      <c r="A1" s="241"/>
      <c r="B1" s="242"/>
      <c r="C1" s="242"/>
      <c r="D1" s="242"/>
      <c r="E1" s="242"/>
      <c r="F1" s="243"/>
      <c r="G1" s="250" t="s">
        <v>0</v>
      </c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2"/>
      <c r="U1" s="195" t="s">
        <v>88</v>
      </c>
      <c r="V1" s="196"/>
      <c r="W1" s="196"/>
      <c r="X1" s="196"/>
      <c r="Y1" s="196"/>
      <c r="Z1" s="197"/>
    </row>
    <row r="2" spans="1:26" ht="12.75" customHeight="1" x14ac:dyDescent="0.25">
      <c r="A2" s="244"/>
      <c r="B2" s="245"/>
      <c r="C2" s="245"/>
      <c r="D2" s="245"/>
      <c r="E2" s="245"/>
      <c r="F2" s="246"/>
      <c r="G2" s="253" t="s">
        <v>1</v>
      </c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5"/>
      <c r="U2" s="198"/>
      <c r="V2" s="199"/>
      <c r="W2" s="199"/>
      <c r="X2" s="199"/>
      <c r="Y2" s="199"/>
      <c r="Z2" s="200"/>
    </row>
    <row r="3" spans="1:26" ht="12.75" customHeight="1" x14ac:dyDescent="0.25">
      <c r="A3" s="244"/>
      <c r="B3" s="245"/>
      <c r="C3" s="245"/>
      <c r="D3" s="245"/>
      <c r="E3" s="245"/>
      <c r="F3" s="246"/>
      <c r="G3" s="253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5"/>
      <c r="U3" s="198"/>
      <c r="V3" s="199"/>
      <c r="W3" s="199"/>
      <c r="X3" s="199"/>
      <c r="Y3" s="199"/>
      <c r="Z3" s="200"/>
    </row>
    <row r="4" spans="1:26" ht="12.75" customHeight="1" x14ac:dyDescent="0.25">
      <c r="A4" s="244"/>
      <c r="B4" s="245"/>
      <c r="C4" s="245"/>
      <c r="D4" s="245"/>
      <c r="E4" s="245"/>
      <c r="F4" s="246"/>
      <c r="G4" s="253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5"/>
      <c r="U4" s="198"/>
      <c r="V4" s="199"/>
      <c r="W4" s="199"/>
      <c r="X4" s="199"/>
      <c r="Y4" s="199"/>
      <c r="Z4" s="200"/>
    </row>
    <row r="5" spans="1:26" ht="12.75" customHeight="1" x14ac:dyDescent="0.25">
      <c r="A5" s="244"/>
      <c r="B5" s="245"/>
      <c r="C5" s="245"/>
      <c r="D5" s="245"/>
      <c r="E5" s="245"/>
      <c r="F5" s="246"/>
      <c r="G5" s="256" t="s">
        <v>2</v>
      </c>
      <c r="H5" s="257"/>
      <c r="I5" s="231">
        <v>3</v>
      </c>
      <c r="J5" s="231"/>
      <c r="K5" s="232"/>
      <c r="L5" s="234" t="s">
        <v>87</v>
      </c>
      <c r="M5" s="235"/>
      <c r="N5" s="235"/>
      <c r="O5" s="236"/>
      <c r="P5" s="237" t="s">
        <v>84</v>
      </c>
      <c r="Q5" s="238"/>
      <c r="R5" s="238"/>
      <c r="S5" s="238"/>
      <c r="T5" s="239"/>
      <c r="U5" s="198"/>
      <c r="V5" s="199"/>
      <c r="W5" s="199"/>
      <c r="X5" s="199"/>
      <c r="Y5" s="199"/>
      <c r="Z5" s="200"/>
    </row>
    <row r="6" spans="1:26" ht="12.75" customHeight="1" x14ac:dyDescent="0.25">
      <c r="A6" s="247"/>
      <c r="B6" s="248"/>
      <c r="C6" s="248"/>
      <c r="D6" s="248"/>
      <c r="E6" s="248"/>
      <c r="F6" s="249"/>
      <c r="G6" s="161"/>
      <c r="H6" s="122"/>
      <c r="I6" s="233" t="s">
        <v>4</v>
      </c>
      <c r="J6" s="233"/>
      <c r="K6" s="233"/>
      <c r="L6" s="233" t="s">
        <v>5</v>
      </c>
      <c r="M6" s="233"/>
      <c r="N6" s="233"/>
      <c r="O6" s="233"/>
      <c r="P6" s="233" t="s">
        <v>6</v>
      </c>
      <c r="Q6" s="233"/>
      <c r="R6" s="233"/>
      <c r="S6" s="233"/>
      <c r="T6" s="240"/>
      <c r="U6" s="201"/>
      <c r="V6" s="202"/>
      <c r="W6" s="202"/>
      <c r="X6" s="202"/>
      <c r="Y6" s="202"/>
      <c r="Z6" s="203"/>
    </row>
    <row r="7" spans="1:26" ht="36.6" customHeight="1" x14ac:dyDescent="0.25">
      <c r="A7" s="258" t="s">
        <v>7</v>
      </c>
      <c r="B7" s="258"/>
      <c r="C7" s="258"/>
      <c r="D7" s="258"/>
      <c r="E7" s="258"/>
      <c r="F7" s="258"/>
      <c r="G7" s="259" t="s">
        <v>86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</row>
    <row r="8" spans="1:26" ht="15.9" customHeight="1" x14ac:dyDescent="0.25">
      <c r="A8" s="140" t="s">
        <v>9</v>
      </c>
      <c r="B8" s="117" t="s">
        <v>10</v>
      </c>
      <c r="C8" s="114"/>
      <c r="D8" s="160"/>
      <c r="E8" s="160"/>
      <c r="F8" s="160"/>
      <c r="G8" s="160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36"/>
    </row>
    <row r="9" spans="1:26" ht="8.25" customHeight="1" x14ac:dyDescent="0.25">
      <c r="A9" s="126"/>
      <c r="D9" s="93"/>
      <c r="E9" s="93"/>
      <c r="F9" s="93"/>
      <c r="G9" s="93"/>
      <c r="Z9" s="125"/>
    </row>
    <row r="10" spans="1:26" ht="15.9" customHeight="1" x14ac:dyDescent="0.25">
      <c r="A10" s="126"/>
      <c r="B10" s="191" t="s">
        <v>11</v>
      </c>
      <c r="C10" s="191"/>
      <c r="D10" s="191"/>
      <c r="E10" s="191"/>
      <c r="F10" s="191"/>
      <c r="G10" s="191"/>
      <c r="H10" s="230" t="s">
        <v>12</v>
      </c>
      <c r="I10" s="230"/>
      <c r="J10" s="230"/>
      <c r="K10" s="230"/>
      <c r="L10" s="230"/>
      <c r="M10" s="230"/>
      <c r="N10" s="191" t="s">
        <v>13</v>
      </c>
      <c r="O10" s="191"/>
      <c r="P10" s="191"/>
      <c r="Q10" s="191"/>
      <c r="R10" s="191"/>
      <c r="S10" s="218" t="s">
        <v>85</v>
      </c>
      <c r="T10" s="218"/>
      <c r="U10" s="218"/>
      <c r="V10" s="218"/>
      <c r="W10" s="218"/>
      <c r="X10" s="218"/>
      <c r="Y10" s="218"/>
      <c r="Z10" s="159"/>
    </row>
    <row r="11" spans="1:26" ht="15.9" customHeight="1" x14ac:dyDescent="0.25">
      <c r="A11" s="126"/>
      <c r="B11" s="191" t="s">
        <v>15</v>
      </c>
      <c r="C11" s="191"/>
      <c r="D11" s="191"/>
      <c r="E11" s="191"/>
      <c r="F11" s="191"/>
      <c r="G11" s="191"/>
      <c r="H11" s="230" t="s">
        <v>84</v>
      </c>
      <c r="I11" s="230"/>
      <c r="J11" s="230"/>
      <c r="K11" s="230"/>
      <c r="L11" s="230"/>
      <c r="M11" s="230"/>
      <c r="N11" s="191" t="s">
        <v>16</v>
      </c>
      <c r="O11" s="191"/>
      <c r="P11" s="191"/>
      <c r="Q11" s="191"/>
      <c r="R11" s="191"/>
      <c r="S11" s="218" t="s">
        <v>17</v>
      </c>
      <c r="T11" s="218"/>
      <c r="U11" s="218"/>
      <c r="V11" s="218"/>
      <c r="W11" s="218"/>
      <c r="X11" s="218"/>
      <c r="Y11" s="218"/>
      <c r="Z11" s="159"/>
    </row>
    <row r="12" spans="1:26" ht="15.9" customHeight="1" x14ac:dyDescent="0.25">
      <c r="A12" s="126"/>
      <c r="B12" s="191" t="s">
        <v>18</v>
      </c>
      <c r="C12" s="191"/>
      <c r="D12" s="191"/>
      <c r="E12" s="191"/>
      <c r="F12" s="191"/>
      <c r="G12" s="191"/>
      <c r="H12" s="230" t="s">
        <v>83</v>
      </c>
      <c r="I12" s="230"/>
      <c r="J12" s="230"/>
      <c r="K12" s="230"/>
      <c r="L12" s="230"/>
      <c r="M12" s="230"/>
      <c r="N12" s="191" t="s">
        <v>20</v>
      </c>
      <c r="O12" s="191"/>
      <c r="P12" s="191"/>
      <c r="Q12" s="191"/>
      <c r="R12" s="191"/>
      <c r="S12" s="218" t="s">
        <v>82</v>
      </c>
      <c r="T12" s="218"/>
      <c r="U12" s="218"/>
      <c r="V12" s="218"/>
      <c r="W12" s="218"/>
      <c r="X12" s="218"/>
      <c r="Y12" s="218"/>
      <c r="Z12" s="159"/>
    </row>
    <row r="13" spans="1:26" ht="8.25" customHeight="1" x14ac:dyDescent="0.25">
      <c r="A13" s="158"/>
      <c r="B13" s="122"/>
      <c r="C13" s="122"/>
      <c r="D13" s="157"/>
      <c r="E13" s="157"/>
      <c r="F13" s="157"/>
      <c r="G13" s="157"/>
      <c r="H13" s="122"/>
      <c r="I13" s="122"/>
      <c r="J13" s="122"/>
      <c r="K13" s="122"/>
      <c r="L13" s="122"/>
      <c r="M13" s="122"/>
      <c r="N13" s="156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1"/>
    </row>
    <row r="14" spans="1:26" s="94" customFormat="1" ht="15" customHeight="1" x14ac:dyDescent="0.25">
      <c r="B14" s="154"/>
      <c r="C14" s="154"/>
      <c r="K14" s="155"/>
      <c r="L14" s="154"/>
      <c r="M14" s="153"/>
    </row>
    <row r="15" spans="1:26" s="94" customFormat="1" ht="15.6" customHeight="1" x14ac:dyDescent="0.25">
      <c r="A15" s="140" t="s">
        <v>22</v>
      </c>
      <c r="B15" s="152" t="s">
        <v>23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0"/>
    </row>
    <row r="16" spans="1:26" s="94" customFormat="1" ht="15" customHeight="1" x14ac:dyDescent="0.25">
      <c r="A16" s="147"/>
      <c r="B16" s="149"/>
      <c r="Z16" s="148"/>
    </row>
    <row r="17" spans="1:26" s="94" customFormat="1" ht="15" customHeight="1" x14ac:dyDescent="0.25">
      <c r="A17" s="147"/>
      <c r="B17" s="190" t="s">
        <v>24</v>
      </c>
      <c r="C17" s="190"/>
      <c r="D17" s="190"/>
      <c r="E17" s="190"/>
      <c r="F17" s="190"/>
      <c r="G17" s="190"/>
      <c r="H17" s="190"/>
      <c r="I17" s="223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145"/>
    </row>
    <row r="18" spans="1:26" s="94" customFormat="1" ht="15" customHeight="1" x14ac:dyDescent="0.25">
      <c r="A18" s="147"/>
      <c r="B18" s="190" t="s">
        <v>25</v>
      </c>
      <c r="C18" s="190"/>
      <c r="D18" s="190"/>
      <c r="E18" s="190"/>
      <c r="F18" s="190"/>
      <c r="G18" s="190"/>
      <c r="H18" s="190"/>
      <c r="I18" s="281" t="s">
        <v>26</v>
      </c>
      <c r="J18" s="281"/>
      <c r="K18" s="146">
        <v>50</v>
      </c>
      <c r="L18" s="146" t="s">
        <v>27</v>
      </c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5"/>
    </row>
    <row r="19" spans="1:26" s="94" customFormat="1" ht="13.2" customHeight="1" x14ac:dyDescent="0.25">
      <c r="A19" s="144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6" ht="12.75" customHeight="1" x14ac:dyDescent="0.25">
      <c r="D20" s="93"/>
      <c r="E20" s="93"/>
      <c r="F20" s="93"/>
      <c r="G20" s="93"/>
      <c r="N20" s="141"/>
    </row>
    <row r="21" spans="1:26" ht="15.9" customHeight="1" x14ac:dyDescent="0.25">
      <c r="A21" s="140" t="s">
        <v>28</v>
      </c>
      <c r="B21" s="139" t="s">
        <v>29</v>
      </c>
      <c r="C21" s="137"/>
      <c r="D21" s="138"/>
      <c r="E21" s="138"/>
      <c r="F21" s="138"/>
      <c r="G21" s="138"/>
      <c r="H21" s="137"/>
      <c r="I21" s="137"/>
      <c r="J21" s="290" t="s">
        <v>30</v>
      </c>
      <c r="K21" s="290"/>
      <c r="L21" s="290"/>
      <c r="M21" s="290"/>
      <c r="N21" s="290"/>
      <c r="O21" s="290"/>
      <c r="P21" s="290"/>
      <c r="Q21" s="134">
        <v>600</v>
      </c>
      <c r="R21" s="114"/>
      <c r="S21" s="114"/>
      <c r="T21" s="114"/>
      <c r="U21" s="114"/>
      <c r="V21" s="114"/>
      <c r="W21" s="114"/>
      <c r="X21" s="114"/>
      <c r="Y21" s="114"/>
      <c r="Z21" s="136"/>
    </row>
    <row r="22" spans="1:26" ht="12.75" customHeight="1" x14ac:dyDescent="0.25">
      <c r="A22" s="126"/>
      <c r="B22" s="135"/>
      <c r="Z22" s="125"/>
    </row>
    <row r="23" spans="1:26" ht="15.75" customHeight="1" x14ac:dyDescent="0.25">
      <c r="A23" s="126"/>
      <c r="B23" s="288" t="s">
        <v>31</v>
      </c>
      <c r="C23" s="219" t="s">
        <v>32</v>
      </c>
      <c r="D23" s="219"/>
      <c r="E23" s="219"/>
      <c r="F23" s="219"/>
      <c r="G23" s="220"/>
      <c r="H23" s="285" t="s">
        <v>33</v>
      </c>
      <c r="I23" s="286"/>
      <c r="J23" s="287"/>
      <c r="K23" s="219" t="s">
        <v>34</v>
      </c>
      <c r="L23" s="219"/>
      <c r="M23" s="219"/>
      <c r="N23" s="219"/>
      <c r="O23" s="219"/>
      <c r="P23" s="220"/>
      <c r="Z23" s="125"/>
    </row>
    <row r="24" spans="1:26" ht="15.75" customHeight="1" x14ac:dyDescent="0.25">
      <c r="A24" s="126"/>
      <c r="B24" s="289"/>
      <c r="C24" s="221"/>
      <c r="D24" s="221"/>
      <c r="E24" s="221"/>
      <c r="F24" s="221"/>
      <c r="G24" s="222"/>
      <c r="H24" s="282" t="s">
        <v>35</v>
      </c>
      <c r="I24" s="283"/>
      <c r="J24" s="284"/>
      <c r="K24" s="221"/>
      <c r="L24" s="221"/>
      <c r="M24" s="221"/>
      <c r="N24" s="221"/>
      <c r="O24" s="221"/>
      <c r="P24" s="222"/>
      <c r="Z24" s="125"/>
    </row>
    <row r="25" spans="1:26" ht="19.5" customHeight="1" x14ac:dyDescent="0.25">
      <c r="A25" s="126"/>
      <c r="B25" s="133">
        <v>1</v>
      </c>
      <c r="C25" s="204"/>
      <c r="D25" s="205"/>
      <c r="E25" s="205"/>
      <c r="F25" s="205"/>
      <c r="G25" s="206"/>
      <c r="H25" s="269">
        <v>78</v>
      </c>
      <c r="I25" s="270"/>
      <c r="J25" s="271"/>
      <c r="K25" s="204"/>
      <c r="L25" s="205"/>
      <c r="M25" s="205"/>
      <c r="N25" s="205"/>
      <c r="O25" s="205"/>
      <c r="P25" s="206"/>
      <c r="Z25" s="125"/>
    </row>
    <row r="26" spans="1:26" ht="19.5" customHeight="1" x14ac:dyDescent="0.25">
      <c r="A26" s="126"/>
      <c r="B26" s="133">
        <v>2</v>
      </c>
      <c r="C26" s="204"/>
      <c r="D26" s="205"/>
      <c r="E26" s="205"/>
      <c r="F26" s="205"/>
      <c r="G26" s="206"/>
      <c r="H26" s="269">
        <v>84</v>
      </c>
      <c r="I26" s="270"/>
      <c r="J26" s="271"/>
      <c r="K26" s="204"/>
      <c r="L26" s="205"/>
      <c r="M26" s="205"/>
      <c r="N26" s="205"/>
      <c r="O26" s="205"/>
      <c r="P26" s="206"/>
      <c r="Z26" s="125"/>
    </row>
    <row r="27" spans="1:26" ht="19.5" customHeight="1" x14ac:dyDescent="0.25">
      <c r="A27" s="126"/>
      <c r="B27" s="133">
        <v>3</v>
      </c>
      <c r="C27" s="204"/>
      <c r="D27" s="205"/>
      <c r="E27" s="205"/>
      <c r="F27" s="205"/>
      <c r="G27" s="206"/>
      <c r="H27" s="269">
        <v>61</v>
      </c>
      <c r="I27" s="270"/>
      <c r="J27" s="271"/>
      <c r="K27" s="204"/>
      <c r="L27" s="205"/>
      <c r="M27" s="205"/>
      <c r="N27" s="205"/>
      <c r="O27" s="205"/>
      <c r="P27" s="206"/>
      <c r="Z27" s="125"/>
    </row>
    <row r="28" spans="1:26" ht="19.5" customHeight="1" x14ac:dyDescent="0.25">
      <c r="A28" s="126"/>
      <c r="B28" s="133">
        <v>4</v>
      </c>
      <c r="C28" s="204"/>
      <c r="D28" s="205"/>
      <c r="E28" s="205"/>
      <c r="F28" s="205"/>
      <c r="G28" s="206"/>
      <c r="H28" s="269">
        <v>70</v>
      </c>
      <c r="I28" s="270"/>
      <c r="J28" s="271"/>
      <c r="K28" s="204"/>
      <c r="L28" s="205"/>
      <c r="M28" s="205"/>
      <c r="N28" s="205"/>
      <c r="O28" s="205"/>
      <c r="P28" s="206"/>
      <c r="Z28" s="125"/>
    </row>
    <row r="29" spans="1:26" ht="19.5" customHeight="1" x14ac:dyDescent="0.25">
      <c r="A29" s="126"/>
      <c r="B29" s="133">
        <v>5</v>
      </c>
      <c r="C29" s="204"/>
      <c r="D29" s="205"/>
      <c r="E29" s="205"/>
      <c r="F29" s="205"/>
      <c r="G29" s="206"/>
      <c r="H29" s="269">
        <v>89</v>
      </c>
      <c r="I29" s="270"/>
      <c r="J29" s="271"/>
      <c r="K29" s="204"/>
      <c r="L29" s="205"/>
      <c r="M29" s="205"/>
      <c r="N29" s="205"/>
      <c r="O29" s="205"/>
      <c r="P29" s="206"/>
      <c r="Z29" s="125"/>
    </row>
    <row r="30" spans="1:26" ht="19.5" customHeight="1" x14ac:dyDescent="0.25">
      <c r="A30" s="126"/>
      <c r="B30" s="133">
        <v>6</v>
      </c>
      <c r="C30" s="204"/>
      <c r="D30" s="205"/>
      <c r="E30" s="205"/>
      <c r="F30" s="205"/>
      <c r="G30" s="206"/>
      <c r="H30" s="269">
        <v>92</v>
      </c>
      <c r="I30" s="270"/>
      <c r="J30" s="271"/>
      <c r="K30" s="204"/>
      <c r="L30" s="205"/>
      <c r="M30" s="205"/>
      <c r="N30" s="205"/>
      <c r="O30" s="205"/>
      <c r="P30" s="206"/>
      <c r="Z30" s="125"/>
    </row>
    <row r="31" spans="1:26" ht="19.5" customHeight="1" x14ac:dyDescent="0.25">
      <c r="A31" s="126"/>
      <c r="B31" s="133">
        <v>7</v>
      </c>
      <c r="C31" s="204"/>
      <c r="D31" s="205"/>
      <c r="E31" s="205"/>
      <c r="F31" s="205"/>
      <c r="G31" s="206"/>
      <c r="H31" s="269">
        <v>78</v>
      </c>
      <c r="I31" s="270"/>
      <c r="J31" s="271"/>
      <c r="K31" s="204"/>
      <c r="L31" s="205"/>
      <c r="M31" s="205"/>
      <c r="N31" s="205"/>
      <c r="O31" s="205"/>
      <c r="P31" s="206"/>
      <c r="Z31" s="125"/>
    </row>
    <row r="32" spans="1:26" ht="19.5" customHeight="1" x14ac:dyDescent="0.25">
      <c r="A32" s="126"/>
      <c r="B32" s="133">
        <v>8</v>
      </c>
      <c r="C32" s="204"/>
      <c r="D32" s="205"/>
      <c r="E32" s="205"/>
      <c r="F32" s="205"/>
      <c r="G32" s="206"/>
      <c r="H32" s="269">
        <v>77</v>
      </c>
      <c r="I32" s="270"/>
      <c r="J32" s="271"/>
      <c r="K32" s="204"/>
      <c r="L32" s="205"/>
      <c r="M32" s="205"/>
      <c r="N32" s="205"/>
      <c r="O32" s="205"/>
      <c r="P32" s="206"/>
      <c r="Z32" s="125"/>
    </row>
    <row r="33" spans="1:26" ht="19.5" customHeight="1" x14ac:dyDescent="0.25">
      <c r="A33" s="126"/>
      <c r="B33" s="133">
        <v>9</v>
      </c>
      <c r="C33" s="204"/>
      <c r="D33" s="205"/>
      <c r="E33" s="205"/>
      <c r="F33" s="205"/>
      <c r="G33" s="206"/>
      <c r="H33" s="269">
        <v>81</v>
      </c>
      <c r="I33" s="270"/>
      <c r="J33" s="271"/>
      <c r="K33" s="204"/>
      <c r="L33" s="205"/>
      <c r="M33" s="205"/>
      <c r="N33" s="205"/>
      <c r="O33" s="205"/>
      <c r="P33" s="206"/>
      <c r="Z33" s="125"/>
    </row>
    <row r="34" spans="1:26" ht="19.5" customHeight="1" x14ac:dyDescent="0.25">
      <c r="A34" s="126"/>
      <c r="B34" s="133">
        <v>10</v>
      </c>
      <c r="C34" s="204"/>
      <c r="D34" s="205"/>
      <c r="E34" s="205"/>
      <c r="F34" s="205"/>
      <c r="G34" s="206"/>
      <c r="H34" s="269">
        <v>72</v>
      </c>
      <c r="I34" s="270"/>
      <c r="J34" s="271"/>
      <c r="K34" s="204"/>
      <c r="L34" s="205"/>
      <c r="M34" s="205"/>
      <c r="N34" s="205"/>
      <c r="O34" s="205"/>
      <c r="P34" s="206"/>
      <c r="Z34" s="125"/>
    </row>
    <row r="35" spans="1:26" ht="19.5" customHeight="1" x14ac:dyDescent="0.25">
      <c r="A35" s="126"/>
      <c r="B35" s="133">
        <v>11</v>
      </c>
      <c r="C35" s="204"/>
      <c r="D35" s="205"/>
      <c r="E35" s="205"/>
      <c r="F35" s="205"/>
      <c r="G35" s="206"/>
      <c r="H35" s="269">
        <v>83</v>
      </c>
      <c r="I35" s="270"/>
      <c r="J35" s="271"/>
      <c r="K35" s="204"/>
      <c r="L35" s="205"/>
      <c r="M35" s="205"/>
      <c r="N35" s="205"/>
      <c r="O35" s="205"/>
      <c r="P35" s="206"/>
      <c r="Z35" s="125"/>
    </row>
    <row r="36" spans="1:26" ht="19.5" customHeight="1" x14ac:dyDescent="0.25">
      <c r="A36" s="126"/>
      <c r="B36" s="133">
        <v>12</v>
      </c>
      <c r="C36" s="204"/>
      <c r="D36" s="205"/>
      <c r="E36" s="205"/>
      <c r="F36" s="205"/>
      <c r="G36" s="206"/>
      <c r="H36" s="269">
        <v>68</v>
      </c>
      <c r="I36" s="270"/>
      <c r="J36" s="271"/>
      <c r="K36" s="204"/>
      <c r="L36" s="205"/>
      <c r="M36" s="205"/>
      <c r="N36" s="205"/>
      <c r="O36" s="205"/>
      <c r="P36" s="206"/>
      <c r="Z36" s="125"/>
    </row>
    <row r="37" spans="1:26" ht="19.5" customHeight="1" x14ac:dyDescent="0.25">
      <c r="A37" s="126"/>
      <c r="B37" s="133">
        <v>13</v>
      </c>
      <c r="C37" s="204"/>
      <c r="D37" s="205"/>
      <c r="E37" s="205"/>
      <c r="F37" s="205"/>
      <c r="G37" s="206"/>
      <c r="H37" s="269">
        <v>86</v>
      </c>
      <c r="I37" s="270"/>
      <c r="J37" s="271"/>
      <c r="K37" s="204"/>
      <c r="L37" s="205"/>
      <c r="M37" s="205"/>
      <c r="N37" s="205"/>
      <c r="O37" s="205"/>
      <c r="P37" s="206"/>
      <c r="Z37" s="125"/>
    </row>
    <row r="38" spans="1:26" ht="19.5" customHeight="1" x14ac:dyDescent="0.25">
      <c r="A38" s="126"/>
      <c r="B38" s="133">
        <v>14</v>
      </c>
      <c r="C38" s="204"/>
      <c r="D38" s="205"/>
      <c r="E38" s="205"/>
      <c r="F38" s="205"/>
      <c r="G38" s="206"/>
      <c r="H38" s="269">
        <v>81</v>
      </c>
      <c r="I38" s="270"/>
      <c r="J38" s="271"/>
      <c r="K38" s="204"/>
      <c r="L38" s="205"/>
      <c r="M38" s="205"/>
      <c r="N38" s="205"/>
      <c r="O38" s="205"/>
      <c r="P38" s="206"/>
      <c r="Z38" s="125"/>
    </row>
    <row r="39" spans="1:26" ht="19.5" customHeight="1" x14ac:dyDescent="0.25">
      <c r="A39" s="126"/>
      <c r="B39" s="133">
        <v>15</v>
      </c>
      <c r="C39" s="204"/>
      <c r="D39" s="205"/>
      <c r="E39" s="205"/>
      <c r="F39" s="205"/>
      <c r="G39" s="206"/>
      <c r="H39" s="269">
        <v>72</v>
      </c>
      <c r="I39" s="270"/>
      <c r="J39" s="271"/>
      <c r="K39" s="204"/>
      <c r="L39" s="205"/>
      <c r="M39" s="205"/>
      <c r="N39" s="205"/>
      <c r="O39" s="205"/>
      <c r="P39" s="206"/>
      <c r="Z39" s="125"/>
    </row>
    <row r="40" spans="1:26" ht="19.5" customHeight="1" x14ac:dyDescent="0.25">
      <c r="A40" s="126"/>
      <c r="B40" s="133">
        <v>16</v>
      </c>
      <c r="C40" s="204"/>
      <c r="D40" s="205"/>
      <c r="E40" s="205"/>
      <c r="F40" s="205"/>
      <c r="G40" s="206"/>
      <c r="H40" s="269">
        <v>100</v>
      </c>
      <c r="I40" s="270"/>
      <c r="J40" s="271"/>
      <c r="K40" s="204"/>
      <c r="L40" s="205"/>
      <c r="M40" s="205"/>
      <c r="N40" s="205"/>
      <c r="O40" s="205"/>
      <c r="P40" s="206"/>
      <c r="Z40" s="125"/>
    </row>
    <row r="41" spans="1:26" ht="19.5" customHeight="1" x14ac:dyDescent="0.25">
      <c r="A41" s="126"/>
      <c r="B41" s="133">
        <v>17</v>
      </c>
      <c r="C41" s="204"/>
      <c r="D41" s="205"/>
      <c r="E41" s="205"/>
      <c r="F41" s="205"/>
      <c r="G41" s="206"/>
      <c r="H41" s="269">
        <v>88</v>
      </c>
      <c r="I41" s="270"/>
      <c r="J41" s="271"/>
      <c r="K41" s="204"/>
      <c r="L41" s="205"/>
      <c r="M41" s="205"/>
      <c r="N41" s="205"/>
      <c r="O41" s="205"/>
      <c r="P41" s="206"/>
      <c r="Z41" s="125"/>
    </row>
    <row r="42" spans="1:26" ht="19.5" customHeight="1" x14ac:dyDescent="0.25">
      <c r="A42" s="126"/>
      <c r="B42" s="133">
        <v>18</v>
      </c>
      <c r="C42" s="204"/>
      <c r="D42" s="205"/>
      <c r="E42" s="205"/>
      <c r="F42" s="205"/>
      <c r="G42" s="206"/>
      <c r="H42" s="269">
        <v>88</v>
      </c>
      <c r="I42" s="270"/>
      <c r="J42" s="271"/>
      <c r="K42" s="204"/>
      <c r="L42" s="205"/>
      <c r="M42" s="205"/>
      <c r="N42" s="205"/>
      <c r="O42" s="205"/>
      <c r="P42" s="206"/>
      <c r="Z42" s="125"/>
    </row>
    <row r="43" spans="1:26" ht="19.5" customHeight="1" x14ac:dyDescent="0.25">
      <c r="A43" s="126"/>
      <c r="B43" s="133">
        <v>19</v>
      </c>
      <c r="C43" s="204"/>
      <c r="D43" s="205"/>
      <c r="E43" s="205"/>
      <c r="F43" s="205"/>
      <c r="G43" s="206"/>
      <c r="H43" s="269">
        <v>98</v>
      </c>
      <c r="I43" s="270"/>
      <c r="J43" s="271"/>
      <c r="K43" s="204"/>
      <c r="L43" s="205"/>
      <c r="M43" s="205"/>
      <c r="N43" s="205"/>
      <c r="O43" s="205"/>
      <c r="P43" s="206"/>
      <c r="Z43" s="125"/>
    </row>
    <row r="44" spans="1:26" ht="19.5" customHeight="1" x14ac:dyDescent="0.25">
      <c r="A44" s="126"/>
      <c r="B44" s="133">
        <v>20</v>
      </c>
      <c r="C44" s="204"/>
      <c r="D44" s="205"/>
      <c r="E44" s="205"/>
      <c r="F44" s="205"/>
      <c r="G44" s="206"/>
      <c r="H44" s="269">
        <v>67</v>
      </c>
      <c r="I44" s="270"/>
      <c r="J44" s="271"/>
      <c r="K44" s="204"/>
      <c r="L44" s="205"/>
      <c r="M44" s="205"/>
      <c r="N44" s="205"/>
      <c r="O44" s="205"/>
      <c r="P44" s="206"/>
      <c r="Z44" s="125"/>
    </row>
    <row r="45" spans="1:26" ht="19.5" customHeight="1" x14ac:dyDescent="0.25">
      <c r="A45" s="126"/>
      <c r="B45" s="133">
        <v>21</v>
      </c>
      <c r="C45" s="204"/>
      <c r="D45" s="205"/>
      <c r="E45" s="205"/>
      <c r="F45" s="205"/>
      <c r="G45" s="206"/>
      <c r="H45" s="269">
        <v>59</v>
      </c>
      <c r="I45" s="270"/>
      <c r="J45" s="271"/>
      <c r="K45" s="204"/>
      <c r="L45" s="205"/>
      <c r="M45" s="205"/>
      <c r="N45" s="205"/>
      <c r="O45" s="205"/>
      <c r="P45" s="206"/>
      <c r="Z45" s="125"/>
    </row>
    <row r="46" spans="1:26" ht="19.5" customHeight="1" x14ac:dyDescent="0.25">
      <c r="A46" s="126"/>
      <c r="B46" s="133">
        <v>22</v>
      </c>
      <c r="C46" s="204"/>
      <c r="D46" s="205"/>
      <c r="E46" s="205"/>
      <c r="F46" s="205"/>
      <c r="G46" s="206"/>
      <c r="H46" s="269">
        <v>83</v>
      </c>
      <c r="I46" s="270"/>
      <c r="J46" s="271"/>
      <c r="K46" s="204"/>
      <c r="L46" s="205"/>
      <c r="M46" s="205"/>
      <c r="N46" s="205"/>
      <c r="O46" s="205"/>
      <c r="P46" s="206"/>
      <c r="Z46" s="125"/>
    </row>
    <row r="47" spans="1:26" ht="19.5" customHeight="1" x14ac:dyDescent="0.25">
      <c r="A47" s="126"/>
      <c r="B47" s="133">
        <v>23</v>
      </c>
      <c r="C47" s="204"/>
      <c r="D47" s="205"/>
      <c r="E47" s="205"/>
      <c r="F47" s="205"/>
      <c r="G47" s="206"/>
      <c r="H47" s="269">
        <v>71</v>
      </c>
      <c r="I47" s="270"/>
      <c r="J47" s="271"/>
      <c r="K47" s="204"/>
      <c r="L47" s="205"/>
      <c r="M47" s="205"/>
      <c r="N47" s="205"/>
      <c r="O47" s="205"/>
      <c r="P47" s="206"/>
      <c r="Z47" s="125"/>
    </row>
    <row r="48" spans="1:26" ht="19.5" customHeight="1" x14ac:dyDescent="0.25">
      <c r="A48" s="126"/>
      <c r="B48" s="133">
        <v>24</v>
      </c>
      <c r="C48" s="204"/>
      <c r="D48" s="205"/>
      <c r="E48" s="205"/>
      <c r="F48" s="205"/>
      <c r="G48" s="206"/>
      <c r="H48" s="269">
        <v>80</v>
      </c>
      <c r="I48" s="270"/>
      <c r="J48" s="271"/>
      <c r="K48" s="204"/>
      <c r="L48" s="205"/>
      <c r="M48" s="205"/>
      <c r="N48" s="205"/>
      <c r="O48" s="205"/>
      <c r="P48" s="206"/>
      <c r="Z48" s="125"/>
    </row>
    <row r="49" spans="1:26" ht="19.5" customHeight="1" x14ac:dyDescent="0.25">
      <c r="A49" s="126"/>
      <c r="B49" s="133">
        <v>25</v>
      </c>
      <c r="C49" s="204"/>
      <c r="D49" s="205"/>
      <c r="E49" s="205"/>
      <c r="F49" s="205"/>
      <c r="G49" s="206"/>
      <c r="H49" s="269">
        <v>60</v>
      </c>
      <c r="I49" s="270"/>
      <c r="J49" s="271"/>
      <c r="K49" s="204"/>
      <c r="L49" s="205"/>
      <c r="M49" s="205"/>
      <c r="N49" s="205"/>
      <c r="O49" s="205"/>
      <c r="P49" s="206"/>
      <c r="Z49" s="125"/>
    </row>
    <row r="50" spans="1:26" ht="19.5" customHeight="1" x14ac:dyDescent="0.25">
      <c r="A50" s="126"/>
      <c r="B50" s="133">
        <v>26</v>
      </c>
      <c r="C50" s="204"/>
      <c r="D50" s="205"/>
      <c r="E50" s="205"/>
      <c r="F50" s="205"/>
      <c r="G50" s="206"/>
      <c r="H50" s="269">
        <v>68</v>
      </c>
      <c r="I50" s="270"/>
      <c r="J50" s="271"/>
      <c r="K50" s="204"/>
      <c r="L50" s="205"/>
      <c r="M50" s="205"/>
      <c r="N50" s="205"/>
      <c r="O50" s="205"/>
      <c r="P50" s="206"/>
      <c r="Z50" s="125"/>
    </row>
    <row r="51" spans="1:26" ht="19.5" customHeight="1" x14ac:dyDescent="0.25">
      <c r="A51" s="126"/>
      <c r="B51" s="133">
        <v>27</v>
      </c>
      <c r="C51" s="204"/>
      <c r="D51" s="205"/>
      <c r="E51" s="205"/>
      <c r="F51" s="205"/>
      <c r="G51" s="206"/>
      <c r="H51" s="269">
        <v>61</v>
      </c>
      <c r="I51" s="270"/>
      <c r="J51" s="271"/>
      <c r="K51" s="204"/>
      <c r="L51" s="205"/>
      <c r="M51" s="205"/>
      <c r="N51" s="205"/>
      <c r="O51" s="205"/>
      <c r="P51" s="206"/>
      <c r="Z51" s="125"/>
    </row>
    <row r="52" spans="1:26" ht="19.5" customHeight="1" x14ac:dyDescent="0.25">
      <c r="A52" s="126"/>
      <c r="B52" s="133">
        <v>28</v>
      </c>
      <c r="C52" s="204"/>
      <c r="D52" s="205"/>
      <c r="E52" s="205"/>
      <c r="F52" s="205"/>
      <c r="G52" s="206"/>
      <c r="H52" s="269">
        <v>82</v>
      </c>
      <c r="I52" s="270"/>
      <c r="J52" s="271"/>
      <c r="K52" s="204"/>
      <c r="L52" s="205"/>
      <c r="M52" s="205"/>
      <c r="N52" s="205"/>
      <c r="O52" s="205"/>
      <c r="P52" s="206"/>
      <c r="Z52" s="125"/>
    </row>
    <row r="53" spans="1:26" ht="19.5" customHeight="1" x14ac:dyDescent="0.25">
      <c r="A53" s="126"/>
      <c r="B53" s="133">
        <v>29</v>
      </c>
      <c r="C53" s="204"/>
      <c r="D53" s="205"/>
      <c r="E53" s="205"/>
      <c r="F53" s="205"/>
      <c r="G53" s="206"/>
      <c r="H53" s="269">
        <v>89</v>
      </c>
      <c r="I53" s="270"/>
      <c r="J53" s="271"/>
      <c r="K53" s="204"/>
      <c r="L53" s="205"/>
      <c r="M53" s="205"/>
      <c r="N53" s="205"/>
      <c r="O53" s="205"/>
      <c r="P53" s="206"/>
      <c r="Z53" s="125"/>
    </row>
    <row r="54" spans="1:26" ht="19.5" customHeight="1" x14ac:dyDescent="0.25">
      <c r="A54" s="126"/>
      <c r="B54" s="133">
        <v>30</v>
      </c>
      <c r="C54" s="204"/>
      <c r="D54" s="205"/>
      <c r="E54" s="205"/>
      <c r="F54" s="205"/>
      <c r="G54" s="206"/>
      <c r="H54" s="269">
        <v>129</v>
      </c>
      <c r="I54" s="270"/>
      <c r="J54" s="271"/>
      <c r="K54" s="204"/>
      <c r="L54" s="205"/>
      <c r="M54" s="205"/>
      <c r="N54" s="205"/>
      <c r="O54" s="205"/>
      <c r="P54" s="206"/>
      <c r="Z54" s="125"/>
    </row>
    <row r="55" spans="1:26" ht="19.5" customHeight="1" x14ac:dyDescent="0.25">
      <c r="A55" s="126"/>
      <c r="B55" s="133">
        <v>31</v>
      </c>
      <c r="C55" s="204"/>
      <c r="D55" s="205"/>
      <c r="E55" s="205"/>
      <c r="F55" s="205"/>
      <c r="G55" s="206"/>
      <c r="H55" s="269">
        <v>91</v>
      </c>
      <c r="I55" s="270"/>
      <c r="J55" s="271"/>
      <c r="K55" s="204"/>
      <c r="L55" s="205"/>
      <c r="M55" s="205"/>
      <c r="N55" s="205"/>
      <c r="O55" s="205"/>
      <c r="P55" s="206"/>
      <c r="Z55" s="125"/>
    </row>
    <row r="56" spans="1:26" ht="19.5" customHeight="1" x14ac:dyDescent="0.25">
      <c r="A56" s="126"/>
      <c r="B56" s="133">
        <v>32</v>
      </c>
      <c r="C56" s="204"/>
      <c r="D56" s="205"/>
      <c r="E56" s="205"/>
      <c r="F56" s="205"/>
      <c r="G56" s="206"/>
      <c r="H56" s="269">
        <v>68</v>
      </c>
      <c r="I56" s="270"/>
      <c r="J56" s="271"/>
      <c r="K56" s="204"/>
      <c r="L56" s="205"/>
      <c r="M56" s="205"/>
      <c r="N56" s="205"/>
      <c r="O56" s="205"/>
      <c r="P56" s="206"/>
      <c r="Z56" s="125"/>
    </row>
    <row r="57" spans="1:26" ht="19.5" customHeight="1" x14ac:dyDescent="0.25">
      <c r="A57" s="126"/>
      <c r="B57" s="133">
        <v>33</v>
      </c>
      <c r="C57" s="204"/>
      <c r="D57" s="205"/>
      <c r="E57" s="205"/>
      <c r="F57" s="205"/>
      <c r="G57" s="206"/>
      <c r="H57" s="269">
        <v>61</v>
      </c>
      <c r="I57" s="270"/>
      <c r="J57" s="271"/>
      <c r="K57" s="204"/>
      <c r="L57" s="205"/>
      <c r="M57" s="205"/>
      <c r="N57" s="205"/>
      <c r="O57" s="205"/>
      <c r="P57" s="206"/>
      <c r="Z57" s="125"/>
    </row>
    <row r="58" spans="1:26" ht="19.5" customHeight="1" x14ac:dyDescent="0.25">
      <c r="A58" s="126"/>
      <c r="B58" s="133">
        <v>34</v>
      </c>
      <c r="C58" s="204"/>
      <c r="D58" s="205"/>
      <c r="E58" s="205"/>
      <c r="F58" s="205"/>
      <c r="G58" s="206"/>
      <c r="H58" s="269">
        <v>71</v>
      </c>
      <c r="I58" s="270"/>
      <c r="J58" s="271"/>
      <c r="K58" s="204"/>
      <c r="L58" s="205"/>
      <c r="M58" s="205"/>
      <c r="N58" s="205"/>
      <c r="O58" s="205"/>
      <c r="P58" s="206"/>
      <c r="Z58" s="125"/>
    </row>
    <row r="59" spans="1:26" ht="19.5" customHeight="1" x14ac:dyDescent="0.25">
      <c r="A59" s="126"/>
      <c r="B59" s="133">
        <v>35</v>
      </c>
      <c r="C59" s="204"/>
      <c r="D59" s="205"/>
      <c r="E59" s="205"/>
      <c r="F59" s="205"/>
      <c r="G59" s="206"/>
      <c r="H59" s="269">
        <v>70</v>
      </c>
      <c r="I59" s="270"/>
      <c r="J59" s="271"/>
      <c r="K59" s="204"/>
      <c r="L59" s="205"/>
      <c r="M59" s="205"/>
      <c r="N59" s="205"/>
      <c r="O59" s="205"/>
      <c r="P59" s="206"/>
      <c r="Z59" s="125"/>
    </row>
    <row r="60" spans="1:26" ht="19.5" customHeight="1" thickBot="1" x14ac:dyDescent="0.3">
      <c r="A60" s="126"/>
      <c r="B60" s="133">
        <v>36</v>
      </c>
      <c r="C60" s="204"/>
      <c r="D60" s="205"/>
      <c r="E60" s="205"/>
      <c r="F60" s="205"/>
      <c r="G60" s="206"/>
      <c r="H60" s="269">
        <v>63</v>
      </c>
      <c r="I60" s="270"/>
      <c r="J60" s="271"/>
      <c r="K60" s="204"/>
      <c r="L60" s="205"/>
      <c r="M60" s="205"/>
      <c r="N60" s="205"/>
      <c r="O60" s="205"/>
      <c r="P60" s="206"/>
      <c r="Z60" s="125"/>
    </row>
    <row r="61" spans="1:26" ht="15.75" customHeight="1" x14ac:dyDescent="0.25">
      <c r="A61" s="126"/>
      <c r="B61" s="278" t="s">
        <v>42</v>
      </c>
      <c r="C61" s="279"/>
      <c r="D61" s="279"/>
      <c r="E61" s="279"/>
      <c r="F61" s="279"/>
      <c r="G61" s="280"/>
      <c r="H61" s="227">
        <f>AVERAGE(H25:J60)</f>
        <v>78.305555555555557</v>
      </c>
      <c r="I61" s="228"/>
      <c r="J61" s="229"/>
      <c r="K61" s="212" t="s">
        <v>81</v>
      </c>
      <c r="L61" s="213"/>
      <c r="M61" s="207" t="s">
        <v>44</v>
      </c>
      <c r="N61" s="207"/>
      <c r="O61" s="207"/>
      <c r="P61" s="208"/>
      <c r="Z61" s="125"/>
    </row>
    <row r="62" spans="1:26" ht="15.75" customHeight="1" x14ac:dyDescent="0.25">
      <c r="A62" s="126"/>
      <c r="B62" s="272" t="s">
        <v>45</v>
      </c>
      <c r="C62" s="273"/>
      <c r="D62" s="273"/>
      <c r="E62" s="273"/>
      <c r="F62" s="273"/>
      <c r="G62" s="274"/>
      <c r="H62" s="187">
        <f>IF(COUNTIF(H25:J60,"*&lt;20*"),"&lt;20",MIN(H25:J60))</f>
        <v>59</v>
      </c>
      <c r="I62" s="188"/>
      <c r="J62" s="189"/>
      <c r="K62" s="214"/>
      <c r="L62" s="215"/>
      <c r="M62" s="180"/>
      <c r="N62" s="180"/>
      <c r="O62" s="180"/>
      <c r="P62" s="209"/>
      <c r="Z62" s="125"/>
    </row>
    <row r="63" spans="1:26" ht="15.75" customHeight="1" thickBot="1" x14ac:dyDescent="0.3">
      <c r="A63" s="126"/>
      <c r="B63" s="275" t="s">
        <v>46</v>
      </c>
      <c r="C63" s="276"/>
      <c r="D63" s="276"/>
      <c r="E63" s="276"/>
      <c r="F63" s="276"/>
      <c r="G63" s="277"/>
      <c r="H63" s="224">
        <f>IF(COUNTIF(H25:J60,"*&gt;250*"),"&gt;250",MAX(H25:J60))</f>
        <v>129</v>
      </c>
      <c r="I63" s="225"/>
      <c r="J63" s="226"/>
      <c r="K63" s="216"/>
      <c r="L63" s="217"/>
      <c r="M63" s="210"/>
      <c r="N63" s="210"/>
      <c r="O63" s="210"/>
      <c r="P63" s="211"/>
      <c r="Z63" s="125"/>
    </row>
    <row r="64" spans="1:26" ht="15.9" customHeight="1" x14ac:dyDescent="0.25">
      <c r="A64" s="124"/>
      <c r="B64" s="123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1"/>
    </row>
    <row r="65" spans="1:26" ht="12.75" customHeight="1" x14ac:dyDescent="0.25">
      <c r="A65" s="120"/>
      <c r="B65" s="119"/>
    </row>
    <row r="66" spans="1:26" s="94" customFormat="1" ht="15.6" customHeight="1" x14ac:dyDescent="0.25">
      <c r="A66" s="118" t="s">
        <v>80</v>
      </c>
      <c r="B66" s="117" t="s">
        <v>79</v>
      </c>
      <c r="C66" s="116"/>
      <c r="D66" s="116"/>
      <c r="E66" s="116"/>
      <c r="F66" s="115"/>
      <c r="G66" s="115"/>
      <c r="H66" s="115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3"/>
      <c r="V66" s="112"/>
      <c r="W66" s="112"/>
      <c r="X66" s="111"/>
      <c r="Y66" s="111"/>
      <c r="Z66" s="110"/>
    </row>
    <row r="67" spans="1:26" s="94" customFormat="1" ht="28.5" customHeight="1" x14ac:dyDescent="0.25">
      <c r="A67" s="192" t="s">
        <v>78</v>
      </c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4"/>
      <c r="R67" s="172" t="s">
        <v>50</v>
      </c>
      <c r="S67" s="173"/>
      <c r="T67" s="174"/>
      <c r="U67" s="162" t="s">
        <v>12</v>
      </c>
      <c r="V67" s="163"/>
      <c r="W67" s="163"/>
      <c r="X67" s="164"/>
      <c r="Y67" s="164"/>
      <c r="Z67" s="165"/>
    </row>
    <row r="68" spans="1:26" s="94" customFormat="1" ht="15.6" customHeight="1" x14ac:dyDescent="0.25">
      <c r="A68" s="166" t="s">
        <v>77</v>
      </c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8"/>
      <c r="R68" s="172" t="s">
        <v>51</v>
      </c>
      <c r="S68" s="173"/>
      <c r="T68" s="174"/>
      <c r="U68" s="175" t="s">
        <v>52</v>
      </c>
      <c r="V68" s="176"/>
      <c r="W68" s="176"/>
      <c r="X68" s="177"/>
      <c r="Y68" s="177"/>
      <c r="Z68" s="178"/>
    </row>
    <row r="69" spans="1:26" s="94" customFormat="1" ht="15.6" customHeight="1" x14ac:dyDescent="0.25">
      <c r="A69" s="169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1"/>
      <c r="R69" s="172"/>
      <c r="S69" s="173"/>
      <c r="T69" s="174"/>
      <c r="U69" s="179"/>
      <c r="V69" s="180"/>
      <c r="W69" s="180"/>
      <c r="X69" s="181"/>
      <c r="Y69" s="181"/>
      <c r="Z69" s="182"/>
    </row>
    <row r="70" spans="1:26" s="94" customFormat="1" ht="15.6" customHeight="1" x14ac:dyDescent="0.25">
      <c r="A70" s="109" t="s">
        <v>47</v>
      </c>
      <c r="B70" s="108" t="s">
        <v>54</v>
      </c>
      <c r="C70" s="92"/>
      <c r="D70" s="92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6"/>
      <c r="R70" s="172"/>
      <c r="S70" s="173"/>
      <c r="T70" s="174"/>
      <c r="U70" s="183"/>
      <c r="V70" s="184"/>
      <c r="W70" s="184"/>
      <c r="X70" s="185"/>
      <c r="Y70" s="185"/>
      <c r="Z70" s="186"/>
    </row>
    <row r="71" spans="1:26" s="94" customFormat="1" ht="15.6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2"/>
      <c r="R71" s="172" t="s">
        <v>55</v>
      </c>
      <c r="S71" s="173"/>
      <c r="T71" s="174"/>
      <c r="U71" s="105"/>
      <c r="V71" s="104"/>
      <c r="W71" s="104"/>
      <c r="X71" s="104"/>
      <c r="Y71" s="104"/>
      <c r="Z71" s="103"/>
    </row>
    <row r="72" spans="1:26" s="94" customFormat="1" ht="15.6" customHeight="1" x14ac:dyDescent="0.25">
      <c r="A72" s="260"/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2"/>
      <c r="R72" s="172"/>
      <c r="S72" s="173"/>
      <c r="T72" s="174"/>
      <c r="U72" s="102"/>
      <c r="V72" s="180"/>
      <c r="W72" s="180"/>
      <c r="X72" s="180"/>
      <c r="Y72" s="180"/>
      <c r="Z72" s="101"/>
    </row>
    <row r="73" spans="1:26" s="94" customFormat="1" ht="15.6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2"/>
      <c r="R73" s="172"/>
      <c r="S73" s="173"/>
      <c r="T73" s="174"/>
      <c r="U73" s="102"/>
      <c r="V73" s="180"/>
      <c r="W73" s="180"/>
      <c r="X73" s="180"/>
      <c r="Y73" s="180"/>
      <c r="Z73" s="101"/>
    </row>
    <row r="74" spans="1:26" s="94" customFormat="1" ht="15.6" customHeight="1" x14ac:dyDescent="0.25">
      <c r="A74" s="263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5"/>
      <c r="R74" s="266"/>
      <c r="S74" s="267"/>
      <c r="T74" s="268"/>
      <c r="U74" s="100"/>
      <c r="V74" s="99"/>
      <c r="W74" s="99"/>
      <c r="X74" s="99"/>
      <c r="Y74" s="99"/>
      <c r="Z74" s="98"/>
    </row>
    <row r="75" spans="1:26" s="94" customFormat="1" ht="15" customHeight="1" x14ac:dyDescent="0.2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6"/>
      <c r="S75" s="96"/>
      <c r="T75" s="96"/>
      <c r="U75" s="95"/>
      <c r="V75" s="95"/>
      <c r="W75" s="95"/>
      <c r="X75" s="95"/>
      <c r="Y75" s="95"/>
      <c r="Z75" s="95"/>
    </row>
    <row r="77" spans="1:26" ht="12.75" customHeight="1" x14ac:dyDescent="0.25">
      <c r="A77" s="92"/>
    </row>
    <row r="78" spans="1:26" ht="12.75" customHeight="1" x14ac:dyDescent="0.25">
      <c r="A78" s="92"/>
    </row>
    <row r="79" spans="1:26" ht="12.75" customHeight="1" x14ac:dyDescent="0.25">
      <c r="A79" s="92"/>
    </row>
    <row r="80" spans="1:26" ht="12.75" customHeight="1" x14ac:dyDescent="0.25">
      <c r="A80" s="92"/>
    </row>
    <row r="81" spans="1:1" ht="12.75" customHeight="1" x14ac:dyDescent="0.25">
      <c r="A81" s="92"/>
    </row>
    <row r="82" spans="1:1" ht="12.75" customHeight="1" x14ac:dyDescent="0.25">
      <c r="A82" s="92"/>
    </row>
  </sheetData>
  <sheetProtection formatCells="0" formatColumns="0" formatRows="0" insertColumns="0" insertRows="0" insertHyperlinks="0" deleteColumns="0" deleteRows="0" selectLockedCells="1" sort="0" autoFilter="0" pivotTables="0"/>
  <mergeCells count="160">
    <mergeCell ref="C60:G60"/>
    <mergeCell ref="H60:J60"/>
    <mergeCell ref="K60:P60"/>
    <mergeCell ref="C58:G58"/>
    <mergeCell ref="H58:J58"/>
    <mergeCell ref="K58:P58"/>
    <mergeCell ref="C59:G59"/>
    <mergeCell ref="H59:J59"/>
    <mergeCell ref="K59:P59"/>
    <mergeCell ref="C55:G55"/>
    <mergeCell ref="H55:J55"/>
    <mergeCell ref="K55:P55"/>
    <mergeCell ref="C56:G56"/>
    <mergeCell ref="H56:J56"/>
    <mergeCell ref="K56:P56"/>
    <mergeCell ref="C57:G57"/>
    <mergeCell ref="H57:J57"/>
    <mergeCell ref="K57:P57"/>
    <mergeCell ref="C52:G52"/>
    <mergeCell ref="H52:J52"/>
    <mergeCell ref="K52:P52"/>
    <mergeCell ref="C53:G53"/>
    <mergeCell ref="H53:J53"/>
    <mergeCell ref="K53:P53"/>
    <mergeCell ref="C54:G54"/>
    <mergeCell ref="H54:J54"/>
    <mergeCell ref="K54:P54"/>
    <mergeCell ref="C49:G49"/>
    <mergeCell ref="H49:J49"/>
    <mergeCell ref="K49:P49"/>
    <mergeCell ref="C50:G50"/>
    <mergeCell ref="H50:J50"/>
    <mergeCell ref="K50:P50"/>
    <mergeCell ref="C51:G51"/>
    <mergeCell ref="H51:J51"/>
    <mergeCell ref="K51:P51"/>
    <mergeCell ref="C46:G46"/>
    <mergeCell ref="H46:J46"/>
    <mergeCell ref="K46:P46"/>
    <mergeCell ref="C47:G47"/>
    <mergeCell ref="H47:J47"/>
    <mergeCell ref="K47:P47"/>
    <mergeCell ref="C48:G48"/>
    <mergeCell ref="H48:J48"/>
    <mergeCell ref="K48:P48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  <mergeCell ref="V72:Y73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A71:Q74"/>
    <mergeCell ref="R71:T74"/>
    <mergeCell ref="K26:P26"/>
    <mergeCell ref="C27:G27"/>
    <mergeCell ref="H27:J27"/>
    <mergeCell ref="K27:P27"/>
    <mergeCell ref="C28:G28"/>
    <mergeCell ref="H28:J28"/>
    <mergeCell ref="B62:G62"/>
    <mergeCell ref="B63:G63"/>
    <mergeCell ref="B61:G61"/>
    <mergeCell ref="C26:G26"/>
    <mergeCell ref="H26:J26"/>
    <mergeCell ref="K28:P28"/>
    <mergeCell ref="C29:G29"/>
    <mergeCell ref="H29:J29"/>
    <mergeCell ref="K34:P34"/>
    <mergeCell ref="C35:G35"/>
    <mergeCell ref="H35:J35"/>
    <mergeCell ref="K35:P35"/>
    <mergeCell ref="C36:G36"/>
    <mergeCell ref="H36:J36"/>
    <mergeCell ref="K36:P36"/>
    <mergeCell ref="C37:G3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U1:Z6"/>
    <mergeCell ref="K25:P25"/>
    <mergeCell ref="M61:P63"/>
    <mergeCell ref="K61:L63"/>
    <mergeCell ref="S12:Y12"/>
    <mergeCell ref="K23:P24"/>
    <mergeCell ref="I17:Y17"/>
    <mergeCell ref="S11:Y11"/>
    <mergeCell ref="H63:J63"/>
    <mergeCell ref="H61:J61"/>
    <mergeCell ref="H10:M10"/>
    <mergeCell ref="I5:K5"/>
    <mergeCell ref="I6:K6"/>
    <mergeCell ref="L5:O5"/>
    <mergeCell ref="P5:T5"/>
    <mergeCell ref="L6:O6"/>
    <mergeCell ref="P6:T6"/>
    <mergeCell ref="K29:P29"/>
    <mergeCell ref="H11:M11"/>
    <mergeCell ref="N11:R11"/>
    <mergeCell ref="N12:R12"/>
    <mergeCell ref="H12:M12"/>
    <mergeCell ref="H37:J37"/>
    <mergeCell ref="K37:P37"/>
    <mergeCell ref="U67:Z67"/>
    <mergeCell ref="A68:Q69"/>
    <mergeCell ref="R68:T70"/>
    <mergeCell ref="U68:Z70"/>
    <mergeCell ref="H62:J62"/>
    <mergeCell ref="B17:H17"/>
    <mergeCell ref="B12:G12"/>
    <mergeCell ref="B11:G11"/>
    <mergeCell ref="A67:Q67"/>
    <mergeCell ref="R67:T6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</mergeCells>
  <printOptions horizontalCentered="1"/>
  <pageMargins left="0.39370078740157" right="0.39370078740157" top="0.39370078740157" bottom="0.39370078740157" header="0" footer="0.19685039370078999"/>
  <pageSetup paperSize="9" scale="64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5D12-5575-4833-B67D-09BBE7C47516}">
  <sheetPr>
    <pageSetUpPr fitToPage="1"/>
  </sheetPr>
  <dimension ref="A1:AA71"/>
  <sheetViews>
    <sheetView workbookViewId="0">
      <selection activeCell="C44" sqref="C44:G4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294"/>
      <c r="B1" s="295"/>
      <c r="C1" s="295"/>
      <c r="D1" s="295"/>
      <c r="E1" s="295"/>
      <c r="F1" s="296"/>
      <c r="G1" s="303" t="s">
        <v>0</v>
      </c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5"/>
      <c r="U1" s="306" t="s">
        <v>60</v>
      </c>
      <c r="V1" s="307"/>
      <c r="W1" s="307"/>
      <c r="X1" s="307"/>
      <c r="Y1" s="307"/>
      <c r="Z1" s="308"/>
    </row>
    <row r="2" spans="1:26" ht="12.75" customHeight="1" x14ac:dyDescent="0.25">
      <c r="A2" s="297"/>
      <c r="B2" s="298"/>
      <c r="C2" s="298"/>
      <c r="D2" s="298"/>
      <c r="E2" s="298"/>
      <c r="F2" s="299"/>
      <c r="G2" s="315" t="s">
        <v>1</v>
      </c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7"/>
      <c r="U2" s="309"/>
      <c r="V2" s="310"/>
      <c r="W2" s="310"/>
      <c r="X2" s="310"/>
      <c r="Y2" s="310"/>
      <c r="Z2" s="311"/>
    </row>
    <row r="3" spans="1:26" ht="12.75" customHeight="1" x14ac:dyDescent="0.25">
      <c r="A3" s="297"/>
      <c r="B3" s="298"/>
      <c r="C3" s="298"/>
      <c r="D3" s="298"/>
      <c r="E3" s="298"/>
      <c r="F3" s="299"/>
      <c r="G3" s="315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7"/>
      <c r="U3" s="309"/>
      <c r="V3" s="310"/>
      <c r="W3" s="310"/>
      <c r="X3" s="310"/>
      <c r="Y3" s="310"/>
      <c r="Z3" s="311"/>
    </row>
    <row r="4" spans="1:26" ht="12.75" customHeight="1" x14ac:dyDescent="0.25">
      <c r="A4" s="297"/>
      <c r="B4" s="298"/>
      <c r="C4" s="298"/>
      <c r="D4" s="298"/>
      <c r="E4" s="298"/>
      <c r="F4" s="299"/>
      <c r="G4" s="315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7"/>
      <c r="U4" s="309"/>
      <c r="V4" s="310"/>
      <c r="W4" s="310"/>
      <c r="X4" s="310"/>
      <c r="Y4" s="310"/>
      <c r="Z4" s="311"/>
    </row>
    <row r="5" spans="1:26" ht="12.75" customHeight="1" x14ac:dyDescent="0.25">
      <c r="A5" s="297"/>
      <c r="B5" s="298"/>
      <c r="C5" s="298"/>
      <c r="D5" s="298"/>
      <c r="E5" s="298"/>
      <c r="F5" s="299"/>
      <c r="G5" s="318" t="s">
        <v>2</v>
      </c>
      <c r="H5" s="319"/>
      <c r="I5" s="320">
        <v>2</v>
      </c>
      <c r="J5" s="320"/>
      <c r="K5" s="321"/>
      <c r="L5" s="322" t="s">
        <v>59</v>
      </c>
      <c r="M5" s="323"/>
      <c r="N5" s="323"/>
      <c r="O5" s="324"/>
      <c r="P5" s="325" t="s">
        <v>3</v>
      </c>
      <c r="Q5" s="326"/>
      <c r="R5" s="326"/>
      <c r="S5" s="326"/>
      <c r="T5" s="327"/>
      <c r="U5" s="309"/>
      <c r="V5" s="310"/>
      <c r="W5" s="310"/>
      <c r="X5" s="310"/>
      <c r="Y5" s="310"/>
      <c r="Z5" s="311"/>
    </row>
    <row r="6" spans="1:26" ht="12.75" customHeight="1" x14ac:dyDescent="0.25">
      <c r="A6" s="300"/>
      <c r="B6" s="301"/>
      <c r="C6" s="301"/>
      <c r="D6" s="301"/>
      <c r="E6" s="301"/>
      <c r="F6" s="302"/>
      <c r="G6" s="2"/>
      <c r="H6" s="3"/>
      <c r="I6" s="328" t="s">
        <v>4</v>
      </c>
      <c r="J6" s="328"/>
      <c r="K6" s="328"/>
      <c r="L6" s="328" t="s">
        <v>5</v>
      </c>
      <c r="M6" s="328"/>
      <c r="N6" s="328"/>
      <c r="O6" s="328"/>
      <c r="P6" s="328" t="s">
        <v>6</v>
      </c>
      <c r="Q6" s="328"/>
      <c r="R6" s="328"/>
      <c r="S6" s="328"/>
      <c r="T6" s="344"/>
      <c r="U6" s="312"/>
      <c r="V6" s="313"/>
      <c r="W6" s="313"/>
      <c r="X6" s="313"/>
      <c r="Y6" s="313"/>
      <c r="Z6" s="314"/>
    </row>
    <row r="7" spans="1:26" ht="37.5" customHeight="1" x14ac:dyDescent="0.25">
      <c r="A7" s="345" t="s">
        <v>7</v>
      </c>
      <c r="B7" s="345"/>
      <c r="C7" s="345"/>
      <c r="D7" s="345"/>
      <c r="E7" s="345"/>
      <c r="F7" s="345"/>
      <c r="G7" s="346" t="s">
        <v>8</v>
      </c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292" t="s">
        <v>11</v>
      </c>
      <c r="C10" s="292"/>
      <c r="D10" s="292"/>
      <c r="E10" s="292"/>
      <c r="F10" s="292"/>
      <c r="G10" s="292"/>
      <c r="H10" s="291" t="s">
        <v>12</v>
      </c>
      <c r="I10" s="291"/>
      <c r="J10" s="291"/>
      <c r="K10" s="291"/>
      <c r="L10" s="291"/>
      <c r="M10" s="291"/>
      <c r="N10" s="292" t="s">
        <v>13</v>
      </c>
      <c r="O10" s="292"/>
      <c r="P10" s="292"/>
      <c r="Q10" s="292"/>
      <c r="R10" s="292"/>
      <c r="S10" s="293" t="s">
        <v>14</v>
      </c>
      <c r="T10" s="293"/>
      <c r="U10" s="293"/>
      <c r="V10" s="293"/>
      <c r="W10" s="293"/>
      <c r="X10" s="293"/>
      <c r="Y10" s="293"/>
      <c r="Z10" s="12"/>
    </row>
    <row r="11" spans="1:26" ht="15.9" customHeight="1" x14ac:dyDescent="0.25">
      <c r="A11" s="9"/>
      <c r="B11" s="292" t="s">
        <v>15</v>
      </c>
      <c r="C11" s="292"/>
      <c r="D11" s="292"/>
      <c r="E11" s="292"/>
      <c r="F11" s="292"/>
      <c r="G11" s="292"/>
      <c r="H11" s="291" t="s">
        <v>3</v>
      </c>
      <c r="I11" s="291"/>
      <c r="J11" s="291"/>
      <c r="K11" s="291"/>
      <c r="L11" s="291"/>
      <c r="M11" s="291"/>
      <c r="N11" s="292" t="s">
        <v>16</v>
      </c>
      <c r="O11" s="292"/>
      <c r="P11" s="292"/>
      <c r="Q11" s="292"/>
      <c r="R11" s="292"/>
      <c r="S11" s="293" t="s">
        <v>17</v>
      </c>
      <c r="T11" s="293"/>
      <c r="U11" s="293"/>
      <c r="V11" s="293"/>
      <c r="W11" s="293"/>
      <c r="X11" s="293"/>
      <c r="Y11" s="293"/>
      <c r="Z11" s="12"/>
    </row>
    <row r="12" spans="1:26" ht="15.9" customHeight="1" x14ac:dyDescent="0.25">
      <c r="A12" s="9"/>
      <c r="B12" s="292" t="s">
        <v>18</v>
      </c>
      <c r="C12" s="292"/>
      <c r="D12" s="292"/>
      <c r="E12" s="292"/>
      <c r="F12" s="292"/>
      <c r="G12" s="292"/>
      <c r="H12" s="291" t="s">
        <v>19</v>
      </c>
      <c r="I12" s="291"/>
      <c r="J12" s="291"/>
      <c r="K12" s="291"/>
      <c r="L12" s="291"/>
      <c r="M12" s="291"/>
      <c r="N12" s="292" t="s">
        <v>20</v>
      </c>
      <c r="O12" s="292"/>
      <c r="P12" s="292"/>
      <c r="Q12" s="292"/>
      <c r="R12" s="292"/>
      <c r="S12" s="293" t="s">
        <v>21</v>
      </c>
      <c r="T12" s="293"/>
      <c r="U12" s="293"/>
      <c r="V12" s="293"/>
      <c r="W12" s="293"/>
      <c r="X12" s="293"/>
      <c r="Y12" s="29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329" t="s">
        <v>24</v>
      </c>
      <c r="C17" s="329"/>
      <c r="D17" s="329"/>
      <c r="E17" s="329"/>
      <c r="F17" s="329"/>
      <c r="G17" s="329"/>
      <c r="H17" s="329"/>
      <c r="I17" s="330"/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28"/>
    </row>
    <row r="18" spans="1:26" s="17" customFormat="1" ht="15" customHeight="1" x14ac:dyDescent="0.25">
      <c r="A18" s="24"/>
      <c r="B18" s="329" t="s">
        <v>25</v>
      </c>
      <c r="C18" s="329"/>
      <c r="D18" s="329"/>
      <c r="E18" s="329"/>
      <c r="F18" s="329"/>
      <c r="G18" s="329"/>
      <c r="H18" s="329"/>
      <c r="I18" s="331" t="s">
        <v>26</v>
      </c>
      <c r="J18" s="331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50" t="s">
        <v>29</v>
      </c>
      <c r="C21" s="33"/>
      <c r="D21" s="34"/>
      <c r="E21" s="34"/>
      <c r="F21" s="34"/>
      <c r="G21" s="34"/>
      <c r="H21" s="33"/>
      <c r="I21" s="33"/>
      <c r="J21" s="33"/>
      <c r="K21" s="49" t="s">
        <v>30</v>
      </c>
      <c r="L21" s="33"/>
      <c r="M21" s="6"/>
      <c r="N21" s="6"/>
      <c r="O21" s="6"/>
      <c r="P21" s="6"/>
      <c r="Q21" s="49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51"/>
      <c r="Z22" s="11"/>
    </row>
    <row r="23" spans="1:26" ht="15.75" customHeight="1" x14ac:dyDescent="0.25">
      <c r="A23" s="9"/>
      <c r="B23" s="332" t="s">
        <v>31</v>
      </c>
      <c r="C23" s="334" t="s">
        <v>32</v>
      </c>
      <c r="D23" s="334"/>
      <c r="E23" s="334"/>
      <c r="F23" s="334"/>
      <c r="G23" s="335"/>
      <c r="H23" s="338" t="s">
        <v>33</v>
      </c>
      <c r="I23" s="339"/>
      <c r="J23" s="340"/>
      <c r="K23" s="334" t="s">
        <v>34</v>
      </c>
      <c r="L23" s="334"/>
      <c r="M23" s="334"/>
      <c r="N23" s="334"/>
      <c r="O23" s="334"/>
      <c r="P23" s="335"/>
      <c r="Z23" s="11"/>
    </row>
    <row r="24" spans="1:26" ht="15.75" customHeight="1" x14ac:dyDescent="0.25">
      <c r="A24" s="9"/>
      <c r="B24" s="333"/>
      <c r="C24" s="336"/>
      <c r="D24" s="336"/>
      <c r="E24" s="336"/>
      <c r="F24" s="336"/>
      <c r="G24" s="337"/>
      <c r="H24" s="341" t="s">
        <v>35</v>
      </c>
      <c r="I24" s="342"/>
      <c r="J24" s="343"/>
      <c r="K24" s="336"/>
      <c r="L24" s="336"/>
      <c r="M24" s="336"/>
      <c r="N24" s="336"/>
      <c r="O24" s="336"/>
      <c r="P24" s="337"/>
      <c r="Z24" s="11"/>
    </row>
    <row r="25" spans="1:26" ht="19.5" customHeight="1" x14ac:dyDescent="0.25">
      <c r="A25" s="9"/>
      <c r="B25" s="61">
        <v>25</v>
      </c>
      <c r="C25" s="353" t="s">
        <v>38</v>
      </c>
      <c r="D25" s="354"/>
      <c r="E25" s="354"/>
      <c r="F25" s="354"/>
      <c r="G25" s="355"/>
      <c r="H25" s="350">
        <v>40</v>
      </c>
      <c r="I25" s="351"/>
      <c r="J25" s="352"/>
      <c r="K25" s="347"/>
      <c r="L25" s="348"/>
      <c r="M25" s="348"/>
      <c r="N25" s="348"/>
      <c r="O25" s="348"/>
      <c r="P25" s="349"/>
      <c r="Z25" s="11"/>
    </row>
    <row r="26" spans="1:26" ht="19.5" customHeight="1" x14ac:dyDescent="0.25">
      <c r="A26" s="9"/>
      <c r="B26" s="61">
        <v>26</v>
      </c>
      <c r="C26" s="356"/>
      <c r="D26" s="357"/>
      <c r="E26" s="357"/>
      <c r="F26" s="357"/>
      <c r="G26" s="358"/>
      <c r="H26" s="350">
        <v>24</v>
      </c>
      <c r="I26" s="351"/>
      <c r="J26" s="352"/>
      <c r="K26" s="347"/>
      <c r="L26" s="348"/>
      <c r="M26" s="348"/>
      <c r="N26" s="348"/>
      <c r="O26" s="348"/>
      <c r="P26" s="349"/>
      <c r="Z26" s="11"/>
    </row>
    <row r="27" spans="1:26" ht="19.5" customHeight="1" x14ac:dyDescent="0.25">
      <c r="A27" s="9"/>
      <c r="B27" s="61">
        <v>27</v>
      </c>
      <c r="C27" s="356"/>
      <c r="D27" s="357"/>
      <c r="E27" s="357"/>
      <c r="F27" s="357"/>
      <c r="G27" s="358"/>
      <c r="H27" s="350">
        <v>65</v>
      </c>
      <c r="I27" s="351"/>
      <c r="J27" s="352"/>
      <c r="K27" s="347"/>
      <c r="L27" s="348"/>
      <c r="M27" s="348"/>
      <c r="N27" s="348"/>
      <c r="O27" s="348"/>
      <c r="P27" s="349"/>
      <c r="Z27" s="11"/>
    </row>
    <row r="28" spans="1:26" ht="19.5" customHeight="1" x14ac:dyDescent="0.25">
      <c r="A28" s="9"/>
      <c r="B28" s="61">
        <v>28</v>
      </c>
      <c r="C28" s="356"/>
      <c r="D28" s="357"/>
      <c r="E28" s="357"/>
      <c r="F28" s="357"/>
      <c r="G28" s="358"/>
      <c r="H28" s="350">
        <v>42</v>
      </c>
      <c r="I28" s="351"/>
      <c r="J28" s="352"/>
      <c r="K28" s="347"/>
      <c r="L28" s="348"/>
      <c r="M28" s="348"/>
      <c r="N28" s="348"/>
      <c r="O28" s="348"/>
      <c r="P28" s="349"/>
      <c r="Z28" s="11"/>
    </row>
    <row r="29" spans="1:26" ht="19.5" customHeight="1" x14ac:dyDescent="0.25">
      <c r="A29" s="9"/>
      <c r="B29" s="61">
        <v>29</v>
      </c>
      <c r="C29" s="356"/>
      <c r="D29" s="357"/>
      <c r="E29" s="357"/>
      <c r="F29" s="357"/>
      <c r="G29" s="358"/>
      <c r="H29" s="350">
        <v>27</v>
      </c>
      <c r="I29" s="351"/>
      <c r="J29" s="352"/>
      <c r="K29" s="347"/>
      <c r="L29" s="348"/>
      <c r="M29" s="348"/>
      <c r="N29" s="348"/>
      <c r="O29" s="348"/>
      <c r="P29" s="349"/>
      <c r="Z29" s="11"/>
    </row>
    <row r="30" spans="1:26" ht="19.5" customHeight="1" x14ac:dyDescent="0.25">
      <c r="A30" s="9"/>
      <c r="B30" s="61">
        <v>30</v>
      </c>
      <c r="C30" s="356"/>
      <c r="D30" s="357"/>
      <c r="E30" s="357"/>
      <c r="F30" s="357"/>
      <c r="G30" s="358"/>
      <c r="H30" s="350">
        <v>37</v>
      </c>
      <c r="I30" s="351"/>
      <c r="J30" s="352"/>
      <c r="K30" s="347"/>
      <c r="L30" s="348"/>
      <c r="M30" s="348"/>
      <c r="N30" s="348"/>
      <c r="O30" s="348"/>
      <c r="P30" s="349"/>
      <c r="Z30" s="11"/>
    </row>
    <row r="31" spans="1:26" ht="19.5" customHeight="1" x14ac:dyDescent="0.25">
      <c r="A31" s="9"/>
      <c r="B31" s="61">
        <v>31</v>
      </c>
      <c r="C31" s="356"/>
      <c r="D31" s="357"/>
      <c r="E31" s="357"/>
      <c r="F31" s="357"/>
      <c r="G31" s="358"/>
      <c r="H31" s="350">
        <v>41</v>
      </c>
      <c r="I31" s="351"/>
      <c r="J31" s="352"/>
      <c r="K31" s="347"/>
      <c r="L31" s="348"/>
      <c r="M31" s="348"/>
      <c r="N31" s="348"/>
      <c r="O31" s="348"/>
      <c r="P31" s="349"/>
      <c r="Z31" s="11"/>
    </row>
    <row r="32" spans="1:26" ht="19.5" customHeight="1" x14ac:dyDescent="0.25">
      <c r="A32" s="9"/>
      <c r="B32" s="61">
        <v>32</v>
      </c>
      <c r="C32" s="356"/>
      <c r="D32" s="357"/>
      <c r="E32" s="357"/>
      <c r="F32" s="357"/>
      <c r="G32" s="358"/>
      <c r="H32" s="350">
        <v>39</v>
      </c>
      <c r="I32" s="351"/>
      <c r="J32" s="352"/>
      <c r="K32" s="347"/>
      <c r="L32" s="348"/>
      <c r="M32" s="348"/>
      <c r="N32" s="348"/>
      <c r="O32" s="348"/>
      <c r="P32" s="349"/>
      <c r="Z32" s="11"/>
    </row>
    <row r="33" spans="1:26" ht="19.5" customHeight="1" x14ac:dyDescent="0.25">
      <c r="A33" s="9"/>
      <c r="B33" s="61">
        <v>33</v>
      </c>
      <c r="C33" s="359"/>
      <c r="D33" s="360"/>
      <c r="E33" s="360"/>
      <c r="F33" s="360"/>
      <c r="G33" s="361"/>
      <c r="H33" s="350">
        <v>30</v>
      </c>
      <c r="I33" s="351"/>
      <c r="J33" s="352"/>
      <c r="K33" s="347"/>
      <c r="L33" s="348"/>
      <c r="M33" s="348"/>
      <c r="N33" s="348"/>
      <c r="O33" s="348"/>
      <c r="P33" s="349"/>
      <c r="Z33" s="11"/>
    </row>
    <row r="34" spans="1:26" ht="19.5" customHeight="1" x14ac:dyDescent="0.25">
      <c r="A34" s="9"/>
      <c r="B34" s="61">
        <v>34</v>
      </c>
      <c r="C34" s="353" t="s">
        <v>39</v>
      </c>
      <c r="D34" s="354"/>
      <c r="E34" s="354"/>
      <c r="F34" s="354"/>
      <c r="G34" s="355"/>
      <c r="H34" s="350">
        <v>35</v>
      </c>
      <c r="I34" s="351"/>
      <c r="J34" s="352"/>
      <c r="K34" s="347"/>
      <c r="L34" s="348"/>
      <c r="M34" s="348"/>
      <c r="N34" s="348"/>
      <c r="O34" s="348"/>
      <c r="P34" s="349"/>
      <c r="Z34" s="11"/>
    </row>
    <row r="35" spans="1:26" ht="19.5" customHeight="1" x14ac:dyDescent="0.25">
      <c r="A35" s="9"/>
      <c r="B35" s="61">
        <v>35</v>
      </c>
      <c r="C35" s="356"/>
      <c r="D35" s="357"/>
      <c r="E35" s="357"/>
      <c r="F35" s="357"/>
      <c r="G35" s="358"/>
      <c r="H35" s="350">
        <v>25</v>
      </c>
      <c r="I35" s="351"/>
      <c r="J35" s="352"/>
      <c r="K35" s="347"/>
      <c r="L35" s="348"/>
      <c r="M35" s="348"/>
      <c r="N35" s="348"/>
      <c r="O35" s="348"/>
      <c r="P35" s="349"/>
      <c r="Z35" s="11"/>
    </row>
    <row r="36" spans="1:26" ht="19.5" customHeight="1" x14ac:dyDescent="0.25">
      <c r="A36" s="9"/>
      <c r="B36" s="61">
        <v>36</v>
      </c>
      <c r="C36" s="356"/>
      <c r="D36" s="357"/>
      <c r="E36" s="357"/>
      <c r="F36" s="357"/>
      <c r="G36" s="358"/>
      <c r="H36" s="350">
        <v>35</v>
      </c>
      <c r="I36" s="351"/>
      <c r="J36" s="352"/>
      <c r="K36" s="347"/>
      <c r="L36" s="348"/>
      <c r="M36" s="348"/>
      <c r="N36" s="348"/>
      <c r="O36" s="348"/>
      <c r="P36" s="349"/>
      <c r="Z36" s="11"/>
    </row>
    <row r="37" spans="1:26" ht="19.5" customHeight="1" x14ac:dyDescent="0.25">
      <c r="A37" s="9"/>
      <c r="B37" s="61">
        <v>37</v>
      </c>
      <c r="C37" s="356"/>
      <c r="D37" s="357"/>
      <c r="E37" s="357"/>
      <c r="F37" s="357"/>
      <c r="G37" s="358"/>
      <c r="H37" s="350">
        <v>37</v>
      </c>
      <c r="I37" s="351"/>
      <c r="J37" s="352"/>
      <c r="K37" s="347"/>
      <c r="L37" s="348"/>
      <c r="M37" s="348"/>
      <c r="N37" s="348"/>
      <c r="O37" s="348"/>
      <c r="P37" s="349"/>
      <c r="Z37" s="11"/>
    </row>
    <row r="38" spans="1:26" ht="19.5" customHeight="1" x14ac:dyDescent="0.25">
      <c r="A38" s="9"/>
      <c r="B38" s="61">
        <v>38</v>
      </c>
      <c r="C38" s="356"/>
      <c r="D38" s="357"/>
      <c r="E38" s="357"/>
      <c r="F38" s="357"/>
      <c r="G38" s="358"/>
      <c r="H38" s="350">
        <v>40</v>
      </c>
      <c r="I38" s="351"/>
      <c r="J38" s="352"/>
      <c r="K38" s="347"/>
      <c r="L38" s="348"/>
      <c r="M38" s="348"/>
      <c r="N38" s="348"/>
      <c r="O38" s="348"/>
      <c r="P38" s="349"/>
      <c r="Z38" s="11"/>
    </row>
    <row r="39" spans="1:26" ht="19.5" customHeight="1" x14ac:dyDescent="0.25">
      <c r="A39" s="9"/>
      <c r="B39" s="61">
        <v>39</v>
      </c>
      <c r="C39" s="359"/>
      <c r="D39" s="360"/>
      <c r="E39" s="360"/>
      <c r="F39" s="360"/>
      <c r="G39" s="361"/>
      <c r="H39" s="350">
        <v>46</v>
      </c>
      <c r="I39" s="351"/>
      <c r="J39" s="352"/>
      <c r="K39" s="347"/>
      <c r="L39" s="348"/>
      <c r="M39" s="348"/>
      <c r="N39" s="348"/>
      <c r="O39" s="348"/>
      <c r="P39" s="349"/>
      <c r="Z39" s="11"/>
    </row>
    <row r="40" spans="1:26" ht="19.5" customHeight="1" x14ac:dyDescent="0.25">
      <c r="A40" s="9"/>
      <c r="B40" s="61">
        <v>40</v>
      </c>
      <c r="C40" s="362" t="s">
        <v>40</v>
      </c>
      <c r="D40" s="363"/>
      <c r="E40" s="363"/>
      <c r="F40" s="363"/>
      <c r="G40" s="364"/>
      <c r="H40" s="350">
        <v>51</v>
      </c>
      <c r="I40" s="351"/>
      <c r="J40" s="352"/>
      <c r="K40" s="347"/>
      <c r="L40" s="348"/>
      <c r="M40" s="348"/>
      <c r="N40" s="348"/>
      <c r="O40" s="348"/>
      <c r="P40" s="349"/>
      <c r="Z40" s="11"/>
    </row>
    <row r="41" spans="1:26" ht="19.5" customHeight="1" x14ac:dyDescent="0.25">
      <c r="A41" s="9"/>
      <c r="B41" s="61">
        <v>41</v>
      </c>
      <c r="C41" s="365"/>
      <c r="D41" s="366"/>
      <c r="E41" s="366"/>
      <c r="F41" s="366"/>
      <c r="G41" s="367"/>
      <c r="H41" s="350">
        <v>44</v>
      </c>
      <c r="I41" s="351"/>
      <c r="J41" s="352"/>
      <c r="K41" s="347"/>
      <c r="L41" s="348"/>
      <c r="M41" s="348"/>
      <c r="N41" s="348"/>
      <c r="O41" s="348"/>
      <c r="P41" s="349"/>
      <c r="Z41" s="11"/>
    </row>
    <row r="42" spans="1:26" ht="19.5" customHeight="1" x14ac:dyDescent="0.25">
      <c r="A42" s="9"/>
      <c r="B42" s="61">
        <v>42</v>
      </c>
      <c r="C42" s="365"/>
      <c r="D42" s="366"/>
      <c r="E42" s="366"/>
      <c r="F42" s="366"/>
      <c r="G42" s="367"/>
      <c r="H42" s="350">
        <v>65</v>
      </c>
      <c r="I42" s="351"/>
      <c r="J42" s="352"/>
      <c r="K42" s="347"/>
      <c r="L42" s="348"/>
      <c r="M42" s="348"/>
      <c r="N42" s="348"/>
      <c r="O42" s="348"/>
      <c r="P42" s="349"/>
      <c r="Z42" s="11"/>
    </row>
    <row r="43" spans="1:26" ht="19.5" customHeight="1" x14ac:dyDescent="0.25">
      <c r="A43" s="9"/>
      <c r="B43" s="61">
        <v>43</v>
      </c>
      <c r="C43" s="368"/>
      <c r="D43" s="369"/>
      <c r="E43" s="369"/>
      <c r="F43" s="369"/>
      <c r="G43" s="370"/>
      <c r="H43" s="350">
        <v>32</v>
      </c>
      <c r="I43" s="351"/>
      <c r="J43" s="352"/>
      <c r="K43" s="347"/>
      <c r="L43" s="348"/>
      <c r="M43" s="348"/>
      <c r="N43" s="348"/>
      <c r="O43" s="348"/>
      <c r="P43" s="349"/>
      <c r="Z43" s="11"/>
    </row>
    <row r="44" spans="1:26" ht="19.5" customHeight="1" x14ac:dyDescent="0.25">
      <c r="A44" s="9"/>
      <c r="B44" s="61">
        <v>44</v>
      </c>
      <c r="C44" s="362" t="s">
        <v>41</v>
      </c>
      <c r="D44" s="363"/>
      <c r="E44" s="363"/>
      <c r="F44" s="363"/>
      <c r="G44" s="364"/>
      <c r="H44" s="350">
        <v>36</v>
      </c>
      <c r="I44" s="351"/>
      <c r="J44" s="352"/>
      <c r="K44" s="347"/>
      <c r="L44" s="348"/>
      <c r="M44" s="348"/>
      <c r="N44" s="348"/>
      <c r="O44" s="348"/>
      <c r="P44" s="349"/>
      <c r="Z44" s="11"/>
    </row>
    <row r="45" spans="1:26" ht="19.5" customHeight="1" x14ac:dyDescent="0.25">
      <c r="A45" s="9"/>
      <c r="B45" s="61">
        <v>45</v>
      </c>
      <c r="C45" s="365"/>
      <c r="D45" s="366"/>
      <c r="E45" s="366"/>
      <c r="F45" s="366"/>
      <c r="G45" s="367"/>
      <c r="H45" s="350">
        <v>37</v>
      </c>
      <c r="I45" s="351"/>
      <c r="J45" s="352"/>
      <c r="K45" s="347"/>
      <c r="L45" s="348"/>
      <c r="M45" s="348"/>
      <c r="N45" s="348"/>
      <c r="O45" s="348"/>
      <c r="P45" s="349"/>
      <c r="Z45" s="11"/>
    </row>
    <row r="46" spans="1:26" ht="19.5" customHeight="1" x14ac:dyDescent="0.25">
      <c r="A46" s="9"/>
      <c r="B46" s="61">
        <v>46</v>
      </c>
      <c r="C46" s="365"/>
      <c r="D46" s="366"/>
      <c r="E46" s="366"/>
      <c r="F46" s="366"/>
      <c r="G46" s="367"/>
      <c r="H46" s="350">
        <v>31</v>
      </c>
      <c r="I46" s="351"/>
      <c r="J46" s="352"/>
      <c r="K46" s="347"/>
      <c r="L46" s="348"/>
      <c r="M46" s="348"/>
      <c r="N46" s="348"/>
      <c r="O46" s="348"/>
      <c r="P46" s="349"/>
      <c r="Z46" s="11"/>
    </row>
    <row r="47" spans="1:26" ht="19.5" customHeight="1" x14ac:dyDescent="0.25">
      <c r="A47" s="9"/>
      <c r="B47" s="61">
        <v>47</v>
      </c>
      <c r="C47" s="365"/>
      <c r="D47" s="366"/>
      <c r="E47" s="366"/>
      <c r="F47" s="366"/>
      <c r="G47" s="367"/>
      <c r="H47" s="350">
        <v>31</v>
      </c>
      <c r="I47" s="351"/>
      <c r="J47" s="352"/>
      <c r="K47" s="347"/>
      <c r="L47" s="348"/>
      <c r="M47" s="348"/>
      <c r="N47" s="348"/>
      <c r="O47" s="348"/>
      <c r="P47" s="349"/>
      <c r="Z47" s="11"/>
    </row>
    <row r="48" spans="1:26" ht="19.5" customHeight="1" x14ac:dyDescent="0.25">
      <c r="A48" s="9"/>
      <c r="B48" s="63">
        <v>48</v>
      </c>
      <c r="C48" s="368"/>
      <c r="D48" s="369"/>
      <c r="E48" s="369"/>
      <c r="F48" s="369"/>
      <c r="G48" s="370"/>
      <c r="H48" s="350">
        <v>38</v>
      </c>
      <c r="I48" s="377"/>
      <c r="J48" s="378"/>
      <c r="K48" s="347"/>
      <c r="L48" s="348"/>
      <c r="M48" s="348"/>
      <c r="N48" s="348"/>
      <c r="O48" s="348"/>
      <c r="P48" s="349"/>
      <c r="Z48" s="11"/>
    </row>
    <row r="49" spans="1:26" ht="19.5" customHeight="1" thickBot="1" x14ac:dyDescent="0.3">
      <c r="A49" s="9"/>
      <c r="B49" s="62"/>
      <c r="C49" s="371"/>
      <c r="D49" s="372"/>
      <c r="E49" s="372"/>
      <c r="F49" s="372"/>
      <c r="G49" s="373"/>
      <c r="H49" s="374"/>
      <c r="I49" s="375"/>
      <c r="J49" s="376"/>
      <c r="K49" s="371"/>
      <c r="L49" s="372"/>
      <c r="M49" s="372"/>
      <c r="N49" s="372"/>
      <c r="O49" s="372"/>
      <c r="P49" s="373"/>
      <c r="Z49" s="11"/>
    </row>
    <row r="50" spans="1:26" ht="15.75" customHeight="1" x14ac:dyDescent="0.25">
      <c r="A50" s="9"/>
      <c r="B50" s="398" t="s">
        <v>42</v>
      </c>
      <c r="C50" s="399"/>
      <c r="D50" s="399"/>
      <c r="E50" s="399"/>
      <c r="F50" s="399"/>
      <c r="G50" s="400"/>
      <c r="H50" s="401">
        <f>AVERAGE(H25:J49)</f>
        <v>38.666666666666664</v>
      </c>
      <c r="I50" s="402"/>
      <c r="J50" s="403"/>
      <c r="K50" s="404" t="s">
        <v>43</v>
      </c>
      <c r="L50" s="405"/>
      <c r="M50" s="410" t="s">
        <v>44</v>
      </c>
      <c r="N50" s="410"/>
      <c r="O50" s="410"/>
      <c r="P50" s="411"/>
      <c r="Z50" s="11"/>
    </row>
    <row r="51" spans="1:26" ht="15.75" customHeight="1" x14ac:dyDescent="0.25">
      <c r="A51" s="9"/>
      <c r="B51" s="416" t="s">
        <v>45</v>
      </c>
      <c r="C51" s="417"/>
      <c r="D51" s="417"/>
      <c r="E51" s="417"/>
      <c r="F51" s="417"/>
      <c r="G51" s="418"/>
      <c r="H51" s="419">
        <f>IF(COUNTIF(H25:J49,"*&lt;20*"),"&lt;20",MIN(H25:J49))</f>
        <v>24</v>
      </c>
      <c r="I51" s="420"/>
      <c r="J51" s="421"/>
      <c r="K51" s="406"/>
      <c r="L51" s="407"/>
      <c r="M51" s="412"/>
      <c r="N51" s="412"/>
      <c r="O51" s="412"/>
      <c r="P51" s="413"/>
      <c r="Z51" s="11"/>
    </row>
    <row r="52" spans="1:26" ht="15.75" customHeight="1" thickBot="1" x14ac:dyDescent="0.3">
      <c r="A52" s="9"/>
      <c r="B52" s="422" t="s">
        <v>46</v>
      </c>
      <c r="C52" s="423"/>
      <c r="D52" s="423"/>
      <c r="E52" s="423"/>
      <c r="F52" s="423"/>
      <c r="G52" s="424"/>
      <c r="H52" s="425">
        <f>IF(COUNTIF(H25:J49,"*&gt;250*"),"&gt;250",MAX(H25:J49))</f>
        <v>65</v>
      </c>
      <c r="I52" s="426"/>
      <c r="J52" s="427"/>
      <c r="K52" s="408"/>
      <c r="L52" s="409"/>
      <c r="M52" s="414"/>
      <c r="N52" s="414"/>
      <c r="O52" s="414"/>
      <c r="P52" s="415"/>
      <c r="Z52" s="11"/>
    </row>
    <row r="53" spans="1:26" ht="15.9" customHeight="1" x14ac:dyDescent="0.25">
      <c r="A53" s="35"/>
      <c r="B53" s="5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6"/>
    </row>
    <row r="54" spans="1:26" ht="12.75" customHeight="1" x14ac:dyDescent="0.25">
      <c r="A54" s="36"/>
      <c r="B54" s="37"/>
    </row>
    <row r="55" spans="1:26" s="17" customFormat="1" ht="30.75" customHeight="1" x14ac:dyDescent="0.25">
      <c r="A55" s="38" t="s">
        <v>47</v>
      </c>
      <c r="B55" s="39" t="s">
        <v>48</v>
      </c>
      <c r="C55" s="40"/>
      <c r="D55" s="40"/>
      <c r="E55" s="40"/>
      <c r="F55" s="41"/>
      <c r="G55" s="41"/>
      <c r="H55" s="41"/>
      <c r="I55" s="6"/>
      <c r="J55" s="6"/>
      <c r="K55" s="6"/>
      <c r="L55" s="6"/>
      <c r="M55" s="6"/>
      <c r="N55" s="6"/>
      <c r="O55" s="6"/>
      <c r="P55" s="6"/>
      <c r="Q55" s="41"/>
      <c r="R55" s="6"/>
      <c r="S55" s="6"/>
      <c r="T55" s="6"/>
      <c r="U55" s="379"/>
      <c r="V55" s="379"/>
      <c r="W55" s="379"/>
      <c r="X55" s="380"/>
      <c r="Y55" s="380"/>
      <c r="Z55" s="381"/>
    </row>
    <row r="56" spans="1:26" s="17" customFormat="1" ht="28.5" customHeight="1" x14ac:dyDescent="0.25">
      <c r="A56" s="382" t="s">
        <v>49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4"/>
      <c r="L56" s="385" t="s">
        <v>58</v>
      </c>
      <c r="M56" s="386"/>
      <c r="N56" s="386"/>
      <c r="O56" s="386"/>
      <c r="P56" s="386"/>
      <c r="Q56" s="387"/>
      <c r="R56" s="388" t="s">
        <v>50</v>
      </c>
      <c r="S56" s="389"/>
      <c r="T56" s="390"/>
      <c r="U56" s="391" t="s">
        <v>12</v>
      </c>
      <c r="V56" s="392"/>
      <c r="W56" s="392"/>
      <c r="X56" s="393"/>
      <c r="Y56" s="393"/>
      <c r="Z56" s="394"/>
    </row>
    <row r="57" spans="1:26" s="17" customFormat="1" ht="14.25" customHeight="1" x14ac:dyDescent="0.25">
      <c r="A57" s="9"/>
      <c r="B57" s="1"/>
      <c r="C57" s="42"/>
      <c r="D57" s="1"/>
      <c r="E57" s="1"/>
      <c r="F57" s="1"/>
      <c r="G57" s="1"/>
      <c r="H57" s="395"/>
      <c r="I57" s="395"/>
      <c r="J57" s="395"/>
      <c r="K57" s="396"/>
      <c r="L57" s="1"/>
      <c r="M57" s="395"/>
      <c r="N57" s="395"/>
      <c r="O57" s="395"/>
      <c r="P57" s="395"/>
      <c r="Q57" s="397"/>
      <c r="R57" s="388" t="s">
        <v>51</v>
      </c>
      <c r="S57" s="389"/>
      <c r="T57" s="390"/>
      <c r="U57" s="362" t="s">
        <v>52</v>
      </c>
      <c r="V57" s="363"/>
      <c r="W57" s="363"/>
      <c r="X57" s="363"/>
      <c r="Y57" s="363"/>
      <c r="Z57" s="364"/>
    </row>
    <row r="58" spans="1:26" s="17" customFormat="1" ht="9" customHeight="1" x14ac:dyDescent="0.25">
      <c r="A58" s="9"/>
      <c r="B58" s="1"/>
      <c r="C58" s="1"/>
      <c r="D58" s="1"/>
      <c r="E58" s="1"/>
      <c r="F58" s="1"/>
      <c r="G58" s="1"/>
      <c r="H58" s="1"/>
      <c r="I58" s="1"/>
      <c r="J58" s="1"/>
      <c r="K58" s="43"/>
      <c r="L58" s="1"/>
      <c r="M58" s="1"/>
      <c r="N58" s="1"/>
      <c r="O58" s="1"/>
      <c r="P58" s="1"/>
      <c r="Q58" s="11"/>
      <c r="R58" s="388"/>
      <c r="S58" s="389"/>
      <c r="T58" s="390"/>
      <c r="U58" s="365"/>
      <c r="V58" s="366"/>
      <c r="W58" s="366"/>
      <c r="X58" s="366"/>
      <c r="Y58" s="366"/>
      <c r="Z58" s="367"/>
    </row>
    <row r="59" spans="1:26" s="17" customFormat="1" ht="12.75" customHeight="1" x14ac:dyDescent="0.25">
      <c r="A59" s="13"/>
      <c r="B59" s="3"/>
      <c r="C59" s="3"/>
      <c r="D59" s="3"/>
      <c r="E59" s="3"/>
      <c r="F59" s="3"/>
      <c r="G59" s="3"/>
      <c r="H59" s="3"/>
      <c r="I59" s="3"/>
      <c r="J59" s="3"/>
      <c r="K59" s="44"/>
      <c r="L59" s="3"/>
      <c r="M59" s="3"/>
      <c r="N59" s="3"/>
      <c r="O59" s="3"/>
      <c r="P59" s="3"/>
      <c r="Q59" s="16"/>
      <c r="R59" s="388"/>
      <c r="S59" s="389"/>
      <c r="T59" s="390"/>
      <c r="U59" s="365"/>
      <c r="V59" s="366"/>
      <c r="W59" s="366"/>
      <c r="X59" s="366"/>
      <c r="Y59" s="366"/>
      <c r="Z59" s="367"/>
    </row>
    <row r="60" spans="1:26" s="17" customFormat="1" ht="14.25" customHeight="1" x14ac:dyDescent="0.25">
      <c r="A60" s="45" t="s">
        <v>53</v>
      </c>
      <c r="B60" s="46" t="s">
        <v>54</v>
      </c>
      <c r="C60" s="1"/>
      <c r="D60" s="1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8"/>
      <c r="R60" s="388" t="s">
        <v>55</v>
      </c>
      <c r="S60" s="389"/>
      <c r="T60" s="390"/>
      <c r="U60" s="53"/>
      <c r="V60" s="54"/>
      <c r="W60" s="54"/>
      <c r="X60" s="54"/>
      <c r="Y60" s="54"/>
      <c r="Z60" s="55"/>
    </row>
    <row r="61" spans="1:26" s="17" customFormat="1" ht="12.75" customHeight="1" x14ac:dyDescent="0.25">
      <c r="A61" s="431"/>
      <c r="B61" s="432"/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3"/>
      <c r="R61" s="388"/>
      <c r="S61" s="389"/>
      <c r="T61" s="390"/>
      <c r="U61" s="56"/>
      <c r="V61" s="357" t="s">
        <v>56</v>
      </c>
      <c r="W61" s="357"/>
      <c r="X61" s="357"/>
      <c r="Y61" s="357"/>
      <c r="Z61" s="57"/>
    </row>
    <row r="62" spans="1:26" s="17" customFormat="1" ht="16.5" customHeight="1" x14ac:dyDescent="0.25">
      <c r="A62" s="431"/>
      <c r="B62" s="432"/>
      <c r="C62" s="432"/>
      <c r="D62" s="432"/>
      <c r="E62" s="432"/>
      <c r="F62" s="432"/>
      <c r="G62" s="432"/>
      <c r="H62" s="432"/>
      <c r="I62" s="432"/>
      <c r="J62" s="432"/>
      <c r="K62" s="432"/>
      <c r="L62" s="432"/>
      <c r="M62" s="432"/>
      <c r="N62" s="432"/>
      <c r="O62" s="432"/>
      <c r="P62" s="432"/>
      <c r="Q62" s="433"/>
      <c r="R62" s="388"/>
      <c r="S62" s="389"/>
      <c r="T62" s="390"/>
      <c r="U62" s="56"/>
      <c r="V62" s="357"/>
      <c r="W62" s="357"/>
      <c r="X62" s="357"/>
      <c r="Y62" s="357"/>
      <c r="Z62" s="57"/>
    </row>
    <row r="63" spans="1:26" s="17" customFormat="1" ht="15.6" customHeight="1" x14ac:dyDescent="0.25">
      <c r="A63" s="431"/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3"/>
      <c r="R63" s="388"/>
      <c r="S63" s="389"/>
      <c r="T63" s="390"/>
      <c r="U63" s="56"/>
      <c r="V63" s="357"/>
      <c r="W63" s="357"/>
      <c r="X63" s="357"/>
      <c r="Y63" s="357"/>
      <c r="Z63" s="57"/>
    </row>
    <row r="64" spans="1:26" s="17" customFormat="1" ht="15" customHeight="1" x14ac:dyDescent="0.25">
      <c r="A64" s="434"/>
      <c r="B64" s="435"/>
      <c r="C64" s="435"/>
      <c r="D64" s="435"/>
      <c r="E64" s="435"/>
      <c r="F64" s="435"/>
      <c r="G64" s="435"/>
      <c r="H64" s="435"/>
      <c r="I64" s="435"/>
      <c r="J64" s="435"/>
      <c r="K64" s="435"/>
      <c r="L64" s="435"/>
      <c r="M64" s="435"/>
      <c r="N64" s="435"/>
      <c r="O64" s="435"/>
      <c r="P64" s="435"/>
      <c r="Q64" s="436"/>
      <c r="R64" s="428"/>
      <c r="S64" s="429"/>
      <c r="T64" s="430"/>
      <c r="U64" s="58"/>
      <c r="V64" s="59"/>
      <c r="W64" s="59"/>
      <c r="X64" s="59"/>
      <c r="Y64" s="59"/>
      <c r="Z64" s="60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  <row r="69" spans="1:1" ht="12.75" customHeight="1" x14ac:dyDescent="0.25">
      <c r="A69" s="1"/>
    </row>
    <row r="70" spans="1:1" ht="12.75" customHeight="1" x14ac:dyDescent="0.25">
      <c r="A70" s="1"/>
    </row>
    <row r="71" spans="1:1" ht="12.75" customHeight="1" x14ac:dyDescent="0.25">
      <c r="A71" s="1"/>
    </row>
  </sheetData>
  <sheetProtection formatCells="0" formatColumns="0" formatRows="0" insertColumns="0" insertRows="0" insertHyperlinks="0" deleteColumns="0" deleteRows="0" selectLockedCells="1" sort="0" autoFilter="0" pivotTables="0"/>
  <mergeCells count="109">
    <mergeCell ref="B50:G50"/>
    <mergeCell ref="H50:J50"/>
    <mergeCell ref="K50:L52"/>
    <mergeCell ref="M50:P52"/>
    <mergeCell ref="B51:G51"/>
    <mergeCell ref="H51:J51"/>
    <mergeCell ref="B52:G52"/>
    <mergeCell ref="H52:J52"/>
    <mergeCell ref="R60:T64"/>
    <mergeCell ref="A61:Q64"/>
    <mergeCell ref="V61:Y63"/>
    <mergeCell ref="U55:Z55"/>
    <mergeCell ref="A56:K56"/>
    <mergeCell ref="L56:Q56"/>
    <mergeCell ref="R56:T56"/>
    <mergeCell ref="U56:Z56"/>
    <mergeCell ref="H57:K57"/>
    <mergeCell ref="M57:Q57"/>
    <mergeCell ref="R57:T59"/>
    <mergeCell ref="U57:Z59"/>
    <mergeCell ref="C40:G43"/>
    <mergeCell ref="H40:J40"/>
    <mergeCell ref="K40:P40"/>
    <mergeCell ref="H41:J41"/>
    <mergeCell ref="K41:P41"/>
    <mergeCell ref="K46:P46"/>
    <mergeCell ref="H47:J47"/>
    <mergeCell ref="K47:P47"/>
    <mergeCell ref="C49:G49"/>
    <mergeCell ref="H49:J49"/>
    <mergeCell ref="K49:P49"/>
    <mergeCell ref="H42:J42"/>
    <mergeCell ref="K42:P42"/>
    <mergeCell ref="H43:J43"/>
    <mergeCell ref="K43:P43"/>
    <mergeCell ref="H44:J44"/>
    <mergeCell ref="K44:P44"/>
    <mergeCell ref="H45:J45"/>
    <mergeCell ref="K45:P45"/>
    <mergeCell ref="H46:J46"/>
    <mergeCell ref="H48:J48"/>
    <mergeCell ref="K48:P48"/>
    <mergeCell ref="C44:G48"/>
    <mergeCell ref="C34:G39"/>
    <mergeCell ref="H34:J34"/>
    <mergeCell ref="K34:P34"/>
    <mergeCell ref="H35:J35"/>
    <mergeCell ref="K35:P35"/>
    <mergeCell ref="H36:J36"/>
    <mergeCell ref="K36:P36"/>
    <mergeCell ref="H37:J37"/>
    <mergeCell ref="K37:P37"/>
    <mergeCell ref="H38:J38"/>
    <mergeCell ref="K38:P38"/>
    <mergeCell ref="H39:J39"/>
    <mergeCell ref="K39:P39"/>
    <mergeCell ref="K29:P29"/>
    <mergeCell ref="H30:J30"/>
    <mergeCell ref="K30:P30"/>
    <mergeCell ref="H31:J31"/>
    <mergeCell ref="K31:P31"/>
    <mergeCell ref="H32:J32"/>
    <mergeCell ref="K32:P32"/>
    <mergeCell ref="C25:G33"/>
    <mergeCell ref="H25:J25"/>
    <mergeCell ref="K25:P25"/>
    <mergeCell ref="H26:J26"/>
    <mergeCell ref="K26:P26"/>
    <mergeCell ref="H27:J27"/>
    <mergeCell ref="K27:P27"/>
    <mergeCell ref="H28:J28"/>
    <mergeCell ref="K28:P28"/>
    <mergeCell ref="H29:J29"/>
    <mergeCell ref="H33:J33"/>
    <mergeCell ref="K33:P33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B17:H17"/>
    <mergeCell ref="I17:Y17"/>
    <mergeCell ref="B18:H18"/>
    <mergeCell ref="I18:J18"/>
    <mergeCell ref="B23:B24"/>
    <mergeCell ref="C23:G24"/>
    <mergeCell ref="H23:J23"/>
    <mergeCell ref="K23:P24"/>
    <mergeCell ref="H24:J24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1"/>
  <sheetViews>
    <sheetView workbookViewId="0">
      <selection activeCell="O47" sqref="O47:P4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294"/>
      <c r="B1" s="295"/>
      <c r="C1" s="295"/>
      <c r="D1" s="295"/>
      <c r="E1" s="295"/>
      <c r="F1" s="296"/>
      <c r="G1" s="303" t="s">
        <v>0</v>
      </c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5"/>
      <c r="U1" s="306" t="s">
        <v>60</v>
      </c>
      <c r="V1" s="307"/>
      <c r="W1" s="307"/>
      <c r="X1" s="307"/>
      <c r="Y1" s="307"/>
      <c r="Z1" s="308"/>
    </row>
    <row r="2" spans="1:26" ht="12.75" customHeight="1" x14ac:dyDescent="0.25">
      <c r="A2" s="297"/>
      <c r="B2" s="298"/>
      <c r="C2" s="298"/>
      <c r="D2" s="298"/>
      <c r="E2" s="298"/>
      <c r="F2" s="299"/>
      <c r="G2" s="315" t="s">
        <v>1</v>
      </c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7"/>
      <c r="U2" s="309"/>
      <c r="V2" s="310"/>
      <c r="W2" s="310"/>
      <c r="X2" s="310"/>
      <c r="Y2" s="310"/>
      <c r="Z2" s="311"/>
    </row>
    <row r="3" spans="1:26" ht="12.75" customHeight="1" x14ac:dyDescent="0.25">
      <c r="A3" s="297"/>
      <c r="B3" s="298"/>
      <c r="C3" s="298"/>
      <c r="D3" s="298"/>
      <c r="E3" s="298"/>
      <c r="F3" s="299"/>
      <c r="G3" s="315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7"/>
      <c r="U3" s="309"/>
      <c r="V3" s="310"/>
      <c r="W3" s="310"/>
      <c r="X3" s="310"/>
      <c r="Y3" s="310"/>
      <c r="Z3" s="311"/>
    </row>
    <row r="4" spans="1:26" ht="12.75" customHeight="1" x14ac:dyDescent="0.25">
      <c r="A4" s="297"/>
      <c r="B4" s="298"/>
      <c r="C4" s="298"/>
      <c r="D4" s="298"/>
      <c r="E4" s="298"/>
      <c r="F4" s="299"/>
      <c r="G4" s="315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7"/>
      <c r="U4" s="309"/>
      <c r="V4" s="310"/>
      <c r="W4" s="310"/>
      <c r="X4" s="310"/>
      <c r="Y4" s="310"/>
      <c r="Z4" s="311"/>
    </row>
    <row r="5" spans="1:26" ht="12.75" customHeight="1" x14ac:dyDescent="0.25">
      <c r="A5" s="297"/>
      <c r="B5" s="298"/>
      <c r="C5" s="298"/>
      <c r="D5" s="298"/>
      <c r="E5" s="298"/>
      <c r="F5" s="299"/>
      <c r="G5" s="318" t="s">
        <v>2</v>
      </c>
      <c r="H5" s="319"/>
      <c r="I5" s="320">
        <v>1</v>
      </c>
      <c r="J5" s="320"/>
      <c r="K5" s="321"/>
      <c r="L5" s="322" t="s">
        <v>59</v>
      </c>
      <c r="M5" s="323"/>
      <c r="N5" s="323"/>
      <c r="O5" s="324"/>
      <c r="P5" s="325" t="s">
        <v>3</v>
      </c>
      <c r="Q5" s="326"/>
      <c r="R5" s="326"/>
      <c r="S5" s="326"/>
      <c r="T5" s="327"/>
      <c r="U5" s="309"/>
      <c r="V5" s="310"/>
      <c r="W5" s="310"/>
      <c r="X5" s="310"/>
      <c r="Y5" s="310"/>
      <c r="Z5" s="311"/>
    </row>
    <row r="6" spans="1:26" ht="12.75" customHeight="1" x14ac:dyDescent="0.25">
      <c r="A6" s="300"/>
      <c r="B6" s="301"/>
      <c r="C6" s="301"/>
      <c r="D6" s="301"/>
      <c r="E6" s="301"/>
      <c r="F6" s="302"/>
      <c r="G6" s="2"/>
      <c r="H6" s="3"/>
      <c r="I6" s="328" t="s">
        <v>4</v>
      </c>
      <c r="J6" s="328"/>
      <c r="K6" s="328"/>
      <c r="L6" s="328" t="s">
        <v>5</v>
      </c>
      <c r="M6" s="328"/>
      <c r="N6" s="328"/>
      <c r="O6" s="328"/>
      <c r="P6" s="328" t="s">
        <v>6</v>
      </c>
      <c r="Q6" s="328"/>
      <c r="R6" s="328"/>
      <c r="S6" s="328"/>
      <c r="T6" s="344"/>
      <c r="U6" s="312"/>
      <c r="V6" s="313"/>
      <c r="W6" s="313"/>
      <c r="X6" s="313"/>
      <c r="Y6" s="313"/>
      <c r="Z6" s="314"/>
    </row>
    <row r="7" spans="1:26" ht="37.5" customHeight="1" x14ac:dyDescent="0.25">
      <c r="A7" s="345" t="s">
        <v>7</v>
      </c>
      <c r="B7" s="345"/>
      <c r="C7" s="345"/>
      <c r="D7" s="345"/>
      <c r="E7" s="345"/>
      <c r="F7" s="345"/>
      <c r="G7" s="346" t="s">
        <v>8</v>
      </c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292" t="s">
        <v>11</v>
      </c>
      <c r="C10" s="292"/>
      <c r="D10" s="292"/>
      <c r="E10" s="292"/>
      <c r="F10" s="292"/>
      <c r="G10" s="292"/>
      <c r="H10" s="291" t="s">
        <v>12</v>
      </c>
      <c r="I10" s="291"/>
      <c r="J10" s="291"/>
      <c r="K10" s="291"/>
      <c r="L10" s="291"/>
      <c r="M10" s="291"/>
      <c r="N10" s="292" t="s">
        <v>13</v>
      </c>
      <c r="O10" s="292"/>
      <c r="P10" s="292"/>
      <c r="Q10" s="292"/>
      <c r="R10" s="292"/>
      <c r="S10" s="293" t="s">
        <v>14</v>
      </c>
      <c r="T10" s="293"/>
      <c r="U10" s="293"/>
      <c r="V10" s="293"/>
      <c r="W10" s="293"/>
      <c r="X10" s="293"/>
      <c r="Y10" s="293"/>
      <c r="Z10" s="12"/>
    </row>
    <row r="11" spans="1:26" ht="15.9" customHeight="1" x14ac:dyDescent="0.25">
      <c r="A11" s="9"/>
      <c r="B11" s="292" t="s">
        <v>15</v>
      </c>
      <c r="C11" s="292"/>
      <c r="D11" s="292"/>
      <c r="E11" s="292"/>
      <c r="F11" s="292"/>
      <c r="G11" s="292"/>
      <c r="H11" s="291" t="s">
        <v>3</v>
      </c>
      <c r="I11" s="291"/>
      <c r="J11" s="291"/>
      <c r="K11" s="291"/>
      <c r="L11" s="291"/>
      <c r="M11" s="291"/>
      <c r="N11" s="292" t="s">
        <v>16</v>
      </c>
      <c r="O11" s="292"/>
      <c r="P11" s="292"/>
      <c r="Q11" s="292"/>
      <c r="R11" s="292"/>
      <c r="S11" s="293" t="s">
        <v>17</v>
      </c>
      <c r="T11" s="293"/>
      <c r="U11" s="293"/>
      <c r="V11" s="293"/>
      <c r="W11" s="293"/>
      <c r="X11" s="293"/>
      <c r="Y11" s="293"/>
      <c r="Z11" s="12"/>
    </row>
    <row r="12" spans="1:26" ht="15.9" customHeight="1" x14ac:dyDescent="0.25">
      <c r="A12" s="9"/>
      <c r="B12" s="292" t="s">
        <v>18</v>
      </c>
      <c r="C12" s="292"/>
      <c r="D12" s="292"/>
      <c r="E12" s="292"/>
      <c r="F12" s="292"/>
      <c r="G12" s="292"/>
      <c r="H12" s="291" t="s">
        <v>19</v>
      </c>
      <c r="I12" s="291"/>
      <c r="J12" s="291"/>
      <c r="K12" s="291"/>
      <c r="L12" s="291"/>
      <c r="M12" s="291"/>
      <c r="N12" s="292" t="s">
        <v>20</v>
      </c>
      <c r="O12" s="292"/>
      <c r="P12" s="292"/>
      <c r="Q12" s="292"/>
      <c r="R12" s="292"/>
      <c r="S12" s="293" t="s">
        <v>21</v>
      </c>
      <c r="T12" s="293"/>
      <c r="U12" s="293"/>
      <c r="V12" s="293"/>
      <c r="W12" s="293"/>
      <c r="X12" s="293"/>
      <c r="Y12" s="29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329" t="s">
        <v>24</v>
      </c>
      <c r="C17" s="329"/>
      <c r="D17" s="329"/>
      <c r="E17" s="329"/>
      <c r="F17" s="329"/>
      <c r="G17" s="329"/>
      <c r="H17" s="329"/>
      <c r="I17" s="330"/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28"/>
    </row>
    <row r="18" spans="1:26" s="17" customFormat="1" ht="15" customHeight="1" x14ac:dyDescent="0.25">
      <c r="A18" s="24"/>
      <c r="B18" s="329" t="s">
        <v>25</v>
      </c>
      <c r="C18" s="329"/>
      <c r="D18" s="329"/>
      <c r="E18" s="329"/>
      <c r="F18" s="329"/>
      <c r="G18" s="329"/>
      <c r="H18" s="329"/>
      <c r="I18" s="331" t="s">
        <v>26</v>
      </c>
      <c r="J18" s="331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50" t="s">
        <v>29</v>
      </c>
      <c r="C21" s="33"/>
      <c r="D21" s="34"/>
      <c r="E21" s="34"/>
      <c r="F21" s="34"/>
      <c r="G21" s="34"/>
      <c r="H21" s="33"/>
      <c r="I21" s="33"/>
      <c r="J21" s="33"/>
      <c r="K21" s="49" t="s">
        <v>30</v>
      </c>
      <c r="L21" s="33"/>
      <c r="M21" s="6"/>
      <c r="N21" s="6"/>
      <c r="O21" s="6"/>
      <c r="P21" s="6"/>
      <c r="Q21" s="49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51"/>
      <c r="Z22" s="11"/>
    </row>
    <row r="23" spans="1:26" ht="15.75" customHeight="1" x14ac:dyDescent="0.25">
      <c r="A23" s="9"/>
      <c r="B23" s="332" t="s">
        <v>31</v>
      </c>
      <c r="C23" s="334" t="s">
        <v>32</v>
      </c>
      <c r="D23" s="334"/>
      <c r="E23" s="334"/>
      <c r="F23" s="334"/>
      <c r="G23" s="335"/>
      <c r="H23" s="338" t="s">
        <v>33</v>
      </c>
      <c r="I23" s="339"/>
      <c r="J23" s="339"/>
      <c r="K23" s="437" t="s">
        <v>34</v>
      </c>
      <c r="L23" s="438"/>
      <c r="M23" s="438"/>
      <c r="N23" s="438"/>
      <c r="O23" s="438"/>
      <c r="P23" s="438"/>
      <c r="Q23" s="438"/>
      <c r="R23" s="438"/>
      <c r="S23" s="438"/>
      <c r="T23" s="438"/>
      <c r="U23" s="438"/>
      <c r="V23" s="438"/>
      <c r="W23" s="438"/>
      <c r="X23" s="438"/>
      <c r="Y23" s="439"/>
      <c r="Z23" s="11"/>
    </row>
    <row r="24" spans="1:26" ht="15.75" customHeight="1" x14ac:dyDescent="0.25">
      <c r="A24" s="9"/>
      <c r="B24" s="333"/>
      <c r="C24" s="336"/>
      <c r="D24" s="336"/>
      <c r="E24" s="336"/>
      <c r="F24" s="336"/>
      <c r="G24" s="337"/>
      <c r="H24" s="341" t="s">
        <v>35</v>
      </c>
      <c r="I24" s="342"/>
      <c r="J24" s="342"/>
      <c r="K24" s="440"/>
      <c r="L24" s="441"/>
      <c r="M24" s="441"/>
      <c r="N24" s="441"/>
      <c r="O24" s="441"/>
      <c r="P24" s="441"/>
      <c r="Q24" s="441"/>
      <c r="R24" s="441"/>
      <c r="S24" s="441"/>
      <c r="T24" s="441"/>
      <c r="U24" s="441"/>
      <c r="V24" s="441"/>
      <c r="W24" s="441"/>
      <c r="X24" s="441"/>
      <c r="Y24" s="442"/>
      <c r="Z24" s="11"/>
    </row>
    <row r="25" spans="1:26" ht="19.5" customHeight="1" x14ac:dyDescent="0.25">
      <c r="A25" s="9"/>
      <c r="B25" s="61">
        <v>1</v>
      </c>
      <c r="C25" s="353" t="s">
        <v>36</v>
      </c>
      <c r="D25" s="354"/>
      <c r="E25" s="354"/>
      <c r="F25" s="354"/>
      <c r="G25" s="355"/>
      <c r="H25" s="350">
        <v>65</v>
      </c>
      <c r="I25" s="351"/>
      <c r="J25" s="352"/>
      <c r="K25" s="64"/>
      <c r="L25" s="65"/>
      <c r="M25" s="65"/>
      <c r="N25" s="65"/>
      <c r="O25" s="65"/>
      <c r="P25" s="65"/>
      <c r="Y25" s="76"/>
      <c r="Z25" s="11"/>
    </row>
    <row r="26" spans="1:26" ht="19.5" customHeight="1" x14ac:dyDescent="0.25">
      <c r="A26" s="9"/>
      <c r="B26" s="61">
        <v>2</v>
      </c>
      <c r="C26" s="356"/>
      <c r="D26" s="357"/>
      <c r="E26" s="357"/>
      <c r="F26" s="357"/>
      <c r="G26" s="358"/>
      <c r="H26" s="350">
        <v>61</v>
      </c>
      <c r="I26" s="351"/>
      <c r="J26" s="352"/>
      <c r="K26" s="64"/>
      <c r="L26" s="65"/>
      <c r="M26" s="81"/>
      <c r="N26" s="445" t="s">
        <v>63</v>
      </c>
      <c r="O26" s="79"/>
      <c r="P26" s="79"/>
      <c r="Q26" s="83"/>
      <c r="R26" s="451" t="s">
        <v>62</v>
      </c>
      <c r="S26" s="83"/>
      <c r="T26" s="83"/>
      <c r="U26" s="451" t="s">
        <v>61</v>
      </c>
      <c r="V26" s="76"/>
      <c r="Y26" s="77"/>
      <c r="Z26" s="11"/>
    </row>
    <row r="27" spans="1:26" ht="19.5" customHeight="1" x14ac:dyDescent="0.25">
      <c r="A27" s="9"/>
      <c r="B27" s="61">
        <v>3</v>
      </c>
      <c r="C27" s="356"/>
      <c r="D27" s="357"/>
      <c r="E27" s="357"/>
      <c r="F27" s="357"/>
      <c r="G27" s="358"/>
      <c r="H27" s="350">
        <v>53</v>
      </c>
      <c r="I27" s="351"/>
      <c r="J27" s="352"/>
      <c r="K27" s="64"/>
      <c r="L27" s="65"/>
      <c r="M27" s="82"/>
      <c r="N27" s="446"/>
      <c r="O27" s="65"/>
      <c r="P27" s="65"/>
      <c r="R27" s="447"/>
      <c r="U27" s="447"/>
      <c r="V27" s="77"/>
      <c r="Y27" s="77"/>
      <c r="Z27" s="11"/>
    </row>
    <row r="28" spans="1:26" ht="19.5" customHeight="1" x14ac:dyDescent="0.25">
      <c r="A28" s="9"/>
      <c r="B28" s="61">
        <v>4</v>
      </c>
      <c r="C28" s="356"/>
      <c r="D28" s="357"/>
      <c r="E28" s="357"/>
      <c r="F28" s="357"/>
      <c r="G28" s="358"/>
      <c r="H28" s="350">
        <v>52</v>
      </c>
      <c r="I28" s="351"/>
      <c r="J28" s="352"/>
      <c r="K28" s="64"/>
      <c r="L28" s="65"/>
      <c r="M28" s="65"/>
      <c r="N28" s="65"/>
      <c r="O28" s="84"/>
      <c r="P28" s="65"/>
      <c r="V28" s="77"/>
      <c r="Y28" s="77"/>
      <c r="Z28" s="11"/>
    </row>
    <row r="29" spans="1:26" ht="19.5" customHeight="1" x14ac:dyDescent="0.25">
      <c r="A29" s="9"/>
      <c r="B29" s="61">
        <v>5</v>
      </c>
      <c r="C29" s="356"/>
      <c r="D29" s="357"/>
      <c r="E29" s="357"/>
      <c r="F29" s="357"/>
      <c r="G29" s="358"/>
      <c r="H29" s="350">
        <v>56</v>
      </c>
      <c r="I29" s="351"/>
      <c r="J29" s="352"/>
      <c r="K29" s="64"/>
      <c r="L29" s="65"/>
      <c r="M29" s="65"/>
      <c r="N29" s="65"/>
      <c r="O29" s="84"/>
      <c r="P29" s="65"/>
      <c r="V29" s="77"/>
      <c r="Y29" s="77"/>
      <c r="Z29" s="11"/>
    </row>
    <row r="30" spans="1:26" ht="19.5" customHeight="1" x14ac:dyDescent="0.25">
      <c r="A30" s="9"/>
      <c r="B30" s="61">
        <v>6</v>
      </c>
      <c r="C30" s="356"/>
      <c r="D30" s="357"/>
      <c r="E30" s="357"/>
      <c r="F30" s="357"/>
      <c r="G30" s="358"/>
      <c r="H30" s="350">
        <v>87</v>
      </c>
      <c r="I30" s="351"/>
      <c r="J30" s="352"/>
      <c r="K30" s="64"/>
      <c r="L30" s="65"/>
      <c r="M30" s="65"/>
      <c r="N30" s="65"/>
      <c r="O30" s="84"/>
      <c r="P30" s="357" t="s">
        <v>64</v>
      </c>
      <c r="T30" s="447" t="s">
        <v>65</v>
      </c>
      <c r="V30" s="77"/>
      <c r="Y30" s="77"/>
      <c r="Z30" s="11"/>
    </row>
    <row r="31" spans="1:26" ht="19.5" customHeight="1" x14ac:dyDescent="0.25">
      <c r="A31" s="9"/>
      <c r="B31" s="61">
        <v>7</v>
      </c>
      <c r="C31" s="356"/>
      <c r="D31" s="357"/>
      <c r="E31" s="357"/>
      <c r="F31" s="357"/>
      <c r="G31" s="358"/>
      <c r="H31" s="350">
        <v>67</v>
      </c>
      <c r="I31" s="351"/>
      <c r="J31" s="352"/>
      <c r="K31" s="64"/>
      <c r="L31" s="65"/>
      <c r="M31" s="65"/>
      <c r="N31" s="65"/>
      <c r="O31" s="84"/>
      <c r="P31" s="357"/>
      <c r="T31" s="447"/>
      <c r="V31" s="77"/>
      <c r="Y31" s="77"/>
      <c r="Z31" s="11"/>
    </row>
    <row r="32" spans="1:26" ht="19.5" customHeight="1" x14ac:dyDescent="0.25">
      <c r="A32" s="9"/>
      <c r="B32" s="61">
        <v>8</v>
      </c>
      <c r="C32" s="359"/>
      <c r="D32" s="360"/>
      <c r="E32" s="360"/>
      <c r="F32" s="360"/>
      <c r="G32" s="361"/>
      <c r="H32" s="350">
        <v>66</v>
      </c>
      <c r="I32" s="351"/>
      <c r="J32" s="352"/>
      <c r="K32" s="64"/>
      <c r="L32" s="65"/>
      <c r="M32" s="65"/>
      <c r="N32" s="65"/>
      <c r="O32" s="84"/>
      <c r="P32" s="65"/>
      <c r="V32" s="77"/>
      <c r="Y32" s="77"/>
      <c r="Z32" s="11"/>
    </row>
    <row r="33" spans="1:26" ht="19.5" customHeight="1" x14ac:dyDescent="0.25">
      <c r="A33" s="9"/>
      <c r="B33" s="61">
        <v>9</v>
      </c>
      <c r="C33" s="353" t="s">
        <v>57</v>
      </c>
      <c r="D33" s="354"/>
      <c r="E33" s="354"/>
      <c r="F33" s="354"/>
      <c r="G33" s="355"/>
      <c r="H33" s="350">
        <v>60</v>
      </c>
      <c r="I33" s="351"/>
      <c r="J33" s="352"/>
      <c r="K33" s="64"/>
      <c r="L33" s="65"/>
      <c r="M33" s="65"/>
      <c r="N33" s="65"/>
      <c r="O33" s="84"/>
      <c r="P33" s="65"/>
      <c r="V33" s="77"/>
      <c r="Y33" s="77"/>
      <c r="Z33" s="11"/>
    </row>
    <row r="34" spans="1:26" ht="19.5" customHeight="1" x14ac:dyDescent="0.25">
      <c r="A34" s="9"/>
      <c r="B34" s="61">
        <v>10</v>
      </c>
      <c r="C34" s="356"/>
      <c r="D34" s="357"/>
      <c r="E34" s="357"/>
      <c r="F34" s="357"/>
      <c r="G34" s="358"/>
      <c r="H34" s="350">
        <v>55</v>
      </c>
      <c r="I34" s="351"/>
      <c r="J34" s="352"/>
      <c r="K34" s="64"/>
      <c r="L34" s="65"/>
      <c r="M34" s="65"/>
      <c r="N34" s="65"/>
      <c r="O34" s="448" t="s">
        <v>68</v>
      </c>
      <c r="P34" s="65"/>
      <c r="R34" s="447" t="s">
        <v>67</v>
      </c>
      <c r="U34" s="447" t="s">
        <v>66</v>
      </c>
      <c r="V34" s="77"/>
      <c r="Y34" s="77"/>
      <c r="Z34" s="11"/>
    </row>
    <row r="35" spans="1:26" ht="19.5" customHeight="1" x14ac:dyDescent="0.25">
      <c r="A35" s="9"/>
      <c r="B35" s="61">
        <v>11</v>
      </c>
      <c r="C35" s="356"/>
      <c r="D35" s="357"/>
      <c r="E35" s="357"/>
      <c r="F35" s="357"/>
      <c r="G35" s="358"/>
      <c r="H35" s="350">
        <v>54</v>
      </c>
      <c r="I35" s="351"/>
      <c r="J35" s="352"/>
      <c r="K35" s="64"/>
      <c r="L35" s="65"/>
      <c r="M35" s="65"/>
      <c r="N35" s="65"/>
      <c r="O35" s="448"/>
      <c r="P35" s="65"/>
      <c r="R35" s="447"/>
      <c r="U35" s="447"/>
      <c r="V35" s="77"/>
      <c r="Y35" s="77"/>
      <c r="Z35" s="11"/>
    </row>
    <row r="36" spans="1:26" ht="19.5" customHeight="1" x14ac:dyDescent="0.25">
      <c r="A36" s="9"/>
      <c r="B36" s="61">
        <v>12</v>
      </c>
      <c r="C36" s="356"/>
      <c r="D36" s="357"/>
      <c r="E36" s="357"/>
      <c r="F36" s="357"/>
      <c r="G36" s="358"/>
      <c r="H36" s="350">
        <v>53</v>
      </c>
      <c r="I36" s="351"/>
      <c r="J36" s="352"/>
      <c r="K36" s="64"/>
      <c r="L36" s="65"/>
      <c r="M36" s="65"/>
      <c r="N36" s="65"/>
      <c r="O36" s="84"/>
      <c r="P36" s="65"/>
      <c r="V36" s="77"/>
      <c r="Y36" s="77"/>
      <c r="Z36" s="11"/>
    </row>
    <row r="37" spans="1:26" ht="19.5" customHeight="1" x14ac:dyDescent="0.25">
      <c r="A37" s="9"/>
      <c r="B37" s="61">
        <v>13</v>
      </c>
      <c r="C37" s="356"/>
      <c r="D37" s="357"/>
      <c r="E37" s="357"/>
      <c r="F37" s="357"/>
      <c r="G37" s="358"/>
      <c r="H37" s="350">
        <v>61</v>
      </c>
      <c r="I37" s="351"/>
      <c r="J37" s="352"/>
      <c r="K37" s="64"/>
      <c r="L37" s="65"/>
      <c r="M37" s="65"/>
      <c r="N37" s="65"/>
      <c r="O37" s="89"/>
      <c r="P37" s="87"/>
      <c r="Q37" s="88"/>
      <c r="R37" s="88"/>
      <c r="S37" s="88"/>
      <c r="T37" s="88"/>
      <c r="U37" s="88"/>
      <c r="V37" s="90"/>
      <c r="Y37" s="77"/>
      <c r="Z37" s="11"/>
    </row>
    <row r="38" spans="1:26" ht="19.5" customHeight="1" x14ac:dyDescent="0.25">
      <c r="A38" s="9"/>
      <c r="B38" s="61">
        <v>14</v>
      </c>
      <c r="C38" s="356"/>
      <c r="D38" s="357"/>
      <c r="E38" s="357"/>
      <c r="F38" s="357"/>
      <c r="G38" s="358"/>
      <c r="H38" s="350">
        <v>57</v>
      </c>
      <c r="I38" s="351"/>
      <c r="J38" s="352"/>
      <c r="K38" s="64"/>
      <c r="L38" s="65"/>
      <c r="M38" s="65"/>
      <c r="N38" s="65"/>
      <c r="O38" s="450" t="s">
        <v>71</v>
      </c>
      <c r="P38" s="331"/>
      <c r="R38" s="447" t="s">
        <v>70</v>
      </c>
      <c r="S38" s="447"/>
      <c r="U38" s="447" t="s">
        <v>69</v>
      </c>
      <c r="V38" s="449"/>
      <c r="Y38" s="77"/>
      <c r="Z38" s="11"/>
    </row>
    <row r="39" spans="1:26" ht="19.5" customHeight="1" x14ac:dyDescent="0.25">
      <c r="A39" s="9"/>
      <c r="B39" s="61">
        <v>15</v>
      </c>
      <c r="C39" s="356"/>
      <c r="D39" s="357"/>
      <c r="E39" s="357"/>
      <c r="F39" s="357"/>
      <c r="G39" s="358"/>
      <c r="H39" s="350">
        <v>42</v>
      </c>
      <c r="I39" s="351"/>
      <c r="J39" s="352"/>
      <c r="K39" s="64"/>
      <c r="L39" s="65"/>
      <c r="M39" s="65"/>
      <c r="N39" s="65"/>
      <c r="O39" s="84"/>
      <c r="P39" s="65"/>
      <c r="V39" s="77"/>
      <c r="Y39" s="77"/>
      <c r="Z39" s="11"/>
    </row>
    <row r="40" spans="1:26" ht="19.5" customHeight="1" x14ac:dyDescent="0.25">
      <c r="A40" s="9"/>
      <c r="B40" s="61">
        <v>16</v>
      </c>
      <c r="C40" s="359"/>
      <c r="D40" s="360"/>
      <c r="E40" s="360"/>
      <c r="F40" s="360"/>
      <c r="G40" s="361"/>
      <c r="H40" s="350">
        <v>34</v>
      </c>
      <c r="I40" s="351"/>
      <c r="J40" s="352"/>
      <c r="K40" s="64"/>
      <c r="L40" s="65"/>
      <c r="M40" s="65"/>
      <c r="N40" s="65"/>
      <c r="O40" s="84"/>
      <c r="P40" s="65"/>
      <c r="V40" s="77"/>
      <c r="Y40" s="77"/>
      <c r="Z40" s="11"/>
    </row>
    <row r="41" spans="1:26" ht="19.5" customHeight="1" x14ac:dyDescent="0.25">
      <c r="A41" s="9"/>
      <c r="B41" s="61">
        <v>17</v>
      </c>
      <c r="C41" s="353" t="s">
        <v>37</v>
      </c>
      <c r="D41" s="354"/>
      <c r="E41" s="354"/>
      <c r="F41" s="354"/>
      <c r="G41" s="355"/>
      <c r="H41" s="350">
        <v>47</v>
      </c>
      <c r="I41" s="351"/>
      <c r="J41" s="352"/>
      <c r="K41" s="64"/>
      <c r="L41" s="65"/>
      <c r="M41" s="65"/>
      <c r="N41" s="65"/>
      <c r="O41" s="84"/>
      <c r="P41" s="65"/>
      <c r="V41" s="77"/>
      <c r="Y41" s="77"/>
      <c r="Z41" s="11"/>
    </row>
    <row r="42" spans="1:26" ht="19.5" customHeight="1" x14ac:dyDescent="0.25">
      <c r="A42" s="9"/>
      <c r="B42" s="61">
        <v>18</v>
      </c>
      <c r="C42" s="356"/>
      <c r="D42" s="357"/>
      <c r="E42" s="357"/>
      <c r="F42" s="357"/>
      <c r="G42" s="358"/>
      <c r="H42" s="350">
        <v>90</v>
      </c>
      <c r="I42" s="351"/>
      <c r="J42" s="352"/>
      <c r="K42" s="64"/>
      <c r="L42" s="65"/>
      <c r="M42" s="65"/>
      <c r="N42" s="65"/>
      <c r="O42" s="84"/>
      <c r="P42" s="357" t="s">
        <v>72</v>
      </c>
      <c r="Q42" s="357"/>
      <c r="S42" s="447" t="s">
        <v>73</v>
      </c>
      <c r="T42" s="447"/>
      <c r="V42" s="77"/>
      <c r="Y42" s="77"/>
      <c r="Z42" s="11"/>
    </row>
    <row r="43" spans="1:26" ht="19.5" customHeight="1" x14ac:dyDescent="0.25">
      <c r="A43" s="9"/>
      <c r="B43" s="61">
        <v>19</v>
      </c>
      <c r="C43" s="356"/>
      <c r="D43" s="357"/>
      <c r="E43" s="357"/>
      <c r="F43" s="357"/>
      <c r="G43" s="358"/>
      <c r="H43" s="350">
        <v>69</v>
      </c>
      <c r="I43" s="351"/>
      <c r="J43" s="352"/>
      <c r="K43" s="64"/>
      <c r="L43" s="65"/>
      <c r="M43" s="65"/>
      <c r="N43" s="65"/>
      <c r="O43" s="84"/>
      <c r="P43" s="357"/>
      <c r="Q43" s="357"/>
      <c r="S43" s="447"/>
      <c r="T43" s="447"/>
      <c r="V43" s="77"/>
      <c r="Y43" s="77"/>
      <c r="Z43" s="11"/>
    </row>
    <row r="44" spans="1:26" ht="19.5" customHeight="1" x14ac:dyDescent="0.25">
      <c r="A44" s="9"/>
      <c r="B44" s="61">
        <v>20</v>
      </c>
      <c r="C44" s="356"/>
      <c r="D44" s="357"/>
      <c r="E44" s="357"/>
      <c r="F44" s="357"/>
      <c r="G44" s="358"/>
      <c r="H44" s="350">
        <v>53</v>
      </c>
      <c r="I44" s="351"/>
      <c r="J44" s="352"/>
      <c r="K44" s="64"/>
      <c r="L44" s="65"/>
      <c r="M44" s="65"/>
      <c r="N44" s="65"/>
      <c r="O44" s="84"/>
      <c r="P44" s="65"/>
      <c r="V44" s="77"/>
      <c r="Y44" s="77"/>
      <c r="Z44" s="11"/>
    </row>
    <row r="45" spans="1:26" ht="19.5" customHeight="1" x14ac:dyDescent="0.25">
      <c r="A45" s="9"/>
      <c r="B45" s="61">
        <v>21</v>
      </c>
      <c r="C45" s="356"/>
      <c r="D45" s="357"/>
      <c r="E45" s="357"/>
      <c r="F45" s="357"/>
      <c r="G45" s="358"/>
      <c r="H45" s="350">
        <v>75</v>
      </c>
      <c r="I45" s="351"/>
      <c r="J45" s="352"/>
      <c r="K45" s="64"/>
      <c r="L45" s="65"/>
      <c r="M45" s="65"/>
      <c r="N45" s="65"/>
      <c r="O45" s="84"/>
      <c r="P45" s="65"/>
      <c r="V45" s="77"/>
      <c r="Y45" s="77"/>
      <c r="Z45" s="11"/>
    </row>
    <row r="46" spans="1:26" ht="19.5" customHeight="1" x14ac:dyDescent="0.25">
      <c r="A46" s="9"/>
      <c r="B46" s="61">
        <v>22</v>
      </c>
      <c r="C46" s="356"/>
      <c r="D46" s="357"/>
      <c r="E46" s="357"/>
      <c r="F46" s="357"/>
      <c r="G46" s="358"/>
      <c r="H46" s="350">
        <v>61</v>
      </c>
      <c r="I46" s="351"/>
      <c r="J46" s="352"/>
      <c r="K46" s="64"/>
      <c r="L46" s="65"/>
      <c r="M46" s="65"/>
      <c r="N46" s="65"/>
      <c r="O46" s="84"/>
      <c r="P46" s="65"/>
      <c r="V46" s="77"/>
      <c r="Y46" s="77"/>
      <c r="Z46" s="11"/>
    </row>
    <row r="47" spans="1:26" ht="19.5" customHeight="1" x14ac:dyDescent="0.25">
      <c r="A47" s="9"/>
      <c r="B47" s="61">
        <v>23</v>
      </c>
      <c r="C47" s="356"/>
      <c r="D47" s="357"/>
      <c r="E47" s="357"/>
      <c r="F47" s="357"/>
      <c r="G47" s="358"/>
      <c r="H47" s="350">
        <v>68</v>
      </c>
      <c r="I47" s="351"/>
      <c r="J47" s="352"/>
      <c r="K47" s="64"/>
      <c r="L47" s="65"/>
      <c r="M47" s="65"/>
      <c r="N47" s="65"/>
      <c r="O47" s="450" t="s">
        <v>76</v>
      </c>
      <c r="P47" s="331"/>
      <c r="R47" s="447" t="s">
        <v>75</v>
      </c>
      <c r="S47" s="447"/>
      <c r="U47" s="447" t="s">
        <v>74</v>
      </c>
      <c r="V47" s="449"/>
      <c r="Y47" s="77"/>
      <c r="Z47" s="11"/>
    </row>
    <row r="48" spans="1:26" ht="19.5" customHeight="1" x14ac:dyDescent="0.25">
      <c r="A48" s="9"/>
      <c r="B48" s="61">
        <v>24</v>
      </c>
      <c r="C48" s="359"/>
      <c r="D48" s="360"/>
      <c r="E48" s="360"/>
      <c r="F48" s="360"/>
      <c r="G48" s="361"/>
      <c r="H48" s="350">
        <v>43</v>
      </c>
      <c r="I48" s="351"/>
      <c r="J48" s="352"/>
      <c r="K48" s="64"/>
      <c r="L48" s="65"/>
      <c r="M48" s="65"/>
      <c r="N48" s="65"/>
      <c r="O48" s="82"/>
      <c r="P48" s="80"/>
      <c r="Q48" s="85"/>
      <c r="R48" s="85"/>
      <c r="S48" s="85"/>
      <c r="T48" s="85"/>
      <c r="U48" s="85"/>
      <c r="V48" s="86"/>
      <c r="Y48" s="77"/>
      <c r="Z48" s="11"/>
    </row>
    <row r="49" spans="1:26" ht="19.5" customHeight="1" thickBot="1" x14ac:dyDescent="0.3">
      <c r="A49" s="9"/>
      <c r="B49" s="62"/>
      <c r="C49" s="443"/>
      <c r="D49" s="443"/>
      <c r="E49" s="443"/>
      <c r="F49" s="443"/>
      <c r="G49" s="443"/>
      <c r="H49" s="444"/>
      <c r="I49" s="444"/>
      <c r="J49" s="444"/>
      <c r="K49" s="66"/>
      <c r="L49" s="67"/>
      <c r="M49" s="67"/>
      <c r="N49" s="67"/>
      <c r="O49" s="67"/>
      <c r="P49" s="67"/>
      <c r="Y49" s="78"/>
      <c r="Z49" s="11"/>
    </row>
    <row r="50" spans="1:26" ht="15.75" customHeight="1" x14ac:dyDescent="0.25">
      <c r="A50" s="9"/>
      <c r="B50" s="398" t="s">
        <v>42</v>
      </c>
      <c r="C50" s="399"/>
      <c r="D50" s="399"/>
      <c r="E50" s="399"/>
      <c r="F50" s="399"/>
      <c r="G50" s="400"/>
      <c r="H50" s="401">
        <f>AVERAGE(H25:J48)</f>
        <v>59.541666666666664</v>
      </c>
      <c r="I50" s="402"/>
      <c r="J50" s="403"/>
      <c r="K50" s="404" t="s">
        <v>43</v>
      </c>
      <c r="L50" s="405"/>
      <c r="M50" s="410" t="s">
        <v>44</v>
      </c>
      <c r="N50" s="410"/>
      <c r="O50" s="410"/>
      <c r="P50" s="410"/>
      <c r="Q50" s="68"/>
      <c r="R50" s="69"/>
      <c r="S50" s="69"/>
      <c r="T50" s="69"/>
      <c r="U50" s="69"/>
      <c r="V50" s="69"/>
      <c r="W50" s="69"/>
      <c r="X50" s="69"/>
      <c r="Y50" s="70"/>
      <c r="Z50" s="11"/>
    </row>
    <row r="51" spans="1:26" ht="15.75" customHeight="1" x14ac:dyDescent="0.25">
      <c r="A51" s="9"/>
      <c r="B51" s="416" t="s">
        <v>45</v>
      </c>
      <c r="C51" s="417"/>
      <c r="D51" s="417"/>
      <c r="E51" s="417"/>
      <c r="F51" s="417"/>
      <c r="G51" s="418"/>
      <c r="H51" s="419">
        <f>IF(COUNTIF(H25:J48,"*&lt;20*"),"&lt;20",MIN(H25:J48))</f>
        <v>34</v>
      </c>
      <c r="I51" s="420"/>
      <c r="J51" s="421"/>
      <c r="K51" s="406"/>
      <c r="L51" s="407"/>
      <c r="M51" s="412"/>
      <c r="N51" s="412"/>
      <c r="O51" s="412"/>
      <c r="P51" s="412"/>
      <c r="Q51" s="71"/>
      <c r="Y51" s="72"/>
      <c r="Z51" s="11"/>
    </row>
    <row r="52" spans="1:26" ht="15.75" customHeight="1" thickBot="1" x14ac:dyDescent="0.3">
      <c r="A52" s="9"/>
      <c r="B52" s="422" t="s">
        <v>46</v>
      </c>
      <c r="C52" s="423"/>
      <c r="D52" s="423"/>
      <c r="E52" s="423"/>
      <c r="F52" s="423"/>
      <c r="G52" s="424"/>
      <c r="H52" s="425">
        <f>IF(COUNTIF(H25:J48,"*&gt;250*"),"&gt;250",MAX(H25:J48))</f>
        <v>90</v>
      </c>
      <c r="I52" s="426"/>
      <c r="J52" s="427"/>
      <c r="K52" s="408"/>
      <c r="L52" s="409"/>
      <c r="M52" s="414"/>
      <c r="N52" s="414"/>
      <c r="O52" s="414"/>
      <c r="P52" s="414"/>
      <c r="Q52" s="73"/>
      <c r="R52" s="74"/>
      <c r="S52" s="74"/>
      <c r="T52" s="74"/>
      <c r="U52" s="74"/>
      <c r="V52" s="74"/>
      <c r="W52" s="74"/>
      <c r="X52" s="74"/>
      <c r="Y52" s="75"/>
      <c r="Z52" s="11"/>
    </row>
    <row r="53" spans="1:26" ht="15.9" customHeight="1" x14ac:dyDescent="0.25">
      <c r="A53" s="35"/>
      <c r="B53" s="5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6"/>
    </row>
    <row r="54" spans="1:26" ht="12.75" customHeight="1" x14ac:dyDescent="0.25">
      <c r="A54" s="36"/>
      <c r="B54" s="37"/>
    </row>
    <row r="55" spans="1:26" s="17" customFormat="1" ht="30.75" customHeight="1" x14ac:dyDescent="0.25">
      <c r="A55" s="38" t="s">
        <v>47</v>
      </c>
      <c r="B55" s="39" t="s">
        <v>48</v>
      </c>
      <c r="C55" s="40"/>
      <c r="D55" s="40"/>
      <c r="E55" s="40"/>
      <c r="F55" s="41"/>
      <c r="G55" s="41"/>
      <c r="H55" s="41"/>
      <c r="I55" s="6"/>
      <c r="J55" s="6"/>
      <c r="K55" s="6"/>
      <c r="L55" s="6"/>
      <c r="M55" s="6"/>
      <c r="N55" s="6"/>
      <c r="O55" s="6"/>
      <c r="P55" s="6"/>
      <c r="Q55" s="41"/>
      <c r="R55" s="6"/>
      <c r="S55" s="6"/>
      <c r="T55" s="6"/>
      <c r="U55" s="379"/>
      <c r="V55" s="379"/>
      <c r="W55" s="379"/>
      <c r="X55" s="380"/>
      <c r="Y55" s="380"/>
      <c r="Z55" s="381"/>
    </row>
    <row r="56" spans="1:26" s="17" customFormat="1" ht="28.5" customHeight="1" x14ac:dyDescent="0.25">
      <c r="A56" s="382" t="s">
        <v>49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4"/>
      <c r="L56" s="385" t="s">
        <v>58</v>
      </c>
      <c r="M56" s="386"/>
      <c r="N56" s="386"/>
      <c r="O56" s="386"/>
      <c r="P56" s="386"/>
      <c r="Q56" s="387"/>
      <c r="R56" s="388" t="s">
        <v>50</v>
      </c>
      <c r="S56" s="389"/>
      <c r="T56" s="390"/>
      <c r="U56" s="391" t="s">
        <v>12</v>
      </c>
      <c r="V56" s="392"/>
      <c r="W56" s="392"/>
      <c r="X56" s="393"/>
      <c r="Y56" s="393"/>
      <c r="Z56" s="394"/>
    </row>
    <row r="57" spans="1:26" s="17" customFormat="1" ht="14.25" customHeight="1" x14ac:dyDescent="0.25">
      <c r="A57" s="9"/>
      <c r="B57" s="1"/>
      <c r="C57" s="42"/>
      <c r="D57" s="1"/>
      <c r="E57" s="1"/>
      <c r="F57" s="1"/>
      <c r="G57" s="1"/>
      <c r="H57" s="395"/>
      <c r="I57" s="395"/>
      <c r="J57" s="395"/>
      <c r="K57" s="396"/>
      <c r="L57" s="1"/>
      <c r="M57" s="395"/>
      <c r="N57" s="395"/>
      <c r="O57" s="395"/>
      <c r="P57" s="395"/>
      <c r="Q57" s="397"/>
      <c r="R57" s="388" t="s">
        <v>51</v>
      </c>
      <c r="S57" s="389"/>
      <c r="T57" s="390"/>
      <c r="U57" s="362" t="s">
        <v>52</v>
      </c>
      <c r="V57" s="363"/>
      <c r="W57" s="363"/>
      <c r="X57" s="363"/>
      <c r="Y57" s="363"/>
      <c r="Z57" s="364"/>
    </row>
    <row r="58" spans="1:26" s="17" customFormat="1" ht="9" customHeight="1" x14ac:dyDescent="0.25">
      <c r="A58" s="9"/>
      <c r="B58" s="1"/>
      <c r="C58" s="1"/>
      <c r="D58" s="1"/>
      <c r="E58" s="1"/>
      <c r="F58" s="1"/>
      <c r="G58" s="1"/>
      <c r="H58" s="1"/>
      <c r="I58" s="1"/>
      <c r="J58" s="1"/>
      <c r="K58" s="43"/>
      <c r="L58" s="1"/>
      <c r="M58" s="1"/>
      <c r="N58" s="1"/>
      <c r="O58" s="1"/>
      <c r="P58" s="1"/>
      <c r="Q58" s="11"/>
      <c r="R58" s="388"/>
      <c r="S58" s="389"/>
      <c r="T58" s="390"/>
      <c r="U58" s="365"/>
      <c r="V58" s="366"/>
      <c r="W58" s="366"/>
      <c r="X58" s="366"/>
      <c r="Y58" s="366"/>
      <c r="Z58" s="367"/>
    </row>
    <row r="59" spans="1:26" s="17" customFormat="1" ht="12.75" customHeight="1" x14ac:dyDescent="0.25">
      <c r="A59" s="13"/>
      <c r="B59" s="3"/>
      <c r="C59" s="3"/>
      <c r="D59" s="3"/>
      <c r="E59" s="3"/>
      <c r="F59" s="3"/>
      <c r="G59" s="3"/>
      <c r="H59" s="3"/>
      <c r="I59" s="3"/>
      <c r="J59" s="3"/>
      <c r="K59" s="44"/>
      <c r="L59" s="3"/>
      <c r="M59" s="3"/>
      <c r="N59" s="3"/>
      <c r="O59" s="3"/>
      <c r="P59" s="3"/>
      <c r="Q59" s="16"/>
      <c r="R59" s="388"/>
      <c r="S59" s="389"/>
      <c r="T59" s="390"/>
      <c r="U59" s="365"/>
      <c r="V59" s="366"/>
      <c r="W59" s="366"/>
      <c r="X59" s="366"/>
      <c r="Y59" s="366"/>
      <c r="Z59" s="367"/>
    </row>
    <row r="60" spans="1:26" s="17" customFormat="1" ht="14.25" customHeight="1" x14ac:dyDescent="0.25">
      <c r="A60" s="45" t="s">
        <v>53</v>
      </c>
      <c r="B60" s="46" t="s">
        <v>54</v>
      </c>
      <c r="C60" s="1"/>
      <c r="D60" s="1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8"/>
      <c r="R60" s="388" t="s">
        <v>55</v>
      </c>
      <c r="S60" s="389"/>
      <c r="T60" s="390"/>
      <c r="U60" s="53"/>
      <c r="V60" s="54"/>
      <c r="W60" s="54"/>
      <c r="X60" s="54"/>
      <c r="Y60" s="54"/>
      <c r="Z60" s="55"/>
    </row>
    <row r="61" spans="1:26" s="17" customFormat="1" ht="12.75" customHeight="1" x14ac:dyDescent="0.25">
      <c r="A61" s="431"/>
      <c r="B61" s="432"/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3"/>
      <c r="R61" s="388"/>
      <c r="S61" s="389"/>
      <c r="T61" s="390"/>
      <c r="U61" s="56"/>
      <c r="V61" s="357" t="s">
        <v>56</v>
      </c>
      <c r="W61" s="357"/>
      <c r="X61" s="357"/>
      <c r="Y61" s="357"/>
      <c r="Z61" s="57"/>
    </row>
    <row r="62" spans="1:26" s="17" customFormat="1" ht="16.5" customHeight="1" x14ac:dyDescent="0.25">
      <c r="A62" s="431"/>
      <c r="B62" s="432"/>
      <c r="C62" s="432"/>
      <c r="D62" s="432"/>
      <c r="E62" s="432"/>
      <c r="F62" s="432"/>
      <c r="G62" s="432"/>
      <c r="H62" s="432"/>
      <c r="I62" s="432"/>
      <c r="J62" s="432"/>
      <c r="K62" s="432"/>
      <c r="L62" s="432"/>
      <c r="M62" s="432"/>
      <c r="N62" s="432"/>
      <c r="O62" s="432"/>
      <c r="P62" s="432"/>
      <c r="Q62" s="433"/>
      <c r="R62" s="388"/>
      <c r="S62" s="389"/>
      <c r="T62" s="390"/>
      <c r="U62" s="56"/>
      <c r="V62" s="357"/>
      <c r="W62" s="357"/>
      <c r="X62" s="357"/>
      <c r="Y62" s="357"/>
      <c r="Z62" s="57"/>
    </row>
    <row r="63" spans="1:26" s="17" customFormat="1" ht="15.6" customHeight="1" x14ac:dyDescent="0.25">
      <c r="A63" s="431"/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3"/>
      <c r="R63" s="388"/>
      <c r="S63" s="389"/>
      <c r="T63" s="390"/>
      <c r="U63" s="56"/>
      <c r="V63" s="357"/>
      <c r="W63" s="357"/>
      <c r="X63" s="357"/>
      <c r="Y63" s="357"/>
      <c r="Z63" s="57"/>
    </row>
    <row r="64" spans="1:26" s="17" customFormat="1" ht="15" customHeight="1" x14ac:dyDescent="0.25">
      <c r="A64" s="434"/>
      <c r="B64" s="435"/>
      <c r="C64" s="435"/>
      <c r="D64" s="435"/>
      <c r="E64" s="435"/>
      <c r="F64" s="435"/>
      <c r="G64" s="435"/>
      <c r="H64" s="435"/>
      <c r="I64" s="435"/>
      <c r="J64" s="435"/>
      <c r="K64" s="435"/>
      <c r="L64" s="435"/>
      <c r="M64" s="435"/>
      <c r="N64" s="435"/>
      <c r="O64" s="435"/>
      <c r="P64" s="435"/>
      <c r="Q64" s="436"/>
      <c r="R64" s="428"/>
      <c r="S64" s="429"/>
      <c r="T64" s="430"/>
      <c r="U64" s="58"/>
      <c r="V64" s="59"/>
      <c r="W64" s="59"/>
      <c r="X64" s="59"/>
      <c r="Y64" s="59"/>
      <c r="Z64" s="60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  <row r="69" spans="1:1" ht="12.75" customHeight="1" x14ac:dyDescent="0.25">
      <c r="A69" s="1"/>
    </row>
    <row r="70" spans="1:1" ht="12.75" customHeight="1" x14ac:dyDescent="0.25">
      <c r="A70" s="1"/>
    </row>
    <row r="71" spans="1:1" ht="12.75" customHeight="1" x14ac:dyDescent="0.25">
      <c r="A71" s="1"/>
    </row>
  </sheetData>
  <sheetProtection formatCells="0" formatColumns="0" formatRows="0" insertColumns="0" insertRows="0" insertHyperlinks="0" deleteColumns="0" deleteRows="0" selectLockedCells="1" sort="0" autoFilter="0" pivotTables="0"/>
  <mergeCells count="99">
    <mergeCell ref="U47:V47"/>
    <mergeCell ref="R47:S47"/>
    <mergeCell ref="O47:P47"/>
    <mergeCell ref="U26:U27"/>
    <mergeCell ref="R26:R27"/>
    <mergeCell ref="S42:T43"/>
    <mergeCell ref="P42:Q43"/>
    <mergeCell ref="O38:P38"/>
    <mergeCell ref="R38:S38"/>
    <mergeCell ref="U38:V38"/>
    <mergeCell ref="N26:N27"/>
    <mergeCell ref="P30:P31"/>
    <mergeCell ref="T30:T31"/>
    <mergeCell ref="U34:U35"/>
    <mergeCell ref="R34:R35"/>
    <mergeCell ref="O34:O35"/>
    <mergeCell ref="H48:J48"/>
    <mergeCell ref="C49:G49"/>
    <mergeCell ref="H49:J49"/>
    <mergeCell ref="C41:G48"/>
    <mergeCell ref="H46:J46"/>
    <mergeCell ref="H47:J47"/>
    <mergeCell ref="H44:J44"/>
    <mergeCell ref="H45:J45"/>
    <mergeCell ref="H42:J42"/>
    <mergeCell ref="H43:J43"/>
    <mergeCell ref="H40:J40"/>
    <mergeCell ref="H41:J41"/>
    <mergeCell ref="C33:G40"/>
    <mergeCell ref="H38:J38"/>
    <mergeCell ref="H39:J39"/>
    <mergeCell ref="H36:J36"/>
    <mergeCell ref="H37:J37"/>
    <mergeCell ref="H34:J34"/>
    <mergeCell ref="H35:J35"/>
    <mergeCell ref="H32:J32"/>
    <mergeCell ref="H33:J33"/>
    <mergeCell ref="C25:G32"/>
    <mergeCell ref="H30:J30"/>
    <mergeCell ref="H31:J31"/>
    <mergeCell ref="H28:J28"/>
    <mergeCell ref="H29:J29"/>
    <mergeCell ref="H26:J26"/>
    <mergeCell ref="H27:J27"/>
    <mergeCell ref="A56:K56"/>
    <mergeCell ref="H57:K57"/>
    <mergeCell ref="M57:Q57"/>
    <mergeCell ref="H52:J52"/>
    <mergeCell ref="H50:J50"/>
    <mergeCell ref="H51:J51"/>
    <mergeCell ref="L56:Q56"/>
    <mergeCell ref="B51:G51"/>
    <mergeCell ref="B52:G52"/>
    <mergeCell ref="B50:G50"/>
    <mergeCell ref="A61:Q64"/>
    <mergeCell ref="R57:T59"/>
    <mergeCell ref="U57:Z59"/>
    <mergeCell ref="R60:T64"/>
    <mergeCell ref="V61:Y63"/>
    <mergeCell ref="U55:Z55"/>
    <mergeCell ref="U56:Z56"/>
    <mergeCell ref="L5:O5"/>
    <mergeCell ref="P5:T5"/>
    <mergeCell ref="L6:O6"/>
    <mergeCell ref="P6:T6"/>
    <mergeCell ref="N11:R11"/>
    <mergeCell ref="U1:Z6"/>
    <mergeCell ref="R56:T56"/>
    <mergeCell ref="M50:P52"/>
    <mergeCell ref="K50:L52"/>
    <mergeCell ref="S12:Y12"/>
    <mergeCell ref="I17:Y17"/>
    <mergeCell ref="S11:Y11"/>
    <mergeCell ref="I18:J18"/>
    <mergeCell ref="H25:J25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B17:H17"/>
    <mergeCell ref="B12:G12"/>
    <mergeCell ref="B11:G11"/>
    <mergeCell ref="N12:R12"/>
    <mergeCell ref="H12:M12"/>
    <mergeCell ref="H11:M11"/>
    <mergeCell ref="K23:Y24"/>
    <mergeCell ref="H24:J24"/>
    <mergeCell ref="H23:J23"/>
    <mergeCell ref="B18:H18"/>
    <mergeCell ref="B23:B24"/>
    <mergeCell ref="C23:G2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131125 CdF Voirie</vt:lpstr>
      <vt:lpstr>120723 Tranchées</vt:lpstr>
      <vt:lpstr>211021 (2)</vt:lpstr>
      <vt:lpstr>211021</vt:lpstr>
      <vt:lpstr>'120723 Tranchées'!Zone_d_impression</vt:lpstr>
      <vt:lpstr>'131125 CdF Voirie'!Zone_d_impression</vt:lpstr>
      <vt:lpstr>'211021'!Zone_d_impression</vt:lpstr>
      <vt:lpstr>'211021 (2)'!Zone_d_impression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2023-07-12T08:36:44Z</cp:lastPrinted>
  <dcterms:created xsi:type="dcterms:W3CDTF">2004-11-13T18:13:05Z</dcterms:created>
  <dcterms:modified xsi:type="dcterms:W3CDTF">2025-11-13T15:58:59Z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