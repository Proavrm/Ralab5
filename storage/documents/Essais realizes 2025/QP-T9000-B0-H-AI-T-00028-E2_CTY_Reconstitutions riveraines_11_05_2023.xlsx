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/>
  <mc:AlternateContent xmlns:mc="http://schemas.openxmlformats.org/markup-compatibility/2006">
    <mc:Choice Requires="x15">
      <x15ac:absPath xmlns:x15ac="http://schemas.microsoft.com/office/spreadsheetml/2010/11/ac" url="\\mdtp-nas\MDTP\COM\MP\ENVOYES\ENVOYES_2023\2023-05-26_SYTRAL_LA-SOIE_CHARPENNE_T9_TVX_PREPA_RECONSTITUTIONS-RIVERAINES_GPT MDTP-GUINTOLI-COIRO-CHAZAL-ESPACS\5_NEGOCIATION\"/>
    </mc:Choice>
  </mc:AlternateContent>
  <xr:revisionPtr revIDLastSave="0" documentId="13_ncr:1_{C9FA1B58-597D-4CA5-AA83-9DC0EFDF1B10}" xr6:coauthVersionLast="36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QE CTY" sheetId="1" r:id="rId1"/>
  </sheets>
  <definedNames>
    <definedName name="_xlnm.Print_Titles" localSheetId="0">'DQE CTY'!$8:$9</definedName>
    <definedName name="_xlnm.Print_Area" localSheetId="0">'DQE CTY'!$A$1:$N$704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700" i="1" l="1"/>
  <c r="L700" i="1"/>
  <c r="J700" i="1"/>
  <c r="N699" i="1"/>
  <c r="L699" i="1"/>
  <c r="J699" i="1"/>
  <c r="N698" i="1"/>
  <c r="L698" i="1"/>
  <c r="J698" i="1"/>
  <c r="N697" i="1"/>
  <c r="L697" i="1"/>
  <c r="J697" i="1"/>
  <c r="N696" i="1"/>
  <c r="L696" i="1"/>
  <c r="J696" i="1"/>
  <c r="N695" i="1"/>
  <c r="L695" i="1"/>
  <c r="J695" i="1"/>
  <c r="N694" i="1"/>
  <c r="L694" i="1"/>
  <c r="J694" i="1"/>
  <c r="N693" i="1"/>
  <c r="L693" i="1"/>
  <c r="J693" i="1"/>
  <c r="N692" i="1"/>
  <c r="L692" i="1"/>
  <c r="J692" i="1"/>
  <c r="N691" i="1"/>
  <c r="L691" i="1"/>
  <c r="J691" i="1"/>
  <c r="N690" i="1"/>
  <c r="L690" i="1"/>
  <c r="J690" i="1"/>
  <c r="N689" i="1"/>
  <c r="L689" i="1"/>
  <c r="J689" i="1"/>
  <c r="N688" i="1"/>
  <c r="L688" i="1"/>
  <c r="J688" i="1"/>
  <c r="N687" i="1"/>
  <c r="L687" i="1"/>
  <c r="J687" i="1"/>
  <c r="N686" i="1"/>
  <c r="L686" i="1"/>
  <c r="J686" i="1"/>
  <c r="N685" i="1"/>
  <c r="L685" i="1"/>
  <c r="J685" i="1"/>
  <c r="N684" i="1"/>
  <c r="L684" i="1"/>
  <c r="J684" i="1"/>
  <c r="N683" i="1"/>
  <c r="L683" i="1"/>
  <c r="J683" i="1"/>
  <c r="N682" i="1"/>
  <c r="L682" i="1"/>
  <c r="J682" i="1"/>
  <c r="N681" i="1"/>
  <c r="L681" i="1"/>
  <c r="J681" i="1"/>
  <c r="N680" i="1"/>
  <c r="L680" i="1"/>
  <c r="J680" i="1"/>
  <c r="N679" i="1"/>
  <c r="L679" i="1"/>
  <c r="J679" i="1"/>
  <c r="N678" i="1"/>
  <c r="L678" i="1"/>
  <c r="J678" i="1"/>
  <c r="N677" i="1"/>
  <c r="L677" i="1"/>
  <c r="J677" i="1"/>
  <c r="N676" i="1"/>
  <c r="L676" i="1"/>
  <c r="J676" i="1"/>
  <c r="N675" i="1"/>
  <c r="L675" i="1"/>
  <c r="J675" i="1"/>
  <c r="N674" i="1"/>
  <c r="L674" i="1"/>
  <c r="J674" i="1"/>
  <c r="N673" i="1"/>
  <c r="L673" i="1"/>
  <c r="J673" i="1"/>
  <c r="N672" i="1"/>
  <c r="L672" i="1"/>
  <c r="J672" i="1"/>
  <c r="N671" i="1"/>
  <c r="L671" i="1"/>
  <c r="J671" i="1"/>
  <c r="N670" i="1"/>
  <c r="L670" i="1"/>
  <c r="J670" i="1"/>
  <c r="N669" i="1"/>
  <c r="L669" i="1"/>
  <c r="J669" i="1"/>
  <c r="N668" i="1"/>
  <c r="L668" i="1"/>
  <c r="J668" i="1"/>
  <c r="N667" i="1"/>
  <c r="L667" i="1"/>
  <c r="J667" i="1"/>
  <c r="N666" i="1"/>
  <c r="L666" i="1"/>
  <c r="J666" i="1"/>
  <c r="N664" i="1"/>
  <c r="L664" i="1"/>
  <c r="J664" i="1"/>
  <c r="N663" i="1"/>
  <c r="L663" i="1"/>
  <c r="J663" i="1"/>
  <c r="N662" i="1"/>
  <c r="L662" i="1"/>
  <c r="J662" i="1"/>
  <c r="N661" i="1"/>
  <c r="L661" i="1"/>
  <c r="J661" i="1"/>
  <c r="N660" i="1"/>
  <c r="L660" i="1"/>
  <c r="J660" i="1"/>
  <c r="N659" i="1"/>
  <c r="L659" i="1"/>
  <c r="J659" i="1"/>
  <c r="N658" i="1"/>
  <c r="L658" i="1"/>
  <c r="J658" i="1"/>
  <c r="N657" i="1"/>
  <c r="L657" i="1"/>
  <c r="J657" i="1"/>
  <c r="N656" i="1"/>
  <c r="L656" i="1"/>
  <c r="J656" i="1"/>
  <c r="N655" i="1"/>
  <c r="L655" i="1"/>
  <c r="J655" i="1"/>
  <c r="N654" i="1"/>
  <c r="L654" i="1"/>
  <c r="J654" i="1"/>
  <c r="N653" i="1"/>
  <c r="L653" i="1"/>
  <c r="J653" i="1"/>
  <c r="N652" i="1"/>
  <c r="L652" i="1"/>
  <c r="J652" i="1"/>
  <c r="N651" i="1"/>
  <c r="L651" i="1"/>
  <c r="J651" i="1"/>
  <c r="N650" i="1"/>
  <c r="L650" i="1"/>
  <c r="J650" i="1"/>
  <c r="N649" i="1"/>
  <c r="L649" i="1"/>
  <c r="J649" i="1"/>
  <c r="N648" i="1"/>
  <c r="L648" i="1"/>
  <c r="J648" i="1"/>
  <c r="N647" i="1"/>
  <c r="L647" i="1"/>
  <c r="J647" i="1"/>
  <c r="N646" i="1"/>
  <c r="L646" i="1"/>
  <c r="J646" i="1"/>
  <c r="N645" i="1"/>
  <c r="L645" i="1"/>
  <c r="J645" i="1"/>
  <c r="N644" i="1"/>
  <c r="L644" i="1"/>
  <c r="J644" i="1"/>
  <c r="N643" i="1"/>
  <c r="L643" i="1"/>
  <c r="J643" i="1"/>
  <c r="N642" i="1"/>
  <c r="L642" i="1"/>
  <c r="J642" i="1"/>
  <c r="N641" i="1"/>
  <c r="L641" i="1"/>
  <c r="J641" i="1"/>
  <c r="N640" i="1"/>
  <c r="L640" i="1"/>
  <c r="J640" i="1"/>
  <c r="N639" i="1"/>
  <c r="L639" i="1"/>
  <c r="J639" i="1"/>
  <c r="N638" i="1"/>
  <c r="L638" i="1"/>
  <c r="J638" i="1"/>
  <c r="N637" i="1"/>
  <c r="L637" i="1"/>
  <c r="J637" i="1"/>
  <c r="N636" i="1"/>
  <c r="L636" i="1"/>
  <c r="J636" i="1"/>
  <c r="N635" i="1"/>
  <c r="L635" i="1"/>
  <c r="J635" i="1"/>
  <c r="N634" i="1"/>
  <c r="L634" i="1"/>
  <c r="J634" i="1"/>
  <c r="N633" i="1"/>
  <c r="L633" i="1"/>
  <c r="J633" i="1"/>
  <c r="N632" i="1"/>
  <c r="L632" i="1"/>
  <c r="J632" i="1"/>
  <c r="N631" i="1"/>
  <c r="L631" i="1"/>
  <c r="J631" i="1"/>
  <c r="N630" i="1"/>
  <c r="L630" i="1"/>
  <c r="J630" i="1"/>
  <c r="N629" i="1"/>
  <c r="L629" i="1"/>
  <c r="J629" i="1"/>
  <c r="N628" i="1"/>
  <c r="L628" i="1"/>
  <c r="J628" i="1"/>
  <c r="N627" i="1"/>
  <c r="L627" i="1"/>
  <c r="J627" i="1"/>
  <c r="N626" i="1"/>
  <c r="L626" i="1"/>
  <c r="J626" i="1"/>
  <c r="N625" i="1"/>
  <c r="L625" i="1"/>
  <c r="J625" i="1"/>
  <c r="N624" i="1"/>
  <c r="L624" i="1"/>
  <c r="J624" i="1"/>
  <c r="N623" i="1"/>
  <c r="L623" i="1"/>
  <c r="J623" i="1"/>
  <c r="N622" i="1"/>
  <c r="L622" i="1"/>
  <c r="J622" i="1"/>
  <c r="N621" i="1"/>
  <c r="L621" i="1"/>
  <c r="J621" i="1"/>
  <c r="N620" i="1"/>
  <c r="L620" i="1"/>
  <c r="J620" i="1"/>
  <c r="N619" i="1"/>
  <c r="L619" i="1"/>
  <c r="J619" i="1"/>
  <c r="N618" i="1"/>
  <c r="L618" i="1"/>
  <c r="J618" i="1"/>
  <c r="N617" i="1"/>
  <c r="L617" i="1"/>
  <c r="J617" i="1"/>
  <c r="N616" i="1"/>
  <c r="L616" i="1"/>
  <c r="J616" i="1"/>
  <c r="N615" i="1"/>
  <c r="L615" i="1"/>
  <c r="J615" i="1"/>
  <c r="N614" i="1"/>
  <c r="L614" i="1"/>
  <c r="J614" i="1"/>
  <c r="N613" i="1"/>
  <c r="L613" i="1"/>
  <c r="J613" i="1"/>
  <c r="N612" i="1"/>
  <c r="L612" i="1"/>
  <c r="J612" i="1"/>
  <c r="N611" i="1"/>
  <c r="L611" i="1"/>
  <c r="J611" i="1"/>
  <c r="N610" i="1"/>
  <c r="L610" i="1"/>
  <c r="J610" i="1"/>
  <c r="N609" i="1"/>
  <c r="L609" i="1"/>
  <c r="J609" i="1"/>
  <c r="N608" i="1"/>
  <c r="L608" i="1"/>
  <c r="J608" i="1"/>
  <c r="N607" i="1"/>
  <c r="L607" i="1"/>
  <c r="J607" i="1"/>
  <c r="N606" i="1"/>
  <c r="L606" i="1"/>
  <c r="J606" i="1"/>
  <c r="N605" i="1"/>
  <c r="L605" i="1"/>
  <c r="J605" i="1"/>
  <c r="N604" i="1"/>
  <c r="L604" i="1"/>
  <c r="J604" i="1"/>
  <c r="N603" i="1"/>
  <c r="L603" i="1"/>
  <c r="J603" i="1"/>
  <c r="N602" i="1"/>
  <c r="L602" i="1"/>
  <c r="J602" i="1"/>
  <c r="N601" i="1"/>
  <c r="L601" i="1"/>
  <c r="J601" i="1"/>
  <c r="N600" i="1"/>
  <c r="L600" i="1"/>
  <c r="J600" i="1"/>
  <c r="N599" i="1"/>
  <c r="L599" i="1"/>
  <c r="J599" i="1"/>
  <c r="N597" i="1"/>
  <c r="L597" i="1"/>
  <c r="J597" i="1"/>
  <c r="N596" i="1"/>
  <c r="L596" i="1"/>
  <c r="J596" i="1"/>
  <c r="N595" i="1"/>
  <c r="L595" i="1"/>
  <c r="J595" i="1"/>
  <c r="N594" i="1"/>
  <c r="L594" i="1"/>
  <c r="J594" i="1"/>
  <c r="N593" i="1"/>
  <c r="L593" i="1"/>
  <c r="J593" i="1"/>
  <c r="N592" i="1"/>
  <c r="L592" i="1"/>
  <c r="J592" i="1"/>
  <c r="N591" i="1"/>
  <c r="L591" i="1"/>
  <c r="J591" i="1"/>
  <c r="N590" i="1"/>
  <c r="L590" i="1"/>
  <c r="J590" i="1"/>
  <c r="N589" i="1"/>
  <c r="L589" i="1"/>
  <c r="J589" i="1"/>
  <c r="N588" i="1"/>
  <c r="L588" i="1"/>
  <c r="J588" i="1"/>
  <c r="N587" i="1"/>
  <c r="L587" i="1"/>
  <c r="J587" i="1"/>
  <c r="N586" i="1"/>
  <c r="L586" i="1"/>
  <c r="J586" i="1"/>
  <c r="N585" i="1"/>
  <c r="L585" i="1"/>
  <c r="J585" i="1"/>
  <c r="N584" i="1"/>
  <c r="L584" i="1"/>
  <c r="J584" i="1"/>
  <c r="N583" i="1"/>
  <c r="L583" i="1"/>
  <c r="J583" i="1"/>
  <c r="N582" i="1"/>
  <c r="L582" i="1"/>
  <c r="J582" i="1"/>
  <c r="N581" i="1"/>
  <c r="L581" i="1"/>
  <c r="J581" i="1"/>
  <c r="N580" i="1"/>
  <c r="L580" i="1"/>
  <c r="J580" i="1"/>
  <c r="N579" i="1"/>
  <c r="L579" i="1"/>
  <c r="J579" i="1"/>
  <c r="N578" i="1"/>
  <c r="L578" i="1"/>
  <c r="J578" i="1"/>
  <c r="N577" i="1"/>
  <c r="L577" i="1"/>
  <c r="J577" i="1"/>
  <c r="N576" i="1"/>
  <c r="L576" i="1"/>
  <c r="J576" i="1"/>
  <c r="N575" i="1"/>
  <c r="L575" i="1"/>
  <c r="J575" i="1"/>
  <c r="N574" i="1"/>
  <c r="L574" i="1"/>
  <c r="J574" i="1"/>
  <c r="N573" i="1"/>
  <c r="L573" i="1"/>
  <c r="J573" i="1"/>
  <c r="N572" i="1"/>
  <c r="L572" i="1"/>
  <c r="J572" i="1"/>
  <c r="N571" i="1"/>
  <c r="L571" i="1"/>
  <c r="J571" i="1"/>
  <c r="N570" i="1"/>
  <c r="L570" i="1"/>
  <c r="J570" i="1"/>
  <c r="N569" i="1"/>
  <c r="L569" i="1"/>
  <c r="J569" i="1"/>
  <c r="N568" i="1"/>
  <c r="L568" i="1"/>
  <c r="J568" i="1"/>
  <c r="N567" i="1"/>
  <c r="L567" i="1"/>
  <c r="J567" i="1"/>
  <c r="N566" i="1"/>
  <c r="L566" i="1"/>
  <c r="J566" i="1"/>
  <c r="N565" i="1"/>
  <c r="L565" i="1"/>
  <c r="J565" i="1"/>
  <c r="N564" i="1"/>
  <c r="L564" i="1"/>
  <c r="J564" i="1"/>
  <c r="N563" i="1"/>
  <c r="L563" i="1"/>
  <c r="J563" i="1"/>
  <c r="N562" i="1"/>
  <c r="L562" i="1"/>
  <c r="J562" i="1"/>
  <c r="N561" i="1"/>
  <c r="L561" i="1"/>
  <c r="J561" i="1"/>
  <c r="N560" i="1"/>
  <c r="L560" i="1"/>
  <c r="J560" i="1"/>
  <c r="N559" i="1"/>
  <c r="L559" i="1"/>
  <c r="J559" i="1"/>
  <c r="N558" i="1"/>
  <c r="L558" i="1"/>
  <c r="J558" i="1"/>
  <c r="N557" i="1"/>
  <c r="L557" i="1"/>
  <c r="J557" i="1"/>
  <c r="N556" i="1"/>
  <c r="L556" i="1"/>
  <c r="J556" i="1"/>
  <c r="N555" i="1"/>
  <c r="L555" i="1"/>
  <c r="J555" i="1"/>
  <c r="N554" i="1"/>
  <c r="N553" i="1"/>
  <c r="L553" i="1"/>
  <c r="J553" i="1"/>
  <c r="N552" i="1"/>
  <c r="L552" i="1"/>
  <c r="J552" i="1"/>
  <c r="N551" i="1"/>
  <c r="L551" i="1"/>
  <c r="J551" i="1"/>
  <c r="N550" i="1"/>
  <c r="L550" i="1"/>
  <c r="J550" i="1"/>
  <c r="N549" i="1"/>
  <c r="L549" i="1"/>
  <c r="J549" i="1"/>
  <c r="N548" i="1"/>
  <c r="L548" i="1"/>
  <c r="J548" i="1"/>
  <c r="N547" i="1"/>
  <c r="L547" i="1"/>
  <c r="J547" i="1"/>
  <c r="N546" i="1"/>
  <c r="L546" i="1"/>
  <c r="J546" i="1"/>
  <c r="N545" i="1"/>
  <c r="L545" i="1"/>
  <c r="J545" i="1"/>
  <c r="N544" i="1"/>
  <c r="L544" i="1"/>
  <c r="J544" i="1"/>
  <c r="N543" i="1"/>
  <c r="L543" i="1"/>
  <c r="J543" i="1"/>
  <c r="N542" i="1"/>
  <c r="L542" i="1"/>
  <c r="J542" i="1"/>
  <c r="N541" i="1"/>
  <c r="L541" i="1"/>
  <c r="J541" i="1"/>
  <c r="N540" i="1"/>
  <c r="L540" i="1"/>
  <c r="J540" i="1"/>
  <c r="N539" i="1"/>
  <c r="L539" i="1"/>
  <c r="J539" i="1"/>
  <c r="N538" i="1"/>
  <c r="L538" i="1"/>
  <c r="J538" i="1"/>
  <c r="N537" i="1"/>
  <c r="L537" i="1"/>
  <c r="J537" i="1"/>
  <c r="N536" i="1"/>
  <c r="L536" i="1"/>
  <c r="J536" i="1"/>
  <c r="N535" i="1"/>
  <c r="L535" i="1"/>
  <c r="J535" i="1"/>
  <c r="N534" i="1"/>
  <c r="L534" i="1"/>
  <c r="J534" i="1"/>
  <c r="N533" i="1"/>
  <c r="L533" i="1"/>
  <c r="J533" i="1"/>
  <c r="N532" i="1"/>
  <c r="L532" i="1"/>
  <c r="J532" i="1"/>
  <c r="N531" i="1"/>
  <c r="L531" i="1"/>
  <c r="J531" i="1"/>
  <c r="N530" i="1"/>
  <c r="L530" i="1"/>
  <c r="J530" i="1"/>
  <c r="N529" i="1"/>
  <c r="L529" i="1"/>
  <c r="J529" i="1"/>
  <c r="N528" i="1"/>
  <c r="L528" i="1"/>
  <c r="J528" i="1"/>
  <c r="N527" i="1"/>
  <c r="L527" i="1"/>
  <c r="J527" i="1"/>
  <c r="N526" i="1"/>
  <c r="L526" i="1"/>
  <c r="J526" i="1"/>
  <c r="N525" i="1"/>
  <c r="L525" i="1"/>
  <c r="J525" i="1"/>
  <c r="N524" i="1"/>
  <c r="L524" i="1"/>
  <c r="J524" i="1"/>
  <c r="N523" i="1"/>
  <c r="L523" i="1"/>
  <c r="J523" i="1"/>
  <c r="N522" i="1"/>
  <c r="L522" i="1"/>
  <c r="J522" i="1"/>
  <c r="N521" i="1"/>
  <c r="L521" i="1"/>
  <c r="J521" i="1"/>
  <c r="N520" i="1"/>
  <c r="L520" i="1"/>
  <c r="J520" i="1"/>
  <c r="N519" i="1"/>
  <c r="L519" i="1"/>
  <c r="J519" i="1"/>
  <c r="N518" i="1"/>
  <c r="L518" i="1"/>
  <c r="J518" i="1"/>
  <c r="N517" i="1"/>
  <c r="L517" i="1"/>
  <c r="J517" i="1"/>
  <c r="N516" i="1"/>
  <c r="L516" i="1"/>
  <c r="J516" i="1"/>
  <c r="N515" i="1"/>
  <c r="L515" i="1"/>
  <c r="J515" i="1"/>
  <c r="N514" i="1"/>
  <c r="L514" i="1"/>
  <c r="J514" i="1"/>
  <c r="N513" i="1"/>
  <c r="L513" i="1"/>
  <c r="J513" i="1"/>
  <c r="N512" i="1"/>
  <c r="L512" i="1"/>
  <c r="J512" i="1"/>
  <c r="N511" i="1"/>
  <c r="L511" i="1"/>
  <c r="J511" i="1"/>
  <c r="N510" i="1"/>
  <c r="L510" i="1"/>
  <c r="J510" i="1"/>
  <c r="N509" i="1"/>
  <c r="L509" i="1"/>
  <c r="J509" i="1"/>
  <c r="N508" i="1"/>
  <c r="L508" i="1"/>
  <c r="J508" i="1"/>
  <c r="N507" i="1"/>
  <c r="L507" i="1"/>
  <c r="J507" i="1"/>
  <c r="N506" i="1"/>
  <c r="L506" i="1"/>
  <c r="J506" i="1"/>
  <c r="N505" i="1"/>
  <c r="L505" i="1"/>
  <c r="J505" i="1"/>
  <c r="N504" i="1"/>
  <c r="L504" i="1"/>
  <c r="J504" i="1"/>
  <c r="N503" i="1"/>
  <c r="L503" i="1"/>
  <c r="J503" i="1"/>
  <c r="N502" i="1"/>
  <c r="L502" i="1"/>
  <c r="J502" i="1"/>
  <c r="N501" i="1"/>
  <c r="L501" i="1"/>
  <c r="J501" i="1"/>
  <c r="N500" i="1"/>
  <c r="L500" i="1"/>
  <c r="J500" i="1"/>
  <c r="N499" i="1"/>
  <c r="L499" i="1"/>
  <c r="J499" i="1"/>
  <c r="N498" i="1"/>
  <c r="L498" i="1"/>
  <c r="J498" i="1"/>
  <c r="N497" i="1"/>
  <c r="L497" i="1"/>
  <c r="J497" i="1"/>
  <c r="N496" i="1"/>
  <c r="L496" i="1"/>
  <c r="J496" i="1"/>
  <c r="N495" i="1"/>
  <c r="L495" i="1"/>
  <c r="J495" i="1"/>
  <c r="N494" i="1"/>
  <c r="L494" i="1"/>
  <c r="J494" i="1"/>
  <c r="N493" i="1"/>
  <c r="L493" i="1"/>
  <c r="J493" i="1"/>
  <c r="N492" i="1"/>
  <c r="L492" i="1"/>
  <c r="J492" i="1"/>
  <c r="N491" i="1"/>
  <c r="L491" i="1"/>
  <c r="J491" i="1"/>
  <c r="N490" i="1"/>
  <c r="L490" i="1"/>
  <c r="J490" i="1"/>
  <c r="N489" i="1"/>
  <c r="L489" i="1"/>
  <c r="J489" i="1"/>
  <c r="N488" i="1"/>
  <c r="L488" i="1"/>
  <c r="J488" i="1"/>
  <c r="N487" i="1"/>
  <c r="L487" i="1"/>
  <c r="J487" i="1"/>
  <c r="N486" i="1"/>
  <c r="L486" i="1"/>
  <c r="J486" i="1"/>
  <c r="N485" i="1"/>
  <c r="L485" i="1"/>
  <c r="J485" i="1"/>
  <c r="N484" i="1"/>
  <c r="N483" i="1"/>
  <c r="L483" i="1"/>
  <c r="J483" i="1"/>
  <c r="N482" i="1"/>
  <c r="L482" i="1"/>
  <c r="J482" i="1"/>
  <c r="N481" i="1"/>
  <c r="L481" i="1"/>
  <c r="J481" i="1"/>
  <c r="N480" i="1"/>
  <c r="L480" i="1"/>
  <c r="J480" i="1"/>
  <c r="N479" i="1"/>
  <c r="L479" i="1"/>
  <c r="J479" i="1"/>
  <c r="N478" i="1"/>
  <c r="L478" i="1"/>
  <c r="J478" i="1"/>
  <c r="N477" i="1"/>
  <c r="L477" i="1"/>
  <c r="J477" i="1"/>
  <c r="N475" i="1"/>
  <c r="L475" i="1"/>
  <c r="J475" i="1"/>
  <c r="N474" i="1"/>
  <c r="L474" i="1"/>
  <c r="J474" i="1"/>
  <c r="N473" i="1"/>
  <c r="L473" i="1"/>
  <c r="J473" i="1"/>
  <c r="N472" i="1"/>
  <c r="N471" i="1"/>
  <c r="L471" i="1"/>
  <c r="J471" i="1"/>
  <c r="N470" i="1"/>
  <c r="L470" i="1"/>
  <c r="J470" i="1"/>
  <c r="N469" i="1"/>
  <c r="L469" i="1"/>
  <c r="J469" i="1"/>
  <c r="N468" i="1"/>
  <c r="L468" i="1"/>
  <c r="J468" i="1"/>
  <c r="N467" i="1"/>
  <c r="N466" i="1"/>
  <c r="N465" i="1"/>
  <c r="L465" i="1"/>
  <c r="J465" i="1"/>
  <c r="N464" i="1"/>
  <c r="L464" i="1"/>
  <c r="J464" i="1"/>
  <c r="N463" i="1"/>
  <c r="L463" i="1"/>
  <c r="J463" i="1"/>
  <c r="N462" i="1"/>
  <c r="L462" i="1"/>
  <c r="J462" i="1"/>
  <c r="N461" i="1"/>
  <c r="L461" i="1"/>
  <c r="J461" i="1"/>
  <c r="N460" i="1"/>
  <c r="L460" i="1"/>
  <c r="J460" i="1"/>
  <c r="N459" i="1"/>
  <c r="L459" i="1"/>
  <c r="J459" i="1"/>
  <c r="N458" i="1"/>
  <c r="L458" i="1"/>
  <c r="J458" i="1"/>
  <c r="N457" i="1"/>
  <c r="L457" i="1"/>
  <c r="J457" i="1"/>
  <c r="N456" i="1"/>
  <c r="L456" i="1"/>
  <c r="J456" i="1"/>
  <c r="N454" i="1"/>
  <c r="L454" i="1"/>
  <c r="J454" i="1"/>
  <c r="N453" i="1"/>
  <c r="L453" i="1"/>
  <c r="J453" i="1"/>
  <c r="N452" i="1"/>
  <c r="L452" i="1"/>
  <c r="J452" i="1"/>
  <c r="N451" i="1"/>
  <c r="L451" i="1"/>
  <c r="J451" i="1"/>
  <c r="N450" i="1"/>
  <c r="L450" i="1"/>
  <c r="J450" i="1"/>
  <c r="N449" i="1"/>
  <c r="L449" i="1"/>
  <c r="J449" i="1"/>
  <c r="N448" i="1"/>
  <c r="L448" i="1"/>
  <c r="J448" i="1"/>
  <c r="N447" i="1"/>
  <c r="L447" i="1"/>
  <c r="J447" i="1"/>
  <c r="N446" i="1"/>
  <c r="L446" i="1"/>
  <c r="J446" i="1"/>
  <c r="N445" i="1"/>
  <c r="L445" i="1"/>
  <c r="J445" i="1"/>
  <c r="N444" i="1"/>
  <c r="L444" i="1"/>
  <c r="J444" i="1"/>
  <c r="N443" i="1"/>
  <c r="L443" i="1"/>
  <c r="J443" i="1"/>
  <c r="N442" i="1"/>
  <c r="L442" i="1"/>
  <c r="J442" i="1"/>
  <c r="N441" i="1"/>
  <c r="L441" i="1"/>
  <c r="J441" i="1"/>
  <c r="N440" i="1"/>
  <c r="L440" i="1"/>
  <c r="J440" i="1"/>
  <c r="N439" i="1"/>
  <c r="L439" i="1"/>
  <c r="J439" i="1"/>
  <c r="N438" i="1"/>
  <c r="L438" i="1"/>
  <c r="J438" i="1"/>
  <c r="N437" i="1"/>
  <c r="L437" i="1"/>
  <c r="J437" i="1"/>
  <c r="N436" i="1"/>
  <c r="L436" i="1"/>
  <c r="J436" i="1"/>
  <c r="N435" i="1"/>
  <c r="L435" i="1"/>
  <c r="J435" i="1"/>
  <c r="N434" i="1"/>
  <c r="L434" i="1"/>
  <c r="J434" i="1"/>
  <c r="N433" i="1"/>
  <c r="L433" i="1"/>
  <c r="J433" i="1"/>
  <c r="N432" i="1"/>
  <c r="L432" i="1"/>
  <c r="J432" i="1"/>
  <c r="N431" i="1"/>
  <c r="L431" i="1"/>
  <c r="J431" i="1"/>
  <c r="N430" i="1"/>
  <c r="L430" i="1"/>
  <c r="J430" i="1"/>
  <c r="N429" i="1"/>
  <c r="L429" i="1"/>
  <c r="J429" i="1"/>
  <c r="N428" i="1"/>
  <c r="L428" i="1"/>
  <c r="J428" i="1"/>
  <c r="N427" i="1"/>
  <c r="L427" i="1"/>
  <c r="J427" i="1"/>
  <c r="N426" i="1"/>
  <c r="L426" i="1"/>
  <c r="J426" i="1"/>
  <c r="N425" i="1"/>
  <c r="L425" i="1"/>
  <c r="J425" i="1"/>
  <c r="N424" i="1"/>
  <c r="L424" i="1"/>
  <c r="J424" i="1"/>
  <c r="N423" i="1"/>
  <c r="L423" i="1"/>
  <c r="J423" i="1"/>
  <c r="N422" i="1"/>
  <c r="L422" i="1"/>
  <c r="J422" i="1"/>
  <c r="N421" i="1"/>
  <c r="L421" i="1"/>
  <c r="J421" i="1"/>
  <c r="N420" i="1"/>
  <c r="L420" i="1"/>
  <c r="J420" i="1"/>
  <c r="N419" i="1"/>
  <c r="L419" i="1"/>
  <c r="J419" i="1"/>
  <c r="N418" i="1"/>
  <c r="L418" i="1"/>
  <c r="J418" i="1"/>
  <c r="N417" i="1"/>
  <c r="L417" i="1"/>
  <c r="J417" i="1"/>
  <c r="N416" i="1"/>
  <c r="L416" i="1"/>
  <c r="J416" i="1"/>
  <c r="N415" i="1"/>
  <c r="L415" i="1"/>
  <c r="J415" i="1"/>
  <c r="N414" i="1"/>
  <c r="L414" i="1"/>
  <c r="J414" i="1"/>
  <c r="N413" i="1"/>
  <c r="L413" i="1"/>
  <c r="J413" i="1"/>
  <c r="N412" i="1"/>
  <c r="L412" i="1"/>
  <c r="J412" i="1"/>
  <c r="N411" i="1"/>
  <c r="L411" i="1"/>
  <c r="J411" i="1"/>
  <c r="N410" i="1"/>
  <c r="L410" i="1"/>
  <c r="J410" i="1"/>
  <c r="N409" i="1"/>
  <c r="L409" i="1"/>
  <c r="J409" i="1"/>
  <c r="N408" i="1"/>
  <c r="L408" i="1"/>
  <c r="J408" i="1"/>
  <c r="N407" i="1"/>
  <c r="L407" i="1"/>
  <c r="J407" i="1"/>
  <c r="N406" i="1"/>
  <c r="L406" i="1"/>
  <c r="J406" i="1"/>
  <c r="N405" i="1"/>
  <c r="L405" i="1"/>
  <c r="J405" i="1"/>
  <c r="N404" i="1"/>
  <c r="L404" i="1"/>
  <c r="J404" i="1"/>
  <c r="N403" i="1"/>
  <c r="L403" i="1"/>
  <c r="J403" i="1"/>
  <c r="N402" i="1"/>
  <c r="L402" i="1"/>
  <c r="J402" i="1"/>
  <c r="N401" i="1"/>
  <c r="L401" i="1"/>
  <c r="J401" i="1"/>
  <c r="N400" i="1"/>
  <c r="L400" i="1"/>
  <c r="J400" i="1"/>
  <c r="N399" i="1"/>
  <c r="L399" i="1"/>
  <c r="J399" i="1"/>
  <c r="N398" i="1"/>
  <c r="L398" i="1"/>
  <c r="J398" i="1"/>
  <c r="N397" i="1"/>
  <c r="L397" i="1"/>
  <c r="J397" i="1"/>
  <c r="N396" i="1"/>
  <c r="L396" i="1"/>
  <c r="J396" i="1"/>
  <c r="N395" i="1"/>
  <c r="L395" i="1"/>
  <c r="J395" i="1"/>
  <c r="N394" i="1"/>
  <c r="L394" i="1"/>
  <c r="J394" i="1"/>
  <c r="N393" i="1"/>
  <c r="L393" i="1"/>
  <c r="J393" i="1"/>
  <c r="N392" i="1"/>
  <c r="L392" i="1"/>
  <c r="J392" i="1"/>
  <c r="N391" i="1"/>
  <c r="L391" i="1"/>
  <c r="J391" i="1"/>
  <c r="N390" i="1"/>
  <c r="L390" i="1"/>
  <c r="J390" i="1"/>
  <c r="N389" i="1"/>
  <c r="L389" i="1"/>
  <c r="J389" i="1"/>
  <c r="N388" i="1"/>
  <c r="L388" i="1"/>
  <c r="J388" i="1"/>
  <c r="N387" i="1"/>
  <c r="L387" i="1"/>
  <c r="J387" i="1"/>
  <c r="N386" i="1"/>
  <c r="L386" i="1"/>
  <c r="J386" i="1"/>
  <c r="N385" i="1"/>
  <c r="L385" i="1"/>
  <c r="J385" i="1"/>
  <c r="N384" i="1"/>
  <c r="L384" i="1"/>
  <c r="J384" i="1"/>
  <c r="N383" i="1"/>
  <c r="L383" i="1"/>
  <c r="J383" i="1"/>
  <c r="N382" i="1"/>
  <c r="L382" i="1"/>
  <c r="J382" i="1"/>
  <c r="N381" i="1"/>
  <c r="L381" i="1"/>
  <c r="J381" i="1"/>
  <c r="N380" i="1"/>
  <c r="L380" i="1"/>
  <c r="J380" i="1"/>
  <c r="N379" i="1"/>
  <c r="L379" i="1"/>
  <c r="J379" i="1"/>
  <c r="N378" i="1"/>
  <c r="L378" i="1"/>
  <c r="J378" i="1"/>
  <c r="N377" i="1"/>
  <c r="L377" i="1"/>
  <c r="J377" i="1"/>
  <c r="N376" i="1"/>
  <c r="L376" i="1"/>
  <c r="J376" i="1"/>
  <c r="N375" i="1"/>
  <c r="L375" i="1"/>
  <c r="J375" i="1"/>
  <c r="N374" i="1"/>
  <c r="L374" i="1"/>
  <c r="J374" i="1"/>
  <c r="N373" i="1"/>
  <c r="L373" i="1"/>
  <c r="J373" i="1"/>
  <c r="N372" i="1"/>
  <c r="L372" i="1"/>
  <c r="J372" i="1"/>
  <c r="N371" i="1"/>
  <c r="L371" i="1"/>
  <c r="J371" i="1"/>
  <c r="N370" i="1"/>
  <c r="L370" i="1"/>
  <c r="J370" i="1"/>
  <c r="N369" i="1"/>
  <c r="L369" i="1"/>
  <c r="J369" i="1"/>
  <c r="N368" i="1"/>
  <c r="L368" i="1"/>
  <c r="J368" i="1"/>
  <c r="N367" i="1"/>
  <c r="L367" i="1"/>
  <c r="J367" i="1"/>
  <c r="N366" i="1"/>
  <c r="L366" i="1"/>
  <c r="J366" i="1"/>
  <c r="N365" i="1"/>
  <c r="L365" i="1"/>
  <c r="J365" i="1"/>
  <c r="N364" i="1"/>
  <c r="L364" i="1"/>
  <c r="J364" i="1"/>
  <c r="N363" i="1"/>
  <c r="L363" i="1"/>
  <c r="J363" i="1"/>
  <c r="N362" i="1"/>
  <c r="L362" i="1"/>
  <c r="J362" i="1"/>
  <c r="N361" i="1"/>
  <c r="L361" i="1"/>
  <c r="J361" i="1"/>
  <c r="N360" i="1"/>
  <c r="L360" i="1"/>
  <c r="J360" i="1"/>
  <c r="N359" i="1"/>
  <c r="L359" i="1"/>
  <c r="J359" i="1"/>
  <c r="N358" i="1"/>
  <c r="L358" i="1"/>
  <c r="J358" i="1"/>
  <c r="N357" i="1"/>
  <c r="L357" i="1"/>
  <c r="J357" i="1"/>
  <c r="N356" i="1"/>
  <c r="L356" i="1"/>
  <c r="J356" i="1"/>
  <c r="N355" i="1"/>
  <c r="L355" i="1"/>
  <c r="J355" i="1"/>
  <c r="N354" i="1"/>
  <c r="L354" i="1"/>
  <c r="J354" i="1"/>
  <c r="N353" i="1"/>
  <c r="L353" i="1"/>
  <c r="J353" i="1"/>
  <c r="N352" i="1"/>
  <c r="L352" i="1"/>
  <c r="J352" i="1"/>
  <c r="N351" i="1"/>
  <c r="L351" i="1"/>
  <c r="J351" i="1"/>
  <c r="N350" i="1"/>
  <c r="L350" i="1"/>
  <c r="J350" i="1"/>
  <c r="N349" i="1"/>
  <c r="L349" i="1"/>
  <c r="J349" i="1"/>
  <c r="N348" i="1"/>
  <c r="L348" i="1"/>
  <c r="J348" i="1"/>
  <c r="N347" i="1"/>
  <c r="L347" i="1"/>
  <c r="J347" i="1"/>
  <c r="N346" i="1"/>
  <c r="L346" i="1"/>
  <c r="J346" i="1"/>
  <c r="N345" i="1"/>
  <c r="L345" i="1"/>
  <c r="J345" i="1"/>
  <c r="N344" i="1"/>
  <c r="L344" i="1"/>
  <c r="J344" i="1"/>
  <c r="N343" i="1"/>
  <c r="L343" i="1"/>
  <c r="J343" i="1"/>
  <c r="N342" i="1"/>
  <c r="L342" i="1"/>
  <c r="J342" i="1"/>
  <c r="N341" i="1"/>
  <c r="L341" i="1"/>
  <c r="J341" i="1"/>
  <c r="N340" i="1"/>
  <c r="L340" i="1"/>
  <c r="J340" i="1"/>
  <c r="N339" i="1"/>
  <c r="L339" i="1"/>
  <c r="J339" i="1"/>
  <c r="N338" i="1"/>
  <c r="L338" i="1"/>
  <c r="J338" i="1"/>
  <c r="N337" i="1"/>
  <c r="L337" i="1"/>
  <c r="J337" i="1"/>
  <c r="N336" i="1"/>
  <c r="L336" i="1"/>
  <c r="J336" i="1"/>
  <c r="N335" i="1"/>
  <c r="L335" i="1"/>
  <c r="J335" i="1"/>
  <c r="N334" i="1"/>
  <c r="L334" i="1"/>
  <c r="J334" i="1"/>
  <c r="N333" i="1"/>
  <c r="L333" i="1"/>
  <c r="J333" i="1"/>
  <c r="N332" i="1"/>
  <c r="L332" i="1"/>
  <c r="J332" i="1"/>
  <c r="N331" i="1"/>
  <c r="L331" i="1"/>
  <c r="J331" i="1"/>
  <c r="N330" i="1"/>
  <c r="L330" i="1"/>
  <c r="J330" i="1"/>
  <c r="N329" i="1"/>
  <c r="L329" i="1"/>
  <c r="J329" i="1"/>
  <c r="N328" i="1"/>
  <c r="L328" i="1"/>
  <c r="J328" i="1"/>
  <c r="N327" i="1"/>
  <c r="L327" i="1"/>
  <c r="J327" i="1"/>
  <c r="N326" i="1"/>
  <c r="L326" i="1"/>
  <c r="J326" i="1"/>
  <c r="N325" i="1"/>
  <c r="L325" i="1"/>
  <c r="J325" i="1"/>
  <c r="N324" i="1"/>
  <c r="L324" i="1"/>
  <c r="J324" i="1"/>
  <c r="N323" i="1"/>
  <c r="L323" i="1"/>
  <c r="J323" i="1"/>
  <c r="N322" i="1"/>
  <c r="L322" i="1"/>
  <c r="J322" i="1"/>
  <c r="N321" i="1"/>
  <c r="L321" i="1"/>
  <c r="J321" i="1"/>
  <c r="N320" i="1"/>
  <c r="L320" i="1"/>
  <c r="J320" i="1"/>
  <c r="N319" i="1"/>
  <c r="L319" i="1"/>
  <c r="J319" i="1"/>
  <c r="N318" i="1"/>
  <c r="L318" i="1"/>
  <c r="J318" i="1"/>
  <c r="N317" i="1"/>
  <c r="L317" i="1"/>
  <c r="J317" i="1"/>
  <c r="N316" i="1"/>
  <c r="L316" i="1"/>
  <c r="J316" i="1"/>
  <c r="N315" i="1"/>
  <c r="L315" i="1"/>
  <c r="J315" i="1"/>
  <c r="N314" i="1"/>
  <c r="L314" i="1"/>
  <c r="J314" i="1"/>
  <c r="N313" i="1"/>
  <c r="L313" i="1"/>
  <c r="J313" i="1"/>
  <c r="N312" i="1"/>
  <c r="L312" i="1"/>
  <c r="J312" i="1"/>
  <c r="N311" i="1"/>
  <c r="L311" i="1"/>
  <c r="J311" i="1"/>
  <c r="N310" i="1"/>
  <c r="L310" i="1"/>
  <c r="J310" i="1"/>
  <c r="N309" i="1"/>
  <c r="L309" i="1"/>
  <c r="J309" i="1"/>
  <c r="N308" i="1"/>
  <c r="L308" i="1"/>
  <c r="J308" i="1"/>
  <c r="N307" i="1"/>
  <c r="L307" i="1"/>
  <c r="J307" i="1"/>
  <c r="N306" i="1"/>
  <c r="L306" i="1"/>
  <c r="J306" i="1"/>
  <c r="N304" i="1"/>
  <c r="L304" i="1"/>
  <c r="J304" i="1"/>
  <c r="N303" i="1"/>
  <c r="L303" i="1"/>
  <c r="J303" i="1"/>
  <c r="N302" i="1"/>
  <c r="L302" i="1"/>
  <c r="J302" i="1"/>
  <c r="N301" i="1"/>
  <c r="L301" i="1"/>
  <c r="J301" i="1"/>
  <c r="N300" i="1"/>
  <c r="L300" i="1"/>
  <c r="J300" i="1"/>
  <c r="N299" i="1"/>
  <c r="L299" i="1"/>
  <c r="J299" i="1"/>
  <c r="N298" i="1"/>
  <c r="L298" i="1"/>
  <c r="J298" i="1"/>
  <c r="N297" i="1"/>
  <c r="L297" i="1"/>
  <c r="J297" i="1"/>
  <c r="N296" i="1"/>
  <c r="L296" i="1"/>
  <c r="J296" i="1"/>
  <c r="N295" i="1"/>
  <c r="L295" i="1"/>
  <c r="J295" i="1"/>
  <c r="N294" i="1"/>
  <c r="L294" i="1"/>
  <c r="J294" i="1"/>
  <c r="N293" i="1"/>
  <c r="L293" i="1"/>
  <c r="J293" i="1"/>
  <c r="N292" i="1"/>
  <c r="L292" i="1"/>
  <c r="J292" i="1"/>
  <c r="N291" i="1"/>
  <c r="L291" i="1"/>
  <c r="J291" i="1"/>
  <c r="N290" i="1"/>
  <c r="L290" i="1"/>
  <c r="J290" i="1"/>
  <c r="N289" i="1"/>
  <c r="L289" i="1"/>
  <c r="J289" i="1"/>
  <c r="N288" i="1"/>
  <c r="L288" i="1"/>
  <c r="J288" i="1"/>
  <c r="N287" i="1"/>
  <c r="L287" i="1"/>
  <c r="J287" i="1"/>
  <c r="N286" i="1"/>
  <c r="L286" i="1"/>
  <c r="J286" i="1"/>
  <c r="N285" i="1"/>
  <c r="L285" i="1"/>
  <c r="J285" i="1"/>
  <c r="N284" i="1"/>
  <c r="L284" i="1"/>
  <c r="J284" i="1"/>
  <c r="N283" i="1"/>
  <c r="L283" i="1"/>
  <c r="J283" i="1"/>
  <c r="N282" i="1"/>
  <c r="L282" i="1"/>
  <c r="J282" i="1"/>
  <c r="N281" i="1"/>
  <c r="L281" i="1"/>
  <c r="J281" i="1"/>
  <c r="N280" i="1"/>
  <c r="L280" i="1"/>
  <c r="J280" i="1"/>
  <c r="N279" i="1"/>
  <c r="L279" i="1"/>
  <c r="J279" i="1"/>
  <c r="N278" i="1"/>
  <c r="L278" i="1"/>
  <c r="J278" i="1"/>
  <c r="N277" i="1"/>
  <c r="L277" i="1"/>
  <c r="J277" i="1"/>
  <c r="N276" i="1"/>
  <c r="L276" i="1"/>
  <c r="J276" i="1"/>
  <c r="N275" i="1"/>
  <c r="L275" i="1"/>
  <c r="J275" i="1"/>
  <c r="N274" i="1"/>
  <c r="L274" i="1"/>
  <c r="J274" i="1"/>
  <c r="N273" i="1"/>
  <c r="L273" i="1"/>
  <c r="J273" i="1"/>
  <c r="N272" i="1"/>
  <c r="L272" i="1"/>
  <c r="J272" i="1"/>
  <c r="N271" i="1"/>
  <c r="L271" i="1"/>
  <c r="J271" i="1"/>
  <c r="N270" i="1"/>
  <c r="L270" i="1"/>
  <c r="J270" i="1"/>
  <c r="N269" i="1"/>
  <c r="L269" i="1"/>
  <c r="J269" i="1"/>
  <c r="N268" i="1"/>
  <c r="L268" i="1"/>
  <c r="J268" i="1"/>
  <c r="N267" i="1"/>
  <c r="L267" i="1"/>
  <c r="J267" i="1"/>
  <c r="N266" i="1"/>
  <c r="L266" i="1"/>
  <c r="J266" i="1"/>
  <c r="N265" i="1"/>
  <c r="L265" i="1"/>
  <c r="J265" i="1"/>
  <c r="N264" i="1"/>
  <c r="L264" i="1"/>
  <c r="J264" i="1"/>
  <c r="N263" i="1"/>
  <c r="L263" i="1"/>
  <c r="J263" i="1"/>
  <c r="N262" i="1"/>
  <c r="L262" i="1"/>
  <c r="J262" i="1"/>
  <c r="N261" i="1"/>
  <c r="L261" i="1"/>
  <c r="J261" i="1"/>
  <c r="N260" i="1"/>
  <c r="L260" i="1"/>
  <c r="J260" i="1"/>
  <c r="N259" i="1"/>
  <c r="L259" i="1"/>
  <c r="J259" i="1"/>
  <c r="N258" i="1"/>
  <c r="L258" i="1"/>
  <c r="J258" i="1"/>
  <c r="N257" i="1"/>
  <c r="L257" i="1"/>
  <c r="J257" i="1"/>
  <c r="N256" i="1"/>
  <c r="L256" i="1"/>
  <c r="J256" i="1"/>
  <c r="N255" i="1"/>
  <c r="L255" i="1"/>
  <c r="J255" i="1"/>
  <c r="N254" i="1"/>
  <c r="L254" i="1"/>
  <c r="J254" i="1"/>
  <c r="N253" i="1"/>
  <c r="L253" i="1"/>
  <c r="J253" i="1"/>
  <c r="N252" i="1"/>
  <c r="L252" i="1"/>
  <c r="J252" i="1"/>
  <c r="N251" i="1"/>
  <c r="L251" i="1"/>
  <c r="J251" i="1"/>
  <c r="N250" i="1"/>
  <c r="L250" i="1"/>
  <c r="J250" i="1"/>
  <c r="N249" i="1"/>
  <c r="L249" i="1"/>
  <c r="J249" i="1"/>
  <c r="N248" i="1"/>
  <c r="L248" i="1"/>
  <c r="J248" i="1"/>
  <c r="N247" i="1"/>
  <c r="L247" i="1"/>
  <c r="J247" i="1"/>
  <c r="N246" i="1"/>
  <c r="L246" i="1"/>
  <c r="J246" i="1"/>
  <c r="N245" i="1"/>
  <c r="L245" i="1"/>
  <c r="J245" i="1"/>
  <c r="N244" i="1"/>
  <c r="L244" i="1"/>
  <c r="J244" i="1"/>
  <c r="N243" i="1"/>
  <c r="L243" i="1"/>
  <c r="J243" i="1"/>
  <c r="N242" i="1"/>
  <c r="L242" i="1"/>
  <c r="J242" i="1"/>
  <c r="N241" i="1"/>
  <c r="L241" i="1"/>
  <c r="J241" i="1"/>
  <c r="N240" i="1"/>
  <c r="L240" i="1"/>
  <c r="J240" i="1"/>
  <c r="N239" i="1"/>
  <c r="L239" i="1"/>
  <c r="J239" i="1"/>
  <c r="N238" i="1"/>
  <c r="L238" i="1"/>
  <c r="J238" i="1"/>
  <c r="N237" i="1"/>
  <c r="L237" i="1"/>
  <c r="J237" i="1"/>
  <c r="N236" i="1"/>
  <c r="L236" i="1"/>
  <c r="J236" i="1"/>
  <c r="N235" i="1"/>
  <c r="L235" i="1"/>
  <c r="J235" i="1"/>
  <c r="N234" i="1"/>
  <c r="L234" i="1"/>
  <c r="J234" i="1"/>
  <c r="N233" i="1"/>
  <c r="L233" i="1"/>
  <c r="J233" i="1"/>
  <c r="N232" i="1"/>
  <c r="L232" i="1"/>
  <c r="J232" i="1"/>
  <c r="N231" i="1"/>
  <c r="L231" i="1"/>
  <c r="J231" i="1"/>
  <c r="N230" i="1"/>
  <c r="L230" i="1"/>
  <c r="J230" i="1"/>
  <c r="N229" i="1"/>
  <c r="L229" i="1"/>
  <c r="J229" i="1"/>
  <c r="N228" i="1"/>
  <c r="L228" i="1"/>
  <c r="J228" i="1"/>
  <c r="N227" i="1"/>
  <c r="L227" i="1"/>
  <c r="J227" i="1"/>
  <c r="N226" i="1"/>
  <c r="L226" i="1"/>
  <c r="J226" i="1"/>
  <c r="N225" i="1"/>
  <c r="L225" i="1"/>
  <c r="J225" i="1"/>
  <c r="N224" i="1"/>
  <c r="L224" i="1"/>
  <c r="J224" i="1"/>
  <c r="N223" i="1"/>
  <c r="L223" i="1"/>
  <c r="J223" i="1"/>
  <c r="N222" i="1"/>
  <c r="L222" i="1"/>
  <c r="J222" i="1"/>
  <c r="N221" i="1"/>
  <c r="L221" i="1"/>
  <c r="J221" i="1"/>
  <c r="N220" i="1"/>
  <c r="L220" i="1"/>
  <c r="J220" i="1"/>
  <c r="N219" i="1"/>
  <c r="L219" i="1"/>
  <c r="J219" i="1"/>
  <c r="N218" i="1"/>
  <c r="L218" i="1"/>
  <c r="J218" i="1"/>
  <c r="N217" i="1"/>
  <c r="L217" i="1"/>
  <c r="J217" i="1"/>
  <c r="N215" i="1"/>
  <c r="L215" i="1"/>
  <c r="J215" i="1"/>
  <c r="N214" i="1"/>
  <c r="L214" i="1"/>
  <c r="J214" i="1"/>
  <c r="N213" i="1"/>
  <c r="L213" i="1"/>
  <c r="J213" i="1"/>
  <c r="N212" i="1"/>
  <c r="L212" i="1"/>
  <c r="J212" i="1"/>
  <c r="N211" i="1"/>
  <c r="L211" i="1"/>
  <c r="J211" i="1"/>
  <c r="N210" i="1"/>
  <c r="L210" i="1"/>
  <c r="J210" i="1"/>
  <c r="N209" i="1"/>
  <c r="L209" i="1"/>
  <c r="J209" i="1"/>
  <c r="N208" i="1"/>
  <c r="L208" i="1"/>
  <c r="J208" i="1"/>
  <c r="N207" i="1"/>
  <c r="L207" i="1"/>
  <c r="J207" i="1"/>
  <c r="N206" i="1"/>
  <c r="L206" i="1"/>
  <c r="J206" i="1"/>
  <c r="N205" i="1"/>
  <c r="L205" i="1"/>
  <c r="J205" i="1"/>
  <c r="N204" i="1"/>
  <c r="L204" i="1"/>
  <c r="J204" i="1"/>
  <c r="N203" i="1"/>
  <c r="L203" i="1"/>
  <c r="J203" i="1"/>
  <c r="N202" i="1"/>
  <c r="L202" i="1"/>
  <c r="J202" i="1"/>
  <c r="N201" i="1"/>
  <c r="L201" i="1"/>
  <c r="J201" i="1"/>
  <c r="N200" i="1"/>
  <c r="L200" i="1"/>
  <c r="J200" i="1"/>
  <c r="N198" i="1"/>
  <c r="L198" i="1"/>
  <c r="J198" i="1"/>
  <c r="N197" i="1"/>
  <c r="L197" i="1"/>
  <c r="J197" i="1"/>
  <c r="N196" i="1"/>
  <c r="L196" i="1"/>
  <c r="J196" i="1"/>
  <c r="N195" i="1"/>
  <c r="L195" i="1"/>
  <c r="J195" i="1"/>
  <c r="N194" i="1"/>
  <c r="L194" i="1"/>
  <c r="J194" i="1"/>
  <c r="N193" i="1"/>
  <c r="L193" i="1"/>
  <c r="J193" i="1"/>
  <c r="N192" i="1"/>
  <c r="L192" i="1"/>
  <c r="J192" i="1"/>
  <c r="N191" i="1"/>
  <c r="L191" i="1"/>
  <c r="J191" i="1"/>
  <c r="N190" i="1"/>
  <c r="L190" i="1"/>
  <c r="J190" i="1"/>
  <c r="N189" i="1"/>
  <c r="L189" i="1"/>
  <c r="J189" i="1"/>
  <c r="N188" i="1"/>
  <c r="L188" i="1"/>
  <c r="J188" i="1"/>
  <c r="N187" i="1"/>
  <c r="L187" i="1"/>
  <c r="J187" i="1"/>
  <c r="N186" i="1"/>
  <c r="L186" i="1"/>
  <c r="J186" i="1"/>
  <c r="N185" i="1"/>
  <c r="L185" i="1"/>
  <c r="J185" i="1"/>
  <c r="N184" i="1"/>
  <c r="L184" i="1"/>
  <c r="J184" i="1"/>
  <c r="N183" i="1"/>
  <c r="L183" i="1"/>
  <c r="J183" i="1"/>
  <c r="N182" i="1"/>
  <c r="L182" i="1"/>
  <c r="J182" i="1"/>
  <c r="N181" i="1"/>
  <c r="L181" i="1"/>
  <c r="J181" i="1"/>
  <c r="N180" i="1"/>
  <c r="L180" i="1"/>
  <c r="J180" i="1"/>
  <c r="N179" i="1"/>
  <c r="L179" i="1"/>
  <c r="J179" i="1"/>
  <c r="N177" i="1"/>
  <c r="L177" i="1"/>
  <c r="J177" i="1"/>
  <c r="N176" i="1"/>
  <c r="L176" i="1"/>
  <c r="J176" i="1"/>
  <c r="N175" i="1"/>
  <c r="L175" i="1"/>
  <c r="J175" i="1"/>
  <c r="N174" i="1"/>
  <c r="L174" i="1"/>
  <c r="J174" i="1"/>
  <c r="N173" i="1"/>
  <c r="L173" i="1"/>
  <c r="J173" i="1"/>
  <c r="N172" i="1"/>
  <c r="L172" i="1"/>
  <c r="J172" i="1"/>
  <c r="N171" i="1"/>
  <c r="L171" i="1"/>
  <c r="J171" i="1"/>
  <c r="N170" i="1"/>
  <c r="L170" i="1"/>
  <c r="J170" i="1"/>
  <c r="N169" i="1"/>
  <c r="L169" i="1"/>
  <c r="J169" i="1"/>
  <c r="N168" i="1"/>
  <c r="L168" i="1"/>
  <c r="J168" i="1"/>
  <c r="N167" i="1"/>
  <c r="L167" i="1"/>
  <c r="J167" i="1"/>
  <c r="N166" i="1"/>
  <c r="L166" i="1"/>
  <c r="J166" i="1"/>
  <c r="N165" i="1"/>
  <c r="L165" i="1"/>
  <c r="J165" i="1"/>
  <c r="N164" i="1"/>
  <c r="L164" i="1"/>
  <c r="J164" i="1"/>
  <c r="N163" i="1"/>
  <c r="L163" i="1"/>
  <c r="J163" i="1"/>
  <c r="N162" i="1"/>
  <c r="L162" i="1"/>
  <c r="J162" i="1"/>
  <c r="N161" i="1"/>
  <c r="L161" i="1"/>
  <c r="J161" i="1"/>
  <c r="N160" i="1"/>
  <c r="L160" i="1"/>
  <c r="J160" i="1"/>
  <c r="N159" i="1"/>
  <c r="L159" i="1"/>
  <c r="J159" i="1"/>
  <c r="N158" i="1"/>
  <c r="L158" i="1"/>
  <c r="J158" i="1"/>
  <c r="N157" i="1"/>
  <c r="L157" i="1"/>
  <c r="J157" i="1"/>
  <c r="N156" i="1"/>
  <c r="L156" i="1"/>
  <c r="J156" i="1"/>
  <c r="N155" i="1"/>
  <c r="L155" i="1"/>
  <c r="J155" i="1"/>
  <c r="N154" i="1"/>
  <c r="L154" i="1"/>
  <c r="J154" i="1"/>
  <c r="N153" i="1"/>
  <c r="L153" i="1"/>
  <c r="J153" i="1"/>
  <c r="N152" i="1"/>
  <c r="L152" i="1"/>
  <c r="J152" i="1"/>
  <c r="N151" i="1"/>
  <c r="L151" i="1"/>
  <c r="J151" i="1"/>
  <c r="N150" i="1"/>
  <c r="L150" i="1"/>
  <c r="J150" i="1"/>
  <c r="N149" i="1"/>
  <c r="L149" i="1"/>
  <c r="J149" i="1"/>
  <c r="N148" i="1"/>
  <c r="L148" i="1"/>
  <c r="J148" i="1"/>
  <c r="N147" i="1"/>
  <c r="L147" i="1"/>
  <c r="J147" i="1"/>
  <c r="N146" i="1"/>
  <c r="L146" i="1"/>
  <c r="J146" i="1"/>
  <c r="N145" i="1"/>
  <c r="L145" i="1"/>
  <c r="J145" i="1"/>
  <c r="N144" i="1"/>
  <c r="L144" i="1"/>
  <c r="J144" i="1"/>
  <c r="N143" i="1"/>
  <c r="L143" i="1"/>
  <c r="J143" i="1"/>
  <c r="N142" i="1"/>
  <c r="L142" i="1"/>
  <c r="J142" i="1"/>
  <c r="N141" i="1"/>
  <c r="L141" i="1"/>
  <c r="J141" i="1"/>
  <c r="N140" i="1"/>
  <c r="L140" i="1"/>
  <c r="J140" i="1"/>
  <c r="N139" i="1"/>
  <c r="L139" i="1"/>
  <c r="J139" i="1"/>
  <c r="N138" i="1"/>
  <c r="L138" i="1"/>
  <c r="J138" i="1"/>
  <c r="N137" i="1"/>
  <c r="L137" i="1"/>
  <c r="J137" i="1"/>
  <c r="N136" i="1"/>
  <c r="L136" i="1"/>
  <c r="J136" i="1"/>
  <c r="N135" i="1"/>
  <c r="L135" i="1"/>
  <c r="J135" i="1"/>
  <c r="N134" i="1"/>
  <c r="L134" i="1"/>
  <c r="J134" i="1"/>
  <c r="N133" i="1"/>
  <c r="L133" i="1"/>
  <c r="J133" i="1"/>
  <c r="N132" i="1"/>
  <c r="L132" i="1"/>
  <c r="J132" i="1"/>
  <c r="N131" i="1"/>
  <c r="L131" i="1"/>
  <c r="J131" i="1"/>
  <c r="N130" i="1"/>
  <c r="L130" i="1"/>
  <c r="J130" i="1"/>
  <c r="N129" i="1"/>
  <c r="L129" i="1"/>
  <c r="J129" i="1"/>
  <c r="N128" i="1"/>
  <c r="L128" i="1"/>
  <c r="J128" i="1"/>
  <c r="N127" i="1"/>
  <c r="L127" i="1"/>
  <c r="J127" i="1"/>
  <c r="N126" i="1"/>
  <c r="L126" i="1"/>
  <c r="J126" i="1"/>
  <c r="N125" i="1"/>
  <c r="L125" i="1"/>
  <c r="J125" i="1"/>
  <c r="N124" i="1"/>
  <c r="L124" i="1"/>
  <c r="J124" i="1"/>
  <c r="N123" i="1"/>
  <c r="L123" i="1"/>
  <c r="J123" i="1"/>
  <c r="N122" i="1"/>
  <c r="L122" i="1"/>
  <c r="J122" i="1"/>
  <c r="N121" i="1"/>
  <c r="L121" i="1"/>
  <c r="J121" i="1"/>
  <c r="N120" i="1"/>
  <c r="L120" i="1"/>
  <c r="J120" i="1"/>
  <c r="N119" i="1"/>
  <c r="L119" i="1"/>
  <c r="J119" i="1"/>
  <c r="N118" i="1"/>
  <c r="L118" i="1"/>
  <c r="J118" i="1"/>
  <c r="N117" i="1"/>
  <c r="L117" i="1"/>
  <c r="J117" i="1"/>
  <c r="N116" i="1"/>
  <c r="L116" i="1"/>
  <c r="J116" i="1"/>
  <c r="N115" i="1"/>
  <c r="L115" i="1"/>
  <c r="J115" i="1"/>
  <c r="N114" i="1"/>
  <c r="L114" i="1"/>
  <c r="J114" i="1"/>
  <c r="N113" i="1"/>
  <c r="L113" i="1"/>
  <c r="J113" i="1"/>
  <c r="N112" i="1"/>
  <c r="L112" i="1"/>
  <c r="J112" i="1"/>
  <c r="N111" i="1"/>
  <c r="L111" i="1"/>
  <c r="J111" i="1"/>
  <c r="N110" i="1"/>
  <c r="L110" i="1"/>
  <c r="J110" i="1"/>
  <c r="N109" i="1"/>
  <c r="L109" i="1"/>
  <c r="J109" i="1"/>
  <c r="N108" i="1"/>
  <c r="L108" i="1"/>
  <c r="J108" i="1"/>
  <c r="N107" i="1"/>
  <c r="L107" i="1"/>
  <c r="J107" i="1"/>
  <c r="N106" i="1"/>
  <c r="L106" i="1"/>
  <c r="J106" i="1"/>
  <c r="N105" i="1"/>
  <c r="L105" i="1"/>
  <c r="J105" i="1"/>
  <c r="N104" i="1"/>
  <c r="L104" i="1"/>
  <c r="J104" i="1"/>
  <c r="N103" i="1"/>
  <c r="L103" i="1"/>
  <c r="J103" i="1"/>
  <c r="N102" i="1"/>
  <c r="L102" i="1"/>
  <c r="J102" i="1"/>
  <c r="N101" i="1"/>
  <c r="L101" i="1"/>
  <c r="J101" i="1"/>
  <c r="N100" i="1"/>
  <c r="L100" i="1"/>
  <c r="J100" i="1"/>
  <c r="N99" i="1"/>
  <c r="L99" i="1"/>
  <c r="J99" i="1"/>
  <c r="N98" i="1"/>
  <c r="L98" i="1"/>
  <c r="J98" i="1"/>
  <c r="N97" i="1"/>
  <c r="L97" i="1"/>
  <c r="J97" i="1"/>
  <c r="N96" i="1"/>
  <c r="L96" i="1"/>
  <c r="J96" i="1"/>
  <c r="N95" i="1"/>
  <c r="L95" i="1"/>
  <c r="J95" i="1"/>
  <c r="N94" i="1"/>
  <c r="L94" i="1"/>
  <c r="J94" i="1"/>
  <c r="N93" i="1"/>
  <c r="L93" i="1"/>
  <c r="J93" i="1"/>
  <c r="N92" i="1"/>
  <c r="L92" i="1"/>
  <c r="J92" i="1"/>
  <c r="N91" i="1"/>
  <c r="L91" i="1"/>
  <c r="J91" i="1"/>
  <c r="N90" i="1"/>
  <c r="L90" i="1"/>
  <c r="J90" i="1"/>
  <c r="N89" i="1"/>
  <c r="L89" i="1"/>
  <c r="J89" i="1"/>
  <c r="N88" i="1"/>
  <c r="L88" i="1"/>
  <c r="J88" i="1"/>
  <c r="N87" i="1"/>
  <c r="L87" i="1"/>
  <c r="J87" i="1"/>
  <c r="N86" i="1"/>
  <c r="L86" i="1"/>
  <c r="J86" i="1"/>
  <c r="N85" i="1"/>
  <c r="L85" i="1"/>
  <c r="J85" i="1"/>
  <c r="N84" i="1"/>
  <c r="L84" i="1"/>
  <c r="J84" i="1"/>
  <c r="N83" i="1"/>
  <c r="L83" i="1"/>
  <c r="J83" i="1"/>
  <c r="N82" i="1"/>
  <c r="L82" i="1"/>
  <c r="J82" i="1"/>
  <c r="N81" i="1"/>
  <c r="L81" i="1"/>
  <c r="J81" i="1"/>
  <c r="N80" i="1"/>
  <c r="L80" i="1"/>
  <c r="J80" i="1"/>
  <c r="N79" i="1"/>
  <c r="L79" i="1"/>
  <c r="J79" i="1"/>
  <c r="N78" i="1"/>
  <c r="L78" i="1"/>
  <c r="J78" i="1"/>
  <c r="N77" i="1"/>
  <c r="L77" i="1"/>
  <c r="J77" i="1"/>
  <c r="N76" i="1"/>
  <c r="L76" i="1"/>
  <c r="J76" i="1"/>
  <c r="N75" i="1"/>
  <c r="L75" i="1"/>
  <c r="J75" i="1"/>
  <c r="N74" i="1"/>
  <c r="L74" i="1"/>
  <c r="J74" i="1"/>
  <c r="N73" i="1"/>
  <c r="L73" i="1"/>
  <c r="J73" i="1"/>
  <c r="N72" i="1"/>
  <c r="L72" i="1"/>
  <c r="J72" i="1"/>
  <c r="N71" i="1"/>
  <c r="L71" i="1"/>
  <c r="J71" i="1"/>
  <c r="N70" i="1"/>
  <c r="L70" i="1"/>
  <c r="J70" i="1"/>
  <c r="N69" i="1"/>
  <c r="L69" i="1"/>
  <c r="J69" i="1"/>
  <c r="N68" i="1"/>
  <c r="L68" i="1"/>
  <c r="J68" i="1"/>
  <c r="N67" i="1"/>
  <c r="L67" i="1"/>
  <c r="J67" i="1"/>
  <c r="N66" i="1"/>
  <c r="L66" i="1"/>
  <c r="J66" i="1"/>
  <c r="N65" i="1"/>
  <c r="L65" i="1"/>
  <c r="J65" i="1"/>
  <c r="N64" i="1"/>
  <c r="L64" i="1"/>
  <c r="J64" i="1"/>
  <c r="N63" i="1"/>
  <c r="L63" i="1"/>
  <c r="J63" i="1"/>
  <c r="N62" i="1"/>
  <c r="L62" i="1"/>
  <c r="J62" i="1"/>
  <c r="N61" i="1"/>
  <c r="L61" i="1"/>
  <c r="J61" i="1"/>
  <c r="N60" i="1"/>
  <c r="L60" i="1"/>
  <c r="J60" i="1"/>
  <c r="N59" i="1"/>
  <c r="L59" i="1"/>
  <c r="J59" i="1"/>
  <c r="N58" i="1"/>
  <c r="L58" i="1"/>
  <c r="J58" i="1"/>
  <c r="N57" i="1"/>
  <c r="L57" i="1"/>
  <c r="J57" i="1"/>
  <c r="N56" i="1"/>
  <c r="L56" i="1"/>
  <c r="J56" i="1"/>
  <c r="N55" i="1"/>
  <c r="L55" i="1"/>
  <c r="J55" i="1"/>
  <c r="N54" i="1"/>
  <c r="L54" i="1"/>
  <c r="J54" i="1"/>
  <c r="N53" i="1"/>
  <c r="L53" i="1"/>
  <c r="J53" i="1"/>
  <c r="N52" i="1"/>
  <c r="L52" i="1"/>
  <c r="J52" i="1"/>
  <c r="N51" i="1"/>
  <c r="L51" i="1"/>
  <c r="J51" i="1"/>
  <c r="N50" i="1"/>
  <c r="L50" i="1"/>
  <c r="J50" i="1"/>
  <c r="N48" i="1"/>
  <c r="L48" i="1"/>
  <c r="J48" i="1"/>
  <c r="N47" i="1"/>
  <c r="L47" i="1"/>
  <c r="J47" i="1"/>
  <c r="N46" i="1"/>
  <c r="L46" i="1"/>
  <c r="J46" i="1"/>
  <c r="N45" i="1"/>
  <c r="L45" i="1"/>
  <c r="J45" i="1"/>
  <c r="N44" i="1"/>
  <c r="L44" i="1"/>
  <c r="J44" i="1"/>
  <c r="N43" i="1"/>
  <c r="L43" i="1"/>
  <c r="J43" i="1"/>
  <c r="N42" i="1"/>
  <c r="L42" i="1"/>
  <c r="J42" i="1"/>
  <c r="N41" i="1"/>
  <c r="L41" i="1"/>
  <c r="J41" i="1"/>
  <c r="N40" i="1"/>
  <c r="L40" i="1"/>
  <c r="J40" i="1"/>
  <c r="N39" i="1"/>
  <c r="L39" i="1"/>
  <c r="J39" i="1"/>
  <c r="N38" i="1"/>
  <c r="L38" i="1"/>
  <c r="J38" i="1"/>
  <c r="N37" i="1"/>
  <c r="L37" i="1"/>
  <c r="J37" i="1"/>
  <c r="N36" i="1"/>
  <c r="L36" i="1"/>
  <c r="J36" i="1"/>
  <c r="N35" i="1"/>
  <c r="L35" i="1"/>
  <c r="J35" i="1"/>
  <c r="N33" i="1"/>
  <c r="L33" i="1"/>
  <c r="J33" i="1"/>
  <c r="N32" i="1"/>
  <c r="L32" i="1"/>
  <c r="J32" i="1"/>
  <c r="N31" i="1"/>
  <c r="L31" i="1"/>
  <c r="J31" i="1"/>
  <c r="N30" i="1"/>
  <c r="L30" i="1"/>
  <c r="J30" i="1"/>
  <c r="N29" i="1"/>
  <c r="N28" i="1"/>
  <c r="L28" i="1"/>
  <c r="J28" i="1"/>
  <c r="N27" i="1"/>
  <c r="L27" i="1"/>
  <c r="J27" i="1"/>
  <c r="N26" i="1"/>
  <c r="L26" i="1"/>
  <c r="J26" i="1"/>
  <c r="N25" i="1"/>
  <c r="L25" i="1"/>
  <c r="J25" i="1"/>
  <c r="N24" i="1"/>
  <c r="L24" i="1"/>
  <c r="J24" i="1"/>
  <c r="N23" i="1"/>
  <c r="L23" i="1"/>
  <c r="J23" i="1"/>
  <c r="N22" i="1"/>
  <c r="L22" i="1"/>
  <c r="J22" i="1"/>
  <c r="N21" i="1"/>
  <c r="L21" i="1"/>
  <c r="J21" i="1"/>
  <c r="N20" i="1"/>
  <c r="L20" i="1"/>
  <c r="J20" i="1"/>
  <c r="N19" i="1"/>
  <c r="L19" i="1"/>
  <c r="J19" i="1"/>
  <c r="N18" i="1"/>
  <c r="L18" i="1"/>
  <c r="J18" i="1"/>
  <c r="N17" i="1"/>
  <c r="L17" i="1"/>
  <c r="J17" i="1"/>
  <c r="XDF16" i="1"/>
  <c r="N16" i="1"/>
  <c r="L16" i="1"/>
  <c r="J16" i="1"/>
  <c r="N15" i="1"/>
  <c r="L15" i="1"/>
  <c r="J15" i="1"/>
  <c r="N14" i="1"/>
  <c r="L14" i="1"/>
  <c r="J14" i="1"/>
  <c r="N13" i="1"/>
  <c r="L13" i="1"/>
  <c r="J13" i="1"/>
  <c r="N12" i="1"/>
  <c r="L12" i="1"/>
  <c r="J12" i="1"/>
  <c r="N11" i="1"/>
  <c r="L11" i="1"/>
  <c r="J11" i="1"/>
  <c r="L305" i="1" l="1"/>
  <c r="J598" i="1"/>
  <c r="L34" i="1"/>
  <c r="J34" i="1"/>
  <c r="N49" i="1"/>
  <c r="N665" i="1"/>
  <c r="L49" i="1"/>
  <c r="J216" i="1"/>
  <c r="N216" i="1"/>
  <c r="L216" i="1"/>
  <c r="L598" i="1"/>
  <c r="N598" i="1"/>
  <c r="J665" i="1"/>
  <c r="J10" i="1"/>
  <c r="L178" i="1"/>
  <c r="J178" i="1"/>
  <c r="J455" i="1"/>
  <c r="L665" i="1"/>
  <c r="L10" i="1"/>
  <c r="N178" i="1"/>
  <c r="L455" i="1"/>
  <c r="N34" i="1"/>
  <c r="N10" i="1"/>
  <c r="N455" i="1"/>
  <c r="N305" i="1"/>
  <c r="J49" i="1"/>
  <c r="J305" i="1"/>
  <c r="J702" i="1" l="1"/>
  <c r="N703" i="1"/>
  <c r="N702" i="1"/>
  <c r="N701" i="1" s="1"/>
  <c r="N704" i="1" s="1"/>
  <c r="L703" i="1"/>
  <c r="J703" i="1"/>
  <c r="L702" i="1"/>
  <c r="J701" i="1" l="1"/>
  <c r="J704" i="1" s="1"/>
  <c r="L701" i="1"/>
  <c r="L704" i="1" s="1"/>
</calcChain>
</file>

<file path=xl/sharedStrings.xml><?xml version="1.0" encoding="utf-8"?>
<sst xmlns="http://schemas.openxmlformats.org/spreadsheetml/2006/main" count="1958" uniqueCount="1321">
  <si>
    <t>N° des prix</t>
  </si>
  <si>
    <t>T9 - La Soie-Charpennes</t>
  </si>
  <si>
    <t>MOA : SYTRAL</t>
  </si>
  <si>
    <t>MOE : ARTELIA, Villes et Paysage, Lavigne-Cheron</t>
  </si>
  <si>
    <t>COMMANDE-TYPE N°1</t>
  </si>
  <si>
    <t>COMMANDE-TYPE N°2</t>
  </si>
  <si>
    <t>COMMANDE-TYPE N°3</t>
  </si>
  <si>
    <t>Désignation des travaux</t>
  </si>
  <si>
    <t>Unité</t>
  </si>
  <si>
    <t>Prix unitaire
€HT</t>
  </si>
  <si>
    <t>Quantité</t>
  </si>
  <si>
    <t>Prix total
€HT</t>
  </si>
  <si>
    <t>PRIX GENERAUX</t>
  </si>
  <si>
    <t>Période de préparation générale</t>
  </si>
  <si>
    <t>Ft</t>
  </si>
  <si>
    <t>Etudes d'exécution</t>
  </si>
  <si>
    <t>Signalisation de chantier</t>
  </si>
  <si>
    <t>Amenée et mise en place de clôtures de chantier grillagées</t>
  </si>
  <si>
    <t>ml</t>
  </si>
  <si>
    <t>Location de clôtures de chantier grillagées</t>
  </si>
  <si>
    <t>Repliement de clôtures de chantier grillagées</t>
  </si>
  <si>
    <t>DEGAGEMENT DES EMPRISES</t>
  </si>
  <si>
    <t>Débroussaillage</t>
  </si>
  <si>
    <t>m²</t>
  </si>
  <si>
    <t>Arrachage haies</t>
  </si>
  <si>
    <t>Elagage d'arbres</t>
  </si>
  <si>
    <t>Elagage d'arbres hauteur &lt; 6m</t>
  </si>
  <si>
    <t>u</t>
  </si>
  <si>
    <r>
      <t xml:space="preserve">Elagage d'arbres 6m </t>
    </r>
    <r>
      <rPr>
        <sz val="11"/>
        <color theme="1"/>
        <rFont val="Calibri"/>
        <family val="2"/>
      </rPr>
      <t>≤</t>
    </r>
    <r>
      <rPr>
        <sz val="11"/>
        <color theme="1"/>
        <rFont val="Calibri"/>
        <family val="2"/>
        <scheme val="minor"/>
      </rPr>
      <t xml:space="preserve"> hauteur &lt; 15m</t>
    </r>
  </si>
  <si>
    <t>Elagage d'arbres 15m ≤ hauteur &lt; 25m</t>
  </si>
  <si>
    <t>Elagage d'arbres 25m ≤ hauteur &lt; 35m</t>
  </si>
  <si>
    <t>Protection d'arbre</t>
  </si>
  <si>
    <t>Protection d'arbre type simple</t>
  </si>
  <si>
    <t>Protection d'arbre type spécifique</t>
  </si>
  <si>
    <t xml:space="preserve">Abattage et déssouchage d'arbre </t>
  </si>
  <si>
    <t>Abattage d'arbres avec déssouchage</t>
  </si>
  <si>
    <t>Diamètre inférieur à 0,40m</t>
  </si>
  <si>
    <t>Diamètre supérieur ou égal à 0,40m et inférieur à 0,60m</t>
  </si>
  <si>
    <t>Diamètre supérieur ou égal à 0,60m et inférieur à 1,30m</t>
  </si>
  <si>
    <t>Abattage d'arbres sans déssouchage</t>
  </si>
  <si>
    <t>Déssouchage d'arbre</t>
  </si>
  <si>
    <t>Rognage de souche d'arbre</t>
  </si>
  <si>
    <t>1 à 4 unités</t>
  </si>
  <si>
    <t>De 5 à 10 unités</t>
  </si>
  <si>
    <t>&gt; à 10 unités</t>
  </si>
  <si>
    <t>Découpe de revêtement</t>
  </si>
  <si>
    <t>Dépose de bordure ou caniveau en pierre ou en béton et évacuation au dépôt de la Métropole</t>
  </si>
  <si>
    <t>Dépose de bordure ou caniveau en pierre ou en béton et évacuation à la décharge</t>
  </si>
  <si>
    <t>Dépose de bordure ou caniveau en pierre ou en béton et mise en stock sur le chantier</t>
  </si>
  <si>
    <t>Démolition de sol bitumineux (y compris découpe)</t>
  </si>
  <si>
    <t>Démolition de chaussée ou stationnement bitumineux</t>
  </si>
  <si>
    <t>De 1 à 50 m²</t>
  </si>
  <si>
    <t>&gt; 50 m²</t>
  </si>
  <si>
    <t>Démolition de trottoir ou îlot bitumineux</t>
  </si>
  <si>
    <t>Plus-value pour chaque couche de 5 cm complémentaire de matériaux liés (base de 15 cm)</t>
  </si>
  <si>
    <t>Travaux de retrait d'enrobés amiantés</t>
  </si>
  <si>
    <t>F</t>
  </si>
  <si>
    <t>U</t>
  </si>
  <si>
    <t>Percement ouvrages amiantés</t>
  </si>
  <si>
    <t>Démolition de trottoir ou îlot en asphalte (y compris fondation béton et découpe)</t>
  </si>
  <si>
    <t>Démolition de sols pavés type autobloquants en béton et évacuation à la décharge</t>
  </si>
  <si>
    <t>Démontage de sols pavés ou dalles en pierre et évacuation au dépôt de la Métropole</t>
  </si>
  <si>
    <t>Démolition de petite maçonnerie de toute nature</t>
  </si>
  <si>
    <t>Démolition d'ouvrage en maçonnerie ou en béton non armé</t>
  </si>
  <si>
    <r>
      <rPr>
        <sz val="11"/>
        <color theme="1"/>
        <rFont val="Calibri"/>
        <family val="2"/>
      </rPr>
      <t>≤</t>
    </r>
    <r>
      <rPr>
        <i/>
        <sz val="11"/>
        <color theme="1"/>
        <rFont val="Calibri"/>
        <family val="2"/>
        <scheme val="minor"/>
      </rPr>
      <t xml:space="preserve"> 5 m</t>
    </r>
    <r>
      <rPr>
        <i/>
        <vertAlign val="superscript"/>
        <sz val="11"/>
        <color theme="1"/>
        <rFont val="Calibri"/>
        <family val="2"/>
        <scheme val="minor"/>
      </rPr>
      <t>3</t>
    </r>
  </si>
  <si>
    <r>
      <t>m</t>
    </r>
    <r>
      <rPr>
        <i/>
        <vertAlign val="superscript"/>
        <sz val="11"/>
        <color theme="1"/>
        <rFont val="Calibri"/>
        <family val="2"/>
        <scheme val="minor"/>
      </rPr>
      <t>3</t>
    </r>
  </si>
  <si>
    <r>
      <t>&gt; 5 m</t>
    </r>
    <r>
      <rPr>
        <i/>
        <vertAlign val="superscript"/>
        <sz val="11"/>
        <color theme="1"/>
        <rFont val="Calibri"/>
        <family val="2"/>
        <scheme val="minor"/>
      </rPr>
      <t>3</t>
    </r>
  </si>
  <si>
    <t>Démolition d'ouvrage en béton armé</t>
  </si>
  <si>
    <t>Démolition de regard ou chambre de tirage</t>
  </si>
  <si>
    <t>Démolition de regard avaloir et/ou à grille</t>
  </si>
  <si>
    <t>Regard d'assainissement</t>
  </si>
  <si>
    <t>Regard de réseaux secs</t>
  </si>
  <si>
    <t>Dimensions inférieures ou égales à 500mm de diamètre ou 500x500mm</t>
  </si>
  <si>
    <t>Dimensions supérieures à 500mm de diamètre ou 500x500 mm</t>
  </si>
  <si>
    <t>Bouches à clés AEP ou Gaz (sur canalisations abandonnées)</t>
  </si>
  <si>
    <t>Démolition de caniveau à grille</t>
  </si>
  <si>
    <t>Démolition de canalisation</t>
  </si>
  <si>
    <t>Canalisation béton</t>
  </si>
  <si>
    <t>Canalisation métallique</t>
  </si>
  <si>
    <t>Canalisation amiantés</t>
  </si>
  <si>
    <t>Forfait d'intervention (installation de chantier + dossier réglementaire)</t>
  </si>
  <si>
    <t xml:space="preserve">Inférieur à 300mm de diamètre </t>
  </si>
  <si>
    <t xml:space="preserve">Supérieur à 300mm de diamètre </t>
  </si>
  <si>
    <t xml:space="preserve">Dépose de panneaux de signalisation verticale de police </t>
  </si>
  <si>
    <t>Dépose d'ensemble de panneaux de police y compris support et démolition du massif de fondation</t>
  </si>
  <si>
    <t>Dépose de panneaux (police ou jalonnement) sur support existant (éclairage public, LAC, etc...)</t>
  </si>
  <si>
    <t>PV pour mise en stock provisoire</t>
  </si>
  <si>
    <t>Dépose de panneaux de signalisation de jalonnement</t>
  </si>
  <si>
    <t>Dépose d'ensemble de panneaux avec 1 à 2 mentions</t>
  </si>
  <si>
    <t>Dépose d'ensemble de panneaux supérieurs à 2 mentions</t>
  </si>
  <si>
    <t>Dépose soignée de mobilier</t>
  </si>
  <si>
    <t>Potelet fixe ou amovible, simple ou PMR</t>
  </si>
  <si>
    <t>Barrière piétonne ou arceau de protection</t>
  </si>
  <si>
    <t>Dalle podotactile en pierre</t>
  </si>
  <si>
    <t>Arceau vélo ou 2 roues</t>
  </si>
  <si>
    <t>Poubelle</t>
  </si>
  <si>
    <t>Déplacement de conteneur de tri aérien</t>
  </si>
  <si>
    <t>Borne anti stationnement en béton</t>
  </si>
  <si>
    <t>Borne escamotable mécanique</t>
  </si>
  <si>
    <t>Massif d'horodateur</t>
  </si>
  <si>
    <t>Lisse métallique</t>
  </si>
  <si>
    <t>Grille d'arbre (entourage complet)</t>
  </si>
  <si>
    <t>Main courante métallique</t>
  </si>
  <si>
    <t>Garde-corps</t>
  </si>
  <si>
    <t>Boîte aux lettres</t>
  </si>
  <si>
    <t>Portique limiteur de gabarit</t>
  </si>
  <si>
    <t>Dépose candélabre existant</t>
  </si>
  <si>
    <t>Evacuation de déchets et encombrants</t>
  </si>
  <si>
    <r>
      <t>m</t>
    </r>
    <r>
      <rPr>
        <vertAlign val="superscript"/>
        <sz val="11"/>
        <color theme="1"/>
        <rFont val="Calibri"/>
        <family val="2"/>
        <scheme val="minor"/>
      </rPr>
      <t>3</t>
    </r>
  </si>
  <si>
    <t>Dépose de cuve enterrée de stockage des eaux pluviales</t>
  </si>
  <si>
    <t>Dépose soignée de portail</t>
  </si>
  <si>
    <t>1 vantail</t>
  </si>
  <si>
    <t>2 vantaux</t>
  </si>
  <si>
    <t>Coulissant</t>
  </si>
  <si>
    <t>Plus-value pour portail motorisé</t>
  </si>
  <si>
    <t>TERRASSEMENTS</t>
  </si>
  <si>
    <t>Sondage de reconnaissance</t>
  </si>
  <si>
    <t>Sondage de reconnaissance à l'aspiratrice ou manuel</t>
  </si>
  <si>
    <t>Sondage de reconnaissance à la pelle mécanique</t>
  </si>
  <si>
    <t>Déblais en terrain de toute nature</t>
  </si>
  <si>
    <t>Inférieur à 50 m3</t>
  </si>
  <si>
    <t>Supérieur à 50 m3</t>
  </si>
  <si>
    <t>Déblais mis en stock sur le lieu d'évacuation</t>
  </si>
  <si>
    <r>
      <t>Inférieur à 50 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</si>
  <si>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Supérieur à 50 m</t>
    </r>
    <r>
      <rPr>
        <vertAlign val="superscript"/>
        <sz val="11"/>
        <color theme="1"/>
        <rFont val="Calibri"/>
        <family val="2"/>
        <scheme val="minor"/>
      </rPr>
      <t>3</t>
    </r>
  </si>
  <si>
    <t>Déblais mis en stock sur un lieu de stockage du chantier</t>
  </si>
  <si>
    <t>Plus-value évacuation vers une ISDI+</t>
  </si>
  <si>
    <t>Plus-value évacuation vers une ISDND</t>
  </si>
  <si>
    <t>Plus-value évacuation vers une ISDD</t>
  </si>
  <si>
    <t>Remblais avec déblais extraits</t>
  </si>
  <si>
    <t>Pris sur le lieu d'évacuation</t>
  </si>
  <si>
    <t>Volume inférieur à 50 m3</t>
  </si>
  <si>
    <t>Volume supérieur à 50 m3</t>
  </si>
  <si>
    <t>Pris sur un lieu de stockage du chantier</t>
  </si>
  <si>
    <r>
      <t>Inférieur à 10 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</si>
  <si>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Supérieur à 10 m</t>
    </r>
    <r>
      <rPr>
        <vertAlign val="superscript"/>
        <sz val="11"/>
        <color theme="1"/>
        <rFont val="Calibri"/>
        <family val="2"/>
        <scheme val="minor"/>
      </rPr>
      <t>3</t>
    </r>
  </si>
  <si>
    <t>Remblais de tranchée en grave autocompactante</t>
  </si>
  <si>
    <t>Couche anti-contaminante en géotextile</t>
  </si>
  <si>
    <t>Décapage de terre végétale</t>
  </si>
  <si>
    <t>Réglage fin au râteau et épierrage d’espace vert</t>
  </si>
  <si>
    <t>Réglage de talus</t>
  </si>
  <si>
    <t>VOIRIE</t>
  </si>
  <si>
    <t>Couche d’imprégnation gravillonnée</t>
  </si>
  <si>
    <r>
      <rPr>
        <sz val="11"/>
        <color theme="1"/>
        <rFont val="Calibri"/>
        <family val="2"/>
      </rPr>
      <t>≤</t>
    </r>
    <r>
      <rPr>
        <sz val="11"/>
        <color theme="1"/>
        <rFont val="Calibri"/>
        <family val="2"/>
        <scheme val="minor"/>
      </rPr>
      <t xml:space="preserve"> 100 m²</t>
    </r>
  </si>
  <si>
    <t>&gt; 100 m²</t>
  </si>
  <si>
    <t>Couche d’assise - EME 0/14 silico-calcaire, classe 2</t>
  </si>
  <si>
    <r>
      <rPr>
        <sz val="11"/>
        <color theme="1"/>
        <rFont val="Calibri"/>
        <family val="2"/>
      </rPr>
      <t>≤</t>
    </r>
    <r>
      <rPr>
        <sz val="11"/>
        <color theme="1"/>
        <rFont val="Calibri"/>
        <family val="2"/>
        <scheme val="minor"/>
      </rPr>
      <t xml:space="preserve"> 20 t</t>
    </r>
  </si>
  <si>
    <t>t</t>
  </si>
  <si>
    <t>&gt; 20 t</t>
  </si>
  <si>
    <t>Couche d’assise - GB 0/14 silico-calcaire, classe 3</t>
  </si>
  <si>
    <r>
      <rPr>
        <sz val="11"/>
        <rFont val="Calibri"/>
        <family val="2"/>
        <scheme val="minor"/>
      </rPr>
      <t xml:space="preserve">Plus-value </t>
    </r>
    <r>
      <rPr>
        <sz val="11"/>
        <color theme="1"/>
        <rFont val="Calibri"/>
        <family val="2"/>
        <scheme val="minor"/>
      </rPr>
      <t>pour mise en oeuvre 100% manuelle</t>
    </r>
  </si>
  <si>
    <t>Couche d’accrochage</t>
  </si>
  <si>
    <t>Enrobés à froid</t>
  </si>
  <si>
    <t>Béton à prise rapide</t>
  </si>
  <si>
    <t>m3</t>
  </si>
  <si>
    <t>Enduit bicouche</t>
  </si>
  <si>
    <r>
      <t xml:space="preserve">Sur chaussée </t>
    </r>
    <r>
      <rPr>
        <sz val="11"/>
        <color theme="1"/>
        <rFont val="Calibri"/>
        <family val="2"/>
      </rPr>
      <t>≤</t>
    </r>
    <r>
      <rPr>
        <sz val="11"/>
        <color theme="1"/>
        <rFont val="Calibri"/>
        <family val="2"/>
        <scheme val="minor"/>
      </rPr>
      <t xml:space="preserve"> 200 m²</t>
    </r>
  </si>
  <si>
    <t>Sur chaussée &gt; 200 m²</t>
  </si>
  <si>
    <r>
      <t xml:space="preserve">Sur trottoir </t>
    </r>
    <r>
      <rPr>
        <sz val="11"/>
        <color theme="1"/>
        <rFont val="Calibri"/>
        <family val="2"/>
      </rPr>
      <t>≤</t>
    </r>
    <r>
      <rPr>
        <sz val="11"/>
        <color theme="1"/>
        <rFont val="Calibri"/>
        <family val="2"/>
        <scheme val="minor"/>
      </rPr>
      <t xml:space="preserve"> 50 m²</t>
    </r>
  </si>
  <si>
    <t>Sur trottoir &gt; 50 m²</t>
  </si>
  <si>
    <t>Béton bitumineux semi-grenu</t>
  </si>
  <si>
    <r>
      <rPr>
        <sz val="11"/>
        <color theme="1"/>
        <rFont val="Calibri"/>
        <family val="2"/>
      </rPr>
      <t>≤</t>
    </r>
    <r>
      <rPr>
        <sz val="11"/>
        <color theme="1"/>
        <rFont val="Calibri"/>
        <family val="2"/>
        <scheme val="minor"/>
      </rPr>
      <t xml:space="preserve"> 15 tonnes</t>
    </r>
  </si>
  <si>
    <r>
      <t xml:space="preserve">15 </t>
    </r>
    <r>
      <rPr>
        <sz val="11"/>
        <color theme="1"/>
        <rFont val="Calibri"/>
        <family val="2"/>
      </rPr>
      <t>≤</t>
    </r>
    <r>
      <rPr>
        <sz val="11"/>
        <color theme="1"/>
        <rFont val="Calibri"/>
        <family val="2"/>
        <scheme val="minor"/>
      </rPr>
      <t xml:space="preserve"> 100 tonnes</t>
    </r>
  </si>
  <si>
    <t>&gt; 100 tonnes</t>
  </si>
  <si>
    <t>Plus-value pour emploi de béton bitumineux à module élevé (BBME)</t>
  </si>
  <si>
    <t>Plus-value pour emploi de béton bitumineux mince (BBM)</t>
  </si>
  <si>
    <t>Plus-value pour emploi de granulats de porphyre</t>
  </si>
  <si>
    <t>Plus-value pour revêtement de couleur</t>
  </si>
  <si>
    <t>Plus-value pour enrobés granulo 0/6</t>
  </si>
  <si>
    <t>Revêtement sable stabilisé</t>
  </si>
  <si>
    <t>Dalle béton pour support d'asphalte</t>
  </si>
  <si>
    <t>Dalle béton pour trottoir en asphalte, épaisseur 10cm</t>
  </si>
  <si>
    <t>Dalle béton pour entrée charretière en asphalte, épaisseur 15cm</t>
  </si>
  <si>
    <t>Fourniture et mise en œuvre d'asphalte sur trottoir</t>
  </si>
  <si>
    <t>Asphalte type AC, épaisseur 3cm</t>
  </si>
  <si>
    <t>Plus-value pour asphalte de synthèse coloré</t>
  </si>
  <si>
    <t>Fourniture et pose de bordure béton</t>
  </si>
  <si>
    <t>Bordure T1</t>
  </si>
  <si>
    <t>Bordure T2</t>
  </si>
  <si>
    <t>Bordure T3</t>
  </si>
  <si>
    <t>Bordure P1</t>
  </si>
  <si>
    <t>Bordure P3</t>
  </si>
  <si>
    <t>Bordure A1</t>
  </si>
  <si>
    <t>Bordure A2</t>
  </si>
  <si>
    <t>Bordures de largeur 20 cm</t>
  </si>
  <si>
    <t>Pose en alignement droit</t>
  </si>
  <si>
    <t>Pose en courbe</t>
  </si>
  <si>
    <t>Bordures de largeur 30 cm</t>
  </si>
  <si>
    <t>Bordures de largeur supérieure à 50 cm</t>
  </si>
  <si>
    <t>Pose</t>
  </si>
  <si>
    <t>Caniveau béton coulé en place de 30 cm de largeur et 30 cm d'épaisseur</t>
  </si>
  <si>
    <t>Plus-value pour asphaltage du caniveau</t>
  </si>
  <si>
    <t>Pose de pavés granit</t>
  </si>
  <si>
    <t>Pose avec fourniture</t>
  </si>
  <si>
    <t>Pose sans fourniture</t>
  </si>
  <si>
    <t>Plus value pour pose sur mortier</t>
  </si>
  <si>
    <t>Plus value pour joint mortier</t>
  </si>
  <si>
    <t xml:space="preserve">Fourniture et pose de dalle béton </t>
  </si>
  <si>
    <t>Réalisation de dalle béton</t>
  </si>
  <si>
    <t>Finition talochée</t>
  </si>
  <si>
    <t>Finition balayée</t>
  </si>
  <si>
    <t>Finition bouchardée</t>
  </si>
  <si>
    <t>Finition sablée</t>
  </si>
  <si>
    <t>Finition désactivée</t>
  </si>
  <si>
    <t>Réglette métallique entre revêtements E=5mm</t>
  </si>
  <si>
    <t>Construction de mur de soutènement</t>
  </si>
  <si>
    <t>Hauteur vue inférieure à 1,00 m</t>
  </si>
  <si>
    <t>Hauteur vue comprise entre 1,01 m et 2,50 m</t>
  </si>
  <si>
    <t>RESEAUX</t>
  </si>
  <si>
    <t>Travaux communs des réseaux</t>
  </si>
  <si>
    <t>Simple correction de niveau de bouches à clef</t>
  </si>
  <si>
    <t>Mise à la cote d’une bouche à clef</t>
  </si>
  <si>
    <t>Eau potable</t>
  </si>
  <si>
    <t>Gaz</t>
  </si>
  <si>
    <t>Mise à la cote de descente d'eau pluviale contre façade</t>
  </si>
  <si>
    <t>Mise à la cote de regard</t>
  </si>
  <si>
    <t>Mise à la cote des cadres et trappes de chambre de réseaux de télécommunication</t>
  </si>
  <si>
    <t>Mise à la cote des cadres et trappes de chambre de réseaux de télécommunication sur trottoir (pour une seule trappe), réseaux en service</t>
  </si>
  <si>
    <t>Plus-value au prix 5.1.5.1 pour ouvrage à plusieurs trappes (la trappe supplémentaire)</t>
  </si>
  <si>
    <t>Mise à la cote des cadres et trappes de chambre de réseaux de télécommunication sur chaussée (pour une seule trappe), réseaux en service</t>
  </si>
  <si>
    <t>Plus-value au prix 5.1.5.3 pour ouvrage à plusieurs trappes (la trappe supplémentaire)</t>
  </si>
  <si>
    <t>Béton autocompactant pour remplisage de canalisations abandonnées</t>
  </si>
  <si>
    <t>Protection des réseaux</t>
  </si>
  <si>
    <t>Protection par operculaire béton</t>
  </si>
  <si>
    <t>Protection par PVC</t>
  </si>
  <si>
    <t>Protection par dalle acier épaisseur 4 mm</t>
  </si>
  <si>
    <t>Protection par dalle acier épaisseur 20 mm</t>
  </si>
  <si>
    <t>Enrobage béton</t>
  </si>
  <si>
    <t>Réseau d'assainissement</t>
  </si>
  <si>
    <t>Exécution de tranchée pour réseau d'assainissement</t>
  </si>
  <si>
    <r>
      <t xml:space="preserve">Tranchée de profondeur </t>
    </r>
    <r>
      <rPr>
        <sz val="11"/>
        <color theme="1"/>
        <rFont val="Calibri"/>
        <family val="2"/>
      </rPr>
      <t>≤</t>
    </r>
    <r>
      <rPr>
        <i/>
        <sz val="11"/>
        <color theme="1"/>
        <rFont val="Calibri"/>
        <family val="2"/>
        <scheme val="minor"/>
      </rPr>
      <t xml:space="preserve"> 1,30 m - Canalisation de diamètre </t>
    </r>
    <r>
      <rPr>
        <sz val="11"/>
        <color theme="1"/>
        <rFont val="Calibri"/>
        <family val="2"/>
      </rPr>
      <t>≤</t>
    </r>
    <r>
      <rPr>
        <i/>
        <sz val="11"/>
        <color theme="1"/>
        <rFont val="Segoe UI"/>
        <family val="2"/>
      </rPr>
      <t xml:space="preserve"> 300 mm</t>
    </r>
  </si>
  <si>
    <r>
      <t xml:space="preserve">Tranchée de profondeur ≤ 1,30 m - Canalisation </t>
    </r>
    <r>
      <rPr>
        <i/>
        <sz val="11"/>
        <color theme="1"/>
        <rFont val="Segoe UI"/>
        <family val="2"/>
      </rPr>
      <t xml:space="preserve">300 mm &lt; diamètre </t>
    </r>
    <r>
      <rPr>
        <sz val="11"/>
        <color theme="1"/>
        <rFont val="Calibri"/>
        <family val="2"/>
      </rPr>
      <t>≤</t>
    </r>
    <r>
      <rPr>
        <i/>
        <sz val="11"/>
        <color theme="1"/>
        <rFont val="Segoe UI"/>
        <family val="2"/>
      </rPr>
      <t xml:space="preserve"> 500 mm</t>
    </r>
  </si>
  <si>
    <r>
      <t xml:space="preserve">Tranchée 1,30 m ≤ profondeur &lt; 2,30 m - Canalisation de diamètre </t>
    </r>
    <r>
      <rPr>
        <sz val="11"/>
        <color theme="1"/>
        <rFont val="Calibri"/>
        <family val="2"/>
      </rPr>
      <t>≤</t>
    </r>
    <r>
      <rPr>
        <i/>
        <sz val="11"/>
        <color theme="1"/>
        <rFont val="Segoe UI"/>
        <family val="2"/>
      </rPr>
      <t xml:space="preserve"> 300 mm</t>
    </r>
  </si>
  <si>
    <r>
      <t xml:space="preserve">Tranchée 1,30 m ≤ profondeur &lt; 2,30 m - Canalisation </t>
    </r>
    <r>
      <rPr>
        <i/>
        <sz val="11"/>
        <color theme="1"/>
        <rFont val="Segoe UI"/>
        <family val="2"/>
      </rPr>
      <t xml:space="preserve">300 mm &lt; diamètre </t>
    </r>
    <r>
      <rPr>
        <sz val="11"/>
        <color theme="1"/>
        <rFont val="Calibri"/>
        <family val="2"/>
      </rPr>
      <t>≤</t>
    </r>
    <r>
      <rPr>
        <i/>
        <sz val="11"/>
        <color theme="1"/>
        <rFont val="Segoe UI"/>
        <family val="2"/>
      </rPr>
      <t xml:space="preserve"> 500 mm</t>
    </r>
  </si>
  <si>
    <t>Tranchée 2,30 m ≤ profondeur &lt; 4,00 m - Toute canalisation</t>
  </si>
  <si>
    <t>Fourniture et pose de canalisation PVC SN16</t>
  </si>
  <si>
    <t>De 200 mm de diamètre</t>
  </si>
  <si>
    <t>De 250 mm de diamètre</t>
  </si>
  <si>
    <t>De 315 mm de diamètre</t>
  </si>
  <si>
    <t>De 400 mm de diamètre</t>
  </si>
  <si>
    <t>Fourniture et pose de canalisation béton armé 135A</t>
  </si>
  <si>
    <r>
      <t xml:space="preserve">Diamètre </t>
    </r>
    <r>
      <rPr>
        <sz val="11"/>
        <color theme="1"/>
        <rFont val="Calibri"/>
        <family val="2"/>
      </rPr>
      <t>≤</t>
    </r>
    <r>
      <rPr>
        <i/>
        <sz val="11"/>
        <color theme="1"/>
        <rFont val="Segoe UI"/>
        <family val="2"/>
      </rPr>
      <t xml:space="preserve"> 300 mm</t>
    </r>
  </si>
  <si>
    <r>
      <rPr>
        <i/>
        <sz val="11"/>
        <rFont val="Calibri"/>
        <family val="2"/>
        <scheme val="minor"/>
      </rPr>
      <t xml:space="preserve">500 mm  </t>
    </r>
    <r>
      <rPr>
        <sz val="11"/>
        <rFont val="Calibri"/>
        <family val="2"/>
      </rPr>
      <t>≥</t>
    </r>
    <r>
      <rPr>
        <sz val="11"/>
        <color theme="1"/>
        <rFont val="Calibri"/>
        <family val="2"/>
      </rPr>
      <t xml:space="preserve">  </t>
    </r>
    <r>
      <rPr>
        <i/>
        <sz val="11"/>
        <color theme="1"/>
        <rFont val="Calibri"/>
        <family val="2"/>
        <scheme val="minor"/>
      </rPr>
      <t>Diamètre &gt;</t>
    </r>
    <r>
      <rPr>
        <i/>
        <sz val="11"/>
        <color theme="1"/>
        <rFont val="Segoe UI"/>
        <family val="2"/>
      </rPr>
      <t xml:space="preserve"> 300 mm</t>
    </r>
  </si>
  <si>
    <t>Emergences</t>
  </si>
  <si>
    <t>Regard béton Ø1000 mm (y compris tampon) hauteur  ≤ 3m</t>
  </si>
  <si>
    <t>Regard béton Ø1000 mm (y compris tampon) hauteur  &gt;3m</t>
  </si>
  <si>
    <t>Regard béton 1500 x 1500 mm (y compris tampon) hauteur  ≤ 3m</t>
  </si>
  <si>
    <t>Regard béton 1500 x 1500 mm (y compris tampon) hauteur  &gt; 3m</t>
  </si>
  <si>
    <t>Regard avaloir y compris bouche d'engouffrement</t>
  </si>
  <si>
    <t>Grille avaloir simple 750mm x 300mm</t>
  </si>
  <si>
    <t>Grille avaloir double 1500mm x 300mm (2 grilles de 750mm x 300mm)</t>
  </si>
  <si>
    <t>Regard de branchement 300 x 300 mm</t>
  </si>
  <si>
    <t>Regard de branchement 400 x 400 mm</t>
  </si>
  <si>
    <t>Regard à grille plate ou concave 400 x 400 mm</t>
  </si>
  <si>
    <t>Regard à grille plate ou concave 500 x 500 mm</t>
  </si>
  <si>
    <t>Clapet de nez anti-odeur sur canalisation DN200</t>
  </si>
  <si>
    <t>Clapet de nez anti-odeur sur canalisation DN400</t>
  </si>
  <si>
    <t>Clapet de nez anti-odeur sur canalisation DN600</t>
  </si>
  <si>
    <t>Caniveau à grille largeur 20 cm</t>
  </si>
  <si>
    <t>Caniveau à grille largeur 30 cm</t>
  </si>
  <si>
    <t>Transformation d'un regard à grille et/ou avaloir en regard à tampon plein</t>
  </si>
  <si>
    <t>Raccordement sur réseau existant</t>
  </si>
  <si>
    <t xml:space="preserve"> Raccordement sur canalisation existante</t>
  </si>
  <si>
    <t xml:space="preserve"> Raccordement sur regard de visite existant</t>
  </si>
  <si>
    <t>Raccordement sur ouvrage visitable de type A ou T - piquage en chandelle</t>
  </si>
  <si>
    <t>Fourniture et pose de tuyau perforé en PVC pour drain</t>
  </si>
  <si>
    <t>Drain Ø100 mm</t>
  </si>
  <si>
    <t>Drain Ø250 mm</t>
  </si>
  <si>
    <t xml:space="preserve">Hydrocurage des réseaux </t>
  </si>
  <si>
    <t xml:space="preserve">Inspection télévisée des réseaux </t>
  </si>
  <si>
    <t>Fourniture et pose de cuve de rétention d'eau enterrée</t>
  </si>
  <si>
    <t>Réseaux secs et eau potable</t>
  </si>
  <si>
    <t>Fouilles en tranchée y compris enrobage et remblaiement</t>
  </si>
  <si>
    <r>
      <t xml:space="preserve">Tranchée de largeur 30 cm &lt; largeur </t>
    </r>
    <r>
      <rPr>
        <sz val="11"/>
        <color theme="1"/>
        <rFont val="Calibri"/>
        <family val="2"/>
      </rPr>
      <t>≤</t>
    </r>
    <r>
      <rPr>
        <i/>
        <sz val="11"/>
        <color theme="1"/>
        <rFont val="Segoe UI"/>
        <family val="2"/>
      </rPr>
      <t xml:space="preserve"> 50 cm</t>
    </r>
  </si>
  <si>
    <t>Tranchée de largeur supérieure à 50 cm</t>
  </si>
  <si>
    <t>Fourniture et pose de fourreaux PVC aiguillés</t>
  </si>
  <si>
    <t>Fourreau PVC Ø42/45 mm</t>
  </si>
  <si>
    <t>Fourreau PVC Ø90 mm</t>
  </si>
  <si>
    <t>Fourreau PVC Ø100 mm</t>
  </si>
  <si>
    <t>Fourreau PVC Ø110 mm</t>
  </si>
  <si>
    <t>Fourniture et pose de fourreaux TPC</t>
  </si>
  <si>
    <t>Fourreau rouge TPC Ø63 mm</t>
  </si>
  <si>
    <t>Fourreau rouge TPC Ø90 mm</t>
  </si>
  <si>
    <t>Fourreau rouge TPC Ø110 mm</t>
  </si>
  <si>
    <t>Fourreau rouge TPC Ø160 mm</t>
  </si>
  <si>
    <t>Fourniture et pose de canalisation polyéthylène pour réseau d'eau potable et arrosage</t>
  </si>
  <si>
    <t>Tuyau Pe Ø25mm</t>
  </si>
  <si>
    <t>Tuyau Pe Ø32mm</t>
  </si>
  <si>
    <t>Tuyau Pe Ø50mm</t>
  </si>
  <si>
    <t>Tuyau Pe Ø63mm</t>
  </si>
  <si>
    <t>Tuyau Pe Ø75mm</t>
  </si>
  <si>
    <t>Tuyau pour goutte à goutte</t>
  </si>
  <si>
    <t>Fourniture et pose d'émergences AEP</t>
  </si>
  <si>
    <t>Bouche à clef</t>
  </si>
  <si>
    <t>Bouche d'arrosage</t>
  </si>
  <si>
    <t>Disconnecteur</t>
  </si>
  <si>
    <t>Programmateur</t>
  </si>
  <si>
    <t>Electrovanne DN50 yc cable de commande</t>
  </si>
  <si>
    <t>Nourrice pour 3 électrovannes</t>
  </si>
  <si>
    <t>Vidange automatique</t>
  </si>
  <si>
    <t>Essais et réglages</t>
  </si>
  <si>
    <t>Borne de puisage monétique</t>
  </si>
  <si>
    <t>Fourniture et pose en fond de fouille de câble de terre cuivre nu 25 mm²</t>
  </si>
  <si>
    <t>Fourniture et pose de chambre de tirage normalisée, y compris cadre et tampons</t>
  </si>
  <si>
    <t>Chambre L1T</t>
  </si>
  <si>
    <t>Chambre L2T</t>
  </si>
  <si>
    <t>Chambre L3T</t>
  </si>
  <si>
    <t>Chambre L3C</t>
  </si>
  <si>
    <t>Chambre M1C</t>
  </si>
  <si>
    <t>Chambre K2C</t>
  </si>
  <si>
    <t>Construction de chambre de tirage</t>
  </si>
  <si>
    <t>Plus-value au prix 5.3.15.1 pour tampon D400</t>
  </si>
  <si>
    <t>Plus-value au prix 5.3.15.2 pour tampon D400</t>
  </si>
  <si>
    <t>Plus-value au prix 5.3.15.3 pour tampon D400</t>
  </si>
  <si>
    <t>Plus-value au prix 5.3.15.4 pour tampon D400</t>
  </si>
  <si>
    <t>Plus-value au prix 5.3.15.5 pour tampon D400</t>
  </si>
  <si>
    <t>Plus-value au prix 5.3.15.6 pour tampon D400</t>
  </si>
  <si>
    <t>Perçage d'une chambre existante et réfection du masque</t>
  </si>
  <si>
    <t>Massif pour socle d'armoire d'alimentation et de commande d'éclairage public</t>
  </si>
  <si>
    <t>Dépose ancienne logette</t>
  </si>
  <si>
    <t>Pose logette hors fourniture</t>
  </si>
  <si>
    <t xml:space="preserve">Fourniture et pose de cable sous fourreau y compris raccordements </t>
  </si>
  <si>
    <t>Consuel - mise en service</t>
  </si>
  <si>
    <t>Reprise de branchement AEP particulier</t>
  </si>
  <si>
    <t>Dépose ancien compteur</t>
  </si>
  <si>
    <t>Déconnexion réseau</t>
  </si>
  <si>
    <t>Pose nouveau compteur hors fourniture</t>
  </si>
  <si>
    <t xml:space="preserve">Fourniture et pose de plymouth sous fourreau y compris raccordements </t>
  </si>
  <si>
    <t>Prise en charge sur canalisation existante</t>
  </si>
  <si>
    <t>Essai-mise en service</t>
  </si>
  <si>
    <t>Reprise d'alimentation Telecom</t>
  </si>
  <si>
    <t>Fourntiture et pose regard</t>
  </si>
  <si>
    <t>Modification contôle d'accès ou alarme yc compris prolongation de réseau et raccordement</t>
  </si>
  <si>
    <t>Dépose ancienne installation</t>
  </si>
  <si>
    <t>Repose ancienne installation</t>
  </si>
  <si>
    <t xml:space="preserve">Fourniture et pose nouvelle installation </t>
  </si>
  <si>
    <t>MOBILIER ET SERRURERIE</t>
  </si>
  <si>
    <t>Fourniture et mise en œuvre de béton</t>
  </si>
  <si>
    <t>C 16/20</t>
  </si>
  <si>
    <t>C 20/25</t>
  </si>
  <si>
    <t>C 25/30</t>
  </si>
  <si>
    <t>C 30/37 G</t>
  </si>
  <si>
    <t>C 35/45 G+S</t>
  </si>
  <si>
    <t>Fourniture et mise en œuvre d'armatures pour béton armé</t>
  </si>
  <si>
    <t>kg</t>
  </si>
  <si>
    <t>Fourniture et mise en oeuvre de coffrage</t>
  </si>
  <si>
    <t>Création d'ouverture dans un mur plein (ex: porte)</t>
  </si>
  <si>
    <t>Rejointoiement de maçonnerie ordinaire</t>
  </si>
  <si>
    <t>Ragréage pour raccord de façade</t>
  </si>
  <si>
    <t>Enduit au mortier de ciment</t>
  </si>
  <si>
    <t>Couvertine préfabriquée</t>
  </si>
  <si>
    <t>Peinture</t>
  </si>
  <si>
    <t>Parement pierres sèches</t>
  </si>
  <si>
    <t>Reprise de soupirail</t>
  </si>
  <si>
    <t>Garde-coprs</t>
  </si>
  <si>
    <t>Fourniture et pose de mobilier urbain</t>
  </si>
  <si>
    <t>Potelet fixe simple</t>
  </si>
  <si>
    <t>Potelet amovible simple</t>
  </si>
  <si>
    <t>Barrière piétonne simple</t>
  </si>
  <si>
    <t>Coussin berlinois</t>
  </si>
  <si>
    <t>Chasse roue</t>
  </si>
  <si>
    <t>Enlèvement de tags ou graffitis</t>
  </si>
  <si>
    <t>Pose de clôture grillagée simple torsion ou treillis soudé galvanisé plastifié</t>
  </si>
  <si>
    <t>Pose de clôture barreaudée</t>
  </si>
  <si>
    <t>Repose de portail précédemment déposé</t>
  </si>
  <si>
    <t>Fourniture et pose de portail ou porte métallique</t>
  </si>
  <si>
    <t>1 vantail 1,20m&lt;Ht&lt; 1,80m ; Lg&lt; 1,50m</t>
  </si>
  <si>
    <t>1 vantail 1,20m&lt;Ht&lt; 1,80m ; 1,50m&lt;Lg&lt; 3,00m</t>
  </si>
  <si>
    <t>2 vantaux 1,20m&lt;Ht&lt; 1,80m ; Lg&lt; 3,00m</t>
  </si>
  <si>
    <t>2 vantaux 1,20m&lt;Ht&lt; 1,80m ;Lg&gt; 3,00m</t>
  </si>
  <si>
    <t>1 vantail Ht&gt; 1,80m ; Lg&lt; 1,50m</t>
  </si>
  <si>
    <t>1 vantail Ht&gt; 1,80m ; 1,50m&lt;Lg&lt; 3,00m</t>
  </si>
  <si>
    <t>2 vantaux Ht&gt; 1,80m ; Lg&lt; 3,00m</t>
  </si>
  <si>
    <t>2 vantaux Ht&gt;1,80m ;Lg&gt; 3,00m</t>
  </si>
  <si>
    <t>Coulissant dimensions 1,20m&lt;Ht&lt; 1,80m Lg&lt; 6,00 m</t>
  </si>
  <si>
    <t>Coulissant dimensions Ht&gt;1,80m ; Lg&lt; 6,00 m</t>
  </si>
  <si>
    <t>Coulissant dimensions 1,20m&lt;Ht&lt; 1,80m; 6m&lt;Lg&lt; 10 m</t>
  </si>
  <si>
    <t>Coulissant dimensions Ht&gt;1,80m; 6m&lt;Lg&lt; 10 m</t>
  </si>
  <si>
    <t>PV pour Portail de plus de10 m</t>
  </si>
  <si>
    <t>Porte garage basculante dimensions standard</t>
  </si>
  <si>
    <t>Porte garage à 2 vantaux dimensions standard</t>
  </si>
  <si>
    <t>Plus-value pour portail ou porte automatisé</t>
  </si>
  <si>
    <t>Fourniture et pose de pilier de portail</t>
  </si>
  <si>
    <t>Automatisation d'un portail existant ou d'une porte de garage existante</t>
  </si>
  <si>
    <t>Fourniture et pose d'un signal lumineux pour ouverture d'un automatisme</t>
  </si>
  <si>
    <t>ESPACES VERTS</t>
  </si>
  <si>
    <t>En déblais de terres compactes de toutes natures en sur profondeur et mise en stock sur chantier pour réutilisation</t>
  </si>
  <si>
    <t>A - 30 cm de la cote projet pour les surfaces de plantes grimpantes</t>
  </si>
  <si>
    <t xml:space="preserve">A - 60 cm de la cote projet pour les surfaces arbustives et vivaces </t>
  </si>
  <si>
    <t>Préparation du sol en place pour les surfaces engazonnées</t>
  </si>
  <si>
    <t>Préparation du sol en place pour les surfaces arbustives</t>
  </si>
  <si>
    <t>Sous solage des  surfaces arbustives</t>
  </si>
  <si>
    <t>Sous solage et décompactage des fosses de plantations</t>
  </si>
  <si>
    <t>Terrassements paysagers</t>
  </si>
  <si>
    <t>Accessoires de plantation</t>
  </si>
  <si>
    <t>Fourniture et mise en œuvre de toile biodégradable</t>
  </si>
  <si>
    <t>SIGNALISATION HORIZONTALE ET VERTICALE DEFINITIVE</t>
  </si>
  <si>
    <t>Marquage de signalisation horizontale</t>
  </si>
  <si>
    <t>Effacage signalisation surfacique</t>
  </si>
  <si>
    <t>Effacage signalisation linéaire</t>
  </si>
  <si>
    <t>Tracé de ligne blanche continue, 2u 0,10 m</t>
  </si>
  <si>
    <t>Tracé de ligne blanche continue, 5u 0,25 m</t>
  </si>
  <si>
    <t>Tracé de ligne blanche discontinue, 2u 0,10 m</t>
  </si>
  <si>
    <t>Tracé de ligne blanche discontinue, 5u 0,25 m</t>
  </si>
  <si>
    <t>Tracé de bande blanche T'2, 0,50 m pour Cédez le passage</t>
  </si>
  <si>
    <t>Tracé de ligne blanche, 0,5 m pour stop</t>
  </si>
  <si>
    <t xml:space="preserve">Marquage surfacique blanc pour passage piétons, largeur 0,50 m </t>
  </si>
  <si>
    <t>Marquage surfacique blanc de présignalisation d'îlot</t>
  </si>
  <si>
    <t>&lt; 10 m²</t>
  </si>
  <si>
    <t>&gt; 10 m²</t>
  </si>
  <si>
    <t>Marquage résine gravillonée blanche granulat 2.5/5</t>
  </si>
  <si>
    <t>Flèche simple</t>
  </si>
  <si>
    <t>Flèche double</t>
  </si>
  <si>
    <t>Figurine piéton</t>
  </si>
  <si>
    <t xml:space="preserve">Pictogramme PMR </t>
  </si>
  <si>
    <t>Lettrines LIVRAISON</t>
  </si>
  <si>
    <t>Fourniture et mise en œuvre de dispositif podotactile d'éveil de vigilance</t>
  </si>
  <si>
    <t>BEV blanche largeur 0,40m</t>
  </si>
  <si>
    <t>&lt; 5 m</t>
  </si>
  <si>
    <t xml:space="preserve">&gt; 5 m </t>
  </si>
  <si>
    <t xml:space="preserve">&lt; 5 m </t>
  </si>
  <si>
    <t>Supports de signalisation verticale</t>
  </si>
  <si>
    <t>Massif et support 60mm pour 1 panneau de police + panonceaux</t>
  </si>
  <si>
    <t>Massif et support 76mm pour 2 panneaux de police + panonceaux</t>
  </si>
  <si>
    <t>Panneaux de police</t>
  </si>
  <si>
    <t xml:space="preserve">Panneau d’obligation et d’interdiction (B21a1, B21c1, B21-2, B1, B2a, B2b, B6a1, B12, B27a, B27b, B6d, B6a1, B2c, B45a, etc...) </t>
  </si>
  <si>
    <t>Panneau d’indication C20c, C5, C113, C114, C24, etc…</t>
  </si>
  <si>
    <t xml:space="preserve">Panneau de priorité (AB3a, AB4, A13a) </t>
  </si>
  <si>
    <t>Moins-value gamme miniature</t>
  </si>
  <si>
    <t>Plus-value pour panonceau (écriture, M12, etc…)</t>
  </si>
  <si>
    <t>MONTANT TOTAL HT € BC</t>
  </si>
  <si>
    <t>Fourniture et mise en œuvre de terre végétale ou terre-pierre</t>
  </si>
  <si>
    <t>Fourniture et mise en place de mélange terre-pierre, fosse d'arbre de 15m3, yc compost</t>
  </si>
  <si>
    <t>Fourniture et mise en place de terre végétale, fosse d'arbre de 12m3, yc compost</t>
  </si>
  <si>
    <t>Fourniture et mise en place de terre végétale gazon et prairie, ep: 30cm, yc compost</t>
  </si>
  <si>
    <t>Fourniture et mise en place de terre végétale massifs paysagers, ep: 50cm, yc compost</t>
  </si>
  <si>
    <t>Dispositif ralentisseur modulaire type boudin</t>
  </si>
  <si>
    <t>Chasse roue en bois H 20cm mini. Fixation sur support ou sellé</t>
  </si>
  <si>
    <t>Chasse roue en pierre H 20cm mini. Fixation sur support ou sellé</t>
  </si>
  <si>
    <t>Chasse roue métallique H 20cm mini. Fixation sur support ou sellé</t>
  </si>
  <si>
    <t>Chasse roue béton préfabriqué H 20cm mini. Fixation sur support ou sellé</t>
  </si>
  <si>
    <t>Treillis souple simple torsion H 1,5m sellé ou fixation sur platine</t>
  </si>
  <si>
    <t>Treillis souple simple torsion H 2m sellé ou fixation sur platine</t>
  </si>
  <si>
    <t>Treillis souple simple torsion H 2,5m sellé ou fixation sur platine</t>
  </si>
  <si>
    <t>Treillis soudé simple H 1,5m sellé ou fixation sur platine</t>
  </si>
  <si>
    <t>Treillis soudé simple H 2m sellé ou fixation sur platine</t>
  </si>
  <si>
    <t>Treillis soudé qualitatif H 1,5m sellé ou fixation sur platine</t>
  </si>
  <si>
    <t>Treillis soudé qualitatif H 2m sellé ou fixation sur platine</t>
  </si>
  <si>
    <t>Plus-value soubassement préfabriqué en béton 20cm&lt;Ht&lt;100cm</t>
  </si>
  <si>
    <t>Plus-value lattes occultantes bois H 2m et fixations</t>
  </si>
  <si>
    <t>Clôture barreaudage rond sellée ou fixation sur platine H: 1,5m</t>
  </si>
  <si>
    <t>Clôture barreaudage rond sellée ou fixation sur platine H: 2m</t>
  </si>
  <si>
    <t>Clôture barreaudage rond sellée ou fixation sur platine H: 2,5m</t>
  </si>
  <si>
    <t>Clôture barreaudage rectangulaire sellée ou fixation sur platine H: 1,5m</t>
  </si>
  <si>
    <t>Clôture barreaudage rectangulaire sellée ou fixation sur platine H: 2m</t>
  </si>
  <si>
    <t>Clôture barreaudage rectangulaire sellée ou fixation sur platine H: 2,5m</t>
  </si>
  <si>
    <t>Clôture barreaudage carré sellée ou fixation sur platine H: 1,5m</t>
  </si>
  <si>
    <t>Clôture barreaudage carré sellée ou fixation sur platine H: 2m</t>
  </si>
  <si>
    <t>Clôture barreaudage carré sellée ou fixation sur platine H: 2,5m</t>
  </si>
  <si>
    <t>Clôture barreaudage oblique sellée ou fixation sur platine H: 1,5m</t>
  </si>
  <si>
    <t>Clôture barreaudage oblique sellée ou fixation sur platine H: 2m</t>
  </si>
  <si>
    <t>Clôture barreaudage oblique sellée ou fixation sur platine H: 2,5m</t>
  </si>
  <si>
    <t>Clôture barreaudage fin qualitatif sellée ou fixation sur platine H: 1,5m</t>
  </si>
  <si>
    <t>Clôture barreaudage fin qualitatif sellée ou fixation sur platine H: 2m</t>
  </si>
  <si>
    <t>Clôture barreaudage fin qualitatif sellée ou fixation sur platine H: 2,5m</t>
  </si>
  <si>
    <t>Grille qualitative à motif sellée ou fixation sur platine H: 1,5m</t>
  </si>
  <si>
    <t>Grille qualitative à motif sellée ou fixation sur platine H: 2m</t>
  </si>
  <si>
    <t>Grille qualitative à motif sellée ou fixation sur platine H: 2,5m</t>
  </si>
  <si>
    <t>Pilier maçonné H &lt; 3m</t>
  </si>
  <si>
    <t>Enduit de finition</t>
  </si>
  <si>
    <t>Fourniture de végétaux</t>
  </si>
  <si>
    <t>Fourniture d'arbres</t>
  </si>
  <si>
    <t>Fourniture d'arbres tiges 12/14</t>
  </si>
  <si>
    <t>Fourniture d'arbres tiges 18/20</t>
  </si>
  <si>
    <t>Fourniture d'arbres tiges 20/25</t>
  </si>
  <si>
    <t>Fourniture de cépées 150-200</t>
  </si>
  <si>
    <t>Fourniture de cépées 250-300</t>
  </si>
  <si>
    <t>Fourniture massifs paysagers (arbustes, vivaces et couvre-sols)</t>
  </si>
  <si>
    <t>Fourniture massif 100% arbustes</t>
  </si>
  <si>
    <t>Fourniture massif arbustes-vivaces</t>
  </si>
  <si>
    <t>Fourniture 100% vivaces</t>
  </si>
  <si>
    <t>Fourniture de couvre-sols</t>
  </si>
  <si>
    <t>Fourniture de grimpantes</t>
  </si>
  <si>
    <t>Plantations de végétaux</t>
  </si>
  <si>
    <t>Plantations d'arbres</t>
  </si>
  <si>
    <t>Plantation d'arbres tiges 12/14</t>
  </si>
  <si>
    <t>Plantation d'arbres tiges 18/20</t>
  </si>
  <si>
    <t>Plantation d'arbres tiges 20/25</t>
  </si>
  <si>
    <t>Plantation de cépées 150-200</t>
  </si>
  <si>
    <t>Plantation de cépées 250-300</t>
  </si>
  <si>
    <t>Plantation de massifs paysagers (arbustes, vivaces et couvre-sols)</t>
  </si>
  <si>
    <t>Plantation de massif 100% arbustes</t>
  </si>
  <si>
    <t>Plantation de couvre-sols</t>
  </si>
  <si>
    <t>Plantation de grimpantes</t>
  </si>
  <si>
    <t>Fourniture et mise en œuvre de semences</t>
  </si>
  <si>
    <t>Gazon rustique</t>
  </si>
  <si>
    <t>Prairie</t>
  </si>
  <si>
    <t>Plantation d'arbres transplantés mis en jauge</t>
  </si>
  <si>
    <t>Fourniture et mise en place de tuteurage quadripode pour arbre tige</t>
  </si>
  <si>
    <t>Fourniture et mise en place de tuteurage simple pour cépée</t>
  </si>
  <si>
    <t>Fourniture et mise en place de protection pour tronc d'arbre (canisse de bambou)</t>
  </si>
  <si>
    <t>Fourniture et mise en place de paillage et amendement</t>
  </si>
  <si>
    <t>Fourniture et mise en place de paillage en plaquettes forestières</t>
  </si>
  <si>
    <t>Fourniture et application sur la motte de produit pour mycorrhization</t>
  </si>
  <si>
    <t>Inoculation des souches bactériennes</t>
  </si>
  <si>
    <t>Canalisation PVC/PP/PEHD</t>
  </si>
  <si>
    <t>Dépose Totem publicitaire</t>
  </si>
  <si>
    <t>Repose Totem publicitaire</t>
  </si>
  <si>
    <t>Plantation de massif arbustes-vivaces</t>
  </si>
  <si>
    <t>Plantation de massif 100% vivaces</t>
  </si>
  <si>
    <t>Clôtures de chantier grillagées (H=2m)</t>
  </si>
  <si>
    <t>BARRIERAGE DE CHANTIER</t>
  </si>
  <si>
    <t>Barrières de chantier type ville de Paris avec ou sans grilles</t>
  </si>
  <si>
    <t>Amenée et mise en place de barrières de chantier type ville de Paris avec grille</t>
  </si>
  <si>
    <t>Location de barrières de chantier type ville de Paris avec grille</t>
  </si>
  <si>
    <t>Déplacement et mise en place de barrières de chantier type ville de Paris avec grille</t>
  </si>
  <si>
    <t>Repliement de barrières de chantier type ville de Paris avec grille</t>
  </si>
  <si>
    <t>Amenée et mise en place de barrières de chantier type ville de Paris sans grille</t>
  </si>
  <si>
    <t>Location de barrières de chantier type ville de Paris sans grille</t>
  </si>
  <si>
    <t>Déplacement et mise en place de barrières de chantier type ville de Paris sans grille</t>
  </si>
  <si>
    <t>Repliement de barrières de chantier type ville de Paris sans grille</t>
  </si>
  <si>
    <t>Surface traitée inférieure à 10m², par tranche d'épaisseur de 10cm</t>
  </si>
  <si>
    <t>Surface traitée comprise entre 10m² et 50 m², par tranche d'épaisseur de 10cm</t>
  </si>
  <si>
    <t>Surface traitée comprise entre 50 m² et 200 m², par tranche d'épaisseur de 10cm</t>
  </si>
  <si>
    <t xml:space="preserve">Plus value pour pied scellé dans maçonnerie </t>
  </si>
  <si>
    <t>Dépose borne IRVE</t>
  </si>
  <si>
    <t>Tourniquet entrée parking</t>
  </si>
  <si>
    <t>Pose de pavés béton</t>
  </si>
  <si>
    <t>Rack à vélo dépôt UTS la Soie</t>
  </si>
  <si>
    <t>Lisse métallique routière type GS4</t>
  </si>
  <si>
    <t>Repose de borne IRVE</t>
  </si>
  <si>
    <t>Repose tourniquet entrée parking</t>
  </si>
  <si>
    <t>Plus-value pour télécommande supplémentaire</t>
  </si>
  <si>
    <t>ml.semaine</t>
  </si>
  <si>
    <t>&gt; 500 m²</t>
  </si>
  <si>
    <t>Entre 50m² et 500 m²</t>
  </si>
  <si>
    <t>Forfait pour installations et repli de chantier pour un chantier &lt; 50m²</t>
  </si>
  <si>
    <t>Forfait pour installations et repli de chantier &gt; 50m²</t>
  </si>
  <si>
    <t>Evacuation en décharge ou revalorisation</t>
  </si>
  <si>
    <t>Dépose de clôture</t>
  </si>
  <si>
    <t>Clôture simple torsion</t>
  </si>
  <si>
    <t>Clôture rigide</t>
  </si>
  <si>
    <t>Clôture barreaudée</t>
  </si>
  <si>
    <t>Banc ou table simple, double ou en pierre</t>
  </si>
  <si>
    <t>Dépose de cuve enterrée de stockage de fioul</t>
  </si>
  <si>
    <t>Déblais évacué de type ISDI</t>
  </si>
  <si>
    <t>Remblais ou couche de forme en matériaux d'apport type GD1-Sol</t>
  </si>
  <si>
    <t>Couche de réglage en GDNT2</t>
  </si>
  <si>
    <t>Plus-value pour formulation perméable</t>
  </si>
  <si>
    <t>Caniveau CC1</t>
  </si>
  <si>
    <t>Caniveau CC2</t>
  </si>
  <si>
    <t>Caniveau CS1</t>
  </si>
  <si>
    <t>Caniveau CS2</t>
  </si>
  <si>
    <t>Pose de bordure pierre naurelle</t>
  </si>
  <si>
    <t>Tranchée de largeur inférieure ou égale à 30 cm</t>
  </si>
  <si>
    <t>Chambre 30X30 tampon C250</t>
  </si>
  <si>
    <t>Chambre 40X40 tampon C250</t>
  </si>
  <si>
    <t>Chambre 50X50 tampon C250</t>
  </si>
  <si>
    <t>Chambre 60X60 tampon C250</t>
  </si>
  <si>
    <t>Chambre 80X80 tampon C250</t>
  </si>
  <si>
    <t>Chambre 100X100 tampon C250</t>
  </si>
  <si>
    <t>Chambre 200x200 tampon C250</t>
  </si>
  <si>
    <t>Massif pour mât d'éclairage (H &gt; 4m)</t>
  </si>
  <si>
    <r>
      <t xml:space="preserve">Massif pour mât d'éclairage (H </t>
    </r>
    <r>
      <rPr>
        <sz val="11"/>
        <color theme="1"/>
        <rFont val="Calibri"/>
        <family val="2"/>
      </rPr>
      <t>≤</t>
    </r>
    <r>
      <rPr>
        <i/>
        <sz val="11"/>
        <color theme="1"/>
        <rFont val="Calibri"/>
        <family val="2"/>
        <scheme val="minor"/>
      </rPr>
      <t xml:space="preserve"> 4m)</t>
    </r>
  </si>
  <si>
    <t>Massif pour équipement d'éclairage</t>
  </si>
  <si>
    <t>Reprise de branchement ENEDIS particulier</t>
  </si>
  <si>
    <t>Repose de mobilier</t>
  </si>
  <si>
    <t>Repose de clôture précédemment déposée</t>
  </si>
  <si>
    <t>Scéllée ou fixation sur platine HT 1,50m</t>
  </si>
  <si>
    <t>Scéllée ou fixation sur platine HT 2,00m</t>
  </si>
  <si>
    <t>Scéllée ou fixation sur platine HT 2,50m</t>
  </si>
  <si>
    <t>Supérieur à 5m</t>
  </si>
  <si>
    <t>Inférieur à 5m</t>
  </si>
  <si>
    <t>Dossiers de recolement</t>
  </si>
  <si>
    <t>Déplacement de clôtures de chantier grillagées</t>
  </si>
  <si>
    <t>Transports de bordure ou de caniveau au dépôt de la Métropole de Lyon</t>
  </si>
  <si>
    <t>Dépose de bordure ou de caniveau</t>
  </si>
  <si>
    <t>Découpe de béton de sol jusqu'à 20 cm ep</t>
  </si>
  <si>
    <t>Découpe de béton de sol au delà de 20 cm ep</t>
  </si>
  <si>
    <t>Découpe de béton vertical jusqu'à 20 cm ep</t>
  </si>
  <si>
    <t>Découpe de béton vertical au delà de 20 cm ep</t>
  </si>
  <si>
    <t>Démolition de sols en béton (hors découpe)</t>
  </si>
  <si>
    <t>Caniveaux à grille amiantés (largeur maxi 20cm)</t>
  </si>
  <si>
    <t>Essais de portance à la plaque</t>
  </si>
  <si>
    <t>Dalle non circulée</t>
  </si>
  <si>
    <t>Dalle circulée</t>
  </si>
  <si>
    <t>Travaux de finalisation (1ere année)</t>
  </si>
  <si>
    <t>Travaux de finalisation (2eme année)</t>
  </si>
  <si>
    <t>Coefficient majorateur pour travaux de nuit</t>
  </si>
  <si>
    <t>Coefficient majorateur pour travaux en jour férié ou week-end</t>
  </si>
  <si>
    <t>Encadrement de chantier et cellule de pilotage et de coordination</t>
  </si>
  <si>
    <t>Montant des travaux du Bon de Commande ≤ 50 000 €</t>
  </si>
  <si>
    <t>Montant des travaux du Bon de Commande &gt; 100 000 €</t>
  </si>
  <si>
    <t>Constat d'huissier</t>
  </si>
  <si>
    <r>
      <rPr>
        <sz val="11"/>
        <rFont val="Calibri"/>
        <family val="2"/>
        <scheme val="minor"/>
      </rPr>
      <t xml:space="preserve">Plus-value au prix 4.3.2 </t>
    </r>
    <r>
      <rPr>
        <sz val="11"/>
        <color theme="1"/>
        <rFont val="Calibri"/>
        <family val="2"/>
        <scheme val="minor"/>
      </rPr>
      <t>pour mise en oeuvre 100% manuelle</t>
    </r>
  </si>
  <si>
    <t>Finalisation des arbres tiges et cépées</t>
  </si>
  <si>
    <t>Finalisation des arbres transplantés</t>
  </si>
  <si>
    <t>Finalisation des arbustes, vivaces et couvre-sols</t>
  </si>
  <si>
    <t>Finalisation des zones engazonnées, gazon et prairie</t>
  </si>
  <si>
    <t>Mise en stock sur site</t>
  </si>
  <si>
    <t>Mise en stock extérieur à la zone de décapage</t>
  </si>
  <si>
    <t>évacuée</t>
  </si>
  <si>
    <r>
      <t>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/>
    </r>
  </si>
  <si>
    <t>Moins value pour réutilisation de terre mise en stock sur site</t>
  </si>
  <si>
    <t>Moins value pour réutilisation de terre mise en stock sur un autre site</t>
  </si>
  <si>
    <t>Marquage piquetage des réseaux</t>
  </si>
  <si>
    <r>
      <t>50 000 € &lt;</t>
    </r>
    <r>
      <rPr>
        <sz val="11"/>
        <rFont val="Calibri"/>
        <family val="2"/>
      </rPr>
      <t xml:space="preserve"> </t>
    </r>
    <r>
      <rPr>
        <sz val="11"/>
        <rFont val="Calibri"/>
        <family val="2"/>
        <scheme val="minor"/>
      </rPr>
      <t>Montant des travaux du Bon de Commande ≤ 100 000 €</t>
    </r>
  </si>
  <si>
    <t>Clôture nécropole de la Doua</t>
  </si>
  <si>
    <t>Plus-value pour accès avec dispositif de gestion intratone</t>
  </si>
  <si>
    <t>Commandes Types</t>
  </si>
  <si>
    <t>0.1</t>
  </si>
  <si>
    <t>0.2</t>
  </si>
  <si>
    <t>0.3</t>
  </si>
  <si>
    <t>0.3.1</t>
  </si>
  <si>
    <t>0.3.2</t>
  </si>
  <si>
    <t>0.3.3</t>
  </si>
  <si>
    <t>0.4</t>
  </si>
  <si>
    <t>0.4.1</t>
  </si>
  <si>
    <t>0.4.2</t>
  </si>
  <si>
    <t>0.4.3</t>
  </si>
  <si>
    <t>0.5</t>
  </si>
  <si>
    <t>0.5.1</t>
  </si>
  <si>
    <t>0.5.2</t>
  </si>
  <si>
    <t>0.5.3</t>
  </si>
  <si>
    <t>0.6</t>
  </si>
  <si>
    <t>0.6.1</t>
  </si>
  <si>
    <t>0.6.2</t>
  </si>
  <si>
    <t>0.6.3</t>
  </si>
  <si>
    <t>0.7</t>
  </si>
  <si>
    <t>0.7.1</t>
  </si>
  <si>
    <t>0.7.2</t>
  </si>
  <si>
    <t>0.7.3</t>
  </si>
  <si>
    <t>0.8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</si>
  <si>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</si>
  <si>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</si>
  <si>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</si>
  <si>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</si>
  <si>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</si>
  <si>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</si>
  <si>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</si>
  <si>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</si>
  <si>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1.2.3</t>
  </si>
  <si>
    <t>1.2.4</t>
  </si>
  <si>
    <t>1.2.5</t>
  </si>
  <si>
    <t>1.2.6</t>
  </si>
  <si>
    <t>1.2.7</t>
  </si>
  <si>
    <t>1.2.8</t>
  </si>
  <si>
    <t>2.1</t>
  </si>
  <si>
    <t>2.2</t>
  </si>
  <si>
    <t>2.3</t>
  </si>
  <si>
    <t>2.3.1</t>
  </si>
  <si>
    <t>2.3.2</t>
  </si>
  <si>
    <t>2.3.3</t>
  </si>
  <si>
    <t>2.3.4</t>
  </si>
  <si>
    <t>2.4</t>
  </si>
  <si>
    <t>2.4.1</t>
  </si>
  <si>
    <t>2.4.2</t>
  </si>
  <si>
    <t>2.5</t>
  </si>
  <si>
    <t>2.5.1</t>
  </si>
  <si>
    <t>2.5.1.1</t>
  </si>
  <si>
    <t>2.5.1.2</t>
  </si>
  <si>
    <t>2.5.1.3</t>
  </si>
  <si>
    <t>2.5.2</t>
  </si>
  <si>
    <t>2.5.2.1</t>
  </si>
  <si>
    <t>2.5.2.2</t>
  </si>
  <si>
    <t>2.5.2.3</t>
  </si>
  <si>
    <t>2.5.3</t>
  </si>
  <si>
    <t>2.5.4</t>
  </si>
  <si>
    <t>2.5.4.1</t>
  </si>
  <si>
    <t>2.5.4.2</t>
  </si>
  <si>
    <t>2.5.4.3</t>
  </si>
  <si>
    <t>2.6</t>
  </si>
  <si>
    <t>2.6.1</t>
  </si>
  <si>
    <t>2.6.2</t>
  </si>
  <si>
    <t>2.6.3</t>
  </si>
  <si>
    <t>2.6.4</t>
  </si>
  <si>
    <t>2.7</t>
  </si>
  <si>
    <t>2.7.1</t>
  </si>
  <si>
    <t>2.7.2</t>
  </si>
  <si>
    <t>2.7.3</t>
  </si>
  <si>
    <t>2.8</t>
  </si>
  <si>
    <t>2.9</t>
  </si>
  <si>
    <t>2.9.1</t>
  </si>
  <si>
    <t>2.9.1.1</t>
  </si>
  <si>
    <t>2.9.1.2</t>
  </si>
  <si>
    <t>2.9.1.3</t>
  </si>
  <si>
    <t>2.9.2</t>
  </si>
  <si>
    <t>2.9.2.1</t>
  </si>
  <si>
    <t>2.9.2.2</t>
  </si>
  <si>
    <t>2.9.3</t>
  </si>
  <si>
    <t>2.10</t>
  </si>
  <si>
    <t>2.10.1</t>
  </si>
  <si>
    <t>2.10.2</t>
  </si>
  <si>
    <t>2.10.3</t>
  </si>
  <si>
    <t>2.10.4</t>
  </si>
  <si>
    <t>2.10.5</t>
  </si>
  <si>
    <t>2.10.6</t>
  </si>
  <si>
    <t>2.11</t>
  </si>
  <si>
    <t>2.11.1</t>
  </si>
  <si>
    <t>2.11.2</t>
  </si>
  <si>
    <t>2.12</t>
  </si>
  <si>
    <t>2.12.1</t>
  </si>
  <si>
    <t>2.12.2</t>
  </si>
  <si>
    <t>2.13</t>
  </si>
  <si>
    <t>2.13.1</t>
  </si>
  <si>
    <t>2.13.2</t>
  </si>
  <si>
    <t>2.14</t>
  </si>
  <si>
    <t>2.14.1</t>
  </si>
  <si>
    <t>2.14.2</t>
  </si>
  <si>
    <t>2.14.3</t>
  </si>
  <si>
    <t>2.15</t>
  </si>
  <si>
    <t>2.15.1</t>
  </si>
  <si>
    <t>2.15.1.1</t>
  </si>
  <si>
    <t>2.15.1.2</t>
  </si>
  <si>
    <t>2.15.2</t>
  </si>
  <si>
    <t>2.15.2.1</t>
  </si>
  <si>
    <t>2.15.2.2</t>
  </si>
  <si>
    <t>2.16</t>
  </si>
  <si>
    <t>2.16.1</t>
  </si>
  <si>
    <t>2.16.2</t>
  </si>
  <si>
    <t>2.16.3</t>
  </si>
  <si>
    <t>2.16.3.1</t>
  </si>
  <si>
    <t>2.16.3.2</t>
  </si>
  <si>
    <t>2.16.4</t>
  </si>
  <si>
    <t>2.17</t>
  </si>
  <si>
    <t>2.18</t>
  </si>
  <si>
    <t>2.18.1</t>
  </si>
  <si>
    <t>2.18.2</t>
  </si>
  <si>
    <t>2.18.3</t>
  </si>
  <si>
    <t>2.18.4</t>
  </si>
  <si>
    <t>2.18.4.1</t>
  </si>
  <si>
    <t>2.18.4.2</t>
  </si>
  <si>
    <t>2.18.4.3</t>
  </si>
  <si>
    <t>2.18.4.4</t>
  </si>
  <si>
    <t>2.19</t>
  </si>
  <si>
    <t>2.19.1</t>
  </si>
  <si>
    <t>2.19.2</t>
  </si>
  <si>
    <t>2.19.3</t>
  </si>
  <si>
    <t>2.20</t>
  </si>
  <si>
    <t>2.20.1</t>
  </si>
  <si>
    <t>2.20.2</t>
  </si>
  <si>
    <t>2.21</t>
  </si>
  <si>
    <t>2.21.1</t>
  </si>
  <si>
    <t>2.21.2</t>
  </si>
  <si>
    <t>2.21.3</t>
  </si>
  <si>
    <t>2.21.4</t>
  </si>
  <si>
    <t>2.21.4.1</t>
  </si>
  <si>
    <t>2.21.4.2</t>
  </si>
  <si>
    <t>2.21.4.3</t>
  </si>
  <si>
    <t>2.21.5</t>
  </si>
  <si>
    <t>2.21.6</t>
  </si>
  <si>
    <t>2.21.7</t>
  </si>
  <si>
    <t>2.21.8</t>
  </si>
  <si>
    <t>2.21.9</t>
  </si>
  <si>
    <t>2.21.10</t>
  </si>
  <si>
    <t>2.21.11</t>
  </si>
  <si>
    <t>2.21.12</t>
  </si>
  <si>
    <t>2.21.13</t>
  </si>
  <si>
    <t>2.21.14</t>
  </si>
  <si>
    <t>2.21.15</t>
  </si>
  <si>
    <t>2.21.16</t>
  </si>
  <si>
    <t>2.21.17</t>
  </si>
  <si>
    <t>2.21.18</t>
  </si>
  <si>
    <t>2.21.19</t>
  </si>
  <si>
    <t>2.21.20</t>
  </si>
  <si>
    <t>2.22</t>
  </si>
  <si>
    <t>2.23</t>
  </si>
  <si>
    <t>2.24</t>
  </si>
  <si>
    <t>2.25</t>
  </si>
  <si>
    <t>2.26</t>
  </si>
  <si>
    <t>2.26.1</t>
  </si>
  <si>
    <t>2.26.2</t>
  </si>
  <si>
    <t>2.26.3</t>
  </si>
  <si>
    <t>2.26.4</t>
  </si>
  <si>
    <t>3.1</t>
  </si>
  <si>
    <t>3.1.1</t>
  </si>
  <si>
    <t>3.1.2</t>
  </si>
  <si>
    <t>3.2</t>
  </si>
  <si>
    <t>3.2.1</t>
  </si>
  <si>
    <t>3.2.1.1</t>
  </si>
  <si>
    <t>3.2.1.2</t>
  </si>
  <si>
    <t>3.2.2</t>
  </si>
  <si>
    <t>3.2.2.1</t>
  </si>
  <si>
    <t>3.2.2.2</t>
  </si>
  <si>
    <t>3.2.3</t>
  </si>
  <si>
    <t>3.2.3.1</t>
  </si>
  <si>
    <t>3.2.3.2</t>
  </si>
  <si>
    <t>3.2.4</t>
  </si>
  <si>
    <t>3.2.5</t>
  </si>
  <si>
    <t>3.2.6</t>
  </si>
  <si>
    <t>3.3</t>
  </si>
  <si>
    <t>3.3.1</t>
  </si>
  <si>
    <t>3.3.1.1</t>
  </si>
  <si>
    <t>3.3.1.2</t>
  </si>
  <si>
    <t>3.3.2</t>
  </si>
  <si>
    <t>3.3.2.1</t>
  </si>
  <si>
    <t>3.3.2.2</t>
  </si>
  <si>
    <t>3.4</t>
  </si>
  <si>
    <t>3.4.1</t>
  </si>
  <si>
    <t>3.4.2</t>
  </si>
  <si>
    <t>3.5</t>
  </si>
  <si>
    <t>3.5.1</t>
  </si>
  <si>
    <t>3.5.2</t>
  </si>
  <si>
    <t>3.6</t>
  </si>
  <si>
    <t>3.7</t>
  </si>
  <si>
    <t>3.8</t>
  </si>
  <si>
    <t>3.8.1</t>
  </si>
  <si>
    <t>3.8.2</t>
  </si>
  <si>
    <t>3.8.3</t>
  </si>
  <si>
    <t>3.9</t>
  </si>
  <si>
    <t>3.10</t>
  </si>
  <si>
    <t>4.1</t>
  </si>
  <si>
    <t>4.1.1</t>
  </si>
  <si>
    <t>4.1.2</t>
  </si>
  <si>
    <t>4.2</t>
  </si>
  <si>
    <t>4.2.1</t>
  </si>
  <si>
    <t>4.2.2</t>
  </si>
  <si>
    <t>4.3</t>
  </si>
  <si>
    <t>4.3.1</t>
  </si>
  <si>
    <t>4.3.2</t>
  </si>
  <si>
    <t>4.3.3</t>
  </si>
  <si>
    <t>4.4</t>
  </si>
  <si>
    <t>4.4.1</t>
  </si>
  <si>
    <t>4.4.2</t>
  </si>
  <si>
    <t>4.5</t>
  </si>
  <si>
    <t>4.6</t>
  </si>
  <si>
    <t>4.7</t>
  </si>
  <si>
    <t>4.7.1</t>
  </si>
  <si>
    <t>4.7.2</t>
  </si>
  <si>
    <t>4.7.3</t>
  </si>
  <si>
    <t>4.7.4</t>
  </si>
  <si>
    <t>4.8</t>
  </si>
  <si>
    <t>4.8.1</t>
  </si>
  <si>
    <t>4.8.2</t>
  </si>
  <si>
    <t>4.8.3</t>
  </si>
  <si>
    <t>4.8.4</t>
  </si>
  <si>
    <t>4.8.5</t>
  </si>
  <si>
    <t>4.8.6</t>
  </si>
  <si>
    <t>4.8.7</t>
  </si>
  <si>
    <t>4.8.8</t>
  </si>
  <si>
    <t>4.8.9</t>
  </si>
  <si>
    <t>4.8.10</t>
  </si>
  <si>
    <t>4.9</t>
  </si>
  <si>
    <t>4.10</t>
  </si>
  <si>
    <t>4.10.1</t>
  </si>
  <si>
    <t>4.10.2</t>
  </si>
  <si>
    <t>4.11</t>
  </si>
  <si>
    <t>4.11.1</t>
  </si>
  <si>
    <t>4.11.2</t>
  </si>
  <si>
    <t>4.12</t>
  </si>
  <si>
    <t>4.12.1</t>
  </si>
  <si>
    <t>4.12.2</t>
  </si>
  <si>
    <t>4.12.3</t>
  </si>
  <si>
    <t>4.12.4</t>
  </si>
  <si>
    <t>4.12.5</t>
  </si>
  <si>
    <t>4.12.6</t>
  </si>
  <si>
    <t>4.12.7</t>
  </si>
  <si>
    <t>4.12.8</t>
  </si>
  <si>
    <t>4.12.9</t>
  </si>
  <si>
    <t>4.12.10</t>
  </si>
  <si>
    <t>4.12.11</t>
  </si>
  <si>
    <t>4.13</t>
  </si>
  <si>
    <t>4.13.1</t>
  </si>
  <si>
    <t>4.13.1.1</t>
  </si>
  <si>
    <t>4.13.1.2</t>
  </si>
  <si>
    <t>4.13.1.3</t>
  </si>
  <si>
    <t>4.13.2</t>
  </si>
  <si>
    <t>4.13.2.1</t>
  </si>
  <si>
    <t>4.13.2.2</t>
  </si>
  <si>
    <t>4.13.2.3</t>
  </si>
  <si>
    <t>4.13.3</t>
  </si>
  <si>
    <t>4.13.3.1</t>
  </si>
  <si>
    <t>4.13.3.2</t>
  </si>
  <si>
    <t>4.14</t>
  </si>
  <si>
    <t>4.15</t>
  </si>
  <si>
    <t>4.16</t>
  </si>
  <si>
    <t>4.17</t>
  </si>
  <si>
    <t>4.17.1</t>
  </si>
  <si>
    <t>4.17.2</t>
  </si>
  <si>
    <t>4.17.3</t>
  </si>
  <si>
    <t>4.17.4</t>
  </si>
  <si>
    <t>4.18</t>
  </si>
  <si>
    <t>4.19</t>
  </si>
  <si>
    <t>4.19.1</t>
  </si>
  <si>
    <t>4.19.1.1</t>
  </si>
  <si>
    <t>4.19.1.2</t>
  </si>
  <si>
    <t>4.19.1.3</t>
  </si>
  <si>
    <t>4.19.1.4</t>
  </si>
  <si>
    <t>4.19.1.5</t>
  </si>
  <si>
    <t>4.19.2</t>
  </si>
  <si>
    <t>4.19.2.1</t>
  </si>
  <si>
    <t>4.19.2.2</t>
  </si>
  <si>
    <t>4.19.2.3</t>
  </si>
  <si>
    <t>4.19.2.4</t>
  </si>
  <si>
    <t>4.19.2.5</t>
  </si>
  <si>
    <t>4.20</t>
  </si>
  <si>
    <t>4.21</t>
  </si>
  <si>
    <t>4.21.1</t>
  </si>
  <si>
    <t>4.21.2</t>
  </si>
  <si>
    <t>5.1</t>
  </si>
  <si>
    <t>5.1.1</t>
  </si>
  <si>
    <t>5.1.2</t>
  </si>
  <si>
    <t>5.1.2.1</t>
  </si>
  <si>
    <t>5.1.2.2</t>
  </si>
  <si>
    <t>5.1.3</t>
  </si>
  <si>
    <t>5.1.4</t>
  </si>
  <si>
    <t>5.1.5</t>
  </si>
  <si>
    <t>5.1.5.1</t>
  </si>
  <si>
    <t>5.1.5.2</t>
  </si>
  <si>
    <t>5.1.5.3</t>
  </si>
  <si>
    <t>5.1.5.4</t>
  </si>
  <si>
    <t>5.1.6</t>
  </si>
  <si>
    <t>5.1.7</t>
  </si>
  <si>
    <t>5.1.7.1</t>
  </si>
  <si>
    <t>5.1.7.2</t>
  </si>
  <si>
    <t>5.1.7.3</t>
  </si>
  <si>
    <t>5.1.7.4</t>
  </si>
  <si>
    <t>5.1.8</t>
  </si>
  <si>
    <t>5.2</t>
  </si>
  <si>
    <t>5.2.1</t>
  </si>
  <si>
    <t>5.2.1.1</t>
  </si>
  <si>
    <t>5.2.1.2</t>
  </si>
  <si>
    <t>5.2.1.3</t>
  </si>
  <si>
    <t>5.2.1.4</t>
  </si>
  <si>
    <t>5.2.1.5</t>
  </si>
  <si>
    <t>5.2.2</t>
  </si>
  <si>
    <t>5.2.2.1</t>
  </si>
  <si>
    <t>5.2.2.2</t>
  </si>
  <si>
    <t>5.2.2.3</t>
  </si>
  <si>
    <t>5.2.2.4</t>
  </si>
  <si>
    <t>5.2.3</t>
  </si>
  <si>
    <t>5.2.3.1</t>
  </si>
  <si>
    <t>5.2.3.2</t>
  </si>
  <si>
    <t>5.2.4</t>
  </si>
  <si>
    <t>5.2.4.1</t>
  </si>
  <si>
    <t>5.2.4.2</t>
  </si>
  <si>
    <t>5.2.4.3</t>
  </si>
  <si>
    <t>5.2.4.4</t>
  </si>
  <si>
    <t>5.2.4.5</t>
  </si>
  <si>
    <t>5.2.4.6</t>
  </si>
  <si>
    <t>5.2.4.7</t>
  </si>
  <si>
    <t>5.2.4.8</t>
  </si>
  <si>
    <t>5.2.4.9</t>
  </si>
  <si>
    <t>5.2.4.10</t>
  </si>
  <si>
    <t>5.2.4.11</t>
  </si>
  <si>
    <t>5.2.4.12</t>
  </si>
  <si>
    <t>5.2.4.13</t>
  </si>
  <si>
    <t>5.2.4.14</t>
  </si>
  <si>
    <t>5.2.4.15</t>
  </si>
  <si>
    <t>5.2.4.16</t>
  </si>
  <si>
    <t>5.2.4.17</t>
  </si>
  <si>
    <t>5.2.5</t>
  </si>
  <si>
    <t>5.2.5.1</t>
  </si>
  <si>
    <t>5.2.5.2</t>
  </si>
  <si>
    <t>5.2.5.3</t>
  </si>
  <si>
    <t>5.2.6</t>
  </si>
  <si>
    <t>5.2.6.1</t>
  </si>
  <si>
    <t>5.2.6.2</t>
  </si>
  <si>
    <t>5.2.7</t>
  </si>
  <si>
    <t>5.2.8</t>
  </si>
  <si>
    <t>5.2.9</t>
  </si>
  <si>
    <t>5.3</t>
  </si>
  <si>
    <t>5.3.1</t>
  </si>
  <si>
    <t>5.3.1.1</t>
  </si>
  <si>
    <t>5.3.1.2</t>
  </si>
  <si>
    <t>5.3.1.3</t>
  </si>
  <si>
    <t>5.3.2</t>
  </si>
  <si>
    <t>5.3.2.1</t>
  </si>
  <si>
    <t>5.3.2.2</t>
  </si>
  <si>
    <t>5.3.2.3</t>
  </si>
  <si>
    <t>5.3.2.4</t>
  </si>
  <si>
    <t>5.3.3</t>
  </si>
  <si>
    <t>5.3.3.1</t>
  </si>
  <si>
    <t>5.3.3.2</t>
  </si>
  <si>
    <t>5.3.3.3</t>
  </si>
  <si>
    <t>5.3.3.4</t>
  </si>
  <si>
    <t>5.3.4</t>
  </si>
  <si>
    <t>5.3.4.1</t>
  </si>
  <si>
    <t>5.3.4.2</t>
  </si>
  <si>
    <t>5.3.4.3</t>
  </si>
  <si>
    <t>5.3.4.4</t>
  </si>
  <si>
    <t>5.3.4.5</t>
  </si>
  <si>
    <t>5.3.4.6</t>
  </si>
  <si>
    <t>5.3.5</t>
  </si>
  <si>
    <t>5.3.5.1</t>
  </si>
  <si>
    <t>5.3.5.2</t>
  </si>
  <si>
    <t>5.3.6</t>
  </si>
  <si>
    <t>5.3.7</t>
  </si>
  <si>
    <t>5.3.8</t>
  </si>
  <si>
    <t>5.3.9</t>
  </si>
  <si>
    <t>5.3.10</t>
  </si>
  <si>
    <t>5.3.11</t>
  </si>
  <si>
    <t>5.3.12</t>
  </si>
  <si>
    <t>5.3.13</t>
  </si>
  <si>
    <t>5.3.14</t>
  </si>
  <si>
    <t>5.3.14.1</t>
  </si>
  <si>
    <t>5.3.14.2</t>
  </si>
  <si>
    <t>5.3.14.3</t>
  </si>
  <si>
    <t>5.3.14.4</t>
  </si>
  <si>
    <t>5.3.14.5</t>
  </si>
  <si>
    <t>5.3.14.6</t>
  </si>
  <si>
    <t>5.3.15</t>
  </si>
  <si>
    <t>5.3.15.1</t>
  </si>
  <si>
    <t>5.3.15.2</t>
  </si>
  <si>
    <t>5.3.15.3</t>
  </si>
  <si>
    <t>5.3.15.4</t>
  </si>
  <si>
    <t>5.3.15.5</t>
  </si>
  <si>
    <t>5.3.15.6</t>
  </si>
  <si>
    <t>5.3.15.7</t>
  </si>
  <si>
    <t>5.3.15.8</t>
  </si>
  <si>
    <t>5.3.15.9</t>
  </si>
  <si>
    <t>5.3.15.10</t>
  </si>
  <si>
    <t>5.3.15.11</t>
  </si>
  <si>
    <t>5.3.15.12</t>
  </si>
  <si>
    <t>5.3.15.13</t>
  </si>
  <si>
    <t>5.3.16</t>
  </si>
  <si>
    <t>5.3.17</t>
  </si>
  <si>
    <t>5.3.17.1</t>
  </si>
  <si>
    <t>5.3.17.2</t>
  </si>
  <si>
    <t>5.3.17.3</t>
  </si>
  <si>
    <t>5.4</t>
  </si>
  <si>
    <t>5.4.1</t>
  </si>
  <si>
    <t>5.4.2</t>
  </si>
  <si>
    <t>5.4.3</t>
  </si>
  <si>
    <t>5.4.4</t>
  </si>
  <si>
    <t>5.5</t>
  </si>
  <si>
    <t>5.5.1</t>
  </si>
  <si>
    <t>5.5.2</t>
  </si>
  <si>
    <t>5.5.3</t>
  </si>
  <si>
    <t>5.5.4</t>
  </si>
  <si>
    <t>5.5.5</t>
  </si>
  <si>
    <t>5.5.6</t>
  </si>
  <si>
    <t>5.6</t>
  </si>
  <si>
    <t>5.6.1</t>
  </si>
  <si>
    <t>5.6.2</t>
  </si>
  <si>
    <t>5.6.3</t>
  </si>
  <si>
    <t>5.6.4</t>
  </si>
  <si>
    <t>5.6.5</t>
  </si>
  <si>
    <t>5.7</t>
  </si>
  <si>
    <t>5.7.1</t>
  </si>
  <si>
    <t>5.7.2</t>
  </si>
  <si>
    <t>5.7.3</t>
  </si>
  <si>
    <t>5.7.4</t>
  </si>
  <si>
    <t>5.7.5</t>
  </si>
  <si>
    <t>6.1</t>
  </si>
  <si>
    <t>6.1.1</t>
  </si>
  <si>
    <t>6.1.2</t>
  </si>
  <si>
    <t>6.1.3</t>
  </si>
  <si>
    <t>6.1.4</t>
  </si>
  <si>
    <t>6.1.5</t>
  </si>
  <si>
    <t>6.2</t>
  </si>
  <si>
    <t>6.3</t>
  </si>
  <si>
    <t>6.4</t>
  </si>
  <si>
    <t>6.5</t>
  </si>
  <si>
    <t>6.6</t>
  </si>
  <si>
    <t>6.7</t>
  </si>
  <si>
    <t>6.8</t>
  </si>
  <si>
    <t>6.9</t>
  </si>
  <si>
    <t>6.10</t>
  </si>
  <si>
    <t>6.11</t>
  </si>
  <si>
    <t>6.12</t>
  </si>
  <si>
    <t>6.13</t>
  </si>
  <si>
    <t>6.13.1</t>
  </si>
  <si>
    <t>6.13.2</t>
  </si>
  <si>
    <t>6.13.3</t>
  </si>
  <si>
    <t>6.13.4</t>
  </si>
  <si>
    <t>6.13.5</t>
  </si>
  <si>
    <t>6.13.6</t>
  </si>
  <si>
    <t>6.13.7</t>
  </si>
  <si>
    <t>6.13.8</t>
  </si>
  <si>
    <t>6.13.9</t>
  </si>
  <si>
    <t>6.14</t>
  </si>
  <si>
    <t>6.14.1</t>
  </si>
  <si>
    <t>6.14.2</t>
  </si>
  <si>
    <t>6.14.3</t>
  </si>
  <si>
    <t>6.14.4</t>
  </si>
  <si>
    <t>6.14.5</t>
  </si>
  <si>
    <t>6.14.6</t>
  </si>
  <si>
    <t>6.14.7</t>
  </si>
  <si>
    <t>6.14.8</t>
  </si>
  <si>
    <t>6.14.9</t>
  </si>
  <si>
    <t>6.14.10</t>
  </si>
  <si>
    <t>6.14.10.1</t>
  </si>
  <si>
    <t>6.14.10.2</t>
  </si>
  <si>
    <t>6.14.10.3</t>
  </si>
  <si>
    <t>6.14.10.4</t>
  </si>
  <si>
    <t>6.14.11</t>
  </si>
  <si>
    <t>6.14.12</t>
  </si>
  <si>
    <t>6.14.13</t>
  </si>
  <si>
    <t>6.14.14</t>
  </si>
  <si>
    <t>6.14.15</t>
  </si>
  <si>
    <t>6.14.16</t>
  </si>
  <si>
    <t>6.15</t>
  </si>
  <si>
    <t>6.16</t>
  </si>
  <si>
    <t>6.16.1</t>
  </si>
  <si>
    <t>6.16.2</t>
  </si>
  <si>
    <t>6.16.3</t>
  </si>
  <si>
    <t>6.16.4</t>
  </si>
  <si>
    <t>6.16.5</t>
  </si>
  <si>
    <t>6.16.6</t>
  </si>
  <si>
    <t>6.16.7</t>
  </si>
  <si>
    <t>6.16.8</t>
  </si>
  <si>
    <t>6.16.9</t>
  </si>
  <si>
    <t>6.17</t>
  </si>
  <si>
    <t>6.17.1</t>
  </si>
  <si>
    <t>6.17.2</t>
  </si>
  <si>
    <t>6.17.3</t>
  </si>
  <si>
    <t>6.17.4</t>
  </si>
  <si>
    <t>6.17.5</t>
  </si>
  <si>
    <t>6.17.6</t>
  </si>
  <si>
    <t>6.17.7</t>
  </si>
  <si>
    <t>6.17.8</t>
  </si>
  <si>
    <t>6.17.9</t>
  </si>
  <si>
    <t>6.17.10</t>
  </si>
  <si>
    <t>6.17.11</t>
  </si>
  <si>
    <t>6.17.12</t>
  </si>
  <si>
    <t>6.17.13</t>
  </si>
  <si>
    <t>6.17.14</t>
  </si>
  <si>
    <t>6.17.15</t>
  </si>
  <si>
    <t>6.17.16</t>
  </si>
  <si>
    <t>6.17.17</t>
  </si>
  <si>
    <t>6.17.18</t>
  </si>
  <si>
    <t>6.17.19</t>
  </si>
  <si>
    <t>6.18</t>
  </si>
  <si>
    <t>6.18.1</t>
  </si>
  <si>
    <t>6.18.1.1</t>
  </si>
  <si>
    <t>6.18.1.2</t>
  </si>
  <si>
    <t>6.18.1.3</t>
  </si>
  <si>
    <t>6.18.2</t>
  </si>
  <si>
    <t>6.18.2.1</t>
  </si>
  <si>
    <t>6.18.2.2</t>
  </si>
  <si>
    <t>6.18.2.3</t>
  </si>
  <si>
    <t>6.18.3</t>
  </si>
  <si>
    <t>6.18.3.1</t>
  </si>
  <si>
    <t>6.18.3.2</t>
  </si>
  <si>
    <t>6.18.3.3</t>
  </si>
  <si>
    <t>6.19</t>
  </si>
  <si>
    <t>6.19.1</t>
  </si>
  <si>
    <t>6.19.2</t>
  </si>
  <si>
    <t>6.19.3</t>
  </si>
  <si>
    <t>6.19.3.1</t>
  </si>
  <si>
    <t>6.19.3.2</t>
  </si>
  <si>
    <t>6.19.4</t>
  </si>
  <si>
    <t>6.19.5</t>
  </si>
  <si>
    <t>6.20</t>
  </si>
  <si>
    <t>6.20.1</t>
  </si>
  <si>
    <t>6.20.2</t>
  </si>
  <si>
    <t>6.20.3</t>
  </si>
  <si>
    <t>6.20.4</t>
  </si>
  <si>
    <t>6.20.5</t>
  </si>
  <si>
    <t>6.20.6</t>
  </si>
  <si>
    <t>6.20.7</t>
  </si>
  <si>
    <t>6.20.8</t>
  </si>
  <si>
    <t>6.20.9</t>
  </si>
  <si>
    <t>6.20.10</t>
  </si>
  <si>
    <t>6.20.11</t>
  </si>
  <si>
    <t>6.20.12</t>
  </si>
  <si>
    <t>6.20.13</t>
  </si>
  <si>
    <t>6.20.14</t>
  </si>
  <si>
    <t>6.20.15</t>
  </si>
  <si>
    <t>6.20.16</t>
  </si>
  <si>
    <t>6.20.17</t>
  </si>
  <si>
    <t>6.21</t>
  </si>
  <si>
    <t>6.21.1</t>
  </si>
  <si>
    <t>6.21.2</t>
  </si>
  <si>
    <t>6.22</t>
  </si>
  <si>
    <t>6.23</t>
  </si>
  <si>
    <t>7.1</t>
  </si>
  <si>
    <t>7.1.1</t>
  </si>
  <si>
    <t>7.1.1.1</t>
  </si>
  <si>
    <t>7.1.1.2</t>
  </si>
  <si>
    <t>7.1.1.3</t>
  </si>
  <si>
    <t>7.1.2</t>
  </si>
  <si>
    <t>7.1.3</t>
  </si>
  <si>
    <t>7.1.4</t>
  </si>
  <si>
    <t>7.1.5</t>
  </si>
  <si>
    <t>7.2</t>
  </si>
  <si>
    <t>7.2.1</t>
  </si>
  <si>
    <t>7.2.2</t>
  </si>
  <si>
    <t>7.2.3</t>
  </si>
  <si>
    <t>7.2.4</t>
  </si>
  <si>
    <t>7.2.5</t>
  </si>
  <si>
    <t>7.2.6</t>
  </si>
  <si>
    <t>7.3</t>
  </si>
  <si>
    <t>7.4</t>
  </si>
  <si>
    <t>7.4.1</t>
  </si>
  <si>
    <t>7.4.1.1</t>
  </si>
  <si>
    <t>7.4.1.2</t>
  </si>
  <si>
    <t>7.4.1.3</t>
  </si>
  <si>
    <t>7.4.1.4</t>
  </si>
  <si>
    <t>7.4.1.5</t>
  </si>
  <si>
    <t>7.4.2</t>
  </si>
  <si>
    <t>7.4.2.1</t>
  </si>
  <si>
    <t>7.4.2.2</t>
  </si>
  <si>
    <t>7.4.2.3</t>
  </si>
  <si>
    <t>7.4.3</t>
  </si>
  <si>
    <t>7.4.4</t>
  </si>
  <si>
    <t>7.5</t>
  </si>
  <si>
    <t>7.5.1</t>
  </si>
  <si>
    <t>7.5.1.1</t>
  </si>
  <si>
    <t>7.5.1.2</t>
  </si>
  <si>
    <t>7.5.1.3</t>
  </si>
  <si>
    <t>7.5.1.4</t>
  </si>
  <si>
    <t>7.5.1.5</t>
  </si>
  <si>
    <t>7.5.2</t>
  </si>
  <si>
    <t>7.5.2.1</t>
  </si>
  <si>
    <t>7.5.2.2</t>
  </si>
  <si>
    <t>7.5.2.3</t>
  </si>
  <si>
    <t>7.5.3</t>
  </si>
  <si>
    <t>7.5.4</t>
  </si>
  <si>
    <t>7.6</t>
  </si>
  <si>
    <t>7.6.1</t>
  </si>
  <si>
    <t>7.6.2</t>
  </si>
  <si>
    <t>7.7</t>
  </si>
  <si>
    <t>7.8</t>
  </si>
  <si>
    <t>7.8.1</t>
  </si>
  <si>
    <t>7.8.2</t>
  </si>
  <si>
    <t>7.8.3</t>
  </si>
  <si>
    <t>7.8.4</t>
  </si>
  <si>
    <t>7.8.4.1</t>
  </si>
  <si>
    <t>7.8.4.2</t>
  </si>
  <si>
    <t>7.8.4.3</t>
  </si>
  <si>
    <t>7.8.4.4</t>
  </si>
  <si>
    <t>7.9</t>
  </si>
  <si>
    <t>7.9.1</t>
  </si>
  <si>
    <t>7.9.2</t>
  </si>
  <si>
    <t>7.9.3</t>
  </si>
  <si>
    <t>7.9.4</t>
  </si>
  <si>
    <t>7.10</t>
  </si>
  <si>
    <t>7.10.1</t>
  </si>
  <si>
    <t>7.10.2</t>
  </si>
  <si>
    <t>7.10.3</t>
  </si>
  <si>
    <t>7.10.4</t>
  </si>
  <si>
    <t>8.1</t>
  </si>
  <si>
    <t>8.1.1</t>
  </si>
  <si>
    <t>8.1.2</t>
  </si>
  <si>
    <t>8.1.3</t>
  </si>
  <si>
    <t>8.1.4</t>
  </si>
  <si>
    <t>8.1.5</t>
  </si>
  <si>
    <t>8.1.6</t>
  </si>
  <si>
    <t>8.1.7</t>
  </si>
  <si>
    <t>8.1.8</t>
  </si>
  <si>
    <t>8.1.9</t>
  </si>
  <si>
    <t>8.1.10</t>
  </si>
  <si>
    <t>8.1.10.1</t>
  </si>
  <si>
    <t>8.1.10.2</t>
  </si>
  <si>
    <t>8.1.11</t>
  </si>
  <si>
    <t>8.1.12</t>
  </si>
  <si>
    <t>8.1.13</t>
  </si>
  <si>
    <t>8.1.14</t>
  </si>
  <si>
    <t>8.1.15</t>
  </si>
  <si>
    <t>8.1.16</t>
  </si>
  <si>
    <t>8.2</t>
  </si>
  <si>
    <t>8.2.1</t>
  </si>
  <si>
    <t>8.2.1.1</t>
  </si>
  <si>
    <t>8.2.1.2</t>
  </si>
  <si>
    <t>8.2.2</t>
  </si>
  <si>
    <t>8.2.2.1</t>
  </si>
  <si>
    <t>8.2.2.2</t>
  </si>
  <si>
    <t>8.3</t>
  </si>
  <si>
    <t>8.3.1</t>
  </si>
  <si>
    <t>8.3.2</t>
  </si>
  <si>
    <t>8.4</t>
  </si>
  <si>
    <t>8.4.1</t>
  </si>
  <si>
    <t>8.4.2</t>
  </si>
  <si>
    <t>8.4.3</t>
  </si>
  <si>
    <t>8.4.4</t>
  </si>
  <si>
    <t>8.4.5</t>
  </si>
  <si>
    <t>9.1</t>
  </si>
  <si>
    <t>9.2</t>
  </si>
  <si>
    <t>Forfait d'intervention</t>
  </si>
  <si>
    <t>Inspection télévisée</t>
  </si>
  <si>
    <t>5.2.7.1</t>
  </si>
  <si>
    <t>5.2.8.2</t>
  </si>
  <si>
    <t>5.2.8.1</t>
  </si>
  <si>
    <t>5.2.7.2</t>
  </si>
  <si>
    <t>Installations de chantier</t>
  </si>
  <si>
    <t>Fosse de plantation de profondeur 150 cm</t>
  </si>
  <si>
    <t>BEV blanche largeur 0,60m</t>
  </si>
  <si>
    <t>% (de la somme des postes 2 à 8)</t>
  </si>
  <si>
    <r>
      <t xml:space="preserve">Plus-value pour fourniture (hauteur </t>
    </r>
    <r>
      <rPr>
        <sz val="11"/>
        <rFont val="Calibri"/>
        <family val="2"/>
      </rPr>
      <t>≤</t>
    </r>
    <r>
      <rPr>
        <i/>
        <sz val="11"/>
        <rFont val="Calibri"/>
        <family val="2"/>
        <scheme val="minor"/>
      </rPr>
      <t>30cm)</t>
    </r>
  </si>
  <si>
    <t>Plus-value pour fourniture  (hauteur ≤30cm)</t>
  </si>
  <si>
    <t>Plus-value pour fourniture (hauteur ≤30cm)</t>
  </si>
  <si>
    <t>Dans le cadre de l'analyse des offres, sera pris égal à 4% de la somme des travaux des postes 2 à 8</t>
  </si>
  <si>
    <t>Dans le cadre de l'analyse des offres, sera pris égal à 9% de la somme des travaux des postes 2 à 8</t>
  </si>
  <si>
    <t>Dans le cadre de l'analyse des offres, sera pris égal à 21% de la somme des travaux des postes 2 à 8</t>
  </si>
  <si>
    <t>coffrage soigné</t>
  </si>
  <si>
    <t>coffrage matricé imitation pierre ou bois</t>
  </si>
  <si>
    <t>6.3.1</t>
  </si>
  <si>
    <t>6.3.2</t>
  </si>
  <si>
    <t>6.4.1</t>
  </si>
  <si>
    <t>6.4.2</t>
  </si>
  <si>
    <t>6.4.3</t>
  </si>
  <si>
    <t>Arase de mur</t>
  </si>
  <si>
    <t>Mur et pilier en éléments modulaires</t>
  </si>
  <si>
    <t>6.4.4</t>
  </si>
  <si>
    <t>bloc à bancher largeur 20cm yc ferraillage et bétonnage</t>
  </si>
  <si>
    <t>bloc à bancher pour pilier yc ferraillage et bétonnage</t>
  </si>
  <si>
    <t>6.4.1.1</t>
  </si>
  <si>
    <t>6.4.1.2</t>
  </si>
  <si>
    <t>6.4.1.3</t>
  </si>
  <si>
    <t>6.4.1.4</t>
  </si>
  <si>
    <t>parpaing creux</t>
  </si>
  <si>
    <t>largeur 15cm</t>
  </si>
  <si>
    <t>largeur 20cm</t>
  </si>
  <si>
    <t>largeur 25cm</t>
  </si>
  <si>
    <t>largeur 30cm</t>
  </si>
  <si>
    <t>largeur 27cm</t>
  </si>
  <si>
    <t>largeur 40cm</t>
  </si>
  <si>
    <t>6.4.2.1</t>
  </si>
  <si>
    <t>6.4.2.2</t>
  </si>
  <si>
    <t>6.4.2.3</t>
  </si>
  <si>
    <t>6.4.3.1</t>
  </si>
  <si>
    <t>6.4.3.2</t>
  </si>
  <si>
    <t>6.9.1</t>
  </si>
  <si>
    <t>6.9.2</t>
  </si>
  <si>
    <t>6.9.3</t>
  </si>
  <si>
    <t>6.9.4</t>
  </si>
  <si>
    <t>chapeau de pilier 40x40</t>
  </si>
  <si>
    <t>chapeau de pilier 50x50</t>
  </si>
  <si>
    <t>Coefficients majorateurs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</si>
</sst>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€&quot;* #,##0.00_);_(&quot;€&quot;* \(#,##0.00\);_(&quot;€&quot;* &quot;-&quot;??_);_(@_)"/>
    <numFmt numFmtId="165" formatCode="_-* #,##0.00\ [$€-40C]_-;\-* #,##0.00\ [$€-40C]_-;_-* &quot;-&quot;??\ [$€-40C]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b/>
      <sz val="18"/>
      <color indexed="8"/>
      <name val="Arial"/>
      <family val="2"/>
    </font>
    <font>
      <b/>
      <sz val="20"/>
      <color indexed="8"/>
      <name val="Arial"/>
      <family val="2"/>
    </font>
    <font>
      <sz val="18"/>
      <color indexed="8"/>
      <name val="Arial"/>
      <family val="2"/>
    </font>
    <font>
      <sz val="14"/>
      <color indexed="8"/>
      <name val="Arial"/>
      <family val="2"/>
    </font>
    <font>
      <sz val="11"/>
      <color theme="0"/>
      <name val="Segoe UI Light"/>
      <family val="2"/>
    </font>
    <font>
      <sz val="11"/>
      <color theme="0" tint="-0.34998626667073579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i/>
      <sz val="11"/>
      <name val="Calibri"/>
      <family val="2"/>
      <scheme val="minor"/>
    </font>
    <font>
      <i/>
      <vertAlign val="super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i/>
      <sz val="11"/>
      <color theme="1"/>
      <name val="Segoe UI"/>
      <family val="2"/>
    </font>
    <font>
      <sz val="11"/>
      <name val="Calibri"/>
      <family val="2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22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900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3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2" borderId="0" xfId="0" applyFill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8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vertical="center" wrapText="1"/>
    </xf>
    <xf numFmtId="0" fontId="8" fillId="4" borderId="3" xfId="0" applyFont="1" applyFill="1" applyBorder="1" applyAlignment="1">
      <alignment vertical="center" wrapText="1"/>
    </xf>
    <xf numFmtId="164" fontId="8" fillId="4" borderId="3" xfId="0" applyNumberFormat="1" applyFont="1" applyFill="1" applyBorder="1" applyAlignment="1">
      <alignment vertical="center" wrapText="1"/>
    </xf>
    <xf numFmtId="0" fontId="10" fillId="0" borderId="0" xfId="0" applyFont="1"/>
    <xf numFmtId="0" fontId="0" fillId="5" borderId="3" xfId="0" applyFill="1" applyBorder="1" applyAlignment="1">
      <alignment horizontal="left" vertical="center"/>
    </xf>
    <xf numFmtId="0" fontId="0" fillId="5" borderId="7" xfId="0" applyFill="1" applyBorder="1"/>
    <xf numFmtId="0" fontId="11" fillId="5" borderId="7" xfId="0" applyFont="1" applyFill="1" applyBorder="1"/>
    <xf numFmtId="0" fontId="0" fillId="5" borderId="3" xfId="0" applyFill="1" applyBorder="1" applyAlignment="1">
      <alignment vertical="center"/>
    </xf>
    <xf numFmtId="164" fontId="11" fillId="5" borderId="3" xfId="1" applyFont="1" applyFill="1" applyBorder="1" applyAlignment="1">
      <alignment vertical="center"/>
    </xf>
    <xf numFmtId="164" fontId="1" fillId="5" borderId="3" xfId="1" applyFont="1" applyFill="1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0" fillId="0" borderId="7" xfId="0" applyBorder="1"/>
    <xf numFmtId="0" fontId="0" fillId="0" borderId="3" xfId="0" applyBorder="1" applyAlignment="1">
      <alignment vertical="center"/>
    </xf>
    <xf numFmtId="164" fontId="11" fillId="0" borderId="3" xfId="1" applyFont="1" applyBorder="1" applyAlignment="1">
      <alignment vertical="center"/>
    </xf>
    <xf numFmtId="164" fontId="1" fillId="0" borderId="3" xfId="1" applyFont="1" applyBorder="1" applyAlignment="1">
      <alignment vertical="center"/>
    </xf>
    <xf numFmtId="164" fontId="11" fillId="0" borderId="3" xfId="1" applyFont="1" applyFill="1" applyBorder="1" applyAlignment="1">
      <alignment vertical="center"/>
    </xf>
    <xf numFmtId="164" fontId="1" fillId="0" borderId="3" xfId="1" applyFont="1" applyFill="1" applyBorder="1" applyAlignment="1">
      <alignment vertical="center"/>
    </xf>
    <xf numFmtId="0" fontId="10" fillId="0" borderId="7" xfId="0" applyFont="1" applyBorder="1"/>
    <xf numFmtId="0" fontId="10" fillId="0" borderId="3" xfId="0" applyFont="1" applyBorder="1" applyAlignment="1">
      <alignment vertical="center"/>
    </xf>
    <xf numFmtId="164" fontId="13" fillId="0" borderId="3" xfId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/>
    </xf>
    <xf numFmtId="0" fontId="10" fillId="0" borderId="3" xfId="0" applyFont="1" applyBorder="1" applyAlignment="1">
      <alignment horizontal="left" vertical="center"/>
    </xf>
    <xf numFmtId="164" fontId="13" fillId="0" borderId="3" xfId="1" applyFont="1" applyBorder="1" applyAlignment="1">
      <alignment vertical="center"/>
    </xf>
    <xf numFmtId="164" fontId="10" fillId="0" borderId="3" xfId="1" applyFont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5" borderId="2" xfId="0" applyFill="1" applyBorder="1" applyAlignment="1">
      <alignment vertical="center"/>
    </xf>
    <xf numFmtId="0" fontId="11" fillId="0" borderId="7" xfId="0" applyFont="1" applyBorder="1"/>
    <xf numFmtId="0" fontId="0" fillId="0" borderId="2" xfId="0" applyBorder="1"/>
    <xf numFmtId="0" fontId="8" fillId="4" borderId="7" xfId="0" applyFont="1" applyFill="1" applyBorder="1" applyAlignment="1">
      <alignment vertical="center" wrapText="1"/>
    </xf>
    <xf numFmtId="0" fontId="11" fillId="0" borderId="3" xfId="0" applyFont="1" applyBorder="1" applyAlignment="1">
      <alignment vertical="center"/>
    </xf>
    <xf numFmtId="0" fontId="10" fillId="0" borderId="7" xfId="0" applyFont="1" applyBorder="1" applyAlignment="1">
      <alignment wrapText="1"/>
    </xf>
    <xf numFmtId="0" fontId="13" fillId="0" borderId="7" xfId="0" applyFont="1" applyBorder="1"/>
    <xf numFmtId="0" fontId="13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2" fillId="0" borderId="7" xfId="0" applyFont="1" applyBorder="1"/>
    <xf numFmtId="0" fontId="8" fillId="4" borderId="2" xfId="0" applyFont="1" applyFill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0" fillId="0" borderId="8" xfId="0" applyBorder="1"/>
    <xf numFmtId="0" fontId="0" fillId="0" borderId="8" xfId="0" applyBorder="1" applyAlignment="1">
      <alignment wrapText="1"/>
    </xf>
    <xf numFmtId="0" fontId="0" fillId="0" borderId="9" xfId="0" applyBorder="1" applyAlignment="1">
      <alignment vertical="center"/>
    </xf>
    <xf numFmtId="164" fontId="11" fillId="0" borderId="9" xfId="1" applyFont="1" applyBorder="1" applyAlignment="1">
      <alignment vertical="center"/>
    </xf>
    <xf numFmtId="164" fontId="1" fillId="0" borderId="9" xfId="1" applyFont="1" applyBorder="1" applyAlignment="1">
      <alignment vertical="center"/>
    </xf>
    <xf numFmtId="0" fontId="0" fillId="0" borderId="10" xfId="0" applyBorder="1" applyAlignment="1">
      <alignment wrapText="1"/>
    </xf>
    <xf numFmtId="164" fontId="11" fillId="6" borderId="3" xfId="1" applyFont="1" applyFill="1" applyBorder="1" applyAlignment="1">
      <alignment vertical="center"/>
    </xf>
    <xf numFmtId="0" fontId="18" fillId="0" borderId="0" xfId="0" applyFont="1"/>
    <xf numFmtId="0" fontId="11" fillId="5" borderId="3" xfId="0" applyFont="1" applyFill="1" applyBorder="1" applyAlignment="1">
      <alignment horizontal="left" vertical="center"/>
    </xf>
    <xf numFmtId="0" fontId="11" fillId="5" borderId="3" xfId="0" applyFont="1" applyFill="1" applyBorder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164" fontId="11" fillId="0" borderId="0" xfId="0" applyNumberFormat="1" applyFont="1"/>
    <xf numFmtId="164" fontId="1" fillId="5" borderId="3" xfId="1" applyFont="1" applyFill="1" applyBorder="1" applyAlignment="1">
      <alignment vertical="center" wrapText="1"/>
    </xf>
    <xf numFmtId="0" fontId="0" fillId="5" borderId="3" xfId="0" applyFill="1" applyBorder="1" applyAlignment="1">
      <alignment vertical="center" wrapText="1"/>
    </xf>
    <xf numFmtId="0" fontId="0" fillId="5" borderId="7" xfId="0" applyFill="1" applyBorder="1" applyAlignment="1">
      <alignment vertical="center"/>
    </xf>
    <xf numFmtId="0" fontId="11" fillId="5" borderId="7" xfId="0" applyFont="1" applyFill="1" applyBorder="1" applyAlignment="1">
      <alignment vertical="center"/>
    </xf>
    <xf numFmtId="0" fontId="1" fillId="5" borderId="3" xfId="1" applyNumberFormat="1" applyFont="1" applyFill="1" applyBorder="1" applyAlignment="1">
      <alignment vertical="center" wrapText="1"/>
    </xf>
    <xf numFmtId="0" fontId="20" fillId="0" borderId="0" xfId="0" applyFont="1" applyAlignment="1">
      <alignment horizontal="center"/>
    </xf>
    <xf numFmtId="0" fontId="10" fillId="0" borderId="7" xfId="0" applyFont="1" applyBorder="1" applyAlignment="1">
      <alignment horizontal="left" wrapText="1"/>
    </xf>
    <xf numFmtId="0" fontId="10" fillId="0" borderId="2" xfId="0" applyFont="1" applyBorder="1" applyAlignment="1">
      <alignment horizontal="left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165" fontId="11" fillId="0" borderId="3" xfId="1" applyNumberFormat="1" applyFont="1" applyBorder="1" applyAlignment="1">
      <alignment vertical="center"/>
    </xf>
    <xf numFmtId="165" fontId="1" fillId="0" borderId="3" xfId="1" applyNumberFormat="1" applyFont="1" applyBorder="1" applyAlignment="1">
      <alignment vertical="center"/>
    </xf>
  </cellXfs>
  <cellStyles count="2">
    <cellStyle name="Monétaire" xfId="1" builtinId="4"/>
    <cellStyle name="Normal" xfId="0" builtinId="0"/>
  </cellStyles>
  <dxfs count="30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5390410</xdr:colOff>
      <xdr:row>1</xdr:row>
      <xdr:rowOff>13413</xdr:rowOff>
    </xdr:from>
    <xdr:to>
      <xdr:col>7</xdr:col>
      <xdr:colOff>500062</xdr:colOff>
      <xdr:row>3</xdr:row>
      <xdr:rowOff>53551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B9E455E6-EFB8-41AD-8245-945F8A3D81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9789" t="-18396" r="-8376" b="-8698"/>
        <a:stretch/>
      </xdr:blipFill>
      <xdr:spPr bwMode="auto">
        <a:xfrm>
          <a:off x="6985848" y="311069"/>
          <a:ext cx="2253402" cy="67117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286871</xdr:colOff>
      <xdr:row>1</xdr:row>
      <xdr:rowOff>7203</xdr:rowOff>
    </xdr:from>
    <xdr:to>
      <xdr:col>3</xdr:col>
      <xdr:colOff>15950</xdr:colOff>
      <xdr:row>3</xdr:row>
      <xdr:rowOff>20956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9D80979E-7D7F-4361-9EC4-2D7843AD7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871" y="303536"/>
          <a:ext cx="875677" cy="63838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DF706"/>
  <sheetViews>
    <sheetView tabSelected="1" view="pageBreakPreview" topLeftCell="C674" zoomScale="80" zoomScaleNormal="100" zoomScaleSheetLayoutView="80" workbookViewId="0">
      <selection activeCell="H699" sqref="H699"/>
    </sheetView>
  </sheetViews>
  <sheetFormatPr baseColWidth="10" defaultColWidth="12.42578125" defaultRowHeight="15" outlineLevelCol="1" x14ac:dyDescent="0.25"/>
  <cols>
    <col min="1" max="1" width="9.5703125" style="52" customWidth="1"/>
    <col min="2" max="5" width="3.5703125" customWidth="1"/>
    <col min="6" max="6" width="94.5703125" customWidth="1"/>
    <col min="7" max="7" width="12.42578125" style="53"/>
    <col min="8" max="8" width="13.5703125" style="53" customWidth="1"/>
    <col min="9" max="9" width="25.5703125" style="53" customWidth="1" outlineLevel="1"/>
    <col min="10" max="10" width="16.5703125" style="53" customWidth="1" outlineLevel="1"/>
    <col min="11" max="11" width="25.5703125" style="53" customWidth="1" outlineLevel="1"/>
    <col min="12" max="12" width="15.42578125" style="53" customWidth="1" outlineLevel="1"/>
    <col min="13" max="13" width="25.5703125" style="53" customWidth="1" outlineLevel="1"/>
    <col min="14" max="14" width="15.42578125" style="53" customWidth="1" outlineLevel="1"/>
    <col min="15" max="15" width="3.5703125" customWidth="1"/>
    <col min="16" max="19" width="11.5703125" style="9" customWidth="1" outlineLevel="1"/>
    <col min="20" max="20" width="12.42578125" customWidth="1" outlineLevel="1"/>
    <col min="21" max="21" width="3.5703125" customWidth="1"/>
  </cols>
  <sheetData>
    <row r="1" spans="1:23 16334:16334" ht="23.25" x14ac:dyDescent="0.35">
      <c r="A1" s="1"/>
      <c r="B1" s="2"/>
      <c r="C1" s="1"/>
      <c r="D1" s="1"/>
      <c r="G1"/>
      <c r="H1"/>
      <c r="I1"/>
      <c r="J1"/>
      <c r="K1"/>
      <c r="L1"/>
      <c r="M1"/>
      <c r="N1"/>
      <c r="P1"/>
      <c r="Q1"/>
      <c r="R1"/>
      <c r="S1"/>
    </row>
    <row r="2" spans="1:23 16334:16334" ht="26.25" x14ac:dyDescent="0.4">
      <c r="A2" s="1"/>
      <c r="E2" s="3" t="s">
        <v>1</v>
      </c>
      <c r="F2" s="1"/>
      <c r="G2"/>
      <c r="H2"/>
      <c r="I2"/>
      <c r="J2"/>
      <c r="K2"/>
      <c r="L2"/>
      <c r="M2"/>
      <c r="N2"/>
      <c r="P2"/>
      <c r="Q2"/>
      <c r="R2"/>
      <c r="S2"/>
    </row>
    <row r="3" spans="1:23 16334:16334" ht="23.25" x14ac:dyDescent="0.35">
      <c r="A3" s="1"/>
      <c r="E3" s="2"/>
      <c r="F3" s="1"/>
      <c r="G3"/>
      <c r="H3"/>
      <c r="I3"/>
      <c r="J3"/>
      <c r="K3"/>
      <c r="L3"/>
      <c r="M3"/>
      <c r="N3"/>
      <c r="P3"/>
      <c r="Q3"/>
      <c r="R3"/>
      <c r="S3"/>
    </row>
    <row r="4" spans="1:23 16334:16334" ht="23.25" x14ac:dyDescent="0.35">
      <c r="A4" s="1"/>
      <c r="E4" s="4" t="s">
        <v>2</v>
      </c>
      <c r="F4" s="1"/>
      <c r="G4"/>
      <c r="H4"/>
      <c r="I4"/>
      <c r="J4"/>
      <c r="K4"/>
      <c r="L4"/>
      <c r="M4"/>
      <c r="N4"/>
      <c r="P4"/>
      <c r="Q4"/>
      <c r="R4"/>
      <c r="S4"/>
    </row>
    <row r="5" spans="1:23 16334:16334" ht="18" x14ac:dyDescent="0.25">
      <c r="A5" s="1"/>
      <c r="E5" s="5" t="s">
        <v>3</v>
      </c>
      <c r="F5" s="1"/>
      <c r="G5"/>
      <c r="H5"/>
      <c r="I5"/>
      <c r="J5"/>
      <c r="K5"/>
      <c r="L5"/>
      <c r="M5"/>
      <c r="N5"/>
      <c r="P5"/>
      <c r="Q5"/>
      <c r="R5"/>
      <c r="S5"/>
    </row>
    <row r="6" spans="1:23 16334:16334" ht="18" x14ac:dyDescent="0.25">
      <c r="A6" s="1"/>
      <c r="E6" s="5"/>
      <c r="F6" s="1"/>
      <c r="G6"/>
      <c r="H6"/>
      <c r="I6"/>
      <c r="J6"/>
      <c r="K6"/>
      <c r="L6"/>
      <c r="M6"/>
      <c r="N6"/>
      <c r="P6"/>
      <c r="Q6"/>
      <c r="R6"/>
      <c r="S6"/>
    </row>
    <row r="7" spans="1:23 16334:16334" ht="27.75" x14ac:dyDescent="0.4">
      <c r="A7" s="73" t="s">
        <v>609</v>
      </c>
      <c r="B7" s="73"/>
      <c r="C7" s="73"/>
      <c r="D7" s="73"/>
      <c r="E7" s="73"/>
      <c r="F7" s="73"/>
      <c r="G7" s="73"/>
      <c r="H7" s="73"/>
      <c r="I7"/>
      <c r="J7"/>
      <c r="K7"/>
      <c r="L7"/>
      <c r="M7"/>
      <c r="N7"/>
      <c r="P7"/>
      <c r="Q7"/>
      <c r="R7"/>
      <c r="S7"/>
    </row>
    <row r="8" spans="1:23 16334:16334" ht="33" customHeight="1" x14ac:dyDescent="0.25">
      <c r="A8" s="6"/>
      <c r="B8" s="7"/>
      <c r="C8" s="7"/>
      <c r="D8" s="7"/>
      <c r="E8" s="7"/>
      <c r="F8" s="7"/>
      <c r="G8" s="8"/>
      <c r="H8" s="8"/>
      <c r="I8" s="76" t="s">
        <v>4</v>
      </c>
      <c r="J8" s="77"/>
      <c r="K8" s="76" t="s">
        <v>5</v>
      </c>
      <c r="L8" s="77"/>
      <c r="M8" s="76" t="s">
        <v>6</v>
      </c>
      <c r="N8" s="77"/>
    </row>
    <row r="9" spans="1:23 16334:16334" ht="33.6" customHeight="1" x14ac:dyDescent="0.25">
      <c r="A9" s="10" t="s">
        <v>0</v>
      </c>
      <c r="B9" s="78" t="s">
        <v>7</v>
      </c>
      <c r="C9" s="79"/>
      <c r="D9" s="79"/>
      <c r="E9" s="79"/>
      <c r="F9" s="80"/>
      <c r="G9" s="10" t="s">
        <v>8</v>
      </c>
      <c r="H9" s="10" t="s">
        <v>9</v>
      </c>
      <c r="I9" s="10" t="s">
        <v>10</v>
      </c>
      <c r="J9" s="10" t="s">
        <v>11</v>
      </c>
      <c r="K9" s="10" t="s">
        <v>10</v>
      </c>
      <c r="L9" s="10" t="s">
        <v>11</v>
      </c>
      <c r="M9" s="10" t="s">
        <v>10</v>
      </c>
      <c r="N9" s="10" t="s">
        <v>11</v>
      </c>
      <c r="O9" s="11"/>
      <c r="P9" s="12"/>
      <c r="Q9" s="13"/>
      <c r="R9" s="12"/>
      <c r="S9" s="12"/>
    </row>
    <row r="10" spans="1:23 16334:16334" ht="16.5" x14ac:dyDescent="0.25">
      <c r="A10" s="14">
        <v>0</v>
      </c>
      <c r="B10" s="15" t="s">
        <v>12</v>
      </c>
      <c r="C10" s="15"/>
      <c r="D10" s="16"/>
      <c r="E10" s="16"/>
      <c r="F10" s="16"/>
      <c r="G10" s="16"/>
      <c r="H10" s="17"/>
      <c r="I10" s="16"/>
      <c r="J10" s="18">
        <f>SUM(J11:J33)</f>
        <v>978400</v>
      </c>
      <c r="K10" s="16"/>
      <c r="L10" s="18">
        <f>SUM(L11:L33)</f>
        <v>1031760</v>
      </c>
      <c r="M10" s="16"/>
      <c r="N10" s="18">
        <f>SUM(N11:N33)</f>
        <v>1051400</v>
      </c>
      <c r="T10" s="19"/>
    </row>
    <row r="11" spans="1:23 16334:16334" s="65" customFormat="1" x14ac:dyDescent="0.25">
      <c r="A11" s="63" t="s">
        <v>610</v>
      </c>
      <c r="B11" s="22"/>
      <c r="C11" s="22" t="s">
        <v>590</v>
      </c>
      <c r="D11" s="22"/>
      <c r="E11" s="22"/>
      <c r="F11" s="22"/>
      <c r="G11" s="64" t="s">
        <v>14</v>
      </c>
      <c r="H11" s="24">
        <v>78000</v>
      </c>
      <c r="I11" s="64">
        <v>1</v>
      </c>
      <c r="J11" s="24">
        <f>IF($H11*I11=0,"",$H11*I11)</f>
        <v>78000</v>
      </c>
      <c r="K11" s="64">
        <v>1</v>
      </c>
      <c r="L11" s="24">
        <f>IF($H11*K11=0,"",$H11*K11)</f>
        <v>78000</v>
      </c>
      <c r="M11" s="64">
        <v>1</v>
      </c>
      <c r="N11" s="24">
        <f>IF($H11*M11=0,"",$H11*M11)</f>
        <v>78000</v>
      </c>
      <c r="P11" s="66"/>
      <c r="Q11" s="66"/>
      <c r="R11" s="66"/>
      <c r="S11" s="66"/>
    </row>
    <row r="12" spans="1:23 16334:16334" s="65" customFormat="1" x14ac:dyDescent="0.25">
      <c r="A12" s="63" t="s">
        <v>611</v>
      </c>
      <c r="B12" s="22"/>
      <c r="C12" s="22" t="s">
        <v>13</v>
      </c>
      <c r="D12" s="22"/>
      <c r="E12" s="22"/>
      <c r="F12" s="22"/>
      <c r="G12" s="64" t="s">
        <v>14</v>
      </c>
      <c r="H12" s="24">
        <v>64800</v>
      </c>
      <c r="I12" s="64">
        <v>1</v>
      </c>
      <c r="J12" s="24">
        <f>IF($H12*I12=0,"",$H12*I12)</f>
        <v>64800</v>
      </c>
      <c r="K12" s="64">
        <v>1</v>
      </c>
      <c r="L12" s="24">
        <f>IF($H12*K12=0,"",$H12*K12)</f>
        <v>64800</v>
      </c>
      <c r="M12" s="64">
        <v>1</v>
      </c>
      <c r="N12" s="24">
        <f>IF($H12*M12=0,"",$H12*M12)</f>
        <v>64800</v>
      </c>
      <c r="P12" s="66"/>
      <c r="Q12" s="66"/>
      <c r="R12" s="66"/>
      <c r="S12" s="66"/>
    </row>
    <row r="13" spans="1:23 16334:16334" s="65" customFormat="1" x14ac:dyDescent="0.25">
      <c r="A13" s="63" t="s">
        <v>612</v>
      </c>
      <c r="B13" s="22"/>
      <c r="C13" s="22" t="s">
        <v>15</v>
      </c>
      <c r="D13" s="22"/>
      <c r="E13" s="22"/>
      <c r="F13" s="22"/>
      <c r="G13" s="64"/>
      <c r="H13" s="24"/>
      <c r="I13" s="64"/>
      <c r="J13" s="24" t="str">
        <f>IF($H13*I13=0,"",$H13*I13)</f>
        <v/>
      </c>
      <c r="K13" s="64"/>
      <c r="L13" s="24" t="str">
        <f>IF($H13*K13=0,"",$H13*K13)</f>
        <v/>
      </c>
      <c r="M13" s="64"/>
      <c r="N13" s="24" t="str">
        <f>IF($H13*M13=0,"",$H13*M13)</f>
        <v/>
      </c>
      <c r="P13" s="66"/>
      <c r="Q13" s="66"/>
      <c r="R13" s="66"/>
      <c r="S13" s="66"/>
    </row>
    <row r="14" spans="1:23 16334:16334" s="65" customFormat="1" collapsed="1" x14ac:dyDescent="0.25">
      <c r="A14" s="49" t="s">
        <v>613</v>
      </c>
      <c r="B14" s="42"/>
      <c r="C14" s="42"/>
      <c r="D14" s="42" t="s">
        <v>591</v>
      </c>
      <c r="E14" s="42"/>
      <c r="F14" s="42"/>
      <c r="G14" s="45" t="s">
        <v>14</v>
      </c>
      <c r="H14" s="29">
        <v>1500</v>
      </c>
      <c r="I14" s="45">
        <v>15</v>
      </c>
      <c r="J14" s="29">
        <f t="shared" ref="J14:N24" si="0">IF($H14*I14=0,"",$H14*I14)</f>
        <v>22500</v>
      </c>
      <c r="K14" s="45">
        <v>13</v>
      </c>
      <c r="L14" s="29">
        <f t="shared" si="0"/>
        <v>19500</v>
      </c>
      <c r="M14" s="45">
        <v>10</v>
      </c>
      <c r="N14" s="29">
        <f t="shared" si="0"/>
        <v>15000</v>
      </c>
      <c r="P14" s="66"/>
      <c r="Q14" s="66"/>
      <c r="R14" s="66"/>
      <c r="S14" s="66"/>
      <c r="W14" s="67"/>
    </row>
    <row r="15" spans="1:23 16334:16334" s="65" customFormat="1" x14ac:dyDescent="0.25">
      <c r="A15" s="49" t="s">
        <v>614</v>
      </c>
      <c r="B15" s="42"/>
      <c r="C15" s="42"/>
      <c r="D15" s="42" t="s">
        <v>606</v>
      </c>
      <c r="E15" s="42"/>
      <c r="F15" s="42"/>
      <c r="G15" s="45" t="s">
        <v>14</v>
      </c>
      <c r="H15" s="29">
        <v>2100</v>
      </c>
      <c r="I15" s="45">
        <v>20</v>
      </c>
      <c r="J15" s="29">
        <f t="shared" si="0"/>
        <v>42000</v>
      </c>
      <c r="K15" s="45">
        <v>25</v>
      </c>
      <c r="L15" s="29">
        <f t="shared" si="0"/>
        <v>52500</v>
      </c>
      <c r="M15" s="45">
        <v>10</v>
      </c>
      <c r="N15" s="29">
        <f t="shared" si="0"/>
        <v>21000</v>
      </c>
      <c r="P15" s="66"/>
      <c r="Q15" s="66"/>
      <c r="R15" s="66"/>
      <c r="S15" s="66"/>
    </row>
    <row r="16" spans="1:23 16334:16334" s="65" customFormat="1" x14ac:dyDescent="0.25">
      <c r="A16" s="49" t="s">
        <v>615</v>
      </c>
      <c r="B16" s="42"/>
      <c r="C16" s="42"/>
      <c r="D16" s="42" t="s">
        <v>592</v>
      </c>
      <c r="E16" s="42"/>
      <c r="F16" s="42"/>
      <c r="G16" s="45" t="s">
        <v>14</v>
      </c>
      <c r="H16" s="29">
        <v>3200</v>
      </c>
      <c r="I16" s="45">
        <v>15</v>
      </c>
      <c r="J16" s="29">
        <f t="shared" si="0"/>
        <v>48000</v>
      </c>
      <c r="K16" s="45">
        <v>17</v>
      </c>
      <c r="L16" s="29">
        <f t="shared" si="0"/>
        <v>54400</v>
      </c>
      <c r="M16" s="45">
        <v>30</v>
      </c>
      <c r="N16" s="29">
        <f t="shared" si="0"/>
        <v>96000</v>
      </c>
      <c r="P16" s="66"/>
      <c r="Q16" s="66"/>
      <c r="R16" s="66"/>
      <c r="S16" s="66"/>
      <c r="XDF16" s="65">
        <f>SUM(P16:XDE16)</f>
        <v>0</v>
      </c>
    </row>
    <row r="17" spans="1:19" s="65" customFormat="1" x14ac:dyDescent="0.25">
      <c r="A17" s="63" t="s">
        <v>616</v>
      </c>
      <c r="B17" s="22"/>
      <c r="C17" s="22" t="s">
        <v>1276</v>
      </c>
      <c r="D17" s="22"/>
      <c r="E17" s="22"/>
      <c r="F17" s="22"/>
      <c r="G17" s="64"/>
      <c r="H17" s="24"/>
      <c r="I17" s="64"/>
      <c r="J17" s="24" t="str">
        <f t="shared" si="0"/>
        <v/>
      </c>
      <c r="K17" s="64"/>
      <c r="L17" s="24" t="str">
        <f t="shared" si="0"/>
        <v/>
      </c>
      <c r="M17" s="64"/>
      <c r="N17" s="24" t="str">
        <f t="shared" si="0"/>
        <v/>
      </c>
      <c r="P17" s="66"/>
      <c r="Q17" s="66"/>
      <c r="R17" s="66"/>
      <c r="S17" s="66"/>
    </row>
    <row r="18" spans="1:19" s="65" customFormat="1" collapsed="1" x14ac:dyDescent="0.25">
      <c r="A18" s="49" t="s">
        <v>617</v>
      </c>
      <c r="B18" s="42"/>
      <c r="C18" s="42"/>
      <c r="D18" s="42" t="s">
        <v>591</v>
      </c>
      <c r="E18" s="42"/>
      <c r="F18" s="42"/>
      <c r="G18" s="45" t="s">
        <v>14</v>
      </c>
      <c r="H18" s="29">
        <v>3100</v>
      </c>
      <c r="I18" s="45">
        <v>15</v>
      </c>
      <c r="J18" s="29">
        <f t="shared" si="0"/>
        <v>46500</v>
      </c>
      <c r="K18" s="45">
        <v>13</v>
      </c>
      <c r="L18" s="29">
        <f t="shared" si="0"/>
        <v>40300</v>
      </c>
      <c r="M18" s="45">
        <v>10</v>
      </c>
      <c r="N18" s="29">
        <f t="shared" si="0"/>
        <v>31000</v>
      </c>
      <c r="P18" s="66"/>
      <c r="Q18" s="66"/>
      <c r="R18" s="66"/>
      <c r="S18" s="66"/>
    </row>
    <row r="19" spans="1:19" s="65" customFormat="1" x14ac:dyDescent="0.25">
      <c r="A19" s="49" t="s">
        <v>618</v>
      </c>
      <c r="B19" s="42"/>
      <c r="C19" s="42"/>
      <c r="D19" s="42" t="s">
        <v>606</v>
      </c>
      <c r="E19" s="42"/>
      <c r="F19" s="42"/>
      <c r="G19" s="45" t="s">
        <v>14</v>
      </c>
      <c r="H19" s="29">
        <v>4500</v>
      </c>
      <c r="I19" s="45">
        <v>20</v>
      </c>
      <c r="J19" s="29">
        <f t="shared" si="0"/>
        <v>90000</v>
      </c>
      <c r="K19" s="45">
        <v>25</v>
      </c>
      <c r="L19" s="29">
        <f t="shared" si="0"/>
        <v>112500</v>
      </c>
      <c r="M19" s="45">
        <v>10</v>
      </c>
      <c r="N19" s="29">
        <f t="shared" si="0"/>
        <v>45000</v>
      </c>
      <c r="P19" s="66"/>
      <c r="Q19" s="66"/>
      <c r="R19" s="66"/>
      <c r="S19" s="66"/>
    </row>
    <row r="20" spans="1:19" s="65" customFormat="1" x14ac:dyDescent="0.25">
      <c r="A20" s="49" t="s">
        <v>619</v>
      </c>
      <c r="B20" s="42"/>
      <c r="C20" s="42"/>
      <c r="D20" s="42" t="s">
        <v>592</v>
      </c>
      <c r="E20" s="42"/>
      <c r="F20" s="42"/>
      <c r="G20" s="45" t="s">
        <v>14</v>
      </c>
      <c r="H20" s="29">
        <v>7600</v>
      </c>
      <c r="I20" s="45">
        <v>15</v>
      </c>
      <c r="J20" s="29">
        <f t="shared" si="0"/>
        <v>114000</v>
      </c>
      <c r="K20" s="45">
        <v>17</v>
      </c>
      <c r="L20" s="29">
        <f t="shared" si="0"/>
        <v>129200</v>
      </c>
      <c r="M20" s="45">
        <v>30</v>
      </c>
      <c r="N20" s="29">
        <f t="shared" si="0"/>
        <v>228000</v>
      </c>
      <c r="P20" s="66"/>
      <c r="Q20" s="66"/>
      <c r="R20" s="66"/>
      <c r="S20" s="66"/>
    </row>
    <row r="21" spans="1:19" s="65" customFormat="1" x14ac:dyDescent="0.25">
      <c r="A21" s="63" t="s">
        <v>620</v>
      </c>
      <c r="B21" s="22"/>
      <c r="C21" s="22" t="s">
        <v>573</v>
      </c>
      <c r="D21" s="22"/>
      <c r="E21" s="22"/>
      <c r="F21" s="22"/>
      <c r="G21" s="64"/>
      <c r="H21" s="24"/>
      <c r="I21" s="64"/>
      <c r="J21" s="24" t="str">
        <f t="shared" si="0"/>
        <v/>
      </c>
      <c r="K21" s="64"/>
      <c r="L21" s="24" t="str">
        <f t="shared" si="0"/>
        <v/>
      </c>
      <c r="M21" s="64"/>
      <c r="N21" s="24" t="str">
        <f t="shared" si="0"/>
        <v/>
      </c>
      <c r="P21" s="66"/>
      <c r="Q21" s="66"/>
      <c r="R21" s="66"/>
      <c r="S21" s="66"/>
    </row>
    <row r="22" spans="1:19" s="65" customFormat="1" collapsed="1" x14ac:dyDescent="0.25">
      <c r="A22" s="49" t="s">
        <v>621</v>
      </c>
      <c r="B22" s="42"/>
      <c r="C22" s="42"/>
      <c r="D22" s="42" t="s">
        <v>591</v>
      </c>
      <c r="E22" s="42"/>
      <c r="F22" s="42"/>
      <c r="G22" s="45" t="s">
        <v>14</v>
      </c>
      <c r="H22" s="29">
        <v>1700</v>
      </c>
      <c r="I22" s="45">
        <v>15</v>
      </c>
      <c r="J22" s="29">
        <f t="shared" si="0"/>
        <v>25500</v>
      </c>
      <c r="K22" s="45">
        <v>13</v>
      </c>
      <c r="L22" s="29">
        <f t="shared" si="0"/>
        <v>22100</v>
      </c>
      <c r="M22" s="45">
        <v>10</v>
      </c>
      <c r="N22" s="29">
        <f t="shared" si="0"/>
        <v>17000</v>
      </c>
      <c r="P22" s="66"/>
      <c r="Q22" s="66"/>
      <c r="R22" s="66"/>
      <c r="S22" s="66"/>
    </row>
    <row r="23" spans="1:19" s="65" customFormat="1" x14ac:dyDescent="0.25">
      <c r="A23" s="49" t="s">
        <v>622</v>
      </c>
      <c r="B23" s="42"/>
      <c r="C23" s="42"/>
      <c r="D23" s="42" t="s">
        <v>606</v>
      </c>
      <c r="E23" s="42"/>
      <c r="F23" s="42"/>
      <c r="G23" s="45" t="s">
        <v>14</v>
      </c>
      <c r="H23" s="29">
        <v>3100</v>
      </c>
      <c r="I23" s="45">
        <v>20</v>
      </c>
      <c r="J23" s="29">
        <f t="shared" si="0"/>
        <v>62000</v>
      </c>
      <c r="K23" s="45">
        <v>25</v>
      </c>
      <c r="L23" s="29">
        <f t="shared" si="0"/>
        <v>77500</v>
      </c>
      <c r="M23" s="45">
        <v>10</v>
      </c>
      <c r="N23" s="29">
        <f t="shared" si="0"/>
        <v>31000</v>
      </c>
      <c r="P23" s="66"/>
      <c r="Q23" s="66"/>
      <c r="R23" s="66"/>
      <c r="S23" s="66"/>
    </row>
    <row r="24" spans="1:19" s="65" customFormat="1" x14ac:dyDescent="0.25">
      <c r="A24" s="49" t="s">
        <v>623</v>
      </c>
      <c r="B24" s="42"/>
      <c r="C24" s="42"/>
      <c r="D24" s="42" t="s">
        <v>592</v>
      </c>
      <c r="E24" s="42"/>
      <c r="F24" s="42"/>
      <c r="G24" s="45" t="s">
        <v>14</v>
      </c>
      <c r="H24" s="29">
        <v>4100</v>
      </c>
      <c r="I24" s="45">
        <v>15</v>
      </c>
      <c r="J24" s="29">
        <f t="shared" si="0"/>
        <v>61500</v>
      </c>
      <c r="K24" s="45">
        <v>17</v>
      </c>
      <c r="L24" s="29">
        <f t="shared" si="0"/>
        <v>69700</v>
      </c>
      <c r="M24" s="45">
        <v>30</v>
      </c>
      <c r="N24" s="29">
        <f t="shared" si="0"/>
        <v>123000</v>
      </c>
      <c r="P24" s="66"/>
      <c r="Q24" s="66"/>
      <c r="R24" s="66"/>
      <c r="S24" s="66"/>
    </row>
    <row r="25" spans="1:19" s="65" customFormat="1" x14ac:dyDescent="0.25">
      <c r="A25" s="63" t="s">
        <v>624</v>
      </c>
      <c r="B25" s="22"/>
      <c r="C25" s="22" t="s">
        <v>16</v>
      </c>
      <c r="D25" s="22"/>
      <c r="E25" s="22"/>
      <c r="F25" s="22"/>
      <c r="G25" s="64"/>
      <c r="H25" s="24"/>
      <c r="I25" s="64"/>
      <c r="J25" s="24" t="str">
        <f t="shared" ref="J25:J28" si="1">IF($H25*I25=0,"",$H25*I25)</f>
        <v/>
      </c>
      <c r="K25" s="64"/>
      <c r="L25" s="24" t="str">
        <f t="shared" ref="L25:N29" si="2">IF($H25*K25=0,"",$H25*K25)</f>
        <v/>
      </c>
      <c r="M25" s="64"/>
      <c r="N25" s="24" t="str">
        <f t="shared" si="2"/>
        <v/>
      </c>
      <c r="P25" s="66"/>
      <c r="Q25" s="66"/>
      <c r="R25" s="66"/>
      <c r="S25" s="66"/>
    </row>
    <row r="26" spans="1:19" s="65" customFormat="1" collapsed="1" x14ac:dyDescent="0.25">
      <c r="A26" s="49" t="s">
        <v>625</v>
      </c>
      <c r="B26" s="42"/>
      <c r="C26" s="42"/>
      <c r="D26" s="42" t="s">
        <v>591</v>
      </c>
      <c r="E26" s="42"/>
      <c r="F26" s="42"/>
      <c r="G26" s="45" t="s">
        <v>14</v>
      </c>
      <c r="H26" s="29">
        <v>1020</v>
      </c>
      <c r="I26" s="45">
        <v>15</v>
      </c>
      <c r="J26" s="29">
        <f t="shared" si="1"/>
        <v>15300</v>
      </c>
      <c r="K26" s="45">
        <v>13</v>
      </c>
      <c r="L26" s="29">
        <f t="shared" si="2"/>
        <v>13260</v>
      </c>
      <c r="M26" s="45">
        <v>10</v>
      </c>
      <c r="N26" s="29">
        <f t="shared" si="2"/>
        <v>10200</v>
      </c>
      <c r="P26" s="66"/>
      <c r="Q26" s="66"/>
      <c r="R26" s="66"/>
      <c r="S26" s="66"/>
    </row>
    <row r="27" spans="1:19" s="65" customFormat="1" x14ac:dyDescent="0.25">
      <c r="A27" s="49" t="s">
        <v>626</v>
      </c>
      <c r="B27" s="42"/>
      <c r="C27" s="42"/>
      <c r="D27" s="42" t="s">
        <v>606</v>
      </c>
      <c r="E27" s="42"/>
      <c r="F27" s="42"/>
      <c r="G27" s="45" t="s">
        <v>14</v>
      </c>
      <c r="H27" s="29">
        <v>2040</v>
      </c>
      <c r="I27" s="45">
        <v>20</v>
      </c>
      <c r="J27" s="29">
        <f t="shared" si="1"/>
        <v>40800</v>
      </c>
      <c r="K27" s="45">
        <v>25</v>
      </c>
      <c r="L27" s="29">
        <f t="shared" si="2"/>
        <v>51000</v>
      </c>
      <c r="M27" s="45">
        <v>10</v>
      </c>
      <c r="N27" s="29">
        <f t="shared" si="2"/>
        <v>20400</v>
      </c>
      <c r="P27" s="66"/>
      <c r="Q27" s="66"/>
      <c r="R27" s="66"/>
      <c r="S27" s="66"/>
    </row>
    <row r="28" spans="1:19" s="65" customFormat="1" x14ac:dyDescent="0.25">
      <c r="A28" s="49" t="s">
        <v>627</v>
      </c>
      <c r="B28" s="42"/>
      <c r="C28" s="42"/>
      <c r="D28" s="42" t="s">
        <v>592</v>
      </c>
      <c r="E28" s="42"/>
      <c r="F28" s="42"/>
      <c r="G28" s="45" t="s">
        <v>14</v>
      </c>
      <c r="H28" s="29">
        <v>3100</v>
      </c>
      <c r="I28" s="45">
        <v>15</v>
      </c>
      <c r="J28" s="29">
        <f t="shared" si="1"/>
        <v>46500</v>
      </c>
      <c r="K28" s="45">
        <v>17</v>
      </c>
      <c r="L28" s="29">
        <f t="shared" si="2"/>
        <v>52700</v>
      </c>
      <c r="M28" s="45">
        <v>30</v>
      </c>
      <c r="N28" s="29">
        <f t="shared" si="2"/>
        <v>93000</v>
      </c>
      <c r="P28" s="66"/>
      <c r="Q28" s="66"/>
      <c r="R28" s="66"/>
      <c r="S28" s="66"/>
    </row>
    <row r="29" spans="1:19" s="65" customFormat="1" x14ac:dyDescent="0.25">
      <c r="A29" s="63" t="s">
        <v>628</v>
      </c>
      <c r="B29" s="22"/>
      <c r="C29" s="22" t="s">
        <v>605</v>
      </c>
      <c r="D29" s="22"/>
      <c r="E29" s="22"/>
      <c r="F29" s="22"/>
      <c r="G29" s="64"/>
      <c r="H29" s="24"/>
      <c r="I29" s="64"/>
      <c r="J29" s="24"/>
      <c r="K29" s="64"/>
      <c r="L29" s="24"/>
      <c r="M29" s="64"/>
      <c r="N29" s="24" t="str">
        <f t="shared" si="2"/>
        <v/>
      </c>
      <c r="P29" s="66"/>
      <c r="Q29" s="66"/>
      <c r="R29" s="66"/>
      <c r="S29" s="66"/>
    </row>
    <row r="30" spans="1:19" s="65" customFormat="1" collapsed="1" x14ac:dyDescent="0.25">
      <c r="A30" s="49" t="s">
        <v>629</v>
      </c>
      <c r="B30" s="42"/>
      <c r="C30" s="42"/>
      <c r="D30" s="42" t="s">
        <v>591</v>
      </c>
      <c r="E30" s="42"/>
      <c r="F30" s="42"/>
      <c r="G30" s="45" t="s">
        <v>14</v>
      </c>
      <c r="H30" s="29">
        <v>1200</v>
      </c>
      <c r="I30" s="45">
        <v>15</v>
      </c>
      <c r="J30" s="29">
        <f t="shared" ref="J30:J32" si="3">IF($H30*I30=0,"",$H30*I30)</f>
        <v>18000</v>
      </c>
      <c r="K30" s="45">
        <v>13</v>
      </c>
      <c r="L30" s="29">
        <f t="shared" ref="L30:L32" si="4">IF($H30*K30=0,"",$H30*K30)</f>
        <v>15600</v>
      </c>
      <c r="M30" s="45">
        <v>10</v>
      </c>
      <c r="N30" s="29">
        <f t="shared" ref="N30:N32" si="5">IF($H30*M30=0,"",$H30*M30)</f>
        <v>12000</v>
      </c>
      <c r="P30" s="66"/>
      <c r="Q30" s="66"/>
      <c r="R30" s="66"/>
      <c r="S30" s="66"/>
    </row>
    <row r="31" spans="1:19" s="65" customFormat="1" x14ac:dyDescent="0.25">
      <c r="A31" s="49" t="s">
        <v>630</v>
      </c>
      <c r="B31" s="42"/>
      <c r="C31" s="42"/>
      <c r="D31" s="42" t="s">
        <v>606</v>
      </c>
      <c r="E31" s="42"/>
      <c r="F31" s="42"/>
      <c r="G31" s="45" t="s">
        <v>14</v>
      </c>
      <c r="H31" s="29">
        <v>2500</v>
      </c>
      <c r="I31" s="45">
        <v>20</v>
      </c>
      <c r="J31" s="29">
        <f t="shared" si="3"/>
        <v>50000</v>
      </c>
      <c r="K31" s="45">
        <v>25</v>
      </c>
      <c r="L31" s="29">
        <f t="shared" si="4"/>
        <v>62500</v>
      </c>
      <c r="M31" s="45">
        <v>10</v>
      </c>
      <c r="N31" s="29">
        <f t="shared" si="5"/>
        <v>25000</v>
      </c>
      <c r="P31" s="66"/>
      <c r="Q31" s="66"/>
      <c r="R31" s="66"/>
      <c r="S31" s="66"/>
    </row>
    <row r="32" spans="1:19" s="65" customFormat="1" x14ac:dyDescent="0.25">
      <c r="A32" s="49" t="s">
        <v>631</v>
      </c>
      <c r="B32" s="42"/>
      <c r="C32" s="42"/>
      <c r="D32" s="42" t="s">
        <v>592</v>
      </c>
      <c r="E32" s="42"/>
      <c r="F32" s="42"/>
      <c r="G32" s="45" t="s">
        <v>14</v>
      </c>
      <c r="H32" s="29">
        <v>3600</v>
      </c>
      <c r="I32" s="45">
        <v>15</v>
      </c>
      <c r="J32" s="29">
        <f t="shared" si="3"/>
        <v>54000</v>
      </c>
      <c r="K32" s="45">
        <v>17</v>
      </c>
      <c r="L32" s="29">
        <f t="shared" si="4"/>
        <v>61200</v>
      </c>
      <c r="M32" s="45">
        <v>30</v>
      </c>
      <c r="N32" s="29">
        <f t="shared" si="5"/>
        <v>108000</v>
      </c>
      <c r="P32" s="66"/>
      <c r="Q32" s="66"/>
      <c r="R32" s="66"/>
      <c r="S32" s="66"/>
    </row>
    <row r="33" spans="1:20" x14ac:dyDescent="0.25">
      <c r="A33" s="20" t="s">
        <v>632</v>
      </c>
      <c r="B33" s="21"/>
      <c r="C33" s="22" t="s">
        <v>593</v>
      </c>
      <c r="D33" s="21"/>
      <c r="E33" s="21"/>
      <c r="F33" s="21"/>
      <c r="G33" s="23" t="s">
        <v>14</v>
      </c>
      <c r="H33" s="25">
        <v>1100</v>
      </c>
      <c r="I33" s="23">
        <v>90</v>
      </c>
      <c r="J33" s="25">
        <f t="shared" ref="J33" si="6">IF($H33*I33=0,"",$H33*I33)</f>
        <v>99000</v>
      </c>
      <c r="K33" s="23">
        <v>50</v>
      </c>
      <c r="L33" s="25">
        <f t="shared" ref="L33:N33" si="7">IF($H33*K33=0,"",$H33*K33)</f>
        <v>55000</v>
      </c>
      <c r="M33" s="23">
        <v>30</v>
      </c>
      <c r="N33" s="25">
        <f t="shared" si="7"/>
        <v>33000</v>
      </c>
    </row>
    <row r="34" spans="1:20" ht="16.5" x14ac:dyDescent="0.25">
      <c r="A34" s="14">
        <v>1</v>
      </c>
      <c r="B34" s="15" t="s">
        <v>511</v>
      </c>
      <c r="C34" s="15"/>
      <c r="D34" s="16"/>
      <c r="E34" s="16"/>
      <c r="F34" s="16"/>
      <c r="G34" s="16"/>
      <c r="H34" s="17"/>
      <c r="I34" s="16"/>
      <c r="J34" s="18">
        <f>SUM(J36:J48)</f>
        <v>45257.8</v>
      </c>
      <c r="K34" s="16"/>
      <c r="L34" s="18">
        <f>SUM(L36:L48)</f>
        <v>46877.4</v>
      </c>
      <c r="M34" s="16"/>
      <c r="N34" s="18">
        <f>SUM(N36:N48)</f>
        <v>52556.800000000003</v>
      </c>
      <c r="T34" s="19"/>
    </row>
    <row r="35" spans="1:20" x14ac:dyDescent="0.25">
      <c r="A35" s="20" t="s">
        <v>633</v>
      </c>
      <c r="B35" s="21"/>
      <c r="C35" s="22" t="s">
        <v>510</v>
      </c>
      <c r="D35" s="21"/>
      <c r="E35" s="21"/>
      <c r="F35" s="21"/>
      <c r="G35" s="23"/>
      <c r="H35" s="24"/>
      <c r="I35" s="23"/>
      <c r="J35" s="25" t="str">
        <f t="shared" ref="J35:J39" si="8">IF($H35*I35=0,"",$H35*I35)</f>
        <v/>
      </c>
      <c r="K35" s="23"/>
      <c r="L35" s="25" t="str">
        <f t="shared" ref="L35:N39" si="9">IF($H35*K35=0,"",$H35*K35)</f>
        <v/>
      </c>
      <c r="M35" s="23"/>
      <c r="N35" s="25" t="str">
        <f t="shared" si="9"/>
        <v/>
      </c>
    </row>
    <row r="36" spans="1:20" collapsed="1" x14ac:dyDescent="0.25">
      <c r="A36" s="26" t="s">
        <v>634</v>
      </c>
      <c r="B36" s="27"/>
      <c r="C36" s="27"/>
      <c r="D36" s="27" t="s">
        <v>17</v>
      </c>
      <c r="E36" s="27"/>
      <c r="F36" s="27"/>
      <c r="G36" s="34" t="s">
        <v>18</v>
      </c>
      <c r="H36" s="35">
        <v>10.098000000000001</v>
      </c>
      <c r="I36" s="34">
        <v>550</v>
      </c>
      <c r="J36" s="32">
        <f t="shared" si="8"/>
        <v>5553.9000000000005</v>
      </c>
      <c r="K36" s="34">
        <v>650</v>
      </c>
      <c r="L36" s="32">
        <f t="shared" si="9"/>
        <v>6563.7000000000007</v>
      </c>
      <c r="M36" s="34">
        <v>800</v>
      </c>
      <c r="N36" s="32">
        <f t="shared" si="9"/>
        <v>8078.4000000000005</v>
      </c>
    </row>
    <row r="37" spans="1:20" ht="16.350000000000001" customHeight="1" x14ac:dyDescent="0.25">
      <c r="A37" s="26" t="s">
        <v>635</v>
      </c>
      <c r="B37" s="33"/>
      <c r="C37" s="33"/>
      <c r="D37" s="27" t="s">
        <v>19</v>
      </c>
      <c r="E37" s="33"/>
      <c r="F37" s="33"/>
      <c r="G37" s="34" t="s">
        <v>533</v>
      </c>
      <c r="H37" s="35">
        <v>0.5</v>
      </c>
      <c r="I37" s="34">
        <v>4400</v>
      </c>
      <c r="J37" s="36">
        <f t="shared" si="8"/>
        <v>2200</v>
      </c>
      <c r="K37" s="34">
        <v>5200</v>
      </c>
      <c r="L37" s="36">
        <f t="shared" si="9"/>
        <v>2600</v>
      </c>
      <c r="M37" s="34">
        <v>6400</v>
      </c>
      <c r="N37" s="36">
        <f t="shared" si="9"/>
        <v>3200</v>
      </c>
    </row>
    <row r="38" spans="1:20" ht="16.350000000000001" customHeight="1" x14ac:dyDescent="0.25">
      <c r="A38" s="26" t="s">
        <v>636</v>
      </c>
      <c r="B38" s="33"/>
      <c r="C38" s="33"/>
      <c r="D38" s="27" t="s">
        <v>574</v>
      </c>
      <c r="E38" s="33"/>
      <c r="F38" s="33"/>
      <c r="G38" s="34" t="s">
        <v>18</v>
      </c>
      <c r="H38" s="35">
        <v>15</v>
      </c>
      <c r="I38" s="34">
        <v>550</v>
      </c>
      <c r="J38" s="36">
        <f t="shared" si="8"/>
        <v>8250</v>
      </c>
      <c r="K38" s="34">
        <v>650</v>
      </c>
      <c r="L38" s="36">
        <f t="shared" si="9"/>
        <v>9750</v>
      </c>
      <c r="M38" s="34">
        <v>800</v>
      </c>
      <c r="N38" s="36">
        <f t="shared" si="9"/>
        <v>12000</v>
      </c>
    </row>
    <row r="39" spans="1:20" ht="16.350000000000001" customHeight="1" x14ac:dyDescent="0.25">
      <c r="A39" s="26" t="s">
        <v>637</v>
      </c>
      <c r="B39" s="33"/>
      <c r="C39" s="33"/>
      <c r="D39" s="27" t="s">
        <v>20</v>
      </c>
      <c r="E39" s="33"/>
      <c r="F39" s="33"/>
      <c r="G39" s="34" t="s">
        <v>18</v>
      </c>
      <c r="H39" s="35">
        <v>10.098000000000001</v>
      </c>
      <c r="I39" s="34">
        <v>550</v>
      </c>
      <c r="J39" s="36">
        <f t="shared" si="8"/>
        <v>5553.9000000000005</v>
      </c>
      <c r="K39" s="34">
        <v>650</v>
      </c>
      <c r="L39" s="36">
        <f t="shared" si="9"/>
        <v>6563.7000000000007</v>
      </c>
      <c r="M39" s="34">
        <v>800</v>
      </c>
      <c r="N39" s="36">
        <f t="shared" si="9"/>
        <v>8078.4000000000005</v>
      </c>
    </row>
    <row r="40" spans="1:20" x14ac:dyDescent="0.25">
      <c r="A40" s="20" t="s">
        <v>638</v>
      </c>
      <c r="B40" s="21"/>
      <c r="C40" s="22" t="s">
        <v>512</v>
      </c>
      <c r="D40" s="21"/>
      <c r="E40" s="21"/>
      <c r="F40" s="21"/>
      <c r="G40" s="23"/>
      <c r="H40" s="24"/>
      <c r="I40" s="23"/>
      <c r="J40" s="25" t="str">
        <f t="shared" ref="J40:N48" si="10">IF($H40*I40=0,"",$H40*I40)</f>
        <v/>
      </c>
      <c r="K40" s="23"/>
      <c r="L40" s="25" t="str">
        <f t="shared" si="10"/>
        <v/>
      </c>
      <c r="M40" s="23"/>
      <c r="N40" s="25" t="str">
        <f t="shared" si="10"/>
        <v/>
      </c>
    </row>
    <row r="41" spans="1:20" ht="16.350000000000001" customHeight="1" x14ac:dyDescent="0.25">
      <c r="A41" s="26" t="s">
        <v>639</v>
      </c>
      <c r="B41" s="33"/>
      <c r="C41" s="33"/>
      <c r="D41" s="27" t="s">
        <v>513</v>
      </c>
      <c r="E41" s="33"/>
      <c r="F41" s="33"/>
      <c r="G41" s="34" t="s">
        <v>18</v>
      </c>
      <c r="H41" s="35">
        <v>11</v>
      </c>
      <c r="I41" s="34">
        <v>300</v>
      </c>
      <c r="J41" s="36">
        <f t="shared" si="10"/>
        <v>3300</v>
      </c>
      <c r="K41" s="34">
        <v>200</v>
      </c>
      <c r="L41" s="36">
        <f t="shared" si="10"/>
        <v>2200</v>
      </c>
      <c r="M41" s="34">
        <v>100</v>
      </c>
      <c r="N41" s="36">
        <f t="shared" si="10"/>
        <v>1100</v>
      </c>
    </row>
    <row r="42" spans="1:20" ht="16.350000000000001" customHeight="1" x14ac:dyDescent="0.25">
      <c r="A42" s="26" t="s">
        <v>640</v>
      </c>
      <c r="B42" s="33"/>
      <c r="C42" s="33"/>
      <c r="D42" s="27" t="s">
        <v>514</v>
      </c>
      <c r="E42" s="33"/>
      <c r="F42" s="33"/>
      <c r="G42" s="34" t="s">
        <v>533</v>
      </c>
      <c r="H42" s="35">
        <v>0.5</v>
      </c>
      <c r="I42" s="34">
        <v>3600</v>
      </c>
      <c r="J42" s="36">
        <f t="shared" si="10"/>
        <v>1800</v>
      </c>
      <c r="K42" s="34">
        <v>2400</v>
      </c>
      <c r="L42" s="36">
        <f t="shared" si="10"/>
        <v>1200</v>
      </c>
      <c r="M42" s="34">
        <v>1200</v>
      </c>
      <c r="N42" s="36">
        <f t="shared" si="10"/>
        <v>600</v>
      </c>
    </row>
    <row r="43" spans="1:20" ht="16.350000000000001" customHeight="1" x14ac:dyDescent="0.25">
      <c r="A43" s="26" t="s">
        <v>641</v>
      </c>
      <c r="B43" s="33"/>
      <c r="C43" s="33"/>
      <c r="D43" s="27" t="s">
        <v>515</v>
      </c>
      <c r="E43" s="33"/>
      <c r="F43" s="33"/>
      <c r="G43" s="34" t="s">
        <v>18</v>
      </c>
      <c r="H43" s="35">
        <v>16</v>
      </c>
      <c r="I43" s="34">
        <v>300</v>
      </c>
      <c r="J43" s="36">
        <f t="shared" si="10"/>
        <v>4800</v>
      </c>
      <c r="K43" s="34">
        <v>200</v>
      </c>
      <c r="L43" s="36">
        <f t="shared" si="10"/>
        <v>3200</v>
      </c>
      <c r="M43" s="34">
        <v>100</v>
      </c>
      <c r="N43" s="36">
        <f t="shared" si="10"/>
        <v>1600</v>
      </c>
    </row>
    <row r="44" spans="1:20" ht="16.350000000000001" customHeight="1" x14ac:dyDescent="0.25">
      <c r="A44" s="26" t="s">
        <v>642</v>
      </c>
      <c r="B44" s="33"/>
      <c r="C44" s="33"/>
      <c r="D44" s="27" t="s">
        <v>516</v>
      </c>
      <c r="E44" s="33"/>
      <c r="F44" s="33"/>
      <c r="G44" s="34" t="s">
        <v>18</v>
      </c>
      <c r="H44" s="35">
        <v>11</v>
      </c>
      <c r="I44" s="34">
        <v>300</v>
      </c>
      <c r="J44" s="36">
        <f t="shared" si="10"/>
        <v>3300</v>
      </c>
      <c r="K44" s="34">
        <v>200</v>
      </c>
      <c r="L44" s="36">
        <f t="shared" si="10"/>
        <v>2200</v>
      </c>
      <c r="M44" s="34">
        <v>100</v>
      </c>
      <c r="N44" s="36">
        <f t="shared" si="10"/>
        <v>1100</v>
      </c>
    </row>
    <row r="45" spans="1:20" ht="16.350000000000001" customHeight="1" x14ac:dyDescent="0.25">
      <c r="A45" s="26" t="s">
        <v>643</v>
      </c>
      <c r="B45" s="33"/>
      <c r="C45" s="33"/>
      <c r="D45" s="27" t="s">
        <v>517</v>
      </c>
      <c r="E45" s="33"/>
      <c r="F45" s="33"/>
      <c r="G45" s="34" t="s">
        <v>18</v>
      </c>
      <c r="H45" s="35">
        <v>11</v>
      </c>
      <c r="I45" s="34">
        <v>250</v>
      </c>
      <c r="J45" s="36">
        <f t="shared" si="10"/>
        <v>2750</v>
      </c>
      <c r="K45" s="34">
        <v>300</v>
      </c>
      <c r="L45" s="36">
        <f t="shared" si="10"/>
        <v>3300</v>
      </c>
      <c r="M45" s="34">
        <v>400</v>
      </c>
      <c r="N45" s="36">
        <f t="shared" si="10"/>
        <v>4400</v>
      </c>
    </row>
    <row r="46" spans="1:20" ht="16.350000000000001" customHeight="1" x14ac:dyDescent="0.25">
      <c r="A46" s="26" t="s">
        <v>644</v>
      </c>
      <c r="B46" s="33"/>
      <c r="C46" s="33"/>
      <c r="D46" s="27" t="s">
        <v>518</v>
      </c>
      <c r="E46" s="33"/>
      <c r="F46" s="33"/>
      <c r="G46" s="34" t="s">
        <v>533</v>
      </c>
      <c r="H46" s="35">
        <v>0.5</v>
      </c>
      <c r="I46" s="34">
        <v>2000</v>
      </c>
      <c r="J46" s="36">
        <f t="shared" si="10"/>
        <v>1000</v>
      </c>
      <c r="K46" s="34">
        <v>2400</v>
      </c>
      <c r="L46" s="36">
        <f t="shared" si="10"/>
        <v>1200</v>
      </c>
      <c r="M46" s="34">
        <v>3200</v>
      </c>
      <c r="N46" s="36">
        <f t="shared" si="10"/>
        <v>1600</v>
      </c>
    </row>
    <row r="47" spans="1:20" ht="16.350000000000001" customHeight="1" x14ac:dyDescent="0.25">
      <c r="A47" s="26" t="s">
        <v>645</v>
      </c>
      <c r="B47" s="33"/>
      <c r="C47" s="33"/>
      <c r="D47" s="27" t="s">
        <v>519</v>
      </c>
      <c r="E47" s="33"/>
      <c r="F47" s="33"/>
      <c r="G47" s="34" t="s">
        <v>18</v>
      </c>
      <c r="H47" s="35">
        <v>16</v>
      </c>
      <c r="I47" s="34">
        <v>250</v>
      </c>
      <c r="J47" s="36">
        <f t="shared" si="10"/>
        <v>4000</v>
      </c>
      <c r="K47" s="34">
        <v>300</v>
      </c>
      <c r="L47" s="36">
        <f t="shared" si="10"/>
        <v>4800</v>
      </c>
      <c r="M47" s="34">
        <v>400</v>
      </c>
      <c r="N47" s="36">
        <f t="shared" si="10"/>
        <v>6400</v>
      </c>
    </row>
    <row r="48" spans="1:20" ht="16.350000000000001" customHeight="1" x14ac:dyDescent="0.25">
      <c r="A48" s="26" t="s">
        <v>646</v>
      </c>
      <c r="B48" s="33"/>
      <c r="C48" s="33"/>
      <c r="D48" s="27" t="s">
        <v>520</v>
      </c>
      <c r="E48" s="33"/>
      <c r="F48" s="33"/>
      <c r="G48" s="34" t="s">
        <v>18</v>
      </c>
      <c r="H48" s="35">
        <v>11</v>
      </c>
      <c r="I48" s="34">
        <v>250</v>
      </c>
      <c r="J48" s="36">
        <f t="shared" si="10"/>
        <v>2750</v>
      </c>
      <c r="K48" s="34">
        <v>300</v>
      </c>
      <c r="L48" s="36">
        <f t="shared" si="10"/>
        <v>3300</v>
      </c>
      <c r="M48" s="34">
        <v>400</v>
      </c>
      <c r="N48" s="36">
        <f t="shared" si="10"/>
        <v>4400</v>
      </c>
    </row>
    <row r="49" spans="1:14" ht="16.5" collapsed="1" x14ac:dyDescent="0.25">
      <c r="A49" s="14">
        <v>2</v>
      </c>
      <c r="B49" s="15" t="s">
        <v>21</v>
      </c>
      <c r="C49" s="15"/>
      <c r="D49" s="16"/>
      <c r="E49" s="16"/>
      <c r="F49" s="16"/>
      <c r="G49" s="16"/>
      <c r="H49" s="17"/>
      <c r="I49" s="16"/>
      <c r="J49" s="18">
        <f>SUM(J50:J177)</f>
        <v>1107936</v>
      </c>
      <c r="K49" s="16"/>
      <c r="L49" s="18">
        <f>SUM(L50:L177)</f>
        <v>1210602</v>
      </c>
      <c r="M49" s="16"/>
      <c r="N49" s="18">
        <f>SUM(N50:N177)</f>
        <v>1195275</v>
      </c>
    </row>
    <row r="50" spans="1:14" x14ac:dyDescent="0.25">
      <c r="A50" s="20" t="s">
        <v>647</v>
      </c>
      <c r="B50" s="21"/>
      <c r="C50" s="22" t="s">
        <v>22</v>
      </c>
      <c r="D50" s="21"/>
      <c r="E50" s="21"/>
      <c r="F50" s="21"/>
      <c r="G50" s="23" t="s">
        <v>23</v>
      </c>
      <c r="H50" s="25">
        <v>2.1</v>
      </c>
      <c r="I50" s="23">
        <v>5000</v>
      </c>
      <c r="J50" s="25">
        <f>IF($H50*I50=0,"",$H50*I50)</f>
        <v>10500</v>
      </c>
      <c r="K50" s="23">
        <v>1500</v>
      </c>
      <c r="L50" s="25">
        <f t="shared" ref="J50:N68" si="11">IF($H50*K50=0,"",$H50*K50)</f>
        <v>3150</v>
      </c>
      <c r="M50" s="23">
        <v>6000</v>
      </c>
      <c r="N50" s="25">
        <f t="shared" si="11"/>
        <v>12600</v>
      </c>
    </row>
    <row r="51" spans="1:14" x14ac:dyDescent="0.25">
      <c r="A51" s="20" t="s">
        <v>648</v>
      </c>
      <c r="B51" s="21"/>
      <c r="C51" s="22" t="s">
        <v>24</v>
      </c>
      <c r="D51" s="21"/>
      <c r="E51" s="21"/>
      <c r="F51" s="21"/>
      <c r="G51" s="23" t="s">
        <v>18</v>
      </c>
      <c r="H51" s="25">
        <v>23</v>
      </c>
      <c r="I51" s="23">
        <v>1000</v>
      </c>
      <c r="J51" s="25">
        <f t="shared" si="11"/>
        <v>23000</v>
      </c>
      <c r="K51" s="23">
        <v>1800</v>
      </c>
      <c r="L51" s="25">
        <f t="shared" si="11"/>
        <v>41400</v>
      </c>
      <c r="M51" s="23">
        <v>1200</v>
      </c>
      <c r="N51" s="25">
        <f t="shared" si="11"/>
        <v>27600</v>
      </c>
    </row>
    <row r="52" spans="1:14" x14ac:dyDescent="0.25">
      <c r="A52" s="20" t="s">
        <v>649</v>
      </c>
      <c r="B52" s="21"/>
      <c r="C52" s="22" t="s">
        <v>25</v>
      </c>
      <c r="D52" s="21"/>
      <c r="E52" s="21"/>
      <c r="F52" s="21"/>
      <c r="G52" s="23"/>
      <c r="H52" s="24"/>
      <c r="I52" s="23"/>
      <c r="J52" s="25" t="str">
        <f t="shared" si="11"/>
        <v/>
      </c>
      <c r="K52" s="23"/>
      <c r="L52" s="25" t="str">
        <f t="shared" si="11"/>
        <v/>
      </c>
      <c r="M52" s="23"/>
      <c r="N52" s="25" t="str">
        <f t="shared" si="11"/>
        <v/>
      </c>
    </row>
    <row r="53" spans="1:14" collapsed="1" x14ac:dyDescent="0.25">
      <c r="A53" s="26" t="s">
        <v>650</v>
      </c>
      <c r="B53" s="27"/>
      <c r="C53" s="27"/>
      <c r="D53" s="27" t="s">
        <v>26</v>
      </c>
      <c r="E53" s="27"/>
      <c r="F53" s="27"/>
      <c r="G53" s="28" t="s">
        <v>27</v>
      </c>
      <c r="H53" s="29">
        <v>88</v>
      </c>
      <c r="I53" s="28">
        <v>40</v>
      </c>
      <c r="J53" s="30">
        <f t="shared" si="11"/>
        <v>3520</v>
      </c>
      <c r="K53" s="28">
        <v>40</v>
      </c>
      <c r="L53" s="30">
        <f t="shared" si="11"/>
        <v>3520</v>
      </c>
      <c r="M53" s="28">
        <v>10</v>
      </c>
      <c r="N53" s="30">
        <f t="shared" si="11"/>
        <v>880</v>
      </c>
    </row>
    <row r="54" spans="1:14" x14ac:dyDescent="0.25">
      <c r="A54" s="26" t="s">
        <v>651</v>
      </c>
      <c r="B54" s="27"/>
      <c r="C54" s="27"/>
      <c r="D54" s="27" t="s">
        <v>28</v>
      </c>
      <c r="E54" s="27"/>
      <c r="F54" s="27"/>
      <c r="G54" s="28" t="s">
        <v>27</v>
      </c>
      <c r="H54" s="29">
        <v>132</v>
      </c>
      <c r="I54" s="28">
        <v>20</v>
      </c>
      <c r="J54" s="30">
        <f t="shared" si="11"/>
        <v>2640</v>
      </c>
      <c r="K54" s="28">
        <v>10</v>
      </c>
      <c r="L54" s="30">
        <f t="shared" si="11"/>
        <v>1320</v>
      </c>
      <c r="M54" s="28">
        <v>40</v>
      </c>
      <c r="N54" s="30">
        <f t="shared" si="11"/>
        <v>5280</v>
      </c>
    </row>
    <row r="55" spans="1:14" x14ac:dyDescent="0.25">
      <c r="A55" s="26" t="s">
        <v>652</v>
      </c>
      <c r="B55" s="27"/>
      <c r="C55" s="27"/>
      <c r="D55" s="27" t="s">
        <v>29</v>
      </c>
      <c r="E55" s="27"/>
      <c r="F55" s="27"/>
      <c r="G55" s="28" t="s">
        <v>27</v>
      </c>
      <c r="H55" s="29">
        <v>193</v>
      </c>
      <c r="I55" s="28">
        <v>10</v>
      </c>
      <c r="J55" s="30">
        <f t="shared" si="11"/>
        <v>1930</v>
      </c>
      <c r="K55" s="28">
        <v>30</v>
      </c>
      <c r="L55" s="30">
        <f t="shared" si="11"/>
        <v>5790</v>
      </c>
      <c r="M55" s="28">
        <v>30</v>
      </c>
      <c r="N55" s="30">
        <f t="shared" si="11"/>
        <v>5790</v>
      </c>
    </row>
    <row r="56" spans="1:14" x14ac:dyDescent="0.25">
      <c r="A56" s="26" t="s">
        <v>653</v>
      </c>
      <c r="B56" s="27"/>
      <c r="C56" s="27"/>
      <c r="D56" s="27" t="s">
        <v>30</v>
      </c>
      <c r="E56" s="27"/>
      <c r="F56" s="27"/>
      <c r="G56" s="28" t="s">
        <v>27</v>
      </c>
      <c r="H56" s="29">
        <v>239</v>
      </c>
      <c r="I56" s="28">
        <v>40</v>
      </c>
      <c r="J56" s="30">
        <f t="shared" si="11"/>
        <v>9560</v>
      </c>
      <c r="K56" s="28">
        <v>20</v>
      </c>
      <c r="L56" s="30">
        <f t="shared" si="11"/>
        <v>4780</v>
      </c>
      <c r="M56" s="28">
        <v>30</v>
      </c>
      <c r="N56" s="30">
        <f t="shared" si="11"/>
        <v>7170</v>
      </c>
    </row>
    <row r="57" spans="1:14" x14ac:dyDescent="0.25">
      <c r="A57" s="20" t="s">
        <v>654</v>
      </c>
      <c r="B57" s="21"/>
      <c r="C57" s="22" t="s">
        <v>31</v>
      </c>
      <c r="D57" s="21"/>
      <c r="E57" s="21"/>
      <c r="F57" s="21"/>
      <c r="G57" s="23"/>
      <c r="H57" s="24"/>
      <c r="I57" s="23"/>
      <c r="J57" s="25" t="str">
        <f t="shared" si="11"/>
        <v/>
      </c>
      <c r="K57" s="23"/>
      <c r="L57" s="25" t="str">
        <f t="shared" si="11"/>
        <v/>
      </c>
      <c r="M57" s="23"/>
      <c r="N57" s="25" t="str">
        <f t="shared" si="11"/>
        <v/>
      </c>
    </row>
    <row r="58" spans="1:14" x14ac:dyDescent="0.25">
      <c r="A58" s="26" t="s">
        <v>655</v>
      </c>
      <c r="B58" s="27"/>
      <c r="C58" s="27"/>
      <c r="D58" s="27" t="s">
        <v>32</v>
      </c>
      <c r="E58" s="27"/>
      <c r="F58" s="27"/>
      <c r="G58" s="28" t="s">
        <v>27</v>
      </c>
      <c r="H58" s="29">
        <v>80</v>
      </c>
      <c r="I58" s="28">
        <v>70</v>
      </c>
      <c r="J58" s="30">
        <f t="shared" si="11"/>
        <v>5600</v>
      </c>
      <c r="K58" s="28">
        <v>100</v>
      </c>
      <c r="L58" s="30">
        <f t="shared" si="11"/>
        <v>8000</v>
      </c>
      <c r="M58" s="28">
        <v>150</v>
      </c>
      <c r="N58" s="30">
        <f t="shared" si="11"/>
        <v>12000</v>
      </c>
    </row>
    <row r="59" spans="1:14" x14ac:dyDescent="0.25">
      <c r="A59" s="26" t="s">
        <v>656</v>
      </c>
      <c r="B59" s="27"/>
      <c r="C59" s="27"/>
      <c r="D59" s="27" t="s">
        <v>33</v>
      </c>
      <c r="E59" s="27"/>
      <c r="F59" s="27"/>
      <c r="G59" s="28" t="s">
        <v>27</v>
      </c>
      <c r="H59" s="29">
        <v>495</v>
      </c>
      <c r="I59" s="28">
        <v>40</v>
      </c>
      <c r="J59" s="30">
        <f t="shared" si="11"/>
        <v>19800</v>
      </c>
      <c r="K59" s="28">
        <v>10</v>
      </c>
      <c r="L59" s="30">
        <f t="shared" si="11"/>
        <v>4950</v>
      </c>
      <c r="M59" s="28">
        <v>30</v>
      </c>
      <c r="N59" s="30">
        <f t="shared" si="11"/>
        <v>14850</v>
      </c>
    </row>
    <row r="60" spans="1:14" x14ac:dyDescent="0.25">
      <c r="A60" s="20" t="s">
        <v>657</v>
      </c>
      <c r="B60" s="21"/>
      <c r="C60" s="22" t="s">
        <v>34</v>
      </c>
      <c r="D60" s="21"/>
      <c r="E60" s="21"/>
      <c r="F60" s="21"/>
      <c r="G60" s="23"/>
      <c r="H60" s="24"/>
      <c r="I60" s="23"/>
      <c r="J60" s="25" t="str">
        <f t="shared" si="11"/>
        <v/>
      </c>
      <c r="K60" s="23"/>
      <c r="L60" s="25" t="str">
        <f t="shared" si="11"/>
        <v/>
      </c>
      <c r="M60" s="23"/>
      <c r="N60" s="25" t="str">
        <f t="shared" si="11"/>
        <v/>
      </c>
    </row>
    <row r="61" spans="1:14" collapsed="1" x14ac:dyDescent="0.25">
      <c r="A61" s="26" t="s">
        <v>658</v>
      </c>
      <c r="B61" s="27"/>
      <c r="C61" s="27"/>
      <c r="D61" s="27" t="s">
        <v>35</v>
      </c>
      <c r="E61" s="27"/>
      <c r="F61" s="27"/>
      <c r="G61" s="28"/>
      <c r="H61" s="29"/>
      <c r="I61" s="28"/>
      <c r="J61" s="30" t="str">
        <f t="shared" si="11"/>
        <v/>
      </c>
      <c r="K61" s="28"/>
      <c r="L61" s="30" t="str">
        <f t="shared" si="11"/>
        <v/>
      </c>
      <c r="M61" s="28"/>
      <c r="N61" s="30" t="str">
        <f t="shared" si="11"/>
        <v/>
      </c>
    </row>
    <row r="62" spans="1:14" x14ac:dyDescent="0.25">
      <c r="A62" s="37" t="s">
        <v>659</v>
      </c>
      <c r="B62" s="33"/>
      <c r="C62" s="33"/>
      <c r="D62" s="33"/>
      <c r="E62" s="33" t="s">
        <v>36</v>
      </c>
      <c r="F62" s="33"/>
      <c r="G62" s="34" t="s">
        <v>27</v>
      </c>
      <c r="H62" s="38">
        <v>400</v>
      </c>
      <c r="I62" s="34">
        <v>120</v>
      </c>
      <c r="J62" s="39">
        <f t="shared" si="11"/>
        <v>48000</v>
      </c>
      <c r="K62" s="34">
        <v>100</v>
      </c>
      <c r="L62" s="39">
        <f t="shared" si="11"/>
        <v>40000</v>
      </c>
      <c r="M62" s="34">
        <v>60</v>
      </c>
      <c r="N62" s="39">
        <f t="shared" si="11"/>
        <v>24000</v>
      </c>
    </row>
    <row r="63" spans="1:14" x14ac:dyDescent="0.25">
      <c r="A63" s="37" t="s">
        <v>660</v>
      </c>
      <c r="B63" s="33"/>
      <c r="C63" s="33"/>
      <c r="D63" s="33"/>
      <c r="E63" s="33" t="s">
        <v>37</v>
      </c>
      <c r="F63" s="33"/>
      <c r="G63" s="34" t="s">
        <v>27</v>
      </c>
      <c r="H63" s="38">
        <v>582</v>
      </c>
      <c r="I63" s="34">
        <v>30</v>
      </c>
      <c r="J63" s="39">
        <f t="shared" si="11"/>
        <v>17460</v>
      </c>
      <c r="K63" s="34">
        <v>20</v>
      </c>
      <c r="L63" s="39">
        <f t="shared" si="11"/>
        <v>11640</v>
      </c>
      <c r="M63" s="34">
        <v>40</v>
      </c>
      <c r="N63" s="39">
        <f t="shared" si="11"/>
        <v>23280</v>
      </c>
    </row>
    <row r="64" spans="1:14" x14ac:dyDescent="0.25">
      <c r="A64" s="37" t="s">
        <v>661</v>
      </c>
      <c r="B64" s="33"/>
      <c r="C64" s="33"/>
      <c r="D64" s="33"/>
      <c r="E64" s="33" t="s">
        <v>38</v>
      </c>
      <c r="F64" s="33"/>
      <c r="G64" s="34" t="s">
        <v>27</v>
      </c>
      <c r="H64" s="38">
        <v>1302</v>
      </c>
      <c r="I64" s="34">
        <v>20</v>
      </c>
      <c r="J64" s="39">
        <f t="shared" si="11"/>
        <v>26040</v>
      </c>
      <c r="K64" s="34">
        <v>40</v>
      </c>
      <c r="L64" s="39">
        <f t="shared" si="11"/>
        <v>52080</v>
      </c>
      <c r="M64" s="34">
        <v>40</v>
      </c>
      <c r="N64" s="39">
        <f t="shared" si="11"/>
        <v>52080</v>
      </c>
    </row>
    <row r="65" spans="1:14" x14ac:dyDescent="0.25">
      <c r="A65" s="26" t="s">
        <v>662</v>
      </c>
      <c r="B65" s="27"/>
      <c r="C65" s="27"/>
      <c r="D65" s="27" t="s">
        <v>39</v>
      </c>
      <c r="E65" s="27"/>
      <c r="F65" s="27"/>
      <c r="G65" s="28"/>
      <c r="H65" s="29"/>
      <c r="I65" s="28"/>
      <c r="J65" s="30" t="str">
        <f t="shared" si="11"/>
        <v/>
      </c>
      <c r="K65" s="28"/>
      <c r="L65" s="30" t="str">
        <f t="shared" si="11"/>
        <v/>
      </c>
      <c r="M65" s="28"/>
      <c r="N65" s="30" t="str">
        <f t="shared" si="11"/>
        <v/>
      </c>
    </row>
    <row r="66" spans="1:14" x14ac:dyDescent="0.25">
      <c r="A66" s="37" t="s">
        <v>663</v>
      </c>
      <c r="B66" s="33"/>
      <c r="C66" s="33"/>
      <c r="D66" s="33"/>
      <c r="E66" s="33" t="s">
        <v>36</v>
      </c>
      <c r="F66" s="33"/>
      <c r="G66" s="34" t="s">
        <v>27</v>
      </c>
      <c r="H66" s="38">
        <v>124</v>
      </c>
      <c r="I66" s="34">
        <v>5</v>
      </c>
      <c r="J66" s="39">
        <f t="shared" si="11"/>
        <v>620</v>
      </c>
      <c r="K66" s="34">
        <v>10</v>
      </c>
      <c r="L66" s="39">
        <f t="shared" si="11"/>
        <v>1240</v>
      </c>
      <c r="M66" s="34">
        <v>5</v>
      </c>
      <c r="N66" s="39">
        <f t="shared" si="11"/>
        <v>620</v>
      </c>
    </row>
    <row r="67" spans="1:14" x14ac:dyDescent="0.25">
      <c r="A67" s="37" t="s">
        <v>664</v>
      </c>
      <c r="B67" s="33"/>
      <c r="C67" s="33"/>
      <c r="D67" s="33"/>
      <c r="E67" s="33" t="s">
        <v>37</v>
      </c>
      <c r="F67" s="33"/>
      <c r="G67" s="34" t="s">
        <v>27</v>
      </c>
      <c r="H67" s="38">
        <v>230</v>
      </c>
      <c r="I67" s="34">
        <v>10</v>
      </c>
      <c r="J67" s="39">
        <f t="shared" si="11"/>
        <v>2300</v>
      </c>
      <c r="K67" s="34">
        <v>5</v>
      </c>
      <c r="L67" s="39">
        <f t="shared" si="11"/>
        <v>1150</v>
      </c>
      <c r="M67" s="34">
        <v>10</v>
      </c>
      <c r="N67" s="39">
        <f t="shared" si="11"/>
        <v>2300</v>
      </c>
    </row>
    <row r="68" spans="1:14" x14ac:dyDescent="0.25">
      <c r="A68" s="37" t="s">
        <v>665</v>
      </c>
      <c r="B68" s="33"/>
      <c r="C68" s="33"/>
      <c r="D68" s="33"/>
      <c r="E68" s="33" t="s">
        <v>38</v>
      </c>
      <c r="F68" s="33"/>
      <c r="G68" s="34" t="s">
        <v>27</v>
      </c>
      <c r="H68" s="38">
        <v>648</v>
      </c>
      <c r="I68" s="34">
        <v>10</v>
      </c>
      <c r="J68" s="39">
        <f t="shared" si="11"/>
        <v>6480</v>
      </c>
      <c r="K68" s="34">
        <v>15</v>
      </c>
      <c r="L68" s="39">
        <f t="shared" si="11"/>
        <v>9720</v>
      </c>
      <c r="M68" s="34">
        <v>15</v>
      </c>
      <c r="N68" s="39">
        <f t="shared" si="11"/>
        <v>9720</v>
      </c>
    </row>
    <row r="69" spans="1:14" x14ac:dyDescent="0.25">
      <c r="A69" s="26" t="s">
        <v>666</v>
      </c>
      <c r="B69" s="27"/>
      <c r="C69" s="27"/>
      <c r="D69" s="27" t="s">
        <v>40</v>
      </c>
      <c r="E69" s="27"/>
      <c r="F69" s="27"/>
      <c r="G69" s="28" t="s">
        <v>27</v>
      </c>
      <c r="H69" s="29">
        <v>339</v>
      </c>
      <c r="I69" s="28">
        <v>0</v>
      </c>
      <c r="J69" s="30" t="str">
        <f t="shared" ref="J69:N69" si="12">IF($H69*I69=0,"",$H69*I69)</f>
        <v/>
      </c>
      <c r="K69" s="28">
        <v>0</v>
      </c>
      <c r="L69" s="30" t="str">
        <f t="shared" si="12"/>
        <v/>
      </c>
      <c r="M69" s="28">
        <v>0</v>
      </c>
      <c r="N69" s="30" t="str">
        <f t="shared" si="12"/>
        <v/>
      </c>
    </row>
    <row r="70" spans="1:14" x14ac:dyDescent="0.25">
      <c r="A70" s="26" t="s">
        <v>667</v>
      </c>
      <c r="B70" s="27"/>
      <c r="C70" s="27"/>
      <c r="D70" s="27" t="s">
        <v>41</v>
      </c>
      <c r="E70" s="27"/>
      <c r="F70" s="27"/>
      <c r="G70" s="28"/>
      <c r="H70" s="29"/>
      <c r="I70" s="28"/>
      <c r="J70" s="30" t="str">
        <f>IF($H70*I70=0,"",$H70*I70)</f>
        <v/>
      </c>
      <c r="K70" s="28"/>
      <c r="L70" s="30" t="str">
        <f>IF($H70*K70=0,"",$H70*K70)</f>
        <v/>
      </c>
      <c r="M70" s="28"/>
      <c r="N70" s="30" t="str">
        <f>IF($H70*M70=0,"",$H70*M70)</f>
        <v/>
      </c>
    </row>
    <row r="71" spans="1:14" x14ac:dyDescent="0.25">
      <c r="A71" s="37" t="s">
        <v>668</v>
      </c>
      <c r="B71" s="33"/>
      <c r="C71" s="33"/>
      <c r="D71" s="33"/>
      <c r="E71" s="33" t="s">
        <v>42</v>
      </c>
      <c r="F71" s="33"/>
      <c r="G71" s="34" t="s">
        <v>27</v>
      </c>
      <c r="H71" s="38">
        <v>166</v>
      </c>
      <c r="I71" s="34">
        <v>10</v>
      </c>
      <c r="J71" s="39">
        <f>IF($H71*I71=0,"",$H71*I71)</f>
        <v>1660</v>
      </c>
      <c r="K71" s="34">
        <v>20</v>
      </c>
      <c r="L71" s="39">
        <f>IF($H71*K71=0,"",$H71*K71)</f>
        <v>3320</v>
      </c>
      <c r="M71" s="34">
        <v>30</v>
      </c>
      <c r="N71" s="39">
        <f>IF($H71*M71=0,"",$H71*M71)</f>
        <v>4980</v>
      </c>
    </row>
    <row r="72" spans="1:14" x14ac:dyDescent="0.25">
      <c r="A72" s="37" t="s">
        <v>669</v>
      </c>
      <c r="B72" s="33"/>
      <c r="C72" s="33"/>
      <c r="D72" s="33"/>
      <c r="E72" s="33" t="s">
        <v>43</v>
      </c>
      <c r="F72" s="33"/>
      <c r="G72" s="34" t="s">
        <v>27</v>
      </c>
      <c r="H72" s="38">
        <v>166</v>
      </c>
      <c r="I72" s="34">
        <v>10</v>
      </c>
      <c r="J72" s="39">
        <f>IF($H72*I72=0,"",$H72*I72)</f>
        <v>1660</v>
      </c>
      <c r="K72" s="34">
        <v>30</v>
      </c>
      <c r="L72" s="39">
        <f>IF($H72*K72=0,"",$H72*K72)</f>
        <v>4980</v>
      </c>
      <c r="M72" s="34">
        <v>10</v>
      </c>
      <c r="N72" s="39">
        <f>IF($H72*M72=0,"",$H72*M72)</f>
        <v>1660</v>
      </c>
    </row>
    <row r="73" spans="1:14" x14ac:dyDescent="0.25">
      <c r="A73" s="37" t="s">
        <v>670</v>
      </c>
      <c r="B73" s="33"/>
      <c r="C73" s="33"/>
      <c r="D73" s="33"/>
      <c r="E73" s="33" t="s">
        <v>44</v>
      </c>
      <c r="F73" s="33"/>
      <c r="G73" s="34" t="s">
        <v>27</v>
      </c>
      <c r="H73" s="38">
        <v>148</v>
      </c>
      <c r="I73" s="34">
        <v>30</v>
      </c>
      <c r="J73" s="39">
        <f>IF($H73*I73=0,"",$H73*I73)</f>
        <v>4440</v>
      </c>
      <c r="K73" s="34">
        <v>10</v>
      </c>
      <c r="L73" s="39">
        <f t="shared" ref="J73:N122" si="13">IF($H73*K73=0,"",$H73*K73)</f>
        <v>1480</v>
      </c>
      <c r="M73" s="34">
        <v>20</v>
      </c>
      <c r="N73" s="39">
        <f t="shared" si="13"/>
        <v>2960</v>
      </c>
    </row>
    <row r="74" spans="1:14" x14ac:dyDescent="0.25">
      <c r="A74" s="23" t="s">
        <v>671</v>
      </c>
      <c r="B74" s="40"/>
      <c r="C74" s="41" t="s">
        <v>45</v>
      </c>
      <c r="D74" s="23"/>
      <c r="E74" s="23"/>
      <c r="F74" s="23"/>
      <c r="G74" s="23"/>
      <c r="H74" s="23"/>
      <c r="I74" s="23"/>
      <c r="J74" s="23" t="str">
        <f t="shared" si="13"/>
        <v/>
      </c>
      <c r="K74" s="23"/>
      <c r="L74" s="23" t="str">
        <f t="shared" si="13"/>
        <v/>
      </c>
      <c r="M74" s="23"/>
      <c r="N74" s="23" t="str">
        <f t="shared" si="13"/>
        <v/>
      </c>
    </row>
    <row r="75" spans="1:14" x14ac:dyDescent="0.25">
      <c r="A75" s="37" t="s">
        <v>672</v>
      </c>
      <c r="B75" s="33"/>
      <c r="C75" s="33"/>
      <c r="D75" s="33" t="s">
        <v>577</v>
      </c>
      <c r="E75" s="33"/>
      <c r="F75" s="33"/>
      <c r="G75" s="28" t="s">
        <v>18</v>
      </c>
      <c r="H75" s="38">
        <v>9</v>
      </c>
      <c r="I75" s="34">
        <v>250</v>
      </c>
      <c r="J75" s="39">
        <f t="shared" si="13"/>
        <v>2250</v>
      </c>
      <c r="K75" s="34">
        <v>150</v>
      </c>
      <c r="L75" s="39">
        <f t="shared" si="13"/>
        <v>1350</v>
      </c>
      <c r="M75" s="34">
        <v>200</v>
      </c>
      <c r="N75" s="39">
        <f t="shared" si="13"/>
        <v>1800</v>
      </c>
    </row>
    <row r="76" spans="1:14" x14ac:dyDescent="0.25">
      <c r="A76" s="37" t="s">
        <v>673</v>
      </c>
      <c r="B76" s="33"/>
      <c r="C76" s="33"/>
      <c r="D76" s="33" t="s">
        <v>578</v>
      </c>
      <c r="E76" s="33"/>
      <c r="F76" s="33"/>
      <c r="G76" s="28" t="s">
        <v>18</v>
      </c>
      <c r="H76" s="38">
        <v>12</v>
      </c>
      <c r="I76" s="34">
        <v>150</v>
      </c>
      <c r="J76" s="39">
        <f t="shared" si="13"/>
        <v>1800</v>
      </c>
      <c r="K76" s="34">
        <v>250</v>
      </c>
      <c r="L76" s="39">
        <f t="shared" si="13"/>
        <v>3000</v>
      </c>
      <c r="M76" s="34">
        <v>200</v>
      </c>
      <c r="N76" s="39">
        <f t="shared" si="13"/>
        <v>2400</v>
      </c>
    </row>
    <row r="77" spans="1:14" x14ac:dyDescent="0.25">
      <c r="A77" s="37" t="s">
        <v>674</v>
      </c>
      <c r="B77" s="33"/>
      <c r="C77" s="33"/>
      <c r="D77" s="33" t="s">
        <v>579</v>
      </c>
      <c r="E77" s="33"/>
      <c r="F77" s="33"/>
      <c r="G77" s="28" t="s">
        <v>18</v>
      </c>
      <c r="H77" s="38">
        <v>48</v>
      </c>
      <c r="I77" s="34">
        <v>250</v>
      </c>
      <c r="J77" s="39">
        <f t="shared" ref="J77:J78" si="14">IF($H77*I77=0,"",$H77*I77)</f>
        <v>12000</v>
      </c>
      <c r="K77" s="34">
        <v>150</v>
      </c>
      <c r="L77" s="39">
        <f t="shared" ref="L77:N78" si="15">IF($H77*K77=0,"",$H77*K77)</f>
        <v>7200</v>
      </c>
      <c r="M77" s="34">
        <v>200</v>
      </c>
      <c r="N77" s="39">
        <f t="shared" si="15"/>
        <v>9600</v>
      </c>
    </row>
    <row r="78" spans="1:14" x14ac:dyDescent="0.25">
      <c r="A78" s="37" t="s">
        <v>675</v>
      </c>
      <c r="B78" s="33"/>
      <c r="C78" s="33"/>
      <c r="D78" s="33" t="s">
        <v>580</v>
      </c>
      <c r="E78" s="33"/>
      <c r="F78" s="33"/>
      <c r="G78" s="28" t="s">
        <v>18</v>
      </c>
      <c r="H78" s="38">
        <v>68</v>
      </c>
      <c r="I78" s="34">
        <v>150</v>
      </c>
      <c r="J78" s="39">
        <f t="shared" si="14"/>
        <v>10200</v>
      </c>
      <c r="K78" s="34">
        <v>250</v>
      </c>
      <c r="L78" s="39">
        <f t="shared" si="15"/>
        <v>17000</v>
      </c>
      <c r="M78" s="34">
        <v>200</v>
      </c>
      <c r="N78" s="39">
        <f t="shared" si="15"/>
        <v>13600</v>
      </c>
    </row>
    <row r="79" spans="1:14" x14ac:dyDescent="0.25">
      <c r="A79" s="20" t="s">
        <v>676</v>
      </c>
      <c r="B79" s="21"/>
      <c r="C79" s="22" t="s">
        <v>576</v>
      </c>
      <c r="D79" s="21"/>
      <c r="E79" s="21"/>
      <c r="F79" s="21"/>
      <c r="G79" s="23"/>
      <c r="H79" s="24"/>
      <c r="I79" s="23"/>
      <c r="J79" s="25" t="str">
        <f t="shared" si="13"/>
        <v/>
      </c>
      <c r="K79" s="23"/>
      <c r="L79" s="25" t="str">
        <f t="shared" si="13"/>
        <v/>
      </c>
      <c r="M79" s="23"/>
      <c r="N79" s="25" t="str">
        <f t="shared" si="13"/>
        <v/>
      </c>
    </row>
    <row r="80" spans="1:14" collapsed="1" x14ac:dyDescent="0.25">
      <c r="A80" s="26" t="s">
        <v>677</v>
      </c>
      <c r="B80" s="27"/>
      <c r="C80" s="27"/>
      <c r="D80" s="27" t="s">
        <v>46</v>
      </c>
      <c r="E80" s="27"/>
      <c r="F80" s="27"/>
      <c r="G80" s="28" t="s">
        <v>18</v>
      </c>
      <c r="H80" s="29">
        <v>10</v>
      </c>
      <c r="I80" s="28">
        <v>300</v>
      </c>
      <c r="J80" s="30">
        <f t="shared" si="13"/>
        <v>3000</v>
      </c>
      <c r="K80" s="28">
        <v>500</v>
      </c>
      <c r="L80" s="30">
        <f t="shared" si="13"/>
        <v>5000</v>
      </c>
      <c r="M80" s="28">
        <v>150</v>
      </c>
      <c r="N80" s="30">
        <f t="shared" si="13"/>
        <v>1500</v>
      </c>
    </row>
    <row r="81" spans="1:14" x14ac:dyDescent="0.25">
      <c r="A81" s="26" t="s">
        <v>678</v>
      </c>
      <c r="B81" s="27"/>
      <c r="C81" s="27"/>
      <c r="D81" s="27" t="s">
        <v>47</v>
      </c>
      <c r="E81" s="27"/>
      <c r="F81" s="27"/>
      <c r="G81" s="28" t="s">
        <v>18</v>
      </c>
      <c r="H81" s="29">
        <v>9</v>
      </c>
      <c r="I81" s="28">
        <v>2400</v>
      </c>
      <c r="J81" s="30">
        <f t="shared" si="13"/>
        <v>21600</v>
      </c>
      <c r="K81" s="28">
        <v>1900</v>
      </c>
      <c r="L81" s="30">
        <f t="shared" si="13"/>
        <v>17100</v>
      </c>
      <c r="M81" s="28">
        <v>2800</v>
      </c>
      <c r="N81" s="30">
        <f t="shared" si="13"/>
        <v>25200</v>
      </c>
    </row>
    <row r="82" spans="1:14" x14ac:dyDescent="0.25">
      <c r="A82" s="26" t="s">
        <v>679</v>
      </c>
      <c r="B82" s="27"/>
      <c r="C82" s="27"/>
      <c r="D82" s="27" t="s">
        <v>48</v>
      </c>
      <c r="E82" s="27"/>
      <c r="F82" s="27"/>
      <c r="G82" s="28" t="s">
        <v>18</v>
      </c>
      <c r="H82" s="29">
        <v>10</v>
      </c>
      <c r="I82" s="28">
        <v>200</v>
      </c>
      <c r="J82" s="30">
        <f>IF($H82*I82=0,"",$H82*I82)</f>
        <v>2000</v>
      </c>
      <c r="K82" s="28">
        <v>500</v>
      </c>
      <c r="L82" s="30">
        <f>IF($H82*K82=0,"",$H82*K82)</f>
        <v>5000</v>
      </c>
      <c r="M82" s="28">
        <v>150</v>
      </c>
      <c r="N82" s="30">
        <f>IF($H82*M82=0,"",$H82*M82)</f>
        <v>1500</v>
      </c>
    </row>
    <row r="83" spans="1:14" x14ac:dyDescent="0.25">
      <c r="A83" s="20" t="s">
        <v>680</v>
      </c>
      <c r="B83" s="21"/>
      <c r="C83" s="22" t="s">
        <v>575</v>
      </c>
      <c r="D83" s="21"/>
      <c r="E83" s="21"/>
      <c r="F83" s="21"/>
      <c r="G83" s="23" t="s">
        <v>18</v>
      </c>
      <c r="H83" s="25">
        <v>9</v>
      </c>
      <c r="I83" s="23">
        <v>200</v>
      </c>
      <c r="J83" s="25">
        <f>IF($H83*I83=0,"",$H83*I83)</f>
        <v>1800</v>
      </c>
      <c r="K83" s="23">
        <v>100</v>
      </c>
      <c r="L83" s="25">
        <f>IF($H83*K83=0,"",$H83*K83)</f>
        <v>900</v>
      </c>
      <c r="M83" s="23">
        <v>300</v>
      </c>
      <c r="N83" s="25">
        <f>IF($H83*M83=0,"",$H83*M83)</f>
        <v>2700</v>
      </c>
    </row>
    <row r="84" spans="1:14" x14ac:dyDescent="0.25">
      <c r="A84" s="20" t="s">
        <v>681</v>
      </c>
      <c r="B84" s="21"/>
      <c r="C84" s="22" t="s">
        <v>49</v>
      </c>
      <c r="D84" s="21"/>
      <c r="E84" s="21"/>
      <c r="F84" s="21"/>
      <c r="G84" s="23"/>
      <c r="H84" s="24"/>
      <c r="I84" s="23"/>
      <c r="J84" s="25" t="str">
        <f t="shared" si="13"/>
        <v/>
      </c>
      <c r="K84" s="23"/>
      <c r="L84" s="25" t="str">
        <f t="shared" si="13"/>
        <v/>
      </c>
      <c r="M84" s="23"/>
      <c r="N84" s="25" t="str">
        <f t="shared" si="13"/>
        <v/>
      </c>
    </row>
    <row r="85" spans="1:14" ht="15" customHeight="1" collapsed="1" x14ac:dyDescent="0.25">
      <c r="A85" s="26" t="s">
        <v>682</v>
      </c>
      <c r="B85" s="27"/>
      <c r="C85" s="27"/>
      <c r="D85" s="27" t="s">
        <v>50</v>
      </c>
      <c r="E85" s="27"/>
      <c r="F85" s="27"/>
      <c r="G85" s="28"/>
      <c r="H85" s="29"/>
      <c r="I85" s="28"/>
      <c r="J85" s="30" t="str">
        <f t="shared" si="13"/>
        <v/>
      </c>
      <c r="K85" s="28"/>
      <c r="L85" s="30" t="str">
        <f t="shared" si="13"/>
        <v/>
      </c>
      <c r="M85" s="28"/>
      <c r="N85" s="30" t="str">
        <f t="shared" si="13"/>
        <v/>
      </c>
    </row>
    <row r="86" spans="1:14" ht="15" customHeight="1" x14ac:dyDescent="0.25">
      <c r="A86" s="37" t="s">
        <v>683</v>
      </c>
      <c r="B86" s="33"/>
      <c r="C86" s="33"/>
      <c r="D86" s="33"/>
      <c r="E86" s="33" t="s">
        <v>51</v>
      </c>
      <c r="F86" s="33"/>
      <c r="G86" s="34" t="s">
        <v>23</v>
      </c>
      <c r="H86" s="38">
        <v>15</v>
      </c>
      <c r="I86" s="34">
        <v>2000</v>
      </c>
      <c r="J86" s="39">
        <f t="shared" si="13"/>
        <v>30000</v>
      </c>
      <c r="K86" s="34">
        <v>1500</v>
      </c>
      <c r="L86" s="39">
        <f t="shared" si="13"/>
        <v>22500</v>
      </c>
      <c r="M86" s="34">
        <v>2500</v>
      </c>
      <c r="N86" s="39">
        <f t="shared" si="13"/>
        <v>37500</v>
      </c>
    </row>
    <row r="87" spans="1:14" ht="15" customHeight="1" x14ac:dyDescent="0.25">
      <c r="A87" s="37" t="s">
        <v>684</v>
      </c>
      <c r="B87" s="33"/>
      <c r="C87" s="33"/>
      <c r="D87" s="33"/>
      <c r="E87" s="33" t="s">
        <v>535</v>
      </c>
      <c r="F87" s="33"/>
      <c r="G87" s="34" t="s">
        <v>23</v>
      </c>
      <c r="H87" s="38">
        <v>12</v>
      </c>
      <c r="I87" s="34">
        <v>3500</v>
      </c>
      <c r="J87" s="39">
        <f t="shared" si="13"/>
        <v>42000</v>
      </c>
      <c r="K87" s="34">
        <v>4500</v>
      </c>
      <c r="L87" s="39">
        <f t="shared" si="13"/>
        <v>54000</v>
      </c>
      <c r="M87" s="34">
        <v>3000</v>
      </c>
      <c r="N87" s="39">
        <f t="shared" si="13"/>
        <v>36000</v>
      </c>
    </row>
    <row r="88" spans="1:14" ht="15" customHeight="1" x14ac:dyDescent="0.25">
      <c r="A88" s="37" t="s">
        <v>685</v>
      </c>
      <c r="B88" s="33"/>
      <c r="C88" s="33"/>
      <c r="D88" s="33"/>
      <c r="E88" s="33" t="s">
        <v>534</v>
      </c>
      <c r="F88" s="33"/>
      <c r="G88" s="34" t="s">
        <v>23</v>
      </c>
      <c r="H88" s="38">
        <v>9</v>
      </c>
      <c r="I88" s="34">
        <v>1000</v>
      </c>
      <c r="J88" s="39">
        <f t="shared" ref="J88" si="16">IF($H88*I88=0,"",$H88*I88)</f>
        <v>9000</v>
      </c>
      <c r="K88" s="34">
        <v>2000</v>
      </c>
      <c r="L88" s="39">
        <f t="shared" ref="L88:N88" si="17">IF($H88*K88=0,"",$H88*K88)</f>
        <v>18000</v>
      </c>
      <c r="M88" s="34">
        <v>2500</v>
      </c>
      <c r="N88" s="39">
        <f t="shared" si="17"/>
        <v>22500</v>
      </c>
    </row>
    <row r="89" spans="1:14" ht="15" customHeight="1" x14ac:dyDescent="0.25">
      <c r="A89" s="26" t="s">
        <v>686</v>
      </c>
      <c r="B89" s="27"/>
      <c r="C89" s="27"/>
      <c r="D89" s="27" t="s">
        <v>53</v>
      </c>
      <c r="E89" s="27"/>
      <c r="F89" s="27"/>
      <c r="G89" s="28"/>
      <c r="H89" s="29"/>
      <c r="I89" s="28"/>
      <c r="J89" s="30" t="str">
        <f t="shared" si="13"/>
        <v/>
      </c>
      <c r="K89" s="28"/>
      <c r="L89" s="30" t="str">
        <f t="shared" si="13"/>
        <v/>
      </c>
      <c r="M89" s="28"/>
      <c r="N89" s="30" t="str">
        <f t="shared" si="13"/>
        <v/>
      </c>
    </row>
    <row r="90" spans="1:14" ht="15" customHeight="1" x14ac:dyDescent="0.25">
      <c r="A90" s="37" t="s">
        <v>687</v>
      </c>
      <c r="B90" s="33"/>
      <c r="C90" s="33"/>
      <c r="D90" s="33"/>
      <c r="E90" s="33" t="s">
        <v>51</v>
      </c>
      <c r="F90" s="33"/>
      <c r="G90" s="34" t="s">
        <v>23</v>
      </c>
      <c r="H90" s="38">
        <v>15</v>
      </c>
      <c r="I90" s="34">
        <v>1600</v>
      </c>
      <c r="J90" s="39">
        <f t="shared" si="13"/>
        <v>24000</v>
      </c>
      <c r="K90" s="34">
        <v>1200</v>
      </c>
      <c r="L90" s="39">
        <f t="shared" si="13"/>
        <v>18000</v>
      </c>
      <c r="M90" s="34">
        <v>2000</v>
      </c>
      <c r="N90" s="39">
        <f t="shared" si="13"/>
        <v>30000</v>
      </c>
    </row>
    <row r="91" spans="1:14" ht="15" customHeight="1" x14ac:dyDescent="0.25">
      <c r="A91" s="37" t="s">
        <v>688</v>
      </c>
      <c r="B91" s="33"/>
      <c r="C91" s="33"/>
      <c r="D91" s="33"/>
      <c r="E91" s="33" t="s">
        <v>52</v>
      </c>
      <c r="F91" s="33"/>
      <c r="G91" s="34" t="s">
        <v>23</v>
      </c>
      <c r="H91" s="38">
        <v>12</v>
      </c>
      <c r="I91" s="34">
        <v>2500</v>
      </c>
      <c r="J91" s="39">
        <f t="shared" si="13"/>
        <v>30000</v>
      </c>
      <c r="K91" s="34">
        <v>3000</v>
      </c>
      <c r="L91" s="39">
        <f t="shared" si="13"/>
        <v>36000</v>
      </c>
      <c r="M91" s="34">
        <v>2000</v>
      </c>
      <c r="N91" s="39">
        <f t="shared" si="13"/>
        <v>24000</v>
      </c>
    </row>
    <row r="92" spans="1:14" ht="15" customHeight="1" x14ac:dyDescent="0.25">
      <c r="A92" s="26" t="s">
        <v>689</v>
      </c>
      <c r="B92" s="27"/>
      <c r="C92" s="27"/>
      <c r="D92" s="27" t="s">
        <v>54</v>
      </c>
      <c r="E92" s="27"/>
      <c r="F92" s="27"/>
      <c r="G92" s="28" t="s">
        <v>23</v>
      </c>
      <c r="H92" s="29">
        <v>12.3</v>
      </c>
      <c r="I92" s="28">
        <v>1000</v>
      </c>
      <c r="J92" s="30">
        <f t="shared" si="13"/>
        <v>12300</v>
      </c>
      <c r="K92" s="28">
        <v>1500</v>
      </c>
      <c r="L92" s="30">
        <f t="shared" si="13"/>
        <v>18450</v>
      </c>
      <c r="M92" s="28">
        <v>800</v>
      </c>
      <c r="N92" s="30">
        <f t="shared" si="13"/>
        <v>9840</v>
      </c>
    </row>
    <row r="93" spans="1:14" x14ac:dyDescent="0.25">
      <c r="A93" s="20" t="s">
        <v>690</v>
      </c>
      <c r="B93" s="21"/>
      <c r="C93" s="22" t="s">
        <v>55</v>
      </c>
      <c r="D93" s="21"/>
      <c r="E93" s="21"/>
      <c r="F93" s="21"/>
      <c r="G93" s="23"/>
      <c r="H93" s="24"/>
      <c r="I93" s="23"/>
      <c r="J93" s="25" t="str">
        <f t="shared" si="13"/>
        <v/>
      </c>
      <c r="K93" s="23"/>
      <c r="L93" s="25" t="str">
        <f t="shared" si="13"/>
        <v/>
      </c>
      <c r="M93" s="23"/>
      <c r="N93" s="25" t="str">
        <f t="shared" si="13"/>
        <v/>
      </c>
    </row>
    <row r="94" spans="1:14" ht="16.350000000000001" customHeight="1" x14ac:dyDescent="0.25">
      <c r="A94" s="26" t="s">
        <v>691</v>
      </c>
      <c r="B94" s="27"/>
      <c r="C94" s="27"/>
      <c r="D94" s="27" t="s">
        <v>536</v>
      </c>
      <c r="E94" s="27"/>
      <c r="F94" s="27"/>
      <c r="G94" s="28" t="s">
        <v>56</v>
      </c>
      <c r="H94" s="31">
        <v>5000</v>
      </c>
      <c r="I94" s="28">
        <v>4</v>
      </c>
      <c r="J94" s="32">
        <f t="shared" si="13"/>
        <v>20000</v>
      </c>
      <c r="K94" s="28">
        <v>2</v>
      </c>
      <c r="L94" s="32">
        <f t="shared" si="13"/>
        <v>10000</v>
      </c>
      <c r="M94" s="28">
        <v>10</v>
      </c>
      <c r="N94" s="32">
        <f t="shared" si="13"/>
        <v>50000</v>
      </c>
    </row>
    <row r="95" spans="1:14" ht="16.350000000000001" customHeight="1" x14ac:dyDescent="0.25">
      <c r="A95" s="26" t="s">
        <v>692</v>
      </c>
      <c r="B95" s="27"/>
      <c r="C95" s="27"/>
      <c r="D95" s="27" t="s">
        <v>521</v>
      </c>
      <c r="E95" s="27"/>
      <c r="F95" s="27"/>
      <c r="G95" s="28" t="s">
        <v>23</v>
      </c>
      <c r="H95" s="31">
        <v>867</v>
      </c>
      <c r="I95" s="28">
        <v>40</v>
      </c>
      <c r="J95" s="32">
        <f t="shared" si="13"/>
        <v>34680</v>
      </c>
      <c r="K95" s="28">
        <v>20</v>
      </c>
      <c r="L95" s="32">
        <f t="shared" si="13"/>
        <v>17340</v>
      </c>
      <c r="M95" s="28">
        <v>100</v>
      </c>
      <c r="N95" s="32">
        <f t="shared" si="13"/>
        <v>86700</v>
      </c>
    </row>
    <row r="96" spans="1:14" x14ac:dyDescent="0.25">
      <c r="A96" s="26" t="s">
        <v>693</v>
      </c>
      <c r="B96" s="27"/>
      <c r="C96" s="27"/>
      <c r="D96" s="27" t="s">
        <v>522</v>
      </c>
      <c r="E96" s="27"/>
      <c r="F96" s="27"/>
      <c r="G96" s="28" t="s">
        <v>23</v>
      </c>
      <c r="H96" s="31">
        <v>714</v>
      </c>
      <c r="I96" s="28">
        <v>80</v>
      </c>
      <c r="J96" s="32">
        <f t="shared" si="13"/>
        <v>57120</v>
      </c>
      <c r="K96" s="28">
        <v>160</v>
      </c>
      <c r="L96" s="32">
        <f t="shared" si="13"/>
        <v>114240</v>
      </c>
      <c r="M96" s="28">
        <v>50</v>
      </c>
      <c r="N96" s="32">
        <f t="shared" si="13"/>
        <v>35700</v>
      </c>
    </row>
    <row r="97" spans="1:14" ht="16.350000000000001" customHeight="1" x14ac:dyDescent="0.25">
      <c r="A97" s="26" t="s">
        <v>694</v>
      </c>
      <c r="B97" s="27"/>
      <c r="C97" s="27"/>
      <c r="D97" s="27" t="s">
        <v>537</v>
      </c>
      <c r="E97" s="27"/>
      <c r="F97" s="27"/>
      <c r="G97" s="28" t="s">
        <v>56</v>
      </c>
      <c r="H97" s="31">
        <v>5500</v>
      </c>
      <c r="I97" s="28">
        <v>4</v>
      </c>
      <c r="J97" s="32">
        <f t="shared" si="13"/>
        <v>22000</v>
      </c>
      <c r="K97" s="28">
        <v>8</v>
      </c>
      <c r="L97" s="32">
        <f t="shared" si="13"/>
        <v>44000</v>
      </c>
      <c r="M97" s="28">
        <v>2</v>
      </c>
      <c r="N97" s="32">
        <f t="shared" si="13"/>
        <v>11000</v>
      </c>
    </row>
    <row r="98" spans="1:14" x14ac:dyDescent="0.25">
      <c r="A98" s="26" t="s">
        <v>695</v>
      </c>
      <c r="B98" s="27"/>
      <c r="C98" s="27"/>
      <c r="D98" s="27" t="s">
        <v>523</v>
      </c>
      <c r="E98" s="27"/>
      <c r="F98" s="27"/>
      <c r="G98" s="28" t="s">
        <v>23</v>
      </c>
      <c r="H98" s="31">
        <v>270</v>
      </c>
      <c r="I98" s="28">
        <v>400</v>
      </c>
      <c r="J98" s="32">
        <f t="shared" si="13"/>
        <v>108000</v>
      </c>
      <c r="K98" s="28">
        <v>350</v>
      </c>
      <c r="L98" s="32">
        <f t="shared" si="13"/>
        <v>94500</v>
      </c>
      <c r="M98" s="28">
        <v>200</v>
      </c>
      <c r="N98" s="32">
        <f t="shared" si="13"/>
        <v>54000</v>
      </c>
    </row>
    <row r="99" spans="1:14" x14ac:dyDescent="0.25">
      <c r="A99" s="26" t="s">
        <v>696</v>
      </c>
      <c r="B99" s="27"/>
      <c r="C99" s="27"/>
      <c r="D99" s="27" t="s">
        <v>58</v>
      </c>
      <c r="E99" s="27"/>
      <c r="F99" s="27"/>
      <c r="G99" s="28" t="s">
        <v>57</v>
      </c>
      <c r="H99" s="31">
        <v>561</v>
      </c>
      <c r="I99" s="28">
        <v>20</v>
      </c>
      <c r="J99" s="32">
        <f t="shared" si="13"/>
        <v>11220</v>
      </c>
      <c r="K99" s="28">
        <v>15</v>
      </c>
      <c r="L99" s="32">
        <f t="shared" si="13"/>
        <v>8415</v>
      </c>
      <c r="M99" s="28">
        <v>10</v>
      </c>
      <c r="N99" s="32">
        <f t="shared" si="13"/>
        <v>5610</v>
      </c>
    </row>
    <row r="100" spans="1:14" x14ac:dyDescent="0.25">
      <c r="A100" s="20" t="s">
        <v>697</v>
      </c>
      <c r="B100" s="21"/>
      <c r="C100" s="22" t="s">
        <v>59</v>
      </c>
      <c r="D100" s="21"/>
      <c r="E100" s="21"/>
      <c r="F100" s="21"/>
      <c r="G100" s="23"/>
      <c r="H100" s="24"/>
      <c r="I100" s="23"/>
      <c r="J100" s="25" t="str">
        <f t="shared" si="13"/>
        <v/>
      </c>
      <c r="K100" s="23"/>
      <c r="L100" s="25" t="str">
        <f t="shared" si="13"/>
        <v/>
      </c>
      <c r="M100" s="23"/>
      <c r="N100" s="25" t="str">
        <f t="shared" si="13"/>
        <v/>
      </c>
    </row>
    <row r="101" spans="1:14" collapsed="1" x14ac:dyDescent="0.25">
      <c r="A101" s="26" t="s">
        <v>698</v>
      </c>
      <c r="B101" s="27"/>
      <c r="C101" s="27"/>
      <c r="D101" s="27" t="s">
        <v>51</v>
      </c>
      <c r="E101" s="27"/>
      <c r="F101" s="27"/>
      <c r="G101" s="28" t="s">
        <v>23</v>
      </c>
      <c r="H101" s="29">
        <v>20.399999999999999</v>
      </c>
      <c r="I101" s="28">
        <v>100</v>
      </c>
      <c r="J101" s="30">
        <f t="shared" si="13"/>
        <v>2039.9999999999998</v>
      </c>
      <c r="K101" s="28">
        <v>50</v>
      </c>
      <c r="L101" s="30">
        <f t="shared" si="13"/>
        <v>1019.9999999999999</v>
      </c>
      <c r="M101" s="28">
        <v>150</v>
      </c>
      <c r="N101" s="30">
        <f t="shared" si="13"/>
        <v>3060</v>
      </c>
    </row>
    <row r="102" spans="1:14" x14ac:dyDescent="0.25">
      <c r="A102" s="26" t="s">
        <v>699</v>
      </c>
      <c r="B102" s="27"/>
      <c r="C102" s="27"/>
      <c r="D102" s="27" t="s">
        <v>52</v>
      </c>
      <c r="E102" s="27"/>
      <c r="F102" s="27"/>
      <c r="G102" s="28" t="s">
        <v>23</v>
      </c>
      <c r="H102" s="29">
        <v>15.3</v>
      </c>
      <c r="I102" s="28">
        <v>200</v>
      </c>
      <c r="J102" s="30">
        <f t="shared" si="13"/>
        <v>3060</v>
      </c>
      <c r="K102" s="28">
        <v>250</v>
      </c>
      <c r="L102" s="30">
        <f t="shared" si="13"/>
        <v>3825</v>
      </c>
      <c r="M102" s="28">
        <v>150</v>
      </c>
      <c r="N102" s="30">
        <f t="shared" si="13"/>
        <v>2295</v>
      </c>
    </row>
    <row r="103" spans="1:14" x14ac:dyDescent="0.25">
      <c r="A103" s="20" t="s">
        <v>700</v>
      </c>
      <c r="B103" s="21"/>
      <c r="C103" s="22" t="s">
        <v>581</v>
      </c>
      <c r="D103" s="21"/>
      <c r="E103" s="21"/>
      <c r="F103" s="21"/>
      <c r="G103" s="23"/>
      <c r="H103" s="24"/>
      <c r="I103" s="23"/>
      <c r="J103" s="25" t="str">
        <f t="shared" si="13"/>
        <v/>
      </c>
      <c r="K103" s="23"/>
      <c r="L103" s="25" t="str">
        <f t="shared" si="13"/>
        <v/>
      </c>
      <c r="M103" s="23"/>
      <c r="N103" s="25" t="str">
        <f t="shared" si="13"/>
        <v/>
      </c>
    </row>
    <row r="104" spans="1:14" collapsed="1" x14ac:dyDescent="0.25">
      <c r="A104" s="26" t="s">
        <v>701</v>
      </c>
      <c r="B104" s="27"/>
      <c r="C104" s="27"/>
      <c r="D104" s="27" t="s">
        <v>51</v>
      </c>
      <c r="E104" s="27"/>
      <c r="F104" s="27"/>
      <c r="G104" s="28" t="s">
        <v>23</v>
      </c>
      <c r="H104" s="29">
        <v>17.34</v>
      </c>
      <c r="I104" s="28">
        <v>200</v>
      </c>
      <c r="J104" s="30">
        <f t="shared" si="13"/>
        <v>3468</v>
      </c>
      <c r="K104" s="28">
        <v>300</v>
      </c>
      <c r="L104" s="30">
        <f t="shared" si="13"/>
        <v>5202</v>
      </c>
      <c r="M104" s="28">
        <v>250</v>
      </c>
      <c r="N104" s="30">
        <f t="shared" si="13"/>
        <v>4335</v>
      </c>
    </row>
    <row r="105" spans="1:14" x14ac:dyDescent="0.25">
      <c r="A105" s="26" t="s">
        <v>702</v>
      </c>
      <c r="B105" s="27"/>
      <c r="C105" s="27"/>
      <c r="D105" s="27" t="s">
        <v>52</v>
      </c>
      <c r="E105" s="27"/>
      <c r="F105" s="27"/>
      <c r="G105" s="28" t="s">
        <v>23</v>
      </c>
      <c r="H105" s="29">
        <v>13.26</v>
      </c>
      <c r="I105" s="28">
        <v>300</v>
      </c>
      <c r="J105" s="30">
        <f t="shared" si="13"/>
        <v>3978</v>
      </c>
      <c r="K105" s="28">
        <v>200</v>
      </c>
      <c r="L105" s="30">
        <f t="shared" si="13"/>
        <v>2652</v>
      </c>
      <c r="M105" s="28">
        <v>250</v>
      </c>
      <c r="N105" s="30">
        <f t="shared" si="13"/>
        <v>3315</v>
      </c>
    </row>
    <row r="106" spans="1:14" x14ac:dyDescent="0.25">
      <c r="A106" s="20" t="s">
        <v>703</v>
      </c>
      <c r="B106" s="21"/>
      <c r="C106" s="22" t="s">
        <v>60</v>
      </c>
      <c r="D106" s="21"/>
      <c r="E106" s="21"/>
      <c r="F106" s="21"/>
      <c r="G106" s="23"/>
      <c r="H106" s="24"/>
      <c r="I106" s="23"/>
      <c r="J106" s="25" t="str">
        <f t="shared" si="13"/>
        <v/>
      </c>
      <c r="K106" s="23"/>
      <c r="L106" s="25" t="str">
        <f t="shared" si="13"/>
        <v/>
      </c>
      <c r="M106" s="23"/>
      <c r="N106" s="25" t="str">
        <f t="shared" si="13"/>
        <v/>
      </c>
    </row>
    <row r="107" spans="1:14" collapsed="1" x14ac:dyDescent="0.25">
      <c r="A107" s="26" t="s">
        <v>704</v>
      </c>
      <c r="B107" s="27"/>
      <c r="C107" s="27"/>
      <c r="D107" s="27" t="s">
        <v>51</v>
      </c>
      <c r="E107" s="27"/>
      <c r="F107" s="27"/>
      <c r="G107" s="28" t="s">
        <v>23</v>
      </c>
      <c r="H107" s="29">
        <v>17.34</v>
      </c>
      <c r="I107" s="28">
        <v>150</v>
      </c>
      <c r="J107" s="30">
        <f t="shared" si="13"/>
        <v>2601</v>
      </c>
      <c r="K107" s="28">
        <v>100</v>
      </c>
      <c r="L107" s="30">
        <f t="shared" si="13"/>
        <v>1734</v>
      </c>
      <c r="M107" s="28">
        <v>250</v>
      </c>
      <c r="N107" s="30">
        <f t="shared" si="13"/>
        <v>4335</v>
      </c>
    </row>
    <row r="108" spans="1:14" x14ac:dyDescent="0.25">
      <c r="A108" s="26" t="s">
        <v>705</v>
      </c>
      <c r="B108" s="27"/>
      <c r="C108" s="27"/>
      <c r="D108" s="27" t="s">
        <v>52</v>
      </c>
      <c r="E108" s="27"/>
      <c r="F108" s="27"/>
      <c r="G108" s="28" t="s">
        <v>23</v>
      </c>
      <c r="H108" s="29">
        <v>13.26</v>
      </c>
      <c r="I108" s="28">
        <v>150</v>
      </c>
      <c r="J108" s="30">
        <f t="shared" si="13"/>
        <v>1989</v>
      </c>
      <c r="K108" s="28">
        <v>200</v>
      </c>
      <c r="L108" s="30">
        <f t="shared" si="13"/>
        <v>2652</v>
      </c>
      <c r="M108" s="28">
        <v>50</v>
      </c>
      <c r="N108" s="30">
        <f t="shared" si="13"/>
        <v>663</v>
      </c>
    </row>
    <row r="109" spans="1:14" x14ac:dyDescent="0.25">
      <c r="A109" s="20" t="s">
        <v>706</v>
      </c>
      <c r="B109" s="21"/>
      <c r="C109" s="22" t="s">
        <v>61</v>
      </c>
      <c r="D109" s="21"/>
      <c r="E109" s="21"/>
      <c r="F109" s="21"/>
      <c r="G109" s="23"/>
      <c r="H109" s="24"/>
      <c r="I109" s="23"/>
      <c r="J109" s="25" t="str">
        <f t="shared" si="13"/>
        <v/>
      </c>
      <c r="K109" s="23"/>
      <c r="L109" s="25" t="str">
        <f t="shared" si="13"/>
        <v/>
      </c>
      <c r="M109" s="23"/>
      <c r="N109" s="25" t="str">
        <f t="shared" si="13"/>
        <v/>
      </c>
    </row>
    <row r="110" spans="1:14" collapsed="1" x14ac:dyDescent="0.25">
      <c r="A110" s="26" t="s">
        <v>707</v>
      </c>
      <c r="B110" s="27"/>
      <c r="C110" s="27"/>
      <c r="D110" s="27" t="s">
        <v>51</v>
      </c>
      <c r="E110" s="27"/>
      <c r="F110" s="27"/>
      <c r="G110" s="28" t="s">
        <v>23</v>
      </c>
      <c r="H110" s="29">
        <v>25.5</v>
      </c>
      <c r="I110" s="28">
        <v>300</v>
      </c>
      <c r="J110" s="30">
        <f t="shared" si="13"/>
        <v>7650</v>
      </c>
      <c r="K110" s="28">
        <v>500</v>
      </c>
      <c r="L110" s="30">
        <f t="shared" si="13"/>
        <v>12750</v>
      </c>
      <c r="M110" s="28">
        <v>350</v>
      </c>
      <c r="N110" s="30">
        <f t="shared" si="13"/>
        <v>8925</v>
      </c>
    </row>
    <row r="111" spans="1:14" x14ac:dyDescent="0.25">
      <c r="A111" s="26" t="s">
        <v>708</v>
      </c>
      <c r="B111" s="27"/>
      <c r="C111" s="27"/>
      <c r="D111" s="27" t="s">
        <v>52</v>
      </c>
      <c r="E111" s="27"/>
      <c r="F111" s="27"/>
      <c r="G111" s="28" t="s">
        <v>23</v>
      </c>
      <c r="H111" s="29">
        <v>20.399999999999999</v>
      </c>
      <c r="I111" s="28">
        <v>400</v>
      </c>
      <c r="J111" s="30">
        <f t="shared" si="13"/>
        <v>8159.9999999999991</v>
      </c>
      <c r="K111" s="28">
        <v>200</v>
      </c>
      <c r="L111" s="30">
        <f t="shared" si="13"/>
        <v>4079.9999999999995</v>
      </c>
      <c r="M111" s="28">
        <v>350</v>
      </c>
      <c r="N111" s="30">
        <f t="shared" si="13"/>
        <v>7139.9999999999991</v>
      </c>
    </row>
    <row r="112" spans="1:14" x14ac:dyDescent="0.25">
      <c r="A112" s="26" t="s">
        <v>709</v>
      </c>
      <c r="B112" s="27"/>
      <c r="C112" s="27"/>
      <c r="D112" s="27" t="s">
        <v>538</v>
      </c>
      <c r="E112" s="27"/>
      <c r="F112" s="27"/>
      <c r="G112" s="28" t="s">
        <v>23</v>
      </c>
      <c r="H112" s="29">
        <v>12.24</v>
      </c>
      <c r="I112" s="28">
        <v>400</v>
      </c>
      <c r="J112" s="30">
        <f t="shared" ref="J112" si="18">IF($H112*I112=0,"",$H112*I112)</f>
        <v>4896</v>
      </c>
      <c r="K112" s="28">
        <v>200</v>
      </c>
      <c r="L112" s="30">
        <f t="shared" ref="L112:N112" si="19">IF($H112*K112=0,"",$H112*K112)</f>
        <v>2448</v>
      </c>
      <c r="M112" s="28">
        <v>350</v>
      </c>
      <c r="N112" s="30">
        <f t="shared" si="19"/>
        <v>4284</v>
      </c>
    </row>
    <row r="113" spans="1:14" x14ac:dyDescent="0.25">
      <c r="A113" s="20" t="s">
        <v>710</v>
      </c>
      <c r="B113" s="21"/>
      <c r="C113" s="22" t="s">
        <v>62</v>
      </c>
      <c r="D113" s="21"/>
      <c r="E113" s="21"/>
      <c r="F113" s="21"/>
      <c r="G113" s="23"/>
      <c r="H113" s="24"/>
      <c r="I113" s="23"/>
      <c r="J113" s="25" t="str">
        <f t="shared" si="13"/>
        <v/>
      </c>
      <c r="K113" s="23"/>
      <c r="L113" s="25" t="str">
        <f t="shared" si="13"/>
        <v/>
      </c>
      <c r="M113" s="23"/>
      <c r="N113" s="25" t="str">
        <f t="shared" si="13"/>
        <v/>
      </c>
    </row>
    <row r="114" spans="1:14" ht="15" customHeight="1" collapsed="1" x14ac:dyDescent="0.25">
      <c r="A114" s="26" t="s">
        <v>711</v>
      </c>
      <c r="B114" s="27"/>
      <c r="C114" s="27"/>
      <c r="D114" s="27" t="s">
        <v>63</v>
      </c>
      <c r="E114" s="27"/>
      <c r="F114" s="27"/>
      <c r="G114" s="28"/>
      <c r="H114" s="29"/>
      <c r="I114" s="28"/>
      <c r="J114" s="30" t="str">
        <f t="shared" si="13"/>
        <v/>
      </c>
      <c r="K114" s="28"/>
      <c r="L114" s="30" t="str">
        <f t="shared" si="13"/>
        <v/>
      </c>
      <c r="M114" s="28"/>
      <c r="N114" s="30" t="str">
        <f t="shared" si="13"/>
        <v/>
      </c>
    </row>
    <row r="115" spans="1:14" ht="15" customHeight="1" x14ac:dyDescent="0.25">
      <c r="A115" s="37" t="s">
        <v>712</v>
      </c>
      <c r="B115" s="33"/>
      <c r="C115" s="33"/>
      <c r="D115" s="33"/>
      <c r="E115" s="33" t="s">
        <v>64</v>
      </c>
      <c r="F115" s="33"/>
      <c r="G115" s="34" t="s">
        <v>65</v>
      </c>
      <c r="H115" s="38">
        <v>195</v>
      </c>
      <c r="I115" s="34">
        <v>150</v>
      </c>
      <c r="J115" s="39">
        <f t="shared" si="13"/>
        <v>29250</v>
      </c>
      <c r="K115" s="34">
        <v>50</v>
      </c>
      <c r="L115" s="39">
        <f t="shared" si="13"/>
        <v>9750</v>
      </c>
      <c r="M115" s="34">
        <v>100</v>
      </c>
      <c r="N115" s="39">
        <f t="shared" si="13"/>
        <v>19500</v>
      </c>
    </row>
    <row r="116" spans="1:14" ht="15" customHeight="1" x14ac:dyDescent="0.25">
      <c r="A116" s="37" t="s">
        <v>713</v>
      </c>
      <c r="B116" s="33"/>
      <c r="C116" s="33"/>
      <c r="D116" s="33"/>
      <c r="E116" s="33" t="s">
        <v>66</v>
      </c>
      <c r="F116" s="33"/>
      <c r="G116" s="34" t="s">
        <v>65</v>
      </c>
      <c r="H116" s="38">
        <v>165</v>
      </c>
      <c r="I116" s="34">
        <v>250</v>
      </c>
      <c r="J116" s="39">
        <f t="shared" si="13"/>
        <v>41250</v>
      </c>
      <c r="K116" s="34">
        <v>350</v>
      </c>
      <c r="L116" s="39">
        <f t="shared" si="13"/>
        <v>57750</v>
      </c>
      <c r="M116" s="34">
        <v>300</v>
      </c>
      <c r="N116" s="39">
        <f t="shared" si="13"/>
        <v>49500</v>
      </c>
    </row>
    <row r="117" spans="1:14" ht="15" customHeight="1" x14ac:dyDescent="0.25">
      <c r="A117" s="26" t="s">
        <v>714</v>
      </c>
      <c r="B117" s="27"/>
      <c r="C117" s="27"/>
      <c r="D117" s="27" t="s">
        <v>67</v>
      </c>
      <c r="E117" s="27"/>
      <c r="F117" s="27"/>
      <c r="G117" s="28"/>
      <c r="H117" s="29"/>
      <c r="I117" s="28"/>
      <c r="J117" s="30" t="str">
        <f t="shared" si="13"/>
        <v/>
      </c>
      <c r="K117" s="28"/>
      <c r="L117" s="30" t="str">
        <f t="shared" si="13"/>
        <v/>
      </c>
      <c r="M117" s="28"/>
      <c r="N117" s="30" t="str">
        <f t="shared" si="13"/>
        <v/>
      </c>
    </row>
    <row r="118" spans="1:14" ht="15" customHeight="1" collapsed="1" x14ac:dyDescent="0.25">
      <c r="A118" s="37" t="s">
        <v>715</v>
      </c>
      <c r="B118" s="33"/>
      <c r="C118" s="33"/>
      <c r="D118" s="33"/>
      <c r="E118" s="33" t="s">
        <v>64</v>
      </c>
      <c r="F118" s="33"/>
      <c r="G118" s="34" t="s">
        <v>65</v>
      </c>
      <c r="H118" s="38">
        <v>215</v>
      </c>
      <c r="I118" s="34">
        <v>50</v>
      </c>
      <c r="J118" s="39">
        <f t="shared" si="13"/>
        <v>10750</v>
      </c>
      <c r="K118" s="34">
        <v>0</v>
      </c>
      <c r="L118" s="39" t="str">
        <f t="shared" si="13"/>
        <v/>
      </c>
      <c r="M118" s="34">
        <v>100</v>
      </c>
      <c r="N118" s="39">
        <f t="shared" si="13"/>
        <v>21500</v>
      </c>
    </row>
    <row r="119" spans="1:14" ht="15" customHeight="1" x14ac:dyDescent="0.25">
      <c r="A119" s="37" t="s">
        <v>716</v>
      </c>
      <c r="B119" s="33"/>
      <c r="C119" s="33"/>
      <c r="D119" s="33"/>
      <c r="E119" s="33" t="s">
        <v>66</v>
      </c>
      <c r="F119" s="33"/>
      <c r="G119" s="34" t="s">
        <v>65</v>
      </c>
      <c r="H119" s="38">
        <v>195</v>
      </c>
      <c r="I119" s="34">
        <v>100</v>
      </c>
      <c r="J119" s="39">
        <f t="shared" si="13"/>
        <v>19500</v>
      </c>
      <c r="K119" s="34">
        <v>150</v>
      </c>
      <c r="L119" s="39">
        <f t="shared" si="13"/>
        <v>29250</v>
      </c>
      <c r="M119" s="34">
        <v>50</v>
      </c>
      <c r="N119" s="39">
        <f t="shared" si="13"/>
        <v>9750</v>
      </c>
    </row>
    <row r="120" spans="1:14" x14ac:dyDescent="0.25">
      <c r="A120" s="20" t="s">
        <v>717</v>
      </c>
      <c r="B120" s="21"/>
      <c r="C120" s="22" t="s">
        <v>68</v>
      </c>
      <c r="D120" s="21"/>
      <c r="E120" s="21"/>
      <c r="F120" s="21"/>
      <c r="G120" s="23"/>
      <c r="H120" s="24"/>
      <c r="I120" s="23"/>
      <c r="J120" s="25" t="str">
        <f t="shared" si="13"/>
        <v/>
      </c>
      <c r="K120" s="23"/>
      <c r="L120" s="25" t="str">
        <f t="shared" si="13"/>
        <v/>
      </c>
      <c r="M120" s="23"/>
      <c r="N120" s="25" t="str">
        <f t="shared" si="13"/>
        <v/>
      </c>
    </row>
    <row r="121" spans="1:14" collapsed="1" x14ac:dyDescent="0.25">
      <c r="A121" s="26" t="s">
        <v>718</v>
      </c>
      <c r="B121" s="27"/>
      <c r="C121" s="27"/>
      <c r="D121" s="27" t="s">
        <v>69</v>
      </c>
      <c r="E121" s="27"/>
      <c r="F121" s="27"/>
      <c r="G121" s="28" t="s">
        <v>27</v>
      </c>
      <c r="H121" s="29">
        <v>122.4</v>
      </c>
      <c r="I121" s="28">
        <v>100</v>
      </c>
      <c r="J121" s="30">
        <f t="shared" si="13"/>
        <v>12240</v>
      </c>
      <c r="K121" s="28">
        <v>80</v>
      </c>
      <c r="L121" s="30">
        <f t="shared" si="13"/>
        <v>9792</v>
      </c>
      <c r="M121" s="28">
        <v>50</v>
      </c>
      <c r="N121" s="30">
        <f t="shared" si="13"/>
        <v>6120</v>
      </c>
    </row>
    <row r="122" spans="1:14" x14ac:dyDescent="0.25">
      <c r="A122" s="26" t="s">
        <v>719</v>
      </c>
      <c r="B122" s="27"/>
      <c r="C122" s="27"/>
      <c r="D122" s="27" t="s">
        <v>70</v>
      </c>
      <c r="E122" s="27"/>
      <c r="F122" s="27"/>
      <c r="G122" s="28" t="s">
        <v>27</v>
      </c>
      <c r="H122" s="29">
        <v>255</v>
      </c>
      <c r="I122" s="28">
        <v>100</v>
      </c>
      <c r="J122" s="30">
        <f t="shared" si="13"/>
        <v>25500</v>
      </c>
      <c r="K122" s="28">
        <v>120</v>
      </c>
      <c r="L122" s="30">
        <f t="shared" si="13"/>
        <v>30600</v>
      </c>
      <c r="M122" s="28">
        <v>150</v>
      </c>
      <c r="N122" s="30">
        <f t="shared" si="13"/>
        <v>38250</v>
      </c>
    </row>
    <row r="123" spans="1:14" x14ac:dyDescent="0.25">
      <c r="A123" s="26" t="s">
        <v>720</v>
      </c>
      <c r="B123" s="27"/>
      <c r="C123" s="27"/>
      <c r="D123" s="27" t="s">
        <v>71</v>
      </c>
      <c r="E123" s="27"/>
      <c r="F123" s="27"/>
      <c r="G123" s="28"/>
      <c r="H123" s="29"/>
      <c r="I123" s="28"/>
      <c r="J123" s="30" t="str">
        <f>IF($H123*I123=0,"",$H123*I123)</f>
        <v/>
      </c>
      <c r="K123" s="28"/>
      <c r="L123" s="30" t="str">
        <f>IF($H123*K123=0,"",$H123*K123)</f>
        <v/>
      </c>
      <c r="M123" s="28"/>
      <c r="N123" s="30" t="str">
        <f>IF($H123*M123=0,"",$H123*M123)</f>
        <v/>
      </c>
    </row>
    <row r="124" spans="1:14" x14ac:dyDescent="0.25">
      <c r="A124" s="26" t="s">
        <v>721</v>
      </c>
      <c r="B124" s="27"/>
      <c r="C124" s="27"/>
      <c r="D124" s="27"/>
      <c r="E124" s="33" t="s">
        <v>72</v>
      </c>
      <c r="F124" s="27"/>
      <c r="G124" s="34" t="s">
        <v>27</v>
      </c>
      <c r="H124" s="29">
        <v>95</v>
      </c>
      <c r="I124" s="28">
        <v>50</v>
      </c>
      <c r="J124" s="30">
        <f>IF($H124*I124=0,"",$H124*I124)</f>
        <v>4750</v>
      </c>
      <c r="K124" s="28">
        <v>80</v>
      </c>
      <c r="L124" s="30">
        <f>IF($H124*K124=0,"",$H124*K124)</f>
        <v>7600</v>
      </c>
      <c r="M124" s="28">
        <v>100</v>
      </c>
      <c r="N124" s="30">
        <f>IF($H124*M124=0,"",$H124*M124)</f>
        <v>9500</v>
      </c>
    </row>
    <row r="125" spans="1:14" x14ac:dyDescent="0.25">
      <c r="A125" s="26" t="s">
        <v>722</v>
      </c>
      <c r="B125" s="27"/>
      <c r="C125" s="27"/>
      <c r="D125" s="27"/>
      <c r="E125" s="33" t="s">
        <v>73</v>
      </c>
      <c r="F125" s="27"/>
      <c r="G125" s="34" t="s">
        <v>27</v>
      </c>
      <c r="H125" s="29">
        <v>135</v>
      </c>
      <c r="I125" s="28">
        <v>100</v>
      </c>
      <c r="J125" s="30">
        <f t="shared" ref="J125:N177" si="20">IF($H125*I125=0,"",$H125*I125)</f>
        <v>13500</v>
      </c>
      <c r="K125" s="28">
        <v>80</v>
      </c>
      <c r="L125" s="30">
        <f t="shared" si="20"/>
        <v>10800</v>
      </c>
      <c r="M125" s="28">
        <v>50</v>
      </c>
      <c r="N125" s="30">
        <f t="shared" si="20"/>
        <v>6750</v>
      </c>
    </row>
    <row r="126" spans="1:14" x14ac:dyDescent="0.25">
      <c r="A126" s="26" t="s">
        <v>723</v>
      </c>
      <c r="B126" s="27"/>
      <c r="C126" s="27"/>
      <c r="D126" s="27" t="s">
        <v>74</v>
      </c>
      <c r="E126" s="27"/>
      <c r="F126" s="27"/>
      <c r="G126" s="28" t="s">
        <v>27</v>
      </c>
      <c r="H126" s="29">
        <v>31</v>
      </c>
      <c r="I126" s="28">
        <v>50</v>
      </c>
      <c r="J126" s="30">
        <f t="shared" si="20"/>
        <v>1550</v>
      </c>
      <c r="K126" s="28">
        <v>80</v>
      </c>
      <c r="L126" s="30">
        <f t="shared" si="20"/>
        <v>2480</v>
      </c>
      <c r="M126" s="28">
        <v>50</v>
      </c>
      <c r="N126" s="30">
        <f t="shared" si="20"/>
        <v>1550</v>
      </c>
    </row>
    <row r="127" spans="1:14" x14ac:dyDescent="0.25">
      <c r="A127" s="20" t="s">
        <v>724</v>
      </c>
      <c r="B127" s="21"/>
      <c r="C127" s="22" t="s">
        <v>75</v>
      </c>
      <c r="D127" s="21"/>
      <c r="E127" s="21"/>
      <c r="F127" s="21"/>
      <c r="G127" s="23" t="s">
        <v>18</v>
      </c>
      <c r="H127" s="25">
        <v>14</v>
      </c>
      <c r="I127" s="23">
        <v>100</v>
      </c>
      <c r="J127" s="25">
        <f t="shared" si="20"/>
        <v>1400</v>
      </c>
      <c r="K127" s="23">
        <v>80</v>
      </c>
      <c r="L127" s="25">
        <f t="shared" si="20"/>
        <v>1120</v>
      </c>
      <c r="M127" s="23">
        <v>120</v>
      </c>
      <c r="N127" s="25">
        <f t="shared" si="20"/>
        <v>1680</v>
      </c>
    </row>
    <row r="128" spans="1:14" x14ac:dyDescent="0.25">
      <c r="A128" s="20" t="s">
        <v>725</v>
      </c>
      <c r="B128" s="21"/>
      <c r="C128" s="22" t="s">
        <v>76</v>
      </c>
      <c r="D128" s="21"/>
      <c r="E128" s="21"/>
      <c r="F128" s="21"/>
      <c r="G128" s="23"/>
      <c r="H128" s="23"/>
      <c r="I128" s="23"/>
      <c r="J128" s="25" t="str">
        <f t="shared" si="20"/>
        <v/>
      </c>
      <c r="K128" s="23"/>
      <c r="L128" s="25" t="str">
        <f t="shared" si="20"/>
        <v/>
      </c>
      <c r="M128" s="23"/>
      <c r="N128" s="25" t="str">
        <f t="shared" si="20"/>
        <v/>
      </c>
    </row>
    <row r="129" spans="1:14" collapsed="1" x14ac:dyDescent="0.25">
      <c r="A129" s="26" t="s">
        <v>726</v>
      </c>
      <c r="B129" s="27"/>
      <c r="C129" s="27"/>
      <c r="D129" s="27" t="s">
        <v>77</v>
      </c>
      <c r="E129" s="27"/>
      <c r="F129" s="27"/>
      <c r="G129" s="28" t="s">
        <v>18</v>
      </c>
      <c r="H129" s="29">
        <v>51</v>
      </c>
      <c r="I129" s="28">
        <v>150</v>
      </c>
      <c r="J129" s="30">
        <f t="shared" si="20"/>
        <v>7650</v>
      </c>
      <c r="K129" s="28">
        <v>100</v>
      </c>
      <c r="L129" s="30">
        <f t="shared" si="20"/>
        <v>5100</v>
      </c>
      <c r="M129" s="28">
        <v>150</v>
      </c>
      <c r="N129" s="30">
        <f t="shared" si="20"/>
        <v>7650</v>
      </c>
    </row>
    <row r="130" spans="1:14" x14ac:dyDescent="0.25">
      <c r="A130" s="26" t="s">
        <v>727</v>
      </c>
      <c r="B130" s="27"/>
      <c r="C130" s="27"/>
      <c r="D130" s="27" t="s">
        <v>78</v>
      </c>
      <c r="E130" s="27"/>
      <c r="F130" s="27"/>
      <c r="G130" s="28" t="s">
        <v>18</v>
      </c>
      <c r="H130" s="29">
        <v>56.1</v>
      </c>
      <c r="I130" s="28">
        <v>20</v>
      </c>
      <c r="J130" s="30">
        <f t="shared" si="20"/>
        <v>1122</v>
      </c>
      <c r="K130" s="28">
        <v>30</v>
      </c>
      <c r="L130" s="30">
        <f t="shared" si="20"/>
        <v>1683</v>
      </c>
      <c r="M130" s="28">
        <v>50</v>
      </c>
      <c r="N130" s="30">
        <f t="shared" si="20"/>
        <v>2805</v>
      </c>
    </row>
    <row r="131" spans="1:14" x14ac:dyDescent="0.25">
      <c r="A131" s="26" t="s">
        <v>728</v>
      </c>
      <c r="B131" s="27"/>
      <c r="C131" s="27"/>
      <c r="D131" s="27" t="s">
        <v>505</v>
      </c>
      <c r="E131" s="27"/>
      <c r="F131" s="27"/>
      <c r="G131" s="28" t="s">
        <v>18</v>
      </c>
      <c r="H131" s="29">
        <v>25.5</v>
      </c>
      <c r="I131" s="28">
        <v>200</v>
      </c>
      <c r="J131" s="30">
        <f t="shared" ref="J131:N131" si="21">IF($H131*I131=0,"",$H131*I131)</f>
        <v>5100</v>
      </c>
      <c r="K131" s="28">
        <v>200</v>
      </c>
      <c r="L131" s="30">
        <f t="shared" si="21"/>
        <v>5100</v>
      </c>
      <c r="M131" s="28">
        <v>200</v>
      </c>
      <c r="N131" s="30">
        <f t="shared" si="21"/>
        <v>5100</v>
      </c>
    </row>
    <row r="132" spans="1:14" x14ac:dyDescent="0.25">
      <c r="A132" s="26" t="s">
        <v>729</v>
      </c>
      <c r="B132" s="27"/>
      <c r="C132" s="27"/>
      <c r="D132" s="27" t="s">
        <v>79</v>
      </c>
      <c r="E132" s="27"/>
      <c r="F132" s="27"/>
      <c r="G132" s="28"/>
      <c r="H132" s="29"/>
      <c r="I132" s="28"/>
      <c r="J132" s="30" t="str">
        <f t="shared" si="20"/>
        <v/>
      </c>
      <c r="K132" s="28"/>
      <c r="L132" s="30" t="str">
        <f t="shared" si="20"/>
        <v/>
      </c>
      <c r="M132" s="28"/>
      <c r="N132" s="30" t="str">
        <f t="shared" si="20"/>
        <v/>
      </c>
    </row>
    <row r="133" spans="1:14" x14ac:dyDescent="0.25">
      <c r="A133" s="26" t="s">
        <v>730</v>
      </c>
      <c r="B133" s="27"/>
      <c r="C133" s="27"/>
      <c r="D133" s="27"/>
      <c r="E133" s="27" t="s">
        <v>80</v>
      </c>
      <c r="F133" s="27"/>
      <c r="G133" s="28" t="s">
        <v>56</v>
      </c>
      <c r="H133" s="31">
        <v>4080</v>
      </c>
      <c r="I133" s="28">
        <v>3</v>
      </c>
      <c r="J133" s="32">
        <f t="shared" si="20"/>
        <v>12240</v>
      </c>
      <c r="K133" s="28">
        <v>8</v>
      </c>
      <c r="L133" s="32">
        <f t="shared" si="20"/>
        <v>32640</v>
      </c>
      <c r="M133" s="28">
        <v>5</v>
      </c>
      <c r="N133" s="32">
        <f t="shared" si="20"/>
        <v>20400</v>
      </c>
    </row>
    <row r="134" spans="1:14" x14ac:dyDescent="0.25">
      <c r="A134" s="26" t="s">
        <v>731</v>
      </c>
      <c r="B134" s="27"/>
      <c r="C134" s="27"/>
      <c r="D134" s="27"/>
      <c r="E134" s="27" t="s">
        <v>81</v>
      </c>
      <c r="F134" s="27"/>
      <c r="G134" s="28" t="s">
        <v>18</v>
      </c>
      <c r="H134" s="31">
        <v>290.7</v>
      </c>
      <c r="I134" s="28">
        <v>50</v>
      </c>
      <c r="J134" s="32">
        <f t="shared" si="20"/>
        <v>14535</v>
      </c>
      <c r="K134" s="28">
        <v>100</v>
      </c>
      <c r="L134" s="32">
        <f t="shared" si="20"/>
        <v>29070</v>
      </c>
      <c r="M134" s="28">
        <v>80</v>
      </c>
      <c r="N134" s="32">
        <f t="shared" si="20"/>
        <v>23256</v>
      </c>
    </row>
    <row r="135" spans="1:14" x14ac:dyDescent="0.25">
      <c r="A135" s="26" t="s">
        <v>732</v>
      </c>
      <c r="B135" s="27"/>
      <c r="C135" s="27"/>
      <c r="D135" s="27"/>
      <c r="E135" s="27" t="s">
        <v>82</v>
      </c>
      <c r="F135" s="27"/>
      <c r="G135" s="28" t="s">
        <v>18</v>
      </c>
      <c r="H135" s="31">
        <v>561</v>
      </c>
      <c r="I135" s="28">
        <v>30</v>
      </c>
      <c r="J135" s="32">
        <f t="shared" ref="J135" si="22">IF($H135*I135=0,"",$H135*I135)</f>
        <v>16830</v>
      </c>
      <c r="K135" s="28">
        <v>10</v>
      </c>
      <c r="L135" s="32">
        <f t="shared" ref="L135:N135" si="23">IF($H135*K135=0,"",$H135*K135)</f>
        <v>5610</v>
      </c>
      <c r="M135" s="28">
        <v>40</v>
      </c>
      <c r="N135" s="32">
        <f t="shared" si="23"/>
        <v>22440</v>
      </c>
    </row>
    <row r="136" spans="1:14" x14ac:dyDescent="0.25">
      <c r="A136" s="26" t="s">
        <v>733</v>
      </c>
      <c r="B136" s="27"/>
      <c r="C136" s="27"/>
      <c r="D136" s="27"/>
      <c r="E136" s="27" t="s">
        <v>582</v>
      </c>
      <c r="F136" s="27"/>
      <c r="G136" s="28" t="s">
        <v>18</v>
      </c>
      <c r="H136" s="31">
        <v>663</v>
      </c>
      <c r="I136" s="28">
        <v>30</v>
      </c>
      <c r="J136" s="32">
        <f t="shared" si="20"/>
        <v>19890</v>
      </c>
      <c r="K136" s="28">
        <v>10</v>
      </c>
      <c r="L136" s="32">
        <f t="shared" si="20"/>
        <v>6630</v>
      </c>
      <c r="M136" s="28">
        <v>40</v>
      </c>
      <c r="N136" s="32">
        <f t="shared" si="20"/>
        <v>26520</v>
      </c>
    </row>
    <row r="137" spans="1:14" x14ac:dyDescent="0.25">
      <c r="A137" s="20" t="s">
        <v>734</v>
      </c>
      <c r="B137" s="21"/>
      <c r="C137" s="22" t="s">
        <v>83</v>
      </c>
      <c r="D137" s="21"/>
      <c r="E137" s="21"/>
      <c r="F137" s="21"/>
      <c r="G137" s="23"/>
      <c r="H137" s="24"/>
      <c r="I137" s="23"/>
      <c r="J137" s="25" t="str">
        <f t="shared" si="20"/>
        <v/>
      </c>
      <c r="K137" s="23"/>
      <c r="L137" s="25" t="str">
        <f t="shared" si="20"/>
        <v/>
      </c>
      <c r="M137" s="23"/>
      <c r="N137" s="25" t="str">
        <f t="shared" si="20"/>
        <v/>
      </c>
    </row>
    <row r="138" spans="1:14" collapsed="1" x14ac:dyDescent="0.25">
      <c r="A138" s="26" t="s">
        <v>735</v>
      </c>
      <c r="B138" s="27"/>
      <c r="C138" s="27"/>
      <c r="D138" s="27" t="s">
        <v>84</v>
      </c>
      <c r="E138" s="27"/>
      <c r="F138" s="27"/>
      <c r="G138" s="28" t="s">
        <v>27</v>
      </c>
      <c r="H138" s="29">
        <v>81.599999999999994</v>
      </c>
      <c r="I138" s="28">
        <v>100</v>
      </c>
      <c r="J138" s="30">
        <f t="shared" si="20"/>
        <v>8159.9999999999991</v>
      </c>
      <c r="K138" s="28">
        <v>150</v>
      </c>
      <c r="L138" s="30">
        <f t="shared" si="20"/>
        <v>12240</v>
      </c>
      <c r="M138" s="28">
        <v>130</v>
      </c>
      <c r="N138" s="30">
        <f t="shared" si="20"/>
        <v>10608</v>
      </c>
    </row>
    <row r="139" spans="1:14" x14ac:dyDescent="0.25">
      <c r="A139" s="26" t="s">
        <v>736</v>
      </c>
      <c r="B139" s="27"/>
      <c r="C139" s="27"/>
      <c r="D139" s="27" t="s">
        <v>85</v>
      </c>
      <c r="E139" s="27"/>
      <c r="F139" s="27"/>
      <c r="G139" s="28" t="s">
        <v>27</v>
      </c>
      <c r="H139" s="29">
        <v>56.1</v>
      </c>
      <c r="I139" s="28">
        <v>100</v>
      </c>
      <c r="J139" s="30">
        <f t="shared" si="20"/>
        <v>5610</v>
      </c>
      <c r="K139" s="28">
        <v>150</v>
      </c>
      <c r="L139" s="30">
        <f t="shared" si="20"/>
        <v>8415</v>
      </c>
      <c r="M139" s="28">
        <v>130</v>
      </c>
      <c r="N139" s="30">
        <f t="shared" si="20"/>
        <v>7293</v>
      </c>
    </row>
    <row r="140" spans="1:14" collapsed="1" x14ac:dyDescent="0.25">
      <c r="A140" s="26" t="s">
        <v>737</v>
      </c>
      <c r="B140" s="27"/>
      <c r="C140" s="27"/>
      <c r="D140" s="27" t="s">
        <v>86</v>
      </c>
      <c r="E140" s="27"/>
      <c r="F140" s="27"/>
      <c r="G140" s="28" t="s">
        <v>27</v>
      </c>
      <c r="H140" s="29">
        <v>35.700000000000003</v>
      </c>
      <c r="I140" s="28">
        <v>80</v>
      </c>
      <c r="J140" s="30">
        <f t="shared" si="20"/>
        <v>2856</v>
      </c>
      <c r="K140" s="28">
        <v>100</v>
      </c>
      <c r="L140" s="30">
        <f t="shared" si="20"/>
        <v>3570.0000000000005</v>
      </c>
      <c r="M140" s="28">
        <v>20</v>
      </c>
      <c r="N140" s="30">
        <f t="shared" si="20"/>
        <v>714</v>
      </c>
    </row>
    <row r="141" spans="1:14" x14ac:dyDescent="0.25">
      <c r="A141" s="20" t="s">
        <v>738</v>
      </c>
      <c r="B141" s="21"/>
      <c r="C141" s="22" t="s">
        <v>87</v>
      </c>
      <c r="D141" s="21"/>
      <c r="E141" s="21"/>
      <c r="F141" s="21"/>
      <c r="G141" s="23"/>
      <c r="H141" s="24"/>
      <c r="I141" s="23"/>
      <c r="J141" s="25" t="str">
        <f t="shared" si="20"/>
        <v/>
      </c>
      <c r="K141" s="23"/>
      <c r="L141" s="25" t="str">
        <f t="shared" si="20"/>
        <v/>
      </c>
      <c r="M141" s="23"/>
      <c r="N141" s="25" t="str">
        <f t="shared" si="20"/>
        <v/>
      </c>
    </row>
    <row r="142" spans="1:14" collapsed="1" x14ac:dyDescent="0.25">
      <c r="A142" s="26" t="s">
        <v>739</v>
      </c>
      <c r="B142" s="27"/>
      <c r="C142" s="27"/>
      <c r="D142" s="27" t="s">
        <v>88</v>
      </c>
      <c r="E142" s="27"/>
      <c r="F142" s="27"/>
      <c r="G142" s="28" t="s">
        <v>27</v>
      </c>
      <c r="H142" s="29">
        <v>204</v>
      </c>
      <c r="I142" s="28">
        <v>100</v>
      </c>
      <c r="J142" s="30">
        <f t="shared" si="20"/>
        <v>20400</v>
      </c>
      <c r="K142" s="28">
        <v>150</v>
      </c>
      <c r="L142" s="30">
        <f t="shared" si="20"/>
        <v>30600</v>
      </c>
      <c r="M142" s="28">
        <v>130</v>
      </c>
      <c r="N142" s="30">
        <f t="shared" si="20"/>
        <v>26520</v>
      </c>
    </row>
    <row r="143" spans="1:14" x14ac:dyDescent="0.25">
      <c r="A143" s="26" t="s">
        <v>740</v>
      </c>
      <c r="B143" s="27"/>
      <c r="C143" s="27"/>
      <c r="D143" s="27" t="s">
        <v>89</v>
      </c>
      <c r="E143" s="27"/>
      <c r="F143" s="27"/>
      <c r="G143" s="28" t="s">
        <v>27</v>
      </c>
      <c r="H143" s="29">
        <v>255</v>
      </c>
      <c r="I143" s="28">
        <v>100</v>
      </c>
      <c r="J143" s="30">
        <f t="shared" si="20"/>
        <v>25500</v>
      </c>
      <c r="K143" s="28">
        <v>150</v>
      </c>
      <c r="L143" s="30">
        <f t="shared" si="20"/>
        <v>38250</v>
      </c>
      <c r="M143" s="28">
        <v>130</v>
      </c>
      <c r="N143" s="30">
        <f t="shared" si="20"/>
        <v>33150</v>
      </c>
    </row>
    <row r="144" spans="1:14" x14ac:dyDescent="0.25">
      <c r="A144" s="20" t="s">
        <v>741</v>
      </c>
      <c r="B144" s="21"/>
      <c r="C144" s="22" t="s">
        <v>90</v>
      </c>
      <c r="D144" s="21"/>
      <c r="E144" s="21"/>
      <c r="F144" s="21"/>
      <c r="G144" s="23"/>
      <c r="H144" s="24"/>
      <c r="I144" s="23"/>
      <c r="J144" s="25" t="str">
        <f t="shared" si="20"/>
        <v/>
      </c>
      <c r="K144" s="23"/>
      <c r="L144" s="25" t="str">
        <f t="shared" si="20"/>
        <v/>
      </c>
      <c r="M144" s="23"/>
      <c r="N144" s="25" t="str">
        <f t="shared" si="20"/>
        <v/>
      </c>
    </row>
    <row r="145" spans="1:14" collapsed="1" x14ac:dyDescent="0.25">
      <c r="A145" s="26" t="s">
        <v>742</v>
      </c>
      <c r="B145" s="27"/>
      <c r="C145" s="27"/>
      <c r="D145" s="27" t="s">
        <v>91</v>
      </c>
      <c r="E145" s="27"/>
      <c r="F145" s="27"/>
      <c r="G145" s="28" t="s">
        <v>27</v>
      </c>
      <c r="H145" s="29">
        <v>16</v>
      </c>
      <c r="I145" s="28">
        <v>100</v>
      </c>
      <c r="J145" s="30">
        <f t="shared" si="20"/>
        <v>1600</v>
      </c>
      <c r="K145" s="28">
        <v>70</v>
      </c>
      <c r="L145" s="30">
        <f t="shared" si="20"/>
        <v>1120</v>
      </c>
      <c r="M145" s="28">
        <v>120</v>
      </c>
      <c r="N145" s="30">
        <f t="shared" si="20"/>
        <v>1920</v>
      </c>
    </row>
    <row r="146" spans="1:14" x14ac:dyDescent="0.25">
      <c r="A146" s="26" t="s">
        <v>743</v>
      </c>
      <c r="B146" s="27"/>
      <c r="C146" s="27"/>
      <c r="D146" s="27" t="s">
        <v>92</v>
      </c>
      <c r="E146" s="27"/>
      <c r="F146" s="27"/>
      <c r="G146" s="28" t="s">
        <v>18</v>
      </c>
      <c r="H146" s="29">
        <v>17</v>
      </c>
      <c r="I146" s="28">
        <v>20</v>
      </c>
      <c r="J146" s="30">
        <f t="shared" si="20"/>
        <v>340</v>
      </c>
      <c r="K146" s="28">
        <v>30</v>
      </c>
      <c r="L146" s="30">
        <f t="shared" si="20"/>
        <v>510</v>
      </c>
      <c r="M146" s="28">
        <v>10</v>
      </c>
      <c r="N146" s="30">
        <f t="shared" si="20"/>
        <v>170</v>
      </c>
    </row>
    <row r="147" spans="1:14" x14ac:dyDescent="0.25">
      <c r="A147" s="26" t="s">
        <v>744</v>
      </c>
      <c r="B147" s="27"/>
      <c r="C147" s="27"/>
      <c r="D147" s="27" t="s">
        <v>93</v>
      </c>
      <c r="E147" s="27"/>
      <c r="F147" s="27"/>
      <c r="G147" s="28" t="s">
        <v>27</v>
      </c>
      <c r="H147" s="29">
        <v>41</v>
      </c>
      <c r="I147" s="28">
        <v>20</v>
      </c>
      <c r="J147" s="30">
        <f t="shared" si="20"/>
        <v>820</v>
      </c>
      <c r="K147" s="28">
        <v>30</v>
      </c>
      <c r="L147" s="30">
        <f t="shared" si="20"/>
        <v>1230</v>
      </c>
      <c r="M147" s="28">
        <v>20</v>
      </c>
      <c r="N147" s="30">
        <f t="shared" si="20"/>
        <v>820</v>
      </c>
    </row>
    <row r="148" spans="1:14" x14ac:dyDescent="0.25">
      <c r="A148" s="26" t="s">
        <v>745</v>
      </c>
      <c r="B148" s="27"/>
      <c r="C148" s="27"/>
      <c r="D148" s="27" t="s">
        <v>539</v>
      </c>
      <c r="E148" s="27"/>
      <c r="F148" s="27"/>
      <c r="G148" s="28"/>
      <c r="H148" s="29"/>
      <c r="I148" s="28"/>
      <c r="J148" s="30" t="str">
        <f t="shared" si="20"/>
        <v/>
      </c>
      <c r="K148" s="28"/>
      <c r="L148" s="30" t="str">
        <f t="shared" si="20"/>
        <v/>
      </c>
      <c r="M148" s="28"/>
      <c r="N148" s="30" t="str">
        <f t="shared" si="20"/>
        <v/>
      </c>
    </row>
    <row r="149" spans="1:14" x14ac:dyDescent="0.25">
      <c r="A149" s="37" t="s">
        <v>746</v>
      </c>
      <c r="B149" s="33"/>
      <c r="C149" s="33"/>
      <c r="D149" s="33"/>
      <c r="E149" s="33" t="s">
        <v>540</v>
      </c>
      <c r="F149" s="33"/>
      <c r="G149" s="34" t="s">
        <v>18</v>
      </c>
      <c r="H149" s="38">
        <v>10</v>
      </c>
      <c r="I149" s="34">
        <v>600</v>
      </c>
      <c r="J149" s="39">
        <f t="shared" ref="J149:J151" si="24">IF($H149*I149=0,"",$H149*I149)</f>
        <v>6000</v>
      </c>
      <c r="K149" s="34">
        <v>800</v>
      </c>
      <c r="L149" s="39">
        <f t="shared" ref="L149:N151" si="25">IF($H149*K149=0,"",$H149*K149)</f>
        <v>8000</v>
      </c>
      <c r="M149" s="34">
        <v>650</v>
      </c>
      <c r="N149" s="39">
        <f t="shared" si="25"/>
        <v>6500</v>
      </c>
    </row>
    <row r="150" spans="1:14" x14ac:dyDescent="0.25">
      <c r="A150" s="37" t="s">
        <v>747</v>
      </c>
      <c r="B150" s="33"/>
      <c r="C150" s="33"/>
      <c r="D150" s="33"/>
      <c r="E150" s="33" t="s">
        <v>541</v>
      </c>
      <c r="F150" s="33"/>
      <c r="G150" s="34" t="s">
        <v>18</v>
      </c>
      <c r="H150" s="38">
        <v>11.5</v>
      </c>
      <c r="I150" s="34">
        <v>400</v>
      </c>
      <c r="J150" s="39">
        <f t="shared" si="24"/>
        <v>4600</v>
      </c>
      <c r="K150" s="34">
        <v>600</v>
      </c>
      <c r="L150" s="39">
        <f t="shared" si="25"/>
        <v>6900</v>
      </c>
      <c r="M150" s="34">
        <v>500</v>
      </c>
      <c r="N150" s="39">
        <f t="shared" si="25"/>
        <v>5750</v>
      </c>
    </row>
    <row r="151" spans="1:14" x14ac:dyDescent="0.25">
      <c r="A151" s="37" t="s">
        <v>747</v>
      </c>
      <c r="B151" s="33"/>
      <c r="C151" s="33"/>
      <c r="D151" s="33"/>
      <c r="E151" s="33" t="s">
        <v>542</v>
      </c>
      <c r="F151" s="33"/>
      <c r="G151" s="34" t="s">
        <v>18</v>
      </c>
      <c r="H151" s="38">
        <v>15</v>
      </c>
      <c r="I151" s="34">
        <v>400</v>
      </c>
      <c r="J151" s="39">
        <f t="shared" si="24"/>
        <v>6000</v>
      </c>
      <c r="K151" s="34">
        <v>500</v>
      </c>
      <c r="L151" s="39">
        <f t="shared" si="25"/>
        <v>7500</v>
      </c>
      <c r="M151" s="34">
        <v>450</v>
      </c>
      <c r="N151" s="39">
        <f t="shared" si="25"/>
        <v>6750</v>
      </c>
    </row>
    <row r="152" spans="1:14" x14ac:dyDescent="0.25">
      <c r="A152" s="37" t="s">
        <v>748</v>
      </c>
      <c r="B152" s="33"/>
      <c r="C152" s="33"/>
      <c r="D152" s="33"/>
      <c r="E152" s="33" t="s">
        <v>524</v>
      </c>
      <c r="F152" s="33"/>
      <c r="G152" s="34" t="s">
        <v>18</v>
      </c>
      <c r="H152" s="38">
        <v>19</v>
      </c>
      <c r="I152" s="34">
        <v>600</v>
      </c>
      <c r="J152" s="39">
        <f t="shared" si="20"/>
        <v>11400</v>
      </c>
      <c r="K152" s="34">
        <v>800</v>
      </c>
      <c r="L152" s="39">
        <f t="shared" si="20"/>
        <v>15200</v>
      </c>
      <c r="M152" s="34">
        <v>700</v>
      </c>
      <c r="N152" s="39">
        <f t="shared" si="20"/>
        <v>13300</v>
      </c>
    </row>
    <row r="153" spans="1:14" ht="15" customHeight="1" x14ac:dyDescent="0.25">
      <c r="A153" s="26" t="s">
        <v>749</v>
      </c>
      <c r="B153" s="27"/>
      <c r="C153" s="27"/>
      <c r="D153" s="27" t="s">
        <v>94</v>
      </c>
      <c r="E153" s="27"/>
      <c r="F153" s="27"/>
      <c r="G153" s="28" t="s">
        <v>27</v>
      </c>
      <c r="H153" s="29">
        <v>35</v>
      </c>
      <c r="I153" s="28">
        <v>30</v>
      </c>
      <c r="J153" s="30">
        <f t="shared" si="20"/>
        <v>1050</v>
      </c>
      <c r="K153" s="28">
        <v>25</v>
      </c>
      <c r="L153" s="30">
        <f t="shared" si="20"/>
        <v>875</v>
      </c>
      <c r="M153" s="28">
        <v>50</v>
      </c>
      <c r="N153" s="30">
        <f t="shared" si="20"/>
        <v>1750</v>
      </c>
    </row>
    <row r="154" spans="1:14" x14ac:dyDescent="0.25">
      <c r="A154" s="26" t="s">
        <v>750</v>
      </c>
      <c r="B154" s="27"/>
      <c r="C154" s="27"/>
      <c r="D154" s="27" t="s">
        <v>95</v>
      </c>
      <c r="E154" s="27"/>
      <c r="F154" s="27"/>
      <c r="G154" s="28" t="s">
        <v>27</v>
      </c>
      <c r="H154" s="29">
        <v>30</v>
      </c>
      <c r="I154" s="28">
        <v>15</v>
      </c>
      <c r="J154" s="30">
        <f t="shared" si="20"/>
        <v>450</v>
      </c>
      <c r="K154" s="28">
        <v>40</v>
      </c>
      <c r="L154" s="30">
        <f t="shared" si="20"/>
        <v>1200</v>
      </c>
      <c r="M154" s="28">
        <v>15</v>
      </c>
      <c r="N154" s="30">
        <f t="shared" si="20"/>
        <v>450</v>
      </c>
    </row>
    <row r="155" spans="1:14" x14ac:dyDescent="0.25">
      <c r="A155" s="26" t="s">
        <v>751</v>
      </c>
      <c r="B155" s="27"/>
      <c r="C155" s="27"/>
      <c r="D155" s="27" t="s">
        <v>96</v>
      </c>
      <c r="E155" s="27"/>
      <c r="F155" s="27"/>
      <c r="G155" s="28" t="s">
        <v>27</v>
      </c>
      <c r="H155" s="29">
        <v>816</v>
      </c>
      <c r="I155" s="28">
        <v>5</v>
      </c>
      <c r="J155" s="30">
        <f t="shared" si="20"/>
        <v>4080</v>
      </c>
      <c r="K155" s="28">
        <v>4</v>
      </c>
      <c r="L155" s="30">
        <f t="shared" si="20"/>
        <v>3264</v>
      </c>
      <c r="M155" s="28">
        <v>15</v>
      </c>
      <c r="N155" s="30">
        <f t="shared" si="20"/>
        <v>12240</v>
      </c>
    </row>
    <row r="156" spans="1:14" x14ac:dyDescent="0.25">
      <c r="A156" s="26" t="s">
        <v>752</v>
      </c>
      <c r="B156" s="27"/>
      <c r="C156" s="27"/>
      <c r="D156" s="27" t="s">
        <v>97</v>
      </c>
      <c r="E156" s="27"/>
      <c r="F156" s="27"/>
      <c r="G156" s="28" t="s">
        <v>27</v>
      </c>
      <c r="H156" s="29">
        <v>50</v>
      </c>
      <c r="I156" s="28">
        <v>10</v>
      </c>
      <c r="J156" s="30">
        <f t="shared" si="20"/>
        <v>500</v>
      </c>
      <c r="K156" s="28">
        <v>15</v>
      </c>
      <c r="L156" s="30">
        <f t="shared" si="20"/>
        <v>750</v>
      </c>
      <c r="M156" s="28">
        <v>15</v>
      </c>
      <c r="N156" s="30">
        <f t="shared" si="20"/>
        <v>750</v>
      </c>
    </row>
    <row r="157" spans="1:14" x14ac:dyDescent="0.25">
      <c r="A157" s="26" t="s">
        <v>753</v>
      </c>
      <c r="B157" s="27"/>
      <c r="C157" s="27"/>
      <c r="D157" s="27" t="s">
        <v>98</v>
      </c>
      <c r="E157" s="27"/>
      <c r="F157" s="27"/>
      <c r="G157" s="28" t="s">
        <v>27</v>
      </c>
      <c r="H157" s="29">
        <v>145</v>
      </c>
      <c r="I157" s="28">
        <v>5</v>
      </c>
      <c r="J157" s="30">
        <f t="shared" si="20"/>
        <v>725</v>
      </c>
      <c r="K157" s="28">
        <v>4</v>
      </c>
      <c r="L157" s="30">
        <f t="shared" si="20"/>
        <v>580</v>
      </c>
      <c r="M157" s="28">
        <v>8</v>
      </c>
      <c r="N157" s="30">
        <f t="shared" si="20"/>
        <v>1160</v>
      </c>
    </row>
    <row r="158" spans="1:14" x14ac:dyDescent="0.25">
      <c r="A158" s="26" t="s">
        <v>754</v>
      </c>
      <c r="B158" s="27"/>
      <c r="C158" s="27"/>
      <c r="D158" s="27" t="s">
        <v>99</v>
      </c>
      <c r="E158" s="27"/>
      <c r="F158" s="27"/>
      <c r="G158" s="28" t="s">
        <v>27</v>
      </c>
      <c r="H158" s="29">
        <v>265</v>
      </c>
      <c r="I158" s="28">
        <v>2</v>
      </c>
      <c r="J158" s="30">
        <f t="shared" si="20"/>
        <v>530</v>
      </c>
      <c r="K158" s="28">
        <v>3</v>
      </c>
      <c r="L158" s="30">
        <f t="shared" si="20"/>
        <v>795</v>
      </c>
      <c r="M158" s="28">
        <v>4</v>
      </c>
      <c r="N158" s="30">
        <f t="shared" si="20"/>
        <v>1060</v>
      </c>
    </row>
    <row r="159" spans="1:14" x14ac:dyDescent="0.25">
      <c r="A159" s="26" t="s">
        <v>755</v>
      </c>
      <c r="B159" s="27"/>
      <c r="C159" s="27"/>
      <c r="D159" s="27" t="s">
        <v>543</v>
      </c>
      <c r="E159" s="27"/>
      <c r="F159" s="27"/>
      <c r="G159" s="28" t="s">
        <v>27</v>
      </c>
      <c r="H159" s="29">
        <v>107</v>
      </c>
      <c r="I159" s="28">
        <v>8</v>
      </c>
      <c r="J159" s="30">
        <f t="shared" si="20"/>
        <v>856</v>
      </c>
      <c r="K159" s="28">
        <v>20</v>
      </c>
      <c r="L159" s="30">
        <f t="shared" si="20"/>
        <v>2140</v>
      </c>
      <c r="M159" s="28">
        <v>8</v>
      </c>
      <c r="N159" s="30">
        <f t="shared" si="20"/>
        <v>856</v>
      </c>
    </row>
    <row r="160" spans="1:14" x14ac:dyDescent="0.25">
      <c r="A160" s="26" t="s">
        <v>756</v>
      </c>
      <c r="B160" s="27"/>
      <c r="C160" s="27"/>
      <c r="D160" s="27" t="s">
        <v>100</v>
      </c>
      <c r="E160" s="27"/>
      <c r="F160" s="27"/>
      <c r="G160" s="28" t="s">
        <v>18</v>
      </c>
      <c r="H160" s="29">
        <v>15</v>
      </c>
      <c r="I160" s="28">
        <v>50</v>
      </c>
      <c r="J160" s="30">
        <f t="shared" si="20"/>
        <v>750</v>
      </c>
      <c r="K160" s="28">
        <v>20</v>
      </c>
      <c r="L160" s="30">
        <f t="shared" si="20"/>
        <v>300</v>
      </c>
      <c r="M160" s="28">
        <v>30</v>
      </c>
      <c r="N160" s="30">
        <f t="shared" si="20"/>
        <v>450</v>
      </c>
    </row>
    <row r="161" spans="1:14" x14ac:dyDescent="0.25">
      <c r="A161" s="26" t="s">
        <v>757</v>
      </c>
      <c r="B161" s="27"/>
      <c r="C161" s="27"/>
      <c r="D161" s="27" t="s">
        <v>101</v>
      </c>
      <c r="E161" s="27"/>
      <c r="F161" s="27"/>
      <c r="G161" s="28" t="s">
        <v>27</v>
      </c>
      <c r="H161" s="29">
        <v>76</v>
      </c>
      <c r="I161" s="28">
        <v>6</v>
      </c>
      <c r="J161" s="30">
        <f t="shared" si="20"/>
        <v>456</v>
      </c>
      <c r="K161" s="28">
        <v>12</v>
      </c>
      <c r="L161" s="30">
        <f t="shared" si="20"/>
        <v>912</v>
      </c>
      <c r="M161" s="28">
        <v>4</v>
      </c>
      <c r="N161" s="30">
        <f t="shared" si="20"/>
        <v>304</v>
      </c>
    </row>
    <row r="162" spans="1:14" x14ac:dyDescent="0.25">
      <c r="A162" s="26" t="s">
        <v>758</v>
      </c>
      <c r="B162" s="27"/>
      <c r="C162" s="27"/>
      <c r="D162" s="42" t="s">
        <v>102</v>
      </c>
      <c r="E162" s="27"/>
      <c r="F162" s="27"/>
      <c r="G162" s="28" t="s">
        <v>18</v>
      </c>
      <c r="H162" s="29">
        <v>34</v>
      </c>
      <c r="I162" s="28">
        <v>30</v>
      </c>
      <c r="J162" s="30">
        <f t="shared" si="20"/>
        <v>1020</v>
      </c>
      <c r="K162" s="28">
        <v>20</v>
      </c>
      <c r="L162" s="30">
        <f t="shared" si="20"/>
        <v>680</v>
      </c>
      <c r="M162" s="28">
        <v>15</v>
      </c>
      <c r="N162" s="30">
        <f t="shared" si="20"/>
        <v>510</v>
      </c>
    </row>
    <row r="163" spans="1:14" x14ac:dyDescent="0.25">
      <c r="A163" s="26" t="s">
        <v>759</v>
      </c>
      <c r="B163" s="27"/>
      <c r="C163" s="27"/>
      <c r="D163" s="42" t="s">
        <v>103</v>
      </c>
      <c r="E163" s="27"/>
      <c r="F163" s="27"/>
      <c r="G163" s="28" t="s">
        <v>18</v>
      </c>
      <c r="H163" s="29">
        <v>35</v>
      </c>
      <c r="I163" s="28">
        <v>50</v>
      </c>
      <c r="J163" s="30">
        <f t="shared" si="20"/>
        <v>1750</v>
      </c>
      <c r="K163" s="28">
        <v>60</v>
      </c>
      <c r="L163" s="30">
        <f t="shared" si="20"/>
        <v>2100</v>
      </c>
      <c r="M163" s="28">
        <v>40</v>
      </c>
      <c r="N163" s="30">
        <f t="shared" si="20"/>
        <v>1400</v>
      </c>
    </row>
    <row r="164" spans="1:14" x14ac:dyDescent="0.25">
      <c r="A164" s="26" t="s">
        <v>760</v>
      </c>
      <c r="B164" s="27"/>
      <c r="C164" s="27"/>
      <c r="D164" s="27" t="s">
        <v>104</v>
      </c>
      <c r="E164" s="27"/>
      <c r="F164" s="27"/>
      <c r="G164" s="28" t="s">
        <v>27</v>
      </c>
      <c r="H164" s="29">
        <v>36</v>
      </c>
      <c r="I164" s="28">
        <v>60</v>
      </c>
      <c r="J164" s="30">
        <f t="shared" si="20"/>
        <v>2160</v>
      </c>
      <c r="K164" s="28">
        <v>60</v>
      </c>
      <c r="L164" s="30">
        <f t="shared" si="20"/>
        <v>2160</v>
      </c>
      <c r="M164" s="28">
        <v>100</v>
      </c>
      <c r="N164" s="30">
        <f t="shared" si="20"/>
        <v>3600</v>
      </c>
    </row>
    <row r="165" spans="1:14" x14ac:dyDescent="0.25">
      <c r="A165" s="26" t="s">
        <v>761</v>
      </c>
      <c r="B165" s="27"/>
      <c r="C165" s="27"/>
      <c r="D165" s="27" t="s">
        <v>105</v>
      </c>
      <c r="E165" s="27"/>
      <c r="F165" s="27"/>
      <c r="G165" s="28" t="s">
        <v>27</v>
      </c>
      <c r="H165" s="29">
        <v>1632</v>
      </c>
      <c r="I165" s="28">
        <v>2</v>
      </c>
      <c r="J165" s="30">
        <f t="shared" si="20"/>
        <v>3264</v>
      </c>
      <c r="K165" s="28">
        <v>2</v>
      </c>
      <c r="L165" s="30">
        <f t="shared" si="20"/>
        <v>3264</v>
      </c>
      <c r="M165" s="28">
        <v>5</v>
      </c>
      <c r="N165" s="30">
        <f t="shared" si="20"/>
        <v>8160</v>
      </c>
    </row>
    <row r="166" spans="1:14" x14ac:dyDescent="0.25">
      <c r="A166" s="26" t="s">
        <v>762</v>
      </c>
      <c r="B166" s="27"/>
      <c r="C166" s="27"/>
      <c r="D166" s="27" t="s">
        <v>506</v>
      </c>
      <c r="E166" s="27"/>
      <c r="F166" s="27"/>
      <c r="G166" s="28" t="s">
        <v>27</v>
      </c>
      <c r="H166" s="29">
        <v>714</v>
      </c>
      <c r="I166" s="28">
        <v>8</v>
      </c>
      <c r="J166" s="30">
        <f t="shared" ref="J166:N167" si="26">IF($H166*I166=0,"",$H166*I166)</f>
        <v>5712</v>
      </c>
      <c r="K166" s="28">
        <v>4</v>
      </c>
      <c r="L166" s="30">
        <f t="shared" si="26"/>
        <v>2856</v>
      </c>
      <c r="M166" s="28">
        <v>10</v>
      </c>
      <c r="N166" s="30">
        <f t="shared" si="26"/>
        <v>7140</v>
      </c>
    </row>
    <row r="167" spans="1:14" x14ac:dyDescent="0.25">
      <c r="A167" s="26" t="s">
        <v>763</v>
      </c>
      <c r="B167" s="27"/>
      <c r="C167" s="27"/>
      <c r="D167" s="27" t="s">
        <v>525</v>
      </c>
      <c r="E167" s="27"/>
      <c r="F167" s="27"/>
      <c r="G167" s="28" t="s">
        <v>27</v>
      </c>
      <c r="H167" s="29">
        <v>296</v>
      </c>
      <c r="I167" s="28">
        <v>5</v>
      </c>
      <c r="J167" s="30">
        <f t="shared" si="26"/>
        <v>1480</v>
      </c>
      <c r="K167" s="28">
        <v>8</v>
      </c>
      <c r="L167" s="30">
        <f t="shared" si="26"/>
        <v>2368</v>
      </c>
      <c r="M167" s="28">
        <v>10</v>
      </c>
      <c r="N167" s="30">
        <f t="shared" si="26"/>
        <v>2960</v>
      </c>
    </row>
    <row r="168" spans="1:14" x14ac:dyDescent="0.25">
      <c r="A168" s="26" t="s">
        <v>764</v>
      </c>
      <c r="B168" s="27"/>
      <c r="C168" s="27"/>
      <c r="D168" s="27" t="s">
        <v>526</v>
      </c>
      <c r="E168" s="27"/>
      <c r="F168" s="27"/>
      <c r="G168" s="28" t="s">
        <v>27</v>
      </c>
      <c r="H168" s="29">
        <v>235</v>
      </c>
      <c r="I168" s="28">
        <v>2</v>
      </c>
      <c r="J168" s="30">
        <f t="shared" ref="J168" si="27">IF($H168*I168=0,"",$H168*I168)</f>
        <v>470</v>
      </c>
      <c r="K168" s="28">
        <v>4</v>
      </c>
      <c r="L168" s="30">
        <f t="shared" ref="L168:N168" si="28">IF($H168*K168=0,"",$H168*K168)</f>
        <v>940</v>
      </c>
      <c r="M168" s="28">
        <v>6</v>
      </c>
      <c r="N168" s="30">
        <f t="shared" si="28"/>
        <v>1410</v>
      </c>
    </row>
    <row r="169" spans="1:14" x14ac:dyDescent="0.25">
      <c r="A169" s="20" t="s">
        <v>765</v>
      </c>
      <c r="B169" s="21"/>
      <c r="C169" s="22" t="s">
        <v>106</v>
      </c>
      <c r="D169" s="21"/>
      <c r="E169" s="21"/>
      <c r="F169" s="21"/>
      <c r="G169" s="23" t="s">
        <v>27</v>
      </c>
      <c r="H169" s="25">
        <v>306</v>
      </c>
      <c r="I169" s="23">
        <v>10</v>
      </c>
      <c r="J169" s="25">
        <f t="shared" si="20"/>
        <v>3060</v>
      </c>
      <c r="K169" s="23">
        <v>5</v>
      </c>
      <c r="L169" s="25">
        <f t="shared" si="20"/>
        <v>1530</v>
      </c>
      <c r="M169" s="23">
        <v>15</v>
      </c>
      <c r="N169" s="25">
        <f t="shared" si="20"/>
        <v>4590</v>
      </c>
    </row>
    <row r="170" spans="1:14" ht="17.25" x14ac:dyDescent="0.25">
      <c r="A170" s="20" t="s">
        <v>766</v>
      </c>
      <c r="B170" s="21"/>
      <c r="C170" s="22" t="s">
        <v>107</v>
      </c>
      <c r="D170" s="21"/>
      <c r="E170" s="21"/>
      <c r="F170" s="21"/>
      <c r="G170" s="23" t="s">
        <v>108</v>
      </c>
      <c r="H170" s="25">
        <v>102</v>
      </c>
      <c r="I170" s="23">
        <v>20</v>
      </c>
      <c r="J170" s="25">
        <f t="shared" si="20"/>
        <v>2040</v>
      </c>
      <c r="K170" s="23">
        <v>10</v>
      </c>
      <c r="L170" s="25">
        <f t="shared" si="20"/>
        <v>1020</v>
      </c>
      <c r="M170" s="23">
        <v>50</v>
      </c>
      <c r="N170" s="25">
        <f t="shared" si="20"/>
        <v>5100</v>
      </c>
    </row>
    <row r="171" spans="1:14" ht="15.75" customHeight="1" x14ac:dyDescent="0.25">
      <c r="A171" s="20" t="s">
        <v>767</v>
      </c>
      <c r="B171" s="21"/>
      <c r="C171" s="22" t="s">
        <v>109</v>
      </c>
      <c r="D171" s="21"/>
      <c r="E171" s="21"/>
      <c r="F171" s="21"/>
      <c r="G171" s="23" t="s">
        <v>27</v>
      </c>
      <c r="H171" s="25">
        <v>2244</v>
      </c>
      <c r="I171" s="23">
        <v>2</v>
      </c>
      <c r="J171" s="25">
        <f t="shared" si="20"/>
        <v>4488</v>
      </c>
      <c r="K171" s="23">
        <v>5</v>
      </c>
      <c r="L171" s="25">
        <f t="shared" si="20"/>
        <v>11220</v>
      </c>
      <c r="M171" s="23">
        <v>3</v>
      </c>
      <c r="N171" s="25">
        <f t="shared" si="20"/>
        <v>6732</v>
      </c>
    </row>
    <row r="172" spans="1:14" ht="15.75" customHeight="1" x14ac:dyDescent="0.25">
      <c r="A172" s="20" t="s">
        <v>768</v>
      </c>
      <c r="B172" s="21"/>
      <c r="C172" s="22" t="s">
        <v>544</v>
      </c>
      <c r="D172" s="21"/>
      <c r="E172" s="21"/>
      <c r="F172" s="21"/>
      <c r="G172" s="23" t="s">
        <v>27</v>
      </c>
      <c r="H172" s="25">
        <v>3570</v>
      </c>
      <c r="I172" s="23">
        <v>4</v>
      </c>
      <c r="J172" s="25">
        <f t="shared" ref="J172" si="29">IF($H172*I172=0,"",$H172*I172)</f>
        <v>14280</v>
      </c>
      <c r="K172" s="23">
        <v>3</v>
      </c>
      <c r="L172" s="25">
        <f t="shared" ref="L172:N172" si="30">IF($H172*K172=0,"",$H172*K172)</f>
        <v>10710</v>
      </c>
      <c r="M172" s="23">
        <v>2</v>
      </c>
      <c r="N172" s="25">
        <f t="shared" si="30"/>
        <v>7140</v>
      </c>
    </row>
    <row r="173" spans="1:14" x14ac:dyDescent="0.25">
      <c r="A173" s="20" t="s">
        <v>769</v>
      </c>
      <c r="B173" s="21"/>
      <c r="C173" s="22" t="s">
        <v>110</v>
      </c>
      <c r="D173" s="21"/>
      <c r="E173" s="21"/>
      <c r="F173" s="21"/>
      <c r="G173" s="23"/>
      <c r="H173" s="24"/>
      <c r="I173" s="23"/>
      <c r="J173" s="23" t="str">
        <f t="shared" si="20"/>
        <v/>
      </c>
      <c r="K173" s="23"/>
      <c r="L173" s="23" t="str">
        <f t="shared" si="20"/>
        <v/>
      </c>
      <c r="M173" s="23"/>
      <c r="N173" s="23" t="str">
        <f t="shared" si="20"/>
        <v/>
      </c>
    </row>
    <row r="174" spans="1:14" ht="15" customHeight="1" collapsed="1" x14ac:dyDescent="0.25">
      <c r="A174" s="26" t="s">
        <v>770</v>
      </c>
      <c r="B174" s="27"/>
      <c r="C174" s="27"/>
      <c r="D174" s="27" t="s">
        <v>111</v>
      </c>
      <c r="E174" s="27"/>
      <c r="F174" s="43"/>
      <c r="G174" s="28" t="s">
        <v>27</v>
      </c>
      <c r="H174" s="29">
        <v>230</v>
      </c>
      <c r="I174" s="28">
        <v>10</v>
      </c>
      <c r="J174" s="30">
        <f t="shared" si="20"/>
        <v>2300</v>
      </c>
      <c r="K174" s="28">
        <v>30</v>
      </c>
      <c r="L174" s="30">
        <f t="shared" si="20"/>
        <v>6900</v>
      </c>
      <c r="M174" s="28">
        <v>10</v>
      </c>
      <c r="N174" s="30">
        <f t="shared" si="20"/>
        <v>2300</v>
      </c>
    </row>
    <row r="175" spans="1:14" ht="15" customHeight="1" x14ac:dyDescent="0.25">
      <c r="A175" s="26" t="s">
        <v>771</v>
      </c>
      <c r="B175" s="27"/>
      <c r="C175" s="27"/>
      <c r="D175" s="27" t="s">
        <v>112</v>
      </c>
      <c r="E175" s="27"/>
      <c r="F175" s="43"/>
      <c r="G175" s="28" t="s">
        <v>27</v>
      </c>
      <c r="H175" s="29">
        <v>345</v>
      </c>
      <c r="I175" s="28">
        <v>30</v>
      </c>
      <c r="J175" s="30">
        <f t="shared" si="20"/>
        <v>10350</v>
      </c>
      <c r="K175" s="28">
        <v>10</v>
      </c>
      <c r="L175" s="30">
        <f t="shared" si="20"/>
        <v>3450</v>
      </c>
      <c r="M175" s="28">
        <v>15</v>
      </c>
      <c r="N175" s="30">
        <f t="shared" si="20"/>
        <v>5175</v>
      </c>
    </row>
    <row r="176" spans="1:14" ht="15" customHeight="1" x14ac:dyDescent="0.25">
      <c r="A176" s="26" t="s">
        <v>772</v>
      </c>
      <c r="B176" s="27"/>
      <c r="C176" s="27"/>
      <c r="D176" s="27" t="s">
        <v>113</v>
      </c>
      <c r="E176" s="27"/>
      <c r="F176" s="43"/>
      <c r="G176" s="28" t="s">
        <v>27</v>
      </c>
      <c r="H176" s="29">
        <v>720</v>
      </c>
      <c r="I176" s="28">
        <v>15</v>
      </c>
      <c r="J176" s="30">
        <f t="shared" si="20"/>
        <v>10800</v>
      </c>
      <c r="K176" s="28">
        <v>20</v>
      </c>
      <c r="L176" s="30">
        <f t="shared" si="20"/>
        <v>14400</v>
      </c>
      <c r="M176" s="28">
        <v>30</v>
      </c>
      <c r="N176" s="30">
        <f t="shared" si="20"/>
        <v>21600</v>
      </c>
    </row>
    <row r="177" spans="1:14" ht="15" customHeight="1" x14ac:dyDescent="0.25">
      <c r="A177" s="26" t="s">
        <v>773</v>
      </c>
      <c r="B177" s="27"/>
      <c r="C177" s="27"/>
      <c r="D177" s="27" t="s">
        <v>114</v>
      </c>
      <c r="E177" s="27"/>
      <c r="F177" s="43"/>
      <c r="G177" s="28" t="s">
        <v>27</v>
      </c>
      <c r="H177" s="29">
        <v>540</v>
      </c>
      <c r="I177" s="28">
        <v>50</v>
      </c>
      <c r="J177" s="30">
        <f t="shared" si="20"/>
        <v>27000</v>
      </c>
      <c r="K177" s="28">
        <v>20</v>
      </c>
      <c r="L177" s="30">
        <f t="shared" si="20"/>
        <v>10800</v>
      </c>
      <c r="M177" s="28">
        <v>10</v>
      </c>
      <c r="N177" s="30">
        <f t="shared" si="20"/>
        <v>5400</v>
      </c>
    </row>
    <row r="178" spans="1:14" ht="16.5" collapsed="1" x14ac:dyDescent="0.25">
      <c r="A178" s="14">
        <v>3</v>
      </c>
      <c r="B178" s="15" t="s">
        <v>115</v>
      </c>
      <c r="C178" s="15"/>
      <c r="D178" s="16"/>
      <c r="E178" s="16"/>
      <c r="F178" s="16"/>
      <c r="G178" s="16"/>
      <c r="H178" s="17"/>
      <c r="I178" s="16"/>
      <c r="J178" s="18">
        <f>SUM(J179:J215)</f>
        <v>941790</v>
      </c>
      <c r="K178" s="16"/>
      <c r="L178" s="18">
        <f>SUM(L179:L215)</f>
        <v>904195</v>
      </c>
      <c r="M178" s="16"/>
      <c r="N178" s="18">
        <f>SUM(N179:N215)</f>
        <v>1000440</v>
      </c>
    </row>
    <row r="179" spans="1:14" ht="18" customHeight="1" x14ac:dyDescent="0.25">
      <c r="A179" s="20" t="s">
        <v>774</v>
      </c>
      <c r="B179" s="21"/>
      <c r="C179" s="22" t="s">
        <v>116</v>
      </c>
      <c r="D179" s="21"/>
      <c r="E179" s="21"/>
      <c r="F179" s="21"/>
      <c r="G179" s="23"/>
      <c r="H179" s="24"/>
      <c r="I179" s="23"/>
      <c r="J179" s="25" t="str">
        <f t="shared" ref="J179:N214" si="31">IF($H179*I179=0,"",$H179*I179)</f>
        <v/>
      </c>
      <c r="K179" s="23"/>
      <c r="L179" s="25" t="str">
        <f t="shared" si="31"/>
        <v/>
      </c>
      <c r="M179" s="23"/>
      <c r="N179" s="25" t="str">
        <f t="shared" si="31"/>
        <v/>
      </c>
    </row>
    <row r="180" spans="1:14" ht="15" customHeight="1" x14ac:dyDescent="0.25">
      <c r="A180" s="26" t="s">
        <v>775</v>
      </c>
      <c r="B180" s="27"/>
      <c r="C180" s="27"/>
      <c r="D180" s="27" t="s">
        <v>117</v>
      </c>
      <c r="E180" s="27"/>
      <c r="F180" s="27"/>
      <c r="G180" s="28" t="s">
        <v>108</v>
      </c>
      <c r="H180" s="29">
        <v>315</v>
      </c>
      <c r="I180" s="28">
        <v>140</v>
      </c>
      <c r="J180" s="30">
        <f t="shared" si="31"/>
        <v>44100</v>
      </c>
      <c r="K180" s="28">
        <v>180</v>
      </c>
      <c r="L180" s="30">
        <f t="shared" si="31"/>
        <v>56700</v>
      </c>
      <c r="M180" s="28">
        <v>200</v>
      </c>
      <c r="N180" s="30">
        <f t="shared" si="31"/>
        <v>63000</v>
      </c>
    </row>
    <row r="181" spans="1:14" ht="15" customHeight="1" x14ac:dyDescent="0.25">
      <c r="A181" s="26" t="s">
        <v>776</v>
      </c>
      <c r="B181" s="27"/>
      <c r="C181" s="27"/>
      <c r="D181" s="27" t="s">
        <v>118</v>
      </c>
      <c r="E181" s="27"/>
      <c r="F181" s="27"/>
      <c r="G181" s="28" t="s">
        <v>108</v>
      </c>
      <c r="H181" s="29">
        <v>155</v>
      </c>
      <c r="I181" s="28">
        <v>150</v>
      </c>
      <c r="J181" s="30">
        <f t="shared" si="31"/>
        <v>23250</v>
      </c>
      <c r="K181" s="28">
        <v>120</v>
      </c>
      <c r="L181" s="30">
        <f t="shared" si="31"/>
        <v>18600</v>
      </c>
      <c r="M181" s="28">
        <v>140</v>
      </c>
      <c r="N181" s="30">
        <f t="shared" si="31"/>
        <v>21700</v>
      </c>
    </row>
    <row r="182" spans="1:14" ht="18" customHeight="1" x14ac:dyDescent="0.25">
      <c r="A182" s="20" t="s">
        <v>777</v>
      </c>
      <c r="B182" s="21"/>
      <c r="C182" s="22" t="s">
        <v>119</v>
      </c>
      <c r="D182" s="21"/>
      <c r="E182" s="21"/>
      <c r="F182" s="21"/>
      <c r="G182" s="23"/>
      <c r="H182" s="24"/>
      <c r="I182" s="23"/>
      <c r="J182" s="25" t="str">
        <f t="shared" si="31"/>
        <v/>
      </c>
      <c r="K182" s="23"/>
      <c r="L182" s="25" t="str">
        <f t="shared" si="31"/>
        <v/>
      </c>
      <c r="M182" s="23"/>
      <c r="N182" s="25" t="str">
        <f t="shared" si="31"/>
        <v/>
      </c>
    </row>
    <row r="183" spans="1:14" ht="15" customHeight="1" collapsed="1" x14ac:dyDescent="0.25">
      <c r="A183" s="26" t="s">
        <v>778</v>
      </c>
      <c r="B183" s="27"/>
      <c r="C183" s="27"/>
      <c r="D183" s="27" t="s">
        <v>545</v>
      </c>
      <c r="E183" s="27"/>
      <c r="F183" s="27"/>
      <c r="G183" s="28"/>
      <c r="H183" s="31"/>
      <c r="I183" s="28"/>
      <c r="J183" s="32" t="str">
        <f t="shared" si="31"/>
        <v/>
      </c>
      <c r="K183" s="28"/>
      <c r="L183" s="32" t="str">
        <f t="shared" si="31"/>
        <v/>
      </c>
      <c r="M183" s="28"/>
      <c r="N183" s="32" t="str">
        <f t="shared" si="31"/>
        <v/>
      </c>
    </row>
    <row r="184" spans="1:14" ht="15" customHeight="1" x14ac:dyDescent="0.25">
      <c r="A184" s="26" t="s">
        <v>779</v>
      </c>
      <c r="B184" s="27"/>
      <c r="C184" s="27"/>
      <c r="E184" s="27" t="s">
        <v>120</v>
      </c>
      <c r="F184" s="27"/>
      <c r="G184" s="28" t="s">
        <v>108</v>
      </c>
      <c r="H184" s="31">
        <v>40.799999999999997</v>
      </c>
      <c r="I184" s="28">
        <v>1800</v>
      </c>
      <c r="J184" s="32">
        <f t="shared" si="31"/>
        <v>73440</v>
      </c>
      <c r="K184" s="28">
        <v>1400</v>
      </c>
      <c r="L184" s="32">
        <f t="shared" si="31"/>
        <v>57119.999999999993</v>
      </c>
      <c r="M184" s="28">
        <v>1200</v>
      </c>
      <c r="N184" s="32">
        <f t="shared" si="31"/>
        <v>48960</v>
      </c>
    </row>
    <row r="185" spans="1:14" ht="15" customHeight="1" collapsed="1" x14ac:dyDescent="0.25">
      <c r="A185" s="26" t="s">
        <v>780</v>
      </c>
      <c r="B185" s="27"/>
      <c r="C185" s="27"/>
      <c r="D185" s="27"/>
      <c r="E185" s="27" t="s">
        <v>121</v>
      </c>
      <c r="F185" s="27"/>
      <c r="G185" s="28" t="s">
        <v>108</v>
      </c>
      <c r="H185" s="31">
        <v>28</v>
      </c>
      <c r="I185" s="28">
        <v>6000</v>
      </c>
      <c r="J185" s="32">
        <f>IF($H185*I185=0,"",$H185*I185)</f>
        <v>168000</v>
      </c>
      <c r="K185" s="28">
        <v>5200</v>
      </c>
      <c r="L185" s="32">
        <f>IF($H185*K185=0,"",$H185*K185)</f>
        <v>145600</v>
      </c>
      <c r="M185" s="28">
        <v>7100</v>
      </c>
      <c r="N185" s="32">
        <f>IF($H185*M185=0,"",$H185*M185)</f>
        <v>198800</v>
      </c>
    </row>
    <row r="186" spans="1:14" ht="15" customHeight="1" x14ac:dyDescent="0.25">
      <c r="A186" s="26" t="s">
        <v>781</v>
      </c>
      <c r="B186" s="27"/>
      <c r="C186" s="27"/>
      <c r="D186" s="27" t="s">
        <v>122</v>
      </c>
      <c r="E186" s="27"/>
      <c r="F186" s="27"/>
      <c r="G186" s="28"/>
      <c r="H186" s="31"/>
      <c r="I186" s="28"/>
      <c r="J186" s="32" t="str">
        <f>IF($H186*I186=0,"",$H186*I186)</f>
        <v/>
      </c>
      <c r="K186" s="28"/>
      <c r="L186" s="32" t="str">
        <f>IF($H186*K186=0,"",$H186*K186)</f>
        <v/>
      </c>
      <c r="M186" s="28"/>
      <c r="N186" s="32" t="str">
        <f>IF($H186*M186=0,"",$H186*M186)</f>
        <v/>
      </c>
    </row>
    <row r="187" spans="1:14" ht="15" customHeight="1" collapsed="1" x14ac:dyDescent="0.25">
      <c r="A187" s="26" t="s">
        <v>782</v>
      </c>
      <c r="B187" s="27"/>
      <c r="C187" s="27"/>
      <c r="D187" s="27"/>
      <c r="E187" s="27" t="s">
        <v>123</v>
      </c>
      <c r="F187" s="27"/>
      <c r="G187" s="28" t="s">
        <v>108</v>
      </c>
      <c r="H187" s="31">
        <v>32</v>
      </c>
      <c r="I187" s="28">
        <v>200</v>
      </c>
      <c r="J187" s="32">
        <f t="shared" si="31"/>
        <v>6400</v>
      </c>
      <c r="K187" s="28">
        <v>250</v>
      </c>
      <c r="L187" s="32">
        <f t="shared" si="31"/>
        <v>8000</v>
      </c>
      <c r="M187" s="28">
        <v>50</v>
      </c>
      <c r="N187" s="32">
        <f t="shared" si="31"/>
        <v>1600</v>
      </c>
    </row>
    <row r="188" spans="1:14" ht="15" customHeight="1" x14ac:dyDescent="0.25">
      <c r="A188" s="26" t="s">
        <v>783</v>
      </c>
      <c r="B188" s="27"/>
      <c r="C188" s="27"/>
      <c r="D188" s="27"/>
      <c r="E188" s="27" t="s">
        <v>124</v>
      </c>
      <c r="F188" s="27"/>
      <c r="G188" s="28" t="s">
        <v>108</v>
      </c>
      <c r="H188" s="31">
        <v>21</v>
      </c>
      <c r="I188" s="28">
        <v>600</v>
      </c>
      <c r="J188" s="32">
        <f>IF($H188*I188=0,"",$H188*I188)</f>
        <v>12600</v>
      </c>
      <c r="K188" s="28">
        <v>250</v>
      </c>
      <c r="L188" s="32">
        <f>IF($H188*K188=0,"",$H188*K188)</f>
        <v>5250</v>
      </c>
      <c r="M188" s="28">
        <v>100</v>
      </c>
      <c r="N188" s="32">
        <f>IF($H188*M188=0,"",$H188*M188)</f>
        <v>2100</v>
      </c>
    </row>
    <row r="189" spans="1:14" ht="15" customHeight="1" x14ac:dyDescent="0.25">
      <c r="A189" s="26" t="s">
        <v>784</v>
      </c>
      <c r="B189" s="27"/>
      <c r="C189" s="27"/>
      <c r="D189" s="27" t="s">
        <v>125</v>
      </c>
      <c r="E189" s="27"/>
      <c r="F189" s="27"/>
      <c r="G189" s="28"/>
      <c r="H189" s="31"/>
      <c r="I189" s="28"/>
      <c r="J189" s="32" t="str">
        <f t="shared" si="31"/>
        <v/>
      </c>
      <c r="K189" s="28"/>
      <c r="L189" s="32" t="str">
        <f t="shared" si="31"/>
        <v/>
      </c>
      <c r="M189" s="28"/>
      <c r="N189" s="32" t="str">
        <f t="shared" si="31"/>
        <v/>
      </c>
    </row>
    <row r="190" spans="1:14" ht="15" customHeight="1" collapsed="1" x14ac:dyDescent="0.25">
      <c r="A190" s="26" t="s">
        <v>785</v>
      </c>
      <c r="B190" s="27"/>
      <c r="C190" s="27"/>
      <c r="D190" s="27"/>
      <c r="E190" s="27" t="s">
        <v>120</v>
      </c>
      <c r="F190" s="27"/>
      <c r="G190" s="28" t="s">
        <v>108</v>
      </c>
      <c r="H190" s="31">
        <v>32</v>
      </c>
      <c r="I190" s="28">
        <v>40</v>
      </c>
      <c r="J190" s="32">
        <f>IF($H190*I190=0,"",$H190*I190)</f>
        <v>1280</v>
      </c>
      <c r="K190" s="28">
        <v>200</v>
      </c>
      <c r="L190" s="32">
        <f>IF($H190*K190=0,"",$H190*K190)</f>
        <v>6400</v>
      </c>
      <c r="M190" s="28">
        <v>300</v>
      </c>
      <c r="N190" s="32">
        <f>IF($H190*M190=0,"",$H190*M190)</f>
        <v>9600</v>
      </c>
    </row>
    <row r="191" spans="1:14" ht="15" customHeight="1" x14ac:dyDescent="0.25">
      <c r="A191" s="26" t="s">
        <v>786</v>
      </c>
      <c r="B191" s="27"/>
      <c r="C191" s="27"/>
      <c r="D191" s="27"/>
      <c r="E191" s="27" t="s">
        <v>124</v>
      </c>
      <c r="F191" s="27"/>
      <c r="G191" s="28" t="s">
        <v>108</v>
      </c>
      <c r="H191" s="31">
        <v>28</v>
      </c>
      <c r="I191" s="28">
        <v>100</v>
      </c>
      <c r="J191" s="32">
        <f>IF($H191*I191=0,"",$H191*I191)</f>
        <v>2800</v>
      </c>
      <c r="K191" s="28">
        <v>200</v>
      </c>
      <c r="L191" s="32">
        <f>IF($H191*K191=0,"",$H191*K191)</f>
        <v>5600</v>
      </c>
      <c r="M191" s="28">
        <v>500</v>
      </c>
      <c r="N191" s="32">
        <f>IF($H191*M191=0,"",$H191*M191)</f>
        <v>14000</v>
      </c>
    </row>
    <row r="192" spans="1:14" ht="15" customHeight="1" x14ac:dyDescent="0.25">
      <c r="A192" s="26" t="s">
        <v>787</v>
      </c>
      <c r="B192" s="27"/>
      <c r="C192" s="27"/>
      <c r="D192" s="27" t="s">
        <v>126</v>
      </c>
      <c r="E192" s="27"/>
      <c r="F192" s="27"/>
      <c r="G192" s="28" t="s">
        <v>108</v>
      </c>
      <c r="H192" s="29">
        <v>47</v>
      </c>
      <c r="I192" s="28">
        <v>700</v>
      </c>
      <c r="J192" s="30">
        <f t="shared" si="31"/>
        <v>32900</v>
      </c>
      <c r="K192" s="28">
        <v>800</v>
      </c>
      <c r="L192" s="30">
        <f t="shared" si="31"/>
        <v>37600</v>
      </c>
      <c r="M192" s="28">
        <v>600</v>
      </c>
      <c r="N192" s="30">
        <f t="shared" si="31"/>
        <v>28200</v>
      </c>
    </row>
    <row r="193" spans="1:14" ht="15" customHeight="1" x14ac:dyDescent="0.25">
      <c r="A193" s="26" t="s">
        <v>788</v>
      </c>
      <c r="B193" s="27"/>
      <c r="C193" s="27"/>
      <c r="D193" s="27" t="s">
        <v>127</v>
      </c>
      <c r="E193" s="27"/>
      <c r="F193" s="27"/>
      <c r="G193" s="28" t="s">
        <v>108</v>
      </c>
      <c r="H193" s="29">
        <v>86.7</v>
      </c>
      <c r="I193" s="28">
        <v>1000</v>
      </c>
      <c r="J193" s="30">
        <f t="shared" si="31"/>
        <v>86700</v>
      </c>
      <c r="K193" s="28">
        <v>1200</v>
      </c>
      <c r="L193" s="30">
        <f t="shared" si="31"/>
        <v>104040</v>
      </c>
      <c r="M193" s="28">
        <v>1100</v>
      </c>
      <c r="N193" s="30">
        <f t="shared" si="31"/>
        <v>95370</v>
      </c>
    </row>
    <row r="194" spans="1:14" ht="15" customHeight="1" x14ac:dyDescent="0.25">
      <c r="A194" s="26" t="s">
        <v>789</v>
      </c>
      <c r="B194" s="27"/>
      <c r="C194" s="27"/>
      <c r="D194" s="27" t="s">
        <v>128</v>
      </c>
      <c r="E194" s="27"/>
      <c r="F194" s="27"/>
      <c r="G194" s="28" t="s">
        <v>108</v>
      </c>
      <c r="H194" s="29">
        <v>198.9</v>
      </c>
      <c r="I194" s="28">
        <v>800</v>
      </c>
      <c r="J194" s="30">
        <f t="shared" si="31"/>
        <v>159120</v>
      </c>
      <c r="K194" s="28">
        <v>750</v>
      </c>
      <c r="L194" s="30">
        <f t="shared" si="31"/>
        <v>149175</v>
      </c>
      <c r="M194" s="28">
        <v>900</v>
      </c>
      <c r="N194" s="30">
        <f t="shared" si="31"/>
        <v>179010</v>
      </c>
    </row>
    <row r="195" spans="1:14" x14ac:dyDescent="0.25">
      <c r="A195" s="20" t="s">
        <v>790</v>
      </c>
      <c r="B195" s="21"/>
      <c r="C195" s="22" t="s">
        <v>129</v>
      </c>
      <c r="D195" s="21"/>
      <c r="E195" s="21"/>
      <c r="F195" s="21"/>
      <c r="G195" s="23"/>
      <c r="H195" s="24"/>
      <c r="I195" s="23"/>
      <c r="J195" s="25" t="str">
        <f t="shared" si="31"/>
        <v/>
      </c>
      <c r="K195" s="23"/>
      <c r="L195" s="25" t="str">
        <f t="shared" si="31"/>
        <v/>
      </c>
      <c r="M195" s="23"/>
      <c r="N195" s="25" t="str">
        <f t="shared" si="31"/>
        <v/>
      </c>
    </row>
    <row r="196" spans="1:14" ht="15" customHeight="1" collapsed="1" x14ac:dyDescent="0.25">
      <c r="A196" s="26" t="s">
        <v>791</v>
      </c>
      <c r="B196" s="27"/>
      <c r="C196" s="27"/>
      <c r="D196" s="27" t="s">
        <v>130</v>
      </c>
      <c r="E196" s="27"/>
      <c r="F196" s="27"/>
      <c r="G196" s="28"/>
      <c r="H196" s="31"/>
      <c r="I196" s="28"/>
      <c r="J196" s="32" t="str">
        <f t="shared" si="31"/>
        <v/>
      </c>
      <c r="K196" s="28"/>
      <c r="L196" s="32" t="str">
        <f t="shared" si="31"/>
        <v/>
      </c>
      <c r="M196" s="28"/>
      <c r="N196" s="32" t="str">
        <f t="shared" si="31"/>
        <v/>
      </c>
    </row>
    <row r="197" spans="1:14" ht="15" customHeight="1" collapsed="1" x14ac:dyDescent="0.25">
      <c r="A197" s="26" t="s">
        <v>792</v>
      </c>
      <c r="B197" s="27"/>
      <c r="C197" s="27"/>
      <c r="D197" s="27"/>
      <c r="E197" s="27" t="s">
        <v>131</v>
      </c>
      <c r="F197" s="27"/>
      <c r="G197" s="28" t="s">
        <v>108</v>
      </c>
      <c r="H197" s="31">
        <v>28</v>
      </c>
      <c r="I197" s="28">
        <v>200</v>
      </c>
      <c r="J197" s="32">
        <f t="shared" si="31"/>
        <v>5600</v>
      </c>
      <c r="K197" s="28">
        <v>250</v>
      </c>
      <c r="L197" s="32">
        <f t="shared" si="31"/>
        <v>7000</v>
      </c>
      <c r="M197" s="28">
        <v>300</v>
      </c>
      <c r="N197" s="32">
        <f t="shared" si="31"/>
        <v>8400</v>
      </c>
    </row>
    <row r="198" spans="1:14" ht="15" customHeight="1" x14ac:dyDescent="0.25">
      <c r="A198" s="26" t="s">
        <v>793</v>
      </c>
      <c r="B198" s="27"/>
      <c r="C198" s="27"/>
      <c r="E198" s="27" t="s">
        <v>132</v>
      </c>
      <c r="F198" s="27"/>
      <c r="G198" s="28" t="s">
        <v>108</v>
      </c>
      <c r="H198" s="31">
        <v>23</v>
      </c>
      <c r="I198" s="28">
        <v>600</v>
      </c>
      <c r="J198" s="32">
        <f t="shared" si="31"/>
        <v>13800</v>
      </c>
      <c r="K198" s="28">
        <v>250</v>
      </c>
      <c r="L198" s="32">
        <f t="shared" si="31"/>
        <v>5750</v>
      </c>
      <c r="M198" s="28">
        <v>200</v>
      </c>
      <c r="N198" s="32">
        <f t="shared" si="31"/>
        <v>4600</v>
      </c>
    </row>
    <row r="199" spans="1:14" ht="15" customHeight="1" x14ac:dyDescent="0.25">
      <c r="A199" s="26" t="s">
        <v>794</v>
      </c>
      <c r="B199" s="27"/>
      <c r="C199" s="27"/>
      <c r="D199" s="27" t="s">
        <v>133</v>
      </c>
      <c r="E199" s="27"/>
      <c r="F199" s="27"/>
      <c r="G199" s="28"/>
      <c r="H199" s="31"/>
      <c r="I199" s="28"/>
      <c r="J199" s="32"/>
      <c r="K199" s="28"/>
      <c r="L199" s="32"/>
      <c r="M199" s="28"/>
      <c r="N199" s="32"/>
    </row>
    <row r="200" spans="1:14" ht="15" customHeight="1" collapsed="1" x14ac:dyDescent="0.25">
      <c r="A200" s="26" t="s">
        <v>795</v>
      </c>
      <c r="B200" s="27"/>
      <c r="C200" s="27"/>
      <c r="D200" s="27"/>
      <c r="E200" s="27" t="s">
        <v>131</v>
      </c>
      <c r="F200" s="27"/>
      <c r="G200" s="28" t="s">
        <v>108</v>
      </c>
      <c r="H200" s="31">
        <v>28</v>
      </c>
      <c r="I200" s="28">
        <v>300</v>
      </c>
      <c r="J200" s="32">
        <f>IF($H200*I200=0,"",$H200*I200)</f>
        <v>8400</v>
      </c>
      <c r="K200" s="28">
        <v>200</v>
      </c>
      <c r="L200" s="32">
        <f>IF($H200*K200=0,"",$H200*K200)</f>
        <v>5600</v>
      </c>
      <c r="M200" s="28">
        <v>200</v>
      </c>
      <c r="N200" s="32">
        <f>IF($H200*M200=0,"",$H200*M200)</f>
        <v>5600</v>
      </c>
    </row>
    <row r="201" spans="1:14" ht="15" customHeight="1" x14ac:dyDescent="0.25">
      <c r="A201" s="26" t="s">
        <v>796</v>
      </c>
      <c r="B201" s="27"/>
      <c r="C201" s="27"/>
      <c r="E201" s="27" t="s">
        <v>132</v>
      </c>
      <c r="F201" s="27"/>
      <c r="G201" s="28" t="s">
        <v>108</v>
      </c>
      <c r="H201" s="31">
        <v>23</v>
      </c>
      <c r="I201" s="28">
        <v>400</v>
      </c>
      <c r="J201" s="32">
        <f>IF($H201*I201=0,"",$H201*I201)</f>
        <v>9200</v>
      </c>
      <c r="K201" s="28">
        <v>200</v>
      </c>
      <c r="L201" s="32">
        <f>IF($H201*K201=0,"",$H201*K201)</f>
        <v>4600</v>
      </c>
      <c r="M201" s="28">
        <v>500</v>
      </c>
      <c r="N201" s="32">
        <f>IF($H201*M201=0,"",$H201*M201)</f>
        <v>11500</v>
      </c>
    </row>
    <row r="202" spans="1:14" x14ac:dyDescent="0.25">
      <c r="A202" s="20" t="s">
        <v>797</v>
      </c>
      <c r="B202" s="21"/>
      <c r="C202" s="22" t="s">
        <v>546</v>
      </c>
      <c r="D202" s="21"/>
      <c r="E202" s="21"/>
      <c r="F202" s="21"/>
      <c r="G202" s="23"/>
      <c r="H202" s="24"/>
      <c r="I202" s="23"/>
      <c r="J202" s="25" t="str">
        <f t="shared" si="31"/>
        <v/>
      </c>
      <c r="K202" s="23"/>
      <c r="L202" s="25" t="str">
        <f t="shared" si="31"/>
        <v/>
      </c>
      <c r="M202" s="23"/>
      <c r="N202" s="25" t="str">
        <f t="shared" si="31"/>
        <v/>
      </c>
    </row>
    <row r="203" spans="1:14" ht="15" customHeight="1" collapsed="1" x14ac:dyDescent="0.25">
      <c r="A203" s="26" t="s">
        <v>798</v>
      </c>
      <c r="B203" s="27"/>
      <c r="C203" s="27"/>
      <c r="D203" s="27" t="s">
        <v>123</v>
      </c>
      <c r="E203" s="27"/>
      <c r="F203" s="27"/>
      <c r="G203" s="28" t="s">
        <v>108</v>
      </c>
      <c r="H203" s="29">
        <v>45</v>
      </c>
      <c r="I203" s="28">
        <v>1200</v>
      </c>
      <c r="J203" s="30">
        <f t="shared" si="31"/>
        <v>54000</v>
      </c>
      <c r="K203" s="28">
        <v>900</v>
      </c>
      <c r="L203" s="30">
        <f t="shared" si="31"/>
        <v>40500</v>
      </c>
      <c r="M203" s="28">
        <v>800</v>
      </c>
      <c r="N203" s="30">
        <f t="shared" si="31"/>
        <v>36000</v>
      </c>
    </row>
    <row r="204" spans="1:14" ht="15" customHeight="1" x14ac:dyDescent="0.25">
      <c r="A204" s="26" t="s">
        <v>799</v>
      </c>
      <c r="B204" s="27"/>
      <c r="C204" s="27"/>
      <c r="D204" s="27" t="s">
        <v>124</v>
      </c>
      <c r="E204" s="27"/>
      <c r="F204" s="27"/>
      <c r="G204" s="28" t="s">
        <v>108</v>
      </c>
      <c r="H204" s="29">
        <v>38</v>
      </c>
      <c r="I204" s="28">
        <v>2200</v>
      </c>
      <c r="J204" s="30">
        <f t="shared" si="31"/>
        <v>83600</v>
      </c>
      <c r="K204" s="28">
        <v>1800</v>
      </c>
      <c r="L204" s="30">
        <f t="shared" si="31"/>
        <v>68400</v>
      </c>
      <c r="M204" s="28">
        <v>3200</v>
      </c>
      <c r="N204" s="30">
        <f t="shared" si="31"/>
        <v>121600</v>
      </c>
    </row>
    <row r="205" spans="1:14" ht="15" customHeight="1" x14ac:dyDescent="0.25">
      <c r="A205" s="20" t="s">
        <v>800</v>
      </c>
      <c r="B205" s="21"/>
      <c r="C205" s="22" t="s">
        <v>547</v>
      </c>
      <c r="D205" s="21"/>
      <c r="E205" s="21"/>
      <c r="F205" s="21"/>
      <c r="G205" s="23"/>
      <c r="H205" s="24"/>
      <c r="I205" s="23"/>
      <c r="J205" s="25" t="str">
        <f t="shared" si="31"/>
        <v/>
      </c>
      <c r="K205" s="23"/>
      <c r="L205" s="25" t="str">
        <f t="shared" si="31"/>
        <v/>
      </c>
      <c r="M205" s="23"/>
      <c r="N205" s="25" t="str">
        <f t="shared" si="31"/>
        <v/>
      </c>
    </row>
    <row r="206" spans="1:14" ht="15" customHeight="1" collapsed="1" x14ac:dyDescent="0.25">
      <c r="A206" s="26" t="s">
        <v>801</v>
      </c>
      <c r="B206" s="27"/>
      <c r="C206" s="27"/>
      <c r="D206" s="27" t="s">
        <v>134</v>
      </c>
      <c r="E206" s="27"/>
      <c r="F206" s="27"/>
      <c r="G206" s="28" t="s">
        <v>108</v>
      </c>
      <c r="H206" s="29">
        <v>85</v>
      </c>
      <c r="I206" s="28">
        <v>300</v>
      </c>
      <c r="J206" s="30">
        <f t="shared" si="31"/>
        <v>25500</v>
      </c>
      <c r="K206" s="28">
        <v>500</v>
      </c>
      <c r="L206" s="30">
        <f t="shared" si="31"/>
        <v>42500</v>
      </c>
      <c r="M206" s="28">
        <v>250</v>
      </c>
      <c r="N206" s="30">
        <f t="shared" si="31"/>
        <v>21250</v>
      </c>
    </row>
    <row r="207" spans="1:14" ht="15" customHeight="1" x14ac:dyDescent="0.25">
      <c r="A207" s="26" t="s">
        <v>802</v>
      </c>
      <c r="B207" s="27"/>
      <c r="C207" s="27"/>
      <c r="D207" s="27" t="s">
        <v>135</v>
      </c>
      <c r="E207" s="27"/>
      <c r="F207" s="27"/>
      <c r="G207" s="28" t="s">
        <v>108</v>
      </c>
      <c r="H207" s="29">
        <v>70</v>
      </c>
      <c r="I207" s="28">
        <v>900</v>
      </c>
      <c r="J207" s="30">
        <f t="shared" si="31"/>
        <v>63000</v>
      </c>
      <c r="K207" s="28">
        <v>800</v>
      </c>
      <c r="L207" s="30">
        <f t="shared" si="31"/>
        <v>56000</v>
      </c>
      <c r="M207" s="28">
        <v>1000</v>
      </c>
      <c r="N207" s="30">
        <f t="shared" si="31"/>
        <v>70000</v>
      </c>
    </row>
    <row r="208" spans="1:14" ht="15" customHeight="1" x14ac:dyDescent="0.25">
      <c r="A208" s="20" t="s">
        <v>803</v>
      </c>
      <c r="B208" s="21"/>
      <c r="C208" s="22" t="s">
        <v>136</v>
      </c>
      <c r="D208" s="21"/>
      <c r="E208" s="21"/>
      <c r="F208" s="21"/>
      <c r="G208" s="23" t="s">
        <v>108</v>
      </c>
      <c r="H208" s="25">
        <v>118</v>
      </c>
      <c r="I208" s="23">
        <v>100</v>
      </c>
      <c r="J208" s="25">
        <f t="shared" si="31"/>
        <v>11800</v>
      </c>
      <c r="K208" s="23">
        <v>20</v>
      </c>
      <c r="L208" s="25">
        <f t="shared" si="31"/>
        <v>2360</v>
      </c>
      <c r="M208" s="23">
        <v>150</v>
      </c>
      <c r="N208" s="25">
        <f t="shared" si="31"/>
        <v>17700</v>
      </c>
    </row>
    <row r="209" spans="1:14" ht="15" customHeight="1" x14ac:dyDescent="0.25">
      <c r="A209" s="20" t="s">
        <v>804</v>
      </c>
      <c r="B209" s="21"/>
      <c r="C209" s="22" t="s">
        <v>137</v>
      </c>
      <c r="D209" s="21"/>
      <c r="E209" s="21"/>
      <c r="F209" s="21"/>
      <c r="G209" s="23" t="s">
        <v>23</v>
      </c>
      <c r="H209" s="25">
        <v>2</v>
      </c>
      <c r="I209" s="23">
        <v>8500</v>
      </c>
      <c r="J209" s="25">
        <f t="shared" si="31"/>
        <v>17000</v>
      </c>
      <c r="K209" s="23">
        <v>6000</v>
      </c>
      <c r="L209" s="25">
        <f t="shared" si="31"/>
        <v>12000</v>
      </c>
      <c r="M209" s="23">
        <v>6500</v>
      </c>
      <c r="N209" s="25">
        <f t="shared" si="31"/>
        <v>13000</v>
      </c>
    </row>
    <row r="210" spans="1:14" ht="15" customHeight="1" x14ac:dyDescent="0.25">
      <c r="A210" s="20" t="s">
        <v>805</v>
      </c>
      <c r="B210" s="21"/>
      <c r="C210" s="22" t="s">
        <v>138</v>
      </c>
      <c r="D210" s="21"/>
      <c r="E210" s="21"/>
      <c r="F210" s="21"/>
      <c r="G210" s="23"/>
      <c r="H210" s="25"/>
      <c r="I210" s="23"/>
      <c r="J210" s="25" t="str">
        <f t="shared" si="31"/>
        <v/>
      </c>
      <c r="K210" s="23"/>
      <c r="L210" s="25" t="str">
        <f t="shared" si="31"/>
        <v/>
      </c>
      <c r="M210" s="23"/>
      <c r="N210" s="25" t="str">
        <f t="shared" si="31"/>
        <v/>
      </c>
    </row>
    <row r="211" spans="1:14" ht="15" customHeight="1" collapsed="1" x14ac:dyDescent="0.25">
      <c r="A211" s="26" t="s">
        <v>806</v>
      </c>
      <c r="B211" s="27"/>
      <c r="C211" s="27"/>
      <c r="D211" s="27" t="s">
        <v>599</v>
      </c>
      <c r="E211" s="27"/>
      <c r="F211" s="43"/>
      <c r="G211" s="28" t="s">
        <v>108</v>
      </c>
      <c r="H211" s="29">
        <v>18</v>
      </c>
      <c r="I211" s="28">
        <v>300</v>
      </c>
      <c r="J211" s="30">
        <f t="shared" si="31"/>
        <v>5400</v>
      </c>
      <c r="K211" s="28">
        <v>100</v>
      </c>
      <c r="L211" s="30">
        <f t="shared" si="31"/>
        <v>1800</v>
      </c>
      <c r="M211" s="28">
        <v>200</v>
      </c>
      <c r="N211" s="30">
        <f t="shared" si="31"/>
        <v>3600</v>
      </c>
    </row>
    <row r="212" spans="1:14" ht="15" customHeight="1" x14ac:dyDescent="0.25">
      <c r="A212" s="26" t="s">
        <v>807</v>
      </c>
      <c r="B212" s="27"/>
      <c r="C212" s="27"/>
      <c r="D212" s="27" t="s">
        <v>600</v>
      </c>
      <c r="E212" s="27"/>
      <c r="F212" s="43"/>
      <c r="G212" s="28" t="s">
        <v>108</v>
      </c>
      <c r="H212" s="29">
        <v>20</v>
      </c>
      <c r="I212" s="28">
        <v>200</v>
      </c>
      <c r="J212" s="30">
        <f t="shared" si="31"/>
        <v>4000</v>
      </c>
      <c r="K212" s="28">
        <v>300</v>
      </c>
      <c r="L212" s="30">
        <f t="shared" si="31"/>
        <v>6000</v>
      </c>
      <c r="M212" s="28">
        <v>50</v>
      </c>
      <c r="N212" s="30">
        <f t="shared" si="31"/>
        <v>1000</v>
      </c>
    </row>
    <row r="213" spans="1:14" ht="15" customHeight="1" x14ac:dyDescent="0.25">
      <c r="A213" s="26" t="s">
        <v>808</v>
      </c>
      <c r="B213" s="27"/>
      <c r="C213" s="27"/>
      <c r="D213" s="27" t="s">
        <v>601</v>
      </c>
      <c r="E213" s="27"/>
      <c r="F213" s="43"/>
      <c r="G213" s="28" t="s">
        <v>602</v>
      </c>
      <c r="H213" s="29">
        <v>55</v>
      </c>
      <c r="I213" s="28">
        <v>20</v>
      </c>
      <c r="J213" s="30">
        <f t="shared" si="31"/>
        <v>1100</v>
      </c>
      <c r="K213" s="28">
        <v>300</v>
      </c>
      <c r="L213" s="30">
        <f t="shared" si="31"/>
        <v>16500</v>
      </c>
      <c r="M213" s="28">
        <v>150</v>
      </c>
      <c r="N213" s="30">
        <f t="shared" si="31"/>
        <v>8250</v>
      </c>
    </row>
    <row r="214" spans="1:14" ht="15" customHeight="1" x14ac:dyDescent="0.25">
      <c r="A214" s="20" t="s">
        <v>809</v>
      </c>
      <c r="B214" s="21"/>
      <c r="C214" s="22" t="s">
        <v>140</v>
      </c>
      <c r="D214" s="21"/>
      <c r="E214" s="21"/>
      <c r="F214" s="21"/>
      <c r="G214" s="23" t="s">
        <v>23</v>
      </c>
      <c r="H214" s="25">
        <v>21</v>
      </c>
      <c r="I214" s="23">
        <v>800</v>
      </c>
      <c r="J214" s="25">
        <f t="shared" si="31"/>
        <v>16800</v>
      </c>
      <c r="K214" s="23">
        <v>1500</v>
      </c>
      <c r="L214" s="25">
        <f t="shared" si="31"/>
        <v>31500</v>
      </c>
      <c r="M214" s="23">
        <v>400</v>
      </c>
      <c r="N214" s="25">
        <f t="shared" si="31"/>
        <v>8400</v>
      </c>
    </row>
    <row r="215" spans="1:14" ht="15" customHeight="1" x14ac:dyDescent="0.25">
      <c r="A215" s="20" t="s">
        <v>810</v>
      </c>
      <c r="B215" s="21"/>
      <c r="C215" s="22" t="s">
        <v>583</v>
      </c>
      <c r="D215" s="21"/>
      <c r="E215" s="21"/>
      <c r="F215" s="21"/>
      <c r="G215" s="23" t="s">
        <v>14</v>
      </c>
      <c r="H215" s="25">
        <v>1200</v>
      </c>
      <c r="I215" s="23">
        <v>10</v>
      </c>
      <c r="J215" s="25">
        <f t="shared" ref="J215:N215" si="32">IF($H215*I215=0,"",$H215*I215)</f>
        <v>12000</v>
      </c>
      <c r="K215" s="23">
        <v>8</v>
      </c>
      <c r="L215" s="25">
        <f t="shared" si="32"/>
        <v>9600</v>
      </c>
      <c r="M215" s="23">
        <v>6</v>
      </c>
      <c r="N215" s="25">
        <f t="shared" si="32"/>
        <v>7200</v>
      </c>
    </row>
    <row r="216" spans="1:14" ht="16.5" collapsed="1" x14ac:dyDescent="0.25">
      <c r="A216" s="14">
        <v>4</v>
      </c>
      <c r="B216" s="15" t="s">
        <v>141</v>
      </c>
      <c r="C216" s="15"/>
      <c r="D216" s="44"/>
      <c r="E216" s="44"/>
      <c r="F216" s="44"/>
      <c r="G216" s="16"/>
      <c r="H216" s="17"/>
      <c r="I216" s="16"/>
      <c r="J216" s="18">
        <f>SUM(J217:J304)</f>
        <v>2355381</v>
      </c>
      <c r="K216" s="16"/>
      <c r="L216" s="18">
        <f>SUM(L217:L304)</f>
        <v>2999020</v>
      </c>
      <c r="M216" s="16"/>
      <c r="N216" s="18">
        <f>SUM(N217:N304)</f>
        <v>3004288.8</v>
      </c>
    </row>
    <row r="217" spans="1:14" x14ac:dyDescent="0.25">
      <c r="A217" s="20" t="s">
        <v>811</v>
      </c>
      <c r="B217" s="21"/>
      <c r="C217" s="22" t="s">
        <v>142</v>
      </c>
      <c r="D217" s="21"/>
      <c r="E217" s="21"/>
      <c r="F217" s="21"/>
      <c r="G217" s="23"/>
      <c r="H217" s="24"/>
      <c r="I217" s="23"/>
      <c r="J217" s="25" t="str">
        <f t="shared" ref="J217:N255" si="33">IF($H217*I217=0,"",$H217*I217)</f>
        <v/>
      </c>
      <c r="K217" s="23"/>
      <c r="L217" s="25" t="str">
        <f t="shared" si="33"/>
        <v/>
      </c>
      <c r="M217" s="23"/>
      <c r="N217" s="25" t="str">
        <f t="shared" si="33"/>
        <v/>
      </c>
    </row>
    <row r="218" spans="1:14" ht="15" customHeight="1" collapsed="1" x14ac:dyDescent="0.25">
      <c r="A218" s="26" t="s">
        <v>812</v>
      </c>
      <c r="B218" s="27"/>
      <c r="C218" s="27"/>
      <c r="D218" s="27" t="s">
        <v>143</v>
      </c>
      <c r="E218" s="27"/>
      <c r="F218" s="27"/>
      <c r="G218" s="28" t="s">
        <v>23</v>
      </c>
      <c r="H218" s="29">
        <v>1.5</v>
      </c>
      <c r="I218" s="28">
        <v>4000</v>
      </c>
      <c r="J218" s="30">
        <f t="shared" si="33"/>
        <v>6000</v>
      </c>
      <c r="K218" s="28">
        <v>8000</v>
      </c>
      <c r="L218" s="30">
        <f t="shared" si="33"/>
        <v>12000</v>
      </c>
      <c r="M218" s="28">
        <v>10000</v>
      </c>
      <c r="N218" s="30">
        <f t="shared" si="33"/>
        <v>15000</v>
      </c>
    </row>
    <row r="219" spans="1:14" ht="15" customHeight="1" x14ac:dyDescent="0.25">
      <c r="A219" s="26" t="s">
        <v>813</v>
      </c>
      <c r="B219" s="27"/>
      <c r="C219" s="27"/>
      <c r="D219" s="27" t="s">
        <v>144</v>
      </c>
      <c r="E219" s="27"/>
      <c r="F219" s="27"/>
      <c r="G219" s="28" t="s">
        <v>23</v>
      </c>
      <c r="H219" s="29">
        <v>1</v>
      </c>
      <c r="I219" s="28">
        <v>15000</v>
      </c>
      <c r="J219" s="30">
        <f t="shared" si="33"/>
        <v>15000</v>
      </c>
      <c r="K219" s="28">
        <v>16000</v>
      </c>
      <c r="L219" s="30">
        <f t="shared" si="33"/>
        <v>16000</v>
      </c>
      <c r="M219" s="28">
        <v>8000</v>
      </c>
      <c r="N219" s="30">
        <f t="shared" si="33"/>
        <v>8000</v>
      </c>
    </row>
    <row r="220" spans="1:14" ht="15" customHeight="1" x14ac:dyDescent="0.25">
      <c r="A220" s="20" t="s">
        <v>814</v>
      </c>
      <c r="B220" s="21"/>
      <c r="C220" s="22" t="s">
        <v>145</v>
      </c>
      <c r="D220" s="21"/>
      <c r="E220" s="21"/>
      <c r="F220" s="21"/>
      <c r="G220" s="23"/>
      <c r="H220" s="24"/>
      <c r="I220" s="23"/>
      <c r="J220" s="25" t="str">
        <f t="shared" si="33"/>
        <v/>
      </c>
      <c r="K220" s="23"/>
      <c r="L220" s="25" t="str">
        <f t="shared" si="33"/>
        <v/>
      </c>
      <c r="M220" s="23"/>
      <c r="N220" s="25" t="str">
        <f t="shared" si="33"/>
        <v/>
      </c>
    </row>
    <row r="221" spans="1:14" ht="15" customHeight="1" collapsed="1" x14ac:dyDescent="0.25">
      <c r="A221" s="26" t="s">
        <v>815</v>
      </c>
      <c r="B221" s="27"/>
      <c r="C221" s="27"/>
      <c r="D221" s="27" t="s">
        <v>146</v>
      </c>
      <c r="E221" s="27"/>
      <c r="F221" s="27"/>
      <c r="G221" s="28" t="s">
        <v>147</v>
      </c>
      <c r="H221" s="29">
        <v>135</v>
      </c>
      <c r="I221" s="28">
        <v>500</v>
      </c>
      <c r="J221" s="30">
        <f t="shared" si="33"/>
        <v>67500</v>
      </c>
      <c r="K221" s="28">
        <v>250</v>
      </c>
      <c r="L221" s="30">
        <f t="shared" si="33"/>
        <v>33750</v>
      </c>
      <c r="M221" s="28">
        <v>600</v>
      </c>
      <c r="N221" s="30">
        <f t="shared" si="33"/>
        <v>81000</v>
      </c>
    </row>
    <row r="222" spans="1:14" ht="15" customHeight="1" x14ac:dyDescent="0.25">
      <c r="A222" s="26" t="s">
        <v>816</v>
      </c>
      <c r="B222" s="27"/>
      <c r="C222" s="27"/>
      <c r="D222" s="27" t="s">
        <v>148</v>
      </c>
      <c r="E222" s="27"/>
      <c r="F222" s="27"/>
      <c r="G222" s="28" t="s">
        <v>147</v>
      </c>
      <c r="H222" s="29">
        <v>125</v>
      </c>
      <c r="I222" s="28">
        <v>400</v>
      </c>
      <c r="J222" s="30">
        <f t="shared" si="33"/>
        <v>50000</v>
      </c>
      <c r="K222" s="28">
        <v>550</v>
      </c>
      <c r="L222" s="30">
        <f t="shared" si="33"/>
        <v>68750</v>
      </c>
      <c r="M222" s="28">
        <v>500</v>
      </c>
      <c r="N222" s="30">
        <f t="shared" si="33"/>
        <v>62500</v>
      </c>
    </row>
    <row r="223" spans="1:14" ht="15" customHeight="1" x14ac:dyDescent="0.25">
      <c r="A223" s="20" t="s">
        <v>817</v>
      </c>
      <c r="B223" s="21"/>
      <c r="C223" s="22" t="s">
        <v>149</v>
      </c>
      <c r="D223" s="21"/>
      <c r="E223" s="21"/>
      <c r="F223" s="21"/>
      <c r="G223" s="23"/>
      <c r="H223" s="24"/>
      <c r="I223" s="23"/>
      <c r="J223" s="25" t="str">
        <f t="shared" si="33"/>
        <v/>
      </c>
      <c r="K223" s="23"/>
      <c r="L223" s="25" t="str">
        <f t="shared" si="33"/>
        <v/>
      </c>
      <c r="M223" s="23"/>
      <c r="N223" s="25" t="str">
        <f t="shared" si="33"/>
        <v/>
      </c>
    </row>
    <row r="224" spans="1:14" ht="15" customHeight="1" collapsed="1" x14ac:dyDescent="0.25">
      <c r="A224" s="26" t="s">
        <v>818</v>
      </c>
      <c r="B224" s="27"/>
      <c r="C224" s="27"/>
      <c r="D224" s="27" t="s">
        <v>146</v>
      </c>
      <c r="E224" s="27"/>
      <c r="F224" s="27"/>
      <c r="G224" s="28" t="s">
        <v>147</v>
      </c>
      <c r="H224" s="29">
        <v>125</v>
      </c>
      <c r="I224" s="28">
        <v>150</v>
      </c>
      <c r="J224" s="30">
        <f t="shared" si="33"/>
        <v>18750</v>
      </c>
      <c r="K224" s="28">
        <v>650</v>
      </c>
      <c r="L224" s="30">
        <f t="shared" si="33"/>
        <v>81250</v>
      </c>
      <c r="M224" s="28">
        <v>800</v>
      </c>
      <c r="N224" s="30">
        <f t="shared" si="33"/>
        <v>100000</v>
      </c>
    </row>
    <row r="225" spans="1:14" ht="15" customHeight="1" x14ac:dyDescent="0.25">
      <c r="A225" s="26" t="s">
        <v>819</v>
      </c>
      <c r="B225" s="27"/>
      <c r="C225" s="27"/>
      <c r="D225" s="27" t="s">
        <v>148</v>
      </c>
      <c r="E225" s="27"/>
      <c r="F225" s="27"/>
      <c r="G225" s="28" t="s">
        <v>147</v>
      </c>
      <c r="H225" s="29">
        <v>115</v>
      </c>
      <c r="I225" s="28">
        <v>1000</v>
      </c>
      <c r="J225" s="30">
        <f t="shared" si="33"/>
        <v>115000</v>
      </c>
      <c r="K225" s="28">
        <v>900</v>
      </c>
      <c r="L225" s="30">
        <f t="shared" si="33"/>
        <v>103500</v>
      </c>
      <c r="M225" s="28">
        <v>1500</v>
      </c>
      <c r="N225" s="30">
        <f t="shared" si="33"/>
        <v>172500</v>
      </c>
    </row>
    <row r="226" spans="1:14" ht="15" customHeight="1" x14ac:dyDescent="0.25">
      <c r="A226" s="26" t="s">
        <v>820</v>
      </c>
      <c r="B226" s="27"/>
      <c r="C226" s="27"/>
      <c r="D226" s="27" t="s">
        <v>594</v>
      </c>
      <c r="E226" s="27"/>
      <c r="F226" s="27"/>
      <c r="G226" s="28" t="s">
        <v>147</v>
      </c>
      <c r="H226" s="29">
        <v>61</v>
      </c>
      <c r="I226" s="28">
        <v>700</v>
      </c>
      <c r="J226" s="30">
        <f t="shared" si="33"/>
        <v>42700</v>
      </c>
      <c r="K226" s="28">
        <v>600</v>
      </c>
      <c r="L226" s="30">
        <f t="shared" si="33"/>
        <v>36600</v>
      </c>
      <c r="M226" s="28">
        <v>800</v>
      </c>
      <c r="N226" s="30">
        <f t="shared" si="33"/>
        <v>48800</v>
      </c>
    </row>
    <row r="227" spans="1:14" ht="15" customHeight="1" x14ac:dyDescent="0.25">
      <c r="A227" s="20" t="s">
        <v>821</v>
      </c>
      <c r="B227" s="21"/>
      <c r="C227" s="22" t="s">
        <v>151</v>
      </c>
      <c r="D227" s="21"/>
      <c r="E227" s="21"/>
      <c r="F227" s="21"/>
      <c r="G227" s="23"/>
      <c r="H227" s="24"/>
      <c r="I227" s="23"/>
      <c r="J227" s="25" t="str">
        <f t="shared" si="33"/>
        <v/>
      </c>
      <c r="K227" s="23"/>
      <c r="L227" s="25" t="str">
        <f t="shared" si="33"/>
        <v/>
      </c>
      <c r="M227" s="23"/>
      <c r="N227" s="25" t="str">
        <f t="shared" si="33"/>
        <v/>
      </c>
    </row>
    <row r="228" spans="1:14" ht="15" customHeight="1" collapsed="1" x14ac:dyDescent="0.25">
      <c r="A228" s="26" t="s">
        <v>822</v>
      </c>
      <c r="B228" s="27"/>
      <c r="C228" s="27"/>
      <c r="D228" s="27" t="s">
        <v>143</v>
      </c>
      <c r="E228" s="27"/>
      <c r="F228" s="27"/>
      <c r="G228" s="28" t="s">
        <v>23</v>
      </c>
      <c r="H228" s="29">
        <v>1.2</v>
      </c>
      <c r="I228" s="28">
        <v>5000</v>
      </c>
      <c r="J228" s="30">
        <f t="shared" si="33"/>
        <v>6000</v>
      </c>
      <c r="K228" s="28">
        <v>3000</v>
      </c>
      <c r="L228" s="30">
        <f t="shared" si="33"/>
        <v>3600</v>
      </c>
      <c r="M228" s="28">
        <v>6000</v>
      </c>
      <c r="N228" s="30">
        <f t="shared" si="33"/>
        <v>7200</v>
      </c>
    </row>
    <row r="229" spans="1:14" ht="15" customHeight="1" x14ac:dyDescent="0.25">
      <c r="A229" s="26" t="s">
        <v>823</v>
      </c>
      <c r="B229" s="27"/>
      <c r="C229" s="27"/>
      <c r="D229" s="27" t="s">
        <v>144</v>
      </c>
      <c r="E229" s="27"/>
      <c r="F229" s="27"/>
      <c r="G229" s="28" t="s">
        <v>23</v>
      </c>
      <c r="H229" s="29">
        <v>1</v>
      </c>
      <c r="I229" s="28">
        <v>2000</v>
      </c>
      <c r="J229" s="30">
        <f t="shared" si="33"/>
        <v>2000</v>
      </c>
      <c r="K229" s="28">
        <v>25000</v>
      </c>
      <c r="L229" s="30">
        <f t="shared" si="33"/>
        <v>25000</v>
      </c>
      <c r="M229" s="28">
        <v>18000</v>
      </c>
      <c r="N229" s="30">
        <f t="shared" si="33"/>
        <v>18000</v>
      </c>
    </row>
    <row r="230" spans="1:14" ht="15" customHeight="1" x14ac:dyDescent="0.25">
      <c r="A230" s="20" t="s">
        <v>824</v>
      </c>
      <c r="B230" s="21"/>
      <c r="C230" s="22" t="s">
        <v>152</v>
      </c>
      <c r="D230" s="21"/>
      <c r="E230" s="21"/>
      <c r="F230" s="21"/>
      <c r="G230" s="23" t="s">
        <v>147</v>
      </c>
      <c r="H230" s="25">
        <v>175</v>
      </c>
      <c r="I230" s="23">
        <v>500</v>
      </c>
      <c r="J230" s="25">
        <f t="shared" si="33"/>
        <v>87500</v>
      </c>
      <c r="K230" s="23">
        <v>500</v>
      </c>
      <c r="L230" s="25">
        <f t="shared" si="33"/>
        <v>87500</v>
      </c>
      <c r="M230" s="23">
        <v>500</v>
      </c>
      <c r="N230" s="25">
        <f t="shared" si="33"/>
        <v>87500</v>
      </c>
    </row>
    <row r="231" spans="1:14" ht="15" customHeight="1" x14ac:dyDescent="0.25">
      <c r="A231" s="20" t="s">
        <v>825</v>
      </c>
      <c r="B231" s="21"/>
      <c r="C231" s="22" t="s">
        <v>153</v>
      </c>
      <c r="D231" s="21"/>
      <c r="E231" s="21"/>
      <c r="F231" s="21"/>
      <c r="G231" s="23" t="s">
        <v>154</v>
      </c>
      <c r="H231" s="25">
        <v>165</v>
      </c>
      <c r="I231" s="23">
        <v>50</v>
      </c>
      <c r="J231" s="25">
        <f t="shared" si="33"/>
        <v>8250</v>
      </c>
      <c r="K231" s="23">
        <v>60</v>
      </c>
      <c r="L231" s="25">
        <f t="shared" si="33"/>
        <v>9900</v>
      </c>
      <c r="M231" s="23">
        <v>80</v>
      </c>
      <c r="N231" s="25">
        <f t="shared" si="33"/>
        <v>13200</v>
      </c>
    </row>
    <row r="232" spans="1:14" ht="15" customHeight="1" x14ac:dyDescent="0.25">
      <c r="A232" s="20" t="s">
        <v>826</v>
      </c>
      <c r="B232" s="21"/>
      <c r="C232" s="22" t="s">
        <v>155</v>
      </c>
      <c r="D232" s="21"/>
      <c r="E232" s="21"/>
      <c r="F232" s="21"/>
      <c r="G232" s="23"/>
      <c r="H232" s="24"/>
      <c r="I232" s="23"/>
      <c r="J232" s="25" t="str">
        <f t="shared" si="33"/>
        <v/>
      </c>
      <c r="K232" s="23"/>
      <c r="L232" s="25" t="str">
        <f t="shared" si="33"/>
        <v/>
      </c>
      <c r="M232" s="23"/>
      <c r="N232" s="25" t="str">
        <f t="shared" si="33"/>
        <v/>
      </c>
    </row>
    <row r="233" spans="1:14" ht="15" customHeight="1" collapsed="1" x14ac:dyDescent="0.25">
      <c r="A233" s="26" t="s">
        <v>827</v>
      </c>
      <c r="B233" s="27"/>
      <c r="C233" s="27"/>
      <c r="D233" s="27" t="s">
        <v>156</v>
      </c>
      <c r="E233" s="27"/>
      <c r="F233" s="27"/>
      <c r="G233" s="28" t="s">
        <v>23</v>
      </c>
      <c r="H233" s="29">
        <v>8.1</v>
      </c>
      <c r="I233" s="28">
        <v>1500</v>
      </c>
      <c r="J233" s="30">
        <f t="shared" si="33"/>
        <v>12150</v>
      </c>
      <c r="K233" s="28">
        <v>500</v>
      </c>
      <c r="L233" s="30">
        <f t="shared" si="33"/>
        <v>4050</v>
      </c>
      <c r="M233" s="28">
        <v>1500</v>
      </c>
      <c r="N233" s="30">
        <f t="shared" si="33"/>
        <v>12150</v>
      </c>
    </row>
    <row r="234" spans="1:14" ht="15" customHeight="1" x14ac:dyDescent="0.25">
      <c r="A234" s="26" t="s">
        <v>828</v>
      </c>
      <c r="B234" s="27"/>
      <c r="C234" s="27"/>
      <c r="D234" s="27" t="s">
        <v>157</v>
      </c>
      <c r="E234" s="27"/>
      <c r="F234" s="27"/>
      <c r="G234" s="28" t="s">
        <v>23</v>
      </c>
      <c r="H234" s="29">
        <v>5.8</v>
      </c>
      <c r="I234" s="28">
        <v>4000</v>
      </c>
      <c r="J234" s="30">
        <f t="shared" si="33"/>
        <v>23200</v>
      </c>
      <c r="K234" s="28">
        <v>6000</v>
      </c>
      <c r="L234" s="30">
        <f t="shared" si="33"/>
        <v>34800</v>
      </c>
      <c r="M234" s="28">
        <v>5000</v>
      </c>
      <c r="N234" s="30">
        <f t="shared" si="33"/>
        <v>29000</v>
      </c>
    </row>
    <row r="235" spans="1:14" ht="15" customHeight="1" x14ac:dyDescent="0.25">
      <c r="A235" s="26" t="s">
        <v>829</v>
      </c>
      <c r="B235" s="27"/>
      <c r="C235" s="27"/>
      <c r="D235" s="27" t="s">
        <v>158</v>
      </c>
      <c r="E235" s="27"/>
      <c r="F235" s="27"/>
      <c r="G235" s="28" t="s">
        <v>23</v>
      </c>
      <c r="H235" s="29">
        <v>13</v>
      </c>
      <c r="I235" s="28">
        <v>600</v>
      </c>
      <c r="J235" s="30">
        <f>IF($H235*I235=0,"",$H235*I235)</f>
        <v>7800</v>
      </c>
      <c r="K235" s="28">
        <v>200</v>
      </c>
      <c r="L235" s="30">
        <f>IF($H235*K235=0,"",$H235*K235)</f>
        <v>2600</v>
      </c>
      <c r="M235" s="28">
        <v>400</v>
      </c>
      <c r="N235" s="30">
        <f>IF($H235*M235=0,"",$H235*M235)</f>
        <v>5200</v>
      </c>
    </row>
    <row r="236" spans="1:14" ht="15" customHeight="1" x14ac:dyDescent="0.25">
      <c r="A236" s="26" t="s">
        <v>830</v>
      </c>
      <c r="B236" s="27"/>
      <c r="C236" s="27"/>
      <c r="D236" s="27" t="s">
        <v>159</v>
      </c>
      <c r="E236" s="27"/>
      <c r="F236" s="27"/>
      <c r="G236" s="28" t="s">
        <v>23</v>
      </c>
      <c r="H236" s="29">
        <v>9.6</v>
      </c>
      <c r="I236" s="28">
        <v>800</v>
      </c>
      <c r="J236" s="30">
        <f t="shared" si="33"/>
        <v>7680</v>
      </c>
      <c r="K236" s="28">
        <v>200</v>
      </c>
      <c r="L236" s="30">
        <f t="shared" si="33"/>
        <v>1920</v>
      </c>
      <c r="M236" s="28">
        <v>200</v>
      </c>
      <c r="N236" s="30">
        <f t="shared" si="33"/>
        <v>1920</v>
      </c>
    </row>
    <row r="237" spans="1:14" ht="15" customHeight="1" x14ac:dyDescent="0.25">
      <c r="A237" s="20" t="s">
        <v>831</v>
      </c>
      <c r="B237" s="21"/>
      <c r="C237" s="22" t="s">
        <v>160</v>
      </c>
      <c r="D237" s="21"/>
      <c r="E237" s="21"/>
      <c r="F237" s="21"/>
      <c r="G237" s="23"/>
      <c r="H237" s="24"/>
      <c r="I237" s="23"/>
      <c r="J237" s="25" t="str">
        <f t="shared" si="33"/>
        <v/>
      </c>
      <c r="K237" s="23"/>
      <c r="L237" s="25" t="str">
        <f t="shared" si="33"/>
        <v/>
      </c>
      <c r="M237" s="23"/>
      <c r="N237" s="25" t="str">
        <f t="shared" si="33"/>
        <v/>
      </c>
    </row>
    <row r="238" spans="1:14" ht="15" customHeight="1" collapsed="1" x14ac:dyDescent="0.25">
      <c r="A238" s="26" t="s">
        <v>832</v>
      </c>
      <c r="B238" s="27"/>
      <c r="C238" s="27"/>
      <c r="D238" s="27" t="s">
        <v>161</v>
      </c>
      <c r="E238" s="27"/>
      <c r="F238" s="27"/>
      <c r="G238" s="28" t="s">
        <v>147</v>
      </c>
      <c r="H238" s="29">
        <v>165</v>
      </c>
      <c r="I238" s="28">
        <v>300</v>
      </c>
      <c r="J238" s="30">
        <f t="shared" si="33"/>
        <v>49500</v>
      </c>
      <c r="K238" s="28">
        <v>500</v>
      </c>
      <c r="L238" s="30">
        <f t="shared" si="33"/>
        <v>82500</v>
      </c>
      <c r="M238" s="28">
        <v>400</v>
      </c>
      <c r="N238" s="30">
        <f t="shared" si="33"/>
        <v>66000</v>
      </c>
    </row>
    <row r="239" spans="1:14" ht="15" customHeight="1" x14ac:dyDescent="0.25">
      <c r="A239" s="26" t="s">
        <v>833</v>
      </c>
      <c r="B239" s="27"/>
      <c r="C239" s="27"/>
      <c r="D239" s="27" t="s">
        <v>162</v>
      </c>
      <c r="E239" s="27"/>
      <c r="F239" s="27"/>
      <c r="G239" s="28" t="s">
        <v>147</v>
      </c>
      <c r="H239" s="29">
        <v>130</v>
      </c>
      <c r="I239" s="28">
        <v>300</v>
      </c>
      <c r="J239" s="30">
        <f t="shared" si="33"/>
        <v>39000</v>
      </c>
      <c r="K239" s="28">
        <v>400</v>
      </c>
      <c r="L239" s="30">
        <f t="shared" si="33"/>
        <v>52000</v>
      </c>
      <c r="M239" s="28">
        <v>400</v>
      </c>
      <c r="N239" s="30">
        <f t="shared" si="33"/>
        <v>52000</v>
      </c>
    </row>
    <row r="240" spans="1:14" ht="15" customHeight="1" x14ac:dyDescent="0.25">
      <c r="A240" s="26" t="s">
        <v>834</v>
      </c>
      <c r="B240" s="27"/>
      <c r="C240" s="27"/>
      <c r="D240" s="27" t="s">
        <v>163</v>
      </c>
      <c r="E240" s="27"/>
      <c r="F240" s="27"/>
      <c r="G240" s="28" t="s">
        <v>147</v>
      </c>
      <c r="H240" s="29">
        <v>95</v>
      </c>
      <c r="I240" s="28">
        <v>4000</v>
      </c>
      <c r="J240" s="30">
        <f t="shared" si="33"/>
        <v>380000</v>
      </c>
      <c r="K240" s="28">
        <v>5000</v>
      </c>
      <c r="L240" s="30">
        <f t="shared" si="33"/>
        <v>475000</v>
      </c>
      <c r="M240" s="28">
        <v>6000</v>
      </c>
      <c r="N240" s="30">
        <f t="shared" si="33"/>
        <v>570000</v>
      </c>
    </row>
    <row r="241" spans="1:14" ht="15" customHeight="1" x14ac:dyDescent="0.25">
      <c r="A241" s="26" t="s">
        <v>835</v>
      </c>
      <c r="B241" s="27"/>
      <c r="C241" s="27"/>
      <c r="D241" s="27" t="s">
        <v>150</v>
      </c>
      <c r="E241" s="27"/>
      <c r="F241" s="27"/>
      <c r="G241" s="28" t="s">
        <v>147</v>
      </c>
      <c r="H241" s="29">
        <v>75</v>
      </c>
      <c r="I241" s="28">
        <v>600</v>
      </c>
      <c r="J241" s="30">
        <f t="shared" si="33"/>
        <v>45000</v>
      </c>
      <c r="K241" s="28">
        <v>800</v>
      </c>
      <c r="L241" s="30">
        <f t="shared" si="33"/>
        <v>60000</v>
      </c>
      <c r="M241" s="28">
        <v>600</v>
      </c>
      <c r="N241" s="30">
        <f t="shared" si="33"/>
        <v>45000</v>
      </c>
    </row>
    <row r="242" spans="1:14" ht="15" customHeight="1" x14ac:dyDescent="0.25">
      <c r="A242" s="26" t="s">
        <v>836</v>
      </c>
      <c r="B242" s="27"/>
      <c r="C242" s="27"/>
      <c r="D242" s="42" t="s">
        <v>164</v>
      </c>
      <c r="E242" s="27"/>
      <c r="F242" s="27"/>
      <c r="G242" s="28" t="s">
        <v>147</v>
      </c>
      <c r="H242" s="29">
        <v>27</v>
      </c>
      <c r="I242" s="28">
        <v>200</v>
      </c>
      <c r="J242" s="30">
        <f t="shared" si="33"/>
        <v>5400</v>
      </c>
      <c r="K242" s="28">
        <v>300</v>
      </c>
      <c r="L242" s="30">
        <f t="shared" si="33"/>
        <v>8100</v>
      </c>
      <c r="M242" s="28">
        <v>600</v>
      </c>
      <c r="N242" s="30">
        <f t="shared" si="33"/>
        <v>16200</v>
      </c>
    </row>
    <row r="243" spans="1:14" ht="15" customHeight="1" x14ac:dyDescent="0.25">
      <c r="A243" s="26" t="s">
        <v>837</v>
      </c>
      <c r="B243" s="27"/>
      <c r="C243" s="27"/>
      <c r="D243" s="42" t="s">
        <v>165</v>
      </c>
      <c r="E243" s="27"/>
      <c r="F243" s="27"/>
      <c r="G243" s="28" t="s">
        <v>147</v>
      </c>
      <c r="H243" s="29">
        <v>20</v>
      </c>
      <c r="I243" s="28">
        <v>200</v>
      </c>
      <c r="J243" s="30">
        <f t="shared" si="33"/>
        <v>4000</v>
      </c>
      <c r="K243" s="28">
        <v>300</v>
      </c>
      <c r="L243" s="30">
        <f t="shared" si="33"/>
        <v>6000</v>
      </c>
      <c r="M243" s="28">
        <v>600</v>
      </c>
      <c r="N243" s="30">
        <f t="shared" si="33"/>
        <v>12000</v>
      </c>
    </row>
    <row r="244" spans="1:14" ht="15" customHeight="1" x14ac:dyDescent="0.25">
      <c r="A244" s="26" t="s">
        <v>838</v>
      </c>
      <c r="B244" s="27"/>
      <c r="C244" s="27"/>
      <c r="D244" s="42" t="s">
        <v>166</v>
      </c>
      <c r="E244" s="27"/>
      <c r="F244" s="27"/>
      <c r="G244" s="28" t="s">
        <v>147</v>
      </c>
      <c r="H244" s="29">
        <v>20</v>
      </c>
      <c r="I244" s="28">
        <v>100</v>
      </c>
      <c r="J244" s="30">
        <f t="shared" si="33"/>
        <v>2000</v>
      </c>
      <c r="K244" s="28">
        <v>100</v>
      </c>
      <c r="L244" s="30">
        <f t="shared" si="33"/>
        <v>2000</v>
      </c>
      <c r="M244" s="28">
        <v>200</v>
      </c>
      <c r="N244" s="30">
        <f t="shared" si="33"/>
        <v>4000</v>
      </c>
    </row>
    <row r="245" spans="1:14" ht="15" customHeight="1" x14ac:dyDescent="0.25">
      <c r="A245" s="26" t="s">
        <v>839</v>
      </c>
      <c r="B245" s="27"/>
      <c r="C245" s="27"/>
      <c r="D245" s="42" t="s">
        <v>167</v>
      </c>
      <c r="E245" s="27"/>
      <c r="F245" s="27"/>
      <c r="G245" s="28" t="s">
        <v>147</v>
      </c>
      <c r="H245" s="29">
        <v>95</v>
      </c>
      <c r="I245" s="28">
        <v>100</v>
      </c>
      <c r="J245" s="30">
        <f t="shared" si="33"/>
        <v>9500</v>
      </c>
      <c r="K245" s="28">
        <v>100</v>
      </c>
      <c r="L245" s="30">
        <f t="shared" si="33"/>
        <v>9500</v>
      </c>
      <c r="M245" s="28">
        <v>100</v>
      </c>
      <c r="N245" s="30">
        <f t="shared" si="33"/>
        <v>9500</v>
      </c>
    </row>
    <row r="246" spans="1:14" ht="15" customHeight="1" x14ac:dyDescent="0.25">
      <c r="A246" s="26" t="s">
        <v>840</v>
      </c>
      <c r="B246" s="27"/>
      <c r="C246" s="27"/>
      <c r="D246" s="42" t="s">
        <v>548</v>
      </c>
      <c r="E246" s="27"/>
      <c r="F246" s="27"/>
      <c r="G246" s="28" t="s">
        <v>147</v>
      </c>
      <c r="H246" s="29">
        <v>15.3</v>
      </c>
      <c r="I246" s="28">
        <v>500</v>
      </c>
      <c r="J246" s="30">
        <f t="shared" si="33"/>
        <v>7650</v>
      </c>
      <c r="K246" s="28">
        <v>300</v>
      </c>
      <c r="L246" s="30">
        <f t="shared" si="33"/>
        <v>4590</v>
      </c>
      <c r="M246" s="28">
        <v>300</v>
      </c>
      <c r="N246" s="30">
        <f t="shared" si="33"/>
        <v>4590</v>
      </c>
    </row>
    <row r="247" spans="1:14" ht="15" customHeight="1" x14ac:dyDescent="0.25">
      <c r="A247" s="26" t="s">
        <v>841</v>
      </c>
      <c r="B247" s="27"/>
      <c r="C247" s="27"/>
      <c r="D247" s="42" t="s">
        <v>168</v>
      </c>
      <c r="E247" s="27"/>
      <c r="F247" s="27"/>
      <c r="G247" s="28" t="s">
        <v>147</v>
      </c>
      <c r="H247" s="29">
        <v>7.2</v>
      </c>
      <c r="I247" s="28">
        <v>300</v>
      </c>
      <c r="J247" s="30">
        <f t="shared" si="33"/>
        <v>2160</v>
      </c>
      <c r="K247" s="28">
        <v>500</v>
      </c>
      <c r="L247" s="30">
        <f t="shared" si="33"/>
        <v>3600</v>
      </c>
      <c r="M247" s="28">
        <v>400</v>
      </c>
      <c r="N247" s="30">
        <f t="shared" si="33"/>
        <v>2880</v>
      </c>
    </row>
    <row r="248" spans="1:14" ht="15" customHeight="1" x14ac:dyDescent="0.25">
      <c r="A248" s="20" t="s">
        <v>842</v>
      </c>
      <c r="B248" s="21"/>
      <c r="C248" s="22" t="s">
        <v>169</v>
      </c>
      <c r="D248" s="21"/>
      <c r="E248" s="21"/>
      <c r="F248" s="21"/>
      <c r="G248" s="23" t="s">
        <v>23</v>
      </c>
      <c r="H248" s="25">
        <v>15</v>
      </c>
      <c r="I248" s="23">
        <v>2000</v>
      </c>
      <c r="J248" s="25">
        <f>IF($H248*I248=0,"",$H248*I248)</f>
        <v>30000</v>
      </c>
      <c r="K248" s="23">
        <v>4000</v>
      </c>
      <c r="L248" s="25">
        <f>IF($H248*K248=0,"",$H248*K248)</f>
        <v>60000</v>
      </c>
      <c r="M248" s="23">
        <v>3000</v>
      </c>
      <c r="N248" s="25">
        <f>IF($H248*M248=0,"",$H248*M248)</f>
        <v>45000</v>
      </c>
    </row>
    <row r="249" spans="1:14" ht="15" customHeight="1" x14ac:dyDescent="0.25">
      <c r="A249" s="20" t="s">
        <v>843</v>
      </c>
      <c r="B249" s="21"/>
      <c r="C249" s="22" t="s">
        <v>170</v>
      </c>
      <c r="D249" s="21"/>
      <c r="E249" s="21"/>
      <c r="F249" s="21"/>
      <c r="G249" s="23"/>
      <c r="H249" s="24"/>
      <c r="I249" s="23"/>
      <c r="J249" s="25" t="str">
        <f t="shared" si="33"/>
        <v/>
      </c>
      <c r="K249" s="23"/>
      <c r="L249" s="25" t="str">
        <f t="shared" si="33"/>
        <v/>
      </c>
      <c r="M249" s="23"/>
      <c r="N249" s="25" t="str">
        <f t="shared" si="33"/>
        <v/>
      </c>
    </row>
    <row r="250" spans="1:14" ht="15" customHeight="1" collapsed="1" x14ac:dyDescent="0.25">
      <c r="A250" s="26" t="s">
        <v>844</v>
      </c>
      <c r="B250" s="27"/>
      <c r="C250" s="27"/>
      <c r="D250" s="27" t="s">
        <v>171</v>
      </c>
      <c r="E250" s="27"/>
      <c r="F250" s="27"/>
      <c r="G250" s="45" t="s">
        <v>23</v>
      </c>
      <c r="H250" s="29">
        <v>34</v>
      </c>
      <c r="I250" s="28">
        <v>500</v>
      </c>
      <c r="J250" s="30">
        <f t="shared" si="33"/>
        <v>17000</v>
      </c>
      <c r="K250" s="28">
        <v>800</v>
      </c>
      <c r="L250" s="30">
        <f t="shared" si="33"/>
        <v>27200</v>
      </c>
      <c r="M250" s="28">
        <v>300</v>
      </c>
      <c r="N250" s="30">
        <f t="shared" si="33"/>
        <v>10200</v>
      </c>
    </row>
    <row r="251" spans="1:14" ht="15" customHeight="1" x14ac:dyDescent="0.25">
      <c r="A251" s="26" t="s">
        <v>845</v>
      </c>
      <c r="B251" s="27"/>
      <c r="C251" s="27"/>
      <c r="D251" s="27" t="s">
        <v>172</v>
      </c>
      <c r="E251" s="27"/>
      <c r="F251" s="27"/>
      <c r="G251" s="45" t="s">
        <v>23</v>
      </c>
      <c r="H251" s="29">
        <v>42</v>
      </c>
      <c r="I251" s="28">
        <v>200</v>
      </c>
      <c r="J251" s="30">
        <f t="shared" si="33"/>
        <v>8400</v>
      </c>
      <c r="K251" s="28">
        <v>300</v>
      </c>
      <c r="L251" s="30">
        <f t="shared" si="33"/>
        <v>12600</v>
      </c>
      <c r="M251" s="28">
        <v>100</v>
      </c>
      <c r="N251" s="30">
        <f t="shared" si="33"/>
        <v>4200</v>
      </c>
    </row>
    <row r="252" spans="1:14" ht="15" customHeight="1" x14ac:dyDescent="0.25">
      <c r="A252" s="20" t="s">
        <v>846</v>
      </c>
      <c r="B252" s="21"/>
      <c r="C252" s="22" t="s">
        <v>173</v>
      </c>
      <c r="D252" s="21"/>
      <c r="E252" s="21"/>
      <c r="F252" s="21"/>
      <c r="G252" s="23"/>
      <c r="H252" s="24"/>
      <c r="I252" s="23"/>
      <c r="J252" s="25" t="str">
        <f t="shared" si="33"/>
        <v/>
      </c>
      <c r="K252" s="23"/>
      <c r="L252" s="25" t="str">
        <f t="shared" si="33"/>
        <v/>
      </c>
      <c r="M252" s="23"/>
      <c r="N252" s="25" t="str">
        <f t="shared" si="33"/>
        <v/>
      </c>
    </row>
    <row r="253" spans="1:14" ht="15" customHeight="1" x14ac:dyDescent="0.25">
      <c r="A253" s="26" t="s">
        <v>847</v>
      </c>
      <c r="B253" s="27"/>
      <c r="C253" s="27"/>
      <c r="D253" s="27" t="s">
        <v>174</v>
      </c>
      <c r="E253" s="27"/>
      <c r="F253" s="27"/>
      <c r="G253" s="45" t="s">
        <v>23</v>
      </c>
      <c r="H253" s="29">
        <v>40</v>
      </c>
      <c r="I253" s="28">
        <v>700</v>
      </c>
      <c r="J253" s="30">
        <f t="shared" si="33"/>
        <v>28000</v>
      </c>
      <c r="K253" s="28">
        <v>1000</v>
      </c>
      <c r="L253" s="30">
        <f t="shared" si="33"/>
        <v>40000</v>
      </c>
      <c r="M253" s="28">
        <v>300</v>
      </c>
      <c r="N253" s="30">
        <f t="shared" si="33"/>
        <v>12000</v>
      </c>
    </row>
    <row r="254" spans="1:14" ht="15" customHeight="1" x14ac:dyDescent="0.25">
      <c r="A254" s="26" t="s">
        <v>848</v>
      </c>
      <c r="B254" s="27"/>
      <c r="C254" s="27"/>
      <c r="D254" s="27" t="s">
        <v>175</v>
      </c>
      <c r="E254" s="27"/>
      <c r="F254" s="27"/>
      <c r="G254" s="45" t="s">
        <v>23</v>
      </c>
      <c r="H254" s="29">
        <v>77</v>
      </c>
      <c r="I254" s="28">
        <v>50</v>
      </c>
      <c r="J254" s="30">
        <f t="shared" si="33"/>
        <v>3850</v>
      </c>
      <c r="K254" s="28">
        <v>100</v>
      </c>
      <c r="L254" s="30">
        <f t="shared" si="33"/>
        <v>7700</v>
      </c>
      <c r="M254" s="28">
        <v>0</v>
      </c>
      <c r="N254" s="30" t="str">
        <f t="shared" si="33"/>
        <v/>
      </c>
    </row>
    <row r="255" spans="1:14" ht="15" customHeight="1" x14ac:dyDescent="0.25">
      <c r="A255" s="20" t="s">
        <v>849</v>
      </c>
      <c r="B255" s="21"/>
      <c r="C255" s="22" t="s">
        <v>176</v>
      </c>
      <c r="D255" s="21"/>
      <c r="E255" s="21"/>
      <c r="F255" s="21"/>
      <c r="G255" s="23"/>
      <c r="H255" s="24"/>
      <c r="I255" s="23"/>
      <c r="J255" s="25" t="str">
        <f t="shared" si="33"/>
        <v/>
      </c>
      <c r="K255" s="23"/>
      <c r="L255" s="25" t="str">
        <f t="shared" si="33"/>
        <v/>
      </c>
      <c r="M255" s="23"/>
      <c r="N255" s="25" t="str">
        <f t="shared" si="33"/>
        <v/>
      </c>
    </row>
    <row r="256" spans="1:14" ht="15" customHeight="1" collapsed="1" x14ac:dyDescent="0.25">
      <c r="A256" s="26" t="s">
        <v>850</v>
      </c>
      <c r="B256" s="27"/>
      <c r="C256" s="27"/>
      <c r="D256" s="27" t="s">
        <v>177</v>
      </c>
      <c r="E256" s="27"/>
      <c r="F256" s="27"/>
      <c r="G256" s="45" t="s">
        <v>18</v>
      </c>
      <c r="H256" s="29">
        <v>36</v>
      </c>
      <c r="I256" s="28">
        <v>1500</v>
      </c>
      <c r="J256" s="30">
        <f t="shared" ref="J256:N284" si="34">IF($H256*I256=0,"",$H256*I256)</f>
        <v>54000</v>
      </c>
      <c r="K256" s="28">
        <v>1400</v>
      </c>
      <c r="L256" s="30">
        <f t="shared" si="34"/>
        <v>50400</v>
      </c>
      <c r="M256" s="28">
        <v>1000</v>
      </c>
      <c r="N256" s="30">
        <f t="shared" si="34"/>
        <v>36000</v>
      </c>
    </row>
    <row r="257" spans="1:22" ht="15" customHeight="1" x14ac:dyDescent="0.25">
      <c r="A257" s="26" t="s">
        <v>851</v>
      </c>
      <c r="B257" s="27"/>
      <c r="C257" s="27"/>
      <c r="D257" s="27" t="s">
        <v>178</v>
      </c>
      <c r="E257" s="27"/>
      <c r="F257" s="27"/>
      <c r="G257" s="45" t="s">
        <v>18</v>
      </c>
      <c r="H257" s="29">
        <v>45</v>
      </c>
      <c r="I257" s="28">
        <v>3000</v>
      </c>
      <c r="J257" s="30">
        <f t="shared" si="34"/>
        <v>135000</v>
      </c>
      <c r="K257" s="28">
        <v>2800</v>
      </c>
      <c r="L257" s="30">
        <f t="shared" si="34"/>
        <v>126000</v>
      </c>
      <c r="M257" s="28">
        <v>3500</v>
      </c>
      <c r="N257" s="30">
        <f t="shared" si="34"/>
        <v>157500</v>
      </c>
    </row>
    <row r="258" spans="1:22" ht="15" customHeight="1" x14ac:dyDescent="0.25">
      <c r="A258" s="26" t="s">
        <v>852</v>
      </c>
      <c r="B258" s="27"/>
      <c r="C258" s="27"/>
      <c r="D258" s="27" t="s">
        <v>179</v>
      </c>
      <c r="E258" s="27"/>
      <c r="F258" s="27"/>
      <c r="G258" s="45" t="s">
        <v>18</v>
      </c>
      <c r="H258" s="29">
        <v>48</v>
      </c>
      <c r="I258" s="28">
        <v>500</v>
      </c>
      <c r="J258" s="30">
        <f t="shared" si="34"/>
        <v>24000</v>
      </c>
      <c r="K258" s="28">
        <v>300</v>
      </c>
      <c r="L258" s="30">
        <f t="shared" si="34"/>
        <v>14400</v>
      </c>
      <c r="M258" s="28">
        <v>200</v>
      </c>
      <c r="N258" s="30">
        <f t="shared" si="34"/>
        <v>9600</v>
      </c>
    </row>
    <row r="259" spans="1:22" ht="15" customHeight="1" x14ac:dyDescent="0.25">
      <c r="A259" s="26" t="s">
        <v>853</v>
      </c>
      <c r="B259" s="27"/>
      <c r="C259" s="27"/>
      <c r="D259" s="27" t="s">
        <v>180</v>
      </c>
      <c r="E259" s="27"/>
      <c r="F259" s="27"/>
      <c r="G259" s="45" t="s">
        <v>18</v>
      </c>
      <c r="H259" s="29">
        <v>38</v>
      </c>
      <c r="I259" s="28">
        <v>1000</v>
      </c>
      <c r="J259" s="30">
        <f t="shared" si="34"/>
        <v>38000</v>
      </c>
      <c r="K259" s="28">
        <v>1200</v>
      </c>
      <c r="L259" s="30">
        <f t="shared" si="34"/>
        <v>45600</v>
      </c>
      <c r="M259" s="28">
        <v>1500</v>
      </c>
      <c r="N259" s="30">
        <f t="shared" si="34"/>
        <v>57000</v>
      </c>
    </row>
    <row r="260" spans="1:22" ht="15" customHeight="1" x14ac:dyDescent="0.25">
      <c r="A260" s="26" t="s">
        <v>854</v>
      </c>
      <c r="B260" s="27"/>
      <c r="C260" s="27"/>
      <c r="D260" s="27" t="s">
        <v>181</v>
      </c>
      <c r="E260" s="27"/>
      <c r="F260" s="27"/>
      <c r="G260" s="45" t="s">
        <v>18</v>
      </c>
      <c r="H260" s="29">
        <v>42</v>
      </c>
      <c r="I260" s="28">
        <v>50</v>
      </c>
      <c r="J260" s="30">
        <f t="shared" si="34"/>
        <v>2100</v>
      </c>
      <c r="K260" s="28">
        <v>200</v>
      </c>
      <c r="L260" s="30">
        <f t="shared" si="34"/>
        <v>8400</v>
      </c>
      <c r="M260" s="28">
        <v>150</v>
      </c>
      <c r="N260" s="30">
        <f t="shared" si="34"/>
        <v>6300</v>
      </c>
    </row>
    <row r="261" spans="1:22" ht="15" customHeight="1" x14ac:dyDescent="0.25">
      <c r="A261" s="26" t="s">
        <v>855</v>
      </c>
      <c r="B261" s="27"/>
      <c r="C261" s="27"/>
      <c r="D261" s="27" t="s">
        <v>182</v>
      </c>
      <c r="E261" s="27"/>
      <c r="F261" s="27"/>
      <c r="G261" s="45" t="s">
        <v>18</v>
      </c>
      <c r="H261" s="29">
        <v>45</v>
      </c>
      <c r="I261" s="28">
        <v>50</v>
      </c>
      <c r="J261" s="30">
        <f t="shared" si="34"/>
        <v>2250</v>
      </c>
      <c r="K261" s="28">
        <v>200</v>
      </c>
      <c r="L261" s="30">
        <f t="shared" si="34"/>
        <v>9000</v>
      </c>
      <c r="M261" s="28">
        <v>150</v>
      </c>
      <c r="N261" s="30">
        <f t="shared" si="34"/>
        <v>6750</v>
      </c>
    </row>
    <row r="262" spans="1:22" ht="15" customHeight="1" x14ac:dyDescent="0.25">
      <c r="A262" s="26" t="s">
        <v>856</v>
      </c>
      <c r="B262" s="27"/>
      <c r="C262" s="27"/>
      <c r="D262" s="27" t="s">
        <v>183</v>
      </c>
      <c r="E262" s="27"/>
      <c r="F262" s="27"/>
      <c r="G262" s="45" t="s">
        <v>18</v>
      </c>
      <c r="H262" s="29">
        <v>48</v>
      </c>
      <c r="I262" s="28">
        <v>100</v>
      </c>
      <c r="J262" s="30">
        <f t="shared" si="34"/>
        <v>4800</v>
      </c>
      <c r="K262" s="28">
        <v>300</v>
      </c>
      <c r="L262" s="30">
        <f t="shared" si="34"/>
        <v>14400</v>
      </c>
      <c r="M262" s="28">
        <v>200</v>
      </c>
      <c r="N262" s="30">
        <f t="shared" si="34"/>
        <v>9600</v>
      </c>
    </row>
    <row r="263" spans="1:22" ht="15" customHeight="1" x14ac:dyDescent="0.25">
      <c r="A263" s="26" t="s">
        <v>857</v>
      </c>
      <c r="B263" s="27"/>
      <c r="C263" s="27"/>
      <c r="D263" s="27" t="s">
        <v>549</v>
      </c>
      <c r="E263" s="27"/>
      <c r="F263" s="27"/>
      <c r="G263" s="45" t="s">
        <v>18</v>
      </c>
      <c r="H263" s="29">
        <v>51</v>
      </c>
      <c r="I263" s="28">
        <v>100</v>
      </c>
      <c r="J263" s="30">
        <f t="shared" si="34"/>
        <v>5100</v>
      </c>
      <c r="K263" s="28">
        <v>300</v>
      </c>
      <c r="L263" s="30">
        <f t="shared" si="34"/>
        <v>15300</v>
      </c>
      <c r="M263" s="28">
        <v>400</v>
      </c>
      <c r="N263" s="30">
        <f t="shared" si="34"/>
        <v>20400</v>
      </c>
    </row>
    <row r="264" spans="1:22" ht="15" customHeight="1" x14ac:dyDescent="0.25">
      <c r="A264" s="26" t="s">
        <v>858</v>
      </c>
      <c r="B264" s="27"/>
      <c r="C264" s="27"/>
      <c r="D264" s="27" t="s">
        <v>550</v>
      </c>
      <c r="E264" s="27"/>
      <c r="F264" s="27"/>
      <c r="G264" s="45" t="s">
        <v>18</v>
      </c>
      <c r="H264" s="29">
        <v>55</v>
      </c>
      <c r="I264" s="28">
        <v>100</v>
      </c>
      <c r="J264" s="30">
        <f t="shared" si="34"/>
        <v>5500</v>
      </c>
      <c r="K264" s="28">
        <v>50</v>
      </c>
      <c r="L264" s="30">
        <f t="shared" si="34"/>
        <v>2750</v>
      </c>
      <c r="M264" s="28">
        <v>100</v>
      </c>
      <c r="N264" s="30">
        <f t="shared" si="34"/>
        <v>5500</v>
      </c>
    </row>
    <row r="265" spans="1:22" ht="15" customHeight="1" x14ac:dyDescent="0.25">
      <c r="A265" s="26" t="s">
        <v>859</v>
      </c>
      <c r="B265" s="27"/>
      <c r="C265" s="27"/>
      <c r="D265" s="27" t="s">
        <v>551</v>
      </c>
      <c r="E265" s="27"/>
      <c r="F265" s="27"/>
      <c r="G265" s="45" t="s">
        <v>18</v>
      </c>
      <c r="H265" s="29">
        <v>45</v>
      </c>
      <c r="I265" s="28">
        <v>2000</v>
      </c>
      <c r="J265" s="30">
        <f t="shared" si="34"/>
        <v>90000</v>
      </c>
      <c r="K265" s="28">
        <v>1200</v>
      </c>
      <c r="L265" s="30">
        <f t="shared" si="34"/>
        <v>54000</v>
      </c>
      <c r="M265" s="28">
        <v>1800</v>
      </c>
      <c r="N265" s="30">
        <f t="shared" si="34"/>
        <v>81000</v>
      </c>
    </row>
    <row r="266" spans="1:22" ht="15" customHeight="1" x14ac:dyDescent="0.25">
      <c r="A266" s="26" t="s">
        <v>860</v>
      </c>
      <c r="B266" s="27"/>
      <c r="C266" s="27"/>
      <c r="D266" s="27" t="s">
        <v>552</v>
      </c>
      <c r="E266" s="27"/>
      <c r="F266" s="27"/>
      <c r="G266" s="45" t="s">
        <v>18</v>
      </c>
      <c r="H266" s="29">
        <v>50</v>
      </c>
      <c r="I266" s="28">
        <v>500</v>
      </c>
      <c r="J266" s="30">
        <f t="shared" si="34"/>
        <v>25000</v>
      </c>
      <c r="K266" s="28">
        <v>100</v>
      </c>
      <c r="L266" s="30">
        <f t="shared" si="34"/>
        <v>5000</v>
      </c>
      <c r="M266" s="28">
        <v>50</v>
      </c>
      <c r="N266" s="30">
        <f t="shared" si="34"/>
        <v>2500</v>
      </c>
    </row>
    <row r="267" spans="1:22" ht="15" customHeight="1" x14ac:dyDescent="0.25">
      <c r="A267" s="20" t="s">
        <v>861</v>
      </c>
      <c r="B267" s="21"/>
      <c r="C267" s="22" t="s">
        <v>553</v>
      </c>
      <c r="D267" s="21"/>
      <c r="E267" s="21"/>
      <c r="F267" s="21"/>
      <c r="G267" s="23"/>
      <c r="H267" s="24"/>
      <c r="I267" s="23"/>
      <c r="J267" s="25" t="str">
        <f t="shared" si="34"/>
        <v/>
      </c>
      <c r="K267" s="23"/>
      <c r="L267" s="25" t="str">
        <f t="shared" si="34"/>
        <v/>
      </c>
      <c r="M267" s="23"/>
      <c r="N267" s="25" t="str">
        <f t="shared" si="34"/>
        <v/>
      </c>
      <c r="T267" s="27"/>
      <c r="U267" s="28"/>
      <c r="V267" s="31"/>
    </row>
    <row r="268" spans="1:22" ht="15" customHeight="1" collapsed="1" x14ac:dyDescent="0.25">
      <c r="A268" s="26" t="s">
        <v>862</v>
      </c>
      <c r="B268" s="27"/>
      <c r="C268" s="27"/>
      <c r="D268" s="27" t="s">
        <v>184</v>
      </c>
      <c r="E268" s="27"/>
      <c r="F268" s="27"/>
      <c r="G268" s="45"/>
      <c r="H268" s="29"/>
      <c r="I268" s="28"/>
      <c r="J268" s="32" t="str">
        <f t="shared" si="34"/>
        <v/>
      </c>
      <c r="K268" s="28"/>
      <c r="L268" s="32" t="str">
        <f t="shared" si="34"/>
        <v/>
      </c>
      <c r="M268" s="28"/>
      <c r="N268" s="32" t="str">
        <f t="shared" si="34"/>
        <v/>
      </c>
    </row>
    <row r="269" spans="1:22" ht="15" customHeight="1" x14ac:dyDescent="0.25">
      <c r="A269" s="37" t="s">
        <v>863</v>
      </c>
      <c r="B269" s="33"/>
      <c r="C269" s="33"/>
      <c r="D269" s="33"/>
      <c r="E269" s="33" t="s">
        <v>185</v>
      </c>
      <c r="F269" s="33"/>
      <c r="G269" s="34" t="s">
        <v>18</v>
      </c>
      <c r="H269" s="29">
        <v>43</v>
      </c>
      <c r="I269" s="34">
        <v>300</v>
      </c>
      <c r="J269" s="36">
        <f t="shared" si="34"/>
        <v>12900</v>
      </c>
      <c r="K269" s="34">
        <v>100</v>
      </c>
      <c r="L269" s="36">
        <f t="shared" si="34"/>
        <v>4300</v>
      </c>
      <c r="M269" s="34">
        <v>250</v>
      </c>
      <c r="N269" s="36">
        <f t="shared" si="34"/>
        <v>10750</v>
      </c>
    </row>
    <row r="270" spans="1:22" ht="15" customHeight="1" x14ac:dyDescent="0.25">
      <c r="A270" s="37" t="s">
        <v>864</v>
      </c>
      <c r="B270" s="33"/>
      <c r="C270" s="33"/>
      <c r="D270" s="33"/>
      <c r="E270" s="33" t="s">
        <v>186</v>
      </c>
      <c r="F270" s="33"/>
      <c r="G270" s="34" t="s">
        <v>18</v>
      </c>
      <c r="H270" s="29">
        <v>51</v>
      </c>
      <c r="I270" s="34">
        <v>100</v>
      </c>
      <c r="J270" s="36">
        <f t="shared" si="34"/>
        <v>5100</v>
      </c>
      <c r="K270" s="34">
        <v>50</v>
      </c>
      <c r="L270" s="36">
        <f t="shared" si="34"/>
        <v>2550</v>
      </c>
      <c r="M270" s="34">
        <v>250</v>
      </c>
      <c r="N270" s="36">
        <f t="shared" si="34"/>
        <v>12750</v>
      </c>
    </row>
    <row r="271" spans="1:22" ht="15" customHeight="1" x14ac:dyDescent="0.25">
      <c r="A271" s="37" t="s">
        <v>865</v>
      </c>
      <c r="B271" s="33"/>
      <c r="C271" s="33"/>
      <c r="D271" s="33"/>
      <c r="E271" s="47" t="s">
        <v>1280</v>
      </c>
      <c r="F271" s="47"/>
      <c r="G271" s="34" t="s">
        <v>18</v>
      </c>
      <c r="H271" s="29">
        <v>63</v>
      </c>
      <c r="I271" s="34">
        <v>400</v>
      </c>
      <c r="J271" s="36">
        <f t="shared" si="34"/>
        <v>25200</v>
      </c>
      <c r="K271" s="34">
        <v>150</v>
      </c>
      <c r="L271" s="36">
        <f t="shared" si="34"/>
        <v>9450</v>
      </c>
      <c r="M271" s="34">
        <v>250</v>
      </c>
      <c r="N271" s="36">
        <f t="shared" si="34"/>
        <v>15750</v>
      </c>
    </row>
    <row r="272" spans="1:22" ht="15" customHeight="1" x14ac:dyDescent="0.25">
      <c r="A272" s="26" t="s">
        <v>866</v>
      </c>
      <c r="B272" s="27"/>
      <c r="C272" s="27"/>
      <c r="D272" s="27" t="s">
        <v>187</v>
      </c>
      <c r="E272" s="42"/>
      <c r="F272" s="42"/>
      <c r="G272" s="45"/>
      <c r="H272" s="29"/>
      <c r="I272" s="28"/>
      <c r="J272" s="32" t="str">
        <f t="shared" si="34"/>
        <v/>
      </c>
      <c r="K272" s="28"/>
      <c r="L272" s="32" t="str">
        <f t="shared" si="34"/>
        <v/>
      </c>
      <c r="M272" s="28"/>
      <c r="N272" s="32" t="str">
        <f t="shared" si="34"/>
        <v/>
      </c>
    </row>
    <row r="273" spans="1:14" ht="15" customHeight="1" x14ac:dyDescent="0.25">
      <c r="A273" s="37" t="s">
        <v>867</v>
      </c>
      <c r="B273" s="33"/>
      <c r="C273" s="33"/>
      <c r="D273" s="33"/>
      <c r="E273" s="47" t="s">
        <v>185</v>
      </c>
      <c r="F273" s="47"/>
      <c r="G273" s="34" t="s">
        <v>18</v>
      </c>
      <c r="H273" s="29">
        <v>47</v>
      </c>
      <c r="I273" s="34">
        <v>400</v>
      </c>
      <c r="J273" s="36">
        <f t="shared" si="34"/>
        <v>18800</v>
      </c>
      <c r="K273" s="34">
        <v>800</v>
      </c>
      <c r="L273" s="36">
        <f t="shared" si="34"/>
        <v>37600</v>
      </c>
      <c r="M273" s="34">
        <v>300</v>
      </c>
      <c r="N273" s="36">
        <f t="shared" si="34"/>
        <v>14100</v>
      </c>
    </row>
    <row r="274" spans="1:14" ht="15" customHeight="1" x14ac:dyDescent="0.25">
      <c r="A274" s="37" t="s">
        <v>868</v>
      </c>
      <c r="B274" s="33"/>
      <c r="C274" s="33"/>
      <c r="D274" s="33"/>
      <c r="E274" s="47" t="s">
        <v>186</v>
      </c>
      <c r="F274" s="47"/>
      <c r="G274" s="34" t="s">
        <v>18</v>
      </c>
      <c r="H274" s="29">
        <v>55</v>
      </c>
      <c r="I274" s="34">
        <v>100</v>
      </c>
      <c r="J274" s="36">
        <f t="shared" si="34"/>
        <v>5500</v>
      </c>
      <c r="K274" s="34">
        <v>300</v>
      </c>
      <c r="L274" s="36">
        <f t="shared" si="34"/>
        <v>16500</v>
      </c>
      <c r="M274" s="34">
        <v>150</v>
      </c>
      <c r="N274" s="36">
        <f t="shared" si="34"/>
        <v>8250</v>
      </c>
    </row>
    <row r="275" spans="1:14" ht="15" customHeight="1" x14ac:dyDescent="0.25">
      <c r="A275" s="37" t="s">
        <v>869</v>
      </c>
      <c r="B275" s="33"/>
      <c r="C275" s="33"/>
      <c r="D275" s="33"/>
      <c r="E275" s="47" t="s">
        <v>1281</v>
      </c>
      <c r="F275" s="47"/>
      <c r="G275" s="34" t="s">
        <v>18</v>
      </c>
      <c r="H275" s="29">
        <v>68</v>
      </c>
      <c r="I275" s="34">
        <v>400</v>
      </c>
      <c r="J275" s="36">
        <f t="shared" si="34"/>
        <v>27200</v>
      </c>
      <c r="K275" s="34">
        <v>1100</v>
      </c>
      <c r="L275" s="36">
        <f t="shared" si="34"/>
        <v>74800</v>
      </c>
      <c r="M275" s="34">
        <v>450</v>
      </c>
      <c r="N275" s="36">
        <f t="shared" si="34"/>
        <v>30600</v>
      </c>
    </row>
    <row r="276" spans="1:14" ht="15" customHeight="1" x14ac:dyDescent="0.25">
      <c r="A276" s="26" t="s">
        <v>870</v>
      </c>
      <c r="B276" s="27"/>
      <c r="C276" s="27"/>
      <c r="D276" s="27" t="s">
        <v>188</v>
      </c>
      <c r="E276" s="42"/>
      <c r="F276" s="42"/>
      <c r="G276" s="45"/>
      <c r="H276" s="29"/>
      <c r="I276" s="28"/>
      <c r="J276" s="32" t="str">
        <f t="shared" si="34"/>
        <v/>
      </c>
      <c r="K276" s="28"/>
      <c r="L276" s="32" t="str">
        <f t="shared" si="34"/>
        <v/>
      </c>
      <c r="M276" s="28"/>
      <c r="N276" s="32" t="str">
        <f t="shared" si="34"/>
        <v/>
      </c>
    </row>
    <row r="277" spans="1:14" ht="15" customHeight="1" x14ac:dyDescent="0.25">
      <c r="A277" s="37" t="s">
        <v>871</v>
      </c>
      <c r="B277" s="33"/>
      <c r="C277" s="33"/>
      <c r="D277" s="33"/>
      <c r="E277" s="47" t="s">
        <v>189</v>
      </c>
      <c r="F277" s="47"/>
      <c r="G277" s="34" t="s">
        <v>18</v>
      </c>
      <c r="H277" s="29">
        <v>65</v>
      </c>
      <c r="I277" s="34">
        <v>200</v>
      </c>
      <c r="J277" s="36">
        <f t="shared" si="34"/>
        <v>13000</v>
      </c>
      <c r="K277" s="34">
        <v>100</v>
      </c>
      <c r="L277" s="36">
        <f t="shared" si="34"/>
        <v>6500</v>
      </c>
      <c r="M277" s="34">
        <v>150</v>
      </c>
      <c r="N277" s="36">
        <f t="shared" si="34"/>
        <v>9750</v>
      </c>
    </row>
    <row r="278" spans="1:14" ht="15" customHeight="1" x14ac:dyDescent="0.25">
      <c r="A278" s="37" t="s">
        <v>872</v>
      </c>
      <c r="B278" s="33"/>
      <c r="C278" s="33"/>
      <c r="D278" s="33"/>
      <c r="E278" s="47" t="s">
        <v>1282</v>
      </c>
      <c r="F278" s="47"/>
      <c r="G278" s="34" t="s">
        <v>18</v>
      </c>
      <c r="H278" s="29">
        <v>130</v>
      </c>
      <c r="I278" s="34">
        <v>200</v>
      </c>
      <c r="J278" s="36">
        <f t="shared" si="34"/>
        <v>26000</v>
      </c>
      <c r="K278" s="34">
        <v>100</v>
      </c>
      <c r="L278" s="36">
        <f t="shared" si="34"/>
        <v>13000</v>
      </c>
      <c r="M278" s="34">
        <v>150</v>
      </c>
      <c r="N278" s="36">
        <f t="shared" si="34"/>
        <v>19500</v>
      </c>
    </row>
    <row r="279" spans="1:14" ht="15" customHeight="1" x14ac:dyDescent="0.25">
      <c r="A279" s="20" t="s">
        <v>873</v>
      </c>
      <c r="B279" s="21"/>
      <c r="C279" s="22" t="s">
        <v>190</v>
      </c>
      <c r="D279" s="21"/>
      <c r="E279" s="21"/>
      <c r="F279" s="21"/>
      <c r="G279" s="23" t="s">
        <v>18</v>
      </c>
      <c r="H279" s="25">
        <v>55</v>
      </c>
      <c r="I279" s="23">
        <v>700</v>
      </c>
      <c r="J279" s="25">
        <f t="shared" si="34"/>
        <v>38500</v>
      </c>
      <c r="K279" s="23">
        <v>800</v>
      </c>
      <c r="L279" s="25">
        <f t="shared" si="34"/>
        <v>44000</v>
      </c>
      <c r="M279" s="23">
        <v>400</v>
      </c>
      <c r="N279" s="25">
        <f t="shared" si="34"/>
        <v>22000</v>
      </c>
    </row>
    <row r="280" spans="1:14" ht="15" customHeight="1" x14ac:dyDescent="0.25">
      <c r="A280" s="20" t="s">
        <v>874</v>
      </c>
      <c r="B280" s="21"/>
      <c r="C280" s="22" t="s">
        <v>191</v>
      </c>
      <c r="D280" s="21"/>
      <c r="E280" s="21"/>
      <c r="F280" s="21"/>
      <c r="G280" s="23" t="s">
        <v>18</v>
      </c>
      <c r="H280" s="25">
        <v>24</v>
      </c>
      <c r="I280" s="23">
        <v>700</v>
      </c>
      <c r="J280" s="25">
        <f t="shared" si="34"/>
        <v>16800</v>
      </c>
      <c r="K280" s="23">
        <v>800</v>
      </c>
      <c r="L280" s="25">
        <f t="shared" si="34"/>
        <v>19200</v>
      </c>
      <c r="M280" s="23">
        <v>400</v>
      </c>
      <c r="N280" s="25">
        <f t="shared" si="34"/>
        <v>9600</v>
      </c>
    </row>
    <row r="281" spans="1:14" ht="15" customHeight="1" x14ac:dyDescent="0.25">
      <c r="A281" s="20" t="s">
        <v>875</v>
      </c>
      <c r="B281" s="21"/>
      <c r="C281" s="22" t="s">
        <v>527</v>
      </c>
      <c r="D281" s="21"/>
      <c r="E281" s="21"/>
      <c r="F281" s="21"/>
      <c r="G281" s="23" t="s">
        <v>23</v>
      </c>
      <c r="H281" s="25">
        <v>61.2</v>
      </c>
      <c r="I281" s="23">
        <v>400</v>
      </c>
      <c r="J281" s="25">
        <f t="shared" ref="J281" si="35">IF($H281*I281=0,"",$H281*I281)</f>
        <v>24480</v>
      </c>
      <c r="K281" s="23">
        <v>500</v>
      </c>
      <c r="L281" s="25">
        <f t="shared" ref="L281:N281" si="36">IF($H281*K281=0,"",$H281*K281)</f>
        <v>30600</v>
      </c>
      <c r="M281" s="23">
        <v>600</v>
      </c>
      <c r="N281" s="25">
        <f t="shared" si="36"/>
        <v>36720</v>
      </c>
    </row>
    <row r="282" spans="1:14" ht="15" customHeight="1" x14ac:dyDescent="0.25">
      <c r="A282" s="20" t="s">
        <v>876</v>
      </c>
      <c r="B282" s="21"/>
      <c r="C282" s="22" t="s">
        <v>192</v>
      </c>
      <c r="D282" s="21"/>
      <c r="E282" s="21"/>
      <c r="F282" s="21"/>
      <c r="G282" s="23"/>
      <c r="H282" s="24"/>
      <c r="I282" s="23"/>
      <c r="J282" s="25" t="str">
        <f t="shared" si="34"/>
        <v/>
      </c>
      <c r="K282" s="23"/>
      <c r="L282" s="25" t="str">
        <f t="shared" si="34"/>
        <v/>
      </c>
      <c r="M282" s="23"/>
      <c r="N282" s="25" t="str">
        <f t="shared" si="34"/>
        <v/>
      </c>
    </row>
    <row r="283" spans="1:14" ht="15" customHeight="1" collapsed="1" x14ac:dyDescent="0.25">
      <c r="A283" s="26" t="s">
        <v>877</v>
      </c>
      <c r="B283" s="27"/>
      <c r="C283" s="27"/>
      <c r="D283" s="27" t="s">
        <v>193</v>
      </c>
      <c r="E283" s="27"/>
      <c r="F283" s="27"/>
      <c r="G283" s="45" t="s">
        <v>23</v>
      </c>
      <c r="H283" s="29">
        <v>145</v>
      </c>
      <c r="I283" s="28">
        <v>300</v>
      </c>
      <c r="J283" s="30">
        <f t="shared" si="34"/>
        <v>43500</v>
      </c>
      <c r="K283" s="28">
        <v>600</v>
      </c>
      <c r="L283" s="30">
        <f t="shared" si="34"/>
        <v>87000</v>
      </c>
      <c r="M283" s="28">
        <v>250</v>
      </c>
      <c r="N283" s="30">
        <f t="shared" si="34"/>
        <v>36250</v>
      </c>
    </row>
    <row r="284" spans="1:14" ht="15" customHeight="1" x14ac:dyDescent="0.25">
      <c r="A284" s="26" t="s">
        <v>878</v>
      </c>
      <c r="B284" s="27"/>
      <c r="C284" s="27"/>
      <c r="D284" s="27" t="s">
        <v>194</v>
      </c>
      <c r="E284" s="27"/>
      <c r="F284" s="27"/>
      <c r="G284" s="45" t="s">
        <v>23</v>
      </c>
      <c r="H284" s="29">
        <v>61.2</v>
      </c>
      <c r="I284" s="28">
        <v>150</v>
      </c>
      <c r="J284" s="30">
        <f t="shared" si="34"/>
        <v>9180</v>
      </c>
      <c r="K284" s="28">
        <v>600</v>
      </c>
      <c r="L284" s="30">
        <f t="shared" si="34"/>
        <v>36720</v>
      </c>
      <c r="M284" s="28">
        <v>250</v>
      </c>
      <c r="N284" s="30">
        <f t="shared" si="34"/>
        <v>15300</v>
      </c>
    </row>
    <row r="285" spans="1:14" ht="15" customHeight="1" x14ac:dyDescent="0.25">
      <c r="A285" s="26" t="s">
        <v>879</v>
      </c>
      <c r="B285" s="27"/>
      <c r="C285" s="27"/>
      <c r="D285" s="27" t="s">
        <v>195</v>
      </c>
      <c r="E285" s="27"/>
      <c r="F285" s="27"/>
      <c r="G285" s="45" t="s">
        <v>23</v>
      </c>
      <c r="H285" s="29">
        <v>30.6</v>
      </c>
      <c r="I285" s="28">
        <v>200</v>
      </c>
      <c r="J285" s="30">
        <f t="shared" ref="J285:N295" si="37">IF($H285*I285=0,"",$H285*I285)</f>
        <v>6120</v>
      </c>
      <c r="K285" s="28">
        <v>600</v>
      </c>
      <c r="L285" s="30">
        <f t="shared" si="37"/>
        <v>18360</v>
      </c>
      <c r="M285" s="28">
        <v>250</v>
      </c>
      <c r="N285" s="30">
        <f t="shared" si="37"/>
        <v>7650</v>
      </c>
    </row>
    <row r="286" spans="1:14" ht="15" customHeight="1" x14ac:dyDescent="0.25">
      <c r="A286" s="26" t="s">
        <v>880</v>
      </c>
      <c r="B286" s="27"/>
      <c r="C286" s="27"/>
      <c r="D286" s="27" t="s">
        <v>196</v>
      </c>
      <c r="E286" s="27"/>
      <c r="F286" s="27"/>
      <c r="G286" s="45" t="s">
        <v>23</v>
      </c>
      <c r="H286" s="29">
        <v>10.199999999999999</v>
      </c>
      <c r="I286" s="28">
        <v>200</v>
      </c>
      <c r="J286" s="30">
        <f t="shared" si="37"/>
        <v>2039.9999999999998</v>
      </c>
      <c r="K286" s="28">
        <v>600</v>
      </c>
      <c r="L286" s="30">
        <f t="shared" si="37"/>
        <v>6120</v>
      </c>
      <c r="M286" s="28">
        <v>250</v>
      </c>
      <c r="N286" s="30">
        <f t="shared" si="37"/>
        <v>2550</v>
      </c>
    </row>
    <row r="287" spans="1:14" ht="15" customHeight="1" x14ac:dyDescent="0.25">
      <c r="A287" s="20" t="s">
        <v>881</v>
      </c>
      <c r="B287" s="21"/>
      <c r="C287" s="22" t="s">
        <v>197</v>
      </c>
      <c r="D287" s="21"/>
      <c r="E287" s="21"/>
      <c r="F287" s="21"/>
      <c r="G287" s="23" t="s">
        <v>23</v>
      </c>
      <c r="H287" s="25">
        <v>112.2</v>
      </c>
      <c r="I287" s="23">
        <v>400</v>
      </c>
      <c r="J287" s="25">
        <f t="shared" si="37"/>
        <v>44880</v>
      </c>
      <c r="K287" s="23">
        <v>350</v>
      </c>
      <c r="L287" s="25">
        <f t="shared" si="37"/>
        <v>39270</v>
      </c>
      <c r="M287" s="23">
        <v>300</v>
      </c>
      <c r="N287" s="25">
        <f t="shared" si="37"/>
        <v>33660</v>
      </c>
    </row>
    <row r="288" spans="1:14" ht="15" customHeight="1" x14ac:dyDescent="0.25">
      <c r="A288" s="20" t="s">
        <v>882</v>
      </c>
      <c r="B288" s="21"/>
      <c r="C288" s="22" t="s">
        <v>198</v>
      </c>
      <c r="D288" s="21"/>
      <c r="E288" s="21"/>
      <c r="F288" s="21"/>
      <c r="G288" s="23"/>
      <c r="H288" s="23"/>
      <c r="I288" s="23"/>
      <c r="J288" s="25" t="str">
        <f t="shared" si="37"/>
        <v/>
      </c>
      <c r="K288" s="23"/>
      <c r="L288" s="25" t="str">
        <f t="shared" si="37"/>
        <v/>
      </c>
      <c r="M288" s="23"/>
      <c r="N288" s="25" t="str">
        <f t="shared" si="37"/>
        <v/>
      </c>
    </row>
    <row r="289" spans="1:14" ht="15" customHeight="1" collapsed="1" x14ac:dyDescent="0.25">
      <c r="A289" s="26" t="s">
        <v>883</v>
      </c>
      <c r="B289" s="27"/>
      <c r="C289" s="27"/>
      <c r="D289" s="27" t="s">
        <v>584</v>
      </c>
      <c r="E289" s="27"/>
      <c r="F289" s="43"/>
      <c r="G289" s="28"/>
      <c r="H289" s="29"/>
      <c r="I289" s="28"/>
      <c r="J289" s="30" t="str">
        <f t="shared" ref="J289" si="38">IF($H289*I289=0,"",$H289*I289)</f>
        <v/>
      </c>
      <c r="K289" s="28"/>
      <c r="L289" s="30" t="str">
        <f t="shared" ref="L289:N289" si="39">IF($H289*K289=0,"",$H289*K289)</f>
        <v/>
      </c>
      <c r="M289" s="28"/>
      <c r="N289" s="30" t="str">
        <f t="shared" si="39"/>
        <v/>
      </c>
    </row>
    <row r="290" spans="1:14" ht="15" customHeight="1" collapsed="1" x14ac:dyDescent="0.25">
      <c r="A290" s="26" t="s">
        <v>884</v>
      </c>
      <c r="B290" s="27"/>
      <c r="C290" s="27"/>
      <c r="D290" s="27"/>
      <c r="E290" s="27" t="s">
        <v>199</v>
      </c>
      <c r="F290" s="43"/>
      <c r="G290" s="28" t="s">
        <v>23</v>
      </c>
      <c r="H290" s="29">
        <v>40</v>
      </c>
      <c r="I290" s="28">
        <v>300</v>
      </c>
      <c r="J290" s="30">
        <f t="shared" si="37"/>
        <v>12000</v>
      </c>
      <c r="K290" s="28">
        <v>500</v>
      </c>
      <c r="L290" s="30">
        <f t="shared" si="37"/>
        <v>20000</v>
      </c>
      <c r="M290" s="28">
        <v>200</v>
      </c>
      <c r="N290" s="30">
        <f t="shared" si="37"/>
        <v>8000</v>
      </c>
    </row>
    <row r="291" spans="1:14" ht="15" customHeight="1" x14ac:dyDescent="0.25">
      <c r="A291" s="26" t="s">
        <v>885</v>
      </c>
      <c r="B291" s="27"/>
      <c r="C291" s="27"/>
      <c r="D291" s="27"/>
      <c r="E291" s="27" t="s">
        <v>200</v>
      </c>
      <c r="F291" s="43"/>
      <c r="G291" s="28" t="s">
        <v>23</v>
      </c>
      <c r="H291" s="29">
        <v>42</v>
      </c>
      <c r="I291" s="28">
        <v>300</v>
      </c>
      <c r="J291" s="30">
        <f t="shared" si="37"/>
        <v>12600</v>
      </c>
      <c r="K291" s="28">
        <v>500</v>
      </c>
      <c r="L291" s="30">
        <f t="shared" si="37"/>
        <v>21000</v>
      </c>
      <c r="M291" s="28">
        <v>200</v>
      </c>
      <c r="N291" s="30">
        <f t="shared" si="37"/>
        <v>8400</v>
      </c>
    </row>
    <row r="292" spans="1:14" ht="15" customHeight="1" x14ac:dyDescent="0.25">
      <c r="A292" s="26" t="s">
        <v>886</v>
      </c>
      <c r="B292" s="27"/>
      <c r="C292" s="27"/>
      <c r="D292" s="27"/>
      <c r="E292" s="27" t="s">
        <v>201</v>
      </c>
      <c r="F292" s="43"/>
      <c r="G292" s="28" t="s">
        <v>23</v>
      </c>
      <c r="H292" s="29">
        <v>69</v>
      </c>
      <c r="I292" s="28">
        <v>300</v>
      </c>
      <c r="J292" s="30">
        <f t="shared" si="37"/>
        <v>20700</v>
      </c>
      <c r="K292" s="28">
        <v>500</v>
      </c>
      <c r="L292" s="30">
        <f t="shared" si="37"/>
        <v>34500</v>
      </c>
      <c r="M292" s="28">
        <v>600</v>
      </c>
      <c r="N292" s="30">
        <f t="shared" si="37"/>
        <v>41400</v>
      </c>
    </row>
    <row r="293" spans="1:14" ht="15" customHeight="1" x14ac:dyDescent="0.25">
      <c r="A293" s="26" t="s">
        <v>887</v>
      </c>
      <c r="B293" s="27"/>
      <c r="C293" s="27"/>
      <c r="D293" s="27"/>
      <c r="E293" s="27" t="s">
        <v>202</v>
      </c>
      <c r="F293" s="43"/>
      <c r="G293" s="28" t="s">
        <v>23</v>
      </c>
      <c r="H293" s="29">
        <v>70</v>
      </c>
      <c r="I293" s="28">
        <v>300</v>
      </c>
      <c r="J293" s="30">
        <f t="shared" si="37"/>
        <v>21000</v>
      </c>
      <c r="K293" s="28">
        <v>800</v>
      </c>
      <c r="L293" s="30">
        <f t="shared" si="37"/>
        <v>56000</v>
      </c>
      <c r="M293" s="28">
        <v>800</v>
      </c>
      <c r="N293" s="30">
        <f t="shared" si="37"/>
        <v>56000</v>
      </c>
    </row>
    <row r="294" spans="1:14" ht="15" customHeight="1" x14ac:dyDescent="0.25">
      <c r="A294" s="26" t="s">
        <v>888</v>
      </c>
      <c r="B294" s="27"/>
      <c r="C294" s="27"/>
      <c r="D294" s="27"/>
      <c r="E294" s="27" t="s">
        <v>203</v>
      </c>
      <c r="F294" s="43"/>
      <c r="G294" s="28" t="s">
        <v>23</v>
      </c>
      <c r="H294" s="29">
        <v>65</v>
      </c>
      <c r="I294" s="28">
        <v>300</v>
      </c>
      <c r="J294" s="30">
        <f t="shared" si="37"/>
        <v>19500</v>
      </c>
      <c r="K294" s="28">
        <v>800</v>
      </c>
      <c r="L294" s="30">
        <f t="shared" si="37"/>
        <v>52000</v>
      </c>
      <c r="M294" s="28">
        <v>1000</v>
      </c>
      <c r="N294" s="30">
        <f t="shared" si="37"/>
        <v>65000</v>
      </c>
    </row>
    <row r="295" spans="1:14" ht="15" customHeight="1" collapsed="1" x14ac:dyDescent="0.25">
      <c r="A295" s="26" t="s">
        <v>889</v>
      </c>
      <c r="B295" s="27"/>
      <c r="C295" s="27"/>
      <c r="D295" s="27" t="s">
        <v>585</v>
      </c>
      <c r="E295" s="27"/>
      <c r="F295" s="43"/>
      <c r="G295" s="28"/>
      <c r="H295" s="29"/>
      <c r="I295" s="28"/>
      <c r="J295" s="30" t="str">
        <f t="shared" si="37"/>
        <v/>
      </c>
      <c r="K295" s="28"/>
      <c r="L295" s="30" t="str">
        <f t="shared" si="37"/>
        <v/>
      </c>
      <c r="M295" s="28"/>
      <c r="N295" s="30" t="str">
        <f t="shared" si="37"/>
        <v/>
      </c>
    </row>
    <row r="296" spans="1:14" ht="15" customHeight="1" collapsed="1" x14ac:dyDescent="0.25">
      <c r="A296" s="26" t="s">
        <v>890</v>
      </c>
      <c r="B296" s="27"/>
      <c r="C296" s="27"/>
      <c r="D296" s="27"/>
      <c r="E296" s="27" t="s">
        <v>199</v>
      </c>
      <c r="F296" s="43"/>
      <c r="G296" s="28" t="s">
        <v>23</v>
      </c>
      <c r="H296" s="29">
        <v>58.75</v>
      </c>
      <c r="I296" s="28">
        <v>300</v>
      </c>
      <c r="J296" s="30">
        <f t="shared" ref="J296:J300" si="40">IF($H296*I296=0,"",$H296*I296)</f>
        <v>17625</v>
      </c>
      <c r="K296" s="28">
        <v>800</v>
      </c>
      <c r="L296" s="30">
        <f t="shared" ref="L296:N300" si="41">IF($H296*K296=0,"",$H296*K296)</f>
        <v>47000</v>
      </c>
      <c r="M296" s="28">
        <v>200</v>
      </c>
      <c r="N296" s="30">
        <f t="shared" si="41"/>
        <v>11750</v>
      </c>
    </row>
    <row r="297" spans="1:14" ht="15" customHeight="1" x14ac:dyDescent="0.25">
      <c r="A297" s="26" t="s">
        <v>891</v>
      </c>
      <c r="B297" s="27"/>
      <c r="C297" s="27"/>
      <c r="D297" s="27"/>
      <c r="E297" s="27" t="s">
        <v>200</v>
      </c>
      <c r="F297" s="43"/>
      <c r="G297" s="28" t="s">
        <v>23</v>
      </c>
      <c r="H297" s="29">
        <v>61.3</v>
      </c>
      <c r="I297" s="28">
        <v>300</v>
      </c>
      <c r="J297" s="30">
        <f t="shared" si="40"/>
        <v>18390</v>
      </c>
      <c r="K297" s="28">
        <v>800</v>
      </c>
      <c r="L297" s="30">
        <f t="shared" si="41"/>
        <v>49040</v>
      </c>
      <c r="M297" s="28">
        <v>200</v>
      </c>
      <c r="N297" s="30">
        <f t="shared" si="41"/>
        <v>12260</v>
      </c>
    </row>
    <row r="298" spans="1:14" ht="15" customHeight="1" x14ac:dyDescent="0.25">
      <c r="A298" s="26" t="s">
        <v>892</v>
      </c>
      <c r="B298" s="27"/>
      <c r="C298" s="27"/>
      <c r="D298" s="27"/>
      <c r="E298" s="27" t="s">
        <v>201</v>
      </c>
      <c r="F298" s="43"/>
      <c r="G298" s="28" t="s">
        <v>23</v>
      </c>
      <c r="H298" s="29">
        <v>90.68</v>
      </c>
      <c r="I298" s="28">
        <v>300</v>
      </c>
      <c r="J298" s="30">
        <f t="shared" si="40"/>
        <v>27204.000000000004</v>
      </c>
      <c r="K298" s="28">
        <v>800</v>
      </c>
      <c r="L298" s="30">
        <f t="shared" si="41"/>
        <v>72544</v>
      </c>
      <c r="M298" s="28">
        <v>60</v>
      </c>
      <c r="N298" s="30">
        <f t="shared" si="41"/>
        <v>5440.8</v>
      </c>
    </row>
    <row r="299" spans="1:14" ht="15" customHeight="1" x14ac:dyDescent="0.25">
      <c r="A299" s="26" t="s">
        <v>893</v>
      </c>
      <c r="B299" s="27"/>
      <c r="C299" s="27"/>
      <c r="D299" s="27"/>
      <c r="E299" s="27" t="s">
        <v>202</v>
      </c>
      <c r="F299" s="43"/>
      <c r="G299" s="28" t="s">
        <v>23</v>
      </c>
      <c r="H299" s="29">
        <v>91.7</v>
      </c>
      <c r="I299" s="28">
        <v>300</v>
      </c>
      <c r="J299" s="30">
        <f t="shared" si="40"/>
        <v>27510</v>
      </c>
      <c r="K299" s="28">
        <v>800</v>
      </c>
      <c r="L299" s="30">
        <f t="shared" si="41"/>
        <v>73360</v>
      </c>
      <c r="M299" s="28">
        <v>600</v>
      </c>
      <c r="N299" s="30">
        <f t="shared" si="41"/>
        <v>55020</v>
      </c>
    </row>
    <row r="300" spans="1:14" ht="15" customHeight="1" x14ac:dyDescent="0.25">
      <c r="A300" s="26" t="s">
        <v>894</v>
      </c>
      <c r="B300" s="27"/>
      <c r="C300" s="27"/>
      <c r="D300" s="27"/>
      <c r="E300" s="27" t="s">
        <v>203</v>
      </c>
      <c r="F300" s="43"/>
      <c r="G300" s="28" t="s">
        <v>23</v>
      </c>
      <c r="H300" s="29">
        <v>98.94</v>
      </c>
      <c r="I300" s="28">
        <v>300</v>
      </c>
      <c r="J300" s="30">
        <f t="shared" si="40"/>
        <v>29682</v>
      </c>
      <c r="K300" s="28">
        <v>800</v>
      </c>
      <c r="L300" s="30">
        <f t="shared" si="41"/>
        <v>79152</v>
      </c>
      <c r="M300" s="28">
        <v>1000</v>
      </c>
      <c r="N300" s="30">
        <f t="shared" si="41"/>
        <v>98940</v>
      </c>
    </row>
    <row r="301" spans="1:14" ht="15" customHeight="1" x14ac:dyDescent="0.25">
      <c r="A301" s="20" t="s">
        <v>895</v>
      </c>
      <c r="B301" s="21"/>
      <c r="C301" s="22" t="s">
        <v>204</v>
      </c>
      <c r="D301" s="21"/>
      <c r="E301" s="21"/>
      <c r="F301" s="21"/>
      <c r="G301" s="23" t="s">
        <v>18</v>
      </c>
      <c r="H301" s="25">
        <v>35.700000000000003</v>
      </c>
      <c r="I301" s="23">
        <v>400</v>
      </c>
      <c r="J301" s="25">
        <f t="shared" ref="J301:N304" si="42">IF($H301*I301=0,"",$H301*I301)</f>
        <v>14280.000000000002</v>
      </c>
      <c r="K301" s="23">
        <v>200</v>
      </c>
      <c r="L301" s="25">
        <f t="shared" si="42"/>
        <v>7140.0000000000009</v>
      </c>
      <c r="M301" s="23">
        <v>600</v>
      </c>
      <c r="N301" s="25">
        <f t="shared" si="42"/>
        <v>21420</v>
      </c>
    </row>
    <row r="302" spans="1:14" ht="15" customHeight="1" x14ac:dyDescent="0.25">
      <c r="A302" s="20" t="s">
        <v>896</v>
      </c>
      <c r="B302" s="21"/>
      <c r="C302" s="22" t="s">
        <v>205</v>
      </c>
      <c r="D302" s="21"/>
      <c r="E302" s="21"/>
      <c r="F302" s="21"/>
      <c r="G302" s="23"/>
      <c r="H302" s="24"/>
      <c r="I302" s="23"/>
      <c r="J302" s="25" t="str">
        <f t="shared" si="42"/>
        <v/>
      </c>
      <c r="K302" s="23"/>
      <c r="L302" s="25" t="str">
        <f t="shared" si="42"/>
        <v/>
      </c>
      <c r="M302" s="23"/>
      <c r="N302" s="25" t="str">
        <f t="shared" si="42"/>
        <v/>
      </c>
    </row>
    <row r="303" spans="1:14" ht="15" customHeight="1" collapsed="1" x14ac:dyDescent="0.25">
      <c r="A303" s="26" t="s">
        <v>897</v>
      </c>
      <c r="B303" s="27"/>
      <c r="C303" s="27"/>
      <c r="D303" s="27" t="s">
        <v>206</v>
      </c>
      <c r="E303" s="27"/>
      <c r="F303" s="43"/>
      <c r="G303" s="28" t="s">
        <v>23</v>
      </c>
      <c r="H303" s="29">
        <v>275.39999999999998</v>
      </c>
      <c r="I303" s="28">
        <v>400</v>
      </c>
      <c r="J303" s="30">
        <f t="shared" si="42"/>
        <v>110159.99999999999</v>
      </c>
      <c r="K303" s="28">
        <v>700</v>
      </c>
      <c r="L303" s="30">
        <f t="shared" si="42"/>
        <v>192779.99999999997</v>
      </c>
      <c r="M303" s="28">
        <v>600</v>
      </c>
      <c r="N303" s="30">
        <f t="shared" si="42"/>
        <v>165240</v>
      </c>
    </row>
    <row r="304" spans="1:14" ht="15" customHeight="1" x14ac:dyDescent="0.25">
      <c r="A304" s="26" t="s">
        <v>898</v>
      </c>
      <c r="B304" s="27"/>
      <c r="C304" s="27"/>
      <c r="D304" s="27" t="s">
        <v>207</v>
      </c>
      <c r="E304" s="27"/>
      <c r="F304" s="43"/>
      <c r="G304" s="28" t="s">
        <v>23</v>
      </c>
      <c r="H304" s="29">
        <v>437.58</v>
      </c>
      <c r="I304" s="28">
        <v>500</v>
      </c>
      <c r="J304" s="30">
        <f t="shared" si="42"/>
        <v>218790</v>
      </c>
      <c r="K304" s="28">
        <v>300</v>
      </c>
      <c r="L304" s="30">
        <f t="shared" si="42"/>
        <v>131274</v>
      </c>
      <c r="M304" s="45">
        <v>600</v>
      </c>
      <c r="N304" s="30">
        <f t="shared" si="42"/>
        <v>262548</v>
      </c>
    </row>
    <row r="305" spans="1:14" ht="16.5" x14ac:dyDescent="0.25">
      <c r="A305" s="14">
        <v>5</v>
      </c>
      <c r="B305" s="15" t="s">
        <v>208</v>
      </c>
      <c r="C305" s="15"/>
      <c r="D305" s="16"/>
      <c r="E305" s="44"/>
      <c r="F305" s="44"/>
      <c r="G305" s="16"/>
      <c r="H305" s="17"/>
      <c r="I305" s="16"/>
      <c r="J305" s="18">
        <f>SUM(J306:J454)</f>
        <v>1098634.5</v>
      </c>
      <c r="K305" s="16"/>
      <c r="L305" s="18">
        <f>SUM(L306:L454)</f>
        <v>1249616.6000000001</v>
      </c>
      <c r="M305" s="16"/>
      <c r="N305" s="18">
        <f>SUM(N306:N454)</f>
        <v>1437242.8</v>
      </c>
    </row>
    <row r="306" spans="1:14" x14ac:dyDescent="0.25">
      <c r="A306" s="20" t="s">
        <v>899</v>
      </c>
      <c r="B306" s="21"/>
      <c r="C306" s="22" t="s">
        <v>209</v>
      </c>
      <c r="D306" s="21"/>
      <c r="E306" s="21"/>
      <c r="F306" s="21"/>
      <c r="G306" s="23"/>
      <c r="H306" s="24"/>
      <c r="I306" s="23"/>
      <c r="J306" s="25" t="str">
        <f t="shared" ref="J306:N373" si="43">IF($H306*I306=0,"",$H306*I306)</f>
        <v/>
      </c>
      <c r="K306" s="23"/>
      <c r="L306" s="25" t="str">
        <f t="shared" si="43"/>
        <v/>
      </c>
      <c r="M306" s="23"/>
      <c r="N306" s="25" t="str">
        <f t="shared" si="43"/>
        <v/>
      </c>
    </row>
    <row r="307" spans="1:14" x14ac:dyDescent="0.25">
      <c r="A307" s="26" t="s">
        <v>900</v>
      </c>
      <c r="B307" s="27"/>
      <c r="C307" s="27"/>
      <c r="D307" s="27" t="s">
        <v>210</v>
      </c>
      <c r="E307" s="27"/>
      <c r="F307" s="27"/>
      <c r="G307" s="28" t="s">
        <v>27</v>
      </c>
      <c r="H307" s="29">
        <v>51</v>
      </c>
      <c r="I307" s="28">
        <v>20</v>
      </c>
      <c r="J307" s="39">
        <f t="shared" si="43"/>
        <v>1020</v>
      </c>
      <c r="K307" s="28">
        <v>80</v>
      </c>
      <c r="L307" s="39">
        <f t="shared" si="43"/>
        <v>4080</v>
      </c>
      <c r="M307" s="28">
        <v>50</v>
      </c>
      <c r="N307" s="39">
        <f t="shared" si="43"/>
        <v>2550</v>
      </c>
    </row>
    <row r="308" spans="1:14" x14ac:dyDescent="0.25">
      <c r="A308" s="26" t="s">
        <v>901</v>
      </c>
      <c r="B308" s="27"/>
      <c r="C308" s="27"/>
      <c r="D308" s="27" t="s">
        <v>211</v>
      </c>
      <c r="E308" s="27"/>
      <c r="F308" s="27"/>
      <c r="G308" s="28"/>
      <c r="H308" s="29"/>
      <c r="I308" s="28"/>
      <c r="J308" s="30" t="str">
        <f t="shared" si="43"/>
        <v/>
      </c>
      <c r="K308" s="28"/>
      <c r="L308" s="30" t="str">
        <f t="shared" si="43"/>
        <v/>
      </c>
      <c r="M308" s="28"/>
      <c r="N308" s="30" t="str">
        <f t="shared" si="43"/>
        <v/>
      </c>
    </row>
    <row r="309" spans="1:14" ht="16.350000000000001" customHeight="1" collapsed="1" x14ac:dyDescent="0.25">
      <c r="A309" s="37" t="s">
        <v>902</v>
      </c>
      <c r="B309" s="33"/>
      <c r="C309" s="33"/>
      <c r="D309" s="33"/>
      <c r="E309" s="33" t="s">
        <v>212</v>
      </c>
      <c r="F309" s="33"/>
      <c r="G309" s="34" t="s">
        <v>27</v>
      </c>
      <c r="H309" s="38">
        <v>51</v>
      </c>
      <c r="I309" s="34">
        <v>40</v>
      </c>
      <c r="J309" s="39">
        <f t="shared" si="43"/>
        <v>2040</v>
      </c>
      <c r="K309" s="34">
        <v>50</v>
      </c>
      <c r="L309" s="39">
        <f t="shared" si="43"/>
        <v>2550</v>
      </c>
      <c r="M309" s="34">
        <v>45</v>
      </c>
      <c r="N309" s="39">
        <f t="shared" si="43"/>
        <v>2295</v>
      </c>
    </row>
    <row r="310" spans="1:14" ht="16.350000000000001" customHeight="1" x14ac:dyDescent="0.25">
      <c r="A310" s="37" t="s">
        <v>903</v>
      </c>
      <c r="B310" s="33"/>
      <c r="C310" s="33"/>
      <c r="D310" s="33"/>
      <c r="E310" s="33" t="s">
        <v>213</v>
      </c>
      <c r="F310" s="33"/>
      <c r="G310" s="34" t="s">
        <v>27</v>
      </c>
      <c r="H310" s="38">
        <v>71.400000000000006</v>
      </c>
      <c r="I310" s="34">
        <v>20</v>
      </c>
      <c r="J310" s="39">
        <f t="shared" si="43"/>
        <v>1428</v>
      </c>
      <c r="K310" s="34">
        <v>30</v>
      </c>
      <c r="L310" s="39">
        <f t="shared" si="43"/>
        <v>2142</v>
      </c>
      <c r="M310" s="34">
        <v>35</v>
      </c>
      <c r="N310" s="39">
        <f t="shared" si="43"/>
        <v>2499</v>
      </c>
    </row>
    <row r="311" spans="1:14" x14ac:dyDescent="0.25">
      <c r="A311" s="26" t="s">
        <v>904</v>
      </c>
      <c r="B311" s="27"/>
      <c r="C311" s="27"/>
      <c r="D311" s="27" t="s">
        <v>214</v>
      </c>
      <c r="E311" s="27"/>
      <c r="F311" s="27"/>
      <c r="G311" s="28" t="s">
        <v>27</v>
      </c>
      <c r="H311" s="29">
        <v>122.4</v>
      </c>
      <c r="I311" s="28">
        <v>50</v>
      </c>
      <c r="J311" s="39">
        <f t="shared" si="43"/>
        <v>6120</v>
      </c>
      <c r="K311" s="28">
        <v>55</v>
      </c>
      <c r="L311" s="39">
        <f t="shared" si="43"/>
        <v>6732</v>
      </c>
      <c r="M311" s="28">
        <v>60</v>
      </c>
      <c r="N311" s="39">
        <f t="shared" si="43"/>
        <v>7344</v>
      </c>
    </row>
    <row r="312" spans="1:14" x14ac:dyDescent="0.25">
      <c r="A312" s="26" t="s">
        <v>905</v>
      </c>
      <c r="B312" s="27"/>
      <c r="C312" s="27"/>
      <c r="D312" s="27" t="s">
        <v>215</v>
      </c>
      <c r="E312" s="27"/>
      <c r="F312" s="27"/>
      <c r="G312" s="28" t="s">
        <v>27</v>
      </c>
      <c r="H312" s="29">
        <v>234.6</v>
      </c>
      <c r="I312" s="28">
        <v>30</v>
      </c>
      <c r="J312" s="39">
        <f t="shared" si="43"/>
        <v>7038</v>
      </c>
      <c r="K312" s="28">
        <v>45</v>
      </c>
      <c r="L312" s="39">
        <f t="shared" si="43"/>
        <v>10557</v>
      </c>
      <c r="M312" s="28">
        <v>45</v>
      </c>
      <c r="N312" s="39">
        <f t="shared" si="43"/>
        <v>10557</v>
      </c>
    </row>
    <row r="313" spans="1:14" x14ac:dyDescent="0.25">
      <c r="A313" s="26" t="s">
        <v>906</v>
      </c>
      <c r="B313" s="27"/>
      <c r="C313" s="27"/>
      <c r="D313" s="27" t="s">
        <v>216</v>
      </c>
      <c r="E313" s="27"/>
      <c r="F313" s="27"/>
      <c r="G313" s="28"/>
      <c r="H313" s="31"/>
      <c r="I313" s="28"/>
      <c r="J313" s="32" t="str">
        <f t="shared" si="43"/>
        <v/>
      </c>
      <c r="K313" s="28"/>
      <c r="L313" s="32" t="str">
        <f t="shared" si="43"/>
        <v/>
      </c>
      <c r="M313" s="28"/>
      <c r="N313" s="32" t="str">
        <f t="shared" si="43"/>
        <v/>
      </c>
    </row>
    <row r="314" spans="1:14" ht="33" customHeight="1" collapsed="1" x14ac:dyDescent="0.25">
      <c r="A314" s="37" t="s">
        <v>907</v>
      </c>
      <c r="B314" s="33"/>
      <c r="C314" s="33"/>
      <c r="D314" s="46"/>
      <c r="E314" s="74" t="s">
        <v>217</v>
      </c>
      <c r="F314" s="75"/>
      <c r="G314" s="34" t="s">
        <v>27</v>
      </c>
      <c r="H314" s="35">
        <v>295.8</v>
      </c>
      <c r="I314" s="28">
        <v>20</v>
      </c>
      <c r="J314" s="36">
        <f t="shared" si="43"/>
        <v>5916</v>
      </c>
      <c r="K314" s="28">
        <v>35</v>
      </c>
      <c r="L314" s="36">
        <f t="shared" si="43"/>
        <v>10353</v>
      </c>
      <c r="M314" s="28">
        <v>30</v>
      </c>
      <c r="N314" s="36">
        <f t="shared" si="43"/>
        <v>8874</v>
      </c>
    </row>
    <row r="315" spans="1:14" x14ac:dyDescent="0.25">
      <c r="A315" s="37" t="s">
        <v>908</v>
      </c>
      <c r="B315" s="33"/>
      <c r="C315" s="33"/>
      <c r="D315" s="33"/>
      <c r="E315" s="47" t="s">
        <v>218</v>
      </c>
      <c r="F315" s="33"/>
      <c r="G315" s="34" t="s">
        <v>27</v>
      </c>
      <c r="H315" s="35">
        <v>153</v>
      </c>
      <c r="I315" s="28">
        <v>60</v>
      </c>
      <c r="J315" s="36">
        <f t="shared" si="43"/>
        <v>9180</v>
      </c>
      <c r="K315" s="28">
        <v>55</v>
      </c>
      <c r="L315" s="36">
        <f t="shared" si="43"/>
        <v>8415</v>
      </c>
      <c r="M315" s="28">
        <v>50</v>
      </c>
      <c r="N315" s="36">
        <f t="shared" si="43"/>
        <v>7650</v>
      </c>
    </row>
    <row r="316" spans="1:14" ht="33" customHeight="1" x14ac:dyDescent="0.25">
      <c r="A316" s="37" t="s">
        <v>909</v>
      </c>
      <c r="B316" s="33"/>
      <c r="C316" s="33"/>
      <c r="D316" s="46"/>
      <c r="E316" s="74" t="s">
        <v>219</v>
      </c>
      <c r="F316" s="75"/>
      <c r="G316" s="34" t="s">
        <v>27</v>
      </c>
      <c r="H316" s="35">
        <v>265.2</v>
      </c>
      <c r="I316" s="28">
        <v>15</v>
      </c>
      <c r="J316" s="36">
        <f t="shared" si="43"/>
        <v>3978</v>
      </c>
      <c r="K316" s="28">
        <v>18</v>
      </c>
      <c r="L316" s="36">
        <f t="shared" si="43"/>
        <v>4773.5999999999995</v>
      </c>
      <c r="M316" s="28">
        <v>17</v>
      </c>
      <c r="N316" s="36">
        <f t="shared" si="43"/>
        <v>4508.3999999999996</v>
      </c>
    </row>
    <row r="317" spans="1:14" ht="15" customHeight="1" x14ac:dyDescent="0.25">
      <c r="A317" s="37" t="s">
        <v>910</v>
      </c>
      <c r="B317" s="33"/>
      <c r="C317" s="33"/>
      <c r="D317" s="33"/>
      <c r="E317" s="47" t="s">
        <v>220</v>
      </c>
      <c r="F317" s="33"/>
      <c r="G317" s="34" t="s">
        <v>27</v>
      </c>
      <c r="H317" s="35">
        <v>204</v>
      </c>
      <c r="I317" s="28">
        <v>30</v>
      </c>
      <c r="J317" s="36">
        <f t="shared" si="43"/>
        <v>6120</v>
      </c>
      <c r="K317" s="28">
        <v>35</v>
      </c>
      <c r="L317" s="36">
        <f t="shared" si="43"/>
        <v>7140</v>
      </c>
      <c r="M317" s="28">
        <v>41</v>
      </c>
      <c r="N317" s="36">
        <f t="shared" si="43"/>
        <v>8364</v>
      </c>
    </row>
    <row r="318" spans="1:14" ht="15" customHeight="1" x14ac:dyDescent="0.25">
      <c r="A318" s="26" t="s">
        <v>911</v>
      </c>
      <c r="B318" s="27"/>
      <c r="C318" s="27"/>
      <c r="D318" s="27" t="s">
        <v>221</v>
      </c>
      <c r="E318" s="27"/>
      <c r="F318" s="27"/>
      <c r="G318" s="28" t="s">
        <v>108</v>
      </c>
      <c r="H318" s="29">
        <v>132.6</v>
      </c>
      <c r="I318" s="28">
        <v>100</v>
      </c>
      <c r="J318" s="30">
        <f t="shared" si="43"/>
        <v>13260</v>
      </c>
      <c r="K318" s="28">
        <v>150</v>
      </c>
      <c r="L318" s="30">
        <f t="shared" si="43"/>
        <v>19890</v>
      </c>
      <c r="M318" s="28">
        <v>145</v>
      </c>
      <c r="N318" s="30">
        <f t="shared" si="43"/>
        <v>19227</v>
      </c>
    </row>
    <row r="319" spans="1:14" ht="15" customHeight="1" x14ac:dyDescent="0.25">
      <c r="A319" s="26" t="s">
        <v>912</v>
      </c>
      <c r="B319" s="27"/>
      <c r="C319" s="27"/>
      <c r="D319" s="27" t="s">
        <v>222</v>
      </c>
      <c r="E319" s="27"/>
      <c r="F319" s="27"/>
      <c r="G319" s="28"/>
      <c r="H319" s="29"/>
      <c r="I319" s="28"/>
      <c r="J319" s="30" t="str">
        <f t="shared" si="43"/>
        <v/>
      </c>
      <c r="K319" s="28"/>
      <c r="L319" s="30" t="str">
        <f t="shared" si="43"/>
        <v/>
      </c>
      <c r="M319" s="28"/>
      <c r="N319" s="30" t="str">
        <f t="shared" si="43"/>
        <v/>
      </c>
    </row>
    <row r="320" spans="1:14" ht="15" customHeight="1" collapsed="1" x14ac:dyDescent="0.25">
      <c r="A320" s="37" t="s">
        <v>913</v>
      </c>
      <c r="B320" s="33"/>
      <c r="C320" s="33"/>
      <c r="D320" s="33"/>
      <c r="E320" s="33" t="s">
        <v>223</v>
      </c>
      <c r="F320" s="33"/>
      <c r="G320" s="34" t="s">
        <v>18</v>
      </c>
      <c r="H320" s="38">
        <v>51</v>
      </c>
      <c r="I320" s="28">
        <v>50</v>
      </c>
      <c r="J320" s="39">
        <f t="shared" si="43"/>
        <v>2550</v>
      </c>
      <c r="K320" s="28">
        <v>150</v>
      </c>
      <c r="L320" s="39">
        <f t="shared" si="43"/>
        <v>7650</v>
      </c>
      <c r="M320" s="28">
        <v>100</v>
      </c>
      <c r="N320" s="39">
        <f t="shared" si="43"/>
        <v>5100</v>
      </c>
    </row>
    <row r="321" spans="1:14" ht="15" customHeight="1" x14ac:dyDescent="0.25">
      <c r="A321" s="37" t="s">
        <v>914</v>
      </c>
      <c r="B321" s="33"/>
      <c r="C321" s="33"/>
      <c r="D321" s="33"/>
      <c r="E321" s="33" t="s">
        <v>224</v>
      </c>
      <c r="F321" s="33"/>
      <c r="G321" s="34" t="s">
        <v>18</v>
      </c>
      <c r="H321" s="38">
        <v>68.34</v>
      </c>
      <c r="I321" s="28">
        <v>50</v>
      </c>
      <c r="J321" s="39">
        <f t="shared" si="43"/>
        <v>3417</v>
      </c>
      <c r="K321" s="28">
        <v>50</v>
      </c>
      <c r="L321" s="39">
        <f t="shared" si="43"/>
        <v>3417</v>
      </c>
      <c r="M321" s="28">
        <v>100</v>
      </c>
      <c r="N321" s="39">
        <f t="shared" si="43"/>
        <v>6834</v>
      </c>
    </row>
    <row r="322" spans="1:14" ht="15" customHeight="1" x14ac:dyDescent="0.25">
      <c r="A322" s="37" t="s">
        <v>915</v>
      </c>
      <c r="B322" s="33"/>
      <c r="C322" s="33"/>
      <c r="D322" s="33"/>
      <c r="E322" s="33" t="s">
        <v>225</v>
      </c>
      <c r="F322" s="33"/>
      <c r="G322" s="34" t="s">
        <v>18</v>
      </c>
      <c r="H322" s="38">
        <v>122.4</v>
      </c>
      <c r="I322" s="28">
        <v>50</v>
      </c>
      <c r="J322" s="39">
        <f t="shared" si="43"/>
        <v>6120</v>
      </c>
      <c r="K322" s="28">
        <v>50</v>
      </c>
      <c r="L322" s="39">
        <f t="shared" si="43"/>
        <v>6120</v>
      </c>
      <c r="M322" s="28">
        <v>50</v>
      </c>
      <c r="N322" s="39">
        <f t="shared" si="43"/>
        <v>6120</v>
      </c>
    </row>
    <row r="323" spans="1:14" ht="15" customHeight="1" x14ac:dyDescent="0.25">
      <c r="A323" s="37" t="s">
        <v>916</v>
      </c>
      <c r="B323" s="33"/>
      <c r="C323" s="33"/>
      <c r="D323" s="33"/>
      <c r="E323" s="33" t="s">
        <v>226</v>
      </c>
      <c r="F323" s="33"/>
      <c r="G323" s="34" t="s">
        <v>18</v>
      </c>
      <c r="H323" s="38">
        <v>306</v>
      </c>
      <c r="I323" s="28">
        <v>50</v>
      </c>
      <c r="J323" s="39">
        <f t="shared" si="43"/>
        <v>15300</v>
      </c>
      <c r="K323" s="28">
        <v>150</v>
      </c>
      <c r="L323" s="39">
        <f t="shared" si="43"/>
        <v>45900</v>
      </c>
      <c r="M323" s="28">
        <v>50</v>
      </c>
      <c r="N323" s="39">
        <f t="shared" si="43"/>
        <v>15300</v>
      </c>
    </row>
    <row r="324" spans="1:14" ht="15" customHeight="1" x14ac:dyDescent="0.25">
      <c r="A324" s="26" t="s">
        <v>917</v>
      </c>
      <c r="B324" s="27"/>
      <c r="C324" s="27"/>
      <c r="D324" s="27" t="s">
        <v>227</v>
      </c>
      <c r="E324" s="27"/>
      <c r="F324" s="27"/>
      <c r="G324" s="28" t="s">
        <v>108</v>
      </c>
      <c r="H324" s="29">
        <v>153</v>
      </c>
      <c r="I324" s="28">
        <v>200</v>
      </c>
      <c r="J324" s="30">
        <f t="shared" si="43"/>
        <v>30600</v>
      </c>
      <c r="K324" s="28">
        <v>300</v>
      </c>
      <c r="L324" s="30">
        <f t="shared" si="43"/>
        <v>45900</v>
      </c>
      <c r="M324" s="28">
        <v>400</v>
      </c>
      <c r="N324" s="30">
        <f t="shared" si="43"/>
        <v>61200</v>
      </c>
    </row>
    <row r="325" spans="1:14" collapsed="1" x14ac:dyDescent="0.25">
      <c r="A325" s="20" t="s">
        <v>918</v>
      </c>
      <c r="B325" s="21"/>
      <c r="C325" s="22" t="s">
        <v>228</v>
      </c>
      <c r="D325" s="21"/>
      <c r="E325" s="21"/>
      <c r="F325" s="21"/>
      <c r="G325" s="23"/>
      <c r="H325" s="24"/>
      <c r="I325" s="23"/>
      <c r="J325" s="25" t="str">
        <f t="shared" si="43"/>
        <v/>
      </c>
      <c r="K325" s="23"/>
      <c r="L325" s="25" t="str">
        <f t="shared" si="43"/>
        <v/>
      </c>
      <c r="M325" s="23"/>
      <c r="N325" s="25" t="str">
        <f t="shared" si="43"/>
        <v/>
      </c>
    </row>
    <row r="326" spans="1:14" ht="15" customHeight="1" x14ac:dyDescent="0.25">
      <c r="A326" s="26" t="s">
        <v>919</v>
      </c>
      <c r="B326" s="27"/>
      <c r="C326" s="27"/>
      <c r="D326" s="27" t="s">
        <v>229</v>
      </c>
      <c r="E326" s="27"/>
      <c r="F326" s="27"/>
      <c r="G326" s="28"/>
      <c r="H326" s="29"/>
      <c r="I326" s="28"/>
      <c r="J326" s="30" t="str">
        <f t="shared" si="43"/>
        <v/>
      </c>
      <c r="K326" s="28"/>
      <c r="L326" s="30" t="str">
        <f t="shared" si="43"/>
        <v/>
      </c>
      <c r="M326" s="28"/>
      <c r="N326" s="30" t="str">
        <f t="shared" si="43"/>
        <v/>
      </c>
    </row>
    <row r="327" spans="1:14" ht="15" customHeight="1" collapsed="1" x14ac:dyDescent="0.3">
      <c r="A327" s="37" t="s">
        <v>920</v>
      </c>
      <c r="B327" s="33"/>
      <c r="C327" s="33"/>
      <c r="D327" s="33"/>
      <c r="E327" s="33" t="s">
        <v>230</v>
      </c>
      <c r="F327" s="33"/>
      <c r="G327" s="34" t="s">
        <v>18</v>
      </c>
      <c r="H327" s="38">
        <v>62.22</v>
      </c>
      <c r="I327" s="28">
        <v>1000</v>
      </c>
      <c r="J327" s="39">
        <f t="shared" si="43"/>
        <v>62220</v>
      </c>
      <c r="K327" s="28">
        <v>600</v>
      </c>
      <c r="L327" s="39">
        <f t="shared" si="43"/>
        <v>37332</v>
      </c>
      <c r="M327" s="28">
        <v>800</v>
      </c>
      <c r="N327" s="39">
        <f t="shared" si="43"/>
        <v>49776</v>
      </c>
    </row>
    <row r="328" spans="1:14" ht="15" customHeight="1" x14ac:dyDescent="0.3">
      <c r="A328" s="37" t="s">
        <v>921</v>
      </c>
      <c r="B328" s="33"/>
      <c r="C328" s="33"/>
      <c r="D328" s="33"/>
      <c r="E328" s="33" t="s">
        <v>231</v>
      </c>
      <c r="F328" s="33"/>
      <c r="G328" s="34" t="s">
        <v>18</v>
      </c>
      <c r="H328" s="38">
        <v>80.989999999999995</v>
      </c>
      <c r="I328" s="28">
        <v>300</v>
      </c>
      <c r="J328" s="39">
        <f t="shared" si="43"/>
        <v>24297</v>
      </c>
      <c r="K328" s="28">
        <v>200</v>
      </c>
      <c r="L328" s="39">
        <f t="shared" si="43"/>
        <v>16197.999999999998</v>
      </c>
      <c r="M328" s="28">
        <v>500</v>
      </c>
      <c r="N328" s="39">
        <f t="shared" si="43"/>
        <v>40495</v>
      </c>
    </row>
    <row r="329" spans="1:14" ht="15" customHeight="1" x14ac:dyDescent="0.3">
      <c r="A329" s="37" t="s">
        <v>922</v>
      </c>
      <c r="B329" s="33"/>
      <c r="C329" s="33"/>
      <c r="D329" s="33"/>
      <c r="E329" s="33" t="s">
        <v>232</v>
      </c>
      <c r="F329" s="33"/>
      <c r="G329" s="34" t="s">
        <v>18</v>
      </c>
      <c r="H329" s="38">
        <v>119.34</v>
      </c>
      <c r="I329" s="28">
        <v>200</v>
      </c>
      <c r="J329" s="39">
        <f t="shared" si="43"/>
        <v>23868</v>
      </c>
      <c r="K329" s="28">
        <v>100</v>
      </c>
      <c r="L329" s="39">
        <f t="shared" si="43"/>
        <v>11934</v>
      </c>
      <c r="M329" s="28">
        <v>200</v>
      </c>
      <c r="N329" s="39">
        <f t="shared" si="43"/>
        <v>23868</v>
      </c>
    </row>
    <row r="330" spans="1:14" ht="15" customHeight="1" x14ac:dyDescent="0.3">
      <c r="A330" s="37" t="s">
        <v>923</v>
      </c>
      <c r="B330" s="33"/>
      <c r="C330" s="33"/>
      <c r="D330" s="33"/>
      <c r="E330" s="33" t="s">
        <v>233</v>
      </c>
      <c r="F330" s="33"/>
      <c r="G330" s="34" t="s">
        <v>18</v>
      </c>
      <c r="H330" s="38">
        <v>156.06</v>
      </c>
      <c r="I330" s="28">
        <v>100</v>
      </c>
      <c r="J330" s="39">
        <f t="shared" si="43"/>
        <v>15606</v>
      </c>
      <c r="K330" s="28">
        <v>200</v>
      </c>
      <c r="L330" s="39">
        <f t="shared" si="43"/>
        <v>31212</v>
      </c>
      <c r="M330" s="28">
        <v>200</v>
      </c>
      <c r="N330" s="39">
        <f t="shared" si="43"/>
        <v>31212</v>
      </c>
    </row>
    <row r="331" spans="1:14" ht="15" customHeight="1" x14ac:dyDescent="0.25">
      <c r="A331" s="37" t="s">
        <v>924</v>
      </c>
      <c r="B331" s="33"/>
      <c r="C331" s="33"/>
      <c r="D331" s="33"/>
      <c r="E331" s="33" t="s">
        <v>234</v>
      </c>
      <c r="F331" s="33"/>
      <c r="G331" s="34" t="s">
        <v>18</v>
      </c>
      <c r="H331" s="38">
        <v>188.7</v>
      </c>
      <c r="I331" s="28">
        <v>100</v>
      </c>
      <c r="J331" s="39">
        <f t="shared" si="43"/>
        <v>18870</v>
      </c>
      <c r="K331" s="28">
        <v>200</v>
      </c>
      <c r="L331" s="39">
        <f t="shared" si="43"/>
        <v>37740</v>
      </c>
      <c r="M331" s="28">
        <v>100</v>
      </c>
      <c r="N331" s="39">
        <f t="shared" si="43"/>
        <v>18870</v>
      </c>
    </row>
    <row r="332" spans="1:14" ht="15" customHeight="1" x14ac:dyDescent="0.25">
      <c r="A332" s="26" t="s">
        <v>925</v>
      </c>
      <c r="B332" s="27"/>
      <c r="C332" s="27"/>
      <c r="D332" s="27" t="s">
        <v>235</v>
      </c>
      <c r="E332" s="27"/>
      <c r="F332" s="27"/>
      <c r="G332" s="28"/>
      <c r="H332" s="29"/>
      <c r="I332" s="28"/>
      <c r="J332" s="30" t="str">
        <f t="shared" si="43"/>
        <v/>
      </c>
      <c r="K332" s="28"/>
      <c r="L332" s="30" t="str">
        <f t="shared" si="43"/>
        <v/>
      </c>
      <c r="M332" s="28"/>
      <c r="N332" s="30" t="str">
        <f t="shared" si="43"/>
        <v/>
      </c>
    </row>
    <row r="333" spans="1:14" ht="15" customHeight="1" collapsed="1" x14ac:dyDescent="0.25">
      <c r="A333" s="37" t="s">
        <v>926</v>
      </c>
      <c r="B333" s="33"/>
      <c r="C333" s="33"/>
      <c r="D333" s="33"/>
      <c r="E333" s="33" t="s">
        <v>236</v>
      </c>
      <c r="F333" s="33"/>
      <c r="G333" s="34" t="s">
        <v>18</v>
      </c>
      <c r="H333" s="38">
        <v>46.92</v>
      </c>
      <c r="I333" s="28">
        <v>900</v>
      </c>
      <c r="J333" s="39">
        <f t="shared" si="43"/>
        <v>42228</v>
      </c>
      <c r="K333" s="28">
        <v>700</v>
      </c>
      <c r="L333" s="39">
        <f t="shared" si="43"/>
        <v>32844</v>
      </c>
      <c r="M333" s="28">
        <v>1200</v>
      </c>
      <c r="N333" s="39">
        <f t="shared" si="43"/>
        <v>56304</v>
      </c>
    </row>
    <row r="334" spans="1:14" ht="15" customHeight="1" collapsed="1" x14ac:dyDescent="0.25">
      <c r="A334" s="37" t="s">
        <v>927</v>
      </c>
      <c r="B334" s="33"/>
      <c r="C334" s="33"/>
      <c r="D334" s="33"/>
      <c r="E334" s="33" t="s">
        <v>237</v>
      </c>
      <c r="F334" s="33"/>
      <c r="G334" s="34" t="s">
        <v>18</v>
      </c>
      <c r="H334" s="38">
        <v>54.57</v>
      </c>
      <c r="I334" s="28">
        <v>200</v>
      </c>
      <c r="J334" s="39">
        <f t="shared" si="43"/>
        <v>10914</v>
      </c>
      <c r="K334" s="28">
        <v>200</v>
      </c>
      <c r="L334" s="39">
        <f t="shared" si="43"/>
        <v>10914</v>
      </c>
      <c r="M334" s="28">
        <v>200</v>
      </c>
      <c r="N334" s="39">
        <f t="shared" si="43"/>
        <v>10914</v>
      </c>
    </row>
    <row r="335" spans="1:14" ht="15" customHeight="1" x14ac:dyDescent="0.25">
      <c r="A335" s="37" t="s">
        <v>928</v>
      </c>
      <c r="B335" s="33"/>
      <c r="C335" s="33"/>
      <c r="D335" s="33"/>
      <c r="E335" s="33" t="s">
        <v>238</v>
      </c>
      <c r="F335" s="33"/>
      <c r="G335" s="34" t="s">
        <v>18</v>
      </c>
      <c r="H335" s="38">
        <v>69.36</v>
      </c>
      <c r="I335" s="28">
        <v>200</v>
      </c>
      <c r="J335" s="39">
        <f t="shared" si="43"/>
        <v>13872</v>
      </c>
      <c r="K335" s="28">
        <v>100</v>
      </c>
      <c r="L335" s="39">
        <f t="shared" si="43"/>
        <v>6936</v>
      </c>
      <c r="M335" s="28">
        <v>200</v>
      </c>
      <c r="N335" s="39">
        <f t="shared" si="43"/>
        <v>13872</v>
      </c>
    </row>
    <row r="336" spans="1:14" ht="15" customHeight="1" x14ac:dyDescent="0.25">
      <c r="A336" s="37" t="s">
        <v>929</v>
      </c>
      <c r="B336" s="33"/>
      <c r="C336" s="33"/>
      <c r="D336" s="33"/>
      <c r="E336" s="33" t="s">
        <v>239</v>
      </c>
      <c r="F336" s="33"/>
      <c r="G336" s="34" t="s">
        <v>18</v>
      </c>
      <c r="H336" s="38">
        <v>99.04</v>
      </c>
      <c r="I336" s="28">
        <v>100</v>
      </c>
      <c r="J336" s="39">
        <f t="shared" si="43"/>
        <v>9904</v>
      </c>
      <c r="K336" s="28">
        <v>100</v>
      </c>
      <c r="L336" s="39">
        <f t="shared" si="43"/>
        <v>9904</v>
      </c>
      <c r="M336" s="28">
        <v>100</v>
      </c>
      <c r="N336" s="39">
        <f t="shared" si="43"/>
        <v>9904</v>
      </c>
    </row>
    <row r="337" spans="1:14" ht="15" customHeight="1" x14ac:dyDescent="0.25">
      <c r="A337" s="26" t="s">
        <v>930</v>
      </c>
      <c r="B337" s="27"/>
      <c r="C337" s="27"/>
      <c r="D337" s="27" t="s">
        <v>240</v>
      </c>
      <c r="E337" s="27"/>
      <c r="F337" s="27"/>
      <c r="G337" s="28"/>
      <c r="H337" s="29"/>
      <c r="I337" s="28"/>
      <c r="J337" s="30" t="str">
        <f t="shared" si="43"/>
        <v/>
      </c>
      <c r="K337" s="28"/>
      <c r="L337" s="30" t="str">
        <f t="shared" si="43"/>
        <v/>
      </c>
      <c r="M337" s="28"/>
      <c r="N337" s="30" t="str">
        <f t="shared" si="43"/>
        <v/>
      </c>
    </row>
    <row r="338" spans="1:14" ht="15" customHeight="1" collapsed="1" x14ac:dyDescent="0.3">
      <c r="A338" s="37" t="s">
        <v>931</v>
      </c>
      <c r="B338" s="33"/>
      <c r="C338" s="33"/>
      <c r="D338" s="33"/>
      <c r="E338" s="33" t="s">
        <v>241</v>
      </c>
      <c r="F338" s="33"/>
      <c r="G338" s="34" t="s">
        <v>18</v>
      </c>
      <c r="H338" s="38">
        <v>49.57</v>
      </c>
      <c r="I338" s="28">
        <v>200</v>
      </c>
      <c r="J338" s="39">
        <f t="shared" si="43"/>
        <v>9914</v>
      </c>
      <c r="K338" s="28">
        <v>100</v>
      </c>
      <c r="L338" s="39">
        <f t="shared" si="43"/>
        <v>4957</v>
      </c>
      <c r="M338" s="28">
        <v>250</v>
      </c>
      <c r="N338" s="39">
        <f t="shared" si="43"/>
        <v>12392.5</v>
      </c>
    </row>
    <row r="339" spans="1:14" ht="15" customHeight="1" x14ac:dyDescent="0.3">
      <c r="A339" s="37" t="s">
        <v>932</v>
      </c>
      <c r="B339" s="33"/>
      <c r="C339" s="33"/>
      <c r="D339" s="33"/>
      <c r="E339" s="33" t="s">
        <v>242</v>
      </c>
      <c r="F339" s="33"/>
      <c r="G339" s="34" t="s">
        <v>18</v>
      </c>
      <c r="H339" s="38">
        <v>98.94</v>
      </c>
      <c r="I339" s="28">
        <v>100</v>
      </c>
      <c r="J339" s="39">
        <f t="shared" si="43"/>
        <v>9894</v>
      </c>
      <c r="K339" s="28">
        <v>200</v>
      </c>
      <c r="L339" s="39">
        <f t="shared" si="43"/>
        <v>19788</v>
      </c>
      <c r="M339" s="28">
        <v>100</v>
      </c>
      <c r="N339" s="39">
        <f t="shared" si="43"/>
        <v>9894</v>
      </c>
    </row>
    <row r="340" spans="1:14" ht="15" customHeight="1" x14ac:dyDescent="0.25">
      <c r="A340" s="26" t="s">
        <v>933</v>
      </c>
      <c r="B340" s="27"/>
      <c r="C340" s="27"/>
      <c r="D340" s="27" t="s">
        <v>243</v>
      </c>
      <c r="E340" s="27"/>
      <c r="F340" s="27"/>
      <c r="G340" s="28"/>
      <c r="H340" s="31"/>
      <c r="I340" s="28"/>
      <c r="J340" s="32" t="str">
        <f t="shared" si="43"/>
        <v/>
      </c>
      <c r="K340" s="28"/>
      <c r="L340" s="32" t="str">
        <f t="shared" si="43"/>
        <v/>
      </c>
      <c r="M340" s="28"/>
      <c r="N340" s="32" t="str">
        <f t="shared" si="43"/>
        <v/>
      </c>
    </row>
    <row r="341" spans="1:14" ht="15" customHeight="1" x14ac:dyDescent="0.25">
      <c r="A341" s="37" t="s">
        <v>934</v>
      </c>
      <c r="B341" s="33"/>
      <c r="C341" s="33"/>
      <c r="D341" s="33"/>
      <c r="E341" s="33" t="s">
        <v>244</v>
      </c>
      <c r="F341" s="33"/>
      <c r="G341" s="34" t="s">
        <v>27</v>
      </c>
      <c r="H341" s="35">
        <v>1000</v>
      </c>
      <c r="I341" s="28">
        <v>15</v>
      </c>
      <c r="J341" s="36">
        <f t="shared" si="43"/>
        <v>15000</v>
      </c>
      <c r="K341" s="28">
        <v>10</v>
      </c>
      <c r="L341" s="36">
        <f t="shared" si="43"/>
        <v>10000</v>
      </c>
      <c r="M341" s="28">
        <v>20</v>
      </c>
      <c r="N341" s="36">
        <f t="shared" si="43"/>
        <v>20000</v>
      </c>
    </row>
    <row r="342" spans="1:14" ht="15" customHeight="1" x14ac:dyDescent="0.25">
      <c r="A342" s="37" t="s">
        <v>935</v>
      </c>
      <c r="B342" s="33"/>
      <c r="C342" s="33"/>
      <c r="D342" s="33"/>
      <c r="E342" s="33" t="s">
        <v>245</v>
      </c>
      <c r="F342" s="33"/>
      <c r="G342" s="34" t="s">
        <v>27</v>
      </c>
      <c r="H342" s="35">
        <v>1275</v>
      </c>
      <c r="I342" s="28">
        <v>10</v>
      </c>
      <c r="J342" s="36">
        <f t="shared" si="43"/>
        <v>12750</v>
      </c>
      <c r="K342" s="28">
        <v>10</v>
      </c>
      <c r="L342" s="36">
        <f t="shared" si="43"/>
        <v>12750</v>
      </c>
      <c r="M342" s="28">
        <v>10</v>
      </c>
      <c r="N342" s="36">
        <f t="shared" si="43"/>
        <v>12750</v>
      </c>
    </row>
    <row r="343" spans="1:14" ht="15" customHeight="1" x14ac:dyDescent="0.25">
      <c r="A343" s="37" t="s">
        <v>936</v>
      </c>
      <c r="B343" s="33"/>
      <c r="C343" s="33"/>
      <c r="D343" s="33"/>
      <c r="E343" s="33" t="s">
        <v>246</v>
      </c>
      <c r="F343" s="33"/>
      <c r="G343" s="34" t="s">
        <v>27</v>
      </c>
      <c r="H343" s="35">
        <v>2091</v>
      </c>
      <c r="I343" s="28">
        <v>5</v>
      </c>
      <c r="J343" s="36">
        <f t="shared" si="43"/>
        <v>10455</v>
      </c>
      <c r="K343" s="28">
        <v>3</v>
      </c>
      <c r="L343" s="36">
        <f t="shared" si="43"/>
        <v>6273</v>
      </c>
      <c r="M343" s="28">
        <v>10</v>
      </c>
      <c r="N343" s="36">
        <f t="shared" si="43"/>
        <v>20910</v>
      </c>
    </row>
    <row r="344" spans="1:14" ht="15" customHeight="1" x14ac:dyDescent="0.25">
      <c r="A344" s="37" t="s">
        <v>937</v>
      </c>
      <c r="B344" s="33"/>
      <c r="C344" s="33"/>
      <c r="D344" s="33"/>
      <c r="E344" s="33" t="s">
        <v>247</v>
      </c>
      <c r="F344" s="33"/>
      <c r="G344" s="34" t="s">
        <v>27</v>
      </c>
      <c r="H344" s="35">
        <v>2652</v>
      </c>
      <c r="I344" s="28">
        <v>5</v>
      </c>
      <c r="J344" s="36">
        <f t="shared" si="43"/>
        <v>13260</v>
      </c>
      <c r="K344" s="28">
        <v>4</v>
      </c>
      <c r="L344" s="36">
        <f t="shared" si="43"/>
        <v>10608</v>
      </c>
      <c r="M344" s="28">
        <v>5</v>
      </c>
      <c r="N344" s="36">
        <f t="shared" si="43"/>
        <v>13260</v>
      </c>
    </row>
    <row r="345" spans="1:14" ht="15" customHeight="1" x14ac:dyDescent="0.25">
      <c r="A345" s="37" t="s">
        <v>938</v>
      </c>
      <c r="B345" s="33"/>
      <c r="C345" s="33"/>
      <c r="D345" s="33"/>
      <c r="E345" s="33" t="s">
        <v>248</v>
      </c>
      <c r="F345" s="33"/>
      <c r="G345" s="34" t="s">
        <v>27</v>
      </c>
      <c r="H345" s="38">
        <v>714</v>
      </c>
      <c r="I345" s="28">
        <v>35</v>
      </c>
      <c r="J345" s="39">
        <f t="shared" si="43"/>
        <v>24990</v>
      </c>
      <c r="K345" s="28">
        <v>26</v>
      </c>
      <c r="L345" s="39">
        <f t="shared" si="43"/>
        <v>18564</v>
      </c>
      <c r="M345" s="28">
        <v>30</v>
      </c>
      <c r="N345" s="39">
        <f t="shared" si="43"/>
        <v>21420</v>
      </c>
    </row>
    <row r="346" spans="1:14" ht="15" customHeight="1" x14ac:dyDescent="0.25">
      <c r="A346" s="48" t="s">
        <v>939</v>
      </c>
      <c r="B346" s="33"/>
      <c r="C346" s="33"/>
      <c r="D346" s="33"/>
      <c r="E346" s="47" t="s">
        <v>249</v>
      </c>
      <c r="F346" s="33"/>
      <c r="G346" s="34" t="s">
        <v>27</v>
      </c>
      <c r="H346" s="38">
        <v>765</v>
      </c>
      <c r="I346" s="28">
        <v>20</v>
      </c>
      <c r="J346" s="39">
        <f t="shared" si="43"/>
        <v>15300</v>
      </c>
      <c r="K346" s="28">
        <v>25</v>
      </c>
      <c r="L346" s="39">
        <f t="shared" si="43"/>
        <v>19125</v>
      </c>
      <c r="M346" s="28">
        <v>20</v>
      </c>
      <c r="N346" s="39">
        <f t="shared" si="43"/>
        <v>15300</v>
      </c>
    </row>
    <row r="347" spans="1:14" ht="15" customHeight="1" x14ac:dyDescent="0.25">
      <c r="A347" s="48" t="s">
        <v>940</v>
      </c>
      <c r="B347" s="33"/>
      <c r="C347" s="33"/>
      <c r="D347" s="33"/>
      <c r="E347" s="47" t="s">
        <v>250</v>
      </c>
      <c r="F347" s="33"/>
      <c r="G347" s="34" t="s">
        <v>27</v>
      </c>
      <c r="H347" s="38">
        <v>1591.2</v>
      </c>
      <c r="I347" s="28">
        <v>10</v>
      </c>
      <c r="J347" s="39">
        <f t="shared" si="43"/>
        <v>15912</v>
      </c>
      <c r="K347" s="28">
        <v>5</v>
      </c>
      <c r="L347" s="39">
        <f t="shared" si="43"/>
        <v>7956</v>
      </c>
      <c r="M347" s="28">
        <v>15</v>
      </c>
      <c r="N347" s="39">
        <f t="shared" si="43"/>
        <v>23868</v>
      </c>
    </row>
    <row r="348" spans="1:14" ht="15" customHeight="1" x14ac:dyDescent="0.25">
      <c r="A348" s="37" t="s">
        <v>941</v>
      </c>
      <c r="B348" s="33"/>
      <c r="C348" s="33"/>
      <c r="D348" s="33"/>
      <c r="E348" s="33" t="s">
        <v>251</v>
      </c>
      <c r="F348" s="33"/>
      <c r="G348" s="34" t="s">
        <v>27</v>
      </c>
      <c r="H348" s="38">
        <v>300</v>
      </c>
      <c r="I348" s="28">
        <v>25</v>
      </c>
      <c r="J348" s="39">
        <f t="shared" si="43"/>
        <v>7500</v>
      </c>
      <c r="K348" s="28">
        <v>10</v>
      </c>
      <c r="L348" s="39">
        <f t="shared" si="43"/>
        <v>3000</v>
      </c>
      <c r="M348" s="28">
        <v>25</v>
      </c>
      <c r="N348" s="39">
        <f t="shared" si="43"/>
        <v>7500</v>
      </c>
    </row>
    <row r="349" spans="1:14" ht="15" customHeight="1" x14ac:dyDescent="0.25">
      <c r="A349" s="37" t="s">
        <v>942</v>
      </c>
      <c r="B349" s="33"/>
      <c r="C349" s="33"/>
      <c r="D349" s="33"/>
      <c r="E349" s="33" t="s">
        <v>252</v>
      </c>
      <c r="F349" s="33"/>
      <c r="G349" s="34" t="s">
        <v>27</v>
      </c>
      <c r="H349" s="38">
        <v>357</v>
      </c>
      <c r="I349" s="28">
        <v>20</v>
      </c>
      <c r="J349" s="39">
        <f t="shared" si="43"/>
        <v>7140</v>
      </c>
      <c r="K349" s="28">
        <v>35</v>
      </c>
      <c r="L349" s="39">
        <f t="shared" si="43"/>
        <v>12495</v>
      </c>
      <c r="M349" s="28">
        <v>25</v>
      </c>
      <c r="N349" s="39">
        <f t="shared" si="43"/>
        <v>8925</v>
      </c>
    </row>
    <row r="350" spans="1:14" ht="15" customHeight="1" x14ac:dyDescent="0.25">
      <c r="A350" s="37" t="s">
        <v>943</v>
      </c>
      <c r="B350" s="33"/>
      <c r="C350" s="33"/>
      <c r="D350" s="33"/>
      <c r="E350" s="33" t="s">
        <v>253</v>
      </c>
      <c r="F350" s="33"/>
      <c r="G350" s="34" t="s">
        <v>27</v>
      </c>
      <c r="H350" s="38">
        <v>387.6</v>
      </c>
      <c r="I350" s="28">
        <v>25</v>
      </c>
      <c r="J350" s="39">
        <f t="shared" si="43"/>
        <v>9690</v>
      </c>
      <c r="K350" s="28">
        <v>30</v>
      </c>
      <c r="L350" s="39">
        <f t="shared" si="43"/>
        <v>11628</v>
      </c>
      <c r="M350" s="28">
        <v>26</v>
      </c>
      <c r="N350" s="39">
        <f t="shared" si="43"/>
        <v>10077.6</v>
      </c>
    </row>
    <row r="351" spans="1:14" ht="15" customHeight="1" x14ac:dyDescent="0.25">
      <c r="A351" s="37" t="s">
        <v>944</v>
      </c>
      <c r="B351" s="33"/>
      <c r="C351" s="33"/>
      <c r="D351" s="33"/>
      <c r="E351" s="33" t="s">
        <v>254</v>
      </c>
      <c r="F351" s="33"/>
      <c r="G351" s="34" t="s">
        <v>27</v>
      </c>
      <c r="H351" s="38">
        <v>459</v>
      </c>
      <c r="I351" s="28">
        <v>15</v>
      </c>
      <c r="J351" s="39">
        <f t="shared" si="43"/>
        <v>6885</v>
      </c>
      <c r="K351" s="28">
        <v>30</v>
      </c>
      <c r="L351" s="39">
        <f t="shared" si="43"/>
        <v>13770</v>
      </c>
      <c r="M351" s="28">
        <v>15</v>
      </c>
      <c r="N351" s="39">
        <f t="shared" si="43"/>
        <v>6885</v>
      </c>
    </row>
    <row r="352" spans="1:14" ht="15" customHeight="1" x14ac:dyDescent="0.25">
      <c r="A352" s="37" t="s">
        <v>945</v>
      </c>
      <c r="B352" s="33"/>
      <c r="C352" s="33"/>
      <c r="D352" s="33"/>
      <c r="E352" s="33" t="s">
        <v>255</v>
      </c>
      <c r="F352" s="33"/>
      <c r="G352" s="34" t="s">
        <v>27</v>
      </c>
      <c r="H352" s="38">
        <v>612</v>
      </c>
      <c r="I352" s="28">
        <v>10</v>
      </c>
      <c r="J352" s="39">
        <f t="shared" si="43"/>
        <v>6120</v>
      </c>
      <c r="K352" s="28">
        <v>5</v>
      </c>
      <c r="L352" s="39">
        <f t="shared" si="43"/>
        <v>3060</v>
      </c>
      <c r="M352" s="28">
        <v>10</v>
      </c>
      <c r="N352" s="39">
        <f t="shared" si="43"/>
        <v>6120</v>
      </c>
    </row>
    <row r="353" spans="1:14" ht="15" customHeight="1" x14ac:dyDescent="0.25">
      <c r="A353" s="37" t="s">
        <v>946</v>
      </c>
      <c r="B353" s="33"/>
      <c r="C353" s="33"/>
      <c r="D353" s="33"/>
      <c r="E353" s="33" t="s">
        <v>256</v>
      </c>
      <c r="F353" s="33"/>
      <c r="G353" s="34" t="s">
        <v>27</v>
      </c>
      <c r="H353" s="38">
        <v>1326</v>
      </c>
      <c r="I353" s="28">
        <v>8</v>
      </c>
      <c r="J353" s="39">
        <f t="shared" si="43"/>
        <v>10608</v>
      </c>
      <c r="K353" s="28">
        <v>5</v>
      </c>
      <c r="L353" s="39">
        <f t="shared" si="43"/>
        <v>6630</v>
      </c>
      <c r="M353" s="28">
        <v>8</v>
      </c>
      <c r="N353" s="39">
        <f t="shared" si="43"/>
        <v>10608</v>
      </c>
    </row>
    <row r="354" spans="1:14" ht="15" customHeight="1" x14ac:dyDescent="0.25">
      <c r="A354" s="37" t="s">
        <v>947</v>
      </c>
      <c r="B354" s="33"/>
      <c r="C354" s="33"/>
      <c r="D354" s="33"/>
      <c r="E354" s="33" t="s">
        <v>257</v>
      </c>
      <c r="F354" s="33"/>
      <c r="G354" s="34" t="s">
        <v>27</v>
      </c>
      <c r="H354" s="38">
        <v>2040</v>
      </c>
      <c r="I354" s="28">
        <v>5</v>
      </c>
      <c r="J354" s="39">
        <f t="shared" si="43"/>
        <v>10200</v>
      </c>
      <c r="K354" s="28">
        <v>2</v>
      </c>
      <c r="L354" s="39">
        <f t="shared" si="43"/>
        <v>4080</v>
      </c>
      <c r="M354" s="28">
        <v>5</v>
      </c>
      <c r="N354" s="39">
        <f t="shared" si="43"/>
        <v>10200</v>
      </c>
    </row>
    <row r="355" spans="1:14" ht="15" customHeight="1" x14ac:dyDescent="0.25">
      <c r="A355" s="37" t="s">
        <v>948</v>
      </c>
      <c r="B355" s="33"/>
      <c r="C355" s="33"/>
      <c r="D355" s="33"/>
      <c r="E355" s="33" t="s">
        <v>258</v>
      </c>
      <c r="F355" s="33"/>
      <c r="G355" s="34" t="s">
        <v>18</v>
      </c>
      <c r="H355" s="38">
        <v>193.8</v>
      </c>
      <c r="I355" s="28">
        <v>150</v>
      </c>
      <c r="J355" s="39">
        <f t="shared" si="43"/>
        <v>29070</v>
      </c>
      <c r="K355" s="28">
        <v>200</v>
      </c>
      <c r="L355" s="39">
        <f t="shared" si="43"/>
        <v>38760</v>
      </c>
      <c r="M355" s="28">
        <v>250</v>
      </c>
      <c r="N355" s="39">
        <f t="shared" si="43"/>
        <v>48450</v>
      </c>
    </row>
    <row r="356" spans="1:14" ht="15" customHeight="1" x14ac:dyDescent="0.25">
      <c r="A356" s="37" t="s">
        <v>949</v>
      </c>
      <c r="B356" s="33"/>
      <c r="C356" s="33"/>
      <c r="D356" s="33"/>
      <c r="E356" s="33" t="s">
        <v>259</v>
      </c>
      <c r="F356" s="33"/>
      <c r="G356" s="34" t="s">
        <v>18</v>
      </c>
      <c r="H356" s="38">
        <v>249.9</v>
      </c>
      <c r="I356" s="28">
        <v>100</v>
      </c>
      <c r="J356" s="39">
        <f t="shared" si="43"/>
        <v>24990</v>
      </c>
      <c r="K356" s="28">
        <v>60</v>
      </c>
      <c r="L356" s="39">
        <f t="shared" si="43"/>
        <v>14994</v>
      </c>
      <c r="M356" s="28">
        <v>150</v>
      </c>
      <c r="N356" s="39">
        <f t="shared" si="43"/>
        <v>37485</v>
      </c>
    </row>
    <row r="357" spans="1:14" ht="15" customHeight="1" x14ac:dyDescent="0.25">
      <c r="A357" s="37" t="s">
        <v>950</v>
      </c>
      <c r="B357" s="33"/>
      <c r="C357" s="33"/>
      <c r="D357" s="33"/>
      <c r="E357" s="33" t="s">
        <v>260</v>
      </c>
      <c r="F357" s="33"/>
      <c r="G357" s="34" t="s">
        <v>27</v>
      </c>
      <c r="H357" s="38">
        <v>300.89999999999998</v>
      </c>
      <c r="I357" s="28">
        <v>15</v>
      </c>
      <c r="J357" s="39">
        <f t="shared" si="43"/>
        <v>4513.5</v>
      </c>
      <c r="K357" s="28">
        <v>10</v>
      </c>
      <c r="L357" s="39">
        <f t="shared" si="43"/>
        <v>3009</v>
      </c>
      <c r="M357" s="28">
        <v>25</v>
      </c>
      <c r="N357" s="39">
        <f t="shared" si="43"/>
        <v>7522.4999999999991</v>
      </c>
    </row>
    <row r="358" spans="1:14" ht="15" customHeight="1" collapsed="1" x14ac:dyDescent="0.25">
      <c r="A358" s="26" t="s">
        <v>951</v>
      </c>
      <c r="B358" s="27"/>
      <c r="C358" s="27"/>
      <c r="D358" s="27" t="s">
        <v>261</v>
      </c>
      <c r="E358" s="27"/>
      <c r="F358" s="27"/>
      <c r="G358" s="28"/>
      <c r="H358" s="29"/>
      <c r="I358" s="28"/>
      <c r="J358" s="30" t="str">
        <f t="shared" si="43"/>
        <v/>
      </c>
      <c r="K358" s="28"/>
      <c r="L358" s="30" t="str">
        <f t="shared" si="43"/>
        <v/>
      </c>
      <c r="M358" s="28"/>
      <c r="N358" s="30" t="str">
        <f t="shared" si="43"/>
        <v/>
      </c>
    </row>
    <row r="359" spans="1:14" ht="15" customHeight="1" x14ac:dyDescent="0.25">
      <c r="A359" s="37" t="s">
        <v>952</v>
      </c>
      <c r="B359" s="33"/>
      <c r="C359" s="33"/>
      <c r="D359" s="33"/>
      <c r="E359" s="33" t="s">
        <v>262</v>
      </c>
      <c r="F359" s="33"/>
      <c r="G359" s="34" t="s">
        <v>27</v>
      </c>
      <c r="H359" s="38">
        <v>214.2</v>
      </c>
      <c r="I359" s="28">
        <v>20</v>
      </c>
      <c r="J359" s="39">
        <f t="shared" si="43"/>
        <v>4284</v>
      </c>
      <c r="K359" s="28">
        <v>35</v>
      </c>
      <c r="L359" s="39">
        <f t="shared" si="43"/>
        <v>7497</v>
      </c>
      <c r="M359" s="28">
        <v>15</v>
      </c>
      <c r="N359" s="39">
        <f t="shared" si="43"/>
        <v>3213</v>
      </c>
    </row>
    <row r="360" spans="1:14" ht="15" customHeight="1" x14ac:dyDescent="0.25">
      <c r="A360" s="37" t="s">
        <v>953</v>
      </c>
      <c r="B360" s="33"/>
      <c r="C360" s="33"/>
      <c r="D360" s="33"/>
      <c r="E360" s="33" t="s">
        <v>263</v>
      </c>
      <c r="F360" s="33"/>
      <c r="G360" s="34" t="s">
        <v>27</v>
      </c>
      <c r="H360" s="38">
        <v>331.5</v>
      </c>
      <c r="I360" s="28">
        <v>20</v>
      </c>
      <c r="J360" s="39">
        <f t="shared" si="43"/>
        <v>6630</v>
      </c>
      <c r="K360" s="28">
        <v>10</v>
      </c>
      <c r="L360" s="39">
        <f t="shared" si="43"/>
        <v>3315</v>
      </c>
      <c r="M360" s="28">
        <v>10</v>
      </c>
      <c r="N360" s="39">
        <f t="shared" si="43"/>
        <v>3315</v>
      </c>
    </row>
    <row r="361" spans="1:14" ht="15" customHeight="1" x14ac:dyDescent="0.25">
      <c r="A361" s="37" t="s">
        <v>954</v>
      </c>
      <c r="B361" s="33"/>
      <c r="C361" s="33"/>
      <c r="D361" s="33"/>
      <c r="E361" s="33" t="s">
        <v>264</v>
      </c>
      <c r="F361" s="33"/>
      <c r="G361" s="34" t="s">
        <v>27</v>
      </c>
      <c r="H361" s="38">
        <v>9180</v>
      </c>
      <c r="I361" s="28">
        <v>2</v>
      </c>
      <c r="J361" s="39">
        <f t="shared" si="43"/>
        <v>18360</v>
      </c>
      <c r="K361" s="28">
        <v>3</v>
      </c>
      <c r="L361" s="39">
        <f t="shared" si="43"/>
        <v>27540</v>
      </c>
      <c r="M361" s="28">
        <v>2</v>
      </c>
      <c r="N361" s="39">
        <f t="shared" si="43"/>
        <v>18360</v>
      </c>
    </row>
    <row r="362" spans="1:14" ht="15" customHeight="1" x14ac:dyDescent="0.25">
      <c r="A362" s="26" t="s">
        <v>955</v>
      </c>
      <c r="B362" s="27"/>
      <c r="C362" s="27"/>
      <c r="D362" s="27" t="s">
        <v>265</v>
      </c>
      <c r="E362" s="27"/>
      <c r="F362" s="27"/>
      <c r="G362" s="28"/>
      <c r="H362" s="29"/>
      <c r="I362" s="28"/>
      <c r="J362" s="30" t="str">
        <f t="shared" si="43"/>
        <v/>
      </c>
      <c r="K362" s="28"/>
      <c r="L362" s="30" t="str">
        <f t="shared" si="43"/>
        <v/>
      </c>
      <c r="M362" s="28"/>
      <c r="N362" s="30" t="str">
        <f t="shared" si="43"/>
        <v/>
      </c>
    </row>
    <row r="363" spans="1:14" ht="15" customHeight="1" collapsed="1" x14ac:dyDescent="0.25">
      <c r="A363" s="37" t="s">
        <v>956</v>
      </c>
      <c r="B363" s="33"/>
      <c r="C363" s="33"/>
      <c r="D363" s="33"/>
      <c r="E363" s="33" t="s">
        <v>266</v>
      </c>
      <c r="F363" s="33"/>
      <c r="G363" s="34" t="s">
        <v>18</v>
      </c>
      <c r="H363" s="38">
        <v>20</v>
      </c>
      <c r="I363" s="28">
        <v>400</v>
      </c>
      <c r="J363" s="39">
        <f t="shared" si="43"/>
        <v>8000</v>
      </c>
      <c r="K363" s="28">
        <v>250</v>
      </c>
      <c r="L363" s="39">
        <f t="shared" si="43"/>
        <v>5000</v>
      </c>
      <c r="M363" s="28">
        <v>500</v>
      </c>
      <c r="N363" s="39">
        <f t="shared" si="43"/>
        <v>10000</v>
      </c>
    </row>
    <row r="364" spans="1:14" ht="15" customHeight="1" x14ac:dyDescent="0.25">
      <c r="A364" s="37" t="s">
        <v>957</v>
      </c>
      <c r="B364" s="33"/>
      <c r="C364" s="33"/>
      <c r="D364" s="33"/>
      <c r="E364" s="33" t="s">
        <v>267</v>
      </c>
      <c r="F364" s="33"/>
      <c r="G364" s="34" t="s">
        <v>18</v>
      </c>
      <c r="H364" s="38">
        <v>35</v>
      </c>
      <c r="I364" s="28">
        <v>150</v>
      </c>
      <c r="J364" s="39">
        <f t="shared" si="43"/>
        <v>5250</v>
      </c>
      <c r="K364" s="28">
        <v>300</v>
      </c>
      <c r="L364" s="39">
        <f t="shared" si="43"/>
        <v>10500</v>
      </c>
      <c r="M364" s="28">
        <v>150</v>
      </c>
      <c r="N364" s="39">
        <f t="shared" si="43"/>
        <v>5250</v>
      </c>
    </row>
    <row r="365" spans="1:14" ht="15" customHeight="1" x14ac:dyDescent="0.25">
      <c r="A365" s="26" t="s">
        <v>958</v>
      </c>
      <c r="B365" s="27"/>
      <c r="C365" s="27"/>
      <c r="D365" s="27" t="s">
        <v>268</v>
      </c>
      <c r="E365" s="27"/>
      <c r="F365" s="27"/>
      <c r="G365" s="28"/>
      <c r="H365" s="29"/>
      <c r="I365" s="28"/>
      <c r="J365" s="39" t="str">
        <f t="shared" si="43"/>
        <v/>
      </c>
      <c r="K365" s="28"/>
      <c r="L365" s="39" t="str">
        <f t="shared" si="43"/>
        <v/>
      </c>
      <c r="M365" s="28"/>
      <c r="N365" s="39" t="str">
        <f t="shared" si="43"/>
        <v/>
      </c>
    </row>
    <row r="366" spans="1:14" ht="15" customHeight="1" x14ac:dyDescent="0.25">
      <c r="A366" s="37" t="s">
        <v>1272</v>
      </c>
      <c r="B366" s="27"/>
      <c r="C366" s="27"/>
      <c r="D366" s="27"/>
      <c r="E366" s="27" t="s">
        <v>1270</v>
      </c>
      <c r="F366" s="27"/>
      <c r="G366" s="28" t="s">
        <v>56</v>
      </c>
      <c r="H366" s="29">
        <v>255</v>
      </c>
      <c r="I366" s="28">
        <v>15</v>
      </c>
      <c r="J366" s="39">
        <f t="shared" si="43"/>
        <v>3825</v>
      </c>
      <c r="K366" s="28">
        <v>25</v>
      </c>
      <c r="L366" s="39">
        <f t="shared" si="43"/>
        <v>6375</v>
      </c>
      <c r="M366" s="28">
        <v>50</v>
      </c>
      <c r="N366" s="39">
        <f t="shared" si="43"/>
        <v>12750</v>
      </c>
    </row>
    <row r="367" spans="1:14" ht="15" customHeight="1" x14ac:dyDescent="0.25">
      <c r="A367" s="37" t="s">
        <v>1275</v>
      </c>
      <c r="B367" s="27"/>
      <c r="C367" s="27"/>
      <c r="D367" s="27"/>
      <c r="E367" s="27" t="s">
        <v>1271</v>
      </c>
      <c r="F367" s="27"/>
      <c r="G367" s="28" t="s">
        <v>18</v>
      </c>
      <c r="H367" s="29">
        <v>11.02</v>
      </c>
      <c r="I367" s="28">
        <v>300</v>
      </c>
      <c r="J367" s="39">
        <f t="shared" si="43"/>
        <v>3306</v>
      </c>
      <c r="K367" s="28">
        <v>500</v>
      </c>
      <c r="L367" s="39">
        <f t="shared" si="43"/>
        <v>5510</v>
      </c>
      <c r="M367" s="28">
        <v>1000</v>
      </c>
      <c r="N367" s="39">
        <f t="shared" si="43"/>
        <v>11020</v>
      </c>
    </row>
    <row r="368" spans="1:14" ht="15" customHeight="1" x14ac:dyDescent="0.25">
      <c r="A368" s="26" t="s">
        <v>959</v>
      </c>
      <c r="B368" s="27"/>
      <c r="C368" s="27"/>
      <c r="D368" s="27" t="s">
        <v>269</v>
      </c>
      <c r="E368" s="27"/>
      <c r="F368" s="27"/>
      <c r="G368" s="28"/>
      <c r="H368" s="29"/>
      <c r="I368" s="28"/>
      <c r="J368" s="39" t="str">
        <f t="shared" si="43"/>
        <v/>
      </c>
      <c r="K368" s="28"/>
      <c r="L368" s="39" t="str">
        <f t="shared" si="43"/>
        <v/>
      </c>
      <c r="M368" s="28"/>
      <c r="N368" s="39" t="str">
        <f t="shared" si="43"/>
        <v/>
      </c>
    </row>
    <row r="369" spans="1:14" ht="15" customHeight="1" x14ac:dyDescent="0.25">
      <c r="A369" s="37" t="s">
        <v>1274</v>
      </c>
      <c r="B369" s="27"/>
      <c r="C369" s="27"/>
      <c r="D369" s="27"/>
      <c r="E369" s="27" t="s">
        <v>1270</v>
      </c>
      <c r="F369" s="27"/>
      <c r="G369" s="28" t="s">
        <v>56</v>
      </c>
      <c r="H369" s="29">
        <v>204</v>
      </c>
      <c r="I369" s="28">
        <v>50</v>
      </c>
      <c r="J369" s="39">
        <f t="shared" si="43"/>
        <v>10200</v>
      </c>
      <c r="K369" s="28">
        <v>15</v>
      </c>
      <c r="L369" s="39">
        <f t="shared" si="43"/>
        <v>3060</v>
      </c>
      <c r="M369" s="28">
        <v>25</v>
      </c>
      <c r="N369" s="39">
        <f t="shared" si="43"/>
        <v>5100</v>
      </c>
    </row>
    <row r="370" spans="1:14" ht="15" customHeight="1" x14ac:dyDescent="0.25">
      <c r="A370" s="37" t="s">
        <v>1273</v>
      </c>
      <c r="B370" s="27"/>
      <c r="C370" s="27"/>
      <c r="D370" s="27"/>
      <c r="E370" s="27" t="s">
        <v>1271</v>
      </c>
      <c r="F370" s="27"/>
      <c r="G370" s="28" t="s">
        <v>18</v>
      </c>
      <c r="H370" s="29">
        <v>8</v>
      </c>
      <c r="I370" s="28">
        <v>1000</v>
      </c>
      <c r="J370" s="39">
        <f t="shared" si="43"/>
        <v>8000</v>
      </c>
      <c r="K370" s="28">
        <v>300</v>
      </c>
      <c r="L370" s="39">
        <f t="shared" si="43"/>
        <v>2400</v>
      </c>
      <c r="M370" s="28">
        <v>500</v>
      </c>
      <c r="N370" s="39">
        <f t="shared" si="43"/>
        <v>4000</v>
      </c>
    </row>
    <row r="371" spans="1:14" ht="15" customHeight="1" x14ac:dyDescent="0.25">
      <c r="A371" s="26" t="s">
        <v>960</v>
      </c>
      <c r="B371" s="27"/>
      <c r="C371" s="27"/>
      <c r="D371" s="27" t="s">
        <v>270</v>
      </c>
      <c r="E371" s="27"/>
      <c r="F371" s="27"/>
      <c r="G371" s="28" t="s">
        <v>27</v>
      </c>
      <c r="H371" s="29">
        <v>16320</v>
      </c>
      <c r="I371" s="28">
        <v>3</v>
      </c>
      <c r="J371" s="39">
        <f t="shared" si="43"/>
        <v>48960</v>
      </c>
      <c r="K371" s="28">
        <v>3</v>
      </c>
      <c r="L371" s="30">
        <f t="shared" si="43"/>
        <v>48960</v>
      </c>
      <c r="M371" s="28">
        <v>3</v>
      </c>
      <c r="N371" s="39">
        <f t="shared" si="43"/>
        <v>48960</v>
      </c>
    </row>
    <row r="372" spans="1:14" ht="15" customHeight="1" collapsed="1" x14ac:dyDescent="0.25">
      <c r="A372" s="20" t="s">
        <v>961</v>
      </c>
      <c r="B372" s="21"/>
      <c r="C372" s="22" t="s">
        <v>271</v>
      </c>
      <c r="D372" s="21"/>
      <c r="E372" s="21"/>
      <c r="F372" s="21"/>
      <c r="G372" s="23"/>
      <c r="H372" s="24"/>
      <c r="I372" s="23"/>
      <c r="J372" s="25" t="str">
        <f t="shared" si="43"/>
        <v/>
      </c>
      <c r="K372" s="23"/>
      <c r="L372" s="25" t="str">
        <f t="shared" si="43"/>
        <v/>
      </c>
      <c r="M372" s="23"/>
      <c r="N372" s="25" t="str">
        <f t="shared" si="43"/>
        <v/>
      </c>
    </row>
    <row r="373" spans="1:14" ht="15" customHeight="1" x14ac:dyDescent="0.25">
      <c r="A373" s="26" t="s">
        <v>962</v>
      </c>
      <c r="B373" s="27"/>
      <c r="C373" s="27"/>
      <c r="D373" s="27" t="s">
        <v>272</v>
      </c>
      <c r="E373" s="27"/>
      <c r="F373" s="27"/>
      <c r="G373" s="28"/>
      <c r="H373" s="29"/>
      <c r="I373" s="28"/>
      <c r="J373" s="30" t="str">
        <f t="shared" si="43"/>
        <v/>
      </c>
      <c r="K373" s="28"/>
      <c r="L373" s="30" t="str">
        <f t="shared" si="43"/>
        <v/>
      </c>
      <c r="M373" s="28"/>
      <c r="N373" s="30" t="str">
        <f t="shared" ref="N373" si="44">IF($H373*M373=0,"",$H373*M373)</f>
        <v/>
      </c>
    </row>
    <row r="374" spans="1:14" ht="15" customHeight="1" collapsed="1" x14ac:dyDescent="0.25">
      <c r="A374" s="37" t="s">
        <v>963</v>
      </c>
      <c r="B374" s="33"/>
      <c r="C374" s="33"/>
      <c r="D374" s="33"/>
      <c r="E374" s="33" t="s">
        <v>554</v>
      </c>
      <c r="F374" s="33"/>
      <c r="G374" s="34" t="s">
        <v>18</v>
      </c>
      <c r="H374" s="38">
        <v>40.799999999999997</v>
      </c>
      <c r="I374" s="28">
        <v>800</v>
      </c>
      <c r="J374" s="39">
        <f t="shared" ref="J374:N412" si="45">IF($H374*I374=0,"",$H374*I374)</f>
        <v>32639.999999999996</v>
      </c>
      <c r="K374" s="28">
        <v>1500</v>
      </c>
      <c r="L374" s="39">
        <f t="shared" si="45"/>
        <v>61199.999999999993</v>
      </c>
      <c r="M374" s="28">
        <v>1400</v>
      </c>
      <c r="N374" s="39">
        <f t="shared" si="45"/>
        <v>57119.999999999993</v>
      </c>
    </row>
    <row r="375" spans="1:14" ht="15" customHeight="1" x14ac:dyDescent="0.3">
      <c r="A375" s="37" t="s">
        <v>964</v>
      </c>
      <c r="B375" s="33"/>
      <c r="C375" s="33"/>
      <c r="D375" s="33"/>
      <c r="E375" s="33" t="s">
        <v>273</v>
      </c>
      <c r="F375" s="33"/>
      <c r="G375" s="34" t="s">
        <v>18</v>
      </c>
      <c r="H375" s="38">
        <v>47.94</v>
      </c>
      <c r="I375" s="28">
        <v>350</v>
      </c>
      <c r="J375" s="39">
        <f t="shared" si="45"/>
        <v>16779</v>
      </c>
      <c r="K375" s="28">
        <v>200</v>
      </c>
      <c r="L375" s="39">
        <f t="shared" si="45"/>
        <v>9588</v>
      </c>
      <c r="M375" s="28">
        <v>500</v>
      </c>
      <c r="N375" s="39">
        <f t="shared" si="45"/>
        <v>23970</v>
      </c>
    </row>
    <row r="376" spans="1:14" ht="15" customHeight="1" x14ac:dyDescent="0.25">
      <c r="A376" s="37" t="s">
        <v>965</v>
      </c>
      <c r="B376" s="33"/>
      <c r="C376" s="33"/>
      <c r="D376" s="33"/>
      <c r="E376" s="33" t="s">
        <v>274</v>
      </c>
      <c r="F376" s="33"/>
      <c r="G376" s="34" t="s">
        <v>18</v>
      </c>
      <c r="H376" s="38">
        <v>58.14</v>
      </c>
      <c r="I376" s="28">
        <v>100</v>
      </c>
      <c r="J376" s="39">
        <f t="shared" si="45"/>
        <v>5814</v>
      </c>
      <c r="K376" s="28">
        <v>300</v>
      </c>
      <c r="L376" s="39">
        <f t="shared" si="45"/>
        <v>17442</v>
      </c>
      <c r="M376" s="28">
        <v>400</v>
      </c>
      <c r="N376" s="39">
        <f t="shared" si="45"/>
        <v>23256</v>
      </c>
    </row>
    <row r="377" spans="1:14" ht="15" customHeight="1" x14ac:dyDescent="0.25">
      <c r="A377" s="26" t="s">
        <v>966</v>
      </c>
      <c r="B377" s="27"/>
      <c r="C377" s="27"/>
      <c r="D377" s="27" t="s">
        <v>275</v>
      </c>
      <c r="E377" s="27"/>
      <c r="F377" s="27"/>
      <c r="G377" s="28"/>
      <c r="H377" s="31"/>
      <c r="I377" s="28"/>
      <c r="J377" s="32" t="str">
        <f t="shared" si="45"/>
        <v/>
      </c>
      <c r="K377" s="28"/>
      <c r="L377" s="32" t="str">
        <f t="shared" si="45"/>
        <v/>
      </c>
      <c r="M377" s="28"/>
      <c r="N377" s="32" t="str">
        <f t="shared" si="45"/>
        <v/>
      </c>
    </row>
    <row r="378" spans="1:14" ht="15" customHeight="1" collapsed="1" x14ac:dyDescent="0.25">
      <c r="A378" s="37" t="s">
        <v>967</v>
      </c>
      <c r="B378" s="33"/>
      <c r="C378" s="33"/>
      <c r="D378" s="33"/>
      <c r="E378" s="33" t="s">
        <v>276</v>
      </c>
      <c r="F378" s="33"/>
      <c r="G378" s="34" t="s">
        <v>18</v>
      </c>
      <c r="H378" s="35">
        <v>5</v>
      </c>
      <c r="I378" s="28">
        <v>250</v>
      </c>
      <c r="J378" s="36">
        <f t="shared" si="45"/>
        <v>1250</v>
      </c>
      <c r="K378" s="28">
        <v>450</v>
      </c>
      <c r="L378" s="36">
        <f t="shared" si="45"/>
        <v>2250</v>
      </c>
      <c r="M378" s="28">
        <v>500</v>
      </c>
      <c r="N378" s="36">
        <f t="shared" si="45"/>
        <v>2500</v>
      </c>
    </row>
    <row r="379" spans="1:14" ht="15" customHeight="1" x14ac:dyDescent="0.25">
      <c r="A379" s="37" t="s">
        <v>968</v>
      </c>
      <c r="B379" s="33"/>
      <c r="C379" s="33"/>
      <c r="D379" s="33"/>
      <c r="E379" s="33" t="s">
        <v>277</v>
      </c>
      <c r="F379" s="33"/>
      <c r="G379" s="34" t="s">
        <v>18</v>
      </c>
      <c r="H379" s="35">
        <v>8</v>
      </c>
      <c r="I379" s="28">
        <v>150</v>
      </c>
      <c r="J379" s="36">
        <f t="shared" si="45"/>
        <v>1200</v>
      </c>
      <c r="K379" s="28">
        <v>450</v>
      </c>
      <c r="L379" s="36">
        <f t="shared" si="45"/>
        <v>3600</v>
      </c>
      <c r="M379" s="28">
        <v>500</v>
      </c>
      <c r="N379" s="36">
        <f t="shared" si="45"/>
        <v>4000</v>
      </c>
    </row>
    <row r="380" spans="1:14" ht="15" customHeight="1" x14ac:dyDescent="0.25">
      <c r="A380" s="37" t="s">
        <v>969</v>
      </c>
      <c r="B380" s="33"/>
      <c r="C380" s="33"/>
      <c r="D380" s="33"/>
      <c r="E380" s="33" t="s">
        <v>278</v>
      </c>
      <c r="F380" s="33"/>
      <c r="G380" s="34" t="s">
        <v>18</v>
      </c>
      <c r="H380" s="35">
        <v>9</v>
      </c>
      <c r="I380" s="28">
        <v>100</v>
      </c>
      <c r="J380" s="36">
        <f t="shared" si="45"/>
        <v>900</v>
      </c>
      <c r="K380" s="28">
        <v>200</v>
      </c>
      <c r="L380" s="36">
        <f t="shared" si="45"/>
        <v>1800</v>
      </c>
      <c r="M380" s="28">
        <v>400</v>
      </c>
      <c r="N380" s="36">
        <f t="shared" si="45"/>
        <v>3600</v>
      </c>
    </row>
    <row r="381" spans="1:14" ht="15" customHeight="1" x14ac:dyDescent="0.25">
      <c r="A381" s="37" t="s">
        <v>970</v>
      </c>
      <c r="B381" s="33"/>
      <c r="C381" s="33"/>
      <c r="D381" s="33"/>
      <c r="E381" s="33" t="s">
        <v>279</v>
      </c>
      <c r="F381" s="33"/>
      <c r="G381" s="34" t="s">
        <v>18</v>
      </c>
      <c r="H381" s="35">
        <v>9</v>
      </c>
      <c r="I381" s="28">
        <v>100</v>
      </c>
      <c r="J381" s="36">
        <f t="shared" si="45"/>
        <v>900</v>
      </c>
      <c r="K381" s="28">
        <v>200</v>
      </c>
      <c r="L381" s="36">
        <f t="shared" si="45"/>
        <v>1800</v>
      </c>
      <c r="M381" s="28">
        <v>200</v>
      </c>
      <c r="N381" s="36">
        <f t="shared" si="45"/>
        <v>1800</v>
      </c>
    </row>
    <row r="382" spans="1:14" ht="15" customHeight="1" x14ac:dyDescent="0.25">
      <c r="A382" s="26" t="s">
        <v>971</v>
      </c>
      <c r="B382" s="27"/>
      <c r="C382" s="27"/>
      <c r="D382" s="27" t="s">
        <v>280</v>
      </c>
      <c r="E382" s="27"/>
      <c r="F382" s="27"/>
      <c r="G382" s="28"/>
      <c r="H382" s="29"/>
      <c r="I382" s="28"/>
      <c r="J382" s="30" t="str">
        <f t="shared" si="45"/>
        <v/>
      </c>
      <c r="K382" s="28"/>
      <c r="L382" s="30" t="str">
        <f t="shared" si="45"/>
        <v/>
      </c>
      <c r="M382" s="28"/>
      <c r="N382" s="30" t="str">
        <f t="shared" si="45"/>
        <v/>
      </c>
    </row>
    <row r="383" spans="1:14" ht="15" customHeight="1" collapsed="1" x14ac:dyDescent="0.25">
      <c r="A383" s="37" t="s">
        <v>972</v>
      </c>
      <c r="B383" s="33"/>
      <c r="C383" s="33"/>
      <c r="D383" s="33"/>
      <c r="E383" s="33" t="s">
        <v>281</v>
      </c>
      <c r="F383" s="33"/>
      <c r="G383" s="34" t="s">
        <v>18</v>
      </c>
      <c r="H383" s="38">
        <v>6</v>
      </c>
      <c r="I383" s="28">
        <v>1200</v>
      </c>
      <c r="J383" s="39">
        <f t="shared" si="45"/>
        <v>7200</v>
      </c>
      <c r="K383" s="28">
        <v>2000</v>
      </c>
      <c r="L383" s="39">
        <f t="shared" si="45"/>
        <v>12000</v>
      </c>
      <c r="M383" s="28">
        <v>1800</v>
      </c>
      <c r="N383" s="39">
        <f t="shared" si="45"/>
        <v>10800</v>
      </c>
    </row>
    <row r="384" spans="1:14" ht="15" customHeight="1" x14ac:dyDescent="0.25">
      <c r="A384" s="37" t="s">
        <v>973</v>
      </c>
      <c r="B384" s="33"/>
      <c r="C384" s="33"/>
      <c r="D384" s="33"/>
      <c r="E384" s="33" t="s">
        <v>282</v>
      </c>
      <c r="F384" s="33"/>
      <c r="G384" s="34" t="s">
        <v>18</v>
      </c>
      <c r="H384" s="38">
        <v>8</v>
      </c>
      <c r="I384" s="28">
        <v>400</v>
      </c>
      <c r="J384" s="39">
        <f t="shared" si="45"/>
        <v>3200</v>
      </c>
      <c r="K384" s="28">
        <v>600</v>
      </c>
      <c r="L384" s="39">
        <f t="shared" si="45"/>
        <v>4800</v>
      </c>
      <c r="M384" s="28">
        <v>400</v>
      </c>
      <c r="N384" s="39">
        <f t="shared" si="45"/>
        <v>3200</v>
      </c>
    </row>
    <row r="385" spans="1:14" ht="15" customHeight="1" x14ac:dyDescent="0.25">
      <c r="A385" s="37" t="s">
        <v>974</v>
      </c>
      <c r="B385" s="33"/>
      <c r="C385" s="33"/>
      <c r="D385" s="33"/>
      <c r="E385" s="33" t="s">
        <v>283</v>
      </c>
      <c r="F385" s="33"/>
      <c r="G385" s="34" t="s">
        <v>18</v>
      </c>
      <c r="H385" s="38">
        <v>9</v>
      </c>
      <c r="I385" s="28">
        <v>100</v>
      </c>
      <c r="J385" s="39">
        <f t="shared" si="45"/>
        <v>900</v>
      </c>
      <c r="K385" s="28">
        <v>400</v>
      </c>
      <c r="L385" s="39">
        <f t="shared" si="45"/>
        <v>3600</v>
      </c>
      <c r="M385" s="28">
        <v>600</v>
      </c>
      <c r="N385" s="39">
        <f t="shared" si="45"/>
        <v>5400</v>
      </c>
    </row>
    <row r="386" spans="1:14" ht="15" customHeight="1" x14ac:dyDescent="0.25">
      <c r="A386" s="37" t="s">
        <v>975</v>
      </c>
      <c r="B386" s="33"/>
      <c r="C386" s="33"/>
      <c r="D386" s="33"/>
      <c r="E386" s="33" t="s">
        <v>284</v>
      </c>
      <c r="F386" s="33"/>
      <c r="G386" s="34" t="s">
        <v>18</v>
      </c>
      <c r="H386" s="38">
        <v>12</v>
      </c>
      <c r="I386" s="28">
        <v>100</v>
      </c>
      <c r="J386" s="39">
        <f t="shared" si="45"/>
        <v>1200</v>
      </c>
      <c r="K386" s="28">
        <v>400</v>
      </c>
      <c r="L386" s="39">
        <f t="shared" si="45"/>
        <v>4800</v>
      </c>
      <c r="M386" s="28">
        <v>600</v>
      </c>
      <c r="N386" s="39">
        <f t="shared" si="45"/>
        <v>7200</v>
      </c>
    </row>
    <row r="387" spans="1:14" ht="15" customHeight="1" x14ac:dyDescent="0.25">
      <c r="A387" s="26" t="s">
        <v>976</v>
      </c>
      <c r="B387" s="27"/>
      <c r="C387" s="27"/>
      <c r="D387" s="27" t="s">
        <v>285</v>
      </c>
      <c r="E387" s="27"/>
      <c r="F387" s="27"/>
      <c r="G387" s="28"/>
      <c r="H387" s="29"/>
      <c r="I387" s="28"/>
      <c r="J387" s="30" t="str">
        <f t="shared" si="45"/>
        <v/>
      </c>
      <c r="K387" s="28"/>
      <c r="L387" s="30" t="str">
        <f t="shared" si="45"/>
        <v/>
      </c>
      <c r="M387" s="28"/>
      <c r="N387" s="30" t="str">
        <f t="shared" si="45"/>
        <v/>
      </c>
    </row>
    <row r="388" spans="1:14" ht="15" customHeight="1" collapsed="1" x14ac:dyDescent="0.25">
      <c r="A388" s="37" t="s">
        <v>977</v>
      </c>
      <c r="B388" s="33"/>
      <c r="C388" s="33"/>
      <c r="D388" s="33"/>
      <c r="E388" s="33" t="s">
        <v>286</v>
      </c>
      <c r="F388" s="33"/>
      <c r="G388" s="34" t="s">
        <v>18</v>
      </c>
      <c r="H388" s="38">
        <v>9</v>
      </c>
      <c r="I388" s="28">
        <v>200</v>
      </c>
      <c r="J388" s="39">
        <f t="shared" si="45"/>
        <v>1800</v>
      </c>
      <c r="K388" s="28">
        <v>450</v>
      </c>
      <c r="L388" s="39">
        <f t="shared" si="45"/>
        <v>4050</v>
      </c>
      <c r="M388" s="28">
        <v>400</v>
      </c>
      <c r="N388" s="39">
        <f t="shared" si="45"/>
        <v>3600</v>
      </c>
    </row>
    <row r="389" spans="1:14" ht="15" customHeight="1" collapsed="1" x14ac:dyDescent="0.25">
      <c r="A389" s="37" t="s">
        <v>978</v>
      </c>
      <c r="B389" s="33"/>
      <c r="C389" s="33"/>
      <c r="D389" s="33"/>
      <c r="E389" s="33" t="s">
        <v>287</v>
      </c>
      <c r="F389" s="33"/>
      <c r="G389" s="34" t="s">
        <v>18</v>
      </c>
      <c r="H389" s="38">
        <v>10</v>
      </c>
      <c r="I389" s="28">
        <v>150</v>
      </c>
      <c r="J389" s="39">
        <f t="shared" si="45"/>
        <v>1500</v>
      </c>
      <c r="K389" s="28">
        <v>200</v>
      </c>
      <c r="L389" s="39">
        <f t="shared" si="45"/>
        <v>2000</v>
      </c>
      <c r="M389" s="28">
        <v>400</v>
      </c>
      <c r="N389" s="39">
        <f t="shared" si="45"/>
        <v>4000</v>
      </c>
    </row>
    <row r="390" spans="1:14" ht="15" customHeight="1" collapsed="1" x14ac:dyDescent="0.25">
      <c r="A390" s="37" t="s">
        <v>979</v>
      </c>
      <c r="B390" s="33"/>
      <c r="C390" s="33"/>
      <c r="D390" s="33"/>
      <c r="E390" s="33" t="s">
        <v>288</v>
      </c>
      <c r="F390" s="33"/>
      <c r="G390" s="34" t="s">
        <v>18</v>
      </c>
      <c r="H390" s="38">
        <v>11</v>
      </c>
      <c r="I390" s="28">
        <v>150</v>
      </c>
      <c r="J390" s="39">
        <f t="shared" si="45"/>
        <v>1650</v>
      </c>
      <c r="K390" s="28">
        <v>200</v>
      </c>
      <c r="L390" s="39">
        <f t="shared" si="45"/>
        <v>2200</v>
      </c>
      <c r="M390" s="28">
        <v>300</v>
      </c>
      <c r="N390" s="39">
        <f t="shared" si="45"/>
        <v>3300</v>
      </c>
    </row>
    <row r="391" spans="1:14" ht="15" customHeight="1" x14ac:dyDescent="0.25">
      <c r="A391" s="37" t="s">
        <v>980</v>
      </c>
      <c r="B391" s="33"/>
      <c r="C391" s="33"/>
      <c r="D391" s="33"/>
      <c r="E391" s="33" t="s">
        <v>289</v>
      </c>
      <c r="F391" s="33"/>
      <c r="G391" s="34" t="s">
        <v>18</v>
      </c>
      <c r="H391" s="38">
        <v>13</v>
      </c>
      <c r="I391" s="28">
        <v>50</v>
      </c>
      <c r="J391" s="39">
        <f t="shared" si="45"/>
        <v>650</v>
      </c>
      <c r="K391" s="28">
        <v>150</v>
      </c>
      <c r="L391" s="39">
        <f t="shared" si="45"/>
        <v>1950</v>
      </c>
      <c r="M391" s="28">
        <v>200</v>
      </c>
      <c r="N391" s="39">
        <f t="shared" si="45"/>
        <v>2600</v>
      </c>
    </row>
    <row r="392" spans="1:14" ht="15" customHeight="1" x14ac:dyDescent="0.25">
      <c r="A392" s="37" t="s">
        <v>981</v>
      </c>
      <c r="B392" s="33"/>
      <c r="C392" s="33"/>
      <c r="D392" s="33"/>
      <c r="E392" s="33" t="s">
        <v>290</v>
      </c>
      <c r="F392" s="33"/>
      <c r="G392" s="34" t="s">
        <v>18</v>
      </c>
      <c r="H392" s="38">
        <v>16</v>
      </c>
      <c r="I392" s="28">
        <v>50</v>
      </c>
      <c r="J392" s="39">
        <f t="shared" si="45"/>
        <v>800</v>
      </c>
      <c r="K392" s="28">
        <v>200</v>
      </c>
      <c r="L392" s="39">
        <f t="shared" si="45"/>
        <v>3200</v>
      </c>
      <c r="M392" s="28">
        <v>1500</v>
      </c>
      <c r="N392" s="39">
        <f t="shared" si="45"/>
        <v>24000</v>
      </c>
    </row>
    <row r="393" spans="1:14" ht="15" customHeight="1" x14ac:dyDescent="0.25">
      <c r="A393" s="37" t="s">
        <v>982</v>
      </c>
      <c r="B393" s="33"/>
      <c r="C393" s="33"/>
      <c r="D393" s="33"/>
      <c r="E393" s="33" t="s">
        <v>291</v>
      </c>
      <c r="F393" s="33"/>
      <c r="G393" s="34" t="s">
        <v>18</v>
      </c>
      <c r="H393" s="38">
        <v>13</v>
      </c>
      <c r="I393" s="28">
        <v>800</v>
      </c>
      <c r="J393" s="39">
        <f t="shared" si="45"/>
        <v>10400</v>
      </c>
      <c r="K393" s="28">
        <v>1500</v>
      </c>
      <c r="L393" s="39">
        <f t="shared" si="45"/>
        <v>19500</v>
      </c>
      <c r="M393" s="28">
        <v>1200</v>
      </c>
      <c r="N393" s="39">
        <f t="shared" si="45"/>
        <v>15600</v>
      </c>
    </row>
    <row r="394" spans="1:14" ht="15" customHeight="1" x14ac:dyDescent="0.25">
      <c r="A394" s="26" t="s">
        <v>983</v>
      </c>
      <c r="B394" s="27"/>
      <c r="C394" s="27"/>
      <c r="D394" s="27" t="s">
        <v>292</v>
      </c>
      <c r="E394" s="27"/>
      <c r="F394" s="27"/>
      <c r="G394" s="28"/>
      <c r="H394" s="29"/>
      <c r="I394" s="28"/>
      <c r="J394" s="30" t="str">
        <f t="shared" si="45"/>
        <v/>
      </c>
      <c r="K394" s="28"/>
      <c r="L394" s="30" t="str">
        <f t="shared" si="45"/>
        <v/>
      </c>
      <c r="M394" s="28"/>
      <c r="N394" s="30" t="str">
        <f t="shared" si="45"/>
        <v/>
      </c>
    </row>
    <row r="395" spans="1:14" ht="15" customHeight="1" collapsed="1" x14ac:dyDescent="0.25">
      <c r="A395" s="37" t="s">
        <v>984</v>
      </c>
      <c r="B395" s="33"/>
      <c r="C395" s="33"/>
      <c r="D395" s="33"/>
      <c r="E395" s="33" t="s">
        <v>293</v>
      </c>
      <c r="F395" s="33"/>
      <c r="G395" s="34" t="s">
        <v>27</v>
      </c>
      <c r="H395" s="38">
        <v>130</v>
      </c>
      <c r="I395" s="28">
        <v>20</v>
      </c>
      <c r="J395" s="39">
        <f t="shared" si="45"/>
        <v>2600</v>
      </c>
      <c r="K395" s="28">
        <v>35</v>
      </c>
      <c r="L395" s="39">
        <f t="shared" si="45"/>
        <v>4550</v>
      </c>
      <c r="M395" s="28">
        <v>30</v>
      </c>
      <c r="N395" s="39">
        <f t="shared" si="45"/>
        <v>3900</v>
      </c>
    </row>
    <row r="396" spans="1:14" ht="15" customHeight="1" x14ac:dyDescent="0.25">
      <c r="A396" s="37" t="s">
        <v>985</v>
      </c>
      <c r="B396" s="33"/>
      <c r="C396" s="33"/>
      <c r="D396" s="33"/>
      <c r="E396" s="33" t="s">
        <v>294</v>
      </c>
      <c r="F396" s="33"/>
      <c r="G396" s="34" t="s">
        <v>27</v>
      </c>
      <c r="H396" s="38">
        <v>910</v>
      </c>
      <c r="I396" s="28">
        <v>20</v>
      </c>
      <c r="J396" s="39">
        <f t="shared" si="45"/>
        <v>18200</v>
      </c>
      <c r="K396" s="28">
        <v>30</v>
      </c>
      <c r="L396" s="39">
        <f t="shared" si="45"/>
        <v>27300</v>
      </c>
      <c r="M396" s="28">
        <v>25</v>
      </c>
      <c r="N396" s="39">
        <f t="shared" si="45"/>
        <v>22750</v>
      </c>
    </row>
    <row r="397" spans="1:14" ht="15" customHeight="1" x14ac:dyDescent="0.25">
      <c r="A397" s="26" t="s">
        <v>986</v>
      </c>
      <c r="B397" s="27"/>
      <c r="C397" s="27"/>
      <c r="D397" s="27" t="s">
        <v>295</v>
      </c>
      <c r="E397" s="27"/>
      <c r="F397" s="27"/>
      <c r="G397" s="28" t="s">
        <v>27</v>
      </c>
      <c r="H397" s="29">
        <v>1200</v>
      </c>
      <c r="I397" s="28">
        <v>3</v>
      </c>
      <c r="J397" s="30">
        <f t="shared" si="45"/>
        <v>3600</v>
      </c>
      <c r="K397" s="28">
        <v>5</v>
      </c>
      <c r="L397" s="30">
        <f t="shared" si="45"/>
        <v>6000</v>
      </c>
      <c r="M397" s="28">
        <v>4</v>
      </c>
      <c r="N397" s="30">
        <f t="shared" si="45"/>
        <v>4800</v>
      </c>
    </row>
    <row r="398" spans="1:14" ht="15" customHeight="1" x14ac:dyDescent="0.25">
      <c r="A398" s="26" t="s">
        <v>987</v>
      </c>
      <c r="B398" s="27"/>
      <c r="C398" s="27"/>
      <c r="D398" s="27" t="s">
        <v>296</v>
      </c>
      <c r="E398" s="27"/>
      <c r="F398" s="27"/>
      <c r="G398" s="28" t="s">
        <v>27</v>
      </c>
      <c r="H398" s="29">
        <v>575</v>
      </c>
      <c r="I398" s="28">
        <v>2</v>
      </c>
      <c r="J398" s="30">
        <f t="shared" si="45"/>
        <v>1150</v>
      </c>
      <c r="K398" s="28">
        <v>5</v>
      </c>
      <c r="L398" s="30">
        <f t="shared" si="45"/>
        <v>2875</v>
      </c>
      <c r="M398" s="28">
        <v>4</v>
      </c>
      <c r="N398" s="30">
        <f t="shared" si="45"/>
        <v>2300</v>
      </c>
    </row>
    <row r="399" spans="1:14" ht="15" customHeight="1" x14ac:dyDescent="0.25">
      <c r="A399" s="26" t="s">
        <v>988</v>
      </c>
      <c r="B399" s="27"/>
      <c r="C399" s="27"/>
      <c r="D399" s="27" t="s">
        <v>297</v>
      </c>
      <c r="E399" s="27"/>
      <c r="F399" s="27"/>
      <c r="G399" s="28" t="s">
        <v>27</v>
      </c>
      <c r="H399" s="29">
        <v>575</v>
      </c>
      <c r="I399" s="28">
        <v>3</v>
      </c>
      <c r="J399" s="30">
        <f t="shared" si="45"/>
        <v>1725</v>
      </c>
      <c r="K399" s="28">
        <v>5</v>
      </c>
      <c r="L399" s="30">
        <f t="shared" si="45"/>
        <v>2875</v>
      </c>
      <c r="M399" s="28">
        <v>3</v>
      </c>
      <c r="N399" s="30">
        <f t="shared" si="45"/>
        <v>1725</v>
      </c>
    </row>
    <row r="400" spans="1:14" ht="15" customHeight="1" x14ac:dyDescent="0.25">
      <c r="A400" s="26" t="s">
        <v>989</v>
      </c>
      <c r="B400" s="27"/>
      <c r="C400" s="27"/>
      <c r="D400" s="27" t="s">
        <v>298</v>
      </c>
      <c r="E400" s="27"/>
      <c r="F400" s="27"/>
      <c r="G400" s="28" t="s">
        <v>27</v>
      </c>
      <c r="H400" s="29">
        <v>440</v>
      </c>
      <c r="I400" s="28">
        <v>3</v>
      </c>
      <c r="J400" s="30">
        <f t="shared" si="45"/>
        <v>1320</v>
      </c>
      <c r="K400" s="28">
        <v>5</v>
      </c>
      <c r="L400" s="30">
        <f t="shared" si="45"/>
        <v>2200</v>
      </c>
      <c r="M400" s="28">
        <v>3</v>
      </c>
      <c r="N400" s="30">
        <f t="shared" si="45"/>
        <v>1320</v>
      </c>
    </row>
    <row r="401" spans="1:14" ht="15" customHeight="1" x14ac:dyDescent="0.25">
      <c r="A401" s="26" t="s">
        <v>990</v>
      </c>
      <c r="B401" s="27"/>
      <c r="C401" s="27"/>
      <c r="D401" s="27" t="s">
        <v>299</v>
      </c>
      <c r="E401" s="27"/>
      <c r="F401" s="27"/>
      <c r="G401" s="28" t="s">
        <v>27</v>
      </c>
      <c r="H401" s="29">
        <v>1100</v>
      </c>
      <c r="I401" s="28">
        <v>3</v>
      </c>
      <c r="J401" s="30">
        <f t="shared" si="45"/>
        <v>3300</v>
      </c>
      <c r="K401" s="28">
        <v>8</v>
      </c>
      <c r="L401" s="30">
        <f t="shared" si="45"/>
        <v>8800</v>
      </c>
      <c r="M401" s="28">
        <v>8</v>
      </c>
      <c r="N401" s="30">
        <f t="shared" si="45"/>
        <v>8800</v>
      </c>
    </row>
    <row r="402" spans="1:14" ht="15" customHeight="1" x14ac:dyDescent="0.25">
      <c r="A402" s="26" t="s">
        <v>991</v>
      </c>
      <c r="B402" s="27"/>
      <c r="C402" s="27"/>
      <c r="D402" s="27" t="s">
        <v>300</v>
      </c>
      <c r="E402" s="27"/>
      <c r="F402" s="27"/>
      <c r="G402" s="28" t="s">
        <v>14</v>
      </c>
      <c r="H402" s="29">
        <v>910</v>
      </c>
      <c r="I402" s="28">
        <v>10</v>
      </c>
      <c r="J402" s="30">
        <f t="shared" si="45"/>
        <v>9100</v>
      </c>
      <c r="K402" s="28">
        <v>15</v>
      </c>
      <c r="L402" s="30">
        <f t="shared" si="45"/>
        <v>13650</v>
      </c>
      <c r="M402" s="28">
        <v>12</v>
      </c>
      <c r="N402" s="30">
        <f t="shared" si="45"/>
        <v>10920</v>
      </c>
    </row>
    <row r="403" spans="1:14" ht="15" customHeight="1" x14ac:dyDescent="0.25">
      <c r="A403" s="26" t="s">
        <v>992</v>
      </c>
      <c r="B403" s="27"/>
      <c r="C403" s="27"/>
      <c r="D403" s="27" t="s">
        <v>301</v>
      </c>
      <c r="E403" s="27"/>
      <c r="F403" s="27"/>
      <c r="G403" s="28" t="s">
        <v>27</v>
      </c>
      <c r="H403" s="29">
        <v>17000</v>
      </c>
      <c r="I403" s="28">
        <v>2</v>
      </c>
      <c r="J403" s="30">
        <f t="shared" si="45"/>
        <v>34000</v>
      </c>
      <c r="K403" s="28">
        <v>1</v>
      </c>
      <c r="L403" s="30">
        <f t="shared" si="45"/>
        <v>17000</v>
      </c>
      <c r="M403" s="28">
        <v>3</v>
      </c>
      <c r="N403" s="30">
        <f t="shared" si="45"/>
        <v>51000</v>
      </c>
    </row>
    <row r="404" spans="1:14" ht="15" customHeight="1" x14ac:dyDescent="0.25">
      <c r="A404" s="26" t="s">
        <v>993</v>
      </c>
      <c r="B404" s="27"/>
      <c r="C404" s="27"/>
      <c r="D404" s="27" t="s">
        <v>302</v>
      </c>
      <c r="E404" s="27"/>
      <c r="F404" s="27"/>
      <c r="G404" s="28" t="s">
        <v>18</v>
      </c>
      <c r="H404" s="29">
        <v>7</v>
      </c>
      <c r="I404" s="28">
        <v>600</v>
      </c>
      <c r="J404" s="30">
        <f t="shared" si="45"/>
        <v>4200</v>
      </c>
      <c r="K404" s="28">
        <v>1300</v>
      </c>
      <c r="L404" s="30">
        <f t="shared" si="45"/>
        <v>9100</v>
      </c>
      <c r="M404" s="28">
        <v>1200</v>
      </c>
      <c r="N404" s="30">
        <f t="shared" si="45"/>
        <v>8400</v>
      </c>
    </row>
    <row r="405" spans="1:14" ht="15" customHeight="1" x14ac:dyDescent="0.25">
      <c r="A405" s="26" t="s">
        <v>994</v>
      </c>
      <c r="B405" s="27"/>
      <c r="C405" s="27"/>
      <c r="D405" s="27" t="s">
        <v>303</v>
      </c>
      <c r="E405" s="27"/>
      <c r="F405" s="27"/>
      <c r="G405" s="28"/>
      <c r="H405" s="29"/>
      <c r="I405" s="28"/>
      <c r="J405" s="30" t="str">
        <f t="shared" si="45"/>
        <v/>
      </c>
      <c r="K405" s="28"/>
      <c r="L405" s="30" t="str">
        <f t="shared" si="45"/>
        <v/>
      </c>
      <c r="M405" s="28"/>
      <c r="N405" s="30" t="str">
        <f t="shared" si="45"/>
        <v/>
      </c>
    </row>
    <row r="406" spans="1:14" ht="15" customHeight="1" collapsed="1" x14ac:dyDescent="0.25">
      <c r="A406" s="37" t="s">
        <v>995</v>
      </c>
      <c r="B406" s="33"/>
      <c r="C406" s="33"/>
      <c r="D406" s="33"/>
      <c r="E406" s="33" t="s">
        <v>304</v>
      </c>
      <c r="F406" s="33"/>
      <c r="G406" s="34" t="s">
        <v>27</v>
      </c>
      <c r="H406" s="38">
        <v>400</v>
      </c>
      <c r="I406" s="28">
        <v>10</v>
      </c>
      <c r="J406" s="39">
        <f t="shared" si="45"/>
        <v>4000</v>
      </c>
      <c r="K406" s="28">
        <v>18</v>
      </c>
      <c r="L406" s="39">
        <f t="shared" si="45"/>
        <v>7200</v>
      </c>
      <c r="M406" s="28">
        <v>15</v>
      </c>
      <c r="N406" s="39">
        <f t="shared" si="45"/>
        <v>6000</v>
      </c>
    </row>
    <row r="407" spans="1:14" ht="15" customHeight="1" x14ac:dyDescent="0.25">
      <c r="A407" s="37" t="s">
        <v>996</v>
      </c>
      <c r="B407" s="33"/>
      <c r="C407" s="33"/>
      <c r="D407" s="33"/>
      <c r="E407" s="33" t="s">
        <v>305</v>
      </c>
      <c r="F407" s="33"/>
      <c r="G407" s="34" t="s">
        <v>27</v>
      </c>
      <c r="H407" s="38">
        <v>620</v>
      </c>
      <c r="I407" s="28">
        <v>8</v>
      </c>
      <c r="J407" s="39">
        <f t="shared" si="45"/>
        <v>4960</v>
      </c>
      <c r="K407" s="28">
        <v>10</v>
      </c>
      <c r="L407" s="39">
        <f t="shared" si="45"/>
        <v>6200</v>
      </c>
      <c r="M407" s="28">
        <v>10</v>
      </c>
      <c r="N407" s="39">
        <f t="shared" si="45"/>
        <v>6200</v>
      </c>
    </row>
    <row r="408" spans="1:14" ht="15" customHeight="1" x14ac:dyDescent="0.25">
      <c r="A408" s="37" t="s">
        <v>997</v>
      </c>
      <c r="B408" s="33"/>
      <c r="C408" s="33"/>
      <c r="D408" s="33"/>
      <c r="E408" s="33" t="s">
        <v>306</v>
      </c>
      <c r="F408" s="33"/>
      <c r="G408" s="34" t="s">
        <v>27</v>
      </c>
      <c r="H408" s="38">
        <v>811</v>
      </c>
      <c r="I408" s="28">
        <v>8</v>
      </c>
      <c r="J408" s="39">
        <f t="shared" si="45"/>
        <v>6488</v>
      </c>
      <c r="K408" s="28">
        <v>6</v>
      </c>
      <c r="L408" s="39">
        <f t="shared" si="45"/>
        <v>4866</v>
      </c>
      <c r="M408" s="28">
        <v>10</v>
      </c>
      <c r="N408" s="39">
        <f t="shared" si="45"/>
        <v>8110</v>
      </c>
    </row>
    <row r="409" spans="1:14" ht="15" customHeight="1" x14ac:dyDescent="0.25">
      <c r="A409" s="37" t="s">
        <v>998</v>
      </c>
      <c r="B409" s="33"/>
      <c r="C409" s="33"/>
      <c r="D409" s="33"/>
      <c r="E409" s="33" t="s">
        <v>307</v>
      </c>
      <c r="F409" s="33"/>
      <c r="G409" s="34" t="s">
        <v>27</v>
      </c>
      <c r="H409" s="38">
        <v>1510</v>
      </c>
      <c r="I409" s="28">
        <v>8</v>
      </c>
      <c r="J409" s="39">
        <f t="shared" si="45"/>
        <v>12080</v>
      </c>
      <c r="K409" s="28">
        <v>10</v>
      </c>
      <c r="L409" s="39">
        <f t="shared" si="45"/>
        <v>15100</v>
      </c>
      <c r="M409" s="28">
        <v>8</v>
      </c>
      <c r="N409" s="39">
        <f t="shared" si="45"/>
        <v>12080</v>
      </c>
    </row>
    <row r="410" spans="1:14" ht="15" customHeight="1" x14ac:dyDescent="0.25">
      <c r="A410" s="37" t="s">
        <v>999</v>
      </c>
      <c r="B410" s="33"/>
      <c r="C410" s="33"/>
      <c r="D410" s="33"/>
      <c r="E410" s="33" t="s">
        <v>308</v>
      </c>
      <c r="F410" s="33"/>
      <c r="G410" s="34" t="s">
        <v>27</v>
      </c>
      <c r="H410" s="38">
        <v>4680</v>
      </c>
      <c r="I410" s="28">
        <v>3</v>
      </c>
      <c r="J410" s="39">
        <f t="shared" si="45"/>
        <v>14040</v>
      </c>
      <c r="K410" s="28">
        <v>5</v>
      </c>
      <c r="L410" s="39">
        <f t="shared" si="45"/>
        <v>23400</v>
      </c>
      <c r="M410" s="28">
        <v>10</v>
      </c>
      <c r="N410" s="39">
        <f t="shared" si="45"/>
        <v>46800</v>
      </c>
    </row>
    <row r="411" spans="1:14" ht="15" customHeight="1" x14ac:dyDescent="0.25">
      <c r="A411" s="37" t="s">
        <v>1000</v>
      </c>
      <c r="B411" s="33"/>
      <c r="C411" s="33"/>
      <c r="D411" s="33"/>
      <c r="E411" s="33" t="s">
        <v>309</v>
      </c>
      <c r="F411" s="33"/>
      <c r="G411" s="34" t="s">
        <v>27</v>
      </c>
      <c r="H411" s="38">
        <v>1800</v>
      </c>
      <c r="I411" s="28">
        <v>4</v>
      </c>
      <c r="J411" s="39">
        <f t="shared" si="45"/>
        <v>7200</v>
      </c>
      <c r="K411" s="28">
        <v>5</v>
      </c>
      <c r="L411" s="39">
        <f t="shared" si="45"/>
        <v>9000</v>
      </c>
      <c r="M411" s="28">
        <v>3</v>
      </c>
      <c r="N411" s="39">
        <f t="shared" si="45"/>
        <v>5400</v>
      </c>
    </row>
    <row r="412" spans="1:14" ht="15" customHeight="1" x14ac:dyDescent="0.25">
      <c r="A412" s="26" t="s">
        <v>1001</v>
      </c>
      <c r="B412" s="27"/>
      <c r="C412" s="27"/>
      <c r="D412" s="27" t="s">
        <v>310</v>
      </c>
      <c r="E412" s="27"/>
      <c r="F412" s="27"/>
      <c r="G412" s="28"/>
      <c r="H412" s="29"/>
      <c r="I412" s="28"/>
      <c r="J412" s="30" t="str">
        <f t="shared" si="45"/>
        <v/>
      </c>
      <c r="K412" s="28"/>
      <c r="L412" s="30" t="str">
        <f t="shared" si="45"/>
        <v/>
      </c>
      <c r="M412" s="28"/>
      <c r="N412" s="30" t="str">
        <f t="shared" si="45"/>
        <v/>
      </c>
    </row>
    <row r="413" spans="1:14" ht="15" customHeight="1" collapsed="1" x14ac:dyDescent="0.25">
      <c r="A413" s="37" t="s">
        <v>1002</v>
      </c>
      <c r="B413" s="33"/>
      <c r="C413" s="33"/>
      <c r="D413" s="33"/>
      <c r="E413" s="33" t="s">
        <v>555</v>
      </c>
      <c r="F413" s="33"/>
      <c r="G413" s="34" t="s">
        <v>27</v>
      </c>
      <c r="H413" s="38">
        <v>285</v>
      </c>
      <c r="I413" s="28">
        <v>30</v>
      </c>
      <c r="J413" s="39">
        <f t="shared" ref="J413:N430" si="46">IF($H413*I413=0,"",$H413*I413)</f>
        <v>8550</v>
      </c>
      <c r="K413" s="28">
        <v>35</v>
      </c>
      <c r="L413" s="39">
        <f t="shared" si="46"/>
        <v>9975</v>
      </c>
      <c r="M413" s="28">
        <v>25</v>
      </c>
      <c r="N413" s="39">
        <f t="shared" si="46"/>
        <v>7125</v>
      </c>
    </row>
    <row r="414" spans="1:14" ht="15" customHeight="1" x14ac:dyDescent="0.25">
      <c r="A414" s="37" t="s">
        <v>1003</v>
      </c>
      <c r="B414" s="33"/>
      <c r="C414" s="33"/>
      <c r="D414" s="33"/>
      <c r="E414" s="33" t="s">
        <v>556</v>
      </c>
      <c r="F414" s="33"/>
      <c r="G414" s="34" t="s">
        <v>27</v>
      </c>
      <c r="H414" s="38">
        <v>335</v>
      </c>
      <c r="I414" s="28">
        <v>30</v>
      </c>
      <c r="J414" s="39">
        <f t="shared" si="46"/>
        <v>10050</v>
      </c>
      <c r="K414" s="28">
        <v>45</v>
      </c>
      <c r="L414" s="39">
        <f t="shared" si="46"/>
        <v>15075</v>
      </c>
      <c r="M414" s="28">
        <v>50</v>
      </c>
      <c r="N414" s="39">
        <f t="shared" si="46"/>
        <v>16750</v>
      </c>
    </row>
    <row r="415" spans="1:14" ht="15" customHeight="1" x14ac:dyDescent="0.25">
      <c r="A415" s="37" t="s">
        <v>1004</v>
      </c>
      <c r="B415" s="33"/>
      <c r="C415" s="33"/>
      <c r="D415" s="33"/>
      <c r="E415" s="33" t="s">
        <v>557</v>
      </c>
      <c r="F415" s="33"/>
      <c r="G415" s="34" t="s">
        <v>27</v>
      </c>
      <c r="H415" s="38">
        <v>280</v>
      </c>
      <c r="I415" s="28">
        <v>25</v>
      </c>
      <c r="J415" s="39">
        <f t="shared" si="46"/>
        <v>7000</v>
      </c>
      <c r="K415" s="28">
        <v>20</v>
      </c>
      <c r="L415" s="39">
        <f t="shared" si="46"/>
        <v>5600</v>
      </c>
      <c r="M415" s="28">
        <v>15</v>
      </c>
      <c r="N415" s="39">
        <f t="shared" si="46"/>
        <v>4200</v>
      </c>
    </row>
    <row r="416" spans="1:14" ht="15" customHeight="1" x14ac:dyDescent="0.25">
      <c r="A416" s="37" t="s">
        <v>1005</v>
      </c>
      <c r="B416" s="33"/>
      <c r="C416" s="33"/>
      <c r="D416" s="33"/>
      <c r="E416" s="33" t="s">
        <v>558</v>
      </c>
      <c r="F416" s="33"/>
      <c r="G416" s="34" t="s">
        <v>27</v>
      </c>
      <c r="H416" s="38">
        <v>465</v>
      </c>
      <c r="I416" s="28">
        <v>10</v>
      </c>
      <c r="J416" s="39">
        <f t="shared" si="46"/>
        <v>4650</v>
      </c>
      <c r="K416" s="28">
        <v>15</v>
      </c>
      <c r="L416" s="39">
        <f t="shared" si="46"/>
        <v>6975</v>
      </c>
      <c r="M416" s="28">
        <v>20</v>
      </c>
      <c r="N416" s="39">
        <f t="shared" si="46"/>
        <v>9300</v>
      </c>
    </row>
    <row r="417" spans="1:14" ht="15" customHeight="1" x14ac:dyDescent="0.25">
      <c r="A417" s="37" t="s">
        <v>1006</v>
      </c>
      <c r="B417" s="33"/>
      <c r="C417" s="33"/>
      <c r="D417" s="33"/>
      <c r="E417" s="33" t="s">
        <v>559</v>
      </c>
      <c r="F417" s="33"/>
      <c r="G417" s="34" t="s">
        <v>27</v>
      </c>
      <c r="H417" s="38">
        <v>690</v>
      </c>
      <c r="I417" s="28">
        <v>5</v>
      </c>
      <c r="J417" s="39">
        <f t="shared" si="46"/>
        <v>3450</v>
      </c>
      <c r="K417" s="28">
        <v>7</v>
      </c>
      <c r="L417" s="39">
        <f t="shared" si="46"/>
        <v>4830</v>
      </c>
      <c r="M417" s="28">
        <v>5</v>
      </c>
      <c r="N417" s="39">
        <f t="shared" si="46"/>
        <v>3450</v>
      </c>
    </row>
    <row r="418" spans="1:14" ht="15" customHeight="1" x14ac:dyDescent="0.25">
      <c r="A418" s="37" t="s">
        <v>1007</v>
      </c>
      <c r="B418" s="33"/>
      <c r="C418" s="33"/>
      <c r="D418" s="33"/>
      <c r="E418" s="33" t="s">
        <v>560</v>
      </c>
      <c r="F418" s="33"/>
      <c r="G418" s="34" t="s">
        <v>27</v>
      </c>
      <c r="H418" s="38">
        <v>930</v>
      </c>
      <c r="I418" s="28">
        <v>2</v>
      </c>
      <c r="J418" s="39">
        <f t="shared" si="46"/>
        <v>1860</v>
      </c>
      <c r="K418" s="28">
        <v>5</v>
      </c>
      <c r="L418" s="39">
        <f t="shared" si="46"/>
        <v>4650</v>
      </c>
      <c r="M418" s="28">
        <v>5</v>
      </c>
      <c r="N418" s="39">
        <f t="shared" si="46"/>
        <v>4650</v>
      </c>
    </row>
    <row r="419" spans="1:14" ht="15" customHeight="1" x14ac:dyDescent="0.25">
      <c r="A419" s="37" t="s">
        <v>1008</v>
      </c>
      <c r="B419" s="33"/>
      <c r="C419" s="33"/>
      <c r="D419" s="33"/>
      <c r="E419" s="33" t="s">
        <v>561</v>
      </c>
      <c r="F419" s="33"/>
      <c r="G419" s="34" t="s">
        <v>27</v>
      </c>
      <c r="H419" s="38">
        <v>1800</v>
      </c>
      <c r="I419" s="28">
        <v>2</v>
      </c>
      <c r="J419" s="39">
        <f t="shared" si="46"/>
        <v>3600</v>
      </c>
      <c r="K419" s="28">
        <v>5</v>
      </c>
      <c r="L419" s="39">
        <f t="shared" si="46"/>
        <v>9000</v>
      </c>
      <c r="M419" s="28">
        <v>5</v>
      </c>
      <c r="N419" s="39">
        <f t="shared" si="46"/>
        <v>9000</v>
      </c>
    </row>
    <row r="420" spans="1:14" ht="15" customHeight="1" x14ac:dyDescent="0.25">
      <c r="A420" s="37" t="s">
        <v>1009</v>
      </c>
      <c r="B420" s="33"/>
      <c r="C420" s="33"/>
      <c r="D420" s="33"/>
      <c r="E420" s="47" t="s">
        <v>311</v>
      </c>
      <c r="F420" s="33"/>
      <c r="G420" s="34" t="s">
        <v>27</v>
      </c>
      <c r="H420" s="38">
        <v>125</v>
      </c>
      <c r="I420" s="28">
        <v>10</v>
      </c>
      <c r="J420" s="39">
        <f t="shared" si="46"/>
        <v>1250</v>
      </c>
      <c r="K420" s="28">
        <v>25</v>
      </c>
      <c r="L420" s="39">
        <f t="shared" si="46"/>
        <v>3125</v>
      </c>
      <c r="M420" s="28">
        <v>20</v>
      </c>
      <c r="N420" s="39">
        <f t="shared" si="46"/>
        <v>2500</v>
      </c>
    </row>
    <row r="421" spans="1:14" ht="15" customHeight="1" x14ac:dyDescent="0.25">
      <c r="A421" s="37" t="s">
        <v>1010</v>
      </c>
      <c r="B421" s="33"/>
      <c r="C421" s="33"/>
      <c r="D421" s="33"/>
      <c r="E421" s="47" t="s">
        <v>312</v>
      </c>
      <c r="F421" s="33"/>
      <c r="G421" s="34" t="s">
        <v>27</v>
      </c>
      <c r="H421" s="38">
        <v>160</v>
      </c>
      <c r="I421" s="28">
        <v>15</v>
      </c>
      <c r="J421" s="39">
        <f t="shared" si="46"/>
        <v>2400</v>
      </c>
      <c r="K421" s="28">
        <v>20</v>
      </c>
      <c r="L421" s="39">
        <f t="shared" si="46"/>
        <v>3200</v>
      </c>
      <c r="M421" s="28">
        <v>20</v>
      </c>
      <c r="N421" s="39">
        <f t="shared" si="46"/>
        <v>3200</v>
      </c>
    </row>
    <row r="422" spans="1:14" ht="15" customHeight="1" x14ac:dyDescent="0.25">
      <c r="A422" s="37" t="s">
        <v>1011</v>
      </c>
      <c r="B422" s="33"/>
      <c r="C422" s="33"/>
      <c r="D422" s="33"/>
      <c r="E422" s="47" t="s">
        <v>313</v>
      </c>
      <c r="F422" s="33"/>
      <c r="G422" s="34" t="s">
        <v>27</v>
      </c>
      <c r="H422" s="38">
        <v>205</v>
      </c>
      <c r="I422" s="28">
        <v>2</v>
      </c>
      <c r="J422" s="39">
        <f t="shared" si="46"/>
        <v>410</v>
      </c>
      <c r="K422" s="28">
        <v>15</v>
      </c>
      <c r="L422" s="39">
        <f t="shared" si="46"/>
        <v>3075</v>
      </c>
      <c r="M422" s="28">
        <v>25</v>
      </c>
      <c r="N422" s="39">
        <f t="shared" si="46"/>
        <v>5125</v>
      </c>
    </row>
    <row r="423" spans="1:14" ht="15" customHeight="1" x14ac:dyDescent="0.25">
      <c r="A423" s="37" t="s">
        <v>1012</v>
      </c>
      <c r="B423" s="33"/>
      <c r="C423" s="33"/>
      <c r="D423" s="33"/>
      <c r="E423" s="47" t="s">
        <v>314</v>
      </c>
      <c r="F423" s="33"/>
      <c r="G423" s="34" t="s">
        <v>27</v>
      </c>
      <c r="H423" s="38">
        <v>265</v>
      </c>
      <c r="I423" s="28">
        <v>1</v>
      </c>
      <c r="J423" s="39">
        <f t="shared" si="46"/>
        <v>265</v>
      </c>
      <c r="K423" s="28">
        <v>10</v>
      </c>
      <c r="L423" s="39">
        <f t="shared" si="46"/>
        <v>2650</v>
      </c>
      <c r="M423" s="28">
        <v>5</v>
      </c>
      <c r="N423" s="39">
        <f t="shared" si="46"/>
        <v>1325</v>
      </c>
    </row>
    <row r="424" spans="1:14" ht="15" customHeight="1" x14ac:dyDescent="0.25">
      <c r="A424" s="37" t="s">
        <v>1013</v>
      </c>
      <c r="B424" s="33"/>
      <c r="C424" s="33"/>
      <c r="D424" s="33"/>
      <c r="E424" s="47" t="s">
        <v>315</v>
      </c>
      <c r="F424" s="33"/>
      <c r="G424" s="34" t="s">
        <v>27</v>
      </c>
      <c r="H424" s="38">
        <v>430</v>
      </c>
      <c r="I424" s="28">
        <v>4</v>
      </c>
      <c r="J424" s="39">
        <f t="shared" si="46"/>
        <v>1720</v>
      </c>
      <c r="K424" s="28">
        <v>5</v>
      </c>
      <c r="L424" s="39">
        <f t="shared" si="46"/>
        <v>2150</v>
      </c>
      <c r="M424" s="28">
        <v>3</v>
      </c>
      <c r="N424" s="39">
        <f t="shared" si="46"/>
        <v>1290</v>
      </c>
    </row>
    <row r="425" spans="1:14" ht="15" customHeight="1" x14ac:dyDescent="0.25">
      <c r="A425" s="37" t="s">
        <v>1014</v>
      </c>
      <c r="B425" s="33"/>
      <c r="C425" s="33"/>
      <c r="D425" s="33"/>
      <c r="E425" s="47" t="s">
        <v>316</v>
      </c>
      <c r="F425" s="33"/>
      <c r="G425" s="34" t="s">
        <v>27</v>
      </c>
      <c r="H425" s="38">
        <v>480</v>
      </c>
      <c r="I425" s="28">
        <v>5</v>
      </c>
      <c r="J425" s="39">
        <f t="shared" si="46"/>
        <v>2400</v>
      </c>
      <c r="K425" s="28">
        <v>2</v>
      </c>
      <c r="L425" s="39">
        <f t="shared" si="46"/>
        <v>960</v>
      </c>
      <c r="M425" s="28">
        <v>3</v>
      </c>
      <c r="N425" s="39">
        <f t="shared" si="46"/>
        <v>1440</v>
      </c>
    </row>
    <row r="426" spans="1:14" ht="15" customHeight="1" x14ac:dyDescent="0.25">
      <c r="A426" s="26" t="s">
        <v>1015</v>
      </c>
      <c r="B426" s="27"/>
      <c r="C426" s="27"/>
      <c r="D426" s="27" t="s">
        <v>317</v>
      </c>
      <c r="E426" s="27"/>
      <c r="F426" s="27"/>
      <c r="G426" s="28" t="s">
        <v>27</v>
      </c>
      <c r="H426" s="29">
        <v>125</v>
      </c>
      <c r="I426" s="28">
        <v>15</v>
      </c>
      <c r="J426" s="30">
        <f t="shared" si="46"/>
        <v>1875</v>
      </c>
      <c r="K426" s="28">
        <v>20</v>
      </c>
      <c r="L426" s="30">
        <f t="shared" si="46"/>
        <v>2500</v>
      </c>
      <c r="M426" s="28">
        <v>25</v>
      </c>
      <c r="N426" s="30">
        <f t="shared" si="46"/>
        <v>3125</v>
      </c>
    </row>
    <row r="427" spans="1:14" ht="15" customHeight="1" x14ac:dyDescent="0.25">
      <c r="A427" s="26" t="s">
        <v>1016</v>
      </c>
      <c r="B427" s="27"/>
      <c r="C427" s="27"/>
      <c r="D427" s="27" t="s">
        <v>564</v>
      </c>
      <c r="E427" s="27"/>
      <c r="F427" s="27"/>
      <c r="G427" s="28"/>
      <c r="H427" s="29"/>
      <c r="I427" s="28"/>
      <c r="J427" s="30" t="str">
        <f t="shared" si="46"/>
        <v/>
      </c>
      <c r="K427" s="28"/>
      <c r="L427" s="30" t="str">
        <f t="shared" si="46"/>
        <v/>
      </c>
      <c r="M427" s="28"/>
      <c r="N427" s="30" t="str">
        <f t="shared" si="46"/>
        <v/>
      </c>
    </row>
    <row r="428" spans="1:14" ht="15" customHeight="1" collapsed="1" x14ac:dyDescent="0.25">
      <c r="A428" s="37" t="s">
        <v>1017</v>
      </c>
      <c r="B428" s="33"/>
      <c r="C428" s="33"/>
      <c r="D428" s="33"/>
      <c r="E428" s="33" t="s">
        <v>563</v>
      </c>
      <c r="F428" s="33"/>
      <c r="G428" s="34" t="s">
        <v>27</v>
      </c>
      <c r="H428" s="38">
        <v>290</v>
      </c>
      <c r="I428" s="28">
        <v>25</v>
      </c>
      <c r="J428" s="39">
        <f t="shared" si="46"/>
        <v>7250</v>
      </c>
      <c r="K428" s="28">
        <v>35</v>
      </c>
      <c r="L428" s="39">
        <f t="shared" si="46"/>
        <v>10150</v>
      </c>
      <c r="M428" s="28">
        <v>30</v>
      </c>
      <c r="N428" s="39">
        <f t="shared" si="46"/>
        <v>8700</v>
      </c>
    </row>
    <row r="429" spans="1:14" ht="15" customHeight="1" x14ac:dyDescent="0.25">
      <c r="A429" s="37" t="s">
        <v>1018</v>
      </c>
      <c r="B429" s="33"/>
      <c r="C429" s="33"/>
      <c r="D429" s="33"/>
      <c r="E429" s="33" t="s">
        <v>562</v>
      </c>
      <c r="F429" s="33"/>
      <c r="G429" s="34" t="s">
        <v>27</v>
      </c>
      <c r="H429" s="38">
        <v>420</v>
      </c>
      <c r="I429" s="28">
        <v>15</v>
      </c>
      <c r="J429" s="39">
        <f t="shared" si="46"/>
        <v>6300</v>
      </c>
      <c r="K429" s="28">
        <v>15</v>
      </c>
      <c r="L429" s="39">
        <f t="shared" si="46"/>
        <v>6300</v>
      </c>
      <c r="M429" s="28">
        <v>12</v>
      </c>
      <c r="N429" s="39">
        <f t="shared" si="46"/>
        <v>5040</v>
      </c>
    </row>
    <row r="430" spans="1:14" ht="15" customHeight="1" x14ac:dyDescent="0.25">
      <c r="A430" s="37" t="s">
        <v>1019</v>
      </c>
      <c r="B430" s="33"/>
      <c r="C430" s="33"/>
      <c r="D430" s="33"/>
      <c r="E430" s="33" t="s">
        <v>318</v>
      </c>
      <c r="F430" s="33"/>
      <c r="G430" s="34" t="s">
        <v>27</v>
      </c>
      <c r="H430" s="38">
        <v>530</v>
      </c>
      <c r="I430" s="28">
        <v>15</v>
      </c>
      <c r="J430" s="39">
        <f t="shared" si="46"/>
        <v>7950</v>
      </c>
      <c r="K430" s="28">
        <v>25</v>
      </c>
      <c r="L430" s="39">
        <f t="shared" si="46"/>
        <v>13250</v>
      </c>
      <c r="M430" s="28">
        <v>20</v>
      </c>
      <c r="N430" s="39">
        <f t="shared" si="46"/>
        <v>10600</v>
      </c>
    </row>
    <row r="431" spans="1:14" ht="15" customHeight="1" collapsed="1" x14ac:dyDescent="0.25">
      <c r="A431" s="20" t="s">
        <v>1020</v>
      </c>
      <c r="B431" s="21"/>
      <c r="C431" s="22" t="s">
        <v>565</v>
      </c>
      <c r="D431" s="21"/>
      <c r="E431" s="21"/>
      <c r="F431" s="21"/>
      <c r="G431" s="23"/>
      <c r="H431" s="24"/>
      <c r="I431" s="23"/>
      <c r="J431" s="25" t="str">
        <f>IF($H431*I431=0,"",$H431*I431)</f>
        <v/>
      </c>
      <c r="K431" s="23"/>
      <c r="L431" s="25" t="str">
        <f>IF($H431*K431=0,"",$H431*K431)</f>
        <v/>
      </c>
      <c r="M431" s="23"/>
      <c r="N431" s="25" t="str">
        <f>IF($H431*M431=0,"",$H431*M431)</f>
        <v/>
      </c>
    </row>
    <row r="432" spans="1:14" ht="15" customHeight="1" collapsed="1" x14ac:dyDescent="0.25">
      <c r="A432" s="26" t="s">
        <v>1021</v>
      </c>
      <c r="B432" s="27"/>
      <c r="C432" s="27"/>
      <c r="D432" s="27" t="s">
        <v>319</v>
      </c>
      <c r="E432" s="27"/>
      <c r="F432" s="43"/>
      <c r="G432" s="28" t="s">
        <v>27</v>
      </c>
      <c r="H432" s="29">
        <v>40.799999999999997</v>
      </c>
      <c r="I432" s="28">
        <v>80</v>
      </c>
      <c r="J432" s="30">
        <f t="shared" ref="J432:N435" si="47">IF($H432*I432=0,"",$H432*I432)</f>
        <v>3264</v>
      </c>
      <c r="K432" s="28">
        <v>30</v>
      </c>
      <c r="L432" s="30">
        <f t="shared" si="47"/>
        <v>1224</v>
      </c>
      <c r="M432" s="28">
        <v>25</v>
      </c>
      <c r="N432" s="30">
        <f t="shared" si="47"/>
        <v>1019.9999999999999</v>
      </c>
    </row>
    <row r="433" spans="1:14" ht="15" customHeight="1" x14ac:dyDescent="0.25">
      <c r="A433" s="26" t="s">
        <v>1022</v>
      </c>
      <c r="B433" s="27"/>
      <c r="C433" s="27"/>
      <c r="D433" s="27" t="s">
        <v>320</v>
      </c>
      <c r="E433" s="27"/>
      <c r="F433" s="43"/>
      <c r="G433" s="28" t="s">
        <v>27</v>
      </c>
      <c r="H433" s="29">
        <v>204</v>
      </c>
      <c r="I433" s="28">
        <v>30</v>
      </c>
      <c r="J433" s="30">
        <f t="shared" si="47"/>
        <v>6120</v>
      </c>
      <c r="K433" s="28">
        <v>80</v>
      </c>
      <c r="L433" s="30">
        <f t="shared" si="47"/>
        <v>16320</v>
      </c>
      <c r="M433" s="28">
        <v>25</v>
      </c>
      <c r="N433" s="30">
        <f t="shared" si="47"/>
        <v>5100</v>
      </c>
    </row>
    <row r="434" spans="1:14" ht="15" customHeight="1" x14ac:dyDescent="0.25">
      <c r="A434" s="26" t="s">
        <v>1023</v>
      </c>
      <c r="B434" s="27"/>
      <c r="C434" s="27"/>
      <c r="D434" s="27" t="s">
        <v>321</v>
      </c>
      <c r="E434" s="27"/>
      <c r="F434" s="43"/>
      <c r="G434" s="28" t="s">
        <v>18</v>
      </c>
      <c r="H434" s="29">
        <v>20.399999999999999</v>
      </c>
      <c r="I434" s="28">
        <v>400</v>
      </c>
      <c r="J434" s="30">
        <f t="shared" si="47"/>
        <v>8159.9999999999991</v>
      </c>
      <c r="K434" s="28">
        <v>600</v>
      </c>
      <c r="L434" s="30">
        <f t="shared" si="47"/>
        <v>12240</v>
      </c>
      <c r="M434" s="28">
        <v>350</v>
      </c>
      <c r="N434" s="30">
        <f t="shared" si="47"/>
        <v>7139.9999999999991</v>
      </c>
    </row>
    <row r="435" spans="1:14" ht="15" customHeight="1" x14ac:dyDescent="0.25">
      <c r="A435" s="26" t="s">
        <v>1024</v>
      </c>
      <c r="B435" s="27"/>
      <c r="C435" s="27"/>
      <c r="D435" s="27" t="s">
        <v>322</v>
      </c>
      <c r="E435" s="27"/>
      <c r="F435" s="43"/>
      <c r="G435" s="28" t="s">
        <v>27</v>
      </c>
      <c r="H435" s="31">
        <v>204</v>
      </c>
      <c r="I435" s="28">
        <v>80</v>
      </c>
      <c r="J435" s="32">
        <f t="shared" si="47"/>
        <v>16320</v>
      </c>
      <c r="K435" s="28">
        <v>30</v>
      </c>
      <c r="L435" s="32">
        <f t="shared" si="47"/>
        <v>6120</v>
      </c>
      <c r="M435" s="28">
        <v>25</v>
      </c>
      <c r="N435" s="32">
        <f t="shared" si="47"/>
        <v>5100</v>
      </c>
    </row>
    <row r="436" spans="1:14" ht="15" customHeight="1" collapsed="1" x14ac:dyDescent="0.25">
      <c r="A436" s="20" t="s">
        <v>1025</v>
      </c>
      <c r="B436" s="21"/>
      <c r="C436" s="22" t="s">
        <v>323</v>
      </c>
      <c r="D436" s="21"/>
      <c r="E436" s="21"/>
      <c r="F436" s="21"/>
      <c r="G436" s="23"/>
      <c r="H436" s="24"/>
      <c r="I436" s="23"/>
      <c r="J436" s="25" t="str">
        <f>IF($H436*I436=0,"",$H436*I436)</f>
        <v/>
      </c>
      <c r="K436" s="23"/>
      <c r="L436" s="25" t="str">
        <f>IF($H436*K436=0,"",$H436*K436)</f>
        <v/>
      </c>
      <c r="M436" s="23"/>
      <c r="N436" s="25" t="str">
        <f>IF($H436*M436=0,"",$H436*M436)</f>
        <v/>
      </c>
    </row>
    <row r="437" spans="1:14" ht="15" customHeight="1" collapsed="1" x14ac:dyDescent="0.25">
      <c r="A437" s="26" t="s">
        <v>1026</v>
      </c>
      <c r="B437" s="27"/>
      <c r="C437" s="27"/>
      <c r="D437" s="27" t="s">
        <v>324</v>
      </c>
      <c r="E437" s="27"/>
      <c r="F437" s="43"/>
      <c r="G437" s="28" t="s">
        <v>27</v>
      </c>
      <c r="H437" s="29">
        <v>30.6</v>
      </c>
      <c r="I437" s="28">
        <v>20</v>
      </c>
      <c r="J437" s="30">
        <f t="shared" ref="J437:N442" si="48">IF($H437*I437=0,"",$H437*I437)</f>
        <v>612</v>
      </c>
      <c r="K437" s="28">
        <v>15</v>
      </c>
      <c r="L437" s="30">
        <f t="shared" si="48"/>
        <v>459</v>
      </c>
      <c r="M437" s="28">
        <v>18</v>
      </c>
      <c r="N437" s="30">
        <f t="shared" si="48"/>
        <v>550.80000000000007</v>
      </c>
    </row>
    <row r="438" spans="1:14" ht="15" customHeight="1" collapsed="1" x14ac:dyDescent="0.25">
      <c r="A438" s="26" t="s">
        <v>1027</v>
      </c>
      <c r="B438" s="27"/>
      <c r="C438" s="27"/>
      <c r="D438" s="27" t="s">
        <v>325</v>
      </c>
      <c r="E438" s="27"/>
      <c r="F438" s="43"/>
      <c r="G438" s="28" t="s">
        <v>27</v>
      </c>
      <c r="H438" s="29">
        <v>51</v>
      </c>
      <c r="I438" s="28">
        <v>20</v>
      </c>
      <c r="J438" s="30">
        <f t="shared" si="48"/>
        <v>1020</v>
      </c>
      <c r="K438" s="28">
        <v>15</v>
      </c>
      <c r="L438" s="30">
        <f t="shared" si="48"/>
        <v>765</v>
      </c>
      <c r="M438" s="28">
        <v>18</v>
      </c>
      <c r="N438" s="30">
        <f t="shared" si="48"/>
        <v>918</v>
      </c>
    </row>
    <row r="439" spans="1:14" ht="15" customHeight="1" x14ac:dyDescent="0.25">
      <c r="A439" s="26" t="s">
        <v>1028</v>
      </c>
      <c r="B439" s="27"/>
      <c r="C439" s="27"/>
      <c r="D439" s="27" t="s">
        <v>326</v>
      </c>
      <c r="E439" s="27"/>
      <c r="F439" s="43"/>
      <c r="G439" s="28" t="s">
        <v>27</v>
      </c>
      <c r="H439" s="29">
        <v>81.599999999999994</v>
      </c>
      <c r="I439" s="28">
        <v>20</v>
      </c>
      <c r="J439" s="30">
        <f t="shared" si="48"/>
        <v>1632</v>
      </c>
      <c r="K439" s="28">
        <v>15</v>
      </c>
      <c r="L439" s="30">
        <f t="shared" si="48"/>
        <v>1224</v>
      </c>
      <c r="M439" s="28">
        <v>18</v>
      </c>
      <c r="N439" s="30">
        <f t="shared" si="48"/>
        <v>1468.8</v>
      </c>
    </row>
    <row r="440" spans="1:14" ht="15" customHeight="1" x14ac:dyDescent="0.25">
      <c r="A440" s="26" t="s">
        <v>1029</v>
      </c>
      <c r="B440" s="27"/>
      <c r="C440" s="27"/>
      <c r="D440" s="27" t="s">
        <v>327</v>
      </c>
      <c r="E440" s="27"/>
      <c r="F440" s="43"/>
      <c r="G440" s="28" t="s">
        <v>18</v>
      </c>
      <c r="H440" s="29">
        <v>20.399999999999999</v>
      </c>
      <c r="I440" s="28">
        <v>400</v>
      </c>
      <c r="J440" s="30">
        <f t="shared" si="48"/>
        <v>8159.9999999999991</v>
      </c>
      <c r="K440" s="28">
        <v>300</v>
      </c>
      <c r="L440" s="30">
        <f t="shared" si="48"/>
        <v>6120</v>
      </c>
      <c r="M440" s="28">
        <v>360</v>
      </c>
      <c r="N440" s="30">
        <f t="shared" si="48"/>
        <v>7343.9999999999991</v>
      </c>
    </row>
    <row r="441" spans="1:14" ht="15" customHeight="1" x14ac:dyDescent="0.25">
      <c r="A441" s="26" t="s">
        <v>1030</v>
      </c>
      <c r="B441" s="27"/>
      <c r="C441" s="27"/>
      <c r="D441" s="27" t="s">
        <v>328</v>
      </c>
      <c r="E441" s="27"/>
      <c r="F441" s="43"/>
      <c r="G441" s="28" t="s">
        <v>27</v>
      </c>
      <c r="H441" s="29">
        <v>102</v>
      </c>
      <c r="I441" s="28">
        <v>20</v>
      </c>
      <c r="J441" s="30">
        <f t="shared" si="48"/>
        <v>2040</v>
      </c>
      <c r="K441" s="28">
        <v>50</v>
      </c>
      <c r="L441" s="30">
        <f t="shared" si="48"/>
        <v>5100</v>
      </c>
      <c r="M441" s="28">
        <v>18</v>
      </c>
      <c r="N441" s="30">
        <f t="shared" si="48"/>
        <v>1836</v>
      </c>
    </row>
    <row r="442" spans="1:14" ht="15" customHeight="1" x14ac:dyDescent="0.25">
      <c r="A442" s="26" t="s">
        <v>1031</v>
      </c>
      <c r="B442" s="27"/>
      <c r="C442" s="27"/>
      <c r="D442" s="27" t="s">
        <v>329</v>
      </c>
      <c r="E442" s="27"/>
      <c r="F442" s="43"/>
      <c r="G442" s="28" t="s">
        <v>27</v>
      </c>
      <c r="H442" s="29">
        <v>122.4</v>
      </c>
      <c r="I442" s="28">
        <v>40</v>
      </c>
      <c r="J442" s="30">
        <f t="shared" si="48"/>
        <v>4896</v>
      </c>
      <c r="K442" s="28">
        <v>15</v>
      </c>
      <c r="L442" s="30">
        <f t="shared" si="48"/>
        <v>1836</v>
      </c>
      <c r="M442" s="28">
        <v>18</v>
      </c>
      <c r="N442" s="30">
        <f t="shared" si="48"/>
        <v>2203.2000000000003</v>
      </c>
    </row>
    <row r="443" spans="1:14" ht="15" customHeight="1" collapsed="1" x14ac:dyDescent="0.25">
      <c r="A443" s="20" t="s">
        <v>1032</v>
      </c>
      <c r="B443" s="21"/>
      <c r="C443" s="22" t="s">
        <v>330</v>
      </c>
      <c r="D443" s="21"/>
      <c r="E443" s="21"/>
      <c r="F443" s="21"/>
      <c r="G443" s="23"/>
      <c r="H443" s="24"/>
      <c r="I443" s="23"/>
      <c r="J443" s="25" t="str">
        <f>IF($H443*I443=0,"",$H443*I443)</f>
        <v/>
      </c>
      <c r="K443" s="23"/>
      <c r="L443" s="25" t="str">
        <f>IF($H443*K443=0,"",$H443*K443)</f>
        <v/>
      </c>
      <c r="M443" s="23"/>
      <c r="N443" s="25" t="str">
        <f>IF($H443*M443=0,"",$H443*M443)</f>
        <v/>
      </c>
    </row>
    <row r="444" spans="1:14" ht="15" customHeight="1" collapsed="1" x14ac:dyDescent="0.25">
      <c r="A444" s="26" t="s">
        <v>1033</v>
      </c>
      <c r="B444" s="27"/>
      <c r="C444" s="27"/>
      <c r="D444" s="27" t="s">
        <v>319</v>
      </c>
      <c r="E444" s="27"/>
      <c r="F444" s="43"/>
      <c r="G444" s="28" t="s">
        <v>27</v>
      </c>
      <c r="H444" s="29">
        <v>40.799999999999997</v>
      </c>
      <c r="I444" s="28">
        <v>20</v>
      </c>
      <c r="J444" s="30">
        <f t="shared" ref="J444:N448" si="49">IF($H444*I444=0,"",$H444*I444)</f>
        <v>816</v>
      </c>
      <c r="K444" s="28">
        <v>25</v>
      </c>
      <c r="L444" s="30">
        <f t="shared" si="49"/>
        <v>1019.9999999999999</v>
      </c>
      <c r="M444" s="28">
        <v>25</v>
      </c>
      <c r="N444" s="30">
        <f t="shared" si="49"/>
        <v>1019.9999999999999</v>
      </c>
    </row>
    <row r="445" spans="1:14" ht="15" customHeight="1" collapsed="1" x14ac:dyDescent="0.25">
      <c r="A445" s="26" t="s">
        <v>1034</v>
      </c>
      <c r="B445" s="27"/>
      <c r="C445" s="27"/>
      <c r="D445" s="27" t="s">
        <v>325</v>
      </c>
      <c r="E445" s="27"/>
      <c r="F445" s="43"/>
      <c r="G445" s="28" t="s">
        <v>27</v>
      </c>
      <c r="H445" s="29">
        <v>51</v>
      </c>
      <c r="I445" s="28">
        <v>20</v>
      </c>
      <c r="J445" s="30">
        <f t="shared" si="49"/>
        <v>1020</v>
      </c>
      <c r="K445" s="28">
        <v>25</v>
      </c>
      <c r="L445" s="30">
        <f t="shared" si="49"/>
        <v>1275</v>
      </c>
      <c r="M445" s="28">
        <v>25</v>
      </c>
      <c r="N445" s="30">
        <f t="shared" si="49"/>
        <v>1275</v>
      </c>
    </row>
    <row r="446" spans="1:14" ht="15" customHeight="1" x14ac:dyDescent="0.25">
      <c r="A446" s="26" t="s">
        <v>1035</v>
      </c>
      <c r="B446" s="27"/>
      <c r="C446" s="27"/>
      <c r="D446" s="27" t="s">
        <v>331</v>
      </c>
      <c r="E446" s="27"/>
      <c r="F446" s="43"/>
      <c r="G446" s="28" t="s">
        <v>27</v>
      </c>
      <c r="H446" s="29">
        <v>173.4</v>
      </c>
      <c r="I446" s="28">
        <v>20</v>
      </c>
      <c r="J446" s="30">
        <f t="shared" si="49"/>
        <v>3468</v>
      </c>
      <c r="K446" s="28">
        <v>25</v>
      </c>
      <c r="L446" s="30">
        <f t="shared" si="49"/>
        <v>4335</v>
      </c>
      <c r="M446" s="28">
        <v>25</v>
      </c>
      <c r="N446" s="30">
        <f t="shared" si="49"/>
        <v>4335</v>
      </c>
    </row>
    <row r="447" spans="1:14" ht="15" customHeight="1" x14ac:dyDescent="0.25">
      <c r="A447" s="26" t="s">
        <v>1036</v>
      </c>
      <c r="B447" s="27"/>
      <c r="C447" s="27"/>
      <c r="D447" s="27" t="s">
        <v>321</v>
      </c>
      <c r="E447" s="27"/>
      <c r="F447" s="43"/>
      <c r="G447" s="28" t="s">
        <v>18</v>
      </c>
      <c r="H447" s="29">
        <v>20.399999999999999</v>
      </c>
      <c r="I447" s="28">
        <v>400</v>
      </c>
      <c r="J447" s="30">
        <f t="shared" si="49"/>
        <v>8159.9999999999991</v>
      </c>
      <c r="K447" s="28">
        <v>500</v>
      </c>
      <c r="L447" s="30">
        <f t="shared" si="49"/>
        <v>10200</v>
      </c>
      <c r="M447" s="28">
        <v>500</v>
      </c>
      <c r="N447" s="30">
        <f t="shared" si="49"/>
        <v>10200</v>
      </c>
    </row>
    <row r="448" spans="1:14" ht="15" customHeight="1" x14ac:dyDescent="0.25">
      <c r="A448" s="26" t="s">
        <v>1037</v>
      </c>
      <c r="B448" s="27"/>
      <c r="C448" s="27"/>
      <c r="D448" s="27" t="s">
        <v>329</v>
      </c>
      <c r="E448" s="27"/>
      <c r="F448" s="43"/>
      <c r="G448" s="28" t="s">
        <v>27</v>
      </c>
      <c r="H448" s="29">
        <v>122.4</v>
      </c>
      <c r="I448" s="28">
        <v>20</v>
      </c>
      <c r="J448" s="30">
        <f t="shared" si="49"/>
        <v>2448</v>
      </c>
      <c r="K448" s="28">
        <v>25</v>
      </c>
      <c r="L448" s="30">
        <f t="shared" si="49"/>
        <v>3060</v>
      </c>
      <c r="M448" s="28">
        <v>25</v>
      </c>
      <c r="N448" s="30">
        <f t="shared" si="49"/>
        <v>3060</v>
      </c>
    </row>
    <row r="449" spans="1:14" ht="15" customHeight="1" collapsed="1" x14ac:dyDescent="0.25">
      <c r="A449" s="20" t="s">
        <v>1038</v>
      </c>
      <c r="B449" s="21"/>
      <c r="C449" s="22" t="s">
        <v>332</v>
      </c>
      <c r="D449" s="21"/>
      <c r="E449" s="21"/>
      <c r="F449" s="21"/>
      <c r="G449" s="23"/>
      <c r="H449" s="24"/>
      <c r="I449" s="23"/>
      <c r="J449" s="25" t="str">
        <f>IF($H449*I449=0,"",$H449*I449)</f>
        <v/>
      </c>
      <c r="K449" s="23"/>
      <c r="L449" s="25" t="str">
        <f>IF($H449*K449=0,"",$H449*K449)</f>
        <v/>
      </c>
      <c r="M449" s="23"/>
      <c r="N449" s="25" t="str">
        <f>IF($H449*M449=0,"",$H449*M449)</f>
        <v/>
      </c>
    </row>
    <row r="450" spans="1:14" ht="15" customHeight="1" collapsed="1" x14ac:dyDescent="0.25">
      <c r="A450" s="26" t="s">
        <v>1039</v>
      </c>
      <c r="B450" s="27"/>
      <c r="C450" s="27"/>
      <c r="D450" s="27" t="s">
        <v>333</v>
      </c>
      <c r="E450" s="27"/>
      <c r="F450" s="43"/>
      <c r="G450" s="28" t="s">
        <v>27</v>
      </c>
      <c r="H450" s="29">
        <v>255</v>
      </c>
      <c r="I450" s="28">
        <v>25</v>
      </c>
      <c r="J450" s="30">
        <f t="shared" ref="J450:N454" si="50">IF($H450*I450=0,"",$H450*I450)</f>
        <v>6375</v>
      </c>
      <c r="K450" s="28">
        <v>20</v>
      </c>
      <c r="L450" s="30">
        <f t="shared" si="50"/>
        <v>5100</v>
      </c>
      <c r="M450" s="28">
        <v>23</v>
      </c>
      <c r="N450" s="30">
        <f t="shared" si="50"/>
        <v>5865</v>
      </c>
    </row>
    <row r="451" spans="1:14" ht="15" customHeight="1" x14ac:dyDescent="0.25">
      <c r="A451" s="26" t="s">
        <v>1040</v>
      </c>
      <c r="B451" s="27"/>
      <c r="C451" s="27"/>
      <c r="D451" s="27" t="s">
        <v>334</v>
      </c>
      <c r="E451" s="27"/>
      <c r="F451" s="43"/>
      <c r="G451" s="28" t="s">
        <v>27</v>
      </c>
      <c r="H451" s="29">
        <v>510</v>
      </c>
      <c r="I451" s="28">
        <v>25</v>
      </c>
      <c r="J451" s="30">
        <f t="shared" si="50"/>
        <v>12750</v>
      </c>
      <c r="K451" s="28">
        <v>20</v>
      </c>
      <c r="L451" s="30">
        <f t="shared" si="50"/>
        <v>10200</v>
      </c>
      <c r="M451" s="28">
        <v>23</v>
      </c>
      <c r="N451" s="30">
        <f t="shared" si="50"/>
        <v>11730</v>
      </c>
    </row>
    <row r="452" spans="1:14" ht="15" customHeight="1" x14ac:dyDescent="0.25">
      <c r="A452" s="26" t="s">
        <v>1041</v>
      </c>
      <c r="B452" s="27"/>
      <c r="C452" s="27"/>
      <c r="D452" s="27" t="s">
        <v>335</v>
      </c>
      <c r="E452" s="27"/>
      <c r="F452" s="43"/>
      <c r="G452" s="28" t="s">
        <v>27</v>
      </c>
      <c r="H452" s="29">
        <v>510</v>
      </c>
      <c r="I452" s="28">
        <v>25</v>
      </c>
      <c r="J452" s="30">
        <f t="shared" si="50"/>
        <v>12750</v>
      </c>
      <c r="K452" s="28">
        <v>20</v>
      </c>
      <c r="L452" s="30">
        <f t="shared" si="50"/>
        <v>10200</v>
      </c>
      <c r="M452" s="28">
        <v>23</v>
      </c>
      <c r="N452" s="30">
        <f t="shared" si="50"/>
        <v>11730</v>
      </c>
    </row>
    <row r="453" spans="1:14" ht="15" customHeight="1" x14ac:dyDescent="0.25">
      <c r="A453" s="26" t="s">
        <v>1042</v>
      </c>
      <c r="B453" s="27"/>
      <c r="C453" s="27"/>
      <c r="D453" s="27" t="s">
        <v>321</v>
      </c>
      <c r="E453" s="27"/>
      <c r="F453" s="43"/>
      <c r="G453" s="28" t="s">
        <v>18</v>
      </c>
      <c r="H453" s="29">
        <v>20.399999999999999</v>
      </c>
      <c r="I453" s="28">
        <v>500</v>
      </c>
      <c r="J453" s="30">
        <f t="shared" si="50"/>
        <v>10200</v>
      </c>
      <c r="K453" s="28">
        <v>400</v>
      </c>
      <c r="L453" s="30">
        <f t="shared" si="50"/>
        <v>8159.9999999999991</v>
      </c>
      <c r="M453" s="28">
        <v>460</v>
      </c>
      <c r="N453" s="30">
        <f t="shared" si="50"/>
        <v>9384</v>
      </c>
    </row>
    <row r="454" spans="1:14" ht="15" customHeight="1" x14ac:dyDescent="0.25">
      <c r="A454" s="26" t="s">
        <v>1043</v>
      </c>
      <c r="B454" s="27"/>
      <c r="C454" s="27"/>
      <c r="D454" s="27" t="s">
        <v>329</v>
      </c>
      <c r="E454" s="27"/>
      <c r="F454" s="43"/>
      <c r="G454" s="28" t="s">
        <v>27</v>
      </c>
      <c r="H454" s="29">
        <v>153</v>
      </c>
      <c r="I454" s="28">
        <v>25</v>
      </c>
      <c r="J454" s="30">
        <f t="shared" si="50"/>
        <v>3825</v>
      </c>
      <c r="K454" s="28">
        <v>20</v>
      </c>
      <c r="L454" s="30">
        <f t="shared" si="50"/>
        <v>3060</v>
      </c>
      <c r="M454" s="28">
        <v>23</v>
      </c>
      <c r="N454" s="30">
        <f t="shared" si="50"/>
        <v>3519</v>
      </c>
    </row>
    <row r="455" spans="1:14" ht="15" customHeight="1" x14ac:dyDescent="0.25">
      <c r="A455" s="14">
        <v>6</v>
      </c>
      <c r="B455" s="15" t="s">
        <v>336</v>
      </c>
      <c r="C455" s="15"/>
      <c r="D455" s="16"/>
      <c r="E455" s="44"/>
      <c r="F455" s="44"/>
      <c r="G455" s="16"/>
      <c r="H455" s="17"/>
      <c r="I455" s="16"/>
      <c r="J455" s="18">
        <f>SUM(J456:J597)</f>
        <v>2939030.9000000004</v>
      </c>
      <c r="K455" s="16"/>
      <c r="L455" s="18">
        <f>SUM(L456:L597)</f>
        <v>3023205.7</v>
      </c>
      <c r="M455" s="16"/>
      <c r="N455" s="18">
        <f>SUM(N456:N597)</f>
        <v>3630345.3</v>
      </c>
    </row>
    <row r="456" spans="1:14" ht="15" customHeight="1" x14ac:dyDescent="0.25">
      <c r="A456" s="20" t="s">
        <v>1044</v>
      </c>
      <c r="B456" s="21"/>
      <c r="C456" s="22" t="s">
        <v>337</v>
      </c>
      <c r="D456" s="21"/>
      <c r="E456" s="21"/>
      <c r="F456" s="21"/>
      <c r="G456" s="23"/>
      <c r="H456" s="24"/>
      <c r="I456" s="23"/>
      <c r="J456" s="25" t="str">
        <f t="shared" ref="J456:N490" si="51">IF($H456*I456=0,"",$H456*I456)</f>
        <v/>
      </c>
      <c r="K456" s="23"/>
      <c r="L456" s="25" t="str">
        <f t="shared" si="51"/>
        <v/>
      </c>
      <c r="M456" s="23"/>
      <c r="N456" s="25" t="str">
        <f t="shared" si="51"/>
        <v/>
      </c>
    </row>
    <row r="457" spans="1:14" ht="15" customHeight="1" collapsed="1" x14ac:dyDescent="0.25">
      <c r="A457" s="26" t="s">
        <v>1045</v>
      </c>
      <c r="B457" s="27"/>
      <c r="C457" s="27"/>
      <c r="D457" s="27" t="s">
        <v>338</v>
      </c>
      <c r="E457" s="27"/>
      <c r="F457" s="43"/>
      <c r="G457" s="28" t="s">
        <v>108</v>
      </c>
      <c r="H457" s="29">
        <v>175</v>
      </c>
      <c r="I457" s="28">
        <v>50</v>
      </c>
      <c r="J457" s="30">
        <f t="shared" si="51"/>
        <v>8750</v>
      </c>
      <c r="K457" s="28">
        <v>30</v>
      </c>
      <c r="L457" s="30">
        <f t="shared" si="51"/>
        <v>5250</v>
      </c>
      <c r="M457" s="28">
        <v>120</v>
      </c>
      <c r="N457" s="30">
        <f t="shared" si="51"/>
        <v>21000</v>
      </c>
    </row>
    <row r="458" spans="1:14" ht="15" customHeight="1" x14ac:dyDescent="0.25">
      <c r="A458" s="26" t="s">
        <v>1046</v>
      </c>
      <c r="B458" s="27"/>
      <c r="C458" s="27"/>
      <c r="D458" s="27" t="s">
        <v>339</v>
      </c>
      <c r="E458" s="27"/>
      <c r="F458" s="43"/>
      <c r="G458" s="28" t="s">
        <v>108</v>
      </c>
      <c r="H458" s="29">
        <v>182</v>
      </c>
      <c r="I458" s="28">
        <v>50</v>
      </c>
      <c r="J458" s="30">
        <f t="shared" si="51"/>
        <v>9100</v>
      </c>
      <c r="K458" s="28">
        <v>20</v>
      </c>
      <c r="L458" s="30">
        <f t="shared" si="51"/>
        <v>3640</v>
      </c>
      <c r="M458" s="28">
        <v>30</v>
      </c>
      <c r="N458" s="30">
        <f t="shared" si="51"/>
        <v>5460</v>
      </c>
    </row>
    <row r="459" spans="1:14" ht="15" customHeight="1" x14ac:dyDescent="0.25">
      <c r="A459" s="26" t="s">
        <v>1047</v>
      </c>
      <c r="B459" s="27"/>
      <c r="C459" s="27"/>
      <c r="D459" s="27" t="s">
        <v>340</v>
      </c>
      <c r="E459" s="27"/>
      <c r="F459" s="43"/>
      <c r="G459" s="28" t="s">
        <v>108</v>
      </c>
      <c r="H459" s="29">
        <v>189</v>
      </c>
      <c r="I459" s="28">
        <v>40</v>
      </c>
      <c r="J459" s="30">
        <f t="shared" si="51"/>
        <v>7560</v>
      </c>
      <c r="K459" s="28">
        <v>20</v>
      </c>
      <c r="L459" s="30">
        <f t="shared" si="51"/>
        <v>3780</v>
      </c>
      <c r="M459" s="28">
        <v>50</v>
      </c>
      <c r="N459" s="30">
        <f t="shared" si="51"/>
        <v>9450</v>
      </c>
    </row>
    <row r="460" spans="1:14" ht="15" customHeight="1" x14ac:dyDescent="0.25">
      <c r="A460" s="26" t="s">
        <v>1048</v>
      </c>
      <c r="B460" s="27"/>
      <c r="C460" s="27"/>
      <c r="D460" s="27" t="s">
        <v>341</v>
      </c>
      <c r="E460" s="27"/>
      <c r="F460" s="43"/>
      <c r="G460" s="28" t="s">
        <v>108</v>
      </c>
      <c r="H460" s="29">
        <v>199</v>
      </c>
      <c r="I460" s="28">
        <v>200</v>
      </c>
      <c r="J460" s="30">
        <f t="shared" si="51"/>
        <v>39800</v>
      </c>
      <c r="K460" s="28">
        <v>100</v>
      </c>
      <c r="L460" s="30">
        <f t="shared" si="51"/>
        <v>19900</v>
      </c>
      <c r="M460" s="28">
        <v>200</v>
      </c>
      <c r="N460" s="30">
        <f t="shared" si="51"/>
        <v>39800</v>
      </c>
    </row>
    <row r="461" spans="1:14" ht="15" customHeight="1" x14ac:dyDescent="0.25">
      <c r="A461" s="26" t="s">
        <v>1049</v>
      </c>
      <c r="B461" s="27"/>
      <c r="C461" s="27"/>
      <c r="D461" s="27" t="s">
        <v>342</v>
      </c>
      <c r="E461" s="27"/>
      <c r="F461" s="43"/>
      <c r="G461" s="28" t="s">
        <v>108</v>
      </c>
      <c r="H461" s="29">
        <v>215</v>
      </c>
      <c r="I461" s="28">
        <v>30</v>
      </c>
      <c r="J461" s="30">
        <f t="shared" si="51"/>
        <v>6450</v>
      </c>
      <c r="K461" s="28">
        <v>120</v>
      </c>
      <c r="L461" s="30">
        <f t="shared" si="51"/>
        <v>25800</v>
      </c>
      <c r="M461" s="28">
        <v>50</v>
      </c>
      <c r="N461" s="30">
        <f t="shared" si="51"/>
        <v>10750</v>
      </c>
    </row>
    <row r="462" spans="1:14" x14ac:dyDescent="0.25">
      <c r="A462" s="20" t="s">
        <v>1050</v>
      </c>
      <c r="B462" s="21"/>
      <c r="C462" s="22" t="s">
        <v>343</v>
      </c>
      <c r="D462" s="21"/>
      <c r="E462" s="21"/>
      <c r="F462" s="21"/>
      <c r="G462" s="23" t="s">
        <v>344</v>
      </c>
      <c r="H462" s="25">
        <v>4</v>
      </c>
      <c r="I462" s="23">
        <v>15000</v>
      </c>
      <c r="J462" s="25">
        <f t="shared" si="51"/>
        <v>60000</v>
      </c>
      <c r="K462" s="23">
        <v>30000</v>
      </c>
      <c r="L462" s="25">
        <f t="shared" si="51"/>
        <v>120000</v>
      </c>
      <c r="M462" s="23">
        <v>22000</v>
      </c>
      <c r="N462" s="25">
        <f t="shared" si="51"/>
        <v>88000</v>
      </c>
    </row>
    <row r="463" spans="1:14" x14ac:dyDescent="0.25">
      <c r="A463" s="20" t="s">
        <v>1051</v>
      </c>
      <c r="B463" s="21"/>
      <c r="C463" s="22" t="s">
        <v>345</v>
      </c>
      <c r="D463" s="21"/>
      <c r="E463" s="21"/>
      <c r="F463" s="21"/>
      <c r="G463" s="23" t="s">
        <v>23</v>
      </c>
      <c r="H463" s="25"/>
      <c r="I463" s="23">
        <v>2500</v>
      </c>
      <c r="J463" s="25" t="str">
        <f t="shared" si="51"/>
        <v/>
      </c>
      <c r="K463" s="23">
        <v>1200</v>
      </c>
      <c r="L463" s="25" t="str">
        <f t="shared" si="51"/>
        <v/>
      </c>
      <c r="M463" s="23">
        <v>3000</v>
      </c>
      <c r="N463" s="25" t="str">
        <f t="shared" si="51"/>
        <v/>
      </c>
    </row>
    <row r="464" spans="1:14" ht="15" customHeight="1" collapsed="1" x14ac:dyDescent="0.25">
      <c r="A464" s="26" t="s">
        <v>1288</v>
      </c>
      <c r="B464" s="27"/>
      <c r="C464" s="27"/>
      <c r="D464" s="27" t="s">
        <v>1286</v>
      </c>
      <c r="E464" s="27"/>
      <c r="F464" s="43"/>
      <c r="G464" s="28" t="s">
        <v>23</v>
      </c>
      <c r="H464" s="29">
        <v>41</v>
      </c>
      <c r="I464" s="28">
        <v>50</v>
      </c>
      <c r="J464" s="30">
        <f t="shared" ref="J464:J479" si="52">IF($H464*I464=0,"",$H464*I464)</f>
        <v>2050</v>
      </c>
      <c r="K464" s="28">
        <v>30</v>
      </c>
      <c r="L464" s="30">
        <f t="shared" ref="L464:L479" si="53">IF($H464*K464=0,"",$H464*K464)</f>
        <v>1230</v>
      </c>
      <c r="M464" s="28">
        <v>120</v>
      </c>
      <c r="N464" s="30">
        <f t="shared" ref="N464:N479" si="54">IF($H464*M464=0,"",$H464*M464)</f>
        <v>4920</v>
      </c>
    </row>
    <row r="465" spans="1:14" ht="15" customHeight="1" x14ac:dyDescent="0.25">
      <c r="A465" s="26" t="s">
        <v>1289</v>
      </c>
      <c r="B465" s="27"/>
      <c r="C465" s="27"/>
      <c r="D465" s="27" t="s">
        <v>1287</v>
      </c>
      <c r="E465" s="27"/>
      <c r="F465" s="43"/>
      <c r="G465" s="28" t="s">
        <v>23</v>
      </c>
      <c r="H465" s="29">
        <v>216.24</v>
      </c>
      <c r="I465" s="28">
        <v>50</v>
      </c>
      <c r="J465" s="30">
        <f t="shared" si="52"/>
        <v>10812</v>
      </c>
      <c r="K465" s="28">
        <v>20</v>
      </c>
      <c r="L465" s="30">
        <f t="shared" si="53"/>
        <v>4324.8</v>
      </c>
      <c r="M465" s="28">
        <v>30</v>
      </c>
      <c r="N465" s="30">
        <f t="shared" si="54"/>
        <v>6487.2000000000007</v>
      </c>
    </row>
    <row r="466" spans="1:14" x14ac:dyDescent="0.25">
      <c r="A466" s="20" t="s">
        <v>1052</v>
      </c>
      <c r="B466" s="21"/>
      <c r="C466" s="22" t="s">
        <v>1294</v>
      </c>
      <c r="D466" s="21"/>
      <c r="E466" s="21"/>
      <c r="F466" s="21"/>
      <c r="G466" s="23" t="s">
        <v>23</v>
      </c>
      <c r="H466" s="25"/>
      <c r="I466" s="23"/>
      <c r="J466" s="25"/>
      <c r="K466" s="23"/>
      <c r="L466" s="25"/>
      <c r="M466" s="23"/>
      <c r="N466" s="25" t="str">
        <f t="shared" si="54"/>
        <v/>
      </c>
    </row>
    <row r="467" spans="1:14" ht="15" customHeight="1" collapsed="1" x14ac:dyDescent="0.25">
      <c r="A467" s="26" t="s">
        <v>1290</v>
      </c>
      <c r="B467" s="27"/>
      <c r="C467" s="27"/>
      <c r="D467" s="27" t="s">
        <v>1302</v>
      </c>
      <c r="E467" s="27"/>
      <c r="F467" s="43"/>
      <c r="G467" s="28"/>
      <c r="H467" s="29"/>
      <c r="I467" s="28"/>
      <c r="J467" s="30"/>
      <c r="K467" s="28"/>
      <c r="L467" s="30"/>
      <c r="M467" s="28"/>
      <c r="N467" s="30" t="str">
        <f t="shared" si="54"/>
        <v/>
      </c>
    </row>
    <row r="468" spans="1:14" x14ac:dyDescent="0.25">
      <c r="A468" s="26" t="s">
        <v>1298</v>
      </c>
      <c r="B468" s="27"/>
      <c r="C468" s="27"/>
      <c r="D468" s="42"/>
      <c r="E468" s="27" t="s">
        <v>1303</v>
      </c>
      <c r="F468" s="27"/>
      <c r="G468" s="28" t="s">
        <v>23</v>
      </c>
      <c r="H468" s="29">
        <v>83</v>
      </c>
      <c r="I468" s="45">
        <v>30</v>
      </c>
      <c r="J468" s="29">
        <f t="shared" si="52"/>
        <v>2490</v>
      </c>
      <c r="K468" s="45">
        <v>100</v>
      </c>
      <c r="L468" s="29">
        <f t="shared" si="53"/>
        <v>8300</v>
      </c>
      <c r="M468" s="45">
        <v>90</v>
      </c>
      <c r="N468" s="29">
        <f t="shared" si="54"/>
        <v>7470</v>
      </c>
    </row>
    <row r="469" spans="1:14" x14ac:dyDescent="0.25">
      <c r="A469" s="26" t="s">
        <v>1299</v>
      </c>
      <c r="B469" s="27"/>
      <c r="C469" s="27"/>
      <c r="D469" s="42"/>
      <c r="E469" s="27" t="s">
        <v>1304</v>
      </c>
      <c r="F469" s="27"/>
      <c r="G469" s="28" t="s">
        <v>23</v>
      </c>
      <c r="H469" s="29">
        <v>90</v>
      </c>
      <c r="I469" s="45">
        <v>1500</v>
      </c>
      <c r="J469" s="29">
        <f t="shared" si="52"/>
        <v>135000</v>
      </c>
      <c r="K469" s="45">
        <v>1200</v>
      </c>
      <c r="L469" s="29">
        <f t="shared" si="53"/>
        <v>108000</v>
      </c>
      <c r="M469" s="45">
        <v>4000</v>
      </c>
      <c r="N469" s="29">
        <f t="shared" si="54"/>
        <v>360000</v>
      </c>
    </row>
    <row r="470" spans="1:14" x14ac:dyDescent="0.25">
      <c r="A470" s="26" t="s">
        <v>1300</v>
      </c>
      <c r="B470" s="27"/>
      <c r="C470" s="27"/>
      <c r="D470" s="42"/>
      <c r="E470" s="27" t="s">
        <v>1305</v>
      </c>
      <c r="F470" s="27"/>
      <c r="G470" s="28" t="s">
        <v>23</v>
      </c>
      <c r="H470" s="29">
        <v>95</v>
      </c>
      <c r="I470" s="45">
        <v>500</v>
      </c>
      <c r="J470" s="29">
        <f t="shared" si="52"/>
        <v>47500</v>
      </c>
      <c r="K470" s="45">
        <v>200</v>
      </c>
      <c r="L470" s="29">
        <f t="shared" si="53"/>
        <v>19000</v>
      </c>
      <c r="M470" s="45">
        <v>150</v>
      </c>
      <c r="N470" s="29">
        <f t="shared" si="54"/>
        <v>14250</v>
      </c>
    </row>
    <row r="471" spans="1:14" x14ac:dyDescent="0.25">
      <c r="A471" s="26" t="s">
        <v>1301</v>
      </c>
      <c r="B471" s="27"/>
      <c r="C471" s="27"/>
      <c r="D471" s="42"/>
      <c r="E471" s="27" t="s">
        <v>1306</v>
      </c>
      <c r="F471" s="27"/>
      <c r="G471" s="28" t="s">
        <v>23</v>
      </c>
      <c r="H471" s="29">
        <v>102</v>
      </c>
      <c r="I471" s="45">
        <v>120</v>
      </c>
      <c r="J471" s="29">
        <f t="shared" si="52"/>
        <v>12240</v>
      </c>
      <c r="K471" s="45">
        <v>400</v>
      </c>
      <c r="L471" s="29">
        <f t="shared" si="53"/>
        <v>40800</v>
      </c>
      <c r="M471" s="45">
        <v>150</v>
      </c>
      <c r="N471" s="29">
        <f t="shared" si="54"/>
        <v>15300</v>
      </c>
    </row>
    <row r="472" spans="1:14" ht="15" customHeight="1" x14ac:dyDescent="0.25">
      <c r="A472" s="26" t="s">
        <v>1291</v>
      </c>
      <c r="B472" s="27"/>
      <c r="C472" s="27"/>
      <c r="D472" s="27" t="s">
        <v>1296</v>
      </c>
      <c r="E472" s="27"/>
      <c r="F472" s="43"/>
      <c r="G472" s="28"/>
      <c r="H472" s="29"/>
      <c r="I472" s="28"/>
      <c r="J472" s="30"/>
      <c r="K472" s="28"/>
      <c r="L472" s="30"/>
      <c r="M472" s="28"/>
      <c r="N472" s="30" t="str">
        <f t="shared" si="54"/>
        <v/>
      </c>
    </row>
    <row r="473" spans="1:14" x14ac:dyDescent="0.25">
      <c r="A473" s="26" t="s">
        <v>1309</v>
      </c>
      <c r="B473" s="27"/>
      <c r="C473" s="27"/>
      <c r="D473" s="42"/>
      <c r="E473" s="27" t="s">
        <v>1303</v>
      </c>
      <c r="F473" s="27"/>
      <c r="G473" s="28" t="s">
        <v>23</v>
      </c>
      <c r="H473" s="29">
        <v>165</v>
      </c>
      <c r="I473" s="45">
        <v>150</v>
      </c>
      <c r="J473" s="29">
        <f t="shared" ref="J473:J475" si="55">IF($H473*I473=0,"",$H473*I473)</f>
        <v>24750</v>
      </c>
      <c r="K473" s="45">
        <v>250</v>
      </c>
      <c r="L473" s="29">
        <f t="shared" ref="L473:L475" si="56">IF($H473*K473=0,"",$H473*K473)</f>
        <v>41250</v>
      </c>
      <c r="M473" s="45">
        <v>400</v>
      </c>
      <c r="N473" s="29">
        <f t="shared" ref="N473:N475" si="57">IF($H473*M473=0,"",$H473*M473)</f>
        <v>66000</v>
      </c>
    </row>
    <row r="474" spans="1:14" x14ac:dyDescent="0.25">
      <c r="A474" s="26" t="s">
        <v>1310</v>
      </c>
      <c r="B474" s="27"/>
      <c r="C474" s="27"/>
      <c r="D474" s="42"/>
      <c r="E474" s="27" t="s">
        <v>1304</v>
      </c>
      <c r="F474" s="27"/>
      <c r="G474" s="28" t="s">
        <v>23</v>
      </c>
      <c r="H474" s="29">
        <v>180</v>
      </c>
      <c r="I474" s="45">
        <v>400</v>
      </c>
      <c r="J474" s="29">
        <f t="shared" si="55"/>
        <v>72000</v>
      </c>
      <c r="K474" s="45">
        <v>1000</v>
      </c>
      <c r="L474" s="29">
        <f t="shared" si="56"/>
        <v>180000</v>
      </c>
      <c r="M474" s="45">
        <v>600</v>
      </c>
      <c r="N474" s="29">
        <f t="shared" si="57"/>
        <v>108000</v>
      </c>
    </row>
    <row r="475" spans="1:14" x14ac:dyDescent="0.25">
      <c r="A475" s="26" t="s">
        <v>1311</v>
      </c>
      <c r="B475" s="27"/>
      <c r="C475" s="27"/>
      <c r="D475" s="42"/>
      <c r="E475" s="27" t="s">
        <v>1307</v>
      </c>
      <c r="F475" s="27"/>
      <c r="G475" s="28" t="s">
        <v>23</v>
      </c>
      <c r="H475" s="29">
        <v>200</v>
      </c>
      <c r="I475" s="45">
        <v>150</v>
      </c>
      <c r="J475" s="29">
        <f t="shared" si="55"/>
        <v>30000</v>
      </c>
      <c r="K475" s="45">
        <v>200</v>
      </c>
      <c r="L475" s="29">
        <f t="shared" si="56"/>
        <v>40000</v>
      </c>
      <c r="M475" s="45">
        <v>100</v>
      </c>
      <c r="N475" s="29">
        <f t="shared" si="57"/>
        <v>20000</v>
      </c>
    </row>
    <row r="476" spans="1:14" ht="15" customHeight="1" x14ac:dyDescent="0.25">
      <c r="A476" s="26" t="s">
        <v>1292</v>
      </c>
      <c r="B476" s="27"/>
      <c r="C476" s="27"/>
      <c r="D476" s="27" t="s">
        <v>1297</v>
      </c>
      <c r="E476" s="27"/>
      <c r="F476" s="43"/>
      <c r="G476" s="28"/>
      <c r="H476" s="29"/>
      <c r="I476" s="28"/>
      <c r="J476" s="30"/>
      <c r="K476" s="28"/>
      <c r="L476" s="30"/>
      <c r="M476" s="28"/>
      <c r="N476" s="30"/>
    </row>
    <row r="477" spans="1:14" x14ac:dyDescent="0.25">
      <c r="A477" s="26" t="s">
        <v>1312</v>
      </c>
      <c r="B477" s="27"/>
      <c r="C477" s="27"/>
      <c r="D477" s="42"/>
      <c r="E477" s="27" t="s">
        <v>1306</v>
      </c>
      <c r="F477" s="27"/>
      <c r="G477" s="28" t="s">
        <v>18</v>
      </c>
      <c r="H477" s="29">
        <v>170</v>
      </c>
      <c r="I477" s="45">
        <v>120</v>
      </c>
      <c r="J477" s="29">
        <f t="shared" ref="J477:J478" si="58">IF($H477*I477=0,"",$H477*I477)</f>
        <v>20400</v>
      </c>
      <c r="K477" s="45">
        <v>50</v>
      </c>
      <c r="L477" s="29">
        <f t="shared" ref="L477:L478" si="59">IF($H477*K477=0,"",$H477*K477)</f>
        <v>8500</v>
      </c>
      <c r="M477" s="45">
        <v>70</v>
      </c>
      <c r="N477" s="29">
        <f t="shared" ref="N477:N478" si="60">IF($H477*M477=0,"",$H477*M477)</f>
        <v>11900</v>
      </c>
    </row>
    <row r="478" spans="1:14" x14ac:dyDescent="0.25">
      <c r="A478" s="26" t="s">
        <v>1313</v>
      </c>
      <c r="B478" s="27"/>
      <c r="C478" s="27"/>
      <c r="D478" s="42"/>
      <c r="E478" s="27" t="s">
        <v>1308</v>
      </c>
      <c r="F478" s="27"/>
      <c r="G478" s="28" t="s">
        <v>18</v>
      </c>
      <c r="H478" s="29">
        <v>190</v>
      </c>
      <c r="I478" s="45">
        <v>70</v>
      </c>
      <c r="J478" s="29">
        <f t="shared" si="58"/>
        <v>13300</v>
      </c>
      <c r="K478" s="45">
        <v>120</v>
      </c>
      <c r="L478" s="29">
        <f t="shared" si="59"/>
        <v>22800</v>
      </c>
      <c r="M478" s="45">
        <v>50</v>
      </c>
      <c r="N478" s="29">
        <f t="shared" si="60"/>
        <v>9500</v>
      </c>
    </row>
    <row r="479" spans="1:14" ht="15" customHeight="1" x14ac:dyDescent="0.25">
      <c r="A479" s="26" t="s">
        <v>1295</v>
      </c>
      <c r="B479" s="27"/>
      <c r="C479" s="27"/>
      <c r="D479" s="27" t="s">
        <v>1293</v>
      </c>
      <c r="E479" s="27"/>
      <c r="F479" s="43"/>
      <c r="G479" s="28" t="s">
        <v>18</v>
      </c>
      <c r="H479" s="29">
        <v>25</v>
      </c>
      <c r="I479" s="28">
        <v>1000</v>
      </c>
      <c r="J479" s="30">
        <f t="shared" si="52"/>
        <v>25000</v>
      </c>
      <c r="K479" s="28">
        <v>1500</v>
      </c>
      <c r="L479" s="30">
        <f t="shared" si="53"/>
        <v>37500</v>
      </c>
      <c r="M479" s="28">
        <v>3000</v>
      </c>
      <c r="N479" s="30">
        <f t="shared" si="54"/>
        <v>75000</v>
      </c>
    </row>
    <row r="480" spans="1:14" x14ac:dyDescent="0.25">
      <c r="A480" s="20" t="s">
        <v>1053</v>
      </c>
      <c r="B480" s="21"/>
      <c r="C480" s="22" t="s">
        <v>346</v>
      </c>
      <c r="D480" s="21"/>
      <c r="E480" s="21"/>
      <c r="F480" s="21"/>
      <c r="G480" s="23" t="s">
        <v>23</v>
      </c>
      <c r="H480" s="25">
        <v>400</v>
      </c>
      <c r="I480" s="23">
        <v>90</v>
      </c>
      <c r="J480" s="25">
        <f t="shared" si="51"/>
        <v>36000</v>
      </c>
      <c r="K480" s="23">
        <v>120</v>
      </c>
      <c r="L480" s="25">
        <f t="shared" si="51"/>
        <v>48000</v>
      </c>
      <c r="M480" s="23">
        <v>150</v>
      </c>
      <c r="N480" s="25">
        <f t="shared" si="51"/>
        <v>60000</v>
      </c>
    </row>
    <row r="481" spans="1:14" x14ac:dyDescent="0.25">
      <c r="A481" s="20" t="s">
        <v>1054</v>
      </c>
      <c r="B481" s="21"/>
      <c r="C481" s="22" t="s">
        <v>347</v>
      </c>
      <c r="D481" s="21"/>
      <c r="E481" s="21"/>
      <c r="F481" s="21"/>
      <c r="G481" s="23" t="s">
        <v>23</v>
      </c>
      <c r="H481" s="25">
        <v>65</v>
      </c>
      <c r="I481" s="23">
        <v>500</v>
      </c>
      <c r="J481" s="25">
        <f t="shared" si="51"/>
        <v>32500</v>
      </c>
      <c r="K481" s="23">
        <v>500</v>
      </c>
      <c r="L481" s="25">
        <f t="shared" si="51"/>
        <v>32500</v>
      </c>
      <c r="M481" s="23">
        <v>600</v>
      </c>
      <c r="N481" s="25">
        <f t="shared" si="51"/>
        <v>39000</v>
      </c>
    </row>
    <row r="482" spans="1:14" x14ac:dyDescent="0.25">
      <c r="A482" s="20" t="s">
        <v>1055</v>
      </c>
      <c r="B482" s="21"/>
      <c r="C482" s="22" t="s">
        <v>348</v>
      </c>
      <c r="D482" s="21"/>
      <c r="E482" s="21"/>
      <c r="F482" s="21"/>
      <c r="G482" s="23" t="s">
        <v>23</v>
      </c>
      <c r="H482" s="25">
        <v>55</v>
      </c>
      <c r="I482" s="23">
        <v>300</v>
      </c>
      <c r="J482" s="25">
        <f t="shared" si="51"/>
        <v>16500</v>
      </c>
      <c r="K482" s="23">
        <v>600</v>
      </c>
      <c r="L482" s="25">
        <f t="shared" si="51"/>
        <v>33000</v>
      </c>
      <c r="M482" s="23">
        <v>800</v>
      </c>
      <c r="N482" s="25">
        <f t="shared" si="51"/>
        <v>44000</v>
      </c>
    </row>
    <row r="483" spans="1:14" x14ac:dyDescent="0.25">
      <c r="A483" s="20" t="s">
        <v>1056</v>
      </c>
      <c r="B483" s="21"/>
      <c r="C483" s="22" t="s">
        <v>349</v>
      </c>
      <c r="D483" s="21"/>
      <c r="E483" s="21"/>
      <c r="F483" s="21"/>
      <c r="G483" s="23" t="s">
        <v>23</v>
      </c>
      <c r="H483" s="25">
        <v>21</v>
      </c>
      <c r="I483" s="23">
        <v>4500</v>
      </c>
      <c r="J483" s="25">
        <f t="shared" si="51"/>
        <v>94500</v>
      </c>
      <c r="K483" s="23">
        <v>6000</v>
      </c>
      <c r="L483" s="25">
        <f t="shared" si="51"/>
        <v>126000</v>
      </c>
      <c r="M483" s="23">
        <v>10000</v>
      </c>
      <c r="N483" s="25">
        <f t="shared" si="51"/>
        <v>210000</v>
      </c>
    </row>
    <row r="484" spans="1:14" x14ac:dyDescent="0.25">
      <c r="A484" s="20" t="s">
        <v>1057</v>
      </c>
      <c r="B484" s="21"/>
      <c r="C484" s="22" t="s">
        <v>350</v>
      </c>
      <c r="D484" s="21"/>
      <c r="E484" s="21"/>
      <c r="F484" s="21"/>
      <c r="G484" s="23" t="s">
        <v>18</v>
      </c>
      <c r="H484" s="25"/>
      <c r="I484" s="23"/>
      <c r="J484" s="25"/>
      <c r="K484" s="23"/>
      <c r="L484" s="25"/>
      <c r="M484" s="23"/>
      <c r="N484" s="25" t="str">
        <f t="shared" si="51"/>
        <v/>
      </c>
    </row>
    <row r="485" spans="1:14" ht="15" customHeight="1" collapsed="1" x14ac:dyDescent="0.25">
      <c r="A485" s="26" t="s">
        <v>1314</v>
      </c>
      <c r="B485" s="27"/>
      <c r="C485" s="27"/>
      <c r="D485" s="27" t="s">
        <v>1306</v>
      </c>
      <c r="E485" s="27"/>
      <c r="F485" s="43"/>
      <c r="G485" s="28" t="s">
        <v>18</v>
      </c>
      <c r="H485" s="29">
        <v>41</v>
      </c>
      <c r="I485" s="28">
        <v>1500</v>
      </c>
      <c r="J485" s="30">
        <f t="shared" ref="J485:J488" si="61">IF($H485*I485=0,"",$H485*I485)</f>
        <v>61500</v>
      </c>
      <c r="K485" s="28">
        <v>600</v>
      </c>
      <c r="L485" s="30">
        <f t="shared" ref="L485:L488" si="62">IF($H485*K485=0,"",$H485*K485)</f>
        <v>24600</v>
      </c>
      <c r="M485" s="28">
        <v>1000</v>
      </c>
      <c r="N485" s="30">
        <f t="shared" ref="N485:N488" si="63">IF($H485*M485=0,"",$H485*M485)</f>
        <v>41000</v>
      </c>
    </row>
    <row r="486" spans="1:14" ht="15" customHeight="1" x14ac:dyDescent="0.25">
      <c r="A486" s="26" t="s">
        <v>1315</v>
      </c>
      <c r="B486" s="27"/>
      <c r="C486" s="27"/>
      <c r="D486" s="27" t="s">
        <v>1308</v>
      </c>
      <c r="E486" s="27"/>
      <c r="F486" s="43"/>
      <c r="G486" s="28" t="s">
        <v>18</v>
      </c>
      <c r="H486" s="29">
        <v>56.1</v>
      </c>
      <c r="I486" s="28">
        <v>500</v>
      </c>
      <c r="J486" s="30">
        <f t="shared" si="61"/>
        <v>28050</v>
      </c>
      <c r="K486" s="28">
        <v>1200</v>
      </c>
      <c r="L486" s="30">
        <f t="shared" si="62"/>
        <v>67320</v>
      </c>
      <c r="M486" s="28">
        <v>1000</v>
      </c>
      <c r="N486" s="30">
        <f t="shared" si="63"/>
        <v>56100</v>
      </c>
    </row>
    <row r="487" spans="1:14" ht="15" customHeight="1" x14ac:dyDescent="0.25">
      <c r="A487" s="26" t="s">
        <v>1316</v>
      </c>
      <c r="B487" s="27"/>
      <c r="C487" s="27"/>
      <c r="D487" s="27" t="s">
        <v>1318</v>
      </c>
      <c r="E487" s="27"/>
      <c r="F487" s="43"/>
      <c r="G487" s="28" t="s">
        <v>27</v>
      </c>
      <c r="H487" s="29">
        <v>102</v>
      </c>
      <c r="I487" s="28">
        <v>60</v>
      </c>
      <c r="J487" s="30">
        <f t="shared" si="61"/>
        <v>6120</v>
      </c>
      <c r="K487" s="28">
        <v>25</v>
      </c>
      <c r="L487" s="30">
        <f t="shared" si="62"/>
        <v>2550</v>
      </c>
      <c r="M487" s="28">
        <v>35</v>
      </c>
      <c r="N487" s="30">
        <f t="shared" si="63"/>
        <v>3570</v>
      </c>
    </row>
    <row r="488" spans="1:14" ht="15" customHeight="1" x14ac:dyDescent="0.25">
      <c r="A488" s="26" t="s">
        <v>1317</v>
      </c>
      <c r="B488" s="27"/>
      <c r="C488" s="27"/>
      <c r="D488" s="27" t="s">
        <v>1319</v>
      </c>
      <c r="E488" s="27"/>
      <c r="F488" s="43"/>
      <c r="G488" s="28" t="s">
        <v>27</v>
      </c>
      <c r="H488" s="29">
        <v>133</v>
      </c>
      <c r="I488" s="28">
        <v>35</v>
      </c>
      <c r="J488" s="30">
        <f t="shared" si="61"/>
        <v>4655</v>
      </c>
      <c r="K488" s="28">
        <v>60</v>
      </c>
      <c r="L488" s="30">
        <f t="shared" si="62"/>
        <v>7980</v>
      </c>
      <c r="M488" s="28">
        <v>26</v>
      </c>
      <c r="N488" s="30">
        <f t="shared" si="63"/>
        <v>3458</v>
      </c>
    </row>
    <row r="489" spans="1:14" x14ac:dyDescent="0.25">
      <c r="A489" s="20" t="s">
        <v>1058</v>
      </c>
      <c r="B489" s="21"/>
      <c r="C489" s="22" t="s">
        <v>351</v>
      </c>
      <c r="D489" s="21"/>
      <c r="E489" s="21"/>
      <c r="F489" s="21"/>
      <c r="G489" s="23" t="s">
        <v>23</v>
      </c>
      <c r="H489" s="25">
        <v>21</v>
      </c>
      <c r="I489" s="23">
        <v>700</v>
      </c>
      <c r="J489" s="25">
        <f t="shared" si="51"/>
        <v>14700</v>
      </c>
      <c r="K489" s="23">
        <v>400</v>
      </c>
      <c r="L489" s="25">
        <f t="shared" si="51"/>
        <v>8400</v>
      </c>
      <c r="M489" s="23">
        <v>600</v>
      </c>
      <c r="N489" s="25">
        <f t="shared" si="51"/>
        <v>12600</v>
      </c>
    </row>
    <row r="490" spans="1:14" collapsed="1" x14ac:dyDescent="0.25">
      <c r="A490" s="20" t="s">
        <v>1059</v>
      </c>
      <c r="B490" s="21"/>
      <c r="C490" s="22" t="s">
        <v>352</v>
      </c>
      <c r="D490" s="21"/>
      <c r="E490" s="21"/>
      <c r="F490" s="21"/>
      <c r="G490" s="23" t="s">
        <v>23</v>
      </c>
      <c r="H490" s="25">
        <v>151</v>
      </c>
      <c r="I490" s="23">
        <v>150</v>
      </c>
      <c r="J490" s="25">
        <f t="shared" si="51"/>
        <v>22650</v>
      </c>
      <c r="K490" s="23">
        <v>350</v>
      </c>
      <c r="L490" s="25">
        <f t="shared" si="51"/>
        <v>52850</v>
      </c>
      <c r="M490" s="23">
        <v>300</v>
      </c>
      <c r="N490" s="25">
        <f t="shared" si="51"/>
        <v>45300</v>
      </c>
    </row>
    <row r="491" spans="1:14" collapsed="1" x14ac:dyDescent="0.25">
      <c r="A491" s="20" t="s">
        <v>1060</v>
      </c>
      <c r="B491" s="21"/>
      <c r="C491" s="22" t="s">
        <v>353</v>
      </c>
      <c r="D491" s="21"/>
      <c r="E491" s="21"/>
      <c r="F491" s="21"/>
      <c r="G491" s="23" t="s">
        <v>27</v>
      </c>
      <c r="H491" s="25">
        <v>306</v>
      </c>
      <c r="I491" s="23">
        <v>25</v>
      </c>
      <c r="J491" s="25">
        <f t="shared" ref="J491:N491" si="64">IF($H491*I491=0,"",$H491*I491)</f>
        <v>7650</v>
      </c>
      <c r="K491" s="23">
        <v>20</v>
      </c>
      <c r="L491" s="25">
        <f t="shared" si="64"/>
        <v>6120</v>
      </c>
      <c r="M491" s="23">
        <v>15</v>
      </c>
      <c r="N491" s="25">
        <f t="shared" si="64"/>
        <v>4590</v>
      </c>
    </row>
    <row r="492" spans="1:14" x14ac:dyDescent="0.25">
      <c r="A492" s="20" t="s">
        <v>1061</v>
      </c>
      <c r="B492" s="21"/>
      <c r="C492" s="22" t="s">
        <v>566</v>
      </c>
      <c r="D492" s="21"/>
      <c r="E492" s="21"/>
      <c r="F492" s="21"/>
      <c r="G492" s="23"/>
      <c r="H492" s="24"/>
      <c r="I492" s="23"/>
      <c r="J492" s="25" t="str">
        <f t="shared" ref="J492:N597" si="65">IF($H492*I492=0,"",$H492*I492)</f>
        <v/>
      </c>
      <c r="K492" s="23"/>
      <c r="L492" s="25" t="str">
        <f t="shared" si="65"/>
        <v/>
      </c>
      <c r="M492" s="23"/>
      <c r="N492" s="25" t="str">
        <f t="shared" si="65"/>
        <v/>
      </c>
    </row>
    <row r="493" spans="1:14" x14ac:dyDescent="0.25">
      <c r="A493" s="26" t="s">
        <v>1062</v>
      </c>
      <c r="B493" s="27"/>
      <c r="C493" s="27"/>
      <c r="D493" s="27" t="s">
        <v>100</v>
      </c>
      <c r="E493" s="27"/>
      <c r="F493" s="27"/>
      <c r="G493" s="28" t="s">
        <v>18</v>
      </c>
      <c r="H493" s="29">
        <v>58.65</v>
      </c>
      <c r="I493" s="28">
        <v>50</v>
      </c>
      <c r="J493" s="30">
        <f t="shared" si="65"/>
        <v>2932.5</v>
      </c>
      <c r="K493" s="28">
        <v>20</v>
      </c>
      <c r="L493" s="30">
        <f t="shared" si="65"/>
        <v>1173</v>
      </c>
      <c r="M493" s="28">
        <v>30</v>
      </c>
      <c r="N493" s="30">
        <f t="shared" si="65"/>
        <v>1759.5</v>
      </c>
    </row>
    <row r="494" spans="1:14" x14ac:dyDescent="0.25">
      <c r="A494" s="26" t="s">
        <v>1063</v>
      </c>
      <c r="B494" s="27"/>
      <c r="C494" s="27"/>
      <c r="D494" s="42" t="s">
        <v>102</v>
      </c>
      <c r="E494" s="27"/>
      <c r="F494" s="27"/>
      <c r="G494" s="28" t="s">
        <v>18</v>
      </c>
      <c r="H494" s="29">
        <v>68.849999999999994</v>
      </c>
      <c r="I494" s="28">
        <v>30</v>
      </c>
      <c r="J494" s="30">
        <f t="shared" si="65"/>
        <v>2065.5</v>
      </c>
      <c r="K494" s="28">
        <v>20</v>
      </c>
      <c r="L494" s="30">
        <f t="shared" si="65"/>
        <v>1377</v>
      </c>
      <c r="M494" s="28">
        <v>30</v>
      </c>
      <c r="N494" s="30">
        <f t="shared" si="65"/>
        <v>2065.5</v>
      </c>
    </row>
    <row r="495" spans="1:14" x14ac:dyDescent="0.25">
      <c r="A495" s="26" t="s">
        <v>1064</v>
      </c>
      <c r="B495" s="27"/>
      <c r="C495" s="27"/>
      <c r="D495" s="42" t="s">
        <v>354</v>
      </c>
      <c r="E495" s="27"/>
      <c r="F495" s="27"/>
      <c r="G495" s="28" t="s">
        <v>18</v>
      </c>
      <c r="H495" s="29">
        <v>122.4</v>
      </c>
      <c r="I495" s="28">
        <v>50</v>
      </c>
      <c r="J495" s="30">
        <f t="shared" si="65"/>
        <v>6120</v>
      </c>
      <c r="K495" s="28">
        <v>60</v>
      </c>
      <c r="L495" s="30">
        <f t="shared" si="65"/>
        <v>7344</v>
      </c>
      <c r="M495" s="28">
        <v>40</v>
      </c>
      <c r="N495" s="30">
        <f t="shared" si="65"/>
        <v>4896</v>
      </c>
    </row>
    <row r="496" spans="1:14" x14ac:dyDescent="0.25">
      <c r="A496" s="26" t="s">
        <v>1065</v>
      </c>
      <c r="B496" s="27"/>
      <c r="C496" s="27"/>
      <c r="D496" s="27" t="s">
        <v>104</v>
      </c>
      <c r="E496" s="27"/>
      <c r="F496" s="27"/>
      <c r="G496" s="28" t="s">
        <v>27</v>
      </c>
      <c r="H496" s="29">
        <v>102</v>
      </c>
      <c r="I496" s="28">
        <v>60</v>
      </c>
      <c r="J496" s="30">
        <f t="shared" si="65"/>
        <v>6120</v>
      </c>
      <c r="K496" s="28">
        <v>60</v>
      </c>
      <c r="L496" s="30">
        <f t="shared" si="65"/>
        <v>6120</v>
      </c>
      <c r="M496" s="28">
        <v>60</v>
      </c>
      <c r="N496" s="30">
        <f t="shared" si="65"/>
        <v>6120</v>
      </c>
    </row>
    <row r="497" spans="1:14" x14ac:dyDescent="0.25">
      <c r="A497" s="26" t="s">
        <v>1066</v>
      </c>
      <c r="B497" s="27"/>
      <c r="C497" s="27"/>
      <c r="D497" s="27" t="s">
        <v>95</v>
      </c>
      <c r="E497" s="27"/>
      <c r="F497" s="27"/>
      <c r="G497" s="28" t="s">
        <v>27</v>
      </c>
      <c r="H497" s="29">
        <v>85.68</v>
      </c>
      <c r="I497" s="28">
        <v>10</v>
      </c>
      <c r="J497" s="30">
        <f t="shared" ref="J497:J498" si="66">IF($H497*I497=0,"",$H497*I497)</f>
        <v>856.80000000000007</v>
      </c>
      <c r="K497" s="28">
        <v>20</v>
      </c>
      <c r="L497" s="30">
        <f t="shared" ref="L497:N498" si="67">IF($H497*K497=0,"",$H497*K497)</f>
        <v>1713.6000000000001</v>
      </c>
      <c r="M497" s="28">
        <v>15</v>
      </c>
      <c r="N497" s="30">
        <f t="shared" si="67"/>
        <v>1285.2</v>
      </c>
    </row>
    <row r="498" spans="1:14" x14ac:dyDescent="0.25">
      <c r="A498" s="26" t="s">
        <v>1067</v>
      </c>
      <c r="B498" s="27"/>
      <c r="C498" s="27"/>
      <c r="D498" s="27" t="s">
        <v>543</v>
      </c>
      <c r="E498" s="27"/>
      <c r="F498" s="27"/>
      <c r="G498" s="28" t="s">
        <v>27</v>
      </c>
      <c r="H498" s="29">
        <v>102</v>
      </c>
      <c r="I498" s="28">
        <v>10</v>
      </c>
      <c r="J498" s="30">
        <f t="shared" si="66"/>
        <v>1020</v>
      </c>
      <c r="K498" s="28">
        <v>60</v>
      </c>
      <c r="L498" s="30">
        <f t="shared" si="67"/>
        <v>6120</v>
      </c>
      <c r="M498" s="28">
        <v>60</v>
      </c>
      <c r="N498" s="30">
        <f t="shared" si="67"/>
        <v>6120</v>
      </c>
    </row>
    <row r="499" spans="1:14" x14ac:dyDescent="0.25">
      <c r="A499" s="26" t="s">
        <v>1068</v>
      </c>
      <c r="B499" s="27"/>
      <c r="C499" s="27"/>
      <c r="D499" s="27" t="s">
        <v>94</v>
      </c>
      <c r="E499" s="27"/>
      <c r="F499" s="27"/>
      <c r="G499" s="28" t="s">
        <v>27</v>
      </c>
      <c r="H499" s="29">
        <v>102</v>
      </c>
      <c r="I499" s="28">
        <v>20</v>
      </c>
      <c r="J499" s="30">
        <f t="shared" ref="J499" si="68">IF($H499*I499=0,"",$H499*I499)</f>
        <v>2040</v>
      </c>
      <c r="K499" s="28">
        <v>15</v>
      </c>
      <c r="L499" s="30">
        <f t="shared" ref="L499:N499" si="69">IF($H499*K499=0,"",$H499*K499)</f>
        <v>1530</v>
      </c>
      <c r="M499" s="28">
        <v>30</v>
      </c>
      <c r="N499" s="30">
        <f t="shared" si="69"/>
        <v>3060</v>
      </c>
    </row>
    <row r="500" spans="1:14" x14ac:dyDescent="0.25">
      <c r="A500" s="26" t="s">
        <v>1069</v>
      </c>
      <c r="B500" s="27"/>
      <c r="C500" s="27"/>
      <c r="D500" s="27" t="s">
        <v>105</v>
      </c>
      <c r="E500" s="27"/>
      <c r="F500" s="27"/>
      <c r="G500" s="28" t="s">
        <v>27</v>
      </c>
      <c r="H500" s="29">
        <v>1249.5</v>
      </c>
      <c r="I500" s="28">
        <v>5</v>
      </c>
      <c r="J500" s="30">
        <f t="shared" si="65"/>
        <v>6247.5</v>
      </c>
      <c r="K500" s="28">
        <v>5</v>
      </c>
      <c r="L500" s="30">
        <f t="shared" si="65"/>
        <v>6247.5</v>
      </c>
      <c r="M500" s="28">
        <v>5</v>
      </c>
      <c r="N500" s="30">
        <f t="shared" si="65"/>
        <v>6247.5</v>
      </c>
    </row>
    <row r="501" spans="1:14" x14ac:dyDescent="0.25">
      <c r="A501" s="26" t="s">
        <v>1070</v>
      </c>
      <c r="B501" s="27"/>
      <c r="C501" s="27"/>
      <c r="D501" s="27" t="s">
        <v>507</v>
      </c>
      <c r="E501" s="27"/>
      <c r="F501" s="27"/>
      <c r="G501" s="28" t="s">
        <v>27</v>
      </c>
      <c r="H501" s="29">
        <v>1122</v>
      </c>
      <c r="I501" s="28">
        <v>8</v>
      </c>
      <c r="J501" s="30">
        <f t="shared" ref="J501:N501" si="70">IF($H501*I501=0,"",$H501*I501)</f>
        <v>8976</v>
      </c>
      <c r="K501" s="28">
        <v>4</v>
      </c>
      <c r="L501" s="30">
        <f t="shared" si="70"/>
        <v>4488</v>
      </c>
      <c r="M501" s="28">
        <v>10</v>
      </c>
      <c r="N501" s="30">
        <f t="shared" si="70"/>
        <v>11220</v>
      </c>
    </row>
    <row r="502" spans="1:14" x14ac:dyDescent="0.25">
      <c r="A502" s="20" t="s">
        <v>1071</v>
      </c>
      <c r="B502" s="21"/>
      <c r="C502" s="22" t="s">
        <v>355</v>
      </c>
      <c r="D502" s="21"/>
      <c r="E502" s="21"/>
      <c r="F502" s="21"/>
      <c r="G502" s="23"/>
      <c r="H502" s="24"/>
      <c r="I502" s="23"/>
      <c r="J502" s="25" t="str">
        <f t="shared" si="65"/>
        <v/>
      </c>
      <c r="K502" s="23"/>
      <c r="L502" s="25" t="str">
        <f t="shared" si="65"/>
        <v/>
      </c>
      <c r="M502" s="23"/>
      <c r="N502" s="25" t="str">
        <f t="shared" si="65"/>
        <v/>
      </c>
    </row>
    <row r="503" spans="1:14" collapsed="1" x14ac:dyDescent="0.25">
      <c r="A503" s="49" t="s">
        <v>1072</v>
      </c>
      <c r="B503" s="50"/>
      <c r="C503" s="50"/>
      <c r="D503" s="27" t="s">
        <v>356</v>
      </c>
      <c r="E503" s="27"/>
      <c r="F503" s="27"/>
      <c r="G503" s="28" t="s">
        <v>27</v>
      </c>
      <c r="H503" s="29">
        <v>173.4</v>
      </c>
      <c r="I503" s="45">
        <v>35</v>
      </c>
      <c r="J503" s="29">
        <f t="shared" si="65"/>
        <v>6069</v>
      </c>
      <c r="K503" s="45">
        <v>45</v>
      </c>
      <c r="L503" s="29">
        <f t="shared" si="65"/>
        <v>7803</v>
      </c>
      <c r="M503" s="45">
        <v>40</v>
      </c>
      <c r="N503" s="29">
        <f t="shared" si="65"/>
        <v>6936</v>
      </c>
    </row>
    <row r="504" spans="1:14" collapsed="1" x14ac:dyDescent="0.25">
      <c r="A504" s="49" t="s">
        <v>1073</v>
      </c>
      <c r="B504" s="50"/>
      <c r="C504" s="50"/>
      <c r="D504" s="27" t="s">
        <v>357</v>
      </c>
      <c r="E504" s="27"/>
      <c r="F504" s="27"/>
      <c r="G504" s="28" t="s">
        <v>27</v>
      </c>
      <c r="H504" s="29">
        <v>265.2</v>
      </c>
      <c r="I504" s="45">
        <v>30</v>
      </c>
      <c r="J504" s="29">
        <f>IF($H504*I504=0,"",$H504*I504)</f>
        <v>7956</v>
      </c>
      <c r="K504" s="45">
        <v>25</v>
      </c>
      <c r="L504" s="29">
        <f>IF($H504*K504=0,"",$H504*K504)</f>
        <v>6630</v>
      </c>
      <c r="M504" s="45">
        <v>30</v>
      </c>
      <c r="N504" s="29">
        <f>IF($H504*M504=0,"",$H504*M504)</f>
        <v>7956</v>
      </c>
    </row>
    <row r="505" spans="1:14" x14ac:dyDescent="0.25">
      <c r="A505" s="49" t="s">
        <v>1074</v>
      </c>
      <c r="B505" s="27"/>
      <c r="C505" s="27"/>
      <c r="D505" s="27" t="s">
        <v>358</v>
      </c>
      <c r="E505" s="27"/>
      <c r="F505" s="27"/>
      <c r="G505" s="28" t="s">
        <v>18</v>
      </c>
      <c r="H505" s="29">
        <v>657.9</v>
      </c>
      <c r="I505" s="45">
        <v>120</v>
      </c>
      <c r="J505" s="29">
        <f t="shared" si="65"/>
        <v>78948</v>
      </c>
      <c r="K505" s="45">
        <v>50</v>
      </c>
      <c r="L505" s="29">
        <f t="shared" si="65"/>
        <v>32895</v>
      </c>
      <c r="M505" s="45">
        <v>80</v>
      </c>
      <c r="N505" s="29">
        <f t="shared" si="65"/>
        <v>52632</v>
      </c>
    </row>
    <row r="506" spans="1:14" x14ac:dyDescent="0.25">
      <c r="A506" s="26" t="s">
        <v>1075</v>
      </c>
      <c r="B506" s="27"/>
      <c r="C506" s="27"/>
      <c r="D506" s="27" t="s">
        <v>100</v>
      </c>
      <c r="E506" s="27"/>
      <c r="F506" s="27"/>
      <c r="G506" s="28" t="s">
        <v>18</v>
      </c>
      <c r="H506" s="29">
        <v>142.80000000000001</v>
      </c>
      <c r="I506" s="45">
        <v>45</v>
      </c>
      <c r="J506" s="29">
        <f t="shared" si="65"/>
        <v>6426.0000000000009</v>
      </c>
      <c r="K506" s="45">
        <v>60</v>
      </c>
      <c r="L506" s="29">
        <f t="shared" si="65"/>
        <v>8568</v>
      </c>
      <c r="M506" s="45">
        <v>60</v>
      </c>
      <c r="N506" s="29">
        <f t="shared" si="65"/>
        <v>8568</v>
      </c>
    </row>
    <row r="507" spans="1:14" x14ac:dyDescent="0.25">
      <c r="A507" s="26" t="s">
        <v>1076</v>
      </c>
      <c r="B507" s="27"/>
      <c r="C507" s="27"/>
      <c r="D507" s="27" t="s">
        <v>102</v>
      </c>
      <c r="E507" s="27"/>
      <c r="F507" s="27"/>
      <c r="G507" s="28" t="s">
        <v>18</v>
      </c>
      <c r="H507" s="29">
        <v>234.6</v>
      </c>
      <c r="I507" s="45">
        <v>20</v>
      </c>
      <c r="J507" s="29">
        <f t="shared" si="65"/>
        <v>4692</v>
      </c>
      <c r="K507" s="45">
        <v>50</v>
      </c>
      <c r="L507" s="29">
        <f t="shared" si="65"/>
        <v>11730</v>
      </c>
      <c r="M507" s="45">
        <v>55</v>
      </c>
      <c r="N507" s="29">
        <f t="shared" si="65"/>
        <v>12903</v>
      </c>
    </row>
    <row r="508" spans="1:14" x14ac:dyDescent="0.25">
      <c r="A508" s="26" t="s">
        <v>1077</v>
      </c>
      <c r="B508" s="27"/>
      <c r="C508" s="27"/>
      <c r="D508" s="27" t="s">
        <v>104</v>
      </c>
      <c r="E508" s="27"/>
      <c r="F508" s="27"/>
      <c r="G508" s="28" t="s">
        <v>27</v>
      </c>
      <c r="H508" s="29">
        <v>122.4</v>
      </c>
      <c r="I508" s="45">
        <v>15</v>
      </c>
      <c r="J508" s="29">
        <f t="shared" si="65"/>
        <v>1836</v>
      </c>
      <c r="K508" s="45">
        <v>10</v>
      </c>
      <c r="L508" s="29">
        <f t="shared" si="65"/>
        <v>1224</v>
      </c>
      <c r="M508" s="45">
        <v>15</v>
      </c>
      <c r="N508" s="29">
        <f t="shared" si="65"/>
        <v>1836</v>
      </c>
    </row>
    <row r="509" spans="1:14" x14ac:dyDescent="0.25">
      <c r="A509" s="26" t="s">
        <v>1078</v>
      </c>
      <c r="B509" s="27"/>
      <c r="C509" s="27"/>
      <c r="D509" s="27" t="s">
        <v>105</v>
      </c>
      <c r="E509" s="27"/>
      <c r="F509" s="27"/>
      <c r="G509" s="28" t="s">
        <v>27</v>
      </c>
      <c r="H509" s="29">
        <v>3366</v>
      </c>
      <c r="I509" s="45">
        <v>2</v>
      </c>
      <c r="J509" s="29">
        <f t="shared" si="65"/>
        <v>6732</v>
      </c>
      <c r="K509" s="45">
        <v>3</v>
      </c>
      <c r="L509" s="29">
        <f t="shared" si="65"/>
        <v>10098</v>
      </c>
      <c r="M509" s="45">
        <v>8</v>
      </c>
      <c r="N509" s="29">
        <f t="shared" si="65"/>
        <v>26928</v>
      </c>
    </row>
    <row r="510" spans="1:14" x14ac:dyDescent="0.25">
      <c r="A510" s="26" t="s">
        <v>1079</v>
      </c>
      <c r="B510" s="27"/>
      <c r="C510" s="27"/>
      <c r="D510" s="42" t="s">
        <v>436</v>
      </c>
      <c r="E510" s="27"/>
      <c r="F510" s="27"/>
      <c r="G510" s="28" t="s">
        <v>18</v>
      </c>
      <c r="H510" s="29">
        <v>66.3</v>
      </c>
      <c r="I510" s="45">
        <v>150</v>
      </c>
      <c r="J510" s="29">
        <f t="shared" si="65"/>
        <v>9945</v>
      </c>
      <c r="K510" s="45">
        <v>100</v>
      </c>
      <c r="L510" s="29">
        <f t="shared" si="65"/>
        <v>6630</v>
      </c>
      <c r="M510" s="45">
        <v>80</v>
      </c>
      <c r="N510" s="29">
        <f t="shared" si="65"/>
        <v>5304</v>
      </c>
    </row>
    <row r="511" spans="1:14" x14ac:dyDescent="0.25">
      <c r="A511" s="26" t="s">
        <v>1080</v>
      </c>
      <c r="B511" s="27"/>
      <c r="C511" s="27"/>
      <c r="D511" s="42" t="s">
        <v>359</v>
      </c>
      <c r="E511" s="27"/>
      <c r="F511" s="27"/>
      <c r="G511" s="28" t="s">
        <v>27</v>
      </c>
      <c r="H511" s="29">
        <v>3264</v>
      </c>
      <c r="I511" s="45">
        <v>12</v>
      </c>
      <c r="J511" s="29">
        <f t="shared" si="65"/>
        <v>39168</v>
      </c>
      <c r="K511" s="45">
        <v>14</v>
      </c>
      <c r="L511" s="29">
        <f t="shared" si="65"/>
        <v>45696</v>
      </c>
      <c r="M511" s="45">
        <v>10</v>
      </c>
      <c r="N511" s="29">
        <f t="shared" si="65"/>
        <v>32640</v>
      </c>
    </row>
    <row r="512" spans="1:14" x14ac:dyDescent="0.25">
      <c r="A512" s="26" t="s">
        <v>1081</v>
      </c>
      <c r="B512" s="27"/>
      <c r="C512" s="27"/>
      <c r="D512" s="42" t="s">
        <v>360</v>
      </c>
      <c r="E512" s="27"/>
      <c r="F512" s="27"/>
      <c r="G512" s="28"/>
      <c r="H512" s="29"/>
      <c r="I512" s="45"/>
      <c r="J512" s="29" t="str">
        <f t="shared" si="65"/>
        <v/>
      </c>
      <c r="K512" s="45"/>
      <c r="L512" s="29" t="str">
        <f t="shared" si="65"/>
        <v/>
      </c>
      <c r="M512" s="45"/>
      <c r="N512" s="29" t="str">
        <f t="shared" ref="N512:N597" si="71">IF($H512*M512=0,"",$H512*M512)</f>
        <v/>
      </c>
    </row>
    <row r="513" spans="1:14" x14ac:dyDescent="0.25">
      <c r="A513" s="26" t="s">
        <v>1082</v>
      </c>
      <c r="B513" s="27"/>
      <c r="C513" s="27"/>
      <c r="D513" s="42"/>
      <c r="E513" s="27" t="s">
        <v>437</v>
      </c>
      <c r="F513" s="27"/>
      <c r="G513" s="28" t="s">
        <v>18</v>
      </c>
      <c r="H513" s="29">
        <v>66.3</v>
      </c>
      <c r="I513" s="45">
        <v>30</v>
      </c>
      <c r="J513" s="29">
        <f t="shared" si="65"/>
        <v>1989</v>
      </c>
      <c r="K513" s="45">
        <v>100</v>
      </c>
      <c r="L513" s="29">
        <f t="shared" si="65"/>
        <v>6630</v>
      </c>
      <c r="M513" s="45">
        <v>90</v>
      </c>
      <c r="N513" s="29">
        <f t="shared" si="71"/>
        <v>5967</v>
      </c>
    </row>
    <row r="514" spans="1:14" x14ac:dyDescent="0.25">
      <c r="A514" s="26" t="s">
        <v>1083</v>
      </c>
      <c r="B514" s="27"/>
      <c r="C514" s="27"/>
      <c r="D514" s="42"/>
      <c r="E514" s="27" t="s">
        <v>438</v>
      </c>
      <c r="F514" s="27"/>
      <c r="G514" s="28" t="s">
        <v>18</v>
      </c>
      <c r="H514" s="29">
        <v>91.8</v>
      </c>
      <c r="I514" s="45">
        <v>30</v>
      </c>
      <c r="J514" s="29">
        <f t="shared" si="65"/>
        <v>2754</v>
      </c>
      <c r="K514" s="45">
        <v>0</v>
      </c>
      <c r="L514" s="29" t="str">
        <f t="shared" si="65"/>
        <v/>
      </c>
      <c r="M514" s="45">
        <v>50</v>
      </c>
      <c r="N514" s="29">
        <f t="shared" si="71"/>
        <v>4590</v>
      </c>
    </row>
    <row r="515" spans="1:14" x14ac:dyDescent="0.25">
      <c r="A515" s="26" t="s">
        <v>1084</v>
      </c>
      <c r="B515" s="27"/>
      <c r="C515" s="27"/>
      <c r="D515" s="42"/>
      <c r="E515" s="27" t="s">
        <v>439</v>
      </c>
      <c r="F515" s="27"/>
      <c r="G515" s="28" t="s">
        <v>18</v>
      </c>
      <c r="H515" s="29">
        <v>122.4</v>
      </c>
      <c r="I515" s="45">
        <v>30</v>
      </c>
      <c r="J515" s="29">
        <f t="shared" si="65"/>
        <v>3672</v>
      </c>
      <c r="K515" s="45">
        <v>50</v>
      </c>
      <c r="L515" s="29">
        <f t="shared" si="65"/>
        <v>6120</v>
      </c>
      <c r="M515" s="45">
        <v>80</v>
      </c>
      <c r="N515" s="29">
        <f t="shared" si="71"/>
        <v>9792</v>
      </c>
    </row>
    <row r="516" spans="1:14" x14ac:dyDescent="0.25">
      <c r="A516" s="26" t="s">
        <v>1085</v>
      </c>
      <c r="B516" s="27"/>
      <c r="C516" s="27"/>
      <c r="D516" s="42"/>
      <c r="E516" s="27" t="s">
        <v>440</v>
      </c>
      <c r="F516" s="27"/>
      <c r="G516" s="28" t="s">
        <v>18</v>
      </c>
      <c r="H516" s="29">
        <v>51</v>
      </c>
      <c r="I516" s="45">
        <v>30</v>
      </c>
      <c r="J516" s="29">
        <f t="shared" si="65"/>
        <v>1530</v>
      </c>
      <c r="K516" s="45">
        <v>50</v>
      </c>
      <c r="L516" s="29">
        <f t="shared" si="65"/>
        <v>2550</v>
      </c>
      <c r="M516" s="45">
        <v>90</v>
      </c>
      <c r="N516" s="29">
        <f t="shared" si="71"/>
        <v>4590</v>
      </c>
    </row>
    <row r="517" spans="1:14" x14ac:dyDescent="0.25">
      <c r="A517" s="26" t="s">
        <v>1086</v>
      </c>
      <c r="B517" s="27"/>
      <c r="C517" s="27"/>
      <c r="D517" s="27" t="s">
        <v>543</v>
      </c>
      <c r="E517" s="27"/>
      <c r="F517" s="27"/>
      <c r="G517" s="28" t="s">
        <v>27</v>
      </c>
      <c r="H517" s="29">
        <v>1224</v>
      </c>
      <c r="I517" s="28">
        <v>10</v>
      </c>
      <c r="J517" s="30">
        <f t="shared" ref="J517:J518" si="72">IF($H517*I517=0,"",$H517*I517)</f>
        <v>12240</v>
      </c>
      <c r="K517" s="28">
        <v>15</v>
      </c>
      <c r="L517" s="30">
        <f t="shared" ref="L517:N518" si="73">IF($H517*K517=0,"",$H517*K517)</f>
        <v>18360</v>
      </c>
      <c r="M517" s="28">
        <v>20</v>
      </c>
      <c r="N517" s="30">
        <f t="shared" si="73"/>
        <v>24480</v>
      </c>
    </row>
    <row r="518" spans="1:14" x14ac:dyDescent="0.25">
      <c r="A518" s="26" t="s">
        <v>1087</v>
      </c>
      <c r="B518" s="27"/>
      <c r="C518" s="27"/>
      <c r="D518" s="27" t="s">
        <v>94</v>
      </c>
      <c r="E518" s="27"/>
      <c r="F518" s="27"/>
      <c r="G518" s="28" t="s">
        <v>27</v>
      </c>
      <c r="H518" s="29">
        <v>281.52</v>
      </c>
      <c r="I518" s="28">
        <v>30</v>
      </c>
      <c r="J518" s="30">
        <f t="shared" si="72"/>
        <v>8445.5999999999985</v>
      </c>
      <c r="K518" s="28">
        <v>15</v>
      </c>
      <c r="L518" s="30">
        <f t="shared" si="73"/>
        <v>4222.7999999999993</v>
      </c>
      <c r="M518" s="28">
        <v>20</v>
      </c>
      <c r="N518" s="30">
        <f t="shared" si="73"/>
        <v>5630.4</v>
      </c>
    </row>
    <row r="519" spans="1:14" x14ac:dyDescent="0.25">
      <c r="A519" s="26" t="s">
        <v>1088</v>
      </c>
      <c r="B519" s="27"/>
      <c r="C519" s="27"/>
      <c r="D519" s="42" t="s">
        <v>528</v>
      </c>
      <c r="E519" s="27"/>
      <c r="F519" s="27"/>
      <c r="G519" s="28" t="s">
        <v>27</v>
      </c>
      <c r="H519" s="29">
        <v>867</v>
      </c>
      <c r="I519" s="45">
        <v>30</v>
      </c>
      <c r="J519" s="29">
        <f t="shared" ref="J519:J522" si="74">IF($H519*I519=0,"",$H519*I519)</f>
        <v>26010</v>
      </c>
      <c r="K519" s="45">
        <v>15</v>
      </c>
      <c r="L519" s="29">
        <f t="shared" ref="L519:N522" si="75">IF($H519*K519=0,"",$H519*K519)</f>
        <v>13005</v>
      </c>
      <c r="M519" s="45">
        <v>10</v>
      </c>
      <c r="N519" s="29">
        <f t="shared" si="75"/>
        <v>8670</v>
      </c>
    </row>
    <row r="520" spans="1:14" x14ac:dyDescent="0.25">
      <c r="A520" s="26" t="s">
        <v>1089</v>
      </c>
      <c r="B520" s="27"/>
      <c r="C520" s="27"/>
      <c r="D520" s="42" t="s">
        <v>529</v>
      </c>
      <c r="E520" s="27"/>
      <c r="F520" s="27"/>
      <c r="G520" s="28" t="s">
        <v>18</v>
      </c>
      <c r="H520" s="29">
        <v>81.599999999999994</v>
      </c>
      <c r="I520" s="45">
        <v>100</v>
      </c>
      <c r="J520" s="29">
        <f t="shared" si="74"/>
        <v>8159.9999999999991</v>
      </c>
      <c r="K520" s="45">
        <v>120</v>
      </c>
      <c r="L520" s="29">
        <f t="shared" si="75"/>
        <v>9792</v>
      </c>
      <c r="M520" s="45">
        <v>150</v>
      </c>
      <c r="N520" s="29">
        <f t="shared" si="75"/>
        <v>12240</v>
      </c>
    </row>
    <row r="521" spans="1:14" x14ac:dyDescent="0.25">
      <c r="A521" s="26" t="s">
        <v>1090</v>
      </c>
      <c r="B521" s="27"/>
      <c r="C521" s="27"/>
      <c r="D521" s="42" t="s">
        <v>530</v>
      </c>
      <c r="E521" s="27"/>
      <c r="F521" s="27"/>
      <c r="G521" s="28" t="s">
        <v>27</v>
      </c>
      <c r="H521" s="29">
        <v>459</v>
      </c>
      <c r="I521" s="45">
        <v>5</v>
      </c>
      <c r="J521" s="29">
        <f t="shared" si="74"/>
        <v>2295</v>
      </c>
      <c r="K521" s="45">
        <v>8</v>
      </c>
      <c r="L521" s="29">
        <f t="shared" si="75"/>
        <v>3672</v>
      </c>
      <c r="M521" s="45">
        <v>10</v>
      </c>
      <c r="N521" s="29">
        <f t="shared" si="75"/>
        <v>4590</v>
      </c>
    </row>
    <row r="522" spans="1:14" x14ac:dyDescent="0.25">
      <c r="A522" s="26" t="s">
        <v>1091</v>
      </c>
      <c r="B522" s="27"/>
      <c r="C522" s="27"/>
      <c r="D522" s="42" t="s">
        <v>531</v>
      </c>
      <c r="E522" s="27"/>
      <c r="F522" s="27"/>
      <c r="G522" s="28" t="s">
        <v>27</v>
      </c>
      <c r="H522" s="29">
        <v>255</v>
      </c>
      <c r="I522" s="45">
        <v>2</v>
      </c>
      <c r="J522" s="29">
        <f t="shared" si="74"/>
        <v>510</v>
      </c>
      <c r="K522" s="45">
        <v>4</v>
      </c>
      <c r="L522" s="29">
        <f t="shared" si="75"/>
        <v>1020</v>
      </c>
      <c r="M522" s="45">
        <v>6</v>
      </c>
      <c r="N522" s="29">
        <f t="shared" si="75"/>
        <v>1530</v>
      </c>
    </row>
    <row r="523" spans="1:14" x14ac:dyDescent="0.25">
      <c r="A523" s="20" t="s">
        <v>1092</v>
      </c>
      <c r="B523" s="21"/>
      <c r="C523" s="22" t="s">
        <v>361</v>
      </c>
      <c r="D523" s="21"/>
      <c r="E523" s="21"/>
      <c r="F523" s="21"/>
      <c r="G523" s="23" t="s">
        <v>23</v>
      </c>
      <c r="H523" s="25">
        <v>45.9</v>
      </c>
      <c r="I523" s="23">
        <v>250</v>
      </c>
      <c r="J523" s="25">
        <f t="shared" si="65"/>
        <v>11475</v>
      </c>
      <c r="K523" s="23">
        <v>800</v>
      </c>
      <c r="L523" s="25">
        <f t="shared" si="65"/>
        <v>36720</v>
      </c>
      <c r="M523" s="23">
        <v>600</v>
      </c>
      <c r="N523" s="25">
        <f t="shared" si="71"/>
        <v>27540</v>
      </c>
    </row>
    <row r="524" spans="1:14" x14ac:dyDescent="0.25">
      <c r="A524" s="20" t="s">
        <v>1093</v>
      </c>
      <c r="B524" s="21"/>
      <c r="C524" s="22" t="s">
        <v>362</v>
      </c>
      <c r="D524" s="21"/>
      <c r="E524" s="21"/>
      <c r="F524" s="21"/>
      <c r="G524" s="23"/>
      <c r="H524" s="23"/>
      <c r="I524" s="23"/>
      <c r="J524" s="25" t="str">
        <f t="shared" si="65"/>
        <v/>
      </c>
      <c r="K524" s="23"/>
      <c r="L524" s="25" t="str">
        <f t="shared" si="65"/>
        <v/>
      </c>
      <c r="M524" s="23"/>
      <c r="N524" s="25" t="str">
        <f t="shared" si="71"/>
        <v/>
      </c>
    </row>
    <row r="525" spans="1:14" x14ac:dyDescent="0.25">
      <c r="A525" s="26" t="s">
        <v>1094</v>
      </c>
      <c r="B525" s="27"/>
      <c r="C525" s="42"/>
      <c r="D525" s="27" t="s">
        <v>441</v>
      </c>
      <c r="E525" s="27"/>
      <c r="F525" s="27"/>
      <c r="G525" s="28" t="s">
        <v>18</v>
      </c>
      <c r="H525" s="61">
        <v>37</v>
      </c>
      <c r="I525" s="28">
        <v>100</v>
      </c>
      <c r="J525" s="30">
        <f t="shared" si="65"/>
        <v>3700</v>
      </c>
      <c r="K525" s="28">
        <v>50</v>
      </c>
      <c r="L525" s="30">
        <f t="shared" si="65"/>
        <v>1850</v>
      </c>
      <c r="M525" s="28">
        <v>80</v>
      </c>
      <c r="N525" s="30">
        <f t="shared" si="71"/>
        <v>2960</v>
      </c>
    </row>
    <row r="526" spans="1:14" x14ac:dyDescent="0.25">
      <c r="A526" s="26" t="s">
        <v>1095</v>
      </c>
      <c r="B526" s="27"/>
      <c r="C526" s="42"/>
      <c r="D526" s="27" t="s">
        <v>442</v>
      </c>
      <c r="E526" s="27"/>
      <c r="F526" s="27"/>
      <c r="G526" s="28" t="s">
        <v>18</v>
      </c>
      <c r="H526" s="61">
        <v>41</v>
      </c>
      <c r="I526" s="28">
        <v>150</v>
      </c>
      <c r="J526" s="30">
        <f t="shared" si="65"/>
        <v>6150</v>
      </c>
      <c r="K526" s="28">
        <v>150</v>
      </c>
      <c r="L526" s="30">
        <f t="shared" si="65"/>
        <v>6150</v>
      </c>
      <c r="M526" s="28">
        <v>120</v>
      </c>
      <c r="N526" s="30">
        <f t="shared" si="71"/>
        <v>4920</v>
      </c>
    </row>
    <row r="527" spans="1:14" x14ac:dyDescent="0.25">
      <c r="A527" s="26" t="s">
        <v>1096</v>
      </c>
      <c r="B527" s="27"/>
      <c r="C527" s="42"/>
      <c r="D527" s="27" t="s">
        <v>443</v>
      </c>
      <c r="E527" s="27"/>
      <c r="F527" s="27"/>
      <c r="G527" s="28" t="s">
        <v>18</v>
      </c>
      <c r="H527" s="61">
        <v>64</v>
      </c>
      <c r="I527" s="28">
        <v>100</v>
      </c>
      <c r="J527" s="30">
        <f t="shared" si="65"/>
        <v>6400</v>
      </c>
      <c r="K527" s="28">
        <v>100</v>
      </c>
      <c r="L527" s="30">
        <f t="shared" si="65"/>
        <v>6400</v>
      </c>
      <c r="M527" s="28">
        <v>150</v>
      </c>
      <c r="N527" s="30">
        <f t="shared" si="71"/>
        <v>9600</v>
      </c>
    </row>
    <row r="528" spans="1:14" x14ac:dyDescent="0.25">
      <c r="A528" s="26" t="s">
        <v>1097</v>
      </c>
      <c r="B528" s="27"/>
      <c r="C528" s="42"/>
      <c r="D528" s="27" t="s">
        <v>444</v>
      </c>
      <c r="E528" s="27"/>
      <c r="F528" s="27"/>
      <c r="G528" s="28" t="s">
        <v>18</v>
      </c>
      <c r="H528" s="61">
        <v>47</v>
      </c>
      <c r="I528" s="28">
        <v>250</v>
      </c>
      <c r="J528" s="30">
        <f t="shared" si="65"/>
        <v>11750</v>
      </c>
      <c r="K528" s="28">
        <v>200</v>
      </c>
      <c r="L528" s="30">
        <f t="shared" si="65"/>
        <v>9400</v>
      </c>
      <c r="M528" s="28">
        <v>250</v>
      </c>
      <c r="N528" s="30">
        <f t="shared" si="71"/>
        <v>11750</v>
      </c>
    </row>
    <row r="529" spans="1:20" x14ac:dyDescent="0.25">
      <c r="A529" s="26" t="s">
        <v>1098</v>
      </c>
      <c r="B529" s="27"/>
      <c r="C529" s="42"/>
      <c r="D529" s="27" t="s">
        <v>445</v>
      </c>
      <c r="E529" s="27"/>
      <c r="F529" s="27"/>
      <c r="G529" s="28" t="s">
        <v>18</v>
      </c>
      <c r="H529" s="61">
        <v>51</v>
      </c>
      <c r="I529" s="28">
        <v>200</v>
      </c>
      <c r="J529" s="30">
        <f t="shared" si="65"/>
        <v>10200</v>
      </c>
      <c r="K529" s="28">
        <v>200</v>
      </c>
      <c r="L529" s="30">
        <f t="shared" si="65"/>
        <v>10200</v>
      </c>
      <c r="M529" s="28">
        <v>250</v>
      </c>
      <c r="N529" s="30">
        <f t="shared" si="71"/>
        <v>12750</v>
      </c>
    </row>
    <row r="530" spans="1:20" x14ac:dyDescent="0.25">
      <c r="A530" s="26" t="s">
        <v>1099</v>
      </c>
      <c r="B530" s="27"/>
      <c r="C530" s="42"/>
      <c r="D530" s="27" t="s">
        <v>446</v>
      </c>
      <c r="E530" s="27"/>
      <c r="F530" s="27"/>
      <c r="G530" s="28" t="s">
        <v>18</v>
      </c>
      <c r="H530" s="61">
        <v>80</v>
      </c>
      <c r="I530" s="28">
        <v>150</v>
      </c>
      <c r="J530" s="30">
        <f t="shared" si="65"/>
        <v>12000</v>
      </c>
      <c r="K530" s="28">
        <v>100</v>
      </c>
      <c r="L530" s="30">
        <f t="shared" si="65"/>
        <v>8000</v>
      </c>
      <c r="M530" s="28">
        <v>100</v>
      </c>
      <c r="N530" s="30">
        <f t="shared" si="71"/>
        <v>8000</v>
      </c>
    </row>
    <row r="531" spans="1:20" x14ac:dyDescent="0.25">
      <c r="A531" s="26" t="s">
        <v>1100</v>
      </c>
      <c r="B531" s="27"/>
      <c r="C531" s="42"/>
      <c r="D531" s="27" t="s">
        <v>447</v>
      </c>
      <c r="E531" s="27"/>
      <c r="F531" s="27"/>
      <c r="G531" s="28" t="s">
        <v>18</v>
      </c>
      <c r="H531" s="61">
        <v>95</v>
      </c>
      <c r="I531" s="28">
        <v>100</v>
      </c>
      <c r="J531" s="30">
        <f t="shared" si="65"/>
        <v>9500</v>
      </c>
      <c r="K531" s="28">
        <v>150</v>
      </c>
      <c r="L531" s="30">
        <f t="shared" si="65"/>
        <v>14250</v>
      </c>
      <c r="M531" s="28">
        <v>150</v>
      </c>
      <c r="N531" s="30">
        <f t="shared" si="71"/>
        <v>14250</v>
      </c>
    </row>
    <row r="532" spans="1:20" x14ac:dyDescent="0.25">
      <c r="A532" s="26" t="s">
        <v>1101</v>
      </c>
      <c r="B532" s="27"/>
      <c r="C532" s="42"/>
      <c r="D532" s="27" t="s">
        <v>448</v>
      </c>
      <c r="E532" s="27"/>
      <c r="F532" s="27"/>
      <c r="G532" s="28" t="s">
        <v>18</v>
      </c>
      <c r="H532" s="61">
        <v>40</v>
      </c>
      <c r="I532" s="28">
        <v>400</v>
      </c>
      <c r="J532" s="30">
        <f t="shared" si="65"/>
        <v>16000</v>
      </c>
      <c r="K532" s="28">
        <v>300</v>
      </c>
      <c r="L532" s="30">
        <f t="shared" si="65"/>
        <v>12000</v>
      </c>
      <c r="M532" s="28">
        <v>300</v>
      </c>
      <c r="N532" s="30">
        <f t="shared" si="71"/>
        <v>12000</v>
      </c>
    </row>
    <row r="533" spans="1:20" x14ac:dyDescent="0.25">
      <c r="A533" s="26" t="s">
        <v>1102</v>
      </c>
      <c r="B533" s="27"/>
      <c r="C533" s="42"/>
      <c r="D533" s="27" t="s">
        <v>449</v>
      </c>
      <c r="E533" s="27"/>
      <c r="F533" s="27"/>
      <c r="G533" s="28" t="s">
        <v>18</v>
      </c>
      <c r="H533" s="61">
        <v>61</v>
      </c>
      <c r="I533" s="28">
        <v>150</v>
      </c>
      <c r="J533" s="30">
        <f t="shared" si="65"/>
        <v>9150</v>
      </c>
      <c r="K533" s="28">
        <v>100</v>
      </c>
      <c r="L533" s="30">
        <f t="shared" si="65"/>
        <v>6100</v>
      </c>
      <c r="M533" s="28">
        <v>100</v>
      </c>
      <c r="N533" s="30">
        <f t="shared" si="71"/>
        <v>6100</v>
      </c>
    </row>
    <row r="534" spans="1:20" x14ac:dyDescent="0.25">
      <c r="A534" s="20" t="s">
        <v>1103</v>
      </c>
      <c r="B534" s="21"/>
      <c r="C534" s="22" t="s">
        <v>363</v>
      </c>
      <c r="D534" s="21"/>
      <c r="E534" s="21"/>
      <c r="F534" s="21"/>
      <c r="G534" s="23"/>
      <c r="H534" s="23"/>
      <c r="I534" s="23"/>
      <c r="J534" s="25" t="str">
        <f t="shared" si="65"/>
        <v/>
      </c>
      <c r="K534" s="23"/>
      <c r="L534" s="25" t="str">
        <f t="shared" si="65"/>
        <v/>
      </c>
      <c r="M534" s="23"/>
      <c r="N534" s="25" t="str">
        <f t="shared" si="71"/>
        <v/>
      </c>
    </row>
    <row r="535" spans="1:20" x14ac:dyDescent="0.25">
      <c r="A535" s="26" t="s">
        <v>1104</v>
      </c>
      <c r="B535" s="27"/>
      <c r="C535" s="42"/>
      <c r="D535" s="27" t="s">
        <v>450</v>
      </c>
      <c r="E535" s="27"/>
      <c r="F535" s="27"/>
      <c r="G535" s="28" t="s">
        <v>18</v>
      </c>
      <c r="H535" s="61">
        <v>145</v>
      </c>
      <c r="I535" s="28">
        <v>80</v>
      </c>
      <c r="J535" s="30">
        <f t="shared" si="65"/>
        <v>11600</v>
      </c>
      <c r="K535" s="28">
        <v>150</v>
      </c>
      <c r="L535" s="30">
        <f t="shared" si="65"/>
        <v>21750</v>
      </c>
      <c r="M535" s="28">
        <v>90</v>
      </c>
      <c r="N535" s="30">
        <f t="shared" si="71"/>
        <v>13050</v>
      </c>
      <c r="T535" s="62"/>
    </row>
    <row r="536" spans="1:20" x14ac:dyDescent="0.25">
      <c r="A536" s="26" t="s">
        <v>1105</v>
      </c>
      <c r="B536" s="27"/>
      <c r="C536" s="42"/>
      <c r="D536" s="27" t="s">
        <v>451</v>
      </c>
      <c r="E536" s="27"/>
      <c r="F536" s="27"/>
      <c r="G536" s="28" t="s">
        <v>18</v>
      </c>
      <c r="H536" s="61">
        <v>176</v>
      </c>
      <c r="I536" s="28">
        <v>120</v>
      </c>
      <c r="J536" s="30">
        <f t="shared" si="65"/>
        <v>21120</v>
      </c>
      <c r="K536" s="28">
        <v>150</v>
      </c>
      <c r="L536" s="30">
        <f t="shared" si="65"/>
        <v>26400</v>
      </c>
      <c r="M536" s="28">
        <v>200</v>
      </c>
      <c r="N536" s="30">
        <f t="shared" si="71"/>
        <v>35200</v>
      </c>
      <c r="T536" s="62"/>
    </row>
    <row r="537" spans="1:20" x14ac:dyDescent="0.25">
      <c r="A537" s="26" t="s">
        <v>1106</v>
      </c>
      <c r="B537" s="27"/>
      <c r="C537" s="42"/>
      <c r="D537" s="27" t="s">
        <v>452</v>
      </c>
      <c r="E537" s="27"/>
      <c r="F537" s="27"/>
      <c r="G537" s="28" t="s">
        <v>18</v>
      </c>
      <c r="H537" s="61">
        <v>218</v>
      </c>
      <c r="I537" s="28">
        <v>70</v>
      </c>
      <c r="J537" s="30">
        <f t="shared" si="65"/>
        <v>15260</v>
      </c>
      <c r="K537" s="28">
        <v>150</v>
      </c>
      <c r="L537" s="30">
        <f t="shared" si="65"/>
        <v>32700</v>
      </c>
      <c r="M537" s="28">
        <v>80</v>
      </c>
      <c r="N537" s="30">
        <f t="shared" si="71"/>
        <v>17440</v>
      </c>
      <c r="T537" s="62"/>
    </row>
    <row r="538" spans="1:20" x14ac:dyDescent="0.25">
      <c r="A538" s="26" t="s">
        <v>1107</v>
      </c>
      <c r="B538" s="27"/>
      <c r="C538" s="42"/>
      <c r="D538" s="27" t="s">
        <v>453</v>
      </c>
      <c r="E538" s="27"/>
      <c r="F538" s="27"/>
      <c r="G538" s="28" t="s">
        <v>18</v>
      </c>
      <c r="H538" s="61">
        <v>175</v>
      </c>
      <c r="I538" s="28">
        <v>60</v>
      </c>
      <c r="J538" s="30">
        <f t="shared" si="65"/>
        <v>10500</v>
      </c>
      <c r="K538" s="28">
        <v>80</v>
      </c>
      <c r="L538" s="30">
        <f t="shared" si="65"/>
        <v>14000</v>
      </c>
      <c r="M538" s="28">
        <v>150</v>
      </c>
      <c r="N538" s="30">
        <f t="shared" si="71"/>
        <v>26250</v>
      </c>
      <c r="T538" s="62"/>
    </row>
    <row r="539" spans="1:20" x14ac:dyDescent="0.25">
      <c r="A539" s="26" t="s">
        <v>1108</v>
      </c>
      <c r="B539" s="27"/>
      <c r="C539" s="42"/>
      <c r="D539" s="27" t="s">
        <v>454</v>
      </c>
      <c r="E539" s="27"/>
      <c r="F539" s="27"/>
      <c r="G539" s="28" t="s">
        <v>18</v>
      </c>
      <c r="H539" s="61">
        <v>208</v>
      </c>
      <c r="I539" s="28">
        <v>200</v>
      </c>
      <c r="J539" s="30">
        <f t="shared" si="65"/>
        <v>41600</v>
      </c>
      <c r="K539" s="28">
        <v>120</v>
      </c>
      <c r="L539" s="30">
        <f t="shared" si="65"/>
        <v>24960</v>
      </c>
      <c r="M539" s="28">
        <v>150</v>
      </c>
      <c r="N539" s="30">
        <f t="shared" si="71"/>
        <v>31200</v>
      </c>
      <c r="T539" s="62"/>
    </row>
    <row r="540" spans="1:20" x14ac:dyDescent="0.25">
      <c r="A540" s="26" t="s">
        <v>1109</v>
      </c>
      <c r="B540" s="27"/>
      <c r="C540" s="42"/>
      <c r="D540" s="27" t="s">
        <v>455</v>
      </c>
      <c r="E540" s="27"/>
      <c r="F540" s="27"/>
      <c r="G540" s="28" t="s">
        <v>18</v>
      </c>
      <c r="H540" s="61">
        <v>261</v>
      </c>
      <c r="I540" s="28">
        <v>60</v>
      </c>
      <c r="J540" s="30">
        <f t="shared" si="65"/>
        <v>15660</v>
      </c>
      <c r="K540" s="28">
        <v>80</v>
      </c>
      <c r="L540" s="30">
        <f t="shared" si="65"/>
        <v>20880</v>
      </c>
      <c r="M540" s="28">
        <v>100</v>
      </c>
      <c r="N540" s="30">
        <f t="shared" si="71"/>
        <v>26100</v>
      </c>
      <c r="T540" s="62"/>
    </row>
    <row r="541" spans="1:20" x14ac:dyDescent="0.25">
      <c r="A541" s="26" t="s">
        <v>1110</v>
      </c>
      <c r="B541" s="27"/>
      <c r="C541" s="42"/>
      <c r="D541" s="27" t="s">
        <v>456</v>
      </c>
      <c r="E541" s="27"/>
      <c r="F541" s="27"/>
      <c r="G541" s="28" t="s">
        <v>18</v>
      </c>
      <c r="H541" s="61">
        <v>167</v>
      </c>
      <c r="I541" s="28">
        <v>50</v>
      </c>
      <c r="J541" s="30">
        <f t="shared" si="65"/>
        <v>8350</v>
      </c>
      <c r="K541" s="28">
        <v>70</v>
      </c>
      <c r="L541" s="30">
        <f t="shared" si="65"/>
        <v>11690</v>
      </c>
      <c r="M541" s="28">
        <v>120</v>
      </c>
      <c r="N541" s="30">
        <f t="shared" si="71"/>
        <v>20040</v>
      </c>
      <c r="T541" s="62"/>
    </row>
    <row r="542" spans="1:20" x14ac:dyDescent="0.25">
      <c r="A542" s="26" t="s">
        <v>1111</v>
      </c>
      <c r="B542" s="27"/>
      <c r="C542" s="42"/>
      <c r="D542" s="27" t="s">
        <v>457</v>
      </c>
      <c r="E542" s="27"/>
      <c r="F542" s="27"/>
      <c r="G542" s="28" t="s">
        <v>18</v>
      </c>
      <c r="H542" s="61">
        <v>199</v>
      </c>
      <c r="I542" s="28">
        <v>50</v>
      </c>
      <c r="J542" s="30">
        <f t="shared" si="65"/>
        <v>9950</v>
      </c>
      <c r="K542" s="28">
        <v>90</v>
      </c>
      <c r="L542" s="30">
        <f t="shared" si="65"/>
        <v>17910</v>
      </c>
      <c r="M542" s="28">
        <v>110</v>
      </c>
      <c r="N542" s="30">
        <f t="shared" si="71"/>
        <v>21890</v>
      </c>
      <c r="T542" s="62"/>
    </row>
    <row r="543" spans="1:20" x14ac:dyDescent="0.25">
      <c r="A543" s="26" t="s">
        <v>1112</v>
      </c>
      <c r="B543" s="27"/>
      <c r="C543" s="42"/>
      <c r="D543" s="27" t="s">
        <v>458</v>
      </c>
      <c r="E543" s="27"/>
      <c r="F543" s="27"/>
      <c r="G543" s="28" t="s">
        <v>18</v>
      </c>
      <c r="H543" s="61">
        <v>240</v>
      </c>
      <c r="I543" s="28">
        <v>50</v>
      </c>
      <c r="J543" s="30">
        <f t="shared" si="65"/>
        <v>12000</v>
      </c>
      <c r="K543" s="28">
        <v>120</v>
      </c>
      <c r="L543" s="30">
        <f t="shared" si="65"/>
        <v>28800</v>
      </c>
      <c r="M543" s="28">
        <v>80</v>
      </c>
      <c r="N543" s="30">
        <f t="shared" si="71"/>
        <v>19200</v>
      </c>
      <c r="T543" s="62"/>
    </row>
    <row r="544" spans="1:20" x14ac:dyDescent="0.25">
      <c r="A544" s="26" t="s">
        <v>1113</v>
      </c>
      <c r="B544" s="27"/>
      <c r="C544" s="42"/>
      <c r="D544" s="27" t="s">
        <v>459</v>
      </c>
      <c r="E544" s="27"/>
      <c r="F544" s="27"/>
      <c r="G544" s="28" t="s">
        <v>18</v>
      </c>
      <c r="H544" s="61">
        <v>169</v>
      </c>
      <c r="I544" s="28">
        <v>50</v>
      </c>
      <c r="J544" s="30">
        <f t="shared" si="65"/>
        <v>8450</v>
      </c>
      <c r="K544" s="28">
        <v>100</v>
      </c>
      <c r="L544" s="30">
        <f t="shared" si="65"/>
        <v>16900</v>
      </c>
      <c r="M544" s="28">
        <v>80</v>
      </c>
      <c r="N544" s="30">
        <f t="shared" si="71"/>
        <v>13520</v>
      </c>
      <c r="T544" s="62"/>
    </row>
    <row r="545" spans="1:20" x14ac:dyDescent="0.25">
      <c r="A545" s="26" t="s">
        <v>1114</v>
      </c>
      <c r="B545" s="27"/>
      <c r="C545" s="42"/>
      <c r="D545" s="27" t="s">
        <v>460</v>
      </c>
      <c r="E545" s="27"/>
      <c r="F545" s="27"/>
      <c r="G545" s="28" t="s">
        <v>18</v>
      </c>
      <c r="H545" s="61">
        <v>199</v>
      </c>
      <c r="I545" s="28">
        <v>40</v>
      </c>
      <c r="J545" s="30">
        <f t="shared" si="65"/>
        <v>7960</v>
      </c>
      <c r="K545" s="28">
        <v>30</v>
      </c>
      <c r="L545" s="30">
        <f t="shared" si="65"/>
        <v>5970</v>
      </c>
      <c r="M545" s="28">
        <v>80</v>
      </c>
      <c r="N545" s="30">
        <f t="shared" si="71"/>
        <v>15920</v>
      </c>
      <c r="T545" s="62"/>
    </row>
    <row r="546" spans="1:20" x14ac:dyDescent="0.25">
      <c r="A546" s="26" t="s">
        <v>1115</v>
      </c>
      <c r="B546" s="27"/>
      <c r="C546" s="42"/>
      <c r="D546" s="27" t="s">
        <v>461</v>
      </c>
      <c r="E546" s="27"/>
      <c r="F546" s="27"/>
      <c r="G546" s="28" t="s">
        <v>18</v>
      </c>
      <c r="H546" s="61">
        <v>240</v>
      </c>
      <c r="I546" s="28">
        <v>30</v>
      </c>
      <c r="J546" s="30">
        <f t="shared" si="65"/>
        <v>7200</v>
      </c>
      <c r="K546" s="28">
        <v>40</v>
      </c>
      <c r="L546" s="30">
        <f t="shared" si="65"/>
        <v>9600</v>
      </c>
      <c r="M546" s="28">
        <v>50</v>
      </c>
      <c r="N546" s="30">
        <f t="shared" si="71"/>
        <v>12000</v>
      </c>
      <c r="T546" s="62"/>
    </row>
    <row r="547" spans="1:20" x14ac:dyDescent="0.25">
      <c r="A547" s="26" t="s">
        <v>1116</v>
      </c>
      <c r="B547" s="27"/>
      <c r="C547" s="42"/>
      <c r="D547" s="27" t="s">
        <v>462</v>
      </c>
      <c r="E547" s="27"/>
      <c r="F547" s="27"/>
      <c r="G547" s="28" t="s">
        <v>18</v>
      </c>
      <c r="H547" s="61">
        <v>164</v>
      </c>
      <c r="I547" s="28">
        <v>40</v>
      </c>
      <c r="J547" s="30">
        <f t="shared" si="65"/>
        <v>6560</v>
      </c>
      <c r="K547" s="28">
        <v>50</v>
      </c>
      <c r="L547" s="30">
        <f t="shared" si="65"/>
        <v>8200</v>
      </c>
      <c r="M547" s="28">
        <v>80</v>
      </c>
      <c r="N547" s="30">
        <f t="shared" si="71"/>
        <v>13120</v>
      </c>
      <c r="T547" s="62"/>
    </row>
    <row r="548" spans="1:20" x14ac:dyDescent="0.25">
      <c r="A548" s="26" t="s">
        <v>1117</v>
      </c>
      <c r="B548" s="27"/>
      <c r="C548" s="42"/>
      <c r="D548" s="27" t="s">
        <v>463</v>
      </c>
      <c r="E548" s="27"/>
      <c r="F548" s="27"/>
      <c r="G548" s="28" t="s">
        <v>18</v>
      </c>
      <c r="H548" s="61">
        <v>198</v>
      </c>
      <c r="I548" s="28">
        <v>60</v>
      </c>
      <c r="J548" s="30">
        <f t="shared" si="65"/>
        <v>11880</v>
      </c>
      <c r="K548" s="28">
        <v>60</v>
      </c>
      <c r="L548" s="30">
        <f t="shared" si="65"/>
        <v>11880</v>
      </c>
      <c r="M548" s="28">
        <v>70</v>
      </c>
      <c r="N548" s="30">
        <f t="shared" si="71"/>
        <v>13860</v>
      </c>
      <c r="T548" s="62"/>
    </row>
    <row r="549" spans="1:20" x14ac:dyDescent="0.25">
      <c r="A549" s="26" t="s">
        <v>1118</v>
      </c>
      <c r="B549" s="27"/>
      <c r="C549" s="42"/>
      <c r="D549" s="27" t="s">
        <v>464</v>
      </c>
      <c r="E549" s="27"/>
      <c r="F549" s="27"/>
      <c r="G549" s="28" t="s">
        <v>18</v>
      </c>
      <c r="H549" s="61">
        <v>236</v>
      </c>
      <c r="I549" s="28">
        <v>50</v>
      </c>
      <c r="J549" s="30">
        <f t="shared" si="65"/>
        <v>11800</v>
      </c>
      <c r="K549" s="28">
        <v>80</v>
      </c>
      <c r="L549" s="30">
        <f t="shared" si="65"/>
        <v>18880</v>
      </c>
      <c r="M549" s="28">
        <v>120</v>
      </c>
      <c r="N549" s="30">
        <f t="shared" si="71"/>
        <v>28320</v>
      </c>
      <c r="T549" s="62"/>
    </row>
    <row r="550" spans="1:20" x14ac:dyDescent="0.25">
      <c r="A550" s="26" t="s">
        <v>1119</v>
      </c>
      <c r="B550" s="27"/>
      <c r="C550" s="42"/>
      <c r="D550" s="27" t="s">
        <v>465</v>
      </c>
      <c r="E550" s="27"/>
      <c r="F550" s="27"/>
      <c r="G550" s="28" t="s">
        <v>18</v>
      </c>
      <c r="H550" s="61">
        <v>230</v>
      </c>
      <c r="I550" s="28">
        <v>50</v>
      </c>
      <c r="J550" s="30">
        <f t="shared" si="65"/>
        <v>11500</v>
      </c>
      <c r="K550" s="28">
        <v>80</v>
      </c>
      <c r="L550" s="30">
        <f t="shared" si="65"/>
        <v>18400</v>
      </c>
      <c r="M550" s="28">
        <v>50</v>
      </c>
      <c r="N550" s="30">
        <f t="shared" si="71"/>
        <v>11500</v>
      </c>
      <c r="T550" s="62"/>
    </row>
    <row r="551" spans="1:20" x14ac:dyDescent="0.25">
      <c r="A551" s="26" t="s">
        <v>1120</v>
      </c>
      <c r="B551" s="27"/>
      <c r="C551" s="42"/>
      <c r="D551" s="27" t="s">
        <v>466</v>
      </c>
      <c r="E551" s="27"/>
      <c r="F551" s="27"/>
      <c r="G551" s="28" t="s">
        <v>18</v>
      </c>
      <c r="H551" s="61">
        <v>265</v>
      </c>
      <c r="I551" s="28">
        <v>100</v>
      </c>
      <c r="J551" s="30">
        <f t="shared" si="65"/>
        <v>26500</v>
      </c>
      <c r="K551" s="28">
        <v>120</v>
      </c>
      <c r="L551" s="30">
        <f t="shared" si="65"/>
        <v>31800</v>
      </c>
      <c r="M551" s="28">
        <v>70</v>
      </c>
      <c r="N551" s="30">
        <f t="shared" si="71"/>
        <v>18550</v>
      </c>
      <c r="T551" s="62"/>
    </row>
    <row r="552" spans="1:20" x14ac:dyDescent="0.25">
      <c r="A552" s="26" t="s">
        <v>1121</v>
      </c>
      <c r="B552" s="27"/>
      <c r="C552" s="42"/>
      <c r="D552" s="27" t="s">
        <v>467</v>
      </c>
      <c r="E552" s="27"/>
      <c r="F552" s="27"/>
      <c r="G552" s="28" t="s">
        <v>18</v>
      </c>
      <c r="H552" s="61">
        <v>320</v>
      </c>
      <c r="I552" s="28">
        <v>40</v>
      </c>
      <c r="J552" s="30">
        <f t="shared" si="65"/>
        <v>12800</v>
      </c>
      <c r="K552" s="28">
        <v>50</v>
      </c>
      <c r="L552" s="30">
        <f t="shared" si="65"/>
        <v>16000</v>
      </c>
      <c r="M552" s="28">
        <v>100</v>
      </c>
      <c r="N552" s="30">
        <f t="shared" si="71"/>
        <v>32000</v>
      </c>
      <c r="T552" s="62"/>
    </row>
    <row r="553" spans="1:20" x14ac:dyDescent="0.25">
      <c r="A553" s="26" t="s">
        <v>1122</v>
      </c>
      <c r="B553" s="27"/>
      <c r="C553" s="42"/>
      <c r="D553" s="27" t="s">
        <v>607</v>
      </c>
      <c r="E553" s="27"/>
      <c r="F553" s="27"/>
      <c r="G553" s="28" t="s">
        <v>18</v>
      </c>
      <c r="H553" s="61">
        <v>475</v>
      </c>
      <c r="I553" s="28">
        <v>600</v>
      </c>
      <c r="J553" s="30">
        <f t="shared" si="65"/>
        <v>285000</v>
      </c>
      <c r="K553" s="28">
        <v>350</v>
      </c>
      <c r="L553" s="30">
        <f t="shared" si="65"/>
        <v>166250</v>
      </c>
      <c r="M553" s="28">
        <v>350</v>
      </c>
      <c r="N553" s="30">
        <f t="shared" si="71"/>
        <v>166250</v>
      </c>
      <c r="T553" s="62"/>
    </row>
    <row r="554" spans="1:20" x14ac:dyDescent="0.25">
      <c r="A554" s="20" t="s">
        <v>1123</v>
      </c>
      <c r="B554" s="21"/>
      <c r="C554" s="22" t="s">
        <v>567</v>
      </c>
      <c r="D554" s="21"/>
      <c r="E554" s="21"/>
      <c r="F554" s="21"/>
      <c r="G554" s="23"/>
      <c r="H554" s="24"/>
      <c r="I554" s="23"/>
      <c r="J554" s="25"/>
      <c r="K554" s="23"/>
      <c r="L554" s="25"/>
      <c r="M554" s="23"/>
      <c r="N554" s="25" t="str">
        <f t="shared" si="71"/>
        <v/>
      </c>
    </row>
    <row r="555" spans="1:20" x14ac:dyDescent="0.25">
      <c r="A555" s="26" t="s">
        <v>1124</v>
      </c>
      <c r="B555" s="27"/>
      <c r="C555" s="42"/>
      <c r="D555" s="27" t="s">
        <v>540</v>
      </c>
      <c r="E555" s="27"/>
      <c r="F555" s="27"/>
      <c r="G555" s="28"/>
      <c r="H555" s="61"/>
      <c r="I555" s="28"/>
      <c r="J555" s="30" t="str">
        <f t="shared" ref="J555:J558" si="76">IF($H555*I555=0,"",$H555*I555)</f>
        <v/>
      </c>
      <c r="K555" s="28"/>
      <c r="L555" s="30" t="str">
        <f t="shared" ref="L555:N558" si="77">IF($H555*K555=0,"",$H555*K555)</f>
        <v/>
      </c>
      <c r="M555" s="28"/>
      <c r="N555" s="30" t="str">
        <f t="shared" si="77"/>
        <v/>
      </c>
      <c r="T555" s="62"/>
    </row>
    <row r="556" spans="1:20" x14ac:dyDescent="0.25">
      <c r="A556" s="37" t="s">
        <v>1125</v>
      </c>
      <c r="B556" s="33"/>
      <c r="C556" s="33"/>
      <c r="D556" s="33"/>
      <c r="E556" s="33" t="s">
        <v>568</v>
      </c>
      <c r="F556" s="33"/>
      <c r="G556" s="34" t="s">
        <v>18</v>
      </c>
      <c r="H556" s="38">
        <v>37</v>
      </c>
      <c r="I556" s="34">
        <v>300</v>
      </c>
      <c r="J556" s="39">
        <f t="shared" si="76"/>
        <v>11100</v>
      </c>
      <c r="K556" s="34">
        <v>250</v>
      </c>
      <c r="L556" s="39">
        <f t="shared" si="77"/>
        <v>9250</v>
      </c>
      <c r="M556" s="34">
        <v>100</v>
      </c>
      <c r="N556" s="39">
        <f t="shared" si="77"/>
        <v>3700</v>
      </c>
    </row>
    <row r="557" spans="1:20" x14ac:dyDescent="0.25">
      <c r="A557" s="37" t="s">
        <v>1126</v>
      </c>
      <c r="B557" s="33"/>
      <c r="C557" s="33"/>
      <c r="D557" s="33"/>
      <c r="E557" s="33" t="s">
        <v>569</v>
      </c>
      <c r="F557" s="33"/>
      <c r="G557" s="34" t="s">
        <v>18</v>
      </c>
      <c r="H557" s="38">
        <v>42</v>
      </c>
      <c r="I557" s="34">
        <v>150</v>
      </c>
      <c r="J557" s="39">
        <f t="shared" si="76"/>
        <v>6300</v>
      </c>
      <c r="K557" s="34">
        <v>80</v>
      </c>
      <c r="L557" s="39">
        <f t="shared" si="77"/>
        <v>3360</v>
      </c>
      <c r="M557" s="34">
        <v>50</v>
      </c>
      <c r="N557" s="39">
        <f t="shared" si="77"/>
        <v>2100</v>
      </c>
    </row>
    <row r="558" spans="1:20" x14ac:dyDescent="0.25">
      <c r="A558" s="37" t="s">
        <v>1127</v>
      </c>
      <c r="B558" s="33"/>
      <c r="C558" s="33"/>
      <c r="D558" s="33"/>
      <c r="E558" s="33" t="s">
        <v>570</v>
      </c>
      <c r="F558" s="33"/>
      <c r="G558" s="34" t="s">
        <v>18</v>
      </c>
      <c r="H558" s="38">
        <v>56</v>
      </c>
      <c r="I558" s="34">
        <v>80</v>
      </c>
      <c r="J558" s="39">
        <f t="shared" si="76"/>
        <v>4480</v>
      </c>
      <c r="K558" s="34">
        <v>50</v>
      </c>
      <c r="L558" s="39">
        <f t="shared" si="77"/>
        <v>2800</v>
      </c>
      <c r="M558" s="34">
        <v>20</v>
      </c>
      <c r="N558" s="39">
        <f t="shared" si="77"/>
        <v>1120</v>
      </c>
    </row>
    <row r="559" spans="1:20" x14ac:dyDescent="0.25">
      <c r="A559" s="26" t="s">
        <v>1128</v>
      </c>
      <c r="B559" s="27"/>
      <c r="C559" s="42"/>
      <c r="D559" s="27" t="s">
        <v>541</v>
      </c>
      <c r="E559" s="27"/>
      <c r="F559" s="27"/>
      <c r="G559" s="28"/>
      <c r="H559" s="61"/>
      <c r="I559" s="28"/>
      <c r="J559" s="30" t="str">
        <f t="shared" ref="J559:J562" si="78">IF($H559*I559=0,"",$H559*I559)</f>
        <v/>
      </c>
      <c r="K559" s="28"/>
      <c r="L559" s="30" t="str">
        <f t="shared" ref="L559:N562" si="79">IF($H559*K559=0,"",$H559*K559)</f>
        <v/>
      </c>
      <c r="M559" s="28"/>
      <c r="N559" s="30" t="str">
        <f t="shared" si="79"/>
        <v/>
      </c>
      <c r="T559" s="62"/>
    </row>
    <row r="560" spans="1:20" x14ac:dyDescent="0.25">
      <c r="A560" s="37" t="s">
        <v>1129</v>
      </c>
      <c r="B560" s="33"/>
      <c r="C560" s="33"/>
      <c r="D560" s="33"/>
      <c r="E560" s="33" t="s">
        <v>568</v>
      </c>
      <c r="F560" s="33"/>
      <c r="G560" s="34" t="s">
        <v>18</v>
      </c>
      <c r="H560" s="38">
        <v>35</v>
      </c>
      <c r="I560" s="34">
        <v>300</v>
      </c>
      <c r="J560" s="39">
        <f t="shared" si="78"/>
        <v>10500</v>
      </c>
      <c r="K560" s="34">
        <v>250</v>
      </c>
      <c r="L560" s="39">
        <f t="shared" si="79"/>
        <v>8750</v>
      </c>
      <c r="M560" s="34">
        <v>100</v>
      </c>
      <c r="N560" s="39">
        <f t="shared" si="79"/>
        <v>3500</v>
      </c>
    </row>
    <row r="561" spans="1:20" x14ac:dyDescent="0.25">
      <c r="A561" s="37" t="s">
        <v>1130</v>
      </c>
      <c r="B561" s="33"/>
      <c r="C561" s="33"/>
      <c r="D561" s="33"/>
      <c r="E561" s="33" t="s">
        <v>569</v>
      </c>
      <c r="F561" s="33"/>
      <c r="G561" s="34" t="s">
        <v>18</v>
      </c>
      <c r="H561" s="38">
        <v>37</v>
      </c>
      <c r="I561" s="34">
        <v>150</v>
      </c>
      <c r="J561" s="39">
        <f t="shared" si="78"/>
        <v>5550</v>
      </c>
      <c r="K561" s="34">
        <v>80</v>
      </c>
      <c r="L561" s="39">
        <f t="shared" si="79"/>
        <v>2960</v>
      </c>
      <c r="M561" s="34">
        <v>50</v>
      </c>
      <c r="N561" s="39">
        <f t="shared" si="79"/>
        <v>1850</v>
      </c>
    </row>
    <row r="562" spans="1:20" x14ac:dyDescent="0.25">
      <c r="A562" s="37" t="s">
        <v>1131</v>
      </c>
      <c r="B562" s="33"/>
      <c r="C562" s="33"/>
      <c r="D562" s="33"/>
      <c r="E562" s="33" t="s">
        <v>570</v>
      </c>
      <c r="F562" s="33"/>
      <c r="G562" s="34" t="s">
        <v>18</v>
      </c>
      <c r="H562" s="38">
        <v>42</v>
      </c>
      <c r="I562" s="34">
        <v>80</v>
      </c>
      <c r="J562" s="39">
        <f t="shared" si="78"/>
        <v>3360</v>
      </c>
      <c r="K562" s="34">
        <v>50</v>
      </c>
      <c r="L562" s="39">
        <f t="shared" si="79"/>
        <v>2100</v>
      </c>
      <c r="M562" s="34">
        <v>20</v>
      </c>
      <c r="N562" s="39">
        <f t="shared" si="79"/>
        <v>840</v>
      </c>
    </row>
    <row r="563" spans="1:20" x14ac:dyDescent="0.25">
      <c r="A563" s="26" t="s">
        <v>1132</v>
      </c>
      <c r="B563" s="27"/>
      <c r="C563" s="42"/>
      <c r="D563" s="27" t="s">
        <v>542</v>
      </c>
      <c r="E563" s="27"/>
      <c r="F563" s="27"/>
      <c r="G563" s="28"/>
      <c r="H563" s="61"/>
      <c r="I563" s="28"/>
      <c r="J563" s="30" t="str">
        <f t="shared" ref="J563:J566" si="80">IF($H563*I563=0,"",$H563*I563)</f>
        <v/>
      </c>
      <c r="K563" s="28"/>
      <c r="L563" s="30" t="str">
        <f t="shared" ref="L563:N566" si="81">IF($H563*K563=0,"",$H563*K563)</f>
        <v/>
      </c>
      <c r="M563" s="28"/>
      <c r="N563" s="30" t="str">
        <f t="shared" si="81"/>
        <v/>
      </c>
      <c r="T563" s="62"/>
    </row>
    <row r="564" spans="1:20" x14ac:dyDescent="0.25">
      <c r="A564" s="37" t="s">
        <v>1133</v>
      </c>
      <c r="B564" s="33"/>
      <c r="C564" s="33"/>
      <c r="D564" s="33"/>
      <c r="E564" s="33" t="s">
        <v>568</v>
      </c>
      <c r="F564" s="33"/>
      <c r="G564" s="34" t="s">
        <v>18</v>
      </c>
      <c r="H564" s="38">
        <v>42</v>
      </c>
      <c r="I564" s="34">
        <v>300</v>
      </c>
      <c r="J564" s="39">
        <f t="shared" si="80"/>
        <v>12600</v>
      </c>
      <c r="K564" s="34">
        <v>250</v>
      </c>
      <c r="L564" s="39">
        <f t="shared" si="81"/>
        <v>10500</v>
      </c>
      <c r="M564" s="34">
        <v>100</v>
      </c>
      <c r="N564" s="39">
        <f t="shared" si="81"/>
        <v>4200</v>
      </c>
    </row>
    <row r="565" spans="1:20" x14ac:dyDescent="0.25">
      <c r="A565" s="37" t="s">
        <v>1134</v>
      </c>
      <c r="B565" s="33"/>
      <c r="C565" s="33"/>
      <c r="D565" s="33"/>
      <c r="E565" s="33" t="s">
        <v>569</v>
      </c>
      <c r="F565" s="33"/>
      <c r="G565" s="34" t="s">
        <v>18</v>
      </c>
      <c r="H565" s="38">
        <v>52</v>
      </c>
      <c r="I565" s="34">
        <v>150</v>
      </c>
      <c r="J565" s="39">
        <f t="shared" si="80"/>
        <v>7800</v>
      </c>
      <c r="K565" s="34">
        <v>80</v>
      </c>
      <c r="L565" s="39">
        <f t="shared" si="81"/>
        <v>4160</v>
      </c>
      <c r="M565" s="34">
        <v>50</v>
      </c>
      <c r="N565" s="39">
        <f t="shared" si="81"/>
        <v>2600</v>
      </c>
    </row>
    <row r="566" spans="1:20" x14ac:dyDescent="0.25">
      <c r="A566" s="37" t="s">
        <v>1135</v>
      </c>
      <c r="B566" s="33"/>
      <c r="C566" s="33"/>
      <c r="D566" s="33"/>
      <c r="E566" s="33" t="s">
        <v>570</v>
      </c>
      <c r="F566" s="33"/>
      <c r="G566" s="34" t="s">
        <v>18</v>
      </c>
      <c r="H566" s="38">
        <v>70</v>
      </c>
      <c r="I566" s="34">
        <v>80</v>
      </c>
      <c r="J566" s="39">
        <f t="shared" si="80"/>
        <v>5600</v>
      </c>
      <c r="K566" s="34">
        <v>50</v>
      </c>
      <c r="L566" s="39">
        <f t="shared" si="81"/>
        <v>3500</v>
      </c>
      <c r="M566" s="34">
        <v>20</v>
      </c>
      <c r="N566" s="39">
        <f t="shared" si="81"/>
        <v>1400</v>
      </c>
    </row>
    <row r="567" spans="1:20" x14ac:dyDescent="0.25">
      <c r="A567" s="20" t="s">
        <v>1136</v>
      </c>
      <c r="B567" s="21"/>
      <c r="C567" s="22" t="s">
        <v>364</v>
      </c>
      <c r="D567" s="21"/>
      <c r="E567" s="21"/>
      <c r="F567" s="21"/>
      <c r="G567" s="23"/>
      <c r="H567" s="23"/>
      <c r="I567" s="23"/>
      <c r="J567" s="25" t="str">
        <f t="shared" si="65"/>
        <v/>
      </c>
      <c r="K567" s="23"/>
      <c r="L567" s="25" t="str">
        <f t="shared" si="65"/>
        <v/>
      </c>
      <c r="M567" s="23"/>
      <c r="N567" s="25" t="str">
        <f t="shared" si="71"/>
        <v/>
      </c>
    </row>
    <row r="568" spans="1:20" ht="15" customHeight="1" collapsed="1" x14ac:dyDescent="0.25">
      <c r="A568" s="26" t="s">
        <v>1137</v>
      </c>
      <c r="B568" s="27"/>
      <c r="C568" s="27"/>
      <c r="D568" s="27" t="s">
        <v>111</v>
      </c>
      <c r="E568" s="27"/>
      <c r="F568" s="43"/>
      <c r="G568" s="28" t="s">
        <v>27</v>
      </c>
      <c r="H568" s="29">
        <v>395</v>
      </c>
      <c r="I568" s="28">
        <v>15</v>
      </c>
      <c r="J568" s="30">
        <f t="shared" si="65"/>
        <v>5925</v>
      </c>
      <c r="K568" s="28">
        <v>8</v>
      </c>
      <c r="L568" s="30">
        <f t="shared" si="65"/>
        <v>3160</v>
      </c>
      <c r="M568" s="28">
        <v>7</v>
      </c>
      <c r="N568" s="30">
        <f t="shared" si="71"/>
        <v>2765</v>
      </c>
    </row>
    <row r="569" spans="1:20" ht="15" customHeight="1" x14ac:dyDescent="0.25">
      <c r="A569" s="26" t="s">
        <v>1138</v>
      </c>
      <c r="B569" s="27"/>
      <c r="C569" s="27"/>
      <c r="D569" s="27" t="s">
        <v>112</v>
      </c>
      <c r="E569" s="27"/>
      <c r="F569" s="43"/>
      <c r="G569" s="28" t="s">
        <v>27</v>
      </c>
      <c r="H569" s="29">
        <v>510</v>
      </c>
      <c r="I569" s="28">
        <v>10</v>
      </c>
      <c r="J569" s="30">
        <f t="shared" si="65"/>
        <v>5100</v>
      </c>
      <c r="K569" s="28">
        <v>8</v>
      </c>
      <c r="L569" s="30">
        <f t="shared" si="65"/>
        <v>4080</v>
      </c>
      <c r="M569" s="28">
        <v>15</v>
      </c>
      <c r="N569" s="30">
        <f t="shared" si="71"/>
        <v>7650</v>
      </c>
    </row>
    <row r="570" spans="1:20" ht="15" customHeight="1" x14ac:dyDescent="0.25">
      <c r="A570" s="26" t="s">
        <v>1139</v>
      </c>
      <c r="B570" s="27"/>
      <c r="C570" s="27"/>
      <c r="D570" s="27" t="s">
        <v>113</v>
      </c>
      <c r="E570" s="27"/>
      <c r="F570" s="43"/>
      <c r="G570" s="28"/>
      <c r="H570" s="29"/>
      <c r="I570" s="28"/>
      <c r="J570" s="30" t="str">
        <f t="shared" si="65"/>
        <v/>
      </c>
      <c r="K570" s="28"/>
      <c r="L570" s="30" t="str">
        <f t="shared" si="65"/>
        <v/>
      </c>
      <c r="M570" s="28"/>
      <c r="N570" s="30" t="str">
        <f t="shared" si="71"/>
        <v/>
      </c>
    </row>
    <row r="571" spans="1:20" x14ac:dyDescent="0.25">
      <c r="A571" s="37" t="s">
        <v>1140</v>
      </c>
      <c r="B571" s="33"/>
      <c r="C571" s="33"/>
      <c r="D571" s="33"/>
      <c r="E571" s="33" t="s">
        <v>572</v>
      </c>
      <c r="F571" s="33"/>
      <c r="G571" s="34" t="s">
        <v>18</v>
      </c>
      <c r="H571" s="38">
        <v>737</v>
      </c>
      <c r="I571" s="34">
        <v>12</v>
      </c>
      <c r="J571" s="39">
        <f t="shared" si="65"/>
        <v>8844</v>
      </c>
      <c r="K571" s="34">
        <v>8</v>
      </c>
      <c r="L571" s="39">
        <f t="shared" si="65"/>
        <v>5896</v>
      </c>
      <c r="M571" s="34">
        <v>6</v>
      </c>
      <c r="N571" s="39">
        <f t="shared" si="71"/>
        <v>4422</v>
      </c>
    </row>
    <row r="572" spans="1:20" x14ac:dyDescent="0.25">
      <c r="A572" s="37" t="s">
        <v>1141</v>
      </c>
      <c r="B572" s="33"/>
      <c r="C572" s="33"/>
      <c r="D572" s="33"/>
      <c r="E572" s="33" t="s">
        <v>571</v>
      </c>
      <c r="F572" s="33"/>
      <c r="G572" s="34" t="s">
        <v>18</v>
      </c>
      <c r="H572" s="38">
        <v>745</v>
      </c>
      <c r="I572" s="34">
        <v>10</v>
      </c>
      <c r="J572" s="39">
        <f t="shared" si="65"/>
        <v>7450</v>
      </c>
      <c r="K572" s="34">
        <v>12</v>
      </c>
      <c r="L572" s="39">
        <f t="shared" si="65"/>
        <v>8940</v>
      </c>
      <c r="M572" s="34">
        <v>6</v>
      </c>
      <c r="N572" s="39">
        <f t="shared" si="71"/>
        <v>4470</v>
      </c>
    </row>
    <row r="573" spans="1:20" ht="15" customHeight="1" x14ac:dyDescent="0.25">
      <c r="A573" s="26" t="s">
        <v>1142</v>
      </c>
      <c r="B573" s="27"/>
      <c r="C573" s="27"/>
      <c r="D573" s="27" t="s">
        <v>114</v>
      </c>
      <c r="E573" s="27"/>
      <c r="F573" s="43"/>
      <c r="G573" s="28" t="s">
        <v>27</v>
      </c>
      <c r="H573" s="29">
        <v>770</v>
      </c>
      <c r="I573" s="28">
        <v>3</v>
      </c>
      <c r="J573" s="30">
        <f t="shared" si="65"/>
        <v>2310</v>
      </c>
      <c r="K573" s="28">
        <v>13</v>
      </c>
      <c r="L573" s="30">
        <f t="shared" si="65"/>
        <v>10010</v>
      </c>
      <c r="M573" s="28">
        <v>10</v>
      </c>
      <c r="N573" s="30">
        <f t="shared" si="71"/>
        <v>7700</v>
      </c>
    </row>
    <row r="574" spans="1:20" ht="15" customHeight="1" x14ac:dyDescent="0.25">
      <c r="A574" s="26" t="s">
        <v>1143</v>
      </c>
      <c r="B574" s="27"/>
      <c r="C574" s="27"/>
      <c r="D574" s="27" t="s">
        <v>608</v>
      </c>
      <c r="E574" s="27"/>
      <c r="F574" s="43"/>
      <c r="G574" s="28" t="s">
        <v>27</v>
      </c>
      <c r="H574" s="29">
        <v>345</v>
      </c>
      <c r="I574" s="28">
        <v>5</v>
      </c>
      <c r="J574" s="30">
        <f t="shared" ref="J574" si="82">IF($H574*I574=0,"",$H574*I574)</f>
        <v>1725</v>
      </c>
      <c r="K574" s="28">
        <v>10</v>
      </c>
      <c r="L574" s="30">
        <f t="shared" ref="L574" si="83">IF($H574*K574=0,"",$H574*K574)</f>
        <v>3450</v>
      </c>
      <c r="M574" s="28">
        <v>30</v>
      </c>
      <c r="N574" s="30">
        <f t="shared" ref="N574" si="84">IF($H574*M574=0,"",$H574*M574)</f>
        <v>10350</v>
      </c>
    </row>
    <row r="575" spans="1:20" ht="15" customHeight="1" x14ac:dyDescent="0.25">
      <c r="A575" s="20" t="s">
        <v>1144</v>
      </c>
      <c r="B575" s="21"/>
      <c r="C575" s="22" t="s">
        <v>365</v>
      </c>
      <c r="D575" s="21"/>
      <c r="E575" s="21"/>
      <c r="F575" s="21"/>
      <c r="G575" s="23"/>
      <c r="H575" s="24"/>
      <c r="I575" s="23"/>
      <c r="J575" s="25" t="str">
        <f t="shared" si="65"/>
        <v/>
      </c>
      <c r="K575" s="23"/>
      <c r="L575" s="25" t="str">
        <f t="shared" si="65"/>
        <v/>
      </c>
      <c r="M575" s="23"/>
      <c r="N575" s="25" t="str">
        <f t="shared" si="71"/>
        <v/>
      </c>
    </row>
    <row r="576" spans="1:20" ht="15" customHeight="1" collapsed="1" x14ac:dyDescent="0.25">
      <c r="A576" s="26" t="s">
        <v>1145</v>
      </c>
      <c r="B576" s="27"/>
      <c r="C576" s="27"/>
      <c r="D576" s="27" t="s">
        <v>366</v>
      </c>
      <c r="E576" s="27"/>
      <c r="F576" s="43"/>
      <c r="G576" s="28" t="s">
        <v>27</v>
      </c>
      <c r="H576" s="29">
        <v>1055</v>
      </c>
      <c r="I576" s="28">
        <v>10</v>
      </c>
      <c r="J576" s="30">
        <f t="shared" si="65"/>
        <v>10550</v>
      </c>
      <c r="K576" s="28">
        <v>25</v>
      </c>
      <c r="L576" s="30">
        <f t="shared" si="65"/>
        <v>26375</v>
      </c>
      <c r="M576" s="28">
        <v>12</v>
      </c>
      <c r="N576" s="30">
        <f t="shared" si="71"/>
        <v>12660</v>
      </c>
    </row>
    <row r="577" spans="1:14" ht="15" customHeight="1" x14ac:dyDescent="0.25">
      <c r="A577" s="26" t="s">
        <v>1146</v>
      </c>
      <c r="B577" s="27"/>
      <c r="C577" s="27"/>
      <c r="D577" s="27" t="s">
        <v>367</v>
      </c>
      <c r="E577" s="27"/>
      <c r="F577" s="43"/>
      <c r="G577" s="28" t="s">
        <v>27</v>
      </c>
      <c r="H577" s="29">
        <v>1489</v>
      </c>
      <c r="I577" s="28">
        <v>8</v>
      </c>
      <c r="J577" s="30">
        <f t="shared" si="65"/>
        <v>11912</v>
      </c>
      <c r="K577" s="28">
        <v>10</v>
      </c>
      <c r="L577" s="30">
        <f t="shared" si="65"/>
        <v>14890</v>
      </c>
      <c r="M577" s="28">
        <v>25</v>
      </c>
      <c r="N577" s="30">
        <f t="shared" si="71"/>
        <v>37225</v>
      </c>
    </row>
    <row r="578" spans="1:14" ht="15" customHeight="1" x14ac:dyDescent="0.25">
      <c r="A578" s="26" t="s">
        <v>1147</v>
      </c>
      <c r="B578" s="27"/>
      <c r="C578" s="27"/>
      <c r="D578" s="27" t="s">
        <v>368</v>
      </c>
      <c r="E578" s="27"/>
      <c r="F578" s="43"/>
      <c r="G578" s="28" t="s">
        <v>27</v>
      </c>
      <c r="H578" s="29">
        <v>1700</v>
      </c>
      <c r="I578" s="28">
        <v>5</v>
      </c>
      <c r="J578" s="30">
        <f t="shared" si="65"/>
        <v>8500</v>
      </c>
      <c r="K578" s="28">
        <v>6</v>
      </c>
      <c r="L578" s="30">
        <f t="shared" si="65"/>
        <v>10200</v>
      </c>
      <c r="M578" s="28">
        <v>25</v>
      </c>
      <c r="N578" s="30">
        <f t="shared" si="71"/>
        <v>42500</v>
      </c>
    </row>
    <row r="579" spans="1:14" ht="15" customHeight="1" x14ac:dyDescent="0.25">
      <c r="A579" s="26" t="s">
        <v>1148</v>
      </c>
      <c r="B579" s="27"/>
      <c r="C579" s="27"/>
      <c r="D579" s="27" t="s">
        <v>369</v>
      </c>
      <c r="E579" s="27"/>
      <c r="F579" s="43"/>
      <c r="G579" s="28" t="s">
        <v>27</v>
      </c>
      <c r="H579" s="29">
        <v>1985</v>
      </c>
      <c r="I579" s="28">
        <v>30</v>
      </c>
      <c r="J579" s="30">
        <f t="shared" si="65"/>
        <v>59550</v>
      </c>
      <c r="K579" s="28">
        <v>7</v>
      </c>
      <c r="L579" s="30">
        <f t="shared" si="65"/>
        <v>13895</v>
      </c>
      <c r="M579" s="28">
        <v>11</v>
      </c>
      <c r="N579" s="30">
        <f t="shared" si="71"/>
        <v>21835</v>
      </c>
    </row>
    <row r="580" spans="1:14" ht="15" customHeight="1" collapsed="1" x14ac:dyDescent="0.25">
      <c r="A580" s="26" t="s">
        <v>1149</v>
      </c>
      <c r="B580" s="27"/>
      <c r="C580" s="27"/>
      <c r="D580" s="27" t="s">
        <v>370</v>
      </c>
      <c r="E580" s="27"/>
      <c r="F580" s="43"/>
      <c r="G580" s="28" t="s">
        <v>27</v>
      </c>
      <c r="H580" s="29">
        <v>1264</v>
      </c>
      <c r="I580" s="28">
        <v>6</v>
      </c>
      <c r="J580" s="30">
        <f t="shared" si="65"/>
        <v>7584</v>
      </c>
      <c r="K580" s="28">
        <v>5</v>
      </c>
      <c r="L580" s="30">
        <f t="shared" si="65"/>
        <v>6320</v>
      </c>
      <c r="M580" s="28">
        <v>5</v>
      </c>
      <c r="N580" s="30">
        <f t="shared" si="71"/>
        <v>6320</v>
      </c>
    </row>
    <row r="581" spans="1:14" ht="15" customHeight="1" x14ac:dyDescent="0.25">
      <c r="A581" s="26" t="s">
        <v>1150</v>
      </c>
      <c r="B581" s="27"/>
      <c r="C581" s="27"/>
      <c r="D581" s="27" t="s">
        <v>371</v>
      </c>
      <c r="E581" s="27"/>
      <c r="F581" s="43"/>
      <c r="G581" s="28" t="s">
        <v>27</v>
      </c>
      <c r="H581" s="29">
        <v>1700</v>
      </c>
      <c r="I581" s="28">
        <v>7</v>
      </c>
      <c r="J581" s="30">
        <f t="shared" si="65"/>
        <v>11900</v>
      </c>
      <c r="K581" s="28">
        <v>30</v>
      </c>
      <c r="L581" s="30">
        <f t="shared" si="65"/>
        <v>51000</v>
      </c>
      <c r="M581" s="28">
        <v>8</v>
      </c>
      <c r="N581" s="30">
        <f t="shared" si="71"/>
        <v>13600</v>
      </c>
    </row>
    <row r="582" spans="1:14" ht="15" customHeight="1" x14ac:dyDescent="0.25">
      <c r="A582" s="26" t="s">
        <v>1151</v>
      </c>
      <c r="B582" s="27"/>
      <c r="C582" s="27"/>
      <c r="D582" s="27" t="s">
        <v>372</v>
      </c>
      <c r="E582" s="27"/>
      <c r="F582" s="43"/>
      <c r="G582" s="28" t="s">
        <v>27</v>
      </c>
      <c r="H582" s="29">
        <v>2137</v>
      </c>
      <c r="I582" s="28">
        <v>9</v>
      </c>
      <c r="J582" s="30">
        <f t="shared" si="65"/>
        <v>19233</v>
      </c>
      <c r="K582" s="28">
        <v>8</v>
      </c>
      <c r="L582" s="30">
        <f t="shared" si="65"/>
        <v>17096</v>
      </c>
      <c r="M582" s="28">
        <v>25</v>
      </c>
      <c r="N582" s="30">
        <f t="shared" si="71"/>
        <v>53425</v>
      </c>
    </row>
    <row r="583" spans="1:14" ht="15" customHeight="1" x14ac:dyDescent="0.25">
      <c r="A583" s="26" t="s">
        <v>1152</v>
      </c>
      <c r="B583" s="27"/>
      <c r="C583" s="27"/>
      <c r="D583" s="27" t="s">
        <v>373</v>
      </c>
      <c r="E583" s="27"/>
      <c r="F583" s="43"/>
      <c r="G583" s="28" t="s">
        <v>27</v>
      </c>
      <c r="H583" s="29">
        <v>2690</v>
      </c>
      <c r="I583" s="28">
        <v>25</v>
      </c>
      <c r="J583" s="30">
        <f t="shared" si="65"/>
        <v>67250</v>
      </c>
      <c r="K583" s="28">
        <v>13</v>
      </c>
      <c r="L583" s="30">
        <f t="shared" si="65"/>
        <v>34970</v>
      </c>
      <c r="M583" s="28">
        <v>7</v>
      </c>
      <c r="N583" s="30">
        <f t="shared" si="71"/>
        <v>18830</v>
      </c>
    </row>
    <row r="584" spans="1:14" ht="15" customHeight="1" x14ac:dyDescent="0.25">
      <c r="A584" s="26" t="s">
        <v>1153</v>
      </c>
      <c r="B584" s="27"/>
      <c r="C584" s="27"/>
      <c r="D584" s="27" t="s">
        <v>374</v>
      </c>
      <c r="E584" s="27"/>
      <c r="F584" s="43"/>
      <c r="G584" s="28" t="s">
        <v>27</v>
      </c>
      <c r="H584" s="29">
        <v>5500</v>
      </c>
      <c r="I584" s="28">
        <v>10</v>
      </c>
      <c r="J584" s="30">
        <f t="shared" si="65"/>
        <v>55000</v>
      </c>
      <c r="K584" s="28">
        <v>10</v>
      </c>
      <c r="L584" s="30">
        <f t="shared" si="65"/>
        <v>55000</v>
      </c>
      <c r="M584" s="28">
        <v>25</v>
      </c>
      <c r="N584" s="30">
        <f t="shared" si="71"/>
        <v>137500</v>
      </c>
    </row>
    <row r="585" spans="1:14" ht="15" customHeight="1" x14ac:dyDescent="0.25">
      <c r="A585" s="26" t="s">
        <v>1154</v>
      </c>
      <c r="B585" s="27"/>
      <c r="C585" s="27"/>
      <c r="D585" s="27" t="s">
        <v>375</v>
      </c>
      <c r="E585" s="27"/>
      <c r="F585" s="43"/>
      <c r="G585" s="28" t="s">
        <v>27</v>
      </c>
      <c r="H585" s="29">
        <v>6800</v>
      </c>
      <c r="I585" s="28">
        <v>8</v>
      </c>
      <c r="J585" s="30">
        <f t="shared" si="65"/>
        <v>54400</v>
      </c>
      <c r="K585" s="28">
        <v>30</v>
      </c>
      <c r="L585" s="30">
        <f t="shared" si="65"/>
        <v>204000</v>
      </c>
      <c r="M585" s="28">
        <v>16</v>
      </c>
      <c r="N585" s="30">
        <f t="shared" si="71"/>
        <v>108800</v>
      </c>
    </row>
    <row r="586" spans="1:14" ht="15" customHeight="1" x14ac:dyDescent="0.25">
      <c r="A586" s="26" t="s">
        <v>1155</v>
      </c>
      <c r="B586" s="27"/>
      <c r="C586" s="27"/>
      <c r="D586" s="27" t="s">
        <v>376</v>
      </c>
      <c r="E586" s="27"/>
      <c r="F586" s="43"/>
      <c r="G586" s="28" t="s">
        <v>27</v>
      </c>
      <c r="H586" s="29">
        <v>9750</v>
      </c>
      <c r="I586" s="28">
        <v>25</v>
      </c>
      <c r="J586" s="30">
        <f t="shared" si="65"/>
        <v>243750</v>
      </c>
      <c r="K586" s="28">
        <v>9</v>
      </c>
      <c r="L586" s="30">
        <f t="shared" si="65"/>
        <v>87750</v>
      </c>
      <c r="M586" s="28">
        <v>8</v>
      </c>
      <c r="N586" s="30">
        <f t="shared" si="71"/>
        <v>78000</v>
      </c>
    </row>
    <row r="587" spans="1:14" ht="15" customHeight="1" x14ac:dyDescent="0.25">
      <c r="A587" s="26" t="s">
        <v>1156</v>
      </c>
      <c r="B587" s="27"/>
      <c r="C587" s="27"/>
      <c r="D587" s="27" t="s">
        <v>377</v>
      </c>
      <c r="E587" s="27"/>
      <c r="F587" s="43"/>
      <c r="G587" s="28" t="s">
        <v>27</v>
      </c>
      <c r="H587" s="29">
        <v>9750</v>
      </c>
      <c r="I587" s="28">
        <v>10</v>
      </c>
      <c r="J587" s="30">
        <f t="shared" si="65"/>
        <v>97500</v>
      </c>
      <c r="K587" s="28">
        <v>20</v>
      </c>
      <c r="L587" s="30">
        <f t="shared" si="65"/>
        <v>195000</v>
      </c>
      <c r="M587" s="28">
        <v>5</v>
      </c>
      <c r="N587" s="30">
        <f t="shared" si="71"/>
        <v>48750</v>
      </c>
    </row>
    <row r="588" spans="1:14" ht="15" customHeight="1" x14ac:dyDescent="0.25">
      <c r="A588" s="26" t="s">
        <v>1157</v>
      </c>
      <c r="B588" s="27"/>
      <c r="C588" s="27"/>
      <c r="D588" s="27" t="s">
        <v>378</v>
      </c>
      <c r="E588" s="27"/>
      <c r="F588" s="43"/>
      <c r="G588" s="28" t="s">
        <v>27</v>
      </c>
      <c r="H588" s="29">
        <v>4050</v>
      </c>
      <c r="I588" s="28">
        <v>10</v>
      </c>
      <c r="J588" s="30">
        <f t="shared" si="65"/>
        <v>40500</v>
      </c>
      <c r="K588" s="28">
        <v>6</v>
      </c>
      <c r="L588" s="30">
        <f t="shared" si="65"/>
        <v>24300</v>
      </c>
      <c r="M588" s="28">
        <v>30</v>
      </c>
      <c r="N588" s="30">
        <f t="shared" si="71"/>
        <v>121500</v>
      </c>
    </row>
    <row r="589" spans="1:14" ht="15" customHeight="1" x14ac:dyDescent="0.25">
      <c r="A589" s="26" t="s">
        <v>1158</v>
      </c>
      <c r="B589" s="27"/>
      <c r="C589" s="27"/>
      <c r="D589" s="27" t="s">
        <v>379</v>
      </c>
      <c r="E589" s="27"/>
      <c r="F589" s="43"/>
      <c r="G589" s="28" t="s">
        <v>27</v>
      </c>
      <c r="H589" s="29">
        <v>2500</v>
      </c>
      <c r="I589" s="28">
        <v>10</v>
      </c>
      <c r="J589" s="30">
        <f t="shared" si="65"/>
        <v>25000</v>
      </c>
      <c r="K589" s="28">
        <v>20</v>
      </c>
      <c r="L589" s="30">
        <f t="shared" si="65"/>
        <v>50000</v>
      </c>
      <c r="M589" s="28">
        <v>6</v>
      </c>
      <c r="N589" s="30">
        <f t="shared" si="71"/>
        <v>15000</v>
      </c>
    </row>
    <row r="590" spans="1:14" ht="15" customHeight="1" x14ac:dyDescent="0.25">
      <c r="A590" s="26" t="s">
        <v>1159</v>
      </c>
      <c r="B590" s="27"/>
      <c r="C590" s="27"/>
      <c r="D590" s="27" t="s">
        <v>380</v>
      </c>
      <c r="E590" s="27"/>
      <c r="F590" s="43"/>
      <c r="G590" s="28" t="s">
        <v>27</v>
      </c>
      <c r="H590" s="29">
        <v>5500</v>
      </c>
      <c r="I590" s="28">
        <v>20</v>
      </c>
      <c r="J590" s="30">
        <f t="shared" si="65"/>
        <v>110000</v>
      </c>
      <c r="K590" s="28">
        <v>5</v>
      </c>
      <c r="L590" s="30">
        <f t="shared" si="65"/>
        <v>27500</v>
      </c>
      <c r="M590" s="28">
        <v>10</v>
      </c>
      <c r="N590" s="30">
        <f t="shared" si="71"/>
        <v>55000</v>
      </c>
    </row>
    <row r="591" spans="1:14" ht="15" customHeight="1" x14ac:dyDescent="0.25">
      <c r="A591" s="26" t="s">
        <v>1160</v>
      </c>
      <c r="B591" s="27"/>
      <c r="C591" s="27"/>
      <c r="D591" s="27" t="s">
        <v>381</v>
      </c>
      <c r="E591" s="27"/>
      <c r="F591" s="43"/>
      <c r="G591" s="28" t="s">
        <v>27</v>
      </c>
      <c r="H591" s="29">
        <v>3150</v>
      </c>
      <c r="I591" s="28">
        <v>50</v>
      </c>
      <c r="J591" s="30">
        <f t="shared" si="65"/>
        <v>157500</v>
      </c>
      <c r="K591" s="28">
        <v>30</v>
      </c>
      <c r="L591" s="30">
        <f t="shared" si="65"/>
        <v>94500</v>
      </c>
      <c r="M591" s="28">
        <v>80</v>
      </c>
      <c r="N591" s="30">
        <f t="shared" si="71"/>
        <v>252000</v>
      </c>
    </row>
    <row r="592" spans="1:14" ht="15" customHeight="1" x14ac:dyDescent="0.25">
      <c r="A592" s="26" t="s">
        <v>1161</v>
      </c>
      <c r="B592" s="27"/>
      <c r="C592" s="27"/>
      <c r="D592" s="27" t="s">
        <v>532</v>
      </c>
      <c r="E592" s="27"/>
      <c r="F592" s="43"/>
      <c r="G592" s="28" t="s">
        <v>27</v>
      </c>
      <c r="H592" s="29">
        <v>40</v>
      </c>
      <c r="I592" s="28">
        <v>100</v>
      </c>
      <c r="J592" s="30">
        <f t="shared" ref="J592" si="85">IF($H592*I592=0,"",$H592*I592)</f>
        <v>4000</v>
      </c>
      <c r="K592" s="28">
        <v>150</v>
      </c>
      <c r="L592" s="30">
        <f t="shared" ref="L592:N592" si="86">IF($H592*K592=0,"",$H592*K592)</f>
        <v>6000</v>
      </c>
      <c r="M592" s="28">
        <v>400</v>
      </c>
      <c r="N592" s="30">
        <f t="shared" si="86"/>
        <v>16000</v>
      </c>
    </row>
    <row r="593" spans="1:20" ht="15" customHeight="1" x14ac:dyDescent="0.25">
      <c r="A593" s="20" t="s">
        <v>1162</v>
      </c>
      <c r="B593" s="21"/>
      <c r="C593" s="22" t="s">
        <v>382</v>
      </c>
      <c r="D593" s="21"/>
      <c r="E593" s="21"/>
      <c r="F593" s="21"/>
      <c r="G593" s="23"/>
      <c r="H593" s="23"/>
      <c r="I593" s="23"/>
      <c r="J593" s="25" t="str">
        <f t="shared" si="65"/>
        <v/>
      </c>
      <c r="K593" s="23"/>
      <c r="L593" s="25" t="str">
        <f t="shared" si="65"/>
        <v/>
      </c>
      <c r="M593" s="23"/>
      <c r="N593" s="25" t="str">
        <f t="shared" si="71"/>
        <v/>
      </c>
    </row>
    <row r="594" spans="1:20" ht="15" customHeight="1" x14ac:dyDescent="0.25">
      <c r="A594" s="26" t="s">
        <v>1163</v>
      </c>
      <c r="B594" s="27"/>
      <c r="C594" s="42"/>
      <c r="D594" s="27" t="s">
        <v>468</v>
      </c>
      <c r="E594" s="27"/>
      <c r="F594" s="27"/>
      <c r="G594" s="28" t="s">
        <v>27</v>
      </c>
      <c r="H594" s="31">
        <v>603</v>
      </c>
      <c r="I594" s="28">
        <v>70</v>
      </c>
      <c r="J594" s="32">
        <f t="shared" si="65"/>
        <v>42210</v>
      </c>
      <c r="K594" s="28">
        <v>30</v>
      </c>
      <c r="L594" s="32">
        <f t="shared" si="65"/>
        <v>18090</v>
      </c>
      <c r="M594" s="28">
        <v>60</v>
      </c>
      <c r="N594" s="32">
        <f t="shared" si="71"/>
        <v>36180</v>
      </c>
      <c r="T594" s="62"/>
    </row>
    <row r="595" spans="1:20" ht="15" customHeight="1" x14ac:dyDescent="0.25">
      <c r="A595" s="26" t="s">
        <v>1164</v>
      </c>
      <c r="B595" s="27"/>
      <c r="C595" s="42"/>
      <c r="D595" s="27" t="s">
        <v>469</v>
      </c>
      <c r="E595" s="27"/>
      <c r="F595" s="27"/>
      <c r="G595" s="28" t="s">
        <v>23</v>
      </c>
      <c r="H595" s="31">
        <v>42.6</v>
      </c>
      <c r="I595" s="28">
        <v>250</v>
      </c>
      <c r="J595" s="32">
        <f t="shared" si="65"/>
        <v>10650</v>
      </c>
      <c r="K595" s="28">
        <v>100</v>
      </c>
      <c r="L595" s="32">
        <f t="shared" si="65"/>
        <v>4260</v>
      </c>
      <c r="M595" s="28">
        <v>120</v>
      </c>
      <c r="N595" s="32">
        <f t="shared" si="71"/>
        <v>5112</v>
      </c>
      <c r="T595" s="62"/>
    </row>
    <row r="596" spans="1:20" x14ac:dyDescent="0.25">
      <c r="A596" s="20" t="s">
        <v>1165</v>
      </c>
      <c r="B596" s="21"/>
      <c r="C596" s="22" t="s">
        <v>383</v>
      </c>
      <c r="D596" s="21"/>
      <c r="E596" s="21"/>
      <c r="F596" s="21"/>
      <c r="G596" s="23" t="s">
        <v>27</v>
      </c>
      <c r="H596" s="25">
        <v>3150</v>
      </c>
      <c r="I596" s="23">
        <v>14</v>
      </c>
      <c r="J596" s="25">
        <f t="shared" si="65"/>
        <v>44100</v>
      </c>
      <c r="K596" s="23">
        <v>15</v>
      </c>
      <c r="L596" s="25">
        <f t="shared" si="65"/>
        <v>47250</v>
      </c>
      <c r="M596" s="23">
        <v>50</v>
      </c>
      <c r="N596" s="25">
        <f t="shared" si="71"/>
        <v>157500</v>
      </c>
    </row>
    <row r="597" spans="1:20" x14ac:dyDescent="0.25">
      <c r="A597" s="20" t="s">
        <v>1166</v>
      </c>
      <c r="B597" s="21"/>
      <c r="C597" s="22" t="s">
        <v>384</v>
      </c>
      <c r="D597" s="21"/>
      <c r="E597" s="21"/>
      <c r="F597" s="21"/>
      <c r="G597" s="23" t="s">
        <v>27</v>
      </c>
      <c r="H597" s="25">
        <v>190</v>
      </c>
      <c r="I597" s="23">
        <v>50</v>
      </c>
      <c r="J597" s="25">
        <f t="shared" si="65"/>
        <v>9500</v>
      </c>
      <c r="K597" s="23">
        <v>30</v>
      </c>
      <c r="L597" s="25">
        <f t="shared" si="65"/>
        <v>5700</v>
      </c>
      <c r="M597" s="23">
        <v>80</v>
      </c>
      <c r="N597" s="25">
        <f t="shared" si="71"/>
        <v>15200</v>
      </c>
    </row>
    <row r="598" spans="1:20" ht="16.5" collapsed="1" x14ac:dyDescent="0.25">
      <c r="A598" s="14">
        <v>7</v>
      </c>
      <c r="B598" s="15" t="s">
        <v>385</v>
      </c>
      <c r="C598" s="15"/>
      <c r="D598" s="16"/>
      <c r="E598" s="16"/>
      <c r="F598" s="51"/>
      <c r="G598" s="16"/>
      <c r="H598" s="17"/>
      <c r="I598" s="16"/>
      <c r="J598" s="18">
        <f>SUM(J599:J664)</f>
        <v>819750.15</v>
      </c>
      <c r="K598" s="16"/>
      <c r="L598" s="18">
        <f>SUM(L599:L664)</f>
        <v>844964.5</v>
      </c>
      <c r="M598" s="16"/>
      <c r="N598" s="18">
        <f>SUM(N599:N664)</f>
        <v>817890.70000000007</v>
      </c>
    </row>
    <row r="599" spans="1:20" x14ac:dyDescent="0.25">
      <c r="A599" s="20" t="s">
        <v>1167</v>
      </c>
      <c r="B599" s="21"/>
      <c r="C599" s="22" t="s">
        <v>393</v>
      </c>
      <c r="D599" s="21"/>
      <c r="E599" s="21"/>
      <c r="F599" s="21"/>
      <c r="G599" s="23"/>
      <c r="H599" s="24"/>
      <c r="I599" s="23"/>
      <c r="J599" s="25" t="str">
        <f t="shared" ref="J599:N607" si="87">IF($H599*I599=0,"",$H599*I599)</f>
        <v/>
      </c>
      <c r="K599" s="23"/>
      <c r="L599" s="25" t="str">
        <f t="shared" si="87"/>
        <v/>
      </c>
      <c r="M599" s="23"/>
      <c r="N599" s="25" t="str">
        <f t="shared" si="87"/>
        <v/>
      </c>
    </row>
    <row r="600" spans="1:20" x14ac:dyDescent="0.25">
      <c r="A600" s="26" t="s">
        <v>1168</v>
      </c>
      <c r="B600" s="55"/>
      <c r="C600" s="55"/>
      <c r="D600" s="55" t="s">
        <v>386</v>
      </c>
      <c r="E600" s="55"/>
      <c r="F600" s="56"/>
      <c r="G600" s="57"/>
      <c r="H600" s="58"/>
      <c r="I600" s="57"/>
      <c r="J600" s="59" t="str">
        <f t="shared" si="87"/>
        <v/>
      </c>
      <c r="K600" s="57"/>
      <c r="L600" s="59" t="str">
        <f t="shared" si="87"/>
        <v/>
      </c>
      <c r="M600" s="57"/>
      <c r="N600" s="59" t="str">
        <f t="shared" si="87"/>
        <v/>
      </c>
    </row>
    <row r="601" spans="1:20" x14ac:dyDescent="0.25">
      <c r="A601" s="26" t="s">
        <v>1169</v>
      </c>
      <c r="B601" s="55"/>
      <c r="C601" s="55"/>
      <c r="D601" s="55"/>
      <c r="E601" s="55" t="s">
        <v>387</v>
      </c>
      <c r="F601" s="60"/>
      <c r="G601" s="57" t="s">
        <v>154</v>
      </c>
      <c r="H601" s="58">
        <v>14</v>
      </c>
      <c r="I601" s="57">
        <v>1350</v>
      </c>
      <c r="J601" s="59">
        <f t="shared" si="87"/>
        <v>18900</v>
      </c>
      <c r="K601" s="57">
        <v>1800</v>
      </c>
      <c r="L601" s="59">
        <f t="shared" si="87"/>
        <v>25200</v>
      </c>
      <c r="M601" s="57">
        <v>1950</v>
      </c>
      <c r="N601" s="59">
        <f t="shared" si="87"/>
        <v>27300</v>
      </c>
    </row>
    <row r="602" spans="1:20" x14ac:dyDescent="0.25">
      <c r="A602" s="26" t="s">
        <v>1170</v>
      </c>
      <c r="B602" s="55"/>
      <c r="C602" s="55"/>
      <c r="D602" s="55"/>
      <c r="E602" s="55" t="s">
        <v>388</v>
      </c>
      <c r="F602" s="56"/>
      <c r="G602" s="57" t="s">
        <v>154</v>
      </c>
      <c r="H602" s="58">
        <v>14</v>
      </c>
      <c r="I602" s="57">
        <v>1140</v>
      </c>
      <c r="J602" s="59">
        <f t="shared" si="87"/>
        <v>15960</v>
      </c>
      <c r="K602" s="57">
        <v>1080</v>
      </c>
      <c r="L602" s="59">
        <f t="shared" si="87"/>
        <v>15120</v>
      </c>
      <c r="M602" s="57">
        <v>1020</v>
      </c>
      <c r="N602" s="59">
        <f t="shared" si="87"/>
        <v>14280</v>
      </c>
    </row>
    <row r="603" spans="1:20" x14ac:dyDescent="0.25">
      <c r="A603" s="26" t="s">
        <v>1171</v>
      </c>
      <c r="B603" s="55"/>
      <c r="C603" s="55"/>
      <c r="D603" s="55"/>
      <c r="E603" s="55" t="s">
        <v>1277</v>
      </c>
      <c r="F603" s="56"/>
      <c r="G603" s="57" t="s">
        <v>154</v>
      </c>
      <c r="H603" s="58">
        <v>15</v>
      </c>
      <c r="I603" s="57">
        <v>1035</v>
      </c>
      <c r="J603" s="59">
        <f t="shared" si="87"/>
        <v>15525</v>
      </c>
      <c r="K603" s="57">
        <v>1710</v>
      </c>
      <c r="L603" s="59">
        <f t="shared" si="87"/>
        <v>25650</v>
      </c>
      <c r="M603" s="57">
        <v>1935</v>
      </c>
      <c r="N603" s="59">
        <f t="shared" si="87"/>
        <v>29025</v>
      </c>
    </row>
    <row r="604" spans="1:20" x14ac:dyDescent="0.25">
      <c r="A604" s="26" t="s">
        <v>1172</v>
      </c>
      <c r="B604" s="55"/>
      <c r="C604" s="55"/>
      <c r="D604" s="55" t="s">
        <v>389</v>
      </c>
      <c r="E604" s="55"/>
      <c r="F604" s="56"/>
      <c r="G604" s="57" t="s">
        <v>23</v>
      </c>
      <c r="H604" s="58">
        <v>1.2</v>
      </c>
      <c r="I604" s="57">
        <v>5000</v>
      </c>
      <c r="J604" s="59">
        <f t="shared" si="87"/>
        <v>6000</v>
      </c>
      <c r="K604" s="57">
        <v>6000</v>
      </c>
      <c r="L604" s="59">
        <f t="shared" si="87"/>
        <v>7200</v>
      </c>
      <c r="M604" s="57">
        <v>10000</v>
      </c>
      <c r="N604" s="59">
        <f t="shared" si="87"/>
        <v>12000</v>
      </c>
    </row>
    <row r="605" spans="1:20" x14ac:dyDescent="0.25">
      <c r="A605" s="26" t="s">
        <v>1173</v>
      </c>
      <c r="B605" s="55"/>
      <c r="C605" s="55"/>
      <c r="D605" s="55" t="s">
        <v>390</v>
      </c>
      <c r="E605" s="55"/>
      <c r="F605" s="56"/>
      <c r="G605" s="57" t="s">
        <v>23</v>
      </c>
      <c r="H605" s="58">
        <v>1.2</v>
      </c>
      <c r="I605" s="57">
        <v>4000</v>
      </c>
      <c r="J605" s="59">
        <f t="shared" si="87"/>
        <v>4800</v>
      </c>
      <c r="K605" s="57">
        <v>2000</v>
      </c>
      <c r="L605" s="59">
        <f t="shared" si="87"/>
        <v>2400</v>
      </c>
      <c r="M605" s="57">
        <v>2100</v>
      </c>
      <c r="N605" s="59">
        <f t="shared" si="87"/>
        <v>2520</v>
      </c>
    </row>
    <row r="606" spans="1:20" x14ac:dyDescent="0.25">
      <c r="A606" s="26" t="s">
        <v>1174</v>
      </c>
      <c r="B606" s="55"/>
      <c r="C606" s="55"/>
      <c r="D606" s="55" t="s">
        <v>391</v>
      </c>
      <c r="E606" s="55"/>
      <c r="F606" s="56"/>
      <c r="G606" s="57" t="s">
        <v>23</v>
      </c>
      <c r="H606" s="58">
        <v>1.1299999999999999</v>
      </c>
      <c r="I606" s="57">
        <v>4000</v>
      </c>
      <c r="J606" s="59">
        <f t="shared" si="87"/>
        <v>4520</v>
      </c>
      <c r="K606" s="57">
        <v>2000</v>
      </c>
      <c r="L606" s="59">
        <f t="shared" si="87"/>
        <v>2260</v>
      </c>
      <c r="M606" s="57">
        <v>2100</v>
      </c>
      <c r="N606" s="59">
        <f t="shared" si="87"/>
        <v>2373</v>
      </c>
    </row>
    <row r="607" spans="1:20" x14ac:dyDescent="0.25">
      <c r="A607" s="26" t="s">
        <v>1175</v>
      </c>
      <c r="B607" s="55"/>
      <c r="C607" s="55"/>
      <c r="D607" s="55" t="s">
        <v>392</v>
      </c>
      <c r="E607" s="55"/>
      <c r="F607" s="56"/>
      <c r="G607" s="57" t="s">
        <v>27</v>
      </c>
      <c r="H607" s="58">
        <v>8.5</v>
      </c>
      <c r="I607" s="57">
        <v>400</v>
      </c>
      <c r="J607" s="59">
        <f t="shared" si="87"/>
        <v>3400</v>
      </c>
      <c r="K607" s="57">
        <v>160</v>
      </c>
      <c r="L607" s="59">
        <f t="shared" si="87"/>
        <v>1360</v>
      </c>
      <c r="M607" s="57">
        <v>115</v>
      </c>
      <c r="N607" s="59">
        <f t="shared" si="87"/>
        <v>977.5</v>
      </c>
    </row>
    <row r="608" spans="1:20" x14ac:dyDescent="0.25">
      <c r="A608" s="20" t="s">
        <v>1176</v>
      </c>
      <c r="B608" s="21"/>
      <c r="C608" s="22" t="s">
        <v>431</v>
      </c>
      <c r="D608" s="21"/>
      <c r="E608" s="21"/>
      <c r="F608" s="21"/>
      <c r="G608" s="23"/>
      <c r="H608" s="24"/>
      <c r="I608" s="23"/>
      <c r="J608" s="25" t="str">
        <f t="shared" ref="J608:N612" si="88">IF($H608*I608=0,"",$H608*I608)</f>
        <v/>
      </c>
      <c r="K608" s="23"/>
      <c r="L608" s="25" t="str">
        <f t="shared" si="88"/>
        <v/>
      </c>
      <c r="M608" s="23"/>
      <c r="N608" s="25" t="str">
        <f t="shared" si="88"/>
        <v/>
      </c>
    </row>
    <row r="609" spans="1:20" ht="17.25" x14ac:dyDescent="0.25">
      <c r="A609" s="26" t="s">
        <v>1177</v>
      </c>
      <c r="B609" s="27"/>
      <c r="C609" s="42"/>
      <c r="D609" s="27" t="s">
        <v>432</v>
      </c>
      <c r="E609" s="27"/>
      <c r="F609" s="27"/>
      <c r="G609" s="28" t="s">
        <v>108</v>
      </c>
      <c r="H609" s="31">
        <v>82.5</v>
      </c>
      <c r="I609" s="28">
        <v>690</v>
      </c>
      <c r="J609" s="32">
        <f t="shared" si="88"/>
        <v>56925</v>
      </c>
      <c r="K609" s="28">
        <v>1140</v>
      </c>
      <c r="L609" s="32">
        <f t="shared" si="88"/>
        <v>94050</v>
      </c>
      <c r="M609" s="28">
        <v>1290</v>
      </c>
      <c r="N609" s="32">
        <f t="shared" si="88"/>
        <v>106425</v>
      </c>
      <c r="T609" s="62"/>
    </row>
    <row r="610" spans="1:20" ht="17.25" x14ac:dyDescent="0.25">
      <c r="A610" s="26" t="s">
        <v>1178</v>
      </c>
      <c r="B610" s="27"/>
      <c r="C610" s="42"/>
      <c r="D610" s="27" t="s">
        <v>433</v>
      </c>
      <c r="E610" s="27"/>
      <c r="F610" s="27"/>
      <c r="G610" s="28" t="s">
        <v>108</v>
      </c>
      <c r="H610" s="31">
        <v>23</v>
      </c>
      <c r="I610" s="28">
        <v>828</v>
      </c>
      <c r="J610" s="32">
        <f t="shared" si="88"/>
        <v>19044</v>
      </c>
      <c r="K610" s="28">
        <v>1368</v>
      </c>
      <c r="L610" s="32">
        <f t="shared" si="88"/>
        <v>31464</v>
      </c>
      <c r="M610" s="28">
        <v>1548</v>
      </c>
      <c r="N610" s="32">
        <f t="shared" si="88"/>
        <v>35604</v>
      </c>
      <c r="T610" s="62"/>
    </row>
    <row r="611" spans="1:20" ht="17.25" x14ac:dyDescent="0.25">
      <c r="A611" s="26" t="s">
        <v>1179</v>
      </c>
      <c r="B611" s="27"/>
      <c r="C611" s="42"/>
      <c r="D611" s="27" t="s">
        <v>434</v>
      </c>
      <c r="E611" s="27"/>
      <c r="F611" s="27"/>
      <c r="G611" s="28" t="s">
        <v>108</v>
      </c>
      <c r="H611" s="31">
        <v>25.1</v>
      </c>
      <c r="I611" s="28">
        <v>1350</v>
      </c>
      <c r="J611" s="32">
        <f t="shared" si="88"/>
        <v>33885</v>
      </c>
      <c r="K611" s="28">
        <v>1800</v>
      </c>
      <c r="L611" s="32">
        <f t="shared" si="88"/>
        <v>45180</v>
      </c>
      <c r="M611" s="28">
        <v>1950</v>
      </c>
      <c r="N611" s="32">
        <f t="shared" si="88"/>
        <v>48945</v>
      </c>
      <c r="T611" s="62"/>
    </row>
    <row r="612" spans="1:20" ht="17.25" x14ac:dyDescent="0.25">
      <c r="A612" s="26" t="s">
        <v>1180</v>
      </c>
      <c r="B612" s="27"/>
      <c r="C612" s="42"/>
      <c r="D612" s="27" t="s">
        <v>435</v>
      </c>
      <c r="E612" s="27"/>
      <c r="F612" s="27"/>
      <c r="G612" s="28" t="s">
        <v>108</v>
      </c>
      <c r="H612" s="31">
        <v>25.1</v>
      </c>
      <c r="I612" s="28">
        <v>1050</v>
      </c>
      <c r="J612" s="32">
        <f t="shared" si="88"/>
        <v>26355</v>
      </c>
      <c r="K612" s="28">
        <v>1000</v>
      </c>
      <c r="L612" s="32">
        <f t="shared" si="88"/>
        <v>25100</v>
      </c>
      <c r="M612" s="28">
        <v>1050</v>
      </c>
      <c r="N612" s="32">
        <f t="shared" si="88"/>
        <v>26355</v>
      </c>
      <c r="T612" s="62"/>
    </row>
    <row r="613" spans="1:20" ht="17.25" x14ac:dyDescent="0.25">
      <c r="A613" s="26" t="s">
        <v>1181</v>
      </c>
      <c r="B613" s="27"/>
      <c r="C613" s="42"/>
      <c r="D613" s="27" t="s">
        <v>603</v>
      </c>
      <c r="E613" s="27"/>
      <c r="F613" s="27"/>
      <c r="G613" s="28" t="s">
        <v>108</v>
      </c>
      <c r="H613" s="31">
        <v>-10.7</v>
      </c>
      <c r="I613" s="28">
        <v>300</v>
      </c>
      <c r="J613" s="32">
        <f t="shared" ref="J613:J614" si="89">IF($H613*I613=0,"",$H613*I613)</f>
        <v>-3210</v>
      </c>
      <c r="K613" s="28">
        <v>50</v>
      </c>
      <c r="L613" s="32">
        <f t="shared" ref="L613:L614" si="90">IF($H613*K613=0,"",$H613*K613)</f>
        <v>-535</v>
      </c>
      <c r="M613" s="28">
        <v>150</v>
      </c>
      <c r="N613" s="32">
        <f t="shared" ref="N613:N614" si="91">IF($H613*M613=0,"",$H613*M613)</f>
        <v>-1605</v>
      </c>
      <c r="T613" s="62"/>
    </row>
    <row r="614" spans="1:20" ht="17.25" x14ac:dyDescent="0.25">
      <c r="A614" s="26" t="s">
        <v>1182</v>
      </c>
      <c r="B614" s="27"/>
      <c r="C614" s="42"/>
      <c r="D614" s="27" t="s">
        <v>604</v>
      </c>
      <c r="E614" s="27"/>
      <c r="F614" s="27"/>
      <c r="G614" s="28" t="s">
        <v>108</v>
      </c>
      <c r="H614" s="31">
        <v>-2.08</v>
      </c>
      <c r="I614" s="28">
        <v>200</v>
      </c>
      <c r="J614" s="32">
        <f t="shared" si="89"/>
        <v>-416</v>
      </c>
      <c r="K614" s="28">
        <v>400</v>
      </c>
      <c r="L614" s="32">
        <f t="shared" si="90"/>
        <v>-832</v>
      </c>
      <c r="M614" s="28">
        <v>100</v>
      </c>
      <c r="N614" s="32">
        <f t="shared" si="91"/>
        <v>-208</v>
      </c>
      <c r="T614" s="62"/>
    </row>
    <row r="615" spans="1:20" x14ac:dyDescent="0.25">
      <c r="A615" s="20" t="s">
        <v>1183</v>
      </c>
      <c r="B615" s="21"/>
      <c r="C615" s="22" t="s">
        <v>139</v>
      </c>
      <c r="D615" s="21"/>
      <c r="E615" s="21"/>
      <c r="F615" s="21"/>
      <c r="G615" s="23" t="s">
        <v>23</v>
      </c>
      <c r="H615" s="25">
        <v>1</v>
      </c>
      <c r="I615" s="23">
        <v>3000</v>
      </c>
      <c r="J615" s="25">
        <f>IF($H615*I615=0,"",$H615*I615)</f>
        <v>3000</v>
      </c>
      <c r="K615" s="23">
        <v>10000</v>
      </c>
      <c r="L615" s="25">
        <f>IF($H615*K615=0,"",$H615*K615)</f>
        <v>10000</v>
      </c>
      <c r="M615" s="23">
        <v>3000</v>
      </c>
      <c r="N615" s="25">
        <f>IF($H615*M615=0,"",$H615*M615)</f>
        <v>3000</v>
      </c>
    </row>
    <row r="616" spans="1:20" x14ac:dyDescent="0.25">
      <c r="A616" s="20" t="s">
        <v>1184</v>
      </c>
      <c r="B616" s="21"/>
      <c r="C616" s="22" t="s">
        <v>470</v>
      </c>
      <c r="D616" s="21"/>
      <c r="E616" s="21"/>
      <c r="F616" s="21"/>
      <c r="G616" s="23"/>
      <c r="H616" s="23"/>
      <c r="I616" s="23"/>
      <c r="J616" s="25" t="str">
        <f>IF($H616*I616=0,"",$H616*I616)</f>
        <v/>
      </c>
      <c r="K616" s="23"/>
      <c r="L616" s="25" t="str">
        <f>IF($H616*K616=0,"",$H616*K616)</f>
        <v/>
      </c>
      <c r="M616" s="23"/>
      <c r="N616" s="25" t="str">
        <f>IF($H616*M616=0,"",$H616*M616)</f>
        <v/>
      </c>
      <c r="T616" s="62"/>
    </row>
    <row r="617" spans="1:20" x14ac:dyDescent="0.25">
      <c r="A617" s="26" t="s">
        <v>1185</v>
      </c>
      <c r="B617" s="27"/>
      <c r="C617" s="42"/>
      <c r="D617" s="27" t="s">
        <v>471</v>
      </c>
      <c r="E617" s="27"/>
      <c r="F617" s="27"/>
      <c r="G617" s="28"/>
      <c r="H617" s="31"/>
      <c r="I617" s="28"/>
      <c r="J617" s="32" t="str">
        <f t="shared" ref="J617:N664" si="92">IF($H617*I617=0,"",$H617*I617)</f>
        <v/>
      </c>
      <c r="K617" s="28"/>
      <c r="L617" s="32" t="str">
        <f t="shared" si="92"/>
        <v/>
      </c>
      <c r="M617" s="28"/>
      <c r="N617" s="32" t="str">
        <f t="shared" si="92"/>
        <v/>
      </c>
      <c r="T617" s="62"/>
    </row>
    <row r="618" spans="1:20" x14ac:dyDescent="0.25">
      <c r="A618" s="26" t="s">
        <v>1186</v>
      </c>
      <c r="B618" s="27"/>
      <c r="C618" s="42"/>
      <c r="D618" s="27"/>
      <c r="E618" s="27" t="s">
        <v>472</v>
      </c>
      <c r="F618" s="27"/>
      <c r="G618" s="28" t="s">
        <v>27</v>
      </c>
      <c r="H618" s="31">
        <v>118</v>
      </c>
      <c r="I618" s="28">
        <v>20</v>
      </c>
      <c r="J618" s="32">
        <f t="shared" si="92"/>
        <v>2360</v>
      </c>
      <c r="K618" s="28">
        <v>30</v>
      </c>
      <c r="L618" s="32">
        <f t="shared" si="92"/>
        <v>3540</v>
      </c>
      <c r="M618" s="28">
        <v>60</v>
      </c>
      <c r="N618" s="32">
        <f t="shared" si="92"/>
        <v>7080</v>
      </c>
      <c r="T618" s="62"/>
    </row>
    <row r="619" spans="1:20" x14ac:dyDescent="0.25">
      <c r="A619" s="26" t="s">
        <v>1187</v>
      </c>
      <c r="B619" s="27"/>
      <c r="C619" s="42"/>
      <c r="D619" s="27"/>
      <c r="E619" s="27" t="s">
        <v>473</v>
      </c>
      <c r="F619" s="27"/>
      <c r="G619" s="28" t="s">
        <v>27</v>
      </c>
      <c r="H619" s="31">
        <v>324</v>
      </c>
      <c r="I619" s="28">
        <v>40</v>
      </c>
      <c r="J619" s="32">
        <f t="shared" si="92"/>
        <v>12960</v>
      </c>
      <c r="K619" s="28">
        <v>80</v>
      </c>
      <c r="L619" s="32">
        <f t="shared" si="92"/>
        <v>25920</v>
      </c>
      <c r="M619" s="28">
        <v>45</v>
      </c>
      <c r="N619" s="32">
        <f t="shared" si="92"/>
        <v>14580</v>
      </c>
      <c r="T619" s="62"/>
    </row>
    <row r="620" spans="1:20" x14ac:dyDescent="0.25">
      <c r="A620" s="26" t="s">
        <v>1188</v>
      </c>
      <c r="B620" s="27"/>
      <c r="C620" s="42"/>
      <c r="D620" s="27"/>
      <c r="E620" s="27" t="s">
        <v>474</v>
      </c>
      <c r="F620" s="27"/>
      <c r="G620" s="28" t="s">
        <v>27</v>
      </c>
      <c r="H620" s="31">
        <v>396</v>
      </c>
      <c r="I620" s="28">
        <v>20</v>
      </c>
      <c r="J620" s="32">
        <f t="shared" si="92"/>
        <v>7920</v>
      </c>
      <c r="K620" s="28">
        <v>30</v>
      </c>
      <c r="L620" s="32">
        <f t="shared" si="92"/>
        <v>11880</v>
      </c>
      <c r="M620" s="28">
        <v>35</v>
      </c>
      <c r="N620" s="32">
        <f t="shared" si="92"/>
        <v>13860</v>
      </c>
      <c r="T620" s="62"/>
    </row>
    <row r="621" spans="1:20" x14ac:dyDescent="0.25">
      <c r="A621" s="26" t="s">
        <v>1189</v>
      </c>
      <c r="B621" s="27"/>
      <c r="C621" s="42"/>
      <c r="D621" s="27"/>
      <c r="E621" s="27" t="s">
        <v>475</v>
      </c>
      <c r="F621" s="27"/>
      <c r="G621" s="28" t="s">
        <v>27</v>
      </c>
      <c r="H621" s="31">
        <v>186</v>
      </c>
      <c r="I621" s="28">
        <v>15</v>
      </c>
      <c r="J621" s="32">
        <f t="shared" si="92"/>
        <v>2790</v>
      </c>
      <c r="K621" s="28">
        <v>40</v>
      </c>
      <c r="L621" s="32">
        <f t="shared" si="92"/>
        <v>7440</v>
      </c>
      <c r="M621" s="28">
        <v>40</v>
      </c>
      <c r="N621" s="32">
        <f t="shared" si="92"/>
        <v>7440</v>
      </c>
      <c r="T621" s="62"/>
    </row>
    <row r="622" spans="1:20" x14ac:dyDescent="0.25">
      <c r="A622" s="26" t="s">
        <v>1190</v>
      </c>
      <c r="B622" s="27"/>
      <c r="C622" s="42"/>
      <c r="D622" s="27"/>
      <c r="E622" s="27" t="s">
        <v>476</v>
      </c>
      <c r="F622" s="27"/>
      <c r="G622" s="28" t="s">
        <v>27</v>
      </c>
      <c r="H622" s="31">
        <v>231</v>
      </c>
      <c r="I622" s="28">
        <v>20</v>
      </c>
      <c r="J622" s="32">
        <f t="shared" si="92"/>
        <v>4620</v>
      </c>
      <c r="K622" s="28">
        <v>10</v>
      </c>
      <c r="L622" s="32">
        <f t="shared" si="92"/>
        <v>2310</v>
      </c>
      <c r="M622" s="28">
        <v>35</v>
      </c>
      <c r="N622" s="32">
        <f t="shared" si="92"/>
        <v>8085</v>
      </c>
      <c r="T622" s="62"/>
    </row>
    <row r="623" spans="1:20" ht="15.75" customHeight="1" x14ac:dyDescent="0.25">
      <c r="A623" s="26" t="s">
        <v>1191</v>
      </c>
      <c r="B623" s="27"/>
      <c r="C623" s="42"/>
      <c r="D623" s="27" t="s">
        <v>477</v>
      </c>
      <c r="E623" s="27"/>
      <c r="F623" s="27"/>
      <c r="G623" s="28"/>
      <c r="H623" s="31"/>
      <c r="I623" s="28"/>
      <c r="J623" s="32" t="str">
        <f t="shared" si="92"/>
        <v/>
      </c>
      <c r="K623" s="28"/>
      <c r="L623" s="32" t="str">
        <f t="shared" si="92"/>
        <v/>
      </c>
      <c r="M623" s="28"/>
      <c r="N623" s="32" t="str">
        <f t="shared" si="92"/>
        <v/>
      </c>
      <c r="T623" s="62"/>
    </row>
    <row r="624" spans="1:20" ht="15.75" customHeight="1" x14ac:dyDescent="0.25">
      <c r="A624" s="26" t="s">
        <v>1192</v>
      </c>
      <c r="B624" s="27"/>
      <c r="C624" s="42"/>
      <c r="D624" s="27"/>
      <c r="E624" s="27" t="s">
        <v>478</v>
      </c>
      <c r="F624" s="27"/>
      <c r="G624" s="28" t="s">
        <v>23</v>
      </c>
      <c r="H624" s="31">
        <v>17.100000000000001</v>
      </c>
      <c r="I624" s="28">
        <v>500</v>
      </c>
      <c r="J624" s="32">
        <f t="shared" si="92"/>
        <v>8550</v>
      </c>
      <c r="K624" s="28">
        <v>1000</v>
      </c>
      <c r="L624" s="32">
        <f t="shared" si="92"/>
        <v>17100</v>
      </c>
      <c r="M624" s="28">
        <v>350</v>
      </c>
      <c r="N624" s="32">
        <f t="shared" si="92"/>
        <v>5985.0000000000009</v>
      </c>
      <c r="T624" s="62"/>
    </row>
    <row r="625" spans="1:20" ht="15.75" customHeight="1" x14ac:dyDescent="0.25">
      <c r="A625" s="26" t="s">
        <v>1193</v>
      </c>
      <c r="B625" s="27"/>
      <c r="C625" s="42"/>
      <c r="D625" s="27"/>
      <c r="E625" s="27" t="s">
        <v>479</v>
      </c>
      <c r="F625" s="27"/>
      <c r="G625" s="28" t="s">
        <v>23</v>
      </c>
      <c r="H625" s="31">
        <v>23.2</v>
      </c>
      <c r="I625" s="28">
        <v>100</v>
      </c>
      <c r="J625" s="32">
        <f t="shared" si="92"/>
        <v>2320</v>
      </c>
      <c r="K625" s="28">
        <v>200</v>
      </c>
      <c r="L625" s="32">
        <f t="shared" si="92"/>
        <v>4640</v>
      </c>
      <c r="M625" s="28">
        <v>350</v>
      </c>
      <c r="N625" s="32">
        <f t="shared" si="92"/>
        <v>8120</v>
      </c>
      <c r="T625" s="62"/>
    </row>
    <row r="626" spans="1:20" ht="15.75" customHeight="1" x14ac:dyDescent="0.25">
      <c r="A626" s="26" t="s">
        <v>1194</v>
      </c>
      <c r="B626" s="27"/>
      <c r="C626" s="42"/>
      <c r="D626" s="27"/>
      <c r="E626" s="27" t="s">
        <v>480</v>
      </c>
      <c r="F626" s="27"/>
      <c r="G626" s="28" t="s">
        <v>23</v>
      </c>
      <c r="H626" s="31">
        <v>23.6</v>
      </c>
      <c r="I626" s="28">
        <v>1000</v>
      </c>
      <c r="J626" s="32">
        <f t="shared" si="92"/>
        <v>23600</v>
      </c>
      <c r="K626" s="28">
        <v>400</v>
      </c>
      <c r="L626" s="32">
        <f t="shared" si="92"/>
        <v>9440</v>
      </c>
      <c r="M626" s="28">
        <v>500</v>
      </c>
      <c r="N626" s="32">
        <f t="shared" si="92"/>
        <v>11800</v>
      </c>
      <c r="T626" s="62"/>
    </row>
    <row r="627" spans="1:20" ht="15.75" customHeight="1" x14ac:dyDescent="0.25">
      <c r="A627" s="26" t="s">
        <v>1195</v>
      </c>
      <c r="B627" s="27"/>
      <c r="C627" s="42"/>
      <c r="D627" s="27" t="s">
        <v>481</v>
      </c>
      <c r="E627" s="27"/>
      <c r="F627" s="27"/>
      <c r="G627" s="28" t="s">
        <v>23</v>
      </c>
      <c r="H627" s="31">
        <v>14.75</v>
      </c>
      <c r="I627" s="28">
        <v>300</v>
      </c>
      <c r="J627" s="32">
        <f t="shared" si="92"/>
        <v>4425</v>
      </c>
      <c r="K627" s="28">
        <v>200</v>
      </c>
      <c r="L627" s="32">
        <f t="shared" si="92"/>
        <v>2950</v>
      </c>
      <c r="M627" s="28">
        <v>500</v>
      </c>
      <c r="N627" s="32">
        <f t="shared" si="92"/>
        <v>7375</v>
      </c>
      <c r="T627" s="62"/>
    </row>
    <row r="628" spans="1:20" ht="15.75" customHeight="1" x14ac:dyDescent="0.25">
      <c r="A628" s="26" t="s">
        <v>1196</v>
      </c>
      <c r="B628" s="27"/>
      <c r="C628" s="42"/>
      <c r="D628" s="27" t="s">
        <v>482</v>
      </c>
      <c r="E628" s="27"/>
      <c r="F628" s="27"/>
      <c r="G628" s="28" t="s">
        <v>23</v>
      </c>
      <c r="H628" s="31">
        <v>9.4499999999999993</v>
      </c>
      <c r="I628" s="28">
        <v>200</v>
      </c>
      <c r="J628" s="32">
        <f t="shared" si="92"/>
        <v>1889.9999999999998</v>
      </c>
      <c r="K628" s="28">
        <v>200</v>
      </c>
      <c r="L628" s="32">
        <f t="shared" si="92"/>
        <v>1889.9999999999998</v>
      </c>
      <c r="M628" s="28">
        <v>400</v>
      </c>
      <c r="N628" s="32">
        <f t="shared" si="92"/>
        <v>3779.9999999999995</v>
      </c>
      <c r="T628" s="62"/>
    </row>
    <row r="629" spans="1:20" x14ac:dyDescent="0.25">
      <c r="A629" s="20" t="s">
        <v>1197</v>
      </c>
      <c r="B629" s="21"/>
      <c r="C629" s="22" t="s">
        <v>483</v>
      </c>
      <c r="D629" s="21"/>
      <c r="E629" s="21"/>
      <c r="F629" s="21"/>
      <c r="G629" s="23"/>
      <c r="H629" s="23"/>
      <c r="I629" s="23"/>
      <c r="J629" s="25" t="str">
        <f t="shared" si="92"/>
        <v/>
      </c>
      <c r="K629" s="23"/>
      <c r="L629" s="25" t="str">
        <f t="shared" si="92"/>
        <v/>
      </c>
      <c r="M629" s="23"/>
      <c r="N629" s="25" t="str">
        <f t="shared" si="92"/>
        <v/>
      </c>
      <c r="T629" s="62"/>
    </row>
    <row r="630" spans="1:20" x14ac:dyDescent="0.25">
      <c r="A630" s="26" t="s">
        <v>1198</v>
      </c>
      <c r="B630" s="27"/>
      <c r="C630" s="42"/>
      <c r="D630" s="27" t="s">
        <v>484</v>
      </c>
      <c r="E630" s="27"/>
      <c r="F630" s="27"/>
      <c r="G630" s="28"/>
      <c r="H630" s="31"/>
      <c r="I630" s="28"/>
      <c r="J630" s="32" t="str">
        <f t="shared" si="92"/>
        <v/>
      </c>
      <c r="K630" s="28"/>
      <c r="L630" s="32" t="str">
        <f t="shared" si="92"/>
        <v/>
      </c>
      <c r="M630" s="28"/>
      <c r="N630" s="32" t="str">
        <f t="shared" si="92"/>
        <v/>
      </c>
      <c r="T630" s="62"/>
    </row>
    <row r="631" spans="1:20" x14ac:dyDescent="0.25">
      <c r="A631" s="26" t="s">
        <v>1199</v>
      </c>
      <c r="B631" s="27"/>
      <c r="C631" s="42"/>
      <c r="D631" s="27"/>
      <c r="E631" s="27" t="s">
        <v>485</v>
      </c>
      <c r="F631" s="27"/>
      <c r="G631" s="28" t="s">
        <v>27</v>
      </c>
      <c r="H631" s="31">
        <v>42.7</v>
      </c>
      <c r="I631" s="28">
        <v>20</v>
      </c>
      <c r="J631" s="32">
        <f t="shared" ref="J631:J641" si="93">IF($H631*I631=0,"",$H631*I631)</f>
        <v>854</v>
      </c>
      <c r="K631" s="28">
        <v>30</v>
      </c>
      <c r="L631" s="32">
        <f t="shared" ref="L631:L641" si="94">IF($H631*K631=0,"",$H631*K631)</f>
        <v>1281</v>
      </c>
      <c r="M631" s="28">
        <v>60</v>
      </c>
      <c r="N631" s="32">
        <f t="shared" si="92"/>
        <v>2562</v>
      </c>
      <c r="T631" s="62"/>
    </row>
    <row r="632" spans="1:20" x14ac:dyDescent="0.25">
      <c r="A632" s="26" t="s">
        <v>1200</v>
      </c>
      <c r="B632" s="27"/>
      <c r="C632" s="42"/>
      <c r="D632" s="27"/>
      <c r="E632" s="27" t="s">
        <v>486</v>
      </c>
      <c r="F632" s="27"/>
      <c r="G632" s="28" t="s">
        <v>27</v>
      </c>
      <c r="H632" s="31">
        <v>62</v>
      </c>
      <c r="I632" s="28">
        <v>40</v>
      </c>
      <c r="J632" s="32">
        <f t="shared" si="93"/>
        <v>2480</v>
      </c>
      <c r="K632" s="28">
        <v>80</v>
      </c>
      <c r="L632" s="32">
        <f t="shared" si="94"/>
        <v>4960</v>
      </c>
      <c r="M632" s="28">
        <v>45</v>
      </c>
      <c r="N632" s="32">
        <f t="shared" si="92"/>
        <v>2790</v>
      </c>
      <c r="T632" s="62"/>
    </row>
    <row r="633" spans="1:20" x14ac:dyDescent="0.25">
      <c r="A633" s="26" t="s">
        <v>1201</v>
      </c>
      <c r="B633" s="27"/>
      <c r="C633" s="42"/>
      <c r="D633" s="27"/>
      <c r="E633" s="27" t="s">
        <v>487</v>
      </c>
      <c r="F633" s="27"/>
      <c r="G633" s="28" t="s">
        <v>27</v>
      </c>
      <c r="H633" s="31">
        <v>74.5</v>
      </c>
      <c r="I633" s="28">
        <v>20</v>
      </c>
      <c r="J633" s="32">
        <f t="shared" si="93"/>
        <v>1490</v>
      </c>
      <c r="K633" s="28">
        <v>30</v>
      </c>
      <c r="L633" s="32">
        <f t="shared" si="94"/>
        <v>2235</v>
      </c>
      <c r="M633" s="28">
        <v>35</v>
      </c>
      <c r="N633" s="32">
        <f t="shared" si="92"/>
        <v>2607.5</v>
      </c>
      <c r="T633" s="62"/>
    </row>
    <row r="634" spans="1:20" x14ac:dyDescent="0.25">
      <c r="A634" s="26" t="s">
        <v>1202</v>
      </c>
      <c r="B634" s="27"/>
      <c r="C634" s="42"/>
      <c r="D634" s="27"/>
      <c r="E634" s="27" t="s">
        <v>488</v>
      </c>
      <c r="F634" s="27"/>
      <c r="G634" s="28" t="s">
        <v>27</v>
      </c>
      <c r="H634" s="31">
        <v>33</v>
      </c>
      <c r="I634" s="28">
        <v>15</v>
      </c>
      <c r="J634" s="32">
        <f t="shared" si="93"/>
        <v>495</v>
      </c>
      <c r="K634" s="28">
        <v>40</v>
      </c>
      <c r="L634" s="32">
        <f t="shared" si="94"/>
        <v>1320</v>
      </c>
      <c r="M634" s="28">
        <v>40</v>
      </c>
      <c r="N634" s="32">
        <f t="shared" si="92"/>
        <v>1320</v>
      </c>
      <c r="T634" s="62"/>
    </row>
    <row r="635" spans="1:20" x14ac:dyDescent="0.25">
      <c r="A635" s="26" t="s">
        <v>1203</v>
      </c>
      <c r="B635" s="27"/>
      <c r="C635" s="42"/>
      <c r="D635" s="27"/>
      <c r="E635" s="27" t="s">
        <v>489</v>
      </c>
      <c r="F635" s="27"/>
      <c r="G635" s="28" t="s">
        <v>27</v>
      </c>
      <c r="H635" s="31">
        <v>50.45</v>
      </c>
      <c r="I635" s="28">
        <v>20</v>
      </c>
      <c r="J635" s="32">
        <f t="shared" si="93"/>
        <v>1009</v>
      </c>
      <c r="K635" s="28">
        <v>10</v>
      </c>
      <c r="L635" s="32">
        <f t="shared" si="94"/>
        <v>504.5</v>
      </c>
      <c r="M635" s="28">
        <v>35</v>
      </c>
      <c r="N635" s="32">
        <f t="shared" si="92"/>
        <v>1765.75</v>
      </c>
      <c r="T635" s="62"/>
    </row>
    <row r="636" spans="1:20" ht="15.75" customHeight="1" x14ac:dyDescent="0.25">
      <c r="A636" s="26" t="s">
        <v>1204</v>
      </c>
      <c r="B636" s="27"/>
      <c r="C636" s="42"/>
      <c r="D636" s="27" t="s">
        <v>490</v>
      </c>
      <c r="E636" s="27"/>
      <c r="F636" s="27"/>
      <c r="G636" s="28"/>
      <c r="H636" s="31"/>
      <c r="I636" s="28"/>
      <c r="J636" s="32" t="str">
        <f t="shared" si="93"/>
        <v/>
      </c>
      <c r="K636" s="28"/>
      <c r="L636" s="32" t="str">
        <f t="shared" si="94"/>
        <v/>
      </c>
      <c r="M636" s="28"/>
      <c r="N636" s="32" t="str">
        <f t="shared" si="92"/>
        <v/>
      </c>
      <c r="T636" s="62"/>
    </row>
    <row r="637" spans="1:20" ht="15.75" customHeight="1" x14ac:dyDescent="0.25">
      <c r="A637" s="26" t="s">
        <v>1205</v>
      </c>
      <c r="B637" s="27"/>
      <c r="C637" s="42"/>
      <c r="D637" s="27"/>
      <c r="E637" s="27" t="s">
        <v>491</v>
      </c>
      <c r="F637" s="27"/>
      <c r="G637" s="28" t="s">
        <v>23</v>
      </c>
      <c r="H637" s="31">
        <v>3.6</v>
      </c>
      <c r="I637" s="28">
        <v>500</v>
      </c>
      <c r="J637" s="32">
        <f t="shared" si="93"/>
        <v>1800</v>
      </c>
      <c r="K637" s="28">
        <v>1000</v>
      </c>
      <c r="L637" s="32">
        <f t="shared" si="94"/>
        <v>3600</v>
      </c>
      <c r="M637" s="28">
        <v>350</v>
      </c>
      <c r="N637" s="32">
        <f t="shared" si="92"/>
        <v>1260</v>
      </c>
      <c r="T637" s="62"/>
    </row>
    <row r="638" spans="1:20" ht="15.75" customHeight="1" x14ac:dyDescent="0.25">
      <c r="A638" s="26" t="s">
        <v>1206</v>
      </c>
      <c r="B638" s="27"/>
      <c r="C638" s="42"/>
      <c r="D638" s="27"/>
      <c r="E638" s="27" t="s">
        <v>508</v>
      </c>
      <c r="F638" s="27"/>
      <c r="G638" s="28" t="s">
        <v>23</v>
      </c>
      <c r="H638" s="31">
        <v>7.1</v>
      </c>
      <c r="I638" s="28">
        <v>100</v>
      </c>
      <c r="J638" s="32">
        <f t="shared" si="93"/>
        <v>710</v>
      </c>
      <c r="K638" s="28">
        <v>200</v>
      </c>
      <c r="L638" s="32">
        <f t="shared" si="94"/>
        <v>1420</v>
      </c>
      <c r="M638" s="28">
        <v>350</v>
      </c>
      <c r="N638" s="32">
        <f t="shared" si="92"/>
        <v>2485</v>
      </c>
      <c r="T638" s="62"/>
    </row>
    <row r="639" spans="1:20" ht="15.75" customHeight="1" x14ac:dyDescent="0.25">
      <c r="A639" s="26" t="s">
        <v>1207</v>
      </c>
      <c r="B639" s="27"/>
      <c r="C639" s="42"/>
      <c r="D639" s="27"/>
      <c r="E639" s="27" t="s">
        <v>509</v>
      </c>
      <c r="F639" s="27"/>
      <c r="G639" s="28" t="s">
        <v>23</v>
      </c>
      <c r="H639" s="31">
        <v>10.5</v>
      </c>
      <c r="I639" s="28">
        <v>1000</v>
      </c>
      <c r="J639" s="32">
        <f t="shared" si="93"/>
        <v>10500</v>
      </c>
      <c r="K639" s="28">
        <v>400</v>
      </c>
      <c r="L639" s="32">
        <f t="shared" si="94"/>
        <v>4200</v>
      </c>
      <c r="M639" s="28">
        <v>500</v>
      </c>
      <c r="N639" s="32">
        <f t="shared" si="92"/>
        <v>5250</v>
      </c>
      <c r="T639" s="62"/>
    </row>
    <row r="640" spans="1:20" ht="15.75" customHeight="1" x14ac:dyDescent="0.25">
      <c r="A640" s="26" t="s">
        <v>1208</v>
      </c>
      <c r="B640" s="27"/>
      <c r="C640" s="42"/>
      <c r="D640" s="27" t="s">
        <v>492</v>
      </c>
      <c r="E640" s="27"/>
      <c r="F640" s="27"/>
      <c r="G640" s="28" t="s">
        <v>23</v>
      </c>
      <c r="H640" s="31">
        <v>6.6</v>
      </c>
      <c r="I640" s="28">
        <v>300</v>
      </c>
      <c r="J640" s="32">
        <f t="shared" si="93"/>
        <v>1980</v>
      </c>
      <c r="K640" s="28">
        <v>200</v>
      </c>
      <c r="L640" s="32">
        <f t="shared" si="94"/>
        <v>1320</v>
      </c>
      <c r="M640" s="28">
        <v>500</v>
      </c>
      <c r="N640" s="32">
        <f t="shared" si="92"/>
        <v>3300</v>
      </c>
      <c r="T640" s="62"/>
    </row>
    <row r="641" spans="1:20" ht="15.75" customHeight="1" x14ac:dyDescent="0.25">
      <c r="A641" s="26" t="s">
        <v>1209</v>
      </c>
      <c r="B641" s="27"/>
      <c r="C641" s="42"/>
      <c r="D641" s="27" t="s">
        <v>493</v>
      </c>
      <c r="E641" s="27"/>
      <c r="F641" s="27"/>
      <c r="G641" s="28" t="s">
        <v>23</v>
      </c>
      <c r="H641" s="31">
        <v>3.45</v>
      </c>
      <c r="I641" s="28">
        <v>200</v>
      </c>
      <c r="J641" s="32">
        <f t="shared" si="93"/>
        <v>690</v>
      </c>
      <c r="K641" s="28">
        <v>200</v>
      </c>
      <c r="L641" s="32">
        <f t="shared" si="94"/>
        <v>690</v>
      </c>
      <c r="M641" s="28">
        <v>400</v>
      </c>
      <c r="N641" s="32">
        <f t="shared" si="92"/>
        <v>1380</v>
      </c>
      <c r="T641" s="62"/>
    </row>
    <row r="642" spans="1:20" x14ac:dyDescent="0.25">
      <c r="A642" s="20" t="s">
        <v>1210</v>
      </c>
      <c r="B642" s="21"/>
      <c r="C642" s="22" t="s">
        <v>494</v>
      </c>
      <c r="D642" s="21"/>
      <c r="E642" s="21"/>
      <c r="F642" s="21"/>
      <c r="G642" s="23"/>
      <c r="H642" s="23"/>
      <c r="I642" s="23"/>
      <c r="J642" s="25" t="str">
        <f t="shared" si="92"/>
        <v/>
      </c>
      <c r="K642" s="23"/>
      <c r="L642" s="25" t="str">
        <f t="shared" si="92"/>
        <v/>
      </c>
      <c r="M642" s="23"/>
      <c r="N642" s="25" t="str">
        <f t="shared" si="92"/>
        <v/>
      </c>
      <c r="T642" s="62"/>
    </row>
    <row r="643" spans="1:20" x14ac:dyDescent="0.25">
      <c r="A643" s="26" t="s">
        <v>1211</v>
      </c>
      <c r="B643" s="27"/>
      <c r="C643" s="42"/>
      <c r="D643" s="27" t="s">
        <v>495</v>
      </c>
      <c r="E643" s="27"/>
      <c r="F643" s="27"/>
      <c r="G643" s="28" t="s">
        <v>23</v>
      </c>
      <c r="H643" s="31">
        <v>1.47</v>
      </c>
      <c r="I643" s="28">
        <v>3000</v>
      </c>
      <c r="J643" s="32">
        <f t="shared" si="92"/>
        <v>4410</v>
      </c>
      <c r="K643" s="28">
        <v>4000</v>
      </c>
      <c r="L643" s="32">
        <f t="shared" si="92"/>
        <v>5880</v>
      </c>
      <c r="M643" s="28">
        <v>4500</v>
      </c>
      <c r="N643" s="32">
        <f t="shared" si="92"/>
        <v>6615</v>
      </c>
      <c r="T643" s="62"/>
    </row>
    <row r="644" spans="1:20" x14ac:dyDescent="0.25">
      <c r="A644" s="26" t="s">
        <v>1212</v>
      </c>
      <c r="B644" s="27"/>
      <c r="C644" s="42"/>
      <c r="D644" s="27" t="s">
        <v>496</v>
      </c>
      <c r="E644" s="27"/>
      <c r="F644" s="27"/>
      <c r="G644" s="28" t="s">
        <v>23</v>
      </c>
      <c r="H644" s="31">
        <v>3.09</v>
      </c>
      <c r="I644" s="28">
        <v>1500</v>
      </c>
      <c r="J644" s="32">
        <f t="shared" si="92"/>
        <v>4635</v>
      </c>
      <c r="K644" s="28">
        <v>2000</v>
      </c>
      <c r="L644" s="32">
        <f t="shared" si="92"/>
        <v>6180</v>
      </c>
      <c r="M644" s="28">
        <v>2000</v>
      </c>
      <c r="N644" s="32">
        <f t="shared" si="92"/>
        <v>6180</v>
      </c>
      <c r="T644" s="62"/>
    </row>
    <row r="645" spans="1:20" x14ac:dyDescent="0.25">
      <c r="A645" s="20" t="s">
        <v>1213</v>
      </c>
      <c r="B645" s="21"/>
      <c r="C645" s="22" t="s">
        <v>497</v>
      </c>
      <c r="D645" s="21"/>
      <c r="E645" s="21"/>
      <c r="F645" s="21"/>
      <c r="G645" s="23" t="s">
        <v>27</v>
      </c>
      <c r="H645" s="25">
        <v>1718</v>
      </c>
      <c r="I645" s="23">
        <v>135</v>
      </c>
      <c r="J645" s="25">
        <f t="shared" si="92"/>
        <v>231930</v>
      </c>
      <c r="K645" s="23">
        <v>100</v>
      </c>
      <c r="L645" s="25">
        <f t="shared" si="92"/>
        <v>171800</v>
      </c>
      <c r="M645" s="23">
        <v>65</v>
      </c>
      <c r="N645" s="25">
        <f t="shared" si="92"/>
        <v>111670</v>
      </c>
      <c r="T645" s="62"/>
    </row>
    <row r="646" spans="1:20" x14ac:dyDescent="0.25">
      <c r="A646" s="20" t="s">
        <v>1214</v>
      </c>
      <c r="B646" s="21"/>
      <c r="C646" s="22" t="s">
        <v>394</v>
      </c>
      <c r="D646" s="21"/>
      <c r="E646" s="21"/>
      <c r="F646" s="21"/>
      <c r="G646" s="23"/>
      <c r="H646" s="24"/>
      <c r="I646" s="23"/>
      <c r="J646" s="25" t="str">
        <f t="shared" si="92"/>
        <v/>
      </c>
      <c r="K646" s="23"/>
      <c r="L646" s="25" t="str">
        <f t="shared" si="92"/>
        <v/>
      </c>
      <c r="M646" s="23"/>
      <c r="N646" s="25" t="str">
        <f t="shared" si="92"/>
        <v/>
      </c>
      <c r="T646" s="62"/>
    </row>
    <row r="647" spans="1:20" x14ac:dyDescent="0.25">
      <c r="A647" s="26" t="s">
        <v>1215</v>
      </c>
      <c r="B647" s="27"/>
      <c r="C647" s="27"/>
      <c r="D647" s="27" t="s">
        <v>498</v>
      </c>
      <c r="E647" s="27"/>
      <c r="F647" s="27"/>
      <c r="G647" s="28" t="s">
        <v>27</v>
      </c>
      <c r="H647" s="29">
        <v>76.05</v>
      </c>
      <c r="I647" s="28">
        <v>80</v>
      </c>
      <c r="J647" s="32">
        <f t="shared" si="92"/>
        <v>6084</v>
      </c>
      <c r="K647" s="28">
        <v>140</v>
      </c>
      <c r="L647" s="32">
        <f t="shared" si="92"/>
        <v>10647</v>
      </c>
      <c r="M647" s="28">
        <v>140</v>
      </c>
      <c r="N647" s="32">
        <f t="shared" si="92"/>
        <v>10647</v>
      </c>
      <c r="T647" s="62"/>
    </row>
    <row r="648" spans="1:20" x14ac:dyDescent="0.25">
      <c r="A648" s="26" t="s">
        <v>1216</v>
      </c>
      <c r="B648" s="27"/>
      <c r="C648" s="27"/>
      <c r="D648" s="27" t="s">
        <v>499</v>
      </c>
      <c r="E648" s="27"/>
      <c r="F648" s="27"/>
      <c r="G648" s="28" t="s">
        <v>27</v>
      </c>
      <c r="H648" s="29">
        <v>17.600000000000001</v>
      </c>
      <c r="I648" s="28">
        <v>35</v>
      </c>
      <c r="J648" s="32">
        <f t="shared" si="92"/>
        <v>616</v>
      </c>
      <c r="K648" s="28">
        <v>50</v>
      </c>
      <c r="L648" s="32">
        <f t="shared" si="92"/>
        <v>880.00000000000011</v>
      </c>
      <c r="M648" s="28">
        <v>75</v>
      </c>
      <c r="N648" s="32">
        <f t="shared" si="92"/>
        <v>1320</v>
      </c>
      <c r="T648" s="62"/>
    </row>
    <row r="649" spans="1:20" x14ac:dyDescent="0.25">
      <c r="A649" s="26" t="s">
        <v>1217</v>
      </c>
      <c r="B649" s="27"/>
      <c r="C649" s="27"/>
      <c r="D649" s="27" t="s">
        <v>500</v>
      </c>
      <c r="E649" s="27"/>
      <c r="F649" s="27"/>
      <c r="G649" s="28" t="s">
        <v>27</v>
      </c>
      <c r="H649" s="29">
        <v>9.8000000000000007</v>
      </c>
      <c r="I649" s="28">
        <v>115</v>
      </c>
      <c r="J649" s="32">
        <f t="shared" si="92"/>
        <v>1127</v>
      </c>
      <c r="K649" s="28">
        <v>190</v>
      </c>
      <c r="L649" s="32">
        <f t="shared" si="92"/>
        <v>1862.0000000000002</v>
      </c>
      <c r="M649" s="28">
        <v>215</v>
      </c>
      <c r="N649" s="32">
        <f t="shared" si="92"/>
        <v>2107</v>
      </c>
      <c r="T649" s="62"/>
    </row>
    <row r="650" spans="1:20" x14ac:dyDescent="0.25">
      <c r="A650" s="26" t="s">
        <v>1218</v>
      </c>
      <c r="B650" s="27"/>
      <c r="C650" s="27"/>
      <c r="D650" s="27" t="s">
        <v>501</v>
      </c>
      <c r="E650" s="27"/>
      <c r="F650" s="27"/>
      <c r="G650" s="28"/>
      <c r="H650" s="29"/>
      <c r="I650" s="28"/>
      <c r="J650" s="32" t="str">
        <f t="shared" si="92"/>
        <v/>
      </c>
      <c r="K650" s="28"/>
      <c r="L650" s="32" t="str">
        <f t="shared" si="92"/>
        <v/>
      </c>
      <c r="M650" s="28"/>
      <c r="N650" s="32" t="str">
        <f t="shared" si="92"/>
        <v/>
      </c>
      <c r="T650" s="62"/>
    </row>
    <row r="651" spans="1:20" x14ac:dyDescent="0.25">
      <c r="A651" s="26" t="s">
        <v>1219</v>
      </c>
      <c r="B651" s="27"/>
      <c r="C651" s="27"/>
      <c r="D651" s="27"/>
      <c r="E651" s="27" t="s">
        <v>395</v>
      </c>
      <c r="F651" s="27"/>
      <c r="G651" s="28" t="s">
        <v>23</v>
      </c>
      <c r="H651" s="29">
        <v>5.14</v>
      </c>
      <c r="I651" s="28">
        <v>1000</v>
      </c>
      <c r="J651" s="32">
        <f t="shared" si="92"/>
        <v>5140</v>
      </c>
      <c r="K651" s="28">
        <v>3000</v>
      </c>
      <c r="L651" s="32">
        <f t="shared" si="92"/>
        <v>15419.999999999998</v>
      </c>
      <c r="M651" s="28">
        <v>1900</v>
      </c>
      <c r="N651" s="32">
        <f t="shared" si="92"/>
        <v>9766</v>
      </c>
      <c r="T651" s="62"/>
    </row>
    <row r="652" spans="1:20" x14ac:dyDescent="0.25">
      <c r="A652" s="26" t="s">
        <v>1220</v>
      </c>
      <c r="B652" s="27"/>
      <c r="C652" s="27"/>
      <c r="E652" s="27" t="s">
        <v>502</v>
      </c>
      <c r="F652" s="27"/>
      <c r="G652" s="28" t="s">
        <v>23</v>
      </c>
      <c r="H652" s="29">
        <v>5.0599999999999996</v>
      </c>
      <c r="I652" s="28">
        <v>2500</v>
      </c>
      <c r="J652" s="32">
        <f t="shared" si="92"/>
        <v>12649.999999999998</v>
      </c>
      <c r="K652" s="28">
        <v>5000</v>
      </c>
      <c r="L652" s="32">
        <f t="shared" si="92"/>
        <v>25299.999999999996</v>
      </c>
      <c r="M652" s="28">
        <v>2800</v>
      </c>
      <c r="N652" s="32">
        <f t="shared" si="92"/>
        <v>14167.999999999998</v>
      </c>
      <c r="T652" s="62"/>
    </row>
    <row r="653" spans="1:20" x14ac:dyDescent="0.25">
      <c r="A653" s="26" t="s">
        <v>1221</v>
      </c>
      <c r="B653" s="27"/>
      <c r="C653" s="27"/>
      <c r="D653" s="27"/>
      <c r="E653" s="27" t="s">
        <v>503</v>
      </c>
      <c r="F653" s="27"/>
      <c r="G653" s="28" t="s">
        <v>27</v>
      </c>
      <c r="H653" s="29">
        <v>32.450000000000003</v>
      </c>
      <c r="I653" s="28">
        <v>130</v>
      </c>
      <c r="J653" s="32">
        <f t="shared" si="92"/>
        <v>4218.5</v>
      </c>
      <c r="K653" s="28">
        <v>160</v>
      </c>
      <c r="L653" s="32">
        <f t="shared" si="92"/>
        <v>5192</v>
      </c>
      <c r="M653" s="28">
        <v>300</v>
      </c>
      <c r="N653" s="32">
        <f t="shared" si="92"/>
        <v>9735</v>
      </c>
      <c r="T653" s="62"/>
    </row>
    <row r="654" spans="1:20" x14ac:dyDescent="0.25">
      <c r="A654" s="26" t="s">
        <v>1222</v>
      </c>
      <c r="B654" s="27"/>
      <c r="C654" s="27"/>
      <c r="D654" s="27"/>
      <c r="E654" s="27" t="s">
        <v>504</v>
      </c>
      <c r="F654" s="27"/>
      <c r="G654" s="28" t="s">
        <v>27</v>
      </c>
      <c r="H654" s="29">
        <v>427</v>
      </c>
      <c r="I654" s="28">
        <v>300</v>
      </c>
      <c r="J654" s="32">
        <f t="shared" si="92"/>
        <v>128100</v>
      </c>
      <c r="K654" s="28">
        <v>160</v>
      </c>
      <c r="L654" s="32">
        <f t="shared" si="92"/>
        <v>68320</v>
      </c>
      <c r="M654" s="28">
        <v>190</v>
      </c>
      <c r="N654" s="32">
        <f t="shared" si="92"/>
        <v>81130</v>
      </c>
      <c r="T654" s="62"/>
    </row>
    <row r="655" spans="1:20" x14ac:dyDescent="0.25">
      <c r="A655" s="20" t="s">
        <v>1223</v>
      </c>
      <c r="B655" s="21"/>
      <c r="C655" s="22" t="s">
        <v>586</v>
      </c>
      <c r="D655" s="21"/>
      <c r="E655" s="21"/>
      <c r="F655" s="21"/>
      <c r="G655" s="23"/>
      <c r="H655" s="24"/>
      <c r="I655" s="23"/>
      <c r="J655" s="25" t="str">
        <f t="shared" si="92"/>
        <v/>
      </c>
      <c r="K655" s="23"/>
      <c r="L655" s="25" t="str">
        <f t="shared" si="92"/>
        <v/>
      </c>
      <c r="M655" s="23"/>
      <c r="N655" s="25" t="str">
        <f t="shared" si="92"/>
        <v/>
      </c>
      <c r="T655" s="62"/>
    </row>
    <row r="656" spans="1:20" x14ac:dyDescent="0.25">
      <c r="A656" s="26" t="s">
        <v>1224</v>
      </c>
      <c r="B656" s="27"/>
      <c r="C656" s="42"/>
      <c r="D656" s="27" t="s">
        <v>595</v>
      </c>
      <c r="E656" s="27"/>
      <c r="F656" s="27"/>
      <c r="G656" s="28" t="s">
        <v>27</v>
      </c>
      <c r="H656" s="31">
        <v>98.3</v>
      </c>
      <c r="I656" s="28">
        <v>115</v>
      </c>
      <c r="J656" s="32">
        <f t="shared" si="92"/>
        <v>11304.5</v>
      </c>
      <c r="K656" s="28">
        <v>190</v>
      </c>
      <c r="L656" s="32">
        <f t="shared" si="92"/>
        <v>18677</v>
      </c>
      <c r="M656" s="28">
        <v>215</v>
      </c>
      <c r="N656" s="32">
        <f t="shared" si="92"/>
        <v>21134.5</v>
      </c>
      <c r="T656" s="62"/>
    </row>
    <row r="657" spans="1:20" x14ac:dyDescent="0.25">
      <c r="A657" s="26" t="s">
        <v>1225</v>
      </c>
      <c r="B657" s="27"/>
      <c r="C657" s="42"/>
      <c r="D657" s="27" t="s">
        <v>596</v>
      </c>
      <c r="E657" s="27"/>
      <c r="F657" s="27"/>
      <c r="G657" s="28" t="s">
        <v>27</v>
      </c>
      <c r="H657" s="31">
        <v>196.65</v>
      </c>
      <c r="I657" s="28">
        <v>135</v>
      </c>
      <c r="J657" s="32">
        <f t="shared" si="92"/>
        <v>26547.75</v>
      </c>
      <c r="K657" s="28">
        <v>100</v>
      </c>
      <c r="L657" s="32">
        <f t="shared" si="92"/>
        <v>19665</v>
      </c>
      <c r="M657" s="28">
        <v>65</v>
      </c>
      <c r="N657" s="32">
        <f t="shared" si="92"/>
        <v>12782.25</v>
      </c>
      <c r="T657" s="62"/>
    </row>
    <row r="658" spans="1:20" x14ac:dyDescent="0.25">
      <c r="A658" s="26" t="s">
        <v>1226</v>
      </c>
      <c r="B658" s="27"/>
      <c r="C658" s="42"/>
      <c r="D658" s="27" t="s">
        <v>597</v>
      </c>
      <c r="E658" s="27"/>
      <c r="F658" s="27"/>
      <c r="G658" s="28" t="s">
        <v>23</v>
      </c>
      <c r="H658" s="31">
        <v>10.79</v>
      </c>
      <c r="I658" s="28">
        <v>2100</v>
      </c>
      <c r="J658" s="32">
        <f t="shared" si="92"/>
        <v>22659</v>
      </c>
      <c r="K658" s="28">
        <v>2000</v>
      </c>
      <c r="L658" s="32">
        <f t="shared" si="92"/>
        <v>21580</v>
      </c>
      <c r="M658" s="28">
        <v>2100</v>
      </c>
      <c r="N658" s="32">
        <f t="shared" si="92"/>
        <v>22659</v>
      </c>
      <c r="T658" s="62"/>
    </row>
    <row r="659" spans="1:20" x14ac:dyDescent="0.25">
      <c r="A659" s="26" t="s">
        <v>1227</v>
      </c>
      <c r="B659" s="27"/>
      <c r="C659" s="42"/>
      <c r="D659" s="27" t="s">
        <v>598</v>
      </c>
      <c r="E659" s="27"/>
      <c r="F659" s="27"/>
      <c r="G659" s="28" t="s">
        <v>23</v>
      </c>
      <c r="H659" s="31">
        <v>0.96</v>
      </c>
      <c r="I659" s="28">
        <v>4500</v>
      </c>
      <c r="J659" s="32">
        <f t="shared" si="92"/>
        <v>4320</v>
      </c>
      <c r="K659" s="28">
        <v>6000</v>
      </c>
      <c r="L659" s="32">
        <f t="shared" si="92"/>
        <v>5760</v>
      </c>
      <c r="M659" s="28">
        <v>6500</v>
      </c>
      <c r="N659" s="32">
        <f t="shared" si="92"/>
        <v>6240</v>
      </c>
      <c r="T659" s="62"/>
    </row>
    <row r="660" spans="1:20" x14ac:dyDescent="0.25">
      <c r="A660" s="20" t="s">
        <v>1228</v>
      </c>
      <c r="B660" s="21"/>
      <c r="C660" s="22" t="s">
        <v>587</v>
      </c>
      <c r="D660" s="21"/>
      <c r="E660" s="21"/>
      <c r="F660" s="21"/>
      <c r="G660" s="23"/>
      <c r="H660" s="24"/>
      <c r="I660" s="23"/>
      <c r="J660" s="25" t="str">
        <f t="shared" si="92"/>
        <v/>
      </c>
      <c r="K660" s="23"/>
      <c r="L660" s="25" t="str">
        <f t="shared" si="92"/>
        <v/>
      </c>
      <c r="M660" s="23"/>
      <c r="N660" s="25" t="str">
        <f t="shared" si="92"/>
        <v/>
      </c>
      <c r="T660" s="62"/>
    </row>
    <row r="661" spans="1:20" x14ac:dyDescent="0.25">
      <c r="A661" s="26" t="s">
        <v>1229</v>
      </c>
      <c r="B661" s="27"/>
      <c r="C661" s="27"/>
      <c r="D661" s="27" t="s">
        <v>595</v>
      </c>
      <c r="E661" s="27"/>
      <c r="F661" s="27"/>
      <c r="G661" s="28" t="s">
        <v>27</v>
      </c>
      <c r="H661" s="29">
        <v>81.56</v>
      </c>
      <c r="I661" s="28">
        <v>130</v>
      </c>
      <c r="J661" s="32">
        <f t="shared" si="92"/>
        <v>10602.800000000001</v>
      </c>
      <c r="K661" s="28">
        <v>160</v>
      </c>
      <c r="L661" s="32">
        <f t="shared" si="92"/>
        <v>13049.6</v>
      </c>
      <c r="M661" s="28">
        <v>190</v>
      </c>
      <c r="N661" s="32">
        <f t="shared" si="92"/>
        <v>15496.4</v>
      </c>
      <c r="T661" s="62"/>
    </row>
    <row r="662" spans="1:20" collapsed="1" x14ac:dyDescent="0.25">
      <c r="A662" s="37" t="s">
        <v>1230</v>
      </c>
      <c r="B662" s="33"/>
      <c r="C662" s="33"/>
      <c r="D662" s="27" t="s">
        <v>596</v>
      </c>
      <c r="E662" s="33"/>
      <c r="F662" s="33"/>
      <c r="G662" s="34" t="s">
        <v>27</v>
      </c>
      <c r="H662" s="29">
        <v>112.8</v>
      </c>
      <c r="I662" s="28">
        <v>25</v>
      </c>
      <c r="J662" s="32">
        <f t="shared" si="92"/>
        <v>2820</v>
      </c>
      <c r="K662" s="28">
        <v>35</v>
      </c>
      <c r="L662" s="32">
        <f t="shared" si="92"/>
        <v>3948</v>
      </c>
      <c r="M662" s="28">
        <v>30</v>
      </c>
      <c r="N662" s="32">
        <f t="shared" si="92"/>
        <v>3384</v>
      </c>
      <c r="T662" s="62"/>
    </row>
    <row r="663" spans="1:20" collapsed="1" x14ac:dyDescent="0.25">
      <c r="A663" s="37" t="s">
        <v>1231</v>
      </c>
      <c r="B663" s="33"/>
      <c r="C663" s="33"/>
      <c r="D663" s="27" t="s">
        <v>597</v>
      </c>
      <c r="E663" s="33"/>
      <c r="F663" s="33"/>
      <c r="G663" s="34" t="s">
        <v>23</v>
      </c>
      <c r="H663" s="29">
        <v>9.56</v>
      </c>
      <c r="I663" s="28">
        <v>4635</v>
      </c>
      <c r="J663" s="32">
        <f t="shared" si="92"/>
        <v>44310.600000000006</v>
      </c>
      <c r="K663" s="28">
        <v>6100</v>
      </c>
      <c r="L663" s="32">
        <f t="shared" si="92"/>
        <v>58316</v>
      </c>
      <c r="M663" s="28">
        <v>6565</v>
      </c>
      <c r="N663" s="32">
        <f t="shared" si="92"/>
        <v>62761.4</v>
      </c>
      <c r="T663" s="62"/>
    </row>
    <row r="664" spans="1:20" collapsed="1" x14ac:dyDescent="0.25">
      <c r="A664" s="37" t="s">
        <v>1232</v>
      </c>
      <c r="B664" s="33"/>
      <c r="C664" s="33"/>
      <c r="D664" s="27" t="s">
        <v>598</v>
      </c>
      <c r="E664" s="33"/>
      <c r="F664" s="33"/>
      <c r="G664" s="34" t="s">
        <v>23</v>
      </c>
      <c r="H664" s="29">
        <v>0.96</v>
      </c>
      <c r="I664" s="28">
        <v>150</v>
      </c>
      <c r="J664" s="32">
        <f t="shared" si="92"/>
        <v>144</v>
      </c>
      <c r="K664" s="28">
        <v>240</v>
      </c>
      <c r="L664" s="32">
        <f t="shared" si="92"/>
        <v>230.39999999999998</v>
      </c>
      <c r="M664" s="28">
        <v>290</v>
      </c>
      <c r="N664" s="32">
        <f t="shared" si="92"/>
        <v>278.39999999999998</v>
      </c>
      <c r="T664" s="62"/>
    </row>
    <row r="665" spans="1:20" ht="16.5" x14ac:dyDescent="0.25">
      <c r="A665" s="14">
        <v>8</v>
      </c>
      <c r="B665" s="15" t="s">
        <v>396</v>
      </c>
      <c r="C665" s="15"/>
      <c r="D665" s="16"/>
      <c r="E665" s="16"/>
      <c r="F665" s="16"/>
      <c r="G665" s="16"/>
      <c r="H665" s="17"/>
      <c r="I665" s="16"/>
      <c r="J665" s="18">
        <f>SUM(J667:J700)</f>
        <v>147964.70000000001</v>
      </c>
      <c r="K665" s="16"/>
      <c r="L665" s="18">
        <f>SUM(L667:L700)</f>
        <v>192755.17</v>
      </c>
      <c r="M665" s="16"/>
      <c r="N665" s="18">
        <f>SUM(N667:N700)</f>
        <v>140244.15</v>
      </c>
    </row>
    <row r="666" spans="1:20" x14ac:dyDescent="0.25">
      <c r="A666" s="20" t="s">
        <v>1233</v>
      </c>
      <c r="B666" s="21"/>
      <c r="C666" s="22" t="s">
        <v>397</v>
      </c>
      <c r="D666" s="21"/>
      <c r="E666" s="21"/>
      <c r="F666" s="21"/>
      <c r="G666" s="23"/>
      <c r="H666" s="24"/>
      <c r="I666" s="23"/>
      <c r="J666" s="25" t="str">
        <f t="shared" ref="J666:N700" si="95">IF($H666*I666=0,"",$H666*I666)</f>
        <v/>
      </c>
      <c r="K666" s="23"/>
      <c r="L666" s="25" t="str">
        <f t="shared" si="95"/>
        <v/>
      </c>
      <c r="M666" s="23"/>
      <c r="N666" s="25" t="str">
        <f t="shared" si="95"/>
        <v/>
      </c>
    </row>
    <row r="667" spans="1:20" ht="15" customHeight="1" collapsed="1" x14ac:dyDescent="0.25">
      <c r="A667" s="26" t="s">
        <v>1234</v>
      </c>
      <c r="B667" s="27"/>
      <c r="C667" s="27"/>
      <c r="D667" s="27" t="s">
        <v>398</v>
      </c>
      <c r="E667" s="27"/>
      <c r="F667" s="27"/>
      <c r="G667" s="28" t="s">
        <v>23</v>
      </c>
      <c r="H667" s="29">
        <v>11.22</v>
      </c>
      <c r="I667" s="28">
        <v>900</v>
      </c>
      <c r="J667" s="30">
        <f t="shared" si="95"/>
        <v>10098</v>
      </c>
      <c r="K667" s="28">
        <v>1200</v>
      </c>
      <c r="L667" s="30">
        <f t="shared" si="95"/>
        <v>13464</v>
      </c>
      <c r="M667" s="28">
        <v>600</v>
      </c>
      <c r="N667" s="30">
        <f t="shared" si="95"/>
        <v>6732</v>
      </c>
    </row>
    <row r="668" spans="1:20" ht="15" customHeight="1" collapsed="1" x14ac:dyDescent="0.25">
      <c r="A668" s="26" t="s">
        <v>1235</v>
      </c>
      <c r="B668" s="27"/>
      <c r="C668" s="27"/>
      <c r="D668" s="27" t="s">
        <v>399</v>
      </c>
      <c r="E668" s="27"/>
      <c r="F668" s="27"/>
      <c r="G668" s="28" t="s">
        <v>18</v>
      </c>
      <c r="H668" s="29">
        <v>3.77</v>
      </c>
      <c r="I668" s="28">
        <v>1000</v>
      </c>
      <c r="J668" s="30">
        <f t="shared" si="95"/>
        <v>3770</v>
      </c>
      <c r="K668" s="28">
        <v>450</v>
      </c>
      <c r="L668" s="30">
        <f t="shared" si="95"/>
        <v>1696.5</v>
      </c>
      <c r="M668" s="28">
        <v>800</v>
      </c>
      <c r="N668" s="30">
        <f t="shared" si="95"/>
        <v>3016</v>
      </c>
    </row>
    <row r="669" spans="1:20" ht="15" customHeight="1" collapsed="1" x14ac:dyDescent="0.25">
      <c r="A669" s="26" t="s">
        <v>1236</v>
      </c>
      <c r="B669" s="27"/>
      <c r="C669" s="27"/>
      <c r="D669" s="27" t="s">
        <v>400</v>
      </c>
      <c r="E669" s="27"/>
      <c r="F669" s="27"/>
      <c r="G669" s="28" t="s">
        <v>18</v>
      </c>
      <c r="H669" s="29">
        <v>1.53</v>
      </c>
      <c r="I669" s="28">
        <v>1500</v>
      </c>
      <c r="J669" s="30">
        <f t="shared" si="95"/>
        <v>2295</v>
      </c>
      <c r="K669" s="28">
        <v>800</v>
      </c>
      <c r="L669" s="30">
        <f t="shared" si="95"/>
        <v>1224</v>
      </c>
      <c r="M669" s="28">
        <v>1500</v>
      </c>
      <c r="N669" s="30">
        <f t="shared" si="95"/>
        <v>2295</v>
      </c>
    </row>
    <row r="670" spans="1:20" ht="15" customHeight="1" x14ac:dyDescent="0.25">
      <c r="A670" s="26" t="s">
        <v>1237</v>
      </c>
      <c r="B670" s="27"/>
      <c r="C670" s="27"/>
      <c r="D670" s="27" t="s">
        <v>401</v>
      </c>
      <c r="E670" s="27"/>
      <c r="F670" s="27"/>
      <c r="G670" s="28" t="s">
        <v>18</v>
      </c>
      <c r="H670" s="29">
        <v>2.35</v>
      </c>
      <c r="I670" s="28">
        <v>500</v>
      </c>
      <c r="J670" s="30">
        <f t="shared" si="95"/>
        <v>1175</v>
      </c>
      <c r="K670" s="28">
        <v>600</v>
      </c>
      <c r="L670" s="30">
        <f t="shared" si="95"/>
        <v>1410</v>
      </c>
      <c r="M670" s="28">
        <v>500</v>
      </c>
      <c r="N670" s="30">
        <f t="shared" si="95"/>
        <v>1175</v>
      </c>
    </row>
    <row r="671" spans="1:20" ht="15" customHeight="1" x14ac:dyDescent="0.25">
      <c r="A671" s="26" t="s">
        <v>1238</v>
      </c>
      <c r="B671" s="27"/>
      <c r="C671" s="27"/>
      <c r="D671" s="27" t="s">
        <v>402</v>
      </c>
      <c r="E671" s="27"/>
      <c r="F671" s="27"/>
      <c r="G671" s="28" t="s">
        <v>18</v>
      </c>
      <c r="H671" s="29">
        <v>1.53</v>
      </c>
      <c r="I671" s="28">
        <v>500</v>
      </c>
      <c r="J671" s="30">
        <f t="shared" si="95"/>
        <v>765</v>
      </c>
      <c r="K671" s="28">
        <v>400</v>
      </c>
      <c r="L671" s="30">
        <f t="shared" si="95"/>
        <v>612</v>
      </c>
      <c r="M671" s="28">
        <v>500</v>
      </c>
      <c r="N671" s="30">
        <f t="shared" si="95"/>
        <v>765</v>
      </c>
    </row>
    <row r="672" spans="1:20" ht="15" customHeight="1" x14ac:dyDescent="0.25">
      <c r="A672" s="26" t="s">
        <v>1239</v>
      </c>
      <c r="B672" s="27"/>
      <c r="C672" s="27"/>
      <c r="D672" s="27" t="s">
        <v>403</v>
      </c>
      <c r="E672" s="27"/>
      <c r="F672" s="27"/>
      <c r="G672" s="28" t="s">
        <v>18</v>
      </c>
      <c r="H672" s="29">
        <v>2.35</v>
      </c>
      <c r="I672" s="28">
        <v>400</v>
      </c>
      <c r="J672" s="30">
        <f t="shared" si="95"/>
        <v>940</v>
      </c>
      <c r="K672" s="28">
        <v>450</v>
      </c>
      <c r="L672" s="30">
        <f t="shared" si="95"/>
        <v>1057.5</v>
      </c>
      <c r="M672" s="28">
        <v>300</v>
      </c>
      <c r="N672" s="30">
        <f t="shared" si="95"/>
        <v>705</v>
      </c>
    </row>
    <row r="673" spans="1:14" ht="15" customHeight="1" x14ac:dyDescent="0.25">
      <c r="A673" s="26" t="s">
        <v>1240</v>
      </c>
      <c r="B673" s="27"/>
      <c r="C673" s="27"/>
      <c r="D673" s="27" t="s">
        <v>404</v>
      </c>
      <c r="E673" s="27"/>
      <c r="F673" s="27"/>
      <c r="G673" s="28" t="s">
        <v>18</v>
      </c>
      <c r="H673" s="29">
        <v>11.63</v>
      </c>
      <c r="I673" s="28">
        <v>350</v>
      </c>
      <c r="J673" s="30">
        <f t="shared" si="95"/>
        <v>4070.5000000000005</v>
      </c>
      <c r="K673" s="28">
        <v>400</v>
      </c>
      <c r="L673" s="30">
        <f t="shared" si="95"/>
        <v>4652</v>
      </c>
      <c r="M673" s="28">
        <v>300</v>
      </c>
      <c r="N673" s="30">
        <f t="shared" si="95"/>
        <v>3489.0000000000005</v>
      </c>
    </row>
    <row r="674" spans="1:14" ht="15" customHeight="1" x14ac:dyDescent="0.25">
      <c r="A674" s="26" t="s">
        <v>1241</v>
      </c>
      <c r="B674" s="27"/>
      <c r="C674" s="27"/>
      <c r="D674" s="27" t="s">
        <v>405</v>
      </c>
      <c r="E674" s="27"/>
      <c r="F674" s="27"/>
      <c r="G674" s="28" t="s">
        <v>18</v>
      </c>
      <c r="H674" s="29">
        <v>11.63</v>
      </c>
      <c r="I674" s="28">
        <v>250</v>
      </c>
      <c r="J674" s="30">
        <f t="shared" si="95"/>
        <v>2907.5</v>
      </c>
      <c r="K674" s="28">
        <v>350</v>
      </c>
      <c r="L674" s="30">
        <f t="shared" si="95"/>
        <v>4070.5000000000005</v>
      </c>
      <c r="M674" s="28">
        <v>250</v>
      </c>
      <c r="N674" s="30">
        <f t="shared" si="95"/>
        <v>2907.5</v>
      </c>
    </row>
    <row r="675" spans="1:14" ht="15" customHeight="1" x14ac:dyDescent="0.25">
      <c r="A675" s="26" t="s">
        <v>1242</v>
      </c>
      <c r="B675" s="27"/>
      <c r="C675" s="27"/>
      <c r="D675" s="27" t="s">
        <v>406</v>
      </c>
      <c r="E675" s="27"/>
      <c r="F675" s="27"/>
      <c r="G675" s="28" t="s">
        <v>23</v>
      </c>
      <c r="H675" s="29">
        <v>22.44</v>
      </c>
      <c r="I675" s="28">
        <v>500</v>
      </c>
      <c r="J675" s="30">
        <f t="shared" si="95"/>
        <v>11220</v>
      </c>
      <c r="K675" s="28">
        <v>550</v>
      </c>
      <c r="L675" s="30">
        <f t="shared" si="95"/>
        <v>12342</v>
      </c>
      <c r="M675" s="28">
        <v>500</v>
      </c>
      <c r="N675" s="30">
        <f t="shared" si="95"/>
        <v>11220</v>
      </c>
    </row>
    <row r="676" spans="1:14" ht="15" customHeight="1" x14ac:dyDescent="0.25">
      <c r="A676" s="26" t="s">
        <v>1243</v>
      </c>
      <c r="B676" s="27"/>
      <c r="C676" s="27"/>
      <c r="D676" s="27" t="s">
        <v>407</v>
      </c>
      <c r="E676" s="27"/>
      <c r="F676" s="27"/>
      <c r="G676" s="28"/>
      <c r="H676" s="29"/>
      <c r="I676" s="28"/>
      <c r="J676" s="30" t="str">
        <f t="shared" si="95"/>
        <v/>
      </c>
      <c r="K676" s="28"/>
      <c r="L676" s="30" t="str">
        <f t="shared" si="95"/>
        <v/>
      </c>
      <c r="M676" s="28"/>
      <c r="N676" s="30" t="str">
        <f t="shared" si="95"/>
        <v/>
      </c>
    </row>
    <row r="677" spans="1:14" ht="15" customHeight="1" x14ac:dyDescent="0.25">
      <c r="A677" s="26" t="s">
        <v>1244</v>
      </c>
      <c r="B677" s="27"/>
      <c r="C677" s="27"/>
      <c r="D677" s="27"/>
      <c r="E677" s="33" t="s">
        <v>408</v>
      </c>
      <c r="F677" s="27"/>
      <c r="G677" s="28" t="s">
        <v>23</v>
      </c>
      <c r="H677" s="29">
        <v>22.44</v>
      </c>
      <c r="I677" s="28">
        <v>250</v>
      </c>
      <c r="J677" s="30">
        <f t="shared" si="95"/>
        <v>5610</v>
      </c>
      <c r="K677" s="28">
        <v>150</v>
      </c>
      <c r="L677" s="30">
        <f t="shared" si="95"/>
        <v>3366</v>
      </c>
      <c r="M677" s="28">
        <v>250</v>
      </c>
      <c r="N677" s="30">
        <f t="shared" si="95"/>
        <v>5610</v>
      </c>
    </row>
    <row r="678" spans="1:14" ht="15" customHeight="1" x14ac:dyDescent="0.25">
      <c r="A678" s="26" t="s">
        <v>1245</v>
      </c>
      <c r="B678" s="27"/>
      <c r="C678" s="27"/>
      <c r="D678" s="27"/>
      <c r="E678" s="33" t="s">
        <v>409</v>
      </c>
      <c r="F678" s="27"/>
      <c r="G678" s="28" t="s">
        <v>23</v>
      </c>
      <c r="H678" s="29">
        <v>20.399999999999999</v>
      </c>
      <c r="I678" s="28">
        <v>200</v>
      </c>
      <c r="J678" s="30">
        <f t="shared" si="95"/>
        <v>4079.9999999999995</v>
      </c>
      <c r="K678" s="28">
        <v>550</v>
      </c>
      <c r="L678" s="30">
        <f t="shared" si="95"/>
        <v>11220</v>
      </c>
      <c r="M678" s="28">
        <v>470</v>
      </c>
      <c r="N678" s="30">
        <f t="shared" si="95"/>
        <v>9588</v>
      </c>
    </row>
    <row r="679" spans="1:14" ht="15" customHeight="1" x14ac:dyDescent="0.25">
      <c r="A679" s="26" t="s">
        <v>1246</v>
      </c>
      <c r="B679" s="27"/>
      <c r="C679" s="27"/>
      <c r="D679" s="27" t="s">
        <v>410</v>
      </c>
      <c r="E679" s="27"/>
      <c r="F679" s="27"/>
      <c r="G679" s="28" t="s">
        <v>23</v>
      </c>
      <c r="H679" s="29">
        <v>38.450000000000003</v>
      </c>
      <c r="I679" s="28">
        <v>150</v>
      </c>
      <c r="J679" s="30">
        <f t="shared" si="95"/>
        <v>5767.5</v>
      </c>
      <c r="K679" s="28">
        <v>750</v>
      </c>
      <c r="L679" s="30">
        <f t="shared" si="95"/>
        <v>28837.500000000004</v>
      </c>
      <c r="M679" s="28">
        <v>250</v>
      </c>
      <c r="N679" s="30">
        <f t="shared" si="95"/>
        <v>9612.5</v>
      </c>
    </row>
    <row r="680" spans="1:14" ht="15" customHeight="1" x14ac:dyDescent="0.25">
      <c r="A680" s="26" t="s">
        <v>1247</v>
      </c>
      <c r="B680" s="27"/>
      <c r="C680" s="27"/>
      <c r="D680" s="27" t="s">
        <v>411</v>
      </c>
      <c r="E680" s="27"/>
      <c r="F680" s="27"/>
      <c r="G680" s="28" t="s">
        <v>27</v>
      </c>
      <c r="H680" s="29">
        <v>34.270000000000003</v>
      </c>
      <c r="I680" s="28">
        <v>100</v>
      </c>
      <c r="J680" s="30">
        <f t="shared" si="95"/>
        <v>3427.0000000000005</v>
      </c>
      <c r="K680" s="28">
        <v>50</v>
      </c>
      <c r="L680" s="30">
        <f t="shared" si="95"/>
        <v>1713.5000000000002</v>
      </c>
      <c r="M680" s="28">
        <v>50</v>
      </c>
      <c r="N680" s="30">
        <f t="shared" si="95"/>
        <v>1713.5000000000002</v>
      </c>
    </row>
    <row r="681" spans="1:14" ht="15" customHeight="1" x14ac:dyDescent="0.25">
      <c r="A681" s="26" t="s">
        <v>1248</v>
      </c>
      <c r="B681" s="27"/>
      <c r="C681" s="27"/>
      <c r="D681" s="27" t="s">
        <v>412</v>
      </c>
      <c r="E681" s="27"/>
      <c r="F681" s="27"/>
      <c r="G681" s="28" t="s">
        <v>27</v>
      </c>
      <c r="H681" s="29">
        <v>48.25</v>
      </c>
      <c r="I681" s="28">
        <v>10</v>
      </c>
      <c r="J681" s="30">
        <f t="shared" si="95"/>
        <v>482.5</v>
      </c>
      <c r="K681" s="28">
        <v>45</v>
      </c>
      <c r="L681" s="30">
        <f t="shared" si="95"/>
        <v>2171.25</v>
      </c>
      <c r="M681" s="28">
        <v>20</v>
      </c>
      <c r="N681" s="30">
        <f t="shared" si="95"/>
        <v>965</v>
      </c>
    </row>
    <row r="682" spans="1:14" ht="15" customHeight="1" x14ac:dyDescent="0.25">
      <c r="A682" s="26" t="s">
        <v>1249</v>
      </c>
      <c r="B682" s="27"/>
      <c r="C682" s="27"/>
      <c r="D682" s="27" t="s">
        <v>413</v>
      </c>
      <c r="E682" s="27"/>
      <c r="F682" s="27"/>
      <c r="G682" s="28" t="s">
        <v>27</v>
      </c>
      <c r="H682" s="29">
        <v>40.700000000000003</v>
      </c>
      <c r="I682" s="28">
        <v>100</v>
      </c>
      <c r="J682" s="30">
        <f t="shared" si="95"/>
        <v>4070.0000000000005</v>
      </c>
      <c r="K682" s="28">
        <v>300</v>
      </c>
      <c r="L682" s="30">
        <f t="shared" si="95"/>
        <v>12210</v>
      </c>
      <c r="M682" s="28">
        <v>150</v>
      </c>
      <c r="N682" s="30">
        <f t="shared" si="95"/>
        <v>6105</v>
      </c>
    </row>
    <row r="683" spans="1:14" ht="15" customHeight="1" x14ac:dyDescent="0.25">
      <c r="A683" s="26" t="s">
        <v>1250</v>
      </c>
      <c r="B683" s="27"/>
      <c r="C683" s="27"/>
      <c r="D683" s="27" t="s">
        <v>414</v>
      </c>
      <c r="E683" s="27"/>
      <c r="F683" s="27"/>
      <c r="G683" s="28" t="s">
        <v>27</v>
      </c>
      <c r="H683" s="29">
        <v>48.2</v>
      </c>
      <c r="I683" s="28">
        <v>36</v>
      </c>
      <c r="J683" s="30">
        <f t="shared" si="95"/>
        <v>1735.2</v>
      </c>
      <c r="K683" s="28">
        <v>44</v>
      </c>
      <c r="L683" s="30">
        <f t="shared" si="95"/>
        <v>2120.8000000000002</v>
      </c>
      <c r="M683" s="28">
        <v>70</v>
      </c>
      <c r="N683" s="30">
        <f t="shared" si="95"/>
        <v>3374</v>
      </c>
    </row>
    <row r="684" spans="1:14" ht="15" customHeight="1" x14ac:dyDescent="0.25">
      <c r="A684" s="26" t="s">
        <v>1251</v>
      </c>
      <c r="B684" s="27"/>
      <c r="C684" s="27"/>
      <c r="D684" s="27" t="s">
        <v>415</v>
      </c>
      <c r="E684" s="27"/>
      <c r="F684" s="27"/>
      <c r="G684" s="28" t="s">
        <v>27</v>
      </c>
      <c r="H684" s="29">
        <v>73.900000000000006</v>
      </c>
      <c r="I684" s="28">
        <v>10</v>
      </c>
      <c r="J684" s="30">
        <f t="shared" si="95"/>
        <v>739</v>
      </c>
      <c r="K684" s="28">
        <v>5</v>
      </c>
      <c r="L684" s="30">
        <f t="shared" si="95"/>
        <v>369.5</v>
      </c>
      <c r="M684" s="28">
        <v>40</v>
      </c>
      <c r="N684" s="30">
        <f t="shared" si="95"/>
        <v>2956</v>
      </c>
    </row>
    <row r="685" spans="1:14" ht="15" customHeight="1" x14ac:dyDescent="0.25">
      <c r="A685" s="20" t="s">
        <v>1252</v>
      </c>
      <c r="B685" s="21"/>
      <c r="C685" s="22" t="s">
        <v>416</v>
      </c>
      <c r="D685" s="21"/>
      <c r="E685" s="21"/>
      <c r="F685" s="21"/>
      <c r="G685" s="23"/>
      <c r="H685" s="24"/>
      <c r="I685" s="23"/>
      <c r="J685" s="25" t="str">
        <f t="shared" si="95"/>
        <v/>
      </c>
      <c r="K685" s="23"/>
      <c r="L685" s="25" t="str">
        <f t="shared" si="95"/>
        <v/>
      </c>
      <c r="M685" s="23"/>
      <c r="N685" s="25" t="str">
        <f t="shared" si="95"/>
        <v/>
      </c>
    </row>
    <row r="686" spans="1:14" ht="15" customHeight="1" collapsed="1" x14ac:dyDescent="0.25">
      <c r="A686" s="26" t="s">
        <v>1253</v>
      </c>
      <c r="B686" s="27"/>
      <c r="C686" s="27"/>
      <c r="D686" s="27" t="s">
        <v>417</v>
      </c>
      <c r="E686" s="27"/>
      <c r="F686" s="27"/>
      <c r="G686" s="28"/>
      <c r="H686" s="29"/>
      <c r="I686" s="28"/>
      <c r="J686" s="30" t="str">
        <f t="shared" si="95"/>
        <v/>
      </c>
      <c r="K686" s="28"/>
      <c r="L686" s="30" t="str">
        <f t="shared" si="95"/>
        <v/>
      </c>
      <c r="M686" s="28"/>
      <c r="N686" s="30" t="str">
        <f t="shared" si="95"/>
        <v/>
      </c>
    </row>
    <row r="687" spans="1:14" ht="15" customHeight="1" x14ac:dyDescent="0.25">
      <c r="A687" s="26" t="s">
        <v>1254</v>
      </c>
      <c r="B687" s="27"/>
      <c r="C687" s="27"/>
      <c r="D687" s="27"/>
      <c r="E687" s="33" t="s">
        <v>418</v>
      </c>
      <c r="F687" s="27"/>
      <c r="G687" s="28" t="s">
        <v>18</v>
      </c>
      <c r="H687" s="29">
        <v>66.400000000000006</v>
      </c>
      <c r="I687" s="28">
        <v>150</v>
      </c>
      <c r="J687" s="30">
        <f t="shared" si="95"/>
        <v>9960</v>
      </c>
      <c r="K687" s="28">
        <v>80</v>
      </c>
      <c r="L687" s="30">
        <f t="shared" si="95"/>
        <v>5312</v>
      </c>
      <c r="M687" s="28">
        <v>100</v>
      </c>
      <c r="N687" s="30">
        <f t="shared" si="95"/>
        <v>6640.0000000000009</v>
      </c>
    </row>
    <row r="688" spans="1:14" ht="15" customHeight="1" x14ac:dyDescent="0.25">
      <c r="A688" s="26" t="s">
        <v>1255</v>
      </c>
      <c r="B688" s="27"/>
      <c r="C688" s="27"/>
      <c r="D688" s="27"/>
      <c r="E688" s="33" t="s">
        <v>419</v>
      </c>
      <c r="F688" s="27"/>
      <c r="G688" s="28" t="s">
        <v>18</v>
      </c>
      <c r="H688" s="29">
        <v>62.12</v>
      </c>
      <c r="I688" s="28">
        <v>250</v>
      </c>
      <c r="J688" s="30">
        <f t="shared" si="95"/>
        <v>15530</v>
      </c>
      <c r="K688" s="28">
        <v>120</v>
      </c>
      <c r="L688" s="30">
        <f t="shared" si="95"/>
        <v>7454.4</v>
      </c>
      <c r="M688" s="28">
        <v>150</v>
      </c>
      <c r="N688" s="30">
        <f t="shared" si="95"/>
        <v>9318</v>
      </c>
    </row>
    <row r="689" spans="1:16" ht="15" customHeight="1" x14ac:dyDescent="0.25">
      <c r="A689" s="26" t="s">
        <v>1256</v>
      </c>
      <c r="B689" s="27"/>
      <c r="C689" s="27"/>
      <c r="D689" s="27" t="s">
        <v>1278</v>
      </c>
      <c r="E689" s="27"/>
      <c r="F689" s="27"/>
      <c r="G689" s="28"/>
      <c r="H689" s="29"/>
      <c r="I689" s="28"/>
      <c r="J689" s="30" t="str">
        <f t="shared" si="95"/>
        <v/>
      </c>
      <c r="K689" s="28"/>
      <c r="L689" s="30" t="str">
        <f t="shared" si="95"/>
        <v/>
      </c>
      <c r="M689" s="28"/>
      <c r="N689" s="30" t="str">
        <f t="shared" si="95"/>
        <v/>
      </c>
    </row>
    <row r="690" spans="1:16" ht="15" customHeight="1" x14ac:dyDescent="0.25">
      <c r="A690" s="26" t="s">
        <v>1257</v>
      </c>
      <c r="B690" s="27"/>
      <c r="C690" s="27"/>
      <c r="D690" s="27"/>
      <c r="E690" s="33" t="s">
        <v>420</v>
      </c>
      <c r="F690" s="27"/>
      <c r="G690" s="28" t="s">
        <v>18</v>
      </c>
      <c r="H690" s="29">
        <v>80.33</v>
      </c>
      <c r="I690" s="28">
        <v>50</v>
      </c>
      <c r="J690" s="30">
        <f t="shared" si="95"/>
        <v>4016.5</v>
      </c>
      <c r="K690" s="28">
        <v>140</v>
      </c>
      <c r="L690" s="30">
        <f t="shared" si="95"/>
        <v>11246.199999999999</v>
      </c>
      <c r="M690" s="28">
        <v>60</v>
      </c>
      <c r="N690" s="30">
        <f t="shared" si="95"/>
        <v>4819.8</v>
      </c>
    </row>
    <row r="691" spans="1:16" ht="15" customHeight="1" x14ac:dyDescent="0.25">
      <c r="A691" s="26" t="s">
        <v>1258</v>
      </c>
      <c r="B691" s="27"/>
      <c r="C691" s="27"/>
      <c r="D691" s="27"/>
      <c r="E691" s="33" t="s">
        <v>419</v>
      </c>
      <c r="F691" s="27"/>
      <c r="G691" s="28" t="s">
        <v>18</v>
      </c>
      <c r="H691" s="29">
        <v>76.040000000000006</v>
      </c>
      <c r="I691" s="28">
        <v>80</v>
      </c>
      <c r="J691" s="30">
        <f t="shared" si="95"/>
        <v>6083.2000000000007</v>
      </c>
      <c r="K691" s="28">
        <v>200</v>
      </c>
      <c r="L691" s="30">
        <f t="shared" si="95"/>
        <v>15208.000000000002</v>
      </c>
      <c r="M691" s="28">
        <v>50</v>
      </c>
      <c r="N691" s="30">
        <f t="shared" si="95"/>
        <v>3802.0000000000005</v>
      </c>
    </row>
    <row r="692" spans="1:16" x14ac:dyDescent="0.25">
      <c r="A692" s="20" t="s">
        <v>1259</v>
      </c>
      <c r="B692" s="21"/>
      <c r="C692" s="22" t="s">
        <v>421</v>
      </c>
      <c r="D692" s="21"/>
      <c r="E692" s="21"/>
      <c r="F692" s="21"/>
      <c r="G692" s="23"/>
      <c r="H692" s="24"/>
      <c r="I692" s="23"/>
      <c r="J692" s="25" t="str">
        <f t="shared" si="95"/>
        <v/>
      </c>
      <c r="K692" s="23"/>
      <c r="L692" s="25" t="str">
        <f t="shared" si="95"/>
        <v/>
      </c>
      <c r="M692" s="23"/>
      <c r="N692" s="25" t="str">
        <f t="shared" si="95"/>
        <v/>
      </c>
    </row>
    <row r="693" spans="1:16" ht="15" customHeight="1" collapsed="1" x14ac:dyDescent="0.25">
      <c r="A693" s="26" t="s">
        <v>1260</v>
      </c>
      <c r="B693" s="27"/>
      <c r="C693" s="27"/>
      <c r="D693" s="27" t="s">
        <v>422</v>
      </c>
      <c r="E693" s="27"/>
      <c r="F693" s="27"/>
      <c r="G693" s="28" t="s">
        <v>27</v>
      </c>
      <c r="H693" s="29">
        <v>137.69999999999999</v>
      </c>
      <c r="I693" s="28">
        <v>100</v>
      </c>
      <c r="J693" s="30">
        <f t="shared" si="95"/>
        <v>13769.999999999998</v>
      </c>
      <c r="K693" s="28">
        <v>45</v>
      </c>
      <c r="L693" s="30">
        <f t="shared" si="95"/>
        <v>6196.4999999999991</v>
      </c>
      <c r="M693" s="28">
        <v>50</v>
      </c>
      <c r="N693" s="30">
        <f t="shared" si="95"/>
        <v>6884.9999999999991</v>
      </c>
    </row>
    <row r="694" spans="1:16" ht="15" customHeight="1" x14ac:dyDescent="0.25">
      <c r="A694" s="26" t="s">
        <v>1261</v>
      </c>
      <c r="B694" s="27"/>
      <c r="C694" s="27"/>
      <c r="D694" s="27" t="s">
        <v>423</v>
      </c>
      <c r="E694" s="27"/>
      <c r="F694" s="27"/>
      <c r="G694" s="28" t="s">
        <v>27</v>
      </c>
      <c r="H694" s="29">
        <v>266.22000000000003</v>
      </c>
      <c r="I694" s="28">
        <v>55</v>
      </c>
      <c r="J694" s="30">
        <f t="shared" si="95"/>
        <v>14642.100000000002</v>
      </c>
      <c r="K694" s="28">
        <v>100</v>
      </c>
      <c r="L694" s="30">
        <f t="shared" si="95"/>
        <v>26622.000000000004</v>
      </c>
      <c r="M694" s="28">
        <v>60</v>
      </c>
      <c r="N694" s="30">
        <f t="shared" si="95"/>
        <v>15973.2</v>
      </c>
    </row>
    <row r="695" spans="1:16" ht="15" customHeight="1" x14ac:dyDescent="0.25">
      <c r="A695" s="20" t="s">
        <v>1262</v>
      </c>
      <c r="B695" s="21"/>
      <c r="C695" s="22" t="s">
        <v>424</v>
      </c>
      <c r="D695" s="21"/>
      <c r="E695" s="21"/>
      <c r="F695" s="21"/>
      <c r="G695" s="23"/>
      <c r="H695" s="24"/>
      <c r="I695" s="23"/>
      <c r="J695" s="25" t="str">
        <f t="shared" si="95"/>
        <v/>
      </c>
      <c r="K695" s="23"/>
      <c r="L695" s="25" t="str">
        <f t="shared" si="95"/>
        <v/>
      </c>
      <c r="M695" s="23"/>
      <c r="N695" s="25" t="str">
        <f t="shared" si="95"/>
        <v/>
      </c>
    </row>
    <row r="696" spans="1:16" ht="15" customHeight="1" collapsed="1" x14ac:dyDescent="0.25">
      <c r="A696" s="26" t="s">
        <v>1263</v>
      </c>
      <c r="B696" s="27"/>
      <c r="C696" s="27"/>
      <c r="D696" s="27" t="s">
        <v>425</v>
      </c>
      <c r="E696" s="27"/>
      <c r="F696" s="27"/>
      <c r="G696" s="28" t="s">
        <v>27</v>
      </c>
      <c r="H696" s="29">
        <v>127.45</v>
      </c>
      <c r="I696" s="28">
        <v>80</v>
      </c>
      <c r="J696" s="30">
        <f t="shared" si="95"/>
        <v>10196</v>
      </c>
      <c r="K696" s="28">
        <v>40</v>
      </c>
      <c r="L696" s="30">
        <f t="shared" si="95"/>
        <v>5098</v>
      </c>
      <c r="M696" s="28">
        <v>80</v>
      </c>
      <c r="N696" s="30">
        <f t="shared" si="95"/>
        <v>10196</v>
      </c>
    </row>
    <row r="697" spans="1:16" ht="15" customHeight="1" x14ac:dyDescent="0.25">
      <c r="A697" s="26" t="s">
        <v>1264</v>
      </c>
      <c r="B697" s="27"/>
      <c r="C697" s="27"/>
      <c r="D697" s="27" t="s">
        <v>426</v>
      </c>
      <c r="E697" s="27"/>
      <c r="F697" s="27"/>
      <c r="G697" s="28" t="s">
        <v>27</v>
      </c>
      <c r="H697" s="29">
        <v>138.16</v>
      </c>
      <c r="I697" s="28">
        <v>50</v>
      </c>
      <c r="J697" s="30">
        <f t="shared" si="95"/>
        <v>6908</v>
      </c>
      <c r="K697" s="28">
        <v>12</v>
      </c>
      <c r="L697" s="30">
        <f t="shared" si="95"/>
        <v>1657.92</v>
      </c>
      <c r="M697" s="28">
        <v>10</v>
      </c>
      <c r="N697" s="30">
        <f t="shared" si="95"/>
        <v>1381.6</v>
      </c>
    </row>
    <row r="698" spans="1:16" ht="15" customHeight="1" x14ac:dyDescent="0.25">
      <c r="A698" s="26" t="s">
        <v>1265</v>
      </c>
      <c r="B698" s="27"/>
      <c r="C698" s="27"/>
      <c r="D698" s="27" t="s">
        <v>427</v>
      </c>
      <c r="E698" s="27"/>
      <c r="F698" s="27"/>
      <c r="G698" s="28" t="s">
        <v>27</v>
      </c>
      <c r="H698" s="29">
        <v>138.16</v>
      </c>
      <c r="I698" s="28">
        <v>20</v>
      </c>
      <c r="J698" s="30">
        <f t="shared" si="95"/>
        <v>2763.2</v>
      </c>
      <c r="K698" s="28">
        <v>120</v>
      </c>
      <c r="L698" s="30">
        <f t="shared" si="95"/>
        <v>16579.2</v>
      </c>
      <c r="M698" s="28">
        <v>80</v>
      </c>
      <c r="N698" s="30">
        <f t="shared" si="95"/>
        <v>11052.8</v>
      </c>
    </row>
    <row r="699" spans="1:16" ht="15" customHeight="1" x14ac:dyDescent="0.25">
      <c r="A699" s="26" t="s">
        <v>1266</v>
      </c>
      <c r="B699" s="27"/>
      <c r="C699" s="27"/>
      <c r="D699" s="27" t="s">
        <v>428</v>
      </c>
      <c r="E699" s="27"/>
      <c r="F699" s="27"/>
      <c r="G699" s="28" t="s">
        <v>27</v>
      </c>
      <c r="H699" s="81">
        <v>-168.3</v>
      </c>
      <c r="I699" s="28">
        <v>10</v>
      </c>
      <c r="J699" s="82">
        <f t="shared" si="95"/>
        <v>-1683</v>
      </c>
      <c r="K699" s="28">
        <v>40</v>
      </c>
      <c r="L699" s="82">
        <f t="shared" si="95"/>
        <v>-6732</v>
      </c>
      <c r="M699" s="28">
        <v>20</v>
      </c>
      <c r="N699" s="82">
        <f t="shared" si="95"/>
        <v>-3366</v>
      </c>
    </row>
    <row r="700" spans="1:16" ht="15" customHeight="1" x14ac:dyDescent="0.25">
      <c r="A700" s="26" t="s">
        <v>1267</v>
      </c>
      <c r="B700" s="27"/>
      <c r="C700" s="27"/>
      <c r="D700" s="27" t="s">
        <v>429</v>
      </c>
      <c r="E700" s="27"/>
      <c r="F700" s="27"/>
      <c r="G700" s="28" t="s">
        <v>27</v>
      </c>
      <c r="H700" s="29">
        <v>52.53</v>
      </c>
      <c r="I700" s="28">
        <v>50</v>
      </c>
      <c r="J700" s="30">
        <f t="shared" si="95"/>
        <v>2626.5</v>
      </c>
      <c r="K700" s="28">
        <v>30</v>
      </c>
      <c r="L700" s="30">
        <f t="shared" si="95"/>
        <v>1575.9</v>
      </c>
      <c r="M700" s="28">
        <v>25</v>
      </c>
      <c r="N700" s="30">
        <f t="shared" si="95"/>
        <v>1313.25</v>
      </c>
    </row>
    <row r="701" spans="1:16" ht="16.5" x14ac:dyDescent="0.25">
      <c r="A701" s="14">
        <v>9</v>
      </c>
      <c r="B701" s="15" t="s">
        <v>1320</v>
      </c>
      <c r="C701" s="15"/>
      <c r="D701" s="16"/>
      <c r="E701" s="16"/>
      <c r="F701" s="16"/>
      <c r="G701" s="16"/>
      <c r="H701" s="17"/>
      <c r="I701" s="16"/>
      <c r="J701" s="18">
        <f>J702+J703</f>
        <v>233380.08379999999</v>
      </c>
      <c r="K701" s="16"/>
      <c r="L701" s="18">
        <f>L702+L703</f>
        <v>262693.84604400001</v>
      </c>
      <c r="M701" s="16"/>
      <c r="N701" s="18">
        <f>N702+N703</f>
        <v>507402.84909999988</v>
      </c>
    </row>
    <row r="702" spans="1:16" ht="93" customHeight="1" x14ac:dyDescent="0.25">
      <c r="A702" s="20" t="s">
        <v>1268</v>
      </c>
      <c r="B702" s="70"/>
      <c r="C702" s="71" t="s">
        <v>588</v>
      </c>
      <c r="D702" s="70"/>
      <c r="E702" s="70"/>
      <c r="F702" s="70"/>
      <c r="G702" s="69" t="s">
        <v>1279</v>
      </c>
      <c r="H702" s="72">
        <v>0.2</v>
      </c>
      <c r="I702" s="69" t="s">
        <v>1283</v>
      </c>
      <c r="J702" s="25">
        <f>H702*(J49+J178+J216+J305+J455+J598+J665)*0.04</f>
        <v>75283.898000000016</v>
      </c>
      <c r="K702" s="69" t="s">
        <v>1284</v>
      </c>
      <c r="L702" s="25">
        <f>H702*(L49+L178+L216+L305+L455+L598+L665)*0.09</f>
        <v>187638.46146000002</v>
      </c>
      <c r="M702" s="69" t="s">
        <v>1285</v>
      </c>
      <c r="N702" s="25">
        <f>H702*(N49+N178+N216+N305+N455+N598+N665)*0.21</f>
        <v>471480.52349999989</v>
      </c>
      <c r="P702" s="68"/>
    </row>
    <row r="703" spans="1:16" ht="93" customHeight="1" x14ac:dyDescent="0.25">
      <c r="A703" s="20" t="s">
        <v>1269</v>
      </c>
      <c r="B703" s="70"/>
      <c r="C703" s="71" t="s">
        <v>589</v>
      </c>
      <c r="D703" s="70"/>
      <c r="E703" s="70"/>
      <c r="F703" s="70"/>
      <c r="G703" s="69" t="s">
        <v>1279</v>
      </c>
      <c r="H703" s="72">
        <v>0.08</v>
      </c>
      <c r="I703" s="69" t="s">
        <v>1285</v>
      </c>
      <c r="J703" s="25">
        <f>H703*(J49+J178+J216+J305+J455+J598+J665)*0.21</f>
        <v>158096.18579999998</v>
      </c>
      <c r="K703" s="69" t="s">
        <v>1284</v>
      </c>
      <c r="L703" s="25">
        <f>H703*(L49+L178+L216+L305+L455+L598+L665)*0.09</f>
        <v>75055.384583999999</v>
      </c>
      <c r="M703" s="69" t="s">
        <v>1283</v>
      </c>
      <c r="N703" s="25">
        <f>H703*(N49+N178+N216+N305+N455+N598+N665)*0.04</f>
        <v>35922.325599999996</v>
      </c>
    </row>
    <row r="704" spans="1:16" ht="16.5" x14ac:dyDescent="0.25">
      <c r="A704" s="14"/>
      <c r="B704" s="15" t="s">
        <v>430</v>
      </c>
      <c r="C704" s="15"/>
      <c r="D704" s="16"/>
      <c r="E704" s="16"/>
      <c r="F704" s="16"/>
      <c r="G704" s="16"/>
      <c r="H704" s="17"/>
      <c r="I704" s="16"/>
      <c r="J704" s="18">
        <f>J10+J34+J49+J178+J216+J305+J455+J598+J665+J701</f>
        <v>10667525.133799998</v>
      </c>
      <c r="K704" s="16"/>
      <c r="L704" s="18">
        <f>L10+L34+L49+L178+L216+L305+L455+L598+L665+L701</f>
        <v>11765690.216043999</v>
      </c>
      <c r="M704" s="16"/>
      <c r="N704" s="18">
        <f>N10+N34+N49+N178+N216+N305+N455+N598+N665+N701</f>
        <v>12837086.399099998</v>
      </c>
    </row>
    <row r="706" spans="10:10" x14ac:dyDescent="0.25">
      <c r="J706" s="54"/>
    </row>
  </sheetData>
  <mergeCells count="7">
    <mergeCell ref="A7:H7"/>
    <mergeCell ref="E316:F316"/>
    <mergeCell ref="I8:J8"/>
    <mergeCell ref="K8:L8"/>
    <mergeCell ref="M8:N8"/>
    <mergeCell ref="B9:F9"/>
    <mergeCell ref="E314:F314"/>
  </mergeCells>
  <phoneticPr fontId="19" type="noConversion"/>
  <conditionalFormatting sqref="H13:H32">
    <cfRule type="expression" dxfId="29" priority="9">
      <formula>G13&lt;&gt;""</formula>
    </cfRule>
  </conditionalFormatting>
  <conditionalFormatting sqref="H35:H48">
    <cfRule type="expression" dxfId="28" priority="75">
      <formula>G35&lt;&gt;""</formula>
    </cfRule>
  </conditionalFormatting>
  <conditionalFormatting sqref="H52:H73">
    <cfRule type="expression" dxfId="27" priority="160">
      <formula>G52&lt;&gt;""</formula>
    </cfRule>
  </conditionalFormatting>
  <conditionalFormatting sqref="H75:H82">
    <cfRule type="expression" dxfId="26" priority="23">
      <formula>G75&lt;&gt;""</formula>
    </cfRule>
  </conditionalFormatting>
  <conditionalFormatting sqref="H84:H126">
    <cfRule type="expression" dxfId="25" priority="63">
      <formula>G84&lt;&gt;""</formula>
    </cfRule>
  </conditionalFormatting>
  <conditionalFormatting sqref="H129:H168">
    <cfRule type="expression" dxfId="24" priority="22">
      <formula>G129&lt;&gt;""</formula>
    </cfRule>
  </conditionalFormatting>
  <conditionalFormatting sqref="H173:H177">
    <cfRule type="expression" dxfId="23" priority="186">
      <formula>G173&lt;&gt;""</formula>
    </cfRule>
  </conditionalFormatting>
  <conditionalFormatting sqref="H179:H207">
    <cfRule type="expression" dxfId="22" priority="191">
      <formula>G179&lt;&gt;""</formula>
    </cfRule>
  </conditionalFormatting>
  <conditionalFormatting sqref="H211:H213">
    <cfRule type="expression" dxfId="21" priority="11">
      <formula>G211&lt;&gt;""</formula>
    </cfRule>
  </conditionalFormatting>
  <conditionalFormatting sqref="H217:H229">
    <cfRule type="expression" dxfId="20" priority="173">
      <formula>G217&lt;&gt;""</formula>
    </cfRule>
  </conditionalFormatting>
  <conditionalFormatting sqref="H232:H247">
    <cfRule type="expression" dxfId="19" priority="223">
      <formula>G232&lt;&gt;""</formula>
    </cfRule>
  </conditionalFormatting>
  <conditionalFormatting sqref="H249:H278">
    <cfRule type="expression" dxfId="18" priority="168">
      <formula>G249&lt;&gt;""</formula>
    </cfRule>
  </conditionalFormatting>
  <conditionalFormatting sqref="H282:H286">
    <cfRule type="expression" dxfId="17" priority="251">
      <formula>G282&lt;&gt;""</formula>
    </cfRule>
  </conditionalFormatting>
  <conditionalFormatting sqref="H289:H300">
    <cfRule type="expression" dxfId="16" priority="19">
      <formula>G289&lt;&gt;""</formula>
    </cfRule>
  </conditionalFormatting>
  <conditionalFormatting sqref="H302:H304">
    <cfRule type="expression" dxfId="15" priority="115">
      <formula>G302&lt;&gt;""</formula>
    </cfRule>
  </conditionalFormatting>
  <conditionalFormatting sqref="H306:H454">
    <cfRule type="expression" dxfId="14" priority="7">
      <formula>G306&lt;&gt;""</formula>
    </cfRule>
  </conditionalFormatting>
  <conditionalFormatting sqref="H456:H461">
    <cfRule type="expression" dxfId="13" priority="179">
      <formula>G456&lt;&gt;""</formula>
    </cfRule>
  </conditionalFormatting>
  <conditionalFormatting sqref="H464:H465">
    <cfRule type="expression" dxfId="12" priority="6">
      <formula>G464&lt;&gt;""</formula>
    </cfRule>
  </conditionalFormatting>
  <conditionalFormatting sqref="H467:H479">
    <cfRule type="expression" dxfId="11" priority="2">
      <formula>G467&lt;&gt;""</formula>
    </cfRule>
  </conditionalFormatting>
  <conditionalFormatting sqref="H485:H488">
    <cfRule type="expression" dxfId="10" priority="1">
      <formula>G485&lt;&gt;""</formula>
    </cfRule>
  </conditionalFormatting>
  <conditionalFormatting sqref="H492:H522">
    <cfRule type="expression" dxfId="9" priority="53">
      <formula>G492&lt;&gt;""</formula>
    </cfRule>
  </conditionalFormatting>
  <conditionalFormatting sqref="H525:H533">
    <cfRule type="expression" dxfId="8" priority="98">
      <formula>G525&lt;&gt;""</formula>
    </cfRule>
  </conditionalFormatting>
  <conditionalFormatting sqref="H535:H566">
    <cfRule type="expression" dxfId="7" priority="34">
      <formula>G535&lt;&gt;""</formula>
    </cfRule>
  </conditionalFormatting>
  <conditionalFormatting sqref="H568:H592">
    <cfRule type="expression" dxfId="6" priority="8">
      <formula>G568&lt;&gt;""</formula>
    </cfRule>
  </conditionalFormatting>
  <conditionalFormatting sqref="H594:H595">
    <cfRule type="expression" dxfId="5" priority="95">
      <formula>G594&lt;&gt;""</formula>
    </cfRule>
  </conditionalFormatting>
  <conditionalFormatting sqref="H599:H614">
    <cfRule type="expression" dxfId="4" priority="10">
      <formula>G599&lt;&gt;""</formula>
    </cfRule>
  </conditionalFormatting>
  <conditionalFormatting sqref="H617:H628 H630:H641 H643:H644">
    <cfRule type="expression" dxfId="3" priority="94">
      <formula>G617&lt;&gt;""</formula>
    </cfRule>
  </conditionalFormatting>
  <conditionalFormatting sqref="H646:H664">
    <cfRule type="expression" dxfId="2" priority="85">
      <formula>G646&lt;&gt;""</formula>
    </cfRule>
  </conditionalFormatting>
  <conditionalFormatting sqref="H666:H700">
    <cfRule type="expression" dxfId="0" priority="150">
      <formula>G666&lt;&gt;""</formula>
    </cfRule>
  </conditionalFormatting>
  <conditionalFormatting sqref="V267">
    <cfRule type="expression" dxfId="1" priority="226">
      <formula>U267&lt;&gt;""</formula>
    </cfRule>
  </conditionalFormatting>
  <pageMargins left="0.70866141732283472" right="0.70866141732283472" top="0.74803149606299213" bottom="0.74803149606299213" header="0.31496062992125984" footer="0.31496062992125984"/>
  <pageSetup paperSize="8" scale="48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DF322E927AA74097665314D273FCA8" ma:contentTypeVersion="2" ma:contentTypeDescription="Crée un document." ma:contentTypeScope="" ma:versionID="595bf95f8344b4792468a37d05236159">
  <xsd:schema xmlns:xsd="http://www.w3.org/2001/XMLSchema" xmlns:xs="http://www.w3.org/2001/XMLSchema" xmlns:p="http://schemas.microsoft.com/office/2006/metadata/properties" xmlns:ns3="b913b07d-496f-4b85-9c30-65c9b1204b10" targetNamespace="http://schemas.microsoft.com/office/2006/metadata/properties" ma:root="true" ma:fieldsID="97b3c6eaf3014b652c24014fcd833400" ns3:_="">
    <xsd:import namespace="b913b07d-496f-4b85-9c30-65c9b1204b1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13b07d-496f-4b85-9c30-65c9b1204b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AA53627-D6A4-48AE-ACA6-C30BAEE3D5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864C4D4-784B-4A3B-9900-6907029E32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13b07d-496f-4b85-9c30-65c9b1204b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868AB3-174B-45BA-9B41-C355395840C7}">
  <ds:schemaRefs>
    <ds:schemaRef ds:uri="http://purl.org/dc/elements/1.1/"/>
    <ds:schemaRef ds:uri="http://purl.org/dc/terms/"/>
    <ds:schemaRef ds:uri="http://www.w3.org/XML/1998/namespace"/>
    <ds:schemaRef ds:uri="http://purl.org/dc/dcmitype/"/>
    <ds:schemaRef ds:uri="http://schemas.microsoft.com/office/2006/metadata/properties"/>
    <ds:schemaRef ds:uri="b913b07d-496f-4b85-9c30-65c9b1204b10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DQE CTY</vt:lpstr>
      <vt:lpstr>'DQE CTY'!Impression_des_titres</vt:lpstr>
      <vt:lpstr>'DQE CTY'!Zone_d_impression</vt:lpstr>
    </vt:vector>
  </TitlesOfParts>
  <Manager/>
  <Company>ARTELIA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 GAL Romain</dc:creator>
  <cp:keywords/>
  <dc:description/>
  <cp:lastModifiedBy>BE</cp:lastModifiedBy>
  <cp:revision/>
  <cp:lastPrinted>2023-07-10T13:50:09Z</cp:lastPrinted>
  <dcterms:created xsi:type="dcterms:W3CDTF">2023-01-18T16:56:27Z</dcterms:created>
  <dcterms:modified xsi:type="dcterms:W3CDTF">2023-07-10T13:51:48Z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0x010100BCDF322E927AA74097665314D273FCA8</vt:lpwstr>
  </property>
</Properties>
</file>